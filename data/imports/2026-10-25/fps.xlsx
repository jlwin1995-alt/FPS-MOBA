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Match_Intel" sheetId="2" state="visible" r:id="rId4"/>
    <sheet name="Board" sheetId="3" state="visible" r:id="rId5"/>
    <sheet name="Matches" sheetId="4" state="visible" r:id="rId6"/>
    <sheet name="Projections" sheetId="5" state="visible" r:id="rId7"/>
    <sheet name="Calc" sheetId="6" state="visible" r:id="rId8"/>
    <sheet name="Config" sheetId="7" state="visible" r:id="rId9"/>
    <sheet name="Players" sheetId="8" state="visible" r:id="rId10"/>
    <sheet name="Map_Stats" sheetId="9" state="visible" r:id="rId11"/>
    <sheet name="Book_Props" sheetId="10" state="visible" r:id="rId12"/>
    <sheet name="Round_Ladders" sheetId="11" state="visible" r:id="rId13"/>
    <sheet name="HLTV_Teams" sheetId="12" state="visible" r:id="rId14"/>
    <sheet name="HLTV_Long" sheetId="13" state="visible" r:id="rId15"/>
    <sheet name="HLTV_Veto" sheetId="14" state="visible" r:id="rId16"/>
    <sheet name="Log" sheetId="15" state="visible" r:id="rId17"/>
    <sheet name="Data_Checks" sheetId="16" state="visible" r:id="rId18"/>
  </sheets>
  <definedNames>
    <definedName function="false" hidden="true" localSheetId="13" name="_xlnm._FilterDatabase" vbProcedure="false">HLTV_Veto!$A$1:$G$197</definedName>
    <definedName function="false" hidden="true" localSheetId="8" name="_xlnm._FilterDatabase" vbProcedure="false">Map_Stats!$A$1:$K$779</definedName>
    <definedName function="false" hidden="true" localSheetId="7" name="_xlnm._FilterDatabase" vbProcedure="false">Players!$A$1:$O$124</definedName>
    <definedName function="false" hidden="true" localSheetId="4" name="_xlnm._FilterDatabase" vbProcedure="false">Projections!$A$1:$AE$246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<sst xmlns="http://schemas.openxmlformats.org/spreadsheetml/2006/main" count="13471" uniqueCount="3137">
  <si>
    <t xml:space="preserve">FPS Player Model — CS2 + Valorant</t>
  </si>
  <si>
    <t xml:space="preserve">Kills and headshot projections built map by map: per-map KPR × the rounds you expect on that map.</t>
  </si>
  <si>
    <t xml:space="preserve">Slate 2026-10-25 · 245 board legs · 15 matches</t>
  </si>
  <si>
    <t xml:space="preserve">HOW TO USE</t>
  </si>
  <si>
    <t xml:space="preserve">1. Matches tab: every match on the slate, one row each. The shaded columns are yours — Map 1, Map 2, Map 3 (dropdowns) and Rounds M1/M2/M3. They arrive prefilled: maps from PickFinder's Map Picks, rounds from Thunderpick's Total Rounds ladder for that map. Change any of them and every projection for that match recalculates.</t>
  </si>
  <si>
    <t xml:space="preserve">2. Board tab: pick a match in the shaded cell B2. Both rosters load, ranked by projected Maps 1-2 kills, with the PrizePicks line, the model's P(over), Thunderpick's own kill-line median and PickFinder's L10 beside it.</t>
  </si>
  <si>
    <t xml:space="preserve">3. Projections tab: every leg on the board (Maps 1-2, Map 1, Map 2 — kills and HS), filterable.</t>
  </si>
  <si>
    <t xml:space="preserve">4. Log tab: the same projections frozen as values at default settings when the sheet was built. Type the result in Actual after settlement; Result fills itself. This is the forward record the model does not yet have.</t>
  </si>
  <si>
    <t xml:space="preserve">THE MODEL, IN FOUR LINES</t>
  </si>
  <si>
    <t xml:space="preserve">Per-map KPR = (n × map KPR + SHRINK_MAPS × overall KPR) ÷ (n + SHRINK_MAPS), n = maps the player has on that map in PickFinder's sample. A map he has never played uses his overall KPR.</t>
  </si>
  <si>
    <t xml:space="preserve">Kills on map k = per-map KPR × rounds on map k.  Maps 1-2 = map 1 + map 2.  Maps 1-3 = maps 1-2 + P(map 3) × map 3.</t>
  </si>
  <si>
    <t xml:space="preserve">HS on map k = kills on map k × per-map HS%, shrunk the same way.  (CS2 only — PickFinder posts no Valorant HS%.)</t>
  </si>
  <si>
    <t xml:space="preserve">P(over) = normal approximation with variance = KILLS_DISPERSION × projection, continuity-corrected, so a whole-number line shows its push probability separately.</t>
  </si>
  <si>
    <t xml:space="preserve">WHERE EACH NUMBER COMES FROM</t>
  </si>
  <si>
    <t xml:space="preserve">PickFinder → Player Stats panel (Map Stats): maps played, kills/map, KPR, HS%, K/D per map; the Per Round toggle gives overall Kills/Round. Same page → Maps panel: Map Picks likelihood for the matchup. /props: lines and L5/L10/L15/H2H/streak.</t>
  </si>
  <si>
    <t xml:space="preserve">Thunderpick → /api/markets: Match Winner, Best of 3 Correct Match Score, Map k Winner, Total Rounds - Map k, team Total Rounds - Map k, Round Handicap - Map k, Overtime Yes/No - Map k, and each player's Total Kills ladder for maps 1 and 2. Every price is devigged multiplicatively; ladders are read at their 50% crossing.</t>
  </si>
  <si>
    <t xml:space="preserve">Valorant: PickFinder gives per-map KILLS but not per-map KPR. The sheet converts with the player's average map length (Kills/Map ÷ Kills/Round), i.e. it assumes his maps run equally long. CS2 uses PickFinder's own KPR.</t>
  </si>
  <si>
    <t xml:space="preserve">HLTV → /betting/analytics/&lt;match&gt;: per team and per map, average rounds lost in wins and rounds won in losses; series-score distribution and overtime % (3 months); veto stats (first pick, first ban, win %, played).</t>
  </si>
  <si>
    <t xml:space="preserve">ROUND-DIFFERENTIAL LAYER (CS2) — the "adj" columns</t>
  </si>
  <si>
    <t xml:space="preserve">A team scores ~4.76 kills per round it WINS and ~1.82 per round it LOSES. A player's KPR was earned at his team's historical round share; tonight he plays at a different one. Adj kills = kills × (a·s + b·(1−s)) ÷ (a·s_hist + b·(1−s_hist)).</t>
  </si>
  <si>
    <t xml:space="preserve">s (tonight, per map) comes from HLTV's conditional margins: if A wins the map, B takes the average of A's rounds-lost-in-wins and B's rounds-won-in-losses on that map, and the reverse if B wins, weighted by Thunderpick's Map k Winner odds. Matches shows the result as HLTV rounds, HLTV A margin and HLTV A share per map. s_hist is each team's round share over HLTV's 3-month sample (HLTV_Teams tab). DIFF_WEIGHT on Config scales it; 0 turns it off.</t>
  </si>
  <si>
    <t xml:space="preserve">It is PAPER: base and adjusted projections are both logged, and Prereg_Differential_2026-10-03 registered how they will be scored before the first match. On the first slate it moved projections toward the PrizePicks lines (MAE 1.72 → 1.52) and toward Thunderpick's own kill ladders (1.72 → 1.45) — better calibrated, which is not the same as an edge.</t>
  </si>
  <si>
    <t xml:space="preserve">READ THIS BEFORE TRUSTING A NUMBER</t>
  </si>
  <si>
    <t xml:space="preserve">The Thunderpick per-map rounds total is the default because it is the market's number, not because it forecasts well. In this project's record the posted per-map total is 0-for-3 forward and ran ~16% short of realised on slate 33. If you have a view on a stomp or an overtime map, the Rounds cells are where it goes.</t>
  </si>
  <si>
    <t xml:space="preserve">Round differential — who wins the rounds — is the largest effect in the record (+34 points over-rate gap). The base projection ignores it; the adj columns are the first attempt at a pre-game handle and are not yet tested.</t>
  </si>
  <si>
    <t xml:space="preserve">Per-map samples are small (3–9 maps). Shrinkage is why a 3-map Nuke at 0.95 does not become the projection. Model side and P(over) are PAPER columns: an ordering, not an edge, until the Log says otherwise.</t>
  </si>
  <si>
    <t xml:space="preserve">Map Picks shares sum to ~100% across maps; they are PickFinder's likelihood for a map appearing, not the veto. The decider and map order are only known after veto — confirm Map 1 / Map 2 before lock.</t>
  </si>
  <si>
    <t xml:space="preserve">Data_Checks lists every integrity identity that was run on this slate's captures and anything that failed.</t>
  </si>
  <si>
    <t xml:space="preserve">REFRESHING</t>
  </si>
  <si>
    <t xml:space="preserve">Each slate is rebuilt from fresh captures and imported over this file (File → Import → Replace spreadsheet), so the link stays the same. Your shaded edits are per slate and are replaced on the next import.</t>
  </si>
  <si>
    <t xml:space="preserve">Match Intel — 2026-10-25</t>
  </si>
  <si>
    <t xml:space="preserve">Recent form, margins, ranks, pistols, map pools and recent vetoes per match. Windows: HLTV 3 months to the day before the slate; vlr last 10 series. Bucket probabilities are the frozen v2 model (PAPER, not a pick). Margins are rounds: + won by, − lost by.</t>
  </si>
  <si>
    <t xml:space="preserve">CS2 · FUT vs TL   |   08:00 UTC   |   Bo3   |   Win: FUT 68% – TL 32%   |   2-0 39% · 2-1 30% · 1-2 17% · 0-2 15%</t>
  </si>
  <si>
    <t xml:space="preserve">FUT Esports (FUT)</t>
  </si>
  <si>
    <t xml:space="preserve">Liquid (TL)</t>
  </si>
  <si>
    <t xml:space="preserve">Rank</t>
  </si>
  <si>
    <t xml:space="preserve">HLTV: #10 · VRS: #10</t>
  </si>
  <si>
    <t xml:space="preserve">HLTV: #27 · VRS: #21</t>
  </si>
  <si>
    <t xml:space="preserve">Last 10 maps (newest first)</t>
  </si>
  <si>
    <t xml:space="preserve">6-4   W W L L W W W W L L</t>
  </si>
  <si>
    <t xml:space="preserve">3-7   W W L L L L L L L W</t>
  </si>
  <si>
    <t xml:space="preserve">Last 10 maps, avg margin</t>
  </si>
  <si>
    <t xml:space="preserve">+2.2</t>
  </si>
  <si>
    <t xml:space="preserve">-2.0</t>
  </si>
  <si>
    <t xml:space="preserve">3 months: maps W-L</t>
  </si>
  <si>
    <t xml:space="preserve">16-13 (55%)</t>
  </si>
  <si>
    <t xml:space="preserve">41-26 (61%)</t>
  </si>
  <si>
    <t xml:space="preserve">Avg margin in wins / losses</t>
  </si>
  <si>
    <t xml:space="preserve">+5.0 / -4.1</t>
  </si>
  <si>
    <t xml:space="preserve">+5.8 / -5.3</t>
  </si>
  <si>
    <t xml:space="preserve">Stomps for / against (8+)</t>
  </si>
  <si>
    <t xml:space="preserve">2 / 1</t>
  </si>
  <si>
    <t xml:space="preserve">14 / 4</t>
  </si>
  <si>
    <t xml:space="preserve">Pistols (3 months)</t>
  </si>
  <si>
    <t xml:space="preserve">not captured</t>
  </si>
  <si>
    <t xml:space="preserve">Kill share (last 6 series, all maps)</t>
  </si>
  <si>
    <t xml:space="preserve">6 series · 13 maps · team 69.1 kills/map
Krabeni 23.5% (16.2/map)
dem0n 23.2% (16.0/map)
xfl0ud 17.3% (11.9/map)
dziugss 16.3% (11.2/map)
cmtry 12.2% (12.2/map)
SunPayus 7.6% (17.0/map) (sub)</t>
  </si>
  <si>
    <t xml:space="preserve">6 series · 15 maps · team 74.3 kills/map
EliGE 23.7% (17.6/map)
Jorko 20.7% (15.4/map)
NAF 20.1% (14.9/map)
malbsMd 18.5% (13.7/map)
JT 17.0% (12.7/map)</t>
  </si>
  <si>
    <t xml:space="preserve">Last 5 series</t>
  </si>
  <si>
    <t xml:space="preserve">2 - 0  FUT vs TYLOO
2 - 0  FUT vs TYLOO
0 - 2  FUT vs Vitality
2 - 0  FUT vs Inner Circle
2 - 1  FUT vs Lynn Vision</t>
  </si>
  <si>
    <t xml:space="preserve">1 - 2  MOUZ vs Liquid
2 - 1  Liquid vs MOUZ
0 - 2  Liquid vs magic
0 - 2  Liquid vs fnatic
1 - 2  Liquid vs Ninjas in Pyjamas</t>
  </si>
  <si>
    <t xml:space="preserve">Recent vetoes (last 5)</t>
  </si>
  <si>
    <t xml:space="preserve">First ban: Inferno×4, Dust2×1   First pick: Ancient×2, Anubis×2
24th of Octo  FUT vs TYLOO:  opp ban Dust2 · us ban Inferno · opp pick Nuke · us pick Ancient · us ban Cache · opp ban Anubis · left Mirage
24th of Octo  FUT vs TYLOO:  opp ban Dust2 · us ban Inferno · opp pick Nuke · us pick Ancient · us ban Cache · opp ban Anubis · left Mirage
31st of Augu  FUT vs Vitality:  us ban Inferno · opp ban Ancient · us pick Anubis · opp pick Dust2 · us ban Nuke · opp ban Mirage · left Cache
30th of Augu  FUT vs Inner Circle:  us ban Dust2 · opp ban Ancient · us pick Mirage · opp pick Nuke · us ban Cache · opp ban Inferno · left Anubis
29th of Augu  FUT vs Lynn Vision:  opp ban Mirage · us ban Inferno · opp pick Dust2 · us pick Anubis · opp ban Cache · us ban Nuke · left Ancient</t>
  </si>
  <si>
    <t xml:space="preserve">First ban: Ancient×3, Dust2×2   First pick: Inferno×3, Anubis×1
24th of Octo  MOUZ vs Liquid:  opp ban Anubis · us ban Dust2 · opp pick Ancient · us pick Inferno · us ban Nuke · opp ban Cache · left Mirage
24th of Octo  Liquid vs MOUZ:  opp ban Anubis · us ban Dust2 · opp pick Ancient · us pick Inferno · us ban Nuke · opp ban Cache · left Mirage
20th of Octo  Liquid vs magic:  us ban Ancient · opp ban Nuke · us pick Anubis · opp pick Dust2 · opp ban Cache · us ban Inferno · left Mirage
19th of Octo  Liquid vs fnatic:  us ban Ancient · opp ban Nuke · us pick Inferno · opp pick Cache · opp ban Mirage · us ban Dust2 · left Anubis
16th of Octo  Liquid vs Ninjas in Pyjamas:  us ban Ancient · opp ban Anubis · us pick Mirage · opp pick Nuke · us ban Dust2 · opp ban Inferno · left Cache</t>
  </si>
  <si>
    <t xml:space="preserve">Map</t>
  </si>
  <si>
    <t xml:space="preserve">PF pick %</t>
  </si>
  <si>
    <t xml:space="preserve">A maps</t>
  </si>
  <si>
    <t xml:space="preserve">A W-L</t>
  </si>
  <si>
    <t xml:space="preserve">A avg ±</t>
  </si>
  <si>
    <t xml:space="preserve">A CT %</t>
  </si>
  <si>
    <t xml:space="preserve">A T %</t>
  </si>
  <si>
    <t xml:space="preserve">A pistol</t>
  </si>
  <si>
    <t xml:space="preserve">B maps</t>
  </si>
  <si>
    <t xml:space="preserve">B W-L</t>
  </si>
  <si>
    <t xml:space="preserve">B avg ±</t>
  </si>
  <si>
    <t xml:space="preserve">B CT %</t>
  </si>
  <si>
    <t xml:space="preserve">B T %</t>
  </si>
  <si>
    <t xml:space="preserve">B pistol</t>
  </si>
  <si>
    <t xml:space="preserve">A 8+ | A 3-7 | close/OT | B 3-7 | B 8+</t>
  </si>
  <si>
    <t xml:space="preserve">E rounds</t>
  </si>
  <si>
    <t xml:space="preserve">Nuke</t>
  </si>
  <si>
    <t xml:space="preserve">22%</t>
  </si>
  <si>
    <t xml:space="preserve">2-3</t>
  </si>
  <si>
    <t xml:space="preserve">-1.6</t>
  </si>
  <si>
    <t xml:space="preserve">45.9%</t>
  </si>
  <si>
    <t xml:space="preserve">46.7%</t>
  </si>
  <si>
    <t xml:space="preserve">6/10</t>
  </si>
  <si>
    <t xml:space="preserve">6-6</t>
  </si>
  <si>
    <t xml:space="preserve">+0.9</t>
  </si>
  <si>
    <t xml:space="preserve">57.1%</t>
  </si>
  <si>
    <t xml:space="preserve">47.5%</t>
  </si>
  <si>
    <t xml:space="preserve">12/24</t>
  </si>
  <si>
    <t xml:space="preserve">4% | 24% | 30% | 34% | 8%</t>
  </si>
  <si>
    <t xml:space="preserve">22.5</t>
  </si>
  <si>
    <t xml:space="preserve">Anubis</t>
  </si>
  <si>
    <t xml:space="preserve">21%</t>
  </si>
  <si>
    <t xml:space="preserve">2-2</t>
  </si>
  <si>
    <t xml:space="preserve">+1.8</t>
  </si>
  <si>
    <t xml:space="preserve">46.2%</t>
  </si>
  <si>
    <t xml:space="preserve">60.9%</t>
  </si>
  <si>
    <t xml:space="preserve">5/8</t>
  </si>
  <si>
    <t xml:space="preserve">8-4</t>
  </si>
  <si>
    <t xml:space="preserve">+2.9</t>
  </si>
  <si>
    <t xml:space="preserve">58.4%</t>
  </si>
  <si>
    <t xml:space="preserve">55.7%</t>
  </si>
  <si>
    <t xml:space="preserve">14/24</t>
  </si>
  <si>
    <t xml:space="preserve">4% | 23% | 30% | 34% | 9%</t>
  </si>
  <si>
    <t xml:space="preserve">Dust2</t>
  </si>
  <si>
    <t xml:space="preserve">19%</t>
  </si>
  <si>
    <t xml:space="preserve">2-4</t>
  </si>
  <si>
    <t xml:space="preserve">-1.0</t>
  </si>
  <si>
    <t xml:space="preserve">42.7%</t>
  </si>
  <si>
    <t xml:space="preserve">53.3%</t>
  </si>
  <si>
    <t xml:space="preserve">5/12</t>
  </si>
  <si>
    <t xml:space="preserve">3-6</t>
  </si>
  <si>
    <t xml:space="preserve">-3.2</t>
  </si>
  <si>
    <t xml:space="preserve">41.7%</t>
  </si>
  <si>
    <t xml:space="preserve">42.0%</t>
  </si>
  <si>
    <t xml:space="preserve">11/18</t>
  </si>
  <si>
    <t xml:space="preserve">9% | 35% | 30% | 23% | 4%</t>
  </si>
  <si>
    <t xml:space="preserve">22.4</t>
  </si>
  <si>
    <t xml:space="preserve">Ancient</t>
  </si>
  <si>
    <t xml:space="preserve">5-4</t>
  </si>
  <si>
    <t xml:space="preserve">+1.9</t>
  </si>
  <si>
    <t xml:space="preserve">51.1%</t>
  </si>
  <si>
    <t xml:space="preserve">0-2</t>
  </si>
  <si>
    <t xml:space="preserve">-3.0</t>
  </si>
  <si>
    <t xml:space="preserve">38.5%</t>
  </si>
  <si>
    <t xml:space="preserve">50.0%</t>
  </si>
  <si>
    <t xml:space="preserve">3/4</t>
  </si>
  <si>
    <t xml:space="preserve">9% | 35% | 30% | 22% | 4%</t>
  </si>
  <si>
    <t xml:space="preserve">Cache</t>
  </si>
  <si>
    <t xml:space="preserve">1-0</t>
  </si>
  <si>
    <t xml:space="preserve">+3.0</t>
  </si>
  <si>
    <t xml:space="preserve">63.6%</t>
  </si>
  <si>
    <t xml:space="preserve">2/2</t>
  </si>
  <si>
    <t xml:space="preserve">8-5</t>
  </si>
  <si>
    <t xml:space="preserve">+1.4</t>
  </si>
  <si>
    <t xml:space="preserve">50.7%</t>
  </si>
  <si>
    <t xml:space="preserve">55.6%</t>
  </si>
  <si>
    <t xml:space="preserve">15/26</t>
  </si>
  <si>
    <t xml:space="preserve">5% | 26% | 30% | 31% | 7%</t>
  </si>
  <si>
    <t xml:space="preserve">Inferno</t>
  </si>
  <si>
    <t xml:space="preserve">7-1</t>
  </si>
  <si>
    <t xml:space="preserve">+4.5</t>
  </si>
  <si>
    <t xml:space="preserve">70.2%</t>
  </si>
  <si>
    <t xml:space="preserve">48.7%</t>
  </si>
  <si>
    <t xml:space="preserve">9/16</t>
  </si>
  <si>
    <t xml:space="preserve">3% | 20% | 29% | 37% | 10%</t>
  </si>
  <si>
    <t xml:space="preserve">22.3</t>
  </si>
  <si>
    <t xml:space="preserve">Mirage</t>
  </si>
  <si>
    <t xml:space="preserve">4-0</t>
  </si>
  <si>
    <t xml:space="preserve">+3.5</t>
  </si>
  <si>
    <t xml:space="preserve">71.7%</t>
  </si>
  <si>
    <t xml:space="preserve">43.2%</t>
  </si>
  <si>
    <t xml:space="preserve">6/8</t>
  </si>
  <si>
    <t xml:space="preserve">9-2</t>
  </si>
  <si>
    <t xml:space="preserve">+3.1</t>
  </si>
  <si>
    <t xml:space="preserve">56.3%</t>
  </si>
  <si>
    <t xml:space="preserve">57.5%</t>
  </si>
  <si>
    <t xml:space="preserve">17/22</t>
  </si>
  <si>
    <t xml:space="preserve">5% | 26% | 30% | 32% | 7%</t>
  </si>
  <si>
    <t xml:space="preserve">CS2 · TS vs TYLOO   |   08:00 UTC   |   Bo3   |   Win: TS 87% – TYLOO 13%   |   2-0 59% · 2-1 28% · 1-2 5% · 0-2 8%</t>
  </si>
  <si>
    <t xml:space="preserve">Spirit (TS)</t>
  </si>
  <si>
    <t xml:space="preserve">TYLOO (TYLOO)</t>
  </si>
  <si>
    <t xml:space="preserve">HLTV: #1 · VRS: #4</t>
  </si>
  <si>
    <t xml:space="preserve">HLTV: #35 · VRS: #61</t>
  </si>
  <si>
    <t xml:space="preserve">4-6   L L W L L L W L W W</t>
  </si>
  <si>
    <t xml:space="preserve">2-8   L L L L W L L L L W</t>
  </si>
  <si>
    <t xml:space="preserve">-1.2</t>
  </si>
  <si>
    <t xml:space="preserve">-2.9</t>
  </si>
  <si>
    <t xml:space="preserve">41-22 (65%)</t>
  </si>
  <si>
    <t xml:space="preserve">16-16 (50%)</t>
  </si>
  <si>
    <t xml:space="preserve">+5.5 / -4.6</t>
  </si>
  <si>
    <t xml:space="preserve">+7.2 / -4.9</t>
  </si>
  <si>
    <t xml:space="preserve">10 / 5</t>
  </si>
  <si>
    <t xml:space="preserve">7 / 3</t>
  </si>
  <si>
    <t xml:space="preserve">6 series · 15 maps · team 71.7 kills/map
donk 23.0% (16.5/map)
sh1ro 21.0% (15.1/map)
magixx 19.8% (14.2/map)
tN1R 18.5% (13.3/map)
zont1x 17.7% (12.7/map)</t>
  </si>
  <si>
    <t xml:space="preserve">6 series · 14 maps · team 61.5 kills/map
JamYoung 21.8% (13.4/map)
Moseyuh 21.0% (12.9/map)
Jee 20.9% (12.9/map)
Zero 19.7% (12.1/map)
Mercury 16.5% (10.1/map)</t>
  </si>
  <si>
    <t xml:space="preserve">1 - 2  Spirit vs BETBOOM
1 - 2  Spirit vs BETBOOM
0 - 2  Spirit vs Aurora
1 - 2  Spirit vs MOUZ
2 - 0  Spirit vs Falcons</t>
  </si>
  <si>
    <t xml:space="preserve">2 - 0  FUT vs TYLOO
0 - 2  TYLOO vs FUT
1 - 2  TYLOO vs M80
0 - 2  TYLOO vs 9z
0 - 2  TYLOO vs Falcons</t>
  </si>
  <si>
    <t xml:space="preserve">First ban: Inferno×5   First pick: Ancient×2, Mirage×2
24th of Octo  Spirit vs BETBOOM:  opp ban Dust2 · us ban Inferno · opp pick Anubis · us pick Ancient · us ban Nuke · opp ban Cache · left Mirage
24th of Octo  Spirit vs BETBOOM:  opp ban Dust2 · us ban Inferno · opp pick Anubis · us pick Ancient · us ban Nuke · opp ban Cache · left Mirage
11th of Octo  Spirit vs Aurora:  us ban Inferno · opp ban Ancient · us pick Mirage · opp pick Anubis · us ban Cache · opp ban Dust2 · left Nuke
10th of Octo  Spirit vs MOUZ:  us ban Inferno · opp ban Anubis · us pick Dust2 · opp pick Mirage · us ban Cache · opp ban Ancient · left Nuke
9th of Octob  Spirit vs Falcons:  us ban Inferno · opp ban Cache · us pick Mirage · opp pick Anubis · us ban Nuke · opp ban Ancient · left Dust2</t>
  </si>
  <si>
    <t xml:space="preserve">First ban: Dust2×5   First pick: Mirage×3, Nuke×2
24th of Octo  FUT vs TYLOO:  us ban Dust2 · opp ban Inferno · us pick Nuke · opp pick Ancient · opp ban Cache · us ban Anubis · left Mirage
24th of Octo  TYLOO vs FUT:  us ban Dust2 · opp ban Inferno · us pick Nuke · opp pick Ancient · opp ban Cache · us ban Anubis · left Mirage
5th of Octob  TYLOO vs M80:  us ban Dust2 · opp ban Nuke · us pick Mirage · opp pick Cache · us ban Ancient · opp ban Inferno · left Anubis
4th of Octob  TYLOO vs 9z:  opp ban Anubis · us ban Dust2 · opp pick Nuke · us pick Mirage · opp ban Ancient · us ban Cache · left Inferno
3rd of Octob  TYLOO vs Falcons:  us ban Dust2 · opp ban Cache · us pick Mirage · opp pick Anubis · us ban Ancient · opp ban Inferno · left Nuke</t>
  </si>
  <si>
    <t xml:space="preserve">30%</t>
  </si>
  <si>
    <t xml:space="preserve">6-7</t>
  </si>
  <si>
    <t xml:space="preserve">+0.8</t>
  </si>
  <si>
    <t xml:space="preserve">57.4%</t>
  </si>
  <si>
    <t xml:space="preserve">13/26</t>
  </si>
  <si>
    <t xml:space="preserve">6-3</t>
  </si>
  <si>
    <t xml:space="preserve">+2.7</t>
  </si>
  <si>
    <t xml:space="preserve">63.5%</t>
  </si>
  <si>
    <t xml:space="preserve">50.5%</t>
  </si>
  <si>
    <t xml:space="preserve">8/18</t>
  </si>
  <si>
    <t xml:space="preserve">5% | 24% | 30% | 33% | 8%</t>
  </si>
  <si>
    <t xml:space="preserve">23%</t>
  </si>
  <si>
    <t xml:space="preserve">8-2</t>
  </si>
  <si>
    <t xml:space="preserve">+2.8</t>
  </si>
  <si>
    <t xml:space="preserve">54.9%</t>
  </si>
  <si>
    <t xml:space="preserve">9/20</t>
  </si>
  <si>
    <t xml:space="preserve">4-3</t>
  </si>
  <si>
    <t xml:space="preserve">60.7%</t>
  </si>
  <si>
    <t xml:space="preserve">44.9%</t>
  </si>
  <si>
    <t xml:space="preserve">8/14</t>
  </si>
  <si>
    <t xml:space="preserve">8% | 33% | 30% | 24% | 5%</t>
  </si>
  <si>
    <t xml:space="preserve">16%</t>
  </si>
  <si>
    <t xml:space="preserve">4-4</t>
  </si>
  <si>
    <t xml:space="preserve">+0.2</t>
  </si>
  <si>
    <t xml:space="preserve">51.8%</t>
  </si>
  <si>
    <t xml:space="preserve">49.4%</t>
  </si>
  <si>
    <t xml:space="preserve">8/16</t>
  </si>
  <si>
    <t xml:space="preserve">3-1</t>
  </si>
  <si>
    <t xml:space="preserve">+4.2</t>
  </si>
  <si>
    <t xml:space="preserve">75.6%</t>
  </si>
  <si>
    <t xml:space="preserve">44.1%</t>
  </si>
  <si>
    <t xml:space="preserve">+2.0</t>
  </si>
  <si>
    <t xml:space="preserve">53.2%</t>
  </si>
  <si>
    <t xml:space="preserve">11/20</t>
  </si>
  <si>
    <t xml:space="preserve">-5.5</t>
  </si>
  <si>
    <t xml:space="preserve">47.1%</t>
  </si>
  <si>
    <t xml:space="preserve">29.2%</t>
  </si>
  <si>
    <t xml:space="preserve">2/4</t>
  </si>
  <si>
    <t xml:space="preserve">10% | 37% | 29% | 20% | 3%</t>
  </si>
  <si>
    <t xml:space="preserve">11-4</t>
  </si>
  <si>
    <t xml:space="preserve">+3.2</t>
  </si>
  <si>
    <t xml:space="preserve">58.8%</t>
  </si>
  <si>
    <t xml:space="preserve">56.9%</t>
  </si>
  <si>
    <t xml:space="preserve">13/30</t>
  </si>
  <si>
    <t xml:space="preserve">11% | 38% | 29% | 19% | 3%</t>
  </si>
  <si>
    <t xml:space="preserve">3-3</t>
  </si>
  <si>
    <t xml:space="preserve">+1.5</t>
  </si>
  <si>
    <t xml:space="preserve">60.3%</t>
  </si>
  <si>
    <t xml:space="preserve">46.6%</t>
  </si>
  <si>
    <t xml:space="preserve">7/12</t>
  </si>
  <si>
    <t xml:space="preserve">+2.1</t>
  </si>
  <si>
    <t xml:space="preserve">53.8%</t>
  </si>
  <si>
    <t xml:space="preserve">7/14</t>
  </si>
  <si>
    <t xml:space="preserve">0-4</t>
  </si>
  <si>
    <t xml:space="preserve">-3.8</t>
  </si>
  <si>
    <t xml:space="preserve">52.2%</t>
  </si>
  <si>
    <t xml:space="preserve">30.2%</t>
  </si>
  <si>
    <t xml:space="preserve">2/8</t>
  </si>
  <si>
    <t xml:space="preserve">CS2 [NO MARKET] · ACE vs UNiTY   |   09:00 UTC   |   Bo3</t>
  </si>
  <si>
    <t xml:space="preserve">ACE (ACE)</t>
  </si>
  <si>
    <t xml:space="preserve">UNiTY (UNiTY)</t>
  </si>
  <si>
    <t xml:space="preserve">HLTV: #131 · VRS: #73</t>
  </si>
  <si>
    <t xml:space="preserve">HLTV: #86 · VRS: #60</t>
  </si>
  <si>
    <t xml:space="preserve">6-4   W W W W L L L L W W</t>
  </si>
  <si>
    <t xml:space="preserve">7-3   W L W W L W W L W W</t>
  </si>
  <si>
    <t xml:space="preserve">+1.1</t>
  </si>
  <si>
    <t xml:space="preserve">24-26 (48%)</t>
  </si>
  <si>
    <t xml:space="preserve">63-40 (61%)</t>
  </si>
  <si>
    <t xml:space="preserve">+6.0 / -6.4</t>
  </si>
  <si>
    <t xml:space="preserve">+5.3 / -4.9</t>
  </si>
  <si>
    <t xml:space="preserve">8 / 9</t>
  </si>
  <si>
    <t xml:space="preserve">18 / 4</t>
  </si>
  <si>
    <t xml:space="preserve">45.1% (93-113) · R2 conv 81.7% · R2 break 20.4%</t>
  </si>
  <si>
    <t xml:space="preserve">5 series · 11 maps · team 70.7 kills/map
SHiPZ 25.2% (17.8/map)
Skrimo 19.9% (14.1/map)
REDSTAR 18.9% (13.4/map)
SPELLAN 16.6% (11.7/map)
h4rn 12.9% (14.3/map)
AwaykeN 6.6% (12.8/map) (sub)</t>
  </si>
  <si>
    <t xml:space="preserve">5 series · 13 maps · team 69.9 kills/map
KWERTZZ 23.8% (16.6/map)
M1key 22.1% (15.5/map)
Sn0w 18.9% (13.2/map)
Dytor 18.8% (13.2/map)
2high 16.4% (11.5/map)</t>
  </si>
  <si>
    <t xml:space="preserve">2 - 0  Acend vs FORZE Reload
2 - 0  Acend vs ex-6666
0 - 2  Acend vs Nexus
0 - 2  Acend vs HOTU
2 - 1  Acend vs ex-Zero Tenacity</t>
  </si>
  <si>
    <t xml:space="preserve">2 - 1  UNiTY vs Betclic
2 - 1  UNiTY vs FOKUS
2 - 1  UNiTY vs 9INE
2 - 0  UNiTY vs mellren
2 - 0  UNiTY vs ex-Zero Tenacity</t>
  </si>
  <si>
    <t xml:space="preserve">First ban: Nuke×4, Anubis×1   First pick: Inferno×2, Ancient×1
24th of Octo  Acend vs FORZE Reload:  us ban Nuke · opp ban Inferno · us pick Ancient · opp pick Cache · us ban Anubis · opp ban Mirage · left Dust2
22nd of Octo  Acend vs ex-6666:  opp ban Cache · us ban Nuke · opp pick Dust2 · us pick Inferno · opp ban Mirage · us ban Anubis · left Ancient
9th of Octob  Acend vs Nexus:  opp ban Inferno · us ban Anubis · opp pick Cache · us pick Dust2 · opp ban Nuke · us ban Ancient · left Mirage
9th of Octob  Acend vs HOTU:  opp ban Inferno · us ban Nuke · opp pick Cache · us pick Mirage · us ban Anubis · opp ban Ancient · left Dust2
8th of Octob  Acend vs ex-Zero Tenacity:  opp ban Ancient · us ban Nuke · opp pick Cache · us pick Inferno · opp ban Mirage · us ban Anubis · left Dust2</t>
  </si>
  <si>
    <t xml:space="preserve">First ban: Nuke×5   First pick: Mirage×3, Ancient×1
22nd of Octo  UNiTY vs Betclic:  us ban Nuke · opp ban Inferno · us pick Ancient · opp pick Cache · opp ban Mirage · us ban Anubis · left Dust2
21st of Octo  UNiTY vs FOKUS:  us ban Nuke · opp ban Inferno · us pick Mirage · opp pick Cache · opp ban Ancient · us ban Anubis · left Dust2
19th of Octo  UNiTY vs 9INE:  us ban Nuke · opp ban Inferno · us pick Mirage · opp pick Cache · opp ban Dust2 · us ban Anubis · left Ancient
18th of Octo  UNiTY vs mellren:  opp ban Cache · us ban Nuke · opp pick Mirage · us pick Inferno · opp ban Dust2 · us ban Anubis · left Ancient
16th of Octo  UNiTY vs ex-Zero Tenacity:  us ban Nuke · opp ban Ancient · us pick Mirage · opp pick Cache · us ban Anubis · opp ban Inferno · left Dust2</t>
  </si>
  <si>
    <t xml:space="preserve">20%</t>
  </si>
  <si>
    <t xml:space="preserve">9-4</t>
  </si>
  <si>
    <t xml:space="preserve">56.0%</t>
  </si>
  <si>
    <t xml:space="preserve">12/26</t>
  </si>
  <si>
    <t xml:space="preserve">11-6</t>
  </si>
  <si>
    <t xml:space="preserve">54.6%</t>
  </si>
  <si>
    <t xml:space="preserve">54.1%</t>
  </si>
  <si>
    <t xml:space="preserve">14/34</t>
  </si>
  <si>
    <t xml:space="preserve">6% | 28% | 30% | 29% | 6%</t>
  </si>
  <si>
    <t xml:space="preserve">5-2</t>
  </si>
  <si>
    <t xml:space="preserve">66.2%</t>
  </si>
  <si>
    <t xml:space="preserve">41.6%</t>
  </si>
  <si>
    <t xml:space="preserve">15-6</t>
  </si>
  <si>
    <t xml:space="preserve">+2.6</t>
  </si>
  <si>
    <t xml:space="preserve">63.2%</t>
  </si>
  <si>
    <t xml:space="preserve">48.3%</t>
  </si>
  <si>
    <t xml:space="preserve">19/42</t>
  </si>
  <si>
    <t xml:space="preserve">5% | 23% | 30% | 33% | 9%</t>
  </si>
  <si>
    <t xml:space="preserve">5-6</t>
  </si>
  <si>
    <t xml:space="preserve">-0.3</t>
  </si>
  <si>
    <t xml:space="preserve">52.5%</t>
  </si>
  <si>
    <t xml:space="preserve">46.0%</t>
  </si>
  <si>
    <t xml:space="preserve">8/22</t>
  </si>
  <si>
    <t xml:space="preserve">10-7</t>
  </si>
  <si>
    <t xml:space="preserve">52.8%</t>
  </si>
  <si>
    <t xml:space="preserve">54.8%</t>
  </si>
  <si>
    <t xml:space="preserve">18/34</t>
  </si>
  <si>
    <t xml:space="preserve">4% | 23% | 30% | 34% | 8%</t>
  </si>
  <si>
    <t xml:space="preserve">1-3</t>
  </si>
  <si>
    <t xml:space="preserve">43.6%</t>
  </si>
  <si>
    <t xml:space="preserve">37.5%</t>
  </si>
  <si>
    <t xml:space="preserve">3/8</t>
  </si>
  <si>
    <t xml:space="preserve">+2.4</t>
  </si>
  <si>
    <t xml:space="preserve">52.4%</t>
  </si>
  <si>
    <t xml:space="preserve">57.0%</t>
  </si>
  <si>
    <t xml:space="preserve">6/18</t>
  </si>
  <si>
    <t xml:space="preserve">3% | 19% | 28% | 39% | 11%</t>
  </si>
  <si>
    <t xml:space="preserve">2-7</t>
  </si>
  <si>
    <t xml:space="preserve">46.3%</t>
  </si>
  <si>
    <t xml:space="preserve">35.3%</t>
  </si>
  <si>
    <t xml:space="preserve">7/18</t>
  </si>
  <si>
    <t xml:space="preserve">7-8</t>
  </si>
  <si>
    <t xml:space="preserve">47.3%</t>
  </si>
  <si>
    <t xml:space="preserve">48.1%</t>
  </si>
  <si>
    <t xml:space="preserve">8/30</t>
  </si>
  <si>
    <t xml:space="preserve">-1.8</t>
  </si>
  <si>
    <t xml:space="preserve">51.7%</t>
  </si>
  <si>
    <t xml:space="preserve">40.3%</t>
  </si>
  <si>
    <t xml:space="preserve">14-7</t>
  </si>
  <si>
    <t xml:space="preserve">58.2%</t>
  </si>
  <si>
    <t xml:space="preserve">49.6%</t>
  </si>
  <si>
    <t xml:space="preserve">27/42</t>
  </si>
  <si>
    <t xml:space="preserve">4% | 20% | 29% | 37% | 10%</t>
  </si>
  <si>
    <t xml:space="preserve">0-3</t>
  </si>
  <si>
    <t xml:space="preserve">-6.0</t>
  </si>
  <si>
    <t xml:space="preserve">33.3%</t>
  </si>
  <si>
    <t xml:space="preserve">1/6</t>
  </si>
  <si>
    <t xml:space="preserve">CS2 · BB vs NEMI   |   11:00 UTC   |   Bo3   |   Win: BB 61% – NEMI 39%   |   2-0 32% · 2-1 28% · 1-2 20% · 0-2 19%</t>
  </si>
  <si>
    <t xml:space="preserve">BB Team (BB)</t>
  </si>
  <si>
    <t xml:space="preserve">Nemiga (NEMI)</t>
  </si>
  <si>
    <t xml:space="preserve">HLTV: #9 · VRS: #7</t>
  </si>
  <si>
    <t xml:space="preserve">HLTV: #24 · VRS: #17</t>
  </si>
  <si>
    <t xml:space="preserve">6-4   W W L L L W W L W W</t>
  </si>
  <si>
    <t xml:space="preserve">6-4   W W L W L W W L L W</t>
  </si>
  <si>
    <t xml:space="preserve">+0.6</t>
  </si>
  <si>
    <t xml:space="preserve">20-20 (50%)</t>
  </si>
  <si>
    <t xml:space="preserve">80-34 (70%)</t>
  </si>
  <si>
    <t xml:space="preserve">+4.2 / -4.8</t>
  </si>
  <si>
    <t xml:space="preserve">+5.2 / -4.5</t>
  </si>
  <si>
    <t xml:space="preserve">2 / 4</t>
  </si>
  <si>
    <t xml:space="preserve">56.1% (128-100) · R2 conv 82.8% · R2 break 14.0%</t>
  </si>
  <si>
    <t xml:space="preserve">6 series · 20 maps · team 79.1 kills/map
zorte 22.4% (17.7/map)
Magnojez 21.6% (17.1/map)
S1ren 20.5% (16.2/map)
d1Ledez 19.7% (15.6/map)
Boombl4 15.9% (12.6/map)</t>
  </si>
  <si>
    <t xml:space="preserve">5 series · 13 maps · team 84.0 kills/map
syph0 22.4% (18.8/map)
Xant3r 21.0% (17.6/map)
khaN 19.7% (16.5/map)
KaiR0N- 19.5% (16.4/map)
robo 17.4% (14.6/map)</t>
  </si>
  <si>
    <t xml:space="preserve">1 - 2  Spirit vs BETBOOM
2 - 1  BETBOOM vs Spirit
2 - 3  BETBOOM vs FURIA
2 - 1  BETBOOM vs Falcons
2 - 1  BETBOOM vs Legacy</t>
  </si>
  <si>
    <t xml:space="preserve">0 - 2  Legacy vs Nemiga
2 - 0  Nemiga vs Legacy
1 - 2  Nemiga vs Iberian Soul
1 - 0  Nemiga vs Gothic
2 - 0  Nemiga vs Lavked</t>
  </si>
  <si>
    <t xml:space="preserve">First ban: Inferno×3, Dust2×2   First pick: Anubis×3, Ancient×1
24th of Octo  Spirit vs BETBOOM:  us ban Dust2 · opp ban Inferno · us pick Anubis · opp pick Ancient · opp ban Nuke · us ban Cache · left Mirage
24th of Octo  BETBOOM vs Spirit:  us ban Dust2 · opp ban Inferno · us pick Anubis · opp pick Ancient · opp ban Nuke · us ban Cache · left Mirage
18th of Octo  BETBOOM vs FURIA:  opp ban Anubis · us ban Inferno · opp pick Dust2 · us pick Ancient · opp pick Nuke · us pick Mirage · left Cache
17th of Octo  BETBOOM vs Falcons:  us ban Inferno · opp ban Cache · us pick Anubis · opp pick Dust2 · us ban Ancient · opp ban Nuke · left Mirage
16th of Octo  BETBOOM vs Legacy:  us ban Inferno · opp ban Anubis · us pick Nuke · opp pick Dust2 · us ban Cache · opp ban Ancient · left Mirage</t>
  </si>
  <si>
    <t xml:space="preserve">First ban: Inferno×5   First pick: Ancient×2, Cache×2
24th of Octo  Legacy vs Nemiga:  us ban Inferno · opp ban Anubis · us pick Ancient · opp pick Dust2 · opp ban Cache · us ban Mirage · left Nuke
24th of Octo  Nemiga vs Legacy:  us ban Inferno · opp ban Anubis · us pick Ancient · opp pick Dust2 · opp ban Cache · us ban Mirage · left Nuke
10th of Octo  Nemiga vs Iberian Soul:  us ban Inferno · opp ban Dust2 · us pick Cache · opp pick Nuke · us ban Ancient · opp ban Anubis · left Mirage
9th of Octob  Nemiga vs Gothic:  opp ban Nuke · us ban Inferno · opp pick Mirage · us pick Cache · opp ban Anubis · us ban Dust2 · left Ancient
8th of Octob  Nemiga vs Lavked:  us ban Inferno · opp ban Cache · us pick Anubis · opp pick Dust2 · us ban Nuke · opp ban Ancient · left Mirage</t>
  </si>
  <si>
    <t xml:space="preserve">+0.5</t>
  </si>
  <si>
    <t xml:space="preserve">58.7%</t>
  </si>
  <si>
    <t xml:space="preserve">43.1%</t>
  </si>
  <si>
    <t xml:space="preserve">17-9</t>
  </si>
  <si>
    <t xml:space="preserve">+1.7</t>
  </si>
  <si>
    <t xml:space="preserve">50.2%</t>
  </si>
  <si>
    <t xml:space="preserve">27/52</t>
  </si>
  <si>
    <t xml:space="preserve">6-5</t>
  </si>
  <si>
    <t xml:space="preserve">-0.1</t>
  </si>
  <si>
    <t xml:space="preserve">58.6%</t>
  </si>
  <si>
    <t xml:space="preserve">41.5%</t>
  </si>
  <si>
    <t xml:space="preserve">10/22</t>
  </si>
  <si>
    <t xml:space="preserve">14-4</t>
  </si>
  <si>
    <t xml:space="preserve">+2.5</t>
  </si>
  <si>
    <t xml:space="preserve">64.2%</t>
  </si>
  <si>
    <t xml:space="preserve">22/36</t>
  </si>
  <si>
    <t xml:space="preserve">4% | 21% | 30% | 35% | 10%</t>
  </si>
  <si>
    <t xml:space="preserve">17%</t>
  </si>
  <si>
    <t xml:space="preserve">44.2%</t>
  </si>
  <si>
    <t xml:space="preserve">14-8</t>
  </si>
  <si>
    <t xml:space="preserve">24/44</t>
  </si>
  <si>
    <t xml:space="preserve">3% | 18% | 28% | 40% | 11%</t>
  </si>
  <si>
    <t xml:space="preserve">22.2</t>
  </si>
  <si>
    <t xml:space="preserve">4-5</t>
  </si>
  <si>
    <t xml:space="preserve">51.5%</t>
  </si>
  <si>
    <t xml:space="preserve">9/18</t>
  </si>
  <si>
    <t xml:space="preserve">12-3</t>
  </si>
  <si>
    <t xml:space="preserve">+3.7</t>
  </si>
  <si>
    <t xml:space="preserve">61.9%</t>
  </si>
  <si>
    <t xml:space="preserve">53.6%</t>
  </si>
  <si>
    <t xml:space="preserve">21/30</t>
  </si>
  <si>
    <t xml:space="preserve">3% | 18% | 28% | 39% | 11%</t>
  </si>
  <si>
    <t xml:space="preserve">-0.5</t>
  </si>
  <si>
    <t xml:space="preserve">51.9%</t>
  </si>
  <si>
    <t xml:space="preserve">45.7%</t>
  </si>
  <si>
    <t xml:space="preserve">11-5</t>
  </si>
  <si>
    <t xml:space="preserve">59.5%</t>
  </si>
  <si>
    <t xml:space="preserve">51.6%</t>
  </si>
  <si>
    <t xml:space="preserve">14/32</t>
  </si>
  <si>
    <t xml:space="preserve">4% | 21% | 29% | 36% | 10%</t>
  </si>
  <si>
    <t xml:space="preserve">+6.0</t>
  </si>
  <si>
    <t xml:space="preserve">75.0%</t>
  </si>
  <si>
    <t xml:space="preserve">58.3%</t>
  </si>
  <si>
    <t xml:space="preserve">1/2</t>
  </si>
  <si>
    <t xml:space="preserve">4-2</t>
  </si>
  <si>
    <t xml:space="preserve">6/12</t>
  </si>
  <si>
    <t xml:space="preserve">59.3%</t>
  </si>
  <si>
    <t xml:space="preserve">48.6%</t>
  </si>
  <si>
    <t xml:space="preserve">19/32</t>
  </si>
  <si>
    <t xml:space="preserve">CS2 · VIT vs MGLZ   |   11:00 UTC   |   Bo3   |   Win: VIT 81% – MGLZ 19%   |   2-0 50% · 2-1 30% · 1-2 10% · 0-2 10%</t>
  </si>
  <si>
    <t xml:space="preserve">Vitality (VIT)</t>
  </si>
  <si>
    <t xml:space="preserve">MongolZ (MGLZ)</t>
  </si>
  <si>
    <t xml:space="preserve">HLTV: #2 · VRS: #1</t>
  </si>
  <si>
    <t xml:space="preserve">HLTV: #20 · VRS: #18</t>
  </si>
  <si>
    <t xml:space="preserve">9-1   W W W W W W W L W W</t>
  </si>
  <si>
    <t xml:space="preserve">8-2   W W L W W W W W L W</t>
  </si>
  <si>
    <t xml:space="preserve">+4.0</t>
  </si>
  <si>
    <t xml:space="preserve">40-16 (71%)</t>
  </si>
  <si>
    <t xml:space="preserve">21-14 (60%)</t>
  </si>
  <si>
    <t xml:space="preserve">+6.2 / -5.1</t>
  </si>
  <si>
    <t xml:space="preserve">+5.8 / -5.4</t>
  </si>
  <si>
    <t xml:space="preserve">15 / 3</t>
  </si>
  <si>
    <t xml:space="preserve">5 / 4</t>
  </si>
  <si>
    <t xml:space="preserve">6 series · 15 maps · team 72.1 kills/map
ZywOo 23.3% (16.8/map)
flameZ 22.8% (16.4/map)
ropz 20.8% (15.0/map)
mezii 17.1% (12.3/map)
apEX 11.4% (11.2/map)
jL 4.6% (12.5/map) (sub)</t>
  </si>
  <si>
    <t xml:space="preserve">6 series · 16 maps · team 73.8 kills/map
910 23.7% (17.5/map)
bLitz 19.5% (14.4/map)
nin9 19.2% (14.2/map)
Techno 18.9% (13.9/map)
cobrazera 18.7% (13.8/map)</t>
  </si>
  <si>
    <t xml:space="preserve">2 - 0  Vitality vs 9z
2 - 0  Vitality vs 9z
3 - 0  Vitality vs MOUZ
2 - 1  Vitality vs Aurora
2 - 0  Vitality vs PARIVISION</t>
  </si>
  <si>
    <t xml:space="preserve">1 - 2  Aurora vs The MongolZ
2 - 1  The MongolZ vs Aurora
3 - 0  The MongolZ vs PARIVISION
2 - 1  The MongolZ vs BIG
2 - 0  The MongolZ vs PRIVATE</t>
  </si>
  <si>
    <t xml:space="preserve">First ban: Ancient×5   First pick: Cache×4, Dust2×1
24th of Octo  Vitality vs 9z:  opp ban Anubis · us ban Ancient · opp pick Mirage · us pick Cache · us ban Nuke · opp ban Inferno · left Dust2
24th of Octo  Vitality vs 9z:  opp ban Anubis · us ban Ancient · opp pick Mirage · us pick Cache · us ban Nuke · opp ban Inferno · left Dust2
11th of Octo  Vitality vs MOUZ:  us ban Ancient · opp ban Anubis · us pick Cache · opp pick Inferno · us pick Dust2 · opp pick Mirage · left Nuke
10th of Octo  Vitality vs Aurora:  opp ban Dust2 · us ban Ancient · opp pick Anubis · us pick Cache · opp ban Inferno · us ban Nuke · left Mirage
9th of Octob  Vitality vs PARIVISION:  opp ban Nuke · us ban Ancient · opp pick Inferno · us pick Dust2 · opp ban Cache · us ban Mirage · left Anubis</t>
  </si>
  <si>
    <t xml:space="preserve">First ban: Anubis×5   First pick: Inferno×3, Mirage×2
24th of Octo  Aurora vs The MongolZ:  us ban Anubis · opp ban Ancient · us pick Inferno · opp pick Nuke · opp ban Mirage · us ban Cache · left Dust2
24th of Octo  The MongolZ vs Aurora:  us ban Anubis · opp ban Ancient · us pick Inferno · opp pick Nuke · opp ban Mirage · us ban Cache · left Dust2
22nd of Octo  The MongolZ vs PARIVISION:  opp ban Nuke · us ban Anubis · opp pick Ancient · us pick Mirage · opp pick Dust2 · us pick Inferno · left Cache
22nd of Octo  The MongolZ vs BIG:  opp ban Dust2 · us ban Anubis · opp pick Cache · us pick Inferno · us ban Nuke · opp ban Ancient · left Mirage
21st of Octo  The MongolZ vs PRIVATE:  us ban Anubis · opp ban Inferno · us pick Mirage · opp pick Ancient · opp ban Cache · us ban Nuke · left Dust2</t>
  </si>
  <si>
    <t xml:space="preserve">25%</t>
  </si>
  <si>
    <t xml:space="preserve">12-2</t>
  </si>
  <si>
    <t xml:space="preserve">+5.1</t>
  </si>
  <si>
    <t xml:space="preserve">65.9%</t>
  </si>
  <si>
    <t xml:space="preserve">18/28</t>
  </si>
  <si>
    <t xml:space="preserve">4-1</t>
  </si>
  <si>
    <t xml:space="preserve">+3.4</t>
  </si>
  <si>
    <t xml:space="preserve">55.3%</t>
  </si>
  <si>
    <t xml:space="preserve">8/10</t>
  </si>
  <si>
    <t xml:space="preserve">8-3</t>
  </si>
  <si>
    <t xml:space="preserve">59.1%</t>
  </si>
  <si>
    <t xml:space="preserve">52.7%</t>
  </si>
  <si>
    <t xml:space="preserve">9/22</t>
  </si>
  <si>
    <t xml:space="preserve">5-3</t>
  </si>
  <si>
    <t xml:space="preserve">+1.2</t>
  </si>
  <si>
    <t xml:space="preserve">54.2%</t>
  </si>
  <si>
    <t xml:space="preserve">7% | 32% | 30% | 25% | 5%</t>
  </si>
  <si>
    <t xml:space="preserve">+3.8</t>
  </si>
  <si>
    <t xml:space="preserve">72.7%</t>
  </si>
  <si>
    <t xml:space="preserve">5-5</t>
  </si>
  <si>
    <t xml:space="preserve">45.3%</t>
  </si>
  <si>
    <t xml:space="preserve">9% | 34% | 30% | 23% | 5%</t>
  </si>
  <si>
    <t xml:space="preserve">5-1</t>
  </si>
  <si>
    <t xml:space="preserve">61.1%</t>
  </si>
  <si>
    <t xml:space="preserve">4% | 22% | 30% | 36% | 9%</t>
  </si>
  <si>
    <t xml:space="preserve">6% | 29% | 30% | 28% | 6%</t>
  </si>
  <si>
    <t xml:space="preserve">8-1</t>
  </si>
  <si>
    <t xml:space="preserve">+4.7</t>
  </si>
  <si>
    <t xml:space="preserve">65.6%</t>
  </si>
  <si>
    <t xml:space="preserve">56.6%</t>
  </si>
  <si>
    <t xml:space="preserve">-7.0</t>
  </si>
  <si>
    <t xml:space="preserve">35.7%</t>
  </si>
  <si>
    <t xml:space="preserve">1/4</t>
  </si>
  <si>
    <t xml:space="preserve">15% | 44% | 26% | 14% | 2%</t>
  </si>
  <si>
    <t xml:space="preserve">21.9</t>
  </si>
  <si>
    <t xml:space="preserve">+0.0</t>
  </si>
  <si>
    <t xml:space="preserve">62.2%</t>
  </si>
  <si>
    <t xml:space="preserve">38.8%</t>
  </si>
  <si>
    <t xml:space="preserve">9/14</t>
  </si>
  <si>
    <t xml:space="preserve">67.3%</t>
  </si>
  <si>
    <t xml:space="preserve">39.0%</t>
  </si>
  <si>
    <t xml:space="preserve">7/8</t>
  </si>
  <si>
    <t xml:space="preserve">6% | 27% | 31% | 30% | 7%</t>
  </si>
  <si>
    <t xml:space="preserve">CS2 [NO MARKET] · ACE vs INOX   |   11:00 UTC   |   Bo3</t>
  </si>
  <si>
    <t xml:space="preserve">No HLTV intel captured for this match.</t>
  </si>
  <si>
    <t xml:space="preserve">CS2 [NO MARKET] · BAKS vs MZP   |   12:00 UTC   |   Bo3</t>
  </si>
  <si>
    <t xml:space="preserve">BAKS (BAKS)</t>
  </si>
  <si>
    <t xml:space="preserve">MZP (MZP)</t>
  </si>
  <si>
    <t xml:space="preserve">HLTV: #99 · VRS: #97</t>
  </si>
  <si>
    <t xml:space="preserve">HLTV: #59 · VRS: #67</t>
  </si>
  <si>
    <t xml:space="preserve">5-5   W W L L L W W W L L</t>
  </si>
  <si>
    <t xml:space="preserve">5-5   L L W W W W W L L L</t>
  </si>
  <si>
    <t xml:space="preserve">+1.0</t>
  </si>
  <si>
    <t xml:space="preserve">50-45 (53%)</t>
  </si>
  <si>
    <t xml:space="preserve">47-31 (60%)</t>
  </si>
  <si>
    <t xml:space="preserve">+5.4 / -5.5</t>
  </si>
  <si>
    <t xml:space="preserve">+5.0 / -4.8</t>
  </si>
  <si>
    <t xml:space="preserve">11 / 11</t>
  </si>
  <si>
    <t xml:space="preserve">8 / 3</t>
  </si>
  <si>
    <t xml:space="preserve">50.0% (95-95) · R2 conv 81.1% · R2 break 12.8%</t>
  </si>
  <si>
    <t xml:space="preserve">55.8% (87-69) · R2 conv 83.9% · R2 break 26.1%</t>
  </si>
  <si>
    <t xml:space="preserve">5 series · 14 maps · team 73.4 kills/map
Norwi 24.9% (18.3/map)
danistzz 21.9% (16.1/map)
whisper 18.1% (13.3/map)
turbo 17.5% (12.9/map)
glowiing 13.0% (12.2/map)
xdENiSZERA 4.6% (15.7/map) (sub)</t>
  </si>
  <si>
    <t xml:space="preserve">6 series · 13 maps · team 76.7 kills/map
Plopski 22.2% (17.0/map)
F1KU 21.3% (16.3/map)
MaiL09 20.2% (15.5/map)
forsyy 19.9% (15.2/map)
stanislaw 16.5% (12.7/map)</t>
  </si>
  <si>
    <t xml:space="preserve">2 - 1  BAKS vs Illyrians
1 - 2  BAKS vs BRUTE
2 - 0  BAKS vs Azuolas
1 - 2  BAKS vs LFO 10
1 - 0  BAKS vs mellren</t>
  </si>
  <si>
    <t xml:space="preserve">1 - 2  Metizport vs Sangal
2 - 0  Metizport vs GenOne
2 - 0  Metizport vs ex-RUSTEC
6 - 13  Metizport vs Younglings
1 - 2  Metizport vs K27</t>
  </si>
  <si>
    <t xml:space="preserve">First ban: Anubis×4   First pick: Cache×4
24th of Octo  BAKS vs Illyrians:  us ban Anubis · opp ban Nuke · us pick Cache · opp pick Dust2 · us ban Inferno · opp ban Mirage · left Ancient
23rd of Octo  BAKS vs BRUTE:  us ban Anubis · opp ban Ancient · us pick Cache · opp pick Inferno · us ban Dust2 · opp ban Mirage · left Nuke
22nd of Octo  BAKS vs Azuolas:  us ban Anubis · opp ban Dust2 · us pick Cache · opp pick Nuke · us ban Inferno · opp ban Ancient · left Mirage
21st of Octo  BAKS vs LFO 10:  opp ban Nuke · us ban Anubis · opp pick Mirage · us pick Cache · opp ban Dust2 · us ban Inferno · left Ancient</t>
  </si>
  <si>
    <t xml:space="preserve">First ban: Dust2×5   First pick: Nuke×4
22nd of Octo  Metizport vs Sangal:  opp ban Inferno · us ban Dust2 · opp pick Cache · us pick Nuke · us ban Anubis · opp ban Ancient · left Mirage
21st of Octo  Metizport vs GenOne:  opp ban Mirage · us ban Dust2 · opp pick Cache · us pick Nuke · us ban Anubis · opp ban Ancient · left Inferno
20th of Octo  Metizport vs ex-RUSTEC:  opp ban Inferno · us ban Dust2 · opp pick Anubis · us pick Nuke · us ban Mirage · opp ban Cache · left Ancient
13th of Octo  Metizport vs Younglings:  opp ban Nuke · opp ban Cache · us ban Dust2 · us ban Mirage · us ban Ancient · opp ban Inferno · left Anubis
7th of Octob  Metizport vs K27:  us ban Dust2 · opp ban Inferno · us pick Nuke · opp pick Mirage · opp ban Ancient · us ban Anubis · left Cache</t>
  </si>
  <si>
    <t xml:space="preserve">29%</t>
  </si>
  <si>
    <t xml:space="preserve">20-12</t>
  </si>
  <si>
    <t xml:space="preserve">+1.6</t>
  </si>
  <si>
    <t xml:space="preserve">30/64</t>
  </si>
  <si>
    <t xml:space="preserve">+0.4</t>
  </si>
  <si>
    <t xml:space="preserve">41.3%</t>
  </si>
  <si>
    <t xml:space="preserve">9% | 34% | 30% | 23% | 4%</t>
  </si>
  <si>
    <t xml:space="preserve">26%</t>
  </si>
  <si>
    <t xml:space="preserve">6-9</t>
  </si>
  <si>
    <t xml:space="preserve">-0.9</t>
  </si>
  <si>
    <t xml:space="preserve">37.4%</t>
  </si>
  <si>
    <t xml:space="preserve">17/30</t>
  </si>
  <si>
    <t xml:space="preserve">13-9</t>
  </si>
  <si>
    <t xml:space="preserve">25/44</t>
  </si>
  <si>
    <t xml:space="preserve">4% | 22% | 30% | 35% | 9%</t>
  </si>
  <si>
    <t xml:space="preserve">+3.6</t>
  </si>
  <si>
    <t xml:space="preserve">65.8%</t>
  </si>
  <si>
    <t xml:space="preserve">14/20</t>
  </si>
  <si>
    <t xml:space="preserve">8-6</t>
  </si>
  <si>
    <t xml:space="preserve">56.4%</t>
  </si>
  <si>
    <t xml:space="preserve">20/28</t>
  </si>
  <si>
    <t xml:space="preserve">6-2</t>
  </si>
  <si>
    <t xml:space="preserve">53.5%</t>
  </si>
  <si>
    <t xml:space="preserve">7/16</t>
  </si>
  <si>
    <t xml:space="preserve">64.7%</t>
  </si>
  <si>
    <t xml:space="preserve">48.2%</t>
  </si>
  <si>
    <t xml:space="preserve">14/18</t>
  </si>
  <si>
    <t xml:space="preserve">6-4</t>
  </si>
  <si>
    <t xml:space="preserve">50.9%</t>
  </si>
  <si>
    <t xml:space="preserve">7/20</t>
  </si>
  <si>
    <t xml:space="preserve">8-12</t>
  </si>
  <si>
    <t xml:space="preserve">-1.1</t>
  </si>
  <si>
    <t xml:space="preserve">45.1%</t>
  </si>
  <si>
    <t xml:space="preserve">50.6%</t>
  </si>
  <si>
    <t xml:space="preserve">19/40</t>
  </si>
  <si>
    <t xml:space="preserve">2-8</t>
  </si>
  <si>
    <t xml:space="preserve">-4.1</t>
  </si>
  <si>
    <t xml:space="preserve">39.3%</t>
  </si>
  <si>
    <t xml:space="preserve">41.0%</t>
  </si>
  <si>
    <t xml:space="preserve">8/20</t>
  </si>
  <si>
    <t xml:space="preserve">9-5</t>
  </si>
  <si>
    <t xml:space="preserve">55.9%</t>
  </si>
  <si>
    <t xml:space="preserve">12/28</t>
  </si>
  <si>
    <t xml:space="preserve">2% | 16% | 27% | 42% | 13%</t>
  </si>
  <si>
    <t xml:space="preserve">22.1</t>
  </si>
  <si>
    <t xml:space="preserve">CS2 · AUR vs G2   |   14:00 UTC   |   Bo3   |   Win: AUR 58% – G2 42%   |   2-0 31% · 2-1 28% · 1-2 22% · 0-2 19%</t>
  </si>
  <si>
    <t xml:space="preserve">Aurora (AUR)</t>
  </si>
  <si>
    <t xml:space="preserve">G2 (G2)</t>
  </si>
  <si>
    <t xml:space="preserve">HLTV: #5 · VRS: #5</t>
  </si>
  <si>
    <t xml:space="preserve">HLTV: #8 · VRS: #9</t>
  </si>
  <si>
    <t xml:space="preserve">5-5   L L W W W L L L W W</t>
  </si>
  <si>
    <t xml:space="preserve">4-6   L L L W L W W L W L</t>
  </si>
  <si>
    <t xml:space="preserve">-0.7</t>
  </si>
  <si>
    <t xml:space="preserve">+0.7</t>
  </si>
  <si>
    <t xml:space="preserve">39-25 (61%)</t>
  </si>
  <si>
    <t xml:space="preserve">27-27 (50%)</t>
  </si>
  <si>
    <t xml:space="preserve">+5.2 / -5.7</t>
  </si>
  <si>
    <t xml:space="preserve">+6.0 / -5.5</t>
  </si>
  <si>
    <t xml:space="preserve">7 / 7</t>
  </si>
  <si>
    <t xml:space="preserve">8 / 6</t>
  </si>
  <si>
    <t xml:space="preserve">6 series · 15 maps · team 71.5 kills/map
Wicadia 23.8% (17.0/map)
woxic 21.1% (15.1/map)
Jimpphat 21.1% (15.1/map)
XANTARES 18.2% (13.0/map)
kyxsan 15.9% (11.3/map)</t>
  </si>
  <si>
    <t xml:space="preserve">6 series · 14 maps · team 75.6 kills/map
NertZ 21.6% (16.4/map)
huNter- 20.4% (15.4/map)
HeavyGod 20.1% (15.2/map)
MATYS 19.5% (14.7/map)
r1nkle 18.3% (13.9/map)</t>
  </si>
  <si>
    <t xml:space="preserve">1 - 2  Aurora vs The MongolZ
1 - 2  Aurora vs The MongolZ
2 - 1  Aurora vs Falcons
0 - 2  Aurora vs FURIA
2 - 0  Aurora vs 9z</t>
  </si>
  <si>
    <t xml:space="preserve">0 - 2  G2 vs Natus Vincere
0 - 2  G2 vs Natus Vincere
1 - 2  G2 vs PARIVISION
2 - 0  G2 vs ShindeN
1 - 2  G2 vs 1win</t>
  </si>
  <si>
    <t xml:space="preserve">First ban: Ancient×5   First pick: Nuke×2, Anubis×1
24th of Octo  Aurora vs The MongolZ:  opp ban Anubis · us ban Ancient · opp pick Inferno · us pick Nuke · us ban Mirage · opp ban Cache · left Dust2
24th of Octo  Aurora vs The MongolZ:  opp ban Anubis · us ban Ancient · opp pick Inferno · us pick Nuke · us ban Mirage · opp ban Cache · left Dust2
18th of Octo  Aurora vs Falcons:  us ban Ancient · opp ban Cache · us pick Anubis · opp pick Dust2 · us ban Inferno · opp ban Mirage · left Nuke
17th of Octo  Aurora vs FURIA:  us ban Ancient · opp ban Anubis · us pick Dust2 · opp pick Inferno · us ban Cache · opp ban Mirage · left Nuke
16th of Octo  Aurora vs 9z:  us ban Ancient · opp ban Anubis · us pick Cache · opp pick Inferno · us ban Nuke · opp ban Dust2 · left Mirage</t>
  </si>
  <si>
    <t xml:space="preserve">First ban: Cache×3, Dust2×1   First pick: Dust2×2, Ancient×2
24th of Octo  G2 vs Natus Vincere:  opp ban Ancient · us ban Cache · opp pick Nuke · us pick Dust2 · us ban Anubis · opp ban Mirage · left Inferno
24th of Octo  G2 vs Natus Vincere:  opp ban Ancient · us ban Cache · opp pick Nuke · us pick Dust2 · us ban Anubis · opp ban Mirage · left Inferno
6th of Octob  G2 vs PARIVISION:  opp ban Nuke · us ban Dust2 · opp pick Ancient · us pick Anubis · opp ban Mirage · us ban Cache · left Inferno
5th of Octob  G2 vs ShindeN:  opp ban Anubis · us ban Nuke · opp pick Dust2 · us pick Ancient · opp ban Mirage · us ban Cache · left Inferno
4th of Octob  G2 vs 1win:  opp ban Inferno · us ban Cache · opp pick Dust2 · us pick Ancient · opp ban Nuke · us ban Anubis · left Mirage</t>
  </si>
  <si>
    <t xml:space="preserve">54.7%</t>
  </si>
  <si>
    <t xml:space="preserve">11/22</t>
  </si>
  <si>
    <t xml:space="preserve">7-4</t>
  </si>
  <si>
    <t xml:space="preserve">49.5%</t>
  </si>
  <si>
    <t xml:space="preserve">55.1%</t>
  </si>
  <si>
    <t xml:space="preserve">12/22</t>
  </si>
  <si>
    <t xml:space="preserve">6% | 29% | 30% | 29% | 6%</t>
  </si>
  <si>
    <t xml:space="preserve">42.8%</t>
  </si>
  <si>
    <t xml:space="preserve">13/28</t>
  </si>
  <si>
    <t xml:space="preserve">54.5%</t>
  </si>
  <si>
    <t xml:space="preserve">6/16</t>
  </si>
  <si>
    <t xml:space="preserve">59.4%</t>
  </si>
  <si>
    <t xml:space="preserve">3-7</t>
  </si>
  <si>
    <t xml:space="preserve">9% | 36% | 30% | 22% | 4%</t>
  </si>
  <si>
    <t xml:space="preserve">0-1</t>
  </si>
  <si>
    <t xml:space="preserve">25.0%</t>
  </si>
  <si>
    <t xml:space="preserve">66.7%</t>
  </si>
  <si>
    <t xml:space="preserve">58.0%</t>
  </si>
  <si>
    <t xml:space="preserve">46.5%</t>
  </si>
  <si>
    <t xml:space="preserve">5% | 25% | 30% | 32% | 8%</t>
  </si>
  <si>
    <t xml:space="preserve">13/24</t>
  </si>
  <si>
    <t xml:space="preserve">+1.3</t>
  </si>
  <si>
    <t xml:space="preserve">57.6%</t>
  </si>
  <si>
    <t xml:space="preserve">49.3%</t>
  </si>
  <si>
    <t xml:space="preserve">52.6%</t>
  </si>
  <si>
    <t xml:space="preserve">14/16</t>
  </si>
  <si>
    <t xml:space="preserve">35.4%</t>
  </si>
  <si>
    <t xml:space="preserve">60.6%</t>
  </si>
  <si>
    <t xml:space="preserve">4/8</t>
  </si>
  <si>
    <t xml:space="preserve">7% | 31% | 30% | 26% | 5%</t>
  </si>
  <si>
    <t xml:space="preserve">62.1%</t>
  </si>
  <si>
    <t xml:space="preserve">3/16</t>
  </si>
  <si>
    <t xml:space="preserve">0/2</t>
  </si>
  <si>
    <t xml:space="preserve">6% | 29% | 31% | 28% | 6%</t>
  </si>
  <si>
    <t xml:space="preserve">CS2 · MOUZ vs 9z   |   14:00 UTC   |   Bo3   |   Win: MOUZ 74% – 9z 26%   |   2-0 43% · 2-1 31% · 1-2 14% · 0-2 12%</t>
  </si>
  <si>
    <t xml:space="preserve">mouz (MOUZ)</t>
  </si>
  <si>
    <t xml:space="preserve">9z Team (9z)</t>
  </si>
  <si>
    <t xml:space="preserve">HLTV: #4 · VRS: #2</t>
  </si>
  <si>
    <t xml:space="preserve">HLTV: #15 · VRS: #16</t>
  </si>
  <si>
    <t xml:space="preserve">3-7   L L L L L W L W W L</t>
  </si>
  <si>
    <t xml:space="preserve">39-23 (63%)</t>
  </si>
  <si>
    <t xml:space="preserve">13-24 (35%)</t>
  </si>
  <si>
    <t xml:space="preserve">+5.3 / -5.0</t>
  </si>
  <si>
    <t xml:space="preserve">+6.1 / -5.8</t>
  </si>
  <si>
    <t xml:space="preserve">10 / 3</t>
  </si>
  <si>
    <t xml:space="preserve">5 / 5</t>
  </si>
  <si>
    <t xml:space="preserve">6 series · 16 maps · team 77.5 kills/map
Spinx 21.0% (16.2/map)
xertioN 20.6% (16.0/map)
torzsi 20.2% (15.7/map)
PR 19.9% (15.4/map)
xelex 18.2% (14.1/map)</t>
  </si>
  <si>
    <t xml:space="preserve">6 series · 13 maps · team 61.8 kills/map
luchov 23.0% (14.2/map)
dgt 22.5% (13.9/map)
HUASOPEEK 21.5% (13.3/map)
meyern 19.9% (12.3/map)
max 13.1% (8.1/map)</t>
  </si>
  <si>
    <t xml:space="preserve">1 - 2  MOUZ vs Liquid
1 - 2  MOUZ vs Liquid
0 - 3  MOUZ vs Vitality
2 - 1  MOUZ vs Spirit
2 - 0  MOUZ vs FURIA</t>
  </si>
  <si>
    <t xml:space="preserve">2 - 0  Vitality vs 9z
0 - 2  9z vs Vitality
0 - 2  9z vs Aurora
1 - 2  9z vs Falcons
2 - 0  9z vs Aurora</t>
  </si>
  <si>
    <t xml:space="preserve">First ban: Anubis×5   First pick: Ancient×2, Inferno×2
24th of Octo  MOUZ vs Liquid:  us ban Anubis · opp ban Dust2 · us pick Ancient · opp pick Inferno · opp ban Nuke · us ban Cache · left Mirage
24th of Octo  MOUZ vs Liquid:  us ban Anubis · opp ban Dust2 · us pick Ancient · opp pick Inferno · opp ban Nuke · us ban Cache · left Mirage
11th of Octo  MOUZ vs Vitality:  opp ban Ancient · us ban Anubis · opp pick Cache · us pick Inferno · opp pick Dust2 · us pick Mirage · left Nuke
10th of Octo  MOUZ vs Spirit:  opp ban Inferno · us ban Anubis · opp pick Dust2 · us pick Mirage · opp ban Cache · us ban Ancient · left Nuke
9th of Octob  MOUZ vs FURIA:  opp ban Mirage · us ban Anubis · opp pick Nuke · us pick Inferno · opp ban Cache · us ban Dust2 · left Ancient</t>
  </si>
  <si>
    <t xml:space="preserve">First ban: Anubis×5   First pick: Mirage×2, Inferno×2
24th of Octo  Vitality vs 9z:  us ban Anubis · opp ban Ancient · us pick Mirage · opp pick Cache · opp ban Nuke · us ban Inferno · left Dust2
24th of Octo  9z vs Vitality:  us ban Anubis · opp ban Ancient · us pick Mirage · opp pick Cache · opp ban Nuke · us ban Inferno · left Dust2
16th of Octo  9z vs Aurora:  opp ban Ancient · us ban Anubis · opp pick Cache · us pick Inferno · opp ban Nuke · us ban Dust2 · left Mirage
15th of Octo  9z vs Falcons:  us ban Anubis · opp ban Cache · us pick Nuke · opp pick Mirage · us ban Inferno · opp ban Ancient · left Dust2
14th of Octo  9z vs Aurora:  us ban Anubis · opp ban Ancient · us pick Inferno · opp pick Nuke · us ban Mirage · opp ban Cache · left Dust2</t>
  </si>
  <si>
    <t xml:space="preserve">64.9%</t>
  </si>
  <si>
    <t xml:space="preserve">50.8%</t>
  </si>
  <si>
    <t xml:space="preserve">14/30</t>
  </si>
  <si>
    <t xml:space="preserve">60.0%</t>
  </si>
  <si>
    <t xml:space="preserve">45.6%</t>
  </si>
  <si>
    <t xml:space="preserve">10% | 36% | 30% | 21% | 4%</t>
  </si>
  <si>
    <t xml:space="preserve">55.5%</t>
  </si>
  <si>
    <t xml:space="preserve">14/26</t>
  </si>
  <si>
    <t xml:space="preserve">3-4</t>
  </si>
  <si>
    <t xml:space="preserve">-3.1</t>
  </si>
  <si>
    <t xml:space="preserve">37.9%</t>
  </si>
  <si>
    <t xml:space="preserve">5/14</t>
  </si>
  <si>
    <t xml:space="preserve">12% | 40% | 28% | 17% | 3%</t>
  </si>
  <si>
    <t xml:space="preserve">7-3</t>
  </si>
  <si>
    <t xml:space="preserve">65.0%</t>
  </si>
  <si>
    <t xml:space="preserve">36.6%</t>
  </si>
  <si>
    <t xml:space="preserve">-1.9</t>
  </si>
  <si>
    <t xml:space="preserve">34.4%</t>
  </si>
  <si>
    <t xml:space="preserve">12/20</t>
  </si>
  <si>
    <t xml:space="preserve">9% | 33% | 31% | 22% | 5%</t>
  </si>
  <si>
    <t xml:space="preserve">-2.2</t>
  </si>
  <si>
    <t xml:space="preserve">43.7%</t>
  </si>
  <si>
    <t xml:space="preserve">46.9%</t>
  </si>
  <si>
    <t xml:space="preserve">5/18</t>
  </si>
  <si>
    <t xml:space="preserve">-3.5</t>
  </si>
  <si>
    <t xml:space="preserve">43.3%</t>
  </si>
  <si>
    <t xml:space="preserve">44.4%</t>
  </si>
  <si>
    <t xml:space="preserve">0/4</t>
  </si>
  <si>
    <t xml:space="preserve">5% | 27% | 30% | 31% | 7%</t>
  </si>
  <si>
    <t xml:space="preserve">63.1%</t>
  </si>
  <si>
    <t xml:space="preserve">37.7%</t>
  </si>
  <si>
    <t xml:space="preserve">6/14</t>
  </si>
  <si>
    <t xml:space="preserve">-0.2</t>
  </si>
  <si>
    <t xml:space="preserve">8/12</t>
  </si>
  <si>
    <t xml:space="preserve">7% | 29% | 31% | 28% | 6%</t>
  </si>
  <si>
    <t xml:space="preserve">+3.9</t>
  </si>
  <si>
    <t xml:space="preserve">59.7%</t>
  </si>
  <si>
    <t xml:space="preserve">1-4</t>
  </si>
  <si>
    <t xml:space="preserve">-4.6</t>
  </si>
  <si>
    <t xml:space="preserve">36.5%</t>
  </si>
  <si>
    <t xml:space="preserve">41.2%</t>
  </si>
  <si>
    <t xml:space="preserve">22.0</t>
  </si>
  <si>
    <t xml:space="preserve">CS2 · INF vs BRUTE   |   15:00 UTC   |   Bo3   |   Win: INF 50% – BRUTE 50%   |   2-0 25% · 2-1 25% · 1-2 25% · 0-2 25%</t>
  </si>
  <si>
    <t xml:space="preserve">Infinite (INF)</t>
  </si>
  <si>
    <t xml:space="preserve">Brute (BRUTE)</t>
  </si>
  <si>
    <t xml:space="preserve">HLTV: #78 · VRS: #68</t>
  </si>
  <si>
    <t xml:space="preserve">HLTV: #109 · VRS: #83</t>
  </si>
  <si>
    <t xml:space="preserve">2-8   L L L L W W L L L L</t>
  </si>
  <si>
    <t xml:space="preserve">-4.0</t>
  </si>
  <si>
    <t xml:space="preserve">23-42 (35%)</t>
  </si>
  <si>
    <t xml:space="preserve">40-29 (58%)</t>
  </si>
  <si>
    <t xml:space="preserve">+4.3 / -5.2</t>
  </si>
  <si>
    <t xml:space="preserve">+5.2 / -5.3</t>
  </si>
  <si>
    <t xml:space="preserve">2 / 10</t>
  </si>
  <si>
    <t xml:space="preserve">11 / 7</t>
  </si>
  <si>
    <t xml:space="preserve">6 series · 10 maps · team 69.4 kills/map
sl3nd 24.4% (16.9/map)
kyuubii 20.5% (14.2/map)
Blytz 19.7% (13.7/map)
volt 19.3% (13.4/map)
ScrunK 9.2% (10.7/map)
kreaz 6.9% (12.0/map)</t>
  </si>
  <si>
    <t xml:space="preserve">6 series · 16 maps · team 70.7 kills/map
aidKiT 22.8% (16.1/map)
tAk 21.1% (14.9/map)
nbqq 18.8% (13.3/map)
ZEDKO 18.7% (13.2/map)
oontoma 18.6% (13.1/map)</t>
  </si>
  <si>
    <t xml:space="preserve">0 - 2  INFINITE vs Envy
0 - 2  INFINITE vs Eternal Fire
13 - 5  INFINITE vs BASEMENT BOYS
13 - 11  INFINITE vs Insiders
0 - 2  INFINITE vs WBT</t>
  </si>
  <si>
    <t xml:space="preserve">1 - 2  BRUTE vs INOX Division
2 - 1  BRUTE vs BAKS
1 - 2  BRUTE vs Sangal
2 - 0  BRUTE vs ex-6666
2 - 1  BRUTE vs Phantom</t>
  </si>
  <si>
    <t xml:space="preserve">First ban: Anubis×3, Mirage×1   First pick: Ancient×2, Cache×1
20th of Octo  INFINITE vs Envy:  us ban Anubis · opp ban Mirage · us pick Ancient · opp pick Dust2 · opp ban Cache · us ban Inferno · left Nuke
20th of Octo  INFINITE vs Eternal Fire:  us ban Anubis · opp ban Nuke · us pick Cache · opp pick Dust2 · opp ban Inferno · us ban Mirage · left Ancient
19th of Octo  INFINITE vs BASEMENT BOYS:  opp ban Inferno · opp ban Anubis · us ban Mirage · us ban Dust2 · us ban Nuke · opp ban Cache · left Ancient
19th of Octo  INFINITE vs Insiders:  opp ban Nuke · opp ban Inferno · us ban Ancient · us ban Anubis · us ban Dust2 · opp ban Cache · left Mirage
9th of Octob  INFINITE vs WBT:  opp ban Inferno · us ban Anubis · opp pick Dust2 · us pick Ancient · opp ban Cache · us ban Nuke · left Mirage</t>
  </si>
  <si>
    <t xml:space="preserve">First ban: Ancient×5   First pick: Mirage×3, Dust2×1
24th of Octo  BRUTE vs INOX Division:  opp ban Mirage · us ban Ancient · opp pick Nuke · us pick Dust2 · opp ban Cache · us ban Anubis · left Inferno
23rd of Octo  BRUTE vs BAKS:  opp ban Anubis · us ban Ancient · opp pick Cache · us pick Inferno · opp ban Dust2 · us ban Mirage · left Nuke
21st of Octo  BRUTE vs Sangal:  opp ban Inferno · us ban Ancient · opp pick Nuke · us pick Mirage · us ban Cache · opp ban Dust2 · left Anubis
21st of Octo  BRUTE vs ex-6666:  opp ban Cache · us ban Ancient · opp pick Anubis · us pick Mirage · opp ban Inferno · us ban Nuke · left Dust2
19th of Octo  BRUTE vs Phantom:  us ban Ancient · opp ban Cache · us pick Mirage · opp pick Inferno · opp ban Anubis · us ban Nuke · left Dust2</t>
  </si>
  <si>
    <t xml:space="preserve">31%</t>
  </si>
  <si>
    <t xml:space="preserve">3-13</t>
  </si>
  <si>
    <t xml:space="preserve">-3.9</t>
  </si>
  <si>
    <t xml:space="preserve">43.8%</t>
  </si>
  <si>
    <t xml:space="preserve">39.2%</t>
  </si>
  <si>
    <t xml:space="preserve">17/32</t>
  </si>
  <si>
    <t xml:space="preserve">10-6</t>
  </si>
  <si>
    <t xml:space="preserve">2% | 14% | 26% | 43% | 14%</t>
  </si>
  <si>
    <t xml:space="preserve">8-7</t>
  </si>
  <si>
    <t xml:space="preserve">56.7%</t>
  </si>
  <si>
    <t xml:space="preserve">43.4%</t>
  </si>
  <si>
    <t xml:space="preserve">19/30</t>
  </si>
  <si>
    <t xml:space="preserve">9-6</t>
  </si>
  <si>
    <t xml:space="preserve">63.7%</t>
  </si>
  <si>
    <t xml:space="preserve">48.4%</t>
  </si>
  <si>
    <t xml:space="preserve">15%</t>
  </si>
  <si>
    <t xml:space="preserve">2-5</t>
  </si>
  <si>
    <t xml:space="preserve">-2.4</t>
  </si>
  <si>
    <t xml:space="preserve">4/14</t>
  </si>
  <si>
    <t xml:space="preserve">5-8</t>
  </si>
  <si>
    <t xml:space="preserve">38.3%</t>
  </si>
  <si>
    <t xml:space="preserve">7% | 30% | 31% | 27% | 6%</t>
  </si>
  <si>
    <t xml:space="preserve">-8.0</t>
  </si>
  <si>
    <t xml:space="preserve">8.3%</t>
  </si>
  <si>
    <t xml:space="preserve">6-8</t>
  </si>
  <si>
    <t xml:space="preserve">49.1%</t>
  </si>
  <si>
    <t xml:space="preserve">14/28</t>
  </si>
  <si>
    <t xml:space="preserve">43.5%</t>
  </si>
  <si>
    <t xml:space="preserve">47.6%</t>
  </si>
  <si>
    <t xml:space="preserve">55.0%</t>
  </si>
  <si>
    <t xml:space="preserve">35.8%</t>
  </si>
  <si>
    <t xml:space="preserve">56.8%</t>
  </si>
  <si>
    <t xml:space="preserve">3% | 20% | 29% | 38% | 10%</t>
  </si>
  <si>
    <t xml:space="preserve">CS2 · FURIA vs NAVI   |   17:00 UTC   |   Bo3   |   Win: FURIA 57% – NAVI 43%   |   2-0 29% · 2-1 28% · 1-2 22% · 0-2 21%</t>
  </si>
  <si>
    <t xml:space="preserve">Furia (FURIA)</t>
  </si>
  <si>
    <t xml:space="preserve">Natus Vincere (NAVI)</t>
  </si>
  <si>
    <t xml:space="preserve">HLTV: #3 · VRS: #3</t>
  </si>
  <si>
    <t xml:space="preserve">HLTV: #11 · VRS: #23</t>
  </si>
  <si>
    <t xml:space="preserve">8-2   W W W W L L W W W W</t>
  </si>
  <si>
    <t xml:space="preserve">6-4   W W L L W L W L W W</t>
  </si>
  <si>
    <t xml:space="preserve">42-32 (57%)</t>
  </si>
  <si>
    <t xml:space="preserve">16-17 (48%)</t>
  </si>
  <si>
    <t xml:space="preserve">+5.7 / -4.8</t>
  </si>
  <si>
    <t xml:space="preserve">+5.4 / -5.6</t>
  </si>
  <si>
    <t xml:space="preserve">10 / 7</t>
  </si>
  <si>
    <t xml:space="preserve">4 / 3</t>
  </si>
  <si>
    <t xml:space="preserve">57.4% (85-63) · R2 conv 76.5% · R2 break 14.3%</t>
  </si>
  <si>
    <t xml:space="preserve">6 series · 16 maps · team 76.6 kills/map
molodoy 23.4% (17.9/map)
KSCERATO 21.6% (16.5/map)
YEKINDAR 19.5% (14.9/map)
FalleN 18.0% (13.8/map)
yuurih 17.6% (13.4/map)</t>
  </si>
  <si>
    <t xml:space="preserve">6 series · 15 maps · team 79.5 kills/map
w0nderful 25.0% (19.9/map)
makazze 19.9% (15.9/map)
iM 19.6% (15.6/map)
b1t 18.9% (15.0/map)
Aleksib 16.6% (13.2/map)</t>
  </si>
  <si>
    <t xml:space="preserve">2 - 0  FURIA vs DENDELE
2 - 0  FURIA vs DENDELE
3 - 2  FURIA vs BETBOOM
2 - 0  FURIA vs Aurora
2 - 1  FURIA vs Legacy</t>
  </si>
  <si>
    <t xml:space="preserve">0 - 2  G2 vs Natus Vincere
2 - 0  Natus Vincere vs G2
1 - 2  Natus Vincere vs PARIVISION
1 - 2  Natus Vincere vs Falcons
2 - 0  Natus Vincere vs 9z</t>
  </si>
  <si>
    <t xml:space="preserve">First ban: Anubis×4, Ancient×1   First pick: Inferno×3, Dust2×1
24th of Octo  FURIA vs DENDELE:  opp ban Dust2 · us ban Anubis · opp pick Ancient · us pick Inferno · us ban Cache · opp ban Mirage · left Nuke
24th of Octo  FURIA vs DENDELE:  opp ban Dust2 · us ban Anubis · opp pick Ancient · us pick Inferno · us ban Cache · opp ban Mirage · left Nuke
18th of Octo  FURIA vs BETBOOM:  us ban Anubis · opp ban Inferno · us pick Dust2 · opp pick Ancient · us pick Nuke · opp pick Mirage · left Cache
17th of Octo  FURIA vs Aurora:  opp ban Ancient · us ban Anubis · opp pick Dust2 · us pick Inferno · opp ban Cache · us ban Mirage · left Nuke
15th of Octo  FURIA vs Legacy:  us ban Ancient · opp ban Anubis · us pick Cache · opp pick Inferno · us ban Dust2 · opp ban Nuke · left Mirage</t>
  </si>
  <si>
    <t xml:space="preserve">First ban: Ancient×3, Dust2×2   First pick: Nuke×2, Cache×2
24th of Octo  G2 vs Natus Vincere:  us ban Ancient · opp ban Cache · us pick Nuke · opp pick Dust2 · opp ban Anubis · us ban Mirage · left Inferno
24th of Octo  Natus Vincere vs G2:  us ban Ancient · opp ban Cache · us pick Nuke · opp pick Dust2 · opp ban Anubis · us ban Mirage · left Inferno
7th of Octob  Natus Vincere vs PARIVISION:  opp ban Nuke · us ban Ancient · opp pick Inferno · us pick Cache · opp ban Anubis · us ban Dust2 · left Mirage
6th of Octob  Natus Vincere vs Falcons:  us ban Dust2 · opp ban Cache · us pick Inferno · opp pick Anubis · us ban Ancient · opp ban Nuke · left Mirage
5th of Octob  Natus Vincere vs 9z:  opp ban Anubis · us ban Dust2 · opp pick Nuke · us pick Cache · opp ban Ancient · us ban Mirage · left Inferno</t>
  </si>
  <si>
    <t xml:space="preserve">61.4%</t>
  </si>
  <si>
    <t xml:space="preserve">45.5%</t>
  </si>
  <si>
    <t xml:space="preserve">18/30</t>
  </si>
  <si>
    <t xml:space="preserve">2-6</t>
  </si>
  <si>
    <t xml:space="preserve">-3.4</t>
  </si>
  <si>
    <t xml:space="preserve">33.7%</t>
  </si>
  <si>
    <t xml:space="preserve">12% | 39% | 28% | 17% | 3%</t>
  </si>
  <si>
    <t xml:space="preserve">7-2</t>
  </si>
  <si>
    <t xml:space="preserve">53.7%</t>
  </si>
  <si>
    <t xml:space="preserve">10/18</t>
  </si>
  <si>
    <t xml:space="preserve">40.6%</t>
  </si>
  <si>
    <t xml:space="preserve">7-5</t>
  </si>
  <si>
    <t xml:space="preserve">18/24</t>
  </si>
  <si>
    <t xml:space="preserve">47.7%</t>
  </si>
  <si>
    <t xml:space="preserve">5/10</t>
  </si>
  <si>
    <t xml:space="preserve">7% | 30% | 31% | 26% | 6%</t>
  </si>
  <si>
    <t xml:space="preserve">52.3%</t>
  </si>
  <si>
    <t xml:space="preserve">16/24</t>
  </si>
  <si>
    <t xml:space="preserve">-7.3</t>
  </si>
  <si>
    <t xml:space="preserve">40.0%</t>
  </si>
  <si>
    <t xml:space="preserve">11% | 39% | 28% | 18% | 3%</t>
  </si>
  <si>
    <t xml:space="preserve">-7.5</t>
  </si>
  <si>
    <t xml:space="preserve">2-1</t>
  </si>
  <si>
    <t xml:space="preserve">2/6</t>
  </si>
  <si>
    <t xml:space="preserve">4% | 21% | 29% | 37% | 10%</t>
  </si>
  <si>
    <t xml:space="preserve">10/24</t>
  </si>
  <si>
    <t xml:space="preserve">73.0%</t>
  </si>
  <si>
    <t xml:space="preserve">45.8%</t>
  </si>
  <si>
    <t xml:space="preserve">CS2 · LGC vs DEN   |   17:00 UTC   |   Bo3   |   Win: LGC 71% – DEN 29%   |   2-0 40% · 2-1 31% · 1-2 15% · 0-2 13%</t>
  </si>
  <si>
    <t xml:space="preserve">Legacy (LGC)</t>
  </si>
  <si>
    <t xml:space="preserve">DENDELE CS (DEN)</t>
  </si>
  <si>
    <t xml:space="preserve">HLTV: #7 · VRS: #8</t>
  </si>
  <si>
    <t xml:space="preserve">HLTV: #41 · VRS: #42</t>
  </si>
  <si>
    <t xml:space="preserve">4-6   L L L W L L L W W W</t>
  </si>
  <si>
    <t xml:space="preserve">4-6   L L L W L W W W L L</t>
  </si>
  <si>
    <t xml:space="preserve">-0.6</t>
  </si>
  <si>
    <t xml:space="preserve">32-23 (58%)</t>
  </si>
  <si>
    <t xml:space="preserve">29-24 (55%)</t>
  </si>
  <si>
    <t xml:space="preserve">+4.4 / -5.2</t>
  </si>
  <si>
    <t xml:space="preserve">+6.1 / -4.9</t>
  </si>
  <si>
    <t xml:space="preserve">5 / 3</t>
  </si>
  <si>
    <t xml:space="preserve">9 / 3</t>
  </si>
  <si>
    <t xml:space="preserve">6 series · 15 maps · team 83.5 kills/map
try 23.0% (19.2/map)
latto 22.7% (18.9/map)
dumau 20.8% (17.4/map)
n1ssim 19.0% (15.9/map)
arT 12.6% (13.2/map)
bobz 1.9% (8.0/map) (sub)</t>
  </si>
  <si>
    <t xml:space="preserve">6 series · 13 maps · team 70.4 kills/map
doc 23.3% (16.4/map)
koala 21.7% (15.3/map)
rdnzao 21.2% (14.9/map)
gafolo 18.1% (12.8/map)
maxxkor 15.6% (11.0/map)</t>
  </si>
  <si>
    <t xml:space="preserve">0 - 2  Legacy vs Nemiga
0 - 2  Legacy vs Nemiga
1 - 2  Legacy vs BETBOOM
1 - 2  Legacy vs FURIA
2 - 0  Legacy vs PARIVISION</t>
  </si>
  <si>
    <t xml:space="preserve">2 - 0  FURIA vs DENDELE
0 - 2  DENDELE vs FURIA
2 - 3  DENDELE vs Wildcard
2 - 0  DENDELE vs Imperial
0 - 2  DENDELE vs Wildcard</t>
  </si>
  <si>
    <t xml:space="preserve">First ban: Anubis×5   First pick: Dust2×3, Inferno×1
24th of Octo  Legacy vs Nemiga:  opp ban Inferno · us ban Anubis · opp pick Ancient · us pick Dust2 · us ban Cache · opp ban Mirage · left Nuke
24th of Octo  Legacy vs Nemiga:  opp ban Inferno · us ban Anubis · opp pick Ancient · us pick Dust2 · us ban Cache · opp ban Mirage · left Nuke
16th of Octo  Legacy vs BETBOOM:  opp ban Inferno · us ban Anubis · opp pick Nuke · us pick Dust2 · opp ban Cache · us ban Ancient · left Mirage
15th of Octo  Legacy vs FURIA:  opp ban Ancient · us ban Anubis · opp pick Cache · us pick Inferno · opp ban Dust2 · us ban Nuke · left Mirage
14th of Octo  Legacy vs PARIVISION:  opp ban Nuke · us ban Anubis · opp pick Dust2 · us pick Mirage · opp ban Cache · us ban Inferno · left Ancient</t>
  </si>
  <si>
    <t xml:space="preserve">First ban: Dust2×5   First pick: Ancient×2, Nuke×1
24th of Octo  FURIA vs DENDELE:  us ban Dust2 · opp ban Anubis · us pick Ancient · opp pick Inferno · opp ban Cache · us ban Mirage · left Nuke
24th of Octo  DENDELE vs FURIA:  us ban Dust2 · opp ban Anubis · us pick Ancient · opp pick Inferno · opp ban Cache · us ban Mirage · left Nuke
12th of Octo  DENDELE vs Wildcard:  opp ban Ancient · us ban Dust2 · opp pick Mirage · us pick Nuke · opp pick Inferno · us pick Anubis
11th of Octo  DENDELE vs Imperial:  opp ban Ancient · us ban Dust2 · opp pick Mirage · us pick Inferno · opp ban Anubis · us ban Cache · left Nuke
11th of Octo  DENDELE vs Wildcard:  opp ban Ancient · us ban Dust2 · opp pick Mirage · us pick Cache · opp ban Anubis · us ban Inferno · left Nuke</t>
  </si>
  <si>
    <t xml:space="preserve">28%</t>
  </si>
  <si>
    <t xml:space="preserve">59.0%</t>
  </si>
  <si>
    <t xml:space="preserve">47.2%</t>
  </si>
  <si>
    <t xml:space="preserve">7/24</t>
  </si>
  <si>
    <t xml:space="preserve">51.4%</t>
  </si>
  <si>
    <t xml:space="preserve">52.1%</t>
  </si>
  <si>
    <t xml:space="preserve">58.1%</t>
  </si>
  <si>
    <t xml:space="preserve">44.7%</t>
  </si>
  <si>
    <t xml:space="preserve">5/16</t>
  </si>
  <si>
    <t xml:space="preserve">18%</t>
  </si>
  <si>
    <t xml:space="preserve">56.2%</t>
  </si>
  <si>
    <t xml:space="preserve">11/24</t>
  </si>
  <si>
    <t xml:space="preserve">16/30</t>
  </si>
  <si>
    <t xml:space="preserve">6% | 28% | 31% | 29% | 6%</t>
  </si>
  <si>
    <t xml:space="preserve">52.9%</t>
  </si>
  <si>
    <t xml:space="preserve">5% | 25% | 30% | 33% | 8%</t>
  </si>
  <si>
    <t xml:space="preserve">67.1%</t>
  </si>
  <si>
    <t xml:space="preserve">34.3%</t>
  </si>
  <si>
    <t xml:space="preserve">CS2 · FORZE.R vs ex-RUSTEC   |   18:00 UTC   |   Bo3   |   Win: FORZE.R 56% – ex-RUSTEC 44%</t>
  </si>
  <si>
    <t xml:space="preserve">FORZE Reload (FORZE.R)</t>
  </si>
  <si>
    <t xml:space="preserve">ex-RUSTEC (ex-RUSTEC)</t>
  </si>
  <si>
    <t xml:space="preserve">HLTV: #80 · VRS: #84</t>
  </si>
  <si>
    <t xml:space="preserve">HLTV: #70 · VRS: #93</t>
  </si>
  <si>
    <t xml:space="preserve">6-4   L L L L W W W W W W</t>
  </si>
  <si>
    <t xml:space="preserve">5-5   W W L W W L L L L W</t>
  </si>
  <si>
    <t xml:space="preserve">52-27 (66%)</t>
  </si>
  <si>
    <t xml:space="preserve">102-77 (57%)</t>
  </si>
  <si>
    <t xml:space="preserve">+6.0 / -4.8</t>
  </si>
  <si>
    <t xml:space="preserve">17 / 3</t>
  </si>
  <si>
    <t xml:space="preserve">23 / 13</t>
  </si>
  <si>
    <t xml:space="preserve">49.4% (78-80) · R2 conv 85.7% · R2 break 29.1%</t>
  </si>
  <si>
    <t xml:space="preserve">50.0% (179-179) · R2 conv 83.8% · R2 break 20.1%</t>
  </si>
  <si>
    <t xml:space="preserve">6 series · 13 maps · team 76.5 kills/map
HeCkBNk 23.0% (17.6/map)
YumsaN 21.9% (16.8/map)
Lack1 19.8% (15.2/map)
KusMe 17.9% (13.7/map)
NickelBack 12.5% (13.8/map)
relaxxie 4.8% (12.0/map) (sub)</t>
  </si>
  <si>
    <t xml:space="preserve">5 series · 11 maps · team 68.1 kills/map
yiksrezo 21.5% (17.9/map)
bl1x1 20.7% (14.1/map)
youka 19.8% (13.5/map)
Brilliance 16.8% (11.5/map)
jakekeS 7.5% (11.2/map)
shalfey 7.5% (14.0/map) (sub)
relaxxie 6.3% (11.8/map) (sub)</t>
  </si>
  <si>
    <t xml:space="preserve">0 - 2  FORZE Reload vs Nuclear TigeRES
0 - 2  FORZE Reload vs Acend
2 - 0  FORZE Reload vs LFO 10
2 - 0  FORZE Reload vs Rune Eaters
2 - 0  FORZE Reload vs Just Players</t>
  </si>
  <si>
    <t xml:space="preserve">2 - 1  ex-RUSTEC vs Saint Sinners
0 - 1  ex-RUSTEC vs ex-Zero Tenacity
2 - 0  ex-RUSTEC vs mellren
0 - 2  ex-RUSTEC vs Metizport
0 - 2  ex-RUSTEC vs Nuclear TigeRES</t>
  </si>
  <si>
    <t xml:space="preserve">First ban: Inferno×5   First pick: Cache×3, Dust2×2
24th of Octo  FORZE Reload vs Nuclear TigeRES:  us ban Inferno · opp ban Cache · us pick Dust2 · opp pick Anubis · us ban Nuke · opp ban Mirage · left Ancient
24th of Octo  FORZE Reload vs Acend:  opp ban Nuke · us ban Inferno · opp pick Ancient · us pick Cache · opp ban Anubis · us ban Mirage · left Dust2
23rd of Octo  FORZE Reload vs LFO 10:  opp ban Nuke · us ban Inferno · opp pick Ancient · us pick Dust2 · opp ban Cache · us ban Anubis · left Mirage
22nd of Octo  FORZE Reload vs Rune Eaters:  opp ban Nuke · us ban Inferno · opp pick Dust2 · us pick Cache · opp ban Anubis · us ban Mirage · left Ancient
22nd of Octo  FORZE Reload vs Just Players:  opp ban Nuke · us ban Inferno · opp pick Mirage · us pick Cache · opp ban Anubis · us ban Ancient · left Dust2</t>
  </si>
  <si>
    <t xml:space="preserve">First ban: Inferno×3, Mirage×1   First pick: Nuke×3, Anubis×1
23rd of Octo  ex-RUSTEC vs Saint Sinners:  opp ban Cache · us ban Mirage · opp pick Dust2 · us pick Nuke · opp ban Anubis · us ban Inferno · left Ancient
20th of Octo  ex-RUSTEC vs mellren:  us ban Inferno · opp ban Cache · us pick Nuke · opp pick Ancient · us ban Mirage · opp ban Anubis · left Dust2
20th of Octo  ex-RUSTEC vs Metizport:  us ban Inferno · opp ban Dust2 · us pick Anubis · opp pick Nuke · opp ban Mirage · us ban Cache · left Ancient
18th of Octo  ex-RUSTEC vs Nuclear TigeRES:  us ban Inferno · opp ban Mirage · us pick Nuke · opp pick Ancient · opp ban Dust2 · us ban Cache · left Anubis</t>
  </si>
  <si>
    <t xml:space="preserve">13-6</t>
  </si>
  <si>
    <t xml:space="preserve">57.7%</t>
  </si>
  <si>
    <t xml:space="preserve">16/38</t>
  </si>
  <si>
    <t xml:space="preserve">24-21</t>
  </si>
  <si>
    <t xml:space="preserve">54.4%</t>
  </si>
  <si>
    <t xml:space="preserve">43/90</t>
  </si>
  <si>
    <t xml:space="preserve">8% | 34% | 30% | 24% | 4%</t>
  </si>
  <si>
    <t xml:space="preserve">24%</t>
  </si>
  <si>
    <t xml:space="preserve">21-19</t>
  </si>
  <si>
    <t xml:space="preserve">42.1%</t>
  </si>
  <si>
    <t xml:space="preserve">40/80</t>
  </si>
  <si>
    <t xml:space="preserve">10% | 36% | 30% | 20% | 4%</t>
  </si>
  <si>
    <t xml:space="preserve">23-8</t>
  </si>
  <si>
    <t xml:space="preserve">51.3%</t>
  </si>
  <si>
    <t xml:space="preserve">62.0%</t>
  </si>
  <si>
    <t xml:space="preserve">38/62</t>
  </si>
  <si>
    <t xml:space="preserve">3% | 19% | 29% | 39% | 11%</t>
  </si>
  <si>
    <t xml:space="preserve">6% | 28% | 31% | 30% | 7%</t>
  </si>
  <si>
    <t xml:space="preserve">+4.1</t>
  </si>
  <si>
    <t xml:space="preserve">63.9%</t>
  </si>
  <si>
    <t xml:space="preserve">10% | 38% | 29% | 20% | 3%</t>
  </si>
  <si>
    <t xml:space="preserve">9-7</t>
  </si>
  <si>
    <t xml:space="preserve">15/32</t>
  </si>
  <si>
    <t xml:space="preserve">7% | 30% | 30% | 27% | 6%</t>
  </si>
  <si>
    <t xml:space="preserve">50.3%</t>
  </si>
  <si>
    <t xml:space="preserve">10-10</t>
  </si>
  <si>
    <t xml:space="preserve">15/40</t>
  </si>
  <si>
    <t xml:space="preserve">CS2 · paiN vs BST   |   18:00 UTC   |   Bo3   |   Win: paiN 52% – BST 48%   |   2-0 27% · 2-1 25% · 1-2 26% · 0-2 22%</t>
  </si>
  <si>
    <t xml:space="preserve">paiN Gaming (paiN)</t>
  </si>
  <si>
    <t xml:space="preserve">BESTIA (BST)</t>
  </si>
  <si>
    <t xml:space="preserve">HLTV: #32 · VRS: #47</t>
  </si>
  <si>
    <t xml:space="preserve">HLTV: #76 · VRS: #56</t>
  </si>
  <si>
    <t xml:space="preserve">7-3   W W L W L W W L W W</t>
  </si>
  <si>
    <t xml:space="preserve">6-4   L L W W W W W W L L</t>
  </si>
  <si>
    <t xml:space="preserve">24-28 (46%)</t>
  </si>
  <si>
    <t xml:space="preserve">33-25 (57%)</t>
  </si>
  <si>
    <t xml:space="preserve">+4.8 / -5.6</t>
  </si>
  <si>
    <t xml:space="preserve">+5.0 / -5.6</t>
  </si>
  <si>
    <t xml:space="preserve">3 / 8</t>
  </si>
  <si>
    <t xml:space="preserve">6 / 5</t>
  </si>
  <si>
    <t xml:space="preserve">6 series · 16 maps · team 69.4 kills/map
biguzera 23.3% (16.2/map)
snow 21.1% (14.6/map)
saffee 20.1% (13.9/map)
Rkzinho 19.0% (13.2/map)
Tatu 16.6% (11.5/map)</t>
  </si>
  <si>
    <t xml:space="preserve">6 series · 13 maps · team 70.6 kills/map
drop 21.8% (15.4/map)
timo 21.1% (14.9/map)
buda 20.4% (14.4/map)
kauez 19.6% (13.8/map)
cass1n 17.1% (12.1/map)</t>
  </si>
  <si>
    <t xml:space="preserve">2 - 0  paiN vs Galorys
1 - 2  paiN vs Imperial
2 - 1  paiN vs Fluxo
2 - 1  paiN vs BARCA
0 - 3  paiN vs Imperial</t>
  </si>
  <si>
    <t xml:space="preserve">0 - 2  BESTIA vs Imperial
2 - 0  BESTIA vs Galorys
2 - 0  BESTIA vs Imperial
2 - 1  BESTIA vs ShindeN
0 - 2  BESTIA vs Voca</t>
  </si>
  <si>
    <t xml:space="preserve">First ban: Ancient×2, Inferno×2   First pick: Dust2×3, Anubis×2
24th of Octo  paiN vs Galorys:  opp ban Mirage · us ban Ancient · opp pick Cache · us pick Dust2 · opp ban Anubis · us ban Inferno · left Nuke
23rd of Octo  paiN vs Imperial:  opp ban Dust2 · us ban Cache · opp pick Inferno · us pick Anubis · opp ban Nuke · us ban Ancient · left Mirage
21st of Octo  paiN vs Fluxo:  opp ban Nuke · us ban Inferno · opp pick Cache · us pick Dust2 · opp ban Mirage · us ban Ancient · left Anubis
21st of Octo  paiN vs BARCA:  opp ban Anubis · us ban Ancient · opp pick Inferno · us pick Dust2 · opp ban Nuke · us ban Cache · left Mirage
27th of Sept  paiN vs Imperial:  us ban Inferno · opp ban Dust2 · us pick Anubis · opp pick Cache · us pick Mirage · opp pick Nuke · left Ancient</t>
  </si>
  <si>
    <t xml:space="preserve">First ban: Anubis×4, Nuke×1   First pick: Dust2×2, Inferno×1
24th of Octo  BESTIA vs Imperial:  opp ban Ancient · us ban Anubis · opp pick Nuke · us pick Dust2 · opp ban Mirage · us ban Cache · left Inferno
23rd of Octo  BESTIA vs Galorys:  opp ban Mirage · us ban Anubis · opp pick Ancient · us pick Inferno · opp ban Dust2 · us ban Nuke · left Cache
22nd of Octo  BESTIA vs Imperial:  us ban Anubis · opp ban Ancient · us pick Dust2 · opp pick Mirage · us ban Nuke · opp ban Cache · left Inferno
22nd of Octo  BESTIA vs ShindeN:  opp ban Mirage · us ban Nuke · opp pick Dust2 · us pick Cache · opp ban Ancient · us ban Anubis · left Inferno
26th of Sept  BESTIA vs Voca:  opp ban Inferno · us ban Anubis · opp pick Ancient · us pick Mirage · opp ban Dust2 · us ban Nuke · left Cache</t>
  </si>
  <si>
    <t xml:space="preserve">27%</t>
  </si>
  <si>
    <t xml:space="preserve">56.1%</t>
  </si>
  <si>
    <t xml:space="preserve">14/22</t>
  </si>
  <si>
    <t xml:space="preserve">47.4%</t>
  </si>
  <si>
    <t xml:space="preserve">3-5</t>
  </si>
  <si>
    <t xml:space="preserve">49.0%</t>
  </si>
  <si>
    <t xml:space="preserve">43.0%</t>
  </si>
  <si>
    <t xml:space="preserve">12/16</t>
  </si>
  <si>
    <t xml:space="preserve">57.3%</t>
  </si>
  <si>
    <t xml:space="preserve">10/16</t>
  </si>
  <si>
    <t xml:space="preserve">6% | 29% | 31% | 29% | 6%</t>
  </si>
  <si>
    <t xml:space="preserve">0-8</t>
  </si>
  <si>
    <t xml:space="preserve">-6.9</t>
  </si>
  <si>
    <t xml:space="preserve">35.0%</t>
  </si>
  <si>
    <t xml:space="preserve">32.4%</t>
  </si>
  <si>
    <t xml:space="preserve">+2.3</t>
  </si>
  <si>
    <t xml:space="preserve">63.8%</t>
  </si>
  <si>
    <t xml:space="preserve">2% | 12% | 24% | 46% | 17%</t>
  </si>
  <si>
    <t xml:space="preserve">21.8</t>
  </si>
  <si>
    <t xml:space="preserve">+0.1</t>
  </si>
  <si>
    <t xml:space="preserve">7% | 32% | 30% | 26% | 5%</t>
  </si>
  <si>
    <t xml:space="preserve">CS2 [NO MARKET] · Color vs ex-ZT   |   18:00 UTC   |   Bo3</t>
  </si>
  <si>
    <t xml:space="preserve">Color (Color)</t>
  </si>
  <si>
    <t xml:space="preserve">ex-ZT (ex-ZT)</t>
  </si>
  <si>
    <t xml:space="preserve">HLTV: UnrankedVRS: #72</t>
  </si>
  <si>
    <t xml:space="preserve">HLTV: #67 · VRS: #87</t>
  </si>
  <si>
    <t xml:space="preserve">8-2   L W L W W W W W W W</t>
  </si>
  <si>
    <t xml:space="preserve">6-4   W W L L L W L W W W</t>
  </si>
  <si>
    <t xml:space="preserve">42-24 (64%)</t>
  </si>
  <si>
    <t xml:space="preserve">84-46 (65%)</t>
  </si>
  <si>
    <t xml:space="preserve">+5.7 / -5.6</t>
  </si>
  <si>
    <t xml:space="preserve">9 / 5</t>
  </si>
  <si>
    <t xml:space="preserve">20 / 12</t>
  </si>
  <si>
    <t xml:space="preserve">55.4% (144-116) · R2 conv 86.0% · R2 break 19.8%</t>
  </si>
  <si>
    <t xml:space="preserve">4 series · 9 maps · team 83.2 kills/map
lattykk 22.2% (18.4/map)
oz1k 21.5% (17.9/map)
cronuss 19.2% (16.0/map)
Patsi 19.2% (16.0/map)
reyoz 17.9% (14.9/map)</t>
  </si>
  <si>
    <t xml:space="preserve">5 series · 12 maps · team 70.8 kills/map
Dragon 23.9% (16.9/map)
brutmonster 19.8% (14.0/map)
VLDN 19.8% (14.0/map)
Kind0 17.5% (12.4/map)
Cjoffo 16.9% (12.0/map)
RiiL3 2.1% (6.0/map) (sub)</t>
  </si>
  <si>
    <t xml:space="preserve">0 - 1  Color vs Nuclear TigeRES
1 - 2  Color vs Nemiga
2 - 0  Color vs WW
2 - 0  Color vs UPGRADE
2 - 0  Color vs SPARTA</t>
  </si>
  <si>
    <t xml:space="preserve">2 - 1  ex-Zero Tenacity vs Nuclear TigeRES
1 - 0  ex-Zero Tenacity vs ex-RUSTEC
0 - 2  ex-Zero Tenacity vs FOKUS
2 - 1  ex-Zero Tenacity vs FORZE Reload
2 - 0  ex-Zero Tenacity vs Bushido Wildcats</t>
  </si>
  <si>
    <t xml:space="preserve">First ban: Nuke×4   First pick: Dust2×2, Mirage×2
27th of Sept  Color vs Nemiga:  opp ban Inferno · us ban Nuke · opp pick Cache · us pick Dust2 · opp ban Mirage · us ban Anubis · left Ancient
26th of Sept  Color vs WW:  us ban Nuke · opp ban Cache · us pick Dust2 · opp pick Mirage · us ban Inferno · opp ban Ancient · left Anubis
20th of Sept  Color vs UPGRADE:  opp ban Dust2 · us ban Nuke · opp pick Anubis · us pick Mirage · opp ban Cache · us ban Ancient · left Inferno
18th of Sept  Color vs SPARTA:  opp ban Anubis · us ban Nuke · opp pick Dust2 · us pick Mirage · opp ban Ancient · us ban Cache · left Inferno</t>
  </si>
  <si>
    <t xml:space="preserve">First ban: Ancient×4   First pick: Inferno×2, Cache×2
24th of Octo  ex-Zero Tenacity vs Nuclear TigeRES:  us ban Ancient · opp ban Cache · us pick Inferno · opp pick Anubis · us ban Nuke · opp ban Mirage · left Dust2
20th of Octo  ex-Zero Tenacity vs FOKUS:  us ban Ancient · opp ban Inferno · us pick Cache · opp pick Nuke · opp ban Anubis · us ban Mirage · left Dust2
20th of Octo  ex-Zero Tenacity vs FORZE Reload:  opp ban Inferno · us ban Ancient · opp pick Dust2 · us pick Cache · opp ban Anubis · us ban Mirage · left Nuke
19th of Octo  ex-Zero Tenacity vs Bushido Wildcats:  opp ban Cache · us ban Ancient · opp pick Mirage · us pick Inferno · opp ban Nuke · us ban Dust2 · left Anubis</t>
  </si>
  <si>
    <t xml:space="preserve">14-6</t>
  </si>
  <si>
    <t xml:space="preserve">53.9%</t>
  </si>
  <si>
    <t xml:space="preserve">20/40</t>
  </si>
  <si>
    <t xml:space="preserve">19-9</t>
  </si>
  <si>
    <t xml:space="preserve">34/56</t>
  </si>
  <si>
    <t xml:space="preserve">-2.8</t>
  </si>
  <si>
    <t xml:space="preserve">46.1%</t>
  </si>
  <si>
    <t xml:space="preserve">39.4%</t>
  </si>
  <si>
    <t xml:space="preserve">23-9</t>
  </si>
  <si>
    <t xml:space="preserve">59.8%</t>
  </si>
  <si>
    <t xml:space="preserve">41/64</t>
  </si>
  <si>
    <t xml:space="preserve">2% | 12% | 24% | 46% | 16%</t>
  </si>
  <si>
    <t xml:space="preserve">11-2</t>
  </si>
  <si>
    <t xml:space="preserve">9-8</t>
  </si>
  <si>
    <t xml:space="preserve">16/34</t>
  </si>
  <si>
    <t xml:space="preserve">10% | 36% | 29% | 21% | 4%</t>
  </si>
  <si>
    <t xml:space="preserve">51.0%</t>
  </si>
  <si>
    <t xml:space="preserve">10/20</t>
  </si>
  <si>
    <t xml:space="preserve">41.8%</t>
  </si>
  <si>
    <t xml:space="preserve">13-7</t>
  </si>
  <si>
    <t xml:space="preserve">24/40</t>
  </si>
  <si>
    <t xml:space="preserve">13-10</t>
  </si>
  <si>
    <t xml:space="preserve">60.1%</t>
  </si>
  <si>
    <t xml:space="preserve">19/46</t>
  </si>
  <si>
    <t xml:space="preserve">Board</t>
  </si>
  <si>
    <t xml:space="preserve">Match:</t>
  </si>
  <si>
    <t xml:space="preserve">CS2 · FUT vs TL</t>
  </si>
  <si>
    <t xml:space="preserve">Teams</t>
  </si>
  <si>
    <t xml:space="preserve">Start (CT)</t>
  </si>
  <si>
    <t xml:space="preserve">Bo</t>
  </si>
  <si>
    <t xml:space="preserve">P(A wins)</t>
  </si>
  <si>
    <t xml:space="preserve">P(A 2-0)</t>
  </si>
  <si>
    <t xml:space="preserve">P(B 2-0)</t>
  </si>
  <si>
    <t xml:space="preserve">P(3 maps)</t>
  </si>
  <si>
    <t xml:space="preserve">Map pick #1</t>
  </si>
  <si>
    <t xml:space="preserve">Map pick #2</t>
  </si>
  <si>
    <t xml:space="preserve">TP rounds M1</t>
  </si>
  <si>
    <t xml:space="preserve">TP rounds M2</t>
  </si>
  <si>
    <t xml:space="preserve">P(OT) M1</t>
  </si>
  <si>
    <t xml:space="preserve">A margin M1</t>
  </si>
  <si>
    <t xml:space="preserve">A rounds M1</t>
  </si>
  <si>
    <t xml:space="preserve">B rounds M1</t>
  </si>
  <si>
    <t xml:space="preserve">HLTV rounds M1</t>
  </si>
  <si>
    <t xml:space="preserve">HLTV A margin M1</t>
  </si>
  <si>
    <t xml:space="preserve">Hist share A / B</t>
  </si>
  <si>
    <t xml:space="preserve">IN USE</t>
  </si>
  <si>
    <t xml:space="preserve">Team</t>
  </si>
  <si>
    <t xml:space="preserve">Player</t>
  </si>
  <si>
    <t xml:space="preserve">KPR M1</t>
  </si>
  <si>
    <t xml:space="preserve">KPR M2</t>
  </si>
  <si>
    <t xml:space="preserve">Kills M1</t>
  </si>
  <si>
    <t xml:space="preserve">Kills M2</t>
  </si>
  <si>
    <t xml:space="preserve">Kills 1-2</t>
  </si>
  <si>
    <t xml:space="preserve">Diff mult</t>
  </si>
  <si>
    <t xml:space="preserve">Adj K 1-2</t>
  </si>
  <si>
    <t xml:space="preserve">PP line</t>
  </si>
  <si>
    <t xml:space="preserve">P(over)</t>
  </si>
  <si>
    <t xml:space="preserve">Adj P(over)</t>
  </si>
  <si>
    <t xml:space="preserve">TP book</t>
  </si>
  <si>
    <t xml:space="preserve">PF L10</t>
  </si>
  <si>
    <t xml:space="preserve">HS% 1-2</t>
  </si>
  <si>
    <t xml:space="preserve">HS 1-2</t>
  </si>
  <si>
    <t xml:space="preserve">PP HS line</t>
  </si>
  <si>
    <t xml:space="preserve">P(over) HS</t>
  </si>
  <si>
    <t xml:space="preserve">Sample</t>
  </si>
  <si>
    <t xml:space="preserve">Flags</t>
  </si>
  <si>
    <t xml:space="preserve">row</t>
  </si>
  <si>
    <t xml:space="preserve">Kills = Σ over the chosen maps of (per-map KPR, shrunk toward the player's overall KPR by SHRINK_MAPS) × rounds. HS = kills × per-map HS%, shrunk the same way. P(over) is a normal approximation with variance = KILLS_DISPERSION × projection.</t>
  </si>
  <si>
    <t xml:space="preserve">Adj = the round-differential layer (CS2): each map's kills × (a·s + b·(1−s)) ÷ (a·s_hist + b·(1−s_hist)), s = the team's expected round share on that map from HLTV conditional margins and Thunderpick map odds, s_hist = its round share over HLTV's 3-month sample. PAPER: neither column has a forward record.</t>
  </si>
  <si>
    <t xml:space="preserve">Matches — pick the maps and rounds for every match in the shaded columns</t>
  </si>
  <si>
    <t xml:space="preserve">Prefilled: maps from PickFinder Map Picks (#1, #2, #3), rounds from Thunderpick "Total Rounds - Map k" (devigged 50% crossing). Overwrite any shaded cell; Calc, Projections and Board follow instantly.</t>
  </si>
  <si>
    <t xml:space="preserve">Match</t>
  </si>
  <si>
    <t xml:space="preserve">Title</t>
  </si>
  <si>
    <t xml:space="preserve">Team A</t>
  </si>
  <si>
    <t xml:space="preserve">Team B</t>
  </si>
  <si>
    <t xml:space="preserve">Map pick #3</t>
  </si>
  <si>
    <t xml:space="preserve">Picks from</t>
  </si>
  <si>
    <t xml:space="preserve">TP rounds M3</t>
  </si>
  <si>
    <t xml:space="preserve">TP markets</t>
  </si>
  <si>
    <t xml:space="preserve">Map 1</t>
  </si>
  <si>
    <t xml:space="preserve">Map 2</t>
  </si>
  <si>
    <t xml:space="preserve">Map 3</t>
  </si>
  <si>
    <t xml:space="preserve">Rounds M1</t>
  </si>
  <si>
    <t xml:space="preserve">Rounds M2</t>
  </si>
  <si>
    <t xml:space="preserve">Rounds M3</t>
  </si>
  <si>
    <t xml:space="preserve">P(map 3) used</t>
  </si>
  <si>
    <t xml:space="preserve">Tag A</t>
  </si>
  <si>
    <t xml:space="preserve">Tag B</t>
  </si>
  <si>
    <t xml:space="preserve">P(A map 1)</t>
  </si>
  <si>
    <t xml:space="preserve">P(A map 2)</t>
  </si>
  <si>
    <t xml:space="preserve">P(A map 3)</t>
  </si>
  <si>
    <t xml:space="preserve">A hist share</t>
  </si>
  <si>
    <t xml:space="preserve">B hist share</t>
  </si>
  <si>
    <t xml:space="preserve">HLTV cA M1</t>
  </si>
  <si>
    <t xml:space="preserve">HLTV cB M1</t>
  </si>
  <si>
    <t xml:space="preserve">HLTV src M1</t>
  </si>
  <si>
    <t xml:space="preserve">HLTV A share M1</t>
  </si>
  <si>
    <t xml:space="preserve">HLTV cA M2</t>
  </si>
  <si>
    <t xml:space="preserve">HLTV cB M2</t>
  </si>
  <si>
    <t xml:space="preserve">HLTV src M2</t>
  </si>
  <si>
    <t xml:space="preserve">HLTV rounds M2</t>
  </si>
  <si>
    <t xml:space="preserve">HLTV A margin M2</t>
  </si>
  <si>
    <t xml:space="preserve">HLTV A share M2</t>
  </si>
  <si>
    <t xml:space="preserve">HLTV cA M3</t>
  </si>
  <si>
    <t xml:space="preserve">HLTV cB M3</t>
  </si>
  <si>
    <t xml:space="preserve">HLTV src M3</t>
  </si>
  <si>
    <t xml:space="preserve">HLTV rounds M3</t>
  </si>
  <si>
    <t xml:space="preserve">HLTV A margin M3</t>
  </si>
  <si>
    <t xml:space="preserve">HLTV A share M3</t>
  </si>
  <si>
    <t xml:space="preserve">CS2</t>
  </si>
  <si>
    <t xml:space="preserve">Sun 03:00</t>
  </si>
  <si>
    <t xml:space="preserve">Nuke 22%</t>
  </si>
  <si>
    <t xml:space="preserve">Anubis 21%</t>
  </si>
  <si>
    <t xml:space="preserve">Dust2 19%</t>
  </si>
  <si>
    <t xml:space="preserve">HLTV veto: played, minus first-bans (no Map Picks)</t>
  </si>
  <si>
    <t xml:space="preserve">FUT</t>
  </si>
  <si>
    <t xml:space="preserve">TL</t>
  </si>
  <si>
    <t xml:space="preserve">CS2 · TS vs TYLOO</t>
  </si>
  <si>
    <t xml:space="preserve">Mirage 30%</t>
  </si>
  <si>
    <t xml:space="preserve">Ancient 23%</t>
  </si>
  <si>
    <t xml:space="preserve">Cache 16%</t>
  </si>
  <si>
    <t xml:space="preserve">TS</t>
  </si>
  <si>
    <t xml:space="preserve">TYLOO</t>
  </si>
  <si>
    <t xml:space="preserve">CS2 [NO MARKET] · ACE vs UNiTY</t>
  </si>
  <si>
    <t xml:space="preserve">Sun 04:00</t>
  </si>
  <si>
    <t xml:space="preserve">Inferno 20%</t>
  </si>
  <si>
    <t xml:space="preserve">Ancient 19%</t>
  </si>
  <si>
    <t xml:space="preserve">ACE</t>
  </si>
  <si>
    <t xml:space="preserve">UNiTY</t>
  </si>
  <si>
    <t xml:space="preserve">CS2 · BB vs NEMI</t>
  </si>
  <si>
    <t xml:space="preserve">Sun 06:00</t>
  </si>
  <si>
    <t xml:space="preserve">Ancient 21%</t>
  </si>
  <si>
    <t xml:space="preserve">Mirage 19%</t>
  </si>
  <si>
    <t xml:space="preserve">Dust2 17%</t>
  </si>
  <si>
    <t xml:space="preserve">BB</t>
  </si>
  <si>
    <t xml:space="preserve">NEMI</t>
  </si>
  <si>
    <t xml:space="preserve">CS2 · VIT vs MGLZ</t>
  </si>
  <si>
    <t xml:space="preserve">Dust2 25%</t>
  </si>
  <si>
    <t xml:space="preserve">Mirage 25%</t>
  </si>
  <si>
    <t xml:space="preserve">Inferno 21%</t>
  </si>
  <si>
    <t xml:space="preserve">VIT</t>
  </si>
  <si>
    <t xml:space="preserve">MGLZ</t>
  </si>
  <si>
    <t xml:space="preserve">CS2 [NO MARKET] · ACE vs INOX</t>
  </si>
  <si>
    <t xml:space="preserve">INOX (INOX)</t>
  </si>
  <si>
    <t xml:space="preserve">Dust2 26%</t>
  </si>
  <si>
    <t xml:space="preserve">Inferno 18%</t>
  </si>
  <si>
    <t xml:space="preserve">most-played by both rosters (no Map Picks)</t>
  </si>
  <si>
    <t xml:space="preserve">INOX</t>
  </si>
  <si>
    <t xml:space="preserve">CS2 [NO MARKET] · BAKS vs MZP</t>
  </si>
  <si>
    <t xml:space="preserve">Sun 07:00</t>
  </si>
  <si>
    <t xml:space="preserve">Cache 29%</t>
  </si>
  <si>
    <t xml:space="preserve">Nuke 26%</t>
  </si>
  <si>
    <t xml:space="preserve">Mirage 17%</t>
  </si>
  <si>
    <t xml:space="preserve">BAKS</t>
  </si>
  <si>
    <t xml:space="preserve">MZP</t>
  </si>
  <si>
    <t xml:space="preserve">CS2 · MOUZ vs 9z</t>
  </si>
  <si>
    <t xml:space="preserve">Sun 09:00</t>
  </si>
  <si>
    <t xml:space="preserve">Mirage 22%</t>
  </si>
  <si>
    <t xml:space="preserve">Dust2 20%</t>
  </si>
  <si>
    <t xml:space="preserve">Nuke 20%</t>
  </si>
  <si>
    <t xml:space="preserve">MOUZ</t>
  </si>
  <si>
    <t xml:space="preserve">9z</t>
  </si>
  <si>
    <t xml:space="preserve">CS2 · AUR vs G2</t>
  </si>
  <si>
    <t xml:space="preserve">Mirage 23%</t>
  </si>
  <si>
    <t xml:space="preserve">Inferno 23%</t>
  </si>
  <si>
    <t xml:space="preserve">Dust2 21%</t>
  </si>
  <si>
    <t xml:space="preserve">AUR</t>
  </si>
  <si>
    <t xml:space="preserve">G2</t>
  </si>
  <si>
    <t xml:space="preserve">CS2 · INF vs BRUTE</t>
  </si>
  <si>
    <t xml:space="preserve">Sun 10:00</t>
  </si>
  <si>
    <t xml:space="preserve">Dust2 31%</t>
  </si>
  <si>
    <t xml:space="preserve">Mirage 29%</t>
  </si>
  <si>
    <t xml:space="preserve">Nuke 15%</t>
  </si>
  <si>
    <t xml:space="preserve">INF</t>
  </si>
  <si>
    <t xml:space="preserve">BRUTE</t>
  </si>
  <si>
    <t xml:space="preserve">CS2 · LGC vs DEN</t>
  </si>
  <si>
    <t xml:space="preserve">Sun 12:00</t>
  </si>
  <si>
    <t xml:space="preserve">Mirage 28%</t>
  </si>
  <si>
    <t xml:space="preserve">Cache 18%</t>
  </si>
  <si>
    <t xml:space="preserve">LGC</t>
  </si>
  <si>
    <t xml:space="preserve">DEN</t>
  </si>
  <si>
    <t xml:space="preserve">CS2 · FURIA vs NAVI</t>
  </si>
  <si>
    <t xml:space="preserve">Mirage 21%</t>
  </si>
  <si>
    <t xml:space="preserve">Inferno 17%</t>
  </si>
  <si>
    <t xml:space="preserve">Nuke 16%</t>
  </si>
  <si>
    <t xml:space="preserve">FURIA</t>
  </si>
  <si>
    <t xml:space="preserve">NAVI</t>
  </si>
  <si>
    <t xml:space="preserve">CS2 · paiN vs BST</t>
  </si>
  <si>
    <t xml:space="preserve">Sun 13:00</t>
  </si>
  <si>
    <t xml:space="preserve">Dust2 27%</t>
  </si>
  <si>
    <t xml:space="preserve">Mirage 24%</t>
  </si>
  <si>
    <t xml:space="preserve">paiN</t>
  </si>
  <si>
    <t xml:space="preserve">BST</t>
  </si>
  <si>
    <t xml:space="preserve">CS2 · FORZE.R vs ex-RUSTEC</t>
  </si>
  <si>
    <t xml:space="preserve">Dust2 29%</t>
  </si>
  <si>
    <t xml:space="preserve">Nuke 24%</t>
  </si>
  <si>
    <t xml:space="preserve">Anubis 19%</t>
  </si>
  <si>
    <t xml:space="preserve">FORZE.R</t>
  </si>
  <si>
    <t xml:space="preserve">ex-RUSTEC</t>
  </si>
  <si>
    <t xml:space="preserve">CS2 [NO MARKET] · Color vs ex-ZT</t>
  </si>
  <si>
    <t xml:space="preserve">Dust2 30%</t>
  </si>
  <si>
    <t xml:space="preserve">Cache 24%</t>
  </si>
  <si>
    <t xml:space="preserve">Color</t>
  </si>
  <si>
    <t xml:space="preserve">ex-ZT</t>
  </si>
  <si>
    <t xml:space="preserve">Market</t>
  </si>
  <si>
    <t xml:space="preserve">Line</t>
  </si>
  <si>
    <t xml:space="preserve">Proj</t>
  </si>
  <si>
    <t xml:space="preserve">Sigma</t>
  </si>
  <si>
    <t xml:space="preserve">P(under)</t>
  </si>
  <si>
    <t xml:space="preserve">P(push)</t>
  </si>
  <si>
    <t xml:space="preserve">Model side (paper)</t>
  </si>
  <si>
    <t xml:space="preserve">TP book median</t>
  </si>
  <si>
    <t xml:space="preserve">PF Avg L10</t>
  </si>
  <si>
    <t xml:space="preserve">PF L5</t>
  </si>
  <si>
    <t xml:space="preserve">PF L15</t>
  </si>
  <si>
    <t xml:space="preserve">PF H2H</t>
  </si>
  <si>
    <t xml:space="preserve">PF streak</t>
  </si>
  <si>
    <t xml:space="preserve">Maps used</t>
  </si>
  <si>
    <t xml:space="preserve">Rounds used</t>
  </si>
  <si>
    <t xml:space="preserve">Calc key</t>
  </si>
  <si>
    <t xml:space="preserve">Code</t>
  </si>
  <si>
    <t xml:space="preserve">Lookup</t>
  </si>
  <si>
    <t xml:space="preserve">Proj adj</t>
  </si>
  <si>
    <t xml:space="preserve">Sigma adj</t>
  </si>
  <si>
    <t xml:space="preserve">P(over) adj</t>
  </si>
  <si>
    <t xml:space="preserve">P(under) adj</t>
  </si>
  <si>
    <t xml:space="preserve">Side adj (paper)</t>
  </si>
  <si>
    <t xml:space="preserve">El1an</t>
  </si>
  <si>
    <t xml:space="preserve">Maps 1-2 HS</t>
  </si>
  <si>
    <t xml:space="preserve">-</t>
  </si>
  <si>
    <t xml:space="preserve">q3hhhk7fp22ng9v|CS2 [NO MARKET] · ACE vs INOX</t>
  </si>
  <si>
    <t xml:space="preserve">H12</t>
  </si>
  <si>
    <t xml:space="preserve">Maps 1-2 Kills</t>
  </si>
  <si>
    <t xml:space="preserve">K12</t>
  </si>
  <si>
    <t xml:space="preserve">finW</t>
  </si>
  <si>
    <t xml:space="preserve">50%/1/2</t>
  </si>
  <si>
    <t xml:space="preserve">wtkbukkt9i8g1y0|CS2 [NO MARKET] · ACE vs INOX</t>
  </si>
  <si>
    <t xml:space="preserve">100%/2/2</t>
  </si>
  <si>
    <t xml:space="preserve">K0s</t>
  </si>
  <si>
    <t xml:space="preserve">67%/2/3</t>
  </si>
  <si>
    <t xml:space="preserve">m02i8zld44pmsf6|CS2 [NO MARKET] · ACE vs INOX</t>
  </si>
  <si>
    <t xml:space="preserve">k1slll</t>
  </si>
  <si>
    <t xml:space="preserve">0%/0/2</t>
  </si>
  <si>
    <t xml:space="preserve">jqawnnqgchzqat7|CS2 [NO MARKET] · ACE vs INOX</t>
  </si>
  <si>
    <t xml:space="preserve">m1QUSE</t>
  </si>
  <si>
    <t xml:space="preserve">0%/0/1</t>
  </si>
  <si>
    <t xml:space="preserve">6ztw7i4ms6nvy7y|CS2 [NO MARKET] · ACE vs INOX</t>
  </si>
  <si>
    <t xml:space="preserve">2high</t>
  </si>
  <si>
    <t xml:space="preserve">slm7b5sevqrznls|CS2 [NO MARKET] · ACE vs UNiTY</t>
  </si>
  <si>
    <t xml:space="preserve">Dytor</t>
  </si>
  <si>
    <t xml:space="preserve">9xneuyz69zuftic|CS2 [NO MARKET] · ACE vs UNiTY</t>
  </si>
  <si>
    <t xml:space="preserve">KWERTZZ</t>
  </si>
  <si>
    <t xml:space="preserve">100%/1/1</t>
  </si>
  <si>
    <t xml:space="preserve">efi7mmb5o1ctn6l|CS2 [NO MARKET] · ACE vs UNiTY</t>
  </si>
  <si>
    <t xml:space="preserve">M1key</t>
  </si>
  <si>
    <t xml:space="preserve">r0t80uiaisgetxr|CS2 [NO MARKET] · ACE vs UNiTY</t>
  </si>
  <si>
    <t xml:space="preserve">Sn0w</t>
  </si>
  <si>
    <t xml:space="preserve">c8wc8d745qhelxm|CS2 [NO MARKET] · ACE vs UNiTY</t>
  </si>
  <si>
    <t xml:space="preserve">F1KU</t>
  </si>
  <si>
    <t xml:space="preserve">h2c84157n2ymvv2|CS2 [NO MARKET] · BAKS vs MZP</t>
  </si>
  <si>
    <t xml:space="preserve">forsyy</t>
  </si>
  <si>
    <t xml:space="preserve">4bqrch5n45sx5u9|CS2 [NO MARKET] · BAKS vs MZP</t>
  </si>
  <si>
    <t xml:space="preserve">MaiL09</t>
  </si>
  <si>
    <t xml:space="preserve">cenz32hm5akyeqy|CS2 [NO MARKET] · BAKS vs MZP</t>
  </si>
  <si>
    <t xml:space="preserve">Plopski</t>
  </si>
  <si>
    <t xml:space="preserve">vwa09ypl40r89pt|CS2 [NO MARKET] · BAKS vs MZP</t>
  </si>
  <si>
    <t xml:space="preserve">stanislaw</t>
  </si>
  <si>
    <t xml:space="preserve">vl85mzwiy0ds144|CS2 [NO MARKET] · BAKS vs MZP</t>
  </si>
  <si>
    <t xml:space="preserve">cronuss</t>
  </si>
  <si>
    <t xml:space="preserve">0hbeigv9v9oomi7|CS2 [NO MARKET] · Color vs ex-ZT</t>
  </si>
  <si>
    <t xml:space="preserve">Oz1k</t>
  </si>
  <si>
    <t xml:space="preserve">x9afncgn4bx6f1l|CS2 [NO MARKET] · Color vs ex-ZT</t>
  </si>
  <si>
    <t xml:space="preserve">Jimpphat</t>
  </si>
  <si>
    <t xml:space="preserve">36%/4/11</t>
  </si>
  <si>
    <t xml:space="preserve">66ajrvmetqiufsf|CS2 · AUR vs G2</t>
  </si>
  <si>
    <t xml:space="preserve">46%/5/11</t>
  </si>
  <si>
    <t xml:space="preserve">kyxsan</t>
  </si>
  <si>
    <t xml:space="preserve">40%/4/10</t>
  </si>
  <si>
    <t xml:space="preserve">gzghvr1quamb0xn|CS2 · AUR vs G2</t>
  </si>
  <si>
    <t xml:space="preserve">70%/7/10</t>
  </si>
  <si>
    <t xml:space="preserve">Wicadia</t>
  </si>
  <si>
    <t xml:space="preserve">71%/5/7</t>
  </si>
  <si>
    <t xml:space="preserve">9clq2dpvqugkf0i|CS2 · AUR vs G2</t>
  </si>
  <si>
    <t xml:space="preserve">57%/4/7</t>
  </si>
  <si>
    <t xml:space="preserve">woxic</t>
  </si>
  <si>
    <t xml:space="preserve">43%/3/7</t>
  </si>
  <si>
    <t xml:space="preserve">lpkyyhtoofj8ova|CS2 · AUR vs G2</t>
  </si>
  <si>
    <t xml:space="preserve">XANTARES</t>
  </si>
  <si>
    <t xml:space="preserve">29%/2/7</t>
  </si>
  <si>
    <t xml:space="preserve">zauqna21klkp1rt|CS2 · AUR vs G2</t>
  </si>
  <si>
    <t xml:space="preserve">HeavyGod</t>
  </si>
  <si>
    <t xml:space="preserve">83%/5/6</t>
  </si>
  <si>
    <t xml:space="preserve">tyf3s6dikrrtlem|CS2 · AUR vs G2</t>
  </si>
  <si>
    <t xml:space="preserve">huNter-</t>
  </si>
  <si>
    <t xml:space="preserve">50%/2/4</t>
  </si>
  <si>
    <t xml:space="preserve">ikw7yck0lcpdqwz|CS2 · AUR vs G2</t>
  </si>
  <si>
    <t xml:space="preserve">MATYS</t>
  </si>
  <si>
    <t xml:space="preserve">60%/3/5</t>
  </si>
  <si>
    <t xml:space="preserve">5l639x0qis2rfwi|CS2 · AUR vs G2</t>
  </si>
  <si>
    <t xml:space="preserve">NertZ</t>
  </si>
  <si>
    <t xml:space="preserve">50%/3/6</t>
  </si>
  <si>
    <t xml:space="preserve">ysvz6uswynmfc98|CS2 · AUR vs G2</t>
  </si>
  <si>
    <t xml:space="preserve">r1nkle</t>
  </si>
  <si>
    <t xml:space="preserve">60%/6/10</t>
  </si>
  <si>
    <t xml:space="preserve">3v2vw55rjp5df2r|CS2 · AUR vs G2</t>
  </si>
  <si>
    <t xml:space="preserve">90%/9/10</t>
  </si>
  <si>
    <t xml:space="preserve">Boombl4</t>
  </si>
  <si>
    <t xml:space="preserve">75r40osa6cjt3o0|CS2 · BB vs NEMI</t>
  </si>
  <si>
    <t xml:space="preserve">d1Ledez</t>
  </si>
  <si>
    <t xml:space="preserve">20%/1/5</t>
  </si>
  <si>
    <t xml:space="preserve">kgpnwz42wxtq29r|CS2 · BB vs NEMI</t>
  </si>
  <si>
    <t xml:space="preserve">Magnojez</t>
  </si>
  <si>
    <t xml:space="preserve">100%/3/3</t>
  </si>
  <si>
    <t xml:space="preserve">w2jejpg0j9hthoo|CS2 · BB vs NEMI</t>
  </si>
  <si>
    <t xml:space="preserve">s1ren</t>
  </si>
  <si>
    <t xml:space="preserve">75%/3/4</t>
  </si>
  <si>
    <t xml:space="preserve">bn3mlvy0cst11z3|CS2 · BB vs NEMI</t>
  </si>
  <si>
    <t xml:space="preserve">zorte</t>
  </si>
  <si>
    <t xml:space="preserve">c4m3zncm4mxvzoh|CS2 · BB vs NEMI</t>
  </si>
  <si>
    <t xml:space="preserve">KaiR0N</t>
  </si>
  <si>
    <t xml:space="preserve">fhr6sqp0a6355ky|CS2 · BB vs NEMI</t>
  </si>
  <si>
    <t xml:space="preserve">khaN</t>
  </si>
  <si>
    <t xml:space="preserve">sj7nkpqagh6m88h|CS2 · BB vs NEMI</t>
  </si>
  <si>
    <t xml:space="preserve">robo</t>
  </si>
  <si>
    <t xml:space="preserve">ewe4j1nrqwzs0q7|CS2 · BB vs NEMI</t>
  </si>
  <si>
    <t xml:space="preserve">syph0</t>
  </si>
  <si>
    <t xml:space="preserve">f00llyg1ocypenv|CS2 · BB vs NEMI</t>
  </si>
  <si>
    <t xml:space="preserve">Xant3r</t>
  </si>
  <si>
    <t xml:space="preserve">25%/1/4</t>
  </si>
  <si>
    <t xml:space="preserve">jc1nf38p0b44dfy|CS2 · BB vs NEMI</t>
  </si>
  <si>
    <t xml:space="preserve">HeCkBNk</t>
  </si>
  <si>
    <t xml:space="preserve">012uwaetq7hevsp|CS2 · FORZE.R vs ex-RUSTEC</t>
  </si>
  <si>
    <t xml:space="preserve">KusMe</t>
  </si>
  <si>
    <t xml:space="preserve">2s3qwqpg7uefnn7|CS2 · FORZE.R vs ex-RUSTEC</t>
  </si>
  <si>
    <t xml:space="preserve">Lack1</t>
  </si>
  <si>
    <t xml:space="preserve">798yw8my6zycp2s|CS2 · FORZE.R vs ex-RUSTEC</t>
  </si>
  <si>
    <t xml:space="preserve">NickelBack</t>
  </si>
  <si>
    <t xml:space="preserve">udiua4ttm49q2v4|CS2 · FORZE.R vs ex-RUSTEC</t>
  </si>
  <si>
    <t xml:space="preserve">YumsaN</t>
  </si>
  <si>
    <t xml:space="preserve">fcekd28mes5c7xs|CS2 · FORZE.R vs ex-RUSTEC</t>
  </si>
  <si>
    <t xml:space="preserve">bl1x1</t>
  </si>
  <si>
    <t xml:space="preserve">u2qbkafgxd78s8o|CS2 · FORZE.R vs ex-RUSTEC</t>
  </si>
  <si>
    <t xml:space="preserve">Brilliance</t>
  </si>
  <si>
    <t xml:space="preserve">0%/0/3</t>
  </si>
  <si>
    <t xml:space="preserve">ib0ui40iou8m5h8|CS2 · FORZE.R vs ex-RUSTEC</t>
  </si>
  <si>
    <t xml:space="preserve">33%/1/3</t>
  </si>
  <si>
    <t xml:space="preserve">jakekeS</t>
  </si>
  <si>
    <t xml:space="preserve">5efm2s88qbsnvv0|CS2 · FORZE.R vs ex-RUSTEC</t>
  </si>
  <si>
    <t xml:space="preserve">yiksrezo</t>
  </si>
  <si>
    <t xml:space="preserve">dvwiagwt3fsxpwe|CS2 · FORZE.R vs ex-RUSTEC</t>
  </si>
  <si>
    <t xml:space="preserve">youka</t>
  </si>
  <si>
    <t xml:space="preserve">41ry45brll61gbm|CS2 · FORZE.R vs ex-RUSTEC</t>
  </si>
  <si>
    <t xml:space="preserve">FalleN</t>
  </si>
  <si>
    <t xml:space="preserve">0%/0/8</t>
  </si>
  <si>
    <t xml:space="preserve">upsdzrueyrfmr1m|CS2 · FURIA vs NAVI</t>
  </si>
  <si>
    <t xml:space="preserve">38%/3/8</t>
  </si>
  <si>
    <t xml:space="preserve">KSCERATO</t>
  </si>
  <si>
    <t xml:space="preserve">50%/4/8</t>
  </si>
  <si>
    <t xml:space="preserve">xlunjfskczbvxwn|CS2 · FURIA vs NAVI</t>
  </si>
  <si>
    <t xml:space="preserve">molodoy</t>
  </si>
  <si>
    <t xml:space="preserve">0%/0/4</t>
  </si>
  <si>
    <t xml:space="preserve">g1czin1kua6nls5|CS2 · FURIA vs NAVI</t>
  </si>
  <si>
    <t xml:space="preserve">YEKINDAR</t>
  </si>
  <si>
    <t xml:space="preserve">14%/1/7</t>
  </si>
  <si>
    <t xml:space="preserve">vl5i6xbqmsocy69|CS2 · FURIA vs NAVI</t>
  </si>
  <si>
    <t xml:space="preserve">yuurih</t>
  </si>
  <si>
    <t xml:space="preserve">npowbduexyegr6i|CS2 · FURIA vs NAVI</t>
  </si>
  <si>
    <t xml:space="preserve">63%/5/8</t>
  </si>
  <si>
    <t xml:space="preserve">Aleksib</t>
  </si>
  <si>
    <t xml:space="preserve">13%/1/8</t>
  </si>
  <si>
    <t xml:space="preserve">509x6s2e70l3hhg|CS2 · FURIA vs NAVI</t>
  </si>
  <si>
    <t xml:space="preserve">25%/2/8</t>
  </si>
  <si>
    <t xml:space="preserve">b1t</t>
  </si>
  <si>
    <t xml:space="preserve">2y1yay7td9d3pb6|CS2 · FURIA vs NAVI</t>
  </si>
  <si>
    <t xml:space="preserve">iM</t>
  </si>
  <si>
    <t xml:space="preserve">75%/6/8</t>
  </si>
  <si>
    <t xml:space="preserve">6fnysfxfr7gofjk|CS2 · FURIA vs NAVI</t>
  </si>
  <si>
    <t xml:space="preserve">makazze</t>
  </si>
  <si>
    <t xml:space="preserve">6oi74s8csyxqh63|CS2 · FURIA vs NAVI</t>
  </si>
  <si>
    <t xml:space="preserve">w0nderful</t>
  </si>
  <si>
    <t xml:space="preserve">9wdj3z2kekttkk3|CS2 · FURIA vs NAVI</t>
  </si>
  <si>
    <t xml:space="preserve">Dem0N</t>
  </si>
  <si>
    <t xml:space="preserve">w5k5az5ca72wkvb|CS2 · FUT vs TL</t>
  </si>
  <si>
    <t xml:space="preserve">dziugss</t>
  </si>
  <si>
    <t xml:space="preserve">jf6rt002svd50mx|CS2 · FUT vs TL</t>
  </si>
  <si>
    <t xml:space="preserve">Krabeni</t>
  </si>
  <si>
    <t xml:space="preserve">rhz6c2hq5wcant1|CS2 · FUT vs TL</t>
  </si>
  <si>
    <t xml:space="preserve">SunPayus</t>
  </si>
  <si>
    <t xml:space="preserve">40%/2/5</t>
  </si>
  <si>
    <t xml:space="preserve">xwyhvw38gardzpx|CS2 · FUT vs TL</t>
  </si>
  <si>
    <t xml:space="preserve">xfl0ud</t>
  </si>
  <si>
    <t xml:space="preserve">lj8zw2mudcbj35u|CS2 · FUT vs TL</t>
  </si>
  <si>
    <t xml:space="preserve">EliGE</t>
  </si>
  <si>
    <t xml:space="preserve">we8rbjpf65bc2tn|CS2 · FUT vs TL</t>
  </si>
  <si>
    <t xml:space="preserve">Jorko</t>
  </si>
  <si>
    <t xml:space="preserve">eb7cqiuc8bqx4zr|CS2 · FUT vs TL</t>
  </si>
  <si>
    <t xml:space="preserve">JT</t>
  </si>
  <si>
    <t xml:space="preserve">j4y4z5p4stvkatz|CS2 · FUT vs TL</t>
  </si>
  <si>
    <t xml:space="preserve">malbsMd</t>
  </si>
  <si>
    <t xml:space="preserve">30ba4vwtbgb75sn|CS2 · FUT vs TL</t>
  </si>
  <si>
    <t xml:space="preserve">NAF</t>
  </si>
  <si>
    <t xml:space="preserve">as14gj4lvoykr11|CS2 · FUT vs TL</t>
  </si>
  <si>
    <t xml:space="preserve">nbqq</t>
  </si>
  <si>
    <t xml:space="preserve">l65e6bpbpsopabo|CS2 · INF vs BRUTE</t>
  </si>
  <si>
    <t xml:space="preserve">tAk</t>
  </si>
  <si>
    <t xml:space="preserve">2fcfnso9a3rhpcr|CS2 · INF vs BRUTE</t>
  </si>
  <si>
    <t xml:space="preserve">ZEDKO</t>
  </si>
  <si>
    <t xml:space="preserve">a5ni4ejys4e3xjq|CS2 · INF vs BRUTE</t>
  </si>
  <si>
    <t xml:space="preserve">kyuubii</t>
  </si>
  <si>
    <t xml:space="preserve">80bybpfrkhru947|CS2 · INF vs BRUTE</t>
  </si>
  <si>
    <t xml:space="preserve">ScrunK</t>
  </si>
  <si>
    <t xml:space="preserve">wcfyexekmhuiiin|CS2 · INF vs BRUTE</t>
  </si>
  <si>
    <t xml:space="preserve">sl3nd</t>
  </si>
  <si>
    <t xml:space="preserve">9ycphxjddne0u4w|CS2 · INF vs BRUTE</t>
  </si>
  <si>
    <t xml:space="preserve">volt</t>
  </si>
  <si>
    <t xml:space="preserve">12s4j1y56sietsk|CS2 · INF vs BRUTE</t>
  </si>
  <si>
    <t xml:space="preserve">doc</t>
  </si>
  <si>
    <t xml:space="preserve">oilrc57yb4vi4v4|CS2 · LGC vs DEN</t>
  </si>
  <si>
    <t xml:space="preserve">Gafolo</t>
  </si>
  <si>
    <t xml:space="preserve">80%/4/5</t>
  </si>
  <si>
    <t xml:space="preserve">xq939tnpy5hluwa|CS2 · LGC vs DEN</t>
  </si>
  <si>
    <t xml:space="preserve">koala</t>
  </si>
  <si>
    <t xml:space="preserve">at2vo8jmt9hrk3m|CS2 · LGC vs DEN</t>
  </si>
  <si>
    <t xml:space="preserve">maxxkor</t>
  </si>
  <si>
    <t xml:space="preserve">sir58v1hxyyne29|CS2 · LGC vs DEN</t>
  </si>
  <si>
    <t xml:space="preserve">rdnzao</t>
  </si>
  <si>
    <t xml:space="preserve">a0u1qo22a3z9rh8|CS2 · LGC vs DEN</t>
  </si>
  <si>
    <t xml:space="preserve">arT</t>
  </si>
  <si>
    <t xml:space="preserve">6ihem6avn05n11t|CS2 · LGC vs DEN</t>
  </si>
  <si>
    <t xml:space="preserve">dumau</t>
  </si>
  <si>
    <t xml:space="preserve">fegzpn598j6etni|CS2 · LGC vs DEN</t>
  </si>
  <si>
    <t xml:space="preserve">latto</t>
  </si>
  <si>
    <t xml:space="preserve">1wpbb1hb0wgcwoh|CS2 · LGC vs DEN</t>
  </si>
  <si>
    <t xml:space="preserve">n1ssim</t>
  </si>
  <si>
    <t xml:space="preserve">wgxwl9snnyzsfwq|CS2 · LGC vs DEN</t>
  </si>
  <si>
    <t xml:space="preserve">try</t>
  </si>
  <si>
    <t xml:space="preserve">qtomd625i03qfpk|CS2 · LGC vs DEN</t>
  </si>
  <si>
    <t xml:space="preserve">dgt</t>
  </si>
  <si>
    <t xml:space="preserve">id2uf5ot80ms5oo|CS2 · MOUZ vs 9z</t>
  </si>
  <si>
    <t xml:space="preserve">HUASOPEEK</t>
  </si>
  <si>
    <t xml:space="preserve">fg52qcdy7yej5d9|CS2 · MOUZ vs 9z</t>
  </si>
  <si>
    <t xml:space="preserve">luchov</t>
  </si>
  <si>
    <t xml:space="preserve">uf3pcvx03g3k6xm|CS2 · MOUZ vs 9z</t>
  </si>
  <si>
    <t xml:space="preserve">max</t>
  </si>
  <si>
    <t xml:space="preserve">2l8hxj94mm620bg|CS2 · MOUZ vs 9z</t>
  </si>
  <si>
    <t xml:space="preserve">meyern</t>
  </si>
  <si>
    <t xml:space="preserve">pumzitjp9bsniic|CS2 · MOUZ vs 9z</t>
  </si>
  <si>
    <t xml:space="preserve">PR</t>
  </si>
  <si>
    <t xml:space="preserve">pddkiy5mogisq4i|CS2 · MOUZ vs 9z</t>
  </si>
  <si>
    <t xml:space="preserve">Spinx</t>
  </si>
  <si>
    <t xml:space="preserve">qlzigrqycoim5ix|CS2 · MOUZ vs 9z</t>
  </si>
  <si>
    <t xml:space="preserve">torzsi</t>
  </si>
  <si>
    <t xml:space="preserve">jk73jbuxys7dhxb|CS2 · MOUZ vs 9z</t>
  </si>
  <si>
    <t xml:space="preserve">xelex</t>
  </si>
  <si>
    <t xml:space="preserve">zs2lsmobreb35xn|CS2 · MOUZ vs 9z</t>
  </si>
  <si>
    <t xml:space="preserve">xertioN</t>
  </si>
  <si>
    <t xml:space="preserve">ih00nznuepxs9r3|CS2 · MOUZ vs 9z</t>
  </si>
  <si>
    <t xml:space="preserve">donk</t>
  </si>
  <si>
    <t xml:space="preserve">jm8g7f19qs3a8gx|CS2 · TS vs TYLOO</t>
  </si>
  <si>
    <t xml:space="preserve">magixx</t>
  </si>
  <si>
    <t xml:space="preserve">lfjx2i4g14pwgag|CS2 · TS vs TYLOO</t>
  </si>
  <si>
    <t xml:space="preserve">sh1ro</t>
  </si>
  <si>
    <t xml:space="preserve">4hpvy9eb05vcrre|CS2 · TS vs TYLOO</t>
  </si>
  <si>
    <t xml:space="preserve">tN1R</t>
  </si>
  <si>
    <t xml:space="preserve">23ihz3d4vuve2an|CS2 · TS vs TYLOO</t>
  </si>
  <si>
    <t xml:space="preserve">zont1x</t>
  </si>
  <si>
    <t xml:space="preserve">4wgqqpezywhvfib|CS2 · TS vs TYLOO</t>
  </si>
  <si>
    <t xml:space="preserve">JamYoung</t>
  </si>
  <si>
    <t xml:space="preserve">eolw6ia2z9ydnyh|CS2 · TS vs TYLOO</t>
  </si>
  <si>
    <t xml:space="preserve">Jee</t>
  </si>
  <si>
    <t xml:space="preserve">p3z2zy4su4m4nh0|CS2 · TS vs TYLOO</t>
  </si>
  <si>
    <t xml:space="preserve">Mercury</t>
  </si>
  <si>
    <t xml:space="preserve">7jjpyjuolf7cdlx|CS2 · TS vs TYLOO</t>
  </si>
  <si>
    <t xml:space="preserve">Moseyuh</t>
  </si>
  <si>
    <t xml:space="preserve">ypfqlkrrqevp8h4|CS2 · TS vs TYLOO</t>
  </si>
  <si>
    <t xml:space="preserve">zero</t>
  </si>
  <si>
    <t xml:space="preserve">8xh80pn743zwzp0|CS2 · TS vs TYLOO</t>
  </si>
  <si>
    <t xml:space="preserve">910</t>
  </si>
  <si>
    <t xml:space="preserve">36%/5/14</t>
  </si>
  <si>
    <t xml:space="preserve">5ttqna5u230tb49|CS2 · VIT vs MGLZ</t>
  </si>
  <si>
    <t xml:space="preserve">57%/8/14</t>
  </si>
  <si>
    <t xml:space="preserve">bLitz</t>
  </si>
  <si>
    <t xml:space="preserve">50%/7/14</t>
  </si>
  <si>
    <t xml:space="preserve">56bqvguml6vhetk|CS2 · VIT vs MGLZ</t>
  </si>
  <si>
    <t xml:space="preserve">cobrazera</t>
  </si>
  <si>
    <t xml:space="preserve">01464eymprqfx0w|CS2 · VIT vs MGLZ</t>
  </si>
  <si>
    <t xml:space="preserve">nin9</t>
  </si>
  <si>
    <t xml:space="preserve">dobeml44vsvpy4d|CS2 · VIT vs MGLZ</t>
  </si>
  <si>
    <t xml:space="preserve">Techno</t>
  </si>
  <si>
    <t xml:space="preserve">64%/9/14</t>
  </si>
  <si>
    <t xml:space="preserve">f34szm5kcyom32u|CS2 · VIT vs MGLZ</t>
  </si>
  <si>
    <t xml:space="preserve">flameZ</t>
  </si>
  <si>
    <t xml:space="preserve">uiy2ot3l9f0c2i9|CS2 · VIT vs MGLZ</t>
  </si>
  <si>
    <t xml:space="preserve">43%/6/14</t>
  </si>
  <si>
    <t xml:space="preserve">jL</t>
  </si>
  <si>
    <t xml:space="preserve">frzabcozzj3obrl|CS2 · VIT vs MGLZ</t>
  </si>
  <si>
    <t xml:space="preserve">mezii</t>
  </si>
  <si>
    <t xml:space="preserve">w4swyv4mqy1ob42|CS2 · VIT vs MGLZ</t>
  </si>
  <si>
    <t xml:space="preserve">ropz</t>
  </si>
  <si>
    <t xml:space="preserve">33%/4/12</t>
  </si>
  <si>
    <t xml:space="preserve">jbs33yc6r5ra8l4|CS2 · VIT vs MGLZ</t>
  </si>
  <si>
    <t xml:space="preserve">50%/6/12</t>
  </si>
  <si>
    <t xml:space="preserve">ZywOo</t>
  </si>
  <si>
    <t xml:space="preserve">6vanqemhsqez4mc|CS2 · VIT vs MGLZ</t>
  </si>
  <si>
    <t xml:space="preserve">71%/10/14</t>
  </si>
  <si>
    <t xml:space="preserve">Buda</t>
  </si>
  <si>
    <t xml:space="preserve">x1hr6fp37qryd4d|CS2 · paiN vs BST</t>
  </si>
  <si>
    <t xml:space="preserve">cass1n</t>
  </si>
  <si>
    <t xml:space="preserve">px5zu5wf6psxdo7|CS2 · paiN vs BST</t>
  </si>
  <si>
    <t xml:space="preserve">drop</t>
  </si>
  <si>
    <t xml:space="preserve">33%/3/9</t>
  </si>
  <si>
    <t xml:space="preserve">w2pkqdsxhev22e4|CS2 · paiN vs BST</t>
  </si>
  <si>
    <t xml:space="preserve">kauez</t>
  </si>
  <si>
    <t xml:space="preserve">h7nuz2cmw8wvh2s|CS2 · paiN vs BST</t>
  </si>
  <si>
    <t xml:space="preserve">timo</t>
  </si>
  <si>
    <t xml:space="preserve">coz7ncv7hdezsk9|CS2 · paiN vs BST</t>
  </si>
  <si>
    <t xml:space="preserve">biguzera</t>
  </si>
  <si>
    <t xml:space="preserve">3cunzce5pb15xlw|CS2 · paiN vs BST</t>
  </si>
  <si>
    <t xml:space="preserve">Rkzinho</t>
  </si>
  <si>
    <t xml:space="preserve">1p3p5e3dcd3rbvt|CS2 · paiN vs BST</t>
  </si>
  <si>
    <t xml:space="preserve">saffee</t>
  </si>
  <si>
    <t xml:space="preserve">d1hn3as545n029p|CS2 · paiN vs BST</t>
  </si>
  <si>
    <t xml:space="preserve">Tatu</t>
  </si>
  <si>
    <t xml:space="preserve">tkkenn22b7r5gfa|CS2 · paiN vs BST</t>
  </si>
  <si>
    <t xml:space="preserve">Key</t>
  </si>
  <si>
    <t xml:space="preserve">PID</t>
  </si>
  <si>
    <t xml:space="preserve">R1</t>
  </si>
  <si>
    <t xml:space="preserve">R2</t>
  </si>
  <si>
    <t xml:space="preserve">R3</t>
  </si>
  <si>
    <t xml:space="preserve">P3</t>
  </si>
  <si>
    <t xml:space="preserve">Sample maps</t>
  </si>
  <si>
    <t xml:space="preserve">KPR all</t>
  </si>
  <si>
    <t xml:space="preserve">HS% all</t>
  </si>
  <si>
    <t xml:space="preserve">M1 n</t>
  </si>
  <si>
    <t xml:space="preserve">M1 KPR raw</t>
  </si>
  <si>
    <t xml:space="preserve">M1 HS raw</t>
  </si>
  <si>
    <t xml:space="preserve">M1 KPR</t>
  </si>
  <si>
    <t xml:space="preserve">M1 HS%</t>
  </si>
  <si>
    <t xml:space="preserve">M1 Kills</t>
  </si>
  <si>
    <t xml:space="preserve">M1 HS</t>
  </si>
  <si>
    <t xml:space="preserve">M2 n</t>
  </si>
  <si>
    <t xml:space="preserve">M2 KPR raw</t>
  </si>
  <si>
    <t xml:space="preserve">M2 HS raw</t>
  </si>
  <si>
    <t xml:space="preserve">M2 KPR</t>
  </si>
  <si>
    <t xml:space="preserve">M2 HS%</t>
  </si>
  <si>
    <t xml:space="preserve">M2 Kills</t>
  </si>
  <si>
    <t xml:space="preserve">M2 HS</t>
  </si>
  <si>
    <t xml:space="preserve">M3 n</t>
  </si>
  <si>
    <t xml:space="preserve">M3 KPR raw</t>
  </si>
  <si>
    <t xml:space="preserve">M3 HS raw</t>
  </si>
  <si>
    <t xml:space="preserve">M3 KPR</t>
  </si>
  <si>
    <t xml:space="preserve">M3 HS%</t>
  </si>
  <si>
    <t xml:space="preserve">M3 Kills</t>
  </si>
  <si>
    <t xml:space="preserve">M3 HS</t>
  </si>
  <si>
    <t xml:space="preserve">Kills 1-3</t>
  </si>
  <si>
    <t xml:space="preserve">HS 1-3</t>
  </si>
  <si>
    <t xml:space="preserve">Board rank</t>
  </si>
  <si>
    <t xml:space="preserve">Side</t>
  </si>
  <si>
    <t xml:space="preserve">Hist share</t>
  </si>
  <si>
    <t xml:space="preserve">M1 share</t>
  </si>
  <si>
    <t xml:space="preserve">M1 mult</t>
  </si>
  <si>
    <t xml:space="preserve">M2 share</t>
  </si>
  <si>
    <t xml:space="preserve">M2 mult</t>
  </si>
  <si>
    <t xml:space="preserve">M3 share</t>
  </si>
  <si>
    <t xml:space="preserve">M3 mult</t>
  </si>
  <si>
    <t xml:space="preserve">M1 Kills adj</t>
  </si>
  <si>
    <t xml:space="preserve">M2 Kills adj</t>
  </si>
  <si>
    <t xml:space="preserve">M3 Kills adj</t>
  </si>
  <si>
    <t xml:space="preserve">Kills 1-2 adj</t>
  </si>
  <si>
    <t xml:space="preserve">Kills 1-3 adj</t>
  </si>
  <si>
    <t xml:space="preserve">M1 HS adj</t>
  </si>
  <si>
    <t xml:space="preserve">M2 HS adj</t>
  </si>
  <si>
    <t xml:space="preserve">M3 HS adj</t>
  </si>
  <si>
    <t xml:space="preserve">HS 1-2 adj</t>
  </si>
  <si>
    <t xml:space="preserve">HS 1-3 adj</t>
  </si>
  <si>
    <t xml:space="preserve">Diff mult 1-2</t>
  </si>
  <si>
    <t xml:space="preserve">q3hhhk7fp22ng9v</t>
  </si>
  <si>
    <t xml:space="preserve">wtkbukkt9i8g1y0</t>
  </si>
  <si>
    <t xml:space="preserve">m02i8zld44pmsf6</t>
  </si>
  <si>
    <t xml:space="preserve">jqawnnqgchzqat7</t>
  </si>
  <si>
    <t xml:space="preserve">6ztw7i4ms6nvy7y</t>
  </si>
  <si>
    <t xml:space="preserve">slm7b5sevqrznls</t>
  </si>
  <si>
    <t xml:space="preserve">9xneuyz69zuftic</t>
  </si>
  <si>
    <t xml:space="preserve">efi7mmb5o1ctn6l</t>
  </si>
  <si>
    <t xml:space="preserve">r0t80uiaisgetxr</t>
  </si>
  <si>
    <t xml:space="preserve">c8wc8d745qhelxm</t>
  </si>
  <si>
    <t xml:space="preserve">h2c84157n2ymvv2</t>
  </si>
  <si>
    <t xml:space="preserve">4bqrch5n45sx5u9</t>
  </si>
  <si>
    <t xml:space="preserve">cenz32hm5akyeqy</t>
  </si>
  <si>
    <t xml:space="preserve">vwa09ypl40r89pt</t>
  </si>
  <si>
    <t xml:space="preserve">vl85mzwiy0ds144</t>
  </si>
  <si>
    <t xml:space="preserve">0hbeigv9v9oomi7</t>
  </si>
  <si>
    <t xml:space="preserve">x9afncgn4bx6f1l</t>
  </si>
  <si>
    <t xml:space="preserve">66ajrvmetqiufsf</t>
  </si>
  <si>
    <t xml:space="preserve">gzghvr1quamb0xn</t>
  </si>
  <si>
    <t xml:space="preserve">9clq2dpvqugkf0i</t>
  </si>
  <si>
    <t xml:space="preserve">lpkyyhtoofj8ova</t>
  </si>
  <si>
    <t xml:space="preserve">zauqna21klkp1rt</t>
  </si>
  <si>
    <t xml:space="preserve">tyf3s6dikrrtlem</t>
  </si>
  <si>
    <t xml:space="preserve">ikw7yck0lcpdqwz</t>
  </si>
  <si>
    <t xml:space="preserve">5l639x0qis2rfwi</t>
  </si>
  <si>
    <t xml:space="preserve">ysvz6uswynmfc98</t>
  </si>
  <si>
    <t xml:space="preserve">3v2vw55rjp5df2r</t>
  </si>
  <si>
    <t xml:space="preserve">75r40osa6cjt3o0</t>
  </si>
  <si>
    <t xml:space="preserve">kgpnwz42wxtq29r</t>
  </si>
  <si>
    <t xml:space="preserve">w2jejpg0j9hthoo</t>
  </si>
  <si>
    <t xml:space="preserve">bn3mlvy0cst11z3</t>
  </si>
  <si>
    <t xml:space="preserve">c4m3zncm4mxvzoh</t>
  </si>
  <si>
    <t xml:space="preserve">fhr6sqp0a6355ky</t>
  </si>
  <si>
    <t xml:space="preserve">sj7nkpqagh6m88h</t>
  </si>
  <si>
    <t xml:space="preserve">ewe4j1nrqwzs0q7</t>
  </si>
  <si>
    <t xml:space="preserve">f00llyg1ocypenv</t>
  </si>
  <si>
    <t xml:space="preserve">jc1nf38p0b44dfy</t>
  </si>
  <si>
    <t xml:space="preserve">012uwaetq7hevsp</t>
  </si>
  <si>
    <t xml:space="preserve">2s3qwqpg7uefnn7</t>
  </si>
  <si>
    <t xml:space="preserve">798yw8my6zycp2s</t>
  </si>
  <si>
    <t xml:space="preserve">udiua4ttm49q2v4</t>
  </si>
  <si>
    <t xml:space="preserve">fcekd28mes5c7xs</t>
  </si>
  <si>
    <t xml:space="preserve">u2qbkafgxd78s8o</t>
  </si>
  <si>
    <t xml:space="preserve">ib0ui40iou8m5h8</t>
  </si>
  <si>
    <t xml:space="preserve">5efm2s88qbsnvv0</t>
  </si>
  <si>
    <t xml:space="preserve">dvwiagwt3fsxpwe</t>
  </si>
  <si>
    <t xml:space="preserve">41ry45brll61gbm</t>
  </si>
  <si>
    <t xml:space="preserve">upsdzrueyrfmr1m</t>
  </si>
  <si>
    <t xml:space="preserve">xlunjfskczbvxwn</t>
  </si>
  <si>
    <t xml:space="preserve">g1czin1kua6nls5</t>
  </si>
  <si>
    <t xml:space="preserve">vl5i6xbqmsocy69</t>
  </si>
  <si>
    <t xml:space="preserve">npowbduexyegr6i</t>
  </si>
  <si>
    <t xml:space="preserve">509x6s2e70l3hhg</t>
  </si>
  <si>
    <t xml:space="preserve">2y1yay7td9d3pb6</t>
  </si>
  <si>
    <t xml:space="preserve">6fnysfxfr7gofjk</t>
  </si>
  <si>
    <t xml:space="preserve">6oi74s8csyxqh63</t>
  </si>
  <si>
    <t xml:space="preserve">9wdj3z2kekttkk3</t>
  </si>
  <si>
    <t xml:space="preserve">w5k5az5ca72wkvb</t>
  </si>
  <si>
    <t xml:space="preserve">jf6rt002svd50mx</t>
  </si>
  <si>
    <t xml:space="preserve">rhz6c2hq5wcant1</t>
  </si>
  <si>
    <t xml:space="preserve">xwyhvw38gardzpx</t>
  </si>
  <si>
    <t xml:space="preserve">lj8zw2mudcbj35u</t>
  </si>
  <si>
    <t xml:space="preserve">we8rbjpf65bc2tn</t>
  </si>
  <si>
    <t xml:space="preserve">eb7cqiuc8bqx4zr</t>
  </si>
  <si>
    <t xml:space="preserve">j4y4z5p4stvkatz</t>
  </si>
  <si>
    <t xml:space="preserve">30ba4vwtbgb75sn</t>
  </si>
  <si>
    <t xml:space="preserve">as14gj4lvoykr11</t>
  </si>
  <si>
    <t xml:space="preserve">l65e6bpbpsopabo</t>
  </si>
  <si>
    <t xml:space="preserve">2fcfnso9a3rhpcr</t>
  </si>
  <si>
    <t xml:space="preserve">a5ni4ejys4e3xjq</t>
  </si>
  <si>
    <t xml:space="preserve">80bybpfrkhru947</t>
  </si>
  <si>
    <t xml:space="preserve">wcfyexekmhuiiin</t>
  </si>
  <si>
    <t xml:space="preserve">9ycphxjddne0u4w</t>
  </si>
  <si>
    <t xml:space="preserve">12s4j1y56sietsk</t>
  </si>
  <si>
    <t xml:space="preserve">oilrc57yb4vi4v4</t>
  </si>
  <si>
    <t xml:space="preserve">xq939tnpy5hluwa</t>
  </si>
  <si>
    <t xml:space="preserve">at2vo8jmt9hrk3m</t>
  </si>
  <si>
    <t xml:space="preserve">sir58v1hxyyne29</t>
  </si>
  <si>
    <t xml:space="preserve">a0u1qo22a3z9rh8</t>
  </si>
  <si>
    <t xml:space="preserve">6ihem6avn05n11t</t>
  </si>
  <si>
    <t xml:space="preserve">fegzpn598j6etni</t>
  </si>
  <si>
    <t xml:space="preserve">1wpbb1hb0wgcwoh</t>
  </si>
  <si>
    <t xml:space="preserve">wgxwl9snnyzsfwq</t>
  </si>
  <si>
    <t xml:space="preserve">qtomd625i03qfpk</t>
  </si>
  <si>
    <t xml:space="preserve">id2uf5ot80ms5oo</t>
  </si>
  <si>
    <t xml:space="preserve">fg52qcdy7yej5d9</t>
  </si>
  <si>
    <t xml:space="preserve">uf3pcvx03g3k6xm</t>
  </si>
  <si>
    <t xml:space="preserve">2l8hxj94mm620bg</t>
  </si>
  <si>
    <t xml:space="preserve">pumzitjp9bsniic</t>
  </si>
  <si>
    <t xml:space="preserve">pddkiy5mogisq4i</t>
  </si>
  <si>
    <t xml:space="preserve">qlzigrqycoim5ix</t>
  </si>
  <si>
    <t xml:space="preserve">jk73jbuxys7dhxb</t>
  </si>
  <si>
    <t xml:space="preserve">zs2lsmobreb35xn</t>
  </si>
  <si>
    <t xml:space="preserve">ih00nznuepxs9r3</t>
  </si>
  <si>
    <t xml:space="preserve">jm8g7f19qs3a8gx</t>
  </si>
  <si>
    <t xml:space="preserve">lfjx2i4g14pwgag</t>
  </si>
  <si>
    <t xml:space="preserve">4hpvy9eb05vcrre</t>
  </si>
  <si>
    <t xml:space="preserve">23ihz3d4vuve2an</t>
  </si>
  <si>
    <t xml:space="preserve">4wgqqpezywhvfib</t>
  </si>
  <si>
    <t xml:space="preserve">eolw6ia2z9ydnyh</t>
  </si>
  <si>
    <t xml:space="preserve">p3z2zy4su4m4nh0</t>
  </si>
  <si>
    <t xml:space="preserve">7jjpyjuolf7cdlx</t>
  </si>
  <si>
    <t xml:space="preserve">ypfqlkrrqevp8h4</t>
  </si>
  <si>
    <t xml:space="preserve">8xh80pn743zwzp0</t>
  </si>
  <si>
    <t xml:space="preserve">5ttqna5u230tb49</t>
  </si>
  <si>
    <t xml:space="preserve">56bqvguml6vhetk</t>
  </si>
  <si>
    <t xml:space="preserve">01464eymprqfx0w</t>
  </si>
  <si>
    <t xml:space="preserve">dobeml44vsvpy4d</t>
  </si>
  <si>
    <t xml:space="preserve">f34szm5kcyom32u</t>
  </si>
  <si>
    <t xml:space="preserve">uiy2ot3l9f0c2i9</t>
  </si>
  <si>
    <t xml:space="preserve">frzabcozzj3obrl</t>
  </si>
  <si>
    <t xml:space="preserve">w4swyv4mqy1ob42</t>
  </si>
  <si>
    <t xml:space="preserve">jbs33yc6r5ra8l4</t>
  </si>
  <si>
    <t xml:space="preserve">6vanqemhsqez4mc</t>
  </si>
  <si>
    <t xml:space="preserve">x1hr6fp37qryd4d</t>
  </si>
  <si>
    <t xml:space="preserve">px5zu5wf6psxdo7</t>
  </si>
  <si>
    <t xml:space="preserve">w2pkqdsxhev22e4</t>
  </si>
  <si>
    <t xml:space="preserve">h7nuz2cmw8wvh2s</t>
  </si>
  <si>
    <t xml:space="preserve">coz7ncv7hdezsk9</t>
  </si>
  <si>
    <t xml:space="preserve">3cunzce5pb15xlw</t>
  </si>
  <si>
    <t xml:space="preserve">1p3p5e3dcd3rbvt</t>
  </si>
  <si>
    <t xml:space="preserve">d1hn3as545n029p</t>
  </si>
  <si>
    <t xml:space="preserve">tkkenn22b7r5gfa</t>
  </si>
  <si>
    <t xml:space="preserve">Config — edit the shaded cells only</t>
  </si>
  <si>
    <t xml:space="preserve">Setting</t>
  </si>
  <si>
    <t xml:space="preserve">Value</t>
  </si>
  <si>
    <t xml:space="preserve">Notes</t>
  </si>
  <si>
    <t xml:space="preserve">CS2 maps</t>
  </si>
  <si>
    <t xml:space="preserve">VAL maps</t>
  </si>
  <si>
    <t xml:space="preserve">SHRINK_MAPS</t>
  </si>
  <si>
    <t xml:space="preserve">Maps of the player's OWN overall KPR mixed into each per-map KPR. A player with 3 Ancient maps at 0.95 KPR and 0.72 overall projects (3×0.95+5×0.72)/8 = 0.81 on Ancient. 0 = trust the per-map number fully; 20 = nearly ignore maps. Set by judgment, NOT measured — per-map samples are 3–9 maps, and a 15-series kills mean only reproduces itself at 0.568 split-half.</t>
  </si>
  <si>
    <t xml:space="preserve">KILLS_DISPERSION</t>
  </si>
  <si>
    <t xml:space="preserve">Variance ÷ mean for a kills total. Sets the spread behind P(over). 1.0 = Poisson. 1.4 comes from the Kill_Share_Decomposition test (CV 0.215 on ~30-kill maps 1-2 totals, 17 Valorant players). Headshots inherit it through binomial thinning: φ_HS = HS%×φ + (1−HS%).</t>
  </si>
  <si>
    <t xml:space="preserve">EDGE_MIN</t>
  </si>
  <si>
    <t xml:space="preserve">Model side shows OVER/UNDER only past 50% + this. It is a PAPER column: the KPR × rounds projection has no forward record yet, so this is an ordering, not an edge.</t>
  </si>
  <si>
    <t xml:space="preserve">DEFAULT_ROUNDS_CS2</t>
  </si>
  <si>
    <t xml:space="preserve">Rounds per map used when Thunderpick posts no Total Rounds ladder for a CS2 map.</t>
  </si>
  <si>
    <t xml:space="preserve">DEFAULT_ROUNDS_VAL</t>
  </si>
  <si>
    <t xml:space="preserve">Same for Valorant.</t>
  </si>
  <si>
    <t xml:space="preserve">KPR_ROUND_ELASTICITY</t>
  </si>
  <si>
    <t xml:space="preserve">Kills-per-round dilution on long maps: projection × (rounds ÷ REF)^this. 0 = off. PAPER found corr(rounds, k/rd) = −0.51 on 11 maps, then −0.076 on 14 maps (slate 33) — the slope did not replicate, so it ships off.</t>
  </si>
  <si>
    <t xml:space="preserve">REF_ROUNDS_CS2</t>
  </si>
  <si>
    <t xml:space="preserve">Reference map length for the elasticity above.</t>
  </si>
  <si>
    <t xml:space="preserve">REF_ROUNDS_VAL</t>
  </si>
  <si>
    <t xml:space="preserve">Overpass</t>
  </si>
  <si>
    <t xml:space="preserve">THIN_SAMPLE_MAPS</t>
  </si>
  <si>
    <t xml:space="preserve">Flag a player whose PickFinder sample is below this many maps.</t>
  </si>
  <si>
    <t xml:space="preserve">DIFF_WEIGHT</t>
  </si>
  <si>
    <t xml:space="preserve">Round-differential layer (CS2). Adjusted kills = base kills × multiplier^this. 1 = full, 0 = off. PAPER: the multiplier is the q-adjustment built from HLTV conditional round margins; it has never been scored forward. Both base and adjusted projections are logged.</t>
  </si>
  <si>
    <t xml:space="preserve">KILLS_PER_ROUND_WON</t>
  </si>
  <si>
    <t xml:space="preserve">Team kills per round WON (CS2), from team_kills = a·rounds_won + b·rounds_lost, R² 0.970 on 47 team-maps (Kills_Markets_By_Title).</t>
  </si>
  <si>
    <t xml:space="preserve">KILLS_PER_ROUND_LOST</t>
  </si>
  <si>
    <t xml:space="preserve">Team kills per round LOST (CS2), same fit. The 2.6× ratio is the whole differential effect.</t>
  </si>
  <si>
    <t xml:space="preserve">Slate</t>
  </si>
  <si>
    <t xml:space="preserve">SLATE_DATE</t>
  </si>
  <si>
    <t xml:space="preserve">2026-10-25</t>
  </si>
  <si>
    <t xml:space="preserve">BUILT_UTC</t>
  </si>
  <si>
    <t xml:space="preserve">2026-10-25 03:09</t>
  </si>
  <si>
    <t xml:space="preserve">SOURCES</t>
  </si>
  <si>
    <t xml:space="preserve">PickFinder /props (board + hit rates), PickFinder player pages (Player Stats → Map Stats; Maps → Map Picks), Thunderpick /api/markets (odds, rounds, kill ladders).</t>
  </si>
  <si>
    <t xml:space="preserve">PF matchup</t>
  </si>
  <si>
    <t xml:space="preserve">Maps</t>
  </si>
  <si>
    <t xml:space="preserve">Kills/Map</t>
  </si>
  <si>
    <t xml:space="preserve">KPR</t>
  </si>
  <si>
    <t xml:space="preserve">HS %</t>
  </si>
  <si>
    <t xml:space="preserve">HS/Round</t>
  </si>
  <si>
    <t xml:space="preserve">K/D</t>
  </si>
  <si>
    <t xml:space="preserve">Rating</t>
  </si>
  <si>
    <t xml:space="preserve">Avg rounds/map</t>
  </si>
  <si>
    <t xml:space="preserve">Identity</t>
  </si>
  <si>
    <t xml:space="preserve">PickFinder page</t>
  </si>
  <si>
    <t xml:space="preserve">9z vs MOUZ</t>
  </si>
  <si>
    <t xml:space="preserve">OK</t>
  </si>
  <si>
    <t xml:space="preserve">https://www.pickfinder.app/players/cs2/id2uf5ot80ms5oo</t>
  </si>
  <si>
    <t xml:space="preserve">https://www.pickfinder.app/players/cs2/fg52qcdy7yej5d9</t>
  </si>
  <si>
    <t xml:space="preserve">https://www.pickfinder.app/players/cs2/uf3pcvx03g3k6xm</t>
  </si>
  <si>
    <t xml:space="preserve">https://www.pickfinder.app/players/cs2/2l8hxj94mm620bg</t>
  </si>
  <si>
    <t xml:space="preserve">https://www.pickfinder.app/players/cs2/pumzitjp9bsniic</t>
  </si>
  <si>
    <t xml:space="preserve">AUR vs G2</t>
  </si>
  <si>
    <t xml:space="preserve">https://www.pickfinder.app/players/cs2/66ajrvmetqiufsf</t>
  </si>
  <si>
    <t xml:space="preserve">https://www.pickfinder.app/players/cs2/gzghvr1quamb0xn</t>
  </si>
  <si>
    <t xml:space="preserve">https://www.pickfinder.app/players/cs2/9clq2dpvqugkf0i</t>
  </si>
  <si>
    <t xml:space="preserve">https://www.pickfinder.app/players/cs2/lpkyyhtoofj8ova</t>
  </si>
  <si>
    <t xml:space="preserve">https://www.pickfinder.app/players/cs2/zauqna21klkp1rt</t>
  </si>
  <si>
    <t xml:space="preserve">BB vs NEMI</t>
  </si>
  <si>
    <t xml:space="preserve">https://www.pickfinder.app/players/cs2/75r40osa6cjt3o0</t>
  </si>
  <si>
    <t xml:space="preserve">https://www.pickfinder.app/players/cs2/kgpnwz42wxtq29r</t>
  </si>
  <si>
    <t xml:space="preserve">https://www.pickfinder.app/players/cs2/w2jejpg0j9hthoo</t>
  </si>
  <si>
    <t xml:space="preserve">https://www.pickfinder.app/players/cs2/bn3mlvy0cst11z3</t>
  </si>
  <si>
    <t xml:space="preserve">https://www.pickfinder.app/players/cs2/c4m3zncm4mxvzoh</t>
  </si>
  <si>
    <t xml:space="preserve">BRUTE vs INF</t>
  </si>
  <si>
    <t xml:space="preserve">https://www.pickfinder.app/players/cs2/l65e6bpbpsopabo</t>
  </si>
  <si>
    <t xml:space="preserve">https://www.pickfinder.app/players/cs2/2fcfnso9a3rhpcr</t>
  </si>
  <si>
    <t xml:space="preserve">https://www.pickfinder.app/players/cs2/a5ni4ejys4e3xjq</t>
  </si>
  <si>
    <t xml:space="preserve">BST vs paiN</t>
  </si>
  <si>
    <t xml:space="preserve">https://www.pickfinder.app/players/cs2/x1hr6fp37qryd4d</t>
  </si>
  <si>
    <t xml:space="preserve">https://www.pickfinder.app/players/cs2/px5zu5wf6psxdo7</t>
  </si>
  <si>
    <t xml:space="preserve">https://www.pickfinder.app/players/cs2/w2pkqdsxhev22e4</t>
  </si>
  <si>
    <t xml:space="preserve">https://www.pickfinder.app/players/cs2/h7nuz2cmw8wvh2s</t>
  </si>
  <si>
    <t xml:space="preserve">https://www.pickfinder.app/players/cs2/coz7ncv7hdezsk9</t>
  </si>
  <si>
    <t xml:space="preserve">Color vs ex-ZT</t>
  </si>
  <si>
    <t xml:space="preserve">https://www.pickfinder.app/players/cs2/0hbeigv9v9oomi7</t>
  </si>
  <si>
    <t xml:space="preserve">https://www.pickfinder.app/players/cs2/x9afncgn4bx6f1l</t>
  </si>
  <si>
    <t xml:space="preserve">DEN vs LGC</t>
  </si>
  <si>
    <t xml:space="preserve">https://www.pickfinder.app/players/cs2/oilrc57yb4vi4v4</t>
  </si>
  <si>
    <t xml:space="preserve">https://www.pickfinder.app/players/cs2/xq939tnpy5hluwa</t>
  </si>
  <si>
    <t xml:space="preserve">https://www.pickfinder.app/players/cs2/at2vo8jmt9hrk3m</t>
  </si>
  <si>
    <t xml:space="preserve">https://www.pickfinder.app/players/cs2/sir58v1hxyyne29</t>
  </si>
  <si>
    <t xml:space="preserve">https://www.pickfinder.app/players/cs2/a0u1qo22a3z9rh8</t>
  </si>
  <si>
    <t xml:space="preserve">FORZE.R vs ex-RUSTEC</t>
  </si>
  <si>
    <t xml:space="preserve">https://www.pickfinder.app/players/cs2/012uwaetq7hevsp</t>
  </si>
  <si>
    <t xml:space="preserve">https://www.pickfinder.app/players/cs2/2s3qwqpg7uefnn7</t>
  </si>
  <si>
    <t xml:space="preserve">https://www.pickfinder.app/players/cs2/798yw8my6zycp2s</t>
  </si>
  <si>
    <t xml:space="preserve">https://www.pickfinder.app/players/cs2/udiua4ttm49q2v4</t>
  </si>
  <si>
    <t xml:space="preserve">https://www.pickfinder.app/players/cs2/fcekd28mes5c7xs</t>
  </si>
  <si>
    <t xml:space="preserve">FURIA vs NAVI</t>
  </si>
  <si>
    <t xml:space="preserve">https://www.pickfinder.app/players/cs2/upsdzrueyrfmr1m</t>
  </si>
  <si>
    <t xml:space="preserve">https://www.pickfinder.app/players/cs2/xlunjfskczbvxwn</t>
  </si>
  <si>
    <t xml:space="preserve">https://www.pickfinder.app/players/cs2/g1czin1kua6nls5</t>
  </si>
  <si>
    <t xml:space="preserve">https://www.pickfinder.app/players/cs2/vl5i6xbqmsocy69</t>
  </si>
  <si>
    <t xml:space="preserve">https://www.pickfinder.app/players/cs2/npowbduexyegr6i</t>
  </si>
  <si>
    <t xml:space="preserve">FUT vs TL</t>
  </si>
  <si>
    <t xml:space="preserve">https://www.pickfinder.app/players/cs2/w5k5az5ca72wkvb</t>
  </si>
  <si>
    <t xml:space="preserve">https://www.pickfinder.app/players/cs2/jf6rt002svd50mx</t>
  </si>
  <si>
    <t xml:space="preserve">https://www.pickfinder.app/players/cs2/rhz6c2hq5wcant1</t>
  </si>
  <si>
    <t xml:space="preserve">https://www.pickfinder.app/players/cs2/xwyhvw38gardzpx</t>
  </si>
  <si>
    <t xml:space="preserve">https://www.pickfinder.app/players/cs2/lj8zw2mudcbj35u</t>
  </si>
  <si>
    <t xml:space="preserve">G2 vs AUR</t>
  </si>
  <si>
    <t xml:space="preserve">https://www.pickfinder.app/players/cs2/tyf3s6dikrrtlem</t>
  </si>
  <si>
    <t xml:space="preserve">https://www.pickfinder.app/players/cs2/ikw7yck0lcpdqwz</t>
  </si>
  <si>
    <t xml:space="preserve">https://www.pickfinder.app/players/cs2/5l639x0qis2rfwi</t>
  </si>
  <si>
    <t xml:space="preserve">https://www.pickfinder.app/players/cs2/ysvz6uswynmfc98</t>
  </si>
  <si>
    <t xml:space="preserve">https://www.pickfinder.app/players/cs2/3v2vw55rjp5df2r</t>
  </si>
  <si>
    <t xml:space="preserve">INF vs BRUTE</t>
  </si>
  <si>
    <t xml:space="preserve">https://www.pickfinder.app/players/cs2/80bybpfrkhru947</t>
  </si>
  <si>
    <t xml:space="preserve">https://www.pickfinder.app/players/cs2/wcfyexekmhuiiin</t>
  </si>
  <si>
    <t xml:space="preserve">https://www.pickfinder.app/players/cs2/9ycphxjddne0u4w</t>
  </si>
  <si>
    <t xml:space="preserve">https://www.pickfinder.app/players/cs2/12s4j1y56sietsk</t>
  </si>
  <si>
    <t xml:space="preserve">INOX vs ACE</t>
  </si>
  <si>
    <t xml:space="preserve">https://www.pickfinder.app/players/cs2/q3hhhk7fp22ng9v</t>
  </si>
  <si>
    <t xml:space="preserve">https://www.pickfinder.app/players/cs2/wtkbukkt9i8g1y0</t>
  </si>
  <si>
    <t xml:space="preserve">https://www.pickfinder.app/players/cs2/m02i8zld44pmsf6</t>
  </si>
  <si>
    <t xml:space="preserve">https://www.pickfinder.app/players/cs2/jqawnnqgchzqat7</t>
  </si>
  <si>
    <t xml:space="preserve">https://www.pickfinder.app/players/cs2/6ztw7i4ms6nvy7y</t>
  </si>
  <si>
    <t xml:space="preserve">LGC vs DEN</t>
  </si>
  <si>
    <t xml:space="preserve">https://www.pickfinder.app/players/cs2/6ihem6avn05n11t</t>
  </si>
  <si>
    <t xml:space="preserve">https://www.pickfinder.app/players/cs2/fegzpn598j6etni</t>
  </si>
  <si>
    <t xml:space="preserve">https://www.pickfinder.app/players/cs2/1wpbb1hb0wgcwoh</t>
  </si>
  <si>
    <t xml:space="preserve">https://www.pickfinder.app/players/cs2/wgxwl9snnyzsfwq</t>
  </si>
  <si>
    <t xml:space="preserve">https://www.pickfinder.app/players/cs2/qtomd625i03qfpk</t>
  </si>
  <si>
    <t xml:space="preserve">MGLZ vs VIT</t>
  </si>
  <si>
    <t xml:space="preserve">https://www.pickfinder.app/players/cs2/5ttqna5u230tb49</t>
  </si>
  <si>
    <t xml:space="preserve">https://www.pickfinder.app/players/cs2/56bqvguml6vhetk</t>
  </si>
  <si>
    <t xml:space="preserve">https://www.pickfinder.app/players/cs2/01464eymprqfx0w</t>
  </si>
  <si>
    <t xml:space="preserve">https://www.pickfinder.app/players/cs2/dobeml44vsvpy4d</t>
  </si>
  <si>
    <t xml:space="preserve">https://www.pickfinder.app/players/cs2/f34szm5kcyom32u</t>
  </si>
  <si>
    <t xml:space="preserve">MOUZ vs 9z</t>
  </si>
  <si>
    <t xml:space="preserve">https://www.pickfinder.app/players/cs2/pddkiy5mogisq4i</t>
  </si>
  <si>
    <t xml:space="preserve">https://www.pickfinder.app/players/cs2/qlzigrqycoim5ix</t>
  </si>
  <si>
    <t xml:space="preserve">https://www.pickfinder.app/players/cs2/jk73jbuxys7dhxb</t>
  </si>
  <si>
    <t xml:space="preserve">https://www.pickfinder.app/players/cs2/zs2lsmobreb35xn</t>
  </si>
  <si>
    <t xml:space="preserve">https://www.pickfinder.app/players/cs2/ih00nznuepxs9r3</t>
  </si>
  <si>
    <t xml:space="preserve">MZP vs BAKS</t>
  </si>
  <si>
    <t xml:space="preserve">https://www.pickfinder.app/players/cs2/h2c84157n2ymvv2</t>
  </si>
  <si>
    <t xml:space="preserve">https://www.pickfinder.app/players/cs2/4bqrch5n45sx5u9</t>
  </si>
  <si>
    <t xml:space="preserve">https://www.pickfinder.app/players/cs2/cenz32hm5akyeqy</t>
  </si>
  <si>
    <t xml:space="preserve">https://www.pickfinder.app/players/cs2/vwa09ypl40r89pt</t>
  </si>
  <si>
    <t xml:space="preserve">https://www.pickfinder.app/players/cs2/vl85mzwiy0ds144</t>
  </si>
  <si>
    <t xml:space="preserve">NAVI vs FURIA</t>
  </si>
  <si>
    <t xml:space="preserve">https://www.pickfinder.app/players/cs2/509x6s2e70l3hhg</t>
  </si>
  <si>
    <t xml:space="preserve">https://www.pickfinder.app/players/cs2/2y1yay7td9d3pb6</t>
  </si>
  <si>
    <t xml:space="preserve">https://www.pickfinder.app/players/cs2/6fnysfxfr7gofjk</t>
  </si>
  <si>
    <t xml:space="preserve">https://www.pickfinder.app/players/cs2/6oi74s8csyxqh63</t>
  </si>
  <si>
    <t xml:space="preserve">https://www.pickfinder.app/players/cs2/9wdj3z2kekttkk3</t>
  </si>
  <si>
    <t xml:space="preserve">NEMI vs BB</t>
  </si>
  <si>
    <t xml:space="preserve">https://www.pickfinder.app/players/cs2/fhr6sqp0a6355ky</t>
  </si>
  <si>
    <t xml:space="preserve">https://www.pickfinder.app/players/cs2/sj7nkpqagh6m88h</t>
  </si>
  <si>
    <t xml:space="preserve">https://www.pickfinder.app/players/cs2/ewe4j1nrqwzs0q7</t>
  </si>
  <si>
    <t xml:space="preserve">https://www.pickfinder.app/players/cs2/f00llyg1ocypenv</t>
  </si>
  <si>
    <t xml:space="preserve">https://www.pickfinder.app/players/cs2/jc1nf38p0b44dfy</t>
  </si>
  <si>
    <t xml:space="preserve">TL vs FUT</t>
  </si>
  <si>
    <t xml:space="preserve">https://www.pickfinder.app/players/cs2/we8rbjpf65bc2tn</t>
  </si>
  <si>
    <t xml:space="preserve">https://www.pickfinder.app/players/cs2/eb7cqiuc8bqx4zr</t>
  </si>
  <si>
    <t xml:space="preserve">https://www.pickfinder.app/players/cs2/j4y4z5p4stvkatz</t>
  </si>
  <si>
    <t xml:space="preserve">https://www.pickfinder.app/players/cs2/30ba4vwtbgb75sn</t>
  </si>
  <si>
    <t xml:space="preserve">https://www.pickfinder.app/players/cs2/as14gj4lvoykr11</t>
  </si>
  <si>
    <t xml:space="preserve">TS vs TYLOO</t>
  </si>
  <si>
    <t xml:space="preserve">https://www.pickfinder.app/players/cs2/jm8g7f19qs3a8gx</t>
  </si>
  <si>
    <t xml:space="preserve">https://www.pickfinder.app/players/cs2/lfjx2i4g14pwgag</t>
  </si>
  <si>
    <t xml:space="preserve">https://www.pickfinder.app/players/cs2/4hpvy9eb05vcrre</t>
  </si>
  <si>
    <t xml:space="preserve">https://www.pickfinder.app/players/cs2/23ihz3d4vuve2an</t>
  </si>
  <si>
    <t xml:space="preserve">https://www.pickfinder.app/players/cs2/4wgqqpezywhvfib</t>
  </si>
  <si>
    <t xml:space="preserve">TYLOO vs TS</t>
  </si>
  <si>
    <t xml:space="preserve">https://www.pickfinder.app/players/cs2/eolw6ia2z9ydnyh</t>
  </si>
  <si>
    <t xml:space="preserve">https://www.pickfinder.app/players/cs2/p3z2zy4su4m4nh0</t>
  </si>
  <si>
    <t xml:space="preserve">https://www.pickfinder.app/players/cs2/7jjpyjuolf7cdlx</t>
  </si>
  <si>
    <t xml:space="preserve">https://www.pickfinder.app/players/cs2/ypfqlkrrqevp8h4</t>
  </si>
  <si>
    <t xml:space="preserve">https://www.pickfinder.app/players/cs2/8xh80pn743zwzp0</t>
  </si>
  <si>
    <t xml:space="preserve">UNiTY vs ACE</t>
  </si>
  <si>
    <t xml:space="preserve">https://www.pickfinder.app/players/cs2/slm7b5sevqrznls</t>
  </si>
  <si>
    <t xml:space="preserve">https://www.pickfinder.app/players/cs2/9xneuyz69zuftic</t>
  </si>
  <si>
    <t xml:space="preserve">https://www.pickfinder.app/players/cs2/efi7mmb5o1ctn6l</t>
  </si>
  <si>
    <t xml:space="preserve">https://www.pickfinder.app/players/cs2/r0t80uiaisgetxr</t>
  </si>
  <si>
    <t xml:space="preserve">https://www.pickfinder.app/players/cs2/c8wc8d745qhelxm</t>
  </si>
  <si>
    <t xml:space="preserve">VIT vs MGLZ</t>
  </si>
  <si>
    <t xml:space="preserve">https://www.pickfinder.app/players/cs2/uiy2ot3l9f0c2i9</t>
  </si>
  <si>
    <t xml:space="preserve">https://www.pickfinder.app/players/cs2/frzabcozzj3obrl</t>
  </si>
  <si>
    <t xml:space="preserve">https://www.pickfinder.app/players/cs2/w4swyv4mqy1ob42</t>
  </si>
  <si>
    <t xml:space="preserve">https://www.pickfinder.app/players/cs2/jbs33yc6r5ra8l4</t>
  </si>
  <si>
    <t xml:space="preserve">https://www.pickfinder.app/players/cs2/6vanqemhsqez4mc</t>
  </si>
  <si>
    <t xml:space="preserve">ex-RUSTEC vs FORZE.R</t>
  </si>
  <si>
    <t xml:space="preserve">https://www.pickfinder.app/players/cs2/u2qbkafgxd78s8o</t>
  </si>
  <si>
    <t xml:space="preserve">https://www.pickfinder.app/players/cs2/ib0ui40iou8m5h8</t>
  </si>
  <si>
    <t xml:space="preserve">https://www.pickfinder.app/players/cs2/5efm2s88qbsnvv0</t>
  </si>
  <si>
    <t xml:space="preserve">https://www.pickfinder.app/players/cs2/dvwiagwt3fsxpwe</t>
  </si>
  <si>
    <t xml:space="preserve">https://www.pickfinder.app/players/cs2/41ry45brll61gbm</t>
  </si>
  <si>
    <t xml:space="preserve">paiN vs BST</t>
  </si>
  <si>
    <t xml:space="preserve">https://www.pickfinder.app/players/cs2/3cunzce5pb15xlw</t>
  </si>
  <si>
    <t xml:space="preserve">https://www.pickfinder.app/players/cs2/1p3p5e3dcd3rbvt</t>
  </si>
  <si>
    <t xml:space="preserve">https://www.pickfinder.app/players/cs2/d1hn3as545n029p</t>
  </si>
  <si>
    <t xml:space="preserve">https://www.pickfinder.app/players/cs2/tkkenn22b7r5gfa</t>
  </si>
  <si>
    <t xml:space="preserve">Maps (n)</t>
  </si>
  <si>
    <t xml:space="preserve">Kills/map</t>
  </si>
  <si>
    <t xml:space="preserve">KPR (PF)</t>
  </si>
  <si>
    <t xml:space="preserve">KPR used</t>
  </si>
  <si>
    <t xml:space="preserve">slm7b5sevqrznls|Mirage</t>
  </si>
  <si>
    <t xml:space="preserve">slm7b5sevqrznls|Dust2</t>
  </si>
  <si>
    <t xml:space="preserve">slm7b5sevqrznls|Cache</t>
  </si>
  <si>
    <t xml:space="preserve">slm7b5sevqrznls|Ancient</t>
  </si>
  <si>
    <t xml:space="preserve">slm7b5sevqrznls|Inferno</t>
  </si>
  <si>
    <t xml:space="preserve">slm7b5sevqrznls|Anubis</t>
  </si>
  <si>
    <t xml:space="preserve">5ttqna5u230tb49|Inferno</t>
  </si>
  <si>
    <t xml:space="preserve">5ttqna5u230tb49|Mirage</t>
  </si>
  <si>
    <t xml:space="preserve">5ttqna5u230tb49|Ancient</t>
  </si>
  <si>
    <t xml:space="preserve">5ttqna5u230tb49|Dust2</t>
  </si>
  <si>
    <t xml:space="preserve">5ttqna5u230tb49|Nuke</t>
  </si>
  <si>
    <t xml:space="preserve">5ttqna5u230tb49|Cache</t>
  </si>
  <si>
    <t xml:space="preserve">509x6s2e70l3hhg|Inferno</t>
  </si>
  <si>
    <t xml:space="preserve">509x6s2e70l3hhg|Mirage</t>
  </si>
  <si>
    <t xml:space="preserve">509x6s2e70l3hhg|Nuke</t>
  </si>
  <si>
    <t xml:space="preserve">509x6s2e70l3hhg|Cache</t>
  </si>
  <si>
    <t xml:space="preserve">509x6s2e70l3hhg|Anubis</t>
  </si>
  <si>
    <t xml:space="preserve">509x6s2e70l3hhg|Ancient</t>
  </si>
  <si>
    <t xml:space="preserve">509x6s2e70l3hhg|Dust2</t>
  </si>
  <si>
    <t xml:space="preserve">6ihem6avn05n11t|Dust2</t>
  </si>
  <si>
    <t xml:space="preserve">6ihem6avn05n11t|Ancient</t>
  </si>
  <si>
    <t xml:space="preserve">6ihem6avn05n11t|Mirage</t>
  </si>
  <si>
    <t xml:space="preserve">6ihem6avn05n11t|Nuke</t>
  </si>
  <si>
    <t xml:space="preserve">6ihem6avn05n11t|Inferno</t>
  </si>
  <si>
    <t xml:space="preserve">6ihem6avn05n11t|Cache</t>
  </si>
  <si>
    <t xml:space="preserve">2y1yay7td9d3pb6|Inferno</t>
  </si>
  <si>
    <t xml:space="preserve">2y1yay7td9d3pb6|Mirage</t>
  </si>
  <si>
    <t xml:space="preserve">2y1yay7td9d3pb6|Nuke</t>
  </si>
  <si>
    <t xml:space="preserve">2y1yay7td9d3pb6|Cache</t>
  </si>
  <si>
    <t xml:space="preserve">2y1yay7td9d3pb6|Anubis</t>
  </si>
  <si>
    <t xml:space="preserve">2y1yay7td9d3pb6|Ancient</t>
  </si>
  <si>
    <t xml:space="preserve">2y1yay7td9d3pb6|Dust2</t>
  </si>
  <si>
    <t xml:space="preserve">3cunzce5pb15xlw|Dust2</t>
  </si>
  <si>
    <t xml:space="preserve">3cunzce5pb15xlw|Cache</t>
  </si>
  <si>
    <t xml:space="preserve">3cunzce5pb15xlw|Anubis</t>
  </si>
  <si>
    <t xml:space="preserve">3cunzce5pb15xlw|Mirage</t>
  </si>
  <si>
    <t xml:space="preserve">3cunzce5pb15xlw|Inferno</t>
  </si>
  <si>
    <t xml:space="preserve">3cunzce5pb15xlw|Nuke</t>
  </si>
  <si>
    <t xml:space="preserve">u2qbkafgxd78s8o|Nuke</t>
  </si>
  <si>
    <t xml:space="preserve">u2qbkafgxd78s8o|Anubis</t>
  </si>
  <si>
    <t xml:space="preserve">u2qbkafgxd78s8o|Ancient</t>
  </si>
  <si>
    <t xml:space="preserve">u2qbkafgxd78s8o|Dust2</t>
  </si>
  <si>
    <t xml:space="preserve">u2qbkafgxd78s8o|Mirage</t>
  </si>
  <si>
    <t xml:space="preserve">u2qbkafgxd78s8o|Cache</t>
  </si>
  <si>
    <t xml:space="preserve">u2qbkafgxd78s8o|Inferno</t>
  </si>
  <si>
    <t xml:space="preserve">56bqvguml6vhetk|Inferno</t>
  </si>
  <si>
    <t xml:space="preserve">56bqvguml6vhetk|Mirage</t>
  </si>
  <si>
    <t xml:space="preserve">56bqvguml6vhetk|Ancient</t>
  </si>
  <si>
    <t xml:space="preserve">56bqvguml6vhetk|Dust2</t>
  </si>
  <si>
    <t xml:space="preserve">56bqvguml6vhetk|Nuke</t>
  </si>
  <si>
    <t xml:space="preserve">56bqvguml6vhetk|Cache</t>
  </si>
  <si>
    <t xml:space="preserve">75r40osa6cjt3o0|Mirage</t>
  </si>
  <si>
    <t xml:space="preserve">75r40osa6cjt3o0|Anubis</t>
  </si>
  <si>
    <t xml:space="preserve">75r40osa6cjt3o0|Ancient</t>
  </si>
  <si>
    <t xml:space="preserve">75r40osa6cjt3o0|Nuke</t>
  </si>
  <si>
    <t xml:space="preserve">75r40osa6cjt3o0|Dust2</t>
  </si>
  <si>
    <t xml:space="preserve">75r40osa6cjt3o0|Cache</t>
  </si>
  <si>
    <t xml:space="preserve">ib0ui40iou8m5h8|Nuke</t>
  </si>
  <si>
    <t xml:space="preserve">ib0ui40iou8m5h8|Anubis</t>
  </si>
  <si>
    <t xml:space="preserve">ib0ui40iou8m5h8|Ancient</t>
  </si>
  <si>
    <t xml:space="preserve">ib0ui40iou8m5h8|Dust2</t>
  </si>
  <si>
    <t xml:space="preserve">ib0ui40iou8m5h8|Mirage</t>
  </si>
  <si>
    <t xml:space="preserve">ib0ui40iou8m5h8|Inferno</t>
  </si>
  <si>
    <t xml:space="preserve">ib0ui40iou8m5h8|Cache</t>
  </si>
  <si>
    <t xml:space="preserve">x1hr6fp37qryd4d|Mirage</t>
  </si>
  <si>
    <t xml:space="preserve">x1hr6fp37qryd4d|Inferno</t>
  </si>
  <si>
    <t xml:space="preserve">x1hr6fp37qryd4d|Dust2</t>
  </si>
  <si>
    <t xml:space="preserve">x1hr6fp37qryd4d|Ancient</t>
  </si>
  <si>
    <t xml:space="preserve">x1hr6fp37qryd4d|Cache</t>
  </si>
  <si>
    <t xml:space="preserve">x1hr6fp37qryd4d|Nuke</t>
  </si>
  <si>
    <t xml:space="preserve">px5zu5wf6psxdo7|Mirage</t>
  </si>
  <si>
    <t xml:space="preserve">px5zu5wf6psxdo7|Inferno</t>
  </si>
  <si>
    <t xml:space="preserve">px5zu5wf6psxdo7|Dust2</t>
  </si>
  <si>
    <t xml:space="preserve">px5zu5wf6psxdo7|Ancient</t>
  </si>
  <si>
    <t xml:space="preserve">px5zu5wf6psxdo7|Cache</t>
  </si>
  <si>
    <t xml:space="preserve">px5zu5wf6psxdo7|Nuke</t>
  </si>
  <si>
    <t xml:space="preserve">01464eymprqfx0w|Inferno</t>
  </si>
  <si>
    <t xml:space="preserve">01464eymprqfx0w|Mirage</t>
  </si>
  <si>
    <t xml:space="preserve">01464eymprqfx0w|Ancient</t>
  </si>
  <si>
    <t xml:space="preserve">01464eymprqfx0w|Nuke</t>
  </si>
  <si>
    <t xml:space="preserve">01464eymprqfx0w|Dust2</t>
  </si>
  <si>
    <t xml:space="preserve">01464eymprqfx0w|Overpass</t>
  </si>
  <si>
    <t xml:space="preserve">01464eymprqfx0w|Cache</t>
  </si>
  <si>
    <t xml:space="preserve">0hbeigv9v9oomi7|Dust2</t>
  </si>
  <si>
    <t xml:space="preserve">0hbeigv9v9oomi7|Mirage</t>
  </si>
  <si>
    <t xml:space="preserve">0hbeigv9v9oomi7|Anubis</t>
  </si>
  <si>
    <t xml:space="preserve">0hbeigv9v9oomi7|Inferno</t>
  </si>
  <si>
    <t xml:space="preserve">0hbeigv9v9oomi7|Cache</t>
  </si>
  <si>
    <t xml:space="preserve">0hbeigv9v9oomi7|Ancient</t>
  </si>
  <si>
    <t xml:space="preserve">kgpnwz42wxtq29r|Mirage</t>
  </si>
  <si>
    <t xml:space="preserve">kgpnwz42wxtq29r|Anubis</t>
  </si>
  <si>
    <t xml:space="preserve">kgpnwz42wxtq29r|Ancient</t>
  </si>
  <si>
    <t xml:space="preserve">kgpnwz42wxtq29r|Nuke</t>
  </si>
  <si>
    <t xml:space="preserve">kgpnwz42wxtq29r|Dust2</t>
  </si>
  <si>
    <t xml:space="preserve">kgpnwz42wxtq29r|Cache</t>
  </si>
  <si>
    <t xml:space="preserve">w5k5az5ca72wkvb|Ancient</t>
  </si>
  <si>
    <t xml:space="preserve">w5k5az5ca72wkvb|Dust2</t>
  </si>
  <si>
    <t xml:space="preserve">w5k5az5ca72wkvb|Mirage</t>
  </si>
  <si>
    <t xml:space="preserve">w5k5az5ca72wkvb|Nuke</t>
  </si>
  <si>
    <t xml:space="preserve">w5k5az5ca72wkvb|Anubis</t>
  </si>
  <si>
    <t xml:space="preserve">w5k5az5ca72wkvb|Cache</t>
  </si>
  <si>
    <t xml:space="preserve">id2uf5ot80ms5oo|Nuke</t>
  </si>
  <si>
    <t xml:space="preserve">id2uf5ot80ms5oo|Mirage</t>
  </si>
  <si>
    <t xml:space="preserve">id2uf5ot80ms5oo|Dust2</t>
  </si>
  <si>
    <t xml:space="preserve">id2uf5ot80ms5oo|Cache</t>
  </si>
  <si>
    <t xml:space="preserve">id2uf5ot80ms5oo|Inferno</t>
  </si>
  <si>
    <t xml:space="preserve">id2uf5ot80ms5oo|Ancient</t>
  </si>
  <si>
    <t xml:space="preserve">oilrc57yb4vi4v4|Mirage</t>
  </si>
  <si>
    <t xml:space="preserve">oilrc57yb4vi4v4|Cache</t>
  </si>
  <si>
    <t xml:space="preserve">oilrc57yb4vi4v4|Inferno</t>
  </si>
  <si>
    <t xml:space="preserve">oilrc57yb4vi4v4|Ancient</t>
  </si>
  <si>
    <t xml:space="preserve">oilrc57yb4vi4v4|Nuke</t>
  </si>
  <si>
    <t xml:space="preserve">oilrc57yb4vi4v4|Anubis</t>
  </si>
  <si>
    <t xml:space="preserve">jm8g7f19qs3a8gx|Ancient</t>
  </si>
  <si>
    <t xml:space="preserve">jm8g7f19qs3a8gx|Dust2</t>
  </si>
  <si>
    <t xml:space="preserve">jm8g7f19qs3a8gx|Mirage</t>
  </si>
  <si>
    <t xml:space="preserve">jm8g7f19qs3a8gx|Anubis</t>
  </si>
  <si>
    <t xml:space="preserve">jm8g7f19qs3a8gx|Cache</t>
  </si>
  <si>
    <t xml:space="preserve">jm8g7f19qs3a8gx|Nuke</t>
  </si>
  <si>
    <t xml:space="preserve">w2pkqdsxhev22e4|Mirage</t>
  </si>
  <si>
    <t xml:space="preserve">w2pkqdsxhev22e4|Ancient</t>
  </si>
  <si>
    <t xml:space="preserve">w2pkqdsxhev22e4|Inferno</t>
  </si>
  <si>
    <t xml:space="preserve">w2pkqdsxhev22e4|Dust2</t>
  </si>
  <si>
    <t xml:space="preserve">w2pkqdsxhev22e4|Cache</t>
  </si>
  <si>
    <t xml:space="preserve">w2pkqdsxhev22e4|Nuke</t>
  </si>
  <si>
    <t xml:space="preserve">w2pkqdsxhev22e4|Overpass</t>
  </si>
  <si>
    <t xml:space="preserve">fegzpn598j6etni|Dust2</t>
  </si>
  <si>
    <t xml:space="preserve">fegzpn598j6etni|Mirage</t>
  </si>
  <si>
    <t xml:space="preserve">fegzpn598j6etni|Ancient</t>
  </si>
  <si>
    <t xml:space="preserve">fegzpn598j6etni|Nuke</t>
  </si>
  <si>
    <t xml:space="preserve">fegzpn598j6etni|Inferno</t>
  </si>
  <si>
    <t xml:space="preserve">fegzpn598j6etni|Cache</t>
  </si>
  <si>
    <t xml:space="preserve">9xneuyz69zuftic|Mirage</t>
  </si>
  <si>
    <t xml:space="preserve">9xneuyz69zuftic|Dust2</t>
  </si>
  <si>
    <t xml:space="preserve">9xneuyz69zuftic|Ancient</t>
  </si>
  <si>
    <t xml:space="preserve">9xneuyz69zuftic|Cache</t>
  </si>
  <si>
    <t xml:space="preserve">9xneuyz69zuftic|Inferno</t>
  </si>
  <si>
    <t xml:space="preserve">9xneuyz69zuftic|Nuke</t>
  </si>
  <si>
    <t xml:space="preserve">9xneuyz69zuftic|Anubis</t>
  </si>
  <si>
    <t xml:space="preserve">jf6rt002svd50mx|Ancient</t>
  </si>
  <si>
    <t xml:space="preserve">jf6rt002svd50mx|Dust2</t>
  </si>
  <si>
    <t xml:space="preserve">jf6rt002svd50mx|Mirage</t>
  </si>
  <si>
    <t xml:space="preserve">jf6rt002svd50mx|Nuke</t>
  </si>
  <si>
    <t xml:space="preserve">jf6rt002svd50mx|Anubis</t>
  </si>
  <si>
    <t xml:space="preserve">jf6rt002svd50mx|Cache</t>
  </si>
  <si>
    <t xml:space="preserve">q3hhhk7fp22ng9v|Dust2</t>
  </si>
  <si>
    <t xml:space="preserve">q3hhhk7fp22ng9v|Nuke</t>
  </si>
  <si>
    <t xml:space="preserve">q3hhhk7fp22ng9v|Mirage</t>
  </si>
  <si>
    <t xml:space="preserve">q3hhhk7fp22ng9v|Cache</t>
  </si>
  <si>
    <t xml:space="preserve">q3hhhk7fp22ng9v|Inferno</t>
  </si>
  <si>
    <t xml:space="preserve">q3hhhk7fp22ng9v|Ancient</t>
  </si>
  <si>
    <t xml:space="preserve">we8rbjpf65bc2tn|Mirage</t>
  </si>
  <si>
    <t xml:space="preserve">we8rbjpf65bc2tn|Cache</t>
  </si>
  <si>
    <t xml:space="preserve">we8rbjpf65bc2tn|Inferno</t>
  </si>
  <si>
    <t xml:space="preserve">we8rbjpf65bc2tn|Nuke</t>
  </si>
  <si>
    <t xml:space="preserve">we8rbjpf65bc2tn|Anubis</t>
  </si>
  <si>
    <t xml:space="preserve">we8rbjpf65bc2tn|Dust2</t>
  </si>
  <si>
    <t xml:space="preserve">we8rbjpf65bc2tn|Ancient</t>
  </si>
  <si>
    <t xml:space="preserve">h2c84157n2ymvv2|Nuke</t>
  </si>
  <si>
    <t xml:space="preserve">h2c84157n2ymvv2|Mirage</t>
  </si>
  <si>
    <t xml:space="preserve">h2c84157n2ymvv2|Cache</t>
  </si>
  <si>
    <t xml:space="preserve">h2c84157n2ymvv2|Anubis</t>
  </si>
  <si>
    <t xml:space="preserve">h2c84157n2ymvv2|Inferno</t>
  </si>
  <si>
    <t xml:space="preserve">h2c84157n2ymvv2|Ancient</t>
  </si>
  <si>
    <t xml:space="preserve">upsdzrueyrfmr1m|Mirage</t>
  </si>
  <si>
    <t xml:space="preserve">upsdzrueyrfmr1m|Inferno</t>
  </si>
  <si>
    <t xml:space="preserve">upsdzrueyrfmr1m|Nuke</t>
  </si>
  <si>
    <t xml:space="preserve">upsdzrueyrfmr1m|Cache</t>
  </si>
  <si>
    <t xml:space="preserve">upsdzrueyrfmr1m|Dust2</t>
  </si>
  <si>
    <t xml:space="preserve">upsdzrueyrfmr1m|Ancient</t>
  </si>
  <si>
    <t xml:space="preserve">upsdzrueyrfmr1m|Anubis</t>
  </si>
  <si>
    <t xml:space="preserve">wtkbukkt9i8g1y0|Ancient</t>
  </si>
  <si>
    <t xml:space="preserve">wtkbukkt9i8g1y0|Nuke</t>
  </si>
  <si>
    <t xml:space="preserve">wtkbukkt9i8g1y0|Inferno</t>
  </si>
  <si>
    <t xml:space="preserve">wtkbukkt9i8g1y0|Dust2</t>
  </si>
  <si>
    <t xml:space="preserve">wtkbukkt9i8g1y0|Cache</t>
  </si>
  <si>
    <t xml:space="preserve">wtkbukkt9i8g1y0|Anubis</t>
  </si>
  <si>
    <t xml:space="preserve">uiy2ot3l9f0c2i9|Dust2</t>
  </si>
  <si>
    <t xml:space="preserve">uiy2ot3l9f0c2i9|Mirage</t>
  </si>
  <si>
    <t xml:space="preserve">uiy2ot3l9f0c2i9|Cache</t>
  </si>
  <si>
    <t xml:space="preserve">uiy2ot3l9f0c2i9|Anubis</t>
  </si>
  <si>
    <t xml:space="preserve">uiy2ot3l9f0c2i9|Inferno</t>
  </si>
  <si>
    <t xml:space="preserve">uiy2ot3l9f0c2i9|Nuke</t>
  </si>
  <si>
    <t xml:space="preserve">4bqrch5n45sx5u9|Nuke</t>
  </si>
  <si>
    <t xml:space="preserve">4bqrch5n45sx5u9|Mirage</t>
  </si>
  <si>
    <t xml:space="preserve">4bqrch5n45sx5u9|Cache</t>
  </si>
  <si>
    <t xml:space="preserve">4bqrch5n45sx5u9|Inferno</t>
  </si>
  <si>
    <t xml:space="preserve">4bqrch5n45sx5u9|Anubis</t>
  </si>
  <si>
    <t xml:space="preserve">4bqrch5n45sx5u9|Ancient</t>
  </si>
  <si>
    <t xml:space="preserve">xq939tnpy5hluwa|Mirage</t>
  </si>
  <si>
    <t xml:space="preserve">xq939tnpy5hluwa|Cache</t>
  </si>
  <si>
    <t xml:space="preserve">xq939tnpy5hluwa|Inferno</t>
  </si>
  <si>
    <t xml:space="preserve">xq939tnpy5hluwa|Ancient</t>
  </si>
  <si>
    <t xml:space="preserve">xq939tnpy5hluwa|Nuke</t>
  </si>
  <si>
    <t xml:space="preserve">xq939tnpy5hluwa|Anubis</t>
  </si>
  <si>
    <t xml:space="preserve">tyf3s6dikrrtlem|Ancient</t>
  </si>
  <si>
    <t xml:space="preserve">tyf3s6dikrrtlem|Inferno</t>
  </si>
  <si>
    <t xml:space="preserve">tyf3s6dikrrtlem|Dust2</t>
  </si>
  <si>
    <t xml:space="preserve">tyf3s6dikrrtlem|Mirage</t>
  </si>
  <si>
    <t xml:space="preserve">tyf3s6dikrrtlem|Anubis</t>
  </si>
  <si>
    <t xml:space="preserve">tyf3s6dikrrtlem|Cache</t>
  </si>
  <si>
    <t xml:space="preserve">tyf3s6dikrrtlem|Nuke</t>
  </si>
  <si>
    <t xml:space="preserve">012uwaetq7hevsp|Dust2</t>
  </si>
  <si>
    <t xml:space="preserve">012uwaetq7hevsp|Cache</t>
  </si>
  <si>
    <t xml:space="preserve">012uwaetq7hevsp|Anubis</t>
  </si>
  <si>
    <t xml:space="preserve">012uwaetq7hevsp|Mirage</t>
  </si>
  <si>
    <t xml:space="preserve">012uwaetq7hevsp|Nuke</t>
  </si>
  <si>
    <t xml:space="preserve">012uwaetq7hevsp|Ancient</t>
  </si>
  <si>
    <t xml:space="preserve">fg52qcdy7yej5d9|Nuke</t>
  </si>
  <si>
    <t xml:space="preserve">fg52qcdy7yej5d9|Mirage</t>
  </si>
  <si>
    <t xml:space="preserve">fg52qcdy7yej5d9|Dust2</t>
  </si>
  <si>
    <t xml:space="preserve">fg52qcdy7yej5d9|Cache</t>
  </si>
  <si>
    <t xml:space="preserve">fg52qcdy7yej5d9|Inferno</t>
  </si>
  <si>
    <t xml:space="preserve">fg52qcdy7yej5d9|Ancient</t>
  </si>
  <si>
    <t xml:space="preserve">ikw7yck0lcpdqwz|Ancient</t>
  </si>
  <si>
    <t xml:space="preserve">ikw7yck0lcpdqwz|Inferno</t>
  </si>
  <si>
    <t xml:space="preserve">ikw7yck0lcpdqwz|Dust2</t>
  </si>
  <si>
    <t xml:space="preserve">ikw7yck0lcpdqwz|Mirage</t>
  </si>
  <si>
    <t xml:space="preserve">ikw7yck0lcpdqwz|Anubis</t>
  </si>
  <si>
    <t xml:space="preserve">ikw7yck0lcpdqwz|Cache</t>
  </si>
  <si>
    <t xml:space="preserve">ikw7yck0lcpdqwz|Nuke</t>
  </si>
  <si>
    <t xml:space="preserve">6fnysfxfr7gofjk|Inferno</t>
  </si>
  <si>
    <t xml:space="preserve">6fnysfxfr7gofjk|Mirage</t>
  </si>
  <si>
    <t xml:space="preserve">6fnysfxfr7gofjk|Nuke</t>
  </si>
  <si>
    <t xml:space="preserve">6fnysfxfr7gofjk|Cache</t>
  </si>
  <si>
    <t xml:space="preserve">6fnysfxfr7gofjk|Anubis</t>
  </si>
  <si>
    <t xml:space="preserve">6fnysfxfr7gofjk|Ancient</t>
  </si>
  <si>
    <t xml:space="preserve">6fnysfxfr7gofjk|Dust2</t>
  </si>
  <si>
    <t xml:space="preserve">5efm2s88qbsnvv0|Mirage</t>
  </si>
  <si>
    <t xml:space="preserve">5efm2s88qbsnvv0|Ancient</t>
  </si>
  <si>
    <t xml:space="preserve">5efm2s88qbsnvv0|Dust2</t>
  </si>
  <si>
    <t xml:space="preserve">5efm2s88qbsnvv0|Nuke</t>
  </si>
  <si>
    <t xml:space="preserve">5efm2s88qbsnvv0|Inferno</t>
  </si>
  <si>
    <t xml:space="preserve">5efm2s88qbsnvv0|Anubis</t>
  </si>
  <si>
    <t xml:space="preserve">eolw6ia2z9ydnyh|Mirage</t>
  </si>
  <si>
    <t xml:space="preserve">eolw6ia2z9ydnyh|Ancient</t>
  </si>
  <si>
    <t xml:space="preserve">eolw6ia2z9ydnyh|Inferno</t>
  </si>
  <si>
    <t xml:space="preserve">eolw6ia2z9ydnyh|Cache</t>
  </si>
  <si>
    <t xml:space="preserve">eolw6ia2z9ydnyh|Nuke</t>
  </si>
  <si>
    <t xml:space="preserve">eolw6ia2z9ydnyh|Anubis</t>
  </si>
  <si>
    <t xml:space="preserve">p3z2zy4su4m4nh0|Mirage</t>
  </si>
  <si>
    <t xml:space="preserve">p3z2zy4su4m4nh0|Ancient</t>
  </si>
  <si>
    <t xml:space="preserve">p3z2zy4su4m4nh0|Inferno</t>
  </si>
  <si>
    <t xml:space="preserve">p3z2zy4su4m4nh0|Cache</t>
  </si>
  <si>
    <t xml:space="preserve">p3z2zy4su4m4nh0|Nuke</t>
  </si>
  <si>
    <t xml:space="preserve">p3z2zy4su4m4nh0|Anubis</t>
  </si>
  <si>
    <t xml:space="preserve">66ajrvmetqiufsf|Dust2</t>
  </si>
  <si>
    <t xml:space="preserve">66ajrvmetqiufsf|Anubis</t>
  </si>
  <si>
    <t xml:space="preserve">66ajrvmetqiufsf|Mirage</t>
  </si>
  <si>
    <t xml:space="preserve">66ajrvmetqiufsf|Inferno</t>
  </si>
  <si>
    <t xml:space="preserve">66ajrvmetqiufsf|Nuke</t>
  </si>
  <si>
    <t xml:space="preserve">66ajrvmetqiufsf|Cache</t>
  </si>
  <si>
    <t xml:space="preserve">frzabcozzj3obrl|Mirage</t>
  </si>
  <si>
    <t xml:space="preserve">frzabcozzj3obrl|Dust2</t>
  </si>
  <si>
    <t xml:space="preserve">frzabcozzj3obrl|Nuke</t>
  </si>
  <si>
    <t xml:space="preserve">frzabcozzj3obrl|Overpass</t>
  </si>
  <si>
    <t xml:space="preserve">frzabcozzj3obrl|Ancient</t>
  </si>
  <si>
    <t xml:space="preserve">frzabcozzj3obrl|Cache</t>
  </si>
  <si>
    <t xml:space="preserve">frzabcozzj3obrl|Inferno</t>
  </si>
  <si>
    <t xml:space="preserve">frzabcozzj3obrl|Anubis</t>
  </si>
  <si>
    <t xml:space="preserve">eb7cqiuc8bqx4zr|Mirage</t>
  </si>
  <si>
    <t xml:space="preserve">eb7cqiuc8bqx4zr|Cache</t>
  </si>
  <si>
    <t xml:space="preserve">eb7cqiuc8bqx4zr|Inferno</t>
  </si>
  <si>
    <t xml:space="preserve">eb7cqiuc8bqx4zr|Nuke</t>
  </si>
  <si>
    <t xml:space="preserve">eb7cqiuc8bqx4zr|Anubis</t>
  </si>
  <si>
    <t xml:space="preserve">eb7cqiuc8bqx4zr|Dust2</t>
  </si>
  <si>
    <t xml:space="preserve">eb7cqiuc8bqx4zr|Ancient</t>
  </si>
  <si>
    <t xml:space="preserve">j4y4z5p4stvkatz|Cache</t>
  </si>
  <si>
    <t xml:space="preserve">j4y4z5p4stvkatz|Mirage</t>
  </si>
  <si>
    <t xml:space="preserve">j4y4z5p4stvkatz|Inferno</t>
  </si>
  <si>
    <t xml:space="preserve">j4y4z5p4stvkatz|Nuke</t>
  </si>
  <si>
    <t xml:space="preserve">j4y4z5p4stvkatz|Dust2</t>
  </si>
  <si>
    <t xml:space="preserve">j4y4z5p4stvkatz|Anubis</t>
  </si>
  <si>
    <t xml:space="preserve">j4y4z5p4stvkatz|Ancient</t>
  </si>
  <si>
    <t xml:space="preserve">m02i8zld44pmsf6|Ancient</t>
  </si>
  <si>
    <t xml:space="preserve">m02i8zld44pmsf6|Nuke</t>
  </si>
  <si>
    <t xml:space="preserve">m02i8zld44pmsf6|Dust2</t>
  </si>
  <si>
    <t xml:space="preserve">m02i8zld44pmsf6|Inferno</t>
  </si>
  <si>
    <t xml:space="preserve">m02i8zld44pmsf6|Cache</t>
  </si>
  <si>
    <t xml:space="preserve">m02i8zld44pmsf6|Anubis</t>
  </si>
  <si>
    <t xml:space="preserve">jqawnnqgchzqat7|Ancient</t>
  </si>
  <si>
    <t xml:space="preserve">jqawnnqgchzqat7|Nuke</t>
  </si>
  <si>
    <t xml:space="preserve">jqawnnqgchzqat7|Inferno</t>
  </si>
  <si>
    <t xml:space="preserve">jqawnnqgchzqat7|Dust2</t>
  </si>
  <si>
    <t xml:space="preserve">jqawnnqgchzqat7|Cache</t>
  </si>
  <si>
    <t xml:space="preserve">jqawnnqgchzqat7|Anubis</t>
  </si>
  <si>
    <t xml:space="preserve">fhr6sqp0a6355ky|Ancient</t>
  </si>
  <si>
    <t xml:space="preserve">fhr6sqp0a6355ky|Cache</t>
  </si>
  <si>
    <t xml:space="preserve">fhr6sqp0a6355ky|Mirage</t>
  </si>
  <si>
    <t xml:space="preserve">fhr6sqp0a6355ky|Dust2</t>
  </si>
  <si>
    <t xml:space="preserve">fhr6sqp0a6355ky|Nuke</t>
  </si>
  <si>
    <t xml:space="preserve">fhr6sqp0a6355ky|Anubis</t>
  </si>
  <si>
    <t xml:space="preserve">h7nuz2cmw8wvh2s|Mirage</t>
  </si>
  <si>
    <t xml:space="preserve">h7nuz2cmw8wvh2s|Ancient</t>
  </si>
  <si>
    <t xml:space="preserve">h7nuz2cmw8wvh2s|Inferno</t>
  </si>
  <si>
    <t xml:space="preserve">h7nuz2cmw8wvh2s|Dust2</t>
  </si>
  <si>
    <t xml:space="preserve">h7nuz2cmw8wvh2s|Cache</t>
  </si>
  <si>
    <t xml:space="preserve">h7nuz2cmw8wvh2s|Nuke</t>
  </si>
  <si>
    <t xml:space="preserve">h7nuz2cmw8wvh2s|Overpass</t>
  </si>
  <si>
    <t xml:space="preserve">sj7nkpqagh6m88h|Cache</t>
  </si>
  <si>
    <t xml:space="preserve">sj7nkpqagh6m88h|Ancient</t>
  </si>
  <si>
    <t xml:space="preserve">sj7nkpqagh6m88h|Dust2</t>
  </si>
  <si>
    <t xml:space="preserve">sj7nkpqagh6m88h|Mirage</t>
  </si>
  <si>
    <t xml:space="preserve">sj7nkpqagh6m88h|Nuke</t>
  </si>
  <si>
    <t xml:space="preserve">sj7nkpqagh6m88h|Anubis</t>
  </si>
  <si>
    <t xml:space="preserve">at2vo8jmt9hrk3m|Mirage</t>
  </si>
  <si>
    <t xml:space="preserve">at2vo8jmt9hrk3m|Cache</t>
  </si>
  <si>
    <t xml:space="preserve">at2vo8jmt9hrk3m|Inferno</t>
  </si>
  <si>
    <t xml:space="preserve">at2vo8jmt9hrk3m|Ancient</t>
  </si>
  <si>
    <t xml:space="preserve">at2vo8jmt9hrk3m|Nuke</t>
  </si>
  <si>
    <t xml:space="preserve">at2vo8jmt9hrk3m|Anubis</t>
  </si>
  <si>
    <t xml:space="preserve">rhz6c2hq5wcant1|Ancient</t>
  </si>
  <si>
    <t xml:space="preserve">rhz6c2hq5wcant1|Dust2</t>
  </si>
  <si>
    <t xml:space="preserve">rhz6c2hq5wcant1|Mirage</t>
  </si>
  <si>
    <t xml:space="preserve">rhz6c2hq5wcant1|Anubis</t>
  </si>
  <si>
    <t xml:space="preserve">rhz6c2hq5wcant1|Nuke</t>
  </si>
  <si>
    <t xml:space="preserve">rhz6c2hq5wcant1|Cache</t>
  </si>
  <si>
    <t xml:space="preserve">rhz6c2hq5wcant1|Inferno</t>
  </si>
  <si>
    <t xml:space="preserve">xlunjfskczbvxwn|Mirage</t>
  </si>
  <si>
    <t xml:space="preserve">xlunjfskczbvxwn|Inferno</t>
  </si>
  <si>
    <t xml:space="preserve">xlunjfskczbvxwn|Nuke</t>
  </si>
  <si>
    <t xml:space="preserve">xlunjfskczbvxwn|Cache</t>
  </si>
  <si>
    <t xml:space="preserve">xlunjfskczbvxwn|Dust2</t>
  </si>
  <si>
    <t xml:space="preserve">xlunjfskczbvxwn|Ancient</t>
  </si>
  <si>
    <t xml:space="preserve">xlunjfskczbvxwn|Anubis</t>
  </si>
  <si>
    <t xml:space="preserve">2s3qwqpg7uefnn7|Dust2</t>
  </si>
  <si>
    <t xml:space="preserve">2s3qwqpg7uefnn7|Cache</t>
  </si>
  <si>
    <t xml:space="preserve">2s3qwqpg7uefnn7|Anubis</t>
  </si>
  <si>
    <t xml:space="preserve">2s3qwqpg7uefnn7|Mirage</t>
  </si>
  <si>
    <t xml:space="preserve">2s3qwqpg7uefnn7|Nuke</t>
  </si>
  <si>
    <t xml:space="preserve">2s3qwqpg7uefnn7|Ancient</t>
  </si>
  <si>
    <t xml:space="preserve">efi7mmb5o1ctn6l|Mirage</t>
  </si>
  <si>
    <t xml:space="preserve">efi7mmb5o1ctn6l|Dust2</t>
  </si>
  <si>
    <t xml:space="preserve">efi7mmb5o1ctn6l|Cache</t>
  </si>
  <si>
    <t xml:space="preserve">efi7mmb5o1ctn6l|Ancient</t>
  </si>
  <si>
    <t xml:space="preserve">efi7mmb5o1ctn6l|Inferno</t>
  </si>
  <si>
    <t xml:space="preserve">efi7mmb5o1ctn6l|Anubis</t>
  </si>
  <si>
    <t xml:space="preserve">80bybpfrkhru947|Ancient</t>
  </si>
  <si>
    <t xml:space="preserve">80bybpfrkhru947|Dust2</t>
  </si>
  <si>
    <t xml:space="preserve">80bybpfrkhru947|Mirage</t>
  </si>
  <si>
    <t xml:space="preserve">80bybpfrkhru947|Nuke</t>
  </si>
  <si>
    <t xml:space="preserve">80bybpfrkhru947|Inferno</t>
  </si>
  <si>
    <t xml:space="preserve">80bybpfrkhru947|Cache</t>
  </si>
  <si>
    <t xml:space="preserve">gzghvr1quamb0xn|Dust2</t>
  </si>
  <si>
    <t xml:space="preserve">gzghvr1quamb0xn|Mirage</t>
  </si>
  <si>
    <t xml:space="preserve">gzghvr1quamb0xn|Anubis</t>
  </si>
  <si>
    <t xml:space="preserve">gzghvr1quamb0xn|Inferno</t>
  </si>
  <si>
    <t xml:space="preserve">gzghvr1quamb0xn|Nuke</t>
  </si>
  <si>
    <t xml:space="preserve">gzghvr1quamb0xn|Cache</t>
  </si>
  <si>
    <t xml:space="preserve">798yw8my6zycp2s|Dust2</t>
  </si>
  <si>
    <t xml:space="preserve">798yw8my6zycp2s|Cache</t>
  </si>
  <si>
    <t xml:space="preserve">798yw8my6zycp2s|Anubis</t>
  </si>
  <si>
    <t xml:space="preserve">798yw8my6zycp2s|Nuke</t>
  </si>
  <si>
    <t xml:space="preserve">798yw8my6zycp2s|Mirage</t>
  </si>
  <si>
    <t xml:space="preserve">798yw8my6zycp2s|Ancient</t>
  </si>
  <si>
    <t xml:space="preserve">1wpbb1hb0wgcwoh|Dust2</t>
  </si>
  <si>
    <t xml:space="preserve">1wpbb1hb0wgcwoh|Mirage</t>
  </si>
  <si>
    <t xml:space="preserve">1wpbb1hb0wgcwoh|Ancient</t>
  </si>
  <si>
    <t xml:space="preserve">1wpbb1hb0wgcwoh|Nuke</t>
  </si>
  <si>
    <t xml:space="preserve">1wpbb1hb0wgcwoh|Inferno</t>
  </si>
  <si>
    <t xml:space="preserve">1wpbb1hb0wgcwoh|Cache</t>
  </si>
  <si>
    <t xml:space="preserve">uf3pcvx03g3k6xm|Nuke</t>
  </si>
  <si>
    <t xml:space="preserve">uf3pcvx03g3k6xm|Mirage</t>
  </si>
  <si>
    <t xml:space="preserve">uf3pcvx03g3k6xm|Dust2</t>
  </si>
  <si>
    <t xml:space="preserve">uf3pcvx03g3k6xm|Cache</t>
  </si>
  <si>
    <t xml:space="preserve">uf3pcvx03g3k6xm|Inferno</t>
  </si>
  <si>
    <t xml:space="preserve">uf3pcvx03g3k6xm|Ancient</t>
  </si>
  <si>
    <t xml:space="preserve">r0t80uiaisgetxr|Mirage</t>
  </si>
  <si>
    <t xml:space="preserve">r0t80uiaisgetxr|Dust2</t>
  </si>
  <si>
    <t xml:space="preserve">r0t80uiaisgetxr|Cache</t>
  </si>
  <si>
    <t xml:space="preserve">r0t80uiaisgetxr|Ancient</t>
  </si>
  <si>
    <t xml:space="preserve">r0t80uiaisgetxr|Inferno</t>
  </si>
  <si>
    <t xml:space="preserve">r0t80uiaisgetxr|Anubis</t>
  </si>
  <si>
    <t xml:space="preserve">6ztw7i4ms6nvy7y|Dust2</t>
  </si>
  <si>
    <t xml:space="preserve">6ztw7i4ms6nvy7y|Inferno</t>
  </si>
  <si>
    <t xml:space="preserve">6ztw7i4ms6nvy7y|Ancient</t>
  </si>
  <si>
    <t xml:space="preserve">6ztw7i4ms6nvy7y|Anubis</t>
  </si>
  <si>
    <t xml:space="preserve">6ztw7i4ms6nvy7y|Mirage</t>
  </si>
  <si>
    <t xml:space="preserve">6ztw7i4ms6nvy7y|Nuke</t>
  </si>
  <si>
    <t xml:space="preserve">6ztw7i4ms6nvy7y|Cache</t>
  </si>
  <si>
    <t xml:space="preserve">lfjx2i4g14pwgag|Ancient</t>
  </si>
  <si>
    <t xml:space="preserve">lfjx2i4g14pwgag|Mirage</t>
  </si>
  <si>
    <t xml:space="preserve">lfjx2i4g14pwgag|Dust2</t>
  </si>
  <si>
    <t xml:space="preserve">lfjx2i4g14pwgag|Cache</t>
  </si>
  <si>
    <t xml:space="preserve">lfjx2i4g14pwgag|Anubis</t>
  </si>
  <si>
    <t xml:space="preserve">lfjx2i4g14pwgag|Nuke</t>
  </si>
  <si>
    <t xml:space="preserve">w2jejpg0j9hthoo|Mirage</t>
  </si>
  <si>
    <t xml:space="preserve">w2jejpg0j9hthoo|Anubis</t>
  </si>
  <si>
    <t xml:space="preserve">w2jejpg0j9hthoo|Ancient</t>
  </si>
  <si>
    <t xml:space="preserve">w2jejpg0j9hthoo|Nuke</t>
  </si>
  <si>
    <t xml:space="preserve">w2jejpg0j9hthoo|Cache</t>
  </si>
  <si>
    <t xml:space="preserve">w2jejpg0j9hthoo|Dust2</t>
  </si>
  <si>
    <t xml:space="preserve">cenz32hm5akyeqy|Nuke</t>
  </si>
  <si>
    <t xml:space="preserve">cenz32hm5akyeqy|Mirage</t>
  </si>
  <si>
    <t xml:space="preserve">cenz32hm5akyeqy|Cache</t>
  </si>
  <si>
    <t xml:space="preserve">cenz32hm5akyeqy|Inferno</t>
  </si>
  <si>
    <t xml:space="preserve">cenz32hm5akyeqy|Anubis</t>
  </si>
  <si>
    <t xml:space="preserve">cenz32hm5akyeqy|Ancient</t>
  </si>
  <si>
    <t xml:space="preserve">6oi74s8csyxqh63|Inferno</t>
  </si>
  <si>
    <t xml:space="preserve">6oi74s8csyxqh63|Mirage</t>
  </si>
  <si>
    <t xml:space="preserve">6oi74s8csyxqh63|Nuke</t>
  </si>
  <si>
    <t xml:space="preserve">6oi74s8csyxqh63|Cache</t>
  </si>
  <si>
    <t xml:space="preserve">6oi74s8csyxqh63|Anubis</t>
  </si>
  <si>
    <t xml:space="preserve">6oi74s8csyxqh63|Ancient</t>
  </si>
  <si>
    <t xml:space="preserve">6oi74s8csyxqh63|Dust2</t>
  </si>
  <si>
    <t xml:space="preserve">30ba4vwtbgb75sn|Inferno</t>
  </si>
  <si>
    <t xml:space="preserve">30ba4vwtbgb75sn|Mirage</t>
  </si>
  <si>
    <t xml:space="preserve">30ba4vwtbgb75sn|Cache</t>
  </si>
  <si>
    <t xml:space="preserve">30ba4vwtbgb75sn|Nuke</t>
  </si>
  <si>
    <t xml:space="preserve">30ba4vwtbgb75sn|Anubis</t>
  </si>
  <si>
    <t xml:space="preserve">30ba4vwtbgb75sn|Dust2</t>
  </si>
  <si>
    <t xml:space="preserve">30ba4vwtbgb75sn|Ancient</t>
  </si>
  <si>
    <t xml:space="preserve">5l639x0qis2rfwi|Ancient</t>
  </si>
  <si>
    <t xml:space="preserve">5l639x0qis2rfwi|Inferno</t>
  </si>
  <si>
    <t xml:space="preserve">5l639x0qis2rfwi|Dust2</t>
  </si>
  <si>
    <t xml:space="preserve">5l639x0qis2rfwi|Mirage</t>
  </si>
  <si>
    <t xml:space="preserve">5l639x0qis2rfwi|Anubis</t>
  </si>
  <si>
    <t xml:space="preserve">5l639x0qis2rfwi|Cache</t>
  </si>
  <si>
    <t xml:space="preserve">5l639x0qis2rfwi|Nuke</t>
  </si>
  <si>
    <t xml:space="preserve">2l8hxj94mm620bg|Nuke</t>
  </si>
  <si>
    <t xml:space="preserve">2l8hxj94mm620bg|Dust2</t>
  </si>
  <si>
    <t xml:space="preserve">2l8hxj94mm620bg|Mirage</t>
  </si>
  <si>
    <t xml:space="preserve">2l8hxj94mm620bg|Cache</t>
  </si>
  <si>
    <t xml:space="preserve">2l8hxj94mm620bg|Inferno</t>
  </si>
  <si>
    <t xml:space="preserve">2l8hxj94mm620bg|Ancient</t>
  </si>
  <si>
    <t xml:space="preserve">sir58v1hxyyne29|Mirage</t>
  </si>
  <si>
    <t xml:space="preserve">sir58v1hxyyne29|Cache</t>
  </si>
  <si>
    <t xml:space="preserve">sir58v1hxyyne29|Inferno</t>
  </si>
  <si>
    <t xml:space="preserve">sir58v1hxyyne29|Ancient</t>
  </si>
  <si>
    <t xml:space="preserve">sir58v1hxyyne29|Nuke</t>
  </si>
  <si>
    <t xml:space="preserve">sir58v1hxyyne29|Anubis</t>
  </si>
  <si>
    <t xml:space="preserve">7jjpyjuolf7cdlx|Mirage</t>
  </si>
  <si>
    <t xml:space="preserve">7jjpyjuolf7cdlx|Ancient</t>
  </si>
  <si>
    <t xml:space="preserve">7jjpyjuolf7cdlx|Inferno</t>
  </si>
  <si>
    <t xml:space="preserve">7jjpyjuolf7cdlx|Cache</t>
  </si>
  <si>
    <t xml:space="preserve">7jjpyjuolf7cdlx|Nuke</t>
  </si>
  <si>
    <t xml:space="preserve">7jjpyjuolf7cdlx|Anubis</t>
  </si>
  <si>
    <t xml:space="preserve">pumzitjp9bsniic|Nuke</t>
  </si>
  <si>
    <t xml:space="preserve">pumzitjp9bsniic|Mirage</t>
  </si>
  <si>
    <t xml:space="preserve">pumzitjp9bsniic|Dust2</t>
  </si>
  <si>
    <t xml:space="preserve">pumzitjp9bsniic|Cache</t>
  </si>
  <si>
    <t xml:space="preserve">pumzitjp9bsniic|Inferno</t>
  </si>
  <si>
    <t xml:space="preserve">pumzitjp9bsniic|Ancient</t>
  </si>
  <si>
    <t xml:space="preserve">w4swyv4mqy1ob42|Mirage</t>
  </si>
  <si>
    <t xml:space="preserve">w4swyv4mqy1ob42|Dust2</t>
  </si>
  <si>
    <t xml:space="preserve">w4swyv4mqy1ob42|Anubis</t>
  </si>
  <si>
    <t xml:space="preserve">w4swyv4mqy1ob42|Cache</t>
  </si>
  <si>
    <t xml:space="preserve">w4swyv4mqy1ob42|Inferno</t>
  </si>
  <si>
    <t xml:space="preserve">w4swyv4mqy1ob42|Nuke</t>
  </si>
  <si>
    <t xml:space="preserve">g1czin1kua6nls5|Mirage</t>
  </si>
  <si>
    <t xml:space="preserve">g1czin1kua6nls5|Inferno</t>
  </si>
  <si>
    <t xml:space="preserve">g1czin1kua6nls5|Nuke</t>
  </si>
  <si>
    <t xml:space="preserve">g1czin1kua6nls5|Cache</t>
  </si>
  <si>
    <t xml:space="preserve">g1czin1kua6nls5|Dust2</t>
  </si>
  <si>
    <t xml:space="preserve">g1czin1kua6nls5|Ancient</t>
  </si>
  <si>
    <t xml:space="preserve">g1czin1kua6nls5|Anubis</t>
  </si>
  <si>
    <t xml:space="preserve">ypfqlkrrqevp8h4|Mirage</t>
  </si>
  <si>
    <t xml:space="preserve">ypfqlkrrqevp8h4|Ancient</t>
  </si>
  <si>
    <t xml:space="preserve">ypfqlkrrqevp8h4|Inferno</t>
  </si>
  <si>
    <t xml:space="preserve">ypfqlkrrqevp8h4|Cache</t>
  </si>
  <si>
    <t xml:space="preserve">ypfqlkrrqevp8h4|Nuke</t>
  </si>
  <si>
    <t xml:space="preserve">ypfqlkrrqevp8h4|Anubis</t>
  </si>
  <si>
    <t xml:space="preserve">wgxwl9snnyzsfwq|Dust2</t>
  </si>
  <si>
    <t xml:space="preserve">wgxwl9snnyzsfwq|Mirage</t>
  </si>
  <si>
    <t xml:space="preserve">wgxwl9snnyzsfwq|Ancient</t>
  </si>
  <si>
    <t xml:space="preserve">wgxwl9snnyzsfwq|Nuke</t>
  </si>
  <si>
    <t xml:space="preserve">wgxwl9snnyzsfwq|Inferno</t>
  </si>
  <si>
    <t xml:space="preserve">wgxwl9snnyzsfwq|Cache</t>
  </si>
  <si>
    <t xml:space="preserve">as14gj4lvoykr11|Mirage</t>
  </si>
  <si>
    <t xml:space="preserve">as14gj4lvoykr11|Cache</t>
  </si>
  <si>
    <t xml:space="preserve">as14gj4lvoykr11|Inferno</t>
  </si>
  <si>
    <t xml:space="preserve">as14gj4lvoykr11|Nuke</t>
  </si>
  <si>
    <t xml:space="preserve">as14gj4lvoykr11|Anubis</t>
  </si>
  <si>
    <t xml:space="preserve">as14gj4lvoykr11|Dust2</t>
  </si>
  <si>
    <t xml:space="preserve">as14gj4lvoykr11|Ancient</t>
  </si>
  <si>
    <t xml:space="preserve">l65e6bpbpsopabo|Mirage</t>
  </si>
  <si>
    <t xml:space="preserve">l65e6bpbpsopabo|Dust2</t>
  </si>
  <si>
    <t xml:space="preserve">l65e6bpbpsopabo|Anubis</t>
  </si>
  <si>
    <t xml:space="preserve">l65e6bpbpsopabo|Inferno</t>
  </si>
  <si>
    <t xml:space="preserve">l65e6bpbpsopabo|Nuke</t>
  </si>
  <si>
    <t xml:space="preserve">l65e6bpbpsopabo|Cache</t>
  </si>
  <si>
    <t xml:space="preserve">l65e6bpbpsopabo|Ancient</t>
  </si>
  <si>
    <t xml:space="preserve">ysvz6uswynmfc98|Ancient</t>
  </si>
  <si>
    <t xml:space="preserve">ysvz6uswynmfc98|Inferno</t>
  </si>
  <si>
    <t xml:space="preserve">ysvz6uswynmfc98|Dust2</t>
  </si>
  <si>
    <t xml:space="preserve">ysvz6uswynmfc98|Mirage</t>
  </si>
  <si>
    <t xml:space="preserve">ysvz6uswynmfc98|Anubis</t>
  </si>
  <si>
    <t xml:space="preserve">ysvz6uswynmfc98|Cache</t>
  </si>
  <si>
    <t xml:space="preserve">ysvz6uswynmfc98|Nuke</t>
  </si>
  <si>
    <t xml:space="preserve">udiua4ttm49q2v4|Dust2</t>
  </si>
  <si>
    <t xml:space="preserve">udiua4ttm49q2v4|Cache</t>
  </si>
  <si>
    <t xml:space="preserve">udiua4ttm49q2v4|Mirage</t>
  </si>
  <si>
    <t xml:space="preserve">udiua4ttm49q2v4|Inferno</t>
  </si>
  <si>
    <t xml:space="preserve">udiua4ttm49q2v4|Nuke</t>
  </si>
  <si>
    <t xml:space="preserve">udiua4ttm49q2v4|Ancient</t>
  </si>
  <si>
    <t xml:space="preserve">udiua4ttm49q2v4|Anubis</t>
  </si>
  <si>
    <t xml:space="preserve">dobeml44vsvpy4d|Ancient</t>
  </si>
  <si>
    <t xml:space="preserve">dobeml44vsvpy4d|Inferno</t>
  </si>
  <si>
    <t xml:space="preserve">dobeml44vsvpy4d|Dust2</t>
  </si>
  <si>
    <t xml:space="preserve">dobeml44vsvpy4d|Mirage</t>
  </si>
  <si>
    <t xml:space="preserve">dobeml44vsvpy4d|Nuke</t>
  </si>
  <si>
    <t xml:space="preserve">dobeml44vsvpy4d|Cache</t>
  </si>
  <si>
    <t xml:space="preserve">x9afncgn4bx6f1l|Dust2</t>
  </si>
  <si>
    <t xml:space="preserve">x9afncgn4bx6f1l|Mirage</t>
  </si>
  <si>
    <t xml:space="preserve">x9afncgn4bx6f1l|Anubis</t>
  </si>
  <si>
    <t xml:space="preserve">x9afncgn4bx6f1l|Ancient</t>
  </si>
  <si>
    <t xml:space="preserve">x9afncgn4bx6f1l|Inferno</t>
  </si>
  <si>
    <t xml:space="preserve">x9afncgn4bx6f1l|Cache</t>
  </si>
  <si>
    <t xml:space="preserve">vwa09ypl40r89pt|Nuke</t>
  </si>
  <si>
    <t xml:space="preserve">vwa09ypl40r89pt|Mirage</t>
  </si>
  <si>
    <t xml:space="preserve">vwa09ypl40r89pt|Cache</t>
  </si>
  <si>
    <t xml:space="preserve">vwa09ypl40r89pt|Anubis</t>
  </si>
  <si>
    <t xml:space="preserve">vwa09ypl40r89pt|Inferno</t>
  </si>
  <si>
    <t xml:space="preserve">vwa09ypl40r89pt|Ancient</t>
  </si>
  <si>
    <t xml:space="preserve">pddkiy5mogisq4i|Mirage</t>
  </si>
  <si>
    <t xml:space="preserve">pddkiy5mogisq4i|Cache</t>
  </si>
  <si>
    <t xml:space="preserve">pddkiy5mogisq4i|Inferno</t>
  </si>
  <si>
    <t xml:space="preserve">pddkiy5mogisq4i|Nuke</t>
  </si>
  <si>
    <t xml:space="preserve">pddkiy5mogisq4i|Dust2</t>
  </si>
  <si>
    <t xml:space="preserve">pddkiy5mogisq4i|Ancient</t>
  </si>
  <si>
    <t xml:space="preserve">3v2vw55rjp5df2r|Ancient</t>
  </si>
  <si>
    <t xml:space="preserve">3v2vw55rjp5df2r|Inferno</t>
  </si>
  <si>
    <t xml:space="preserve">3v2vw55rjp5df2r|Dust2</t>
  </si>
  <si>
    <t xml:space="preserve">3v2vw55rjp5df2r|Mirage</t>
  </si>
  <si>
    <t xml:space="preserve">3v2vw55rjp5df2r|Anubis</t>
  </si>
  <si>
    <t xml:space="preserve">3v2vw55rjp5df2r|Cache</t>
  </si>
  <si>
    <t xml:space="preserve">3v2vw55rjp5df2r|Nuke</t>
  </si>
  <si>
    <t xml:space="preserve">a0u1qo22a3z9rh8|Mirage</t>
  </si>
  <si>
    <t xml:space="preserve">a0u1qo22a3z9rh8|Cache</t>
  </si>
  <si>
    <t xml:space="preserve">a0u1qo22a3z9rh8|Inferno</t>
  </si>
  <si>
    <t xml:space="preserve">a0u1qo22a3z9rh8|Nuke</t>
  </si>
  <si>
    <t xml:space="preserve">a0u1qo22a3z9rh8|Ancient</t>
  </si>
  <si>
    <t xml:space="preserve">a0u1qo22a3z9rh8|Anubis</t>
  </si>
  <si>
    <t xml:space="preserve">1p3p5e3dcd3rbvt|Dust2</t>
  </si>
  <si>
    <t xml:space="preserve">1p3p5e3dcd3rbvt|Mirage</t>
  </si>
  <si>
    <t xml:space="preserve">1p3p5e3dcd3rbvt|Anubis</t>
  </si>
  <si>
    <t xml:space="preserve">1p3p5e3dcd3rbvt|Inferno</t>
  </si>
  <si>
    <t xml:space="preserve">1p3p5e3dcd3rbvt|Cache</t>
  </si>
  <si>
    <t xml:space="preserve">1p3p5e3dcd3rbvt|Nuke</t>
  </si>
  <si>
    <t xml:space="preserve">ewe4j1nrqwzs0q7|Cache</t>
  </si>
  <si>
    <t xml:space="preserve">ewe4j1nrqwzs0q7|Ancient</t>
  </si>
  <si>
    <t xml:space="preserve">ewe4j1nrqwzs0q7|Dust2</t>
  </si>
  <si>
    <t xml:space="preserve">ewe4j1nrqwzs0q7|Mirage</t>
  </si>
  <si>
    <t xml:space="preserve">ewe4j1nrqwzs0q7|Nuke</t>
  </si>
  <si>
    <t xml:space="preserve">ewe4j1nrqwzs0q7|Anubis</t>
  </si>
  <si>
    <t xml:space="preserve">jbs33yc6r5ra8l4|Dust2</t>
  </si>
  <si>
    <t xml:space="preserve">jbs33yc6r5ra8l4|Mirage</t>
  </si>
  <si>
    <t xml:space="preserve">jbs33yc6r5ra8l4|Cache</t>
  </si>
  <si>
    <t xml:space="preserve">jbs33yc6r5ra8l4|Anubis</t>
  </si>
  <si>
    <t xml:space="preserve">jbs33yc6r5ra8l4|Inferno</t>
  </si>
  <si>
    <t xml:space="preserve">jbs33yc6r5ra8l4|Nuke</t>
  </si>
  <si>
    <t xml:space="preserve">bn3mlvy0cst11z3|Mirage</t>
  </si>
  <si>
    <t xml:space="preserve">bn3mlvy0cst11z3|Anubis</t>
  </si>
  <si>
    <t xml:space="preserve">bn3mlvy0cst11z3|Ancient</t>
  </si>
  <si>
    <t xml:space="preserve">bn3mlvy0cst11z3|Dust2</t>
  </si>
  <si>
    <t xml:space="preserve">bn3mlvy0cst11z3|Nuke</t>
  </si>
  <si>
    <t xml:space="preserve">bn3mlvy0cst11z3|Cache</t>
  </si>
  <si>
    <t xml:space="preserve">d1hn3as545n029p|Dust2</t>
  </si>
  <si>
    <t xml:space="preserve">d1hn3as545n029p|Cache</t>
  </si>
  <si>
    <t xml:space="preserve">d1hn3as545n029p|Mirage</t>
  </si>
  <si>
    <t xml:space="preserve">d1hn3as545n029p|Anubis</t>
  </si>
  <si>
    <t xml:space="preserve">d1hn3as545n029p|Inferno</t>
  </si>
  <si>
    <t xml:space="preserve">d1hn3as545n029p|Nuke</t>
  </si>
  <si>
    <t xml:space="preserve">wcfyexekmhuiiin|Mirage</t>
  </si>
  <si>
    <t xml:space="preserve">wcfyexekmhuiiin|Dust2</t>
  </si>
  <si>
    <t xml:space="preserve">wcfyexekmhuiiin|Inferno</t>
  </si>
  <si>
    <t xml:space="preserve">wcfyexekmhuiiin|Ancient</t>
  </si>
  <si>
    <t xml:space="preserve">wcfyexekmhuiiin|Nuke</t>
  </si>
  <si>
    <t xml:space="preserve">wcfyexekmhuiiin|Anubis</t>
  </si>
  <si>
    <t xml:space="preserve">wcfyexekmhuiiin|Cache</t>
  </si>
  <si>
    <t xml:space="preserve">wcfyexekmhuiiin|Overpass</t>
  </si>
  <si>
    <t xml:space="preserve">4hpvy9eb05vcrre|Dust2</t>
  </si>
  <si>
    <t xml:space="preserve">4hpvy9eb05vcrre|Ancient</t>
  </si>
  <si>
    <t xml:space="preserve">4hpvy9eb05vcrre|Mirage</t>
  </si>
  <si>
    <t xml:space="preserve">4hpvy9eb05vcrre|Anubis</t>
  </si>
  <si>
    <t xml:space="preserve">4hpvy9eb05vcrre|Cache</t>
  </si>
  <si>
    <t xml:space="preserve">4hpvy9eb05vcrre|Nuke</t>
  </si>
  <si>
    <t xml:space="preserve">9ycphxjddne0u4w|Ancient</t>
  </si>
  <si>
    <t xml:space="preserve">9ycphxjddne0u4w|Dust2</t>
  </si>
  <si>
    <t xml:space="preserve">9ycphxjddne0u4w|Mirage</t>
  </si>
  <si>
    <t xml:space="preserve">9ycphxjddne0u4w|Inferno</t>
  </si>
  <si>
    <t xml:space="preserve">9ycphxjddne0u4w|Nuke</t>
  </si>
  <si>
    <t xml:space="preserve">9ycphxjddne0u4w|Cache</t>
  </si>
  <si>
    <t xml:space="preserve">c8wc8d745qhelxm|Mirage</t>
  </si>
  <si>
    <t xml:space="preserve">c8wc8d745qhelxm|Dust2</t>
  </si>
  <si>
    <t xml:space="preserve">c8wc8d745qhelxm|Cache</t>
  </si>
  <si>
    <t xml:space="preserve">c8wc8d745qhelxm|Ancient</t>
  </si>
  <si>
    <t xml:space="preserve">c8wc8d745qhelxm|Inferno</t>
  </si>
  <si>
    <t xml:space="preserve">c8wc8d745qhelxm|Anubis</t>
  </si>
  <si>
    <t xml:space="preserve">qlzigrqycoim5ix|Mirage</t>
  </si>
  <si>
    <t xml:space="preserve">qlzigrqycoim5ix|Cache</t>
  </si>
  <si>
    <t xml:space="preserve">qlzigrqycoim5ix|Inferno</t>
  </si>
  <si>
    <t xml:space="preserve">qlzigrqycoim5ix|Dust2</t>
  </si>
  <si>
    <t xml:space="preserve">qlzigrqycoim5ix|Nuke</t>
  </si>
  <si>
    <t xml:space="preserve">qlzigrqycoim5ix|Ancient</t>
  </si>
  <si>
    <t xml:space="preserve">vl85mzwiy0ds144|Nuke</t>
  </si>
  <si>
    <t xml:space="preserve">vl85mzwiy0ds144|Mirage</t>
  </si>
  <si>
    <t xml:space="preserve">vl85mzwiy0ds144|Cache</t>
  </si>
  <si>
    <t xml:space="preserve">vl85mzwiy0ds144|Anubis</t>
  </si>
  <si>
    <t xml:space="preserve">vl85mzwiy0ds144|Inferno</t>
  </si>
  <si>
    <t xml:space="preserve">vl85mzwiy0ds144|Ancient</t>
  </si>
  <si>
    <t xml:space="preserve">xwyhvw38gardzpx|Dust2</t>
  </si>
  <si>
    <t xml:space="preserve">xwyhvw38gardzpx|Mirage</t>
  </si>
  <si>
    <t xml:space="preserve">xwyhvw38gardzpx|Ancient</t>
  </si>
  <si>
    <t xml:space="preserve">xwyhvw38gardzpx|Overpass</t>
  </si>
  <si>
    <t xml:space="preserve">xwyhvw38gardzpx|Inferno</t>
  </si>
  <si>
    <t xml:space="preserve">xwyhvw38gardzpx|Anubis</t>
  </si>
  <si>
    <t xml:space="preserve">xwyhvw38gardzpx|Nuke</t>
  </si>
  <si>
    <t xml:space="preserve">f00llyg1ocypenv|Ancient</t>
  </si>
  <si>
    <t xml:space="preserve">f00llyg1ocypenv|Cache</t>
  </si>
  <si>
    <t xml:space="preserve">f00llyg1ocypenv|Mirage</t>
  </si>
  <si>
    <t xml:space="preserve">f00llyg1ocypenv|Dust2</t>
  </si>
  <si>
    <t xml:space="preserve">f00llyg1ocypenv|Nuke</t>
  </si>
  <si>
    <t xml:space="preserve">f00llyg1ocypenv|Anubis</t>
  </si>
  <si>
    <t xml:space="preserve">2fcfnso9a3rhpcr|Mirage</t>
  </si>
  <si>
    <t xml:space="preserve">2fcfnso9a3rhpcr|Dust2</t>
  </si>
  <si>
    <t xml:space="preserve">2fcfnso9a3rhpcr|Anubis</t>
  </si>
  <si>
    <t xml:space="preserve">2fcfnso9a3rhpcr|Inferno</t>
  </si>
  <si>
    <t xml:space="preserve">2fcfnso9a3rhpcr|Nuke</t>
  </si>
  <si>
    <t xml:space="preserve">2fcfnso9a3rhpcr|Cache</t>
  </si>
  <si>
    <t xml:space="preserve">2fcfnso9a3rhpcr|Ancient</t>
  </si>
  <si>
    <t xml:space="preserve">tkkenn22b7r5gfa|Dust2</t>
  </si>
  <si>
    <t xml:space="preserve">tkkenn22b7r5gfa|Mirage</t>
  </si>
  <si>
    <t xml:space="preserve">tkkenn22b7r5gfa|Anubis</t>
  </si>
  <si>
    <t xml:space="preserve">tkkenn22b7r5gfa|Cache</t>
  </si>
  <si>
    <t xml:space="preserve">tkkenn22b7r5gfa|Inferno</t>
  </si>
  <si>
    <t xml:space="preserve">tkkenn22b7r5gfa|Nuke</t>
  </si>
  <si>
    <t xml:space="preserve">f34szm5kcyom32u|Inferno</t>
  </si>
  <si>
    <t xml:space="preserve">f34szm5kcyom32u|Mirage</t>
  </si>
  <si>
    <t xml:space="preserve">f34szm5kcyom32u|Dust2</t>
  </si>
  <si>
    <t xml:space="preserve">f34szm5kcyom32u|Ancient</t>
  </si>
  <si>
    <t xml:space="preserve">f34szm5kcyom32u|Nuke</t>
  </si>
  <si>
    <t xml:space="preserve">f34szm5kcyom32u|Cache</t>
  </si>
  <si>
    <t xml:space="preserve">f34szm5kcyom32u|Overpass</t>
  </si>
  <si>
    <t xml:space="preserve">coz7ncv7hdezsk9|Mirage</t>
  </si>
  <si>
    <t xml:space="preserve">coz7ncv7hdezsk9|Inferno</t>
  </si>
  <si>
    <t xml:space="preserve">coz7ncv7hdezsk9|Ancient</t>
  </si>
  <si>
    <t xml:space="preserve">coz7ncv7hdezsk9|Dust2</t>
  </si>
  <si>
    <t xml:space="preserve">coz7ncv7hdezsk9|Cache</t>
  </si>
  <si>
    <t xml:space="preserve">coz7ncv7hdezsk9|Nuke</t>
  </si>
  <si>
    <t xml:space="preserve">23ihz3d4vuve2an|Dust2</t>
  </si>
  <si>
    <t xml:space="preserve">23ihz3d4vuve2an|Mirage</t>
  </si>
  <si>
    <t xml:space="preserve">23ihz3d4vuve2an|Ancient</t>
  </si>
  <si>
    <t xml:space="preserve">23ihz3d4vuve2an|Cache</t>
  </si>
  <si>
    <t xml:space="preserve">23ihz3d4vuve2an|Anubis</t>
  </si>
  <si>
    <t xml:space="preserve">23ihz3d4vuve2an|Nuke</t>
  </si>
  <si>
    <t xml:space="preserve">jk73jbuxys7dhxb|Mirage</t>
  </si>
  <si>
    <t xml:space="preserve">jk73jbuxys7dhxb|Cache</t>
  </si>
  <si>
    <t xml:space="preserve">jk73jbuxys7dhxb|Dust2</t>
  </si>
  <si>
    <t xml:space="preserve">jk73jbuxys7dhxb|Inferno</t>
  </si>
  <si>
    <t xml:space="preserve">jk73jbuxys7dhxb|Nuke</t>
  </si>
  <si>
    <t xml:space="preserve">jk73jbuxys7dhxb|Ancient</t>
  </si>
  <si>
    <t xml:space="preserve">qtomd625i03qfpk|Dust2</t>
  </si>
  <si>
    <t xml:space="preserve">qtomd625i03qfpk|Mirage</t>
  </si>
  <si>
    <t xml:space="preserve">qtomd625i03qfpk|Ancient</t>
  </si>
  <si>
    <t xml:space="preserve">qtomd625i03qfpk|Nuke</t>
  </si>
  <si>
    <t xml:space="preserve">qtomd625i03qfpk|Inferno</t>
  </si>
  <si>
    <t xml:space="preserve">qtomd625i03qfpk|Cache</t>
  </si>
  <si>
    <t xml:space="preserve">12s4j1y56sietsk|Ancient</t>
  </si>
  <si>
    <t xml:space="preserve">12s4j1y56sietsk|Dust2</t>
  </si>
  <si>
    <t xml:space="preserve">12s4j1y56sietsk|Mirage</t>
  </si>
  <si>
    <t xml:space="preserve">12s4j1y56sietsk|Nuke</t>
  </si>
  <si>
    <t xml:space="preserve">12s4j1y56sietsk|Inferno</t>
  </si>
  <si>
    <t xml:space="preserve">12s4j1y56sietsk|Cache</t>
  </si>
  <si>
    <t xml:space="preserve">9wdj3z2kekttkk3|Inferno</t>
  </si>
  <si>
    <t xml:space="preserve">9wdj3z2kekttkk3|Mirage</t>
  </si>
  <si>
    <t xml:space="preserve">9wdj3z2kekttkk3|Nuke</t>
  </si>
  <si>
    <t xml:space="preserve">9wdj3z2kekttkk3|Cache</t>
  </si>
  <si>
    <t xml:space="preserve">9wdj3z2kekttkk3|Anubis</t>
  </si>
  <si>
    <t xml:space="preserve">9wdj3z2kekttkk3|Ancient</t>
  </si>
  <si>
    <t xml:space="preserve">9wdj3z2kekttkk3|Dust2</t>
  </si>
  <si>
    <t xml:space="preserve">9clq2dpvqugkf0i|Dust2</t>
  </si>
  <si>
    <t xml:space="preserve">9clq2dpvqugkf0i|Mirage</t>
  </si>
  <si>
    <t xml:space="preserve">9clq2dpvqugkf0i|Anubis</t>
  </si>
  <si>
    <t xml:space="preserve">9clq2dpvqugkf0i|Inferno</t>
  </si>
  <si>
    <t xml:space="preserve">9clq2dpvqugkf0i|Nuke</t>
  </si>
  <si>
    <t xml:space="preserve">9clq2dpvqugkf0i|Cache</t>
  </si>
  <si>
    <t xml:space="preserve">lpkyyhtoofj8ova|Dust2</t>
  </si>
  <si>
    <t xml:space="preserve">lpkyyhtoofj8ova|Anubis</t>
  </si>
  <si>
    <t xml:space="preserve">lpkyyhtoofj8ova|Mirage</t>
  </si>
  <si>
    <t xml:space="preserve">lpkyyhtoofj8ova|Inferno</t>
  </si>
  <si>
    <t xml:space="preserve">lpkyyhtoofj8ova|Nuke</t>
  </si>
  <si>
    <t xml:space="preserve">lpkyyhtoofj8ova|Cache</t>
  </si>
  <si>
    <t xml:space="preserve">jc1nf38p0b44dfy|Cache</t>
  </si>
  <si>
    <t xml:space="preserve">jc1nf38p0b44dfy|Ancient</t>
  </si>
  <si>
    <t xml:space="preserve">jc1nf38p0b44dfy|Dust2</t>
  </si>
  <si>
    <t xml:space="preserve">jc1nf38p0b44dfy|Mirage</t>
  </si>
  <si>
    <t xml:space="preserve">jc1nf38p0b44dfy|Nuke</t>
  </si>
  <si>
    <t xml:space="preserve">jc1nf38p0b44dfy|Anubis</t>
  </si>
  <si>
    <t xml:space="preserve">zauqna21klkp1rt|Dust2</t>
  </si>
  <si>
    <t xml:space="preserve">zauqna21klkp1rt|Anubis</t>
  </si>
  <si>
    <t xml:space="preserve">zauqna21klkp1rt|Mirage</t>
  </si>
  <si>
    <t xml:space="preserve">zauqna21klkp1rt|Inferno</t>
  </si>
  <si>
    <t xml:space="preserve">zauqna21klkp1rt|Nuke</t>
  </si>
  <si>
    <t xml:space="preserve">zauqna21klkp1rt|Cache</t>
  </si>
  <si>
    <t xml:space="preserve">zs2lsmobreb35xn|Mirage</t>
  </si>
  <si>
    <t xml:space="preserve">zs2lsmobreb35xn|Cache</t>
  </si>
  <si>
    <t xml:space="preserve">zs2lsmobreb35xn|Inferno</t>
  </si>
  <si>
    <t xml:space="preserve">zs2lsmobreb35xn|Nuke</t>
  </si>
  <si>
    <t xml:space="preserve">zs2lsmobreb35xn|Dust2</t>
  </si>
  <si>
    <t xml:space="preserve">zs2lsmobreb35xn|Ancient</t>
  </si>
  <si>
    <t xml:space="preserve">ih00nznuepxs9r3|Mirage</t>
  </si>
  <si>
    <t xml:space="preserve">ih00nznuepxs9r3|Cache</t>
  </si>
  <si>
    <t xml:space="preserve">ih00nznuepxs9r3|Dust2</t>
  </si>
  <si>
    <t xml:space="preserve">ih00nznuepxs9r3|Inferno</t>
  </si>
  <si>
    <t xml:space="preserve">ih00nznuepxs9r3|Nuke</t>
  </si>
  <si>
    <t xml:space="preserve">ih00nznuepxs9r3|Ancient</t>
  </si>
  <si>
    <t xml:space="preserve">lj8zw2mudcbj35u|Ancient</t>
  </si>
  <si>
    <t xml:space="preserve">lj8zw2mudcbj35u|Dust2</t>
  </si>
  <si>
    <t xml:space="preserve">lj8zw2mudcbj35u|Nuke</t>
  </si>
  <si>
    <t xml:space="preserve">lj8zw2mudcbj35u|Mirage</t>
  </si>
  <si>
    <t xml:space="preserve">lj8zw2mudcbj35u|Anubis</t>
  </si>
  <si>
    <t xml:space="preserve">lj8zw2mudcbj35u|Inferno</t>
  </si>
  <si>
    <t xml:space="preserve">lj8zw2mudcbj35u|Cache</t>
  </si>
  <si>
    <t xml:space="preserve">vl5i6xbqmsocy69|Mirage</t>
  </si>
  <si>
    <t xml:space="preserve">vl5i6xbqmsocy69|Inferno</t>
  </si>
  <si>
    <t xml:space="preserve">vl5i6xbqmsocy69|Nuke</t>
  </si>
  <si>
    <t xml:space="preserve">vl5i6xbqmsocy69|Cache</t>
  </si>
  <si>
    <t xml:space="preserve">vl5i6xbqmsocy69|Dust2</t>
  </si>
  <si>
    <t xml:space="preserve">vl5i6xbqmsocy69|Ancient</t>
  </si>
  <si>
    <t xml:space="preserve">vl5i6xbqmsocy69|Anubis</t>
  </si>
  <si>
    <t xml:space="preserve">dvwiagwt3fsxpwe|Dust2</t>
  </si>
  <si>
    <t xml:space="preserve">dvwiagwt3fsxpwe|Ancient</t>
  </si>
  <si>
    <t xml:space="preserve">dvwiagwt3fsxpwe|Anubis</t>
  </si>
  <si>
    <t xml:space="preserve">dvwiagwt3fsxpwe|Nuke</t>
  </si>
  <si>
    <t xml:space="preserve">dvwiagwt3fsxpwe|Mirage</t>
  </si>
  <si>
    <t xml:space="preserve">dvwiagwt3fsxpwe|Cache</t>
  </si>
  <si>
    <t xml:space="preserve">41ry45brll61gbm|Nuke</t>
  </si>
  <si>
    <t xml:space="preserve">41ry45brll61gbm|Anubis</t>
  </si>
  <si>
    <t xml:space="preserve">41ry45brll61gbm|Ancient</t>
  </si>
  <si>
    <t xml:space="preserve">41ry45brll61gbm|Dust2</t>
  </si>
  <si>
    <t xml:space="preserve">41ry45brll61gbm|Mirage</t>
  </si>
  <si>
    <t xml:space="preserve">41ry45brll61gbm|Inferno</t>
  </si>
  <si>
    <t xml:space="preserve">41ry45brll61gbm|Cache</t>
  </si>
  <si>
    <t xml:space="preserve">fcekd28mes5c7xs|Dust2</t>
  </si>
  <si>
    <t xml:space="preserve">fcekd28mes5c7xs|Cache</t>
  </si>
  <si>
    <t xml:space="preserve">fcekd28mes5c7xs|Anubis</t>
  </si>
  <si>
    <t xml:space="preserve">fcekd28mes5c7xs|Ancient</t>
  </si>
  <si>
    <t xml:space="preserve">fcekd28mes5c7xs|Nuke</t>
  </si>
  <si>
    <t xml:space="preserve">fcekd28mes5c7xs|Mirage</t>
  </si>
  <si>
    <t xml:space="preserve">npowbduexyegr6i|Mirage</t>
  </si>
  <si>
    <t xml:space="preserve">npowbduexyegr6i|Nuke</t>
  </si>
  <si>
    <t xml:space="preserve">npowbduexyegr6i|Inferno</t>
  </si>
  <si>
    <t xml:space="preserve">npowbduexyegr6i|Cache</t>
  </si>
  <si>
    <t xml:space="preserve">npowbduexyegr6i|Dust2</t>
  </si>
  <si>
    <t xml:space="preserve">npowbduexyegr6i|Ancient</t>
  </si>
  <si>
    <t xml:space="preserve">npowbduexyegr6i|Anubis</t>
  </si>
  <si>
    <t xml:space="preserve">a5ni4ejys4e3xjq|Mirage</t>
  </si>
  <si>
    <t xml:space="preserve">a5ni4ejys4e3xjq|Inferno</t>
  </si>
  <si>
    <t xml:space="preserve">a5ni4ejys4e3xjq|Dust2</t>
  </si>
  <si>
    <t xml:space="preserve">a5ni4ejys4e3xjq|Anubis</t>
  </si>
  <si>
    <t xml:space="preserve">a5ni4ejys4e3xjq|Nuke</t>
  </si>
  <si>
    <t xml:space="preserve">a5ni4ejys4e3xjq|Cache</t>
  </si>
  <si>
    <t xml:space="preserve">a5ni4ejys4e3xjq|Ancient</t>
  </si>
  <si>
    <t xml:space="preserve">8xh80pn743zwzp0|Mirage</t>
  </si>
  <si>
    <t xml:space="preserve">8xh80pn743zwzp0|Ancient</t>
  </si>
  <si>
    <t xml:space="preserve">8xh80pn743zwzp0|Inferno</t>
  </si>
  <si>
    <t xml:space="preserve">8xh80pn743zwzp0|Nuke</t>
  </si>
  <si>
    <t xml:space="preserve">8xh80pn743zwzp0|Cache</t>
  </si>
  <si>
    <t xml:space="preserve">8xh80pn743zwzp0|Anubis</t>
  </si>
  <si>
    <t xml:space="preserve">4wgqqpezywhvfib|Mirage</t>
  </si>
  <si>
    <t xml:space="preserve">4wgqqpezywhvfib|Dust2</t>
  </si>
  <si>
    <t xml:space="preserve">4wgqqpezywhvfib|Ancient</t>
  </si>
  <si>
    <t xml:space="preserve">4wgqqpezywhvfib|Anubis</t>
  </si>
  <si>
    <t xml:space="preserve">4wgqqpezywhvfib|Cache</t>
  </si>
  <si>
    <t xml:space="preserve">4wgqqpezywhvfib|Nuke</t>
  </si>
  <si>
    <t xml:space="preserve">c4m3zncm4mxvzoh|Mirage</t>
  </si>
  <si>
    <t xml:space="preserve">c4m3zncm4mxvzoh|Anubis</t>
  </si>
  <si>
    <t xml:space="preserve">c4m3zncm4mxvzoh|Ancient</t>
  </si>
  <si>
    <t xml:space="preserve">c4m3zncm4mxvzoh|Nuke</t>
  </si>
  <si>
    <t xml:space="preserve">c4m3zncm4mxvzoh|Dust2</t>
  </si>
  <si>
    <t xml:space="preserve">c4m3zncm4mxvzoh|Cache</t>
  </si>
  <si>
    <t xml:space="preserve">6vanqemhsqez4mc|Dust2</t>
  </si>
  <si>
    <t xml:space="preserve">6vanqemhsqez4mc|Mirage</t>
  </si>
  <si>
    <t xml:space="preserve">6vanqemhsqez4mc|Cache</t>
  </si>
  <si>
    <t xml:space="preserve">6vanqemhsqez4mc|Anubis</t>
  </si>
  <si>
    <t xml:space="preserve">6vanqemhsqez4mc|Inferno</t>
  </si>
  <si>
    <t xml:space="preserve">6vanqemhsqez4mc|Nuke</t>
  </si>
  <si>
    <t xml:space="preserve">TP player name</t>
  </si>
  <si>
    <t xml:space="preserve">Map 1 median</t>
  </si>
  <si>
    <t xml:space="preserve">Map 1 rungs</t>
  </si>
  <si>
    <t xml:space="preserve">Map 2 median</t>
  </si>
  <si>
    <t xml:space="preserve">Map 2 rungs</t>
  </si>
  <si>
    <t xml:space="preserve">Maps 1-2 median</t>
  </si>
  <si>
    <t xml:space="preserve">Matched PID</t>
  </si>
  <si>
    <t xml:space="preserve">dem0n</t>
  </si>
  <si>
    <t xml:space="preserve">elige</t>
  </si>
  <si>
    <t xml:space="preserve">jorko</t>
  </si>
  <si>
    <t xml:space="preserve">jt</t>
  </si>
  <si>
    <t xml:space="preserve">krabeni</t>
  </si>
  <si>
    <t xml:space="preserve">malbsmd</t>
  </si>
  <si>
    <t xml:space="preserve">naf</t>
  </si>
  <si>
    <t xml:space="preserve">sunpayus</t>
  </si>
  <si>
    <t xml:space="preserve">jamyoung</t>
  </si>
  <si>
    <t xml:space="preserve">jee</t>
  </si>
  <si>
    <t xml:space="preserve">mercury</t>
  </si>
  <si>
    <t xml:space="preserve">moseyuh</t>
  </si>
  <si>
    <t xml:space="preserve">tn1r</t>
  </si>
  <si>
    <t xml:space="preserve">boombl4</t>
  </si>
  <si>
    <t xml:space="preserve">d1ledez</t>
  </si>
  <si>
    <t xml:space="preserve">kair0n-</t>
  </si>
  <si>
    <t xml:space="preserve">khan</t>
  </si>
  <si>
    <t xml:space="preserve">magnojez</t>
  </si>
  <si>
    <t xml:space="preserve">xant3r</t>
  </si>
  <si>
    <t xml:space="preserve">blitz</t>
  </si>
  <si>
    <t xml:space="preserve">flamez</t>
  </si>
  <si>
    <t xml:space="preserve">jl</t>
  </si>
  <si>
    <t xml:space="preserve">techno</t>
  </si>
  <si>
    <t xml:space="preserve">zywoo</t>
  </si>
  <si>
    <t xml:space="preserve">huasopeek</t>
  </si>
  <si>
    <t xml:space="preserve">pr</t>
  </si>
  <si>
    <t xml:space="preserve">spinx</t>
  </si>
  <si>
    <t xml:space="preserve">xertion</t>
  </si>
  <si>
    <t xml:space="preserve">heavygod</t>
  </si>
  <si>
    <t xml:space="preserve">hunter-</t>
  </si>
  <si>
    <t xml:space="preserve">jimpphat</t>
  </si>
  <si>
    <t xml:space="preserve">matys</t>
  </si>
  <si>
    <t xml:space="preserve">nertz</t>
  </si>
  <si>
    <t xml:space="preserve">wicadia</t>
  </si>
  <si>
    <t xml:space="preserve">xantares</t>
  </si>
  <si>
    <t xml:space="preserve">art</t>
  </si>
  <si>
    <t xml:space="preserve">gafolo</t>
  </si>
  <si>
    <t xml:space="preserve">aleksib</t>
  </si>
  <si>
    <t xml:space="preserve">fallen</t>
  </si>
  <si>
    <t xml:space="preserve">im</t>
  </si>
  <si>
    <t xml:space="preserve">kscerato</t>
  </si>
  <si>
    <t xml:space="preserve">yekindar</t>
  </si>
  <si>
    <t xml:space="preserve">Total</t>
  </si>
  <si>
    <t xml:space="preserve">Over odds</t>
  </si>
  <si>
    <t xml:space="preserve">Under odds</t>
  </si>
  <si>
    <t xml:space="preserve">P(over) devigged</t>
  </si>
  <si>
    <t xml:space="preserve">50% crossing</t>
  </si>
  <si>
    <t xml:space="preserve">HLTV team</t>
  </si>
  <si>
    <t xml:space="preserve">Sample (3 months)</t>
  </si>
  <si>
    <t xml:space="preserve">Rounds lost in wins</t>
  </si>
  <si>
    <t xml:space="preserve">Rounds won in losses</t>
  </si>
  <si>
    <t xml:space="preserve">P(2-0)</t>
  </si>
  <si>
    <t xml:space="preserve">P(2-1)</t>
  </si>
  <si>
    <t xml:space="preserve">P(0-2)</t>
  </si>
  <si>
    <t xml:space="preserve">P(1-2)</t>
  </si>
  <si>
    <t xml:space="preserve">OT %</t>
  </si>
  <si>
    <t xml:space="preserve">Map win rate</t>
  </si>
  <si>
    <t xml:space="preserve">Hist round share</t>
  </si>
  <si>
    <t xml:space="preserve">CS2 · FUT vs TL|A</t>
  </si>
  <si>
    <t xml:space="preserve">A</t>
  </si>
  <si>
    <t xml:space="preserve">CS2 · FUT vs TL|B</t>
  </si>
  <si>
    <t xml:space="preserve">B</t>
  </si>
  <si>
    <t xml:space="preserve">Liquid</t>
  </si>
  <si>
    <t xml:space="preserve">CS2 · TS vs TYLOO|A</t>
  </si>
  <si>
    <t xml:space="preserve">Spirit</t>
  </si>
  <si>
    <t xml:space="preserve">CS2 · TS vs TYLOO|B</t>
  </si>
  <si>
    <t xml:space="preserve">CS2 [NO MARKET] · ACE vs UNiTY|A</t>
  </si>
  <si>
    <t xml:space="preserve">Acend</t>
  </si>
  <si>
    <t xml:space="preserve">CS2 [NO MARKET] · ACE vs UNiTY|B</t>
  </si>
  <si>
    <t xml:space="preserve">CS2 · BB vs NEMI|A</t>
  </si>
  <si>
    <t xml:space="preserve">BETBOOM</t>
  </si>
  <si>
    <t xml:space="preserve">CS2 · BB vs NEMI|B</t>
  </si>
  <si>
    <t xml:space="preserve">Nemiga</t>
  </si>
  <si>
    <t xml:space="preserve">CS2 · VIT vs MGLZ|A</t>
  </si>
  <si>
    <t xml:space="preserve">Vitality</t>
  </si>
  <si>
    <t xml:space="preserve">CS2 · VIT vs MGLZ|B</t>
  </si>
  <si>
    <t xml:space="preserve">The MongolZ</t>
  </si>
  <si>
    <t xml:space="preserve">CS2 [NO MARKET] · BAKS vs MZP|A</t>
  </si>
  <si>
    <t xml:space="preserve">CS2 [NO MARKET] · BAKS vs MZP|B</t>
  </si>
  <si>
    <t xml:space="preserve">Metizport</t>
  </si>
  <si>
    <t xml:space="preserve">CS2 · MOUZ vs 9z|A</t>
  </si>
  <si>
    <t xml:space="preserve">CS2 · MOUZ vs 9z|B</t>
  </si>
  <si>
    <t xml:space="preserve">CS2 · AUR vs G2|A</t>
  </si>
  <si>
    <t xml:space="preserve">Aurora</t>
  </si>
  <si>
    <t xml:space="preserve">CS2 · AUR vs G2|B</t>
  </si>
  <si>
    <t xml:space="preserve">CS2 · INF vs BRUTE|A</t>
  </si>
  <si>
    <t xml:space="preserve">INFINITE</t>
  </si>
  <si>
    <t xml:space="preserve">CS2 · INF vs BRUTE|B</t>
  </si>
  <si>
    <t xml:space="preserve">CS2 · LGC vs DEN|A</t>
  </si>
  <si>
    <t xml:space="preserve">Legacy</t>
  </si>
  <si>
    <t xml:space="preserve">CS2 · LGC vs DEN|B</t>
  </si>
  <si>
    <t xml:space="preserve">DENDELE</t>
  </si>
  <si>
    <t xml:space="preserve">CS2 · FURIA vs NAVI|A</t>
  </si>
  <si>
    <t xml:space="preserve">CS2 · FURIA vs NAVI|B</t>
  </si>
  <si>
    <t xml:space="preserve">Natus Vincere</t>
  </si>
  <si>
    <t xml:space="preserve">CS2 · paiN vs BST|A</t>
  </si>
  <si>
    <t xml:space="preserve">CS2 · paiN vs BST|B</t>
  </si>
  <si>
    <t xml:space="preserve">BESTIA</t>
  </si>
  <si>
    <t xml:space="preserve">CS2 · FORZE.R vs ex-RUSTEC|A</t>
  </si>
  <si>
    <t xml:space="preserve">FORZE Reload</t>
  </si>
  <si>
    <t xml:space="preserve">CS2 · FORZE.R vs ex-RUSTEC|B</t>
  </si>
  <si>
    <t xml:space="preserve">CS2 [NO MARKET] · Color vs ex-ZT|A</t>
  </si>
  <si>
    <t xml:space="preserve">CS2 [NO MARKET] · Color vs ex-ZT|B</t>
  </si>
  <si>
    <t xml:space="preserve">ex-Zero Tenacity</t>
  </si>
  <si>
    <t xml:space="preserve">Key (match|side|map|stat)</t>
  </si>
  <si>
    <t xml:space="preserve">CS2 · FUT vs TL|A|ALL|lw</t>
  </si>
  <si>
    <t xml:space="preserve">CS2 · FUT vs TL|A|ALL|wl</t>
  </si>
  <si>
    <t xml:space="preserve">CS2 · FUT vs TL|A|Dust2|lw</t>
  </si>
  <si>
    <t xml:space="preserve">CS2 · FUT vs TL|A|Dust2|wl</t>
  </si>
  <si>
    <t xml:space="preserve">CS2 · FUT vs TL|A|Mirage|lw</t>
  </si>
  <si>
    <t xml:space="preserve">CS2 · FUT vs TL|A|Nuke|lw</t>
  </si>
  <si>
    <t xml:space="preserve">CS2 · FUT vs TL|A|Nuke|wl</t>
  </si>
  <si>
    <t xml:space="preserve">CS2 · FUT vs TL|A|Ancient|lw</t>
  </si>
  <si>
    <t xml:space="preserve">CS2 · FUT vs TL|A|Ancient|wl</t>
  </si>
  <si>
    <t xml:space="preserve">CS2 · FUT vs TL|A|Anubis|lw</t>
  </si>
  <si>
    <t xml:space="preserve">CS2 · FUT vs TL|A|Anubis|wl</t>
  </si>
  <si>
    <t xml:space="preserve">CS2 · FUT vs TL|B|ALL|lw</t>
  </si>
  <si>
    <t xml:space="preserve">CS2 · FUT vs TL|B|ALL|wl</t>
  </si>
  <si>
    <t xml:space="preserve">CS2 · FUT vs TL|B|Cache|lw</t>
  </si>
  <si>
    <t xml:space="preserve">CS2 · FUT vs TL|B|Cache|wl</t>
  </si>
  <si>
    <t xml:space="preserve">CS2 · FUT vs TL|B|Dust2|lw</t>
  </si>
  <si>
    <t xml:space="preserve">CS2 · FUT vs TL|B|Dust2|wl</t>
  </si>
  <si>
    <t xml:space="preserve">CS2 · FUT vs TL|B|Mirage|lw</t>
  </si>
  <si>
    <t xml:space="preserve">CS2 · FUT vs TL|B|Mirage|wl</t>
  </si>
  <si>
    <t xml:space="preserve">CS2 · FUT vs TL|B|Inferno|lw</t>
  </si>
  <si>
    <t xml:space="preserve">CS2 · FUT vs TL|B|Inferno|wl</t>
  </si>
  <si>
    <t xml:space="preserve">CS2 · FUT vs TL|B|Nuke|lw</t>
  </si>
  <si>
    <t xml:space="preserve">CS2 · FUT vs TL|B|Nuke|wl</t>
  </si>
  <si>
    <t xml:space="preserve">CS2 · FUT vs TL|B|Ancient|wl</t>
  </si>
  <si>
    <t xml:space="preserve">CS2 · FUT vs TL|B|Anubis|lw</t>
  </si>
  <si>
    <t xml:space="preserve">CS2 · FUT vs TL|B|Anubis|wl</t>
  </si>
  <si>
    <t xml:space="preserve">CS2 · TS vs TYLOO|A|ALL|lw</t>
  </si>
  <si>
    <t xml:space="preserve">CS2 · TS vs TYLOO|A|ALL|wl</t>
  </si>
  <si>
    <t xml:space="preserve">CS2 · TS vs TYLOO|A|Cache|lw</t>
  </si>
  <si>
    <t xml:space="preserve">CS2 · TS vs TYLOO|A|Cache|wl</t>
  </si>
  <si>
    <t xml:space="preserve">CS2 · TS vs TYLOO|A|Dust2|lw</t>
  </si>
  <si>
    <t xml:space="preserve">CS2 · TS vs TYLOO|A|Dust2|wl</t>
  </si>
  <si>
    <t xml:space="preserve">CS2 · TS vs TYLOO|A|Mirage|lw</t>
  </si>
  <si>
    <t xml:space="preserve">CS2 · TS vs TYLOO|A|Mirage|wl</t>
  </si>
  <si>
    <t xml:space="preserve">CS2 · TS vs TYLOO|A|Nuke|lw</t>
  </si>
  <si>
    <t xml:space="preserve">CS2 · TS vs TYLOO|A|Nuke|wl</t>
  </si>
  <si>
    <t xml:space="preserve">CS2 · TS vs TYLOO|A|Ancient|lw</t>
  </si>
  <si>
    <t xml:space="preserve">CS2 · TS vs TYLOO|A|Ancient|wl</t>
  </si>
  <si>
    <t xml:space="preserve">CS2 · TS vs TYLOO|A|Anubis|lw</t>
  </si>
  <si>
    <t xml:space="preserve">CS2 · TS vs TYLOO|A|Anubis|wl</t>
  </si>
  <si>
    <t xml:space="preserve">CS2 · TS vs TYLOO|B|ALL|lw</t>
  </si>
  <si>
    <t xml:space="preserve">CS2 · TS vs TYLOO|B|ALL|wl</t>
  </si>
  <si>
    <t xml:space="preserve">CS2 · TS vs TYLOO|B|Cache|lw</t>
  </si>
  <si>
    <t xml:space="preserve">CS2 · TS vs TYLOO|B|Cache|wl</t>
  </si>
  <si>
    <t xml:space="preserve">CS2 · TS vs TYLOO|B|Mirage|lw</t>
  </si>
  <si>
    <t xml:space="preserve">CS2 · TS vs TYLOO|B|Mirage|wl</t>
  </si>
  <si>
    <t xml:space="preserve">CS2 · TS vs TYLOO|B|Inferno|lw</t>
  </si>
  <si>
    <t xml:space="preserve">CS2 · TS vs TYLOO|B|Inferno|wl</t>
  </si>
  <si>
    <t xml:space="preserve">CS2 · TS vs TYLOO|B|Nuke|wl</t>
  </si>
  <si>
    <t xml:space="preserve">CS2 · TS vs TYLOO|B|Ancient|lw</t>
  </si>
  <si>
    <t xml:space="preserve">CS2 · TS vs TYLOO|B|Ancient|wl</t>
  </si>
  <si>
    <t xml:space="preserve">CS2 · TS vs TYLOO|B|Anubis|wl</t>
  </si>
  <si>
    <t xml:space="preserve">CS2 [NO MARKET] · ACE vs UNiTY|A|ALL|lw</t>
  </si>
  <si>
    <t xml:space="preserve">CS2 [NO MARKET] · ACE vs UNiTY|A|ALL|wl</t>
  </si>
  <si>
    <t xml:space="preserve">CS2 [NO MARKET] · ACE vs UNiTY|A|Cache|lw</t>
  </si>
  <si>
    <t xml:space="preserve">CS2 [NO MARKET] · ACE vs UNiTY|A|Cache|wl</t>
  </si>
  <si>
    <t xml:space="preserve">CS2 [NO MARKET] · ACE vs UNiTY|A|Dust2|lw</t>
  </si>
  <si>
    <t xml:space="preserve">CS2 [NO MARKET] · ACE vs UNiTY|A|Dust2|wl</t>
  </si>
  <si>
    <t xml:space="preserve">CS2 [NO MARKET] · ACE vs UNiTY|A|Mirage|lw</t>
  </si>
  <si>
    <t xml:space="preserve">CS2 [NO MARKET] · ACE vs UNiTY|A|Mirage|wl</t>
  </si>
  <si>
    <t xml:space="preserve">CS2 [NO MARKET] · ACE vs UNiTY|A|Inferno|lw</t>
  </si>
  <si>
    <t xml:space="preserve">CS2 [NO MARKET] · ACE vs UNiTY|A|Inferno|wl</t>
  </si>
  <si>
    <t xml:space="preserve">CS2 [NO MARKET] · ACE vs UNiTY|A|Ancient|lw</t>
  </si>
  <si>
    <t xml:space="preserve">CS2 [NO MARKET] · ACE vs UNiTY|A|Ancient|wl</t>
  </si>
  <si>
    <t xml:space="preserve">CS2 [NO MARKET] · ACE vs UNiTY|A|Anubis|lw</t>
  </si>
  <si>
    <t xml:space="preserve">CS2 [NO MARKET] · ACE vs UNiTY|A|Anubis|wl</t>
  </si>
  <si>
    <t xml:space="preserve">CS2 [NO MARKET] · ACE vs UNiTY|B|ALL|lw</t>
  </si>
  <si>
    <t xml:space="preserve">CS2 [NO MARKET] · ACE vs UNiTY|B|ALL|wl</t>
  </si>
  <si>
    <t xml:space="preserve">CS2 [NO MARKET] · ACE vs UNiTY|B|Cache|lw</t>
  </si>
  <si>
    <t xml:space="preserve">CS2 [NO MARKET] · ACE vs UNiTY|B|Cache|wl</t>
  </si>
  <si>
    <t xml:space="preserve">CS2 [NO MARKET] · ACE vs UNiTY|B|Dust2|lw</t>
  </si>
  <si>
    <t xml:space="preserve">CS2 [NO MARKET] · ACE vs UNiTY|B|Dust2|wl</t>
  </si>
  <si>
    <t xml:space="preserve">CS2 [NO MARKET] · ACE vs UNiTY|B|Mirage|lw</t>
  </si>
  <si>
    <t xml:space="preserve">CS2 [NO MARKET] · ACE vs UNiTY|B|Mirage|wl</t>
  </si>
  <si>
    <t xml:space="preserve">CS2 [NO MARKET] · ACE vs UNiTY|B|Inferno|lw</t>
  </si>
  <si>
    <t xml:space="preserve">CS2 [NO MARKET] · ACE vs UNiTY|B|Inferno|wl</t>
  </si>
  <si>
    <t xml:space="preserve">CS2 [NO MARKET] · ACE vs UNiTY|B|Nuke|wl</t>
  </si>
  <si>
    <t xml:space="preserve">CS2 [NO MARKET] · ACE vs UNiTY|B|Ancient|lw</t>
  </si>
  <si>
    <t xml:space="preserve">CS2 [NO MARKET] · ACE vs UNiTY|B|Ancient|wl</t>
  </si>
  <si>
    <t xml:space="preserve">CS2 [NO MARKET] · ACE vs UNiTY|B|Anubis|lw</t>
  </si>
  <si>
    <t xml:space="preserve">CS2 [NO MARKET] · ACE vs UNiTY|B|Anubis|wl</t>
  </si>
  <si>
    <t xml:space="preserve">CS2 · BB vs NEMI|A|ALL|lw</t>
  </si>
  <si>
    <t xml:space="preserve">CS2 · BB vs NEMI|A|ALL|wl</t>
  </si>
  <si>
    <t xml:space="preserve">CS2 · BB vs NEMI|A|Cache|lw</t>
  </si>
  <si>
    <t xml:space="preserve">CS2 · BB vs NEMI|A|Cache|wl</t>
  </si>
  <si>
    <t xml:space="preserve">CS2 · BB vs NEMI|A|Dust2|lw</t>
  </si>
  <si>
    <t xml:space="preserve">CS2 · BB vs NEMI|A|Dust2|wl</t>
  </si>
  <si>
    <t xml:space="preserve">CS2 · BB vs NEMI|A|Mirage|lw</t>
  </si>
  <si>
    <t xml:space="preserve">CS2 · BB vs NEMI|A|Mirage|wl</t>
  </si>
  <si>
    <t xml:space="preserve">CS2 · BB vs NEMI|A|Nuke|lw</t>
  </si>
  <si>
    <t xml:space="preserve">CS2 · BB vs NEMI|A|Nuke|wl</t>
  </si>
  <si>
    <t xml:space="preserve">CS2 · BB vs NEMI|A|Ancient|lw</t>
  </si>
  <si>
    <t xml:space="preserve">CS2 · BB vs NEMI|A|Ancient|wl</t>
  </si>
  <si>
    <t xml:space="preserve">CS2 · BB vs NEMI|A|Anubis|lw</t>
  </si>
  <si>
    <t xml:space="preserve">CS2 · BB vs NEMI|A|Anubis|wl</t>
  </si>
  <si>
    <t xml:space="preserve">CS2 · BB vs NEMI|B|ALL|lw</t>
  </si>
  <si>
    <t xml:space="preserve">CS2 · BB vs NEMI|B|ALL|wl</t>
  </si>
  <si>
    <t xml:space="preserve">CS2 · BB vs NEMI|B|Cache|lw</t>
  </si>
  <si>
    <t xml:space="preserve">CS2 · BB vs NEMI|B|Cache|wl</t>
  </si>
  <si>
    <t xml:space="preserve">CS2 · BB vs NEMI|B|Dust2|lw</t>
  </si>
  <si>
    <t xml:space="preserve">CS2 · BB vs NEMI|B|Dust2|wl</t>
  </si>
  <si>
    <t xml:space="preserve">CS2 · BB vs NEMI|B|Mirage|lw</t>
  </si>
  <si>
    <t xml:space="preserve">CS2 · BB vs NEMI|B|Mirage|wl</t>
  </si>
  <si>
    <t xml:space="preserve">CS2 · BB vs NEMI|B|Inferno|lw</t>
  </si>
  <si>
    <t xml:space="preserve">CS2 · BB vs NEMI|B|Nuke|lw</t>
  </si>
  <si>
    <t xml:space="preserve">CS2 · BB vs NEMI|B|Nuke|wl</t>
  </si>
  <si>
    <t xml:space="preserve">CS2 · BB vs NEMI|B|Ancient|lw</t>
  </si>
  <si>
    <t xml:space="preserve">CS2 · BB vs NEMI|B|Ancient|wl</t>
  </si>
  <si>
    <t xml:space="preserve">CS2 · BB vs NEMI|B|Anubis|lw</t>
  </si>
  <si>
    <t xml:space="preserve">CS2 · BB vs NEMI|B|Anubis|wl</t>
  </si>
  <si>
    <t xml:space="preserve">CS2 · VIT vs MGLZ|A|ALL|lw</t>
  </si>
  <si>
    <t xml:space="preserve">CS2 · VIT vs MGLZ|A|ALL|wl</t>
  </si>
  <si>
    <t xml:space="preserve">CS2 · VIT vs MGLZ|A|Cache|lw</t>
  </si>
  <si>
    <t xml:space="preserve">CS2 · VIT vs MGLZ|A|Cache|wl</t>
  </si>
  <si>
    <t xml:space="preserve">CS2 · VIT vs MGLZ|A|Dust2|lw</t>
  </si>
  <si>
    <t xml:space="preserve">CS2 · VIT vs MGLZ|A|Dust2|wl</t>
  </si>
  <si>
    <t xml:space="preserve">CS2 · VIT vs MGLZ|A|Mirage|lw</t>
  </si>
  <si>
    <t xml:space="preserve">CS2 · VIT vs MGLZ|A|Mirage|wl</t>
  </si>
  <si>
    <t xml:space="preserve">CS2 · VIT vs MGLZ|A|Inferno|lw</t>
  </si>
  <si>
    <t xml:space="preserve">CS2 · VIT vs MGLZ|A|Inferno|wl</t>
  </si>
  <si>
    <t xml:space="preserve">CS2 · VIT vs MGLZ|A|Nuke|lw</t>
  </si>
  <si>
    <t xml:space="preserve">CS2 · VIT vs MGLZ|A|Nuke|wl</t>
  </si>
  <si>
    <t xml:space="preserve">CS2 · VIT vs MGLZ|A|Anubis|lw</t>
  </si>
  <si>
    <t xml:space="preserve">CS2 · VIT vs MGLZ|A|Anubis|wl</t>
  </si>
  <si>
    <t xml:space="preserve">CS2 · VIT vs MGLZ|B|ALL|lw</t>
  </si>
  <si>
    <t xml:space="preserve">CS2 · VIT vs MGLZ|B|ALL|wl</t>
  </si>
  <si>
    <t xml:space="preserve">CS2 · VIT vs MGLZ|B|Cache|wl</t>
  </si>
  <si>
    <t xml:space="preserve">CS2 · VIT vs MGLZ|B|Dust2|lw</t>
  </si>
  <si>
    <t xml:space="preserve">CS2 · VIT vs MGLZ|B|Dust2|wl</t>
  </si>
  <si>
    <t xml:space="preserve">CS2 · VIT vs MGLZ|B|Mirage|lw</t>
  </si>
  <si>
    <t xml:space="preserve">CS2 · VIT vs MGLZ|B|Mirage|wl</t>
  </si>
  <si>
    <t xml:space="preserve">CS2 · VIT vs MGLZ|B|Inferno|lw</t>
  </si>
  <si>
    <t xml:space="preserve">CS2 · VIT vs MGLZ|B|Inferno|wl</t>
  </si>
  <si>
    <t xml:space="preserve">CS2 · VIT vs MGLZ|B|Nuke|lw</t>
  </si>
  <si>
    <t xml:space="preserve">CS2 · VIT vs MGLZ|B|Nuke|wl</t>
  </si>
  <si>
    <t xml:space="preserve">CS2 · VIT vs MGLZ|B|Ancient|lw</t>
  </si>
  <si>
    <t xml:space="preserve">CS2 · VIT vs MGLZ|B|Ancient|wl</t>
  </si>
  <si>
    <t xml:space="preserve">CS2 [NO MARKET] · BAKS vs MZP|A|ALL|lw</t>
  </si>
  <si>
    <t xml:space="preserve">CS2 [NO MARKET] · BAKS vs MZP|A|ALL|wl</t>
  </si>
  <si>
    <t xml:space="preserve">CS2 [NO MARKET] · BAKS vs MZP|A|Cache|lw</t>
  </si>
  <si>
    <t xml:space="preserve">CS2 [NO MARKET] · BAKS vs MZP|A|Cache|wl</t>
  </si>
  <si>
    <t xml:space="preserve">CS2 [NO MARKET] · BAKS vs MZP|A|Dust2|lw</t>
  </si>
  <si>
    <t xml:space="preserve">CS2 [NO MARKET] · BAKS vs MZP|A|Dust2|wl</t>
  </si>
  <si>
    <t xml:space="preserve">CS2 [NO MARKET] · BAKS vs MZP|A|Mirage|lw</t>
  </si>
  <si>
    <t xml:space="preserve">CS2 [NO MARKET] · BAKS vs MZP|A|Mirage|wl</t>
  </si>
  <si>
    <t xml:space="preserve">CS2 [NO MARKET] · BAKS vs MZP|A|Inferno|lw</t>
  </si>
  <si>
    <t xml:space="preserve">CS2 [NO MARKET] · BAKS vs MZP|A|Inferno|wl</t>
  </si>
  <si>
    <t xml:space="preserve">CS2 [NO MARKET] · BAKS vs MZP|A|Nuke|lw</t>
  </si>
  <si>
    <t xml:space="preserve">CS2 [NO MARKET] · BAKS vs MZP|A|Nuke|wl</t>
  </si>
  <si>
    <t xml:space="preserve">CS2 [NO MARKET] · BAKS vs MZP|A|Ancient|lw</t>
  </si>
  <si>
    <t xml:space="preserve">CS2 [NO MARKET] · BAKS vs MZP|A|Ancient|wl</t>
  </si>
  <si>
    <t xml:space="preserve">CS2 [NO MARKET] · BAKS vs MZP|B|ALL|lw</t>
  </si>
  <si>
    <t xml:space="preserve">CS2 [NO MARKET] · BAKS vs MZP|B|ALL|wl</t>
  </si>
  <si>
    <t xml:space="preserve">CS2 [NO MARKET] · BAKS vs MZP|B|Cache|lw</t>
  </si>
  <si>
    <t xml:space="preserve">CS2 [NO MARKET] · BAKS vs MZP|B|Cache|wl</t>
  </si>
  <si>
    <t xml:space="preserve">CS2 [NO MARKET] · BAKS vs MZP|B|Mirage|lw</t>
  </si>
  <si>
    <t xml:space="preserve">CS2 [NO MARKET] · BAKS vs MZP|B|Mirage|wl</t>
  </si>
  <si>
    <t xml:space="preserve">CS2 [NO MARKET] · BAKS vs MZP|B|Inferno|lw</t>
  </si>
  <si>
    <t xml:space="preserve">CS2 [NO MARKET] · BAKS vs MZP|B|Inferno|wl</t>
  </si>
  <si>
    <t xml:space="preserve">CS2 [NO MARKET] · BAKS vs MZP|B|Nuke|lw</t>
  </si>
  <si>
    <t xml:space="preserve">CS2 [NO MARKET] · BAKS vs MZP|B|Nuke|wl</t>
  </si>
  <si>
    <t xml:space="preserve">CS2 [NO MARKET] · BAKS vs MZP|B|Ancient|lw</t>
  </si>
  <si>
    <t xml:space="preserve">CS2 [NO MARKET] · BAKS vs MZP|B|Ancient|wl</t>
  </si>
  <si>
    <t xml:space="preserve">CS2 [NO MARKET] · BAKS vs MZP|B|Anubis|lw</t>
  </si>
  <si>
    <t xml:space="preserve">CS2 [NO MARKET] · BAKS vs MZP|B|Anubis|wl</t>
  </si>
  <si>
    <t xml:space="preserve">CS2 · MOUZ vs 9z|A|ALL|lw</t>
  </si>
  <si>
    <t xml:space="preserve">CS2 · MOUZ vs 9z|A|ALL|wl</t>
  </si>
  <si>
    <t xml:space="preserve">CS2 · MOUZ vs 9z|A|Cache|lw</t>
  </si>
  <si>
    <t xml:space="preserve">CS2 · MOUZ vs 9z|A|Cache|wl</t>
  </si>
  <si>
    <t xml:space="preserve">CS2 · MOUZ vs 9z|A|Dust2|lw</t>
  </si>
  <si>
    <t xml:space="preserve">CS2 · MOUZ vs 9z|A|Dust2|wl</t>
  </si>
  <si>
    <t xml:space="preserve">CS2 · MOUZ vs 9z|A|Mirage|lw</t>
  </si>
  <si>
    <t xml:space="preserve">CS2 · MOUZ vs 9z|A|Mirage|wl</t>
  </si>
  <si>
    <t xml:space="preserve">CS2 · MOUZ vs 9z|A|Inferno|lw</t>
  </si>
  <si>
    <t xml:space="preserve">CS2 · MOUZ vs 9z|A|Inferno|wl</t>
  </si>
  <si>
    <t xml:space="preserve">CS2 · MOUZ vs 9z|A|Nuke|lw</t>
  </si>
  <si>
    <t xml:space="preserve">CS2 · MOUZ vs 9z|A|Nuke|wl</t>
  </si>
  <si>
    <t xml:space="preserve">CS2 · MOUZ vs 9z|A|Ancient|lw</t>
  </si>
  <si>
    <t xml:space="preserve">CS2 · MOUZ vs 9z|A|Ancient|wl</t>
  </si>
  <si>
    <t xml:space="preserve">CS2 · MOUZ vs 9z|B|ALL|lw</t>
  </si>
  <si>
    <t xml:space="preserve">CS2 · MOUZ vs 9z|B|ALL|wl</t>
  </si>
  <si>
    <t xml:space="preserve">CS2 · MOUZ vs 9z|B|Cache|lw</t>
  </si>
  <si>
    <t xml:space="preserve">CS2 · MOUZ vs 9z|B|Cache|wl</t>
  </si>
  <si>
    <t xml:space="preserve">CS2 · MOUZ vs 9z|B|Dust2|lw</t>
  </si>
  <si>
    <t xml:space="preserve">CS2 · MOUZ vs 9z|B|Dust2|wl</t>
  </si>
  <si>
    <t xml:space="preserve">CS2 · MOUZ vs 9z|B|Mirage|lw</t>
  </si>
  <si>
    <t xml:space="preserve">CS2 · MOUZ vs 9z|B|Mirage|wl</t>
  </si>
  <si>
    <t xml:space="preserve">CS2 · MOUZ vs 9z|B|Inferno|lw</t>
  </si>
  <si>
    <t xml:space="preserve">CS2 · MOUZ vs 9z|B|Inferno|wl</t>
  </si>
  <si>
    <t xml:space="preserve">CS2 · MOUZ vs 9z|B|Nuke|lw</t>
  </si>
  <si>
    <t xml:space="preserve">CS2 · MOUZ vs 9z|B|Nuke|wl</t>
  </si>
  <si>
    <t xml:space="preserve">CS2 · MOUZ vs 9z|B|Ancient|wl</t>
  </si>
  <si>
    <t xml:space="preserve">CS2 · AUR vs G2|A|ALL|lw</t>
  </si>
  <si>
    <t xml:space="preserve">CS2 · AUR vs G2|A|ALL|wl</t>
  </si>
  <si>
    <t xml:space="preserve">CS2 · AUR vs G2|A|Cache|lw</t>
  </si>
  <si>
    <t xml:space="preserve">CS2 · AUR vs G2|A|Cache|wl</t>
  </si>
  <si>
    <t xml:space="preserve">CS2 · AUR vs G2|A|Dust2|lw</t>
  </si>
  <si>
    <t xml:space="preserve">CS2 · AUR vs G2|A|Dust2|wl</t>
  </si>
  <si>
    <t xml:space="preserve">CS2 · AUR vs G2|A|Mirage|lw</t>
  </si>
  <si>
    <t xml:space="preserve">CS2 · AUR vs G2|A|Mirage|wl</t>
  </si>
  <si>
    <t xml:space="preserve">CS2 · AUR vs G2|A|Inferno|lw</t>
  </si>
  <si>
    <t xml:space="preserve">CS2 · AUR vs G2|A|Inferno|wl</t>
  </si>
  <si>
    <t xml:space="preserve">CS2 · AUR vs G2|A|Nuke|lw</t>
  </si>
  <si>
    <t xml:space="preserve">CS2 · AUR vs G2|A|Nuke|wl</t>
  </si>
  <si>
    <t xml:space="preserve">CS2 · AUR vs G2|A|Ancient|wl</t>
  </si>
  <si>
    <t xml:space="preserve">CS2 · AUR vs G2|A|Anubis|lw</t>
  </si>
  <si>
    <t xml:space="preserve">CS2 · AUR vs G2|A|Anubis|wl</t>
  </si>
  <si>
    <t xml:space="preserve">CS2 · AUR vs G2|B|ALL|lw</t>
  </si>
  <si>
    <t xml:space="preserve">CS2 · AUR vs G2|B|ALL|wl</t>
  </si>
  <si>
    <t xml:space="preserve">CS2 · AUR vs G2|B|Cache|lw</t>
  </si>
  <si>
    <t xml:space="preserve">CS2 · AUR vs G2|B|Cache|wl</t>
  </si>
  <si>
    <t xml:space="preserve">CS2 · AUR vs G2|B|Dust2|lw</t>
  </si>
  <si>
    <t xml:space="preserve">CS2 · AUR vs G2|B|Dust2|wl</t>
  </si>
  <si>
    <t xml:space="preserve">CS2 · AUR vs G2|B|Mirage|lw</t>
  </si>
  <si>
    <t xml:space="preserve">CS2 · AUR vs G2|B|Mirage|wl</t>
  </si>
  <si>
    <t xml:space="preserve">CS2 · AUR vs G2|B|Inferno|lw</t>
  </si>
  <si>
    <t xml:space="preserve">CS2 · AUR vs G2|B|Inferno|wl</t>
  </si>
  <si>
    <t xml:space="preserve">CS2 · AUR vs G2|B|Nuke|wl</t>
  </si>
  <si>
    <t xml:space="preserve">CS2 · AUR vs G2|B|Ancient|lw</t>
  </si>
  <si>
    <t xml:space="preserve">CS2 · AUR vs G2|B|Ancient|wl</t>
  </si>
  <si>
    <t xml:space="preserve">CS2 · AUR vs G2|B|Anubis|lw</t>
  </si>
  <si>
    <t xml:space="preserve">CS2 · AUR vs G2|B|Anubis|wl</t>
  </si>
  <si>
    <t xml:space="preserve">CS2 · INF vs BRUTE|A|ALL|lw</t>
  </si>
  <si>
    <t xml:space="preserve">CS2 · INF vs BRUTE|A|ALL|wl</t>
  </si>
  <si>
    <t xml:space="preserve">CS2 · INF vs BRUTE|A|Cache|lw</t>
  </si>
  <si>
    <t xml:space="preserve">CS2 · INF vs BRUTE|A|Cache|wl</t>
  </si>
  <si>
    <t xml:space="preserve">CS2 · INF vs BRUTE|A|Dust2|lw</t>
  </si>
  <si>
    <t xml:space="preserve">CS2 · INF vs BRUTE|A|Dust2|wl</t>
  </si>
  <si>
    <t xml:space="preserve">CS2 · INF vs BRUTE|A|Mirage|lw</t>
  </si>
  <si>
    <t xml:space="preserve">CS2 · INF vs BRUTE|A|Mirage|wl</t>
  </si>
  <si>
    <t xml:space="preserve">CS2 · INF vs BRUTE|A|Inferno|lw</t>
  </si>
  <si>
    <t xml:space="preserve">CS2 · INF vs BRUTE|A|Inferno|wl</t>
  </si>
  <si>
    <t xml:space="preserve">CS2 · INF vs BRUTE|A|Nuke|lw</t>
  </si>
  <si>
    <t xml:space="preserve">CS2 · INF vs BRUTE|A|Nuke|wl</t>
  </si>
  <si>
    <t xml:space="preserve">CS2 · INF vs BRUTE|A|Ancient|lw</t>
  </si>
  <si>
    <t xml:space="preserve">CS2 · INF vs BRUTE|A|Ancient|wl</t>
  </si>
  <si>
    <t xml:space="preserve">CS2 · INF vs BRUTE|A|Anubis|wl</t>
  </si>
  <si>
    <t xml:space="preserve">CS2 · INF vs BRUTE|B|ALL|lw</t>
  </si>
  <si>
    <t xml:space="preserve">CS2 · INF vs BRUTE|B|ALL|wl</t>
  </si>
  <si>
    <t xml:space="preserve">CS2 · INF vs BRUTE|B|Cache|lw</t>
  </si>
  <si>
    <t xml:space="preserve">CS2 · INF vs BRUTE|B|Cache|wl</t>
  </si>
  <si>
    <t xml:space="preserve">CS2 · INF vs BRUTE|B|Dust2|lw</t>
  </si>
  <si>
    <t xml:space="preserve">CS2 · INF vs BRUTE|B|Dust2|wl</t>
  </si>
  <si>
    <t xml:space="preserve">CS2 · INF vs BRUTE|B|Mirage|lw</t>
  </si>
  <si>
    <t xml:space="preserve">CS2 · INF vs BRUTE|B|Mirage|wl</t>
  </si>
  <si>
    <t xml:space="preserve">CS2 · INF vs BRUTE|B|Inferno|lw</t>
  </si>
  <si>
    <t xml:space="preserve">CS2 · INF vs BRUTE|B|Inferno|wl</t>
  </si>
  <si>
    <t xml:space="preserve">CS2 · INF vs BRUTE|B|Nuke|lw</t>
  </si>
  <si>
    <t xml:space="preserve">CS2 · INF vs BRUTE|B|Nuke|wl</t>
  </si>
  <si>
    <t xml:space="preserve">CS2 · INF vs BRUTE|B|Ancient|wl</t>
  </si>
  <si>
    <t xml:space="preserve">CS2 · INF vs BRUTE|B|Anubis|lw</t>
  </si>
  <si>
    <t xml:space="preserve">CS2 · INF vs BRUTE|B|Anubis|wl</t>
  </si>
  <si>
    <t xml:space="preserve">CS2 · LGC vs DEN|A|ALL|lw</t>
  </si>
  <si>
    <t xml:space="preserve">CS2 · LGC vs DEN|A|ALL|wl</t>
  </si>
  <si>
    <t xml:space="preserve">CS2 · LGC vs DEN|A|Cache|lw</t>
  </si>
  <si>
    <t xml:space="preserve">CS2 · LGC vs DEN|A|Cache|wl</t>
  </si>
  <si>
    <t xml:space="preserve">CS2 · LGC vs DEN|A|Dust2|lw</t>
  </si>
  <si>
    <t xml:space="preserve">CS2 · LGC vs DEN|A|Dust2|wl</t>
  </si>
  <si>
    <t xml:space="preserve">CS2 · LGC vs DEN|A|Mirage|lw</t>
  </si>
  <si>
    <t xml:space="preserve">CS2 · LGC vs DEN|A|Mirage|wl</t>
  </si>
  <si>
    <t xml:space="preserve">CS2 · LGC vs DEN|A|Inferno|lw</t>
  </si>
  <si>
    <t xml:space="preserve">CS2 · LGC vs DEN|A|Inferno|wl</t>
  </si>
  <si>
    <t xml:space="preserve">CS2 · LGC vs DEN|A|Nuke|lw</t>
  </si>
  <si>
    <t xml:space="preserve">CS2 · LGC vs DEN|A|Nuke|wl</t>
  </si>
  <si>
    <t xml:space="preserve">CS2 · LGC vs DEN|A|Ancient|lw</t>
  </si>
  <si>
    <t xml:space="preserve">CS2 · LGC vs DEN|A|Ancient|wl</t>
  </si>
  <si>
    <t xml:space="preserve">CS2 · LGC vs DEN|B|ALL|lw</t>
  </si>
  <si>
    <t xml:space="preserve">CS2 · LGC vs DEN|B|ALL|wl</t>
  </si>
  <si>
    <t xml:space="preserve">CS2 · LGC vs DEN|B|Cache|lw</t>
  </si>
  <si>
    <t xml:space="preserve">CS2 · LGC vs DEN|B|Cache|wl</t>
  </si>
  <si>
    <t xml:space="preserve">CS2 · LGC vs DEN|B|Mirage|lw</t>
  </si>
  <si>
    <t xml:space="preserve">CS2 · LGC vs DEN|B|Mirage|wl</t>
  </si>
  <si>
    <t xml:space="preserve">CS2 · LGC vs DEN|B|Inferno|lw</t>
  </si>
  <si>
    <t xml:space="preserve">CS2 · LGC vs DEN|B|Inferno|wl</t>
  </si>
  <si>
    <t xml:space="preserve">CS2 · LGC vs DEN|B|Nuke|lw</t>
  </si>
  <si>
    <t xml:space="preserve">CS2 · LGC vs DEN|B|Nuke|wl</t>
  </si>
  <si>
    <t xml:space="preserve">CS2 · LGC vs DEN|B|Ancient|lw</t>
  </si>
  <si>
    <t xml:space="preserve">CS2 · LGC vs DEN|B|Ancient|wl</t>
  </si>
  <si>
    <t xml:space="preserve">CS2 · LGC vs DEN|B|Anubis|lw</t>
  </si>
  <si>
    <t xml:space="preserve">CS2 · LGC vs DEN|B|Anubis|wl</t>
  </si>
  <si>
    <t xml:space="preserve">CS2 · FURIA vs NAVI|A|ALL|lw</t>
  </si>
  <si>
    <t xml:space="preserve">CS2 · FURIA vs NAVI|A|ALL|wl</t>
  </si>
  <si>
    <t xml:space="preserve">CS2 · FURIA vs NAVI|A|Cache|lw</t>
  </si>
  <si>
    <t xml:space="preserve">CS2 · FURIA vs NAVI|A|Cache|wl</t>
  </si>
  <si>
    <t xml:space="preserve">CS2 · FURIA vs NAVI|A|Dust2|lw</t>
  </si>
  <si>
    <t xml:space="preserve">CS2 · FURIA vs NAVI|A|Dust2|wl</t>
  </si>
  <si>
    <t xml:space="preserve">CS2 · FURIA vs NAVI|A|Mirage|lw</t>
  </si>
  <si>
    <t xml:space="preserve">CS2 · FURIA vs NAVI|A|Mirage|wl</t>
  </si>
  <si>
    <t xml:space="preserve">CS2 · FURIA vs NAVI|A|Inferno|lw</t>
  </si>
  <si>
    <t xml:space="preserve">CS2 · FURIA vs NAVI|A|Inferno|wl</t>
  </si>
  <si>
    <t xml:space="preserve">CS2 · FURIA vs NAVI|A|Nuke|lw</t>
  </si>
  <si>
    <t xml:space="preserve">CS2 · FURIA vs NAVI|A|Nuke|wl</t>
  </si>
  <si>
    <t xml:space="preserve">CS2 · FURIA vs NAVI|A|Ancient|lw</t>
  </si>
  <si>
    <t xml:space="preserve">CS2 · FURIA vs NAVI|A|Ancient|wl</t>
  </si>
  <si>
    <t xml:space="preserve">CS2 · FURIA vs NAVI|A|Anubis|wl</t>
  </si>
  <si>
    <t xml:space="preserve">CS2 · FURIA vs NAVI|B|ALL|lw</t>
  </si>
  <si>
    <t xml:space="preserve">CS2 · FURIA vs NAVI|B|ALL|wl</t>
  </si>
  <si>
    <t xml:space="preserve">CS2 · FURIA vs NAVI|B|Cache|lw</t>
  </si>
  <si>
    <t xml:space="preserve">CS2 · FURIA vs NAVI|B|Cache|wl</t>
  </si>
  <si>
    <t xml:space="preserve">CS2 · FURIA vs NAVI|B|Dust2|lw</t>
  </si>
  <si>
    <t xml:space="preserve">CS2 · FURIA vs NAVI|B|Mirage|lw</t>
  </si>
  <si>
    <t xml:space="preserve">CS2 · FURIA vs NAVI|B|Mirage|wl</t>
  </si>
  <si>
    <t xml:space="preserve">CS2 · FURIA vs NAVI|B|Inferno|lw</t>
  </si>
  <si>
    <t xml:space="preserve">CS2 · FURIA vs NAVI|B|Inferno|wl</t>
  </si>
  <si>
    <t xml:space="preserve">CS2 · FURIA vs NAVI|B|Nuke|lw</t>
  </si>
  <si>
    <t xml:space="preserve">CS2 · FURIA vs NAVI|B|Nuke|wl</t>
  </si>
  <si>
    <t xml:space="preserve">CS2 · FURIA vs NAVI|B|Ancient|wl</t>
  </si>
  <si>
    <t xml:space="preserve">CS2 · FURIA vs NAVI|B|Anubis|lw</t>
  </si>
  <si>
    <t xml:space="preserve">CS2 · FURIA vs NAVI|B|Anubis|wl</t>
  </si>
  <si>
    <t xml:space="preserve">CS2 · paiN vs BST|A|ALL|lw</t>
  </si>
  <si>
    <t xml:space="preserve">CS2 · paiN vs BST|A|ALL|wl</t>
  </si>
  <si>
    <t xml:space="preserve">CS2 · paiN vs BST|A|Cache|lw</t>
  </si>
  <si>
    <t xml:space="preserve">CS2 · paiN vs BST|A|Cache|wl</t>
  </si>
  <si>
    <t xml:space="preserve">CS2 · paiN vs BST|A|Dust2|lw</t>
  </si>
  <si>
    <t xml:space="preserve">CS2 · paiN vs BST|A|Dust2|wl</t>
  </si>
  <si>
    <t xml:space="preserve">CS2 · paiN vs BST|A|Mirage|lw</t>
  </si>
  <si>
    <t xml:space="preserve">CS2 · paiN vs BST|A|Mirage|wl</t>
  </si>
  <si>
    <t xml:space="preserve">CS2 · paiN vs BST|A|Inferno|wl</t>
  </si>
  <si>
    <t xml:space="preserve">CS2 · paiN vs BST|A|Nuke|lw</t>
  </si>
  <si>
    <t xml:space="preserve">CS2 · paiN vs BST|A|Nuke|wl</t>
  </si>
  <si>
    <t xml:space="preserve">CS2 · paiN vs BST|A|Anubis|lw</t>
  </si>
  <si>
    <t xml:space="preserve">CS2 · paiN vs BST|A|Anubis|wl</t>
  </si>
  <si>
    <t xml:space="preserve">CS2 · paiN vs BST|B|ALL|lw</t>
  </si>
  <si>
    <t xml:space="preserve">CS2 · paiN vs BST|B|ALL|wl</t>
  </si>
  <si>
    <t xml:space="preserve">CS2 · paiN vs BST|B|Cache|lw</t>
  </si>
  <si>
    <t xml:space="preserve">CS2 · paiN vs BST|B|Cache|wl</t>
  </si>
  <si>
    <t xml:space="preserve">CS2 · paiN vs BST|B|Dust2|lw</t>
  </si>
  <si>
    <t xml:space="preserve">CS2 · paiN vs BST|B|Dust2|wl</t>
  </si>
  <si>
    <t xml:space="preserve">CS2 · paiN vs BST|B|Mirage|lw</t>
  </si>
  <si>
    <t xml:space="preserve">CS2 · paiN vs BST|B|Mirage|wl</t>
  </si>
  <si>
    <t xml:space="preserve">CS2 · paiN vs BST|B|Inferno|lw</t>
  </si>
  <si>
    <t xml:space="preserve">CS2 · paiN vs BST|B|Inferno|wl</t>
  </si>
  <si>
    <t xml:space="preserve">CS2 · paiN vs BST|B|Nuke|lw</t>
  </si>
  <si>
    <t xml:space="preserve">CS2 · paiN vs BST|B|Nuke|wl</t>
  </si>
  <si>
    <t xml:space="preserve">CS2 · paiN vs BST|B|Ancient|lw</t>
  </si>
  <si>
    <t xml:space="preserve">CS2 · paiN vs BST|B|Ancient|wl</t>
  </si>
  <si>
    <t xml:space="preserve">CS2 · FORZE.R vs ex-RUSTEC|A|ALL|lw</t>
  </si>
  <si>
    <t xml:space="preserve">CS2 · FORZE.R vs ex-RUSTEC|A|ALL|wl</t>
  </si>
  <si>
    <t xml:space="preserve">CS2 · FORZE.R vs ex-RUSTEC|A|Cache|lw</t>
  </si>
  <si>
    <t xml:space="preserve">CS2 · FORZE.R vs ex-RUSTEC|A|Cache|wl</t>
  </si>
  <si>
    <t xml:space="preserve">CS2 · FORZE.R vs ex-RUSTEC|A|Dust2|lw</t>
  </si>
  <si>
    <t xml:space="preserve">CS2 · FORZE.R vs ex-RUSTEC|A|Dust2|wl</t>
  </si>
  <si>
    <t xml:space="preserve">CS2 · FORZE.R vs ex-RUSTEC|A|Mirage|lw</t>
  </si>
  <si>
    <t xml:space="preserve">CS2 · FORZE.R vs ex-RUSTEC|A|Mirage|wl</t>
  </si>
  <si>
    <t xml:space="preserve">CS2 · FORZE.R vs ex-RUSTEC|A|Nuke|lw</t>
  </si>
  <si>
    <t xml:space="preserve">CS2 · FORZE.R vs ex-RUSTEC|A|Nuke|wl</t>
  </si>
  <si>
    <t xml:space="preserve">CS2 · FORZE.R vs ex-RUSTEC|A|Ancient|lw</t>
  </si>
  <si>
    <t xml:space="preserve">CS2 · FORZE.R vs ex-RUSTEC|A|Ancient|wl</t>
  </si>
  <si>
    <t xml:space="preserve">CS2 · FORZE.R vs ex-RUSTEC|A|Anubis|lw</t>
  </si>
  <si>
    <t xml:space="preserve">CS2 · FORZE.R vs ex-RUSTEC|A|Anubis|wl</t>
  </si>
  <si>
    <t xml:space="preserve">CS2 · FORZE.R vs ex-RUSTEC|B|ALL|lw</t>
  </si>
  <si>
    <t xml:space="preserve">CS2 · FORZE.R vs ex-RUSTEC|B|ALL|wl</t>
  </si>
  <si>
    <t xml:space="preserve">CS2 · FORZE.R vs ex-RUSTEC|B|Cache|lw</t>
  </si>
  <si>
    <t xml:space="preserve">CS2 · FORZE.R vs ex-RUSTEC|B|Cache|wl</t>
  </si>
  <si>
    <t xml:space="preserve">CS2 · FORZE.R vs ex-RUSTEC|B|Dust2|lw</t>
  </si>
  <si>
    <t xml:space="preserve">CS2 · FORZE.R vs ex-RUSTEC|B|Dust2|wl</t>
  </si>
  <si>
    <t xml:space="preserve">CS2 · FORZE.R vs ex-RUSTEC|B|Mirage|lw</t>
  </si>
  <si>
    <t xml:space="preserve">CS2 · FORZE.R vs ex-RUSTEC|B|Mirage|wl</t>
  </si>
  <si>
    <t xml:space="preserve">CS2 · FORZE.R vs ex-RUSTEC|B|Inferno|lw</t>
  </si>
  <si>
    <t xml:space="preserve">CS2 · FORZE.R vs ex-RUSTEC|B|Inferno|wl</t>
  </si>
  <si>
    <t xml:space="preserve">CS2 · FORZE.R vs ex-RUSTEC|B|Nuke|lw</t>
  </si>
  <si>
    <t xml:space="preserve">CS2 · FORZE.R vs ex-RUSTEC|B|Nuke|wl</t>
  </si>
  <si>
    <t xml:space="preserve">CS2 · FORZE.R vs ex-RUSTEC|B|Ancient|lw</t>
  </si>
  <si>
    <t xml:space="preserve">CS2 · FORZE.R vs ex-RUSTEC|B|Ancient|wl</t>
  </si>
  <si>
    <t xml:space="preserve">CS2 · FORZE.R vs ex-RUSTEC|B|Anubis|lw</t>
  </si>
  <si>
    <t xml:space="preserve">CS2 · FORZE.R vs ex-RUSTEC|B|Anubis|wl</t>
  </si>
  <si>
    <t xml:space="preserve">CS2 [NO MARKET] · Color vs ex-ZT|A|ALL|lw</t>
  </si>
  <si>
    <t xml:space="preserve">CS2 [NO MARKET] · Color vs ex-ZT|A|ALL|wl</t>
  </si>
  <si>
    <t xml:space="preserve">CS2 [NO MARKET] · Color vs ex-ZT|A|Cache|lw</t>
  </si>
  <si>
    <t xml:space="preserve">CS2 [NO MARKET] · Color vs ex-ZT|A|Cache|wl</t>
  </si>
  <si>
    <t xml:space="preserve">CS2 [NO MARKET] · Color vs ex-ZT|A|Dust2|lw</t>
  </si>
  <si>
    <t xml:space="preserve">CS2 [NO MARKET] · Color vs ex-ZT|A|Dust2|wl</t>
  </si>
  <si>
    <t xml:space="preserve">CS2 [NO MARKET] · Color vs ex-ZT|A|Mirage|lw</t>
  </si>
  <si>
    <t xml:space="preserve">CS2 [NO MARKET] · Color vs ex-ZT|A|Mirage|wl</t>
  </si>
  <si>
    <t xml:space="preserve">CS2 [NO MARKET] · Color vs ex-ZT|A|Inferno|lw</t>
  </si>
  <si>
    <t xml:space="preserve">CS2 [NO MARKET] · Color vs ex-ZT|A|Inferno|wl</t>
  </si>
  <si>
    <t xml:space="preserve">CS2 [NO MARKET] · Color vs ex-ZT|A|Ancient|lw</t>
  </si>
  <si>
    <t xml:space="preserve">CS2 [NO MARKET] · Color vs ex-ZT|A|Ancient|wl</t>
  </si>
  <si>
    <t xml:space="preserve">CS2 [NO MARKET] · Color vs ex-ZT|A|Anubis|lw</t>
  </si>
  <si>
    <t xml:space="preserve">CS2 [NO MARKET] · Color vs ex-ZT|A|Anubis|wl</t>
  </si>
  <si>
    <t xml:space="preserve">CS2 [NO MARKET] · Color vs ex-ZT|B|ALL|lw</t>
  </si>
  <si>
    <t xml:space="preserve">CS2 [NO MARKET] · Color vs ex-ZT|B|ALL|wl</t>
  </si>
  <si>
    <t xml:space="preserve">CS2 [NO MARKET] · Color vs ex-ZT|B|Cache|lw</t>
  </si>
  <si>
    <t xml:space="preserve">CS2 [NO MARKET] · Color vs ex-ZT|B|Cache|wl</t>
  </si>
  <si>
    <t xml:space="preserve">CS2 [NO MARKET] · Color vs ex-ZT|B|Dust2|lw</t>
  </si>
  <si>
    <t xml:space="preserve">CS2 [NO MARKET] · Color vs ex-ZT|B|Dust2|wl</t>
  </si>
  <si>
    <t xml:space="preserve">CS2 [NO MARKET] · Color vs ex-ZT|B|Mirage|lw</t>
  </si>
  <si>
    <t xml:space="preserve">CS2 [NO MARKET] · Color vs ex-ZT|B|Mirage|wl</t>
  </si>
  <si>
    <t xml:space="preserve">CS2 [NO MARKET] · Color vs ex-ZT|B|Inferno|lw</t>
  </si>
  <si>
    <t xml:space="preserve">CS2 [NO MARKET] · Color vs ex-ZT|B|Inferno|wl</t>
  </si>
  <si>
    <t xml:space="preserve">CS2 [NO MARKET] · Color vs ex-ZT|B|Nuke|lw</t>
  </si>
  <si>
    <t xml:space="preserve">CS2 [NO MARKET] · Color vs ex-ZT|B|Nuke|wl</t>
  </si>
  <si>
    <t xml:space="preserve">CS2 [NO MARKET] · Color vs ex-ZT|B|Anubis|lw</t>
  </si>
  <si>
    <t xml:space="preserve">CS2 [NO MARKET] · Color vs ex-ZT|B|Anubis|wl</t>
  </si>
  <si>
    <t xml:space="preserve">First pick %</t>
  </si>
  <si>
    <t xml:space="preserve">First ban %</t>
  </si>
  <si>
    <t xml:space="preserve">Win %</t>
  </si>
  <si>
    <t xml:space="preserve">Played (3 months)</t>
  </si>
  <si>
    <t xml:space="preserve">Logged (UTC)</t>
  </si>
  <si>
    <t xml:space="preserve">Actual</t>
  </si>
  <si>
    <t xml:space="preserve">Result</t>
  </si>
  <si>
    <t xml:space="preserve">Proj map-free</t>
  </si>
  <si>
    <t xml:space="preserve">Proj map-free adj</t>
  </si>
  <si>
    <t xml:space="preserve">Dust2 / Ancient</t>
  </si>
  <si>
    <t xml:space="preserve">21.5 / 21.5</t>
  </si>
  <si>
    <t xml:space="preserve">Inferno / Dust2</t>
  </si>
  <si>
    <t xml:space="preserve">Cache / Nuke</t>
  </si>
  <si>
    <t xml:space="preserve">Dust2 / Cache</t>
  </si>
  <si>
    <t xml:space="preserve">Mirage / Inferno</t>
  </si>
  <si>
    <t xml:space="preserve">21.4 / 21.5</t>
  </si>
  <si>
    <t xml:space="preserve">Ancient / Mirage</t>
  </si>
  <si>
    <t xml:space="preserve">21.5 / 21.4</t>
  </si>
  <si>
    <t xml:space="preserve">Dust2 / Nuke</t>
  </si>
  <si>
    <t xml:space="preserve">Nuke / Anubis</t>
  </si>
  <si>
    <t xml:space="preserve">21.4 / 21.2</t>
  </si>
  <si>
    <t xml:space="preserve">Dust2 / Mirage</t>
  </si>
  <si>
    <t xml:space="preserve">Mirage / Ancient</t>
  </si>
  <si>
    <t xml:space="preserve">21.4 / 21.1</t>
  </si>
  <si>
    <t xml:space="preserve">Mirage / Dust2</t>
  </si>
  <si>
    <t xml:space="preserve">21.3 / 21.1</t>
  </si>
  <si>
    <t xml:space="preserve">20.6 / 20.3</t>
  </si>
  <si>
    <t xml:space="preserve">21.1 / 20.7</t>
  </si>
  <si>
    <t xml:space="preserve">Check</t>
  </si>
  <si>
    <t xml:space="preserve">PickFinder board rows (CS2 + VAL)</t>
  </si>
  <si>
    <t xml:space="preserve">Players with map stats</t>
  </si>
  <si>
    <t xml:space="preserve">Identity: Σ per-map maps == overall Maps AND weighted kills == Kills/Map</t>
  </si>
  <si>
    <t xml:space="preserve">123 / 123 pass</t>
  </si>
  <si>
    <t xml:space="preserve">Board players with NO stats page read</t>
  </si>
  <si>
    <t xml:space="preserve">Matches resolved to Thunderpick</t>
  </si>
  <si>
    <t xml:space="preserve">NO MARKET games on this board (marked [NO MARKET], placeholders hold no prices, never registered)</t>
  </si>
  <si>
    <t xml:space="preserve">Matches with a Total Rounds ladder on map 1</t>
  </si>
  <si>
    <t xml:space="preserve">Matches with correct-score odds</t>
  </si>
  <si>
    <t xml:space="preserve">Matches with PickFinder Map Picks (rest use most-played fallback)</t>
  </si>
  <si>
    <t xml:space="preserve">Thunderpick player kill ladders matched to board players</t>
  </si>
  <si>
    <t xml:space="preserve">LIVE: formula errors on Projections (should be 0)</t>
  </si>
  <si>
    <t xml:space="preserve">LIVE: legs with no projection (should be 0)</t>
  </si>
  <si>
    <t xml:space="preserve">LIVE: formula errors on Calc (should be 0)</t>
  </si>
  <si>
    <t xml:space="preserve">LIVE: largest |Projections − Log| (≈0 at default settings; grows as you edit Matches/Config)</t>
  </si>
  <si>
    <t xml:space="preserve">LIVE: largest |Projections adj − Log adj| (≈0 at default settings)</t>
  </si>
  <si>
    <t xml:space="preserve">LIVE: formula errors on Matches HLTV columns (should be 0)</t>
  </si>
  <si>
    <t xml:space="preserve">CS2 matches with HLTV analytics</t>
  </si>
  <si>
    <t xml:space="preserve">Issue</t>
  </si>
  <si>
    <t xml:space="preserve">CS2 [NO MARKET] · ACE vs INOX: no Thunderpick market - no P(win), no HLTV adjustment, Config default rounds</t>
  </si>
  <si>
    <t xml:space="preserve">NO HLTV ANALYTICS CS2 [NO MARKET] · ACE vs INOX</t>
  </si>
  <si>
    <t xml:space="preserve">CS2 [NO MARKET] · ACE vs UNiTY: no Thunderpick market - no P(win), no HLTV adjustment, Config default rounds</t>
  </si>
  <si>
    <t xml:space="preserve">CS2 [NO MARKET] · BAKS vs MZP: no Thunderpick market - no P(win), no HLTV adjustment, Config default rounds</t>
  </si>
  <si>
    <t xml:space="preserve">CS2 [NO MARKET] · Color vs ex-ZT: no Thunderpick market - no P(win), no HLTV adjustment, Config default rounds</t>
  </si>
  <si>
    <t xml:space="preserve">MAP PICKS FALLBACK CS2 · MOUZ vs 9z -&gt; Mirage, Dust2, Nuke</t>
  </si>
  <si>
    <t xml:space="preserve">MAP PICKS FALLBACK CS2 · AUR vs G2 -&gt; Mirage, Inferno, Dust2</t>
  </si>
  <si>
    <t xml:space="preserve">MAP PICKS FALLBACK CS2 · BB vs NEMI -&gt; Ancient, Mirage, Dust2</t>
  </si>
  <si>
    <t xml:space="preserve">MAP PICKS FALLBACK CS2 · INF vs BRUTE -&gt; Dust2, Mirage, Nuke</t>
  </si>
  <si>
    <t xml:space="preserve">MAP PICKS FALLBACK CS2 · paiN vs BST -&gt; Dust2, Mirage, Cache</t>
  </si>
  <si>
    <t xml:space="preserve">MAP PICKS FALLBACK CS2 · LGC vs DEN -&gt; Mirage, Ancient, Cache</t>
  </si>
  <si>
    <t xml:space="preserve">MAP PICKS FALLBACK CS2 · FORZE.R vs ex-RUSTEC -&gt; Dust2, Nuke, Anubis</t>
  </si>
  <si>
    <t xml:space="preserve">MAP PICKS FALLBACK CS2 · FURIA vs NAVI -&gt; Mirage, Inferno, Nuke</t>
  </si>
  <si>
    <t xml:space="preserve">MAP PICKS FALLBACK CS2 · FUT vs TL -&gt; Nuke, Anubis, Dust2</t>
  </si>
  <si>
    <t xml:space="preserve">MAP PICKS FALLBACK CS2 · VIT vs MGLZ -&gt; Dust2, Mirage, Inferno</t>
  </si>
  <si>
    <t xml:space="preserve">MAP PICKS FALLBACK CS2 · TS vs TYLOO -&gt; Mirage, Ancient, Cache</t>
  </si>
  <si>
    <t xml:space="preserve">MAP PICKS FALLBACK CS2 [NO MARKET] · ACE vs INOX -&gt; Dust2, Ancient, Inferno</t>
  </si>
  <si>
    <t xml:space="preserve">MAP PICKS FALLBACK CS2 [NO MARKET] · ACE vs UNiTY -&gt; Inferno, Dust2, Ancient</t>
  </si>
  <si>
    <t xml:space="preserve">MAP PICKS FALLBACK CS2 [NO MARKET] · BAKS vs MZP -&gt; Cache, Nuke, Mirage</t>
  </si>
  <si>
    <t xml:space="preserve">MAP PICKS FALLBACK CS2 [NO MARKET] · Color vs ex-ZT -&gt; Dust2, Cache, Mirage</t>
  </si>
  <si>
    <t xml:space="preserve">NO TP ROUNDS LADDER CS2 · FORZE.R vs ex-RUSTEC (Config default used)</t>
  </si>
  <si>
    <t xml:space="preserve">NO TP ROUNDS LADDER CS2 [NO MARKET] · ACE vs INOX (Config default used)</t>
  </si>
  <si>
    <t xml:space="preserve">NO TP ROUNDS LADDER CS2 [NO MARKET] · ACE vs UNiTY (Config default used)</t>
  </si>
  <si>
    <t xml:space="preserve">NO TP ROUNDS LADDER CS2 [NO MARKET] · BAKS vs MZP (Config default used)</t>
  </si>
  <si>
    <t xml:space="preserve">NO TP ROUNDS LADDER CS2 [NO MARKET] · Color vs ex-ZT (Config default used)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</si>
</sst>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%"/>
    <numFmt numFmtId="167" formatCode="0.0"/>
    <numFmt numFmtId="168" formatCode="0.000"/>
    <numFmt numFmtId="169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6B728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DE4EE"/>
        <bgColor rgb="FFF3F5F8"/>
      </patternFill>
    </fill>
    <fill>
      <patternFill patternType="solid">
        <fgColor rgb="FFF3F5F8"/>
        <bgColor rgb="FFFFFFFF"/>
      </patternFill>
    </fill>
    <fill>
      <patternFill patternType="solid">
        <fgColor rgb="FFFFF2CC"/>
        <bgColor rgb="FFF3F5F8"/>
      </patternFill>
    </fill>
    <fill>
      <patternFill patternType="solid">
        <fgColor rgb="FF1F2937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1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1E7DD"/>
          <bgColor rgb="FF000000"/>
        </patternFill>
      </fill>
    </dxf>
    <dxf>
      <fill>
        <patternFill patternType="solid">
          <fgColor rgb="FFD2E8DE"/>
          <bgColor rgb="FF000000"/>
        </patternFill>
      </fill>
    </dxf>
    <dxf>
      <fill>
        <patternFill patternType="solid">
          <fgColor rgb="FFD3E9DF"/>
          <bgColor rgb="FF000000"/>
        </patternFill>
      </fill>
    </dxf>
    <dxf>
      <fill>
        <patternFill patternType="solid">
          <fgColor rgb="FFD5E9E0"/>
          <bgColor rgb="FF000000"/>
        </patternFill>
      </fill>
    </dxf>
    <dxf>
      <fill>
        <patternFill patternType="solid">
          <fgColor rgb="FFD9EBE3"/>
          <bgColor rgb="FF000000"/>
        </patternFill>
      </fill>
    </dxf>
    <dxf>
      <fill>
        <patternFill patternType="solid">
          <fgColor rgb="FFDAECE4"/>
          <bgColor rgb="FF000000"/>
        </patternFill>
      </fill>
    </dxf>
    <dxf>
      <fill>
        <patternFill patternType="solid">
          <fgColor rgb="FFDBECE4"/>
          <bgColor rgb="FF000000"/>
        </patternFill>
      </fill>
    </dxf>
    <dxf>
      <fill>
        <patternFill patternType="solid">
          <fgColor rgb="FFDBEDE5"/>
          <bgColor rgb="FF000000"/>
        </patternFill>
      </fill>
    </dxf>
    <dxf>
      <fill>
        <patternFill patternType="solid">
          <fgColor rgb="FFDCEDE6"/>
          <bgColor rgb="FF000000"/>
        </patternFill>
      </fill>
    </dxf>
    <dxf>
      <fill>
        <patternFill patternType="solid">
          <fgColor rgb="FFDDEDE6"/>
          <bgColor rgb="FF000000"/>
        </patternFill>
      </fill>
    </dxf>
    <dxf>
      <fill>
        <patternFill patternType="solid">
          <fgColor rgb="FFDDEEE6"/>
          <bgColor rgb="FF000000"/>
        </patternFill>
      </fill>
    </dxf>
    <dxf>
      <fill>
        <patternFill patternType="solid">
          <fgColor rgb="FFE0EFE8"/>
          <bgColor rgb="FF000000"/>
        </patternFill>
      </fill>
    </dxf>
    <dxf>
      <fill>
        <patternFill patternType="solid">
          <fgColor rgb="FFE0EFE9"/>
          <bgColor rgb="FF000000"/>
        </patternFill>
      </fill>
    </dxf>
    <dxf>
      <fill>
        <patternFill patternType="solid">
          <fgColor rgb="FFE2F0EA"/>
          <bgColor rgb="FF000000"/>
        </patternFill>
      </fill>
    </dxf>
    <dxf>
      <fill>
        <patternFill patternType="solid">
          <fgColor rgb="FFE3F0EA"/>
          <bgColor rgb="FF000000"/>
        </patternFill>
      </fill>
    </dxf>
    <dxf>
      <fill>
        <patternFill patternType="solid">
          <fgColor rgb="FFE4F1EB"/>
          <bgColor rgb="FF000000"/>
        </patternFill>
      </fill>
    </dxf>
    <dxf>
      <fill>
        <patternFill patternType="solid">
          <fgColor rgb="FFE5F2EC"/>
          <bgColor rgb="FF000000"/>
        </patternFill>
      </fill>
    </dxf>
    <dxf>
      <fill>
        <patternFill patternType="solid">
          <fgColor rgb="FFE7F2ED"/>
          <bgColor rgb="FF000000"/>
        </patternFill>
      </fill>
    </dxf>
    <dxf>
      <fill>
        <patternFill patternType="solid">
          <fgColor rgb="FFE7F3ED"/>
          <bgColor rgb="FF000000"/>
        </patternFill>
      </fill>
    </dxf>
    <dxf>
      <fill>
        <patternFill patternType="solid">
          <fgColor rgb="FFE8F3EE"/>
          <bgColor rgb="FF000000"/>
        </patternFill>
      </fill>
    </dxf>
    <dxf>
      <fill>
        <patternFill patternType="solid">
          <fgColor rgb="FFE9F4EF"/>
          <bgColor rgb="FF000000"/>
        </patternFill>
      </fill>
    </dxf>
    <dxf>
      <fill>
        <patternFill patternType="solid">
          <fgColor rgb="FFEAF4EF"/>
          <bgColor rgb="FF000000"/>
        </patternFill>
      </fill>
    </dxf>
    <dxf>
      <fill>
        <patternFill patternType="solid">
          <fgColor rgb="FFEAF4F0"/>
          <bgColor rgb="FF000000"/>
        </patternFill>
      </fill>
    </dxf>
    <dxf>
      <fill>
        <patternFill patternType="solid">
          <fgColor rgb="FFEBF5F0"/>
          <bgColor rgb="FF000000"/>
        </patternFill>
      </fill>
    </dxf>
    <dxf>
      <fill>
        <patternFill patternType="solid">
          <fgColor rgb="FFEBF5F1"/>
          <bgColor rgb="FF000000"/>
        </patternFill>
      </fill>
    </dxf>
    <dxf>
      <fill>
        <patternFill patternType="solid">
          <fgColor rgb="FFECF5F1"/>
          <bgColor rgb="FF000000"/>
        </patternFill>
      </fill>
    </dxf>
    <dxf>
      <fill>
        <patternFill patternType="solid">
          <fgColor rgb="FFECF6F1"/>
          <bgColor rgb="FF000000"/>
        </patternFill>
      </fill>
    </dxf>
    <dxf>
      <fill>
        <patternFill patternType="solid">
          <fgColor rgb="FFEDF6F2"/>
          <bgColor rgb="FF000000"/>
        </patternFill>
      </fill>
    </dxf>
    <dxf>
      <fill>
        <patternFill patternType="solid">
          <fgColor rgb="FFEEF7F3"/>
          <bgColor rgb="FF000000"/>
        </patternFill>
      </fill>
    </dxf>
    <dxf>
      <fill>
        <patternFill patternType="solid">
          <fgColor rgb="FFEFF7F3"/>
          <bgColor rgb="FF000000"/>
        </patternFill>
      </fill>
    </dxf>
    <dxf>
      <fill>
        <patternFill patternType="solid">
          <fgColor rgb="FFF0F7F4"/>
          <bgColor rgb="FF000000"/>
        </patternFill>
      </fill>
    </dxf>
    <dxf>
      <fill>
        <patternFill patternType="solid">
          <fgColor rgb="FFF0F8F4"/>
          <bgColor rgb="FF000000"/>
        </patternFill>
      </fill>
    </dxf>
    <dxf>
      <fill>
        <patternFill patternType="solid">
          <fgColor rgb="FFF1F8F5"/>
          <bgColor rgb="FF000000"/>
        </patternFill>
      </fill>
    </dxf>
    <dxf>
      <fill>
        <patternFill patternType="solid">
          <fgColor rgb="FFF2F8F5"/>
          <bgColor rgb="FF000000"/>
        </patternFill>
      </fill>
    </dxf>
    <dxf>
      <fill>
        <patternFill patternType="solid">
          <fgColor rgb="FFF2F9F6"/>
          <bgColor rgb="FF000000"/>
        </patternFill>
      </fill>
    </dxf>
    <dxf>
      <fill>
        <patternFill patternType="solid">
          <fgColor rgb="FFF3F9F6"/>
          <bgColor rgb="FF000000"/>
        </patternFill>
      </fill>
    </dxf>
    <dxf>
      <fill>
        <patternFill patternType="solid">
          <fgColor rgb="FFF3F9F7"/>
          <bgColor rgb="FF000000"/>
        </patternFill>
      </fill>
    </dxf>
    <dxf>
      <fill>
        <patternFill patternType="solid">
          <fgColor rgb="FFF4FAF7"/>
          <bgColor rgb="FF000000"/>
        </patternFill>
      </fill>
    </dxf>
    <dxf>
      <fill>
        <patternFill patternType="solid">
          <fgColor rgb="FFF5FAF7"/>
          <bgColor rgb="FF000000"/>
        </patternFill>
      </fill>
    </dxf>
    <dxf>
      <fill>
        <patternFill patternType="solid">
          <fgColor rgb="FFF6FAF8"/>
          <bgColor rgb="FF000000"/>
        </patternFill>
      </fill>
    </dxf>
    <dxf>
      <fill>
        <patternFill patternType="solid">
          <fgColor rgb="FFF6FBF9"/>
          <bgColor rgb="FF000000"/>
        </patternFill>
      </fill>
    </dxf>
    <dxf>
      <fill>
        <patternFill patternType="solid">
          <fgColor rgb="FFF7FBF9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8D8DB"/>
          <bgColor rgb="FF000000"/>
        </patternFill>
      </fill>
    </dxf>
    <dxf>
      <fill>
        <patternFill patternType="solid">
          <fgColor rgb="FFF8D9DC"/>
          <bgColor rgb="FF000000"/>
        </patternFill>
      </fill>
    </dxf>
    <dxf>
      <fill>
        <patternFill patternType="solid">
          <fgColor rgb="FFF8DCDE"/>
          <bgColor rgb="FF000000"/>
        </patternFill>
      </fill>
    </dxf>
    <dxf>
      <fill>
        <patternFill patternType="solid">
          <fgColor rgb="FFF8FBFA"/>
          <bgColor rgb="FF000000"/>
        </patternFill>
      </fill>
    </dxf>
    <dxf>
      <fill>
        <patternFill patternType="solid">
          <fgColor rgb="FFF9DDDF"/>
          <bgColor rgb="FF000000"/>
        </patternFill>
      </fill>
    </dxf>
    <dxf>
      <fill>
        <patternFill patternType="solid">
          <fgColor rgb="FFF9DDE0"/>
          <bgColor rgb="FF000000"/>
        </patternFill>
      </fill>
    </dxf>
    <dxf>
      <fill>
        <patternFill patternType="solid">
          <fgColor rgb="FFF9DEE0"/>
          <bgColor rgb="FF000000"/>
        </patternFill>
      </fill>
    </dxf>
    <dxf>
      <fill>
        <patternFill patternType="solid">
          <fgColor rgb="FFF9DEE1"/>
          <bgColor rgb="FF000000"/>
        </patternFill>
      </fill>
    </dxf>
    <dxf>
      <fill>
        <patternFill patternType="solid">
          <fgColor rgb="FFF9E0E2"/>
          <bgColor rgb="FF000000"/>
        </patternFill>
      </fill>
    </dxf>
    <dxf>
      <fill>
        <patternFill patternType="solid">
          <fgColor rgb="FFF9E1E3"/>
          <bgColor rgb="FF000000"/>
        </patternFill>
      </fill>
    </dxf>
    <dxf>
      <fill>
        <patternFill patternType="solid">
          <fgColor rgb="FFF9E2E4"/>
          <bgColor rgb="FF000000"/>
        </patternFill>
      </fill>
    </dxf>
    <dxf>
      <fill>
        <patternFill patternType="solid">
          <fgColor rgb="FFF9FCFB"/>
          <bgColor rgb="FF000000"/>
        </patternFill>
      </fill>
    </dxf>
    <dxf>
      <fill>
        <patternFill patternType="solid">
          <fgColor rgb="FFFAE2E4"/>
          <bgColor rgb="FF000000"/>
        </patternFill>
      </fill>
    </dxf>
    <dxf>
      <fill>
        <patternFill patternType="solid">
          <fgColor rgb="FFFAE3E5"/>
          <bgColor rgb="FF000000"/>
        </patternFill>
      </fill>
    </dxf>
    <dxf>
      <fill>
        <patternFill patternType="solid">
          <fgColor rgb="FFFAE4E6"/>
          <bgColor rgb="FF000000"/>
        </patternFill>
      </fill>
    </dxf>
    <dxf>
      <fill>
        <patternFill patternType="solid">
          <fgColor rgb="FFFAE5E7"/>
          <bgColor rgb="FF000000"/>
        </patternFill>
      </fill>
    </dxf>
    <dxf>
      <fill>
        <patternFill patternType="solid">
          <fgColor rgb="FFFAE6E7"/>
          <bgColor rgb="FF000000"/>
        </patternFill>
      </fill>
    </dxf>
    <dxf>
      <fill>
        <patternFill patternType="solid">
          <fgColor rgb="FFFAE6E8"/>
          <bgColor rgb="FF000000"/>
        </patternFill>
      </fill>
    </dxf>
    <dxf>
      <fill>
        <patternFill patternType="solid">
          <fgColor rgb="FFFAE7E9"/>
          <bgColor rgb="FF000000"/>
        </patternFill>
      </fill>
    </dxf>
    <dxf>
      <fill>
        <patternFill patternType="solid">
          <fgColor rgb="FFFAE8E9"/>
          <bgColor rgb="FF000000"/>
        </patternFill>
      </fill>
    </dxf>
    <dxf>
      <fill>
        <patternFill patternType="solid">
          <fgColor rgb="FFFBE8E9"/>
          <bgColor rgb="FF000000"/>
        </patternFill>
      </fill>
    </dxf>
    <dxf>
      <fill>
        <patternFill patternType="solid">
          <fgColor rgb="FFFBE8EA"/>
          <bgColor rgb="FF000000"/>
        </patternFill>
      </fill>
    </dxf>
    <dxf>
      <fill>
        <patternFill patternType="solid">
          <fgColor rgb="FFFBE9EA"/>
          <bgColor rgb="FF000000"/>
        </patternFill>
      </fill>
    </dxf>
    <dxf>
      <fill>
        <patternFill patternType="solid">
          <fgColor rgb="FFFBE9EB"/>
          <bgColor rgb="FF000000"/>
        </patternFill>
      </fill>
    </dxf>
    <dxf>
      <fill>
        <patternFill patternType="solid">
          <fgColor rgb="FFFBEAEB"/>
          <bgColor rgb="FF000000"/>
        </patternFill>
      </fill>
    </dxf>
    <dxf>
      <fill>
        <patternFill patternType="solid">
          <fgColor rgb="FFFBEAEC"/>
          <bgColor rgb="FF000000"/>
        </patternFill>
      </fill>
    </dxf>
    <dxf>
      <fill>
        <patternFill patternType="solid">
          <fgColor rgb="FFFBEBEC"/>
          <bgColor rgb="FF000000"/>
        </patternFill>
      </fill>
    </dxf>
    <dxf>
      <fill>
        <patternFill patternType="solid">
          <fgColor rgb="FFFBEBED"/>
          <bgColor rgb="FF000000"/>
        </patternFill>
      </fill>
    </dxf>
    <dxf>
      <fill>
        <patternFill patternType="solid">
          <fgColor rgb="FFFBECED"/>
          <bgColor rgb="FF000000"/>
        </patternFill>
      </fill>
    </dxf>
    <dxf>
      <fill>
        <patternFill patternType="solid">
          <fgColor rgb="FFFBECEE"/>
          <bgColor rgb="FF000000"/>
        </patternFill>
      </fill>
    </dxf>
    <dxf>
      <fill>
        <patternFill patternType="solid">
          <fgColor rgb="FFFBEDEE"/>
          <bgColor rgb="FF000000"/>
        </patternFill>
      </fill>
    </dxf>
    <dxf>
      <fill>
        <patternFill patternType="solid">
          <fgColor rgb="FFFBFDFC"/>
          <bgColor rgb="FF000000"/>
        </patternFill>
      </fill>
    </dxf>
    <dxf>
      <fill>
        <patternFill patternType="solid">
          <fgColor rgb="FFFBFDFD"/>
          <bgColor rgb="FF000000"/>
        </patternFill>
      </fill>
    </dxf>
    <dxf>
      <fill>
        <patternFill patternType="solid">
          <fgColor rgb="FFFCEEEF"/>
          <bgColor rgb="FF000000"/>
        </patternFill>
      </fill>
    </dxf>
    <dxf>
      <fill>
        <patternFill patternType="solid">
          <fgColor rgb="FFFCEEF0"/>
          <bgColor rgb="FF000000"/>
        </patternFill>
      </fill>
    </dxf>
    <dxf>
      <fill>
        <patternFill patternType="solid">
          <fgColor rgb="FFFCEFF0"/>
          <bgColor rgb="FF000000"/>
        </patternFill>
      </fill>
    </dxf>
    <dxf>
      <fill>
        <patternFill patternType="solid">
          <fgColor rgb="FFFCF0F1"/>
          <bgColor rgb="FF000000"/>
        </patternFill>
      </fill>
    </dxf>
    <dxf>
      <fill>
        <patternFill patternType="solid">
          <fgColor rgb="FFFCF1F2"/>
          <bgColor rgb="FF000000"/>
        </patternFill>
      </fill>
    </dxf>
    <dxf>
      <fill>
        <patternFill patternType="solid">
          <fgColor rgb="FFFCF2F3"/>
          <bgColor rgb="FF000000"/>
        </patternFill>
      </fill>
    </dxf>
    <dxf>
      <fill>
        <patternFill patternType="solid">
          <fgColor rgb="FFFCF3F4"/>
          <bgColor rgb="FF000000"/>
        </patternFill>
      </fill>
    </dxf>
    <dxf>
      <fill>
        <patternFill patternType="solid">
          <fgColor rgb="FFFCFEFD"/>
          <bgColor rgb="FF000000"/>
        </patternFill>
      </fill>
    </dxf>
    <dxf>
      <fill>
        <patternFill patternType="solid">
          <fgColor rgb="FFFDF3F4"/>
          <bgColor rgb="FF000000"/>
        </patternFill>
      </fill>
    </dxf>
    <dxf>
      <fill>
        <patternFill patternType="solid">
          <fgColor rgb="FFFDF4F4"/>
          <bgColor rgb="FF000000"/>
        </patternFill>
      </fill>
    </dxf>
    <dxf>
      <fill>
        <patternFill patternType="solid">
          <fgColor rgb="FFFDF4F5"/>
          <bgColor rgb="FF000000"/>
        </patternFill>
      </fill>
    </dxf>
    <dxf>
      <fill>
        <patternFill patternType="solid">
          <fgColor rgb="FFFDF5F5"/>
          <bgColor rgb="FF000000"/>
        </patternFill>
      </fill>
    </dxf>
    <dxf>
      <fill>
        <patternFill patternType="solid">
          <fgColor rgb="FFFDF5F6"/>
          <bgColor rgb="FF000000"/>
        </patternFill>
      </fill>
    </dxf>
    <dxf>
      <fill>
        <patternFill patternType="solid">
          <fgColor rgb="FFFDF6F7"/>
          <bgColor rgb="FF000000"/>
        </patternFill>
      </fill>
    </dxf>
    <dxf>
      <fill>
        <patternFill patternType="solid">
          <fgColor rgb="FFFDF7F7"/>
          <bgColor rgb="FF000000"/>
        </patternFill>
      </fill>
    </dxf>
    <dxf>
      <fill>
        <patternFill patternType="solid">
          <fgColor rgb="FFFDF7F8"/>
          <bgColor rgb="FF000000"/>
        </patternFill>
      </fill>
    </dxf>
    <dxf>
      <fill>
        <patternFill patternType="solid">
          <fgColor rgb="FFFDF8F8"/>
          <bgColor rgb="FF000000"/>
        </patternFill>
      </fill>
    </dxf>
    <dxf>
      <fill>
        <patternFill patternType="solid">
          <fgColor rgb="FFFDF8F9"/>
          <bgColor rgb="FF000000"/>
        </patternFill>
      </fill>
    </dxf>
    <dxf>
      <fill>
        <patternFill patternType="solid">
          <fgColor rgb="FFFDF9F9"/>
          <bgColor rgb="FF000000"/>
        </patternFill>
      </fill>
    </dxf>
    <dxf>
      <fill>
        <patternFill patternType="solid">
          <fgColor rgb="FFFDFEFD"/>
          <bgColor rgb="FF000000"/>
        </patternFill>
      </fill>
    </dxf>
    <dxf>
      <fill>
        <patternFill patternType="solid">
          <fgColor rgb="FFFDFEFE"/>
          <bgColor rgb="FF000000"/>
        </patternFill>
      </fill>
    </dxf>
    <dxf>
      <fill>
        <patternFill patternType="solid">
          <fgColor rgb="FFFEF9F9"/>
          <bgColor rgb="FF000000"/>
        </patternFill>
      </fill>
    </dxf>
    <dxf>
      <fill>
        <patternFill patternType="solid">
          <fgColor rgb="FFFEFAFA"/>
          <bgColor rgb="FF000000"/>
        </patternFill>
      </fill>
    </dxf>
    <dxf>
      <fill>
        <patternFill patternType="solid">
          <fgColor rgb="FFFEFBFB"/>
          <bgColor rgb="FF000000"/>
        </patternFill>
      </fill>
    </dxf>
    <dxf>
      <fill>
        <patternFill patternType="solid">
          <fgColor rgb="FFFEFCFC"/>
          <bgColor rgb="FF000000"/>
        </patternFill>
      </fill>
    </dxf>
    <dxf>
      <fill>
        <patternFill patternType="solid">
          <fgColor rgb="FFFEFCFD"/>
          <bgColor rgb="FF000000"/>
        </patternFill>
      </fill>
    </dxf>
    <dxf>
      <fill>
        <patternFill patternType="solid">
          <fgColor rgb="FFFEFDFD"/>
          <bgColor rgb="FF000000"/>
        </patternFill>
      </fill>
    </dxf>
    <dxf>
      <fill>
        <patternFill patternType="solid">
          <fgColor rgb="FFFEFEFE"/>
          <bgColor rgb="FF000000"/>
        </patternFill>
      </fill>
    </dxf>
    <dxf>
      <fill>
        <patternFill patternType="solid">
          <fgColor rgb="FFFEFFFE"/>
          <bgColor rgb="FF000000"/>
        </patternFill>
      </fill>
    </dxf>
    <dxf>
      <fill>
        <patternFill patternType="solid">
          <fgColor rgb="FFFEFFFF"/>
          <bgColor rgb="FF000000"/>
        </patternFill>
      </fill>
    </dxf>
    <dxf>
      <fill>
        <patternFill patternType="solid">
          <fgColor rgb="FFD4E9DF"/>
          <bgColor rgb="FF000000"/>
        </patternFill>
      </fill>
    </dxf>
    <dxf>
      <fill>
        <patternFill patternType="solid">
          <fgColor rgb="FFD6EAE1"/>
          <bgColor rgb="FF000000"/>
        </patternFill>
      </fill>
    </dxf>
    <dxf>
      <fill>
        <patternFill patternType="solid">
          <fgColor rgb="FFD7EBE2"/>
          <bgColor rgb="FF000000"/>
        </patternFill>
      </fill>
    </dxf>
    <dxf>
      <fill>
        <patternFill patternType="solid">
          <fgColor rgb="FFDFEFE8"/>
          <bgColor rgb="FF000000"/>
        </patternFill>
      </fill>
    </dxf>
    <dxf>
      <fill>
        <patternFill patternType="solid">
          <fgColor rgb="FFE1F0E9"/>
          <bgColor rgb="FF000000"/>
        </patternFill>
      </fill>
    </dxf>
    <dxf>
      <fill>
        <patternFill patternType="solid">
          <fgColor rgb="FFE3F1EB"/>
          <bgColor rgb="FF000000"/>
        </patternFill>
      </fill>
    </dxf>
    <dxf>
      <fill>
        <patternFill patternType="solid">
          <fgColor rgb="FFE7F3EE"/>
          <bgColor rgb="FF000000"/>
        </patternFill>
      </fill>
    </dxf>
    <dxf>
      <fill>
        <patternFill patternType="solid">
          <fgColor rgb="FFEEF6F2"/>
          <bgColor rgb="FF000000"/>
        </patternFill>
      </fill>
    </dxf>
    <dxf>
      <fill>
        <patternFill patternType="solid">
          <fgColor rgb="FFF4F9F7"/>
          <bgColor rgb="FF000000"/>
        </patternFill>
      </fill>
    </dxf>
    <dxf>
      <fill>
        <patternFill patternType="solid">
          <fgColor rgb="FFF5FAF8"/>
          <bgColor rgb="FF000000"/>
        </patternFill>
      </fill>
    </dxf>
    <dxf>
      <fill>
        <patternFill patternType="solid">
          <fgColor rgb="FFF6FBF8"/>
          <bgColor rgb="FF000000"/>
        </patternFill>
      </fill>
    </dxf>
    <dxf>
      <fill>
        <patternFill patternType="solid">
          <fgColor rgb="FFF8D8DA"/>
          <bgColor rgb="FF000000"/>
        </patternFill>
      </fill>
    </dxf>
    <dxf>
      <fill>
        <patternFill patternType="solid">
          <fgColor rgb="FFF8DADD"/>
          <bgColor rgb="FF000000"/>
        </patternFill>
      </fill>
    </dxf>
    <dxf>
      <fill>
        <patternFill patternType="solid">
          <fgColor rgb="FFF8DBDD"/>
          <bgColor rgb="FF000000"/>
        </patternFill>
      </fill>
    </dxf>
    <dxf>
      <fill>
        <patternFill patternType="solid">
          <fgColor rgb="FFF8DCDF"/>
          <bgColor rgb="FF000000"/>
        </patternFill>
      </fill>
    </dxf>
    <dxf>
      <fill>
        <patternFill patternType="solid">
          <fgColor rgb="FFF8FCFA"/>
          <bgColor rgb="FF000000"/>
        </patternFill>
      </fill>
    </dxf>
    <dxf>
      <fill>
        <patternFill patternType="solid">
          <fgColor rgb="FFF9DCDF"/>
          <bgColor rgb="FF000000"/>
        </patternFill>
      </fill>
    </dxf>
    <dxf>
      <fill>
        <patternFill patternType="solid">
          <fgColor rgb="FFF9DFE1"/>
          <bgColor rgb="FF000000"/>
        </patternFill>
      </fill>
    </dxf>
    <dxf>
      <fill>
        <patternFill patternType="solid">
          <fgColor rgb="FFF9E1E4"/>
          <bgColor rgb="FF000000"/>
        </patternFill>
      </fill>
    </dxf>
    <dxf>
      <fill>
        <patternFill patternType="solid">
          <fgColor rgb="FFF9FCFA"/>
          <bgColor rgb="FF000000"/>
        </patternFill>
      </fill>
    </dxf>
    <dxf>
      <fill>
        <patternFill patternType="solid">
          <fgColor rgb="FFFAE7E8"/>
          <bgColor rgb="FF000000"/>
        </patternFill>
      </fill>
    </dxf>
    <dxf>
      <fill>
        <patternFill patternType="solid">
          <fgColor rgb="FFFAFCFB"/>
          <bgColor rgb="FF000000"/>
        </patternFill>
      </fill>
    </dxf>
    <dxf>
      <fill>
        <patternFill patternType="solid">
          <fgColor rgb="FFFAFDFB"/>
          <bgColor rgb="FF000000"/>
        </patternFill>
      </fill>
    </dxf>
    <dxf>
      <fill>
        <patternFill patternType="solid">
          <fgColor rgb="FFFBEDEF"/>
          <bgColor rgb="FF000000"/>
        </patternFill>
      </fill>
    </dxf>
    <dxf>
      <fill>
        <patternFill patternType="solid">
          <fgColor rgb="FFFCEFF1"/>
          <bgColor rgb="FF000000"/>
        </patternFill>
      </fill>
    </dxf>
    <dxf>
      <fill>
        <patternFill patternType="solid">
          <fgColor rgb="FFFCF3F3"/>
          <bgColor rgb="FF000000"/>
        </patternFill>
      </fill>
    </dxf>
    <dxf>
      <fill>
        <patternFill patternType="solid">
          <fgColor rgb="FFFCFDFD"/>
          <bgColor rgb="FF000000"/>
        </patternFill>
      </fill>
    </dxf>
    <dxf>
      <fill>
        <patternFill patternType="solid">
          <fgColor rgb="FFFDF6F6"/>
          <bgColor rgb="FF000000"/>
        </patternFill>
      </fill>
    </dxf>
    <dxf>
      <fill>
        <patternFill patternType="solid">
          <fgColor rgb="FFFEF9FA"/>
          <bgColor rgb="FF000000"/>
        </patternFill>
      </fill>
    </dxf>
    <dxf>
      <fill>
        <patternFill patternType="solid">
          <fgColor rgb="FFFEFAFB"/>
          <bgColor rgb="FF000000"/>
        </patternFill>
      </fill>
    </dxf>
    <dxf>
      <fill>
        <patternFill patternType="solid">
          <fgColor rgb="FFFEFBF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3F5F8"/>
      <rgbColor rgb="FF660066"/>
      <rgbColor rgb="FFFF8080"/>
      <rgbColor rgb="FF0066CC"/>
      <rgbColor rgb="FFDDE4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41.75" hidden="false" customHeight="false" outlineLevel="0" collapsed="false">
      <c r="A6" s="4" t="s">
        <v>4</v>
      </c>
    </row>
    <row r="7" customFormat="false" ht="28.3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28.35" hidden="false" customHeight="false" outlineLevel="0" collapsed="false">
      <c r="A9" s="4" t="s">
        <v>7</v>
      </c>
    </row>
    <row r="11" customFormat="false" ht="15" hidden="false" customHeight="false" outlineLevel="0" collapsed="false">
      <c r="A11" s="3" t="s">
        <v>8</v>
      </c>
    </row>
    <row r="12" customFormat="false" ht="28.3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4" t="s">
        <v>11</v>
      </c>
    </row>
    <row r="15" customFormat="false" ht="28.35" hidden="false" customHeight="false" outlineLevel="0" collapsed="false">
      <c r="A15" s="4" t="s">
        <v>12</v>
      </c>
    </row>
    <row r="17" customFormat="false" ht="15" hidden="false" customHeight="false" outlineLevel="0" collapsed="false">
      <c r="A17" s="3" t="s">
        <v>13</v>
      </c>
    </row>
    <row r="18" customFormat="false" ht="28.35" hidden="false" customHeight="false" outlineLevel="0" collapsed="false">
      <c r="A18" s="4" t="s">
        <v>14</v>
      </c>
    </row>
    <row r="19" customFormat="false" ht="41.75" hidden="false" customHeight="false" outlineLevel="0" collapsed="false">
      <c r="A19" s="4" t="s">
        <v>15</v>
      </c>
    </row>
    <row r="20" customFormat="false" ht="28.35" hidden="false" customHeight="false" outlineLevel="0" collapsed="false">
      <c r="A20" s="4" t="s">
        <v>16</v>
      </c>
    </row>
    <row r="21" customFormat="false" ht="28.35" hidden="false" customHeight="false" outlineLevel="0" collapsed="false">
      <c r="A21" s="4" t="s">
        <v>17</v>
      </c>
    </row>
    <row r="23" customFormat="false" ht="15" hidden="false" customHeight="false" outlineLevel="0" collapsed="false">
      <c r="A23" s="3" t="s">
        <v>18</v>
      </c>
    </row>
    <row r="24" customFormat="false" ht="28.35" hidden="false" customHeight="false" outlineLevel="0" collapsed="false">
      <c r="A24" s="4" t="s">
        <v>19</v>
      </c>
    </row>
    <row r="25" customFormat="false" ht="55.2" hidden="false" customHeight="false" outlineLevel="0" collapsed="false">
      <c r="A25" s="4" t="s">
        <v>20</v>
      </c>
    </row>
    <row r="26" customFormat="false" ht="41.75" hidden="false" customHeight="false" outlineLevel="0" collapsed="false">
      <c r="A26" s="4" t="s">
        <v>21</v>
      </c>
    </row>
    <row r="28" customFormat="false" ht="15" hidden="false" customHeight="false" outlineLevel="0" collapsed="false">
      <c r="A28" s="3" t="s">
        <v>22</v>
      </c>
    </row>
    <row r="29" customFormat="false" ht="41.75" hidden="false" customHeight="false" outlineLevel="0" collapsed="false">
      <c r="A29" s="4" t="s">
        <v>23</v>
      </c>
    </row>
    <row r="30" customFormat="false" ht="28.35" hidden="false" customHeight="false" outlineLevel="0" collapsed="false">
      <c r="A30" s="4" t="s">
        <v>24</v>
      </c>
    </row>
    <row r="31" customFormat="false" ht="28.35" hidden="false" customHeight="false" outlineLevel="0" collapsed="false">
      <c r="A31" s="4" t="s">
        <v>25</v>
      </c>
    </row>
    <row r="32" customFormat="false" ht="28.35" hidden="false" customHeight="false" outlineLevel="0" collapsed="false">
      <c r="A32" s="4" t="s">
        <v>26</v>
      </c>
    </row>
    <row r="33" customFormat="false" ht="15" hidden="false" customHeight="false" outlineLevel="0" collapsed="false">
      <c r="A33" s="4" t="s">
        <v>27</v>
      </c>
    </row>
    <row r="35" customFormat="false" ht="15" hidden="false" customHeight="false" outlineLevel="0" collapsed="false">
      <c r="A35" s="3" t="s">
        <v>28</v>
      </c>
    </row>
    <row r="36" customFormat="false" ht="28.35" hidden="false" customHeight="false" outlineLevel="0" collapsed="false">
      <c r="A36" s="4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46"/>
    <col collapsed="false" customWidth="true" hidden="false" outlineLevel="0" max="17" min="4" style="0" width="11"/>
  </cols>
  <sheetData>
    <row r="1" customFormat="false" ht="17.35" hidden="false" customHeight="false" outlineLevel="0" collapsed="false">
      <c r="A1" s="1" t="s">
        <v>30</v>
      </c>
    </row>
    <row r="2" customFormat="false" ht="30" hidden="false" customHeight="true" outlineLevel="0" collapsed="false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4" customFormat="false" ht="15" hidden="false" customHeight="false" outlineLevel="0" collapsed="false">
      <c r="A4" s="6" t="s">
        <v>32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customFormat="false" ht="15" hidden="false" customHeight="false" outlineLevel="0" collapsed="false">
      <c r="A5" s="3"/>
      <c r="B5" s="3" t="s">
        <v>33</v>
      </c>
      <c r="C5" s="3" t="s">
        <v>34</v>
      </c>
    </row>
    <row r="6" customFormat="false" ht="15" hidden="false" customHeight="false" outlineLevel="0" collapsed="false">
      <c r="A6" s="3" t="s">
        <v>35</v>
      </c>
      <c r="B6" s="4" t="s">
        <v>36</v>
      </c>
      <c r="C6" s="4" t="s">
        <v>37</v>
      </c>
    </row>
    <row r="7" customFormat="false" ht="15" hidden="false" customHeight="false" outlineLevel="0" collapsed="false">
      <c r="A7" s="3" t="s">
        <v>38</v>
      </c>
      <c r="B7" s="4" t="s">
        <v>39</v>
      </c>
      <c r="C7" s="4" t="s">
        <v>40</v>
      </c>
    </row>
    <row r="8" customFormat="false" ht="15" hidden="false" customHeight="false" outlineLevel="0" collapsed="false">
      <c r="A8" s="3" t="s">
        <v>41</v>
      </c>
      <c r="B8" s="4" t="s">
        <v>42</v>
      </c>
      <c r="C8" s="4" t="s">
        <v>43</v>
      </c>
    </row>
    <row r="9" customFormat="false" ht="15" hidden="false" customHeight="false" outlineLevel="0" collapsed="false">
      <c r="A9" s="3" t="s">
        <v>44</v>
      </c>
      <c r="B9" s="4" t="s">
        <v>45</v>
      </c>
      <c r="C9" s="4" t="s">
        <v>46</v>
      </c>
    </row>
    <row r="10" customFormat="false" ht="15" hidden="false" customHeight="false" outlineLevel="0" collapsed="false">
      <c r="A10" s="3" t="s">
        <v>47</v>
      </c>
      <c r="B10" s="4" t="s">
        <v>48</v>
      </c>
      <c r="C10" s="4" t="s">
        <v>49</v>
      </c>
    </row>
    <row r="11" customFormat="false" ht="15" hidden="false" customHeight="false" outlineLevel="0" collapsed="false">
      <c r="A11" s="3" t="s">
        <v>50</v>
      </c>
      <c r="B11" s="4" t="s">
        <v>51</v>
      </c>
      <c r="C11" s="4" t="s">
        <v>52</v>
      </c>
    </row>
    <row r="12" customFormat="false" ht="15" hidden="false" customHeight="false" outlineLevel="0" collapsed="false">
      <c r="A12" s="3" t="s">
        <v>53</v>
      </c>
      <c r="B12" s="4" t="s">
        <v>54</v>
      </c>
      <c r="C12" s="4" t="s">
        <v>54</v>
      </c>
    </row>
    <row r="13" customFormat="false" ht="105" hidden="false" customHeight="true" outlineLevel="0" collapsed="false">
      <c r="A13" s="3" t="s">
        <v>55</v>
      </c>
      <c r="B13" s="4" t="s">
        <v>56</v>
      </c>
      <c r="C13" s="4" t="s">
        <v>57</v>
      </c>
    </row>
    <row r="14" customFormat="false" ht="68.65" hidden="false" customHeight="false" outlineLevel="0" collapsed="false">
      <c r="A14" s="3" t="s">
        <v>58</v>
      </c>
      <c r="B14" s="4" t="s">
        <v>59</v>
      </c>
      <c r="C14" s="4" t="s">
        <v>60</v>
      </c>
    </row>
    <row r="15" customFormat="false" ht="150" hidden="false" customHeight="true" outlineLevel="0" collapsed="false">
      <c r="A15" s="3" t="s">
        <v>61</v>
      </c>
      <c r="B15" s="4" t="s">
        <v>62</v>
      </c>
      <c r="C15" s="4" t="s">
        <v>63</v>
      </c>
    </row>
    <row r="16" customFormat="false" ht="15" hidden="false" customHeight="false" outlineLevel="0" collapsed="false">
      <c r="A16" s="7" t="s">
        <v>64</v>
      </c>
      <c r="B16" s="7" t="s">
        <v>65</v>
      </c>
      <c r="C16" s="7" t="s">
        <v>66</v>
      </c>
      <c r="D16" s="7" t="s">
        <v>67</v>
      </c>
      <c r="E16" s="7" t="s">
        <v>68</v>
      </c>
      <c r="F16" s="7" t="s">
        <v>69</v>
      </c>
      <c r="G16" s="7" t="s">
        <v>70</v>
      </c>
      <c r="H16" s="7" t="s">
        <v>71</v>
      </c>
      <c r="I16" s="7" t="s">
        <v>72</v>
      </c>
      <c r="J16" s="7" t="s">
        <v>73</v>
      </c>
      <c r="K16" s="7" t="s">
        <v>74</v>
      </c>
      <c r="L16" s="7" t="s">
        <v>75</v>
      </c>
      <c r="M16" s="7" t="s">
        <v>76</v>
      </c>
      <c r="N16" s="7" t="s">
        <v>77</v>
      </c>
      <c r="O16" s="7" t="s">
        <v>78</v>
      </c>
      <c r="P16" s="7" t="s">
        <v>79</v>
      </c>
    </row>
    <row r="17" customFormat="false" ht="15" hidden="false" customHeight="false" outlineLevel="0" collapsed="false">
      <c r="A17" s="0" t="s">
        <v>80</v>
      </c>
      <c r="B17" s="0" t="s">
        <v>81</v>
      </c>
      <c r="C17" s="0" t="n">
        <v>5</v>
      </c>
      <c r="D17" s="0" t="s">
        <v>82</v>
      </c>
      <c r="E17" s="0" t="s">
        <v>83</v>
      </c>
      <c r="F17" s="0" t="s">
        <v>84</v>
      </c>
      <c r="G17" s="0" t="s">
        <v>85</v>
      </c>
      <c r="H17" s="0" t="s">
        <v>86</v>
      </c>
      <c r="I17" s="0" t="n">
        <v>12</v>
      </c>
      <c r="J17" s="0" t="s">
        <v>87</v>
      </c>
      <c r="K17" s="0" t="s">
        <v>88</v>
      </c>
      <c r="L17" s="0" t="s">
        <v>89</v>
      </c>
      <c r="M17" s="0" t="s">
        <v>90</v>
      </c>
      <c r="N17" s="0" t="s">
        <v>91</v>
      </c>
      <c r="O17" s="0" t="s">
        <v>92</v>
      </c>
      <c r="P17" s="0" t="s">
        <v>93</v>
      </c>
    </row>
    <row r="18" customFormat="false" ht="15" hidden="false" customHeight="false" outlineLevel="0" collapsed="false">
      <c r="A18" s="0" t="s">
        <v>94</v>
      </c>
      <c r="B18" s="0" t="s">
        <v>95</v>
      </c>
      <c r="C18" s="0" t="n">
        <v>4</v>
      </c>
      <c r="D18" s="0" t="s">
        <v>96</v>
      </c>
      <c r="E18" s="0" t="s">
        <v>97</v>
      </c>
      <c r="F18" s="0" t="s">
        <v>98</v>
      </c>
      <c r="G18" s="0" t="s">
        <v>99</v>
      </c>
      <c r="H18" s="0" t="s">
        <v>100</v>
      </c>
      <c r="I18" s="0" t="n">
        <v>12</v>
      </c>
      <c r="J18" s="0" t="s">
        <v>101</v>
      </c>
      <c r="K18" s="0" t="s">
        <v>102</v>
      </c>
      <c r="L18" s="0" t="s">
        <v>103</v>
      </c>
      <c r="M18" s="0" t="s">
        <v>104</v>
      </c>
      <c r="N18" s="0" t="s">
        <v>105</v>
      </c>
      <c r="O18" s="0" t="s">
        <v>106</v>
      </c>
      <c r="P18" s="0" t="s">
        <v>93</v>
      </c>
    </row>
    <row r="19" customFormat="false" ht="15" hidden="false" customHeight="false" outlineLevel="0" collapsed="false">
      <c r="A19" s="0" t="s">
        <v>107</v>
      </c>
      <c r="B19" s="0" t="s">
        <v>108</v>
      </c>
      <c r="C19" s="0" t="n">
        <v>6</v>
      </c>
      <c r="D19" s="0" t="s">
        <v>109</v>
      </c>
      <c r="E19" s="0" t="s">
        <v>110</v>
      </c>
      <c r="F19" s="0" t="s">
        <v>111</v>
      </c>
      <c r="G19" s="0" t="s">
        <v>112</v>
      </c>
      <c r="H19" s="0" t="s">
        <v>113</v>
      </c>
      <c r="I19" s="0" t="n">
        <v>9</v>
      </c>
      <c r="J19" s="0" t="s">
        <v>114</v>
      </c>
      <c r="K19" s="0" t="s">
        <v>115</v>
      </c>
      <c r="L19" s="0" t="s">
        <v>116</v>
      </c>
      <c r="M19" s="0" t="s">
        <v>117</v>
      </c>
      <c r="N19" s="0" t="s">
        <v>118</v>
      </c>
      <c r="O19" s="0" t="s">
        <v>119</v>
      </c>
      <c r="P19" s="0" t="s">
        <v>120</v>
      </c>
    </row>
    <row r="20" customFormat="false" ht="15" hidden="false" customHeight="false" outlineLevel="0" collapsed="false">
      <c r="A20" s="0" t="s">
        <v>121</v>
      </c>
      <c r="C20" s="0" t="n">
        <v>9</v>
      </c>
      <c r="D20" s="0" t="s">
        <v>122</v>
      </c>
      <c r="E20" s="0" t="s">
        <v>123</v>
      </c>
      <c r="F20" s="0" t="s">
        <v>124</v>
      </c>
      <c r="G20" s="0" t="s">
        <v>89</v>
      </c>
      <c r="H20" s="0" t="s">
        <v>118</v>
      </c>
      <c r="I20" s="0" t="n">
        <v>2</v>
      </c>
      <c r="J20" s="0" t="s">
        <v>125</v>
      </c>
      <c r="K20" s="0" t="s">
        <v>126</v>
      </c>
      <c r="L20" s="0" t="s">
        <v>127</v>
      </c>
      <c r="M20" s="0" t="s">
        <v>128</v>
      </c>
      <c r="N20" s="0" t="s">
        <v>129</v>
      </c>
      <c r="O20" s="0" t="s">
        <v>130</v>
      </c>
      <c r="P20" s="0" t="s">
        <v>120</v>
      </c>
    </row>
    <row r="21" customFormat="false" ht="15" hidden="false" customHeight="false" outlineLevel="0" collapsed="false">
      <c r="A21" s="0" t="s">
        <v>131</v>
      </c>
      <c r="C21" s="0" t="n">
        <v>1</v>
      </c>
      <c r="D21" s="0" t="s">
        <v>132</v>
      </c>
      <c r="E21" s="0" t="s">
        <v>133</v>
      </c>
      <c r="F21" s="0" t="s">
        <v>134</v>
      </c>
      <c r="G21" s="0" t="s">
        <v>128</v>
      </c>
      <c r="H21" s="0" t="s">
        <v>135</v>
      </c>
      <c r="I21" s="0" t="n">
        <v>13</v>
      </c>
      <c r="J21" s="0" t="s">
        <v>136</v>
      </c>
      <c r="K21" s="0" t="s">
        <v>137</v>
      </c>
      <c r="L21" s="0" t="s">
        <v>138</v>
      </c>
      <c r="M21" s="0" t="s">
        <v>139</v>
      </c>
      <c r="N21" s="0" t="s">
        <v>140</v>
      </c>
      <c r="O21" s="0" t="s">
        <v>141</v>
      </c>
      <c r="P21" s="0" t="s">
        <v>93</v>
      </c>
    </row>
    <row r="22" customFormat="false" ht="15" hidden="false" customHeight="false" outlineLevel="0" collapsed="false">
      <c r="A22" s="0" t="s">
        <v>142</v>
      </c>
      <c r="C22" s="0" t="n">
        <v>0</v>
      </c>
      <c r="I22" s="0" t="n">
        <v>8</v>
      </c>
      <c r="J22" s="0" t="s">
        <v>143</v>
      </c>
      <c r="K22" s="0" t="s">
        <v>144</v>
      </c>
      <c r="L22" s="0" t="s">
        <v>145</v>
      </c>
      <c r="M22" s="0" t="s">
        <v>146</v>
      </c>
      <c r="N22" s="0" t="s">
        <v>147</v>
      </c>
      <c r="O22" s="0" t="s">
        <v>148</v>
      </c>
      <c r="P22" s="0" t="s">
        <v>149</v>
      </c>
    </row>
    <row r="23" customFormat="false" ht="15" hidden="false" customHeight="false" outlineLevel="0" collapsed="false">
      <c r="A23" s="0" t="s">
        <v>150</v>
      </c>
      <c r="C23" s="0" t="n">
        <v>4</v>
      </c>
      <c r="D23" s="0" t="s">
        <v>151</v>
      </c>
      <c r="E23" s="0" t="s">
        <v>152</v>
      </c>
      <c r="F23" s="0" t="s">
        <v>153</v>
      </c>
      <c r="G23" s="0" t="s">
        <v>154</v>
      </c>
      <c r="H23" s="0" t="s">
        <v>155</v>
      </c>
      <c r="I23" s="0" t="n">
        <v>11</v>
      </c>
      <c r="J23" s="0" t="s">
        <v>156</v>
      </c>
      <c r="K23" s="0" t="s">
        <v>157</v>
      </c>
      <c r="L23" s="0" t="s">
        <v>158</v>
      </c>
      <c r="M23" s="0" t="s">
        <v>159</v>
      </c>
      <c r="N23" s="0" t="s">
        <v>160</v>
      </c>
      <c r="O23" s="0" t="s">
        <v>161</v>
      </c>
      <c r="P23" s="0" t="s">
        <v>93</v>
      </c>
    </row>
    <row r="25" customFormat="false" ht="15" hidden="false" customHeight="false" outlineLevel="0" collapsed="false">
      <c r="A25" s="6" t="s">
        <v>162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customFormat="false" ht="15" hidden="false" customHeight="false" outlineLevel="0" collapsed="false">
      <c r="A26" s="3"/>
      <c r="B26" s="3" t="s">
        <v>163</v>
      </c>
      <c r="C26" s="3" t="s">
        <v>164</v>
      </c>
    </row>
    <row r="27" customFormat="false" ht="15" hidden="false" customHeight="false" outlineLevel="0" collapsed="false">
      <c r="A27" s="3" t="s">
        <v>35</v>
      </c>
      <c r="B27" s="4" t="s">
        <v>165</v>
      </c>
      <c r="C27" s="4" t="s">
        <v>166</v>
      </c>
    </row>
    <row r="28" customFormat="false" ht="15" hidden="false" customHeight="false" outlineLevel="0" collapsed="false">
      <c r="A28" s="3" t="s">
        <v>38</v>
      </c>
      <c r="B28" s="4" t="s">
        <v>167</v>
      </c>
      <c r="C28" s="4" t="s">
        <v>168</v>
      </c>
    </row>
    <row r="29" customFormat="false" ht="15" hidden="false" customHeight="false" outlineLevel="0" collapsed="false">
      <c r="A29" s="3" t="s">
        <v>41</v>
      </c>
      <c r="B29" s="4" t="s">
        <v>169</v>
      </c>
      <c r="C29" s="4" t="s">
        <v>170</v>
      </c>
    </row>
    <row r="30" customFormat="false" ht="15" hidden="false" customHeight="false" outlineLevel="0" collapsed="false">
      <c r="A30" s="3" t="s">
        <v>44</v>
      </c>
      <c r="B30" s="4" t="s">
        <v>171</v>
      </c>
      <c r="C30" s="4" t="s">
        <v>172</v>
      </c>
    </row>
    <row r="31" customFormat="false" ht="15" hidden="false" customHeight="false" outlineLevel="0" collapsed="false">
      <c r="A31" s="3" t="s">
        <v>47</v>
      </c>
      <c r="B31" s="4" t="s">
        <v>173</v>
      </c>
      <c r="C31" s="4" t="s">
        <v>174</v>
      </c>
    </row>
    <row r="32" customFormat="false" ht="15" hidden="false" customHeight="false" outlineLevel="0" collapsed="false">
      <c r="A32" s="3" t="s">
        <v>50</v>
      </c>
      <c r="B32" s="4" t="s">
        <v>175</v>
      </c>
      <c r="C32" s="4" t="s">
        <v>176</v>
      </c>
    </row>
    <row r="33" customFormat="false" ht="15" hidden="false" customHeight="false" outlineLevel="0" collapsed="false">
      <c r="A33" s="3" t="s">
        <v>53</v>
      </c>
      <c r="B33" s="4" t="s">
        <v>54</v>
      </c>
      <c r="C33" s="4" t="s">
        <v>54</v>
      </c>
    </row>
    <row r="34" customFormat="false" ht="105" hidden="false" customHeight="true" outlineLevel="0" collapsed="false">
      <c r="A34" s="3" t="s">
        <v>55</v>
      </c>
      <c r="B34" s="4" t="s">
        <v>177</v>
      </c>
      <c r="C34" s="4" t="s">
        <v>178</v>
      </c>
    </row>
    <row r="35" customFormat="false" ht="68.65" hidden="false" customHeight="false" outlineLevel="0" collapsed="false">
      <c r="A35" s="3" t="s">
        <v>58</v>
      </c>
      <c r="B35" s="4" t="s">
        <v>179</v>
      </c>
      <c r="C35" s="4" t="s">
        <v>180</v>
      </c>
    </row>
    <row r="36" customFormat="false" ht="150" hidden="false" customHeight="true" outlineLevel="0" collapsed="false">
      <c r="A36" s="3" t="s">
        <v>61</v>
      </c>
      <c r="B36" s="4" t="s">
        <v>181</v>
      </c>
      <c r="C36" s="4" t="s">
        <v>182</v>
      </c>
    </row>
    <row r="37" customFormat="false" ht="15" hidden="false" customHeight="false" outlineLevel="0" collapsed="false">
      <c r="A37" s="7" t="s">
        <v>64</v>
      </c>
      <c r="B37" s="7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7" t="s">
        <v>78</v>
      </c>
      <c r="P37" s="7" t="s">
        <v>79</v>
      </c>
    </row>
    <row r="38" customFormat="false" ht="15" hidden="false" customHeight="false" outlineLevel="0" collapsed="false">
      <c r="A38" s="0" t="s">
        <v>150</v>
      </c>
      <c r="B38" s="0" t="s">
        <v>183</v>
      </c>
      <c r="C38" s="0" t="n">
        <v>13</v>
      </c>
      <c r="D38" s="0" t="s">
        <v>184</v>
      </c>
      <c r="E38" s="0" t="s">
        <v>185</v>
      </c>
      <c r="F38" s="0" t="s">
        <v>186</v>
      </c>
      <c r="G38" s="0" t="s">
        <v>85</v>
      </c>
      <c r="H38" s="0" t="s">
        <v>187</v>
      </c>
      <c r="I38" s="0" t="n">
        <v>9</v>
      </c>
      <c r="J38" s="0" t="s">
        <v>188</v>
      </c>
      <c r="K38" s="0" t="s">
        <v>189</v>
      </c>
      <c r="L38" s="0" t="s">
        <v>190</v>
      </c>
      <c r="M38" s="0" t="s">
        <v>191</v>
      </c>
      <c r="N38" s="0" t="s">
        <v>192</v>
      </c>
      <c r="O38" s="0" t="s">
        <v>193</v>
      </c>
      <c r="P38" s="0" t="s">
        <v>93</v>
      </c>
    </row>
    <row r="39" customFormat="false" ht="15" hidden="false" customHeight="false" outlineLevel="0" collapsed="false">
      <c r="A39" s="0" t="s">
        <v>121</v>
      </c>
      <c r="B39" s="0" t="s">
        <v>194</v>
      </c>
      <c r="C39" s="0" t="n">
        <v>10</v>
      </c>
      <c r="D39" s="0" t="s">
        <v>195</v>
      </c>
      <c r="E39" s="0" t="s">
        <v>196</v>
      </c>
      <c r="F39" s="0" t="s">
        <v>103</v>
      </c>
      <c r="G39" s="0" t="s">
        <v>197</v>
      </c>
      <c r="H39" s="0" t="s">
        <v>198</v>
      </c>
      <c r="I39" s="0" t="n">
        <v>7</v>
      </c>
      <c r="J39" s="0" t="s">
        <v>199</v>
      </c>
      <c r="K39" s="0" t="s">
        <v>123</v>
      </c>
      <c r="L39" s="0" t="s">
        <v>200</v>
      </c>
      <c r="M39" s="0" t="s">
        <v>201</v>
      </c>
      <c r="N39" s="0" t="s">
        <v>202</v>
      </c>
      <c r="O39" s="0" t="s">
        <v>203</v>
      </c>
      <c r="P39" s="0" t="s">
        <v>93</v>
      </c>
    </row>
    <row r="40" customFormat="false" ht="15" hidden="false" customHeight="false" outlineLevel="0" collapsed="false">
      <c r="A40" s="0" t="s">
        <v>131</v>
      </c>
      <c r="B40" s="0" t="s">
        <v>204</v>
      </c>
      <c r="C40" s="0" t="n">
        <v>8</v>
      </c>
      <c r="D40" s="0" t="s">
        <v>205</v>
      </c>
      <c r="E40" s="0" t="s">
        <v>206</v>
      </c>
      <c r="F40" s="0" t="s">
        <v>207</v>
      </c>
      <c r="G40" s="0" t="s">
        <v>208</v>
      </c>
      <c r="H40" s="0" t="s">
        <v>209</v>
      </c>
      <c r="I40" s="0" t="n">
        <v>4</v>
      </c>
      <c r="J40" s="0" t="s">
        <v>210</v>
      </c>
      <c r="K40" s="0" t="s">
        <v>211</v>
      </c>
      <c r="L40" s="0" t="s">
        <v>212</v>
      </c>
      <c r="M40" s="0" t="s">
        <v>213</v>
      </c>
      <c r="N40" s="0" t="s">
        <v>100</v>
      </c>
      <c r="O40" s="0" t="s">
        <v>193</v>
      </c>
      <c r="P40" s="0" t="s">
        <v>93</v>
      </c>
    </row>
    <row r="41" customFormat="false" ht="15" hidden="false" customHeight="false" outlineLevel="0" collapsed="false">
      <c r="A41" s="0" t="s">
        <v>94</v>
      </c>
      <c r="C41" s="0" t="n">
        <v>10</v>
      </c>
      <c r="D41" s="0" t="s">
        <v>195</v>
      </c>
      <c r="E41" s="0" t="s">
        <v>214</v>
      </c>
      <c r="F41" s="0" t="s">
        <v>215</v>
      </c>
      <c r="G41" s="0" t="s">
        <v>104</v>
      </c>
      <c r="H41" s="0" t="s">
        <v>216</v>
      </c>
      <c r="I41" s="0" t="n">
        <v>2</v>
      </c>
      <c r="J41" s="0" t="s">
        <v>125</v>
      </c>
      <c r="K41" s="0" t="s">
        <v>217</v>
      </c>
      <c r="L41" s="0" t="s">
        <v>218</v>
      </c>
      <c r="M41" s="0" t="s">
        <v>219</v>
      </c>
      <c r="N41" s="0" t="s">
        <v>220</v>
      </c>
      <c r="O41" s="0" t="s">
        <v>221</v>
      </c>
      <c r="P41" s="0" t="s">
        <v>120</v>
      </c>
    </row>
    <row r="42" customFormat="false" ht="15" hidden="false" customHeight="false" outlineLevel="0" collapsed="false">
      <c r="A42" s="0" t="s">
        <v>107</v>
      </c>
      <c r="C42" s="0" t="n">
        <v>15</v>
      </c>
      <c r="D42" s="0" t="s">
        <v>222</v>
      </c>
      <c r="E42" s="0" t="s">
        <v>223</v>
      </c>
      <c r="F42" s="0" t="s">
        <v>224</v>
      </c>
      <c r="G42" s="0" t="s">
        <v>225</v>
      </c>
      <c r="H42" s="0" t="s">
        <v>226</v>
      </c>
      <c r="I42" s="0" t="n">
        <v>0</v>
      </c>
      <c r="O42" s="0" t="s">
        <v>227</v>
      </c>
      <c r="P42" s="0" t="s">
        <v>149</v>
      </c>
    </row>
    <row r="43" customFormat="false" ht="15" hidden="false" customHeight="false" outlineLevel="0" collapsed="false">
      <c r="A43" s="0" t="s">
        <v>142</v>
      </c>
      <c r="C43" s="0" t="n">
        <v>0</v>
      </c>
      <c r="I43" s="0" t="n">
        <v>6</v>
      </c>
      <c r="J43" s="0" t="s">
        <v>228</v>
      </c>
      <c r="K43" s="0" t="s">
        <v>229</v>
      </c>
      <c r="L43" s="0" t="s">
        <v>230</v>
      </c>
      <c r="M43" s="0" t="s">
        <v>231</v>
      </c>
      <c r="N43" s="0" t="s">
        <v>232</v>
      </c>
      <c r="O43" s="0" t="s">
        <v>141</v>
      </c>
      <c r="P43" s="0" t="s">
        <v>93</v>
      </c>
    </row>
    <row r="44" customFormat="false" ht="15" hidden="false" customHeight="false" outlineLevel="0" collapsed="false">
      <c r="A44" s="0" t="s">
        <v>80</v>
      </c>
      <c r="C44" s="0" t="n">
        <v>7</v>
      </c>
      <c r="D44" s="0" t="s">
        <v>199</v>
      </c>
      <c r="E44" s="0" t="s">
        <v>233</v>
      </c>
      <c r="F44" s="0" t="s">
        <v>139</v>
      </c>
      <c r="G44" s="0" t="s">
        <v>234</v>
      </c>
      <c r="H44" s="0" t="s">
        <v>235</v>
      </c>
      <c r="I44" s="0" t="n">
        <v>4</v>
      </c>
      <c r="J44" s="0" t="s">
        <v>236</v>
      </c>
      <c r="K44" s="0" t="s">
        <v>237</v>
      </c>
      <c r="L44" s="0" t="s">
        <v>238</v>
      </c>
      <c r="M44" s="0" t="s">
        <v>239</v>
      </c>
      <c r="N44" s="0" t="s">
        <v>240</v>
      </c>
      <c r="O44" s="0" t="s">
        <v>227</v>
      </c>
      <c r="P44" s="0" t="s">
        <v>149</v>
      </c>
    </row>
    <row r="46" customFormat="false" ht="15" hidden="false" customHeight="false" outlineLevel="0" collapsed="false">
      <c r="A46" s="6" t="s">
        <v>241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customFormat="false" ht="15" hidden="false" customHeight="false" outlineLevel="0" collapsed="false">
      <c r="A47" s="3"/>
      <c r="B47" s="3" t="s">
        <v>242</v>
      </c>
      <c r="C47" s="3" t="s">
        <v>243</v>
      </c>
    </row>
    <row r="48" customFormat="false" ht="15" hidden="false" customHeight="false" outlineLevel="0" collapsed="false">
      <c r="A48" s="3" t="s">
        <v>35</v>
      </c>
      <c r="B48" s="4" t="s">
        <v>244</v>
      </c>
      <c r="C48" s="4" t="s">
        <v>245</v>
      </c>
    </row>
    <row r="49" customFormat="false" ht="15" hidden="false" customHeight="false" outlineLevel="0" collapsed="false">
      <c r="A49" s="3" t="s">
        <v>38</v>
      </c>
      <c r="B49" s="4" t="s">
        <v>246</v>
      </c>
      <c r="C49" s="4" t="s">
        <v>247</v>
      </c>
    </row>
    <row r="50" customFormat="false" ht="15" hidden="false" customHeight="false" outlineLevel="0" collapsed="false">
      <c r="A50" s="3" t="s">
        <v>41</v>
      </c>
      <c r="B50" s="4" t="s">
        <v>248</v>
      </c>
      <c r="C50" s="4" t="s">
        <v>137</v>
      </c>
    </row>
    <row r="51" customFormat="false" ht="15" hidden="false" customHeight="false" outlineLevel="0" collapsed="false">
      <c r="A51" s="3" t="s">
        <v>44</v>
      </c>
      <c r="B51" s="4" t="s">
        <v>249</v>
      </c>
      <c r="C51" s="4" t="s">
        <v>250</v>
      </c>
    </row>
    <row r="52" customFormat="false" ht="15" hidden="false" customHeight="false" outlineLevel="0" collapsed="false">
      <c r="A52" s="3" t="s">
        <v>47</v>
      </c>
      <c r="B52" s="4" t="s">
        <v>251</v>
      </c>
      <c r="C52" s="4" t="s">
        <v>252</v>
      </c>
    </row>
    <row r="53" customFormat="false" ht="15" hidden="false" customHeight="false" outlineLevel="0" collapsed="false">
      <c r="A53" s="3" t="s">
        <v>50</v>
      </c>
      <c r="B53" s="4" t="s">
        <v>253</v>
      </c>
      <c r="C53" s="4" t="s">
        <v>254</v>
      </c>
    </row>
    <row r="54" customFormat="false" ht="15" hidden="false" customHeight="false" outlineLevel="0" collapsed="false">
      <c r="A54" s="3" t="s">
        <v>53</v>
      </c>
      <c r="B54" s="4" t="s">
        <v>54</v>
      </c>
      <c r="C54" s="4" t="s">
        <v>255</v>
      </c>
    </row>
    <row r="55" customFormat="false" ht="105" hidden="false" customHeight="true" outlineLevel="0" collapsed="false">
      <c r="A55" s="3" t="s">
        <v>55</v>
      </c>
      <c r="B55" s="4" t="s">
        <v>256</v>
      </c>
      <c r="C55" s="4" t="s">
        <v>257</v>
      </c>
    </row>
    <row r="56" customFormat="false" ht="68.65" hidden="false" customHeight="false" outlineLevel="0" collapsed="false">
      <c r="A56" s="3" t="s">
        <v>58</v>
      </c>
      <c r="B56" s="4" t="s">
        <v>258</v>
      </c>
      <c r="C56" s="4" t="s">
        <v>259</v>
      </c>
    </row>
    <row r="57" customFormat="false" ht="150" hidden="false" customHeight="true" outlineLevel="0" collapsed="false">
      <c r="A57" s="3" t="s">
        <v>61</v>
      </c>
      <c r="B57" s="4" t="s">
        <v>260</v>
      </c>
      <c r="C57" s="4" t="s">
        <v>261</v>
      </c>
    </row>
    <row r="58" customFormat="false" ht="15" hidden="false" customHeight="false" outlineLevel="0" collapsed="false">
      <c r="A58" s="7" t="s">
        <v>64</v>
      </c>
      <c r="B58" s="7" t="s">
        <v>65</v>
      </c>
      <c r="C58" s="7" t="s">
        <v>66</v>
      </c>
      <c r="D58" s="7" t="s">
        <v>67</v>
      </c>
      <c r="E58" s="7" t="s">
        <v>68</v>
      </c>
      <c r="F58" s="7" t="s">
        <v>69</v>
      </c>
      <c r="G58" s="7" t="s">
        <v>70</v>
      </c>
      <c r="H58" s="7" t="s">
        <v>71</v>
      </c>
      <c r="I58" s="7" t="s">
        <v>72</v>
      </c>
      <c r="J58" s="7" t="s">
        <v>73</v>
      </c>
      <c r="K58" s="7" t="s">
        <v>74</v>
      </c>
      <c r="L58" s="7" t="s">
        <v>75</v>
      </c>
      <c r="M58" s="7" t="s">
        <v>76</v>
      </c>
      <c r="N58" s="7" t="s">
        <v>77</v>
      </c>
      <c r="O58" s="7" t="s">
        <v>78</v>
      </c>
      <c r="P58" s="7" t="s">
        <v>79</v>
      </c>
    </row>
    <row r="59" customFormat="false" ht="15" hidden="false" customHeight="false" outlineLevel="0" collapsed="false">
      <c r="A59" s="0" t="s">
        <v>142</v>
      </c>
      <c r="B59" s="0" t="s">
        <v>262</v>
      </c>
      <c r="C59" s="0" t="n">
        <v>13</v>
      </c>
      <c r="D59" s="0" t="s">
        <v>263</v>
      </c>
      <c r="E59" s="0" t="s">
        <v>97</v>
      </c>
      <c r="F59" s="0" t="s">
        <v>238</v>
      </c>
      <c r="G59" s="0" t="s">
        <v>264</v>
      </c>
      <c r="H59" s="0" t="s">
        <v>265</v>
      </c>
      <c r="I59" s="0" t="n">
        <v>17</v>
      </c>
      <c r="J59" s="0" t="s">
        <v>266</v>
      </c>
      <c r="K59" s="0" t="s">
        <v>97</v>
      </c>
      <c r="L59" s="0" t="s">
        <v>267</v>
      </c>
      <c r="M59" s="0" t="s">
        <v>268</v>
      </c>
      <c r="N59" s="0" t="s">
        <v>269</v>
      </c>
      <c r="O59" s="0" t="s">
        <v>270</v>
      </c>
      <c r="P59" s="0" t="s">
        <v>93</v>
      </c>
    </row>
    <row r="60" customFormat="false" ht="15" hidden="false" customHeight="false" outlineLevel="0" collapsed="false">
      <c r="A60" s="0" t="s">
        <v>121</v>
      </c>
      <c r="B60" s="0" t="s">
        <v>108</v>
      </c>
      <c r="C60" s="0" t="n">
        <v>7</v>
      </c>
      <c r="D60" s="0" t="s">
        <v>271</v>
      </c>
      <c r="E60" s="0" t="s">
        <v>137</v>
      </c>
      <c r="F60" s="0" t="s">
        <v>272</v>
      </c>
      <c r="G60" s="0" t="s">
        <v>273</v>
      </c>
      <c r="H60" s="0" t="s">
        <v>235</v>
      </c>
      <c r="I60" s="0" t="n">
        <v>21</v>
      </c>
      <c r="J60" s="0" t="s">
        <v>274</v>
      </c>
      <c r="K60" s="0" t="s">
        <v>275</v>
      </c>
      <c r="L60" s="0" t="s">
        <v>276</v>
      </c>
      <c r="M60" s="0" t="s">
        <v>277</v>
      </c>
      <c r="N60" s="0" t="s">
        <v>278</v>
      </c>
      <c r="O60" s="0" t="s">
        <v>279</v>
      </c>
      <c r="P60" s="0" t="s">
        <v>120</v>
      </c>
    </row>
    <row r="61" customFormat="false" ht="15" hidden="false" customHeight="false" outlineLevel="0" collapsed="false">
      <c r="A61" s="0" t="s">
        <v>107</v>
      </c>
      <c r="B61" s="0" t="s">
        <v>108</v>
      </c>
      <c r="C61" s="0" t="n">
        <v>11</v>
      </c>
      <c r="D61" s="0" t="s">
        <v>280</v>
      </c>
      <c r="E61" s="0" t="s">
        <v>281</v>
      </c>
      <c r="F61" s="0" t="s">
        <v>282</v>
      </c>
      <c r="G61" s="0" t="s">
        <v>283</v>
      </c>
      <c r="H61" s="0" t="s">
        <v>284</v>
      </c>
      <c r="I61" s="0" t="n">
        <v>17</v>
      </c>
      <c r="J61" s="0" t="s">
        <v>285</v>
      </c>
      <c r="K61" s="0" t="s">
        <v>229</v>
      </c>
      <c r="L61" s="0" t="s">
        <v>286</v>
      </c>
      <c r="M61" s="0" t="s">
        <v>287</v>
      </c>
      <c r="N61" s="0" t="s">
        <v>288</v>
      </c>
      <c r="O61" s="0" t="s">
        <v>289</v>
      </c>
      <c r="P61" s="0" t="s">
        <v>93</v>
      </c>
    </row>
    <row r="62" customFormat="false" ht="15" hidden="false" customHeight="false" outlineLevel="0" collapsed="false">
      <c r="A62" s="0" t="s">
        <v>94</v>
      </c>
      <c r="C62" s="0" t="n">
        <v>4</v>
      </c>
      <c r="D62" s="0" t="s">
        <v>290</v>
      </c>
      <c r="E62" s="0" t="s">
        <v>237</v>
      </c>
      <c r="F62" s="0" t="s">
        <v>291</v>
      </c>
      <c r="G62" s="0" t="s">
        <v>292</v>
      </c>
      <c r="H62" s="0" t="s">
        <v>293</v>
      </c>
      <c r="I62" s="0" t="n">
        <v>9</v>
      </c>
      <c r="J62" s="0" t="s">
        <v>188</v>
      </c>
      <c r="K62" s="0" t="s">
        <v>294</v>
      </c>
      <c r="L62" s="0" t="s">
        <v>295</v>
      </c>
      <c r="M62" s="0" t="s">
        <v>296</v>
      </c>
      <c r="N62" s="0" t="s">
        <v>297</v>
      </c>
      <c r="O62" s="0" t="s">
        <v>298</v>
      </c>
      <c r="P62" s="0" t="s">
        <v>149</v>
      </c>
    </row>
    <row r="63" customFormat="false" ht="15" hidden="false" customHeight="false" outlineLevel="0" collapsed="false">
      <c r="A63" s="0" t="s">
        <v>131</v>
      </c>
      <c r="C63" s="0" t="n">
        <v>9</v>
      </c>
      <c r="D63" s="0" t="s">
        <v>299</v>
      </c>
      <c r="E63" s="0" t="s">
        <v>126</v>
      </c>
      <c r="F63" s="0" t="s">
        <v>300</v>
      </c>
      <c r="G63" s="0" t="s">
        <v>301</v>
      </c>
      <c r="H63" s="0" t="s">
        <v>302</v>
      </c>
      <c r="I63" s="0" t="n">
        <v>15</v>
      </c>
      <c r="J63" s="0" t="s">
        <v>303</v>
      </c>
      <c r="K63" s="0" t="s">
        <v>110</v>
      </c>
      <c r="L63" s="0" t="s">
        <v>304</v>
      </c>
      <c r="M63" s="0" t="s">
        <v>305</v>
      </c>
      <c r="N63" s="0" t="s">
        <v>306</v>
      </c>
      <c r="O63" s="0" t="s">
        <v>289</v>
      </c>
      <c r="P63" s="0" t="s">
        <v>93</v>
      </c>
    </row>
    <row r="64" customFormat="false" ht="15" hidden="false" customHeight="false" outlineLevel="0" collapsed="false">
      <c r="A64" s="0" t="s">
        <v>150</v>
      </c>
      <c r="C64" s="0" t="n">
        <v>6</v>
      </c>
      <c r="D64" s="0" t="s">
        <v>109</v>
      </c>
      <c r="E64" s="0" t="s">
        <v>307</v>
      </c>
      <c r="F64" s="0" t="s">
        <v>308</v>
      </c>
      <c r="G64" s="0" t="s">
        <v>309</v>
      </c>
      <c r="H64" s="0" t="s">
        <v>232</v>
      </c>
      <c r="I64" s="0" t="n">
        <v>21</v>
      </c>
      <c r="J64" s="0" t="s">
        <v>310</v>
      </c>
      <c r="K64" s="0" t="s">
        <v>97</v>
      </c>
      <c r="L64" s="0" t="s">
        <v>311</v>
      </c>
      <c r="M64" s="0" t="s">
        <v>312</v>
      </c>
      <c r="N64" s="0" t="s">
        <v>313</v>
      </c>
      <c r="O64" s="0" t="s">
        <v>314</v>
      </c>
      <c r="P64" s="0" t="s">
        <v>120</v>
      </c>
    </row>
    <row r="65" customFormat="false" ht="15" hidden="false" customHeight="false" outlineLevel="0" collapsed="false">
      <c r="A65" s="0" t="s">
        <v>80</v>
      </c>
      <c r="C65" s="0" t="n">
        <v>0</v>
      </c>
      <c r="I65" s="0" t="n">
        <v>3</v>
      </c>
      <c r="J65" s="0" t="s">
        <v>315</v>
      </c>
      <c r="K65" s="0" t="s">
        <v>316</v>
      </c>
      <c r="L65" s="0" t="s">
        <v>317</v>
      </c>
      <c r="M65" s="0" t="s">
        <v>292</v>
      </c>
      <c r="N65" s="0" t="s">
        <v>318</v>
      </c>
      <c r="O65" s="0" t="s">
        <v>130</v>
      </c>
      <c r="P65" s="0" t="s">
        <v>120</v>
      </c>
    </row>
    <row r="67" customFormat="false" ht="15" hidden="false" customHeight="false" outlineLevel="0" collapsed="false">
      <c r="A67" s="6" t="s">
        <v>319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customFormat="false" ht="15" hidden="false" customHeight="false" outlineLevel="0" collapsed="false">
      <c r="A68" s="3"/>
      <c r="B68" s="3" t="s">
        <v>320</v>
      </c>
      <c r="C68" s="3" t="s">
        <v>321</v>
      </c>
    </row>
    <row r="69" customFormat="false" ht="15" hidden="false" customHeight="false" outlineLevel="0" collapsed="false">
      <c r="A69" s="3" t="s">
        <v>35</v>
      </c>
      <c r="B69" s="4" t="s">
        <v>322</v>
      </c>
      <c r="C69" s="4" t="s">
        <v>323</v>
      </c>
    </row>
    <row r="70" customFormat="false" ht="15" hidden="false" customHeight="false" outlineLevel="0" collapsed="false">
      <c r="A70" s="3" t="s">
        <v>38</v>
      </c>
      <c r="B70" s="4" t="s">
        <v>324</v>
      </c>
      <c r="C70" s="4" t="s">
        <v>325</v>
      </c>
    </row>
    <row r="71" customFormat="false" ht="15" hidden="false" customHeight="false" outlineLevel="0" collapsed="false">
      <c r="A71" s="3" t="s">
        <v>41</v>
      </c>
      <c r="B71" s="4" t="s">
        <v>185</v>
      </c>
      <c r="C71" s="4" t="s">
        <v>326</v>
      </c>
    </row>
    <row r="72" customFormat="false" ht="15" hidden="false" customHeight="false" outlineLevel="0" collapsed="false">
      <c r="A72" s="3" t="s">
        <v>44</v>
      </c>
      <c r="B72" s="4" t="s">
        <v>327</v>
      </c>
      <c r="C72" s="4" t="s">
        <v>328</v>
      </c>
    </row>
    <row r="73" customFormat="false" ht="15" hidden="false" customHeight="false" outlineLevel="0" collapsed="false">
      <c r="A73" s="3" t="s">
        <v>47</v>
      </c>
      <c r="B73" s="4" t="s">
        <v>329</v>
      </c>
      <c r="C73" s="4" t="s">
        <v>330</v>
      </c>
    </row>
    <row r="74" customFormat="false" ht="15" hidden="false" customHeight="false" outlineLevel="0" collapsed="false">
      <c r="A74" s="3" t="s">
        <v>50</v>
      </c>
      <c r="B74" s="4" t="s">
        <v>331</v>
      </c>
      <c r="C74" s="4" t="s">
        <v>254</v>
      </c>
    </row>
    <row r="75" customFormat="false" ht="15" hidden="false" customHeight="false" outlineLevel="0" collapsed="false">
      <c r="A75" s="3" t="s">
        <v>53</v>
      </c>
      <c r="B75" s="4" t="s">
        <v>54</v>
      </c>
      <c r="C75" s="4" t="s">
        <v>332</v>
      </c>
    </row>
    <row r="76" customFormat="false" ht="105" hidden="false" customHeight="true" outlineLevel="0" collapsed="false">
      <c r="A76" s="3" t="s">
        <v>55</v>
      </c>
      <c r="B76" s="4" t="s">
        <v>333</v>
      </c>
      <c r="C76" s="4" t="s">
        <v>334</v>
      </c>
    </row>
    <row r="77" customFormat="false" ht="68.65" hidden="false" customHeight="false" outlineLevel="0" collapsed="false">
      <c r="A77" s="3" t="s">
        <v>58</v>
      </c>
      <c r="B77" s="4" t="s">
        <v>335</v>
      </c>
      <c r="C77" s="4" t="s">
        <v>336</v>
      </c>
    </row>
    <row r="78" customFormat="false" ht="150" hidden="false" customHeight="true" outlineLevel="0" collapsed="false">
      <c r="A78" s="3" t="s">
        <v>61</v>
      </c>
      <c r="B78" s="4" t="s">
        <v>337</v>
      </c>
      <c r="C78" s="4" t="s">
        <v>338</v>
      </c>
    </row>
    <row r="79" customFormat="false" ht="15" hidden="false" customHeight="false" outlineLevel="0" collapsed="false">
      <c r="A79" s="7" t="s">
        <v>64</v>
      </c>
      <c r="B79" s="7" t="s">
        <v>65</v>
      </c>
      <c r="C79" s="7" t="s">
        <v>66</v>
      </c>
      <c r="D79" s="7" t="s">
        <v>67</v>
      </c>
      <c r="E79" s="7" t="s">
        <v>68</v>
      </c>
      <c r="F79" s="7" t="s">
        <v>69</v>
      </c>
      <c r="G79" s="7" t="s">
        <v>70</v>
      </c>
      <c r="H79" s="7" t="s">
        <v>71</v>
      </c>
      <c r="I79" s="7" t="s">
        <v>72</v>
      </c>
      <c r="J79" s="7" t="s">
        <v>73</v>
      </c>
      <c r="K79" s="7" t="s">
        <v>74</v>
      </c>
      <c r="L79" s="7" t="s">
        <v>75</v>
      </c>
      <c r="M79" s="7" t="s">
        <v>76</v>
      </c>
      <c r="N79" s="7" t="s">
        <v>77</v>
      </c>
      <c r="O79" s="7" t="s">
        <v>78</v>
      </c>
      <c r="P79" s="7" t="s">
        <v>79</v>
      </c>
    </row>
    <row r="80" customFormat="false" ht="15" hidden="false" customHeight="false" outlineLevel="0" collapsed="false">
      <c r="A80" s="0" t="s">
        <v>121</v>
      </c>
      <c r="B80" s="0" t="s">
        <v>95</v>
      </c>
      <c r="C80" s="0" t="n">
        <v>6</v>
      </c>
      <c r="D80" s="0" t="s">
        <v>228</v>
      </c>
      <c r="E80" s="0" t="s">
        <v>339</v>
      </c>
      <c r="F80" s="0" t="s">
        <v>340</v>
      </c>
      <c r="G80" s="0" t="s">
        <v>341</v>
      </c>
      <c r="H80" s="0" t="s">
        <v>232</v>
      </c>
      <c r="I80" s="0" t="n">
        <v>26</v>
      </c>
      <c r="J80" s="0" t="s">
        <v>342</v>
      </c>
      <c r="K80" s="0" t="s">
        <v>343</v>
      </c>
      <c r="L80" s="0" t="s">
        <v>344</v>
      </c>
      <c r="M80" s="0" t="s">
        <v>225</v>
      </c>
      <c r="N80" s="0" t="s">
        <v>345</v>
      </c>
      <c r="O80" s="0" t="s">
        <v>193</v>
      </c>
      <c r="P80" s="0" t="s">
        <v>93</v>
      </c>
    </row>
    <row r="81" customFormat="false" ht="15" hidden="false" customHeight="false" outlineLevel="0" collapsed="false">
      <c r="A81" s="0" t="s">
        <v>150</v>
      </c>
      <c r="B81" s="0" t="s">
        <v>108</v>
      </c>
      <c r="C81" s="0" t="n">
        <v>11</v>
      </c>
      <c r="D81" s="0" t="s">
        <v>346</v>
      </c>
      <c r="E81" s="0" t="s">
        <v>347</v>
      </c>
      <c r="F81" s="0" t="s">
        <v>348</v>
      </c>
      <c r="G81" s="0" t="s">
        <v>349</v>
      </c>
      <c r="H81" s="0" t="s">
        <v>350</v>
      </c>
      <c r="I81" s="0" t="n">
        <v>18</v>
      </c>
      <c r="J81" s="0" t="s">
        <v>351</v>
      </c>
      <c r="K81" s="0" t="s">
        <v>352</v>
      </c>
      <c r="L81" s="0" t="s">
        <v>353</v>
      </c>
      <c r="M81" s="0" t="s">
        <v>98</v>
      </c>
      <c r="N81" s="0" t="s">
        <v>354</v>
      </c>
      <c r="O81" s="0" t="s">
        <v>355</v>
      </c>
      <c r="P81" s="0" t="s">
        <v>120</v>
      </c>
    </row>
    <row r="82" customFormat="false" ht="15" hidden="false" customHeight="false" outlineLevel="0" collapsed="false">
      <c r="A82" s="0" t="s">
        <v>107</v>
      </c>
      <c r="B82" s="0" t="s">
        <v>356</v>
      </c>
      <c r="C82" s="0" t="n">
        <v>4</v>
      </c>
      <c r="D82" s="0" t="s">
        <v>290</v>
      </c>
      <c r="E82" s="0" t="s">
        <v>126</v>
      </c>
      <c r="F82" s="0" t="s">
        <v>341</v>
      </c>
      <c r="G82" s="0" t="s">
        <v>357</v>
      </c>
      <c r="H82" s="0" t="s">
        <v>100</v>
      </c>
      <c r="I82" s="0" t="n">
        <v>22</v>
      </c>
      <c r="J82" s="0" t="s">
        <v>358</v>
      </c>
      <c r="K82" s="0" t="s">
        <v>233</v>
      </c>
      <c r="L82" s="0" t="s">
        <v>112</v>
      </c>
      <c r="M82" s="0" t="s">
        <v>225</v>
      </c>
      <c r="N82" s="0" t="s">
        <v>359</v>
      </c>
      <c r="O82" s="0" t="s">
        <v>360</v>
      </c>
      <c r="P82" s="0" t="s">
        <v>361</v>
      </c>
    </row>
    <row r="83" customFormat="false" ht="15" hidden="false" customHeight="false" outlineLevel="0" collapsed="false">
      <c r="A83" s="0" t="s">
        <v>94</v>
      </c>
      <c r="C83" s="0" t="n">
        <v>9</v>
      </c>
      <c r="D83" s="0" t="s">
        <v>362</v>
      </c>
      <c r="E83" s="0" t="s">
        <v>281</v>
      </c>
      <c r="F83" s="0" t="s">
        <v>304</v>
      </c>
      <c r="G83" s="0" t="s">
        <v>363</v>
      </c>
      <c r="H83" s="0" t="s">
        <v>364</v>
      </c>
      <c r="I83" s="0" t="n">
        <v>15</v>
      </c>
      <c r="J83" s="0" t="s">
        <v>365</v>
      </c>
      <c r="K83" s="0" t="s">
        <v>366</v>
      </c>
      <c r="L83" s="0" t="s">
        <v>367</v>
      </c>
      <c r="M83" s="0" t="s">
        <v>368</v>
      </c>
      <c r="N83" s="0" t="s">
        <v>369</v>
      </c>
      <c r="O83" s="0" t="s">
        <v>370</v>
      </c>
      <c r="P83" s="0" t="s">
        <v>149</v>
      </c>
    </row>
    <row r="84" customFormat="false" ht="15" hidden="false" customHeight="false" outlineLevel="0" collapsed="false">
      <c r="A84" s="0" t="s">
        <v>131</v>
      </c>
      <c r="C84" s="0" t="n">
        <v>4</v>
      </c>
      <c r="D84" s="0" t="s">
        <v>96</v>
      </c>
      <c r="E84" s="0" t="s">
        <v>371</v>
      </c>
      <c r="F84" s="0" t="s">
        <v>372</v>
      </c>
      <c r="G84" s="0" t="s">
        <v>373</v>
      </c>
      <c r="H84" s="0" t="s">
        <v>100</v>
      </c>
      <c r="I84" s="0" t="n">
        <v>16</v>
      </c>
      <c r="J84" s="0" t="s">
        <v>374</v>
      </c>
      <c r="K84" s="0" t="s">
        <v>294</v>
      </c>
      <c r="L84" s="0" t="s">
        <v>375</v>
      </c>
      <c r="M84" s="0" t="s">
        <v>376</v>
      </c>
      <c r="N84" s="0" t="s">
        <v>377</v>
      </c>
      <c r="O84" s="0" t="s">
        <v>378</v>
      </c>
      <c r="P84" s="0" t="s">
        <v>120</v>
      </c>
    </row>
    <row r="85" customFormat="false" ht="15" hidden="false" customHeight="false" outlineLevel="0" collapsed="false">
      <c r="A85" s="0" t="s">
        <v>142</v>
      </c>
      <c r="C85" s="0" t="n">
        <v>0</v>
      </c>
      <c r="I85" s="0" t="n">
        <v>1</v>
      </c>
      <c r="J85" s="0" t="s">
        <v>132</v>
      </c>
      <c r="K85" s="0" t="s">
        <v>379</v>
      </c>
      <c r="L85" s="0" t="s">
        <v>380</v>
      </c>
      <c r="M85" s="0" t="s">
        <v>381</v>
      </c>
      <c r="N85" s="0" t="s">
        <v>382</v>
      </c>
      <c r="O85" s="0" t="s">
        <v>161</v>
      </c>
      <c r="P85" s="0" t="s">
        <v>93</v>
      </c>
    </row>
    <row r="86" customFormat="false" ht="15" hidden="false" customHeight="false" outlineLevel="0" collapsed="false">
      <c r="A86" s="0" t="s">
        <v>80</v>
      </c>
      <c r="C86" s="0" t="n">
        <v>6</v>
      </c>
      <c r="D86" s="0" t="s">
        <v>383</v>
      </c>
      <c r="E86" s="0" t="s">
        <v>185</v>
      </c>
      <c r="F86" s="0" t="s">
        <v>230</v>
      </c>
      <c r="G86" s="0" t="s">
        <v>116</v>
      </c>
      <c r="H86" s="0" t="s">
        <v>384</v>
      </c>
      <c r="I86" s="0" t="n">
        <v>16</v>
      </c>
      <c r="J86" s="0" t="s">
        <v>374</v>
      </c>
      <c r="K86" s="0" t="s">
        <v>97</v>
      </c>
      <c r="L86" s="0" t="s">
        <v>385</v>
      </c>
      <c r="M86" s="0" t="s">
        <v>386</v>
      </c>
      <c r="N86" s="0" t="s">
        <v>387</v>
      </c>
      <c r="O86" s="0" t="s">
        <v>193</v>
      </c>
      <c r="P86" s="0" t="s">
        <v>93</v>
      </c>
    </row>
    <row r="88" customFormat="false" ht="15" hidden="false" customHeight="false" outlineLevel="0" collapsed="false">
      <c r="A88" s="6" t="s">
        <v>388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customFormat="false" ht="15" hidden="false" customHeight="false" outlineLevel="0" collapsed="false">
      <c r="A89" s="3"/>
      <c r="B89" s="3" t="s">
        <v>389</v>
      </c>
      <c r="C89" s="3" t="s">
        <v>390</v>
      </c>
    </row>
    <row r="90" customFormat="false" ht="15" hidden="false" customHeight="false" outlineLevel="0" collapsed="false">
      <c r="A90" s="3" t="s">
        <v>35</v>
      </c>
      <c r="B90" s="4" t="s">
        <v>391</v>
      </c>
      <c r="C90" s="4" t="s">
        <v>392</v>
      </c>
    </row>
    <row r="91" customFormat="false" ht="15" hidden="false" customHeight="false" outlineLevel="0" collapsed="false">
      <c r="A91" s="3" t="s">
        <v>38</v>
      </c>
      <c r="B91" s="4" t="s">
        <v>393</v>
      </c>
      <c r="C91" s="4" t="s">
        <v>394</v>
      </c>
    </row>
    <row r="92" customFormat="false" ht="15" hidden="false" customHeight="false" outlineLevel="0" collapsed="false">
      <c r="A92" s="3" t="s">
        <v>41</v>
      </c>
      <c r="B92" s="4" t="s">
        <v>395</v>
      </c>
      <c r="C92" s="4" t="s">
        <v>211</v>
      </c>
    </row>
    <row r="93" customFormat="false" ht="15" hidden="false" customHeight="false" outlineLevel="0" collapsed="false">
      <c r="A93" s="3" t="s">
        <v>44</v>
      </c>
      <c r="B93" s="4" t="s">
        <v>396</v>
      </c>
      <c r="C93" s="4" t="s">
        <v>397</v>
      </c>
    </row>
    <row r="94" customFormat="false" ht="15" hidden="false" customHeight="false" outlineLevel="0" collapsed="false">
      <c r="A94" s="3" t="s">
        <v>47</v>
      </c>
      <c r="B94" s="4" t="s">
        <v>398</v>
      </c>
      <c r="C94" s="4" t="s">
        <v>399</v>
      </c>
    </row>
    <row r="95" customFormat="false" ht="15" hidden="false" customHeight="false" outlineLevel="0" collapsed="false">
      <c r="A95" s="3" t="s">
        <v>50</v>
      </c>
      <c r="B95" s="4" t="s">
        <v>400</v>
      </c>
      <c r="C95" s="4" t="s">
        <v>401</v>
      </c>
    </row>
    <row r="96" customFormat="false" ht="15" hidden="false" customHeight="false" outlineLevel="0" collapsed="false">
      <c r="A96" s="3" t="s">
        <v>53</v>
      </c>
      <c r="B96" s="4" t="s">
        <v>54</v>
      </c>
      <c r="C96" s="4" t="s">
        <v>54</v>
      </c>
    </row>
    <row r="97" customFormat="false" ht="105" hidden="false" customHeight="true" outlineLevel="0" collapsed="false">
      <c r="A97" s="3" t="s">
        <v>55</v>
      </c>
      <c r="B97" s="4" t="s">
        <v>402</v>
      </c>
      <c r="C97" s="4" t="s">
        <v>403</v>
      </c>
    </row>
    <row r="98" customFormat="false" ht="68.65" hidden="false" customHeight="false" outlineLevel="0" collapsed="false">
      <c r="A98" s="3" t="s">
        <v>58</v>
      </c>
      <c r="B98" s="4" t="s">
        <v>404</v>
      </c>
      <c r="C98" s="4" t="s">
        <v>405</v>
      </c>
    </row>
    <row r="99" customFormat="false" ht="150" hidden="false" customHeight="true" outlineLevel="0" collapsed="false">
      <c r="A99" s="3" t="s">
        <v>61</v>
      </c>
      <c r="B99" s="4" t="s">
        <v>406</v>
      </c>
      <c r="C99" s="4" t="s">
        <v>407</v>
      </c>
    </row>
    <row r="100" customFormat="false" ht="15" hidden="false" customHeight="false" outlineLevel="0" collapsed="false">
      <c r="A100" s="7" t="s">
        <v>64</v>
      </c>
      <c r="B100" s="7" t="s">
        <v>65</v>
      </c>
      <c r="C100" s="7" t="s">
        <v>66</v>
      </c>
      <c r="D100" s="7" t="s">
        <v>67</v>
      </c>
      <c r="E100" s="7" t="s">
        <v>68</v>
      </c>
      <c r="F100" s="7" t="s">
        <v>69</v>
      </c>
      <c r="G100" s="7" t="s">
        <v>70</v>
      </c>
      <c r="H100" s="7" t="s">
        <v>71</v>
      </c>
      <c r="I100" s="7" t="s">
        <v>72</v>
      </c>
      <c r="J100" s="7" t="s">
        <v>73</v>
      </c>
      <c r="K100" s="7" t="s">
        <v>74</v>
      </c>
      <c r="L100" s="7" t="s">
        <v>75</v>
      </c>
      <c r="M100" s="7" t="s">
        <v>76</v>
      </c>
      <c r="N100" s="7" t="s">
        <v>77</v>
      </c>
      <c r="O100" s="7" t="s">
        <v>78</v>
      </c>
      <c r="P100" s="7" t="s">
        <v>79</v>
      </c>
    </row>
    <row r="101" customFormat="false" ht="15" hidden="false" customHeight="false" outlineLevel="0" collapsed="false">
      <c r="A101" s="0" t="s">
        <v>107</v>
      </c>
      <c r="B101" s="0" t="s">
        <v>408</v>
      </c>
      <c r="C101" s="0" t="n">
        <v>14</v>
      </c>
      <c r="D101" s="0" t="s">
        <v>409</v>
      </c>
      <c r="E101" s="0" t="s">
        <v>410</v>
      </c>
      <c r="F101" s="0" t="s">
        <v>411</v>
      </c>
      <c r="G101" s="0" t="s">
        <v>230</v>
      </c>
      <c r="H101" s="0" t="s">
        <v>412</v>
      </c>
      <c r="I101" s="0" t="n">
        <v>5</v>
      </c>
      <c r="J101" s="0" t="s">
        <v>413</v>
      </c>
      <c r="K101" s="0" t="s">
        <v>414</v>
      </c>
      <c r="L101" s="0" t="s">
        <v>230</v>
      </c>
      <c r="M101" s="0" t="s">
        <v>415</v>
      </c>
      <c r="N101" s="0" t="s">
        <v>416</v>
      </c>
      <c r="O101" s="0" t="s">
        <v>227</v>
      </c>
      <c r="P101" s="0" t="s">
        <v>149</v>
      </c>
    </row>
    <row r="102" customFormat="false" ht="15" hidden="false" customHeight="false" outlineLevel="0" collapsed="false">
      <c r="A102" s="0" t="s">
        <v>150</v>
      </c>
      <c r="B102" s="0" t="s">
        <v>408</v>
      </c>
      <c r="C102" s="0" t="n">
        <v>11</v>
      </c>
      <c r="D102" s="0" t="s">
        <v>417</v>
      </c>
      <c r="E102" s="0" t="s">
        <v>352</v>
      </c>
      <c r="F102" s="0" t="s">
        <v>418</v>
      </c>
      <c r="G102" s="0" t="s">
        <v>419</v>
      </c>
      <c r="H102" s="0" t="s">
        <v>420</v>
      </c>
      <c r="I102" s="0" t="n">
        <v>8</v>
      </c>
      <c r="J102" s="0" t="s">
        <v>421</v>
      </c>
      <c r="K102" s="0" t="s">
        <v>422</v>
      </c>
      <c r="L102" s="0" t="s">
        <v>423</v>
      </c>
      <c r="M102" s="0" t="s">
        <v>238</v>
      </c>
      <c r="N102" s="0" t="s">
        <v>209</v>
      </c>
      <c r="O102" s="0" t="s">
        <v>424</v>
      </c>
      <c r="P102" s="0" t="s">
        <v>93</v>
      </c>
    </row>
    <row r="103" customFormat="false" ht="15" hidden="false" customHeight="false" outlineLevel="0" collapsed="false">
      <c r="A103" s="0" t="s">
        <v>142</v>
      </c>
      <c r="B103" s="0" t="s">
        <v>95</v>
      </c>
      <c r="C103" s="0" t="n">
        <v>6</v>
      </c>
      <c r="D103" s="0" t="s">
        <v>383</v>
      </c>
      <c r="E103" s="0" t="s">
        <v>425</v>
      </c>
      <c r="F103" s="0" t="s">
        <v>426</v>
      </c>
      <c r="G103" s="0" t="s">
        <v>213</v>
      </c>
      <c r="H103" s="0" t="s">
        <v>232</v>
      </c>
      <c r="I103" s="0" t="n">
        <v>10</v>
      </c>
      <c r="J103" s="0" t="s">
        <v>427</v>
      </c>
      <c r="K103" s="0" t="s">
        <v>206</v>
      </c>
      <c r="L103" s="0" t="s">
        <v>296</v>
      </c>
      <c r="M103" s="0" t="s">
        <v>428</v>
      </c>
      <c r="N103" s="0" t="s">
        <v>216</v>
      </c>
      <c r="O103" s="0" t="s">
        <v>429</v>
      </c>
      <c r="P103" s="0" t="s">
        <v>120</v>
      </c>
    </row>
    <row r="104" customFormat="false" ht="15" hidden="false" customHeight="false" outlineLevel="0" collapsed="false">
      <c r="A104" s="0" t="s">
        <v>121</v>
      </c>
      <c r="C104" s="0" t="n">
        <v>0</v>
      </c>
      <c r="I104" s="0" t="n">
        <v>6</v>
      </c>
      <c r="J104" s="0" t="s">
        <v>430</v>
      </c>
      <c r="K104" s="0" t="s">
        <v>425</v>
      </c>
      <c r="L104" s="0" t="s">
        <v>431</v>
      </c>
      <c r="M104" s="0" t="s">
        <v>225</v>
      </c>
      <c r="N104" s="0" t="s">
        <v>384</v>
      </c>
      <c r="O104" s="0" t="s">
        <v>432</v>
      </c>
      <c r="P104" s="0" t="s">
        <v>120</v>
      </c>
    </row>
    <row r="105" customFormat="false" ht="15" hidden="false" customHeight="false" outlineLevel="0" collapsed="false">
      <c r="A105" s="0" t="s">
        <v>94</v>
      </c>
      <c r="C105" s="0" t="n">
        <v>9</v>
      </c>
      <c r="D105" s="0" t="s">
        <v>362</v>
      </c>
      <c r="E105" s="0" t="s">
        <v>326</v>
      </c>
      <c r="F105" s="0" t="s">
        <v>267</v>
      </c>
      <c r="G105" s="0" t="s">
        <v>85</v>
      </c>
      <c r="H105" s="0" t="s">
        <v>364</v>
      </c>
      <c r="I105" s="0" t="n">
        <v>0</v>
      </c>
      <c r="O105" s="0" t="s">
        <v>433</v>
      </c>
      <c r="P105" s="0" t="s">
        <v>93</v>
      </c>
    </row>
    <row r="106" customFormat="false" ht="15" hidden="false" customHeight="false" outlineLevel="0" collapsed="false">
      <c r="A106" s="0" t="s">
        <v>131</v>
      </c>
      <c r="C106" s="0" t="n">
        <v>9</v>
      </c>
      <c r="D106" s="0" t="s">
        <v>434</v>
      </c>
      <c r="E106" s="0" t="s">
        <v>435</v>
      </c>
      <c r="F106" s="0" t="s">
        <v>436</v>
      </c>
      <c r="G106" s="0" t="s">
        <v>437</v>
      </c>
      <c r="H106" s="0" t="s">
        <v>364</v>
      </c>
      <c r="I106" s="0" t="n">
        <v>2</v>
      </c>
      <c r="J106" s="0" t="s">
        <v>125</v>
      </c>
      <c r="K106" s="0" t="s">
        <v>438</v>
      </c>
      <c r="L106" s="0" t="s">
        <v>219</v>
      </c>
      <c r="M106" s="0" t="s">
        <v>439</v>
      </c>
      <c r="N106" s="0" t="s">
        <v>440</v>
      </c>
      <c r="O106" s="0" t="s">
        <v>441</v>
      </c>
      <c r="P106" s="0" t="s">
        <v>442</v>
      </c>
    </row>
    <row r="107" customFormat="false" ht="15" hidden="false" customHeight="false" outlineLevel="0" collapsed="false">
      <c r="A107" s="0" t="s">
        <v>80</v>
      </c>
      <c r="C107" s="0" t="n">
        <v>7</v>
      </c>
      <c r="D107" s="0" t="s">
        <v>199</v>
      </c>
      <c r="E107" s="0" t="s">
        <v>443</v>
      </c>
      <c r="F107" s="0" t="s">
        <v>444</v>
      </c>
      <c r="G107" s="0" t="s">
        <v>445</v>
      </c>
      <c r="H107" s="0" t="s">
        <v>446</v>
      </c>
      <c r="I107" s="0" t="n">
        <v>4</v>
      </c>
      <c r="J107" s="0" t="s">
        <v>96</v>
      </c>
      <c r="K107" s="0" t="s">
        <v>214</v>
      </c>
      <c r="L107" s="0" t="s">
        <v>447</v>
      </c>
      <c r="M107" s="0" t="s">
        <v>448</v>
      </c>
      <c r="N107" s="0" t="s">
        <v>449</v>
      </c>
      <c r="O107" s="0" t="s">
        <v>450</v>
      </c>
      <c r="P107" s="0" t="s">
        <v>93</v>
      </c>
    </row>
    <row r="109" customFormat="false" ht="15" hidden="false" customHeight="false" outlineLevel="0" collapsed="false">
      <c r="A109" s="6" t="s">
        <v>451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customFormat="false" ht="15" hidden="false" customHeight="false" outlineLevel="0" collapsed="false">
      <c r="A110" s="0" t="s">
        <v>452</v>
      </c>
    </row>
    <row r="112" customFormat="false" ht="15" hidden="false" customHeight="false" outlineLevel="0" collapsed="false">
      <c r="A112" s="6" t="s">
        <v>453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customFormat="false" ht="15" hidden="false" customHeight="false" outlineLevel="0" collapsed="false">
      <c r="A113" s="3"/>
      <c r="B113" s="3" t="s">
        <v>454</v>
      </c>
      <c r="C113" s="3" t="s">
        <v>455</v>
      </c>
    </row>
    <row r="114" customFormat="false" ht="15" hidden="false" customHeight="false" outlineLevel="0" collapsed="false">
      <c r="A114" s="3" t="s">
        <v>35</v>
      </c>
      <c r="B114" s="4" t="s">
        <v>456</v>
      </c>
      <c r="C114" s="4" t="s">
        <v>457</v>
      </c>
    </row>
    <row r="115" customFormat="false" ht="15" hidden="false" customHeight="false" outlineLevel="0" collapsed="false">
      <c r="A115" s="3" t="s">
        <v>38</v>
      </c>
      <c r="B115" s="4" t="s">
        <v>458</v>
      </c>
      <c r="C115" s="4" t="s">
        <v>459</v>
      </c>
    </row>
    <row r="116" customFormat="false" ht="15" hidden="false" customHeight="false" outlineLevel="0" collapsed="false">
      <c r="A116" s="3" t="s">
        <v>41</v>
      </c>
      <c r="B116" s="4" t="s">
        <v>206</v>
      </c>
      <c r="C116" s="4" t="s">
        <v>460</v>
      </c>
    </row>
    <row r="117" customFormat="false" ht="15" hidden="false" customHeight="false" outlineLevel="0" collapsed="false">
      <c r="A117" s="3" t="s">
        <v>44</v>
      </c>
      <c r="B117" s="4" t="s">
        <v>461</v>
      </c>
      <c r="C117" s="4" t="s">
        <v>462</v>
      </c>
    </row>
    <row r="118" customFormat="false" ht="15" hidden="false" customHeight="false" outlineLevel="0" collapsed="false">
      <c r="A118" s="3" t="s">
        <v>47</v>
      </c>
      <c r="B118" s="4" t="s">
        <v>463</v>
      </c>
      <c r="C118" s="4" t="s">
        <v>464</v>
      </c>
    </row>
    <row r="119" customFormat="false" ht="15" hidden="false" customHeight="false" outlineLevel="0" collapsed="false">
      <c r="A119" s="3" t="s">
        <v>50</v>
      </c>
      <c r="B119" s="4" t="s">
        <v>465</v>
      </c>
      <c r="C119" s="4" t="s">
        <v>466</v>
      </c>
    </row>
    <row r="120" customFormat="false" ht="15" hidden="false" customHeight="false" outlineLevel="0" collapsed="false">
      <c r="A120" s="3" t="s">
        <v>53</v>
      </c>
      <c r="B120" s="4" t="s">
        <v>467</v>
      </c>
      <c r="C120" s="4" t="s">
        <v>468</v>
      </c>
    </row>
    <row r="121" customFormat="false" ht="105" hidden="false" customHeight="true" outlineLevel="0" collapsed="false">
      <c r="A121" s="3" t="s">
        <v>55</v>
      </c>
      <c r="B121" s="4" t="s">
        <v>469</v>
      </c>
      <c r="C121" s="4" t="s">
        <v>470</v>
      </c>
    </row>
    <row r="122" customFormat="false" ht="68.65" hidden="false" customHeight="false" outlineLevel="0" collapsed="false">
      <c r="A122" s="3" t="s">
        <v>58</v>
      </c>
      <c r="B122" s="4" t="s">
        <v>471</v>
      </c>
      <c r="C122" s="4" t="s">
        <v>472</v>
      </c>
    </row>
    <row r="123" customFormat="false" ht="150" hidden="false" customHeight="true" outlineLevel="0" collapsed="false">
      <c r="A123" s="3" t="s">
        <v>61</v>
      </c>
      <c r="B123" s="4" t="s">
        <v>473</v>
      </c>
      <c r="C123" s="4" t="s">
        <v>474</v>
      </c>
    </row>
    <row r="124" customFormat="false" ht="15" hidden="false" customHeight="false" outlineLevel="0" collapsed="false">
      <c r="A124" s="7" t="s">
        <v>64</v>
      </c>
      <c r="B124" s="7" t="s">
        <v>65</v>
      </c>
      <c r="C124" s="7" t="s">
        <v>66</v>
      </c>
      <c r="D124" s="7" t="s">
        <v>67</v>
      </c>
      <c r="E124" s="7" t="s">
        <v>68</v>
      </c>
      <c r="F124" s="7" t="s">
        <v>69</v>
      </c>
      <c r="G124" s="7" t="s">
        <v>70</v>
      </c>
      <c r="H124" s="7" t="s">
        <v>71</v>
      </c>
      <c r="I124" s="7" t="s">
        <v>72</v>
      </c>
      <c r="J124" s="7" t="s">
        <v>73</v>
      </c>
      <c r="K124" s="7" t="s">
        <v>74</v>
      </c>
      <c r="L124" s="7" t="s">
        <v>75</v>
      </c>
      <c r="M124" s="7" t="s">
        <v>76</v>
      </c>
      <c r="N124" s="7" t="s">
        <v>77</v>
      </c>
      <c r="O124" s="7" t="s">
        <v>78</v>
      </c>
      <c r="P124" s="7" t="s">
        <v>79</v>
      </c>
    </row>
    <row r="125" customFormat="false" ht="15" hidden="false" customHeight="false" outlineLevel="0" collapsed="false">
      <c r="A125" s="0" t="s">
        <v>131</v>
      </c>
      <c r="B125" s="0" t="s">
        <v>475</v>
      </c>
      <c r="C125" s="0" t="n">
        <v>32</v>
      </c>
      <c r="D125" s="0" t="s">
        <v>476</v>
      </c>
      <c r="E125" s="0" t="s">
        <v>477</v>
      </c>
      <c r="F125" s="0" t="s">
        <v>104</v>
      </c>
      <c r="G125" s="0" t="s">
        <v>238</v>
      </c>
      <c r="H125" s="0" t="s">
        <v>478</v>
      </c>
      <c r="I125" s="0" t="n">
        <v>9</v>
      </c>
      <c r="J125" s="0" t="s">
        <v>122</v>
      </c>
      <c r="K125" s="0" t="s">
        <v>479</v>
      </c>
      <c r="L125" s="0" t="s">
        <v>418</v>
      </c>
      <c r="M125" s="0" t="s">
        <v>480</v>
      </c>
      <c r="N125" s="0" t="s">
        <v>364</v>
      </c>
      <c r="O125" s="0" t="s">
        <v>481</v>
      </c>
      <c r="P125" s="0" t="s">
        <v>120</v>
      </c>
    </row>
    <row r="126" customFormat="false" ht="15" hidden="false" customHeight="false" outlineLevel="0" collapsed="false">
      <c r="A126" s="0" t="s">
        <v>80</v>
      </c>
      <c r="B126" s="0" t="s">
        <v>482</v>
      </c>
      <c r="C126" s="0" t="n">
        <v>15</v>
      </c>
      <c r="D126" s="0" t="s">
        <v>483</v>
      </c>
      <c r="E126" s="0" t="s">
        <v>484</v>
      </c>
      <c r="F126" s="0" t="s">
        <v>186</v>
      </c>
      <c r="G126" s="0" t="s">
        <v>485</v>
      </c>
      <c r="H126" s="0" t="s">
        <v>486</v>
      </c>
      <c r="I126" s="0" t="n">
        <v>22</v>
      </c>
      <c r="J126" s="0" t="s">
        <v>487</v>
      </c>
      <c r="K126" s="0" t="s">
        <v>460</v>
      </c>
      <c r="L126" s="0" t="s">
        <v>419</v>
      </c>
      <c r="M126" s="0" t="s">
        <v>207</v>
      </c>
      <c r="N126" s="0" t="s">
        <v>488</v>
      </c>
      <c r="O126" s="0" t="s">
        <v>489</v>
      </c>
      <c r="P126" s="0" t="s">
        <v>120</v>
      </c>
    </row>
    <row r="127" customFormat="false" ht="15" hidden="false" customHeight="false" outlineLevel="0" collapsed="false">
      <c r="A127" s="0" t="s">
        <v>150</v>
      </c>
      <c r="B127" s="0" t="s">
        <v>356</v>
      </c>
      <c r="C127" s="0" t="n">
        <v>10</v>
      </c>
      <c r="D127" s="0" t="s">
        <v>195</v>
      </c>
      <c r="E127" s="0" t="s">
        <v>490</v>
      </c>
      <c r="F127" s="0" t="s">
        <v>491</v>
      </c>
      <c r="G127" s="0" t="s">
        <v>128</v>
      </c>
      <c r="H127" s="0" t="s">
        <v>492</v>
      </c>
      <c r="I127" s="0" t="n">
        <v>14</v>
      </c>
      <c r="J127" s="0" t="s">
        <v>493</v>
      </c>
      <c r="K127" s="0" t="s">
        <v>339</v>
      </c>
      <c r="L127" s="0" t="s">
        <v>494</v>
      </c>
      <c r="M127" s="0" t="s">
        <v>283</v>
      </c>
      <c r="N127" s="0" t="s">
        <v>495</v>
      </c>
      <c r="O127" s="0" t="s">
        <v>130</v>
      </c>
      <c r="P127" s="0" t="s">
        <v>120</v>
      </c>
    </row>
    <row r="128" customFormat="false" ht="15" hidden="false" customHeight="false" outlineLevel="0" collapsed="false">
      <c r="A128" s="0" t="s">
        <v>121</v>
      </c>
      <c r="C128" s="0" t="n">
        <v>8</v>
      </c>
      <c r="D128" s="0" t="s">
        <v>496</v>
      </c>
      <c r="E128" s="0" t="s">
        <v>123</v>
      </c>
      <c r="F128" s="0" t="s">
        <v>423</v>
      </c>
      <c r="G128" s="0" t="s">
        <v>497</v>
      </c>
      <c r="H128" s="0" t="s">
        <v>498</v>
      </c>
      <c r="I128" s="0" t="n">
        <v>9</v>
      </c>
      <c r="J128" s="0" t="s">
        <v>188</v>
      </c>
      <c r="K128" s="0" t="s">
        <v>133</v>
      </c>
      <c r="L128" s="0" t="s">
        <v>499</v>
      </c>
      <c r="M128" s="0" t="s">
        <v>500</v>
      </c>
      <c r="N128" s="0" t="s">
        <v>501</v>
      </c>
      <c r="O128" s="0" t="s">
        <v>141</v>
      </c>
      <c r="P128" s="0" t="s">
        <v>93</v>
      </c>
    </row>
    <row r="129" customFormat="false" ht="15" hidden="false" customHeight="false" outlineLevel="0" collapsed="false">
      <c r="A129" s="0" t="s">
        <v>94</v>
      </c>
      <c r="C129" s="0" t="n">
        <v>0</v>
      </c>
      <c r="I129" s="0" t="n">
        <v>10</v>
      </c>
      <c r="J129" s="0" t="s">
        <v>502</v>
      </c>
      <c r="K129" s="0" t="s">
        <v>88</v>
      </c>
      <c r="L129" s="0" t="s">
        <v>503</v>
      </c>
      <c r="M129" s="0" t="s">
        <v>112</v>
      </c>
      <c r="N129" s="0" t="s">
        <v>504</v>
      </c>
      <c r="O129" s="0" t="s">
        <v>141</v>
      </c>
      <c r="P129" s="0" t="s">
        <v>93</v>
      </c>
    </row>
    <row r="130" customFormat="false" ht="15" hidden="false" customHeight="false" outlineLevel="0" collapsed="false">
      <c r="A130" s="0" t="s">
        <v>107</v>
      </c>
      <c r="C130" s="0" t="n">
        <v>20</v>
      </c>
      <c r="D130" s="0" t="s">
        <v>505</v>
      </c>
      <c r="E130" s="0" t="s">
        <v>506</v>
      </c>
      <c r="F130" s="0" t="s">
        <v>507</v>
      </c>
      <c r="G130" s="0" t="s">
        <v>508</v>
      </c>
      <c r="H130" s="0" t="s">
        <v>509</v>
      </c>
      <c r="I130" s="0" t="n">
        <v>0</v>
      </c>
      <c r="O130" s="0" t="s">
        <v>161</v>
      </c>
      <c r="P130" s="0" t="s">
        <v>93</v>
      </c>
    </row>
    <row r="131" customFormat="false" ht="15" hidden="false" customHeight="false" outlineLevel="0" collapsed="false">
      <c r="A131" s="0" t="s">
        <v>142</v>
      </c>
      <c r="C131" s="0" t="n">
        <v>10</v>
      </c>
      <c r="D131" s="0" t="s">
        <v>510</v>
      </c>
      <c r="E131" s="0" t="s">
        <v>511</v>
      </c>
      <c r="F131" s="0" t="s">
        <v>512</v>
      </c>
      <c r="G131" s="0" t="s">
        <v>513</v>
      </c>
      <c r="H131" s="0" t="s">
        <v>514</v>
      </c>
      <c r="I131" s="0" t="n">
        <v>14</v>
      </c>
      <c r="J131" s="0" t="s">
        <v>515</v>
      </c>
      <c r="K131" s="0" t="s">
        <v>137</v>
      </c>
      <c r="L131" s="0" t="s">
        <v>516</v>
      </c>
      <c r="M131" s="0" t="s">
        <v>508</v>
      </c>
      <c r="N131" s="0" t="s">
        <v>517</v>
      </c>
      <c r="O131" s="0" t="s">
        <v>518</v>
      </c>
      <c r="P131" s="0" t="s">
        <v>519</v>
      </c>
    </row>
    <row r="133" customFormat="false" ht="15" hidden="false" customHeight="false" outlineLevel="0" collapsed="false">
      <c r="A133" s="6" t="s">
        <v>520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customFormat="false" ht="15" hidden="false" customHeight="false" outlineLevel="0" collapsed="false">
      <c r="A134" s="3"/>
      <c r="B134" s="3" t="s">
        <v>521</v>
      </c>
      <c r="C134" s="3" t="s">
        <v>522</v>
      </c>
    </row>
    <row r="135" customFormat="false" ht="15" hidden="false" customHeight="false" outlineLevel="0" collapsed="false">
      <c r="A135" s="3" t="s">
        <v>35</v>
      </c>
      <c r="B135" s="4" t="s">
        <v>523</v>
      </c>
      <c r="C135" s="4" t="s">
        <v>524</v>
      </c>
    </row>
    <row r="136" customFormat="false" ht="15" hidden="false" customHeight="false" outlineLevel="0" collapsed="false">
      <c r="A136" s="3" t="s">
        <v>38</v>
      </c>
      <c r="B136" s="4" t="s">
        <v>525</v>
      </c>
      <c r="C136" s="4" t="s">
        <v>526</v>
      </c>
    </row>
    <row r="137" customFormat="false" ht="15" hidden="false" customHeight="false" outlineLevel="0" collapsed="false">
      <c r="A137" s="3" t="s">
        <v>41</v>
      </c>
      <c r="B137" s="4" t="s">
        <v>527</v>
      </c>
      <c r="C137" s="4" t="s">
        <v>528</v>
      </c>
    </row>
    <row r="138" customFormat="false" ht="15" hidden="false" customHeight="false" outlineLevel="0" collapsed="false">
      <c r="A138" s="3" t="s">
        <v>44</v>
      </c>
      <c r="B138" s="4" t="s">
        <v>529</v>
      </c>
      <c r="C138" s="4" t="s">
        <v>530</v>
      </c>
    </row>
    <row r="139" customFormat="false" ht="15" hidden="false" customHeight="false" outlineLevel="0" collapsed="false">
      <c r="A139" s="3" t="s">
        <v>47</v>
      </c>
      <c r="B139" s="4" t="s">
        <v>531</v>
      </c>
      <c r="C139" s="4" t="s">
        <v>532</v>
      </c>
    </row>
    <row r="140" customFormat="false" ht="15" hidden="false" customHeight="false" outlineLevel="0" collapsed="false">
      <c r="A140" s="3" t="s">
        <v>50</v>
      </c>
      <c r="B140" s="4" t="s">
        <v>533</v>
      </c>
      <c r="C140" s="4" t="s">
        <v>534</v>
      </c>
    </row>
    <row r="141" customFormat="false" ht="15" hidden="false" customHeight="false" outlineLevel="0" collapsed="false">
      <c r="A141" s="3" t="s">
        <v>53</v>
      </c>
      <c r="B141" s="4" t="s">
        <v>54</v>
      </c>
      <c r="C141" s="4" t="s">
        <v>54</v>
      </c>
    </row>
    <row r="142" customFormat="false" ht="105" hidden="false" customHeight="true" outlineLevel="0" collapsed="false">
      <c r="A142" s="3" t="s">
        <v>55</v>
      </c>
      <c r="B142" s="4" t="s">
        <v>535</v>
      </c>
      <c r="C142" s="4" t="s">
        <v>536</v>
      </c>
    </row>
    <row r="143" customFormat="false" ht="68.65" hidden="false" customHeight="false" outlineLevel="0" collapsed="false">
      <c r="A143" s="3" t="s">
        <v>58</v>
      </c>
      <c r="B143" s="4" t="s">
        <v>537</v>
      </c>
      <c r="C143" s="4" t="s">
        <v>538</v>
      </c>
    </row>
    <row r="144" customFormat="false" ht="150" hidden="false" customHeight="true" outlineLevel="0" collapsed="false">
      <c r="A144" s="3" t="s">
        <v>61</v>
      </c>
      <c r="B144" s="4" t="s">
        <v>539</v>
      </c>
      <c r="C144" s="4" t="s">
        <v>540</v>
      </c>
    </row>
    <row r="145" customFormat="false" ht="15" hidden="false" customHeight="false" outlineLevel="0" collapsed="false">
      <c r="A145" s="7" t="s">
        <v>64</v>
      </c>
      <c r="B145" s="7" t="s">
        <v>65</v>
      </c>
      <c r="C145" s="7" t="s">
        <v>66</v>
      </c>
      <c r="D145" s="7" t="s">
        <v>67</v>
      </c>
      <c r="E145" s="7" t="s">
        <v>68</v>
      </c>
      <c r="F145" s="7" t="s">
        <v>69</v>
      </c>
      <c r="G145" s="7" t="s">
        <v>70</v>
      </c>
      <c r="H145" s="7" t="s">
        <v>71</v>
      </c>
      <c r="I145" s="7" t="s">
        <v>72</v>
      </c>
      <c r="J145" s="7" t="s">
        <v>73</v>
      </c>
      <c r="K145" s="7" t="s">
        <v>74</v>
      </c>
      <c r="L145" s="7" t="s">
        <v>75</v>
      </c>
      <c r="M145" s="7" t="s">
        <v>76</v>
      </c>
      <c r="N145" s="7" t="s">
        <v>77</v>
      </c>
      <c r="O145" s="7" t="s">
        <v>78</v>
      </c>
      <c r="P145" s="7" t="s">
        <v>79</v>
      </c>
    </row>
    <row r="146" customFormat="false" ht="15" hidden="false" customHeight="false" outlineLevel="0" collapsed="false">
      <c r="A146" s="0" t="s">
        <v>142</v>
      </c>
      <c r="B146" s="0" t="s">
        <v>194</v>
      </c>
      <c r="C146" s="0" t="n">
        <v>11</v>
      </c>
      <c r="D146" s="0" t="s">
        <v>346</v>
      </c>
      <c r="E146" s="0" t="s">
        <v>248</v>
      </c>
      <c r="F146" s="0" t="s">
        <v>541</v>
      </c>
      <c r="G146" s="0" t="s">
        <v>312</v>
      </c>
      <c r="H146" s="0" t="s">
        <v>542</v>
      </c>
      <c r="I146" s="0" t="n">
        <v>11</v>
      </c>
      <c r="J146" s="0" t="s">
        <v>543</v>
      </c>
      <c r="K146" s="0" t="s">
        <v>422</v>
      </c>
      <c r="L146" s="0" t="s">
        <v>544</v>
      </c>
      <c r="M146" s="0" t="s">
        <v>545</v>
      </c>
      <c r="N146" s="0" t="s">
        <v>546</v>
      </c>
      <c r="O146" s="0" t="s">
        <v>547</v>
      </c>
      <c r="P146" s="0" t="s">
        <v>93</v>
      </c>
    </row>
    <row r="147" customFormat="false" ht="15" hidden="false" customHeight="false" outlineLevel="0" collapsed="false">
      <c r="A147" s="0" t="s">
        <v>150</v>
      </c>
      <c r="B147" s="0" t="s">
        <v>194</v>
      </c>
      <c r="C147" s="0" t="n">
        <v>14</v>
      </c>
      <c r="D147" s="0" t="s">
        <v>515</v>
      </c>
      <c r="E147" s="0" t="s">
        <v>206</v>
      </c>
      <c r="F147" s="0" t="s">
        <v>89</v>
      </c>
      <c r="G147" s="0" t="s">
        <v>548</v>
      </c>
      <c r="H147" s="0" t="s">
        <v>549</v>
      </c>
      <c r="I147" s="0" t="n">
        <v>8</v>
      </c>
      <c r="J147" s="0" t="s">
        <v>205</v>
      </c>
      <c r="K147" s="0" t="s">
        <v>443</v>
      </c>
      <c r="L147" s="0" t="s">
        <v>357</v>
      </c>
      <c r="M147" s="0" t="s">
        <v>550</v>
      </c>
      <c r="N147" s="0" t="s">
        <v>551</v>
      </c>
      <c r="O147" s="0" t="s">
        <v>433</v>
      </c>
      <c r="P147" s="0" t="s">
        <v>93</v>
      </c>
    </row>
    <row r="148" customFormat="false" ht="15" hidden="false" customHeight="false" outlineLevel="0" collapsed="false">
      <c r="A148" s="0" t="s">
        <v>107</v>
      </c>
      <c r="B148" s="0" t="s">
        <v>95</v>
      </c>
      <c r="C148" s="0" t="n">
        <v>10</v>
      </c>
      <c r="D148" s="0" t="s">
        <v>502</v>
      </c>
      <c r="E148" s="0" t="s">
        <v>123</v>
      </c>
      <c r="F148" s="0" t="s">
        <v>552</v>
      </c>
      <c r="G148" s="0" t="s">
        <v>312</v>
      </c>
      <c r="H148" s="0" t="s">
        <v>504</v>
      </c>
      <c r="I148" s="0" t="n">
        <v>10</v>
      </c>
      <c r="J148" s="0" t="s">
        <v>553</v>
      </c>
      <c r="K148" s="0" t="s">
        <v>169</v>
      </c>
      <c r="L148" s="0" t="s">
        <v>111</v>
      </c>
      <c r="M148" s="0" t="s">
        <v>215</v>
      </c>
      <c r="N148" s="0" t="s">
        <v>198</v>
      </c>
      <c r="O148" s="0" t="s">
        <v>554</v>
      </c>
      <c r="P148" s="0" t="s">
        <v>120</v>
      </c>
    </row>
    <row r="149" customFormat="false" ht="15" hidden="false" customHeight="false" outlineLevel="0" collapsed="false">
      <c r="A149" s="0" t="s">
        <v>121</v>
      </c>
      <c r="C149" s="0" t="n">
        <v>1</v>
      </c>
      <c r="D149" s="0" t="s">
        <v>555</v>
      </c>
      <c r="E149" s="0" t="s">
        <v>43</v>
      </c>
      <c r="F149" s="0" t="s">
        <v>556</v>
      </c>
      <c r="G149" s="0" t="s">
        <v>557</v>
      </c>
      <c r="H149" s="0" t="s">
        <v>382</v>
      </c>
      <c r="I149" s="0" t="n">
        <v>14</v>
      </c>
      <c r="J149" s="0" t="s">
        <v>493</v>
      </c>
      <c r="K149" s="0" t="s">
        <v>460</v>
      </c>
      <c r="L149" s="0" t="s">
        <v>558</v>
      </c>
      <c r="M149" s="0" t="s">
        <v>559</v>
      </c>
      <c r="N149" s="0" t="s">
        <v>549</v>
      </c>
      <c r="O149" s="0" t="s">
        <v>560</v>
      </c>
      <c r="P149" s="0" t="s">
        <v>93</v>
      </c>
    </row>
    <row r="150" customFormat="false" ht="15" hidden="false" customHeight="false" outlineLevel="0" collapsed="false">
      <c r="A150" s="0" t="s">
        <v>94</v>
      </c>
      <c r="C150" s="0" t="n">
        <v>12</v>
      </c>
      <c r="D150" s="0" t="s">
        <v>101</v>
      </c>
      <c r="E150" s="0" t="s">
        <v>275</v>
      </c>
      <c r="F150" s="0" t="s">
        <v>353</v>
      </c>
      <c r="G150" s="0" t="s">
        <v>277</v>
      </c>
      <c r="H150" s="0" t="s">
        <v>561</v>
      </c>
      <c r="I150" s="0" t="n">
        <v>6</v>
      </c>
      <c r="J150" s="0" t="s">
        <v>383</v>
      </c>
      <c r="K150" s="0" t="s">
        <v>562</v>
      </c>
      <c r="L150" s="0" t="s">
        <v>563</v>
      </c>
      <c r="M150" s="0" t="s">
        <v>564</v>
      </c>
      <c r="N150" s="0" t="s">
        <v>384</v>
      </c>
      <c r="O150" s="0" t="s">
        <v>203</v>
      </c>
      <c r="P150" s="0" t="s">
        <v>93</v>
      </c>
    </row>
    <row r="151" customFormat="false" ht="15" hidden="false" customHeight="false" outlineLevel="0" collapsed="false">
      <c r="A151" s="0" t="s">
        <v>131</v>
      </c>
      <c r="C151" s="0" t="n">
        <v>8</v>
      </c>
      <c r="D151" s="0" t="s">
        <v>421</v>
      </c>
      <c r="E151" s="0" t="s">
        <v>339</v>
      </c>
      <c r="F151" s="0" t="s">
        <v>128</v>
      </c>
      <c r="G151" s="0" t="s">
        <v>565</v>
      </c>
      <c r="H151" s="0" t="s">
        <v>566</v>
      </c>
      <c r="I151" s="0" t="n">
        <v>4</v>
      </c>
      <c r="J151" s="0" t="s">
        <v>290</v>
      </c>
      <c r="K151" s="0" t="s">
        <v>307</v>
      </c>
      <c r="L151" s="0" t="s">
        <v>567</v>
      </c>
      <c r="M151" s="0" t="s">
        <v>568</v>
      </c>
      <c r="N151" s="0" t="s">
        <v>569</v>
      </c>
      <c r="O151" s="0" t="s">
        <v>570</v>
      </c>
      <c r="P151" s="0" t="s">
        <v>93</v>
      </c>
    </row>
    <row r="152" customFormat="false" ht="15" hidden="false" customHeight="false" outlineLevel="0" collapsed="false">
      <c r="A152" s="0" t="s">
        <v>80</v>
      </c>
      <c r="C152" s="0" t="n">
        <v>8</v>
      </c>
      <c r="D152" s="0" t="s">
        <v>421</v>
      </c>
      <c r="E152" s="0" t="s">
        <v>506</v>
      </c>
      <c r="F152" s="0" t="s">
        <v>571</v>
      </c>
      <c r="G152" s="0" t="s">
        <v>485</v>
      </c>
      <c r="H152" s="0" t="s">
        <v>572</v>
      </c>
      <c r="I152" s="0" t="n">
        <v>1</v>
      </c>
      <c r="J152" s="0" t="s">
        <v>555</v>
      </c>
      <c r="K152" s="0" t="s">
        <v>43</v>
      </c>
      <c r="L152" s="0" t="s">
        <v>128</v>
      </c>
      <c r="M152" s="0" t="s">
        <v>116</v>
      </c>
      <c r="N152" s="0" t="s">
        <v>573</v>
      </c>
      <c r="O152" s="0" t="s">
        <v>574</v>
      </c>
      <c r="P152" s="0" t="s">
        <v>93</v>
      </c>
    </row>
    <row r="154" customFormat="false" ht="15" hidden="false" customHeight="false" outlineLevel="0" collapsed="false">
      <c r="A154" s="6" t="s">
        <v>575</v>
      </c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customFormat="false" ht="15" hidden="false" customHeight="false" outlineLevel="0" collapsed="false">
      <c r="A155" s="3"/>
      <c r="B155" s="3" t="s">
        <v>576</v>
      </c>
      <c r="C155" s="3" t="s">
        <v>577</v>
      </c>
    </row>
    <row r="156" customFormat="false" ht="15" hidden="false" customHeight="false" outlineLevel="0" collapsed="false">
      <c r="A156" s="3" t="s">
        <v>35</v>
      </c>
      <c r="B156" s="4" t="s">
        <v>578</v>
      </c>
      <c r="C156" s="4" t="s">
        <v>579</v>
      </c>
    </row>
    <row r="157" customFormat="false" ht="15" hidden="false" customHeight="false" outlineLevel="0" collapsed="false">
      <c r="A157" s="3" t="s">
        <v>38</v>
      </c>
      <c r="B157" s="4" t="s">
        <v>167</v>
      </c>
      <c r="C157" s="4" t="s">
        <v>580</v>
      </c>
    </row>
    <row r="158" customFormat="false" ht="15" hidden="false" customHeight="false" outlineLevel="0" collapsed="false">
      <c r="A158" s="3" t="s">
        <v>41</v>
      </c>
      <c r="B158" s="4" t="s">
        <v>506</v>
      </c>
      <c r="C158" s="4" t="s">
        <v>83</v>
      </c>
    </row>
    <row r="159" customFormat="false" ht="15" hidden="false" customHeight="false" outlineLevel="0" collapsed="false">
      <c r="A159" s="3" t="s">
        <v>44</v>
      </c>
      <c r="B159" s="4" t="s">
        <v>581</v>
      </c>
      <c r="C159" s="4" t="s">
        <v>582</v>
      </c>
    </row>
    <row r="160" customFormat="false" ht="15" hidden="false" customHeight="false" outlineLevel="0" collapsed="false">
      <c r="A160" s="3" t="s">
        <v>47</v>
      </c>
      <c r="B160" s="4" t="s">
        <v>583</v>
      </c>
      <c r="C160" s="4" t="s">
        <v>584</v>
      </c>
    </row>
    <row r="161" customFormat="false" ht="15" hidden="false" customHeight="false" outlineLevel="0" collapsed="false">
      <c r="A161" s="3" t="s">
        <v>50</v>
      </c>
      <c r="B161" s="4" t="s">
        <v>585</v>
      </c>
      <c r="C161" s="4" t="s">
        <v>586</v>
      </c>
    </row>
    <row r="162" customFormat="false" ht="15" hidden="false" customHeight="false" outlineLevel="0" collapsed="false">
      <c r="A162" s="3" t="s">
        <v>53</v>
      </c>
      <c r="B162" s="4" t="s">
        <v>54</v>
      </c>
      <c r="C162" s="4" t="s">
        <v>54</v>
      </c>
    </row>
    <row r="163" customFormat="false" ht="105" hidden="false" customHeight="true" outlineLevel="0" collapsed="false">
      <c r="A163" s="3" t="s">
        <v>55</v>
      </c>
      <c r="B163" s="4" t="s">
        <v>587</v>
      </c>
      <c r="C163" s="4" t="s">
        <v>588</v>
      </c>
    </row>
    <row r="164" customFormat="false" ht="68.65" hidden="false" customHeight="false" outlineLevel="0" collapsed="false">
      <c r="A164" s="3" t="s">
        <v>58</v>
      </c>
      <c r="B164" s="4" t="s">
        <v>589</v>
      </c>
      <c r="C164" s="4" t="s">
        <v>590</v>
      </c>
    </row>
    <row r="165" customFormat="false" ht="150" hidden="false" customHeight="true" outlineLevel="0" collapsed="false">
      <c r="A165" s="3" t="s">
        <v>61</v>
      </c>
      <c r="B165" s="4" t="s">
        <v>591</v>
      </c>
      <c r="C165" s="4" t="s">
        <v>592</v>
      </c>
    </row>
    <row r="166" customFormat="false" ht="15" hidden="false" customHeight="false" outlineLevel="0" collapsed="false">
      <c r="A166" s="7" t="s">
        <v>64</v>
      </c>
      <c r="B166" s="7" t="s">
        <v>65</v>
      </c>
      <c r="C166" s="7" t="s">
        <v>66</v>
      </c>
      <c r="D166" s="7" t="s">
        <v>67</v>
      </c>
      <c r="E166" s="7" t="s">
        <v>68</v>
      </c>
      <c r="F166" s="7" t="s">
        <v>69</v>
      </c>
      <c r="G166" s="7" t="s">
        <v>70</v>
      </c>
      <c r="H166" s="7" t="s">
        <v>71</v>
      </c>
      <c r="I166" s="7" t="s">
        <v>72</v>
      </c>
      <c r="J166" s="7" t="s">
        <v>73</v>
      </c>
      <c r="K166" s="7" t="s">
        <v>74</v>
      </c>
      <c r="L166" s="7" t="s">
        <v>75</v>
      </c>
      <c r="M166" s="7" t="s">
        <v>76</v>
      </c>
      <c r="N166" s="7" t="s">
        <v>77</v>
      </c>
      <c r="O166" s="7" t="s">
        <v>78</v>
      </c>
      <c r="P166" s="7" t="s">
        <v>79</v>
      </c>
    </row>
    <row r="167" customFormat="false" ht="15" hidden="false" customHeight="false" outlineLevel="0" collapsed="false">
      <c r="A167" s="0" t="s">
        <v>150</v>
      </c>
      <c r="B167" s="0" t="s">
        <v>81</v>
      </c>
      <c r="C167" s="0" t="n">
        <v>15</v>
      </c>
      <c r="D167" s="0" t="s">
        <v>365</v>
      </c>
      <c r="E167" s="0" t="s">
        <v>157</v>
      </c>
      <c r="F167" s="0" t="s">
        <v>593</v>
      </c>
      <c r="G167" s="0" t="s">
        <v>594</v>
      </c>
      <c r="H167" s="0" t="s">
        <v>595</v>
      </c>
      <c r="I167" s="0" t="n">
        <v>7</v>
      </c>
      <c r="J167" s="0" t="s">
        <v>199</v>
      </c>
      <c r="K167" s="0" t="s">
        <v>477</v>
      </c>
      <c r="L167" s="0" t="s">
        <v>596</v>
      </c>
      <c r="M167" s="0" t="s">
        <v>597</v>
      </c>
      <c r="N167" s="0" t="s">
        <v>235</v>
      </c>
      <c r="O167" s="0" t="s">
        <v>598</v>
      </c>
      <c r="P167" s="0" t="s">
        <v>120</v>
      </c>
    </row>
    <row r="168" customFormat="false" ht="15" hidden="false" customHeight="false" outlineLevel="0" collapsed="false">
      <c r="A168" s="0" t="s">
        <v>107</v>
      </c>
      <c r="B168" s="0" t="s">
        <v>262</v>
      </c>
      <c r="C168" s="0" t="n">
        <v>13</v>
      </c>
      <c r="D168" s="0" t="s">
        <v>136</v>
      </c>
      <c r="E168" s="0" t="s">
        <v>97</v>
      </c>
      <c r="F168" s="0" t="s">
        <v>599</v>
      </c>
      <c r="G168" s="0" t="s">
        <v>565</v>
      </c>
      <c r="H168" s="0" t="s">
        <v>600</v>
      </c>
      <c r="I168" s="0" t="n">
        <v>7</v>
      </c>
      <c r="J168" s="0" t="s">
        <v>601</v>
      </c>
      <c r="K168" s="0" t="s">
        <v>602</v>
      </c>
      <c r="L168" s="0" t="s">
        <v>603</v>
      </c>
      <c r="M168" s="0" t="s">
        <v>507</v>
      </c>
      <c r="N168" s="0" t="s">
        <v>604</v>
      </c>
      <c r="O168" s="0" t="s">
        <v>605</v>
      </c>
      <c r="P168" s="0" t="s">
        <v>361</v>
      </c>
    </row>
    <row r="169" customFormat="false" ht="15" hidden="false" customHeight="false" outlineLevel="0" collapsed="false">
      <c r="A169" s="0" t="s">
        <v>80</v>
      </c>
      <c r="B169" s="0" t="s">
        <v>262</v>
      </c>
      <c r="C169" s="0" t="n">
        <v>10</v>
      </c>
      <c r="D169" s="0" t="s">
        <v>606</v>
      </c>
      <c r="E169" s="0" t="s">
        <v>206</v>
      </c>
      <c r="F169" s="0" t="s">
        <v>607</v>
      </c>
      <c r="G169" s="0" t="s">
        <v>608</v>
      </c>
      <c r="H169" s="0" t="s">
        <v>504</v>
      </c>
      <c r="I169" s="0" t="n">
        <v>10</v>
      </c>
      <c r="J169" s="0" t="s">
        <v>553</v>
      </c>
      <c r="K169" s="0" t="s">
        <v>609</v>
      </c>
      <c r="L169" s="0" t="s">
        <v>104</v>
      </c>
      <c r="M169" s="0" t="s">
        <v>610</v>
      </c>
      <c r="N169" s="0" t="s">
        <v>611</v>
      </c>
      <c r="O169" s="0" t="s">
        <v>612</v>
      </c>
      <c r="P169" s="0" t="s">
        <v>120</v>
      </c>
    </row>
    <row r="170" customFormat="false" ht="15" hidden="false" customHeight="false" outlineLevel="0" collapsed="false">
      <c r="A170" s="0" t="s">
        <v>121</v>
      </c>
      <c r="C170" s="0" t="n">
        <v>9</v>
      </c>
      <c r="D170" s="0" t="s">
        <v>114</v>
      </c>
      <c r="E170" s="0" t="s">
        <v>613</v>
      </c>
      <c r="F170" s="0" t="s">
        <v>614</v>
      </c>
      <c r="G170" s="0" t="s">
        <v>615</v>
      </c>
      <c r="H170" s="0" t="s">
        <v>616</v>
      </c>
      <c r="I170" s="0" t="n">
        <v>2</v>
      </c>
      <c r="J170" s="0" t="s">
        <v>125</v>
      </c>
      <c r="K170" s="0" t="s">
        <v>617</v>
      </c>
      <c r="L170" s="0" t="s">
        <v>618</v>
      </c>
      <c r="M170" s="0" t="s">
        <v>619</v>
      </c>
      <c r="N170" s="0" t="s">
        <v>620</v>
      </c>
      <c r="O170" s="0" t="s">
        <v>621</v>
      </c>
      <c r="P170" s="0" t="s">
        <v>93</v>
      </c>
    </row>
    <row r="171" customFormat="false" ht="15" hidden="false" customHeight="false" outlineLevel="0" collapsed="false">
      <c r="A171" s="0" t="s">
        <v>131</v>
      </c>
      <c r="C171" s="0" t="n">
        <v>7</v>
      </c>
      <c r="D171" s="0" t="s">
        <v>601</v>
      </c>
      <c r="E171" s="0" t="s">
        <v>460</v>
      </c>
      <c r="F171" s="0" t="s">
        <v>622</v>
      </c>
      <c r="G171" s="0" t="s">
        <v>623</v>
      </c>
      <c r="H171" s="0" t="s">
        <v>624</v>
      </c>
      <c r="I171" s="0" t="n">
        <v>6</v>
      </c>
      <c r="J171" s="0" t="s">
        <v>109</v>
      </c>
      <c r="K171" s="0" t="s">
        <v>625</v>
      </c>
      <c r="L171" s="0" t="s">
        <v>565</v>
      </c>
      <c r="M171" s="0" t="s">
        <v>231</v>
      </c>
      <c r="N171" s="0" t="s">
        <v>626</v>
      </c>
      <c r="O171" s="0" t="s">
        <v>627</v>
      </c>
      <c r="P171" s="0" t="s">
        <v>93</v>
      </c>
    </row>
    <row r="172" customFormat="false" ht="15" hidden="false" customHeight="false" outlineLevel="0" collapsed="false">
      <c r="A172" s="0" t="s">
        <v>142</v>
      </c>
      <c r="C172" s="0" t="n">
        <v>8</v>
      </c>
      <c r="D172" s="0" t="s">
        <v>496</v>
      </c>
      <c r="E172" s="0" t="s">
        <v>628</v>
      </c>
      <c r="F172" s="0" t="s">
        <v>629</v>
      </c>
      <c r="G172" s="0" t="s">
        <v>385</v>
      </c>
      <c r="H172" s="0" t="s">
        <v>147</v>
      </c>
      <c r="I172" s="0" t="n">
        <v>5</v>
      </c>
      <c r="J172" s="0" t="s">
        <v>630</v>
      </c>
      <c r="K172" s="0" t="s">
        <v>631</v>
      </c>
      <c r="L172" s="0" t="s">
        <v>632</v>
      </c>
      <c r="M172" s="0" t="s">
        <v>633</v>
      </c>
      <c r="N172" s="0" t="s">
        <v>86</v>
      </c>
      <c r="O172" s="0" t="s">
        <v>441</v>
      </c>
      <c r="P172" s="0" t="s">
        <v>634</v>
      </c>
    </row>
    <row r="174" customFormat="false" ht="15" hidden="false" customHeight="false" outlineLevel="0" collapsed="false">
      <c r="A174" s="6" t="s">
        <v>635</v>
      </c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customFormat="false" ht="15" hidden="false" customHeight="false" outlineLevel="0" collapsed="false">
      <c r="A175" s="3"/>
      <c r="B175" s="3" t="s">
        <v>636</v>
      </c>
      <c r="C175" s="3" t="s">
        <v>637</v>
      </c>
    </row>
    <row r="176" customFormat="false" ht="15" hidden="false" customHeight="false" outlineLevel="0" collapsed="false">
      <c r="A176" s="3" t="s">
        <v>35</v>
      </c>
      <c r="B176" s="4" t="s">
        <v>638</v>
      </c>
      <c r="C176" s="4" t="s">
        <v>639</v>
      </c>
    </row>
    <row r="177" customFormat="false" ht="15" hidden="false" customHeight="false" outlineLevel="0" collapsed="false">
      <c r="A177" s="3" t="s">
        <v>38</v>
      </c>
      <c r="B177" s="4" t="s">
        <v>640</v>
      </c>
      <c r="C177" s="4" t="s">
        <v>525</v>
      </c>
    </row>
    <row r="178" customFormat="false" ht="15" hidden="false" customHeight="false" outlineLevel="0" collapsed="false">
      <c r="A178" s="3" t="s">
        <v>41</v>
      </c>
      <c r="B178" s="4" t="s">
        <v>641</v>
      </c>
      <c r="C178" s="4" t="s">
        <v>625</v>
      </c>
    </row>
    <row r="179" customFormat="false" ht="15" hidden="false" customHeight="false" outlineLevel="0" collapsed="false">
      <c r="A179" s="3" t="s">
        <v>44</v>
      </c>
      <c r="B179" s="4" t="s">
        <v>642</v>
      </c>
      <c r="C179" s="4" t="s">
        <v>643</v>
      </c>
    </row>
    <row r="180" customFormat="false" ht="15" hidden="false" customHeight="false" outlineLevel="0" collapsed="false">
      <c r="A180" s="3" t="s">
        <v>47</v>
      </c>
      <c r="B180" s="4" t="s">
        <v>644</v>
      </c>
      <c r="C180" s="4" t="s">
        <v>645</v>
      </c>
    </row>
    <row r="181" customFormat="false" ht="15" hidden="false" customHeight="false" outlineLevel="0" collapsed="false">
      <c r="A181" s="3" t="s">
        <v>50</v>
      </c>
      <c r="B181" s="4" t="s">
        <v>646</v>
      </c>
      <c r="C181" s="4" t="s">
        <v>647</v>
      </c>
    </row>
    <row r="182" customFormat="false" ht="15" hidden="false" customHeight="false" outlineLevel="0" collapsed="false">
      <c r="A182" s="3" t="s">
        <v>53</v>
      </c>
      <c r="B182" s="4" t="s">
        <v>54</v>
      </c>
      <c r="C182" s="4" t="s">
        <v>54</v>
      </c>
    </row>
    <row r="183" customFormat="false" ht="105" hidden="false" customHeight="true" outlineLevel="0" collapsed="false">
      <c r="A183" s="3" t="s">
        <v>55</v>
      </c>
      <c r="B183" s="4" t="s">
        <v>648</v>
      </c>
      <c r="C183" s="4" t="s">
        <v>649</v>
      </c>
    </row>
    <row r="184" customFormat="false" ht="68.65" hidden="false" customHeight="false" outlineLevel="0" collapsed="false">
      <c r="A184" s="3" t="s">
        <v>58</v>
      </c>
      <c r="B184" s="4" t="s">
        <v>650</v>
      </c>
      <c r="C184" s="4" t="s">
        <v>651</v>
      </c>
    </row>
    <row r="185" customFormat="false" ht="150" hidden="false" customHeight="true" outlineLevel="0" collapsed="false">
      <c r="A185" s="3" t="s">
        <v>61</v>
      </c>
      <c r="B185" s="4" t="s">
        <v>652</v>
      </c>
      <c r="C185" s="4" t="s">
        <v>653</v>
      </c>
    </row>
    <row r="186" customFormat="false" ht="15" hidden="false" customHeight="false" outlineLevel="0" collapsed="false">
      <c r="A186" s="7" t="s">
        <v>64</v>
      </c>
      <c r="B186" s="7" t="s">
        <v>65</v>
      </c>
      <c r="C186" s="7" t="s">
        <v>66</v>
      </c>
      <c r="D186" s="7" t="s">
        <v>67</v>
      </c>
      <c r="E186" s="7" t="s">
        <v>68</v>
      </c>
      <c r="F186" s="7" t="s">
        <v>69</v>
      </c>
      <c r="G186" s="7" t="s">
        <v>70</v>
      </c>
      <c r="H186" s="7" t="s">
        <v>71</v>
      </c>
      <c r="I186" s="7" t="s">
        <v>72</v>
      </c>
      <c r="J186" s="7" t="s">
        <v>73</v>
      </c>
      <c r="K186" s="7" t="s">
        <v>74</v>
      </c>
      <c r="L186" s="7" t="s">
        <v>75</v>
      </c>
      <c r="M186" s="7" t="s">
        <v>76</v>
      </c>
      <c r="N186" s="7" t="s">
        <v>77</v>
      </c>
      <c r="O186" s="7" t="s">
        <v>78</v>
      </c>
      <c r="P186" s="7" t="s">
        <v>79</v>
      </c>
    </row>
    <row r="187" customFormat="false" ht="15" hidden="false" customHeight="false" outlineLevel="0" collapsed="false">
      <c r="A187" s="0" t="s">
        <v>107</v>
      </c>
      <c r="B187" s="0" t="s">
        <v>654</v>
      </c>
      <c r="C187" s="0" t="n">
        <v>16</v>
      </c>
      <c r="D187" s="0" t="s">
        <v>655</v>
      </c>
      <c r="E187" s="0" t="s">
        <v>656</v>
      </c>
      <c r="F187" s="0" t="s">
        <v>657</v>
      </c>
      <c r="G187" s="0" t="s">
        <v>658</v>
      </c>
      <c r="H187" s="0" t="s">
        <v>659</v>
      </c>
      <c r="I187" s="0" t="n">
        <v>16</v>
      </c>
      <c r="J187" s="0" t="s">
        <v>660</v>
      </c>
      <c r="K187" s="0" t="s">
        <v>422</v>
      </c>
      <c r="L187" s="0" t="s">
        <v>552</v>
      </c>
      <c r="M187" s="0" t="s">
        <v>304</v>
      </c>
      <c r="N187" s="0" t="s">
        <v>387</v>
      </c>
      <c r="O187" s="0" t="s">
        <v>661</v>
      </c>
      <c r="P187" s="0" t="s">
        <v>634</v>
      </c>
    </row>
    <row r="188" customFormat="false" ht="15" hidden="false" customHeight="false" outlineLevel="0" collapsed="false">
      <c r="A188" s="0" t="s">
        <v>150</v>
      </c>
      <c r="B188" s="0" t="s">
        <v>475</v>
      </c>
      <c r="C188" s="0" t="n">
        <v>15</v>
      </c>
      <c r="D188" s="0" t="s">
        <v>662</v>
      </c>
      <c r="E188" s="0" t="s">
        <v>347</v>
      </c>
      <c r="F188" s="0" t="s">
        <v>663</v>
      </c>
      <c r="G188" s="0" t="s">
        <v>664</v>
      </c>
      <c r="H188" s="0" t="s">
        <v>665</v>
      </c>
      <c r="I188" s="0" t="n">
        <v>15</v>
      </c>
      <c r="J188" s="0" t="s">
        <v>666</v>
      </c>
      <c r="K188" s="0" t="s">
        <v>233</v>
      </c>
      <c r="L188" s="0" t="s">
        <v>667</v>
      </c>
      <c r="M188" s="0" t="s">
        <v>668</v>
      </c>
      <c r="N188" s="0" t="s">
        <v>665</v>
      </c>
      <c r="O188" s="0" t="s">
        <v>355</v>
      </c>
      <c r="P188" s="0" t="s">
        <v>120</v>
      </c>
    </row>
    <row r="189" customFormat="false" ht="15" hidden="false" customHeight="false" outlineLevel="0" collapsed="false">
      <c r="A189" s="0" t="s">
        <v>80</v>
      </c>
      <c r="B189" s="0" t="s">
        <v>669</v>
      </c>
      <c r="C189" s="0" t="n">
        <v>7</v>
      </c>
      <c r="D189" s="0" t="s">
        <v>670</v>
      </c>
      <c r="E189" s="0" t="s">
        <v>671</v>
      </c>
      <c r="F189" s="0" t="s">
        <v>507</v>
      </c>
      <c r="G189" s="0" t="s">
        <v>154</v>
      </c>
      <c r="H189" s="0" t="s">
        <v>672</v>
      </c>
      <c r="I189" s="0" t="n">
        <v>9</v>
      </c>
      <c r="J189" s="0" t="s">
        <v>188</v>
      </c>
      <c r="K189" s="0" t="s">
        <v>123</v>
      </c>
      <c r="L189" s="0" t="s">
        <v>159</v>
      </c>
      <c r="M189" s="0" t="s">
        <v>508</v>
      </c>
      <c r="N189" s="0" t="s">
        <v>364</v>
      </c>
      <c r="O189" s="0" t="s">
        <v>148</v>
      </c>
      <c r="P189" s="0" t="s">
        <v>149</v>
      </c>
    </row>
    <row r="190" customFormat="false" ht="15" hidden="false" customHeight="false" outlineLevel="0" collapsed="false">
      <c r="A190" s="0" t="s">
        <v>121</v>
      </c>
      <c r="C190" s="0" t="n">
        <v>13</v>
      </c>
      <c r="D190" s="0" t="s">
        <v>673</v>
      </c>
      <c r="E190" s="0" t="s">
        <v>484</v>
      </c>
      <c r="F190" s="0" t="s">
        <v>296</v>
      </c>
      <c r="G190" s="0" t="s">
        <v>674</v>
      </c>
      <c r="H190" s="0" t="s">
        <v>187</v>
      </c>
      <c r="I190" s="0" t="n">
        <v>2</v>
      </c>
      <c r="J190" s="0" t="s">
        <v>125</v>
      </c>
      <c r="K190" s="0" t="s">
        <v>217</v>
      </c>
      <c r="L190" s="0" t="s">
        <v>317</v>
      </c>
      <c r="M190" s="0" t="s">
        <v>633</v>
      </c>
      <c r="N190" s="0" t="s">
        <v>440</v>
      </c>
      <c r="O190" s="0" t="s">
        <v>675</v>
      </c>
      <c r="P190" s="0" t="s">
        <v>93</v>
      </c>
    </row>
    <row r="191" customFormat="false" ht="15" hidden="false" customHeight="false" outlineLevel="0" collapsed="false">
      <c r="A191" s="0" t="s">
        <v>94</v>
      </c>
      <c r="C191" s="0" t="n">
        <v>1</v>
      </c>
      <c r="D191" s="0" t="s">
        <v>555</v>
      </c>
      <c r="E191" s="0" t="s">
        <v>676</v>
      </c>
      <c r="F191" s="0" t="s">
        <v>557</v>
      </c>
      <c r="G191" s="0" t="s">
        <v>677</v>
      </c>
      <c r="H191" s="0" t="s">
        <v>382</v>
      </c>
      <c r="I191" s="0" t="n">
        <v>14</v>
      </c>
      <c r="J191" s="0" t="s">
        <v>678</v>
      </c>
      <c r="K191" s="0" t="s">
        <v>110</v>
      </c>
      <c r="L191" s="0" t="s">
        <v>98</v>
      </c>
      <c r="M191" s="0" t="s">
        <v>679</v>
      </c>
      <c r="N191" s="0" t="s">
        <v>680</v>
      </c>
      <c r="O191" s="0" t="s">
        <v>433</v>
      </c>
      <c r="P191" s="0" t="s">
        <v>93</v>
      </c>
    </row>
    <row r="192" customFormat="false" ht="15" hidden="false" customHeight="false" outlineLevel="0" collapsed="false">
      <c r="A192" s="0" t="s">
        <v>131</v>
      </c>
      <c r="C192" s="0" t="n">
        <v>6</v>
      </c>
      <c r="D192" s="0" t="s">
        <v>228</v>
      </c>
      <c r="E192" s="0" t="s">
        <v>528</v>
      </c>
      <c r="F192" s="0" t="s">
        <v>224</v>
      </c>
      <c r="G192" s="0" t="s">
        <v>681</v>
      </c>
      <c r="H192" s="0" t="s">
        <v>384</v>
      </c>
      <c r="I192" s="0" t="n">
        <v>7</v>
      </c>
      <c r="J192" s="0" t="s">
        <v>271</v>
      </c>
      <c r="K192" s="0" t="s">
        <v>326</v>
      </c>
      <c r="L192" s="0" t="s">
        <v>682</v>
      </c>
      <c r="M192" s="0" t="s">
        <v>683</v>
      </c>
      <c r="N192" s="0" t="s">
        <v>604</v>
      </c>
      <c r="O192" s="0" t="s">
        <v>270</v>
      </c>
      <c r="P192" s="0" t="s">
        <v>93</v>
      </c>
    </row>
    <row r="193" customFormat="false" ht="15" hidden="false" customHeight="false" outlineLevel="0" collapsed="false">
      <c r="A193" s="0" t="s">
        <v>142</v>
      </c>
      <c r="C193" s="0" t="n">
        <v>7</v>
      </c>
      <c r="D193" s="0" t="s">
        <v>670</v>
      </c>
      <c r="E193" s="0" t="s">
        <v>602</v>
      </c>
      <c r="F193" s="0" t="s">
        <v>305</v>
      </c>
      <c r="G193" s="0" t="s">
        <v>684</v>
      </c>
      <c r="H193" s="0" t="s">
        <v>672</v>
      </c>
      <c r="I193" s="0" t="n">
        <v>6</v>
      </c>
      <c r="J193" s="0" t="s">
        <v>383</v>
      </c>
      <c r="K193" s="0" t="s">
        <v>562</v>
      </c>
      <c r="L193" s="0" t="s">
        <v>386</v>
      </c>
      <c r="M193" s="0" t="s">
        <v>685</v>
      </c>
      <c r="N193" s="0" t="s">
        <v>113</v>
      </c>
      <c r="O193" s="0" t="s">
        <v>686</v>
      </c>
      <c r="P193" s="0" t="s">
        <v>149</v>
      </c>
    </row>
    <row r="195" customFormat="false" ht="15" hidden="false" customHeight="false" outlineLevel="0" collapsed="false">
      <c r="A195" s="6" t="s">
        <v>687</v>
      </c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customFormat="false" ht="15" hidden="false" customHeight="false" outlineLevel="0" collapsed="false">
      <c r="A196" s="3"/>
      <c r="B196" s="3" t="s">
        <v>688</v>
      </c>
      <c r="C196" s="3" t="s">
        <v>689</v>
      </c>
    </row>
    <row r="197" customFormat="false" ht="15" hidden="false" customHeight="false" outlineLevel="0" collapsed="false">
      <c r="A197" s="3" t="s">
        <v>35</v>
      </c>
      <c r="B197" s="4" t="s">
        <v>690</v>
      </c>
      <c r="C197" s="4" t="s">
        <v>691</v>
      </c>
    </row>
    <row r="198" customFormat="false" ht="15" hidden="false" customHeight="false" outlineLevel="0" collapsed="false">
      <c r="A198" s="3" t="s">
        <v>38</v>
      </c>
      <c r="B198" s="4" t="s">
        <v>692</v>
      </c>
      <c r="C198" s="4" t="s">
        <v>693</v>
      </c>
    </row>
    <row r="199" customFormat="false" ht="15" hidden="false" customHeight="false" outlineLevel="0" collapsed="false">
      <c r="A199" s="3" t="s">
        <v>41</v>
      </c>
      <c r="B199" s="4" t="s">
        <v>102</v>
      </c>
      <c r="C199" s="4" t="s">
        <v>248</v>
      </c>
    </row>
    <row r="200" customFormat="false" ht="15" hidden="false" customHeight="false" outlineLevel="0" collapsed="false">
      <c r="A200" s="3" t="s">
        <v>44</v>
      </c>
      <c r="B200" s="4" t="s">
        <v>694</v>
      </c>
      <c r="C200" s="4" t="s">
        <v>695</v>
      </c>
    </row>
    <row r="201" customFormat="false" ht="15" hidden="false" customHeight="false" outlineLevel="0" collapsed="false">
      <c r="A201" s="3" t="s">
        <v>47</v>
      </c>
      <c r="B201" s="4" t="s">
        <v>696</v>
      </c>
      <c r="C201" s="4" t="s">
        <v>697</v>
      </c>
    </row>
    <row r="202" customFormat="false" ht="15" hidden="false" customHeight="false" outlineLevel="0" collapsed="false">
      <c r="A202" s="3" t="s">
        <v>50</v>
      </c>
      <c r="B202" s="4" t="s">
        <v>698</v>
      </c>
      <c r="C202" s="4" t="s">
        <v>699</v>
      </c>
    </row>
    <row r="203" customFormat="false" ht="15" hidden="false" customHeight="false" outlineLevel="0" collapsed="false">
      <c r="A203" s="3" t="s">
        <v>53</v>
      </c>
      <c r="B203" s="4" t="s">
        <v>700</v>
      </c>
      <c r="C203" s="4" t="s">
        <v>54</v>
      </c>
    </row>
    <row r="204" customFormat="false" ht="105" hidden="false" customHeight="true" outlineLevel="0" collapsed="false">
      <c r="A204" s="3" t="s">
        <v>55</v>
      </c>
      <c r="B204" s="4" t="s">
        <v>701</v>
      </c>
      <c r="C204" s="4" t="s">
        <v>702</v>
      </c>
    </row>
    <row r="205" customFormat="false" ht="68.65" hidden="false" customHeight="false" outlineLevel="0" collapsed="false">
      <c r="A205" s="3" t="s">
        <v>58</v>
      </c>
      <c r="B205" s="4" t="s">
        <v>703</v>
      </c>
      <c r="C205" s="4" t="s">
        <v>704</v>
      </c>
    </row>
    <row r="206" customFormat="false" ht="150" hidden="false" customHeight="true" outlineLevel="0" collapsed="false">
      <c r="A206" s="3" t="s">
        <v>61</v>
      </c>
      <c r="B206" s="4" t="s">
        <v>705</v>
      </c>
      <c r="C206" s="4" t="s">
        <v>706</v>
      </c>
    </row>
    <row r="207" customFormat="false" ht="15" hidden="false" customHeight="false" outlineLevel="0" collapsed="false">
      <c r="A207" s="7" t="s">
        <v>64</v>
      </c>
      <c r="B207" s="7" t="s">
        <v>65</v>
      </c>
      <c r="C207" s="7" t="s">
        <v>66</v>
      </c>
      <c r="D207" s="7" t="s">
        <v>67</v>
      </c>
      <c r="E207" s="7" t="s">
        <v>68</v>
      </c>
      <c r="F207" s="7" t="s">
        <v>69</v>
      </c>
      <c r="G207" s="7" t="s">
        <v>70</v>
      </c>
      <c r="H207" s="7" t="s">
        <v>71</v>
      </c>
      <c r="I207" s="7" t="s">
        <v>72</v>
      </c>
      <c r="J207" s="7" t="s">
        <v>73</v>
      </c>
      <c r="K207" s="7" t="s">
        <v>74</v>
      </c>
      <c r="L207" s="7" t="s">
        <v>75</v>
      </c>
      <c r="M207" s="7" t="s">
        <v>76</v>
      </c>
      <c r="N207" s="7" t="s">
        <v>77</v>
      </c>
      <c r="O207" s="7" t="s">
        <v>78</v>
      </c>
      <c r="P207" s="7" t="s">
        <v>79</v>
      </c>
    </row>
    <row r="208" customFormat="false" ht="15" hidden="false" customHeight="false" outlineLevel="0" collapsed="false">
      <c r="A208" s="0" t="s">
        <v>150</v>
      </c>
      <c r="B208" s="0" t="s">
        <v>95</v>
      </c>
      <c r="C208" s="0" t="n">
        <v>15</v>
      </c>
      <c r="D208" s="0" t="s">
        <v>666</v>
      </c>
      <c r="E208" s="0" t="s">
        <v>229</v>
      </c>
      <c r="F208" s="0" t="s">
        <v>707</v>
      </c>
      <c r="G208" s="0" t="s">
        <v>708</v>
      </c>
      <c r="H208" s="0" t="s">
        <v>709</v>
      </c>
      <c r="I208" s="0" t="n">
        <v>8</v>
      </c>
      <c r="J208" s="0" t="s">
        <v>710</v>
      </c>
      <c r="K208" s="0" t="s">
        <v>711</v>
      </c>
      <c r="L208" s="0" t="s">
        <v>508</v>
      </c>
      <c r="M208" s="0" t="s">
        <v>712</v>
      </c>
      <c r="N208" s="0" t="s">
        <v>551</v>
      </c>
      <c r="O208" s="0" t="s">
        <v>713</v>
      </c>
      <c r="P208" s="0" t="s">
        <v>361</v>
      </c>
    </row>
    <row r="209" customFormat="false" ht="15" hidden="false" customHeight="false" outlineLevel="0" collapsed="false">
      <c r="A209" s="0" t="s">
        <v>142</v>
      </c>
      <c r="B209" s="0" t="s">
        <v>356</v>
      </c>
      <c r="C209" s="0" t="n">
        <v>9</v>
      </c>
      <c r="D209" s="0" t="s">
        <v>714</v>
      </c>
      <c r="E209" s="0" t="s">
        <v>294</v>
      </c>
      <c r="F209" s="0" t="s">
        <v>563</v>
      </c>
      <c r="G209" s="0" t="s">
        <v>715</v>
      </c>
      <c r="H209" s="0" t="s">
        <v>716</v>
      </c>
      <c r="I209" s="0" t="n">
        <v>9</v>
      </c>
      <c r="J209" s="0" t="s">
        <v>362</v>
      </c>
      <c r="K209" s="0" t="s">
        <v>206</v>
      </c>
      <c r="L209" s="0" t="s">
        <v>717</v>
      </c>
      <c r="M209" s="0" t="s">
        <v>707</v>
      </c>
      <c r="N209" s="0" t="s">
        <v>364</v>
      </c>
      <c r="O209" s="0" t="s">
        <v>203</v>
      </c>
      <c r="P209" s="0" t="s">
        <v>93</v>
      </c>
    </row>
    <row r="210" customFormat="false" ht="15" hidden="false" customHeight="false" outlineLevel="0" collapsed="false">
      <c r="A210" s="0" t="s">
        <v>80</v>
      </c>
      <c r="B210" s="0" t="s">
        <v>204</v>
      </c>
      <c r="C210" s="0" t="n">
        <v>12</v>
      </c>
      <c r="D210" s="0" t="s">
        <v>718</v>
      </c>
      <c r="E210" s="0" t="s">
        <v>42</v>
      </c>
      <c r="F210" s="0" t="s">
        <v>353</v>
      </c>
      <c r="G210" s="0" t="s">
        <v>218</v>
      </c>
      <c r="H210" s="0" t="s">
        <v>719</v>
      </c>
      <c r="I210" s="0" t="n">
        <v>5</v>
      </c>
      <c r="J210" s="0" t="s">
        <v>413</v>
      </c>
      <c r="K210" s="0" t="s">
        <v>223</v>
      </c>
      <c r="L210" s="0" t="s">
        <v>607</v>
      </c>
      <c r="M210" s="0" t="s">
        <v>720</v>
      </c>
      <c r="N210" s="0" t="s">
        <v>721</v>
      </c>
      <c r="O210" s="0" t="s">
        <v>722</v>
      </c>
      <c r="P210" s="0" t="s">
        <v>93</v>
      </c>
    </row>
    <row r="211" customFormat="false" ht="15" hidden="false" customHeight="false" outlineLevel="0" collapsed="false">
      <c r="A211" s="0" t="s">
        <v>121</v>
      </c>
      <c r="C211" s="0" t="n">
        <v>12</v>
      </c>
      <c r="D211" s="0" t="s">
        <v>87</v>
      </c>
      <c r="E211" s="0" t="s">
        <v>422</v>
      </c>
      <c r="F211" s="0" t="s">
        <v>723</v>
      </c>
      <c r="G211" s="0" t="s">
        <v>215</v>
      </c>
      <c r="H211" s="0" t="s">
        <v>724</v>
      </c>
      <c r="I211" s="0" t="n">
        <v>3</v>
      </c>
      <c r="J211" s="0" t="s">
        <v>315</v>
      </c>
      <c r="K211" s="0" t="s">
        <v>725</v>
      </c>
      <c r="L211" s="0" t="s">
        <v>726</v>
      </c>
      <c r="M211" s="0" t="s">
        <v>556</v>
      </c>
      <c r="N211" s="0" t="s">
        <v>318</v>
      </c>
      <c r="O211" s="0" t="s">
        <v>727</v>
      </c>
      <c r="P211" s="0" t="s">
        <v>149</v>
      </c>
    </row>
    <row r="212" customFormat="false" ht="15" hidden="false" customHeight="false" outlineLevel="0" collapsed="false">
      <c r="A212" s="0" t="s">
        <v>94</v>
      </c>
      <c r="C212" s="0" t="n">
        <v>2</v>
      </c>
      <c r="D212" s="0" t="s">
        <v>125</v>
      </c>
      <c r="E212" s="0" t="s">
        <v>728</v>
      </c>
      <c r="F212" s="0" t="s">
        <v>317</v>
      </c>
      <c r="G212" s="0" t="s">
        <v>556</v>
      </c>
      <c r="H212" s="0" t="s">
        <v>440</v>
      </c>
      <c r="I212" s="0" t="n">
        <v>3</v>
      </c>
      <c r="J212" s="0" t="s">
        <v>729</v>
      </c>
      <c r="K212" s="0" t="s">
        <v>343</v>
      </c>
      <c r="L212" s="0" t="s">
        <v>372</v>
      </c>
      <c r="M212" s="0" t="s">
        <v>287</v>
      </c>
      <c r="N212" s="0" t="s">
        <v>730</v>
      </c>
      <c r="O212" s="0" t="s">
        <v>731</v>
      </c>
      <c r="P212" s="0" t="s">
        <v>120</v>
      </c>
    </row>
    <row r="213" customFormat="false" ht="15" hidden="false" customHeight="false" outlineLevel="0" collapsed="false">
      <c r="A213" s="0" t="s">
        <v>131</v>
      </c>
      <c r="C213" s="0" t="n">
        <v>12</v>
      </c>
      <c r="D213" s="0" t="s">
        <v>87</v>
      </c>
      <c r="E213" s="0" t="s">
        <v>347</v>
      </c>
      <c r="F213" s="0" t="s">
        <v>312</v>
      </c>
      <c r="G213" s="0" t="s">
        <v>128</v>
      </c>
      <c r="H213" s="0" t="s">
        <v>732</v>
      </c>
      <c r="I213" s="0" t="n">
        <v>4</v>
      </c>
      <c r="J213" s="0" t="s">
        <v>210</v>
      </c>
      <c r="K213" s="0" t="s">
        <v>223</v>
      </c>
      <c r="L213" s="0" t="s">
        <v>733</v>
      </c>
      <c r="M213" s="0" t="s">
        <v>734</v>
      </c>
      <c r="N213" s="0" t="s">
        <v>293</v>
      </c>
      <c r="O213" s="0" t="s">
        <v>106</v>
      </c>
      <c r="P213" s="0" t="s">
        <v>120</v>
      </c>
    </row>
    <row r="214" customFormat="false" ht="15" hidden="false" customHeight="false" outlineLevel="0" collapsed="false">
      <c r="A214" s="0" t="s">
        <v>107</v>
      </c>
      <c r="C214" s="0" t="n">
        <v>12</v>
      </c>
      <c r="D214" s="0" t="s">
        <v>718</v>
      </c>
      <c r="E214" s="0" t="s">
        <v>137</v>
      </c>
      <c r="F214" s="0" t="s">
        <v>544</v>
      </c>
      <c r="G214" s="0" t="s">
        <v>186</v>
      </c>
      <c r="H214" s="0" t="s">
        <v>91</v>
      </c>
      <c r="I214" s="0" t="n">
        <v>1</v>
      </c>
      <c r="J214" s="0" t="s">
        <v>132</v>
      </c>
      <c r="K214" s="0" t="s">
        <v>133</v>
      </c>
      <c r="L214" s="0" t="s">
        <v>596</v>
      </c>
      <c r="M214" s="0" t="s">
        <v>682</v>
      </c>
      <c r="N214" s="0" t="s">
        <v>573</v>
      </c>
      <c r="O214" s="0" t="s">
        <v>570</v>
      </c>
      <c r="P214" s="0" t="s">
        <v>93</v>
      </c>
    </row>
    <row r="216" customFormat="false" ht="15" hidden="false" customHeight="false" outlineLevel="0" collapsed="false">
      <c r="A216" s="6" t="s">
        <v>735</v>
      </c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customFormat="false" ht="15" hidden="false" customHeight="false" outlineLevel="0" collapsed="false">
      <c r="A217" s="3"/>
      <c r="B217" s="3" t="s">
        <v>736</v>
      </c>
      <c r="C217" s="3" t="s">
        <v>737</v>
      </c>
    </row>
    <row r="218" customFormat="false" ht="15" hidden="false" customHeight="false" outlineLevel="0" collapsed="false">
      <c r="A218" s="3" t="s">
        <v>35</v>
      </c>
      <c r="B218" s="4" t="s">
        <v>738</v>
      </c>
      <c r="C218" s="4" t="s">
        <v>739</v>
      </c>
    </row>
    <row r="219" customFormat="false" ht="15" hidden="false" customHeight="false" outlineLevel="0" collapsed="false">
      <c r="A219" s="3" t="s">
        <v>38</v>
      </c>
      <c r="B219" s="4" t="s">
        <v>740</v>
      </c>
      <c r="C219" s="4" t="s">
        <v>741</v>
      </c>
    </row>
    <row r="220" customFormat="false" ht="15" hidden="false" customHeight="false" outlineLevel="0" collapsed="false">
      <c r="A220" s="3" t="s">
        <v>41</v>
      </c>
      <c r="B220" s="4" t="s">
        <v>83</v>
      </c>
      <c r="C220" s="4" t="s">
        <v>742</v>
      </c>
    </row>
    <row r="221" customFormat="false" ht="15" hidden="false" customHeight="false" outlineLevel="0" collapsed="false">
      <c r="A221" s="3" t="s">
        <v>44</v>
      </c>
      <c r="B221" s="4" t="s">
        <v>743</v>
      </c>
      <c r="C221" s="4" t="s">
        <v>744</v>
      </c>
    </row>
    <row r="222" customFormat="false" ht="15" hidden="false" customHeight="false" outlineLevel="0" collapsed="false">
      <c r="A222" s="3" t="s">
        <v>47</v>
      </c>
      <c r="B222" s="4" t="s">
        <v>745</v>
      </c>
      <c r="C222" s="4" t="s">
        <v>746</v>
      </c>
    </row>
    <row r="223" customFormat="false" ht="15" hidden="false" customHeight="false" outlineLevel="0" collapsed="false">
      <c r="A223" s="3" t="s">
        <v>50</v>
      </c>
      <c r="B223" s="4" t="s">
        <v>747</v>
      </c>
      <c r="C223" s="4" t="s">
        <v>748</v>
      </c>
    </row>
    <row r="224" customFormat="false" ht="15" hidden="false" customHeight="false" outlineLevel="0" collapsed="false">
      <c r="A224" s="3" t="s">
        <v>53</v>
      </c>
      <c r="B224" s="4" t="s">
        <v>54</v>
      </c>
      <c r="C224" s="4" t="s">
        <v>54</v>
      </c>
    </row>
    <row r="225" customFormat="false" ht="105" hidden="false" customHeight="true" outlineLevel="0" collapsed="false">
      <c r="A225" s="3" t="s">
        <v>55</v>
      </c>
      <c r="B225" s="4" t="s">
        <v>749</v>
      </c>
      <c r="C225" s="4" t="s">
        <v>750</v>
      </c>
    </row>
    <row r="226" customFormat="false" ht="68.65" hidden="false" customHeight="false" outlineLevel="0" collapsed="false">
      <c r="A226" s="3" t="s">
        <v>58</v>
      </c>
      <c r="B226" s="4" t="s">
        <v>751</v>
      </c>
      <c r="C226" s="4" t="s">
        <v>752</v>
      </c>
    </row>
    <row r="227" customFormat="false" ht="150" hidden="false" customHeight="true" outlineLevel="0" collapsed="false">
      <c r="A227" s="3" t="s">
        <v>61</v>
      </c>
      <c r="B227" s="4" t="s">
        <v>753</v>
      </c>
      <c r="C227" s="4" t="s">
        <v>754</v>
      </c>
    </row>
    <row r="228" customFormat="false" ht="15" hidden="false" customHeight="false" outlineLevel="0" collapsed="false">
      <c r="A228" s="7" t="s">
        <v>64</v>
      </c>
      <c r="B228" s="7" t="s">
        <v>65</v>
      </c>
      <c r="C228" s="7" t="s">
        <v>66</v>
      </c>
      <c r="D228" s="7" t="s">
        <v>67</v>
      </c>
      <c r="E228" s="7" t="s">
        <v>68</v>
      </c>
      <c r="F228" s="7" t="s">
        <v>69</v>
      </c>
      <c r="G228" s="7" t="s">
        <v>70</v>
      </c>
      <c r="H228" s="7" t="s">
        <v>71</v>
      </c>
      <c r="I228" s="7" t="s">
        <v>72</v>
      </c>
      <c r="J228" s="7" t="s">
        <v>73</v>
      </c>
      <c r="K228" s="7" t="s">
        <v>74</v>
      </c>
      <c r="L228" s="7" t="s">
        <v>75</v>
      </c>
      <c r="M228" s="7" t="s">
        <v>76</v>
      </c>
      <c r="N228" s="7" t="s">
        <v>77</v>
      </c>
      <c r="O228" s="7" t="s">
        <v>78</v>
      </c>
      <c r="P228" s="7" t="s">
        <v>79</v>
      </c>
    </row>
    <row r="229" customFormat="false" ht="15" hidden="false" customHeight="false" outlineLevel="0" collapsed="false">
      <c r="A229" s="0" t="s">
        <v>150</v>
      </c>
      <c r="B229" s="0" t="s">
        <v>755</v>
      </c>
      <c r="C229" s="0" t="n">
        <v>12</v>
      </c>
      <c r="D229" s="0" t="s">
        <v>101</v>
      </c>
      <c r="E229" s="0" t="s">
        <v>185</v>
      </c>
      <c r="F229" s="0" t="s">
        <v>756</v>
      </c>
      <c r="G229" s="0" t="s">
        <v>507</v>
      </c>
      <c r="H229" s="0" t="s">
        <v>719</v>
      </c>
      <c r="I229" s="0" t="n">
        <v>12</v>
      </c>
      <c r="J229" s="0" t="s">
        <v>718</v>
      </c>
      <c r="K229" s="0" t="s">
        <v>185</v>
      </c>
      <c r="L229" s="0" t="s">
        <v>139</v>
      </c>
      <c r="M229" s="0" t="s">
        <v>757</v>
      </c>
      <c r="N229" s="0" t="s">
        <v>758</v>
      </c>
      <c r="O229" s="0" t="s">
        <v>627</v>
      </c>
      <c r="P229" s="0" t="s">
        <v>93</v>
      </c>
    </row>
    <row r="230" customFormat="false" ht="15" hidden="false" customHeight="false" outlineLevel="0" collapsed="false">
      <c r="A230" s="0" t="s">
        <v>121</v>
      </c>
      <c r="B230" s="0" t="s">
        <v>194</v>
      </c>
      <c r="C230" s="0" t="n">
        <v>12</v>
      </c>
      <c r="D230" s="0" t="s">
        <v>87</v>
      </c>
      <c r="E230" s="0" t="s">
        <v>185</v>
      </c>
      <c r="F230" s="0" t="s">
        <v>759</v>
      </c>
      <c r="G230" s="0" t="s">
        <v>760</v>
      </c>
      <c r="H230" s="0" t="s">
        <v>105</v>
      </c>
      <c r="I230" s="0" t="n">
        <v>8</v>
      </c>
      <c r="J230" s="0" t="s">
        <v>205</v>
      </c>
      <c r="K230" s="0" t="s">
        <v>185</v>
      </c>
      <c r="L230" s="0" t="s">
        <v>761</v>
      </c>
      <c r="M230" s="0" t="s">
        <v>762</v>
      </c>
      <c r="N230" s="0" t="s">
        <v>763</v>
      </c>
      <c r="O230" s="0" t="s">
        <v>433</v>
      </c>
      <c r="P230" s="0" t="s">
        <v>93</v>
      </c>
    </row>
    <row r="231" customFormat="false" ht="15" hidden="false" customHeight="false" outlineLevel="0" collapsed="false">
      <c r="A231" s="0" t="s">
        <v>131</v>
      </c>
      <c r="B231" s="0" t="s">
        <v>764</v>
      </c>
      <c r="C231" s="0" t="n">
        <v>4</v>
      </c>
      <c r="D231" s="0" t="s">
        <v>96</v>
      </c>
      <c r="E231" s="0" t="s">
        <v>169</v>
      </c>
      <c r="F231" s="0" t="s">
        <v>734</v>
      </c>
      <c r="G231" s="0" t="s">
        <v>277</v>
      </c>
      <c r="H231" s="0" t="s">
        <v>569</v>
      </c>
      <c r="I231" s="0" t="n">
        <v>12</v>
      </c>
      <c r="J231" s="0" t="s">
        <v>718</v>
      </c>
      <c r="K231" s="0" t="s">
        <v>248</v>
      </c>
      <c r="L231" s="0" t="s">
        <v>682</v>
      </c>
      <c r="M231" s="0" t="s">
        <v>765</v>
      </c>
      <c r="N231" s="0" t="s">
        <v>766</v>
      </c>
      <c r="O231" s="0" t="s">
        <v>560</v>
      </c>
      <c r="P231" s="0" t="s">
        <v>93</v>
      </c>
    </row>
    <row r="232" customFormat="false" ht="15" hidden="false" customHeight="false" outlineLevel="0" collapsed="false">
      <c r="A232" s="0" t="s">
        <v>94</v>
      </c>
      <c r="C232" s="0" t="n">
        <v>0</v>
      </c>
      <c r="I232" s="0" t="n">
        <v>6</v>
      </c>
      <c r="J232" s="0" t="s">
        <v>228</v>
      </c>
      <c r="K232" s="0" t="s">
        <v>229</v>
      </c>
      <c r="L232" s="0" t="s">
        <v>99</v>
      </c>
      <c r="M232" s="0" t="s">
        <v>734</v>
      </c>
      <c r="N232" s="0" t="s">
        <v>626</v>
      </c>
      <c r="O232" s="0" t="s">
        <v>141</v>
      </c>
      <c r="P232" s="0" t="s">
        <v>93</v>
      </c>
    </row>
    <row r="233" customFormat="false" ht="15" hidden="false" customHeight="false" outlineLevel="0" collapsed="false">
      <c r="A233" s="0" t="s">
        <v>107</v>
      </c>
      <c r="C233" s="0" t="n">
        <v>15</v>
      </c>
      <c r="D233" s="0" t="s">
        <v>662</v>
      </c>
      <c r="E233" s="0" t="s">
        <v>625</v>
      </c>
      <c r="F233" s="0" t="s">
        <v>267</v>
      </c>
      <c r="G233" s="0" t="s">
        <v>762</v>
      </c>
      <c r="H233" s="0" t="s">
        <v>767</v>
      </c>
      <c r="I233" s="0" t="n">
        <v>0</v>
      </c>
      <c r="O233" s="0" t="s">
        <v>768</v>
      </c>
      <c r="P233" s="0" t="s">
        <v>93</v>
      </c>
    </row>
    <row r="234" customFormat="false" ht="15" hidden="false" customHeight="false" outlineLevel="0" collapsed="false">
      <c r="A234" s="0" t="s">
        <v>142</v>
      </c>
      <c r="C234" s="0" t="n">
        <v>6</v>
      </c>
      <c r="D234" s="0" t="s">
        <v>383</v>
      </c>
      <c r="E234" s="0" t="s">
        <v>206</v>
      </c>
      <c r="F234" s="0" t="s">
        <v>304</v>
      </c>
      <c r="G234" s="0" t="s">
        <v>769</v>
      </c>
      <c r="H234" s="0" t="s">
        <v>384</v>
      </c>
      <c r="I234" s="0" t="n">
        <v>8</v>
      </c>
      <c r="J234" s="0" t="s">
        <v>421</v>
      </c>
      <c r="K234" s="0" t="s">
        <v>233</v>
      </c>
      <c r="L234" s="0" t="s">
        <v>348</v>
      </c>
      <c r="M234" s="0" t="s">
        <v>128</v>
      </c>
      <c r="N234" s="0" t="s">
        <v>763</v>
      </c>
      <c r="O234" s="0" t="s">
        <v>770</v>
      </c>
      <c r="P234" s="0" t="s">
        <v>93</v>
      </c>
    </row>
    <row r="235" customFormat="false" ht="15" hidden="false" customHeight="false" outlineLevel="0" collapsed="false">
      <c r="A235" s="0" t="s">
        <v>80</v>
      </c>
      <c r="C235" s="0" t="n">
        <v>6</v>
      </c>
      <c r="D235" s="0" t="s">
        <v>383</v>
      </c>
      <c r="E235" s="0" t="s">
        <v>229</v>
      </c>
      <c r="F235" s="0" t="s">
        <v>134</v>
      </c>
      <c r="G235" s="0" t="s">
        <v>116</v>
      </c>
      <c r="H235" s="0" t="s">
        <v>113</v>
      </c>
      <c r="I235" s="0" t="n">
        <v>7</v>
      </c>
      <c r="J235" s="0" t="s">
        <v>601</v>
      </c>
      <c r="K235" s="0" t="s">
        <v>326</v>
      </c>
      <c r="L235" s="0" t="s">
        <v>771</v>
      </c>
      <c r="M235" s="0" t="s">
        <v>772</v>
      </c>
      <c r="N235" s="0" t="s">
        <v>446</v>
      </c>
      <c r="O235" s="0" t="s">
        <v>722</v>
      </c>
      <c r="P235" s="0" t="s">
        <v>93</v>
      </c>
    </row>
    <row r="237" customFormat="false" ht="15" hidden="false" customHeight="false" outlineLevel="0" collapsed="false">
      <c r="A237" s="6" t="s">
        <v>773</v>
      </c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customFormat="false" ht="15" hidden="false" customHeight="false" outlineLevel="0" collapsed="false">
      <c r="A238" s="3"/>
      <c r="B238" s="3" t="s">
        <v>774</v>
      </c>
      <c r="C238" s="3" t="s">
        <v>775</v>
      </c>
    </row>
    <row r="239" customFormat="false" ht="15" hidden="false" customHeight="false" outlineLevel="0" collapsed="false">
      <c r="A239" s="3" t="s">
        <v>35</v>
      </c>
      <c r="B239" s="4" t="s">
        <v>776</v>
      </c>
      <c r="C239" s="4" t="s">
        <v>777</v>
      </c>
    </row>
    <row r="240" customFormat="false" ht="15" hidden="false" customHeight="false" outlineLevel="0" collapsed="false">
      <c r="A240" s="3" t="s">
        <v>38</v>
      </c>
      <c r="B240" s="4" t="s">
        <v>778</v>
      </c>
      <c r="C240" s="4" t="s">
        <v>779</v>
      </c>
    </row>
    <row r="241" customFormat="false" ht="15" hidden="false" customHeight="false" outlineLevel="0" collapsed="false">
      <c r="A241" s="3" t="s">
        <v>41</v>
      </c>
      <c r="B241" s="4" t="s">
        <v>326</v>
      </c>
      <c r="C241" s="4" t="s">
        <v>484</v>
      </c>
    </row>
    <row r="242" customFormat="false" ht="15" hidden="false" customHeight="false" outlineLevel="0" collapsed="false">
      <c r="A242" s="3" t="s">
        <v>44</v>
      </c>
      <c r="B242" s="4" t="s">
        <v>780</v>
      </c>
      <c r="C242" s="4" t="s">
        <v>781</v>
      </c>
    </row>
    <row r="243" customFormat="false" ht="15" hidden="false" customHeight="false" outlineLevel="0" collapsed="false">
      <c r="A243" s="3" t="s">
        <v>47</v>
      </c>
      <c r="B243" s="4" t="s">
        <v>782</v>
      </c>
      <c r="C243" s="4" t="s">
        <v>583</v>
      </c>
    </row>
    <row r="244" customFormat="false" ht="15" hidden="false" customHeight="false" outlineLevel="0" collapsed="false">
      <c r="A244" s="3" t="s">
        <v>50</v>
      </c>
      <c r="B244" s="4" t="s">
        <v>783</v>
      </c>
      <c r="C244" s="4" t="s">
        <v>784</v>
      </c>
    </row>
    <row r="245" customFormat="false" ht="15" hidden="false" customHeight="false" outlineLevel="0" collapsed="false">
      <c r="A245" s="3" t="s">
        <v>53</v>
      </c>
      <c r="B245" s="4" t="s">
        <v>785</v>
      </c>
      <c r="C245" s="4" t="s">
        <v>786</v>
      </c>
    </row>
    <row r="246" customFormat="false" ht="105" hidden="false" customHeight="true" outlineLevel="0" collapsed="false">
      <c r="A246" s="3" t="s">
        <v>55</v>
      </c>
      <c r="B246" s="4" t="s">
        <v>787</v>
      </c>
      <c r="C246" s="4" t="s">
        <v>788</v>
      </c>
    </row>
    <row r="247" customFormat="false" ht="68.65" hidden="false" customHeight="false" outlineLevel="0" collapsed="false">
      <c r="A247" s="3" t="s">
        <v>58</v>
      </c>
      <c r="B247" s="4" t="s">
        <v>789</v>
      </c>
      <c r="C247" s="4" t="s">
        <v>790</v>
      </c>
    </row>
    <row r="248" customFormat="false" ht="150" hidden="false" customHeight="true" outlineLevel="0" collapsed="false">
      <c r="A248" s="3" t="s">
        <v>61</v>
      </c>
      <c r="B248" s="4" t="s">
        <v>791</v>
      </c>
      <c r="C248" s="4" t="s">
        <v>792</v>
      </c>
    </row>
    <row r="249" customFormat="false" ht="15" hidden="false" customHeight="false" outlineLevel="0" collapsed="false">
      <c r="A249" s="7" t="s">
        <v>64</v>
      </c>
      <c r="B249" s="7" t="s">
        <v>65</v>
      </c>
      <c r="C249" s="7" t="s">
        <v>66</v>
      </c>
      <c r="D249" s="7" t="s">
        <v>67</v>
      </c>
      <c r="E249" s="7" t="s">
        <v>68</v>
      </c>
      <c r="F249" s="7" t="s">
        <v>69</v>
      </c>
      <c r="G249" s="7" t="s">
        <v>70</v>
      </c>
      <c r="H249" s="7" t="s">
        <v>71</v>
      </c>
      <c r="I249" s="7" t="s">
        <v>72</v>
      </c>
      <c r="J249" s="7" t="s">
        <v>73</v>
      </c>
      <c r="K249" s="7" t="s">
        <v>74</v>
      </c>
      <c r="L249" s="7" t="s">
        <v>75</v>
      </c>
      <c r="M249" s="7" t="s">
        <v>76</v>
      </c>
      <c r="N249" s="7" t="s">
        <v>77</v>
      </c>
      <c r="O249" s="7" t="s">
        <v>78</v>
      </c>
      <c r="P249" s="7" t="s">
        <v>79</v>
      </c>
    </row>
    <row r="250" customFormat="false" ht="15" hidden="false" customHeight="false" outlineLevel="0" collapsed="false">
      <c r="A250" s="0" t="s">
        <v>107</v>
      </c>
      <c r="B250" s="0" t="s">
        <v>475</v>
      </c>
      <c r="C250" s="0" t="n">
        <v>19</v>
      </c>
      <c r="D250" s="0" t="s">
        <v>793</v>
      </c>
      <c r="E250" s="0" t="s">
        <v>352</v>
      </c>
      <c r="F250" s="0" t="s">
        <v>794</v>
      </c>
      <c r="G250" s="0" t="s">
        <v>268</v>
      </c>
      <c r="H250" s="0" t="s">
        <v>795</v>
      </c>
      <c r="I250" s="0" t="n">
        <v>45</v>
      </c>
      <c r="J250" s="0" t="s">
        <v>796</v>
      </c>
      <c r="K250" s="0" t="s">
        <v>528</v>
      </c>
      <c r="L250" s="0" t="s">
        <v>797</v>
      </c>
      <c r="M250" s="0" t="s">
        <v>679</v>
      </c>
      <c r="N250" s="0" t="s">
        <v>798</v>
      </c>
      <c r="O250" s="0" t="s">
        <v>799</v>
      </c>
      <c r="P250" s="0" t="s">
        <v>93</v>
      </c>
    </row>
    <row r="251" customFormat="false" ht="15" hidden="false" customHeight="false" outlineLevel="0" collapsed="false">
      <c r="A251" s="0" t="s">
        <v>80</v>
      </c>
      <c r="B251" s="0" t="s">
        <v>800</v>
      </c>
      <c r="C251" s="0" t="n">
        <v>12</v>
      </c>
      <c r="D251" s="0" t="s">
        <v>101</v>
      </c>
      <c r="E251" s="0" t="s">
        <v>133</v>
      </c>
      <c r="F251" s="0" t="s">
        <v>230</v>
      </c>
      <c r="G251" s="0" t="s">
        <v>723</v>
      </c>
      <c r="H251" s="0" t="s">
        <v>91</v>
      </c>
      <c r="I251" s="0" t="n">
        <v>40</v>
      </c>
      <c r="J251" s="0" t="s">
        <v>801</v>
      </c>
      <c r="K251" s="0" t="s">
        <v>281</v>
      </c>
      <c r="L251" s="0" t="s">
        <v>89</v>
      </c>
      <c r="M251" s="0" t="s">
        <v>802</v>
      </c>
      <c r="N251" s="0" t="s">
        <v>803</v>
      </c>
      <c r="O251" s="0" t="s">
        <v>804</v>
      </c>
      <c r="P251" s="0" t="s">
        <v>120</v>
      </c>
    </row>
    <row r="252" customFormat="false" ht="15" hidden="false" customHeight="false" outlineLevel="0" collapsed="false">
      <c r="A252" s="0" t="s">
        <v>94</v>
      </c>
      <c r="B252" s="0" t="s">
        <v>108</v>
      </c>
      <c r="C252" s="0" t="n">
        <v>11</v>
      </c>
      <c r="D252" s="0" t="s">
        <v>280</v>
      </c>
      <c r="E252" s="0" t="s">
        <v>625</v>
      </c>
      <c r="F252" s="0" t="s">
        <v>757</v>
      </c>
      <c r="G252" s="0" t="s">
        <v>565</v>
      </c>
      <c r="H252" s="0" t="s">
        <v>284</v>
      </c>
      <c r="I252" s="0" t="n">
        <v>31</v>
      </c>
      <c r="J252" s="0" t="s">
        <v>805</v>
      </c>
      <c r="K252" s="0" t="s">
        <v>133</v>
      </c>
      <c r="L252" s="0" t="s">
        <v>806</v>
      </c>
      <c r="M252" s="0" t="s">
        <v>807</v>
      </c>
      <c r="N252" s="0" t="s">
        <v>808</v>
      </c>
      <c r="O252" s="0" t="s">
        <v>809</v>
      </c>
      <c r="P252" s="0" t="s">
        <v>149</v>
      </c>
    </row>
    <row r="253" customFormat="false" ht="15" hidden="false" customHeight="false" outlineLevel="0" collapsed="false">
      <c r="A253" s="0" t="s">
        <v>121</v>
      </c>
      <c r="C253" s="0" t="n">
        <v>9</v>
      </c>
      <c r="D253" s="0" t="s">
        <v>188</v>
      </c>
      <c r="E253" s="0" t="s">
        <v>477</v>
      </c>
      <c r="F253" s="0" t="s">
        <v>431</v>
      </c>
      <c r="G253" s="0" t="s">
        <v>154</v>
      </c>
      <c r="H253" s="0" t="s">
        <v>118</v>
      </c>
      <c r="I253" s="0" t="n">
        <v>12</v>
      </c>
      <c r="J253" s="0" t="s">
        <v>101</v>
      </c>
      <c r="K253" s="0" t="s">
        <v>422</v>
      </c>
      <c r="L253" s="0" t="s">
        <v>497</v>
      </c>
      <c r="M253" s="0" t="s">
        <v>760</v>
      </c>
      <c r="N253" s="0" t="s">
        <v>91</v>
      </c>
      <c r="O253" s="0" t="s">
        <v>810</v>
      </c>
      <c r="P253" s="0" t="s">
        <v>93</v>
      </c>
    </row>
    <row r="254" customFormat="false" ht="15" hidden="false" customHeight="false" outlineLevel="0" collapsed="false">
      <c r="A254" s="0" t="s">
        <v>131</v>
      </c>
      <c r="C254" s="0" t="n">
        <v>15</v>
      </c>
      <c r="D254" s="0" t="s">
        <v>365</v>
      </c>
      <c r="E254" s="0" t="s">
        <v>811</v>
      </c>
      <c r="F254" s="0" t="s">
        <v>812</v>
      </c>
      <c r="G254" s="0" t="s">
        <v>296</v>
      </c>
      <c r="H254" s="0" t="s">
        <v>709</v>
      </c>
      <c r="I254" s="0" t="n">
        <v>15</v>
      </c>
      <c r="J254" s="0" t="s">
        <v>303</v>
      </c>
      <c r="K254" s="0" t="s">
        <v>422</v>
      </c>
      <c r="L254" s="0" t="s">
        <v>423</v>
      </c>
      <c r="M254" s="0" t="s">
        <v>759</v>
      </c>
      <c r="N254" s="0" t="s">
        <v>767</v>
      </c>
      <c r="O254" s="0" t="s">
        <v>813</v>
      </c>
      <c r="P254" s="0" t="s">
        <v>149</v>
      </c>
    </row>
    <row r="255" customFormat="false" ht="15" hidden="false" customHeight="false" outlineLevel="0" collapsed="false">
      <c r="A255" s="0" t="s">
        <v>142</v>
      </c>
      <c r="C255" s="0" t="n">
        <v>0</v>
      </c>
      <c r="I255" s="0" t="n">
        <v>16</v>
      </c>
      <c r="J255" s="0" t="s">
        <v>814</v>
      </c>
      <c r="K255" s="0" t="s">
        <v>281</v>
      </c>
      <c r="L255" s="0" t="s">
        <v>268</v>
      </c>
      <c r="M255" s="0" t="s">
        <v>664</v>
      </c>
      <c r="N255" s="0" t="s">
        <v>815</v>
      </c>
      <c r="O255" s="0" t="s">
        <v>816</v>
      </c>
      <c r="P255" s="0" t="s">
        <v>93</v>
      </c>
    </row>
    <row r="256" customFormat="false" ht="15" hidden="false" customHeight="false" outlineLevel="0" collapsed="false">
      <c r="A256" s="0" t="s">
        <v>150</v>
      </c>
      <c r="C256" s="0" t="n">
        <v>13</v>
      </c>
      <c r="D256" s="0" t="s">
        <v>136</v>
      </c>
      <c r="E256" s="0" t="s">
        <v>214</v>
      </c>
      <c r="F256" s="0" t="s">
        <v>348</v>
      </c>
      <c r="G256" s="0" t="s">
        <v>817</v>
      </c>
      <c r="H256" s="0" t="s">
        <v>187</v>
      </c>
      <c r="I256" s="0" t="n">
        <v>20</v>
      </c>
      <c r="J256" s="0" t="s">
        <v>818</v>
      </c>
      <c r="K256" s="0" t="s">
        <v>185</v>
      </c>
      <c r="L256" s="0" t="s">
        <v>545</v>
      </c>
      <c r="M256" s="0" t="s">
        <v>305</v>
      </c>
      <c r="N256" s="0" t="s">
        <v>819</v>
      </c>
      <c r="O256" s="0" t="s">
        <v>424</v>
      </c>
      <c r="P256" s="0" t="s">
        <v>93</v>
      </c>
    </row>
    <row r="258" customFormat="false" ht="15" hidden="false" customHeight="false" outlineLevel="0" collapsed="false">
      <c r="A258" s="6" t="s">
        <v>820</v>
      </c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customFormat="false" ht="15" hidden="false" customHeight="false" outlineLevel="0" collapsed="false">
      <c r="A259" s="3"/>
      <c r="B259" s="3" t="s">
        <v>821</v>
      </c>
      <c r="C259" s="3" t="s">
        <v>822</v>
      </c>
    </row>
    <row r="260" customFormat="false" ht="15" hidden="false" customHeight="false" outlineLevel="0" collapsed="false">
      <c r="A260" s="3" t="s">
        <v>35</v>
      </c>
      <c r="B260" s="4" t="s">
        <v>823</v>
      </c>
      <c r="C260" s="4" t="s">
        <v>824</v>
      </c>
    </row>
    <row r="261" customFormat="false" ht="15" hidden="false" customHeight="false" outlineLevel="0" collapsed="false">
      <c r="A261" s="3" t="s">
        <v>38</v>
      </c>
      <c r="B261" s="4" t="s">
        <v>825</v>
      </c>
      <c r="C261" s="4" t="s">
        <v>826</v>
      </c>
    </row>
    <row r="262" customFormat="false" ht="15" hidden="false" customHeight="false" outlineLevel="0" collapsed="false">
      <c r="A262" s="3" t="s">
        <v>41</v>
      </c>
      <c r="B262" s="4" t="s">
        <v>460</v>
      </c>
      <c r="C262" s="4" t="s">
        <v>343</v>
      </c>
    </row>
    <row r="263" customFormat="false" ht="15" hidden="false" customHeight="false" outlineLevel="0" collapsed="false">
      <c r="A263" s="3" t="s">
        <v>44</v>
      </c>
      <c r="B263" s="4" t="s">
        <v>827</v>
      </c>
      <c r="C263" s="4" t="s">
        <v>828</v>
      </c>
    </row>
    <row r="264" customFormat="false" ht="15" hidden="false" customHeight="false" outlineLevel="0" collapsed="false">
      <c r="A264" s="3" t="s">
        <v>47</v>
      </c>
      <c r="B264" s="4" t="s">
        <v>829</v>
      </c>
      <c r="C264" s="4" t="s">
        <v>830</v>
      </c>
    </row>
    <row r="265" customFormat="false" ht="15" hidden="false" customHeight="false" outlineLevel="0" collapsed="false">
      <c r="A265" s="3" t="s">
        <v>50</v>
      </c>
      <c r="B265" s="4" t="s">
        <v>831</v>
      </c>
      <c r="C265" s="4" t="s">
        <v>832</v>
      </c>
    </row>
    <row r="266" customFormat="false" ht="15" hidden="false" customHeight="false" outlineLevel="0" collapsed="false">
      <c r="A266" s="3" t="s">
        <v>53</v>
      </c>
      <c r="B266" s="4" t="s">
        <v>54</v>
      </c>
      <c r="C266" s="4" t="s">
        <v>54</v>
      </c>
    </row>
    <row r="267" customFormat="false" ht="105" hidden="false" customHeight="true" outlineLevel="0" collapsed="false">
      <c r="A267" s="3" t="s">
        <v>55</v>
      </c>
      <c r="B267" s="4" t="s">
        <v>833</v>
      </c>
      <c r="C267" s="4" t="s">
        <v>834</v>
      </c>
    </row>
    <row r="268" customFormat="false" ht="68.65" hidden="false" customHeight="false" outlineLevel="0" collapsed="false">
      <c r="A268" s="3" t="s">
        <v>58</v>
      </c>
      <c r="B268" s="4" t="s">
        <v>835</v>
      </c>
      <c r="C268" s="4" t="s">
        <v>836</v>
      </c>
    </row>
    <row r="269" customFormat="false" ht="150" hidden="false" customHeight="true" outlineLevel="0" collapsed="false">
      <c r="A269" s="3" t="s">
        <v>61</v>
      </c>
      <c r="B269" s="4" t="s">
        <v>837</v>
      </c>
      <c r="C269" s="4" t="s">
        <v>838</v>
      </c>
    </row>
    <row r="270" customFormat="false" ht="15" hidden="false" customHeight="false" outlineLevel="0" collapsed="false">
      <c r="A270" s="7" t="s">
        <v>64</v>
      </c>
      <c r="B270" s="7" t="s">
        <v>65</v>
      </c>
      <c r="C270" s="7" t="s">
        <v>66</v>
      </c>
      <c r="D270" s="7" t="s">
        <v>67</v>
      </c>
      <c r="E270" s="7" t="s">
        <v>68</v>
      </c>
      <c r="F270" s="7" t="s">
        <v>69</v>
      </c>
      <c r="G270" s="7" t="s">
        <v>70</v>
      </c>
      <c r="H270" s="7" t="s">
        <v>71</v>
      </c>
      <c r="I270" s="7" t="s">
        <v>72</v>
      </c>
      <c r="J270" s="7" t="s">
        <v>73</v>
      </c>
      <c r="K270" s="7" t="s">
        <v>74</v>
      </c>
      <c r="L270" s="7" t="s">
        <v>75</v>
      </c>
      <c r="M270" s="7" t="s">
        <v>76</v>
      </c>
      <c r="N270" s="7" t="s">
        <v>77</v>
      </c>
      <c r="O270" s="7" t="s">
        <v>78</v>
      </c>
      <c r="P270" s="7" t="s">
        <v>79</v>
      </c>
    </row>
    <row r="271" customFormat="false" ht="15" hidden="false" customHeight="false" outlineLevel="0" collapsed="false">
      <c r="A271" s="0" t="s">
        <v>107</v>
      </c>
      <c r="B271" s="0" t="s">
        <v>839</v>
      </c>
      <c r="C271" s="0" t="n">
        <v>11</v>
      </c>
      <c r="D271" s="0" t="s">
        <v>156</v>
      </c>
      <c r="E271" s="0" t="s">
        <v>157</v>
      </c>
      <c r="F271" s="0" t="s">
        <v>840</v>
      </c>
      <c r="G271" s="0" t="s">
        <v>296</v>
      </c>
      <c r="H271" s="0" t="s">
        <v>841</v>
      </c>
      <c r="I271" s="0" t="n">
        <v>15</v>
      </c>
      <c r="J271" s="0" t="s">
        <v>666</v>
      </c>
      <c r="K271" s="0" t="s">
        <v>528</v>
      </c>
      <c r="L271" s="0" t="s">
        <v>734</v>
      </c>
      <c r="M271" s="0" t="s">
        <v>663</v>
      </c>
      <c r="N271" s="0" t="s">
        <v>767</v>
      </c>
      <c r="O271" s="0" t="s">
        <v>481</v>
      </c>
      <c r="P271" s="0" t="s">
        <v>120</v>
      </c>
    </row>
    <row r="272" customFormat="false" ht="15" hidden="false" customHeight="false" outlineLevel="0" collapsed="false">
      <c r="A272" s="0" t="s">
        <v>150</v>
      </c>
      <c r="B272" s="0" t="s">
        <v>800</v>
      </c>
      <c r="C272" s="0" t="n">
        <v>11</v>
      </c>
      <c r="D272" s="0" t="s">
        <v>280</v>
      </c>
      <c r="E272" s="0" t="s">
        <v>484</v>
      </c>
      <c r="F272" s="0" t="s">
        <v>311</v>
      </c>
      <c r="G272" s="0" t="s">
        <v>674</v>
      </c>
      <c r="H272" s="0" t="s">
        <v>420</v>
      </c>
      <c r="I272" s="0" t="n">
        <v>12</v>
      </c>
      <c r="J272" s="0" t="s">
        <v>718</v>
      </c>
      <c r="K272" s="0" t="s">
        <v>460</v>
      </c>
      <c r="L272" s="0" t="s">
        <v>112</v>
      </c>
      <c r="M272" s="0" t="s">
        <v>308</v>
      </c>
      <c r="N272" s="0" t="s">
        <v>724</v>
      </c>
      <c r="O272" s="0" t="s">
        <v>193</v>
      </c>
      <c r="P272" s="0" t="s">
        <v>93</v>
      </c>
    </row>
    <row r="273" customFormat="false" ht="15" hidden="false" customHeight="false" outlineLevel="0" collapsed="false">
      <c r="A273" s="0" t="s">
        <v>131</v>
      </c>
      <c r="B273" s="0" t="s">
        <v>764</v>
      </c>
      <c r="C273" s="0" t="n">
        <v>9</v>
      </c>
      <c r="D273" s="0" t="s">
        <v>114</v>
      </c>
      <c r="E273" s="0" t="s">
        <v>609</v>
      </c>
      <c r="F273" s="0" t="s">
        <v>681</v>
      </c>
      <c r="G273" s="0" t="s">
        <v>842</v>
      </c>
      <c r="H273" s="0" t="s">
        <v>364</v>
      </c>
      <c r="I273" s="0" t="n">
        <v>8</v>
      </c>
      <c r="J273" s="0" t="s">
        <v>843</v>
      </c>
      <c r="K273" s="0" t="s">
        <v>609</v>
      </c>
      <c r="L273" s="0" t="s">
        <v>844</v>
      </c>
      <c r="M273" s="0" t="s">
        <v>845</v>
      </c>
      <c r="N273" s="0" t="s">
        <v>846</v>
      </c>
      <c r="O273" s="0" t="s">
        <v>270</v>
      </c>
      <c r="P273" s="0" t="s">
        <v>93</v>
      </c>
    </row>
    <row r="274" customFormat="false" ht="15" hidden="false" customHeight="false" outlineLevel="0" collapsed="false">
      <c r="A274" s="0" t="s">
        <v>121</v>
      </c>
      <c r="C274" s="0" t="n">
        <v>0</v>
      </c>
      <c r="I274" s="0" t="n">
        <v>8</v>
      </c>
      <c r="J274" s="0" t="s">
        <v>205</v>
      </c>
      <c r="K274" s="0" t="s">
        <v>479</v>
      </c>
      <c r="L274" s="0" t="s">
        <v>847</v>
      </c>
      <c r="M274" s="0" t="s">
        <v>111</v>
      </c>
      <c r="N274" s="0" t="s">
        <v>848</v>
      </c>
      <c r="O274" s="0" t="s">
        <v>849</v>
      </c>
      <c r="P274" s="0" t="s">
        <v>93</v>
      </c>
    </row>
    <row r="275" customFormat="false" ht="15" hidden="false" customHeight="false" outlineLevel="0" collapsed="false">
      <c r="A275" s="0" t="s">
        <v>94</v>
      </c>
      <c r="C275" s="0" t="n">
        <v>6</v>
      </c>
      <c r="D275" s="0" t="s">
        <v>383</v>
      </c>
      <c r="E275" s="0" t="s">
        <v>185</v>
      </c>
      <c r="F275" s="0" t="s">
        <v>545</v>
      </c>
      <c r="G275" s="0" t="s">
        <v>668</v>
      </c>
      <c r="H275" s="0" t="s">
        <v>113</v>
      </c>
      <c r="I275" s="0" t="n">
        <v>0</v>
      </c>
      <c r="O275" s="0" t="s">
        <v>816</v>
      </c>
      <c r="P275" s="0" t="s">
        <v>93</v>
      </c>
    </row>
    <row r="276" customFormat="false" ht="15" hidden="false" customHeight="false" outlineLevel="0" collapsed="false">
      <c r="A276" s="0" t="s">
        <v>142</v>
      </c>
      <c r="C276" s="0" t="n">
        <v>8</v>
      </c>
      <c r="D276" s="0" t="s">
        <v>850</v>
      </c>
      <c r="E276" s="0" t="s">
        <v>851</v>
      </c>
      <c r="F276" s="0" t="s">
        <v>852</v>
      </c>
      <c r="G276" s="0" t="s">
        <v>853</v>
      </c>
      <c r="H276" s="0" t="s">
        <v>551</v>
      </c>
      <c r="I276" s="0" t="n">
        <v>9</v>
      </c>
      <c r="J276" s="0" t="s">
        <v>714</v>
      </c>
      <c r="K276" s="0" t="s">
        <v>854</v>
      </c>
      <c r="L276" s="0" t="s">
        <v>855</v>
      </c>
      <c r="M276" s="0" t="s">
        <v>614</v>
      </c>
      <c r="N276" s="0" t="s">
        <v>118</v>
      </c>
      <c r="O276" s="0" t="s">
        <v>856</v>
      </c>
      <c r="P276" s="0" t="s">
        <v>857</v>
      </c>
    </row>
    <row r="277" customFormat="false" ht="15" hidden="false" customHeight="false" outlineLevel="0" collapsed="false">
      <c r="A277" s="0" t="s">
        <v>80</v>
      </c>
      <c r="C277" s="0" t="n">
        <v>7</v>
      </c>
      <c r="D277" s="0" t="s">
        <v>601</v>
      </c>
      <c r="E277" s="0" t="s">
        <v>858</v>
      </c>
      <c r="F277" s="0" t="s">
        <v>516</v>
      </c>
      <c r="G277" s="0" t="s">
        <v>373</v>
      </c>
      <c r="H277" s="0" t="s">
        <v>624</v>
      </c>
      <c r="I277" s="0" t="n">
        <v>6</v>
      </c>
      <c r="J277" s="0" t="s">
        <v>228</v>
      </c>
      <c r="K277" s="0" t="s">
        <v>169</v>
      </c>
      <c r="L277" s="0" t="s">
        <v>128</v>
      </c>
      <c r="M277" s="0" t="s">
        <v>619</v>
      </c>
      <c r="N277" s="0" t="s">
        <v>626</v>
      </c>
      <c r="O277" s="0" t="s">
        <v>859</v>
      </c>
      <c r="P277" s="0" t="s">
        <v>93</v>
      </c>
    </row>
    <row r="279" customFormat="false" ht="15" hidden="false" customHeight="false" outlineLevel="0" collapsed="false">
      <c r="A279" s="6" t="s">
        <v>860</v>
      </c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 customFormat="false" ht="15" hidden="false" customHeight="false" outlineLevel="0" collapsed="false">
      <c r="A280" s="3"/>
      <c r="B280" s="3" t="s">
        <v>861</v>
      </c>
      <c r="C280" s="3" t="s">
        <v>862</v>
      </c>
    </row>
    <row r="281" customFormat="false" ht="15" hidden="false" customHeight="false" outlineLevel="0" collapsed="false">
      <c r="A281" s="3" t="s">
        <v>35</v>
      </c>
      <c r="B281" s="4" t="s">
        <v>863</v>
      </c>
      <c r="C281" s="4" t="s">
        <v>864</v>
      </c>
    </row>
    <row r="282" customFormat="false" ht="15" hidden="false" customHeight="false" outlineLevel="0" collapsed="false">
      <c r="A282" s="3" t="s">
        <v>38</v>
      </c>
      <c r="B282" s="4" t="s">
        <v>865</v>
      </c>
      <c r="C282" s="4" t="s">
        <v>866</v>
      </c>
    </row>
    <row r="283" customFormat="false" ht="15" hidden="false" customHeight="false" outlineLevel="0" collapsed="false">
      <c r="A283" s="3" t="s">
        <v>41</v>
      </c>
      <c r="B283" s="4" t="s">
        <v>123</v>
      </c>
      <c r="C283" s="4" t="s">
        <v>477</v>
      </c>
    </row>
    <row r="284" customFormat="false" ht="15" hidden="false" customHeight="false" outlineLevel="0" collapsed="false">
      <c r="A284" s="3" t="s">
        <v>44</v>
      </c>
      <c r="B284" s="4" t="s">
        <v>867</v>
      </c>
      <c r="C284" s="4" t="s">
        <v>868</v>
      </c>
    </row>
    <row r="285" customFormat="false" ht="15" hidden="false" customHeight="false" outlineLevel="0" collapsed="false">
      <c r="A285" s="3" t="s">
        <v>47</v>
      </c>
      <c r="B285" s="4" t="s">
        <v>464</v>
      </c>
      <c r="C285" s="4" t="s">
        <v>869</v>
      </c>
    </row>
    <row r="286" customFormat="false" ht="15" hidden="false" customHeight="false" outlineLevel="0" collapsed="false">
      <c r="A286" s="3" t="s">
        <v>50</v>
      </c>
      <c r="B286" s="4" t="s">
        <v>870</v>
      </c>
      <c r="C286" s="4" t="s">
        <v>871</v>
      </c>
    </row>
    <row r="287" customFormat="false" ht="15" hidden="false" customHeight="false" outlineLevel="0" collapsed="false">
      <c r="A287" s="3" t="s">
        <v>53</v>
      </c>
      <c r="B287" s="4" t="s">
        <v>54</v>
      </c>
      <c r="C287" s="4" t="s">
        <v>872</v>
      </c>
    </row>
    <row r="288" customFormat="false" ht="105" hidden="false" customHeight="true" outlineLevel="0" collapsed="false">
      <c r="A288" s="3" t="s">
        <v>55</v>
      </c>
      <c r="B288" s="4" t="s">
        <v>873</v>
      </c>
      <c r="C288" s="4" t="s">
        <v>874</v>
      </c>
    </row>
    <row r="289" customFormat="false" ht="68.65" hidden="false" customHeight="false" outlineLevel="0" collapsed="false">
      <c r="A289" s="3" t="s">
        <v>58</v>
      </c>
      <c r="B289" s="4" t="s">
        <v>875</v>
      </c>
      <c r="C289" s="4" t="s">
        <v>876</v>
      </c>
    </row>
    <row r="290" customFormat="false" ht="150" hidden="false" customHeight="true" outlineLevel="0" collapsed="false">
      <c r="A290" s="3" t="s">
        <v>61</v>
      </c>
      <c r="B290" s="4" t="s">
        <v>877</v>
      </c>
      <c r="C290" s="4" t="s">
        <v>878</v>
      </c>
    </row>
    <row r="291" customFormat="false" ht="15" hidden="false" customHeight="false" outlineLevel="0" collapsed="false">
      <c r="A291" s="7" t="s">
        <v>64</v>
      </c>
      <c r="B291" s="7" t="s">
        <v>65</v>
      </c>
      <c r="C291" s="7" t="s">
        <v>66</v>
      </c>
      <c r="D291" s="7" t="s">
        <v>67</v>
      </c>
      <c r="E291" s="7" t="s">
        <v>68</v>
      </c>
      <c r="F291" s="7" t="s">
        <v>69</v>
      </c>
      <c r="G291" s="7" t="s">
        <v>70</v>
      </c>
      <c r="H291" s="7" t="s">
        <v>71</v>
      </c>
      <c r="I291" s="7" t="s">
        <v>72</v>
      </c>
      <c r="J291" s="7" t="s">
        <v>73</v>
      </c>
      <c r="K291" s="7" t="s">
        <v>74</v>
      </c>
      <c r="L291" s="7" t="s">
        <v>75</v>
      </c>
      <c r="M291" s="7" t="s">
        <v>76</v>
      </c>
      <c r="N291" s="7" t="s">
        <v>77</v>
      </c>
      <c r="O291" s="7" t="s">
        <v>78</v>
      </c>
      <c r="P291" s="7" t="s">
        <v>79</v>
      </c>
    </row>
    <row r="292" customFormat="false" ht="15" hidden="false" customHeight="false" outlineLevel="0" collapsed="false">
      <c r="A292" s="0" t="s">
        <v>107</v>
      </c>
      <c r="B292" s="0" t="s">
        <v>183</v>
      </c>
      <c r="C292" s="0" t="n">
        <v>20</v>
      </c>
      <c r="D292" s="0" t="s">
        <v>879</v>
      </c>
      <c r="E292" s="0" t="s">
        <v>233</v>
      </c>
      <c r="F292" s="0" t="s">
        <v>880</v>
      </c>
      <c r="G292" s="0" t="s">
        <v>683</v>
      </c>
      <c r="H292" s="0" t="s">
        <v>881</v>
      </c>
      <c r="I292" s="0" t="n">
        <v>28</v>
      </c>
      <c r="J292" s="0" t="s">
        <v>882</v>
      </c>
      <c r="K292" s="0" t="s">
        <v>477</v>
      </c>
      <c r="L292" s="0" t="s">
        <v>305</v>
      </c>
      <c r="M292" s="0" t="s">
        <v>596</v>
      </c>
      <c r="N292" s="0" t="s">
        <v>883</v>
      </c>
      <c r="O292" s="0" t="s">
        <v>574</v>
      </c>
      <c r="P292" s="0" t="s">
        <v>93</v>
      </c>
    </row>
    <row r="293" customFormat="false" ht="15" hidden="false" customHeight="false" outlineLevel="0" collapsed="false">
      <c r="A293" s="0" t="s">
        <v>131</v>
      </c>
      <c r="B293" s="0" t="s">
        <v>800</v>
      </c>
      <c r="C293" s="0" t="n">
        <v>8</v>
      </c>
      <c r="D293" s="0" t="s">
        <v>710</v>
      </c>
      <c r="E293" s="0" t="s">
        <v>884</v>
      </c>
      <c r="F293" s="0" t="s">
        <v>885</v>
      </c>
      <c r="G293" s="0" t="s">
        <v>886</v>
      </c>
      <c r="H293" s="0" t="s">
        <v>551</v>
      </c>
      <c r="I293" s="0" t="n">
        <v>32</v>
      </c>
      <c r="J293" s="0" t="s">
        <v>887</v>
      </c>
      <c r="K293" s="0" t="s">
        <v>414</v>
      </c>
      <c r="L293" s="0" t="s">
        <v>840</v>
      </c>
      <c r="M293" s="0" t="s">
        <v>888</v>
      </c>
      <c r="N293" s="0" t="s">
        <v>889</v>
      </c>
      <c r="O293" s="0" t="s">
        <v>890</v>
      </c>
      <c r="P293" s="0" t="s">
        <v>857</v>
      </c>
    </row>
    <row r="294" customFormat="false" ht="15" hidden="false" customHeight="false" outlineLevel="0" collapsed="false">
      <c r="A294" s="0" t="s">
        <v>150</v>
      </c>
      <c r="B294" s="0" t="s">
        <v>108</v>
      </c>
      <c r="C294" s="0" t="n">
        <v>13</v>
      </c>
      <c r="D294" s="0" t="s">
        <v>891</v>
      </c>
      <c r="E294" s="0" t="s">
        <v>352</v>
      </c>
      <c r="F294" s="0" t="s">
        <v>599</v>
      </c>
      <c r="G294" s="0" t="s">
        <v>545</v>
      </c>
      <c r="H294" s="0" t="s">
        <v>187</v>
      </c>
      <c r="I294" s="0" t="n">
        <v>17</v>
      </c>
      <c r="J294" s="0" t="s">
        <v>892</v>
      </c>
      <c r="K294" s="0" t="s">
        <v>347</v>
      </c>
      <c r="L294" s="0" t="s">
        <v>723</v>
      </c>
      <c r="M294" s="0" t="s">
        <v>734</v>
      </c>
      <c r="N294" s="0" t="s">
        <v>893</v>
      </c>
      <c r="O294" s="0" t="s">
        <v>894</v>
      </c>
      <c r="P294" s="0" t="s">
        <v>120</v>
      </c>
    </row>
    <row r="295" customFormat="false" ht="15" hidden="false" customHeight="false" outlineLevel="0" collapsed="false">
      <c r="A295" s="0" t="s">
        <v>121</v>
      </c>
      <c r="C295" s="0" t="n">
        <v>10</v>
      </c>
      <c r="D295" s="0" t="s">
        <v>502</v>
      </c>
      <c r="E295" s="0" t="s">
        <v>352</v>
      </c>
      <c r="F295" s="0" t="s">
        <v>563</v>
      </c>
      <c r="G295" s="0" t="s">
        <v>267</v>
      </c>
      <c r="H295" s="0" t="s">
        <v>216</v>
      </c>
      <c r="I295" s="0" t="n">
        <v>0</v>
      </c>
      <c r="O295" s="0" t="s">
        <v>130</v>
      </c>
      <c r="P295" s="0" t="s">
        <v>120</v>
      </c>
    </row>
    <row r="296" customFormat="false" ht="15" hidden="false" customHeight="false" outlineLevel="0" collapsed="false">
      <c r="A296" s="0" t="s">
        <v>94</v>
      </c>
      <c r="C296" s="0" t="n">
        <v>8</v>
      </c>
      <c r="D296" s="0" t="s">
        <v>421</v>
      </c>
      <c r="E296" s="0" t="s">
        <v>97</v>
      </c>
      <c r="F296" s="0" t="s">
        <v>845</v>
      </c>
      <c r="G296" s="0" t="s">
        <v>367</v>
      </c>
      <c r="H296" s="0" t="s">
        <v>551</v>
      </c>
      <c r="I296" s="0" t="n">
        <v>10</v>
      </c>
      <c r="J296" s="0" t="s">
        <v>606</v>
      </c>
      <c r="K296" s="0" t="s">
        <v>248</v>
      </c>
      <c r="L296" s="0" t="s">
        <v>895</v>
      </c>
      <c r="M296" s="0" t="s">
        <v>797</v>
      </c>
      <c r="N296" s="0" t="s">
        <v>896</v>
      </c>
      <c r="O296" s="0" t="s">
        <v>768</v>
      </c>
      <c r="P296" s="0" t="s">
        <v>93</v>
      </c>
    </row>
    <row r="297" customFormat="false" ht="15" hidden="false" customHeight="false" outlineLevel="0" collapsed="false">
      <c r="A297" s="0" t="s">
        <v>142</v>
      </c>
      <c r="C297" s="0" t="n">
        <v>7</v>
      </c>
      <c r="D297" s="0" t="s">
        <v>199</v>
      </c>
      <c r="E297" s="0" t="s">
        <v>858</v>
      </c>
      <c r="F297" s="0" t="s">
        <v>230</v>
      </c>
      <c r="G297" s="0" t="s">
        <v>897</v>
      </c>
      <c r="H297" s="0" t="s">
        <v>235</v>
      </c>
      <c r="I297" s="0" t="n">
        <v>20</v>
      </c>
      <c r="J297" s="0" t="s">
        <v>898</v>
      </c>
      <c r="K297" s="0" t="s">
        <v>233</v>
      </c>
      <c r="L297" s="0" t="s">
        <v>311</v>
      </c>
      <c r="M297" s="0" t="s">
        <v>238</v>
      </c>
      <c r="N297" s="0" t="s">
        <v>899</v>
      </c>
      <c r="O297" s="0" t="s">
        <v>489</v>
      </c>
      <c r="P297" s="0" t="s">
        <v>120</v>
      </c>
    </row>
    <row r="298" customFormat="false" ht="15" hidden="false" customHeight="false" outlineLevel="0" collapsed="false">
      <c r="A298" s="0" t="s">
        <v>80</v>
      </c>
      <c r="C298" s="0" t="n">
        <v>0</v>
      </c>
      <c r="I298" s="0" t="n">
        <v>23</v>
      </c>
      <c r="J298" s="0" t="s">
        <v>900</v>
      </c>
      <c r="K298" s="0" t="s">
        <v>185</v>
      </c>
      <c r="L298" s="0" t="s">
        <v>901</v>
      </c>
      <c r="M298" s="0" t="s">
        <v>802</v>
      </c>
      <c r="N298" s="0" t="s">
        <v>902</v>
      </c>
      <c r="O298" s="0" t="s">
        <v>450</v>
      </c>
      <c r="P298" s="0" t="s">
        <v>93</v>
      </c>
    </row>
  </sheetData>
  <mergeCells count="16">
    <mergeCell ref="A2:L2"/>
    <mergeCell ref="A4:P4"/>
    <mergeCell ref="A25:P25"/>
    <mergeCell ref="A46:P46"/>
    <mergeCell ref="A67:P67"/>
    <mergeCell ref="A88:P88"/>
    <mergeCell ref="A109:P109"/>
    <mergeCell ref="A112:P112"/>
    <mergeCell ref="A133:P133"/>
    <mergeCell ref="A154:P154"/>
    <mergeCell ref="A174:P174"/>
    <mergeCell ref="A195:P195"/>
    <mergeCell ref="A216:P216"/>
    <mergeCell ref="A237:P237"/>
    <mergeCell ref="A258:P258"/>
    <mergeCell ref="A279:P27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6" min="5" style="0" width="8"/>
    <col collapsed="false" customWidth="true" hidden="false" outlineLevel="0" max="7" min="7" style="0" width="14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1" min="10" style="0" width="8"/>
    <col collapsed="false" customWidth="true" hidden="false" outlineLevel="0" max="12" min="12" style="0" width="9"/>
    <col collapsed="false" customWidth="true" hidden="false" outlineLevel="0" max="16" min="13" style="0" width="8"/>
    <col collapsed="false" customWidth="true" hidden="false" outlineLevel="0" max="18" min="17" style="0" width="10"/>
    <col collapsed="false" customWidth="true" hidden="false" outlineLevel="0" max="19" min="19" style="0" width="7"/>
    <col collapsed="false" customWidth="true" hidden="false" outlineLevel="0" max="20" min="20" style="0" width="38"/>
    <col collapsed="false" customWidth="true" hidden="false" outlineLevel="0" max="21" min="21" style="0" width="2"/>
    <col collapsed="false" customWidth="true" hidden="true" outlineLevel="0" max="22" min="22" style="0" width="5"/>
  </cols>
  <sheetData>
    <row r="1" customFormat="false" ht="17.35" hidden="false" customHeight="false" outlineLevel="0" collapsed="false">
      <c r="A1" s="1" t="s">
        <v>903</v>
      </c>
    </row>
    <row r="2" customFormat="false" ht="15" hidden="false" customHeight="false" outlineLevel="0" collapsed="false">
      <c r="A2" s="3" t="s">
        <v>904</v>
      </c>
      <c r="B2" s="8" t="s">
        <v>905</v>
      </c>
    </row>
    <row r="4" customFormat="false" ht="15" hidden="false" customHeight="false" outlineLevel="0" collapsed="false">
      <c r="A4" s="3" t="s">
        <v>906</v>
      </c>
      <c r="B4" s="0" t="str">
        <f aca="false">IFERROR(IF(INDEX(Matches!$E$5:$E$19,MATCH($B$2,Matches!$A$5:$A$19,0))="","",INDEX(Matches!$E$5:$E$19,MATCH($B$2,Matches!$A$5:$A$19,0))),"")&amp;"  vs  "&amp;IFERROR(IF(INDEX(Matches!$F$5:$F$19,MATCH($B$2,Matches!$A$5:$A$19,0))="","",INDEX(Matches!$F$5:$F$19,MATCH($B$2,Matches!$A$5:$A$19,0))),"")</f>
        <v>FUT Esports (FUT)  vs  Liquid (TL)</v>
      </c>
      <c r="D4" s="3" t="s">
        <v>907</v>
      </c>
      <c r="E4" s="0" t="str">
        <f aca="false">IFERROR(IF(INDEX(Matches!$C$5:$C$19,MATCH($B$2,Matches!$A$5:$A$19,0))="","",INDEX(Matches!$C$5:$C$19,MATCH($B$2,Matches!$A$5:$A$19,0))),"")</f>
        <v>Sun 03:00</v>
      </c>
      <c r="G4" s="3" t="s">
        <v>908</v>
      </c>
      <c r="H4" s="9" t="n">
        <f aca="false">IFERROR(IF(INDEX(Matches!$D$5:$D$19,MATCH($B$2,Matches!$A$5:$A$19,0))="","",INDEX(Matches!$D$5:$D$19,MATCH($B$2,Matches!$A$5:$A$19,0))),"")</f>
        <v>3</v>
      </c>
    </row>
    <row r="5" customFormat="false" ht="15" hidden="false" customHeight="false" outlineLevel="0" collapsed="false">
      <c r="A5" s="3" t="s">
        <v>909</v>
      </c>
      <c r="B5" s="10" t="n">
        <f aca="false">IFERROR(IF(INDEX(Matches!$G$5:$G$19,MATCH($B$2,Matches!$A$5:$A$19,0))="","",INDEX(Matches!$G$5:$G$19,MATCH($B$2,Matches!$A$5:$A$19,0))),"")</f>
        <v>0.682352941176471</v>
      </c>
      <c r="D5" s="3" t="s">
        <v>910</v>
      </c>
      <c r="E5" s="10" t="n">
        <f aca="false">IFERROR(IF(INDEX(Matches!$H$5:$H$19,MATCH($B$2,Matches!$A$5:$A$19,0))="","",INDEX(Matches!$H$5:$H$19,MATCH($B$2,Matches!$A$5:$A$19,0))),"")</f>
        <v>0.385168788046486</v>
      </c>
      <c r="G5" s="3" t="s">
        <v>911</v>
      </c>
      <c r="H5" s="10" t="n">
        <f aca="false">IFERROR(IF(INDEX(Matches!$I$5:$I$19,MATCH($B$2,Matches!$A$5:$A$19,0))="","",INDEX(Matches!$I$5:$I$19,MATCH($B$2,Matches!$A$5:$A$19,0))),"")</f>
        <v>0.146098505810736</v>
      </c>
    </row>
    <row r="6" customFormat="false" ht="15" hidden="false" customHeight="false" outlineLevel="0" collapsed="false">
      <c r="A6" s="3" t="s">
        <v>912</v>
      </c>
      <c r="B6" s="10" t="n">
        <f aca="false">IFERROR(IF(INDEX(Matches!$J$5:$J$19,MATCH($B$2,Matches!$A$5:$A$19,0))="","",INDEX(Matches!$J$5:$J$19,MATCH($B$2,Matches!$A$5:$A$19,0))),"")</f>
        <v>0.468732706142778</v>
      </c>
      <c r="D6" s="3" t="s">
        <v>913</v>
      </c>
      <c r="E6" s="0" t="str">
        <f aca="false">IFERROR(IF(INDEX(Matches!$K$5:$K$19,MATCH($B$2,Matches!$A$5:$A$19,0))="","",INDEX(Matches!$K$5:$K$19,MATCH($B$2,Matches!$A$5:$A$19,0))),"")</f>
        <v>Nuke 22%</v>
      </c>
      <c r="G6" s="3" t="s">
        <v>914</v>
      </c>
      <c r="H6" s="0" t="str">
        <f aca="false">IFERROR(IF(INDEX(Matches!$L$5:$L$19,MATCH($B$2,Matches!$A$5:$A$19,0))="","",INDEX(Matches!$L$5:$L$19,MATCH($B$2,Matches!$A$5:$A$19,0))),"")</f>
        <v>Anubis 21%</v>
      </c>
    </row>
    <row r="7" customFormat="false" ht="15" hidden="false" customHeight="false" outlineLevel="0" collapsed="false">
      <c r="A7" s="3" t="s">
        <v>915</v>
      </c>
      <c r="B7" s="11" t="n">
        <f aca="false">IFERROR(IF(INDEX(Matches!$O$5:$O$19,MATCH($B$2,Matches!$A$5:$A$19,0))="","",INDEX(Matches!$O$5:$O$19,MATCH($B$2,Matches!$A$5:$A$19,0))),"")</f>
        <v>21.4231536926148</v>
      </c>
      <c r="D7" s="3" t="s">
        <v>916</v>
      </c>
      <c r="E7" s="11" t="n">
        <f aca="false">IFERROR(IF(INDEX(Matches!$P$5:$P$19,MATCH($B$2,Matches!$A$5:$A$19,0))="","",INDEX(Matches!$P$5:$P$19,MATCH($B$2,Matches!$A$5:$A$19,0))),"")</f>
        <v>21.2222836095764</v>
      </c>
      <c r="G7" s="3" t="s">
        <v>917</v>
      </c>
      <c r="H7" s="10" t="n">
        <f aca="false">IFERROR(IF(INDEX(Matches!$R$5:$R$19,MATCH($B$2,Matches!$A$5:$A$19,0))="","",INDEX(Matches!$R$5:$R$19,MATCH($B$2,Matches!$A$5:$A$19,0))),"")</f>
        <v>0.159420289855073</v>
      </c>
    </row>
    <row r="8" customFormat="false" ht="15" hidden="false" customHeight="false" outlineLevel="0" collapsed="false">
      <c r="A8" s="3" t="s">
        <v>918</v>
      </c>
      <c r="B8" s="11" t="n">
        <f aca="false">IFERROR(IF(INDEX(Matches!$S$5:$S$19,MATCH($B$2,Matches!$A$5:$A$19,0))="","",INDEX(Matches!$S$5:$S$19,MATCH($B$2,Matches!$A$5:$A$19,0))),"")</f>
        <v>2.5</v>
      </c>
      <c r="D8" s="3" t="s">
        <v>919</v>
      </c>
      <c r="E8" s="11" t="str">
        <f aca="false">IFERROR(IF(INDEX(Matches!$T$5:$T$19,MATCH($B$2,Matches!$A$5:$A$19,0))="","",INDEX(Matches!$T$5:$T$19,MATCH($B$2,Matches!$A$5:$A$19,0))),"")</f>
        <v/>
      </c>
      <c r="G8" s="3" t="s">
        <v>920</v>
      </c>
      <c r="H8" s="11" t="n">
        <f aca="false">IFERROR(IF(INDEX(Matches!$U$5:$U$19,MATCH($B$2,Matches!$A$5:$A$19,0))="","",INDEX(Matches!$U$5:$U$19,MATCH($B$2,Matches!$A$5:$A$19,0))),"")</f>
        <v>11.0820224719101</v>
      </c>
    </row>
    <row r="9" customFormat="false" ht="15" hidden="false" customHeight="false" outlineLevel="0" collapsed="false">
      <c r="A9" s="3" t="s">
        <v>921</v>
      </c>
      <c r="B9" s="11" t="n">
        <f aca="false">IFERROR(IF(INDEX(Matches!$AN$5:$AN$19,MATCH($B$2,Matches!$A$5:$A$19,0))="","",INDEX(Matches!$AN$5:$AN$19,MATCH($B$2,Matches!$A$5:$A$19,0))),"")</f>
        <v>20.913635</v>
      </c>
      <c r="D9" s="3" t="s">
        <v>922</v>
      </c>
      <c r="E9" s="11" t="n">
        <f aca="false">IFERROR(IF(INDEX(Matches!$AO$5:$AO$19,MATCH($B$2,Matches!$A$5:$A$19,0))="","",INDEX(Matches!$AO$5:$AO$19,MATCH($B$2,Matches!$A$5:$A$19,0))),"")</f>
        <v>0.738285</v>
      </c>
      <c r="G9" s="3" t="s">
        <v>923</v>
      </c>
      <c r="H9" s="0" t="str">
        <f aca="false">IF(IFERROR(IF(INDEX(Matches!$AI$5:$AI$19,MATCH($B$2,Matches!$A$5:$A$19,0))="","",INDEX(Matches!$AI$5:$AI$19,MATCH($B$2,Matches!$A$5:$A$19,0))),"")="","",TEXT(IFERROR(IF(INDEX(Matches!$AI$5:$AI$19,MATCH($B$2,Matches!$A$5:$A$19,0))="","",INDEX(Matches!$AI$5:$AI$19,MATCH($B$2,Matches!$A$5:$A$19,0))),""),"0%")&amp;" / "&amp;TEXT(IFERROR(IF(INDEX(Matches!$AJ$5:$AJ$19,MATCH($B$2,Matches!$A$5:$A$19,0))="","",INDEX(Matches!$AJ$5:$AJ$19,MATCH($B$2,Matches!$A$5:$A$19,0))),""),"0%"))</f>
        <v>53% / 54%</v>
      </c>
    </row>
    <row r="10" customFormat="false" ht="15" hidden="false" customHeight="false" outlineLevel="0" collapsed="false">
      <c r="A10" s="3" t="s">
        <v>924</v>
      </c>
      <c r="B10" s="0" t="str">
        <f aca="false">"Map 1: "&amp;IFERROR(IF(INDEX(Matches!$W$5:$W$19,MATCH($B$2,Matches!$A$5:$A$19,0))="","",INDEX(Matches!$W$5:$W$19,MATCH($B$2,Matches!$A$5:$A$19,0))),"")&amp;"   ·   Map 2: "&amp;IFERROR(IF(INDEX(Matches!$X$5:$X$19,MATCH($B$2,Matches!$A$5:$A$19,0))="","",INDEX(Matches!$X$5:$X$19,MATCH($B$2,Matches!$A$5:$A$19,0))),"")&amp;IF(IFERROR(IF(INDEX(Matches!$Y$5:$Y$19,MATCH($B$2,Matches!$A$5:$A$19,0))="","",INDEX(Matches!$Y$5:$Y$19,MATCH($B$2,Matches!$A$5:$A$19,0))),"")="","","   ·   Map 3: "&amp;IFERROR(IF(INDEX(Matches!$Y$5:$Y$19,MATCH($B$2,Matches!$A$5:$A$19,0))="","",INDEX(Matches!$Y$5:$Y$19,MATCH($B$2,Matches!$A$5:$A$19,0))),""))</f>
        <v>Map 1: Nuke   ·   Map 2: Anubis   ·   Map 3: Dust2</v>
      </c>
    </row>
    <row r="11" customFormat="false" ht="15" hidden="false" customHeight="false" outlineLevel="0" collapsed="false">
      <c r="B11" s="0" t="str">
        <f aca="false">"Rounds: "&amp;TEXT(IFERROR(IF(INDEX(Matches!$Z$5:$Z$19,MATCH($B$2,Matches!$A$5:$A$19,0))="","",INDEX(Matches!$Z$5:$Z$19,MATCH($B$2,Matches!$A$5:$A$19,0))),""),"0.0")&amp;" / "&amp;TEXT(IFERROR(IF(INDEX(Matches!$AA$5:$AA$19,MATCH($B$2,Matches!$A$5:$A$19,0))="","",INDEX(Matches!$AA$5:$AA$19,MATCH($B$2,Matches!$A$5:$A$19,0))),""),"0.0")&amp;IF(IFERROR(IF(INDEX(Matches!$AB$5:$AB$19,MATCH($B$2,Matches!$A$5:$A$19,0))="","",INDEX(Matches!$AB$5:$AB$19,MATCH($B$2,Matches!$A$5:$A$19,0))),"")="",""," / "&amp;TEXT(IFERROR(IF(INDEX(Matches!$AB$5:$AB$19,MATCH($B$2,Matches!$A$5:$A$19,0))="","",INDEX(Matches!$AB$5:$AB$19,MATCH($B$2,Matches!$A$5:$A$19,0))),""),"0.0"))&amp;"   ·   P(map 3) "&amp;TEXT(IFERROR(IF(INDEX(Matches!$AC$5:$AC$19,MATCH($B$2,Matches!$A$5:$A$19,0))="","",INDEX(Matches!$AC$5:$AC$19,MATCH($B$2,Matches!$A$5:$A$19,0))),""),"0%")</f>
        <v>Rounds: 21.4 / 21.2 / 21.3   ·   P(map 3) 47%</v>
      </c>
    </row>
    <row r="12" customFormat="false" ht="15" hidden="false" customHeight="false" outlineLevel="0" collapsed="false">
      <c r="B12" s="2" t="str">
        <f aca="false">"Change maps or rounds on the Matches tab, row "&amp;(MATCH($B$2,Matches!$A$5:$A$19,0)+4)&amp;" (shaded cells)."</f>
        <v>Change maps or rounds on the Matches tab, row 5 (shaded cells).</v>
      </c>
    </row>
    <row r="14" customFormat="false" ht="28.35" hidden="false" customHeight="false" outlineLevel="0" collapsed="false">
      <c r="A14" s="12" t="s">
        <v>925</v>
      </c>
      <c r="B14" s="12" t="s">
        <v>926</v>
      </c>
      <c r="C14" s="12" t="s">
        <v>927</v>
      </c>
      <c r="D14" s="12" t="s">
        <v>928</v>
      </c>
      <c r="E14" s="12" t="s">
        <v>929</v>
      </c>
      <c r="F14" s="12" t="s">
        <v>930</v>
      </c>
      <c r="G14" s="12" t="s">
        <v>931</v>
      </c>
      <c r="H14" s="12" t="s">
        <v>932</v>
      </c>
      <c r="I14" s="12" t="s">
        <v>933</v>
      </c>
      <c r="J14" s="12" t="s">
        <v>934</v>
      </c>
      <c r="K14" s="12" t="s">
        <v>935</v>
      </c>
      <c r="L14" s="12" t="s">
        <v>936</v>
      </c>
      <c r="M14" s="12" t="s">
        <v>937</v>
      </c>
      <c r="N14" s="12" t="s">
        <v>938</v>
      </c>
      <c r="O14" s="12" t="s">
        <v>939</v>
      </c>
      <c r="P14" s="12" t="s">
        <v>940</v>
      </c>
      <c r="Q14" s="12" t="s">
        <v>941</v>
      </c>
      <c r="R14" s="12" t="s">
        <v>942</v>
      </c>
      <c r="S14" s="12" t="s">
        <v>943</v>
      </c>
      <c r="T14" s="12" t="s">
        <v>944</v>
      </c>
      <c r="U14" s="12"/>
      <c r="V14" s="12" t="s">
        <v>945</v>
      </c>
    </row>
    <row r="15" customFormat="false" ht="15" hidden="false" customHeight="false" outlineLevel="0" collapsed="false">
      <c r="A15" s="0" t="str">
        <f aca="false">IF($V15="","",INDEX(Calc!$D$2:$D$124,$V15))</f>
        <v>TL</v>
      </c>
      <c r="B15" s="0" t="str">
        <f aca="false">IF($V15="","",INDEX(Calc!$E$2:$E$124,$V15))</f>
        <v>EliGE</v>
      </c>
      <c r="C15" s="13" t="n">
        <f aca="false">IF($V15="","",INDEX(Calc!$T$2:$T$124,$V15))</f>
        <v>0.797777777777778</v>
      </c>
      <c r="D15" s="13" t="n">
        <f aca="false">IF($V15="","",INDEX(Calc!$AA$2:$AA$124,$V15))</f>
        <v>0.80625</v>
      </c>
      <c r="E15" s="11" t="n">
        <f aca="false">IF($V15="","",INDEX(Calc!$V$2:$V$124,$V15))</f>
        <v>17.0884</v>
      </c>
      <c r="F15" s="11" t="n">
        <f aca="false">IF($V15="","",INDEX(Calc!$AC$2:$AC$124,$V15))</f>
        <v>17.108625</v>
      </c>
      <c r="G15" s="11" t="n">
        <f aca="false">IF($V15="","",INDEX(Calc!$AL$2:$AL$124,$V15))</f>
        <v>34.197025</v>
      </c>
      <c r="H15" s="13" t="n">
        <f aca="false">IF($V15="","",INDEX(Calc!$BK$2:$BK$124,$V15))</f>
        <v>0.937227524854696</v>
      </c>
      <c r="I15" s="11" t="n">
        <f aca="false">IF($V15="","",INDEX(Calc!$BD$2:$BD$124,$V15))</f>
        <v>32.0503930981442</v>
      </c>
      <c r="J15" s="9" t="n">
        <f aca="false">IF($V15="","",IFERROR(INDEX(Projections!$F$2:$F$246,MATCH(INDEX(Calc!$A$2:$A$124,$V15)&amp;"|K12",Projections!$Y$2:$Y$246,0)),""))</f>
        <v>31</v>
      </c>
      <c r="K15" s="10" t="n">
        <f aca="false">IF($V15="","",IFERROR(INDEX(Projections!$I$2:$I$246,MATCH(INDEX(Calc!$A$2:$A$124,$V15)&amp;"|K12",Projections!$Y$2:$Y$246,0)),""))</f>
        <v>0.651652785672712</v>
      </c>
      <c r="L15" s="10" t="n">
        <f aca="false">IF($V15="","",IFERROR(INDEX(Projections!$AB$2:$AB$246,MATCH(INDEX(Calc!$A$2:$A$124,$V15)&amp;"|K12",Projections!$Y$2:$Y$246,0)),""))</f>
        <v>0.532742655196716</v>
      </c>
      <c r="M15" s="9" t="n">
        <f aca="false">IF($V15="","",IFERROR(INDEX(Projections!$M$2:$M$246,MATCH(INDEX(Calc!$A$2:$A$124,$V15)&amp;"|K12",Projections!$Y$2:$Y$246,0)),""))</f>
        <v>31.4</v>
      </c>
      <c r="N15" s="10" t="n">
        <f aca="false">IF($V15="","",IFERROR(INDEX(Projections!$P$2:$P$246,MATCH(INDEX(Calc!$A$2:$A$124,$V15)&amp;"|K12",Projections!$Y$2:$Y$246,0)),""))</f>
        <v>0.5</v>
      </c>
      <c r="O15" s="10" t="n">
        <f aca="false">IF($V15="","",INDEX(Calc!$AP$2:$AP$124,$V15))</f>
        <v>0.567538832751777</v>
      </c>
      <c r="P15" s="11" t="n">
        <f aca="false">IF($V15="","",INDEX(Calc!$AN$2:$AN$124,$V15))</f>
        <v>19.4081396520833</v>
      </c>
      <c r="Q15" s="9" t="n">
        <f aca="false">IF($V15="","",IFERROR(INDEX(Projections!$F$2:$F$246,MATCH(INDEX(Calc!$A$2:$A$124,$V15)&amp;"|H12",Projections!$Y$2:$Y$246,0)),""))</f>
        <v>18</v>
      </c>
      <c r="R15" s="10" t="n">
        <f aca="false">IF($V15="","",IFERROR(INDEX(Projections!$I$2:$I$246,MATCH(INDEX(Calc!$A$2:$A$124,$V15)&amp;"|H12",Projections!$Y$2:$Y$246,0)),""))</f>
        <v>0.57381502809503</v>
      </c>
      <c r="S15" s="9" t="n">
        <f aca="false">IF($V15="","",INDEX(Calc!$N$2:$N$124,$V15))</f>
        <v>30</v>
      </c>
      <c r="T15" s="0" t="str">
        <f aca="false">IF($V15="","",INDEX(Calc!$AQ$2:$AQ$124,$V15))</f>
        <v/>
      </c>
      <c r="V15" s="9" t="n">
        <f aca="false">IFERROR(MATCH(1,Calc!$AR$2:$AR$124,0),"")</f>
        <v>63</v>
      </c>
    </row>
    <row r="16" customFormat="false" ht="15" hidden="false" customHeight="false" outlineLevel="0" collapsed="false">
      <c r="A16" s="0" t="str">
        <f aca="false">IF($V16="","",INDEX(Calc!$D$2:$D$124,$V16))</f>
        <v>TL</v>
      </c>
      <c r="B16" s="0" t="str">
        <f aca="false">IF($V16="","",INDEX(Calc!$E$2:$E$124,$V16))</f>
        <v>Jorko</v>
      </c>
      <c r="C16" s="13" t="n">
        <f aca="false">IF($V16="","",INDEX(Calc!$T$2:$T$124,$V16))</f>
        <v>0.731111111111111</v>
      </c>
      <c r="D16" s="13" t="n">
        <f aca="false">IF($V16="","",INDEX(Calc!$AA$2:$AA$124,$V16))</f>
        <v>0.7375</v>
      </c>
      <c r="E16" s="11" t="n">
        <f aca="false">IF($V16="","",INDEX(Calc!$V$2:$V$124,$V16))</f>
        <v>15.6604</v>
      </c>
      <c r="F16" s="11" t="n">
        <f aca="false">IF($V16="","",INDEX(Calc!$AC$2:$AC$124,$V16))</f>
        <v>15.64975</v>
      </c>
      <c r="G16" s="11" t="n">
        <f aca="false">IF($V16="","",INDEX(Calc!$AL$2:$AL$124,$V16))</f>
        <v>31.31015</v>
      </c>
      <c r="H16" s="13" t="n">
        <f aca="false">IF($V16="","",INDEX(Calc!$BK$2:$BK$124,$V16))</f>
        <v>0.93723967113459</v>
      </c>
      <c r="I16" s="11" t="n">
        <f aca="false">IF($V16="","",INDEX(Calc!$BD$2:$BD$124,$V16))</f>
        <v>29.3451146891747</v>
      </c>
      <c r="J16" s="9" t="n">
        <f aca="false">IF($V16="","",IFERROR(INDEX(Projections!$F$2:$F$246,MATCH(INDEX(Calc!$A$2:$A$124,$V16)&amp;"|K12",Projections!$Y$2:$Y$246,0)),""))</f>
        <v>27.5</v>
      </c>
      <c r="K16" s="10" t="n">
        <f aca="false">IF($V16="","",IFERROR(INDEX(Projections!$I$2:$I$246,MATCH(INDEX(Calc!$A$2:$A$124,$V16)&amp;"|K12",Projections!$Y$2:$Y$246,0)),""))</f>
        <v>0.717518993795994</v>
      </c>
      <c r="L16" s="10" t="n">
        <f aca="false">IF($V16="","",IFERROR(INDEX(Projections!$AB$2:$AB$246,MATCH(INDEX(Calc!$A$2:$A$124,$V16)&amp;"|K12",Projections!$Y$2:$Y$246,0)),""))</f>
        <v>0.61327561448171</v>
      </c>
      <c r="M16" s="9" t="n">
        <f aca="false">IF($V16="","",IFERROR(INDEX(Projections!$M$2:$M$246,MATCH(INDEX(Calc!$A$2:$A$124,$V16)&amp;"|K12",Projections!$Y$2:$Y$246,0)),""))</f>
        <v>27.91</v>
      </c>
      <c r="N16" s="10" t="n">
        <f aca="false">IF($V16="","",IFERROR(INDEX(Projections!$P$2:$P$246,MATCH(INDEX(Calc!$A$2:$A$124,$V16)&amp;"|K12",Projections!$Y$2:$Y$246,0)),""))</f>
        <v>0.7</v>
      </c>
      <c r="O16" s="10" t="n">
        <f aca="false">IF($V16="","",INDEX(Calc!$AP$2:$AP$124,$V16))</f>
        <v>0.308041186967769</v>
      </c>
      <c r="P16" s="11" t="n">
        <f aca="false">IF($V16="","",INDEX(Calc!$AN$2:$AN$124,$V16))</f>
        <v>9.64481577013889</v>
      </c>
      <c r="Q16" s="9" t="n">
        <f aca="false">IF($V16="","",IFERROR(INDEX(Projections!$F$2:$F$246,MATCH(INDEX(Calc!$A$2:$A$124,$V16)&amp;"|H12",Projections!$Y$2:$Y$246,0)),""))</f>
        <v>9.5</v>
      </c>
      <c r="R16" s="10" t="n">
        <f aca="false">IF($V16="","",IFERROR(INDEX(Projections!$I$2:$I$246,MATCH(INDEX(Calc!$A$2:$A$124,$V16)&amp;"|H12",Projections!$Y$2:$Y$246,0)),""))</f>
        <v>0.517547171435257</v>
      </c>
      <c r="S16" s="9" t="n">
        <f aca="false">IF($V16="","",INDEX(Calc!$N$2:$N$124,$V16))</f>
        <v>30</v>
      </c>
      <c r="T16" s="0" t="str">
        <f aca="false">IF($V16="","",INDEX(Calc!$AQ$2:$AQ$124,$V16))</f>
        <v/>
      </c>
      <c r="V16" s="9" t="n">
        <f aca="false">IFERROR(MATCH(2,Calc!$AR$2:$AR$124,0),"")</f>
        <v>64</v>
      </c>
    </row>
    <row r="17" customFormat="false" ht="15" hidden="false" customHeight="false" outlineLevel="0" collapsed="false">
      <c r="A17" s="0" t="str">
        <f aca="false">IF($V17="","",INDEX(Calc!$D$2:$D$124,$V17))</f>
        <v>FUT</v>
      </c>
      <c r="B17" s="0" t="str">
        <f aca="false">IF($V17="","",INDEX(Calc!$E$2:$E$124,$V17))</f>
        <v>Dem0N</v>
      </c>
      <c r="C17" s="13" t="n">
        <f aca="false">IF($V17="","",INDEX(Calc!$T$2:$T$124,$V17))</f>
        <v>0.737272727272727</v>
      </c>
      <c r="D17" s="13" t="n">
        <f aca="false">IF($V17="","",INDEX(Calc!$AA$2:$AA$124,$V17))</f>
        <v>0.701111111111111</v>
      </c>
      <c r="E17" s="11" t="n">
        <f aca="false">IF($V17="","",INDEX(Calc!$V$2:$V$124,$V17))</f>
        <v>15.7923818181818</v>
      </c>
      <c r="F17" s="11" t="n">
        <f aca="false">IF($V17="","",INDEX(Calc!$AC$2:$AC$124,$V17))</f>
        <v>14.8775777777778</v>
      </c>
      <c r="G17" s="11" t="n">
        <f aca="false">IF($V17="","",INDEX(Calc!$AL$2:$AL$124,$V17))</f>
        <v>30.6699595959596</v>
      </c>
      <c r="H17" s="13" t="n">
        <f aca="false">IF($V17="","",INDEX(Calc!$BK$2:$BK$124,$V17))</f>
        <v>1.00209417016878</v>
      </c>
      <c r="I17" s="11" t="n">
        <f aca="false">IF($V17="","",INDEX(Calc!$BD$2:$BD$124,$V17))</f>
        <v>30.7341877104232</v>
      </c>
      <c r="J17" s="9" t="n">
        <f aca="false">IF($V17="","",IFERROR(INDEX(Projections!$F$2:$F$246,MATCH(INDEX(Calc!$A$2:$A$124,$V17)&amp;"|K12",Projections!$Y$2:$Y$246,0)),""))</f>
        <v>32</v>
      </c>
      <c r="K17" s="10" t="n">
        <f aca="false">IF($V17="","",IFERROR(INDEX(Projections!$I$2:$I$246,MATCH(INDEX(Calc!$A$2:$A$124,$V17)&amp;"|K12",Projections!$Y$2:$Y$246,0)),""))</f>
        <v>0.390014921841617</v>
      </c>
      <c r="L17" s="10" t="n">
        <f aca="false">IF($V17="","",IFERROR(INDEX(Projections!$AB$2:$AB$246,MATCH(INDEX(Calc!$A$2:$A$124,$V17)&amp;"|K12",Projections!$Y$2:$Y$246,0)),""))</f>
        <v>0.393889179872901</v>
      </c>
      <c r="M17" s="9" t="n">
        <f aca="false">IF($V17="","",IFERROR(INDEX(Projections!$M$2:$M$246,MATCH(INDEX(Calc!$A$2:$A$124,$V17)&amp;"|K12",Projections!$Y$2:$Y$246,0)),""))</f>
        <v>31.18</v>
      </c>
      <c r="N17" s="10" t="n">
        <f aca="false">IF($V17="","",IFERROR(INDEX(Projections!$P$2:$P$246,MATCH(INDEX(Calc!$A$2:$A$124,$V17)&amp;"|K12",Projections!$Y$2:$Y$246,0)),""))</f>
        <v>0.5</v>
      </c>
      <c r="O17" s="10" t="n">
        <f aca="false">IF($V17="","",INDEX(Calc!$AP$2:$AP$124,$V17))</f>
        <v>0.668663050298488</v>
      </c>
      <c r="P17" s="11" t="n">
        <f aca="false">IF($V17="","",INDEX(Calc!$AN$2:$AN$124,$V17))</f>
        <v>20.5078687359657</v>
      </c>
      <c r="Q17" s="9" t="n">
        <f aca="false">IF($V17="","",IFERROR(INDEX(Projections!$F$2:$F$246,MATCH(INDEX(Calc!$A$2:$A$124,$V17)&amp;"|H12",Projections!$Y$2:$Y$246,0)),""))</f>
        <v>21.5</v>
      </c>
      <c r="R17" s="10" t="n">
        <f aca="false">IF($V17="","",IFERROR(INDEX(Projections!$I$2:$I$246,MATCH(INDEX(Calc!$A$2:$A$124,$V17)&amp;"|H12",Projections!$Y$2:$Y$246,0)),""))</f>
        <v>0.422853400683997</v>
      </c>
      <c r="S17" s="9" t="n">
        <f aca="false">IF($V17="","",INDEX(Calc!$N$2:$N$124,$V17))</f>
        <v>37</v>
      </c>
      <c r="T17" s="0" t="str">
        <f aca="false">IF($V17="","",INDEX(Calc!$AQ$2:$AQ$124,$V17))</f>
        <v/>
      </c>
      <c r="V17" s="9" t="n">
        <f aca="false">IFERROR(MATCH(3,Calc!$AR$2:$AR$124,0),"")</f>
        <v>58</v>
      </c>
    </row>
    <row r="18" customFormat="false" ht="15" hidden="false" customHeight="false" outlineLevel="0" collapsed="false">
      <c r="A18" s="0" t="str">
        <f aca="false">IF($V18="","",INDEX(Calc!$D$2:$D$124,$V18))</f>
        <v>FUT</v>
      </c>
      <c r="B18" s="0" t="str">
        <f aca="false">IF($V18="","",INDEX(Calc!$E$2:$E$124,$V18))</f>
        <v>Krabeni</v>
      </c>
      <c r="C18" s="13" t="n">
        <f aca="false">IF($V18="","",INDEX(Calc!$T$2:$T$124,$V18))</f>
        <v>0.665</v>
      </c>
      <c r="D18" s="13" t="n">
        <f aca="false">IF($V18="","",INDEX(Calc!$AA$2:$AA$124,$V18))</f>
        <v>0.765</v>
      </c>
      <c r="E18" s="11" t="n">
        <f aca="false">IF($V18="","",INDEX(Calc!$V$2:$V$124,$V18))</f>
        <v>14.2443</v>
      </c>
      <c r="F18" s="11" t="n">
        <f aca="false">IF($V18="","",INDEX(Calc!$AC$2:$AC$124,$V18))</f>
        <v>16.2333</v>
      </c>
      <c r="G18" s="11" t="n">
        <f aca="false">IF($V18="","",INDEX(Calc!$AL$2:$AL$124,$V18))</f>
        <v>30.4776</v>
      </c>
      <c r="H18" s="13" t="n">
        <f aca="false">IF($V18="","",INDEX(Calc!$BK$2:$BK$124,$V18))</f>
        <v>1.00334485391906</v>
      </c>
      <c r="I18" s="11" t="n">
        <f aca="false">IF($V18="","",INDEX(Calc!$BD$2:$BD$124,$V18))</f>
        <v>30.5795431198037</v>
      </c>
      <c r="J18" s="9" t="n">
        <f aca="false">IF($V18="","",IFERROR(INDEX(Projections!$F$2:$F$246,MATCH(INDEX(Calc!$A$2:$A$124,$V18)&amp;"|K12",Projections!$Y$2:$Y$246,0)),""))</f>
        <v>31</v>
      </c>
      <c r="K18" s="10" t="n">
        <f aca="false">IF($V18="","",IFERROR(INDEX(Projections!$I$2:$I$246,MATCH(INDEX(Calc!$A$2:$A$124,$V18)&amp;"|K12",Projections!$Y$2:$Y$246,0)),""))</f>
        <v>0.437812060613864</v>
      </c>
      <c r="L18" s="10" t="n">
        <f aca="false">IF($V18="","",IFERROR(INDEX(Projections!$AB$2:$AB$246,MATCH(INDEX(Calc!$A$2:$A$124,$V18)&amp;"|K12",Projections!$Y$2:$Y$246,0)),""))</f>
        <v>0.444062450886745</v>
      </c>
      <c r="M18" s="9" t="n">
        <f aca="false">IF($V18="","",IFERROR(INDEX(Projections!$M$2:$M$246,MATCH(INDEX(Calc!$A$2:$A$124,$V18)&amp;"|K12",Projections!$Y$2:$Y$246,0)),""))</f>
        <v>31.18</v>
      </c>
      <c r="N18" s="10" t="n">
        <f aca="false">IF($V18="","",IFERROR(INDEX(Projections!$P$2:$P$246,MATCH(INDEX(Calc!$A$2:$A$124,$V18)&amp;"|K12",Projections!$Y$2:$Y$246,0)),""))</f>
        <v>0.6</v>
      </c>
      <c r="O18" s="10" t="n">
        <f aca="false">IF($V18="","",INDEX(Calc!$AP$2:$AP$124,$V18))</f>
        <v>0.534065261044177</v>
      </c>
      <c r="P18" s="11" t="n">
        <f aca="false">IF($V18="","",INDEX(Calc!$AN$2:$AN$124,$V18))</f>
        <v>16.2770274</v>
      </c>
      <c r="Q18" s="9" t="n">
        <f aca="false">IF($V18="","",IFERROR(INDEX(Projections!$F$2:$F$246,MATCH(INDEX(Calc!$A$2:$A$124,$V18)&amp;"|H12",Projections!$Y$2:$Y$246,0)),""))</f>
        <v>17</v>
      </c>
      <c r="R18" s="10" t="n">
        <f aca="false">IF($V18="","",IFERROR(INDEX(Projections!$I$2:$I$246,MATCH(INDEX(Calc!$A$2:$A$124,$V18)&amp;"|H12",Projections!$Y$2:$Y$246,0)),""))</f>
        <v>0.391596311640675</v>
      </c>
      <c r="S18" s="9" t="n">
        <f aca="false">IF($V18="","",INDEX(Calc!$N$2:$N$124,$V18))</f>
        <v>36</v>
      </c>
      <c r="T18" s="0" t="str">
        <f aca="false">IF($V18="","",INDEX(Calc!$AQ$2:$AQ$124,$V18))</f>
        <v/>
      </c>
      <c r="V18" s="9" t="n">
        <f aca="false">IFERROR(MATCH(4,Calc!$AR$2:$AR$124,0),"")</f>
        <v>60</v>
      </c>
    </row>
    <row r="19" customFormat="false" ht="15" hidden="false" customHeight="false" outlineLevel="0" collapsed="false">
      <c r="A19" s="0" t="str">
        <f aca="false">IF($V19="","",INDEX(Calc!$D$2:$D$124,$V19))</f>
        <v>TL</v>
      </c>
      <c r="B19" s="0" t="str">
        <f aca="false">IF($V19="","",INDEX(Calc!$E$2:$E$124,$V19))</f>
        <v>malbsMd</v>
      </c>
      <c r="C19" s="13" t="n">
        <f aca="false">IF($V19="","",INDEX(Calc!$T$2:$T$124,$V19))</f>
        <v>0.69</v>
      </c>
      <c r="D19" s="13" t="n">
        <f aca="false">IF($V19="","",INDEX(Calc!$AA$2:$AA$124,$V19))</f>
        <v>0.705</v>
      </c>
      <c r="E19" s="11" t="n">
        <f aca="false">IF($V19="","",INDEX(Calc!$V$2:$V$124,$V19))</f>
        <v>14.7798</v>
      </c>
      <c r="F19" s="11" t="n">
        <f aca="false">IF($V19="","",INDEX(Calc!$AC$2:$AC$124,$V19))</f>
        <v>14.9601</v>
      </c>
      <c r="G19" s="11" t="n">
        <f aca="false">IF($V19="","",INDEX(Calc!$AL$2:$AL$124,$V19))</f>
        <v>29.7399</v>
      </c>
      <c r="H19" s="13" t="n">
        <f aca="false">IF($V19="","",INDEX(Calc!$BK$2:$BK$124,$V19))</f>
        <v>0.937156189489621</v>
      </c>
      <c r="I19" s="11" t="n">
        <f aca="false">IF($V19="","",INDEX(Calc!$BD$2:$BD$124,$V19))</f>
        <v>27.8709313598024</v>
      </c>
      <c r="J19" s="9" t="n">
        <f aca="false">IF($V19="","",IFERROR(INDEX(Projections!$F$2:$F$246,MATCH(INDEX(Calc!$A$2:$A$124,$V19)&amp;"|K12",Projections!$Y$2:$Y$246,0)),""))</f>
        <v>27</v>
      </c>
      <c r="K19" s="10" t="n">
        <f aca="false">IF($V19="","",IFERROR(INDEX(Projections!$I$2:$I$246,MATCH(INDEX(Calc!$A$2:$A$124,$V19)&amp;"|K12",Projections!$Y$2:$Y$246,0)),""))</f>
        <v>0.635753985908265</v>
      </c>
      <c r="L19" s="10" t="n">
        <f aca="false">IF($V19="","",IFERROR(INDEX(Projections!$AB$2:$AB$246,MATCH(INDEX(Calc!$A$2:$A$124,$V19)&amp;"|K12",Projections!$Y$2:$Y$246,0)),""))</f>
        <v>0.523676019199715</v>
      </c>
      <c r="M19" s="9" t="n">
        <f aca="false">IF($V19="","",IFERROR(INDEX(Projections!$M$2:$M$246,MATCH(INDEX(Calc!$A$2:$A$124,$V19)&amp;"|K12",Projections!$Y$2:$Y$246,0)),""))</f>
        <v>26.76</v>
      </c>
      <c r="N19" s="10" t="n">
        <f aca="false">IF($V19="","",IFERROR(INDEX(Projections!$P$2:$P$246,MATCH(INDEX(Calc!$A$2:$A$124,$V19)&amp;"|K12",Projections!$Y$2:$Y$246,0)),""))</f>
        <v>0.5</v>
      </c>
      <c r="O19" s="10" t="n">
        <f aca="false">IF($V19="","",INDEX(Calc!$AP$2:$AP$124,$V19))</f>
        <v>0.661744372803112</v>
      </c>
      <c r="P19" s="11" t="n">
        <f aca="false">IF($V19="","",INDEX(Calc!$AN$2:$AN$124,$V19))</f>
        <v>19.6802114727273</v>
      </c>
      <c r="Q19" s="9" t="n">
        <f aca="false">IF($V19="","",IFERROR(INDEX(Projections!$F$2:$F$246,MATCH(INDEX(Calc!$A$2:$A$124,$V19)&amp;"|H12",Projections!$Y$2:$Y$246,0)),""))</f>
        <v>17.5</v>
      </c>
      <c r="R19" s="10" t="n">
        <f aca="false">IF($V19="","",IFERROR(INDEX(Projections!$I$2:$I$246,MATCH(INDEX(Calc!$A$2:$A$124,$V19)&amp;"|H12",Projections!$Y$2:$Y$246,0)),""))</f>
        <v>0.668947584476939</v>
      </c>
      <c r="S19" s="9" t="n">
        <f aca="false">IF($V19="","",INDEX(Calc!$N$2:$N$124,$V19))</f>
        <v>39</v>
      </c>
      <c r="T19" s="0" t="str">
        <f aca="false">IF($V19="","",INDEX(Calc!$AQ$2:$AQ$124,$V19))</f>
        <v/>
      </c>
      <c r="V19" s="9" t="n">
        <f aca="false">IFERROR(MATCH(5,Calc!$AR$2:$AR$124,0),"")</f>
        <v>66</v>
      </c>
    </row>
    <row r="20" customFormat="false" ht="15" hidden="false" customHeight="false" outlineLevel="0" collapsed="false">
      <c r="A20" s="0" t="str">
        <f aca="false">IF($V20="","",INDEX(Calc!$D$2:$D$124,$V20))</f>
        <v>FUT</v>
      </c>
      <c r="B20" s="0" t="str">
        <f aca="false">IF($V20="","",INDEX(Calc!$E$2:$E$124,$V20))</f>
        <v>SunPayus</v>
      </c>
      <c r="C20" s="13" t="n">
        <f aca="false">IF($V20="","",INDEX(Calc!$T$2:$T$124,$V20))</f>
        <v>0.701666666666667</v>
      </c>
      <c r="D20" s="13" t="n">
        <f aca="false">IF($V20="","",INDEX(Calc!$AA$2:$AA$124,$V20))</f>
        <v>0.667142857142857</v>
      </c>
      <c r="E20" s="11" t="n">
        <f aca="false">IF($V20="","",INDEX(Calc!$V$2:$V$124,$V20))</f>
        <v>15.0297</v>
      </c>
      <c r="F20" s="11" t="n">
        <f aca="false">IF($V20="","",INDEX(Calc!$AC$2:$AC$124,$V20))</f>
        <v>14.1567714285714</v>
      </c>
      <c r="G20" s="11" t="n">
        <f aca="false">IF($V20="","",INDEX(Calc!$AL$2:$AL$124,$V20))</f>
        <v>29.1864714285714</v>
      </c>
      <c r="H20" s="13" t="n">
        <f aca="false">IF($V20="","",INDEX(Calc!$BK$2:$BK$124,$V20))</f>
        <v>1.00209310074636</v>
      </c>
      <c r="I20" s="11" t="n">
        <f aca="false">IF($V20="","",INDEX(Calc!$BD$2:$BD$124,$V20))</f>
        <v>29.2475616537021</v>
      </c>
      <c r="J20" s="9" t="n">
        <f aca="false">IF($V20="","",IFERROR(INDEX(Projections!$F$2:$F$246,MATCH(INDEX(Calc!$A$2:$A$124,$V20)&amp;"|K12",Projections!$Y$2:$Y$246,0)),""))</f>
        <v>29.5</v>
      </c>
      <c r="K20" s="10" t="n">
        <f aca="false">IF($V20="","",IFERROR(INDEX(Projections!$I$2:$I$246,MATCH(INDEX(Calc!$A$2:$A$124,$V20)&amp;"|K12",Projections!$Y$2:$Y$246,0)),""))</f>
        <v>0.48044047646041</v>
      </c>
      <c r="L20" s="10" t="n">
        <f aca="false">IF($V20="","",IFERROR(INDEX(Projections!$AB$2:$AB$246,MATCH(INDEX(Calc!$A$2:$A$124,$V20)&amp;"|K12",Projections!$Y$2:$Y$246,0)),""))</f>
        <v>0.484265827582306</v>
      </c>
      <c r="M20" s="9" t="n">
        <f aca="false">IF($V20="","",IFERROR(INDEX(Projections!$M$2:$M$246,MATCH(INDEX(Calc!$A$2:$A$124,$V20)&amp;"|K12",Projections!$Y$2:$Y$246,0)),""))</f>
        <v>29.18</v>
      </c>
      <c r="N20" s="10" t="n">
        <f aca="false">IF($V20="","",IFERROR(INDEX(Projections!$P$2:$P$246,MATCH(INDEX(Calc!$A$2:$A$124,$V20)&amp;"|K12",Projections!$Y$2:$Y$246,0)),""))</f>
        <v>0.5</v>
      </c>
      <c r="O20" s="10" t="n">
        <f aca="false">IF($V20="","",INDEX(Calc!$AP$2:$AP$124,$V20))</f>
        <v>0.333278462603341</v>
      </c>
      <c r="P20" s="11" t="n">
        <f aca="false">IF($V20="","",INDEX(Calc!$AN$2:$AN$124,$V20))</f>
        <v>9.72722232653061</v>
      </c>
      <c r="Q20" s="9" t="n">
        <f aca="false">IF($V20="","",IFERROR(INDEX(Projections!$F$2:$F$246,MATCH(INDEX(Calc!$A$2:$A$124,$V20)&amp;"|H12",Projections!$Y$2:$Y$246,0)),""))</f>
        <v>10.5</v>
      </c>
      <c r="R20" s="10" t="n">
        <f aca="false">IF($V20="","",IFERROR(INDEX(Projections!$I$2:$I$246,MATCH(INDEX(Calc!$A$2:$A$124,$V20)&amp;"|H12",Projections!$Y$2:$Y$246,0)),""))</f>
        <v>0.407978638225171</v>
      </c>
      <c r="S20" s="9" t="n">
        <f aca="false">IF($V20="","",INDEX(Calc!$N$2:$N$124,$V20))</f>
        <v>34</v>
      </c>
      <c r="T20" s="0" t="str">
        <f aca="false">IF($V20="","",INDEX(Calc!$AQ$2:$AQ$124,$V20))</f>
        <v/>
      </c>
      <c r="V20" s="9" t="n">
        <f aca="false">IFERROR(MATCH(6,Calc!$AR$2:$AR$124,0),"")</f>
        <v>61</v>
      </c>
    </row>
    <row r="21" customFormat="false" ht="15" hidden="false" customHeight="false" outlineLevel="0" collapsed="false">
      <c r="A21" s="0" t="str">
        <f aca="false">IF($V21="","",INDEX(Calc!$D$2:$D$124,$V21))</f>
        <v>TL</v>
      </c>
      <c r="B21" s="0" t="str">
        <f aca="false">IF($V21="","",INDEX(Calc!$E$2:$E$124,$V21))</f>
        <v>NAF</v>
      </c>
      <c r="C21" s="13" t="n">
        <f aca="false">IF($V21="","",INDEX(Calc!$T$2:$T$124,$V21))</f>
        <v>0.638888888888889</v>
      </c>
      <c r="D21" s="13" t="n">
        <f aca="false">IF($V21="","",INDEX(Calc!$AA$2:$AA$124,$V21))</f>
        <v>0.72625</v>
      </c>
      <c r="E21" s="11" t="n">
        <f aca="false">IF($V21="","",INDEX(Calc!$V$2:$V$124,$V21))</f>
        <v>13.685</v>
      </c>
      <c r="F21" s="11" t="n">
        <f aca="false">IF($V21="","",INDEX(Calc!$AC$2:$AC$124,$V21))</f>
        <v>15.411025</v>
      </c>
      <c r="G21" s="11" t="n">
        <f aca="false">IF($V21="","",INDEX(Calc!$AL$2:$AL$124,$V21))</f>
        <v>29.096025</v>
      </c>
      <c r="H21" s="13" t="n">
        <f aca="false">IF($V21="","",INDEX(Calc!$BK$2:$BK$124,$V21))</f>
        <v>0.936461771017192</v>
      </c>
      <c r="I21" s="11" t="n">
        <f aca="false">IF($V21="","",INDEX(Calc!$BD$2:$BD$124,$V21))</f>
        <v>27.2473151010605</v>
      </c>
      <c r="J21" s="9" t="n">
        <f aca="false">IF($V21="","",IFERROR(INDEX(Projections!$F$2:$F$246,MATCH(INDEX(Calc!$A$2:$A$124,$V21)&amp;"|K12",Projections!$Y$2:$Y$246,0)),""))</f>
        <v>27</v>
      </c>
      <c r="K21" s="10" t="n">
        <f aca="false">IF($V21="","",IFERROR(INDEX(Projections!$I$2:$I$246,MATCH(INDEX(Calc!$A$2:$A$124,$V21)&amp;"|K12",Projections!$Y$2:$Y$246,0)),""))</f>
        <v>0.598732779342175</v>
      </c>
      <c r="L21" s="10" t="n">
        <f aca="false">IF($V21="","",IFERROR(INDEX(Projections!$AB$2:$AB$246,MATCH(INDEX(Calc!$A$2:$A$124,$V21)&amp;"|K12",Projections!$Y$2:$Y$246,0)),""))</f>
        <v>0.483682923936883</v>
      </c>
      <c r="M21" s="9" t="n">
        <f aca="false">IF($V21="","",IFERROR(INDEX(Projections!$M$2:$M$246,MATCH(INDEX(Calc!$A$2:$A$124,$V21)&amp;"|K12",Projections!$Y$2:$Y$246,0)),""))</f>
        <v>27.06</v>
      </c>
      <c r="N21" s="10" t="n">
        <f aca="false">IF($V21="","",IFERROR(INDEX(Projections!$P$2:$P$246,MATCH(INDEX(Calc!$A$2:$A$124,$V21)&amp;"|K12",Projections!$Y$2:$Y$246,0)),""))</f>
        <v>0.8</v>
      </c>
      <c r="O21" s="10" t="n">
        <f aca="false">IF($V21="","",INDEX(Calc!$AP$2:$AP$124,$V21))</f>
        <v>0.547332268921996</v>
      </c>
      <c r="P21" s="11" t="n">
        <f aca="false">IF($V21="","",INDEX(Calc!$AN$2:$AN$124,$V21))</f>
        <v>15.9251933798611</v>
      </c>
      <c r="Q21" s="9" t="n">
        <f aca="false">IF($V21="","",IFERROR(INDEX(Projections!$F$2:$F$246,MATCH(INDEX(Calc!$A$2:$A$124,$V21)&amp;"|H12",Projections!$Y$2:$Y$246,0)),""))</f>
        <v>13.5</v>
      </c>
      <c r="R21" s="10" t="n">
        <f aca="false">IF($V21="","",IFERROR(INDEX(Projections!$I$2:$I$246,MATCH(INDEX(Calc!$A$2:$A$124,$V21)&amp;"|H12",Projections!$Y$2:$Y$246,0)),""))</f>
        <v>0.70899298478579</v>
      </c>
      <c r="S21" s="9" t="n">
        <f aca="false">IF($V21="","",INDEX(Calc!$N$2:$N$124,$V21))</f>
        <v>30</v>
      </c>
      <c r="T21" s="0" t="str">
        <f aca="false">IF($V21="","",INDEX(Calc!$AQ$2:$AQ$124,$V21))</f>
        <v/>
      </c>
      <c r="V21" s="9" t="n">
        <f aca="false">IFERROR(MATCH(7,Calc!$AR$2:$AR$124,0),"")</f>
        <v>67</v>
      </c>
    </row>
    <row r="22" customFormat="false" ht="15" hidden="false" customHeight="false" outlineLevel="0" collapsed="false">
      <c r="A22" s="0" t="str">
        <f aca="false">IF($V22="","",INDEX(Calc!$D$2:$D$124,$V22))</f>
        <v>FUT</v>
      </c>
      <c r="B22" s="0" t="str">
        <f aca="false">IF($V22="","",INDEX(Calc!$E$2:$E$124,$V22))</f>
        <v>xfl0ud</v>
      </c>
      <c r="C22" s="13" t="n">
        <f aca="false">IF($V22="","",INDEX(Calc!$T$2:$T$124,$V22))</f>
        <v>0.671818181818182</v>
      </c>
      <c r="D22" s="13" t="n">
        <f aca="false">IF($V22="","",INDEX(Calc!$AA$2:$AA$124,$V22))</f>
        <v>0.605555555555556</v>
      </c>
      <c r="E22" s="11" t="n">
        <f aca="false">IF($V22="","",INDEX(Calc!$V$2:$V$124,$V22))</f>
        <v>14.3903454545455</v>
      </c>
      <c r="F22" s="11" t="n">
        <f aca="false">IF($V22="","",INDEX(Calc!$AC$2:$AC$124,$V22))</f>
        <v>12.8498888888889</v>
      </c>
      <c r="G22" s="11" t="n">
        <f aca="false">IF($V22="","",INDEX(Calc!$AL$2:$AL$124,$V22))</f>
        <v>27.2402343434343</v>
      </c>
      <c r="H22" s="13" t="n">
        <f aca="false">IF($V22="","",INDEX(Calc!$BK$2:$BK$124,$V22))</f>
        <v>1.00174268099932</v>
      </c>
      <c r="I22" s="11" t="n">
        <f aca="false">IF($V22="","",INDEX(Calc!$BD$2:$BD$124,$V22))</f>
        <v>27.2877053822416</v>
      </c>
      <c r="J22" s="9" t="n">
        <f aca="false">IF($V22="","",IFERROR(INDEX(Projections!$F$2:$F$246,MATCH(INDEX(Calc!$A$2:$A$124,$V22)&amp;"|K12",Projections!$Y$2:$Y$246,0)),""))</f>
        <v>29</v>
      </c>
      <c r="K22" s="10" t="n">
        <f aca="false">IF($V22="","",IFERROR(INDEX(Projections!$I$2:$I$246,MATCH(INDEX(Calc!$A$2:$A$124,$V22)&amp;"|K12",Projections!$Y$2:$Y$246,0)),""))</f>
        <v>0.357209927868158</v>
      </c>
      <c r="L22" s="10" t="n">
        <f aca="false">IF($V22="","",IFERROR(INDEX(Projections!$AB$2:$AB$246,MATCH(INDEX(Calc!$A$2:$A$124,$V22)&amp;"|K12",Projections!$Y$2:$Y$246,0)),""))</f>
        <v>0.360198671276197</v>
      </c>
      <c r="M22" s="9" t="n">
        <f aca="false">IF($V22="","",IFERROR(INDEX(Projections!$M$2:$M$246,MATCH(INDEX(Calc!$A$2:$A$124,$V22)&amp;"|K12",Projections!$Y$2:$Y$246,0)),""))</f>
        <v>28.9</v>
      </c>
      <c r="N22" s="10" t="n">
        <f aca="false">IF($V22="","",IFERROR(INDEX(Projections!$P$2:$P$246,MATCH(INDEX(Calc!$A$2:$A$124,$V22)&amp;"|K12",Projections!$Y$2:$Y$246,0)),""))</f>
        <v>0.6</v>
      </c>
      <c r="O22" s="10" t="n">
        <f aca="false">IF($V22="","",INDEX(Calc!$AP$2:$AP$124,$V22))</f>
        <v>0.53819245898655</v>
      </c>
      <c r="P22" s="11" t="n">
        <f aca="false">IF($V22="","",INDEX(Calc!$AN$2:$AN$124,$V22))</f>
        <v>14.6604887046628</v>
      </c>
      <c r="Q22" s="9" t="n">
        <f aca="false">IF($V22="","",IFERROR(INDEX(Projections!$F$2:$F$246,MATCH(INDEX(Calc!$A$2:$A$124,$V22)&amp;"|H12",Projections!$Y$2:$Y$246,0)),""))</f>
        <v>16</v>
      </c>
      <c r="R22" s="10" t="n">
        <f aca="false">IF($V22="","",IFERROR(INDEX(Projections!$I$2:$I$246,MATCH(INDEX(Calc!$A$2:$A$124,$V22)&amp;"|H12",Projections!$Y$2:$Y$246,0)),""))</f>
        <v>0.331489694032057</v>
      </c>
      <c r="S22" s="9" t="n">
        <f aca="false">IF($V22="","",INDEX(Calc!$N$2:$N$124,$V22))</f>
        <v>36</v>
      </c>
      <c r="T22" s="0" t="str">
        <f aca="false">IF($V22="","",INDEX(Calc!$AQ$2:$AQ$124,$V22))</f>
        <v/>
      </c>
      <c r="V22" s="9" t="n">
        <f aca="false">IFERROR(MATCH(8,Calc!$AR$2:$AR$124,0),"")</f>
        <v>62</v>
      </c>
    </row>
    <row r="23" customFormat="false" ht="15" hidden="false" customHeight="false" outlineLevel="0" collapsed="false">
      <c r="A23" s="0" t="str">
        <f aca="false">IF($V23="","",INDEX(Calc!$D$2:$D$124,$V23))</f>
        <v>FUT</v>
      </c>
      <c r="B23" s="0" t="str">
        <f aca="false">IF($V23="","",INDEX(Calc!$E$2:$E$124,$V23))</f>
        <v>dziugss</v>
      </c>
      <c r="C23" s="13" t="n">
        <f aca="false">IF($V23="","",INDEX(Calc!$T$2:$T$124,$V23))</f>
        <v>0.557272727272727</v>
      </c>
      <c r="D23" s="13" t="n">
        <f aca="false">IF($V23="","",INDEX(Calc!$AA$2:$AA$124,$V23))</f>
        <v>0.685555555555556</v>
      </c>
      <c r="E23" s="11" t="n">
        <f aca="false">IF($V23="","",INDEX(Calc!$V$2:$V$124,$V23))</f>
        <v>11.9367818181818</v>
      </c>
      <c r="F23" s="11" t="n">
        <f aca="false">IF($V23="","",INDEX(Calc!$AC$2:$AC$124,$V23))</f>
        <v>14.5474888888889</v>
      </c>
      <c r="G23" s="11" t="n">
        <f aca="false">IF($V23="","",INDEX(Calc!$AL$2:$AL$124,$V23))</f>
        <v>26.4842707070707</v>
      </c>
      <c r="H23" s="13" t="n">
        <f aca="false">IF($V23="","",INDEX(Calc!$BK$2:$BK$124,$V23))</f>
        <v>1.00378303742267</v>
      </c>
      <c r="I23" s="11" t="n">
        <f aca="false">IF($V23="","",INDEX(Calc!$BD$2:$BD$124,$V23))</f>
        <v>26.5844616942678</v>
      </c>
      <c r="J23" s="9" t="n">
        <f aca="false">IF($V23="","",IFERROR(INDEX(Projections!$F$2:$F$246,MATCH(INDEX(Calc!$A$2:$A$124,$V23)&amp;"|K12",Projections!$Y$2:$Y$246,0)),""))</f>
        <v>27.5</v>
      </c>
      <c r="K23" s="10" t="n">
        <f aca="false">IF($V23="","",IFERROR(INDEX(Projections!$I$2:$I$246,MATCH(INDEX(Calc!$A$2:$A$124,$V23)&amp;"|K12",Projections!$Y$2:$Y$246,0)),""))</f>
        <v>0.433760097209728</v>
      </c>
      <c r="L23" s="10" t="n">
        <f aca="false">IF($V23="","",IFERROR(INDEX(Projections!$AB$2:$AB$246,MATCH(INDEX(Calc!$A$2:$A$124,$V23)&amp;"|K12",Projections!$Y$2:$Y$246,0)),""))</f>
        <v>0.440354055745913</v>
      </c>
      <c r="M23" s="9" t="n">
        <f aca="false">IF($V23="","",IFERROR(INDEX(Projections!$M$2:$M$246,MATCH(INDEX(Calc!$A$2:$A$124,$V23)&amp;"|K12",Projections!$Y$2:$Y$246,0)),""))</f>
        <v>28.11</v>
      </c>
      <c r="N23" s="10" t="n">
        <f aca="false">IF($V23="","",IFERROR(INDEX(Projections!$P$2:$P$246,MATCH(INDEX(Calc!$A$2:$A$124,$V23)&amp;"|K12",Projections!$Y$2:$Y$246,0)),""))</f>
        <v>0.4</v>
      </c>
      <c r="O23" s="10" t="n">
        <f aca="false">IF($V23="","",INDEX(Calc!$AP$2:$AP$124,$V23))</f>
        <v>0.613733801929954</v>
      </c>
      <c r="P23" s="11" t="n">
        <f aca="false">IF($V23="","",INDEX(Calc!$AN$2:$AN$124,$V23))</f>
        <v>16.2542921523926</v>
      </c>
      <c r="Q23" s="9" t="n">
        <f aca="false">IF($V23="","",IFERROR(INDEX(Projections!$F$2:$F$246,MATCH(INDEX(Calc!$A$2:$A$124,$V23)&amp;"|H12",Projections!$Y$2:$Y$246,0)),""))</f>
        <v>16</v>
      </c>
      <c r="R23" s="10" t="n">
        <f aca="false">IF($V23="","",IFERROR(INDEX(Projections!$I$2:$I$246,MATCH(INDEX(Calc!$A$2:$A$124,$V23)&amp;"|H12",Projections!$Y$2:$Y$246,0)),""))</f>
        <v>0.478224982410172</v>
      </c>
      <c r="S23" s="9" t="n">
        <f aca="false">IF($V23="","",INDEX(Calc!$N$2:$N$124,$V23))</f>
        <v>37</v>
      </c>
      <c r="T23" s="0" t="str">
        <f aca="false">IF($V23="","",INDEX(Calc!$AQ$2:$AQ$124,$V23))</f>
        <v/>
      </c>
      <c r="V23" s="9" t="n">
        <f aca="false">IFERROR(MATCH(9,Calc!$AR$2:$AR$124,0),"")</f>
        <v>59</v>
      </c>
    </row>
    <row r="24" customFormat="false" ht="15" hidden="false" customHeight="false" outlineLevel="0" collapsed="false">
      <c r="A24" s="0" t="str">
        <f aca="false">IF($V24="","",INDEX(Calc!$D$2:$D$124,$V24))</f>
        <v>TL</v>
      </c>
      <c r="B24" s="0" t="str">
        <f aca="false">IF($V24="","",INDEX(Calc!$E$2:$E$124,$V24))</f>
        <v>JT</v>
      </c>
      <c r="C24" s="13" t="n">
        <f aca="false">IF($V24="","",INDEX(Calc!$T$2:$T$124,$V24))</f>
        <v>0.551111111111111</v>
      </c>
      <c r="D24" s="13" t="n">
        <f aca="false">IF($V24="","",INDEX(Calc!$AA$2:$AA$124,$V24))</f>
        <v>0.48625</v>
      </c>
      <c r="E24" s="11" t="n">
        <f aca="false">IF($V24="","",INDEX(Calc!$V$2:$V$124,$V24))</f>
        <v>11.8048</v>
      </c>
      <c r="F24" s="11" t="n">
        <f aca="false">IF($V24="","",INDEX(Calc!$AC$2:$AC$124,$V24))</f>
        <v>10.318225</v>
      </c>
      <c r="G24" s="11" t="n">
        <f aca="false">IF($V24="","",INDEX(Calc!$AL$2:$AL$124,$V24))</f>
        <v>22.123025</v>
      </c>
      <c r="H24" s="13" t="n">
        <f aca="false">IF($V24="","",INDEX(Calc!$BK$2:$BK$124,$V24))</f>
        <v>0.938111368343182</v>
      </c>
      <c r="I24" s="11" t="n">
        <f aca="false">IF($V24="","",INDEX(Calc!$BD$2:$BD$124,$V24))</f>
        <v>20.7538612546404</v>
      </c>
      <c r="J24" s="9" t="n">
        <f aca="false">IF($V24="","",IFERROR(INDEX(Projections!$F$2:$F$246,MATCH(INDEX(Calc!$A$2:$A$124,$V24)&amp;"|K12",Projections!$Y$2:$Y$246,0)),""))</f>
        <v>23</v>
      </c>
      <c r="K24" s="10" t="n">
        <f aca="false">IF($V24="","",IFERROR(INDEX(Projections!$I$2:$I$246,MATCH(INDEX(Calc!$A$2:$A$124,$V24)&amp;"|K12",Projections!$Y$2:$Y$246,0)),""))</f>
        <v>0.402290501022796</v>
      </c>
      <c r="L24" s="10" t="n">
        <f aca="false">IF($V24="","",IFERROR(INDEX(Projections!$AB$2:$AB$246,MATCH(INDEX(Calc!$A$2:$A$124,$V24)&amp;"|K12",Projections!$Y$2:$Y$246,0)),""))</f>
        <v>0.305215361736099</v>
      </c>
      <c r="M24" s="9" t="n">
        <f aca="false">IF($V24="","",IFERROR(INDEX(Projections!$M$2:$M$246,MATCH(INDEX(Calc!$A$2:$A$124,$V24)&amp;"|K12",Projections!$Y$2:$Y$246,0)),""))</f>
        <v>23.17</v>
      </c>
      <c r="N24" s="10" t="n">
        <f aca="false">IF($V24="","",IFERROR(INDEX(Projections!$P$2:$P$246,MATCH(INDEX(Calc!$A$2:$A$124,$V24)&amp;"|K12",Projections!$Y$2:$Y$246,0)),""))</f>
        <v>0.4</v>
      </c>
      <c r="O24" s="10" t="n">
        <f aca="false">IF($V24="","",INDEX(Calc!$AP$2:$AP$124,$V24))</f>
        <v>0.544020710935402</v>
      </c>
      <c r="P24" s="11" t="n">
        <f aca="false">IF($V24="","",INDEX(Calc!$AN$2:$AN$124,$V24))</f>
        <v>12.0353837885417</v>
      </c>
      <c r="Q24" s="9" t="n">
        <f aca="false">IF($V24="","",IFERROR(INDEX(Projections!$F$2:$F$246,MATCH(INDEX(Calc!$A$2:$A$124,$V24)&amp;"|H12",Projections!$Y$2:$Y$246,0)),""))</f>
        <v>12.5</v>
      </c>
      <c r="R24" s="10" t="n">
        <f aca="false">IF($V24="","",IFERROR(INDEX(Projections!$I$2:$I$246,MATCH(INDEX(Calc!$A$2:$A$124,$V24)&amp;"|H12",Projections!$Y$2:$Y$246,0)),""))</f>
        <v>0.45169907316782</v>
      </c>
      <c r="S24" s="9" t="n">
        <f aca="false">IF($V24="","",INDEX(Calc!$N$2:$N$124,$V24))</f>
        <v>30</v>
      </c>
      <c r="T24" s="0" t="str">
        <f aca="false">IF($V24="","",INDEX(Calc!$AQ$2:$AQ$124,$V24))</f>
        <v/>
      </c>
      <c r="V24" s="9" t="n">
        <f aca="false">IFERROR(MATCH(10,Calc!$AR$2:$AR$124,0),"")</f>
        <v>65</v>
      </c>
    </row>
    <row r="25" customFormat="false" ht="15" hidden="false" customHeight="false" outlineLevel="0" collapsed="false">
      <c r="A25" s="0" t="str">
        <f aca="false">IF($V25="","",INDEX(Calc!$D$2:$D$124,$V25))</f>
        <v/>
      </c>
      <c r="B25" s="0" t="str">
        <f aca="false">IF($V25="","",INDEX(Calc!$E$2:$E$124,$V25))</f>
        <v/>
      </c>
      <c r="C25" s="13" t="str">
        <f aca="false">IF($V25="","",INDEX(Calc!$T$2:$T$124,$V25))</f>
        <v/>
      </c>
      <c r="D25" s="13" t="str">
        <f aca="false">IF($V25="","",INDEX(Calc!$AA$2:$AA$124,$V25))</f>
        <v/>
      </c>
      <c r="E25" s="11" t="str">
        <f aca="false">IF($V25="","",INDEX(Calc!$V$2:$V$124,$V25))</f>
        <v/>
      </c>
      <c r="F25" s="11" t="str">
        <f aca="false">IF($V25="","",INDEX(Calc!$AC$2:$AC$124,$V25))</f>
        <v/>
      </c>
      <c r="G25" s="11" t="str">
        <f aca="false">IF($V25="","",INDEX(Calc!$AL$2:$AL$124,$V25))</f>
        <v/>
      </c>
      <c r="H25" s="13" t="str">
        <f aca="false">IF($V25="","",INDEX(Calc!$BK$2:$BK$124,$V25))</f>
        <v/>
      </c>
      <c r="I25" s="11" t="str">
        <f aca="false">IF($V25="","",INDEX(Calc!$BD$2:$BD$124,$V25))</f>
        <v/>
      </c>
      <c r="J25" s="0" t="str">
        <f aca="false">IF($V25="","",IFERROR(INDEX(Projections!$F$2:$F$246,MATCH(INDEX(Calc!$A$2:$A$124,$V25)&amp;"|K12",Projections!$Y$2:$Y$246,0)),""))</f>
        <v/>
      </c>
      <c r="K25" s="10" t="str">
        <f aca="false">IF($V25="","",IFERROR(INDEX(Projections!$I$2:$I$246,MATCH(INDEX(Calc!$A$2:$A$124,$V25)&amp;"|K12",Projections!$Y$2:$Y$246,0)),""))</f>
        <v/>
      </c>
      <c r="L25" s="10" t="str">
        <f aca="false">IF($V25="","",IFERROR(INDEX(Projections!$AB$2:$AB$246,MATCH(INDEX(Calc!$A$2:$A$124,$V25)&amp;"|K12",Projections!$Y$2:$Y$246,0)),""))</f>
        <v/>
      </c>
      <c r="M25" s="0" t="str">
        <f aca="false">IF($V25="","",IFERROR(INDEX(Projections!$M$2:$M$246,MATCH(INDEX(Calc!$A$2:$A$124,$V25)&amp;"|K12",Projections!$Y$2:$Y$246,0)),""))</f>
        <v/>
      </c>
      <c r="N25" s="10" t="str">
        <f aca="false">IF($V25="","",IFERROR(INDEX(Projections!$P$2:$P$246,MATCH(INDEX(Calc!$A$2:$A$124,$V25)&amp;"|K12",Projections!$Y$2:$Y$246,0)),""))</f>
        <v/>
      </c>
      <c r="O25" s="10" t="str">
        <f aca="false">IF($V25="","",INDEX(Calc!$AP$2:$AP$124,$V25))</f>
        <v/>
      </c>
      <c r="P25" s="11" t="str">
        <f aca="false">IF($V25="","",INDEX(Calc!$AN$2:$AN$124,$V25))</f>
        <v/>
      </c>
      <c r="Q25" s="0" t="str">
        <f aca="false">IF($V25="","",IFERROR(INDEX(Projections!$F$2:$F$246,MATCH(INDEX(Calc!$A$2:$A$124,$V25)&amp;"|H12",Projections!$Y$2:$Y$246,0)),""))</f>
        <v/>
      </c>
      <c r="R25" s="10" t="str">
        <f aca="false">IF($V25="","",IFERROR(INDEX(Projections!$I$2:$I$246,MATCH(INDEX(Calc!$A$2:$A$124,$V25)&amp;"|H12",Projections!$Y$2:$Y$246,0)),""))</f>
        <v/>
      </c>
      <c r="S25" s="0" t="str">
        <f aca="false">IF($V25="","",INDEX(Calc!$N$2:$N$124,$V25))</f>
        <v/>
      </c>
      <c r="T25" s="0" t="str">
        <f aca="false">IF($V25="","",INDEX(Calc!$AQ$2:$AQ$124,$V25))</f>
        <v/>
      </c>
      <c r="V25" s="0" t="str">
        <f aca="false">IFERROR(MATCH(11,Calc!$AR$2:$AR$124,0),"")</f>
        <v/>
      </c>
    </row>
    <row r="26" customFormat="false" ht="15" hidden="false" customHeight="false" outlineLevel="0" collapsed="false">
      <c r="A26" s="0" t="str">
        <f aca="false">IF($V26="","",INDEX(Calc!$D$2:$D$124,$V26))</f>
        <v/>
      </c>
      <c r="B26" s="0" t="str">
        <f aca="false">IF($V26="","",INDEX(Calc!$E$2:$E$124,$V26))</f>
        <v/>
      </c>
      <c r="C26" s="13" t="str">
        <f aca="false">IF($V26="","",INDEX(Calc!$T$2:$T$124,$V26))</f>
        <v/>
      </c>
      <c r="D26" s="13" t="str">
        <f aca="false">IF($V26="","",INDEX(Calc!$AA$2:$AA$124,$V26))</f>
        <v/>
      </c>
      <c r="E26" s="11" t="str">
        <f aca="false">IF($V26="","",INDEX(Calc!$V$2:$V$124,$V26))</f>
        <v/>
      </c>
      <c r="F26" s="11" t="str">
        <f aca="false">IF($V26="","",INDEX(Calc!$AC$2:$AC$124,$V26))</f>
        <v/>
      </c>
      <c r="G26" s="11" t="str">
        <f aca="false">IF($V26="","",INDEX(Calc!$AL$2:$AL$124,$V26))</f>
        <v/>
      </c>
      <c r="H26" s="13" t="str">
        <f aca="false">IF($V26="","",INDEX(Calc!$BK$2:$BK$124,$V26))</f>
        <v/>
      </c>
      <c r="I26" s="11" t="str">
        <f aca="false">IF($V26="","",INDEX(Calc!$BD$2:$BD$124,$V26))</f>
        <v/>
      </c>
      <c r="J26" s="0" t="str">
        <f aca="false">IF($V26="","",IFERROR(INDEX(Projections!$F$2:$F$246,MATCH(INDEX(Calc!$A$2:$A$124,$V26)&amp;"|K12",Projections!$Y$2:$Y$246,0)),""))</f>
        <v/>
      </c>
      <c r="K26" s="10" t="str">
        <f aca="false">IF($V26="","",IFERROR(INDEX(Projections!$I$2:$I$246,MATCH(INDEX(Calc!$A$2:$A$124,$V26)&amp;"|K12",Projections!$Y$2:$Y$246,0)),""))</f>
        <v/>
      </c>
      <c r="L26" s="10" t="str">
        <f aca="false">IF($V26="","",IFERROR(INDEX(Projections!$AB$2:$AB$246,MATCH(INDEX(Calc!$A$2:$A$124,$V26)&amp;"|K12",Projections!$Y$2:$Y$246,0)),""))</f>
        <v/>
      </c>
      <c r="M26" s="0" t="str">
        <f aca="false">IF($V26="","",IFERROR(INDEX(Projections!$M$2:$M$246,MATCH(INDEX(Calc!$A$2:$A$124,$V26)&amp;"|K12",Projections!$Y$2:$Y$246,0)),""))</f>
        <v/>
      </c>
      <c r="N26" s="10" t="str">
        <f aca="false">IF($V26="","",IFERROR(INDEX(Projections!$P$2:$P$246,MATCH(INDEX(Calc!$A$2:$A$124,$V26)&amp;"|K12",Projections!$Y$2:$Y$246,0)),""))</f>
        <v/>
      </c>
      <c r="O26" s="10" t="str">
        <f aca="false">IF($V26="","",INDEX(Calc!$AP$2:$AP$124,$V26))</f>
        <v/>
      </c>
      <c r="P26" s="11" t="str">
        <f aca="false">IF($V26="","",INDEX(Calc!$AN$2:$AN$124,$V26))</f>
        <v/>
      </c>
      <c r="Q26" s="0" t="str">
        <f aca="false">IF($V26="","",IFERROR(INDEX(Projections!$F$2:$F$246,MATCH(INDEX(Calc!$A$2:$A$124,$V26)&amp;"|H12",Projections!$Y$2:$Y$246,0)),""))</f>
        <v/>
      </c>
      <c r="R26" s="10" t="str">
        <f aca="false">IF($V26="","",IFERROR(INDEX(Projections!$I$2:$I$246,MATCH(INDEX(Calc!$A$2:$A$124,$V26)&amp;"|H12",Projections!$Y$2:$Y$246,0)),""))</f>
        <v/>
      </c>
      <c r="S26" s="0" t="str">
        <f aca="false">IF($V26="","",INDEX(Calc!$N$2:$N$124,$V26))</f>
        <v/>
      </c>
      <c r="T26" s="0" t="str">
        <f aca="false">IF($V26="","",INDEX(Calc!$AQ$2:$AQ$124,$V26))</f>
        <v/>
      </c>
      <c r="V26" s="0" t="str">
        <f aca="false">IFERROR(MATCH(12,Calc!$AR$2:$AR$124,0),"")</f>
        <v/>
      </c>
    </row>
    <row r="28" customFormat="false" ht="15" hidden="false" customHeight="false" outlineLevel="0" collapsed="false">
      <c r="A28" s="2" t="s">
        <v>946</v>
      </c>
    </row>
    <row r="29" customFormat="false" ht="15" hidden="false" customHeight="false" outlineLevel="0" collapsed="false">
      <c r="A29" s="2" t="s">
        <v>947</v>
      </c>
    </row>
  </sheetData>
  <conditionalFormatting sqref="K15:K26">
    <cfRule type="colorScale" priority="2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conditionalFormatting sqref="L15:L26">
    <cfRule type="colorScale" priority="3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conditionalFormatting sqref="R15:R26">
    <cfRule type="colorScale" priority="4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dataValidations count="1">
    <dataValidation allowBlank="false" errorStyle="stop" operator="between" showDropDown="false" showErrorMessage="false" showInputMessage="false" sqref="B2" type="list">
      <formula1>Matches!$A$5:$A$19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4"/>
    <col collapsed="false" customWidth="true" hidden="false" outlineLevel="0" max="6" min="5" style="0" width="16"/>
    <col collapsed="false" customWidth="true" hidden="false" outlineLevel="0" max="10" min="7" style="0" width="8"/>
    <col collapsed="false" customWidth="true" hidden="false" outlineLevel="0" max="13" min="11" style="0" width="15"/>
    <col collapsed="false" customWidth="true" hidden="false" outlineLevel="0" max="14" min="14" style="0" width="18"/>
    <col collapsed="false" customWidth="true" hidden="false" outlineLevel="0" max="17" min="15" style="0" width="8"/>
    <col collapsed="false" customWidth="true" hidden="false" outlineLevel="0" max="18" min="18" style="0" width="7"/>
    <col collapsed="false" customWidth="true" hidden="false" outlineLevel="0" max="21" min="19" style="0" width="8"/>
    <col collapsed="false" customWidth="true" hidden="false" outlineLevel="0" max="22" min="22" style="0" width="7"/>
    <col collapsed="false" customWidth="true" hidden="false" outlineLevel="0" max="25" min="23" style="0" width="11"/>
    <col collapsed="false" customWidth="true" hidden="false" outlineLevel="0" max="29" min="26" style="0" width="9"/>
    <col collapsed="false" customWidth="true" hidden="false" outlineLevel="0" max="34" min="30" style="0" width="8"/>
    <col collapsed="false" customWidth="true" hidden="false" outlineLevel="0" max="36" min="35" style="0" width="9"/>
    <col collapsed="false" customWidth="true" hidden="false" outlineLevel="0" max="54" min="37" style="0" width="8"/>
  </cols>
  <sheetData>
    <row r="1" customFormat="false" ht="17.35" hidden="false" customHeight="false" outlineLevel="0" collapsed="false">
      <c r="A1" s="1" t="s">
        <v>948</v>
      </c>
    </row>
    <row r="2" customFormat="false" ht="15" hidden="false" customHeight="false" outlineLevel="0" collapsed="false">
      <c r="A2" s="2" t="s">
        <v>949</v>
      </c>
    </row>
    <row r="4" customFormat="false" ht="41.75" hidden="false" customHeight="false" outlineLevel="0" collapsed="false">
      <c r="A4" s="12" t="s">
        <v>950</v>
      </c>
      <c r="B4" s="12" t="s">
        <v>951</v>
      </c>
      <c r="C4" s="12" t="s">
        <v>907</v>
      </c>
      <c r="D4" s="12" t="s">
        <v>908</v>
      </c>
      <c r="E4" s="12" t="s">
        <v>952</v>
      </c>
      <c r="F4" s="12" t="s">
        <v>953</v>
      </c>
      <c r="G4" s="12" t="s">
        <v>909</v>
      </c>
      <c r="H4" s="12" t="s">
        <v>910</v>
      </c>
      <c r="I4" s="12" t="s">
        <v>911</v>
      </c>
      <c r="J4" s="12" t="s">
        <v>912</v>
      </c>
      <c r="K4" s="12" t="s">
        <v>913</v>
      </c>
      <c r="L4" s="12" t="s">
        <v>914</v>
      </c>
      <c r="M4" s="12" t="s">
        <v>954</v>
      </c>
      <c r="N4" s="12" t="s">
        <v>955</v>
      </c>
      <c r="O4" s="12" t="s">
        <v>915</v>
      </c>
      <c r="P4" s="12" t="s">
        <v>916</v>
      </c>
      <c r="Q4" s="12" t="s">
        <v>956</v>
      </c>
      <c r="R4" s="12" t="s">
        <v>917</v>
      </c>
      <c r="S4" s="12" t="s">
        <v>918</v>
      </c>
      <c r="T4" s="12" t="s">
        <v>919</v>
      </c>
      <c r="U4" s="12" t="s">
        <v>920</v>
      </c>
      <c r="V4" s="12" t="s">
        <v>957</v>
      </c>
      <c r="W4" s="12" t="s">
        <v>958</v>
      </c>
      <c r="X4" s="12" t="s">
        <v>959</v>
      </c>
      <c r="Y4" s="12" t="s">
        <v>960</v>
      </c>
      <c r="Z4" s="12" t="s">
        <v>961</v>
      </c>
      <c r="AA4" s="12" t="s">
        <v>962</v>
      </c>
      <c r="AB4" s="12" t="s">
        <v>963</v>
      </c>
      <c r="AC4" s="12" t="s">
        <v>964</v>
      </c>
      <c r="AD4" s="12" t="s">
        <v>965</v>
      </c>
      <c r="AE4" s="12" t="s">
        <v>966</v>
      </c>
      <c r="AF4" s="12" t="s">
        <v>967</v>
      </c>
      <c r="AG4" s="12" t="s">
        <v>968</v>
      </c>
      <c r="AH4" s="12" t="s">
        <v>969</v>
      </c>
      <c r="AI4" s="12" t="s">
        <v>970</v>
      </c>
      <c r="AJ4" s="12" t="s">
        <v>971</v>
      </c>
      <c r="AK4" s="12" t="s">
        <v>972</v>
      </c>
      <c r="AL4" s="12" t="s">
        <v>973</v>
      </c>
      <c r="AM4" s="12" t="s">
        <v>974</v>
      </c>
      <c r="AN4" s="12" t="s">
        <v>921</v>
      </c>
      <c r="AO4" s="12" t="s">
        <v>922</v>
      </c>
      <c r="AP4" s="12" t="s">
        <v>975</v>
      </c>
      <c r="AQ4" s="12" t="s">
        <v>976</v>
      </c>
      <c r="AR4" s="12" t="s">
        <v>977</v>
      </c>
      <c r="AS4" s="12" t="s">
        <v>978</v>
      </c>
      <c r="AT4" s="12" t="s">
        <v>979</v>
      </c>
      <c r="AU4" s="12" t="s">
        <v>980</v>
      </c>
      <c r="AV4" s="12" t="s">
        <v>981</v>
      </c>
      <c r="AW4" s="12" t="s">
        <v>982</v>
      </c>
      <c r="AX4" s="12" t="s">
        <v>983</v>
      </c>
      <c r="AY4" s="12" t="s">
        <v>984</v>
      </c>
      <c r="AZ4" s="12" t="s">
        <v>985</v>
      </c>
      <c r="BA4" s="12" t="s">
        <v>986</v>
      </c>
      <c r="BB4" s="12" t="s">
        <v>987</v>
      </c>
    </row>
    <row r="5" customFormat="false" ht="15" hidden="false" customHeight="false" outlineLevel="0" collapsed="false">
      <c r="A5" s="0" t="s">
        <v>905</v>
      </c>
      <c r="B5" s="0" t="s">
        <v>988</v>
      </c>
      <c r="C5" s="0" t="s">
        <v>989</v>
      </c>
      <c r="D5" s="0" t="n">
        <v>3</v>
      </c>
      <c r="E5" s="0" t="s">
        <v>33</v>
      </c>
      <c r="F5" s="0" t="s">
        <v>34</v>
      </c>
      <c r="G5" s="10" t="n">
        <v>0.682352941176471</v>
      </c>
      <c r="H5" s="10" t="n">
        <v>0.385168788046486</v>
      </c>
      <c r="I5" s="10" t="n">
        <v>0.146098505810736</v>
      </c>
      <c r="J5" s="10" t="n">
        <v>0.468732706142778</v>
      </c>
      <c r="K5" s="9" t="s">
        <v>990</v>
      </c>
      <c r="L5" s="9" t="s">
        <v>991</v>
      </c>
      <c r="M5" s="9" t="s">
        <v>992</v>
      </c>
      <c r="N5" s="9" t="s">
        <v>993</v>
      </c>
      <c r="O5" s="11" t="n">
        <v>21.4231536926148</v>
      </c>
      <c r="P5" s="11" t="n">
        <v>21.2222836095764</v>
      </c>
      <c r="Q5" s="11" t="n">
        <v>21.3125531311986</v>
      </c>
      <c r="R5" s="10" t="n">
        <v>0.159420289855073</v>
      </c>
      <c r="S5" s="11" t="n">
        <v>2.5</v>
      </c>
      <c r="T5" s="11"/>
      <c r="U5" s="11" t="n">
        <v>11.0820224719101</v>
      </c>
      <c r="V5" s="0" t="n">
        <v>358</v>
      </c>
      <c r="W5" s="14" t="s">
        <v>80</v>
      </c>
      <c r="X5" s="14" t="s">
        <v>94</v>
      </c>
      <c r="Y5" s="14" t="s">
        <v>107</v>
      </c>
      <c r="Z5" s="15" t="n">
        <v>21.42</v>
      </c>
      <c r="AA5" s="15" t="n">
        <v>21.22</v>
      </c>
      <c r="AB5" s="15" t="n">
        <v>21.31</v>
      </c>
      <c r="AC5" s="16" t="n">
        <v>0.4687</v>
      </c>
      <c r="AD5" s="9" t="s">
        <v>994</v>
      </c>
      <c r="AE5" s="9" t="s">
        <v>995</v>
      </c>
      <c r="AF5" s="10" t="n">
        <v>0.5974</v>
      </c>
      <c r="AG5" s="10" t="n">
        <v>0.6585</v>
      </c>
      <c r="AH5" s="10" t="n">
        <v>0.6154</v>
      </c>
      <c r="AI5" s="10" t="n">
        <f aca="false">IFERROR(INDEX(HLTV_Teams!$N$2:$N$29,MATCH($A5&amp;"|A",HLTV_Teams!$A$2:$A$29,0)),"")</f>
        <v>0.529905965777709</v>
      </c>
      <c r="AJ5" s="10" t="n">
        <f aca="false">IFERROR(INDEX(HLTV_Teams!$N$2:$N$29,MATCH($A5&amp;"|B",HLTV_Teams!$A$2:$A$29,0)),"")</f>
        <v>0.539983492283795</v>
      </c>
      <c r="AK5" s="17" t="n">
        <f aca="false">IF($W5="","",IFERROR((SUMIFS(HLTV_Long!$B$2:$B$395,HLTV_Long!$A$2:$A$395,$A5&amp;"|A|"&amp;$W5&amp;"|lw")+SUMIFS(HLTV_Long!$B$2:$B$395,HLTV_Long!$A$2:$A$395,$A5&amp;"|B|"&amp;$W5&amp;"|wl"))/(COUNTIFS(HLTV_Long!$A$2:$A$395,$A5&amp;"|A|"&amp;$W5&amp;"|lw")+COUNTIFS(HLTV_Long!$A$2:$A$395,$A5&amp;"|B|"&amp;$W5&amp;"|wl")),IFERROR((SUMIFS(HLTV_Long!$B$2:$B$395,HLTV_Long!$A$2:$A$395,$A5&amp;"|A|"&amp;"ALL"&amp;"|lw")+SUMIFS(HLTV_Long!$B$2:$B$395,HLTV_Long!$A$2:$A$395,$A5&amp;"|B|"&amp;"ALL"&amp;"|wl"))/(COUNTIFS(HLTV_Long!$A$2:$A$395,$A5&amp;"|A|"&amp;"ALL"&amp;"|lw")+COUNTIFS(HLTV_Long!$A$2:$A$395,$A5&amp;"|B|"&amp;"ALL"&amp;"|wl")),"")))</f>
        <v>8.125</v>
      </c>
      <c r="AL5" s="17" t="n">
        <f aca="false">IF($W5="","",IFERROR((SUMIFS(HLTV_Long!$B$2:$B$395,HLTV_Long!$A$2:$A$395,$A5&amp;"|B|"&amp;$W5&amp;"|lw")+SUMIFS(HLTV_Long!$B$2:$B$395,HLTV_Long!$A$2:$A$395,$A5&amp;"|A|"&amp;$W5&amp;"|wl"))/(COUNTIFS(HLTV_Long!$A$2:$A$395,$A5&amp;"|B|"&amp;$W5&amp;"|lw")+COUNTIFS(HLTV_Long!$A$2:$A$395,$A5&amp;"|A|"&amp;$W5&amp;"|wl")),IFERROR((SUMIFS(HLTV_Long!$B$2:$B$395,HLTV_Long!$A$2:$A$395,$A5&amp;"|B|"&amp;"ALL"&amp;"|lw")+SUMIFS(HLTV_Long!$B$2:$B$395,HLTV_Long!$A$2:$A$395,$A5&amp;"|A|"&amp;"ALL"&amp;"|wl"))/(COUNTIFS(HLTV_Long!$A$2:$A$395,$A5&amp;"|B|"&amp;"ALL"&amp;"|lw")+COUNTIFS(HLTV_Long!$A$2:$A$395,$A5&amp;"|A|"&amp;"ALL"&amp;"|wl")),"")))</f>
        <v>7.6</v>
      </c>
      <c r="AM5" s="9" t="n">
        <f aca="false">IF($W5="","",COUNTIFS(HLTV_Long!$A$2:$A$395,$A5&amp;"|A|"&amp;$W5&amp;"|lw")+COUNTIFS(HLTV_Long!$A$2:$A$395,$A5&amp;"|B|"&amp;$W5&amp;"|wl")+COUNTIFS(HLTV_Long!$A$2:$A$395,$A5&amp;"|B|"&amp;$W5&amp;"|lw")+COUNTIFS(HLTV_Long!$A$2:$A$395,$A5&amp;"|A|"&amp;$W5&amp;"|wl"))</f>
        <v>4</v>
      </c>
      <c r="AN5" s="17" t="n">
        <f aca="false">IF(OR($AK5="",$AL5="",$AF5=""),"",13+$AF5*$AK5+(1-$AF5)*$AL5)</f>
        <v>20.913635</v>
      </c>
      <c r="AO5" s="17" t="n">
        <f aca="false">IF($AN5="","",$AF5*(13-$AK5)-(1-$AF5)*(13-$AL5))</f>
        <v>0.738285</v>
      </c>
      <c r="AP5" s="10" t="n">
        <f aca="false">IF($AN5="","",($AF5*13+(1-$AF5)*$AL5)/$AN5)</f>
        <v>0.517650805323895</v>
      </c>
      <c r="AQ5" s="17" t="n">
        <f aca="false">IF($X5="","",IFERROR((SUMIFS(HLTV_Long!$B$2:$B$395,HLTV_Long!$A$2:$A$395,$A5&amp;"|A|"&amp;$X5&amp;"|lw")+SUMIFS(HLTV_Long!$B$2:$B$395,HLTV_Long!$A$2:$A$395,$A5&amp;"|B|"&amp;$X5&amp;"|wl"))/(COUNTIFS(HLTV_Long!$A$2:$A$395,$A5&amp;"|A|"&amp;$X5&amp;"|lw")+COUNTIFS(HLTV_Long!$A$2:$A$395,$A5&amp;"|B|"&amp;$X5&amp;"|wl")),IFERROR((SUMIFS(HLTV_Long!$B$2:$B$395,HLTV_Long!$A$2:$A$395,$A5&amp;"|A|"&amp;"ALL"&amp;"|lw")+SUMIFS(HLTV_Long!$B$2:$B$395,HLTV_Long!$A$2:$A$395,$A5&amp;"|B|"&amp;"ALL"&amp;"|wl"))/(COUNTIFS(HLTV_Long!$A$2:$A$395,$A5&amp;"|A|"&amp;"ALL"&amp;"|lw")+COUNTIFS(HLTV_Long!$A$2:$A$395,$A5&amp;"|B|"&amp;"ALL"&amp;"|wl")),"")))</f>
        <v>6.875</v>
      </c>
      <c r="AR5" s="17" t="n">
        <f aca="false">IF($X5="","",IFERROR((SUMIFS(HLTV_Long!$B$2:$B$395,HLTV_Long!$A$2:$A$395,$A5&amp;"|B|"&amp;$X5&amp;"|lw")+SUMIFS(HLTV_Long!$B$2:$B$395,HLTV_Long!$A$2:$A$395,$A5&amp;"|A|"&amp;$X5&amp;"|wl"))/(COUNTIFS(HLTV_Long!$A$2:$A$395,$A5&amp;"|B|"&amp;$X5&amp;"|lw")+COUNTIFS(HLTV_Long!$A$2:$A$395,$A5&amp;"|A|"&amp;$X5&amp;"|wl")),IFERROR((SUMIFS(HLTV_Long!$B$2:$B$395,HLTV_Long!$A$2:$A$395,$A5&amp;"|B|"&amp;"ALL"&amp;"|lw")+SUMIFS(HLTV_Long!$B$2:$B$395,HLTV_Long!$A$2:$A$395,$A5&amp;"|A|"&amp;"ALL"&amp;"|wl"))/(COUNTIFS(HLTV_Long!$A$2:$A$395,$A5&amp;"|B|"&amp;"ALL"&amp;"|lw")+COUNTIFS(HLTV_Long!$A$2:$A$395,$A5&amp;"|A|"&amp;"ALL"&amp;"|wl")),"")))</f>
        <v>6.75</v>
      </c>
      <c r="AS5" s="9" t="n">
        <f aca="false">IF($X5="","",COUNTIFS(HLTV_Long!$A$2:$A$395,$A5&amp;"|A|"&amp;$X5&amp;"|lw")+COUNTIFS(HLTV_Long!$A$2:$A$395,$A5&amp;"|B|"&amp;$X5&amp;"|wl")+COUNTIFS(HLTV_Long!$A$2:$A$395,$A5&amp;"|B|"&amp;$X5&amp;"|lw")+COUNTIFS(HLTV_Long!$A$2:$A$395,$A5&amp;"|A|"&amp;$X5&amp;"|wl"))</f>
        <v>4</v>
      </c>
      <c r="AT5" s="17" t="n">
        <f aca="false">IF(OR($AQ5="",$AR5="",$AG5=""),"",13+$AG5*$AQ5+(1-$AG5)*$AR5)</f>
        <v>19.8323125</v>
      </c>
      <c r="AU5" s="17" t="n">
        <f aca="false">IF($AT5="","",$AG5*(13-$AQ5)-(1-$AG5)*(13-$AR5))</f>
        <v>1.8989375</v>
      </c>
      <c r="AV5" s="10" t="n">
        <f aca="false">IF($AT5="","",($AG5*13+(1-$AG5)*$AR5)/$AT5)</f>
        <v>0.547874838095658</v>
      </c>
      <c r="AW5" s="17" t="n">
        <f aca="false">IF($Y5="","",IFERROR((SUMIFS(HLTV_Long!$B$2:$B$395,HLTV_Long!$A$2:$A$395,$A5&amp;"|A|"&amp;$Y5&amp;"|lw")+SUMIFS(HLTV_Long!$B$2:$B$395,HLTV_Long!$A$2:$A$395,$A5&amp;"|B|"&amp;$Y5&amp;"|wl"))/(COUNTIFS(HLTV_Long!$A$2:$A$395,$A5&amp;"|A|"&amp;$Y5&amp;"|lw")+COUNTIFS(HLTV_Long!$A$2:$A$395,$A5&amp;"|B|"&amp;$Y5&amp;"|wl")),IFERROR((SUMIFS(HLTV_Long!$B$2:$B$395,HLTV_Long!$A$2:$A$395,$A5&amp;"|A|"&amp;"ALL"&amp;"|lw")+SUMIFS(HLTV_Long!$B$2:$B$395,HLTV_Long!$A$2:$A$395,$A5&amp;"|B|"&amp;"ALL"&amp;"|wl"))/(COUNTIFS(HLTV_Long!$A$2:$A$395,$A5&amp;"|A|"&amp;"ALL"&amp;"|lw")+COUNTIFS(HLTV_Long!$A$2:$A$395,$A5&amp;"|B|"&amp;"ALL"&amp;"|wl")),"")))</f>
        <v>9.3</v>
      </c>
      <c r="AX5" s="17" t="n">
        <f aca="false">IF($Y5="","",IFERROR((SUMIFS(HLTV_Long!$B$2:$B$395,HLTV_Long!$A$2:$A$395,$A5&amp;"|B|"&amp;$Y5&amp;"|lw")+SUMIFS(HLTV_Long!$B$2:$B$395,HLTV_Long!$A$2:$A$395,$A5&amp;"|A|"&amp;$Y5&amp;"|wl"))/(COUNTIFS(HLTV_Long!$A$2:$A$395,$A5&amp;"|B|"&amp;$Y5&amp;"|lw")+COUNTIFS(HLTV_Long!$A$2:$A$395,$A5&amp;"|A|"&amp;$Y5&amp;"|wl")),IFERROR((SUMIFS(HLTV_Long!$B$2:$B$395,HLTV_Long!$A$2:$A$395,$A5&amp;"|B|"&amp;"ALL"&amp;"|lw")+SUMIFS(HLTV_Long!$B$2:$B$395,HLTV_Long!$A$2:$A$395,$A5&amp;"|A|"&amp;"ALL"&amp;"|wl"))/(COUNTIFS(HLTV_Long!$A$2:$A$395,$A5&amp;"|B|"&amp;"ALL"&amp;"|lw")+COUNTIFS(HLTV_Long!$A$2:$A$395,$A5&amp;"|A|"&amp;"ALL"&amp;"|wl")),"")))</f>
        <v>9.165</v>
      </c>
      <c r="AY5" s="9" t="n">
        <f aca="false">IF($Y5="","",COUNTIFS(HLTV_Long!$A$2:$A$395,$A5&amp;"|A|"&amp;$Y5&amp;"|lw")+COUNTIFS(HLTV_Long!$A$2:$A$395,$A5&amp;"|B|"&amp;$Y5&amp;"|wl")+COUNTIFS(HLTV_Long!$A$2:$A$395,$A5&amp;"|B|"&amp;$Y5&amp;"|lw")+COUNTIFS(HLTV_Long!$A$2:$A$395,$A5&amp;"|A|"&amp;$Y5&amp;"|wl"))</f>
        <v>4</v>
      </c>
      <c r="AZ5" s="17" t="n">
        <f aca="false">IF(OR($AW5="",$AX5="",$AH5=""),"",13+$AH5*$AW5+(1-$AH5)*$AX5)</f>
        <v>22.248079</v>
      </c>
      <c r="BA5" s="17" t="n">
        <f aca="false">IF($AZ5="","",$AH5*(13-$AW5)-(1-$AH5)*(13-$AX5))</f>
        <v>0.802038999999999</v>
      </c>
      <c r="BB5" s="10" t="n">
        <f aca="false">IF($AZ5="","",($AH5*13+(1-$AH5)*$AX5)/$AZ5)</f>
        <v>0.518024904532207</v>
      </c>
    </row>
    <row r="6" customFormat="false" ht="15" hidden="false" customHeight="false" outlineLevel="0" collapsed="false">
      <c r="A6" s="0" t="s">
        <v>996</v>
      </c>
      <c r="B6" s="0" t="s">
        <v>988</v>
      </c>
      <c r="C6" s="0" t="s">
        <v>989</v>
      </c>
      <c r="D6" s="0" t="n">
        <v>3</v>
      </c>
      <c r="E6" s="0" t="s">
        <v>163</v>
      </c>
      <c r="F6" s="0" t="s">
        <v>164</v>
      </c>
      <c r="G6" s="10" t="n">
        <v>0.86848635235732</v>
      </c>
      <c r="H6" s="10" t="n">
        <v>0.586341045734602</v>
      </c>
      <c r="I6" s="10" t="n">
        <v>0.0832604284943134</v>
      </c>
      <c r="J6" s="10" t="n">
        <v>0.330398525771085</v>
      </c>
      <c r="K6" s="9" t="s">
        <v>997</v>
      </c>
      <c r="L6" s="9" t="s">
        <v>998</v>
      </c>
      <c r="M6" s="9" t="s">
        <v>999</v>
      </c>
      <c r="N6" s="9" t="s">
        <v>993</v>
      </c>
      <c r="O6" s="11" t="n">
        <v>20.5899714376388</v>
      </c>
      <c r="P6" s="11" t="n">
        <v>20.2879299260688</v>
      </c>
      <c r="Q6" s="11" t="n">
        <v>20.5899714376388</v>
      </c>
      <c r="R6" s="10" t="n">
        <v>0.13151364764268</v>
      </c>
      <c r="S6" s="11" t="n">
        <v>4.61904761904762</v>
      </c>
      <c r="T6" s="11"/>
      <c r="U6" s="11" t="n">
        <v>8.38095238095238</v>
      </c>
      <c r="V6" s="0" t="n">
        <v>342</v>
      </c>
      <c r="W6" s="14" t="s">
        <v>150</v>
      </c>
      <c r="X6" s="14" t="s">
        <v>121</v>
      </c>
      <c r="Y6" s="14" t="s">
        <v>131</v>
      </c>
      <c r="Z6" s="15" t="n">
        <v>20.59</v>
      </c>
      <c r="AA6" s="15" t="n">
        <v>20.29</v>
      </c>
      <c r="AB6" s="15" t="n">
        <v>20.59</v>
      </c>
      <c r="AC6" s="16" t="n">
        <v>0.3304</v>
      </c>
      <c r="AD6" s="9" t="s">
        <v>1000</v>
      </c>
      <c r="AE6" s="9" t="s">
        <v>1001</v>
      </c>
      <c r="AF6" s="10" t="n">
        <v>0.757</v>
      </c>
      <c r="AG6" s="10" t="n">
        <v>0.8067</v>
      </c>
      <c r="AH6" s="10" t="n">
        <v>0.757</v>
      </c>
      <c r="AI6" s="10" t="n">
        <f aca="false">IFERROR(INDEX(HLTV_Teams!$N$2:$N$29,MATCH($A6&amp;"|A",HLTV_Teams!$A$2:$A$29,0)),"")</f>
        <v>0.552265391940194</v>
      </c>
      <c r="AJ6" s="10" t="n">
        <f aca="false">IFERROR(INDEX(HLTV_Teams!$N$2:$N$29,MATCH($A6&amp;"|B",HLTV_Teams!$A$2:$A$29,0)),"")</f>
        <v>0.518492509363296</v>
      </c>
      <c r="AK6" s="17" t="n">
        <f aca="false">IF($W6="","",IFERROR((SUMIFS(HLTV_Long!$B$2:$B$395,HLTV_Long!$A$2:$A$395,$A6&amp;"|A|"&amp;$W6&amp;"|lw")+SUMIFS(HLTV_Long!$B$2:$B$395,HLTV_Long!$A$2:$A$395,$A6&amp;"|B|"&amp;$W6&amp;"|wl"))/(COUNTIFS(HLTV_Long!$A$2:$A$395,$A6&amp;"|A|"&amp;$W6&amp;"|lw")+COUNTIFS(HLTV_Long!$A$2:$A$395,$A6&amp;"|B|"&amp;$W6&amp;"|wl")),IFERROR((SUMIFS(HLTV_Long!$B$2:$B$395,HLTV_Long!$A$2:$A$395,$A6&amp;"|A|"&amp;"ALL"&amp;"|lw")+SUMIFS(HLTV_Long!$B$2:$B$395,HLTV_Long!$A$2:$A$395,$A6&amp;"|B|"&amp;"ALL"&amp;"|wl"))/(COUNTIFS(HLTV_Long!$A$2:$A$395,$A6&amp;"|A|"&amp;"ALL"&amp;"|lw")+COUNTIFS(HLTV_Long!$A$2:$A$395,$A6&amp;"|B|"&amp;"ALL"&amp;"|wl")),"")))</f>
        <v>6.25</v>
      </c>
      <c r="AL6" s="17" t="n">
        <f aca="false">IF($W6="","",IFERROR((SUMIFS(HLTV_Long!$B$2:$B$395,HLTV_Long!$A$2:$A$395,$A6&amp;"|B|"&amp;$W6&amp;"|lw")+SUMIFS(HLTV_Long!$B$2:$B$395,HLTV_Long!$A$2:$A$395,$A6&amp;"|A|"&amp;$W6&amp;"|wl"))/(COUNTIFS(HLTV_Long!$A$2:$A$395,$A6&amp;"|B|"&amp;$W6&amp;"|lw")+COUNTIFS(HLTV_Long!$A$2:$A$395,$A6&amp;"|A|"&amp;$W6&amp;"|wl")),IFERROR((SUMIFS(HLTV_Long!$B$2:$B$395,HLTV_Long!$A$2:$A$395,$A6&amp;"|B|"&amp;"ALL"&amp;"|lw")+SUMIFS(HLTV_Long!$B$2:$B$395,HLTV_Long!$A$2:$A$395,$A6&amp;"|A|"&amp;"ALL"&amp;"|wl"))/(COUNTIFS(HLTV_Long!$A$2:$A$395,$A6&amp;"|B|"&amp;"ALL"&amp;"|lw")+COUNTIFS(HLTV_Long!$A$2:$A$395,$A6&amp;"|A|"&amp;"ALL"&amp;"|wl")),"")))</f>
        <v>7.65</v>
      </c>
      <c r="AM6" s="9" t="n">
        <f aca="false">IF($W6="","",COUNTIFS(HLTV_Long!$A$2:$A$395,$A6&amp;"|A|"&amp;$W6&amp;"|lw")+COUNTIFS(HLTV_Long!$A$2:$A$395,$A6&amp;"|B|"&amp;$W6&amp;"|wl")+COUNTIFS(HLTV_Long!$A$2:$A$395,$A6&amp;"|B|"&amp;$W6&amp;"|lw")+COUNTIFS(HLTV_Long!$A$2:$A$395,$A6&amp;"|A|"&amp;$W6&amp;"|wl"))</f>
        <v>4</v>
      </c>
      <c r="AN6" s="17" t="n">
        <f aca="false">IF(OR($AK6="",$AL6="",$AF6=""),"",13+$AF6*$AK6+(1-$AF6)*$AL6)</f>
        <v>19.5902</v>
      </c>
      <c r="AO6" s="17" t="n">
        <f aca="false">IF($AN6="","",$AF6*(13-$AK6)-(1-$AF6)*(13-$AL6))</f>
        <v>3.8097</v>
      </c>
      <c r="AP6" s="10" t="n">
        <f aca="false">IF($AN6="","",($AF6*13+(1-$AF6)*$AL6)/$AN6)</f>
        <v>0.597234841910751</v>
      </c>
      <c r="AQ6" s="17" t="n">
        <f aca="false">IF($X6="","",IFERROR((SUMIFS(HLTV_Long!$B$2:$B$395,HLTV_Long!$A$2:$A$395,$A6&amp;"|A|"&amp;$X6&amp;"|lw")+SUMIFS(HLTV_Long!$B$2:$B$395,HLTV_Long!$A$2:$A$395,$A6&amp;"|B|"&amp;$X6&amp;"|wl"))/(COUNTIFS(HLTV_Long!$A$2:$A$395,$A6&amp;"|A|"&amp;$X6&amp;"|lw")+COUNTIFS(HLTV_Long!$A$2:$A$395,$A6&amp;"|B|"&amp;$X6&amp;"|wl")),IFERROR((SUMIFS(HLTV_Long!$B$2:$B$395,HLTV_Long!$A$2:$A$395,$A6&amp;"|A|"&amp;"ALL"&amp;"|lw")+SUMIFS(HLTV_Long!$B$2:$B$395,HLTV_Long!$A$2:$A$395,$A6&amp;"|B|"&amp;"ALL"&amp;"|wl"))/(COUNTIFS(HLTV_Long!$A$2:$A$395,$A6&amp;"|A|"&amp;"ALL"&amp;"|lw")+COUNTIFS(HLTV_Long!$A$2:$A$395,$A6&amp;"|B|"&amp;"ALL"&amp;"|wl")),"")))</f>
        <v>7.6</v>
      </c>
      <c r="AR6" s="17" t="n">
        <f aca="false">IF($X6="","",IFERROR((SUMIFS(HLTV_Long!$B$2:$B$395,HLTV_Long!$A$2:$A$395,$A6&amp;"|B|"&amp;$X6&amp;"|lw")+SUMIFS(HLTV_Long!$B$2:$B$395,HLTV_Long!$A$2:$A$395,$A6&amp;"|A|"&amp;$X6&amp;"|wl"))/(COUNTIFS(HLTV_Long!$A$2:$A$395,$A6&amp;"|B|"&amp;$X6&amp;"|lw")+COUNTIFS(HLTV_Long!$A$2:$A$395,$A6&amp;"|A|"&amp;$X6&amp;"|wl")),IFERROR((SUMIFS(HLTV_Long!$B$2:$B$395,HLTV_Long!$A$2:$A$395,$A6&amp;"|B|"&amp;"ALL"&amp;"|lw")+SUMIFS(HLTV_Long!$B$2:$B$395,HLTV_Long!$A$2:$A$395,$A6&amp;"|A|"&amp;"ALL"&amp;"|wl"))/(COUNTIFS(HLTV_Long!$A$2:$A$395,$A6&amp;"|B|"&amp;"ALL"&amp;"|lw")+COUNTIFS(HLTV_Long!$A$2:$A$395,$A6&amp;"|A|"&amp;"ALL"&amp;"|wl")),"")))</f>
        <v>6.335</v>
      </c>
      <c r="AS6" s="9" t="n">
        <f aca="false">IF($X6="","",COUNTIFS(HLTV_Long!$A$2:$A$395,$A6&amp;"|A|"&amp;$X6&amp;"|lw")+COUNTIFS(HLTV_Long!$A$2:$A$395,$A6&amp;"|B|"&amp;$X6&amp;"|wl")+COUNTIFS(HLTV_Long!$A$2:$A$395,$A6&amp;"|B|"&amp;$X6&amp;"|lw")+COUNTIFS(HLTV_Long!$A$2:$A$395,$A6&amp;"|A|"&amp;$X6&amp;"|wl"))</f>
        <v>4</v>
      </c>
      <c r="AT6" s="17" t="n">
        <f aca="false">IF(OR($AQ6="",$AR6="",$AG6=""),"",13+$AG6*$AQ6+(1-$AG6)*$AR6)</f>
        <v>20.3554755</v>
      </c>
      <c r="AU6" s="17" t="n">
        <f aca="false">IF($AT6="","",$AG6*(13-$AQ6)-(1-$AG6)*(13-$AR6))</f>
        <v>3.0678355</v>
      </c>
      <c r="AV6" s="10" t="n">
        <f aca="false">IF($AT6="","",($AG6*13+(1-$AG6)*$AR6)/$AT6)</f>
        <v>0.575356517709449</v>
      </c>
      <c r="AW6" s="17" t="n">
        <f aca="false">IF($Y6="","",IFERROR((SUMIFS(HLTV_Long!$B$2:$B$395,HLTV_Long!$A$2:$A$395,$A6&amp;"|A|"&amp;$Y6&amp;"|lw")+SUMIFS(HLTV_Long!$B$2:$B$395,HLTV_Long!$A$2:$A$395,$A6&amp;"|B|"&amp;$Y6&amp;"|wl"))/(COUNTIFS(HLTV_Long!$A$2:$A$395,$A6&amp;"|A|"&amp;$Y6&amp;"|lw")+COUNTIFS(HLTV_Long!$A$2:$A$395,$A6&amp;"|B|"&amp;$Y6&amp;"|wl")),IFERROR((SUMIFS(HLTV_Long!$B$2:$B$395,HLTV_Long!$A$2:$A$395,$A6&amp;"|A|"&amp;"ALL"&amp;"|lw")+SUMIFS(HLTV_Long!$B$2:$B$395,HLTV_Long!$A$2:$A$395,$A6&amp;"|B|"&amp;"ALL"&amp;"|wl"))/(COUNTIFS(HLTV_Long!$A$2:$A$395,$A6&amp;"|A|"&amp;"ALL"&amp;"|lw")+COUNTIFS(HLTV_Long!$A$2:$A$395,$A6&amp;"|B|"&amp;"ALL"&amp;"|wl")),"")))</f>
        <v>7.375</v>
      </c>
      <c r="AX6" s="17" t="n">
        <f aca="false">IF($Y6="","",IFERROR((SUMIFS(HLTV_Long!$B$2:$B$395,HLTV_Long!$A$2:$A$395,$A6&amp;"|B|"&amp;$Y6&amp;"|lw")+SUMIFS(HLTV_Long!$B$2:$B$395,HLTV_Long!$A$2:$A$395,$A6&amp;"|A|"&amp;$Y6&amp;"|wl"))/(COUNTIFS(HLTV_Long!$A$2:$A$395,$A6&amp;"|B|"&amp;$Y6&amp;"|lw")+COUNTIFS(HLTV_Long!$A$2:$A$395,$A6&amp;"|A|"&amp;$Y6&amp;"|wl")),IFERROR((SUMIFS(HLTV_Long!$B$2:$B$395,HLTV_Long!$A$2:$A$395,$A6&amp;"|B|"&amp;"ALL"&amp;"|lw")+SUMIFS(HLTV_Long!$B$2:$B$395,HLTV_Long!$A$2:$A$395,$A6&amp;"|A|"&amp;"ALL"&amp;"|wl"))/(COUNTIFS(HLTV_Long!$A$2:$A$395,$A6&amp;"|B|"&amp;"ALL"&amp;"|lw")+COUNTIFS(HLTV_Long!$A$2:$A$395,$A6&amp;"|A|"&amp;"ALL"&amp;"|wl")),"")))</f>
        <v>7.585</v>
      </c>
      <c r="AY6" s="9" t="n">
        <f aca="false">IF($Y6="","",COUNTIFS(HLTV_Long!$A$2:$A$395,$A6&amp;"|A|"&amp;$Y6&amp;"|lw")+COUNTIFS(HLTV_Long!$A$2:$A$395,$A6&amp;"|B|"&amp;$Y6&amp;"|wl")+COUNTIFS(HLTV_Long!$A$2:$A$395,$A6&amp;"|B|"&amp;$Y6&amp;"|lw")+COUNTIFS(HLTV_Long!$A$2:$A$395,$A6&amp;"|A|"&amp;$Y6&amp;"|wl"))</f>
        <v>4</v>
      </c>
      <c r="AZ6" s="17" t="n">
        <f aca="false">IF(OR($AW6="",$AX6="",$AH6=""),"",13+$AH6*$AW6+(1-$AH6)*$AX6)</f>
        <v>20.42603</v>
      </c>
      <c r="BA6" s="17" t="n">
        <f aca="false">IF($AZ6="","",$AH6*(13-$AW6)-(1-$AH6)*(13-$AX6))</f>
        <v>2.94228</v>
      </c>
      <c r="BB6" s="10" t="n">
        <f aca="false">IF($AZ6="","",($AH6*13+(1-$AH6)*$AX6)/$AZ6)</f>
        <v>0.572022806193861</v>
      </c>
    </row>
    <row r="7" customFormat="false" ht="15" hidden="false" customHeight="false" outlineLevel="0" collapsed="false">
      <c r="A7" s="0" t="s">
        <v>1002</v>
      </c>
      <c r="B7" s="0" t="s">
        <v>988</v>
      </c>
      <c r="C7" s="0" t="s">
        <v>1003</v>
      </c>
      <c r="D7" s="0" t="n">
        <v>3</v>
      </c>
      <c r="E7" s="0" t="s">
        <v>242</v>
      </c>
      <c r="F7" s="0" t="s">
        <v>243</v>
      </c>
      <c r="G7" s="10"/>
      <c r="H7" s="10"/>
      <c r="I7" s="10"/>
      <c r="J7" s="10"/>
      <c r="K7" s="9" t="s">
        <v>1004</v>
      </c>
      <c r="L7" s="9" t="s">
        <v>992</v>
      </c>
      <c r="M7" s="9" t="s">
        <v>1005</v>
      </c>
      <c r="N7" s="9" t="s">
        <v>993</v>
      </c>
      <c r="O7" s="11"/>
      <c r="P7" s="11"/>
      <c r="Q7" s="11"/>
      <c r="R7" s="10"/>
      <c r="S7" s="11"/>
      <c r="T7" s="11"/>
      <c r="U7" s="11"/>
      <c r="V7" s="0" t="n">
        <v>0</v>
      </c>
      <c r="W7" s="14" t="s">
        <v>142</v>
      </c>
      <c r="X7" s="14" t="s">
        <v>107</v>
      </c>
      <c r="Y7" s="14" t="s">
        <v>121</v>
      </c>
      <c r="Z7" s="15" t="n">
        <f aca="false">Config!$B$7</f>
        <v>21.5</v>
      </c>
      <c r="AA7" s="15" t="n">
        <f aca="false">Config!$B$7</f>
        <v>21.5</v>
      </c>
      <c r="AB7" s="15" t="n">
        <f aca="false">Config!$B$7</f>
        <v>21.5</v>
      </c>
      <c r="AC7" s="16" t="n">
        <v>0</v>
      </c>
      <c r="AD7" s="9" t="s">
        <v>1006</v>
      </c>
      <c r="AE7" s="9" t="s">
        <v>1007</v>
      </c>
      <c r="AF7" s="10"/>
      <c r="AG7" s="10"/>
      <c r="AH7" s="10"/>
      <c r="AI7" s="10" t="n">
        <f aca="false">IFERROR(INDEX(HLTV_Teams!$N$2:$N$29,MATCH($A7&amp;"|A",HLTV_Teams!$A$2:$A$29,0)),"")</f>
        <v>0.486122847097216</v>
      </c>
      <c r="AJ7" s="10" t="n">
        <f aca="false">IFERROR(INDEX(HLTV_Teams!$N$2:$N$29,MATCH($A7&amp;"|B",HLTV_Teams!$A$2:$A$29,0)),"")</f>
        <v>0.532721889718159</v>
      </c>
      <c r="AK7" s="17" t="n">
        <f aca="false">IF($W7="","",IFERROR((SUMIFS(HLTV_Long!$B$2:$B$395,HLTV_Long!$A$2:$A$395,$A7&amp;"|A|"&amp;$W7&amp;"|lw")+SUMIFS(HLTV_Long!$B$2:$B$395,HLTV_Long!$A$2:$A$395,$A7&amp;"|B|"&amp;$W7&amp;"|wl"))/(COUNTIFS(HLTV_Long!$A$2:$A$395,$A7&amp;"|A|"&amp;$W7&amp;"|lw")+COUNTIFS(HLTV_Long!$A$2:$A$395,$A7&amp;"|B|"&amp;$W7&amp;"|wl")),IFERROR((SUMIFS(HLTV_Long!$B$2:$B$395,HLTV_Long!$A$2:$A$395,$A7&amp;"|A|"&amp;"ALL"&amp;"|lw")+SUMIFS(HLTV_Long!$B$2:$B$395,HLTV_Long!$A$2:$A$395,$A7&amp;"|B|"&amp;"ALL"&amp;"|wl"))/(COUNTIFS(HLTV_Long!$A$2:$A$395,$A7&amp;"|A|"&amp;"ALL"&amp;"|lw")+COUNTIFS(HLTV_Long!$A$2:$A$395,$A7&amp;"|B|"&amp;"ALL"&amp;"|wl")),"")))</f>
        <v>7.585</v>
      </c>
      <c r="AL7" s="17" t="n">
        <f aca="false">IF($W7="","",IFERROR((SUMIFS(HLTV_Long!$B$2:$B$395,HLTV_Long!$A$2:$A$395,$A7&amp;"|B|"&amp;$W7&amp;"|lw")+SUMIFS(HLTV_Long!$B$2:$B$395,HLTV_Long!$A$2:$A$395,$A7&amp;"|A|"&amp;$W7&amp;"|wl"))/(COUNTIFS(HLTV_Long!$A$2:$A$395,$A7&amp;"|B|"&amp;$W7&amp;"|lw")+COUNTIFS(HLTV_Long!$A$2:$A$395,$A7&amp;"|A|"&amp;$W7&amp;"|wl")),IFERROR((SUMIFS(HLTV_Long!$B$2:$B$395,HLTV_Long!$A$2:$A$395,$A7&amp;"|B|"&amp;"ALL"&amp;"|lw")+SUMIFS(HLTV_Long!$B$2:$B$395,HLTV_Long!$A$2:$A$395,$A7&amp;"|A|"&amp;"ALL"&amp;"|wl"))/(COUNTIFS(HLTV_Long!$A$2:$A$395,$A7&amp;"|B|"&amp;"ALL"&amp;"|lw")+COUNTIFS(HLTV_Long!$A$2:$A$395,$A7&amp;"|A|"&amp;"ALL"&amp;"|wl")),"")))</f>
        <v>7.18</v>
      </c>
      <c r="AM7" s="9" t="n">
        <f aca="false">IF($W7="","",COUNTIFS(HLTV_Long!$A$2:$A$395,$A7&amp;"|A|"&amp;$W7&amp;"|lw")+COUNTIFS(HLTV_Long!$A$2:$A$395,$A7&amp;"|B|"&amp;$W7&amp;"|wl")+COUNTIFS(HLTV_Long!$A$2:$A$395,$A7&amp;"|B|"&amp;$W7&amp;"|lw")+COUNTIFS(HLTV_Long!$A$2:$A$395,$A7&amp;"|A|"&amp;$W7&amp;"|wl"))</f>
        <v>4</v>
      </c>
      <c r="AN7" s="17" t="str">
        <f aca="false">IF(OR($AK7="",$AL7="",$AF7=""),"",13+$AF7*$AK7+(1-$AF7)*$AL7)</f>
        <v/>
      </c>
      <c r="AO7" s="17" t="str">
        <f aca="false">IF($AN7="","",$AF7*(13-$AK7)-(1-$AF7)*(13-$AL7))</f>
        <v/>
      </c>
      <c r="AP7" s="10" t="str">
        <f aca="false">IF($AN7="","",($AF7*13+(1-$AF7)*$AL7)/$AN7)</f>
        <v/>
      </c>
      <c r="AQ7" s="17" t="n">
        <f aca="false">IF($X7="","",IFERROR((SUMIFS(HLTV_Long!$B$2:$B$395,HLTV_Long!$A$2:$A$395,$A7&amp;"|A|"&amp;$X7&amp;"|lw")+SUMIFS(HLTV_Long!$B$2:$B$395,HLTV_Long!$A$2:$A$395,$A7&amp;"|B|"&amp;$X7&amp;"|wl"))/(COUNTIFS(HLTV_Long!$A$2:$A$395,$A7&amp;"|A|"&amp;$X7&amp;"|lw")+COUNTIFS(HLTV_Long!$A$2:$A$395,$A7&amp;"|B|"&amp;$X7&amp;"|wl")),IFERROR((SUMIFS(HLTV_Long!$B$2:$B$395,HLTV_Long!$A$2:$A$395,$A7&amp;"|A|"&amp;"ALL"&amp;"|lw")+SUMIFS(HLTV_Long!$B$2:$B$395,HLTV_Long!$A$2:$A$395,$A7&amp;"|B|"&amp;"ALL"&amp;"|wl"))/(COUNTIFS(HLTV_Long!$A$2:$A$395,$A7&amp;"|A|"&amp;"ALL"&amp;"|lw")+COUNTIFS(HLTV_Long!$A$2:$A$395,$A7&amp;"|B|"&amp;"ALL"&amp;"|wl")),"")))</f>
        <v>7.455</v>
      </c>
      <c r="AR7" s="17" t="n">
        <f aca="false">IF($X7="","",IFERROR((SUMIFS(HLTV_Long!$B$2:$B$395,HLTV_Long!$A$2:$A$395,$A7&amp;"|B|"&amp;$X7&amp;"|lw")+SUMIFS(HLTV_Long!$B$2:$B$395,HLTV_Long!$A$2:$A$395,$A7&amp;"|A|"&amp;$X7&amp;"|wl"))/(COUNTIFS(HLTV_Long!$A$2:$A$395,$A7&amp;"|B|"&amp;$X7&amp;"|lw")+COUNTIFS(HLTV_Long!$A$2:$A$395,$A7&amp;"|A|"&amp;$X7&amp;"|wl")),IFERROR((SUMIFS(HLTV_Long!$B$2:$B$395,HLTV_Long!$A$2:$A$395,$A7&amp;"|B|"&amp;"ALL"&amp;"|lw")+SUMIFS(HLTV_Long!$B$2:$B$395,HLTV_Long!$A$2:$A$395,$A7&amp;"|A|"&amp;"ALL"&amp;"|wl"))/(COUNTIFS(HLTV_Long!$A$2:$A$395,$A7&amp;"|B|"&amp;"ALL"&amp;"|lw")+COUNTIFS(HLTV_Long!$A$2:$A$395,$A7&amp;"|A|"&amp;"ALL"&amp;"|wl")),"")))</f>
        <v>7.485</v>
      </c>
      <c r="AS7" s="9" t="n">
        <f aca="false">IF($X7="","",COUNTIFS(HLTV_Long!$A$2:$A$395,$A7&amp;"|A|"&amp;$X7&amp;"|lw")+COUNTIFS(HLTV_Long!$A$2:$A$395,$A7&amp;"|B|"&amp;$X7&amp;"|wl")+COUNTIFS(HLTV_Long!$A$2:$A$395,$A7&amp;"|B|"&amp;$X7&amp;"|lw")+COUNTIFS(HLTV_Long!$A$2:$A$395,$A7&amp;"|A|"&amp;$X7&amp;"|wl"))</f>
        <v>4</v>
      </c>
      <c r="AT7" s="17" t="str">
        <f aca="false">IF(OR($AQ7="",$AR7="",$AG7=""),"",13+$AG7*$AQ7+(1-$AG7)*$AR7)</f>
        <v/>
      </c>
      <c r="AU7" s="17" t="str">
        <f aca="false">IF($AT7="","",$AG7*(13-$AQ7)-(1-$AG7)*(13-$AR7))</f>
        <v/>
      </c>
      <c r="AV7" s="10" t="str">
        <f aca="false">IF($AT7="","",($AG7*13+(1-$AG7)*$AR7)/$AT7)</f>
        <v/>
      </c>
      <c r="AW7" s="17" t="n">
        <f aca="false">IF($Y7="","",IFERROR((SUMIFS(HLTV_Long!$B$2:$B$395,HLTV_Long!$A$2:$A$395,$A7&amp;"|A|"&amp;$Y7&amp;"|lw")+SUMIFS(HLTV_Long!$B$2:$B$395,HLTV_Long!$A$2:$A$395,$A7&amp;"|B|"&amp;$Y7&amp;"|wl"))/(COUNTIFS(HLTV_Long!$A$2:$A$395,$A7&amp;"|A|"&amp;$Y7&amp;"|lw")+COUNTIFS(HLTV_Long!$A$2:$A$395,$A7&amp;"|B|"&amp;$Y7&amp;"|wl")),IFERROR((SUMIFS(HLTV_Long!$B$2:$B$395,HLTV_Long!$A$2:$A$395,$A7&amp;"|A|"&amp;"ALL"&amp;"|lw")+SUMIFS(HLTV_Long!$B$2:$B$395,HLTV_Long!$A$2:$A$395,$A7&amp;"|B|"&amp;"ALL"&amp;"|wl"))/(COUNTIFS(HLTV_Long!$A$2:$A$395,$A7&amp;"|A|"&amp;"ALL"&amp;"|lw")+COUNTIFS(HLTV_Long!$A$2:$A$395,$A7&amp;"|B|"&amp;"ALL"&amp;"|wl")),"")))</f>
        <v>8.835</v>
      </c>
      <c r="AX7" s="17" t="n">
        <f aca="false">IF($Y7="","",IFERROR((SUMIFS(HLTV_Long!$B$2:$B$395,HLTV_Long!$A$2:$A$395,$A7&amp;"|B|"&amp;$Y7&amp;"|lw")+SUMIFS(HLTV_Long!$B$2:$B$395,HLTV_Long!$A$2:$A$395,$A7&amp;"|A|"&amp;$Y7&amp;"|wl"))/(COUNTIFS(HLTV_Long!$A$2:$A$395,$A7&amp;"|B|"&amp;$Y7&amp;"|lw")+COUNTIFS(HLTV_Long!$A$2:$A$395,$A7&amp;"|A|"&amp;$Y7&amp;"|wl")),IFERROR((SUMIFS(HLTV_Long!$B$2:$B$395,HLTV_Long!$A$2:$A$395,$A7&amp;"|B|"&amp;"ALL"&amp;"|lw")+SUMIFS(HLTV_Long!$B$2:$B$395,HLTV_Long!$A$2:$A$395,$A7&amp;"|A|"&amp;"ALL"&amp;"|wl"))/(COUNTIFS(HLTV_Long!$A$2:$A$395,$A7&amp;"|B|"&amp;"ALL"&amp;"|lw")+COUNTIFS(HLTV_Long!$A$2:$A$395,$A7&amp;"|A|"&amp;"ALL"&amp;"|wl")),"")))</f>
        <v>5.785</v>
      </c>
      <c r="AY7" s="9" t="n">
        <f aca="false">IF($Y7="","",COUNTIFS(HLTV_Long!$A$2:$A$395,$A7&amp;"|A|"&amp;$Y7&amp;"|lw")+COUNTIFS(HLTV_Long!$A$2:$A$395,$A7&amp;"|B|"&amp;$Y7&amp;"|wl")+COUNTIFS(HLTV_Long!$A$2:$A$395,$A7&amp;"|B|"&amp;$Y7&amp;"|lw")+COUNTIFS(HLTV_Long!$A$2:$A$395,$A7&amp;"|A|"&amp;$Y7&amp;"|wl"))</f>
        <v>4</v>
      </c>
      <c r="AZ7" s="17" t="str">
        <f aca="false">IF(OR($AW7="",$AX7="",$AH7=""),"",13+$AH7*$AW7+(1-$AH7)*$AX7)</f>
        <v/>
      </c>
      <c r="BA7" s="17" t="str">
        <f aca="false">IF($AZ7="","",$AH7*(13-$AW7)-(1-$AH7)*(13-$AX7))</f>
        <v/>
      </c>
      <c r="BB7" s="10" t="str">
        <f aca="false">IF($AZ7="","",($AH7*13+(1-$AH7)*$AX7)/$AZ7)</f>
        <v/>
      </c>
    </row>
    <row r="8" customFormat="false" ht="15" hidden="false" customHeight="false" outlineLevel="0" collapsed="false">
      <c r="A8" s="0" t="s">
        <v>1008</v>
      </c>
      <c r="B8" s="0" t="s">
        <v>988</v>
      </c>
      <c r="C8" s="0" t="s">
        <v>1009</v>
      </c>
      <c r="D8" s="0" t="n">
        <v>3</v>
      </c>
      <c r="E8" s="0" t="s">
        <v>320</v>
      </c>
      <c r="F8" s="0" t="s">
        <v>321</v>
      </c>
      <c r="G8" s="10" t="n">
        <v>0.607235142118863</v>
      </c>
      <c r="H8" s="10" t="n">
        <v>0.323874092009685</v>
      </c>
      <c r="I8" s="10" t="n">
        <v>0.19138014527845</v>
      </c>
      <c r="J8" s="10" t="n">
        <v>0.484745762711864</v>
      </c>
      <c r="K8" s="9" t="s">
        <v>1010</v>
      </c>
      <c r="L8" s="9" t="s">
        <v>1011</v>
      </c>
      <c r="M8" s="9" t="s">
        <v>1012</v>
      </c>
      <c r="N8" s="9" t="s">
        <v>993</v>
      </c>
      <c r="O8" s="11" t="n">
        <v>21.5</v>
      </c>
      <c r="P8" s="11" t="n">
        <v>21.3585329341317</v>
      </c>
      <c r="Q8" s="11" t="n">
        <v>21.5</v>
      </c>
      <c r="R8" s="10" t="n">
        <v>0.159420289855073</v>
      </c>
      <c r="S8" s="11" t="n">
        <v>0.996875000000001</v>
      </c>
      <c r="T8" s="11"/>
      <c r="U8" s="11"/>
      <c r="V8" s="0" t="n">
        <v>358</v>
      </c>
      <c r="W8" s="14" t="s">
        <v>121</v>
      </c>
      <c r="X8" s="14" t="s">
        <v>150</v>
      </c>
      <c r="Y8" s="14" t="s">
        <v>107</v>
      </c>
      <c r="Z8" s="15" t="n">
        <v>21.5</v>
      </c>
      <c r="AA8" s="15" t="n">
        <v>21.36</v>
      </c>
      <c r="AB8" s="15" t="n">
        <v>21.5</v>
      </c>
      <c r="AC8" s="16" t="n">
        <v>0.4847</v>
      </c>
      <c r="AD8" s="9" t="s">
        <v>1013</v>
      </c>
      <c r="AE8" s="9" t="s">
        <v>1014</v>
      </c>
      <c r="AF8" s="10" t="n">
        <v>0.5376</v>
      </c>
      <c r="AG8" s="10" t="n">
        <v>0.6072</v>
      </c>
      <c r="AH8" s="10" t="n">
        <v>0.56</v>
      </c>
      <c r="AI8" s="10" t="n">
        <f aca="false">IFERROR(INDEX(HLTV_Teams!$N$2:$N$29,MATCH($A8&amp;"|A",HLTV_Teams!$A$2:$A$29,0)),"")</f>
        <v>0.492629677830602</v>
      </c>
      <c r="AJ8" s="10" t="n">
        <f aca="false">IFERROR(INDEX(HLTV_Teams!$N$2:$N$29,MATCH($A8&amp;"|B",HLTV_Teams!$A$2:$A$29,0)),"")</f>
        <v>0.541627652537527</v>
      </c>
      <c r="AK8" s="17" t="n">
        <f aca="false">IF($W8="","",IFERROR((SUMIFS(HLTV_Long!$B$2:$B$395,HLTV_Long!$A$2:$A$395,$A8&amp;"|A|"&amp;$W8&amp;"|lw")+SUMIFS(HLTV_Long!$B$2:$B$395,HLTV_Long!$A$2:$A$395,$A8&amp;"|B|"&amp;$W8&amp;"|wl"))/(COUNTIFS(HLTV_Long!$A$2:$A$395,$A8&amp;"|A|"&amp;$W8&amp;"|lw")+COUNTIFS(HLTV_Long!$A$2:$A$395,$A8&amp;"|B|"&amp;$W8&amp;"|wl")),IFERROR((SUMIFS(HLTV_Long!$B$2:$B$395,HLTV_Long!$A$2:$A$395,$A8&amp;"|A|"&amp;"ALL"&amp;"|lw")+SUMIFS(HLTV_Long!$B$2:$B$395,HLTV_Long!$A$2:$A$395,$A8&amp;"|B|"&amp;"ALL"&amp;"|wl"))/(COUNTIFS(HLTV_Long!$A$2:$A$395,$A8&amp;"|A|"&amp;"ALL"&amp;"|lw")+COUNTIFS(HLTV_Long!$A$2:$A$395,$A8&amp;"|B|"&amp;"ALL"&amp;"|wl")),"")))</f>
        <v>9.085</v>
      </c>
      <c r="AL8" s="17" t="n">
        <f aca="false">IF($W8="","",IFERROR((SUMIFS(HLTV_Long!$B$2:$B$395,HLTV_Long!$A$2:$A$395,$A8&amp;"|B|"&amp;$W8&amp;"|lw")+SUMIFS(HLTV_Long!$B$2:$B$395,HLTV_Long!$A$2:$A$395,$A8&amp;"|A|"&amp;$W8&amp;"|wl"))/(COUNTIFS(HLTV_Long!$A$2:$A$395,$A8&amp;"|B|"&amp;$W8&amp;"|lw")+COUNTIFS(HLTV_Long!$A$2:$A$395,$A8&amp;"|A|"&amp;$W8&amp;"|wl")),IFERROR((SUMIFS(HLTV_Long!$B$2:$B$395,HLTV_Long!$A$2:$A$395,$A8&amp;"|B|"&amp;"ALL"&amp;"|lw")+SUMIFS(HLTV_Long!$B$2:$B$395,HLTV_Long!$A$2:$A$395,$A8&amp;"|A|"&amp;"ALL"&amp;"|wl"))/(COUNTIFS(HLTV_Long!$A$2:$A$395,$A8&amp;"|B|"&amp;"ALL"&amp;"|lw")+COUNTIFS(HLTV_Long!$A$2:$A$395,$A8&amp;"|A|"&amp;"ALL"&amp;"|wl")),"")))</f>
        <v>9</v>
      </c>
      <c r="AM8" s="9" t="n">
        <f aca="false">IF($W8="","",COUNTIFS(HLTV_Long!$A$2:$A$395,$A8&amp;"|A|"&amp;$W8&amp;"|lw")+COUNTIFS(HLTV_Long!$A$2:$A$395,$A8&amp;"|B|"&amp;$W8&amp;"|wl")+COUNTIFS(HLTV_Long!$A$2:$A$395,$A8&amp;"|B|"&amp;$W8&amp;"|lw")+COUNTIFS(HLTV_Long!$A$2:$A$395,$A8&amp;"|A|"&amp;$W8&amp;"|wl"))</f>
        <v>4</v>
      </c>
      <c r="AN8" s="17" t="n">
        <f aca="false">IF(OR($AK8="",$AL8="",$AF8=""),"",13+$AF8*$AK8+(1-$AF8)*$AL8)</f>
        <v>22.045696</v>
      </c>
      <c r="AO8" s="17" t="n">
        <f aca="false">IF($AN8="","",$AF8*(13-$AK8)-(1-$AF8)*(13-$AL8))</f>
        <v>0.255103999999999</v>
      </c>
      <c r="AP8" s="10" t="n">
        <f aca="false">IF($AN8="","",($AF8*13+(1-$AF8)*$AL8)/$AN8)</f>
        <v>0.505785800548098</v>
      </c>
      <c r="AQ8" s="17" t="n">
        <f aca="false">IF($X8="","",IFERROR((SUMIFS(HLTV_Long!$B$2:$B$395,HLTV_Long!$A$2:$A$395,$A8&amp;"|A|"&amp;$X8&amp;"|lw")+SUMIFS(HLTV_Long!$B$2:$B$395,HLTV_Long!$A$2:$A$395,$A8&amp;"|B|"&amp;$X8&amp;"|wl"))/(COUNTIFS(HLTV_Long!$A$2:$A$395,$A8&amp;"|A|"&amp;$X8&amp;"|lw")+COUNTIFS(HLTV_Long!$A$2:$A$395,$A8&amp;"|B|"&amp;$X8&amp;"|wl")),IFERROR((SUMIFS(HLTV_Long!$B$2:$B$395,HLTV_Long!$A$2:$A$395,$A8&amp;"|A|"&amp;"ALL"&amp;"|lw")+SUMIFS(HLTV_Long!$B$2:$B$395,HLTV_Long!$A$2:$A$395,$A8&amp;"|B|"&amp;"ALL"&amp;"|wl"))/(COUNTIFS(HLTV_Long!$A$2:$A$395,$A8&amp;"|A|"&amp;"ALL"&amp;"|lw")+COUNTIFS(HLTV_Long!$A$2:$A$395,$A8&amp;"|B|"&amp;"ALL"&amp;"|wl")),"")))</f>
        <v>9.75</v>
      </c>
      <c r="AR8" s="17" t="n">
        <f aca="false">IF($X8="","",IFERROR((SUMIFS(HLTV_Long!$B$2:$B$395,HLTV_Long!$A$2:$A$395,$A8&amp;"|B|"&amp;$X8&amp;"|lw")+SUMIFS(HLTV_Long!$B$2:$B$395,HLTV_Long!$A$2:$A$395,$A8&amp;"|A|"&amp;$X8&amp;"|wl"))/(COUNTIFS(HLTV_Long!$A$2:$A$395,$A8&amp;"|B|"&amp;$X8&amp;"|lw")+COUNTIFS(HLTV_Long!$A$2:$A$395,$A8&amp;"|A|"&amp;$X8&amp;"|wl")),IFERROR((SUMIFS(HLTV_Long!$B$2:$B$395,HLTV_Long!$A$2:$A$395,$A8&amp;"|B|"&amp;"ALL"&amp;"|lw")+SUMIFS(HLTV_Long!$B$2:$B$395,HLTV_Long!$A$2:$A$395,$A8&amp;"|A|"&amp;"ALL"&amp;"|wl"))/(COUNTIFS(HLTV_Long!$A$2:$A$395,$A8&amp;"|B|"&amp;"ALL"&amp;"|lw")+COUNTIFS(HLTV_Long!$A$2:$A$395,$A8&amp;"|A|"&amp;"ALL"&amp;"|wl")),"")))</f>
        <v>8.835</v>
      </c>
      <c r="AS8" s="9" t="n">
        <f aca="false">IF($X8="","",COUNTIFS(HLTV_Long!$A$2:$A$395,$A8&amp;"|A|"&amp;$X8&amp;"|lw")+COUNTIFS(HLTV_Long!$A$2:$A$395,$A8&amp;"|B|"&amp;$X8&amp;"|wl")+COUNTIFS(HLTV_Long!$A$2:$A$395,$A8&amp;"|B|"&amp;$X8&amp;"|lw")+COUNTIFS(HLTV_Long!$A$2:$A$395,$A8&amp;"|A|"&amp;$X8&amp;"|wl"))</f>
        <v>4</v>
      </c>
      <c r="AT8" s="17" t="n">
        <f aca="false">IF(OR($AQ8="",$AR8="",$AG8=""),"",13+$AG8*$AQ8+(1-$AG8)*$AR8)</f>
        <v>22.390588</v>
      </c>
      <c r="AU8" s="17" t="n">
        <f aca="false">IF($AT8="","",$AG8*(13-$AQ8)-(1-$AG8)*(13-$AR8))</f>
        <v>0.337388</v>
      </c>
      <c r="AV8" s="10" t="n">
        <f aca="false">IF($AT8="","",($AG8*13+(1-$AG8)*$AR8)/$AT8)</f>
        <v>0.507534147830329</v>
      </c>
      <c r="AW8" s="17" t="n">
        <f aca="false">IF($Y8="","",IFERROR((SUMIFS(HLTV_Long!$B$2:$B$395,HLTV_Long!$A$2:$A$395,$A8&amp;"|A|"&amp;$Y8&amp;"|lw")+SUMIFS(HLTV_Long!$B$2:$B$395,HLTV_Long!$A$2:$A$395,$A8&amp;"|B|"&amp;$Y8&amp;"|wl"))/(COUNTIFS(HLTV_Long!$A$2:$A$395,$A8&amp;"|A|"&amp;$Y8&amp;"|lw")+COUNTIFS(HLTV_Long!$A$2:$A$395,$A8&amp;"|B|"&amp;$Y8&amp;"|wl")),IFERROR((SUMIFS(HLTV_Long!$B$2:$B$395,HLTV_Long!$A$2:$A$395,$A8&amp;"|A|"&amp;"ALL"&amp;"|lw")+SUMIFS(HLTV_Long!$B$2:$B$395,HLTV_Long!$A$2:$A$395,$A8&amp;"|B|"&amp;"ALL"&amp;"|wl"))/(COUNTIFS(HLTV_Long!$A$2:$A$395,$A8&amp;"|A|"&amp;"ALL"&amp;"|lw")+COUNTIFS(HLTV_Long!$A$2:$A$395,$A8&amp;"|B|"&amp;"ALL"&amp;"|wl")),"")))</f>
        <v>10.75</v>
      </c>
      <c r="AX8" s="17" t="n">
        <f aca="false">IF($Y8="","",IFERROR((SUMIFS(HLTV_Long!$B$2:$B$395,HLTV_Long!$A$2:$A$395,$A8&amp;"|B|"&amp;$Y8&amp;"|lw")+SUMIFS(HLTV_Long!$B$2:$B$395,HLTV_Long!$A$2:$A$395,$A8&amp;"|A|"&amp;$Y8&amp;"|wl"))/(COUNTIFS(HLTV_Long!$A$2:$A$395,$A8&amp;"|B|"&amp;$Y8&amp;"|lw")+COUNTIFS(HLTV_Long!$A$2:$A$395,$A8&amp;"|A|"&amp;$Y8&amp;"|wl")),IFERROR((SUMIFS(HLTV_Long!$B$2:$B$395,HLTV_Long!$A$2:$A$395,$A8&amp;"|B|"&amp;"ALL"&amp;"|lw")+SUMIFS(HLTV_Long!$B$2:$B$395,HLTV_Long!$A$2:$A$395,$A8&amp;"|A|"&amp;"ALL"&amp;"|wl"))/(COUNTIFS(HLTV_Long!$A$2:$A$395,$A8&amp;"|B|"&amp;"ALL"&amp;"|lw")+COUNTIFS(HLTV_Long!$A$2:$A$395,$A8&amp;"|A|"&amp;"ALL"&amp;"|wl")),"")))</f>
        <v>8.095</v>
      </c>
      <c r="AY8" s="9" t="n">
        <f aca="false">IF($Y8="","",COUNTIFS(HLTV_Long!$A$2:$A$395,$A8&amp;"|A|"&amp;$Y8&amp;"|lw")+COUNTIFS(HLTV_Long!$A$2:$A$395,$A8&amp;"|B|"&amp;$Y8&amp;"|wl")+COUNTIFS(HLTV_Long!$A$2:$A$395,$A8&amp;"|B|"&amp;$Y8&amp;"|lw")+COUNTIFS(HLTV_Long!$A$2:$A$395,$A8&amp;"|A|"&amp;$Y8&amp;"|wl"))</f>
        <v>4</v>
      </c>
      <c r="AZ8" s="17" t="n">
        <f aca="false">IF(OR($AW8="",$AX8="",$AH8=""),"",13+$AH8*$AW8+(1-$AH8)*$AX8)</f>
        <v>22.5818</v>
      </c>
      <c r="BA8" s="17" t="n">
        <f aca="false">IF($AZ8="","",$AH8*(13-$AW8)-(1-$AH8)*(13-$AX8))</f>
        <v>-0.898199999999999</v>
      </c>
      <c r="BB8" s="10" t="n">
        <f aca="false">IF($AZ8="","",($AH8*13+(1-$AH8)*$AX8)/$AZ8)</f>
        <v>0.480112302827941</v>
      </c>
    </row>
    <row r="9" customFormat="false" ht="15" hidden="false" customHeight="false" outlineLevel="0" collapsed="false">
      <c r="A9" s="0" t="s">
        <v>1015</v>
      </c>
      <c r="B9" s="0" t="s">
        <v>988</v>
      </c>
      <c r="C9" s="0" t="s">
        <v>1009</v>
      </c>
      <c r="D9" s="0" t="n">
        <v>3</v>
      </c>
      <c r="E9" s="0" t="s">
        <v>389</v>
      </c>
      <c r="F9" s="0" t="s">
        <v>390</v>
      </c>
      <c r="G9" s="10" t="n">
        <v>0.80672268907563</v>
      </c>
      <c r="H9" s="10" t="n">
        <v>0.502092695618194</v>
      </c>
      <c r="I9" s="10" t="n">
        <v>0.0959554929403659</v>
      </c>
      <c r="J9" s="10" t="n">
        <v>0.401951811441441</v>
      </c>
      <c r="K9" s="9" t="s">
        <v>1016</v>
      </c>
      <c r="L9" s="9" t="s">
        <v>1017</v>
      </c>
      <c r="M9" s="9" t="s">
        <v>1018</v>
      </c>
      <c r="N9" s="9" t="s">
        <v>993</v>
      </c>
      <c r="O9" s="11" t="n">
        <v>21.0474559686888</v>
      </c>
      <c r="P9" s="11" t="n">
        <v>20.7120700739312</v>
      </c>
      <c r="Q9" s="11" t="n">
        <v>20.8854625550661</v>
      </c>
      <c r="R9" s="10" t="n">
        <v>0.146341463414634</v>
      </c>
      <c r="S9" s="11" t="n">
        <v>3.66124893071001</v>
      </c>
      <c r="T9" s="11"/>
      <c r="U9" s="11" t="n">
        <v>9.5</v>
      </c>
      <c r="V9" s="0" t="n">
        <v>350</v>
      </c>
      <c r="W9" s="14" t="s">
        <v>107</v>
      </c>
      <c r="X9" s="14" t="s">
        <v>150</v>
      </c>
      <c r="Y9" s="14" t="s">
        <v>142</v>
      </c>
      <c r="Z9" s="15" t="n">
        <v>21.05</v>
      </c>
      <c r="AA9" s="15" t="n">
        <v>20.71</v>
      </c>
      <c r="AB9" s="15" t="n">
        <v>20.89</v>
      </c>
      <c r="AC9" s="16" t="n">
        <v>0.402</v>
      </c>
      <c r="AD9" s="9" t="s">
        <v>1019</v>
      </c>
      <c r="AE9" s="9" t="s">
        <v>1020</v>
      </c>
      <c r="AF9" s="10" t="n">
        <v>0.7014</v>
      </c>
      <c r="AG9" s="10" t="n">
        <v>0.757</v>
      </c>
      <c r="AH9" s="10" t="n">
        <v>0.7205</v>
      </c>
      <c r="AI9" s="10" t="n">
        <f aca="false">IFERROR(INDEX(HLTV_Teams!$N$2:$N$29,MATCH($A9&amp;"|A",HLTV_Teams!$A$2:$A$29,0)),"")</f>
        <v>0.559760956175299</v>
      </c>
      <c r="AJ9" s="10" t="n">
        <f aca="false">IFERROR(INDEX(HLTV_Teams!$N$2:$N$29,MATCH($A9&amp;"|B",HLTV_Teams!$A$2:$A$29,0)),"")</f>
        <v>0.524071011824904</v>
      </c>
      <c r="AK9" s="17" t="n">
        <f aca="false">IF($W9="","",IFERROR((SUMIFS(HLTV_Long!$B$2:$B$395,HLTV_Long!$A$2:$A$395,$A9&amp;"|A|"&amp;$W9&amp;"|lw")+SUMIFS(HLTV_Long!$B$2:$B$395,HLTV_Long!$A$2:$A$395,$A9&amp;"|B|"&amp;$W9&amp;"|wl"))/(COUNTIFS(HLTV_Long!$A$2:$A$395,$A9&amp;"|A|"&amp;$W9&amp;"|lw")+COUNTIFS(HLTV_Long!$A$2:$A$395,$A9&amp;"|B|"&amp;$W9&amp;"|wl")),IFERROR((SUMIFS(HLTV_Long!$B$2:$B$395,HLTV_Long!$A$2:$A$395,$A9&amp;"|A|"&amp;"ALL"&amp;"|lw")+SUMIFS(HLTV_Long!$B$2:$B$395,HLTV_Long!$A$2:$A$395,$A9&amp;"|B|"&amp;"ALL"&amp;"|wl"))/(COUNTIFS(HLTV_Long!$A$2:$A$395,$A9&amp;"|A|"&amp;"ALL"&amp;"|lw")+COUNTIFS(HLTV_Long!$A$2:$A$395,$A9&amp;"|B|"&amp;"ALL"&amp;"|wl")),"")))</f>
        <v>7.41</v>
      </c>
      <c r="AL9" s="17" t="n">
        <f aca="false">IF($W9="","",IFERROR((SUMIFS(HLTV_Long!$B$2:$B$395,HLTV_Long!$A$2:$A$395,$A9&amp;"|B|"&amp;$W9&amp;"|lw")+SUMIFS(HLTV_Long!$B$2:$B$395,HLTV_Long!$A$2:$A$395,$A9&amp;"|A|"&amp;$W9&amp;"|wl"))/(COUNTIFS(HLTV_Long!$A$2:$A$395,$A9&amp;"|B|"&amp;$W9&amp;"|lw")+COUNTIFS(HLTV_Long!$A$2:$A$395,$A9&amp;"|A|"&amp;$W9&amp;"|wl")),IFERROR((SUMIFS(HLTV_Long!$B$2:$B$395,HLTV_Long!$A$2:$A$395,$A9&amp;"|B|"&amp;"ALL"&amp;"|lw")+SUMIFS(HLTV_Long!$B$2:$B$395,HLTV_Long!$A$2:$A$395,$A9&amp;"|A|"&amp;"ALL"&amp;"|wl"))/(COUNTIFS(HLTV_Long!$A$2:$A$395,$A9&amp;"|B|"&amp;"ALL"&amp;"|lw")+COUNTIFS(HLTV_Long!$A$2:$A$395,$A9&amp;"|A|"&amp;"ALL"&amp;"|wl")),"")))</f>
        <v>8.25</v>
      </c>
      <c r="AM9" s="9" t="n">
        <f aca="false">IF($W9="","",COUNTIFS(HLTV_Long!$A$2:$A$395,$A9&amp;"|A|"&amp;$W9&amp;"|lw")+COUNTIFS(HLTV_Long!$A$2:$A$395,$A9&amp;"|B|"&amp;$W9&amp;"|wl")+COUNTIFS(HLTV_Long!$A$2:$A$395,$A9&amp;"|B|"&amp;$W9&amp;"|lw")+COUNTIFS(HLTV_Long!$A$2:$A$395,$A9&amp;"|A|"&amp;$W9&amp;"|wl"))</f>
        <v>4</v>
      </c>
      <c r="AN9" s="17" t="n">
        <f aca="false">IF(OR($AK9="",$AL9="",$AF9=""),"",13+$AF9*$AK9+(1-$AF9)*$AL9)</f>
        <v>20.660824</v>
      </c>
      <c r="AO9" s="17" t="n">
        <f aca="false">IF($AN9="","",$AF9*(13-$AK9)-(1-$AF9)*(13-$AL9))</f>
        <v>2.502476</v>
      </c>
      <c r="AP9" s="10" t="n">
        <f aca="false">IF($AN9="","",($AF9*13+(1-$AF9)*$AL9)/$AN9)</f>
        <v>0.560560895344736</v>
      </c>
      <c r="AQ9" s="17" t="n">
        <f aca="false">IF($X9="","",IFERROR((SUMIFS(HLTV_Long!$B$2:$B$395,HLTV_Long!$A$2:$A$395,$A9&amp;"|A|"&amp;$X9&amp;"|lw")+SUMIFS(HLTV_Long!$B$2:$B$395,HLTV_Long!$A$2:$A$395,$A9&amp;"|B|"&amp;$X9&amp;"|wl"))/(COUNTIFS(HLTV_Long!$A$2:$A$395,$A9&amp;"|A|"&amp;$X9&amp;"|lw")+COUNTIFS(HLTV_Long!$A$2:$A$395,$A9&amp;"|B|"&amp;$X9&amp;"|wl")),IFERROR((SUMIFS(HLTV_Long!$B$2:$B$395,HLTV_Long!$A$2:$A$395,$A9&amp;"|A|"&amp;"ALL"&amp;"|lw")+SUMIFS(HLTV_Long!$B$2:$B$395,HLTV_Long!$A$2:$A$395,$A9&amp;"|B|"&amp;"ALL"&amp;"|wl"))/(COUNTIFS(HLTV_Long!$A$2:$A$395,$A9&amp;"|A|"&amp;"ALL"&amp;"|lw")+COUNTIFS(HLTV_Long!$A$2:$A$395,$A9&amp;"|B|"&amp;"ALL"&amp;"|wl")),"")))</f>
        <v>7.665</v>
      </c>
      <c r="AR9" s="17" t="n">
        <f aca="false">IF($X9="","",IFERROR((SUMIFS(HLTV_Long!$B$2:$B$395,HLTV_Long!$A$2:$A$395,$A9&amp;"|B|"&amp;$X9&amp;"|lw")+SUMIFS(HLTV_Long!$B$2:$B$395,HLTV_Long!$A$2:$A$395,$A9&amp;"|A|"&amp;$X9&amp;"|wl"))/(COUNTIFS(HLTV_Long!$A$2:$A$395,$A9&amp;"|B|"&amp;$X9&amp;"|lw")+COUNTIFS(HLTV_Long!$A$2:$A$395,$A9&amp;"|A|"&amp;$X9&amp;"|wl")),IFERROR((SUMIFS(HLTV_Long!$B$2:$B$395,HLTV_Long!$A$2:$A$395,$A9&amp;"|B|"&amp;"ALL"&amp;"|lw")+SUMIFS(HLTV_Long!$B$2:$B$395,HLTV_Long!$A$2:$A$395,$A9&amp;"|A|"&amp;"ALL"&amp;"|wl"))/(COUNTIFS(HLTV_Long!$A$2:$A$395,$A9&amp;"|B|"&amp;"ALL"&amp;"|lw")+COUNTIFS(HLTV_Long!$A$2:$A$395,$A9&amp;"|A|"&amp;"ALL"&amp;"|wl")),"")))</f>
        <v>6.5</v>
      </c>
      <c r="AS9" s="9" t="n">
        <f aca="false">IF($X9="","",COUNTIFS(HLTV_Long!$A$2:$A$395,$A9&amp;"|A|"&amp;$X9&amp;"|lw")+COUNTIFS(HLTV_Long!$A$2:$A$395,$A9&amp;"|B|"&amp;$X9&amp;"|wl")+COUNTIFS(HLTV_Long!$A$2:$A$395,$A9&amp;"|B|"&amp;$X9&amp;"|lw")+COUNTIFS(HLTV_Long!$A$2:$A$395,$A9&amp;"|A|"&amp;$X9&amp;"|wl"))</f>
        <v>4</v>
      </c>
      <c r="AT9" s="17" t="n">
        <f aca="false">IF(OR($AQ9="",$AR9="",$AG9=""),"",13+$AG9*$AQ9+(1-$AG9)*$AR9)</f>
        <v>20.381905</v>
      </c>
      <c r="AU9" s="17" t="n">
        <f aca="false">IF($AT9="","",$AG9*(13-$AQ9)-(1-$AG9)*(13-$AR9))</f>
        <v>2.459095</v>
      </c>
      <c r="AV9" s="10" t="n">
        <f aca="false">IF($AT9="","",($AG9*13+(1-$AG9)*$AR9)/$AT9)</f>
        <v>0.560325445536126</v>
      </c>
      <c r="AW9" s="17" t="n">
        <f aca="false">IF($Y9="","",IFERROR((SUMIFS(HLTV_Long!$B$2:$B$395,HLTV_Long!$A$2:$A$395,$A9&amp;"|A|"&amp;$Y9&amp;"|lw")+SUMIFS(HLTV_Long!$B$2:$B$395,HLTV_Long!$A$2:$A$395,$A9&amp;"|B|"&amp;$Y9&amp;"|wl"))/(COUNTIFS(HLTV_Long!$A$2:$A$395,$A9&amp;"|A|"&amp;$Y9&amp;"|lw")+COUNTIFS(HLTV_Long!$A$2:$A$395,$A9&amp;"|B|"&amp;$Y9&amp;"|wl")),IFERROR((SUMIFS(HLTV_Long!$B$2:$B$395,HLTV_Long!$A$2:$A$395,$A9&amp;"|A|"&amp;"ALL"&amp;"|lw")+SUMIFS(HLTV_Long!$B$2:$B$395,HLTV_Long!$A$2:$A$395,$A9&amp;"|B|"&amp;"ALL"&amp;"|wl"))/(COUNTIFS(HLTV_Long!$A$2:$A$395,$A9&amp;"|A|"&amp;"ALL"&amp;"|lw")+COUNTIFS(HLTV_Long!$A$2:$A$395,$A9&amp;"|B|"&amp;"ALL"&amp;"|wl")),"")))</f>
        <v>7.1</v>
      </c>
      <c r="AX9" s="17" t="n">
        <f aca="false">IF($Y9="","",IFERROR((SUMIFS(HLTV_Long!$B$2:$B$395,HLTV_Long!$A$2:$A$395,$A9&amp;"|B|"&amp;$Y9&amp;"|lw")+SUMIFS(HLTV_Long!$B$2:$B$395,HLTV_Long!$A$2:$A$395,$A9&amp;"|A|"&amp;$Y9&amp;"|wl"))/(COUNTIFS(HLTV_Long!$A$2:$A$395,$A9&amp;"|B|"&amp;$Y9&amp;"|lw")+COUNTIFS(HLTV_Long!$A$2:$A$395,$A9&amp;"|A|"&amp;$Y9&amp;"|wl")),IFERROR((SUMIFS(HLTV_Long!$B$2:$B$395,HLTV_Long!$A$2:$A$395,$A9&amp;"|B|"&amp;"ALL"&amp;"|lw")+SUMIFS(HLTV_Long!$B$2:$B$395,HLTV_Long!$A$2:$A$395,$A9&amp;"|A|"&amp;"ALL"&amp;"|wl"))/(COUNTIFS(HLTV_Long!$A$2:$A$395,$A9&amp;"|B|"&amp;"ALL"&amp;"|lw")+COUNTIFS(HLTV_Long!$A$2:$A$395,$A9&amp;"|A|"&amp;"ALL"&amp;"|wl")),"")))</f>
        <v>8.8</v>
      </c>
      <c r="AY9" s="9" t="n">
        <f aca="false">IF($Y9="","",COUNTIFS(HLTV_Long!$A$2:$A$395,$A9&amp;"|A|"&amp;$Y9&amp;"|lw")+COUNTIFS(HLTV_Long!$A$2:$A$395,$A9&amp;"|B|"&amp;$Y9&amp;"|wl")+COUNTIFS(HLTV_Long!$A$2:$A$395,$A9&amp;"|B|"&amp;$Y9&amp;"|lw")+COUNTIFS(HLTV_Long!$A$2:$A$395,$A9&amp;"|A|"&amp;$Y9&amp;"|wl"))</f>
        <v>4</v>
      </c>
      <c r="AZ9" s="17" t="n">
        <f aca="false">IF(OR($AW9="",$AX9="",$AH9=""),"",13+$AH9*$AW9+(1-$AH9)*$AX9)</f>
        <v>20.57515</v>
      </c>
      <c r="BA9" s="17" t="n">
        <f aca="false">IF($AZ9="","",$AH9*(13-$AW9)-(1-$AH9)*(13-$AX9))</f>
        <v>3.07705</v>
      </c>
      <c r="BB9" s="10" t="n">
        <f aca="false">IF($AZ9="","",($AH9*13+(1-$AH9)*$AX9)/$AZ9)</f>
        <v>0.574775882557357</v>
      </c>
    </row>
    <row r="10" customFormat="false" ht="15" hidden="false" customHeight="false" outlineLevel="0" collapsed="false">
      <c r="A10" s="0" t="s">
        <v>1021</v>
      </c>
      <c r="B10" s="0" t="s">
        <v>988</v>
      </c>
      <c r="C10" s="0" t="s">
        <v>1009</v>
      </c>
      <c r="D10" s="0" t="n">
        <v>3</v>
      </c>
      <c r="E10" s="0" t="s">
        <v>242</v>
      </c>
      <c r="F10" s="0" t="s">
        <v>1022</v>
      </c>
      <c r="G10" s="10"/>
      <c r="H10" s="10"/>
      <c r="I10" s="10"/>
      <c r="J10" s="10"/>
      <c r="K10" s="9" t="s">
        <v>1023</v>
      </c>
      <c r="L10" s="9" t="s">
        <v>1005</v>
      </c>
      <c r="M10" s="9" t="s">
        <v>1024</v>
      </c>
      <c r="N10" s="9" t="s">
        <v>1025</v>
      </c>
      <c r="O10" s="11"/>
      <c r="P10" s="11"/>
      <c r="Q10" s="11"/>
      <c r="R10" s="10"/>
      <c r="S10" s="11"/>
      <c r="T10" s="11"/>
      <c r="U10" s="11"/>
      <c r="V10" s="0" t="n">
        <v>0</v>
      </c>
      <c r="W10" s="14" t="s">
        <v>107</v>
      </c>
      <c r="X10" s="14" t="s">
        <v>121</v>
      </c>
      <c r="Y10" s="14" t="s">
        <v>142</v>
      </c>
      <c r="Z10" s="15" t="n">
        <f aca="false">Config!$B$7</f>
        <v>21.5</v>
      </c>
      <c r="AA10" s="15" t="n">
        <f aca="false">Config!$B$7</f>
        <v>21.5</v>
      </c>
      <c r="AB10" s="15" t="n">
        <f aca="false">Config!$B$7</f>
        <v>21.5</v>
      </c>
      <c r="AC10" s="16" t="n">
        <v>0</v>
      </c>
      <c r="AD10" s="9" t="s">
        <v>1006</v>
      </c>
      <c r="AE10" s="9" t="s">
        <v>1026</v>
      </c>
      <c r="AF10" s="10"/>
      <c r="AG10" s="10"/>
      <c r="AH10" s="10"/>
      <c r="AI10" s="10"/>
      <c r="AJ10" s="10"/>
      <c r="AK10" s="17"/>
      <c r="AL10" s="17"/>
      <c r="AN10" s="17"/>
      <c r="AO10" s="17"/>
      <c r="AP10" s="10"/>
      <c r="AQ10" s="17"/>
      <c r="AR10" s="17"/>
      <c r="AT10" s="17"/>
      <c r="AU10" s="17"/>
      <c r="AV10" s="10"/>
      <c r="AW10" s="17"/>
      <c r="AX10" s="17"/>
      <c r="AZ10" s="17"/>
      <c r="BA10" s="17"/>
      <c r="BB10" s="10"/>
    </row>
    <row r="11" customFormat="false" ht="15" hidden="false" customHeight="false" outlineLevel="0" collapsed="false">
      <c r="A11" s="0" t="s">
        <v>1027</v>
      </c>
      <c r="B11" s="0" t="s">
        <v>988</v>
      </c>
      <c r="C11" s="0" t="s">
        <v>1028</v>
      </c>
      <c r="D11" s="0" t="n">
        <v>3</v>
      </c>
      <c r="E11" s="0" t="s">
        <v>454</v>
      </c>
      <c r="F11" s="0" t="s">
        <v>455</v>
      </c>
      <c r="G11" s="10"/>
      <c r="H11" s="10"/>
      <c r="I11" s="10"/>
      <c r="J11" s="10"/>
      <c r="K11" s="9" t="s">
        <v>1029</v>
      </c>
      <c r="L11" s="9" t="s">
        <v>1030</v>
      </c>
      <c r="M11" s="9" t="s">
        <v>1031</v>
      </c>
      <c r="N11" s="9" t="s">
        <v>993</v>
      </c>
      <c r="O11" s="11"/>
      <c r="P11" s="11"/>
      <c r="Q11" s="11"/>
      <c r="R11" s="10"/>
      <c r="S11" s="11"/>
      <c r="T11" s="11"/>
      <c r="U11" s="11"/>
      <c r="V11" s="0" t="n">
        <v>0</v>
      </c>
      <c r="W11" s="14" t="s">
        <v>131</v>
      </c>
      <c r="X11" s="14" t="s">
        <v>80</v>
      </c>
      <c r="Y11" s="14" t="s">
        <v>150</v>
      </c>
      <c r="Z11" s="15" t="n">
        <f aca="false">Config!$B$7</f>
        <v>21.5</v>
      </c>
      <c r="AA11" s="15" t="n">
        <f aca="false">Config!$B$7</f>
        <v>21.5</v>
      </c>
      <c r="AB11" s="15" t="n">
        <f aca="false">Config!$B$7</f>
        <v>21.5</v>
      </c>
      <c r="AC11" s="16" t="n">
        <v>0</v>
      </c>
      <c r="AD11" s="9" t="s">
        <v>1032</v>
      </c>
      <c r="AE11" s="9" t="s">
        <v>1033</v>
      </c>
      <c r="AF11" s="10"/>
      <c r="AG11" s="10"/>
      <c r="AH11" s="10"/>
      <c r="AI11" s="10" t="n">
        <f aca="false">IFERROR(INDEX(HLTV_Teams!$N$2:$N$29,MATCH($A11&amp;"|A",HLTV_Teams!$A$2:$A$29,0)),"")</f>
        <v>0.51097578818318</v>
      </c>
      <c r="AJ11" s="10" t="n">
        <f aca="false">IFERROR(INDEX(HLTV_Teams!$N$2:$N$29,MATCH($A11&amp;"|B",HLTV_Teams!$A$2:$A$29,0)),"")</f>
        <v>0.528901831100431</v>
      </c>
      <c r="AK11" s="17" t="n">
        <f aca="false">IF($W11="","",IFERROR((SUMIFS(HLTV_Long!$B$2:$B$395,HLTV_Long!$A$2:$A$395,$A11&amp;"|A|"&amp;$W11&amp;"|lw")+SUMIFS(HLTV_Long!$B$2:$B$395,HLTV_Long!$A$2:$A$395,$A11&amp;"|B|"&amp;$W11&amp;"|wl"))/(COUNTIFS(HLTV_Long!$A$2:$A$395,$A11&amp;"|A|"&amp;$W11&amp;"|lw")+COUNTIFS(HLTV_Long!$A$2:$A$395,$A11&amp;"|B|"&amp;$W11&amp;"|wl")),IFERROR((SUMIFS(HLTV_Long!$B$2:$B$395,HLTV_Long!$A$2:$A$395,$A11&amp;"|A|"&amp;"ALL"&amp;"|lw")+SUMIFS(HLTV_Long!$B$2:$B$395,HLTV_Long!$A$2:$A$395,$A11&amp;"|B|"&amp;"ALL"&amp;"|wl"))/(COUNTIFS(HLTV_Long!$A$2:$A$395,$A11&amp;"|A|"&amp;"ALL"&amp;"|lw")+COUNTIFS(HLTV_Long!$A$2:$A$395,$A11&amp;"|B|"&amp;"ALL"&amp;"|wl")),"")))</f>
        <v>7.825</v>
      </c>
      <c r="AL11" s="17" t="n">
        <f aca="false">IF($W11="","",IFERROR((SUMIFS(HLTV_Long!$B$2:$B$395,HLTV_Long!$A$2:$A$395,$A11&amp;"|B|"&amp;$W11&amp;"|lw")+SUMIFS(HLTV_Long!$B$2:$B$395,HLTV_Long!$A$2:$A$395,$A11&amp;"|A|"&amp;$W11&amp;"|wl"))/(COUNTIFS(HLTV_Long!$A$2:$A$395,$A11&amp;"|B|"&amp;$W11&amp;"|lw")+COUNTIFS(HLTV_Long!$A$2:$A$395,$A11&amp;"|A|"&amp;$W11&amp;"|wl")),IFERROR((SUMIFS(HLTV_Long!$B$2:$B$395,HLTV_Long!$A$2:$A$395,$A11&amp;"|B|"&amp;"ALL"&amp;"|lw")+SUMIFS(HLTV_Long!$B$2:$B$395,HLTV_Long!$A$2:$A$395,$A11&amp;"|A|"&amp;"ALL"&amp;"|wl"))/(COUNTIFS(HLTV_Long!$A$2:$A$395,$A11&amp;"|B|"&amp;"ALL"&amp;"|lw")+COUNTIFS(HLTV_Long!$A$2:$A$395,$A11&amp;"|A|"&amp;"ALL"&amp;"|wl")),"")))</f>
        <v>9.115</v>
      </c>
      <c r="AM11" s="9" t="n">
        <f aca="false">IF($W11="","",COUNTIFS(HLTV_Long!$A$2:$A$395,$A11&amp;"|A|"&amp;$W11&amp;"|lw")+COUNTIFS(HLTV_Long!$A$2:$A$395,$A11&amp;"|B|"&amp;$W11&amp;"|wl")+COUNTIFS(HLTV_Long!$A$2:$A$395,$A11&amp;"|B|"&amp;$W11&amp;"|lw")+COUNTIFS(HLTV_Long!$A$2:$A$395,$A11&amp;"|A|"&amp;$W11&amp;"|wl"))</f>
        <v>4</v>
      </c>
      <c r="AN11" s="17" t="str">
        <f aca="false">IF(OR($AK11="",$AL11="",$AF11=""),"",13+$AF11*$AK11+(1-$AF11)*$AL11)</f>
        <v/>
      </c>
      <c r="AO11" s="17" t="str">
        <f aca="false">IF($AN11="","",$AF11*(13-$AK11)-(1-$AF11)*(13-$AL11))</f>
        <v/>
      </c>
      <c r="AP11" s="10" t="str">
        <f aca="false">IF($AN11="","",($AF11*13+(1-$AF11)*$AL11)/$AN11)</f>
        <v/>
      </c>
      <c r="AQ11" s="17" t="n">
        <f aca="false">IF($X11="","",IFERROR((SUMIFS(HLTV_Long!$B$2:$B$395,HLTV_Long!$A$2:$A$395,$A11&amp;"|A|"&amp;$X11&amp;"|lw")+SUMIFS(HLTV_Long!$B$2:$B$395,HLTV_Long!$A$2:$A$395,$A11&amp;"|B|"&amp;$X11&amp;"|wl"))/(COUNTIFS(HLTV_Long!$A$2:$A$395,$A11&amp;"|A|"&amp;$X11&amp;"|lw")+COUNTIFS(HLTV_Long!$A$2:$A$395,$A11&amp;"|B|"&amp;$X11&amp;"|wl")),IFERROR((SUMIFS(HLTV_Long!$B$2:$B$395,HLTV_Long!$A$2:$A$395,$A11&amp;"|A|"&amp;"ALL"&amp;"|lw")+SUMIFS(HLTV_Long!$B$2:$B$395,HLTV_Long!$A$2:$A$395,$A11&amp;"|B|"&amp;"ALL"&amp;"|wl"))/(COUNTIFS(HLTV_Long!$A$2:$A$395,$A11&amp;"|A|"&amp;"ALL"&amp;"|lw")+COUNTIFS(HLTV_Long!$A$2:$A$395,$A11&amp;"|B|"&amp;"ALL"&amp;"|wl")),"")))</f>
        <v>9.625</v>
      </c>
      <c r="AR11" s="17" t="n">
        <f aca="false">IF($X11="","",IFERROR((SUMIFS(HLTV_Long!$B$2:$B$395,HLTV_Long!$A$2:$A$395,$A11&amp;"|B|"&amp;$X11&amp;"|lw")+SUMIFS(HLTV_Long!$B$2:$B$395,HLTV_Long!$A$2:$A$395,$A11&amp;"|A|"&amp;$X11&amp;"|wl"))/(COUNTIFS(HLTV_Long!$A$2:$A$395,$A11&amp;"|B|"&amp;$X11&amp;"|lw")+COUNTIFS(HLTV_Long!$A$2:$A$395,$A11&amp;"|A|"&amp;$X11&amp;"|wl")),IFERROR((SUMIFS(HLTV_Long!$B$2:$B$395,HLTV_Long!$A$2:$A$395,$A11&amp;"|B|"&amp;"ALL"&amp;"|lw")+SUMIFS(HLTV_Long!$B$2:$B$395,HLTV_Long!$A$2:$A$395,$A11&amp;"|A|"&amp;"ALL"&amp;"|wl"))/(COUNTIFS(HLTV_Long!$A$2:$A$395,$A11&amp;"|B|"&amp;"ALL"&amp;"|lw")+COUNTIFS(HLTV_Long!$A$2:$A$395,$A11&amp;"|A|"&amp;"ALL"&amp;"|wl")),"")))</f>
        <v>8.975</v>
      </c>
      <c r="AS11" s="9" t="n">
        <f aca="false">IF($X11="","",COUNTIFS(HLTV_Long!$A$2:$A$395,$A11&amp;"|A|"&amp;$X11&amp;"|lw")+COUNTIFS(HLTV_Long!$A$2:$A$395,$A11&amp;"|B|"&amp;$X11&amp;"|wl")+COUNTIFS(HLTV_Long!$A$2:$A$395,$A11&amp;"|B|"&amp;$X11&amp;"|lw")+COUNTIFS(HLTV_Long!$A$2:$A$395,$A11&amp;"|A|"&amp;$X11&amp;"|wl"))</f>
        <v>4</v>
      </c>
      <c r="AT11" s="17" t="str">
        <f aca="false">IF(OR($AQ11="",$AR11="",$AG11=""),"",13+$AG11*$AQ11+(1-$AG11)*$AR11)</f>
        <v/>
      </c>
      <c r="AU11" s="17" t="str">
        <f aca="false">IF($AT11="","",$AG11*(13-$AQ11)-(1-$AG11)*(13-$AR11))</f>
        <v/>
      </c>
      <c r="AV11" s="10" t="str">
        <f aca="false">IF($AT11="","",($AG11*13+(1-$AG11)*$AR11)/$AT11)</f>
        <v/>
      </c>
      <c r="AW11" s="17" t="n">
        <f aca="false">IF($Y11="","",IFERROR((SUMIFS(HLTV_Long!$B$2:$B$395,HLTV_Long!$A$2:$A$395,$A11&amp;"|A|"&amp;$Y11&amp;"|lw")+SUMIFS(HLTV_Long!$B$2:$B$395,HLTV_Long!$A$2:$A$395,$A11&amp;"|B|"&amp;$Y11&amp;"|wl"))/(COUNTIFS(HLTV_Long!$A$2:$A$395,$A11&amp;"|A|"&amp;$Y11&amp;"|lw")+COUNTIFS(HLTV_Long!$A$2:$A$395,$A11&amp;"|B|"&amp;$Y11&amp;"|wl")),IFERROR((SUMIFS(HLTV_Long!$B$2:$B$395,HLTV_Long!$A$2:$A$395,$A11&amp;"|A|"&amp;"ALL"&amp;"|lw")+SUMIFS(HLTV_Long!$B$2:$B$395,HLTV_Long!$A$2:$A$395,$A11&amp;"|B|"&amp;"ALL"&amp;"|wl"))/(COUNTIFS(HLTV_Long!$A$2:$A$395,$A11&amp;"|A|"&amp;"ALL"&amp;"|lw")+COUNTIFS(HLTV_Long!$A$2:$A$395,$A11&amp;"|B|"&amp;"ALL"&amp;"|wl")),"")))</f>
        <v>7.975</v>
      </c>
      <c r="AX11" s="17" t="n">
        <f aca="false">IF($Y11="","",IFERROR((SUMIFS(HLTV_Long!$B$2:$B$395,HLTV_Long!$A$2:$A$395,$A11&amp;"|B|"&amp;$Y11&amp;"|lw")+SUMIFS(HLTV_Long!$B$2:$B$395,HLTV_Long!$A$2:$A$395,$A11&amp;"|A|"&amp;$Y11&amp;"|wl"))/(COUNTIFS(HLTV_Long!$A$2:$A$395,$A11&amp;"|B|"&amp;$Y11&amp;"|lw")+COUNTIFS(HLTV_Long!$A$2:$A$395,$A11&amp;"|A|"&amp;$Y11&amp;"|wl")),IFERROR((SUMIFS(HLTV_Long!$B$2:$B$395,HLTV_Long!$A$2:$A$395,$A11&amp;"|B|"&amp;"ALL"&amp;"|lw")+SUMIFS(HLTV_Long!$B$2:$B$395,HLTV_Long!$A$2:$A$395,$A11&amp;"|A|"&amp;"ALL"&amp;"|wl"))/(COUNTIFS(HLTV_Long!$A$2:$A$395,$A11&amp;"|B|"&amp;"ALL"&amp;"|lw")+COUNTIFS(HLTV_Long!$A$2:$A$395,$A11&amp;"|A|"&amp;"ALL"&amp;"|wl")),"")))</f>
        <v>7.625</v>
      </c>
      <c r="AY11" s="9" t="n">
        <f aca="false">IF($Y11="","",COUNTIFS(HLTV_Long!$A$2:$A$395,$A11&amp;"|A|"&amp;$Y11&amp;"|lw")+COUNTIFS(HLTV_Long!$A$2:$A$395,$A11&amp;"|B|"&amp;$Y11&amp;"|wl")+COUNTIFS(HLTV_Long!$A$2:$A$395,$A11&amp;"|B|"&amp;$Y11&amp;"|lw")+COUNTIFS(HLTV_Long!$A$2:$A$395,$A11&amp;"|A|"&amp;$Y11&amp;"|wl"))</f>
        <v>4</v>
      </c>
      <c r="AZ11" s="17" t="str">
        <f aca="false">IF(OR($AW11="",$AX11="",$AH11=""),"",13+$AH11*$AW11+(1-$AH11)*$AX11)</f>
        <v/>
      </c>
      <c r="BA11" s="17" t="str">
        <f aca="false">IF($AZ11="","",$AH11*(13-$AW11)-(1-$AH11)*(13-$AX11))</f>
        <v/>
      </c>
      <c r="BB11" s="10" t="str">
        <f aca="false">IF($AZ11="","",($AH11*13+(1-$AH11)*$AX11)/$AZ11)</f>
        <v/>
      </c>
    </row>
    <row r="12" customFormat="false" ht="15" hidden="false" customHeight="false" outlineLevel="0" collapsed="false">
      <c r="A12" s="0" t="s">
        <v>1034</v>
      </c>
      <c r="B12" s="0" t="s">
        <v>988</v>
      </c>
      <c r="C12" s="0" t="s">
        <v>1035</v>
      </c>
      <c r="D12" s="0" t="n">
        <v>3</v>
      </c>
      <c r="E12" s="0" t="s">
        <v>576</v>
      </c>
      <c r="F12" s="0" t="s">
        <v>577</v>
      </c>
      <c r="G12" s="10" t="n">
        <v>0.736842105263158</v>
      </c>
      <c r="H12" s="10" t="n">
        <v>0.431237136335306</v>
      </c>
      <c r="I12" s="10" t="n">
        <v>0.120130345121978</v>
      </c>
      <c r="J12" s="10" t="n">
        <v>0.448632518542716</v>
      </c>
      <c r="K12" s="9" t="s">
        <v>1036</v>
      </c>
      <c r="L12" s="9" t="s">
        <v>1037</v>
      </c>
      <c r="M12" s="9" t="s">
        <v>1038</v>
      </c>
      <c r="N12" s="9" t="s">
        <v>993</v>
      </c>
      <c r="O12" s="11" t="n">
        <v>21.3125531311986</v>
      </c>
      <c r="P12" s="11" t="n">
        <v>21.0474559686888</v>
      </c>
      <c r="Q12" s="11" t="n">
        <v>21.1145374449339</v>
      </c>
      <c r="R12" s="10" t="n">
        <v>0.146341463414634</v>
      </c>
      <c r="S12" s="11" t="n">
        <v>3.06857237276933</v>
      </c>
      <c r="T12" s="11"/>
      <c r="U12" s="11" t="n">
        <v>10.3809523809524</v>
      </c>
      <c r="V12" s="0" t="n">
        <v>354</v>
      </c>
      <c r="W12" s="14" t="s">
        <v>150</v>
      </c>
      <c r="X12" s="14" t="s">
        <v>107</v>
      </c>
      <c r="Y12" s="14" t="s">
        <v>80</v>
      </c>
      <c r="Z12" s="15" t="n">
        <v>21.31</v>
      </c>
      <c r="AA12" s="15" t="n">
        <v>21.05</v>
      </c>
      <c r="AB12" s="15" t="n">
        <v>21.11</v>
      </c>
      <c r="AC12" s="16" t="n">
        <v>0.4486</v>
      </c>
      <c r="AD12" s="9" t="s">
        <v>1039</v>
      </c>
      <c r="AE12" s="9" t="s">
        <v>1040</v>
      </c>
      <c r="AF12" s="10" t="n">
        <v>0.6281</v>
      </c>
      <c r="AG12" s="10" t="n">
        <v>0.7014</v>
      </c>
      <c r="AH12" s="10" t="n">
        <v>0.6699</v>
      </c>
      <c r="AI12" s="10" t="n">
        <f aca="false">IFERROR(INDEX(HLTV_Teams!$N$2:$N$29,MATCH($A12&amp;"|A",HLTV_Teams!$A$2:$A$29,0)),"")</f>
        <v>0.547286534543434</v>
      </c>
      <c r="AJ12" s="10" t="n">
        <f aca="false">IFERROR(INDEX(HLTV_Teams!$N$2:$N$29,MATCH($A12&amp;"|B",HLTV_Teams!$A$2:$A$29,0)),"")</f>
        <v>0.453863710466254</v>
      </c>
      <c r="AK12" s="17" t="n">
        <f aca="false">IF($W12="","",IFERROR((SUMIFS(HLTV_Long!$B$2:$B$395,HLTV_Long!$A$2:$A$395,$A12&amp;"|A|"&amp;$W12&amp;"|lw")+SUMIFS(HLTV_Long!$B$2:$B$395,HLTV_Long!$A$2:$A$395,$A12&amp;"|B|"&amp;$W12&amp;"|wl"))/(COUNTIFS(HLTV_Long!$A$2:$A$395,$A12&amp;"|A|"&amp;$W12&amp;"|lw")+COUNTIFS(HLTV_Long!$A$2:$A$395,$A12&amp;"|B|"&amp;$W12&amp;"|wl")),IFERROR((SUMIFS(HLTV_Long!$B$2:$B$395,HLTV_Long!$A$2:$A$395,$A12&amp;"|A|"&amp;"ALL"&amp;"|lw")+SUMIFS(HLTV_Long!$B$2:$B$395,HLTV_Long!$A$2:$A$395,$A12&amp;"|B|"&amp;"ALL"&amp;"|wl"))/(COUNTIFS(HLTV_Long!$A$2:$A$395,$A12&amp;"|A|"&amp;"ALL"&amp;"|lw")+COUNTIFS(HLTV_Long!$A$2:$A$395,$A12&amp;"|B|"&amp;"ALL"&amp;"|wl")),"")))</f>
        <v>8.9</v>
      </c>
      <c r="AL12" s="17" t="n">
        <f aca="false">IF($W12="","",IFERROR((SUMIFS(HLTV_Long!$B$2:$B$395,HLTV_Long!$A$2:$A$395,$A12&amp;"|B|"&amp;$W12&amp;"|lw")+SUMIFS(HLTV_Long!$B$2:$B$395,HLTV_Long!$A$2:$A$395,$A12&amp;"|A|"&amp;$W12&amp;"|wl"))/(COUNTIFS(HLTV_Long!$A$2:$A$395,$A12&amp;"|B|"&amp;$W12&amp;"|lw")+COUNTIFS(HLTV_Long!$A$2:$A$395,$A12&amp;"|A|"&amp;$W12&amp;"|wl")),IFERROR((SUMIFS(HLTV_Long!$B$2:$B$395,HLTV_Long!$A$2:$A$395,$A12&amp;"|B|"&amp;"ALL"&amp;"|lw")+SUMIFS(HLTV_Long!$B$2:$B$395,HLTV_Long!$A$2:$A$395,$A12&amp;"|A|"&amp;"ALL"&amp;"|wl"))/(COUNTIFS(HLTV_Long!$A$2:$A$395,$A12&amp;"|B|"&amp;"ALL"&amp;"|lw")+COUNTIFS(HLTV_Long!$A$2:$A$395,$A12&amp;"|A|"&amp;"ALL"&amp;"|wl")),"")))</f>
        <v>8.5</v>
      </c>
      <c r="AM12" s="9" t="n">
        <f aca="false">IF($W12="","",COUNTIFS(HLTV_Long!$A$2:$A$395,$A12&amp;"|A|"&amp;$W12&amp;"|lw")+COUNTIFS(HLTV_Long!$A$2:$A$395,$A12&amp;"|B|"&amp;$W12&amp;"|wl")+COUNTIFS(HLTV_Long!$A$2:$A$395,$A12&amp;"|B|"&amp;$W12&amp;"|lw")+COUNTIFS(HLTV_Long!$A$2:$A$395,$A12&amp;"|A|"&amp;$W12&amp;"|wl"))</f>
        <v>4</v>
      </c>
      <c r="AN12" s="17" t="n">
        <f aca="false">IF(OR($AK12="",$AL12="",$AF12=""),"",13+$AF12*$AK12+(1-$AF12)*$AL12)</f>
        <v>21.75124</v>
      </c>
      <c r="AO12" s="17" t="n">
        <f aca="false">IF($AN12="","",$AF12*(13-$AK12)-(1-$AF12)*(13-$AL12))</f>
        <v>0.90166</v>
      </c>
      <c r="AP12" s="10" t="n">
        <f aca="false">IF($AN12="","",($AF12*13+(1-$AF12)*$AL12)/$AN12)</f>
        <v>0.520726634435554</v>
      </c>
      <c r="AQ12" s="17" t="n">
        <f aca="false">IF($X12="","",IFERROR((SUMIFS(HLTV_Long!$B$2:$B$395,HLTV_Long!$A$2:$A$395,$A12&amp;"|A|"&amp;$X12&amp;"|lw")+SUMIFS(HLTV_Long!$B$2:$B$395,HLTV_Long!$A$2:$A$395,$A12&amp;"|B|"&amp;$X12&amp;"|wl"))/(COUNTIFS(HLTV_Long!$A$2:$A$395,$A12&amp;"|A|"&amp;$X12&amp;"|lw")+COUNTIFS(HLTV_Long!$A$2:$A$395,$A12&amp;"|B|"&amp;$X12&amp;"|wl")),IFERROR((SUMIFS(HLTV_Long!$B$2:$B$395,HLTV_Long!$A$2:$A$395,$A12&amp;"|A|"&amp;"ALL"&amp;"|lw")+SUMIFS(HLTV_Long!$B$2:$B$395,HLTV_Long!$A$2:$A$395,$A12&amp;"|B|"&amp;"ALL"&amp;"|wl"))/(COUNTIFS(HLTV_Long!$A$2:$A$395,$A12&amp;"|A|"&amp;"ALL"&amp;"|lw")+COUNTIFS(HLTV_Long!$A$2:$A$395,$A12&amp;"|B|"&amp;"ALL"&amp;"|wl")),"")))</f>
        <v>6.335</v>
      </c>
      <c r="AR12" s="17" t="n">
        <f aca="false">IF($X12="","",IFERROR((SUMIFS(HLTV_Long!$B$2:$B$395,HLTV_Long!$A$2:$A$395,$A12&amp;"|B|"&amp;$X12&amp;"|lw")+SUMIFS(HLTV_Long!$B$2:$B$395,HLTV_Long!$A$2:$A$395,$A12&amp;"|A|"&amp;$X12&amp;"|wl"))/(COUNTIFS(HLTV_Long!$A$2:$A$395,$A12&amp;"|B|"&amp;$X12&amp;"|lw")+COUNTIFS(HLTV_Long!$A$2:$A$395,$A12&amp;"|A|"&amp;$X12&amp;"|wl")),IFERROR((SUMIFS(HLTV_Long!$B$2:$B$395,HLTV_Long!$A$2:$A$395,$A12&amp;"|B|"&amp;"ALL"&amp;"|lw")+SUMIFS(HLTV_Long!$B$2:$B$395,HLTV_Long!$A$2:$A$395,$A12&amp;"|A|"&amp;"ALL"&amp;"|wl"))/(COUNTIFS(HLTV_Long!$A$2:$A$395,$A12&amp;"|B|"&amp;"ALL"&amp;"|lw")+COUNTIFS(HLTV_Long!$A$2:$A$395,$A12&amp;"|A|"&amp;"ALL"&amp;"|wl")),"")))</f>
        <v>10.335</v>
      </c>
      <c r="AS12" s="9" t="n">
        <f aca="false">IF($X12="","",COUNTIFS(HLTV_Long!$A$2:$A$395,$A12&amp;"|A|"&amp;$X12&amp;"|lw")+COUNTIFS(HLTV_Long!$A$2:$A$395,$A12&amp;"|B|"&amp;$X12&amp;"|wl")+COUNTIFS(HLTV_Long!$A$2:$A$395,$A12&amp;"|B|"&amp;$X12&amp;"|lw")+COUNTIFS(HLTV_Long!$A$2:$A$395,$A12&amp;"|A|"&amp;$X12&amp;"|wl"))</f>
        <v>4</v>
      </c>
      <c r="AT12" s="17" t="n">
        <f aca="false">IF(OR($AQ12="",$AR12="",$AG12=""),"",13+$AG12*$AQ12+(1-$AG12)*$AR12)</f>
        <v>20.5294</v>
      </c>
      <c r="AU12" s="17" t="n">
        <f aca="false">IF($AT12="","",$AG12*(13-$AQ12)-(1-$AG12)*(13-$AR12))</f>
        <v>3.879062</v>
      </c>
      <c r="AV12" s="10" t="n">
        <f aca="false">IF($AT12="","",($AG12*13+(1-$AG12)*$AR12)/$AT12)</f>
        <v>0.594475776203883</v>
      </c>
      <c r="AW12" s="17" t="n">
        <f aca="false">IF($Y12="","",IFERROR((SUMIFS(HLTV_Long!$B$2:$B$395,HLTV_Long!$A$2:$A$395,$A12&amp;"|A|"&amp;$Y12&amp;"|lw")+SUMIFS(HLTV_Long!$B$2:$B$395,HLTV_Long!$A$2:$A$395,$A12&amp;"|B|"&amp;$Y12&amp;"|wl"))/(COUNTIFS(HLTV_Long!$A$2:$A$395,$A12&amp;"|A|"&amp;$Y12&amp;"|lw")+COUNTIFS(HLTV_Long!$A$2:$A$395,$A12&amp;"|B|"&amp;$Y12&amp;"|wl")),IFERROR((SUMIFS(HLTV_Long!$B$2:$B$395,HLTV_Long!$A$2:$A$395,$A12&amp;"|A|"&amp;"ALL"&amp;"|lw")+SUMIFS(HLTV_Long!$B$2:$B$395,HLTV_Long!$A$2:$A$395,$A12&amp;"|B|"&amp;"ALL"&amp;"|wl"))/(COUNTIFS(HLTV_Long!$A$2:$A$395,$A12&amp;"|A|"&amp;"ALL"&amp;"|lw")+COUNTIFS(HLTV_Long!$A$2:$A$395,$A12&amp;"|B|"&amp;"ALL"&amp;"|wl")),"")))</f>
        <v>9.265</v>
      </c>
      <c r="AX12" s="17" t="n">
        <f aca="false">IF($Y12="","",IFERROR((SUMIFS(HLTV_Long!$B$2:$B$395,HLTV_Long!$A$2:$A$395,$A12&amp;"|B|"&amp;$Y12&amp;"|lw")+SUMIFS(HLTV_Long!$B$2:$B$395,HLTV_Long!$A$2:$A$395,$A12&amp;"|A|"&amp;$Y12&amp;"|wl"))/(COUNTIFS(HLTV_Long!$A$2:$A$395,$A12&amp;"|B|"&amp;$Y12&amp;"|lw")+COUNTIFS(HLTV_Long!$A$2:$A$395,$A12&amp;"|A|"&amp;$Y12&amp;"|wl")),IFERROR((SUMIFS(HLTV_Long!$B$2:$B$395,HLTV_Long!$A$2:$A$395,$A12&amp;"|B|"&amp;"ALL"&amp;"|lw")+SUMIFS(HLTV_Long!$B$2:$B$395,HLTV_Long!$A$2:$A$395,$A12&amp;"|A|"&amp;"ALL"&amp;"|wl"))/(COUNTIFS(HLTV_Long!$A$2:$A$395,$A12&amp;"|B|"&amp;"ALL"&amp;"|lw")+COUNTIFS(HLTV_Long!$A$2:$A$395,$A12&amp;"|A|"&amp;"ALL"&amp;"|wl")),"")))</f>
        <v>5.5</v>
      </c>
      <c r="AY12" s="9" t="n">
        <f aca="false">IF($Y12="","",COUNTIFS(HLTV_Long!$A$2:$A$395,$A12&amp;"|A|"&amp;$Y12&amp;"|lw")+COUNTIFS(HLTV_Long!$A$2:$A$395,$A12&amp;"|B|"&amp;$Y12&amp;"|wl")+COUNTIFS(HLTV_Long!$A$2:$A$395,$A12&amp;"|B|"&amp;$Y12&amp;"|lw")+COUNTIFS(HLTV_Long!$A$2:$A$395,$A12&amp;"|A|"&amp;$Y12&amp;"|wl"))</f>
        <v>4</v>
      </c>
      <c r="AZ12" s="17" t="n">
        <f aca="false">IF(OR($AW12="",$AX12="",$AH12=""),"",13+$AH12*$AW12+(1-$AH12)*$AX12)</f>
        <v>21.0221735</v>
      </c>
      <c r="BA12" s="17" t="n">
        <f aca="false">IF($AZ12="","",$AH12*(13-$AW12)-(1-$AH12)*(13-$AX12))</f>
        <v>0.0263265000000001</v>
      </c>
      <c r="BB12" s="10" t="n">
        <f aca="false">IF($AZ12="","",($AH12*13+(1-$AH12)*$AX12)/$AZ12)</f>
        <v>0.500626160277861</v>
      </c>
    </row>
    <row r="13" customFormat="false" ht="15" hidden="false" customHeight="false" outlineLevel="0" collapsed="false">
      <c r="A13" s="0" t="s">
        <v>1041</v>
      </c>
      <c r="B13" s="0" t="s">
        <v>988</v>
      </c>
      <c r="C13" s="0" t="s">
        <v>1035</v>
      </c>
      <c r="D13" s="0" t="n">
        <v>3</v>
      </c>
      <c r="E13" s="0" t="s">
        <v>521</v>
      </c>
      <c r="F13" s="0" t="s">
        <v>522</v>
      </c>
      <c r="G13" s="10" t="n">
        <v>0.582010582010582</v>
      </c>
      <c r="H13" s="10" t="n">
        <v>0.305210099868099</v>
      </c>
      <c r="I13" s="10" t="n">
        <v>0.194224609006972</v>
      </c>
      <c r="J13" s="10" t="n">
        <v>0.500565291124929</v>
      </c>
      <c r="K13" s="9" t="s">
        <v>1042</v>
      </c>
      <c r="L13" s="9" t="s">
        <v>1043</v>
      </c>
      <c r="M13" s="9" t="s">
        <v>1044</v>
      </c>
      <c r="N13" s="9" t="s">
        <v>993</v>
      </c>
      <c r="O13" s="11" t="n">
        <v>21.4231536926148</v>
      </c>
      <c r="P13" s="11" t="n">
        <v>21.5</v>
      </c>
      <c r="Q13" s="11" t="n">
        <v>21.5</v>
      </c>
      <c r="R13" s="10" t="n">
        <v>0.159420289855073</v>
      </c>
      <c r="S13" s="11" t="n">
        <v>2.5</v>
      </c>
      <c r="T13" s="11"/>
      <c r="U13" s="11" t="n">
        <v>11.0820224719101</v>
      </c>
      <c r="V13" s="0" t="n">
        <v>360</v>
      </c>
      <c r="W13" s="14" t="s">
        <v>150</v>
      </c>
      <c r="X13" s="14" t="s">
        <v>142</v>
      </c>
      <c r="Y13" s="14" t="s">
        <v>107</v>
      </c>
      <c r="Z13" s="15" t="n">
        <v>21.42</v>
      </c>
      <c r="AA13" s="15" t="n">
        <v>21.5</v>
      </c>
      <c r="AB13" s="15" t="n">
        <v>21.5</v>
      </c>
      <c r="AC13" s="16" t="n">
        <v>0.5006</v>
      </c>
      <c r="AD13" s="9" t="s">
        <v>1045</v>
      </c>
      <c r="AE13" s="9" t="s">
        <v>1046</v>
      </c>
      <c r="AF13" s="10" t="n">
        <v>0.5974</v>
      </c>
      <c r="AG13" s="10" t="n">
        <v>0.5189</v>
      </c>
      <c r="AH13" s="10" t="n">
        <v>0.56</v>
      </c>
      <c r="AI13" s="10" t="n">
        <f aca="false">IFERROR(INDEX(HLTV_Teams!$N$2:$N$29,MATCH($A13&amp;"|A",HLTV_Teams!$A$2:$A$29,0)),"")</f>
        <v>0.528713473214357</v>
      </c>
      <c r="AJ13" s="10" t="n">
        <f aca="false">IFERROR(INDEX(HLTV_Teams!$N$2:$N$29,MATCH($A13&amp;"|B",HLTV_Teams!$A$2:$A$29,0)),"")</f>
        <v>0.509174752617927</v>
      </c>
      <c r="AK13" s="17" t="n">
        <f aca="false">IF($W13="","",IFERROR((SUMIFS(HLTV_Long!$B$2:$B$395,HLTV_Long!$A$2:$A$395,$A13&amp;"|A|"&amp;$W13&amp;"|lw")+SUMIFS(HLTV_Long!$B$2:$B$395,HLTV_Long!$A$2:$A$395,$A13&amp;"|B|"&amp;$W13&amp;"|wl"))/(COUNTIFS(HLTV_Long!$A$2:$A$395,$A13&amp;"|A|"&amp;$W13&amp;"|lw")+COUNTIFS(HLTV_Long!$A$2:$A$395,$A13&amp;"|B|"&amp;$W13&amp;"|wl")),IFERROR((SUMIFS(HLTV_Long!$B$2:$B$395,HLTV_Long!$A$2:$A$395,$A13&amp;"|A|"&amp;"ALL"&amp;"|lw")+SUMIFS(HLTV_Long!$B$2:$B$395,HLTV_Long!$A$2:$A$395,$A13&amp;"|B|"&amp;"ALL"&amp;"|wl"))/(COUNTIFS(HLTV_Long!$A$2:$A$395,$A13&amp;"|A|"&amp;"ALL"&amp;"|lw")+COUNTIFS(HLTV_Long!$A$2:$A$395,$A13&amp;"|B|"&amp;"ALL"&amp;"|wl")),"")))</f>
        <v>8</v>
      </c>
      <c r="AL13" s="17" t="n">
        <f aca="false">IF($W13="","",IFERROR((SUMIFS(HLTV_Long!$B$2:$B$395,HLTV_Long!$A$2:$A$395,$A13&amp;"|B|"&amp;$W13&amp;"|lw")+SUMIFS(HLTV_Long!$B$2:$B$395,HLTV_Long!$A$2:$A$395,$A13&amp;"|A|"&amp;$W13&amp;"|wl"))/(COUNTIFS(HLTV_Long!$A$2:$A$395,$A13&amp;"|B|"&amp;$W13&amp;"|lw")+COUNTIFS(HLTV_Long!$A$2:$A$395,$A13&amp;"|A|"&amp;$W13&amp;"|wl")),IFERROR((SUMIFS(HLTV_Long!$B$2:$B$395,HLTV_Long!$A$2:$A$395,$A13&amp;"|B|"&amp;"ALL"&amp;"|lw")+SUMIFS(HLTV_Long!$B$2:$B$395,HLTV_Long!$A$2:$A$395,$A13&amp;"|A|"&amp;"ALL"&amp;"|wl"))/(COUNTIFS(HLTV_Long!$A$2:$A$395,$A13&amp;"|B|"&amp;"ALL"&amp;"|lw")+COUNTIFS(HLTV_Long!$A$2:$A$395,$A13&amp;"|A|"&amp;"ALL"&amp;"|wl")),"")))</f>
        <v>6.915</v>
      </c>
      <c r="AM13" s="9" t="n">
        <f aca="false">IF($W13="","",COUNTIFS(HLTV_Long!$A$2:$A$395,$A13&amp;"|A|"&amp;$W13&amp;"|lw")+COUNTIFS(HLTV_Long!$A$2:$A$395,$A13&amp;"|B|"&amp;$W13&amp;"|wl")+COUNTIFS(HLTV_Long!$A$2:$A$395,$A13&amp;"|B|"&amp;$W13&amp;"|lw")+COUNTIFS(HLTV_Long!$A$2:$A$395,$A13&amp;"|A|"&amp;$W13&amp;"|wl"))</f>
        <v>4</v>
      </c>
      <c r="AN13" s="17" t="n">
        <f aca="false">IF(OR($AK13="",$AL13="",$AF13=""),"",13+$AF13*$AK13+(1-$AF13)*$AL13)</f>
        <v>20.563179</v>
      </c>
      <c r="AO13" s="17" t="n">
        <f aca="false">IF($AN13="","",$AF13*(13-$AK13)-(1-$AF13)*(13-$AL13))</f>
        <v>0.537179000000001</v>
      </c>
      <c r="AP13" s="10" t="n">
        <f aca="false">IF($AN13="","",($AF13*13+(1-$AF13)*$AL13)/$AN13)</f>
        <v>0.51306167203038</v>
      </c>
      <c r="AQ13" s="17" t="n">
        <f aca="false">IF($X13="","",IFERROR((SUMIFS(HLTV_Long!$B$2:$B$395,HLTV_Long!$A$2:$A$395,$A13&amp;"|A|"&amp;$X13&amp;"|lw")+SUMIFS(HLTV_Long!$B$2:$B$395,HLTV_Long!$A$2:$A$395,$A13&amp;"|B|"&amp;$X13&amp;"|wl"))/(COUNTIFS(HLTV_Long!$A$2:$A$395,$A13&amp;"|A|"&amp;$X13&amp;"|lw")+COUNTIFS(HLTV_Long!$A$2:$A$395,$A13&amp;"|B|"&amp;$X13&amp;"|wl")),IFERROR((SUMIFS(HLTV_Long!$B$2:$B$395,HLTV_Long!$A$2:$A$395,$A13&amp;"|A|"&amp;"ALL"&amp;"|lw")+SUMIFS(HLTV_Long!$B$2:$B$395,HLTV_Long!$A$2:$A$395,$A13&amp;"|B|"&amp;"ALL"&amp;"|wl"))/(COUNTIFS(HLTV_Long!$A$2:$A$395,$A13&amp;"|A|"&amp;"ALL"&amp;"|lw")+COUNTIFS(HLTV_Long!$A$2:$A$395,$A13&amp;"|B|"&amp;"ALL"&amp;"|wl")),"")))</f>
        <v>7.25</v>
      </c>
      <c r="AR13" s="17" t="n">
        <f aca="false">IF($X13="","",IFERROR((SUMIFS(HLTV_Long!$B$2:$B$395,HLTV_Long!$A$2:$A$395,$A13&amp;"|B|"&amp;$X13&amp;"|lw")+SUMIFS(HLTV_Long!$B$2:$B$395,HLTV_Long!$A$2:$A$395,$A13&amp;"|A|"&amp;$X13&amp;"|wl"))/(COUNTIFS(HLTV_Long!$A$2:$A$395,$A13&amp;"|B|"&amp;$X13&amp;"|lw")+COUNTIFS(HLTV_Long!$A$2:$A$395,$A13&amp;"|A|"&amp;$X13&amp;"|wl")),IFERROR((SUMIFS(HLTV_Long!$B$2:$B$395,HLTV_Long!$A$2:$A$395,$A13&amp;"|B|"&amp;"ALL"&amp;"|lw")+SUMIFS(HLTV_Long!$B$2:$B$395,HLTV_Long!$A$2:$A$395,$A13&amp;"|A|"&amp;"ALL"&amp;"|wl"))/(COUNTIFS(HLTV_Long!$A$2:$A$395,$A13&amp;"|B|"&amp;"ALL"&amp;"|lw")+COUNTIFS(HLTV_Long!$A$2:$A$395,$A13&amp;"|A|"&amp;"ALL"&amp;"|wl")),"")))</f>
        <v>9.445</v>
      </c>
      <c r="AS13" s="9" t="n">
        <f aca="false">IF($X13="","",COUNTIFS(HLTV_Long!$A$2:$A$395,$A13&amp;"|A|"&amp;$X13&amp;"|lw")+COUNTIFS(HLTV_Long!$A$2:$A$395,$A13&amp;"|B|"&amp;$X13&amp;"|wl")+COUNTIFS(HLTV_Long!$A$2:$A$395,$A13&amp;"|B|"&amp;$X13&amp;"|lw")+COUNTIFS(HLTV_Long!$A$2:$A$395,$A13&amp;"|A|"&amp;$X13&amp;"|wl"))</f>
        <v>4</v>
      </c>
      <c r="AT13" s="17" t="n">
        <f aca="false">IF(OR($AQ13="",$AR13="",$AG13=""),"",13+$AG13*$AQ13+(1-$AG13)*$AR13)</f>
        <v>21.3060145</v>
      </c>
      <c r="AU13" s="17" t="n">
        <f aca="false">IF($AT13="","",$AG13*(13-$AQ13)-(1-$AG13)*(13-$AR13))</f>
        <v>1.2733645</v>
      </c>
      <c r="AV13" s="10" t="n">
        <f aca="false">IF($AT13="","",($AG13*13+(1-$AG13)*$AR13)/$AT13)</f>
        <v>0.529882747427962</v>
      </c>
      <c r="AW13" s="17" t="n">
        <f aca="false">IF($Y13="","",IFERROR((SUMIFS(HLTV_Long!$B$2:$B$395,HLTV_Long!$A$2:$A$395,$A13&amp;"|A|"&amp;$Y13&amp;"|lw")+SUMIFS(HLTV_Long!$B$2:$B$395,HLTV_Long!$A$2:$A$395,$A13&amp;"|B|"&amp;$Y13&amp;"|wl"))/(COUNTIFS(HLTV_Long!$A$2:$A$395,$A13&amp;"|A|"&amp;$Y13&amp;"|lw")+COUNTIFS(HLTV_Long!$A$2:$A$395,$A13&amp;"|B|"&amp;$Y13&amp;"|wl")),IFERROR((SUMIFS(HLTV_Long!$B$2:$B$395,HLTV_Long!$A$2:$A$395,$A13&amp;"|A|"&amp;"ALL"&amp;"|lw")+SUMIFS(HLTV_Long!$B$2:$B$395,HLTV_Long!$A$2:$A$395,$A13&amp;"|B|"&amp;"ALL"&amp;"|wl"))/(COUNTIFS(HLTV_Long!$A$2:$A$395,$A13&amp;"|A|"&amp;"ALL"&amp;"|lw")+COUNTIFS(HLTV_Long!$A$2:$A$395,$A13&amp;"|B|"&amp;"ALL"&amp;"|wl")),"")))</f>
        <v>9</v>
      </c>
      <c r="AX13" s="17" t="n">
        <f aca="false">IF($Y13="","",IFERROR((SUMIFS(HLTV_Long!$B$2:$B$395,HLTV_Long!$A$2:$A$395,$A13&amp;"|B|"&amp;$Y13&amp;"|lw")+SUMIFS(HLTV_Long!$B$2:$B$395,HLTV_Long!$A$2:$A$395,$A13&amp;"|A|"&amp;$Y13&amp;"|wl"))/(COUNTIFS(HLTV_Long!$A$2:$A$395,$A13&amp;"|B|"&amp;$Y13&amp;"|lw")+COUNTIFS(HLTV_Long!$A$2:$A$395,$A13&amp;"|A|"&amp;$Y13&amp;"|wl")),IFERROR((SUMIFS(HLTV_Long!$B$2:$B$395,HLTV_Long!$A$2:$A$395,$A13&amp;"|B|"&amp;"ALL"&amp;"|lw")+SUMIFS(HLTV_Long!$B$2:$B$395,HLTV_Long!$A$2:$A$395,$A13&amp;"|A|"&amp;"ALL"&amp;"|wl"))/(COUNTIFS(HLTV_Long!$A$2:$A$395,$A13&amp;"|B|"&amp;"ALL"&amp;"|lw")+COUNTIFS(HLTV_Long!$A$2:$A$395,$A13&amp;"|A|"&amp;"ALL"&amp;"|wl")),"")))</f>
        <v>6.875</v>
      </c>
      <c r="AY13" s="9" t="n">
        <f aca="false">IF($Y13="","",COUNTIFS(HLTV_Long!$A$2:$A$395,$A13&amp;"|A|"&amp;$Y13&amp;"|lw")+COUNTIFS(HLTV_Long!$A$2:$A$395,$A13&amp;"|B|"&amp;$Y13&amp;"|wl")+COUNTIFS(HLTV_Long!$A$2:$A$395,$A13&amp;"|B|"&amp;$Y13&amp;"|lw")+COUNTIFS(HLTV_Long!$A$2:$A$395,$A13&amp;"|A|"&amp;$Y13&amp;"|wl"))</f>
        <v>4</v>
      </c>
      <c r="AZ13" s="17" t="n">
        <f aca="false">IF(OR($AW13="",$AX13="",$AH13=""),"",13+$AH13*$AW13+(1-$AH13)*$AX13)</f>
        <v>21.065</v>
      </c>
      <c r="BA13" s="17" t="n">
        <f aca="false">IF($AZ13="","",$AH13*(13-$AW13)-(1-$AH13)*(13-$AX13))</f>
        <v>-0.455</v>
      </c>
      <c r="BB13" s="10" t="n">
        <f aca="false">IF($AZ13="","",($AH13*13+(1-$AH13)*$AX13)/$AZ13)</f>
        <v>0.48920009494422</v>
      </c>
    </row>
    <row r="14" customFormat="false" ht="15" hidden="false" customHeight="false" outlineLevel="0" collapsed="false">
      <c r="A14" s="0" t="s">
        <v>1047</v>
      </c>
      <c r="B14" s="0" t="s">
        <v>988</v>
      </c>
      <c r="C14" s="0" t="s">
        <v>1048</v>
      </c>
      <c r="D14" s="0" t="n">
        <v>3</v>
      </c>
      <c r="E14" s="0" t="s">
        <v>636</v>
      </c>
      <c r="F14" s="0" t="s">
        <v>637</v>
      </c>
      <c r="G14" s="10" t="n">
        <v>0.5</v>
      </c>
      <c r="H14" s="10" t="n">
        <v>0.25</v>
      </c>
      <c r="I14" s="10" t="n">
        <v>0.25</v>
      </c>
      <c r="J14" s="10" t="n">
        <v>0.5</v>
      </c>
      <c r="K14" s="9" t="s">
        <v>1049</v>
      </c>
      <c r="L14" s="9" t="s">
        <v>1050</v>
      </c>
      <c r="M14" s="9" t="s">
        <v>1051</v>
      </c>
      <c r="N14" s="9" t="s">
        <v>993</v>
      </c>
      <c r="O14" s="11" t="n">
        <v>21.5</v>
      </c>
      <c r="P14" s="11" t="n">
        <v>21.5</v>
      </c>
      <c r="Q14" s="11" t="n">
        <v>21.5</v>
      </c>
      <c r="R14" s="10" t="n">
        <v>0.159420289855073</v>
      </c>
      <c r="S14" s="11" t="n">
        <v>0</v>
      </c>
      <c r="T14" s="11"/>
      <c r="U14" s="11"/>
      <c r="V14" s="0" t="n">
        <v>229</v>
      </c>
      <c r="W14" s="14" t="s">
        <v>107</v>
      </c>
      <c r="X14" s="14" t="s">
        <v>150</v>
      </c>
      <c r="Y14" s="14" t="s">
        <v>80</v>
      </c>
      <c r="Z14" s="15" t="n">
        <v>21.5</v>
      </c>
      <c r="AA14" s="15" t="n">
        <v>21.5</v>
      </c>
      <c r="AB14" s="15" t="n">
        <v>21.5</v>
      </c>
      <c r="AC14" s="16" t="n">
        <v>0.5</v>
      </c>
      <c r="AD14" s="9" t="s">
        <v>1052</v>
      </c>
      <c r="AE14" s="9" t="s">
        <v>1053</v>
      </c>
      <c r="AF14" s="10" t="n">
        <v>0.5</v>
      </c>
      <c r="AG14" s="10" t="n">
        <v>0.5</v>
      </c>
      <c r="AH14" s="10" t="n">
        <v>0.5</v>
      </c>
      <c r="AI14" s="10" t="n">
        <f aca="false">IFERROR(INDEX(HLTV_Teams!$N$2:$N$29,MATCH($A14&amp;"|A",HLTV_Teams!$A$2:$A$29,0)),"")</f>
        <v>0.478619840141192</v>
      </c>
      <c r="AJ14" s="10" t="n">
        <f aca="false">IFERROR(INDEX(HLTV_Teams!$N$2:$N$29,MATCH($A14&amp;"|B",HLTV_Teams!$A$2:$A$29,0)),"")</f>
        <v>0.501596314233229</v>
      </c>
      <c r="AK14" s="17" t="n">
        <f aca="false">IF($W14="","",IFERROR((SUMIFS(HLTV_Long!$B$2:$B$395,HLTV_Long!$A$2:$A$395,$A14&amp;"|A|"&amp;$W14&amp;"|lw")+SUMIFS(HLTV_Long!$B$2:$B$395,HLTV_Long!$A$2:$A$395,$A14&amp;"|B|"&amp;$W14&amp;"|wl"))/(COUNTIFS(HLTV_Long!$A$2:$A$395,$A14&amp;"|A|"&amp;$W14&amp;"|lw")+COUNTIFS(HLTV_Long!$A$2:$A$395,$A14&amp;"|B|"&amp;$W14&amp;"|wl")),IFERROR((SUMIFS(HLTV_Long!$B$2:$B$395,HLTV_Long!$A$2:$A$395,$A14&amp;"|A|"&amp;"ALL"&amp;"|lw")+SUMIFS(HLTV_Long!$B$2:$B$395,HLTV_Long!$A$2:$A$395,$A14&amp;"|B|"&amp;"ALL"&amp;"|wl"))/(COUNTIFS(HLTV_Long!$A$2:$A$395,$A14&amp;"|A|"&amp;"ALL"&amp;"|lw")+COUNTIFS(HLTV_Long!$A$2:$A$395,$A14&amp;"|B|"&amp;"ALL"&amp;"|wl")),"")))</f>
        <v>10.165</v>
      </c>
      <c r="AL14" s="17" t="n">
        <f aca="false">IF($W14="","",IFERROR((SUMIFS(HLTV_Long!$B$2:$B$395,HLTV_Long!$A$2:$A$395,$A14&amp;"|B|"&amp;$W14&amp;"|lw")+SUMIFS(HLTV_Long!$B$2:$B$395,HLTV_Long!$A$2:$A$395,$A14&amp;"|A|"&amp;$W14&amp;"|wl"))/(COUNTIFS(HLTV_Long!$A$2:$A$395,$A14&amp;"|B|"&amp;$W14&amp;"|lw")+COUNTIFS(HLTV_Long!$A$2:$A$395,$A14&amp;"|A|"&amp;$W14&amp;"|wl")),IFERROR((SUMIFS(HLTV_Long!$B$2:$B$395,HLTV_Long!$A$2:$A$395,$A14&amp;"|B|"&amp;"ALL"&amp;"|lw")+SUMIFS(HLTV_Long!$B$2:$B$395,HLTV_Long!$A$2:$A$395,$A14&amp;"|A|"&amp;"ALL"&amp;"|wl"))/(COUNTIFS(HLTV_Long!$A$2:$A$395,$A14&amp;"|B|"&amp;"ALL"&amp;"|lw")+COUNTIFS(HLTV_Long!$A$2:$A$395,$A14&amp;"|A|"&amp;"ALL"&amp;"|wl")),"")))</f>
        <v>9.335</v>
      </c>
      <c r="AM14" s="9" t="n">
        <f aca="false">IF($W14="","",COUNTIFS(HLTV_Long!$A$2:$A$395,$A14&amp;"|A|"&amp;$W14&amp;"|lw")+COUNTIFS(HLTV_Long!$A$2:$A$395,$A14&amp;"|B|"&amp;$W14&amp;"|wl")+COUNTIFS(HLTV_Long!$A$2:$A$395,$A14&amp;"|B|"&amp;$W14&amp;"|lw")+COUNTIFS(HLTV_Long!$A$2:$A$395,$A14&amp;"|A|"&amp;$W14&amp;"|wl"))</f>
        <v>4</v>
      </c>
      <c r="AN14" s="17" t="n">
        <f aca="false">IF(OR($AK14="",$AL14="",$AF14=""),"",13+$AF14*$AK14+(1-$AF14)*$AL14)</f>
        <v>22.75</v>
      </c>
      <c r="AO14" s="17" t="n">
        <f aca="false">IF($AN14="","",$AF14*(13-$AK14)-(1-$AF14)*(13-$AL14))</f>
        <v>-0.414999999999999</v>
      </c>
      <c r="AP14" s="10" t="n">
        <f aca="false">IF($AN14="","",($AF14*13+(1-$AF14)*$AL14)/$AN14)</f>
        <v>0.490879120879121</v>
      </c>
      <c r="AQ14" s="17" t="n">
        <f aca="false">IF($X14="","",IFERROR((SUMIFS(HLTV_Long!$B$2:$B$395,HLTV_Long!$A$2:$A$395,$A14&amp;"|A|"&amp;$X14&amp;"|lw")+SUMIFS(HLTV_Long!$B$2:$B$395,HLTV_Long!$A$2:$A$395,$A14&amp;"|B|"&amp;$X14&amp;"|wl"))/(COUNTIFS(HLTV_Long!$A$2:$A$395,$A14&amp;"|A|"&amp;$X14&amp;"|lw")+COUNTIFS(HLTV_Long!$A$2:$A$395,$A14&amp;"|B|"&amp;$X14&amp;"|wl")),IFERROR((SUMIFS(HLTV_Long!$B$2:$B$395,HLTV_Long!$A$2:$A$395,$A14&amp;"|A|"&amp;"ALL"&amp;"|lw")+SUMIFS(HLTV_Long!$B$2:$B$395,HLTV_Long!$A$2:$A$395,$A14&amp;"|B|"&amp;"ALL"&amp;"|wl"))/(COUNTIFS(HLTV_Long!$A$2:$A$395,$A14&amp;"|A|"&amp;"ALL"&amp;"|lw")+COUNTIFS(HLTV_Long!$A$2:$A$395,$A14&amp;"|B|"&amp;"ALL"&amp;"|wl")),"")))</f>
        <v>8.835</v>
      </c>
      <c r="AR14" s="17" t="n">
        <f aca="false">IF($X14="","",IFERROR((SUMIFS(HLTV_Long!$B$2:$B$395,HLTV_Long!$A$2:$A$395,$A14&amp;"|B|"&amp;$X14&amp;"|lw")+SUMIFS(HLTV_Long!$B$2:$B$395,HLTV_Long!$A$2:$A$395,$A14&amp;"|A|"&amp;$X14&amp;"|wl"))/(COUNTIFS(HLTV_Long!$A$2:$A$395,$A14&amp;"|B|"&amp;$X14&amp;"|lw")+COUNTIFS(HLTV_Long!$A$2:$A$395,$A14&amp;"|A|"&amp;$X14&amp;"|wl")),IFERROR((SUMIFS(HLTV_Long!$B$2:$B$395,HLTV_Long!$A$2:$A$395,$A14&amp;"|B|"&amp;"ALL"&amp;"|lw")+SUMIFS(HLTV_Long!$B$2:$B$395,HLTV_Long!$A$2:$A$395,$A14&amp;"|A|"&amp;"ALL"&amp;"|wl"))/(COUNTIFS(HLTV_Long!$A$2:$A$395,$A14&amp;"|B|"&amp;"ALL"&amp;"|lw")+COUNTIFS(HLTV_Long!$A$2:$A$395,$A14&amp;"|A|"&amp;"ALL"&amp;"|wl")),"")))</f>
        <v>8.275</v>
      </c>
      <c r="AS14" s="9" t="n">
        <f aca="false">IF($X14="","",COUNTIFS(HLTV_Long!$A$2:$A$395,$A14&amp;"|A|"&amp;$X14&amp;"|lw")+COUNTIFS(HLTV_Long!$A$2:$A$395,$A14&amp;"|B|"&amp;$X14&amp;"|wl")+COUNTIFS(HLTV_Long!$A$2:$A$395,$A14&amp;"|B|"&amp;$X14&amp;"|lw")+COUNTIFS(HLTV_Long!$A$2:$A$395,$A14&amp;"|A|"&amp;$X14&amp;"|wl"))</f>
        <v>4</v>
      </c>
      <c r="AT14" s="17" t="n">
        <f aca="false">IF(OR($AQ14="",$AR14="",$AG14=""),"",13+$AG14*$AQ14+(1-$AG14)*$AR14)</f>
        <v>21.555</v>
      </c>
      <c r="AU14" s="17" t="n">
        <f aca="false">IF($AT14="","",$AG14*(13-$AQ14)-(1-$AG14)*(13-$AR14))</f>
        <v>-0.28</v>
      </c>
      <c r="AV14" s="10" t="n">
        <f aca="false">IF($AT14="","",($AG14*13+(1-$AG14)*$AR14)/$AT14)</f>
        <v>0.493504987241939</v>
      </c>
      <c r="AW14" s="17" t="n">
        <f aca="false">IF($Y14="","",IFERROR((SUMIFS(HLTV_Long!$B$2:$B$395,HLTV_Long!$A$2:$A$395,$A14&amp;"|A|"&amp;$Y14&amp;"|lw")+SUMIFS(HLTV_Long!$B$2:$B$395,HLTV_Long!$A$2:$A$395,$A14&amp;"|B|"&amp;$Y14&amp;"|wl"))/(COUNTIFS(HLTV_Long!$A$2:$A$395,$A14&amp;"|A|"&amp;$Y14&amp;"|lw")+COUNTIFS(HLTV_Long!$A$2:$A$395,$A14&amp;"|B|"&amp;$Y14&amp;"|wl")),IFERROR((SUMIFS(HLTV_Long!$B$2:$B$395,HLTV_Long!$A$2:$A$395,$A14&amp;"|A|"&amp;"ALL"&amp;"|lw")+SUMIFS(HLTV_Long!$B$2:$B$395,HLTV_Long!$A$2:$A$395,$A14&amp;"|B|"&amp;"ALL"&amp;"|wl"))/(COUNTIFS(HLTV_Long!$A$2:$A$395,$A14&amp;"|A|"&amp;"ALL"&amp;"|lw")+COUNTIFS(HLTV_Long!$A$2:$A$395,$A14&amp;"|B|"&amp;"ALL"&amp;"|wl")),"")))</f>
        <v>7.835</v>
      </c>
      <c r="AX14" s="17" t="n">
        <f aca="false">IF($Y14="","",IFERROR((SUMIFS(HLTV_Long!$B$2:$B$395,HLTV_Long!$A$2:$A$395,$A14&amp;"|B|"&amp;$Y14&amp;"|lw")+SUMIFS(HLTV_Long!$B$2:$B$395,HLTV_Long!$A$2:$A$395,$A14&amp;"|A|"&amp;$Y14&amp;"|wl"))/(COUNTIFS(HLTV_Long!$A$2:$A$395,$A14&amp;"|B|"&amp;$Y14&amp;"|lw")+COUNTIFS(HLTV_Long!$A$2:$A$395,$A14&amp;"|A|"&amp;$Y14&amp;"|wl")),IFERROR((SUMIFS(HLTV_Long!$B$2:$B$395,HLTV_Long!$A$2:$A$395,$A14&amp;"|B|"&amp;"ALL"&amp;"|lw")+SUMIFS(HLTV_Long!$B$2:$B$395,HLTV_Long!$A$2:$A$395,$A14&amp;"|A|"&amp;"ALL"&amp;"|wl"))/(COUNTIFS(HLTV_Long!$A$2:$A$395,$A14&amp;"|B|"&amp;"ALL"&amp;"|lw")+COUNTIFS(HLTV_Long!$A$2:$A$395,$A14&amp;"|A|"&amp;"ALL"&amp;"|wl")),"")))</f>
        <v>7.275</v>
      </c>
      <c r="AY14" s="9" t="n">
        <f aca="false">IF($Y14="","",COUNTIFS(HLTV_Long!$A$2:$A$395,$A14&amp;"|A|"&amp;$Y14&amp;"|lw")+COUNTIFS(HLTV_Long!$A$2:$A$395,$A14&amp;"|B|"&amp;$Y14&amp;"|wl")+COUNTIFS(HLTV_Long!$A$2:$A$395,$A14&amp;"|B|"&amp;$Y14&amp;"|lw")+COUNTIFS(HLTV_Long!$A$2:$A$395,$A14&amp;"|A|"&amp;$Y14&amp;"|wl"))</f>
        <v>4</v>
      </c>
      <c r="AZ14" s="17" t="n">
        <f aca="false">IF(OR($AW14="",$AX14="",$AH14=""),"",13+$AH14*$AW14+(1-$AH14)*$AX14)</f>
        <v>20.555</v>
      </c>
      <c r="BA14" s="17" t="n">
        <f aca="false">IF($AZ14="","",$AH14*(13-$AW14)-(1-$AH14)*(13-$AX14))</f>
        <v>-0.28</v>
      </c>
      <c r="BB14" s="10" t="n">
        <f aca="false">IF($AZ14="","",($AH14*13+(1-$AH14)*$AX14)/$AZ14)</f>
        <v>0.493189005108246</v>
      </c>
    </row>
    <row r="15" customFormat="false" ht="15" hidden="false" customHeight="false" outlineLevel="0" collapsed="false">
      <c r="A15" s="0" t="s">
        <v>1054</v>
      </c>
      <c r="B15" s="0" t="s">
        <v>988</v>
      </c>
      <c r="C15" s="0" t="s">
        <v>1055</v>
      </c>
      <c r="D15" s="0" t="n">
        <v>3</v>
      </c>
      <c r="E15" s="0" t="s">
        <v>736</v>
      </c>
      <c r="F15" s="0" t="s">
        <v>737</v>
      </c>
      <c r="G15" s="10" t="n">
        <v>0.711111111111111</v>
      </c>
      <c r="H15" s="10" t="n">
        <v>0.403637375893106</v>
      </c>
      <c r="I15" s="10" t="n">
        <v>0.134545791964369</v>
      </c>
      <c r="J15" s="10" t="n">
        <v>0.461816832142526</v>
      </c>
      <c r="K15" s="9" t="s">
        <v>1056</v>
      </c>
      <c r="L15" s="9" t="s">
        <v>998</v>
      </c>
      <c r="M15" s="9" t="s">
        <v>1057</v>
      </c>
      <c r="N15" s="9" t="s">
        <v>993</v>
      </c>
      <c r="O15" s="11" t="n">
        <v>21.3585329341317</v>
      </c>
      <c r="P15" s="11" t="n">
        <v>21.1145374449339</v>
      </c>
      <c r="Q15" s="11" t="n">
        <v>21.2222836095764</v>
      </c>
      <c r="R15" s="10" t="n">
        <v>0.146341463414634</v>
      </c>
      <c r="S15" s="11" t="n">
        <v>2.73972602739726</v>
      </c>
      <c r="T15" s="11"/>
      <c r="U15" s="11" t="n">
        <v>10.7141216991963</v>
      </c>
      <c r="V15" s="0" t="n">
        <v>357</v>
      </c>
      <c r="W15" s="14" t="s">
        <v>150</v>
      </c>
      <c r="X15" s="14" t="s">
        <v>121</v>
      </c>
      <c r="Y15" s="14" t="s">
        <v>131</v>
      </c>
      <c r="Z15" s="15" t="n">
        <v>21.36</v>
      </c>
      <c r="AA15" s="15" t="n">
        <v>21.11</v>
      </c>
      <c r="AB15" s="15" t="n">
        <v>21.22</v>
      </c>
      <c r="AC15" s="16" t="n">
        <v>0.4618</v>
      </c>
      <c r="AD15" s="9" t="s">
        <v>1058</v>
      </c>
      <c r="AE15" s="9" t="s">
        <v>1059</v>
      </c>
      <c r="AF15" s="10" t="n">
        <v>0.6154</v>
      </c>
      <c r="AG15" s="10" t="n">
        <v>0.6699</v>
      </c>
      <c r="AH15" s="10" t="n">
        <v>0.6553</v>
      </c>
      <c r="AI15" s="10" t="n">
        <f aca="false">IFERROR(INDEX(HLTV_Teams!$N$2:$N$29,MATCH($A15&amp;"|A",HLTV_Teams!$A$2:$A$29,0)),"")</f>
        <v>0.504513649480324</v>
      </c>
      <c r="AJ15" s="10" t="n">
        <f aca="false">IFERROR(INDEX(HLTV_Teams!$N$2:$N$29,MATCH($A15&amp;"|B",HLTV_Teams!$A$2:$A$29,0)),"")</f>
        <v>0.514414731407475</v>
      </c>
      <c r="AK15" s="17" t="n">
        <f aca="false">IF($W15="","",IFERROR((SUMIFS(HLTV_Long!$B$2:$B$395,HLTV_Long!$A$2:$A$395,$A15&amp;"|A|"&amp;$W15&amp;"|lw")+SUMIFS(HLTV_Long!$B$2:$B$395,HLTV_Long!$A$2:$A$395,$A15&amp;"|B|"&amp;$W15&amp;"|wl"))/(COUNTIFS(HLTV_Long!$A$2:$A$395,$A15&amp;"|A|"&amp;$W15&amp;"|lw")+COUNTIFS(HLTV_Long!$A$2:$A$395,$A15&amp;"|B|"&amp;$W15&amp;"|wl")),IFERROR((SUMIFS(HLTV_Long!$B$2:$B$395,HLTV_Long!$A$2:$A$395,$A15&amp;"|A|"&amp;"ALL"&amp;"|lw")+SUMIFS(HLTV_Long!$B$2:$B$395,HLTV_Long!$A$2:$A$395,$A15&amp;"|B|"&amp;"ALL"&amp;"|wl"))/(COUNTIFS(HLTV_Long!$A$2:$A$395,$A15&amp;"|A|"&amp;"ALL"&amp;"|lw")+COUNTIFS(HLTV_Long!$A$2:$A$395,$A15&amp;"|B|"&amp;"ALL"&amp;"|wl")),"")))</f>
        <v>9.87</v>
      </c>
      <c r="AL15" s="17" t="n">
        <f aca="false">IF($W15="","",IFERROR((SUMIFS(HLTV_Long!$B$2:$B$395,HLTV_Long!$A$2:$A$395,$A15&amp;"|B|"&amp;$W15&amp;"|lw")+SUMIFS(HLTV_Long!$B$2:$B$395,HLTV_Long!$A$2:$A$395,$A15&amp;"|A|"&amp;$W15&amp;"|wl"))/(COUNTIFS(HLTV_Long!$A$2:$A$395,$A15&amp;"|B|"&amp;$W15&amp;"|lw")+COUNTIFS(HLTV_Long!$A$2:$A$395,$A15&amp;"|A|"&amp;$W15&amp;"|wl")),IFERROR((SUMIFS(HLTV_Long!$B$2:$B$395,HLTV_Long!$A$2:$A$395,$A15&amp;"|B|"&amp;"ALL"&amp;"|lw")+SUMIFS(HLTV_Long!$B$2:$B$395,HLTV_Long!$A$2:$A$395,$A15&amp;"|A|"&amp;"ALL"&amp;"|wl"))/(COUNTIFS(HLTV_Long!$A$2:$A$395,$A15&amp;"|B|"&amp;"ALL"&amp;"|lw")+COUNTIFS(HLTV_Long!$A$2:$A$395,$A15&amp;"|A|"&amp;"ALL"&amp;"|wl")),"")))</f>
        <v>8.925</v>
      </c>
      <c r="AM15" s="9" t="n">
        <f aca="false">IF($W15="","",COUNTIFS(HLTV_Long!$A$2:$A$395,$A15&amp;"|A|"&amp;$W15&amp;"|lw")+COUNTIFS(HLTV_Long!$A$2:$A$395,$A15&amp;"|B|"&amp;$W15&amp;"|wl")+COUNTIFS(HLTV_Long!$A$2:$A$395,$A15&amp;"|B|"&amp;$W15&amp;"|lw")+COUNTIFS(HLTV_Long!$A$2:$A$395,$A15&amp;"|A|"&amp;$W15&amp;"|wl"))</f>
        <v>4</v>
      </c>
      <c r="AN15" s="17" t="n">
        <f aca="false">IF(OR($AK15="",$AL15="",$AF15=""),"",13+$AF15*$AK15+(1-$AF15)*$AL15)</f>
        <v>22.506553</v>
      </c>
      <c r="AO15" s="17" t="n">
        <f aca="false">IF($AN15="","",$AF15*(13-$AK15)-(1-$AF15)*(13-$AL15))</f>
        <v>0.358956999999999</v>
      </c>
      <c r="AP15" s="10" t="n">
        <f aca="false">IF($AN15="","",($AF15*13+(1-$AF15)*$AL15)/$AN15)</f>
        <v>0.507974499693489</v>
      </c>
      <c r="AQ15" s="17" t="n">
        <f aca="false">IF($X15="","",IFERROR((SUMIFS(HLTV_Long!$B$2:$B$395,HLTV_Long!$A$2:$A$395,$A15&amp;"|A|"&amp;$X15&amp;"|lw")+SUMIFS(HLTV_Long!$B$2:$B$395,HLTV_Long!$A$2:$A$395,$A15&amp;"|B|"&amp;$X15&amp;"|wl"))/(COUNTIFS(HLTV_Long!$A$2:$A$395,$A15&amp;"|A|"&amp;$X15&amp;"|lw")+COUNTIFS(HLTV_Long!$A$2:$A$395,$A15&amp;"|B|"&amp;$X15&amp;"|wl")),IFERROR((SUMIFS(HLTV_Long!$B$2:$B$395,HLTV_Long!$A$2:$A$395,$A15&amp;"|A|"&amp;"ALL"&amp;"|lw")+SUMIFS(HLTV_Long!$B$2:$B$395,HLTV_Long!$A$2:$A$395,$A15&amp;"|B|"&amp;"ALL"&amp;"|wl"))/(COUNTIFS(HLTV_Long!$A$2:$A$395,$A15&amp;"|A|"&amp;"ALL"&amp;"|lw")+COUNTIFS(HLTV_Long!$A$2:$A$395,$A15&amp;"|B|"&amp;"ALL"&amp;"|wl")),"")))</f>
        <v>8.05</v>
      </c>
      <c r="AR15" s="17" t="n">
        <f aca="false">IF($X15="","",IFERROR((SUMIFS(HLTV_Long!$B$2:$B$395,HLTV_Long!$A$2:$A$395,$A15&amp;"|B|"&amp;$X15&amp;"|lw")+SUMIFS(HLTV_Long!$B$2:$B$395,HLTV_Long!$A$2:$A$395,$A15&amp;"|A|"&amp;$X15&amp;"|wl"))/(COUNTIFS(HLTV_Long!$A$2:$A$395,$A15&amp;"|B|"&amp;$X15&amp;"|lw")+COUNTIFS(HLTV_Long!$A$2:$A$395,$A15&amp;"|A|"&amp;$X15&amp;"|wl")),IFERROR((SUMIFS(HLTV_Long!$B$2:$B$395,HLTV_Long!$A$2:$A$395,$A15&amp;"|B|"&amp;"ALL"&amp;"|lw")+SUMIFS(HLTV_Long!$B$2:$B$395,HLTV_Long!$A$2:$A$395,$A15&amp;"|A|"&amp;"ALL"&amp;"|wl"))/(COUNTIFS(HLTV_Long!$A$2:$A$395,$A15&amp;"|B|"&amp;"ALL"&amp;"|lw")+COUNTIFS(HLTV_Long!$A$2:$A$395,$A15&amp;"|A|"&amp;"ALL"&amp;"|wl")),"")))</f>
        <v>11.335</v>
      </c>
      <c r="AS15" s="9" t="n">
        <f aca="false">IF($X15="","",COUNTIFS(HLTV_Long!$A$2:$A$395,$A15&amp;"|A|"&amp;$X15&amp;"|lw")+COUNTIFS(HLTV_Long!$A$2:$A$395,$A15&amp;"|B|"&amp;$X15&amp;"|wl")+COUNTIFS(HLTV_Long!$A$2:$A$395,$A15&amp;"|B|"&amp;$X15&amp;"|lw")+COUNTIFS(HLTV_Long!$A$2:$A$395,$A15&amp;"|A|"&amp;$X15&amp;"|wl"))</f>
        <v>4</v>
      </c>
      <c r="AT15" s="17" t="n">
        <f aca="false">IF(OR($AQ15="",$AR15="",$AG15=""),"",13+$AG15*$AQ15+(1-$AG15)*$AR15)</f>
        <v>22.1343785</v>
      </c>
      <c r="AU15" s="17" t="n">
        <f aca="false">IF($AT15="","",$AG15*(13-$AQ15)-(1-$AG15)*(13-$AR15))</f>
        <v>2.7663885</v>
      </c>
      <c r="AV15" s="10" t="n">
        <f aca="false">IF($AT15="","",($AG15*13+(1-$AG15)*$AR15)/$AT15)</f>
        <v>0.562490765213941</v>
      </c>
      <c r="AW15" s="17" t="n">
        <f aca="false">IF($Y15="","",IFERROR((SUMIFS(HLTV_Long!$B$2:$B$395,HLTV_Long!$A$2:$A$395,$A15&amp;"|A|"&amp;$Y15&amp;"|lw")+SUMIFS(HLTV_Long!$B$2:$B$395,HLTV_Long!$A$2:$A$395,$A15&amp;"|B|"&amp;$Y15&amp;"|wl"))/(COUNTIFS(HLTV_Long!$A$2:$A$395,$A15&amp;"|A|"&amp;$Y15&amp;"|lw")+COUNTIFS(HLTV_Long!$A$2:$A$395,$A15&amp;"|B|"&amp;$Y15&amp;"|wl")),IFERROR((SUMIFS(HLTV_Long!$B$2:$B$395,HLTV_Long!$A$2:$A$395,$A15&amp;"|A|"&amp;"ALL"&amp;"|lw")+SUMIFS(HLTV_Long!$B$2:$B$395,HLTV_Long!$A$2:$A$395,$A15&amp;"|B|"&amp;"ALL"&amp;"|wl"))/(COUNTIFS(HLTV_Long!$A$2:$A$395,$A15&amp;"|A|"&amp;"ALL"&amp;"|lw")+COUNTIFS(HLTV_Long!$A$2:$A$395,$A15&amp;"|B|"&amp;"ALL"&amp;"|wl")),"")))</f>
        <v>9</v>
      </c>
      <c r="AX15" s="17" t="n">
        <f aca="false">IF($Y15="","",IFERROR((SUMIFS(HLTV_Long!$B$2:$B$395,HLTV_Long!$A$2:$A$395,$A15&amp;"|B|"&amp;$Y15&amp;"|lw")+SUMIFS(HLTV_Long!$B$2:$B$395,HLTV_Long!$A$2:$A$395,$A15&amp;"|A|"&amp;$Y15&amp;"|wl"))/(COUNTIFS(HLTV_Long!$A$2:$A$395,$A15&amp;"|B|"&amp;$Y15&amp;"|lw")+COUNTIFS(HLTV_Long!$A$2:$A$395,$A15&amp;"|A|"&amp;$Y15&amp;"|wl")),IFERROR((SUMIFS(HLTV_Long!$B$2:$B$395,HLTV_Long!$A$2:$A$395,$A15&amp;"|B|"&amp;"ALL"&amp;"|lw")+SUMIFS(HLTV_Long!$B$2:$B$395,HLTV_Long!$A$2:$A$395,$A15&amp;"|A|"&amp;"ALL"&amp;"|wl"))/(COUNTIFS(HLTV_Long!$A$2:$A$395,$A15&amp;"|B|"&amp;"ALL"&amp;"|lw")+COUNTIFS(HLTV_Long!$A$2:$A$395,$A15&amp;"|A|"&amp;"ALL"&amp;"|wl")),"")))</f>
        <v>5.5</v>
      </c>
      <c r="AY15" s="9" t="n">
        <f aca="false">IF($Y15="","",COUNTIFS(HLTV_Long!$A$2:$A$395,$A15&amp;"|A|"&amp;$Y15&amp;"|lw")+COUNTIFS(HLTV_Long!$A$2:$A$395,$A15&amp;"|B|"&amp;$Y15&amp;"|wl")+COUNTIFS(HLTV_Long!$A$2:$A$395,$A15&amp;"|B|"&amp;$Y15&amp;"|lw")+COUNTIFS(HLTV_Long!$A$2:$A$395,$A15&amp;"|A|"&amp;$Y15&amp;"|wl"))</f>
        <v>4</v>
      </c>
      <c r="AZ15" s="17" t="n">
        <f aca="false">IF(OR($AW15="",$AX15="",$AH15=""),"",13+$AH15*$AW15+(1-$AH15)*$AX15)</f>
        <v>20.79355</v>
      </c>
      <c r="BA15" s="17" t="n">
        <f aca="false">IF($AZ15="","",$AH15*(13-$AW15)-(1-$AH15)*(13-$AX15))</f>
        <v>0.0359499999999997</v>
      </c>
      <c r="BB15" s="10" t="n">
        <f aca="false">IF($AZ15="","",($AH15*13+(1-$AH15)*$AX15)/$AZ15)</f>
        <v>0.500864450755162</v>
      </c>
    </row>
    <row r="16" customFormat="false" ht="15" hidden="false" customHeight="false" outlineLevel="0" collapsed="false">
      <c r="A16" s="0" t="s">
        <v>1060</v>
      </c>
      <c r="B16" s="0" t="s">
        <v>988</v>
      </c>
      <c r="C16" s="0" t="s">
        <v>1055</v>
      </c>
      <c r="D16" s="0" t="n">
        <v>3</v>
      </c>
      <c r="E16" s="0" t="s">
        <v>688</v>
      </c>
      <c r="F16" s="0" t="s">
        <v>689</v>
      </c>
      <c r="G16" s="10" t="n">
        <v>0.570291777188329</v>
      </c>
      <c r="H16" s="10" t="n">
        <v>0.292086634185046</v>
      </c>
      <c r="I16" s="10" t="n">
        <v>0.211762809784158</v>
      </c>
      <c r="J16" s="10" t="n">
        <v>0.496150556030796</v>
      </c>
      <c r="K16" s="9" t="s">
        <v>1061</v>
      </c>
      <c r="L16" s="9" t="s">
        <v>1062</v>
      </c>
      <c r="M16" s="9" t="s">
        <v>1063</v>
      </c>
      <c r="N16" s="9" t="s">
        <v>993</v>
      </c>
      <c r="O16" s="11" t="n">
        <v>21.5</v>
      </c>
      <c r="P16" s="11" t="n">
        <v>21.4231536926148</v>
      </c>
      <c r="Q16" s="11" t="n">
        <v>21.5</v>
      </c>
      <c r="R16" s="10" t="n">
        <v>0.159420289855073</v>
      </c>
      <c r="S16" s="11" t="n">
        <v>0.404170090386196</v>
      </c>
      <c r="T16" s="11"/>
      <c r="U16" s="11"/>
      <c r="V16" s="0" t="n">
        <v>365</v>
      </c>
      <c r="W16" s="14" t="s">
        <v>150</v>
      </c>
      <c r="X16" s="14" t="s">
        <v>142</v>
      </c>
      <c r="Y16" s="14" t="s">
        <v>80</v>
      </c>
      <c r="Z16" s="15" t="n">
        <v>21.5</v>
      </c>
      <c r="AA16" s="15" t="n">
        <v>21.42</v>
      </c>
      <c r="AB16" s="15" t="n">
        <v>21.5</v>
      </c>
      <c r="AC16" s="16" t="n">
        <v>0.4962</v>
      </c>
      <c r="AD16" s="9" t="s">
        <v>1064</v>
      </c>
      <c r="AE16" s="9" t="s">
        <v>1065</v>
      </c>
      <c r="AF16" s="10" t="n">
        <v>0.5081</v>
      </c>
      <c r="AG16" s="10" t="n">
        <v>0.582</v>
      </c>
      <c r="AH16" s="10" t="n">
        <v>0.5496</v>
      </c>
      <c r="AI16" s="10" t="n">
        <f aca="false">IFERROR(INDEX(HLTV_Teams!$N$2:$N$29,MATCH($A16&amp;"|A",HLTV_Teams!$A$2:$A$29,0)),"")</f>
        <v>0.53076856540748</v>
      </c>
      <c r="AJ16" s="10" t="n">
        <f aca="false">IFERROR(INDEX(HLTV_Teams!$N$2:$N$29,MATCH($A16&amp;"|B",HLTV_Teams!$A$2:$A$29,0)),"")</f>
        <v>0.478322619225594</v>
      </c>
      <c r="AK16" s="17" t="n">
        <f aca="false">IF($W16="","",IFERROR((SUMIFS(HLTV_Long!$B$2:$B$395,HLTV_Long!$A$2:$A$395,$A16&amp;"|A|"&amp;$W16&amp;"|lw")+SUMIFS(HLTV_Long!$B$2:$B$395,HLTV_Long!$A$2:$A$395,$A16&amp;"|B|"&amp;$W16&amp;"|wl"))/(COUNTIFS(HLTV_Long!$A$2:$A$395,$A16&amp;"|A|"&amp;$W16&amp;"|lw")+COUNTIFS(HLTV_Long!$A$2:$A$395,$A16&amp;"|B|"&amp;$W16&amp;"|wl")),IFERROR((SUMIFS(HLTV_Long!$B$2:$B$395,HLTV_Long!$A$2:$A$395,$A16&amp;"|A|"&amp;"ALL"&amp;"|lw")+SUMIFS(HLTV_Long!$B$2:$B$395,HLTV_Long!$A$2:$A$395,$A16&amp;"|B|"&amp;"ALL"&amp;"|wl"))/(COUNTIFS(HLTV_Long!$A$2:$A$395,$A16&amp;"|A|"&amp;"ALL"&amp;"|lw")+COUNTIFS(HLTV_Long!$A$2:$A$395,$A16&amp;"|B|"&amp;"ALL"&amp;"|wl")),"")))</f>
        <v>7.165</v>
      </c>
      <c r="AL16" s="17" t="n">
        <f aca="false">IF($W16="","",IFERROR((SUMIFS(HLTV_Long!$B$2:$B$395,HLTV_Long!$A$2:$A$395,$A16&amp;"|B|"&amp;$W16&amp;"|lw")+SUMIFS(HLTV_Long!$B$2:$B$395,HLTV_Long!$A$2:$A$395,$A16&amp;"|A|"&amp;$W16&amp;"|wl"))/(COUNTIFS(HLTV_Long!$A$2:$A$395,$A16&amp;"|B|"&amp;$W16&amp;"|lw")+COUNTIFS(HLTV_Long!$A$2:$A$395,$A16&amp;"|A|"&amp;$W16&amp;"|wl")),IFERROR((SUMIFS(HLTV_Long!$B$2:$B$395,HLTV_Long!$A$2:$A$395,$A16&amp;"|B|"&amp;"ALL"&amp;"|lw")+SUMIFS(HLTV_Long!$B$2:$B$395,HLTV_Long!$A$2:$A$395,$A16&amp;"|A|"&amp;"ALL"&amp;"|wl"))/(COUNTIFS(HLTV_Long!$A$2:$A$395,$A16&amp;"|B|"&amp;"ALL"&amp;"|lw")+COUNTIFS(HLTV_Long!$A$2:$A$395,$A16&amp;"|A|"&amp;"ALL"&amp;"|wl")),"")))</f>
        <v>9.75</v>
      </c>
      <c r="AM16" s="9" t="n">
        <f aca="false">IF($W16="","",COUNTIFS(HLTV_Long!$A$2:$A$395,$A16&amp;"|A|"&amp;$W16&amp;"|lw")+COUNTIFS(HLTV_Long!$A$2:$A$395,$A16&amp;"|B|"&amp;$W16&amp;"|wl")+COUNTIFS(HLTV_Long!$A$2:$A$395,$A16&amp;"|B|"&amp;$W16&amp;"|lw")+COUNTIFS(HLTV_Long!$A$2:$A$395,$A16&amp;"|A|"&amp;$W16&amp;"|wl"))</f>
        <v>4</v>
      </c>
      <c r="AN16" s="17" t="n">
        <f aca="false">IF(OR($AK16="",$AL16="",$AF16=""),"",13+$AF16*$AK16+(1-$AF16)*$AL16)</f>
        <v>21.4365615</v>
      </c>
      <c r="AO16" s="17" t="n">
        <f aca="false">IF($AN16="","",$AF16*(13-$AK16)-(1-$AF16)*(13-$AL16))</f>
        <v>1.3660885</v>
      </c>
      <c r="AP16" s="10" t="n">
        <f aca="false">IF($AN16="","",($AF16*13+(1-$AF16)*$AL16)/$AN16)</f>
        <v>0.531863517383607</v>
      </c>
      <c r="AQ16" s="17" t="n">
        <f aca="false">IF($X16="","",IFERROR((SUMIFS(HLTV_Long!$B$2:$B$395,HLTV_Long!$A$2:$A$395,$A16&amp;"|A|"&amp;$X16&amp;"|lw")+SUMIFS(HLTV_Long!$B$2:$B$395,HLTV_Long!$A$2:$A$395,$A16&amp;"|B|"&amp;$X16&amp;"|wl"))/(COUNTIFS(HLTV_Long!$A$2:$A$395,$A16&amp;"|A|"&amp;$X16&amp;"|lw")+COUNTIFS(HLTV_Long!$A$2:$A$395,$A16&amp;"|B|"&amp;$X16&amp;"|wl")),IFERROR((SUMIFS(HLTV_Long!$B$2:$B$395,HLTV_Long!$A$2:$A$395,$A16&amp;"|A|"&amp;"ALL"&amp;"|lw")+SUMIFS(HLTV_Long!$B$2:$B$395,HLTV_Long!$A$2:$A$395,$A16&amp;"|B|"&amp;"ALL"&amp;"|wl"))/(COUNTIFS(HLTV_Long!$A$2:$A$395,$A16&amp;"|A|"&amp;"ALL"&amp;"|lw")+COUNTIFS(HLTV_Long!$A$2:$A$395,$A16&amp;"|B|"&amp;"ALL"&amp;"|wl")),"")))</f>
        <v>8.265</v>
      </c>
      <c r="AR16" s="17" t="n">
        <f aca="false">IF($X16="","",IFERROR((SUMIFS(HLTV_Long!$B$2:$B$395,HLTV_Long!$A$2:$A$395,$A16&amp;"|B|"&amp;$X16&amp;"|lw")+SUMIFS(HLTV_Long!$B$2:$B$395,HLTV_Long!$A$2:$A$395,$A16&amp;"|A|"&amp;$X16&amp;"|wl"))/(COUNTIFS(HLTV_Long!$A$2:$A$395,$A16&amp;"|B|"&amp;$X16&amp;"|lw")+COUNTIFS(HLTV_Long!$A$2:$A$395,$A16&amp;"|A|"&amp;$X16&amp;"|wl")),IFERROR((SUMIFS(HLTV_Long!$B$2:$B$395,HLTV_Long!$A$2:$A$395,$A16&amp;"|B|"&amp;"ALL"&amp;"|lw")+SUMIFS(HLTV_Long!$B$2:$B$395,HLTV_Long!$A$2:$A$395,$A16&amp;"|A|"&amp;"ALL"&amp;"|wl"))/(COUNTIFS(HLTV_Long!$A$2:$A$395,$A16&amp;"|B|"&amp;"ALL"&amp;"|lw")+COUNTIFS(HLTV_Long!$A$2:$A$395,$A16&amp;"|A|"&amp;"ALL"&amp;"|wl")),"")))</f>
        <v>7.085</v>
      </c>
      <c r="AS16" s="9" t="n">
        <f aca="false">IF($X16="","",COUNTIFS(HLTV_Long!$A$2:$A$395,$A16&amp;"|A|"&amp;$X16&amp;"|lw")+COUNTIFS(HLTV_Long!$A$2:$A$395,$A16&amp;"|B|"&amp;$X16&amp;"|wl")+COUNTIFS(HLTV_Long!$A$2:$A$395,$A16&amp;"|B|"&amp;$X16&amp;"|lw")+COUNTIFS(HLTV_Long!$A$2:$A$395,$A16&amp;"|A|"&amp;$X16&amp;"|wl"))</f>
        <v>4</v>
      </c>
      <c r="AT16" s="17" t="n">
        <f aca="false">IF(OR($AQ16="",$AR16="",$AG16=""),"",13+$AG16*$AQ16+(1-$AG16)*$AR16)</f>
        <v>20.77176</v>
      </c>
      <c r="AU16" s="17" t="n">
        <f aca="false">IF($AT16="","",$AG16*(13-$AQ16)-(1-$AG16)*(13-$AR16))</f>
        <v>0.283299999999999</v>
      </c>
      <c r="AV16" s="10" t="n">
        <f aca="false">IF($AT16="","",($AG16*13+(1-$AG16)*$AR16)/$AT16)</f>
        <v>0.506819354739319</v>
      </c>
      <c r="AW16" s="17" t="n">
        <f aca="false">IF($Y16="","",IFERROR((SUMIFS(HLTV_Long!$B$2:$B$395,HLTV_Long!$A$2:$A$395,$A16&amp;"|A|"&amp;$Y16&amp;"|lw")+SUMIFS(HLTV_Long!$B$2:$B$395,HLTV_Long!$A$2:$A$395,$A16&amp;"|B|"&amp;$Y16&amp;"|wl"))/(COUNTIFS(HLTV_Long!$A$2:$A$395,$A16&amp;"|A|"&amp;$Y16&amp;"|lw")+COUNTIFS(HLTV_Long!$A$2:$A$395,$A16&amp;"|B|"&amp;$Y16&amp;"|wl")),IFERROR((SUMIFS(HLTV_Long!$B$2:$B$395,HLTV_Long!$A$2:$A$395,$A16&amp;"|A|"&amp;"ALL"&amp;"|lw")+SUMIFS(HLTV_Long!$B$2:$B$395,HLTV_Long!$A$2:$A$395,$A16&amp;"|B|"&amp;"ALL"&amp;"|wl"))/(COUNTIFS(HLTV_Long!$A$2:$A$395,$A16&amp;"|A|"&amp;"ALL"&amp;"|lw")+COUNTIFS(HLTV_Long!$A$2:$A$395,$A16&amp;"|B|"&amp;"ALL"&amp;"|wl")),"")))</f>
        <v>7.43</v>
      </c>
      <c r="AX16" s="17" t="n">
        <f aca="false">IF($Y16="","",IFERROR((SUMIFS(HLTV_Long!$B$2:$B$395,HLTV_Long!$A$2:$A$395,$A16&amp;"|B|"&amp;$Y16&amp;"|lw")+SUMIFS(HLTV_Long!$B$2:$B$395,HLTV_Long!$A$2:$A$395,$A16&amp;"|A|"&amp;$Y16&amp;"|wl"))/(COUNTIFS(HLTV_Long!$A$2:$A$395,$A16&amp;"|B|"&amp;$Y16&amp;"|lw")+COUNTIFS(HLTV_Long!$A$2:$A$395,$A16&amp;"|A|"&amp;$Y16&amp;"|wl")),IFERROR((SUMIFS(HLTV_Long!$B$2:$B$395,HLTV_Long!$A$2:$A$395,$A16&amp;"|B|"&amp;"ALL"&amp;"|lw")+SUMIFS(HLTV_Long!$B$2:$B$395,HLTV_Long!$A$2:$A$395,$A16&amp;"|A|"&amp;"ALL"&amp;"|wl"))/(COUNTIFS(HLTV_Long!$A$2:$A$395,$A16&amp;"|B|"&amp;"ALL"&amp;"|lw")+COUNTIFS(HLTV_Long!$A$2:$A$395,$A16&amp;"|A|"&amp;"ALL"&amp;"|wl")),"")))</f>
        <v>9.25</v>
      </c>
      <c r="AY16" s="9" t="n">
        <f aca="false">IF($Y16="","",COUNTIFS(HLTV_Long!$A$2:$A$395,$A16&amp;"|A|"&amp;$Y16&amp;"|lw")+COUNTIFS(HLTV_Long!$A$2:$A$395,$A16&amp;"|B|"&amp;$Y16&amp;"|wl")+COUNTIFS(HLTV_Long!$A$2:$A$395,$A16&amp;"|B|"&amp;$Y16&amp;"|lw")+COUNTIFS(HLTV_Long!$A$2:$A$395,$A16&amp;"|A|"&amp;$Y16&amp;"|wl"))</f>
        <v>4</v>
      </c>
      <c r="AZ16" s="17" t="n">
        <f aca="false">IF(OR($AW16="",$AX16="",$AH16=""),"",13+$AH16*$AW16+(1-$AH16)*$AX16)</f>
        <v>21.249728</v>
      </c>
      <c r="BA16" s="17" t="n">
        <f aca="false">IF($AZ16="","",$AH16*(13-$AW16)-(1-$AH16)*(13-$AX16))</f>
        <v>1.372272</v>
      </c>
      <c r="BB16" s="10" t="n">
        <f aca="false">IF($AZ16="","",($AH16*13+(1-$AH16)*$AX16)/$AZ16)</f>
        <v>0.532289166242504</v>
      </c>
    </row>
    <row r="17" customFormat="false" ht="15" hidden="false" customHeight="false" outlineLevel="0" collapsed="false">
      <c r="A17" s="0" t="s">
        <v>1066</v>
      </c>
      <c r="B17" s="0" t="s">
        <v>988</v>
      </c>
      <c r="C17" s="0" t="s">
        <v>1067</v>
      </c>
      <c r="D17" s="0" t="n">
        <v>3</v>
      </c>
      <c r="E17" s="0" t="s">
        <v>821</v>
      </c>
      <c r="F17" s="0" t="s">
        <v>822</v>
      </c>
      <c r="G17" s="10" t="n">
        <v>0.518918918918919</v>
      </c>
      <c r="H17" s="10" t="n">
        <v>0.26645501587381</v>
      </c>
      <c r="I17" s="10" t="n">
        <v>0.224383171262155</v>
      </c>
      <c r="J17" s="10" t="n">
        <v>0.509161812864035</v>
      </c>
      <c r="K17" s="9" t="s">
        <v>1068</v>
      </c>
      <c r="L17" s="9" t="s">
        <v>1069</v>
      </c>
      <c r="M17" s="9" t="s">
        <v>1057</v>
      </c>
      <c r="N17" s="9" t="s">
        <v>993</v>
      </c>
      <c r="O17" s="11" t="n">
        <v>21.5</v>
      </c>
      <c r="P17" s="11" t="n">
        <v>21.5</v>
      </c>
      <c r="Q17" s="11" t="n">
        <v>21.5</v>
      </c>
      <c r="R17" s="10" t="n">
        <v>0.159420289855073</v>
      </c>
      <c r="S17" s="11" t="n">
        <v>-0.706118665018541</v>
      </c>
      <c r="T17" s="11"/>
      <c r="U17" s="11"/>
      <c r="V17" s="0" t="n">
        <v>223</v>
      </c>
      <c r="W17" s="14" t="s">
        <v>107</v>
      </c>
      <c r="X17" s="14" t="s">
        <v>150</v>
      </c>
      <c r="Y17" s="14" t="s">
        <v>131</v>
      </c>
      <c r="Z17" s="15" t="n">
        <v>21.5</v>
      </c>
      <c r="AA17" s="15" t="n">
        <v>21.5</v>
      </c>
      <c r="AB17" s="15" t="n">
        <v>21.5</v>
      </c>
      <c r="AC17" s="16" t="n">
        <v>0.5092</v>
      </c>
      <c r="AD17" s="9" t="s">
        <v>1070</v>
      </c>
      <c r="AE17" s="9" t="s">
        <v>1071</v>
      </c>
      <c r="AF17" s="10" t="n">
        <v>0.4865</v>
      </c>
      <c r="AG17" s="10" t="n">
        <v>0.56</v>
      </c>
      <c r="AH17" s="10" t="n">
        <v>0.5081</v>
      </c>
      <c r="AI17" s="10" t="n">
        <f aca="false">IFERROR(INDEX(HLTV_Teams!$N$2:$N$29,MATCH($A17&amp;"|A",HLTV_Teams!$A$2:$A$29,0)),"")</f>
        <v>0.491784309187688</v>
      </c>
      <c r="AJ17" s="10" t="n">
        <f aca="false">IFERROR(INDEX(HLTV_Teams!$N$2:$N$29,MATCH($A17&amp;"|B",HLTV_Teams!$A$2:$A$29,0)),"")</f>
        <v>0.495313339453627</v>
      </c>
      <c r="AK17" s="17" t="n">
        <f aca="false">IF($W17="","",IFERROR((SUMIFS(HLTV_Long!$B$2:$B$395,HLTV_Long!$A$2:$A$395,$A17&amp;"|A|"&amp;$W17&amp;"|lw")+SUMIFS(HLTV_Long!$B$2:$B$395,HLTV_Long!$A$2:$A$395,$A17&amp;"|B|"&amp;$W17&amp;"|wl"))/(COUNTIFS(HLTV_Long!$A$2:$A$395,$A17&amp;"|A|"&amp;$W17&amp;"|lw")+COUNTIFS(HLTV_Long!$A$2:$A$395,$A17&amp;"|B|"&amp;$W17&amp;"|wl")),IFERROR((SUMIFS(HLTV_Long!$B$2:$B$395,HLTV_Long!$A$2:$A$395,$A17&amp;"|A|"&amp;"ALL"&amp;"|lw")+SUMIFS(HLTV_Long!$B$2:$B$395,HLTV_Long!$A$2:$A$395,$A17&amp;"|B|"&amp;"ALL"&amp;"|wl"))/(COUNTIFS(HLTV_Long!$A$2:$A$395,$A17&amp;"|A|"&amp;"ALL"&amp;"|lw")+COUNTIFS(HLTV_Long!$A$2:$A$395,$A17&amp;"|B|"&amp;"ALL"&amp;"|wl")),"")))</f>
        <v>9.305</v>
      </c>
      <c r="AL17" s="17" t="n">
        <f aca="false">IF($W17="","",IFERROR((SUMIFS(HLTV_Long!$B$2:$B$395,HLTV_Long!$A$2:$A$395,$A17&amp;"|B|"&amp;$W17&amp;"|lw")+SUMIFS(HLTV_Long!$B$2:$B$395,HLTV_Long!$A$2:$A$395,$A17&amp;"|A|"&amp;$W17&amp;"|wl"))/(COUNTIFS(HLTV_Long!$A$2:$A$395,$A17&amp;"|B|"&amp;$W17&amp;"|lw")+COUNTIFS(HLTV_Long!$A$2:$A$395,$A17&amp;"|A|"&amp;$W17&amp;"|wl")),IFERROR((SUMIFS(HLTV_Long!$B$2:$B$395,HLTV_Long!$A$2:$A$395,$A17&amp;"|B|"&amp;"ALL"&amp;"|lw")+SUMIFS(HLTV_Long!$B$2:$B$395,HLTV_Long!$A$2:$A$395,$A17&amp;"|A|"&amp;"ALL"&amp;"|wl"))/(COUNTIFS(HLTV_Long!$A$2:$A$395,$A17&amp;"|B|"&amp;"ALL"&amp;"|lw")+COUNTIFS(HLTV_Long!$A$2:$A$395,$A17&amp;"|A|"&amp;"ALL"&amp;"|wl")),"")))</f>
        <v>8.665</v>
      </c>
      <c r="AM17" s="9" t="n">
        <f aca="false">IF($W17="","",COUNTIFS(HLTV_Long!$A$2:$A$395,$A17&amp;"|A|"&amp;$W17&amp;"|lw")+COUNTIFS(HLTV_Long!$A$2:$A$395,$A17&amp;"|B|"&amp;$W17&amp;"|wl")+COUNTIFS(HLTV_Long!$A$2:$A$395,$A17&amp;"|B|"&amp;$W17&amp;"|lw")+COUNTIFS(HLTV_Long!$A$2:$A$395,$A17&amp;"|A|"&amp;$W17&amp;"|wl"))</f>
        <v>4</v>
      </c>
      <c r="AN17" s="17" t="n">
        <f aca="false">IF(OR($AK17="",$AL17="",$AF17=""),"",13+$AF17*$AK17+(1-$AF17)*$AL17)</f>
        <v>21.97636</v>
      </c>
      <c r="AO17" s="17" t="n">
        <f aca="false">IF($AN17="","",$AF17*(13-$AK17)-(1-$AF17)*(13-$AL17))</f>
        <v>-0.428405000000001</v>
      </c>
      <c r="AP17" s="10" t="n">
        <f aca="false">IF($AN17="","",($AF17*13+(1-$AF17)*$AL17)/$AN17)</f>
        <v>0.490253049185579</v>
      </c>
      <c r="AQ17" s="17" t="n">
        <f aca="false">IF($X17="","",IFERROR((SUMIFS(HLTV_Long!$B$2:$B$395,HLTV_Long!$A$2:$A$395,$A17&amp;"|A|"&amp;$X17&amp;"|lw")+SUMIFS(HLTV_Long!$B$2:$B$395,HLTV_Long!$A$2:$A$395,$A17&amp;"|B|"&amp;$X17&amp;"|wl"))/(COUNTIFS(HLTV_Long!$A$2:$A$395,$A17&amp;"|A|"&amp;$X17&amp;"|lw")+COUNTIFS(HLTV_Long!$A$2:$A$395,$A17&amp;"|B|"&amp;$X17&amp;"|wl")),IFERROR((SUMIFS(HLTV_Long!$B$2:$B$395,HLTV_Long!$A$2:$A$395,$A17&amp;"|A|"&amp;"ALL"&amp;"|lw")+SUMIFS(HLTV_Long!$B$2:$B$395,HLTV_Long!$A$2:$A$395,$A17&amp;"|B|"&amp;"ALL"&amp;"|wl"))/(COUNTIFS(HLTV_Long!$A$2:$A$395,$A17&amp;"|A|"&amp;"ALL"&amp;"|lw")+COUNTIFS(HLTV_Long!$A$2:$A$395,$A17&amp;"|B|"&amp;"ALL"&amp;"|wl")),"")))</f>
        <v>8.1</v>
      </c>
      <c r="AR17" s="17" t="n">
        <f aca="false">IF($X17="","",IFERROR((SUMIFS(HLTV_Long!$B$2:$B$395,HLTV_Long!$A$2:$A$395,$A17&amp;"|B|"&amp;$X17&amp;"|lw")+SUMIFS(HLTV_Long!$B$2:$B$395,HLTV_Long!$A$2:$A$395,$A17&amp;"|A|"&amp;$X17&amp;"|wl"))/(COUNTIFS(HLTV_Long!$A$2:$A$395,$A17&amp;"|B|"&amp;$X17&amp;"|lw")+COUNTIFS(HLTV_Long!$A$2:$A$395,$A17&amp;"|A|"&amp;$X17&amp;"|wl")),IFERROR((SUMIFS(HLTV_Long!$B$2:$B$395,HLTV_Long!$A$2:$A$395,$A17&amp;"|B|"&amp;"ALL"&amp;"|lw")+SUMIFS(HLTV_Long!$B$2:$B$395,HLTV_Long!$A$2:$A$395,$A17&amp;"|A|"&amp;"ALL"&amp;"|wl"))/(COUNTIFS(HLTV_Long!$A$2:$A$395,$A17&amp;"|B|"&amp;"ALL"&amp;"|lw")+COUNTIFS(HLTV_Long!$A$2:$A$395,$A17&amp;"|A|"&amp;"ALL"&amp;"|wl")),"")))</f>
        <v>8.53</v>
      </c>
      <c r="AS17" s="9" t="n">
        <f aca="false">IF($X17="","",COUNTIFS(HLTV_Long!$A$2:$A$395,$A17&amp;"|A|"&amp;$X17&amp;"|lw")+COUNTIFS(HLTV_Long!$A$2:$A$395,$A17&amp;"|B|"&amp;$X17&amp;"|wl")+COUNTIFS(HLTV_Long!$A$2:$A$395,$A17&amp;"|B|"&amp;$X17&amp;"|lw")+COUNTIFS(HLTV_Long!$A$2:$A$395,$A17&amp;"|A|"&amp;$X17&amp;"|wl"))</f>
        <v>4</v>
      </c>
      <c r="AT17" s="17" t="n">
        <f aca="false">IF(OR($AQ17="",$AR17="",$AG17=""),"",13+$AG17*$AQ17+(1-$AG17)*$AR17)</f>
        <v>21.2892</v>
      </c>
      <c r="AU17" s="17" t="n">
        <f aca="false">IF($AT17="","",$AG17*(13-$AQ17)-(1-$AG17)*(13-$AR17))</f>
        <v>0.777199999999999</v>
      </c>
      <c r="AV17" s="10" t="n">
        <f aca="false">IF($AT17="","",($AG17*13+(1-$AG17)*$AR17)/$AT17)</f>
        <v>0.518253386693723</v>
      </c>
      <c r="AW17" s="17" t="n">
        <f aca="false">IF($Y17="","",IFERROR((SUMIFS(HLTV_Long!$B$2:$B$395,HLTV_Long!$A$2:$A$395,$A17&amp;"|A|"&amp;$Y17&amp;"|lw")+SUMIFS(HLTV_Long!$B$2:$B$395,HLTV_Long!$A$2:$A$395,$A17&amp;"|B|"&amp;$Y17&amp;"|wl"))/(COUNTIFS(HLTV_Long!$A$2:$A$395,$A17&amp;"|A|"&amp;$Y17&amp;"|lw")+COUNTIFS(HLTV_Long!$A$2:$A$395,$A17&amp;"|B|"&amp;$Y17&amp;"|wl")),IFERROR((SUMIFS(HLTV_Long!$B$2:$B$395,HLTV_Long!$A$2:$A$395,$A17&amp;"|A|"&amp;"ALL"&amp;"|lw")+SUMIFS(HLTV_Long!$B$2:$B$395,HLTV_Long!$A$2:$A$395,$A17&amp;"|B|"&amp;"ALL"&amp;"|wl"))/(COUNTIFS(HLTV_Long!$A$2:$A$395,$A17&amp;"|A|"&amp;"ALL"&amp;"|lw")+COUNTIFS(HLTV_Long!$A$2:$A$395,$A17&amp;"|B|"&amp;"ALL"&amp;"|wl")),"")))</f>
        <v>7.7</v>
      </c>
      <c r="AX17" s="17" t="n">
        <f aca="false">IF($Y17="","",IFERROR((SUMIFS(HLTV_Long!$B$2:$B$395,HLTV_Long!$A$2:$A$395,$A17&amp;"|B|"&amp;$Y17&amp;"|lw")+SUMIFS(HLTV_Long!$B$2:$B$395,HLTV_Long!$A$2:$A$395,$A17&amp;"|A|"&amp;$Y17&amp;"|wl"))/(COUNTIFS(HLTV_Long!$A$2:$A$395,$A17&amp;"|B|"&amp;$Y17&amp;"|lw")+COUNTIFS(HLTV_Long!$A$2:$A$395,$A17&amp;"|A|"&amp;$Y17&amp;"|wl")),IFERROR((SUMIFS(HLTV_Long!$B$2:$B$395,HLTV_Long!$A$2:$A$395,$A17&amp;"|B|"&amp;"ALL"&amp;"|lw")+SUMIFS(HLTV_Long!$B$2:$B$395,HLTV_Long!$A$2:$A$395,$A17&amp;"|A|"&amp;"ALL"&amp;"|wl"))/(COUNTIFS(HLTV_Long!$A$2:$A$395,$A17&amp;"|B|"&amp;"ALL"&amp;"|lw")+COUNTIFS(HLTV_Long!$A$2:$A$395,$A17&amp;"|A|"&amp;"ALL"&amp;"|wl")),"")))</f>
        <v>10.335</v>
      </c>
      <c r="AY17" s="9" t="n">
        <f aca="false">IF($Y17="","",COUNTIFS(HLTV_Long!$A$2:$A$395,$A17&amp;"|A|"&amp;$Y17&amp;"|lw")+COUNTIFS(HLTV_Long!$A$2:$A$395,$A17&amp;"|B|"&amp;$Y17&amp;"|wl")+COUNTIFS(HLTV_Long!$A$2:$A$395,$A17&amp;"|B|"&amp;$Y17&amp;"|lw")+COUNTIFS(HLTV_Long!$A$2:$A$395,$A17&amp;"|A|"&amp;$Y17&amp;"|wl"))</f>
        <v>4</v>
      </c>
      <c r="AZ17" s="17" t="n">
        <f aca="false">IF(OR($AW17="",$AX17="",$AH17=""),"",13+$AH17*$AW17+(1-$AH17)*$AX17)</f>
        <v>21.9961565</v>
      </c>
      <c r="BA17" s="17" t="n">
        <f aca="false">IF($AZ17="","",$AH17*(13-$AW17)-(1-$AH17)*(13-$AX17))</f>
        <v>1.3820165</v>
      </c>
      <c r="BB17" s="10" t="n">
        <f aca="false">IF($AZ17="","",($AH17*13+(1-$AH17)*$AX17)/$AZ17)</f>
        <v>0.531414954244393</v>
      </c>
    </row>
    <row r="18" customFormat="false" ht="15" hidden="false" customHeight="false" outlineLevel="0" collapsed="false">
      <c r="A18" s="0" t="s">
        <v>1072</v>
      </c>
      <c r="B18" s="0" t="s">
        <v>988</v>
      </c>
      <c r="C18" s="0" t="s">
        <v>1067</v>
      </c>
      <c r="D18" s="0" t="n">
        <v>3</v>
      </c>
      <c r="E18" s="0" t="s">
        <v>774</v>
      </c>
      <c r="F18" s="0" t="s">
        <v>775</v>
      </c>
      <c r="G18" s="10" t="n">
        <v>0.56</v>
      </c>
      <c r="H18" s="10"/>
      <c r="I18" s="10"/>
      <c r="J18" s="10"/>
      <c r="K18" s="9" t="s">
        <v>1073</v>
      </c>
      <c r="L18" s="9" t="s">
        <v>1074</v>
      </c>
      <c r="M18" s="9" t="s">
        <v>1075</v>
      </c>
      <c r="N18" s="9" t="s">
        <v>993</v>
      </c>
      <c r="O18" s="11"/>
      <c r="P18" s="11"/>
      <c r="Q18" s="11"/>
      <c r="R18" s="10"/>
      <c r="S18" s="11"/>
      <c r="T18" s="11"/>
      <c r="U18" s="11"/>
      <c r="V18" s="0" t="n">
        <v>7</v>
      </c>
      <c r="W18" s="14" t="s">
        <v>107</v>
      </c>
      <c r="X18" s="14" t="s">
        <v>80</v>
      </c>
      <c r="Y18" s="14" t="s">
        <v>94</v>
      </c>
      <c r="Z18" s="15" t="n">
        <f aca="false">Config!$B$7</f>
        <v>21.5</v>
      </c>
      <c r="AA18" s="15" t="n">
        <f aca="false">Config!$B$7</f>
        <v>21.5</v>
      </c>
      <c r="AB18" s="15" t="n">
        <f aca="false">Config!$B$7</f>
        <v>21.5</v>
      </c>
      <c r="AC18" s="16" t="n">
        <v>0</v>
      </c>
      <c r="AD18" s="9" t="s">
        <v>1076</v>
      </c>
      <c r="AE18" s="9" t="s">
        <v>1077</v>
      </c>
      <c r="AF18" s="10" t="n">
        <v>0.5496</v>
      </c>
      <c r="AG18" s="10" t="n">
        <v>0.5496</v>
      </c>
      <c r="AH18" s="10" t="n">
        <v>0.5189</v>
      </c>
      <c r="AI18" s="10" t="n">
        <f aca="false">IFERROR(INDEX(HLTV_Teams!$N$2:$N$29,MATCH($A18&amp;"|A",HLTV_Teams!$A$2:$A$29,0)),"")</f>
        <v>0.558100830010278</v>
      </c>
      <c r="AJ18" s="10" t="n">
        <f aca="false">IFERROR(INDEX(HLTV_Teams!$N$2:$N$29,MATCH($A18&amp;"|B",HLTV_Teams!$A$2:$A$29,0)),"")</f>
        <v>0.519824047227715</v>
      </c>
      <c r="AK18" s="17" t="n">
        <f aca="false">IF($W18="","",IFERROR((SUMIFS(HLTV_Long!$B$2:$B$395,HLTV_Long!$A$2:$A$395,$A18&amp;"|A|"&amp;$W18&amp;"|lw")+SUMIFS(HLTV_Long!$B$2:$B$395,HLTV_Long!$A$2:$A$395,$A18&amp;"|B|"&amp;$W18&amp;"|wl"))/(COUNTIFS(HLTV_Long!$A$2:$A$395,$A18&amp;"|A|"&amp;$W18&amp;"|lw")+COUNTIFS(HLTV_Long!$A$2:$A$395,$A18&amp;"|B|"&amp;$W18&amp;"|wl")),IFERROR((SUMIFS(HLTV_Long!$B$2:$B$395,HLTV_Long!$A$2:$A$395,$A18&amp;"|A|"&amp;"ALL"&amp;"|lw")+SUMIFS(HLTV_Long!$B$2:$B$395,HLTV_Long!$A$2:$A$395,$A18&amp;"|B|"&amp;"ALL"&amp;"|wl"))/(COUNTIFS(HLTV_Long!$A$2:$A$395,$A18&amp;"|A|"&amp;"ALL"&amp;"|lw")+COUNTIFS(HLTV_Long!$A$2:$A$395,$A18&amp;"|B|"&amp;"ALL"&amp;"|wl")),"")))</f>
        <v>8.36</v>
      </c>
      <c r="AL18" s="17" t="n">
        <f aca="false">IF($W18="","",IFERROR((SUMIFS(HLTV_Long!$B$2:$B$395,HLTV_Long!$A$2:$A$395,$A18&amp;"|B|"&amp;$W18&amp;"|lw")+SUMIFS(HLTV_Long!$B$2:$B$395,HLTV_Long!$A$2:$A$395,$A18&amp;"|A|"&amp;$W18&amp;"|wl"))/(COUNTIFS(HLTV_Long!$A$2:$A$395,$A18&amp;"|B|"&amp;$W18&amp;"|lw")+COUNTIFS(HLTV_Long!$A$2:$A$395,$A18&amp;"|A|"&amp;$W18&amp;"|wl")),IFERROR((SUMIFS(HLTV_Long!$B$2:$B$395,HLTV_Long!$A$2:$A$395,$A18&amp;"|B|"&amp;"ALL"&amp;"|lw")+SUMIFS(HLTV_Long!$B$2:$B$395,HLTV_Long!$A$2:$A$395,$A18&amp;"|A|"&amp;"ALL"&amp;"|wl"))/(COUNTIFS(HLTV_Long!$A$2:$A$395,$A18&amp;"|B|"&amp;"ALL"&amp;"|lw")+COUNTIFS(HLTV_Long!$A$2:$A$395,$A18&amp;"|A|"&amp;"ALL"&amp;"|wl")),"")))</f>
        <v>8.645</v>
      </c>
      <c r="AM18" s="9" t="n">
        <f aca="false">IF($W18="","",COUNTIFS(HLTV_Long!$A$2:$A$395,$A18&amp;"|A|"&amp;$W18&amp;"|lw")+COUNTIFS(HLTV_Long!$A$2:$A$395,$A18&amp;"|B|"&amp;$W18&amp;"|wl")+COUNTIFS(HLTV_Long!$A$2:$A$395,$A18&amp;"|B|"&amp;$W18&amp;"|lw")+COUNTIFS(HLTV_Long!$A$2:$A$395,$A18&amp;"|A|"&amp;$W18&amp;"|wl"))</f>
        <v>4</v>
      </c>
      <c r="AN18" s="17" t="n">
        <f aca="false">IF(OR($AK18="",$AL18="",$AF18=""),"",13+$AF18*$AK18+(1-$AF18)*$AL18)</f>
        <v>21.488364</v>
      </c>
      <c r="AO18" s="17" t="n">
        <f aca="false">IF($AN18="","",$AF18*(13-$AK18)-(1-$AF18)*(13-$AL18))</f>
        <v>0.588652</v>
      </c>
      <c r="AP18" s="10" t="n">
        <f aca="false">IF($AN18="","",($AF18*13+(1-$AF18)*$AL18)/$AN18)</f>
        <v>0.513696994336097</v>
      </c>
      <c r="AQ18" s="17" t="n">
        <f aca="false">IF($X18="","",IFERROR((SUMIFS(HLTV_Long!$B$2:$B$395,HLTV_Long!$A$2:$A$395,$A18&amp;"|A|"&amp;$X18&amp;"|lw")+SUMIFS(HLTV_Long!$B$2:$B$395,HLTV_Long!$A$2:$A$395,$A18&amp;"|B|"&amp;$X18&amp;"|wl"))/(COUNTIFS(HLTV_Long!$A$2:$A$395,$A18&amp;"|A|"&amp;$X18&amp;"|lw")+COUNTIFS(HLTV_Long!$A$2:$A$395,$A18&amp;"|B|"&amp;$X18&amp;"|wl")),IFERROR((SUMIFS(HLTV_Long!$B$2:$B$395,HLTV_Long!$A$2:$A$395,$A18&amp;"|A|"&amp;"ALL"&amp;"|lw")+SUMIFS(HLTV_Long!$B$2:$B$395,HLTV_Long!$A$2:$A$395,$A18&amp;"|B|"&amp;"ALL"&amp;"|wl"))/(COUNTIFS(HLTV_Long!$A$2:$A$395,$A18&amp;"|A|"&amp;"ALL"&amp;"|lw")+COUNTIFS(HLTV_Long!$A$2:$A$395,$A18&amp;"|B|"&amp;"ALL"&amp;"|wl")),"")))</f>
        <v>7.925</v>
      </c>
      <c r="AR18" s="17" t="n">
        <f aca="false">IF($X18="","",IFERROR((SUMIFS(HLTV_Long!$B$2:$B$395,HLTV_Long!$A$2:$A$395,$A18&amp;"|B|"&amp;$X18&amp;"|lw")+SUMIFS(HLTV_Long!$B$2:$B$395,HLTV_Long!$A$2:$A$395,$A18&amp;"|A|"&amp;$X18&amp;"|wl"))/(COUNTIFS(HLTV_Long!$A$2:$A$395,$A18&amp;"|B|"&amp;$X18&amp;"|lw")+COUNTIFS(HLTV_Long!$A$2:$A$395,$A18&amp;"|A|"&amp;$X18&amp;"|wl")),IFERROR((SUMIFS(HLTV_Long!$B$2:$B$395,HLTV_Long!$A$2:$A$395,$A18&amp;"|B|"&amp;"ALL"&amp;"|lw")+SUMIFS(HLTV_Long!$B$2:$B$395,HLTV_Long!$A$2:$A$395,$A18&amp;"|A|"&amp;"ALL"&amp;"|wl"))/(COUNTIFS(HLTV_Long!$A$2:$A$395,$A18&amp;"|B|"&amp;"ALL"&amp;"|lw")+COUNTIFS(HLTV_Long!$A$2:$A$395,$A18&amp;"|A|"&amp;"ALL"&amp;"|wl")),"")))</f>
        <v>12.48</v>
      </c>
      <c r="AS18" s="9" t="n">
        <f aca="false">IF($X18="","",COUNTIFS(HLTV_Long!$A$2:$A$395,$A18&amp;"|A|"&amp;$X18&amp;"|lw")+COUNTIFS(HLTV_Long!$A$2:$A$395,$A18&amp;"|B|"&amp;$X18&amp;"|wl")+COUNTIFS(HLTV_Long!$A$2:$A$395,$A18&amp;"|B|"&amp;$X18&amp;"|lw")+COUNTIFS(HLTV_Long!$A$2:$A$395,$A18&amp;"|A|"&amp;$X18&amp;"|wl"))</f>
        <v>4</v>
      </c>
      <c r="AT18" s="17" t="n">
        <f aca="false">IF(OR($AQ18="",$AR18="",$AG18=""),"",13+$AG18*$AQ18+(1-$AG18)*$AR18)</f>
        <v>22.976572</v>
      </c>
      <c r="AU18" s="17" t="n">
        <f aca="false">IF($AT18="","",$AG18*(13-$AQ18)-(1-$AG18)*(13-$AR18))</f>
        <v>2.555012</v>
      </c>
      <c r="AV18" s="10" t="n">
        <f aca="false">IF($AT18="","",($AG18*13+(1-$AG18)*$AR18)/$AT18)</f>
        <v>0.555600374155031</v>
      </c>
      <c r="AW18" s="17" t="n">
        <f aca="false">IF($Y18="","",IFERROR((SUMIFS(HLTV_Long!$B$2:$B$395,HLTV_Long!$A$2:$A$395,$A18&amp;"|A|"&amp;$Y18&amp;"|lw")+SUMIFS(HLTV_Long!$B$2:$B$395,HLTV_Long!$A$2:$A$395,$A18&amp;"|B|"&amp;$Y18&amp;"|wl"))/(COUNTIFS(HLTV_Long!$A$2:$A$395,$A18&amp;"|A|"&amp;$Y18&amp;"|lw")+COUNTIFS(HLTV_Long!$A$2:$A$395,$A18&amp;"|B|"&amp;$Y18&amp;"|wl")),IFERROR((SUMIFS(HLTV_Long!$B$2:$B$395,HLTV_Long!$A$2:$A$395,$A18&amp;"|A|"&amp;"ALL"&amp;"|lw")+SUMIFS(HLTV_Long!$B$2:$B$395,HLTV_Long!$A$2:$A$395,$A18&amp;"|B|"&amp;"ALL"&amp;"|wl"))/(COUNTIFS(HLTV_Long!$A$2:$A$395,$A18&amp;"|A|"&amp;"ALL"&amp;"|lw")+COUNTIFS(HLTV_Long!$A$2:$A$395,$A18&amp;"|B|"&amp;"ALL"&amp;"|wl")),"")))</f>
        <v>7.25</v>
      </c>
      <c r="AX18" s="17" t="n">
        <f aca="false">IF($Y18="","",IFERROR((SUMIFS(HLTV_Long!$B$2:$B$395,HLTV_Long!$A$2:$A$395,$A18&amp;"|B|"&amp;$Y18&amp;"|lw")+SUMIFS(HLTV_Long!$B$2:$B$395,HLTV_Long!$A$2:$A$395,$A18&amp;"|A|"&amp;$Y18&amp;"|wl"))/(COUNTIFS(HLTV_Long!$A$2:$A$395,$A18&amp;"|B|"&amp;$Y18&amp;"|lw")+COUNTIFS(HLTV_Long!$A$2:$A$395,$A18&amp;"|A|"&amp;$Y18&amp;"|wl")),IFERROR((SUMIFS(HLTV_Long!$B$2:$B$395,HLTV_Long!$A$2:$A$395,$A18&amp;"|B|"&amp;"ALL"&amp;"|lw")+SUMIFS(HLTV_Long!$B$2:$B$395,HLTV_Long!$A$2:$A$395,$A18&amp;"|A|"&amp;"ALL"&amp;"|wl"))/(COUNTIFS(HLTV_Long!$A$2:$A$395,$A18&amp;"|B|"&amp;"ALL"&amp;"|lw")+COUNTIFS(HLTV_Long!$A$2:$A$395,$A18&amp;"|A|"&amp;"ALL"&amp;"|wl")),"")))</f>
        <v>7.38</v>
      </c>
      <c r="AY18" s="9" t="n">
        <f aca="false">IF($Y18="","",COUNTIFS(HLTV_Long!$A$2:$A$395,$A18&amp;"|A|"&amp;$Y18&amp;"|lw")+COUNTIFS(HLTV_Long!$A$2:$A$395,$A18&amp;"|B|"&amp;$Y18&amp;"|wl")+COUNTIFS(HLTV_Long!$A$2:$A$395,$A18&amp;"|B|"&amp;$Y18&amp;"|lw")+COUNTIFS(HLTV_Long!$A$2:$A$395,$A18&amp;"|A|"&amp;$Y18&amp;"|wl"))</f>
        <v>4</v>
      </c>
      <c r="AZ18" s="17" t="n">
        <f aca="false">IF(OR($AW18="",$AX18="",$AH18=""),"",13+$AH18*$AW18+(1-$AH18)*$AX18)</f>
        <v>20.312543</v>
      </c>
      <c r="BA18" s="17" t="n">
        <f aca="false">IF($AZ18="","",$AH18*(13-$AW18)-(1-$AH18)*(13-$AX18))</f>
        <v>0.279893</v>
      </c>
      <c r="BB18" s="10" t="n">
        <f aca="false">IF($AZ18="","",($AH18*13+(1-$AH18)*$AX18)/$AZ18)</f>
        <v>0.506889659261275</v>
      </c>
    </row>
    <row r="19" customFormat="false" ht="15" hidden="false" customHeight="false" outlineLevel="0" collapsed="false">
      <c r="A19" s="0" t="s">
        <v>1078</v>
      </c>
      <c r="B19" s="0" t="s">
        <v>988</v>
      </c>
      <c r="C19" s="0" t="s">
        <v>1067</v>
      </c>
      <c r="D19" s="0" t="n">
        <v>3</v>
      </c>
      <c r="E19" s="0" t="s">
        <v>861</v>
      </c>
      <c r="F19" s="0" t="s">
        <v>862</v>
      </c>
      <c r="G19" s="10"/>
      <c r="H19" s="10"/>
      <c r="I19" s="10"/>
      <c r="J19" s="10"/>
      <c r="K19" s="9" t="s">
        <v>1079</v>
      </c>
      <c r="L19" s="9" t="s">
        <v>1080</v>
      </c>
      <c r="M19" s="9" t="s">
        <v>1011</v>
      </c>
      <c r="N19" s="9" t="s">
        <v>993</v>
      </c>
      <c r="O19" s="11"/>
      <c r="P19" s="11"/>
      <c r="Q19" s="11"/>
      <c r="R19" s="10"/>
      <c r="S19" s="11"/>
      <c r="T19" s="11"/>
      <c r="U19" s="11"/>
      <c r="V19" s="0" t="n">
        <v>0</v>
      </c>
      <c r="W19" s="14" t="s">
        <v>107</v>
      </c>
      <c r="X19" s="14" t="s">
        <v>131</v>
      </c>
      <c r="Y19" s="14" t="s">
        <v>150</v>
      </c>
      <c r="Z19" s="15" t="n">
        <f aca="false">Config!$B$7</f>
        <v>21.5</v>
      </c>
      <c r="AA19" s="15" t="n">
        <f aca="false">Config!$B$7</f>
        <v>21.5</v>
      </c>
      <c r="AB19" s="15" t="n">
        <f aca="false">Config!$B$7</f>
        <v>21.5</v>
      </c>
      <c r="AC19" s="16" t="n">
        <v>0</v>
      </c>
      <c r="AD19" s="9" t="s">
        <v>1081</v>
      </c>
      <c r="AE19" s="9" t="s">
        <v>1082</v>
      </c>
      <c r="AF19" s="10"/>
      <c r="AG19" s="10"/>
      <c r="AH19" s="10"/>
      <c r="AI19" s="10" t="n">
        <f aca="false">IFERROR(INDEX(HLTV_Teams!$N$2:$N$29,MATCH($A19&amp;"|A",HLTV_Teams!$A$2:$A$29,0)),"")</f>
        <v>0.535025749152271</v>
      </c>
      <c r="AJ19" s="10" t="n">
        <f aca="false">IFERROR(INDEX(HLTV_Teams!$N$2:$N$29,MATCH($A19&amp;"|B",HLTV_Teams!$A$2:$A$29,0)),"")</f>
        <v>0.544551981646814</v>
      </c>
      <c r="AK19" s="17" t="n">
        <f aca="false">IF($W19="","",IFERROR((SUMIFS(HLTV_Long!$B$2:$B$395,HLTV_Long!$A$2:$A$395,$A19&amp;"|A|"&amp;$W19&amp;"|lw")+SUMIFS(HLTV_Long!$B$2:$B$395,HLTV_Long!$A$2:$A$395,$A19&amp;"|B|"&amp;$W19&amp;"|wl"))/(COUNTIFS(HLTV_Long!$A$2:$A$395,$A19&amp;"|A|"&amp;$W19&amp;"|lw")+COUNTIFS(HLTV_Long!$A$2:$A$395,$A19&amp;"|B|"&amp;$W19&amp;"|wl")),IFERROR((SUMIFS(HLTV_Long!$B$2:$B$395,HLTV_Long!$A$2:$A$395,$A19&amp;"|A|"&amp;"ALL"&amp;"|lw")+SUMIFS(HLTV_Long!$B$2:$B$395,HLTV_Long!$A$2:$A$395,$A19&amp;"|B|"&amp;"ALL"&amp;"|wl"))/(COUNTIFS(HLTV_Long!$A$2:$A$395,$A19&amp;"|A|"&amp;"ALL"&amp;"|lw")+COUNTIFS(HLTV_Long!$A$2:$A$395,$A19&amp;"|B|"&amp;"ALL"&amp;"|wl")),"")))</f>
        <v>9.215</v>
      </c>
      <c r="AL19" s="17" t="n">
        <f aca="false">IF($W19="","",IFERROR((SUMIFS(HLTV_Long!$B$2:$B$395,HLTV_Long!$A$2:$A$395,$A19&amp;"|B|"&amp;$W19&amp;"|lw")+SUMIFS(HLTV_Long!$B$2:$B$395,HLTV_Long!$A$2:$A$395,$A19&amp;"|A|"&amp;$W19&amp;"|wl"))/(COUNTIFS(HLTV_Long!$A$2:$A$395,$A19&amp;"|B|"&amp;$W19&amp;"|lw")+COUNTIFS(HLTV_Long!$A$2:$A$395,$A19&amp;"|A|"&amp;$W19&amp;"|wl")),IFERROR((SUMIFS(HLTV_Long!$B$2:$B$395,HLTV_Long!$A$2:$A$395,$A19&amp;"|B|"&amp;"ALL"&amp;"|lw")+SUMIFS(HLTV_Long!$B$2:$B$395,HLTV_Long!$A$2:$A$395,$A19&amp;"|A|"&amp;"ALL"&amp;"|wl"))/(COUNTIFS(HLTV_Long!$A$2:$A$395,$A19&amp;"|B|"&amp;"ALL"&amp;"|lw")+COUNTIFS(HLTV_Long!$A$2:$A$395,$A19&amp;"|A|"&amp;"ALL"&amp;"|wl")),"")))</f>
        <v>9.745</v>
      </c>
      <c r="AM19" s="9" t="n">
        <f aca="false">IF($W19="","",COUNTIFS(HLTV_Long!$A$2:$A$395,$A19&amp;"|A|"&amp;$W19&amp;"|lw")+COUNTIFS(HLTV_Long!$A$2:$A$395,$A19&amp;"|B|"&amp;$W19&amp;"|wl")+COUNTIFS(HLTV_Long!$A$2:$A$395,$A19&amp;"|B|"&amp;$W19&amp;"|lw")+COUNTIFS(HLTV_Long!$A$2:$A$395,$A19&amp;"|A|"&amp;$W19&amp;"|wl"))</f>
        <v>4</v>
      </c>
      <c r="AN19" s="17" t="str">
        <f aca="false">IF(OR($AK19="",$AL19="",$AF19=""),"",13+$AF19*$AK19+(1-$AF19)*$AL19)</f>
        <v/>
      </c>
      <c r="AO19" s="17" t="str">
        <f aca="false">IF($AN19="","",$AF19*(13-$AK19)-(1-$AF19)*(13-$AL19))</f>
        <v/>
      </c>
      <c r="AP19" s="10" t="str">
        <f aca="false">IF($AN19="","",($AF19*13+(1-$AF19)*$AL19)/$AN19)</f>
        <v/>
      </c>
      <c r="AQ19" s="17" t="n">
        <f aca="false">IF($X19="","",IFERROR((SUMIFS(HLTV_Long!$B$2:$B$395,HLTV_Long!$A$2:$A$395,$A19&amp;"|A|"&amp;$X19&amp;"|lw")+SUMIFS(HLTV_Long!$B$2:$B$395,HLTV_Long!$A$2:$A$395,$A19&amp;"|B|"&amp;$X19&amp;"|wl"))/(COUNTIFS(HLTV_Long!$A$2:$A$395,$A19&amp;"|A|"&amp;$X19&amp;"|lw")+COUNTIFS(HLTV_Long!$A$2:$A$395,$A19&amp;"|B|"&amp;$X19&amp;"|wl")),IFERROR((SUMIFS(HLTV_Long!$B$2:$B$395,HLTV_Long!$A$2:$A$395,$A19&amp;"|A|"&amp;"ALL"&amp;"|lw")+SUMIFS(HLTV_Long!$B$2:$B$395,HLTV_Long!$A$2:$A$395,$A19&amp;"|B|"&amp;"ALL"&amp;"|wl"))/(COUNTIFS(HLTV_Long!$A$2:$A$395,$A19&amp;"|A|"&amp;"ALL"&amp;"|lw")+COUNTIFS(HLTV_Long!$A$2:$A$395,$A19&amp;"|B|"&amp;"ALL"&amp;"|wl")),"")))</f>
        <v>7.055</v>
      </c>
      <c r="AR19" s="17" t="n">
        <f aca="false">IF($X19="","",IFERROR((SUMIFS(HLTV_Long!$B$2:$B$395,HLTV_Long!$A$2:$A$395,$A19&amp;"|B|"&amp;$X19&amp;"|lw")+SUMIFS(HLTV_Long!$B$2:$B$395,HLTV_Long!$A$2:$A$395,$A19&amp;"|A|"&amp;$X19&amp;"|wl"))/(COUNTIFS(HLTV_Long!$A$2:$A$395,$A19&amp;"|B|"&amp;$X19&amp;"|lw")+COUNTIFS(HLTV_Long!$A$2:$A$395,$A19&amp;"|A|"&amp;$X19&amp;"|wl")),IFERROR((SUMIFS(HLTV_Long!$B$2:$B$395,HLTV_Long!$A$2:$A$395,$A19&amp;"|B|"&amp;"ALL"&amp;"|lw")+SUMIFS(HLTV_Long!$B$2:$B$395,HLTV_Long!$A$2:$A$395,$A19&amp;"|A|"&amp;"ALL"&amp;"|wl"))/(COUNTIFS(HLTV_Long!$A$2:$A$395,$A19&amp;"|B|"&amp;"ALL"&amp;"|lw")+COUNTIFS(HLTV_Long!$A$2:$A$395,$A19&amp;"|A|"&amp;"ALL"&amp;"|wl")),"")))</f>
        <v>6.91</v>
      </c>
      <c r="AS19" s="9" t="n">
        <f aca="false">IF($X19="","",COUNTIFS(HLTV_Long!$A$2:$A$395,$A19&amp;"|A|"&amp;$X19&amp;"|lw")+COUNTIFS(HLTV_Long!$A$2:$A$395,$A19&amp;"|B|"&amp;$X19&amp;"|wl")+COUNTIFS(HLTV_Long!$A$2:$A$395,$A19&amp;"|B|"&amp;$X19&amp;"|lw")+COUNTIFS(HLTV_Long!$A$2:$A$395,$A19&amp;"|A|"&amp;$X19&amp;"|wl"))</f>
        <v>4</v>
      </c>
      <c r="AT19" s="17" t="str">
        <f aca="false">IF(OR($AQ19="",$AR19="",$AG19=""),"",13+$AG19*$AQ19+(1-$AG19)*$AR19)</f>
        <v/>
      </c>
      <c r="AU19" s="17" t="str">
        <f aca="false">IF($AT19="","",$AG19*(13-$AQ19)-(1-$AG19)*(13-$AR19))</f>
        <v/>
      </c>
      <c r="AV19" s="10" t="str">
        <f aca="false">IF($AT19="","",($AG19*13+(1-$AG19)*$AR19)/$AT19)</f>
        <v/>
      </c>
      <c r="AW19" s="17" t="n">
        <f aca="false">IF($Y19="","",IFERROR((SUMIFS(HLTV_Long!$B$2:$B$395,HLTV_Long!$A$2:$A$395,$A19&amp;"|A|"&amp;$Y19&amp;"|lw")+SUMIFS(HLTV_Long!$B$2:$B$395,HLTV_Long!$A$2:$A$395,$A19&amp;"|B|"&amp;$Y19&amp;"|wl"))/(COUNTIFS(HLTV_Long!$A$2:$A$395,$A19&amp;"|A|"&amp;$Y19&amp;"|lw")+COUNTIFS(HLTV_Long!$A$2:$A$395,$A19&amp;"|B|"&amp;$Y19&amp;"|wl")),IFERROR((SUMIFS(HLTV_Long!$B$2:$B$395,HLTV_Long!$A$2:$A$395,$A19&amp;"|A|"&amp;"ALL"&amp;"|lw")+SUMIFS(HLTV_Long!$B$2:$B$395,HLTV_Long!$A$2:$A$395,$A19&amp;"|B|"&amp;"ALL"&amp;"|wl"))/(COUNTIFS(HLTV_Long!$A$2:$A$395,$A19&amp;"|A|"&amp;"ALL"&amp;"|lw")+COUNTIFS(HLTV_Long!$A$2:$A$395,$A19&amp;"|B|"&amp;"ALL"&amp;"|wl")),"")))</f>
        <v>7.685</v>
      </c>
      <c r="AX19" s="17" t="n">
        <f aca="false">IF($Y19="","",IFERROR((SUMIFS(HLTV_Long!$B$2:$B$395,HLTV_Long!$A$2:$A$395,$A19&amp;"|B|"&amp;$Y19&amp;"|lw")+SUMIFS(HLTV_Long!$B$2:$B$395,HLTV_Long!$A$2:$A$395,$A19&amp;"|A|"&amp;$Y19&amp;"|wl"))/(COUNTIFS(HLTV_Long!$A$2:$A$395,$A19&amp;"|B|"&amp;$Y19&amp;"|lw")+COUNTIFS(HLTV_Long!$A$2:$A$395,$A19&amp;"|A|"&amp;$Y19&amp;"|wl")),IFERROR((SUMIFS(HLTV_Long!$B$2:$B$395,HLTV_Long!$A$2:$A$395,$A19&amp;"|B|"&amp;"ALL"&amp;"|lw")+SUMIFS(HLTV_Long!$B$2:$B$395,HLTV_Long!$A$2:$A$395,$A19&amp;"|A|"&amp;"ALL"&amp;"|wl"))/(COUNTIFS(HLTV_Long!$A$2:$A$395,$A19&amp;"|B|"&amp;"ALL"&amp;"|lw")+COUNTIFS(HLTV_Long!$A$2:$A$395,$A19&amp;"|A|"&amp;"ALL"&amp;"|wl")),"")))</f>
        <v>9.335</v>
      </c>
      <c r="AY19" s="9" t="n">
        <f aca="false">IF($Y19="","",COUNTIFS(HLTV_Long!$A$2:$A$395,$A19&amp;"|A|"&amp;$Y19&amp;"|lw")+COUNTIFS(HLTV_Long!$A$2:$A$395,$A19&amp;"|B|"&amp;$Y19&amp;"|wl")+COUNTIFS(HLTV_Long!$A$2:$A$395,$A19&amp;"|B|"&amp;$Y19&amp;"|lw")+COUNTIFS(HLTV_Long!$A$2:$A$395,$A19&amp;"|A|"&amp;$Y19&amp;"|wl"))</f>
        <v>4</v>
      </c>
      <c r="AZ19" s="17" t="str">
        <f aca="false">IF(OR($AW19="",$AX19="",$AH19=""),"",13+$AH19*$AW19+(1-$AH19)*$AX19)</f>
        <v/>
      </c>
      <c r="BA19" s="17" t="str">
        <f aca="false">IF($AZ19="","",$AH19*(13-$AW19)-(1-$AH19)*(13-$AX19))</f>
        <v/>
      </c>
      <c r="BB19" s="10" t="str">
        <f aca="false">IF($AZ19="","",($AH19*13+(1-$AH19)*$AX19)/$AZ19)</f>
        <v/>
      </c>
    </row>
  </sheetData>
  <dataValidations count="1">
    <dataValidation allowBlank="true" error="Pick a map from the list (Config tab, column E)." errorStyle="stop" errorTitle="Not in the CS2 map pool" operator="between" showDropDown="false" showErrorMessage="true" showInputMessage="false" sqref="W5:Y19" type="list">
      <formula1>Config!$E$4:$E$11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2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7"/>
    <col collapsed="false" customWidth="true" hidden="false" outlineLevel="0" max="8" min="8" style="0" width="6"/>
    <col collapsed="false" customWidth="true" hidden="false" outlineLevel="0" max="10" min="9" style="0" width="8"/>
    <col collapsed="false" customWidth="true" hidden="false" outlineLevel="0" max="11" min="11" style="0" width="7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8"/>
    <col collapsed="false" customWidth="true" hidden="false" outlineLevel="0" max="17" min="15" style="0" width="6"/>
    <col collapsed="false" customWidth="true" hidden="false" outlineLevel="0" max="18" min="18" style="0" width="9"/>
    <col collapsed="false" customWidth="true" hidden="false" outlineLevel="0" max="19" min="19" style="0" width="6"/>
    <col collapsed="false" customWidth="true" hidden="false" outlineLevel="0" max="20" min="20" style="0" width="22"/>
    <col collapsed="false" customWidth="true" hidden="false" outlineLevel="0" max="21" min="21" style="0" width="14"/>
    <col collapsed="false" customWidth="true" hidden="false" outlineLevel="0" max="22" min="22" style="0" width="34"/>
    <col collapsed="false" customWidth="true" hidden="true" outlineLevel="0" max="23" min="23" style="0" width="24"/>
    <col collapsed="false" customWidth="true" hidden="true" outlineLevel="0" max="24" min="24" style="0" width="5"/>
    <col collapsed="false" customWidth="true" hidden="true" outlineLevel="0" max="25" min="25" style="0" width="28"/>
    <col collapsed="false" customWidth="true" hidden="false" outlineLevel="0" max="26" min="26" style="0" width="8"/>
    <col collapsed="false" customWidth="true" hidden="false" outlineLevel="0" max="27" min="27" style="0" width="7"/>
    <col collapsed="false" customWidth="true" hidden="false" outlineLevel="0" max="29" min="28" style="0" width="9"/>
    <col collapsed="false" customWidth="true" hidden="false" outlineLevel="0" max="30" min="30" style="0" width="10"/>
    <col collapsed="false" customWidth="true" hidden="false" outlineLevel="0" max="31" min="31" style="0" width="8"/>
  </cols>
  <sheetData>
    <row r="1" customFormat="false" ht="55.2" hidden="false" customHeight="false" outlineLevel="0" collapsed="false">
      <c r="A1" s="12" t="s">
        <v>951</v>
      </c>
      <c r="B1" s="12" t="s">
        <v>950</v>
      </c>
      <c r="C1" s="12" t="s">
        <v>926</v>
      </c>
      <c r="D1" s="12" t="s">
        <v>925</v>
      </c>
      <c r="E1" s="12" t="s">
        <v>1083</v>
      </c>
      <c r="F1" s="12" t="s">
        <v>1084</v>
      </c>
      <c r="G1" s="12" t="s">
        <v>1085</v>
      </c>
      <c r="H1" s="12" t="s">
        <v>1086</v>
      </c>
      <c r="I1" s="12" t="s">
        <v>935</v>
      </c>
      <c r="J1" s="12" t="s">
        <v>1087</v>
      </c>
      <c r="K1" s="12" t="s">
        <v>1088</v>
      </c>
      <c r="L1" s="12" t="s">
        <v>1089</v>
      </c>
      <c r="M1" s="12" t="s">
        <v>1090</v>
      </c>
      <c r="N1" s="12" t="s">
        <v>1091</v>
      </c>
      <c r="O1" s="12" t="s">
        <v>1092</v>
      </c>
      <c r="P1" s="12" t="s">
        <v>938</v>
      </c>
      <c r="Q1" s="12" t="s">
        <v>1093</v>
      </c>
      <c r="R1" s="12" t="s">
        <v>1094</v>
      </c>
      <c r="S1" s="12" t="s">
        <v>1095</v>
      </c>
      <c r="T1" s="12" t="s">
        <v>1096</v>
      </c>
      <c r="U1" s="12" t="s">
        <v>1097</v>
      </c>
      <c r="V1" s="12" t="s">
        <v>944</v>
      </c>
      <c r="W1" s="12" t="s">
        <v>1098</v>
      </c>
      <c r="X1" s="12" t="s">
        <v>1099</v>
      </c>
      <c r="Y1" s="12" t="s">
        <v>1100</v>
      </c>
      <c r="Z1" s="12" t="s">
        <v>1101</v>
      </c>
      <c r="AA1" s="12" t="s">
        <v>1102</v>
      </c>
      <c r="AB1" s="12" t="s">
        <v>1103</v>
      </c>
      <c r="AC1" s="12" t="s">
        <v>1104</v>
      </c>
      <c r="AD1" s="12" t="s">
        <v>1105</v>
      </c>
      <c r="AE1" s="12" t="s">
        <v>932</v>
      </c>
    </row>
    <row r="2" customFormat="false" ht="15" hidden="false" customHeight="false" outlineLevel="0" collapsed="false">
      <c r="A2" s="0" t="s">
        <v>988</v>
      </c>
      <c r="B2" s="0" t="s">
        <v>1021</v>
      </c>
      <c r="C2" s="0" t="s">
        <v>1106</v>
      </c>
      <c r="D2" s="0" t="s">
        <v>1026</v>
      </c>
      <c r="E2" s="0" t="s">
        <v>1107</v>
      </c>
      <c r="F2" s="0" t="n">
        <v>9.5</v>
      </c>
      <c r="G2" s="11" t="n">
        <f aca="false">IFERROR(INDEX(CHOOSE(MATCH($X2,{"K1","K2","K3","K12","K13","H1","H2","H3","H12","H13"},0),Calc!$V$2:$V$124,Calc!$AC$2:$AC$124,Calc!$AJ$2:$AJ$124,Calc!$AL$2:$AL$124,Calc!$AM$2:$AM$124,Calc!$W$2:$W$124,Calc!$AD$2:$AD$124,Calc!$AK$2:$AK$124,Calc!$AN$2:$AN$124,Calc!$AO$2:$AO$124),MATCH($W2,Calc!$A$2:$A$124,0)),"")</f>
        <v>9.78072571084105</v>
      </c>
      <c r="H2" s="11" t="n">
        <f aca="false">IF(G2="","",IF(LEFT($X2,1)="H",SQRT(G2*(IFERROR(INDEX(Calc!$AP$2:$AP$124,MATCH($W2,Calc!$A$2:$A$124,0)),0.5)*Config!$B$5+1-IFERROR(INDEX(Calc!$AP$2:$AP$124,MATCH($W2,Calc!$A$2:$A$124,0)),0.5))),SQRT(G2*Config!$B$5)))</f>
        <v>3.31879733383364</v>
      </c>
      <c r="I2" s="10" t="n">
        <f aca="false">IF(OR(F2="",G2="",N(H2)&lt;=0),"",1-NORMDIST(FLOOR(F2,1)+0.5,G2,H2,TRUE()))</f>
        <v>0.53370496514186</v>
      </c>
      <c r="J2" s="10" t="n">
        <f aca="false">IF(I2="","",NORMDIST(CEILING(F2,1)-0.5,G2,H2,TRUE()))</f>
        <v>0.466295034858141</v>
      </c>
      <c r="K2" s="10" t="n">
        <f aca="false">IF(I2="","",MAX(0,1-I2-J2))</f>
        <v>0</v>
      </c>
      <c r="L2" s="0" t="str">
        <f aca="false">IF(I2="","",IF(I2&gt;=0.5+Config!$B$6,"OVER",IF(J2&gt;=0.5+Config!$B$6,"UNDER","—")))</f>
        <v>—</v>
      </c>
      <c r="N2" s="0" t="n">
        <v>9.5</v>
      </c>
      <c r="O2" s="10" t="n">
        <v>0.8</v>
      </c>
      <c r="P2" s="10" t="n">
        <v>0.6</v>
      </c>
      <c r="Q2" s="10" t="n">
        <v>0.67</v>
      </c>
      <c r="R2" s="9" t="s">
        <v>1108</v>
      </c>
      <c r="S2" s="0" t="n">
        <v>3</v>
      </c>
      <c r="T2" s="0" t="str">
        <f aca="false">INDEX(Calc!$G$2:$G$124,MATCH($W2,Calc!$A$2:$A$124,0))&amp;" / "&amp;INDEX(Calc!$H$2:$H$124,MATCH($W2,Calc!$A$2:$A$124,0))</f>
        <v>Dust2 / Ancient</v>
      </c>
      <c r="U2" s="0" t="str">
        <f aca="false">TEXT(INDEX(Calc!$J$2:$J$124,MATCH($W2,Calc!$A$2:$A$124,0)),"0.0")&amp;" / "&amp;TEXT(INDEX(Calc!$K$2:$K$124,MATCH($W2,Calc!$A$2:$A$124,0)),"0.0")</f>
        <v>21.5 / 21.5</v>
      </c>
      <c r="V2" s="0" t="str">
        <f aca="false">IFERROR(INDEX(Calc!$AQ$2:$AQ$124,MATCH($W2,Calc!$A$2:$A$124,0)),"")</f>
        <v/>
      </c>
      <c r="W2" s="9" t="s">
        <v>1109</v>
      </c>
      <c r="X2" s="9" t="s">
        <v>1110</v>
      </c>
      <c r="Y2" s="0" t="str">
        <f aca="false">W2&amp;"|"&amp;X2</f>
        <v>q3hhhk7fp22ng9v|CS2 [NO MARKET] · ACE vs INOX|H12</v>
      </c>
      <c r="Z2" s="11" t="n">
        <f aca="false">IFERROR(INDEX(CHOOSE(MATCH($X2,{"K1","K2","K3","K12","K13","H1","H2","H3","H12","H13"},0),Calc!$BA$2:$BA$124,Calc!$BB$2:$BB$124,Calc!$BC$2:$BC$124,Calc!$BD$2:$BD$124,Calc!$BE$2:$BE$124,Calc!$BF$2:$BF$124,Calc!$BG$2:$BG$124,Calc!$BH$2:$BH$124,Calc!$BI$2:$BI$124,Calc!$BJ$2:$BJ$124),MATCH($W2,Calc!$A$2:$A$124,0)),"")</f>
        <v>9.78072571084105</v>
      </c>
      <c r="AA2" s="11" t="n">
        <f aca="false">IF(Z2="","",IF(LEFT($X2,1)="H",SQRT(Z2*(IFERROR(INDEX(Calc!$AP$2:$AP$124,MATCH($W2,Calc!$A$2:$A$124,0)),0.5)*Config!$B$5+1-IFERROR(INDEX(Calc!$AP$2:$AP$124,MATCH($W2,Calc!$A$2:$A$124,0)),0.5))),SQRT(Z2*Config!$B$5)))</f>
        <v>3.31879733383364</v>
      </c>
      <c r="AB2" s="10" t="n">
        <f aca="false">IF(OR(F2="",Z2="",N(AA2)&lt;=0),"",1-NORMDIST(FLOOR(F2,1)+0.5,Z2,AA2,TRUE()))</f>
        <v>0.53370496514186</v>
      </c>
      <c r="AC2" s="10" t="n">
        <f aca="false">IF(AB2="","",NORMDIST(CEILING(F2,1)-0.5,Z2,AA2,TRUE()))</f>
        <v>0.466295034858141</v>
      </c>
      <c r="AD2" s="0" t="str">
        <f aca="false">IF(AB2="","",IF(AB2&gt;=0.5+Config!$B$6,"OVER",IF(AC2&gt;=0.5+Config!$B$6,"UNDER","—")))</f>
        <v>—</v>
      </c>
      <c r="AE2" s="13" t="n">
        <f aca="false">IFERROR(Z2/G2,"")</f>
        <v>1</v>
      </c>
    </row>
    <row r="3" customFormat="false" ht="15" hidden="false" customHeight="false" outlineLevel="0" collapsed="false">
      <c r="A3" s="0" t="s">
        <v>988</v>
      </c>
      <c r="B3" s="0" t="s">
        <v>1021</v>
      </c>
      <c r="C3" s="0" t="s">
        <v>1106</v>
      </c>
      <c r="D3" s="0" t="s">
        <v>1026</v>
      </c>
      <c r="E3" s="0" t="s">
        <v>1111</v>
      </c>
      <c r="F3" s="0" t="n">
        <v>32.5</v>
      </c>
      <c r="G3" s="11" t="n">
        <f aca="false">IFERROR(INDEX(CHOOSE(MATCH($X3,{"K1","K2","K3","K12","K13","H1","H2","H3","H12","H13"},0),Calc!$V$2:$V$124,Calc!$AC$2:$AC$124,Calc!$AJ$2:$AJ$124,Calc!$AL$2:$AL$124,Calc!$AM$2:$AM$124,Calc!$W$2:$W$124,Calc!$AD$2:$AD$124,Calc!$AK$2:$AK$124,Calc!$AN$2:$AN$124,Calc!$AO$2:$AO$124),MATCH($W3,Calc!$A$2:$A$124,0)),"")</f>
        <v>31.0167361111111</v>
      </c>
      <c r="H3" s="11" t="n">
        <f aca="false">IF(G3="","",IF(LEFT($X3,1)="H",SQRT(G3*(IFERROR(INDEX(Calc!$AP$2:$AP$124,MATCH($W3,Calc!$A$2:$A$124,0)),0.5)*Config!$B$5+1-IFERROR(INDEX(Calc!$AP$2:$AP$124,MATCH($W3,Calc!$A$2:$A$124,0)),0.5))),SQRT(G3*Config!$B$5)))</f>
        <v>6.58964570789322</v>
      </c>
      <c r="I3" s="10" t="n">
        <f aca="false">IF(OR(F3="",G3="",N(H3)&lt;=0),"",1-NORMDIST(FLOOR(F3,1)+0.5,G3,H3,TRUE()))</f>
        <v>0.410954598447238</v>
      </c>
      <c r="J3" s="10" t="n">
        <f aca="false">IF(I3="","",NORMDIST(CEILING(F3,1)-0.5,G3,H3,TRUE()))</f>
        <v>0.589045401552762</v>
      </c>
      <c r="K3" s="10" t="n">
        <f aca="false">IF(I3="","",MAX(0,1-I3-J3))</f>
        <v>0</v>
      </c>
      <c r="L3" s="0" t="str">
        <f aca="false">IF(I3="","",IF(I3&gt;=0.5+Config!$B$6,"OVER",IF(J3&gt;=0.5+Config!$B$6,"UNDER","—")))</f>
        <v>UNDER</v>
      </c>
      <c r="N3" s="0" t="n">
        <v>30.7</v>
      </c>
      <c r="O3" s="10" t="n">
        <v>0.4</v>
      </c>
      <c r="P3" s="10" t="n">
        <v>0.5</v>
      </c>
      <c r="Q3" s="10" t="n">
        <v>0.47</v>
      </c>
      <c r="R3" s="9" t="s">
        <v>1108</v>
      </c>
      <c r="S3" s="0" t="n">
        <v>2</v>
      </c>
      <c r="T3" s="0" t="str">
        <f aca="false">INDEX(Calc!$G$2:$G$124,MATCH($W3,Calc!$A$2:$A$124,0))&amp;" / "&amp;INDEX(Calc!$H$2:$H$124,MATCH($W3,Calc!$A$2:$A$124,0))</f>
        <v>Dust2 / Ancient</v>
      </c>
      <c r="U3" s="0" t="str">
        <f aca="false">TEXT(INDEX(Calc!$J$2:$J$124,MATCH($W3,Calc!$A$2:$A$124,0)),"0.0")&amp;" / "&amp;TEXT(INDEX(Calc!$K$2:$K$124,MATCH($W3,Calc!$A$2:$A$124,0)),"0.0")</f>
        <v>21.5 / 21.5</v>
      </c>
      <c r="V3" s="0" t="str">
        <f aca="false">IFERROR(INDEX(Calc!$AQ$2:$AQ$124,MATCH($W3,Calc!$A$2:$A$124,0)),"")</f>
        <v/>
      </c>
      <c r="W3" s="9" t="s">
        <v>1109</v>
      </c>
      <c r="X3" s="9" t="s">
        <v>1112</v>
      </c>
      <c r="Y3" s="0" t="str">
        <f aca="false">W3&amp;"|"&amp;X3</f>
        <v>q3hhhk7fp22ng9v|CS2 [NO MARKET] · ACE vs INOX|K12</v>
      </c>
      <c r="Z3" s="11" t="n">
        <f aca="false">IFERROR(INDEX(CHOOSE(MATCH($X3,{"K1","K2","K3","K12","K13","H1","H2","H3","H12","H13"},0),Calc!$BA$2:$BA$124,Calc!$BB$2:$BB$124,Calc!$BC$2:$BC$124,Calc!$BD$2:$BD$124,Calc!$BE$2:$BE$124,Calc!$BF$2:$BF$124,Calc!$BG$2:$BG$124,Calc!$BH$2:$BH$124,Calc!$BI$2:$BI$124,Calc!$BJ$2:$BJ$124),MATCH($W3,Calc!$A$2:$A$124,0)),"")</f>
        <v>31.0167361111111</v>
      </c>
      <c r="AA3" s="11" t="n">
        <f aca="false">IF(Z3="","",IF(LEFT($X3,1)="H",SQRT(Z3*(IFERROR(INDEX(Calc!$AP$2:$AP$124,MATCH($W3,Calc!$A$2:$A$124,0)),0.5)*Config!$B$5+1-IFERROR(INDEX(Calc!$AP$2:$AP$124,MATCH($W3,Calc!$A$2:$A$124,0)),0.5))),SQRT(Z3*Config!$B$5)))</f>
        <v>6.58964570789322</v>
      </c>
      <c r="AB3" s="10" t="n">
        <f aca="false">IF(OR(F3="",Z3="",N(AA3)&lt;=0),"",1-NORMDIST(FLOOR(F3,1)+0.5,Z3,AA3,TRUE()))</f>
        <v>0.410954598447238</v>
      </c>
      <c r="AC3" s="10" t="n">
        <f aca="false">IF(AB3="","",NORMDIST(CEILING(F3,1)-0.5,Z3,AA3,TRUE()))</f>
        <v>0.589045401552762</v>
      </c>
      <c r="AD3" s="0" t="str">
        <f aca="false">IF(AB3="","",IF(AB3&gt;=0.5+Config!$B$6,"OVER",IF(AC3&gt;=0.5+Config!$B$6,"UNDER","—")))</f>
        <v>UNDER</v>
      </c>
      <c r="AE3" s="13" t="n">
        <f aca="false">IFERROR(Z3/G3,"")</f>
        <v>1</v>
      </c>
    </row>
    <row r="4" customFormat="false" ht="15" hidden="false" customHeight="false" outlineLevel="0" collapsed="false">
      <c r="A4" s="0" t="s">
        <v>988</v>
      </c>
      <c r="B4" s="0" t="s">
        <v>1021</v>
      </c>
      <c r="C4" s="0" t="s">
        <v>1113</v>
      </c>
      <c r="D4" s="0" t="s">
        <v>1026</v>
      </c>
      <c r="E4" s="0" t="s">
        <v>1107</v>
      </c>
      <c r="F4" s="0" t="n">
        <v>15</v>
      </c>
      <c r="G4" s="11" t="n">
        <f aca="false">IFERROR(INDEX(CHOOSE(MATCH($X4,{"K1","K2","K3","K12","K13","H1","H2","H3","H12","H13"},0),Calc!$V$2:$V$124,Calc!$AC$2:$AC$124,Calc!$AJ$2:$AJ$124,Calc!$AL$2:$AL$124,Calc!$AM$2:$AM$124,Calc!$W$2:$W$124,Calc!$AD$2:$AD$124,Calc!$AK$2:$AK$124,Calc!$AN$2:$AN$124,Calc!$AO$2:$AO$124),MATCH($W4,Calc!$A$2:$A$124,0)),"")</f>
        <v>14.9773944045858</v>
      </c>
      <c r="H4" s="11" t="n">
        <f aca="false">IF(G4="","",IF(LEFT($X4,1)="H",SQRT(G4*(IFERROR(INDEX(Calc!$AP$2:$AP$124,MATCH($W4,Calc!$A$2:$A$124,0)),0.5)*Config!$B$5+1-IFERROR(INDEX(Calc!$AP$2:$AP$124,MATCH($W4,Calc!$A$2:$A$124,0)),0.5))),SQRT(G4*Config!$B$5)))</f>
        <v>4.25110766316554</v>
      </c>
      <c r="I4" s="10" t="n">
        <f aca="false">IF(OR(F4="",G4="",N(H4)&lt;=0),"",1-NORMDIST(FLOOR(F4,1)+0.5,G4,H4,TRUE()))</f>
        <v>0.451079687753629</v>
      </c>
      <c r="J4" s="10" t="n">
        <f aca="false">IF(I4="","",NORMDIST(CEILING(F4,1)-0.5,G4,H4,TRUE()))</f>
        <v>0.455293235867597</v>
      </c>
      <c r="K4" s="10" t="n">
        <f aca="false">IF(I4="","",MAX(0,1-I4-J4))</f>
        <v>0.0936270763787748</v>
      </c>
      <c r="L4" s="0" t="str">
        <f aca="false">IF(I4="","",IF(I4&gt;=0.5+Config!$B$6,"OVER",IF(J4&gt;=0.5+Config!$B$6,"UNDER","—")))</f>
        <v>—</v>
      </c>
      <c r="N4" s="0" t="n">
        <v>13.9</v>
      </c>
      <c r="O4" s="10" t="n">
        <v>0.6</v>
      </c>
      <c r="P4" s="10" t="n">
        <v>0.5</v>
      </c>
      <c r="Q4" s="10" t="n">
        <v>0.47</v>
      </c>
      <c r="R4" s="9" t="s">
        <v>1114</v>
      </c>
      <c r="S4" s="0" t="n">
        <v>-1</v>
      </c>
      <c r="T4" s="0" t="str">
        <f aca="false">INDEX(Calc!$G$2:$G$124,MATCH($W4,Calc!$A$2:$A$124,0))&amp;" / "&amp;INDEX(Calc!$H$2:$H$124,MATCH($W4,Calc!$A$2:$A$124,0))</f>
        <v>Dust2 / Ancient</v>
      </c>
      <c r="U4" s="0" t="str">
        <f aca="false">TEXT(INDEX(Calc!$J$2:$J$124,MATCH($W4,Calc!$A$2:$A$124,0)),"0.0")&amp;" / "&amp;TEXT(INDEX(Calc!$K$2:$K$124,MATCH($W4,Calc!$A$2:$A$124,0)),"0.0")</f>
        <v>21.5 / 21.5</v>
      </c>
      <c r="V4" s="0" t="str">
        <f aca="false">IFERROR(INDEX(Calc!$AQ$2:$AQ$124,MATCH($W4,Calc!$A$2:$A$124,0)),"")</f>
        <v/>
      </c>
      <c r="W4" s="9" t="s">
        <v>1115</v>
      </c>
      <c r="X4" s="9" t="s">
        <v>1110</v>
      </c>
      <c r="Y4" s="0" t="str">
        <f aca="false">W4&amp;"|"&amp;X4</f>
        <v>wtkbukkt9i8g1y0|CS2 [NO MARKET] · ACE vs INOX|H12</v>
      </c>
      <c r="Z4" s="11" t="n">
        <f aca="false">IFERROR(INDEX(CHOOSE(MATCH($X4,{"K1","K2","K3","K12","K13","H1","H2","H3","H12","H13"},0),Calc!$BA$2:$BA$124,Calc!$BB$2:$BB$124,Calc!$BC$2:$BC$124,Calc!$BD$2:$BD$124,Calc!$BE$2:$BE$124,Calc!$BF$2:$BF$124,Calc!$BG$2:$BG$124,Calc!$BH$2:$BH$124,Calc!$BI$2:$BI$124,Calc!$BJ$2:$BJ$124),MATCH($W4,Calc!$A$2:$A$124,0)),"")</f>
        <v>14.9773944045858</v>
      </c>
      <c r="AA4" s="11" t="n">
        <f aca="false">IF(Z4="","",IF(LEFT($X4,1)="H",SQRT(Z4*(IFERROR(INDEX(Calc!$AP$2:$AP$124,MATCH($W4,Calc!$A$2:$A$124,0)),0.5)*Config!$B$5+1-IFERROR(INDEX(Calc!$AP$2:$AP$124,MATCH($W4,Calc!$A$2:$A$124,0)),0.5))),SQRT(Z4*Config!$B$5)))</f>
        <v>4.25110766316554</v>
      </c>
      <c r="AB4" s="10" t="n">
        <f aca="false">IF(OR(F4="",Z4="",N(AA4)&lt;=0),"",1-NORMDIST(FLOOR(F4,1)+0.5,Z4,AA4,TRUE()))</f>
        <v>0.451079687753629</v>
      </c>
      <c r="AC4" s="10" t="n">
        <f aca="false">IF(AB4="","",NORMDIST(CEILING(F4,1)-0.5,Z4,AA4,TRUE()))</f>
        <v>0.455293235867597</v>
      </c>
      <c r="AD4" s="0" t="str">
        <f aca="false">IF(AB4="","",IF(AB4&gt;=0.5+Config!$B$6,"OVER",IF(AC4&gt;=0.5+Config!$B$6,"UNDER","—")))</f>
        <v>—</v>
      </c>
      <c r="AE4" s="13" t="n">
        <f aca="false">IFERROR(Z4/G4,"")</f>
        <v>1</v>
      </c>
    </row>
    <row r="5" customFormat="false" ht="15" hidden="false" customHeight="false" outlineLevel="0" collapsed="false">
      <c r="A5" s="0" t="s">
        <v>988</v>
      </c>
      <c r="B5" s="0" t="s">
        <v>1021</v>
      </c>
      <c r="C5" s="0" t="s">
        <v>1113</v>
      </c>
      <c r="D5" s="0" t="s">
        <v>1026</v>
      </c>
      <c r="E5" s="0" t="s">
        <v>1111</v>
      </c>
      <c r="F5" s="0" t="n">
        <v>27.5</v>
      </c>
      <c r="G5" s="11" t="n">
        <f aca="false">IFERROR(INDEX(CHOOSE(MATCH($X5,{"K1","K2","K3","K12","K13","H1","H2","H3","H12","H13"},0),Calc!$V$2:$V$124,Calc!$AC$2:$AC$124,Calc!$AJ$2:$AJ$124,Calc!$AL$2:$AL$124,Calc!$AM$2:$AM$124,Calc!$W$2:$W$124,Calc!$AD$2:$AD$124,Calc!$AK$2:$AK$124,Calc!$AN$2:$AN$124,Calc!$AO$2:$AO$124),MATCH($W5,Calc!$A$2:$A$124,0)),"")</f>
        <v>28.9960576923077</v>
      </c>
      <c r="H5" s="11" t="n">
        <f aca="false">IF(G5="","",IF(LEFT($X5,1)="H",SQRT(G5*(IFERROR(INDEX(Calc!$AP$2:$AP$124,MATCH($W5,Calc!$A$2:$A$124,0)),0.5)*Config!$B$5+1-IFERROR(INDEX(Calc!$AP$2:$AP$124,MATCH($W5,Calc!$A$2:$A$124,0)),0.5))),SQRT(G5*Config!$B$5)))</f>
        <v>6.37137981674541</v>
      </c>
      <c r="I5" s="10" t="n">
        <f aca="false">IF(OR(F5="",G5="",N(H5)&lt;=0),"",1-NORMDIST(FLOOR(F5,1)+0.5,G5,H5,TRUE()))</f>
        <v>0.592821531456124</v>
      </c>
      <c r="J5" s="10" t="n">
        <f aca="false">IF(I5="","",NORMDIST(CEILING(F5,1)-0.5,G5,H5,TRUE()))</f>
        <v>0.407178468543876</v>
      </c>
      <c r="K5" s="10" t="n">
        <f aca="false">IF(I5="","",MAX(0,1-I5-J5))</f>
        <v>0</v>
      </c>
      <c r="L5" s="0" t="str">
        <f aca="false">IF(I5="","",IF(I5&gt;=0.5+Config!$B$6,"OVER",IF(J5&gt;=0.5+Config!$B$6,"UNDER","—")))</f>
        <v>OVER</v>
      </c>
      <c r="N5" s="0" t="n">
        <v>26.1</v>
      </c>
      <c r="O5" s="10" t="n">
        <v>0.6</v>
      </c>
      <c r="P5" s="10" t="n">
        <v>0.5</v>
      </c>
      <c r="Q5" s="10" t="n">
        <v>0.53</v>
      </c>
      <c r="R5" s="9" t="s">
        <v>1116</v>
      </c>
      <c r="S5" s="0" t="n">
        <v>-1</v>
      </c>
      <c r="T5" s="0" t="str">
        <f aca="false">INDEX(Calc!$G$2:$G$124,MATCH($W5,Calc!$A$2:$A$124,0))&amp;" / "&amp;INDEX(Calc!$H$2:$H$124,MATCH($W5,Calc!$A$2:$A$124,0))</f>
        <v>Dust2 / Ancient</v>
      </c>
      <c r="U5" s="0" t="str">
        <f aca="false">TEXT(INDEX(Calc!$J$2:$J$124,MATCH($W5,Calc!$A$2:$A$124,0)),"0.0")&amp;" / "&amp;TEXT(INDEX(Calc!$K$2:$K$124,MATCH($W5,Calc!$A$2:$A$124,0)),"0.0")</f>
        <v>21.5 / 21.5</v>
      </c>
      <c r="V5" s="0" t="str">
        <f aca="false">IFERROR(INDEX(Calc!$AQ$2:$AQ$124,MATCH($W5,Calc!$A$2:$A$124,0)),"")</f>
        <v/>
      </c>
      <c r="W5" s="9" t="s">
        <v>1115</v>
      </c>
      <c r="X5" s="9" t="s">
        <v>1112</v>
      </c>
      <c r="Y5" s="0" t="str">
        <f aca="false">W5&amp;"|"&amp;X5</f>
        <v>wtkbukkt9i8g1y0|CS2 [NO MARKET] · ACE vs INOX|K12</v>
      </c>
      <c r="Z5" s="11" t="n">
        <f aca="false">IFERROR(INDEX(CHOOSE(MATCH($X5,{"K1","K2","K3","K12","K13","H1","H2","H3","H12","H13"},0),Calc!$BA$2:$BA$124,Calc!$BB$2:$BB$124,Calc!$BC$2:$BC$124,Calc!$BD$2:$BD$124,Calc!$BE$2:$BE$124,Calc!$BF$2:$BF$124,Calc!$BG$2:$BG$124,Calc!$BH$2:$BH$124,Calc!$BI$2:$BI$124,Calc!$BJ$2:$BJ$124),MATCH($W5,Calc!$A$2:$A$124,0)),"")</f>
        <v>28.9960576923077</v>
      </c>
      <c r="AA5" s="11" t="n">
        <f aca="false">IF(Z5="","",IF(LEFT($X5,1)="H",SQRT(Z5*(IFERROR(INDEX(Calc!$AP$2:$AP$124,MATCH($W5,Calc!$A$2:$A$124,0)),0.5)*Config!$B$5+1-IFERROR(INDEX(Calc!$AP$2:$AP$124,MATCH($W5,Calc!$A$2:$A$124,0)),0.5))),SQRT(Z5*Config!$B$5)))</f>
        <v>6.37137981674541</v>
      </c>
      <c r="AB5" s="10" t="n">
        <f aca="false">IF(OR(F5="",Z5="",N(AA5)&lt;=0),"",1-NORMDIST(FLOOR(F5,1)+0.5,Z5,AA5,TRUE()))</f>
        <v>0.592821531456124</v>
      </c>
      <c r="AC5" s="10" t="n">
        <f aca="false">IF(AB5="","",NORMDIST(CEILING(F5,1)-0.5,Z5,AA5,TRUE()))</f>
        <v>0.407178468543876</v>
      </c>
      <c r="AD5" s="0" t="str">
        <f aca="false">IF(AB5="","",IF(AB5&gt;=0.5+Config!$B$6,"OVER",IF(AC5&gt;=0.5+Config!$B$6,"UNDER","—")))</f>
        <v>OVER</v>
      </c>
      <c r="AE5" s="13" t="n">
        <f aca="false">IFERROR(Z5/G5,"")</f>
        <v>1</v>
      </c>
    </row>
    <row r="6" customFormat="false" ht="15" hidden="false" customHeight="false" outlineLevel="0" collapsed="false">
      <c r="A6" s="0" t="s">
        <v>988</v>
      </c>
      <c r="B6" s="0" t="s">
        <v>1021</v>
      </c>
      <c r="C6" s="0" t="s">
        <v>1117</v>
      </c>
      <c r="D6" s="0" t="s">
        <v>1026</v>
      </c>
      <c r="E6" s="0" t="s">
        <v>1107</v>
      </c>
      <c r="F6" s="0" t="n">
        <v>15</v>
      </c>
      <c r="G6" s="11" t="n">
        <f aca="false">IFERROR(INDEX(CHOOSE(MATCH($X6,{"K1","K2","K3","K12","K13","H1","H2","H3","H12","H13"},0),Calc!$V$2:$V$124,Calc!$AC$2:$AC$124,Calc!$AJ$2:$AJ$124,Calc!$AL$2:$AL$124,Calc!$AM$2:$AM$124,Calc!$W$2:$W$124,Calc!$AD$2:$AD$124,Calc!$AK$2:$AK$124,Calc!$AN$2:$AN$124,Calc!$AO$2:$AO$124),MATCH($W6,Calc!$A$2:$A$124,0)),"")</f>
        <v>16.1046733914776</v>
      </c>
      <c r="H6" s="11" t="n">
        <f aca="false">IF(G6="","",IF(LEFT($X6,1)="H",SQRT(G6*(IFERROR(INDEX(Calc!$AP$2:$AP$124,MATCH($W6,Calc!$A$2:$A$124,0)),0.5)*Config!$B$5+1-IFERROR(INDEX(Calc!$AP$2:$AP$124,MATCH($W6,Calc!$A$2:$A$124,0)),0.5))),SQRT(G6*Config!$B$5)))</f>
        <v>4.41901101819949</v>
      </c>
      <c r="I6" s="10" t="n">
        <f aca="false">IF(OR(F6="",G6="",N(H6)&lt;=0),"",1-NORMDIST(FLOOR(F6,1)+0.5,G6,H6,TRUE()))</f>
        <v>0.5544192138877</v>
      </c>
      <c r="J6" s="10" t="n">
        <f aca="false">IF(I6="","",NORMDIST(CEILING(F6,1)-0.5,G6,H6,TRUE()))</f>
        <v>0.358254063379772</v>
      </c>
      <c r="K6" s="10" t="n">
        <f aca="false">IF(I6="","",MAX(0,1-I6-J6))</f>
        <v>0.0873267227325273</v>
      </c>
      <c r="L6" s="0" t="str">
        <f aca="false">IF(I6="","",IF(I6&gt;=0.5+Config!$B$6,"OVER",IF(J6&gt;=0.5+Config!$B$6,"UNDER","—")))</f>
        <v>OVER</v>
      </c>
      <c r="N6" s="0" t="n">
        <v>14.5</v>
      </c>
      <c r="O6" s="10" t="n">
        <v>0.6</v>
      </c>
      <c r="P6" s="10" t="n">
        <v>0.5</v>
      </c>
      <c r="Q6" s="10" t="n">
        <v>0.53</v>
      </c>
      <c r="R6" s="9" t="s">
        <v>1118</v>
      </c>
      <c r="S6" s="0" t="n">
        <v>-2</v>
      </c>
      <c r="T6" s="0" t="str">
        <f aca="false">INDEX(Calc!$G$2:$G$124,MATCH($W6,Calc!$A$2:$A$124,0))&amp;" / "&amp;INDEX(Calc!$H$2:$H$124,MATCH($W6,Calc!$A$2:$A$124,0))</f>
        <v>Dust2 / Ancient</v>
      </c>
      <c r="U6" s="0" t="str">
        <f aca="false">TEXT(INDEX(Calc!$J$2:$J$124,MATCH($W6,Calc!$A$2:$A$124,0)),"0.0")&amp;" / "&amp;TEXT(INDEX(Calc!$K$2:$K$124,MATCH($W6,Calc!$A$2:$A$124,0)),"0.0")</f>
        <v>21.5 / 21.5</v>
      </c>
      <c r="V6" s="0" t="str">
        <f aca="false">IFERROR(INDEX(Calc!$AQ$2:$AQ$124,MATCH($W6,Calc!$A$2:$A$124,0)),"")</f>
        <v/>
      </c>
      <c r="W6" s="9" t="s">
        <v>1119</v>
      </c>
      <c r="X6" s="9" t="s">
        <v>1110</v>
      </c>
      <c r="Y6" s="0" t="str">
        <f aca="false">W6&amp;"|"&amp;X6</f>
        <v>m02i8zld44pmsf6|CS2 [NO MARKET] · ACE vs INOX|H12</v>
      </c>
      <c r="Z6" s="11" t="n">
        <f aca="false">IFERROR(INDEX(CHOOSE(MATCH($X6,{"K1","K2","K3","K12","K13","H1","H2","H3","H12","H13"},0),Calc!$BA$2:$BA$124,Calc!$BB$2:$BB$124,Calc!$BC$2:$BC$124,Calc!$BD$2:$BD$124,Calc!$BE$2:$BE$124,Calc!$BF$2:$BF$124,Calc!$BG$2:$BG$124,Calc!$BH$2:$BH$124,Calc!$BI$2:$BI$124,Calc!$BJ$2:$BJ$124),MATCH($W6,Calc!$A$2:$A$124,0)),"")</f>
        <v>16.1046733914776</v>
      </c>
      <c r="AA6" s="11" t="n">
        <f aca="false">IF(Z6="","",IF(LEFT($X6,1)="H",SQRT(Z6*(IFERROR(INDEX(Calc!$AP$2:$AP$124,MATCH($W6,Calc!$A$2:$A$124,0)),0.5)*Config!$B$5+1-IFERROR(INDEX(Calc!$AP$2:$AP$124,MATCH($W6,Calc!$A$2:$A$124,0)),0.5))),SQRT(Z6*Config!$B$5)))</f>
        <v>4.41901101819949</v>
      </c>
      <c r="AB6" s="10" t="n">
        <f aca="false">IF(OR(F6="",Z6="",N(AA6)&lt;=0),"",1-NORMDIST(FLOOR(F6,1)+0.5,Z6,AA6,TRUE()))</f>
        <v>0.5544192138877</v>
      </c>
      <c r="AC6" s="10" t="n">
        <f aca="false">IF(AB6="","",NORMDIST(CEILING(F6,1)-0.5,Z6,AA6,TRUE()))</f>
        <v>0.358254063379772</v>
      </c>
      <c r="AD6" s="0" t="str">
        <f aca="false">IF(AB6="","",IF(AB6&gt;=0.5+Config!$B$6,"OVER",IF(AC6&gt;=0.5+Config!$B$6,"UNDER","—")))</f>
        <v>OVER</v>
      </c>
      <c r="AE6" s="13" t="n">
        <f aca="false">IFERROR(Z6/G6,"")</f>
        <v>1</v>
      </c>
    </row>
    <row r="7" customFormat="false" ht="15" hidden="false" customHeight="false" outlineLevel="0" collapsed="false">
      <c r="A7" s="0" t="s">
        <v>988</v>
      </c>
      <c r="B7" s="0" t="s">
        <v>1021</v>
      </c>
      <c r="C7" s="0" t="s">
        <v>1117</v>
      </c>
      <c r="D7" s="0" t="s">
        <v>1026</v>
      </c>
      <c r="E7" s="0" t="s">
        <v>1111</v>
      </c>
      <c r="F7" s="0" t="n">
        <v>29</v>
      </c>
      <c r="G7" s="11" t="n">
        <f aca="false">IFERROR(INDEX(CHOOSE(MATCH($X7,{"K1","K2","K3","K12","K13","H1","H2","H3","H12","H13"},0),Calc!$V$2:$V$124,Calc!$AC$2:$AC$124,Calc!$AJ$2:$AJ$124,Calc!$AL$2:$AL$124,Calc!$AM$2:$AM$124,Calc!$W$2:$W$124,Calc!$AD$2:$AD$124,Calc!$AK$2:$AK$124,Calc!$AN$2:$AN$124,Calc!$AO$2:$AO$124),MATCH($W7,Calc!$A$2:$A$124,0)),"")</f>
        <v>30.308108974359</v>
      </c>
      <c r="H7" s="11" t="n">
        <f aca="false">IF(G7="","",IF(LEFT($X7,1)="H",SQRT(G7*(IFERROR(INDEX(Calc!$AP$2:$AP$124,MATCH($W7,Calc!$A$2:$A$124,0)),0.5)*Config!$B$5+1-IFERROR(INDEX(Calc!$AP$2:$AP$124,MATCH($W7,Calc!$A$2:$A$124,0)),0.5))),SQRT(G7*Config!$B$5)))</f>
        <v>6.51393525943439</v>
      </c>
      <c r="I7" s="10" t="n">
        <f aca="false">IF(OR(F7="",G7="",N(H7)&lt;=0),"",1-NORMDIST(FLOOR(F7,1)+0.5,G7,H7,TRUE()))</f>
        <v>0.549365517941846</v>
      </c>
      <c r="J7" s="10" t="n">
        <f aca="false">IF(I7="","",NORMDIST(CEILING(F7,1)-0.5,G7,H7,TRUE()))</f>
        <v>0.390669112629562</v>
      </c>
      <c r="K7" s="10" t="n">
        <f aca="false">IF(I7="","",MAX(0,1-I7-J7))</f>
        <v>0.0599653694285928</v>
      </c>
      <c r="L7" s="0" t="str">
        <f aca="false">IF(I7="","",IF(I7&gt;=0.5+Config!$B$6,"OVER",IF(J7&gt;=0.5+Config!$B$6,"UNDER","—")))</f>
        <v>OVER</v>
      </c>
      <c r="N7" s="0" t="n">
        <v>28.9</v>
      </c>
      <c r="O7" s="10" t="n">
        <v>0.6</v>
      </c>
      <c r="P7" s="10" t="n">
        <v>0.6</v>
      </c>
      <c r="Q7" s="10" t="n">
        <v>0.53</v>
      </c>
      <c r="R7" s="9" t="s">
        <v>1118</v>
      </c>
      <c r="S7" s="0" t="n">
        <v>-2</v>
      </c>
      <c r="T7" s="0" t="str">
        <f aca="false">INDEX(Calc!$G$2:$G$124,MATCH($W7,Calc!$A$2:$A$124,0))&amp;" / "&amp;INDEX(Calc!$H$2:$H$124,MATCH($W7,Calc!$A$2:$A$124,0))</f>
        <v>Dust2 / Ancient</v>
      </c>
      <c r="U7" s="0" t="str">
        <f aca="false">TEXT(INDEX(Calc!$J$2:$J$124,MATCH($W7,Calc!$A$2:$A$124,0)),"0.0")&amp;" / "&amp;TEXT(INDEX(Calc!$K$2:$K$124,MATCH($W7,Calc!$A$2:$A$124,0)),"0.0")</f>
        <v>21.5 / 21.5</v>
      </c>
      <c r="V7" s="0" t="str">
        <f aca="false">IFERROR(INDEX(Calc!$AQ$2:$AQ$124,MATCH($W7,Calc!$A$2:$A$124,0)),"")</f>
        <v/>
      </c>
      <c r="W7" s="9" t="s">
        <v>1119</v>
      </c>
      <c r="X7" s="9" t="s">
        <v>1112</v>
      </c>
      <c r="Y7" s="0" t="str">
        <f aca="false">W7&amp;"|"&amp;X7</f>
        <v>m02i8zld44pmsf6|CS2 [NO MARKET] · ACE vs INOX|K12</v>
      </c>
      <c r="Z7" s="11" t="n">
        <f aca="false">IFERROR(INDEX(CHOOSE(MATCH($X7,{"K1","K2","K3","K12","K13","H1","H2","H3","H12","H13"},0),Calc!$BA$2:$BA$124,Calc!$BB$2:$BB$124,Calc!$BC$2:$BC$124,Calc!$BD$2:$BD$124,Calc!$BE$2:$BE$124,Calc!$BF$2:$BF$124,Calc!$BG$2:$BG$124,Calc!$BH$2:$BH$124,Calc!$BI$2:$BI$124,Calc!$BJ$2:$BJ$124),MATCH($W7,Calc!$A$2:$A$124,0)),"")</f>
        <v>30.308108974359</v>
      </c>
      <c r="AA7" s="11" t="n">
        <f aca="false">IF(Z7="","",IF(LEFT($X7,1)="H",SQRT(Z7*(IFERROR(INDEX(Calc!$AP$2:$AP$124,MATCH($W7,Calc!$A$2:$A$124,0)),0.5)*Config!$B$5+1-IFERROR(INDEX(Calc!$AP$2:$AP$124,MATCH($W7,Calc!$A$2:$A$124,0)),0.5))),SQRT(Z7*Config!$B$5)))</f>
        <v>6.51393525943439</v>
      </c>
      <c r="AB7" s="10" t="n">
        <f aca="false">IF(OR(F7="",Z7="",N(AA7)&lt;=0),"",1-NORMDIST(FLOOR(F7,1)+0.5,Z7,AA7,TRUE()))</f>
        <v>0.549365517941846</v>
      </c>
      <c r="AC7" s="10" t="n">
        <f aca="false">IF(AB7="","",NORMDIST(CEILING(F7,1)-0.5,Z7,AA7,TRUE()))</f>
        <v>0.390669112629562</v>
      </c>
      <c r="AD7" s="0" t="str">
        <f aca="false">IF(AB7="","",IF(AB7&gt;=0.5+Config!$B$6,"OVER",IF(AC7&gt;=0.5+Config!$B$6,"UNDER","—")))</f>
        <v>OVER</v>
      </c>
      <c r="AE7" s="13" t="n">
        <f aca="false">IFERROR(Z7/G7,"")</f>
        <v>1</v>
      </c>
    </row>
    <row r="8" customFormat="false" ht="15" hidden="false" customHeight="false" outlineLevel="0" collapsed="false">
      <c r="A8" s="0" t="s">
        <v>988</v>
      </c>
      <c r="B8" s="0" t="s">
        <v>1021</v>
      </c>
      <c r="C8" s="0" t="s">
        <v>1120</v>
      </c>
      <c r="D8" s="0" t="s">
        <v>1026</v>
      </c>
      <c r="E8" s="0" t="s">
        <v>1107</v>
      </c>
      <c r="F8" s="0" t="n">
        <v>15</v>
      </c>
      <c r="G8" s="11" t="n">
        <f aca="false">IFERROR(INDEX(CHOOSE(MATCH($X8,{"K1","K2","K3","K12","K13","H1","H2","H3","H12","H13"},0),Calc!$V$2:$V$124,Calc!$AC$2:$AC$124,Calc!$AJ$2:$AJ$124,Calc!$AL$2:$AL$124,Calc!$AM$2:$AM$124,Calc!$W$2:$W$124,Calc!$AD$2:$AD$124,Calc!$AK$2:$AK$124,Calc!$AN$2:$AN$124,Calc!$AO$2:$AO$124),MATCH($W8,Calc!$A$2:$A$124,0)),"")</f>
        <v>13.7916955374753</v>
      </c>
      <c r="H8" s="11" t="n">
        <f aca="false">IF(G8="","",IF(LEFT($X8,1)="H",SQRT(G8*(IFERROR(INDEX(Calc!$AP$2:$AP$124,MATCH($W8,Calc!$A$2:$A$124,0)),0.5)*Config!$B$5+1-IFERROR(INDEX(Calc!$AP$2:$AP$124,MATCH($W8,Calc!$A$2:$A$124,0)),0.5))),SQRT(G8*Config!$B$5)))</f>
        <v>4.07381790278565</v>
      </c>
      <c r="I8" s="10" t="n">
        <f aca="false">IF(OR(F8="",G8="",N(H8)&lt;=0),"",1-NORMDIST(FLOOR(F8,1)+0.5,G8,H8,TRUE()))</f>
        <v>0.337484760678455</v>
      </c>
      <c r="J8" s="10" t="n">
        <f aca="false">IF(I8="","",NORMDIST(CEILING(F8,1)-0.5,G8,H8,TRUE()))</f>
        <v>0.56901519568378</v>
      </c>
      <c r="K8" s="10" t="n">
        <f aca="false">IF(I8="","",MAX(0,1-I8-J8))</f>
        <v>0.0935000436377651</v>
      </c>
      <c r="L8" s="0" t="str">
        <f aca="false">IF(I8="","",IF(I8&gt;=0.5+Config!$B$6,"OVER",IF(J8&gt;=0.5+Config!$B$6,"UNDER","—")))</f>
        <v>UNDER</v>
      </c>
      <c r="N8" s="0" t="n">
        <v>13.3</v>
      </c>
      <c r="O8" s="10" t="n">
        <v>0</v>
      </c>
      <c r="P8" s="10" t="n">
        <v>0.3</v>
      </c>
      <c r="Q8" s="10" t="n">
        <v>0.27</v>
      </c>
      <c r="R8" s="9" t="s">
        <v>1121</v>
      </c>
      <c r="S8" s="0" t="n">
        <v>-5</v>
      </c>
      <c r="T8" s="0" t="str">
        <f aca="false">INDEX(Calc!$G$2:$G$124,MATCH($W8,Calc!$A$2:$A$124,0))&amp;" / "&amp;INDEX(Calc!$H$2:$H$124,MATCH($W8,Calc!$A$2:$A$124,0))</f>
        <v>Dust2 / Ancient</v>
      </c>
      <c r="U8" s="0" t="str">
        <f aca="false">TEXT(INDEX(Calc!$J$2:$J$124,MATCH($W8,Calc!$A$2:$A$124,0)),"0.0")&amp;" / "&amp;TEXT(INDEX(Calc!$K$2:$K$124,MATCH($W8,Calc!$A$2:$A$124,0)),"0.0")</f>
        <v>21.5 / 21.5</v>
      </c>
      <c r="V8" s="0" t="str">
        <f aca="false">IFERROR(INDEX(Calc!$AQ$2:$AQ$124,MATCH($W8,Calc!$A$2:$A$124,0)),"")</f>
        <v/>
      </c>
      <c r="W8" s="9" t="s">
        <v>1122</v>
      </c>
      <c r="X8" s="9" t="s">
        <v>1110</v>
      </c>
      <c r="Y8" s="0" t="str">
        <f aca="false">W8&amp;"|"&amp;X8</f>
        <v>jqawnnqgchzqat7|CS2 [NO MARKET] · ACE vs INOX|H12</v>
      </c>
      <c r="Z8" s="11" t="n">
        <f aca="false">IFERROR(INDEX(CHOOSE(MATCH($X8,{"K1","K2","K3","K12","K13","H1","H2","H3","H12","H13"},0),Calc!$BA$2:$BA$124,Calc!$BB$2:$BB$124,Calc!$BC$2:$BC$124,Calc!$BD$2:$BD$124,Calc!$BE$2:$BE$124,Calc!$BF$2:$BF$124,Calc!$BG$2:$BG$124,Calc!$BH$2:$BH$124,Calc!$BI$2:$BI$124,Calc!$BJ$2:$BJ$124),MATCH($W8,Calc!$A$2:$A$124,0)),"")</f>
        <v>13.7916955374753</v>
      </c>
      <c r="AA8" s="11" t="n">
        <f aca="false">IF(Z8="","",IF(LEFT($X8,1)="H",SQRT(Z8*(IFERROR(INDEX(Calc!$AP$2:$AP$124,MATCH($W8,Calc!$A$2:$A$124,0)),0.5)*Config!$B$5+1-IFERROR(INDEX(Calc!$AP$2:$AP$124,MATCH($W8,Calc!$A$2:$A$124,0)),0.5))),SQRT(Z8*Config!$B$5)))</f>
        <v>4.07381790278565</v>
      </c>
      <c r="AB8" s="10" t="n">
        <f aca="false">IF(OR(F8="",Z8="",N(AA8)&lt;=0),"",1-NORMDIST(FLOOR(F8,1)+0.5,Z8,AA8,TRUE()))</f>
        <v>0.337484760678455</v>
      </c>
      <c r="AC8" s="10" t="n">
        <f aca="false">IF(AB8="","",NORMDIST(CEILING(F8,1)-0.5,Z8,AA8,TRUE()))</f>
        <v>0.56901519568378</v>
      </c>
      <c r="AD8" s="0" t="str">
        <f aca="false">IF(AB8="","",IF(AB8&gt;=0.5+Config!$B$6,"OVER",IF(AC8&gt;=0.5+Config!$B$6,"UNDER","—")))</f>
        <v>UNDER</v>
      </c>
      <c r="AE8" s="13" t="n">
        <f aca="false">IFERROR(Z8/G8,"")</f>
        <v>1</v>
      </c>
    </row>
    <row r="9" customFormat="false" ht="15" hidden="false" customHeight="false" outlineLevel="0" collapsed="false">
      <c r="A9" s="0" t="s">
        <v>988</v>
      </c>
      <c r="B9" s="0" t="s">
        <v>1021</v>
      </c>
      <c r="C9" s="0" t="s">
        <v>1120</v>
      </c>
      <c r="D9" s="0" t="s">
        <v>1026</v>
      </c>
      <c r="E9" s="0" t="s">
        <v>1111</v>
      </c>
      <c r="F9" s="0" t="n">
        <v>29</v>
      </c>
      <c r="G9" s="11" t="n">
        <f aca="false">IFERROR(INDEX(CHOOSE(MATCH($X9,{"K1","K2","K3","K12","K13","H1","H2","H3","H12","H13"},0),Calc!$V$2:$V$124,Calc!$AC$2:$AC$124,Calc!$AJ$2:$AJ$124,Calc!$AL$2:$AL$124,Calc!$AM$2:$AM$124,Calc!$W$2:$W$124,Calc!$AD$2:$AD$124,Calc!$AK$2:$AK$124,Calc!$AN$2:$AN$124,Calc!$AO$2:$AO$124),MATCH($W9,Calc!$A$2:$A$124,0)),"")</f>
        <v>27.1313461538462</v>
      </c>
      <c r="H9" s="11" t="n">
        <f aca="false">IF(G9="","",IF(LEFT($X9,1)="H",SQRT(G9*(IFERROR(INDEX(Calc!$AP$2:$AP$124,MATCH($W9,Calc!$A$2:$A$124,0)),0.5)*Config!$B$5+1-IFERROR(INDEX(Calc!$AP$2:$AP$124,MATCH($W9,Calc!$A$2:$A$124,0)),0.5))),SQRT(G9*Config!$B$5)))</f>
        <v>6.16310673405748</v>
      </c>
      <c r="I9" s="10" t="n">
        <f aca="false">IF(OR(F9="",G9="",N(H9)&lt;=0),"",1-NORMDIST(FLOOR(F9,1)+0.5,G9,H9,TRUE()))</f>
        <v>0.350367717209988</v>
      </c>
      <c r="J9" s="10" t="n">
        <f aca="false">IF(I9="","",NORMDIST(CEILING(F9,1)-0.5,G9,H9,TRUE()))</f>
        <v>0.58787110852713</v>
      </c>
      <c r="K9" s="10" t="n">
        <f aca="false">IF(I9="","",MAX(0,1-I9-J9))</f>
        <v>0.0617611742628821</v>
      </c>
      <c r="L9" s="0" t="str">
        <f aca="false">IF(I9="","",IF(I9&gt;=0.5+Config!$B$6,"OVER",IF(J9&gt;=0.5+Config!$B$6,"UNDER","—")))</f>
        <v>UNDER</v>
      </c>
      <c r="N9" s="0" t="n">
        <v>25.9</v>
      </c>
      <c r="O9" s="10" t="n">
        <v>0.2</v>
      </c>
      <c r="P9" s="10" t="n">
        <v>0.3</v>
      </c>
      <c r="Q9" s="10" t="n">
        <v>0.27</v>
      </c>
      <c r="R9" s="9" t="s">
        <v>1114</v>
      </c>
      <c r="S9" s="0" t="n">
        <v>-4</v>
      </c>
      <c r="T9" s="0" t="str">
        <f aca="false">INDEX(Calc!$G$2:$G$124,MATCH($W9,Calc!$A$2:$A$124,0))&amp;" / "&amp;INDEX(Calc!$H$2:$H$124,MATCH($W9,Calc!$A$2:$A$124,0))</f>
        <v>Dust2 / Ancient</v>
      </c>
      <c r="U9" s="0" t="str">
        <f aca="false">TEXT(INDEX(Calc!$J$2:$J$124,MATCH($W9,Calc!$A$2:$A$124,0)),"0.0")&amp;" / "&amp;TEXT(INDEX(Calc!$K$2:$K$124,MATCH($W9,Calc!$A$2:$A$124,0)),"0.0")</f>
        <v>21.5 / 21.5</v>
      </c>
      <c r="V9" s="0" t="str">
        <f aca="false">IFERROR(INDEX(Calc!$AQ$2:$AQ$124,MATCH($W9,Calc!$A$2:$A$124,0)),"")</f>
        <v/>
      </c>
      <c r="W9" s="9" t="s">
        <v>1122</v>
      </c>
      <c r="X9" s="9" t="s">
        <v>1112</v>
      </c>
      <c r="Y9" s="0" t="str">
        <f aca="false">W9&amp;"|"&amp;X9</f>
        <v>jqawnnqgchzqat7|CS2 [NO MARKET] · ACE vs INOX|K12</v>
      </c>
      <c r="Z9" s="11" t="n">
        <f aca="false">IFERROR(INDEX(CHOOSE(MATCH($X9,{"K1","K2","K3","K12","K13","H1","H2","H3","H12","H13"},0),Calc!$BA$2:$BA$124,Calc!$BB$2:$BB$124,Calc!$BC$2:$BC$124,Calc!$BD$2:$BD$124,Calc!$BE$2:$BE$124,Calc!$BF$2:$BF$124,Calc!$BG$2:$BG$124,Calc!$BH$2:$BH$124,Calc!$BI$2:$BI$124,Calc!$BJ$2:$BJ$124),MATCH($W9,Calc!$A$2:$A$124,0)),"")</f>
        <v>27.1313461538462</v>
      </c>
      <c r="AA9" s="11" t="n">
        <f aca="false">IF(Z9="","",IF(LEFT($X9,1)="H",SQRT(Z9*(IFERROR(INDEX(Calc!$AP$2:$AP$124,MATCH($W9,Calc!$A$2:$A$124,0)),0.5)*Config!$B$5+1-IFERROR(INDEX(Calc!$AP$2:$AP$124,MATCH($W9,Calc!$A$2:$A$124,0)),0.5))),SQRT(Z9*Config!$B$5)))</f>
        <v>6.16310673405748</v>
      </c>
      <c r="AB9" s="10" t="n">
        <f aca="false">IF(OR(F9="",Z9="",N(AA9)&lt;=0),"",1-NORMDIST(FLOOR(F9,1)+0.5,Z9,AA9,TRUE()))</f>
        <v>0.350367717209988</v>
      </c>
      <c r="AC9" s="10" t="n">
        <f aca="false">IF(AB9="","",NORMDIST(CEILING(F9,1)-0.5,Z9,AA9,TRUE()))</f>
        <v>0.58787110852713</v>
      </c>
      <c r="AD9" s="0" t="str">
        <f aca="false">IF(AB9="","",IF(AB9&gt;=0.5+Config!$B$6,"OVER",IF(AC9&gt;=0.5+Config!$B$6,"UNDER","—")))</f>
        <v>UNDER</v>
      </c>
      <c r="AE9" s="13" t="n">
        <f aca="false">IFERROR(Z9/G9,"")</f>
        <v>1</v>
      </c>
    </row>
    <row r="10" customFormat="false" ht="15" hidden="false" customHeight="false" outlineLevel="0" collapsed="false">
      <c r="A10" s="0" t="s">
        <v>988</v>
      </c>
      <c r="B10" s="0" t="s">
        <v>1021</v>
      </c>
      <c r="C10" s="0" t="s">
        <v>1123</v>
      </c>
      <c r="D10" s="0" t="s">
        <v>1026</v>
      </c>
      <c r="E10" s="0" t="s">
        <v>1107</v>
      </c>
      <c r="F10" s="0" t="n">
        <v>15.5</v>
      </c>
      <c r="G10" s="11" t="n">
        <f aca="false">IFERROR(INDEX(CHOOSE(MATCH($X10,{"K1","K2","K3","K12","K13","H1","H2","H3","H12","H13"},0),Calc!$V$2:$V$124,Calc!$AC$2:$AC$124,Calc!$AJ$2:$AJ$124,Calc!$AL$2:$AL$124,Calc!$AM$2:$AM$124,Calc!$W$2:$W$124,Calc!$AD$2:$AD$124,Calc!$AK$2:$AK$124,Calc!$AN$2:$AN$124,Calc!$AO$2:$AO$124),MATCH($W10,Calc!$A$2:$A$124,0)),"")</f>
        <v>12.4962528935185</v>
      </c>
      <c r="H10" s="11" t="n">
        <f aca="false">IF(G10="","",IF(LEFT($X10,1)="H",SQRT(G10*(IFERROR(INDEX(Calc!$AP$2:$AP$124,MATCH($W10,Calc!$A$2:$A$124,0)),0.5)*Config!$B$5+1-IFERROR(INDEX(Calc!$AP$2:$AP$124,MATCH($W10,Calc!$A$2:$A$124,0)),0.5))),SQRT(G10*Config!$B$5)))</f>
        <v>3.87731547704446</v>
      </c>
      <c r="I10" s="10" t="n">
        <f aca="false">IF(OR(F10="",G10="",N(H10)&lt;=0),"",1-NORMDIST(FLOOR(F10,1)+0.5,G10,H10,TRUE()))</f>
        <v>0.21925917622142</v>
      </c>
      <c r="J10" s="10" t="n">
        <f aca="false">IF(I10="","",NORMDIST(CEILING(F10,1)-0.5,G10,H10,TRUE()))</f>
        <v>0.78074082377858</v>
      </c>
      <c r="K10" s="10" t="n">
        <f aca="false">IF(I10="","",MAX(0,1-I10-J10))</f>
        <v>0</v>
      </c>
      <c r="L10" s="0" t="str">
        <f aca="false">IF(I10="","",IF(I10&gt;=0.5+Config!$B$6,"OVER",IF(J10&gt;=0.5+Config!$B$6,"UNDER","—")))</f>
        <v>UNDER</v>
      </c>
      <c r="N10" s="0" t="n">
        <v>12.1</v>
      </c>
      <c r="O10" s="10" t="n">
        <v>0.2</v>
      </c>
      <c r="P10" s="10" t="n">
        <v>0.2</v>
      </c>
      <c r="Q10" s="10" t="n">
        <v>0.27</v>
      </c>
      <c r="R10" s="9" t="s">
        <v>1124</v>
      </c>
      <c r="S10" s="0" t="n">
        <v>-4</v>
      </c>
      <c r="T10" s="0" t="str">
        <f aca="false">INDEX(Calc!$G$2:$G$124,MATCH($W10,Calc!$A$2:$A$124,0))&amp;" / "&amp;INDEX(Calc!$H$2:$H$124,MATCH($W10,Calc!$A$2:$A$124,0))</f>
        <v>Dust2 / Ancient</v>
      </c>
      <c r="U10" s="0" t="str">
        <f aca="false">TEXT(INDEX(Calc!$J$2:$J$124,MATCH($W10,Calc!$A$2:$A$124,0)),"0.0")&amp;" / "&amp;TEXT(INDEX(Calc!$K$2:$K$124,MATCH($W10,Calc!$A$2:$A$124,0)),"0.0")</f>
        <v>21.5 / 21.5</v>
      </c>
      <c r="V10" s="0" t="str">
        <f aca="false">IFERROR(INDEX(Calc!$AQ$2:$AQ$124,MATCH($W10,Calc!$A$2:$A$124,0)),"")</f>
        <v/>
      </c>
      <c r="W10" s="9" t="s">
        <v>1125</v>
      </c>
      <c r="X10" s="9" t="s">
        <v>1110</v>
      </c>
      <c r="Y10" s="0" t="str">
        <f aca="false">W10&amp;"|"&amp;X10</f>
        <v>6ztw7i4ms6nvy7y|CS2 [NO MARKET] · ACE vs INOX|H12</v>
      </c>
      <c r="Z10" s="11" t="n">
        <f aca="false">IFERROR(INDEX(CHOOSE(MATCH($X10,{"K1","K2","K3","K12","K13","H1","H2","H3","H12","H13"},0),Calc!$BA$2:$BA$124,Calc!$BB$2:$BB$124,Calc!$BC$2:$BC$124,Calc!$BD$2:$BD$124,Calc!$BE$2:$BE$124,Calc!$BF$2:$BF$124,Calc!$BG$2:$BG$124,Calc!$BH$2:$BH$124,Calc!$BI$2:$BI$124,Calc!$BJ$2:$BJ$124),MATCH($W10,Calc!$A$2:$A$124,0)),"")</f>
        <v>12.4962528935185</v>
      </c>
      <c r="AA10" s="11" t="n">
        <f aca="false">IF(Z10="","",IF(LEFT($X10,1)="H",SQRT(Z10*(IFERROR(INDEX(Calc!$AP$2:$AP$124,MATCH($W10,Calc!$A$2:$A$124,0)),0.5)*Config!$B$5+1-IFERROR(INDEX(Calc!$AP$2:$AP$124,MATCH($W10,Calc!$A$2:$A$124,0)),0.5))),SQRT(Z10*Config!$B$5)))</f>
        <v>3.87731547704446</v>
      </c>
      <c r="AB10" s="10" t="n">
        <f aca="false">IF(OR(F10="",Z10="",N(AA10)&lt;=0),"",1-NORMDIST(FLOOR(F10,1)+0.5,Z10,AA10,TRUE()))</f>
        <v>0.21925917622142</v>
      </c>
      <c r="AC10" s="10" t="n">
        <f aca="false">IF(AB10="","",NORMDIST(CEILING(F10,1)-0.5,Z10,AA10,TRUE()))</f>
        <v>0.78074082377858</v>
      </c>
      <c r="AD10" s="0" t="str">
        <f aca="false">IF(AB10="","",IF(AB10&gt;=0.5+Config!$B$6,"OVER",IF(AC10&gt;=0.5+Config!$B$6,"UNDER","—")))</f>
        <v>UNDER</v>
      </c>
      <c r="AE10" s="13" t="n">
        <f aca="false">IFERROR(Z10/G10,"")</f>
        <v>1</v>
      </c>
    </row>
    <row r="11" customFormat="false" ht="15" hidden="false" customHeight="false" outlineLevel="0" collapsed="false">
      <c r="A11" s="0" t="s">
        <v>988</v>
      </c>
      <c r="B11" s="0" t="s">
        <v>1021</v>
      </c>
      <c r="C11" s="0" t="s">
        <v>1123</v>
      </c>
      <c r="D11" s="0" t="s">
        <v>1026</v>
      </c>
      <c r="E11" s="0" t="s">
        <v>1111</v>
      </c>
      <c r="F11" s="0" t="n">
        <v>29.5</v>
      </c>
      <c r="G11" s="11" t="n">
        <f aca="false">IFERROR(INDEX(CHOOSE(MATCH($X11,{"K1","K2","K3","K12","K13","H1","H2","H3","H12","H13"},0),Calc!$V$2:$V$124,Calc!$AC$2:$AC$124,Calc!$AJ$2:$AJ$124,Calc!$AL$2:$AL$124,Calc!$AM$2:$AM$124,Calc!$W$2:$W$124,Calc!$AD$2:$AD$124,Calc!$AK$2:$AK$124,Calc!$AN$2:$AN$124,Calc!$AO$2:$AO$124),MATCH($W11,Calc!$A$2:$A$124,0)),"")</f>
        <v>24.6175</v>
      </c>
      <c r="H11" s="11" t="n">
        <f aca="false">IF(G11="","",IF(LEFT($X11,1)="H",SQRT(G11*(IFERROR(INDEX(Calc!$AP$2:$AP$124,MATCH($W11,Calc!$A$2:$A$124,0)),0.5)*Config!$B$5+1-IFERROR(INDEX(Calc!$AP$2:$AP$124,MATCH($W11,Calc!$A$2:$A$124,0)),0.5))),SQRT(G11*Config!$B$5)))</f>
        <v>5.87064732376252</v>
      </c>
      <c r="I11" s="10" t="n">
        <f aca="false">IF(OR(F11="",G11="",N(H11)&lt;=0),"",1-NORMDIST(FLOOR(F11,1)+0.5,G11,H11,TRUE()))</f>
        <v>0.202794794662412</v>
      </c>
      <c r="J11" s="10" t="n">
        <f aca="false">IF(I11="","",NORMDIST(CEILING(F11,1)-0.5,G11,H11,TRUE()))</f>
        <v>0.797205205337588</v>
      </c>
      <c r="K11" s="10" t="n">
        <f aca="false">IF(I11="","",MAX(0,1-I11-J11))</f>
        <v>0</v>
      </c>
      <c r="L11" s="0" t="str">
        <f aca="false">IF(I11="","",IF(I11&gt;=0.5+Config!$B$6,"OVER",IF(J11&gt;=0.5+Config!$B$6,"UNDER","—")))</f>
        <v>UNDER</v>
      </c>
      <c r="N11" s="0" t="n">
        <v>24.4</v>
      </c>
      <c r="O11" s="10" t="n">
        <v>0.2</v>
      </c>
      <c r="P11" s="10" t="n">
        <v>0.2</v>
      </c>
      <c r="Q11" s="10" t="n">
        <v>0.13</v>
      </c>
      <c r="R11" s="9" t="s">
        <v>1124</v>
      </c>
      <c r="S11" s="0" t="n">
        <v>-4</v>
      </c>
      <c r="T11" s="0" t="str">
        <f aca="false">INDEX(Calc!$G$2:$G$124,MATCH($W11,Calc!$A$2:$A$124,0))&amp;" / "&amp;INDEX(Calc!$H$2:$H$124,MATCH($W11,Calc!$A$2:$A$124,0))</f>
        <v>Dust2 / Ancient</v>
      </c>
      <c r="U11" s="0" t="str">
        <f aca="false">TEXT(INDEX(Calc!$J$2:$J$124,MATCH($W11,Calc!$A$2:$A$124,0)),"0.0")&amp;" / "&amp;TEXT(INDEX(Calc!$K$2:$K$124,MATCH($W11,Calc!$A$2:$A$124,0)),"0.0")</f>
        <v>21.5 / 21.5</v>
      </c>
      <c r="V11" s="0" t="str">
        <f aca="false">IFERROR(INDEX(Calc!$AQ$2:$AQ$124,MATCH($W11,Calc!$A$2:$A$124,0)),"")</f>
        <v/>
      </c>
      <c r="W11" s="9" t="s">
        <v>1125</v>
      </c>
      <c r="X11" s="9" t="s">
        <v>1112</v>
      </c>
      <c r="Y11" s="0" t="str">
        <f aca="false">W11&amp;"|"&amp;X11</f>
        <v>6ztw7i4ms6nvy7y|CS2 [NO MARKET] · ACE vs INOX|K12</v>
      </c>
      <c r="Z11" s="11" t="n">
        <f aca="false">IFERROR(INDEX(CHOOSE(MATCH($X11,{"K1","K2","K3","K12","K13","H1","H2","H3","H12","H13"},0),Calc!$BA$2:$BA$124,Calc!$BB$2:$BB$124,Calc!$BC$2:$BC$124,Calc!$BD$2:$BD$124,Calc!$BE$2:$BE$124,Calc!$BF$2:$BF$124,Calc!$BG$2:$BG$124,Calc!$BH$2:$BH$124,Calc!$BI$2:$BI$124,Calc!$BJ$2:$BJ$124),MATCH($W11,Calc!$A$2:$A$124,0)),"")</f>
        <v>24.6175</v>
      </c>
      <c r="AA11" s="11" t="n">
        <f aca="false">IF(Z11="","",IF(LEFT($X11,1)="H",SQRT(Z11*(IFERROR(INDEX(Calc!$AP$2:$AP$124,MATCH($W11,Calc!$A$2:$A$124,0)),0.5)*Config!$B$5+1-IFERROR(INDEX(Calc!$AP$2:$AP$124,MATCH($W11,Calc!$A$2:$A$124,0)),0.5))),SQRT(Z11*Config!$B$5)))</f>
        <v>5.87064732376252</v>
      </c>
      <c r="AB11" s="10" t="n">
        <f aca="false">IF(OR(F11="",Z11="",N(AA11)&lt;=0),"",1-NORMDIST(FLOOR(F11,1)+0.5,Z11,AA11,TRUE()))</f>
        <v>0.202794794662412</v>
      </c>
      <c r="AC11" s="10" t="n">
        <f aca="false">IF(AB11="","",NORMDIST(CEILING(F11,1)-0.5,Z11,AA11,TRUE()))</f>
        <v>0.797205205337588</v>
      </c>
      <c r="AD11" s="0" t="str">
        <f aca="false">IF(AB11="","",IF(AB11&gt;=0.5+Config!$B$6,"OVER",IF(AC11&gt;=0.5+Config!$B$6,"UNDER","—")))</f>
        <v>UNDER</v>
      </c>
      <c r="AE11" s="13" t="n">
        <f aca="false">IFERROR(Z11/G11,"")</f>
        <v>1</v>
      </c>
    </row>
    <row r="12" customFormat="false" ht="15" hidden="false" customHeight="false" outlineLevel="0" collapsed="false">
      <c r="A12" s="0" t="s">
        <v>988</v>
      </c>
      <c r="B12" s="0" t="s">
        <v>1002</v>
      </c>
      <c r="C12" s="0" t="s">
        <v>1126</v>
      </c>
      <c r="D12" s="0" t="s">
        <v>1007</v>
      </c>
      <c r="E12" s="0" t="s">
        <v>1107</v>
      </c>
      <c r="F12" s="0" t="n">
        <v>13</v>
      </c>
      <c r="G12" s="11" t="n">
        <f aca="false">IFERROR(INDEX(CHOOSE(MATCH($X12,{"K1","K2","K3","K12","K13","H1","H2","H3","H12","H13"},0),Calc!$V$2:$V$124,Calc!$AC$2:$AC$124,Calc!$AJ$2:$AJ$124,Calc!$AL$2:$AL$124,Calc!$AM$2:$AM$124,Calc!$W$2:$W$124,Calc!$AD$2:$AD$124,Calc!$AK$2:$AK$124,Calc!$AN$2:$AN$124,Calc!$AO$2:$AO$124),MATCH($W12,Calc!$A$2:$A$124,0)),"")</f>
        <v>12.5419601183432</v>
      </c>
      <c r="H12" s="11" t="n">
        <f aca="false">IF(G12="","",IF(LEFT($X12,1)="H",SQRT(G12*(IFERROR(INDEX(Calc!$AP$2:$AP$124,MATCH($W12,Calc!$A$2:$A$124,0)),0.5)*Config!$B$5+1-IFERROR(INDEX(Calc!$AP$2:$AP$124,MATCH($W12,Calc!$A$2:$A$124,0)),0.5))),SQRT(G12*Config!$B$5)))</f>
        <v>3.85749955615983</v>
      </c>
      <c r="I12" s="10" t="n">
        <f aca="false">IF(OR(F12="",G12="",N(H12)&lt;=0),"",1-NORMDIST(FLOOR(F12,1)+0.5,G12,H12,TRUE()))</f>
        <v>0.401928813000707</v>
      </c>
      <c r="J12" s="10" t="n">
        <f aca="false">IF(I12="","",NORMDIST(CEILING(F12,1)-0.5,G12,H12,TRUE()))</f>
        <v>0.495660573656312</v>
      </c>
      <c r="K12" s="10" t="n">
        <f aca="false">IF(I12="","",MAX(0,1-I12-J12))</f>
        <v>0.102410613342981</v>
      </c>
      <c r="L12" s="0" t="str">
        <f aca="false">IF(I12="","",IF(I12&gt;=0.5+Config!$B$6,"OVER",IF(J12&gt;=0.5+Config!$B$6,"UNDER","—")))</f>
        <v>—</v>
      </c>
      <c r="N12" s="0" t="n">
        <v>12.8</v>
      </c>
      <c r="O12" s="10" t="n">
        <v>0.2</v>
      </c>
      <c r="P12" s="10" t="n">
        <v>0.3</v>
      </c>
      <c r="Q12" s="10" t="n">
        <v>0.47</v>
      </c>
      <c r="R12" s="9" t="s">
        <v>1121</v>
      </c>
      <c r="S12" s="0" t="n">
        <v>-1</v>
      </c>
      <c r="T12" s="0" t="str">
        <f aca="false">INDEX(Calc!$G$2:$G$124,MATCH($W12,Calc!$A$2:$A$124,0))&amp;" / "&amp;INDEX(Calc!$H$2:$H$124,MATCH($W12,Calc!$A$2:$A$124,0))</f>
        <v>Inferno / Dust2</v>
      </c>
      <c r="U12" s="0" t="str">
        <f aca="false">TEXT(INDEX(Calc!$J$2:$J$124,MATCH($W12,Calc!$A$2:$A$124,0)),"0.0")&amp;" / "&amp;TEXT(INDEX(Calc!$K$2:$K$124,MATCH($W12,Calc!$A$2:$A$124,0)),"0.0")</f>
        <v>21.5 / 21.5</v>
      </c>
      <c r="V12" s="0" t="str">
        <f aca="false">IFERROR(INDEX(Calc!$AQ$2:$AQ$124,MATCH($W12,Calc!$A$2:$A$124,0)),"")</f>
        <v/>
      </c>
      <c r="W12" s="9" t="s">
        <v>1127</v>
      </c>
      <c r="X12" s="9" t="s">
        <v>1110</v>
      </c>
      <c r="Y12" s="0" t="str">
        <f aca="false">W12&amp;"|"&amp;X12</f>
        <v>slm7b5sevqrznls|CS2 [NO MARKET] · ACE vs UNiTY|H12</v>
      </c>
      <c r="Z12" s="11" t="n">
        <f aca="false">IFERROR(INDEX(CHOOSE(MATCH($X12,{"K1","K2","K3","K12","K13","H1","H2","H3","H12","H13"},0),Calc!$BA$2:$BA$124,Calc!$BB$2:$BB$124,Calc!$BC$2:$BC$124,Calc!$BD$2:$BD$124,Calc!$BE$2:$BE$124,Calc!$BF$2:$BF$124,Calc!$BG$2:$BG$124,Calc!$BH$2:$BH$124,Calc!$BI$2:$BI$124,Calc!$BJ$2:$BJ$124),MATCH($W12,Calc!$A$2:$A$124,0)),"")</f>
        <v>12.5419601183432</v>
      </c>
      <c r="AA12" s="11" t="n">
        <f aca="false">IF(Z12="","",IF(LEFT($X12,1)="H",SQRT(Z12*(IFERROR(INDEX(Calc!$AP$2:$AP$124,MATCH($W12,Calc!$A$2:$A$124,0)),0.5)*Config!$B$5+1-IFERROR(INDEX(Calc!$AP$2:$AP$124,MATCH($W12,Calc!$A$2:$A$124,0)),0.5))),SQRT(Z12*Config!$B$5)))</f>
        <v>3.85749955615983</v>
      </c>
      <c r="AB12" s="10" t="n">
        <f aca="false">IF(OR(F12="",Z12="",N(AA12)&lt;=0),"",1-NORMDIST(FLOOR(F12,1)+0.5,Z12,AA12,TRUE()))</f>
        <v>0.401928813000707</v>
      </c>
      <c r="AC12" s="10" t="n">
        <f aca="false">IF(AB12="","",NORMDIST(CEILING(F12,1)-0.5,Z12,AA12,TRUE()))</f>
        <v>0.495660573656312</v>
      </c>
      <c r="AD12" s="0" t="str">
        <f aca="false">IF(AB12="","",IF(AB12&gt;=0.5+Config!$B$6,"OVER",IF(AC12&gt;=0.5+Config!$B$6,"UNDER","—")))</f>
        <v>—</v>
      </c>
      <c r="AE12" s="13" t="n">
        <f aca="false">IFERROR(Z12/G12,"")</f>
        <v>1</v>
      </c>
    </row>
    <row r="13" customFormat="false" ht="15" hidden="false" customHeight="false" outlineLevel="0" collapsed="false">
      <c r="A13" s="0" t="s">
        <v>988</v>
      </c>
      <c r="B13" s="0" t="s">
        <v>1002</v>
      </c>
      <c r="C13" s="0" t="s">
        <v>1126</v>
      </c>
      <c r="D13" s="0" t="s">
        <v>1007</v>
      </c>
      <c r="E13" s="0" t="s">
        <v>1111</v>
      </c>
      <c r="F13" s="0" t="n">
        <v>27.5</v>
      </c>
      <c r="G13" s="11" t="n">
        <f aca="false">IFERROR(INDEX(CHOOSE(MATCH($X13,{"K1","K2","K3","K12","K13","H1","H2","H3","H12","H13"},0),Calc!$V$2:$V$124,Calc!$AC$2:$AC$124,Calc!$AJ$2:$AJ$124,Calc!$AL$2:$AL$124,Calc!$AM$2:$AM$124,Calc!$W$2:$W$124,Calc!$AD$2:$AD$124,Calc!$AK$2:$AK$124,Calc!$AN$2:$AN$124,Calc!$AO$2:$AO$124),MATCH($W13,Calc!$A$2:$A$124,0)),"")</f>
        <v>26.9080769230769</v>
      </c>
      <c r="H13" s="11" t="n">
        <f aca="false">IF(G13="","",IF(LEFT($X13,1)="H",SQRT(G13*(IFERROR(INDEX(Calc!$AP$2:$AP$124,MATCH($W13,Calc!$A$2:$A$124,0)),0.5)*Config!$B$5+1-IFERROR(INDEX(Calc!$AP$2:$AP$124,MATCH($W13,Calc!$A$2:$A$124,0)),0.5))),SQRT(G13*Config!$B$5)))</f>
        <v>6.13769563372995</v>
      </c>
      <c r="I13" s="10" t="n">
        <f aca="false">IF(OR(F13="",G13="",N(H13)&lt;=0),"",1-NORMDIST(FLOOR(F13,1)+0.5,G13,H13,TRUE()))</f>
        <v>0.461585322350197</v>
      </c>
      <c r="J13" s="10" t="n">
        <f aca="false">IF(I13="","",NORMDIST(CEILING(F13,1)-0.5,G13,H13,TRUE()))</f>
        <v>0.538414677649803</v>
      </c>
      <c r="K13" s="10" t="n">
        <f aca="false">IF(I13="","",MAX(0,1-I13-J13))</f>
        <v>0</v>
      </c>
      <c r="L13" s="0" t="str">
        <f aca="false">IF(I13="","",IF(I13&gt;=0.5+Config!$B$6,"OVER",IF(J13&gt;=0.5+Config!$B$6,"UNDER","—")))</f>
        <v>—</v>
      </c>
      <c r="N13" s="0" t="n">
        <v>25.7</v>
      </c>
      <c r="O13" s="10" t="n">
        <v>0</v>
      </c>
      <c r="P13" s="10" t="n">
        <v>0.3</v>
      </c>
      <c r="Q13" s="10" t="n">
        <v>0.4</v>
      </c>
      <c r="R13" s="9" t="s">
        <v>1114</v>
      </c>
      <c r="S13" s="0" t="n">
        <v>-5</v>
      </c>
      <c r="T13" s="0" t="str">
        <f aca="false">INDEX(Calc!$G$2:$G$124,MATCH($W13,Calc!$A$2:$A$124,0))&amp;" / "&amp;INDEX(Calc!$H$2:$H$124,MATCH($W13,Calc!$A$2:$A$124,0))</f>
        <v>Inferno / Dust2</v>
      </c>
      <c r="U13" s="0" t="str">
        <f aca="false">TEXT(INDEX(Calc!$J$2:$J$124,MATCH($W13,Calc!$A$2:$A$124,0)),"0.0")&amp;" / "&amp;TEXT(INDEX(Calc!$K$2:$K$124,MATCH($W13,Calc!$A$2:$A$124,0)),"0.0")</f>
        <v>21.5 / 21.5</v>
      </c>
      <c r="V13" s="0" t="str">
        <f aca="false">IFERROR(INDEX(Calc!$AQ$2:$AQ$124,MATCH($W13,Calc!$A$2:$A$124,0)),"")</f>
        <v/>
      </c>
      <c r="W13" s="9" t="s">
        <v>1127</v>
      </c>
      <c r="X13" s="9" t="s">
        <v>1112</v>
      </c>
      <c r="Y13" s="0" t="str">
        <f aca="false">W13&amp;"|"&amp;X13</f>
        <v>slm7b5sevqrznls|CS2 [NO MARKET] · ACE vs UNiTY|K12</v>
      </c>
      <c r="Z13" s="11" t="n">
        <f aca="false">IFERROR(INDEX(CHOOSE(MATCH($X13,{"K1","K2","K3","K12","K13","H1","H2","H3","H12","H13"},0),Calc!$BA$2:$BA$124,Calc!$BB$2:$BB$124,Calc!$BC$2:$BC$124,Calc!$BD$2:$BD$124,Calc!$BE$2:$BE$124,Calc!$BF$2:$BF$124,Calc!$BG$2:$BG$124,Calc!$BH$2:$BH$124,Calc!$BI$2:$BI$124,Calc!$BJ$2:$BJ$124),MATCH($W13,Calc!$A$2:$A$124,0)),"")</f>
        <v>26.9080769230769</v>
      </c>
      <c r="AA13" s="11" t="n">
        <f aca="false">IF(Z13="","",IF(LEFT($X13,1)="H",SQRT(Z13*(IFERROR(INDEX(Calc!$AP$2:$AP$124,MATCH($W13,Calc!$A$2:$A$124,0)),0.5)*Config!$B$5+1-IFERROR(INDEX(Calc!$AP$2:$AP$124,MATCH($W13,Calc!$A$2:$A$124,0)),0.5))),SQRT(Z13*Config!$B$5)))</f>
        <v>6.13769563372995</v>
      </c>
      <c r="AB13" s="10" t="n">
        <f aca="false">IF(OR(F13="",Z13="",N(AA13)&lt;=0),"",1-NORMDIST(FLOOR(F13,1)+0.5,Z13,AA13,TRUE()))</f>
        <v>0.461585322350197</v>
      </c>
      <c r="AC13" s="10" t="n">
        <f aca="false">IF(AB13="","",NORMDIST(CEILING(F13,1)-0.5,Z13,AA13,TRUE()))</f>
        <v>0.538414677649803</v>
      </c>
      <c r="AD13" s="0" t="str">
        <f aca="false">IF(AB13="","",IF(AB13&gt;=0.5+Config!$B$6,"OVER",IF(AC13&gt;=0.5+Config!$B$6,"UNDER","—")))</f>
        <v>—</v>
      </c>
      <c r="AE13" s="13" t="n">
        <f aca="false">IFERROR(Z13/G13,"")</f>
        <v>1</v>
      </c>
    </row>
    <row r="14" customFormat="false" ht="15" hidden="false" customHeight="false" outlineLevel="0" collapsed="false">
      <c r="A14" s="0" t="s">
        <v>988</v>
      </c>
      <c r="B14" s="0" t="s">
        <v>1002</v>
      </c>
      <c r="C14" s="0" t="s">
        <v>1128</v>
      </c>
      <c r="D14" s="0" t="s">
        <v>1007</v>
      </c>
      <c r="E14" s="0" t="s">
        <v>1107</v>
      </c>
      <c r="F14" s="0" t="n">
        <v>15</v>
      </c>
      <c r="G14" s="11" t="n">
        <f aca="false">IFERROR(INDEX(CHOOSE(MATCH($X14,{"K1","K2","K3","K12","K13","H1","H2","H3","H12","H13"},0),Calc!$V$2:$V$124,Calc!$AC$2:$AC$124,Calc!$AJ$2:$AJ$124,Calc!$AL$2:$AL$124,Calc!$AM$2:$AM$124,Calc!$W$2:$W$124,Calc!$AD$2:$AD$124,Calc!$AK$2:$AK$124,Calc!$AN$2:$AN$124,Calc!$AO$2:$AO$124),MATCH($W14,Calc!$A$2:$A$124,0)),"")</f>
        <v>16.1578964930556</v>
      </c>
      <c r="H14" s="11" t="n">
        <f aca="false">IF(G14="","",IF(LEFT($X14,1)="H",SQRT(G14*(IFERROR(INDEX(Calc!$AP$2:$AP$124,MATCH($W14,Calc!$A$2:$A$124,0)),0.5)*Config!$B$5+1-IFERROR(INDEX(Calc!$AP$2:$AP$124,MATCH($W14,Calc!$A$2:$A$124,0)),0.5))),SQRT(G14*Config!$B$5)))</f>
        <v>4.42183244402048</v>
      </c>
      <c r="I14" s="10" t="n">
        <f aca="false">IF(OR(F14="",G14="",N(H14)&lt;=0),"",1-NORMDIST(FLOOR(F14,1)+0.5,G14,H14,TRUE()))</f>
        <v>0.559137834695796</v>
      </c>
      <c r="J14" s="10" t="n">
        <f aca="false">IF(I14="","",NORMDIST(CEILING(F14,1)-0.5,G14,H14,TRUE()))</f>
        <v>0.353854677884452</v>
      </c>
      <c r="K14" s="10" t="n">
        <f aca="false">IF(I14="","",MAX(0,1-I14-J14))</f>
        <v>0.0870074874197517</v>
      </c>
      <c r="L14" s="0" t="str">
        <f aca="false">IF(I14="","",IF(I14&gt;=0.5+Config!$B$6,"OVER",IF(J14&gt;=0.5+Config!$B$6,"UNDER","—")))</f>
        <v>OVER</v>
      </c>
      <c r="N14" s="0" t="n">
        <v>14.9</v>
      </c>
      <c r="O14" s="10" t="n">
        <v>0.2</v>
      </c>
      <c r="P14" s="10" t="n">
        <v>0.4</v>
      </c>
      <c r="Q14" s="10" t="n">
        <v>0.47</v>
      </c>
      <c r="R14" s="9" t="s">
        <v>1124</v>
      </c>
      <c r="S14" s="0" t="n">
        <v>-4</v>
      </c>
      <c r="T14" s="0" t="str">
        <f aca="false">INDEX(Calc!$G$2:$G$124,MATCH($W14,Calc!$A$2:$A$124,0))&amp;" / "&amp;INDEX(Calc!$H$2:$H$124,MATCH($W14,Calc!$A$2:$A$124,0))</f>
        <v>Inferno / Dust2</v>
      </c>
      <c r="U14" s="0" t="str">
        <f aca="false">TEXT(INDEX(Calc!$J$2:$J$124,MATCH($W14,Calc!$A$2:$A$124,0)),"0.0")&amp;" / "&amp;TEXT(INDEX(Calc!$K$2:$K$124,MATCH($W14,Calc!$A$2:$A$124,0)),"0.0")</f>
        <v>21.5 / 21.5</v>
      </c>
      <c r="V14" s="0" t="str">
        <f aca="false">IFERROR(INDEX(Calc!$AQ$2:$AQ$124,MATCH($W14,Calc!$A$2:$A$124,0)),"")</f>
        <v/>
      </c>
      <c r="W14" s="9" t="s">
        <v>1129</v>
      </c>
      <c r="X14" s="9" t="s">
        <v>1110</v>
      </c>
      <c r="Y14" s="0" t="str">
        <f aca="false">W14&amp;"|"&amp;X14</f>
        <v>9xneuyz69zuftic|CS2 [NO MARKET] · ACE vs UNiTY|H12</v>
      </c>
      <c r="Z14" s="11" t="n">
        <f aca="false">IFERROR(INDEX(CHOOSE(MATCH($X14,{"K1","K2","K3","K12","K13","H1","H2","H3","H12","H13"},0),Calc!$BA$2:$BA$124,Calc!$BB$2:$BB$124,Calc!$BC$2:$BC$124,Calc!$BD$2:$BD$124,Calc!$BE$2:$BE$124,Calc!$BF$2:$BF$124,Calc!$BG$2:$BG$124,Calc!$BH$2:$BH$124,Calc!$BI$2:$BI$124,Calc!$BJ$2:$BJ$124),MATCH($W14,Calc!$A$2:$A$124,0)),"")</f>
        <v>16.1578964930556</v>
      </c>
      <c r="AA14" s="11" t="n">
        <f aca="false">IF(Z14="","",IF(LEFT($X14,1)="H",SQRT(Z14*(IFERROR(INDEX(Calc!$AP$2:$AP$124,MATCH($W14,Calc!$A$2:$A$124,0)),0.5)*Config!$B$5+1-IFERROR(INDEX(Calc!$AP$2:$AP$124,MATCH($W14,Calc!$A$2:$A$124,0)),0.5))),SQRT(Z14*Config!$B$5)))</f>
        <v>4.42183244402048</v>
      </c>
      <c r="AB14" s="10" t="n">
        <f aca="false">IF(OR(F14="",Z14="",N(AA14)&lt;=0),"",1-NORMDIST(FLOOR(F14,1)+0.5,Z14,AA14,TRUE()))</f>
        <v>0.559137834695796</v>
      </c>
      <c r="AC14" s="10" t="n">
        <f aca="false">IF(AB14="","",NORMDIST(CEILING(F14,1)-0.5,Z14,AA14,TRUE()))</f>
        <v>0.353854677884452</v>
      </c>
      <c r="AD14" s="0" t="str">
        <f aca="false">IF(AB14="","",IF(AB14&gt;=0.5+Config!$B$6,"OVER",IF(AC14&gt;=0.5+Config!$B$6,"UNDER","—")))</f>
        <v>OVER</v>
      </c>
      <c r="AE14" s="13" t="n">
        <f aca="false">IFERROR(Z14/G14,"")</f>
        <v>1</v>
      </c>
    </row>
    <row r="15" customFormat="false" ht="15" hidden="false" customHeight="false" outlineLevel="0" collapsed="false">
      <c r="A15" s="0" t="s">
        <v>988</v>
      </c>
      <c r="B15" s="0" t="s">
        <v>1002</v>
      </c>
      <c r="C15" s="0" t="s">
        <v>1128</v>
      </c>
      <c r="D15" s="0" t="s">
        <v>1007</v>
      </c>
      <c r="E15" s="0" t="s">
        <v>1111</v>
      </c>
      <c r="F15" s="0" t="n">
        <v>28.5</v>
      </c>
      <c r="G15" s="11" t="n">
        <f aca="false">IFERROR(INDEX(CHOOSE(MATCH($X15,{"K1","K2","K3","K12","K13","H1","H2","H3","H12","H13"},0),Calc!$V$2:$V$124,Calc!$AC$2:$AC$124,Calc!$AJ$2:$AJ$124,Calc!$AL$2:$AL$124,Calc!$AM$2:$AM$124,Calc!$W$2:$W$124,Calc!$AD$2:$AD$124,Calc!$AK$2:$AK$124,Calc!$AN$2:$AN$124,Calc!$AO$2:$AO$124),MATCH($W15,Calc!$A$2:$A$124,0)),"")</f>
        <v>30.7629166666667</v>
      </c>
      <c r="H15" s="11" t="n">
        <f aca="false">IF(G15="","",IF(LEFT($X15,1)="H",SQRT(G15*(IFERROR(INDEX(Calc!$AP$2:$AP$124,MATCH($W15,Calc!$A$2:$A$124,0)),0.5)*Config!$B$5+1-IFERROR(INDEX(Calc!$AP$2:$AP$124,MATCH($W15,Calc!$A$2:$A$124,0)),0.5))),SQRT(G15*Config!$B$5)))</f>
        <v>6.56262777653383</v>
      </c>
      <c r="I15" s="10" t="n">
        <f aca="false">IF(OR(F15="",G15="",N(H15)&lt;=0),"",1-NORMDIST(FLOOR(F15,1)+0.5,G15,H15,TRUE()))</f>
        <v>0.634884656716272</v>
      </c>
      <c r="J15" s="10" t="n">
        <f aca="false">IF(I15="","",NORMDIST(CEILING(F15,1)-0.5,G15,H15,TRUE()))</f>
        <v>0.365115343283728</v>
      </c>
      <c r="K15" s="10" t="n">
        <f aca="false">IF(I15="","",MAX(0,1-I15-J15))</f>
        <v>0</v>
      </c>
      <c r="L15" s="0" t="str">
        <f aca="false">IF(I15="","",IF(I15&gt;=0.5+Config!$B$6,"OVER",IF(J15&gt;=0.5+Config!$B$6,"UNDER","—")))</f>
        <v>OVER</v>
      </c>
      <c r="N15" s="0" t="n">
        <v>26.5</v>
      </c>
      <c r="O15" s="10" t="n">
        <v>0</v>
      </c>
      <c r="P15" s="10" t="n">
        <v>0.2</v>
      </c>
      <c r="Q15" s="10" t="n">
        <v>0.27</v>
      </c>
      <c r="R15" s="9" t="s">
        <v>1124</v>
      </c>
      <c r="S15" s="0" t="n">
        <v>-5</v>
      </c>
      <c r="T15" s="0" t="str">
        <f aca="false">INDEX(Calc!$G$2:$G$124,MATCH($W15,Calc!$A$2:$A$124,0))&amp;" / "&amp;INDEX(Calc!$H$2:$H$124,MATCH($W15,Calc!$A$2:$A$124,0))</f>
        <v>Inferno / Dust2</v>
      </c>
      <c r="U15" s="0" t="str">
        <f aca="false">TEXT(INDEX(Calc!$J$2:$J$124,MATCH($W15,Calc!$A$2:$A$124,0)),"0.0")&amp;" / "&amp;TEXT(INDEX(Calc!$K$2:$K$124,MATCH($W15,Calc!$A$2:$A$124,0)),"0.0")</f>
        <v>21.5 / 21.5</v>
      </c>
      <c r="V15" s="0" t="str">
        <f aca="false">IFERROR(INDEX(Calc!$AQ$2:$AQ$124,MATCH($W15,Calc!$A$2:$A$124,0)),"")</f>
        <v/>
      </c>
      <c r="W15" s="9" t="s">
        <v>1129</v>
      </c>
      <c r="X15" s="9" t="s">
        <v>1112</v>
      </c>
      <c r="Y15" s="0" t="str">
        <f aca="false">W15&amp;"|"&amp;X15</f>
        <v>9xneuyz69zuftic|CS2 [NO MARKET] · ACE vs UNiTY|K12</v>
      </c>
      <c r="Z15" s="11" t="n">
        <f aca="false">IFERROR(INDEX(CHOOSE(MATCH($X15,{"K1","K2","K3","K12","K13","H1","H2","H3","H12","H13"},0),Calc!$BA$2:$BA$124,Calc!$BB$2:$BB$124,Calc!$BC$2:$BC$124,Calc!$BD$2:$BD$124,Calc!$BE$2:$BE$124,Calc!$BF$2:$BF$124,Calc!$BG$2:$BG$124,Calc!$BH$2:$BH$124,Calc!$BI$2:$BI$124,Calc!$BJ$2:$BJ$124),MATCH($W15,Calc!$A$2:$A$124,0)),"")</f>
        <v>30.7629166666667</v>
      </c>
      <c r="AA15" s="11" t="n">
        <f aca="false">IF(Z15="","",IF(LEFT($X15,1)="H",SQRT(Z15*(IFERROR(INDEX(Calc!$AP$2:$AP$124,MATCH($W15,Calc!$A$2:$A$124,0)),0.5)*Config!$B$5+1-IFERROR(INDEX(Calc!$AP$2:$AP$124,MATCH($W15,Calc!$A$2:$A$124,0)),0.5))),SQRT(Z15*Config!$B$5)))</f>
        <v>6.56262777653383</v>
      </c>
      <c r="AB15" s="10" t="n">
        <f aca="false">IF(OR(F15="",Z15="",N(AA15)&lt;=0),"",1-NORMDIST(FLOOR(F15,1)+0.5,Z15,AA15,TRUE()))</f>
        <v>0.634884656716272</v>
      </c>
      <c r="AC15" s="10" t="n">
        <f aca="false">IF(AB15="","",NORMDIST(CEILING(F15,1)-0.5,Z15,AA15,TRUE()))</f>
        <v>0.365115343283728</v>
      </c>
      <c r="AD15" s="0" t="str">
        <f aca="false">IF(AB15="","",IF(AB15&gt;=0.5+Config!$B$6,"OVER",IF(AC15&gt;=0.5+Config!$B$6,"UNDER","—")))</f>
        <v>OVER</v>
      </c>
      <c r="AE15" s="13" t="n">
        <f aca="false">IFERROR(Z15/G15,"")</f>
        <v>1</v>
      </c>
    </row>
    <row r="16" customFormat="false" ht="15" hidden="false" customHeight="false" outlineLevel="0" collapsed="false">
      <c r="A16" s="0" t="s">
        <v>988</v>
      </c>
      <c r="B16" s="0" t="s">
        <v>1002</v>
      </c>
      <c r="C16" s="0" t="s">
        <v>1130</v>
      </c>
      <c r="D16" s="0" t="s">
        <v>1007</v>
      </c>
      <c r="E16" s="0" t="s">
        <v>1107</v>
      </c>
      <c r="F16" s="0" t="n">
        <v>21.5</v>
      </c>
      <c r="G16" s="11" t="n">
        <f aca="false">IFERROR(INDEX(CHOOSE(MATCH($X16,{"K1","K2","K3","K12","K13","H1","H2","H3","H12","H13"},0),Calc!$V$2:$V$124,Calc!$AC$2:$AC$124,Calc!$AJ$2:$AJ$124,Calc!$AL$2:$AL$124,Calc!$AM$2:$AM$124,Calc!$W$2:$W$124,Calc!$AD$2:$AD$124,Calc!$AK$2:$AK$124,Calc!$AN$2:$AN$124,Calc!$AO$2:$AO$124),MATCH($W16,Calc!$A$2:$A$124,0)),"")</f>
        <v>21.6130874556213</v>
      </c>
      <c r="H16" s="11" t="n">
        <f aca="false">IF(G16="","",IF(LEFT($X16,1)="H",SQRT(G16*(IFERROR(INDEX(Calc!$AP$2:$AP$124,MATCH($W16,Calc!$A$2:$A$124,0)),0.5)*Config!$B$5+1-IFERROR(INDEX(Calc!$AP$2:$AP$124,MATCH($W16,Calc!$A$2:$A$124,0)),0.5))),SQRT(G16*Config!$B$5)))</f>
        <v>5.24865961527428</v>
      </c>
      <c r="I16" s="10" t="n">
        <f aca="false">IF(OR(F16="",G16="",N(H16)&lt;=0),"",1-NORMDIST(FLOOR(F16,1)+0.5,G16,H16,TRUE()))</f>
        <v>0.508594932866335</v>
      </c>
      <c r="J16" s="10" t="n">
        <f aca="false">IF(I16="","",NORMDIST(CEILING(F16,1)-0.5,G16,H16,TRUE()))</f>
        <v>0.491405067133666</v>
      </c>
      <c r="K16" s="10" t="n">
        <f aca="false">IF(I16="","",MAX(0,1-I16-J16))</f>
        <v>0</v>
      </c>
      <c r="L16" s="0" t="str">
        <f aca="false">IF(I16="","",IF(I16&gt;=0.5+Config!$B$6,"OVER",IF(J16&gt;=0.5+Config!$B$6,"UNDER","—")))</f>
        <v>—</v>
      </c>
      <c r="N16" s="0" t="n">
        <v>20</v>
      </c>
      <c r="O16" s="10" t="n">
        <v>0.4</v>
      </c>
      <c r="P16" s="10" t="n">
        <v>0.3</v>
      </c>
      <c r="Q16" s="10" t="n">
        <v>0.4</v>
      </c>
      <c r="R16" s="9" t="s">
        <v>1131</v>
      </c>
      <c r="S16" s="0" t="n">
        <v>1</v>
      </c>
      <c r="T16" s="0" t="str">
        <f aca="false">INDEX(Calc!$G$2:$G$124,MATCH($W16,Calc!$A$2:$A$124,0))&amp;" / "&amp;INDEX(Calc!$H$2:$H$124,MATCH($W16,Calc!$A$2:$A$124,0))</f>
        <v>Inferno / Dust2</v>
      </c>
      <c r="U16" s="0" t="str">
        <f aca="false">TEXT(INDEX(Calc!$J$2:$J$124,MATCH($W16,Calc!$A$2:$A$124,0)),"0.0")&amp;" / "&amp;TEXT(INDEX(Calc!$K$2:$K$124,MATCH($W16,Calc!$A$2:$A$124,0)),"0.0")</f>
        <v>21.5 / 21.5</v>
      </c>
      <c r="V16" s="0" t="str">
        <f aca="false">IFERROR(INDEX(Calc!$AQ$2:$AQ$124,MATCH($W16,Calc!$A$2:$A$124,0)),"")</f>
        <v/>
      </c>
      <c r="W16" s="9" t="s">
        <v>1132</v>
      </c>
      <c r="X16" s="9" t="s">
        <v>1110</v>
      </c>
      <c r="Y16" s="0" t="str">
        <f aca="false">W16&amp;"|"&amp;X16</f>
        <v>efi7mmb5o1ctn6l|CS2 [NO MARKET] · ACE vs UNiTY|H12</v>
      </c>
      <c r="Z16" s="11" t="n">
        <f aca="false">IFERROR(INDEX(CHOOSE(MATCH($X16,{"K1","K2","K3","K12","K13","H1","H2","H3","H12","H13"},0),Calc!$BA$2:$BA$124,Calc!$BB$2:$BB$124,Calc!$BC$2:$BC$124,Calc!$BD$2:$BD$124,Calc!$BE$2:$BE$124,Calc!$BF$2:$BF$124,Calc!$BG$2:$BG$124,Calc!$BH$2:$BH$124,Calc!$BI$2:$BI$124,Calc!$BJ$2:$BJ$124),MATCH($W16,Calc!$A$2:$A$124,0)),"")</f>
        <v>21.6130874556213</v>
      </c>
      <c r="AA16" s="11" t="n">
        <f aca="false">IF(Z16="","",IF(LEFT($X16,1)="H",SQRT(Z16*(IFERROR(INDEX(Calc!$AP$2:$AP$124,MATCH($W16,Calc!$A$2:$A$124,0)),0.5)*Config!$B$5+1-IFERROR(INDEX(Calc!$AP$2:$AP$124,MATCH($W16,Calc!$A$2:$A$124,0)),0.5))),SQRT(Z16*Config!$B$5)))</f>
        <v>5.24865961527428</v>
      </c>
      <c r="AB16" s="10" t="n">
        <f aca="false">IF(OR(F16="",Z16="",N(AA16)&lt;=0),"",1-NORMDIST(FLOOR(F16,1)+0.5,Z16,AA16,TRUE()))</f>
        <v>0.508594932866335</v>
      </c>
      <c r="AC16" s="10" t="n">
        <f aca="false">IF(AB16="","",NORMDIST(CEILING(F16,1)-0.5,Z16,AA16,TRUE()))</f>
        <v>0.491405067133666</v>
      </c>
      <c r="AD16" s="0" t="str">
        <f aca="false">IF(AB16="","",IF(AB16&gt;=0.5+Config!$B$6,"OVER",IF(AC16&gt;=0.5+Config!$B$6,"UNDER","—")))</f>
        <v>—</v>
      </c>
      <c r="AE16" s="13" t="n">
        <f aca="false">IFERROR(Z16/G16,"")</f>
        <v>1</v>
      </c>
    </row>
    <row r="17" customFormat="false" ht="15" hidden="false" customHeight="false" outlineLevel="0" collapsed="false">
      <c r="A17" s="0" t="s">
        <v>988</v>
      </c>
      <c r="B17" s="0" t="s">
        <v>1002</v>
      </c>
      <c r="C17" s="0" t="s">
        <v>1130</v>
      </c>
      <c r="D17" s="0" t="s">
        <v>1007</v>
      </c>
      <c r="E17" s="0" t="s">
        <v>1111</v>
      </c>
      <c r="F17" s="0" t="n">
        <v>31.5</v>
      </c>
      <c r="G17" s="11" t="n">
        <f aca="false">IFERROR(INDEX(CHOOSE(MATCH($X17,{"K1","K2","K3","K12","K13","H1","H2","H3","H12","H13"},0),Calc!$V$2:$V$124,Calc!$AC$2:$AC$124,Calc!$AJ$2:$AJ$124,Calc!$AL$2:$AL$124,Calc!$AM$2:$AM$124,Calc!$W$2:$W$124,Calc!$AD$2:$AD$124,Calc!$AK$2:$AK$124,Calc!$AN$2:$AN$124,Calc!$AO$2:$AO$124),MATCH($W17,Calc!$A$2:$A$124,0)),"")</f>
        <v>31.4809615384615</v>
      </c>
      <c r="H17" s="11" t="n">
        <f aca="false">IF(G17="","",IF(LEFT($X17,1)="H",SQRT(G17*(IFERROR(INDEX(Calc!$AP$2:$AP$124,MATCH($W17,Calc!$A$2:$A$124,0)),0.5)*Config!$B$5+1-IFERROR(INDEX(Calc!$AP$2:$AP$124,MATCH($W17,Calc!$A$2:$A$124,0)),0.5))),SQRT(G17*Config!$B$5)))</f>
        <v>6.63877595297854</v>
      </c>
      <c r="I17" s="10" t="n">
        <f aca="false">IF(OR(F17="",G17="",N(H17)&lt;=0),"",1-NORMDIST(FLOOR(F17,1)+0.5,G17,H17,TRUE()))</f>
        <v>0.49885592812521</v>
      </c>
      <c r="J17" s="10" t="n">
        <f aca="false">IF(I17="","",NORMDIST(CEILING(F17,1)-0.5,G17,H17,TRUE()))</f>
        <v>0.501144071874791</v>
      </c>
      <c r="K17" s="10" t="n">
        <f aca="false">IF(I17="","",MAX(0,1-I17-J17))</f>
        <v>0</v>
      </c>
      <c r="L17" s="0" t="str">
        <f aca="false">IF(I17="","",IF(I17&gt;=0.5+Config!$B$6,"OVER",IF(J17&gt;=0.5+Config!$B$6,"UNDER","—")))</f>
        <v>—</v>
      </c>
      <c r="N17" s="0" t="n">
        <v>28.4</v>
      </c>
      <c r="O17" s="10" t="n">
        <v>0.4</v>
      </c>
      <c r="P17" s="10" t="n">
        <v>0.3</v>
      </c>
      <c r="Q17" s="10" t="n">
        <v>0.33</v>
      </c>
      <c r="R17" s="9" t="s">
        <v>1131</v>
      </c>
      <c r="S17" s="0" t="n">
        <v>1</v>
      </c>
      <c r="T17" s="0" t="str">
        <f aca="false">INDEX(Calc!$G$2:$G$124,MATCH($W17,Calc!$A$2:$A$124,0))&amp;" / "&amp;INDEX(Calc!$H$2:$H$124,MATCH($W17,Calc!$A$2:$A$124,0))</f>
        <v>Inferno / Dust2</v>
      </c>
      <c r="U17" s="0" t="str">
        <f aca="false">TEXT(INDEX(Calc!$J$2:$J$124,MATCH($W17,Calc!$A$2:$A$124,0)),"0.0")&amp;" / "&amp;TEXT(INDEX(Calc!$K$2:$K$124,MATCH($W17,Calc!$A$2:$A$124,0)),"0.0")</f>
        <v>21.5 / 21.5</v>
      </c>
      <c r="V17" s="0" t="str">
        <f aca="false">IFERROR(INDEX(Calc!$AQ$2:$AQ$124,MATCH($W17,Calc!$A$2:$A$124,0)),"")</f>
        <v/>
      </c>
      <c r="W17" s="9" t="s">
        <v>1132</v>
      </c>
      <c r="X17" s="9" t="s">
        <v>1112</v>
      </c>
      <c r="Y17" s="0" t="str">
        <f aca="false">W17&amp;"|"&amp;X17</f>
        <v>efi7mmb5o1ctn6l|CS2 [NO MARKET] · ACE vs UNiTY|K12</v>
      </c>
      <c r="Z17" s="11" t="n">
        <f aca="false">IFERROR(INDEX(CHOOSE(MATCH($X17,{"K1","K2","K3","K12","K13","H1","H2","H3","H12","H13"},0),Calc!$BA$2:$BA$124,Calc!$BB$2:$BB$124,Calc!$BC$2:$BC$124,Calc!$BD$2:$BD$124,Calc!$BE$2:$BE$124,Calc!$BF$2:$BF$124,Calc!$BG$2:$BG$124,Calc!$BH$2:$BH$124,Calc!$BI$2:$BI$124,Calc!$BJ$2:$BJ$124),MATCH($W17,Calc!$A$2:$A$124,0)),"")</f>
        <v>31.4809615384615</v>
      </c>
      <c r="AA17" s="11" t="n">
        <f aca="false">IF(Z17="","",IF(LEFT($X17,1)="H",SQRT(Z17*(IFERROR(INDEX(Calc!$AP$2:$AP$124,MATCH($W17,Calc!$A$2:$A$124,0)),0.5)*Config!$B$5+1-IFERROR(INDEX(Calc!$AP$2:$AP$124,MATCH($W17,Calc!$A$2:$A$124,0)),0.5))),SQRT(Z17*Config!$B$5)))</f>
        <v>6.63877595297854</v>
      </c>
      <c r="AB17" s="10" t="n">
        <f aca="false">IF(OR(F17="",Z17="",N(AA17)&lt;=0),"",1-NORMDIST(FLOOR(F17,1)+0.5,Z17,AA17,TRUE()))</f>
        <v>0.49885592812521</v>
      </c>
      <c r="AC17" s="10" t="n">
        <f aca="false">IF(AB17="","",NORMDIST(CEILING(F17,1)-0.5,Z17,AA17,TRUE()))</f>
        <v>0.501144071874791</v>
      </c>
      <c r="AD17" s="0" t="str">
        <f aca="false">IF(AB17="","",IF(AB17&gt;=0.5+Config!$B$6,"OVER",IF(AC17&gt;=0.5+Config!$B$6,"UNDER","—")))</f>
        <v>—</v>
      </c>
      <c r="AE17" s="13" t="n">
        <f aca="false">IFERROR(Z17/G17,"")</f>
        <v>1</v>
      </c>
    </row>
    <row r="18" customFormat="false" ht="15" hidden="false" customHeight="false" outlineLevel="0" collapsed="false">
      <c r="A18" s="0" t="s">
        <v>988</v>
      </c>
      <c r="B18" s="0" t="s">
        <v>1002</v>
      </c>
      <c r="C18" s="0" t="s">
        <v>1133</v>
      </c>
      <c r="D18" s="0" t="s">
        <v>1007</v>
      </c>
      <c r="E18" s="0" t="s">
        <v>1107</v>
      </c>
      <c r="F18" s="0" t="n">
        <v>15.5</v>
      </c>
      <c r="G18" s="11" t="n">
        <f aca="false">IFERROR(INDEX(CHOOSE(MATCH($X18,{"K1","K2","K3","K12","K13","H1","H2","H3","H12","H13"},0),Calc!$V$2:$V$124,Calc!$AC$2:$AC$124,Calc!$AJ$2:$AJ$124,Calc!$AL$2:$AL$124,Calc!$AM$2:$AM$124,Calc!$W$2:$W$124,Calc!$AD$2:$AD$124,Calc!$AK$2:$AK$124,Calc!$AN$2:$AN$124,Calc!$AO$2:$AO$124),MATCH($W18,Calc!$A$2:$A$124,0)),"")</f>
        <v>16.6566835502959</v>
      </c>
      <c r="H18" s="11" t="n">
        <f aca="false">IF(G18="","",IF(LEFT($X18,1)="H",SQRT(G18*(IFERROR(INDEX(Calc!$AP$2:$AP$124,MATCH($W18,Calc!$A$2:$A$124,0)),0.5)*Config!$B$5+1-IFERROR(INDEX(Calc!$AP$2:$AP$124,MATCH($W18,Calc!$A$2:$A$124,0)),0.5))),SQRT(G18*Config!$B$5)))</f>
        <v>4.47686321732441</v>
      </c>
      <c r="I18" s="10" t="n">
        <f aca="false">IF(OR(F18="",G18="",N(H18)&lt;=0),"",1-NORMDIST(FLOOR(F18,1)+0.5,G18,H18,TRUE()))</f>
        <v>0.601939006155406</v>
      </c>
      <c r="J18" s="10" t="n">
        <f aca="false">IF(I18="","",NORMDIST(CEILING(F18,1)-0.5,G18,H18,TRUE()))</f>
        <v>0.398060993844594</v>
      </c>
      <c r="K18" s="10" t="n">
        <f aca="false">IF(I18="","",MAX(0,1-I18-J18))</f>
        <v>0</v>
      </c>
      <c r="L18" s="0" t="str">
        <f aca="false">IF(I18="","",IF(I18&gt;=0.5+Config!$B$6,"OVER",IF(J18&gt;=0.5+Config!$B$6,"UNDER","—")))</f>
        <v>OVER</v>
      </c>
      <c r="N18" s="0" t="n">
        <v>13.6</v>
      </c>
      <c r="O18" s="10" t="n">
        <v>0.4</v>
      </c>
      <c r="P18" s="10" t="n">
        <v>0.2</v>
      </c>
      <c r="Q18" s="10" t="n">
        <v>0.4</v>
      </c>
      <c r="R18" s="9" t="s">
        <v>1124</v>
      </c>
      <c r="S18" s="0" t="n">
        <v>1</v>
      </c>
      <c r="T18" s="0" t="str">
        <f aca="false">INDEX(Calc!$G$2:$G$124,MATCH($W18,Calc!$A$2:$A$124,0))&amp;" / "&amp;INDEX(Calc!$H$2:$H$124,MATCH($W18,Calc!$A$2:$A$124,0))</f>
        <v>Inferno / Dust2</v>
      </c>
      <c r="U18" s="0" t="str">
        <f aca="false">TEXT(INDEX(Calc!$J$2:$J$124,MATCH($W18,Calc!$A$2:$A$124,0)),"0.0")&amp;" / "&amp;TEXT(INDEX(Calc!$K$2:$K$124,MATCH($W18,Calc!$A$2:$A$124,0)),"0.0")</f>
        <v>21.5 / 21.5</v>
      </c>
      <c r="V18" s="0" t="str">
        <f aca="false">IFERROR(INDEX(Calc!$AQ$2:$AQ$124,MATCH($W18,Calc!$A$2:$A$124,0)),"")</f>
        <v/>
      </c>
      <c r="W18" s="9" t="s">
        <v>1134</v>
      </c>
      <c r="X18" s="9" t="s">
        <v>1110</v>
      </c>
      <c r="Y18" s="0" t="str">
        <f aca="false">W18&amp;"|"&amp;X18</f>
        <v>r0t80uiaisgetxr|CS2 [NO MARKET] · ACE vs UNiTY|H12</v>
      </c>
      <c r="Z18" s="11" t="n">
        <f aca="false">IFERROR(INDEX(CHOOSE(MATCH($X18,{"K1","K2","K3","K12","K13","H1","H2","H3","H12","H13"},0),Calc!$BA$2:$BA$124,Calc!$BB$2:$BB$124,Calc!$BC$2:$BC$124,Calc!$BD$2:$BD$124,Calc!$BE$2:$BE$124,Calc!$BF$2:$BF$124,Calc!$BG$2:$BG$124,Calc!$BH$2:$BH$124,Calc!$BI$2:$BI$124,Calc!$BJ$2:$BJ$124),MATCH($W18,Calc!$A$2:$A$124,0)),"")</f>
        <v>16.6566835502959</v>
      </c>
      <c r="AA18" s="11" t="n">
        <f aca="false">IF(Z18="","",IF(LEFT($X18,1)="H",SQRT(Z18*(IFERROR(INDEX(Calc!$AP$2:$AP$124,MATCH($W18,Calc!$A$2:$A$124,0)),0.5)*Config!$B$5+1-IFERROR(INDEX(Calc!$AP$2:$AP$124,MATCH($W18,Calc!$A$2:$A$124,0)),0.5))),SQRT(Z18*Config!$B$5)))</f>
        <v>4.47686321732441</v>
      </c>
      <c r="AB18" s="10" t="n">
        <f aca="false">IF(OR(F18="",Z18="",N(AA18)&lt;=0),"",1-NORMDIST(FLOOR(F18,1)+0.5,Z18,AA18,TRUE()))</f>
        <v>0.601939006155406</v>
      </c>
      <c r="AC18" s="10" t="n">
        <f aca="false">IF(AB18="","",NORMDIST(CEILING(F18,1)-0.5,Z18,AA18,TRUE()))</f>
        <v>0.398060993844594</v>
      </c>
      <c r="AD18" s="0" t="str">
        <f aca="false">IF(AB18="","",IF(AB18&gt;=0.5+Config!$B$6,"OVER",IF(AC18&gt;=0.5+Config!$B$6,"UNDER","—")))</f>
        <v>OVER</v>
      </c>
      <c r="AE18" s="13" t="n">
        <f aca="false">IFERROR(Z18/G18,"")</f>
        <v>1</v>
      </c>
    </row>
    <row r="19" customFormat="false" ht="15" hidden="false" customHeight="false" outlineLevel="0" collapsed="false">
      <c r="A19" s="0" t="s">
        <v>988</v>
      </c>
      <c r="B19" s="0" t="s">
        <v>1002</v>
      </c>
      <c r="C19" s="0" t="s">
        <v>1133</v>
      </c>
      <c r="D19" s="0" t="s">
        <v>1007</v>
      </c>
      <c r="E19" s="0" t="s">
        <v>1111</v>
      </c>
      <c r="F19" s="0" t="n">
        <v>29.5</v>
      </c>
      <c r="G19" s="11" t="n">
        <f aca="false">IFERROR(INDEX(CHOOSE(MATCH($X19,{"K1","K2","K3","K12","K13","H1","H2","H3","H12","H13"},0),Calc!$V$2:$V$124,Calc!$AC$2:$AC$124,Calc!$AJ$2:$AJ$124,Calc!$AL$2:$AL$124,Calc!$AM$2:$AM$124,Calc!$W$2:$W$124,Calc!$AD$2:$AD$124,Calc!$AK$2:$AK$124,Calc!$AN$2:$AN$124,Calc!$AO$2:$AO$124),MATCH($W19,Calc!$A$2:$A$124,0)),"")</f>
        <v>32.7792307692308</v>
      </c>
      <c r="H19" s="11" t="n">
        <f aca="false">IF(G19="","",IF(LEFT($X19,1)="H",SQRT(G19*(IFERROR(INDEX(Calc!$AP$2:$AP$124,MATCH($W19,Calc!$A$2:$A$124,0)),0.5)*Config!$B$5+1-IFERROR(INDEX(Calc!$AP$2:$AP$124,MATCH($W19,Calc!$A$2:$A$124,0)),0.5))),SQRT(G19*Config!$B$5)))</f>
        <v>6.77428395307748</v>
      </c>
      <c r="I19" s="10" t="n">
        <f aca="false">IF(OR(F19="",G19="",N(H19)&lt;=0),"",1-NORMDIST(FLOOR(F19,1)+0.5,G19,H19,TRUE()))</f>
        <v>0.685832068625549</v>
      </c>
      <c r="J19" s="10" t="n">
        <f aca="false">IF(I19="","",NORMDIST(CEILING(F19,1)-0.5,G19,H19,TRUE()))</f>
        <v>0.314167931374451</v>
      </c>
      <c r="K19" s="10" t="n">
        <f aca="false">IF(I19="","",MAX(0,1-I19-J19))</f>
        <v>0</v>
      </c>
      <c r="L19" s="0" t="str">
        <f aca="false">IF(I19="","",IF(I19&gt;=0.5+Config!$B$6,"OVER",IF(J19&gt;=0.5+Config!$B$6,"UNDER","—")))</f>
        <v>OVER</v>
      </c>
      <c r="N19" s="0" t="n">
        <v>29.5</v>
      </c>
      <c r="O19" s="10" t="n">
        <v>0.6</v>
      </c>
      <c r="P19" s="10" t="n">
        <v>0.5</v>
      </c>
      <c r="Q19" s="10" t="n">
        <v>0.6</v>
      </c>
      <c r="R19" s="9" t="s">
        <v>1131</v>
      </c>
      <c r="S19" s="0" t="n">
        <v>1</v>
      </c>
      <c r="T19" s="0" t="str">
        <f aca="false">INDEX(Calc!$G$2:$G$124,MATCH($W19,Calc!$A$2:$A$124,0))&amp;" / "&amp;INDEX(Calc!$H$2:$H$124,MATCH($W19,Calc!$A$2:$A$124,0))</f>
        <v>Inferno / Dust2</v>
      </c>
      <c r="U19" s="0" t="str">
        <f aca="false">TEXT(INDEX(Calc!$J$2:$J$124,MATCH($W19,Calc!$A$2:$A$124,0)),"0.0")&amp;" / "&amp;TEXT(INDEX(Calc!$K$2:$K$124,MATCH($W19,Calc!$A$2:$A$124,0)),"0.0")</f>
        <v>21.5 / 21.5</v>
      </c>
      <c r="V19" s="0" t="str">
        <f aca="false">IFERROR(INDEX(Calc!$AQ$2:$AQ$124,MATCH($W19,Calc!$A$2:$A$124,0)),"")</f>
        <v/>
      </c>
      <c r="W19" s="9" t="s">
        <v>1134</v>
      </c>
      <c r="X19" s="9" t="s">
        <v>1112</v>
      </c>
      <c r="Y19" s="0" t="str">
        <f aca="false">W19&amp;"|"&amp;X19</f>
        <v>r0t80uiaisgetxr|CS2 [NO MARKET] · ACE vs UNiTY|K12</v>
      </c>
      <c r="Z19" s="11" t="n">
        <f aca="false">IFERROR(INDEX(CHOOSE(MATCH($X19,{"K1","K2","K3","K12","K13","H1","H2","H3","H12","H13"},0),Calc!$BA$2:$BA$124,Calc!$BB$2:$BB$124,Calc!$BC$2:$BC$124,Calc!$BD$2:$BD$124,Calc!$BE$2:$BE$124,Calc!$BF$2:$BF$124,Calc!$BG$2:$BG$124,Calc!$BH$2:$BH$124,Calc!$BI$2:$BI$124,Calc!$BJ$2:$BJ$124),MATCH($W19,Calc!$A$2:$A$124,0)),"")</f>
        <v>32.7792307692308</v>
      </c>
      <c r="AA19" s="11" t="n">
        <f aca="false">IF(Z19="","",IF(LEFT($X19,1)="H",SQRT(Z19*(IFERROR(INDEX(Calc!$AP$2:$AP$124,MATCH($W19,Calc!$A$2:$A$124,0)),0.5)*Config!$B$5+1-IFERROR(INDEX(Calc!$AP$2:$AP$124,MATCH($W19,Calc!$A$2:$A$124,0)),0.5))),SQRT(Z19*Config!$B$5)))</f>
        <v>6.77428395307748</v>
      </c>
      <c r="AB19" s="10" t="n">
        <f aca="false">IF(OR(F19="",Z19="",N(AA19)&lt;=0),"",1-NORMDIST(FLOOR(F19,1)+0.5,Z19,AA19,TRUE()))</f>
        <v>0.685832068625549</v>
      </c>
      <c r="AC19" s="10" t="n">
        <f aca="false">IF(AB19="","",NORMDIST(CEILING(F19,1)-0.5,Z19,AA19,TRUE()))</f>
        <v>0.314167931374451</v>
      </c>
      <c r="AD19" s="0" t="str">
        <f aca="false">IF(AB19="","",IF(AB19&gt;=0.5+Config!$B$6,"OVER",IF(AC19&gt;=0.5+Config!$B$6,"UNDER","—")))</f>
        <v>OVER</v>
      </c>
      <c r="AE19" s="13" t="n">
        <f aca="false">IFERROR(Z19/G19,"")</f>
        <v>1</v>
      </c>
    </row>
    <row r="20" customFormat="false" ht="15" hidden="false" customHeight="false" outlineLevel="0" collapsed="false">
      <c r="A20" s="0" t="s">
        <v>988</v>
      </c>
      <c r="B20" s="0" t="s">
        <v>1002</v>
      </c>
      <c r="C20" s="0" t="s">
        <v>1135</v>
      </c>
      <c r="D20" s="0" t="s">
        <v>1007</v>
      </c>
      <c r="E20" s="0" t="s">
        <v>1107</v>
      </c>
      <c r="F20" s="0" t="n">
        <v>10.5</v>
      </c>
      <c r="G20" s="11" t="n">
        <f aca="false">IFERROR(INDEX(CHOOSE(MATCH($X20,{"K1","K2","K3","K12","K13","H1","H2","H3","H12","H13"},0),Calc!$V$2:$V$124,Calc!$AC$2:$AC$124,Calc!$AJ$2:$AJ$124,Calc!$AL$2:$AL$124,Calc!$AM$2:$AM$124,Calc!$W$2:$W$124,Calc!$AD$2:$AD$124,Calc!$AK$2:$AK$124,Calc!$AN$2:$AN$124,Calc!$AO$2:$AO$124),MATCH($W20,Calc!$A$2:$A$124,0)),"")</f>
        <v>10.9695041863905</v>
      </c>
      <c r="H20" s="11" t="n">
        <f aca="false">IF(G20="","",IF(LEFT($X20,1)="H",SQRT(G20*(IFERROR(INDEX(Calc!$AP$2:$AP$124,MATCH($W20,Calc!$A$2:$A$124,0)),0.5)*Config!$B$5+1-IFERROR(INDEX(Calc!$AP$2:$AP$124,MATCH($W20,Calc!$A$2:$A$124,0)),0.5))),SQRT(G20*Config!$B$5)))</f>
        <v>3.54823092075207</v>
      </c>
      <c r="I20" s="10" t="n">
        <f aca="false">IF(OR(F20="",G20="",N(H20)&lt;=0),"",1-NORMDIST(FLOOR(F20,1)+0.5,G20,H20,TRUE()))</f>
        <v>0.552634658731312</v>
      </c>
      <c r="J20" s="10" t="n">
        <f aca="false">IF(I20="","",NORMDIST(CEILING(F20,1)-0.5,G20,H20,TRUE()))</f>
        <v>0.447365341268688</v>
      </c>
      <c r="K20" s="10" t="n">
        <f aca="false">IF(I20="","",MAX(0,1-I20-J20))</f>
        <v>0</v>
      </c>
      <c r="L20" s="0" t="str">
        <f aca="false">IF(I20="","",IF(I20&gt;=0.5+Config!$B$6,"OVER",IF(J20&gt;=0.5+Config!$B$6,"UNDER","—")))</f>
        <v>OVER</v>
      </c>
      <c r="N20" s="0" t="n">
        <v>10.4</v>
      </c>
      <c r="O20" s="10" t="n">
        <v>0.4</v>
      </c>
      <c r="P20" s="10" t="n">
        <v>0.5</v>
      </c>
      <c r="Q20" s="10" t="n">
        <v>0.53</v>
      </c>
      <c r="R20" s="9" t="s">
        <v>1124</v>
      </c>
      <c r="S20" s="0" t="n">
        <v>-1</v>
      </c>
      <c r="T20" s="0" t="str">
        <f aca="false">INDEX(Calc!$G$2:$G$124,MATCH($W20,Calc!$A$2:$A$124,0))&amp;" / "&amp;INDEX(Calc!$H$2:$H$124,MATCH($W20,Calc!$A$2:$A$124,0))</f>
        <v>Inferno / Dust2</v>
      </c>
      <c r="U20" s="0" t="str">
        <f aca="false">TEXT(INDEX(Calc!$J$2:$J$124,MATCH($W20,Calc!$A$2:$A$124,0)),"0.0")&amp;" / "&amp;TEXT(INDEX(Calc!$K$2:$K$124,MATCH($W20,Calc!$A$2:$A$124,0)),"0.0")</f>
        <v>21.5 / 21.5</v>
      </c>
      <c r="V20" s="0" t="str">
        <f aca="false">IFERROR(INDEX(Calc!$AQ$2:$AQ$124,MATCH($W20,Calc!$A$2:$A$124,0)),"")</f>
        <v/>
      </c>
      <c r="W20" s="9" t="s">
        <v>1136</v>
      </c>
      <c r="X20" s="9" t="s">
        <v>1110</v>
      </c>
      <c r="Y20" s="0" t="str">
        <f aca="false">W20&amp;"|"&amp;X20</f>
        <v>c8wc8d745qhelxm|CS2 [NO MARKET] · ACE vs UNiTY|H12</v>
      </c>
      <c r="Z20" s="11" t="n">
        <f aca="false">IFERROR(INDEX(CHOOSE(MATCH($X20,{"K1","K2","K3","K12","K13","H1","H2","H3","H12","H13"},0),Calc!$BA$2:$BA$124,Calc!$BB$2:$BB$124,Calc!$BC$2:$BC$124,Calc!$BD$2:$BD$124,Calc!$BE$2:$BE$124,Calc!$BF$2:$BF$124,Calc!$BG$2:$BG$124,Calc!$BH$2:$BH$124,Calc!$BI$2:$BI$124,Calc!$BJ$2:$BJ$124),MATCH($W20,Calc!$A$2:$A$124,0)),"")</f>
        <v>10.9695041863905</v>
      </c>
      <c r="AA20" s="11" t="n">
        <f aca="false">IF(Z20="","",IF(LEFT($X20,1)="H",SQRT(Z20*(IFERROR(INDEX(Calc!$AP$2:$AP$124,MATCH($W20,Calc!$A$2:$A$124,0)),0.5)*Config!$B$5+1-IFERROR(INDEX(Calc!$AP$2:$AP$124,MATCH($W20,Calc!$A$2:$A$124,0)),0.5))),SQRT(Z20*Config!$B$5)))</f>
        <v>3.54823092075207</v>
      </c>
      <c r="AB20" s="10" t="n">
        <f aca="false">IF(OR(F20="",Z20="",N(AA20)&lt;=0),"",1-NORMDIST(FLOOR(F20,1)+0.5,Z20,AA20,TRUE()))</f>
        <v>0.552634658731312</v>
      </c>
      <c r="AC20" s="10" t="n">
        <f aca="false">IF(AB20="","",NORMDIST(CEILING(F20,1)-0.5,Z20,AA20,TRUE()))</f>
        <v>0.447365341268688</v>
      </c>
      <c r="AD20" s="0" t="str">
        <f aca="false">IF(AB20="","",IF(AB20&gt;=0.5+Config!$B$6,"OVER",IF(AC20&gt;=0.5+Config!$B$6,"UNDER","—")))</f>
        <v>OVER</v>
      </c>
      <c r="AE20" s="13" t="n">
        <f aca="false">IFERROR(Z20/G20,"")</f>
        <v>1</v>
      </c>
    </row>
    <row r="21" customFormat="false" ht="15" hidden="false" customHeight="false" outlineLevel="0" collapsed="false">
      <c r="A21" s="0" t="s">
        <v>988</v>
      </c>
      <c r="B21" s="0" t="s">
        <v>1002</v>
      </c>
      <c r="C21" s="0" t="s">
        <v>1135</v>
      </c>
      <c r="D21" s="0" t="s">
        <v>1007</v>
      </c>
      <c r="E21" s="0" t="s">
        <v>1111</v>
      </c>
      <c r="F21" s="0" t="n">
        <v>30.5</v>
      </c>
      <c r="G21" s="11" t="n">
        <f aca="false">IFERROR(INDEX(CHOOSE(MATCH($X21,{"K1","K2","K3","K12","K13","H1","H2","H3","H12","H13"},0),Calc!$V$2:$V$124,Calc!$AC$2:$AC$124,Calc!$AJ$2:$AJ$124,Calc!$AL$2:$AL$124,Calc!$AM$2:$AM$124,Calc!$W$2:$W$124,Calc!$AD$2:$AD$124,Calc!$AK$2:$AK$124,Calc!$AN$2:$AN$124,Calc!$AO$2:$AO$124),MATCH($W21,Calc!$A$2:$A$124,0)),"")</f>
        <v>29.7030769230769</v>
      </c>
      <c r="H21" s="11" t="n">
        <f aca="false">IF(G21="","",IF(LEFT($X21,1)="H",SQRT(G21*(IFERROR(INDEX(Calc!$AP$2:$AP$124,MATCH($W21,Calc!$A$2:$A$124,0)),0.5)*Config!$B$5+1-IFERROR(INDEX(Calc!$AP$2:$AP$124,MATCH($W21,Calc!$A$2:$A$124,0)),0.5))),SQRT(G21*Config!$B$5)))</f>
        <v>6.44858958938369</v>
      </c>
      <c r="I21" s="10" t="n">
        <f aca="false">IF(OR(F21="",G21="",N(H21)&lt;=0),"",1-NORMDIST(FLOOR(F21,1)+0.5,G21,H21,TRUE()))</f>
        <v>0.450823522966607</v>
      </c>
      <c r="J21" s="10" t="n">
        <f aca="false">IF(I21="","",NORMDIST(CEILING(F21,1)-0.5,G21,H21,TRUE()))</f>
        <v>0.549176477033393</v>
      </c>
      <c r="K21" s="10" t="n">
        <f aca="false">IF(I21="","",MAX(0,1-I21-J21))</f>
        <v>0</v>
      </c>
      <c r="L21" s="0" t="str">
        <f aca="false">IF(I21="","",IF(I21&gt;=0.5+Config!$B$6,"OVER",IF(J21&gt;=0.5+Config!$B$6,"UNDER","—")))</f>
        <v>UNDER</v>
      </c>
      <c r="N21" s="0" t="n">
        <v>28.3</v>
      </c>
      <c r="O21" s="10" t="n">
        <v>0.2</v>
      </c>
      <c r="P21" s="10" t="n">
        <v>0.3</v>
      </c>
      <c r="Q21" s="10" t="n">
        <v>0.47</v>
      </c>
      <c r="R21" s="9" t="s">
        <v>1124</v>
      </c>
      <c r="S21" s="0" t="n">
        <v>-2</v>
      </c>
      <c r="T21" s="0" t="str">
        <f aca="false">INDEX(Calc!$G$2:$G$124,MATCH($W21,Calc!$A$2:$A$124,0))&amp;" / "&amp;INDEX(Calc!$H$2:$H$124,MATCH($W21,Calc!$A$2:$A$124,0))</f>
        <v>Inferno / Dust2</v>
      </c>
      <c r="U21" s="0" t="str">
        <f aca="false">TEXT(INDEX(Calc!$J$2:$J$124,MATCH($W21,Calc!$A$2:$A$124,0)),"0.0")&amp;" / "&amp;TEXT(INDEX(Calc!$K$2:$K$124,MATCH($W21,Calc!$A$2:$A$124,0)),"0.0")</f>
        <v>21.5 / 21.5</v>
      </c>
      <c r="V21" s="0" t="str">
        <f aca="false">IFERROR(INDEX(Calc!$AQ$2:$AQ$124,MATCH($W21,Calc!$A$2:$A$124,0)),"")</f>
        <v/>
      </c>
      <c r="W21" s="9" t="s">
        <v>1136</v>
      </c>
      <c r="X21" s="9" t="s">
        <v>1112</v>
      </c>
      <c r="Y21" s="0" t="str">
        <f aca="false">W21&amp;"|"&amp;X21</f>
        <v>c8wc8d745qhelxm|CS2 [NO MARKET] · ACE vs UNiTY|K12</v>
      </c>
      <c r="Z21" s="11" t="n">
        <f aca="false">IFERROR(INDEX(CHOOSE(MATCH($X21,{"K1","K2","K3","K12","K13","H1","H2","H3","H12","H13"},0),Calc!$BA$2:$BA$124,Calc!$BB$2:$BB$124,Calc!$BC$2:$BC$124,Calc!$BD$2:$BD$124,Calc!$BE$2:$BE$124,Calc!$BF$2:$BF$124,Calc!$BG$2:$BG$124,Calc!$BH$2:$BH$124,Calc!$BI$2:$BI$124,Calc!$BJ$2:$BJ$124),MATCH($W21,Calc!$A$2:$A$124,0)),"")</f>
        <v>29.7030769230769</v>
      </c>
      <c r="AA21" s="11" t="n">
        <f aca="false">IF(Z21="","",IF(LEFT($X21,1)="H",SQRT(Z21*(IFERROR(INDEX(Calc!$AP$2:$AP$124,MATCH($W21,Calc!$A$2:$A$124,0)),0.5)*Config!$B$5+1-IFERROR(INDEX(Calc!$AP$2:$AP$124,MATCH($W21,Calc!$A$2:$A$124,0)),0.5))),SQRT(Z21*Config!$B$5)))</f>
        <v>6.44858958938369</v>
      </c>
      <c r="AB21" s="10" t="n">
        <f aca="false">IF(OR(F21="",Z21="",N(AA21)&lt;=0),"",1-NORMDIST(FLOOR(F21,1)+0.5,Z21,AA21,TRUE()))</f>
        <v>0.450823522966607</v>
      </c>
      <c r="AC21" s="10" t="n">
        <f aca="false">IF(AB21="","",NORMDIST(CEILING(F21,1)-0.5,Z21,AA21,TRUE()))</f>
        <v>0.549176477033393</v>
      </c>
      <c r="AD21" s="0" t="str">
        <f aca="false">IF(AB21="","",IF(AB21&gt;=0.5+Config!$B$6,"OVER",IF(AC21&gt;=0.5+Config!$B$6,"UNDER","—")))</f>
        <v>UNDER</v>
      </c>
      <c r="AE21" s="13" t="n">
        <f aca="false">IFERROR(Z21/G21,"")</f>
        <v>1</v>
      </c>
    </row>
    <row r="22" customFormat="false" ht="15" hidden="false" customHeight="false" outlineLevel="0" collapsed="false">
      <c r="A22" s="0" t="s">
        <v>988</v>
      </c>
      <c r="B22" s="0" t="s">
        <v>1027</v>
      </c>
      <c r="C22" s="0" t="s">
        <v>1137</v>
      </c>
      <c r="D22" s="0" t="s">
        <v>1033</v>
      </c>
      <c r="E22" s="0" t="s">
        <v>1107</v>
      </c>
      <c r="F22" s="0" t="n">
        <v>18.5</v>
      </c>
      <c r="G22" s="11" t="n">
        <f aca="false">IFERROR(INDEX(CHOOSE(MATCH($X22,{"K1","K2","K3","K12","K13","H1","H2","H3","H12","H13"},0),Calc!$V$2:$V$124,Calc!$AC$2:$AC$124,Calc!$AJ$2:$AJ$124,Calc!$AL$2:$AL$124,Calc!$AM$2:$AM$124,Calc!$W$2:$W$124,Calc!$AD$2:$AD$124,Calc!$AK$2:$AK$124,Calc!$AN$2:$AN$124,Calc!$AO$2:$AO$124),MATCH($W22,Calc!$A$2:$A$124,0)),"")</f>
        <v>17.3587413867188</v>
      </c>
      <c r="H22" s="11" t="n">
        <f aca="false">IF(G22="","",IF(LEFT($X22,1)="H",SQRT(G22*(IFERROR(INDEX(Calc!$AP$2:$AP$124,MATCH($W22,Calc!$A$2:$A$124,0)),0.5)*Config!$B$5+1-IFERROR(INDEX(Calc!$AP$2:$AP$124,MATCH($W22,Calc!$A$2:$A$124,0)),0.5))),SQRT(G22*Config!$B$5)))</f>
        <v>4.63617838322936</v>
      </c>
      <c r="I22" s="10" t="n">
        <f aca="false">IF(OR(F22="",G22="",N(H22)&lt;=0),"",1-NORMDIST(FLOOR(F22,1)+0.5,G22,H22,TRUE()))</f>
        <v>0.402777774781372</v>
      </c>
      <c r="J22" s="10" t="n">
        <f aca="false">IF(I22="","",NORMDIST(CEILING(F22,1)-0.5,G22,H22,TRUE()))</f>
        <v>0.597222225218628</v>
      </c>
      <c r="K22" s="10" t="n">
        <f aca="false">IF(I22="","",MAX(0,1-I22-J22))</f>
        <v>0</v>
      </c>
      <c r="L22" s="0" t="str">
        <f aca="false">IF(I22="","",IF(I22&gt;=0.5+Config!$B$6,"OVER",IF(J22&gt;=0.5+Config!$B$6,"UNDER","—")))</f>
        <v>UNDER</v>
      </c>
      <c r="N22" s="0" t="n">
        <v>18.3</v>
      </c>
      <c r="O22" s="10" t="n">
        <v>0.8</v>
      </c>
      <c r="P22" s="10" t="n">
        <v>0.6</v>
      </c>
      <c r="Q22" s="10" t="n">
        <v>0.6</v>
      </c>
      <c r="R22" s="9" t="s">
        <v>1108</v>
      </c>
      <c r="S22" s="0" t="n">
        <v>1</v>
      </c>
      <c r="T22" s="0" t="str">
        <f aca="false">INDEX(Calc!$G$2:$G$124,MATCH($W22,Calc!$A$2:$A$124,0))&amp;" / "&amp;INDEX(Calc!$H$2:$H$124,MATCH($W22,Calc!$A$2:$A$124,0))</f>
        <v>Cache / Nuke</v>
      </c>
      <c r="U22" s="0" t="str">
        <f aca="false">TEXT(INDEX(Calc!$J$2:$J$124,MATCH($W22,Calc!$A$2:$A$124,0)),"0.0")&amp;" / "&amp;TEXT(INDEX(Calc!$K$2:$K$124,MATCH($W22,Calc!$A$2:$A$124,0)),"0.0")</f>
        <v>21.5 / 21.5</v>
      </c>
      <c r="V22" s="0" t="str">
        <f aca="false">IFERROR(INDEX(Calc!$AQ$2:$AQ$124,MATCH($W22,Calc!$A$2:$A$124,0)),"")</f>
        <v/>
      </c>
      <c r="W22" s="9" t="s">
        <v>1138</v>
      </c>
      <c r="X22" s="9" t="s">
        <v>1110</v>
      </c>
      <c r="Y22" s="0" t="str">
        <f aca="false">W22&amp;"|"&amp;X22</f>
        <v>h2c84157n2ymvv2|CS2 [NO MARKET] · BAKS vs MZP|H12</v>
      </c>
      <c r="Z22" s="11" t="n">
        <f aca="false">IFERROR(INDEX(CHOOSE(MATCH($X22,{"K1","K2","K3","K12","K13","H1","H2","H3","H12","H13"},0),Calc!$BA$2:$BA$124,Calc!$BB$2:$BB$124,Calc!$BC$2:$BC$124,Calc!$BD$2:$BD$124,Calc!$BE$2:$BE$124,Calc!$BF$2:$BF$124,Calc!$BG$2:$BG$124,Calc!$BH$2:$BH$124,Calc!$BI$2:$BI$124,Calc!$BJ$2:$BJ$124),MATCH($W22,Calc!$A$2:$A$124,0)),"")</f>
        <v>17.3587413867188</v>
      </c>
      <c r="AA22" s="11" t="n">
        <f aca="false">IF(Z22="","",IF(LEFT($X22,1)="H",SQRT(Z22*(IFERROR(INDEX(Calc!$AP$2:$AP$124,MATCH($W22,Calc!$A$2:$A$124,0)),0.5)*Config!$B$5+1-IFERROR(INDEX(Calc!$AP$2:$AP$124,MATCH($W22,Calc!$A$2:$A$124,0)),0.5))),SQRT(Z22*Config!$B$5)))</f>
        <v>4.63617838322936</v>
      </c>
      <c r="AB22" s="10" t="n">
        <f aca="false">IF(OR(F22="",Z22="",N(AA22)&lt;=0),"",1-NORMDIST(FLOOR(F22,1)+0.5,Z22,AA22,TRUE()))</f>
        <v>0.402777774781372</v>
      </c>
      <c r="AC22" s="10" t="n">
        <f aca="false">IF(AB22="","",NORMDIST(CEILING(F22,1)-0.5,Z22,AA22,TRUE()))</f>
        <v>0.597222225218628</v>
      </c>
      <c r="AD22" s="0" t="str">
        <f aca="false">IF(AB22="","",IF(AB22&gt;=0.5+Config!$B$6,"OVER",IF(AC22&gt;=0.5+Config!$B$6,"UNDER","—")))</f>
        <v>UNDER</v>
      </c>
      <c r="AE22" s="13" t="n">
        <f aca="false">IFERROR(Z22/G22,"")</f>
        <v>1</v>
      </c>
    </row>
    <row r="23" customFormat="false" ht="15" hidden="false" customHeight="false" outlineLevel="0" collapsed="false">
      <c r="A23" s="0" t="s">
        <v>988</v>
      </c>
      <c r="B23" s="0" t="s">
        <v>1027</v>
      </c>
      <c r="C23" s="0" t="s">
        <v>1137</v>
      </c>
      <c r="D23" s="0" t="s">
        <v>1033</v>
      </c>
      <c r="E23" s="0" t="s">
        <v>1111</v>
      </c>
      <c r="F23" s="0" t="n">
        <v>31</v>
      </c>
      <c r="G23" s="11" t="n">
        <f aca="false">IFERROR(INDEX(CHOOSE(MATCH($X23,{"K1","K2","K3","K12","K13","H1","H2","H3","H12","H13"},0),Calc!$V$2:$V$124,Calc!$AC$2:$AC$124,Calc!$AJ$2:$AJ$124,Calc!$AL$2:$AL$124,Calc!$AM$2:$AM$124,Calc!$W$2:$W$124,Calc!$AD$2:$AD$124,Calc!$AK$2:$AK$124,Calc!$AN$2:$AN$124,Calc!$AO$2:$AO$124),MATCH($W23,Calc!$A$2:$A$124,0)),"")</f>
        <v>29.1459375</v>
      </c>
      <c r="H23" s="11" t="n">
        <f aca="false">IF(G23="","",IF(LEFT($X23,1)="H",SQRT(G23*(IFERROR(INDEX(Calc!$AP$2:$AP$124,MATCH($W23,Calc!$A$2:$A$124,0)),0.5)*Config!$B$5+1-IFERROR(INDEX(Calc!$AP$2:$AP$124,MATCH($W23,Calc!$A$2:$A$124,0)),0.5))),SQRT(G23*Config!$B$5)))</f>
        <v>6.38782533418064</v>
      </c>
      <c r="I23" s="10" t="n">
        <f aca="false">IF(OR(F23="",G23="",N(H23)&lt;=0),"",1-NORMDIST(FLOOR(F23,1)+0.5,G23,H23,TRUE()))</f>
        <v>0.356241535787726</v>
      </c>
      <c r="J23" s="10" t="n">
        <f aca="false">IF(I23="","",NORMDIST(CEILING(F23,1)-0.5,G23,H23,TRUE()))</f>
        <v>0.583936927807197</v>
      </c>
      <c r="K23" s="10" t="n">
        <f aca="false">IF(I23="","",MAX(0,1-I23-J23))</f>
        <v>0.0598215364050773</v>
      </c>
      <c r="L23" s="0" t="str">
        <f aca="false">IF(I23="","",IF(I23&gt;=0.5+Config!$B$6,"OVER",IF(J23&gt;=0.5+Config!$B$6,"UNDER","—")))</f>
        <v>UNDER</v>
      </c>
      <c r="N23" s="0" t="n">
        <v>31.1</v>
      </c>
      <c r="O23" s="10" t="n">
        <v>0.8</v>
      </c>
      <c r="P23" s="10" t="n">
        <v>0.6</v>
      </c>
      <c r="Q23" s="10" t="n">
        <v>0.6</v>
      </c>
      <c r="R23" s="9" t="s">
        <v>1108</v>
      </c>
      <c r="S23" s="0" t="n">
        <v>1</v>
      </c>
      <c r="T23" s="0" t="str">
        <f aca="false">INDEX(Calc!$G$2:$G$124,MATCH($W23,Calc!$A$2:$A$124,0))&amp;" / "&amp;INDEX(Calc!$H$2:$H$124,MATCH($W23,Calc!$A$2:$A$124,0))</f>
        <v>Cache / Nuke</v>
      </c>
      <c r="U23" s="0" t="str">
        <f aca="false">TEXT(INDEX(Calc!$J$2:$J$124,MATCH($W23,Calc!$A$2:$A$124,0)),"0.0")&amp;" / "&amp;TEXT(INDEX(Calc!$K$2:$K$124,MATCH($W23,Calc!$A$2:$A$124,0)),"0.0")</f>
        <v>21.5 / 21.5</v>
      </c>
      <c r="V23" s="0" t="str">
        <f aca="false">IFERROR(INDEX(Calc!$AQ$2:$AQ$124,MATCH($W23,Calc!$A$2:$A$124,0)),"")</f>
        <v/>
      </c>
      <c r="W23" s="9" t="s">
        <v>1138</v>
      </c>
      <c r="X23" s="9" t="s">
        <v>1112</v>
      </c>
      <c r="Y23" s="0" t="str">
        <f aca="false">W23&amp;"|"&amp;X23</f>
        <v>h2c84157n2ymvv2|CS2 [NO MARKET] · BAKS vs MZP|K12</v>
      </c>
      <c r="Z23" s="11" t="n">
        <f aca="false">IFERROR(INDEX(CHOOSE(MATCH($X23,{"K1","K2","K3","K12","K13","H1","H2","H3","H12","H13"},0),Calc!$BA$2:$BA$124,Calc!$BB$2:$BB$124,Calc!$BC$2:$BC$124,Calc!$BD$2:$BD$124,Calc!$BE$2:$BE$124,Calc!$BF$2:$BF$124,Calc!$BG$2:$BG$124,Calc!$BH$2:$BH$124,Calc!$BI$2:$BI$124,Calc!$BJ$2:$BJ$124),MATCH($W23,Calc!$A$2:$A$124,0)),"")</f>
        <v>29.1459375</v>
      </c>
      <c r="AA23" s="11" t="n">
        <f aca="false">IF(Z23="","",IF(LEFT($X23,1)="H",SQRT(Z23*(IFERROR(INDEX(Calc!$AP$2:$AP$124,MATCH($W23,Calc!$A$2:$A$124,0)),0.5)*Config!$B$5+1-IFERROR(INDEX(Calc!$AP$2:$AP$124,MATCH($W23,Calc!$A$2:$A$124,0)),0.5))),SQRT(Z23*Config!$B$5)))</f>
        <v>6.38782533418064</v>
      </c>
      <c r="AB23" s="10" t="n">
        <f aca="false">IF(OR(F23="",Z23="",N(AA23)&lt;=0),"",1-NORMDIST(FLOOR(F23,1)+0.5,Z23,AA23,TRUE()))</f>
        <v>0.356241535787726</v>
      </c>
      <c r="AC23" s="10" t="n">
        <f aca="false">IF(AB23="","",NORMDIST(CEILING(F23,1)-0.5,Z23,AA23,TRUE()))</f>
        <v>0.583936927807197</v>
      </c>
      <c r="AD23" s="0" t="str">
        <f aca="false">IF(AB23="","",IF(AB23&gt;=0.5+Config!$B$6,"OVER",IF(AC23&gt;=0.5+Config!$B$6,"UNDER","—")))</f>
        <v>UNDER</v>
      </c>
      <c r="AE23" s="13" t="n">
        <f aca="false">IFERROR(Z23/G23,"")</f>
        <v>1</v>
      </c>
    </row>
    <row r="24" customFormat="false" ht="15" hidden="false" customHeight="false" outlineLevel="0" collapsed="false">
      <c r="A24" s="0" t="s">
        <v>988</v>
      </c>
      <c r="B24" s="0" t="s">
        <v>1027</v>
      </c>
      <c r="C24" s="0" t="s">
        <v>1139</v>
      </c>
      <c r="D24" s="0" t="s">
        <v>1033</v>
      </c>
      <c r="E24" s="0" t="s">
        <v>1107</v>
      </c>
      <c r="F24" s="0" t="n">
        <v>11</v>
      </c>
      <c r="G24" s="11" t="n">
        <f aca="false">IFERROR(INDEX(CHOOSE(MATCH($X24,{"K1","K2","K3","K12","K13","H1","H2","H3","H12","H13"},0),Calc!$V$2:$V$124,Calc!$AC$2:$AC$124,Calc!$AJ$2:$AJ$124,Calc!$AL$2:$AL$124,Calc!$AM$2:$AM$124,Calc!$W$2:$W$124,Calc!$AD$2:$AD$124,Calc!$AK$2:$AK$124,Calc!$AN$2:$AN$124,Calc!$AO$2:$AO$124),MATCH($W24,Calc!$A$2:$A$124,0)),"")</f>
        <v>10.9810426953125</v>
      </c>
      <c r="H24" s="11" t="n">
        <f aca="false">IF(G24="","",IF(LEFT($X24,1)="H",SQRT(G24*(IFERROR(INDEX(Calc!$AP$2:$AP$124,MATCH($W24,Calc!$A$2:$A$124,0)),0.5)*Config!$B$5+1-IFERROR(INDEX(Calc!$AP$2:$AP$124,MATCH($W24,Calc!$A$2:$A$124,0)),0.5))),SQRT(G24*Config!$B$5)))</f>
        <v>3.54591674187914</v>
      </c>
      <c r="I24" s="10" t="n">
        <f aca="false">IF(OR(F24="",G24="",N(H24)&lt;=0),"",1-NORMDIST(FLOOR(F24,1)+0.5,G24,H24,TRUE()))</f>
        <v>0.441821169154935</v>
      </c>
      <c r="J24" s="10" t="n">
        <f aca="false">IF(I24="","",NORMDIST(CEILING(F24,1)-0.5,G24,H24,TRUE()))</f>
        <v>0.446044630668982</v>
      </c>
      <c r="K24" s="10" t="n">
        <f aca="false">IF(I24="","",MAX(0,1-I24-J24))</f>
        <v>0.112134200176082</v>
      </c>
      <c r="L24" s="0" t="str">
        <f aca="false">IF(I24="","",IF(I24&gt;=0.5+Config!$B$6,"OVER",IF(J24&gt;=0.5+Config!$B$6,"UNDER","—")))</f>
        <v>—</v>
      </c>
      <c r="N24" s="0" t="n">
        <v>11.3</v>
      </c>
      <c r="O24" s="10" t="n">
        <v>0.6</v>
      </c>
      <c r="P24" s="10" t="n">
        <v>0.5</v>
      </c>
      <c r="Q24" s="10" t="n">
        <v>0.53</v>
      </c>
      <c r="R24" s="9" t="s">
        <v>1108</v>
      </c>
      <c r="S24" s="0" t="n">
        <v>2</v>
      </c>
      <c r="T24" s="0" t="str">
        <f aca="false">INDEX(Calc!$G$2:$G$124,MATCH($W24,Calc!$A$2:$A$124,0))&amp;" / "&amp;INDEX(Calc!$H$2:$H$124,MATCH($W24,Calc!$A$2:$A$124,0))</f>
        <v>Cache / Nuke</v>
      </c>
      <c r="U24" s="0" t="str">
        <f aca="false">TEXT(INDEX(Calc!$J$2:$J$124,MATCH($W24,Calc!$A$2:$A$124,0)),"0.0")&amp;" / "&amp;TEXT(INDEX(Calc!$K$2:$K$124,MATCH($W24,Calc!$A$2:$A$124,0)),"0.0")</f>
        <v>21.5 / 21.5</v>
      </c>
      <c r="V24" s="0" t="str">
        <f aca="false">IFERROR(INDEX(Calc!$AQ$2:$AQ$124,MATCH($W24,Calc!$A$2:$A$124,0)),"")</f>
        <v/>
      </c>
      <c r="W24" s="9" t="s">
        <v>1140</v>
      </c>
      <c r="X24" s="9" t="s">
        <v>1110</v>
      </c>
      <c r="Y24" s="0" t="str">
        <f aca="false">W24&amp;"|"&amp;X24</f>
        <v>4bqrch5n45sx5u9|CS2 [NO MARKET] · BAKS vs MZP|H12</v>
      </c>
      <c r="Z24" s="11" t="n">
        <f aca="false">IFERROR(INDEX(CHOOSE(MATCH($X24,{"K1","K2","K3","K12","K13","H1","H2","H3","H12","H13"},0),Calc!$BA$2:$BA$124,Calc!$BB$2:$BB$124,Calc!$BC$2:$BC$124,Calc!$BD$2:$BD$124,Calc!$BE$2:$BE$124,Calc!$BF$2:$BF$124,Calc!$BG$2:$BG$124,Calc!$BH$2:$BH$124,Calc!$BI$2:$BI$124,Calc!$BJ$2:$BJ$124),MATCH($W24,Calc!$A$2:$A$124,0)),"")</f>
        <v>10.9810426953125</v>
      </c>
      <c r="AA24" s="11" t="n">
        <f aca="false">IF(Z24="","",IF(LEFT($X24,1)="H",SQRT(Z24*(IFERROR(INDEX(Calc!$AP$2:$AP$124,MATCH($W24,Calc!$A$2:$A$124,0)),0.5)*Config!$B$5+1-IFERROR(INDEX(Calc!$AP$2:$AP$124,MATCH($W24,Calc!$A$2:$A$124,0)),0.5))),SQRT(Z24*Config!$B$5)))</f>
        <v>3.54591674187914</v>
      </c>
      <c r="AB24" s="10" t="n">
        <f aca="false">IF(OR(F24="",Z24="",N(AA24)&lt;=0),"",1-NORMDIST(FLOOR(F24,1)+0.5,Z24,AA24,TRUE()))</f>
        <v>0.441821169154935</v>
      </c>
      <c r="AC24" s="10" t="n">
        <f aca="false">IF(AB24="","",NORMDIST(CEILING(F24,1)-0.5,Z24,AA24,TRUE()))</f>
        <v>0.446044630668982</v>
      </c>
      <c r="AD24" s="0" t="str">
        <f aca="false">IF(AB24="","",IF(AB24&gt;=0.5+Config!$B$6,"OVER",IF(AC24&gt;=0.5+Config!$B$6,"UNDER","—")))</f>
        <v>—</v>
      </c>
      <c r="AE24" s="13" t="n">
        <f aca="false">IFERROR(Z24/G24,"")</f>
        <v>1</v>
      </c>
    </row>
    <row r="25" customFormat="false" ht="15" hidden="false" customHeight="false" outlineLevel="0" collapsed="false">
      <c r="A25" s="0" t="s">
        <v>988</v>
      </c>
      <c r="B25" s="0" t="s">
        <v>1027</v>
      </c>
      <c r="C25" s="0" t="s">
        <v>1139</v>
      </c>
      <c r="D25" s="0" t="s">
        <v>1033</v>
      </c>
      <c r="E25" s="0" t="s">
        <v>1111</v>
      </c>
      <c r="F25" s="0" t="n">
        <v>32.5</v>
      </c>
      <c r="G25" s="11" t="n">
        <f aca="false">IFERROR(INDEX(CHOOSE(MATCH($X25,{"K1","K2","K3","K12","K13","H1","H2","H3","H12","H13"},0),Calc!$V$2:$V$124,Calc!$AC$2:$AC$124,Calc!$AJ$2:$AJ$124,Calc!$AL$2:$AL$124,Calc!$AM$2:$AM$124,Calc!$W$2:$W$124,Calc!$AD$2:$AD$124,Calc!$AK$2:$AK$124,Calc!$AN$2:$AN$124,Calc!$AO$2:$AO$124),MATCH($W25,Calc!$A$2:$A$124,0)),"")</f>
        <v>30.288125</v>
      </c>
      <c r="H25" s="11" t="n">
        <f aca="false">IF(G25="","",IF(LEFT($X25,1)="H",SQRT(G25*(IFERROR(INDEX(Calc!$AP$2:$AP$124,MATCH($W25,Calc!$A$2:$A$124,0)),0.5)*Config!$B$5+1-IFERROR(INDEX(Calc!$AP$2:$AP$124,MATCH($W25,Calc!$A$2:$A$124,0)),0.5))),SQRT(G25*Config!$B$5)))</f>
        <v>6.51178738903536</v>
      </c>
      <c r="I25" s="10" t="n">
        <f aca="false">IF(OR(F25="",G25="",N(H25)&lt;=0),"",1-NORMDIST(FLOOR(F25,1)+0.5,G25,H25,TRUE()))</f>
        <v>0.367051592641174</v>
      </c>
      <c r="J25" s="10" t="n">
        <f aca="false">IF(I25="","",NORMDIST(CEILING(F25,1)-0.5,G25,H25,TRUE()))</f>
        <v>0.632948407358827</v>
      </c>
      <c r="K25" s="10" t="n">
        <f aca="false">IF(I25="","",MAX(0,1-I25-J25))</f>
        <v>0</v>
      </c>
      <c r="L25" s="0" t="str">
        <f aca="false">IF(I25="","",IF(I25&gt;=0.5+Config!$B$6,"OVER",IF(J25&gt;=0.5+Config!$B$6,"UNDER","—")))</f>
        <v>UNDER</v>
      </c>
      <c r="N25" s="0" t="n">
        <v>30.3</v>
      </c>
      <c r="O25" s="10" t="n">
        <v>0.4</v>
      </c>
      <c r="P25" s="10" t="n">
        <v>0.4</v>
      </c>
      <c r="Q25" s="10" t="n">
        <v>0.47</v>
      </c>
      <c r="R25" s="9" t="s">
        <v>1108</v>
      </c>
      <c r="S25" s="0" t="n">
        <v>1</v>
      </c>
      <c r="T25" s="0" t="str">
        <f aca="false">INDEX(Calc!$G$2:$G$124,MATCH($W25,Calc!$A$2:$A$124,0))&amp;" / "&amp;INDEX(Calc!$H$2:$H$124,MATCH($W25,Calc!$A$2:$A$124,0))</f>
        <v>Cache / Nuke</v>
      </c>
      <c r="U25" s="0" t="str">
        <f aca="false">TEXT(INDEX(Calc!$J$2:$J$124,MATCH($W25,Calc!$A$2:$A$124,0)),"0.0")&amp;" / "&amp;TEXT(INDEX(Calc!$K$2:$K$124,MATCH($W25,Calc!$A$2:$A$124,0)),"0.0")</f>
        <v>21.5 / 21.5</v>
      </c>
      <c r="V25" s="0" t="str">
        <f aca="false">IFERROR(INDEX(Calc!$AQ$2:$AQ$124,MATCH($W25,Calc!$A$2:$A$124,0)),"")</f>
        <v/>
      </c>
      <c r="W25" s="9" t="s">
        <v>1140</v>
      </c>
      <c r="X25" s="9" t="s">
        <v>1112</v>
      </c>
      <c r="Y25" s="0" t="str">
        <f aca="false">W25&amp;"|"&amp;X25</f>
        <v>4bqrch5n45sx5u9|CS2 [NO MARKET] · BAKS vs MZP|K12</v>
      </c>
      <c r="Z25" s="11" t="n">
        <f aca="false">IFERROR(INDEX(CHOOSE(MATCH($X25,{"K1","K2","K3","K12","K13","H1","H2","H3","H12","H13"},0),Calc!$BA$2:$BA$124,Calc!$BB$2:$BB$124,Calc!$BC$2:$BC$124,Calc!$BD$2:$BD$124,Calc!$BE$2:$BE$124,Calc!$BF$2:$BF$124,Calc!$BG$2:$BG$124,Calc!$BH$2:$BH$124,Calc!$BI$2:$BI$124,Calc!$BJ$2:$BJ$124),MATCH($W25,Calc!$A$2:$A$124,0)),"")</f>
        <v>30.288125</v>
      </c>
      <c r="AA25" s="11" t="n">
        <f aca="false">IF(Z25="","",IF(LEFT($X25,1)="H",SQRT(Z25*(IFERROR(INDEX(Calc!$AP$2:$AP$124,MATCH($W25,Calc!$A$2:$A$124,0)),0.5)*Config!$B$5+1-IFERROR(INDEX(Calc!$AP$2:$AP$124,MATCH($W25,Calc!$A$2:$A$124,0)),0.5))),SQRT(Z25*Config!$B$5)))</f>
        <v>6.51178738903536</v>
      </c>
      <c r="AB25" s="10" t="n">
        <f aca="false">IF(OR(F25="",Z25="",N(AA25)&lt;=0),"",1-NORMDIST(FLOOR(F25,1)+0.5,Z25,AA25,TRUE()))</f>
        <v>0.367051592641174</v>
      </c>
      <c r="AC25" s="10" t="n">
        <f aca="false">IF(AB25="","",NORMDIST(CEILING(F25,1)-0.5,Z25,AA25,TRUE()))</f>
        <v>0.632948407358827</v>
      </c>
      <c r="AD25" s="0" t="str">
        <f aca="false">IF(AB25="","",IF(AB25&gt;=0.5+Config!$B$6,"OVER",IF(AC25&gt;=0.5+Config!$B$6,"UNDER","—")))</f>
        <v>UNDER</v>
      </c>
      <c r="AE25" s="13" t="n">
        <f aca="false">IFERROR(Z25/G25,"")</f>
        <v>1</v>
      </c>
    </row>
    <row r="26" customFormat="false" ht="15" hidden="false" customHeight="false" outlineLevel="0" collapsed="false">
      <c r="A26" s="0" t="s">
        <v>988</v>
      </c>
      <c r="B26" s="0" t="s">
        <v>1027</v>
      </c>
      <c r="C26" s="0" t="s">
        <v>1141</v>
      </c>
      <c r="D26" s="0" t="s">
        <v>1033</v>
      </c>
      <c r="E26" s="0" t="s">
        <v>1107</v>
      </c>
      <c r="F26" s="0" t="n">
        <v>20.5</v>
      </c>
      <c r="G26" s="11" t="n">
        <f aca="false">IFERROR(INDEX(CHOOSE(MATCH($X26,{"K1","K2","K3","K12","K13","H1","H2","H3","H12","H13"},0),Calc!$V$2:$V$124,Calc!$AC$2:$AC$124,Calc!$AJ$2:$AJ$124,Calc!$AL$2:$AL$124,Calc!$AM$2:$AM$124,Calc!$W$2:$W$124,Calc!$AD$2:$AD$124,Calc!$AK$2:$AK$124,Calc!$AN$2:$AN$124,Calc!$AO$2:$AO$124),MATCH($W26,Calc!$A$2:$A$124,0)),"")</f>
        <v>19.4569490625</v>
      </c>
      <c r="H26" s="11" t="n">
        <f aca="false">IF(G26="","",IF(LEFT($X26,1)="H",SQRT(G26*(IFERROR(INDEX(Calc!$AP$2:$AP$124,MATCH($W26,Calc!$A$2:$A$124,0)),0.5)*Config!$B$5+1-IFERROR(INDEX(Calc!$AP$2:$AP$124,MATCH($W26,Calc!$A$2:$A$124,0)),0.5))),SQRT(G26*Config!$B$5)))</f>
        <v>4.94312522210061</v>
      </c>
      <c r="I26" s="10" t="n">
        <f aca="false">IF(OR(F26="",G26="",N(H26)&lt;=0),"",1-NORMDIST(FLOOR(F26,1)+0.5,G26,H26,TRUE()))</f>
        <v>0.41643956956462</v>
      </c>
      <c r="J26" s="10" t="n">
        <f aca="false">IF(I26="","",NORMDIST(CEILING(F26,1)-0.5,G26,H26,TRUE()))</f>
        <v>0.58356043043538</v>
      </c>
      <c r="K26" s="10" t="n">
        <f aca="false">IF(I26="","",MAX(0,1-I26-J26))</f>
        <v>0</v>
      </c>
      <c r="L26" s="0" t="str">
        <f aca="false">IF(I26="","",IF(I26&gt;=0.5+Config!$B$6,"OVER",IF(J26&gt;=0.5+Config!$B$6,"UNDER","—")))</f>
        <v>UNDER</v>
      </c>
      <c r="N26" s="0" t="n">
        <v>22</v>
      </c>
      <c r="O26" s="10" t="n">
        <v>0.4</v>
      </c>
      <c r="P26" s="10" t="n">
        <v>0.6</v>
      </c>
      <c r="Q26" s="10" t="n">
        <v>0.67</v>
      </c>
      <c r="R26" s="9" t="s">
        <v>1108</v>
      </c>
      <c r="S26" s="0" t="n">
        <v>1</v>
      </c>
      <c r="T26" s="0" t="str">
        <f aca="false">INDEX(Calc!$G$2:$G$124,MATCH($W26,Calc!$A$2:$A$124,0))&amp;" / "&amp;INDEX(Calc!$H$2:$H$124,MATCH($W26,Calc!$A$2:$A$124,0))</f>
        <v>Cache / Nuke</v>
      </c>
      <c r="U26" s="0" t="str">
        <f aca="false">TEXT(INDEX(Calc!$J$2:$J$124,MATCH($W26,Calc!$A$2:$A$124,0)),"0.0")&amp;" / "&amp;TEXT(INDEX(Calc!$K$2:$K$124,MATCH($W26,Calc!$A$2:$A$124,0)),"0.0")</f>
        <v>21.5 / 21.5</v>
      </c>
      <c r="V26" s="0" t="str">
        <f aca="false">IFERROR(INDEX(Calc!$AQ$2:$AQ$124,MATCH($W26,Calc!$A$2:$A$124,0)),"")</f>
        <v/>
      </c>
      <c r="W26" s="9" t="s">
        <v>1142</v>
      </c>
      <c r="X26" s="9" t="s">
        <v>1110</v>
      </c>
      <c r="Y26" s="0" t="str">
        <f aca="false">W26&amp;"|"&amp;X26</f>
        <v>cenz32hm5akyeqy|CS2 [NO MARKET] · BAKS vs MZP|H12</v>
      </c>
      <c r="Z26" s="11" t="n">
        <f aca="false">IFERROR(INDEX(CHOOSE(MATCH($X26,{"K1","K2","K3","K12","K13","H1","H2","H3","H12","H13"},0),Calc!$BA$2:$BA$124,Calc!$BB$2:$BB$124,Calc!$BC$2:$BC$124,Calc!$BD$2:$BD$124,Calc!$BE$2:$BE$124,Calc!$BF$2:$BF$124,Calc!$BG$2:$BG$124,Calc!$BH$2:$BH$124,Calc!$BI$2:$BI$124,Calc!$BJ$2:$BJ$124),MATCH($W26,Calc!$A$2:$A$124,0)),"")</f>
        <v>19.4569490625</v>
      </c>
      <c r="AA26" s="11" t="n">
        <f aca="false">IF(Z26="","",IF(LEFT($X26,1)="H",SQRT(Z26*(IFERROR(INDEX(Calc!$AP$2:$AP$124,MATCH($W26,Calc!$A$2:$A$124,0)),0.5)*Config!$B$5+1-IFERROR(INDEX(Calc!$AP$2:$AP$124,MATCH($W26,Calc!$A$2:$A$124,0)),0.5))),SQRT(Z26*Config!$B$5)))</f>
        <v>4.94312522210061</v>
      </c>
      <c r="AB26" s="10" t="n">
        <f aca="false">IF(OR(F26="",Z26="",N(AA26)&lt;=0),"",1-NORMDIST(FLOOR(F26,1)+0.5,Z26,AA26,TRUE()))</f>
        <v>0.41643956956462</v>
      </c>
      <c r="AC26" s="10" t="n">
        <f aca="false">IF(AB26="","",NORMDIST(CEILING(F26,1)-0.5,Z26,AA26,TRUE()))</f>
        <v>0.58356043043538</v>
      </c>
      <c r="AD26" s="0" t="str">
        <f aca="false">IF(AB26="","",IF(AB26&gt;=0.5+Config!$B$6,"OVER",IF(AC26&gt;=0.5+Config!$B$6,"UNDER","—")))</f>
        <v>UNDER</v>
      </c>
      <c r="AE26" s="13" t="n">
        <f aca="false">IFERROR(Z26/G26,"")</f>
        <v>1</v>
      </c>
    </row>
    <row r="27" customFormat="false" ht="15" hidden="false" customHeight="false" outlineLevel="0" collapsed="false">
      <c r="A27" s="0" t="s">
        <v>988</v>
      </c>
      <c r="B27" s="0" t="s">
        <v>1027</v>
      </c>
      <c r="C27" s="0" t="s">
        <v>1141</v>
      </c>
      <c r="D27" s="0" t="s">
        <v>1033</v>
      </c>
      <c r="E27" s="0" t="s">
        <v>1111</v>
      </c>
      <c r="F27" s="0" t="n">
        <v>32</v>
      </c>
      <c r="G27" s="11" t="n">
        <f aca="false">IFERROR(INDEX(CHOOSE(MATCH($X27,{"K1","K2","K3","K12","K13","H1","H2","H3","H12","H13"},0),Calc!$V$2:$V$124,Calc!$AC$2:$AC$124,Calc!$AJ$2:$AJ$124,Calc!$AL$2:$AL$124,Calc!$AM$2:$AM$124,Calc!$W$2:$W$124,Calc!$AD$2:$AD$124,Calc!$AK$2:$AK$124,Calc!$AN$2:$AN$124,Calc!$AO$2:$AO$124),MATCH($W27,Calc!$A$2:$A$124,0)),"")</f>
        <v>30.4225</v>
      </c>
      <c r="H27" s="11" t="n">
        <f aca="false">IF(G27="","",IF(LEFT($X27,1)="H",SQRT(G27*(IFERROR(INDEX(Calc!$AP$2:$AP$124,MATCH($W27,Calc!$A$2:$A$124,0)),0.5)*Config!$B$5+1-IFERROR(INDEX(Calc!$AP$2:$AP$124,MATCH($W27,Calc!$A$2:$A$124,0)),0.5))),SQRT(G27*Config!$B$5)))</f>
        <v>6.52621636172139</v>
      </c>
      <c r="I27" s="10" t="n">
        <f aca="false">IF(OR(F27="",G27="",N(H27)&lt;=0),"",1-NORMDIST(FLOOR(F27,1)+0.5,G27,H27,TRUE()))</f>
        <v>0.375116760439059</v>
      </c>
      <c r="J27" s="10" t="n">
        <f aca="false">IF(I27="","",NORMDIST(CEILING(F27,1)-0.5,G27,H27,TRUE()))</f>
        <v>0.565568670755553</v>
      </c>
      <c r="K27" s="10" t="n">
        <f aca="false">IF(I27="","",MAX(0,1-I27-J27))</f>
        <v>0.0593145688053879</v>
      </c>
      <c r="L27" s="0" t="str">
        <f aca="false">IF(I27="","",IF(I27&gt;=0.5+Config!$B$6,"OVER",IF(J27&gt;=0.5+Config!$B$6,"UNDER","—")))</f>
        <v>UNDER</v>
      </c>
      <c r="N27" s="0" t="n">
        <v>33</v>
      </c>
      <c r="O27" s="10" t="n">
        <v>0.4</v>
      </c>
      <c r="P27" s="10" t="n">
        <v>0.6</v>
      </c>
      <c r="Q27" s="10" t="n">
        <v>0.67</v>
      </c>
      <c r="R27" s="9" t="s">
        <v>1108</v>
      </c>
      <c r="S27" s="0" t="n">
        <v>1</v>
      </c>
      <c r="T27" s="0" t="str">
        <f aca="false">INDEX(Calc!$G$2:$G$124,MATCH($W27,Calc!$A$2:$A$124,0))&amp;" / "&amp;INDEX(Calc!$H$2:$H$124,MATCH($W27,Calc!$A$2:$A$124,0))</f>
        <v>Cache / Nuke</v>
      </c>
      <c r="U27" s="0" t="str">
        <f aca="false">TEXT(INDEX(Calc!$J$2:$J$124,MATCH($W27,Calc!$A$2:$A$124,0)),"0.0")&amp;" / "&amp;TEXT(INDEX(Calc!$K$2:$K$124,MATCH($W27,Calc!$A$2:$A$124,0)),"0.0")</f>
        <v>21.5 / 21.5</v>
      </c>
      <c r="V27" s="0" t="str">
        <f aca="false">IFERROR(INDEX(Calc!$AQ$2:$AQ$124,MATCH($W27,Calc!$A$2:$A$124,0)),"")</f>
        <v/>
      </c>
      <c r="W27" s="9" t="s">
        <v>1142</v>
      </c>
      <c r="X27" s="9" t="s">
        <v>1112</v>
      </c>
      <c r="Y27" s="0" t="str">
        <f aca="false">W27&amp;"|"&amp;X27</f>
        <v>cenz32hm5akyeqy|CS2 [NO MARKET] · BAKS vs MZP|K12</v>
      </c>
      <c r="Z27" s="11" t="n">
        <f aca="false">IFERROR(INDEX(CHOOSE(MATCH($X27,{"K1","K2","K3","K12","K13","H1","H2","H3","H12","H13"},0),Calc!$BA$2:$BA$124,Calc!$BB$2:$BB$124,Calc!$BC$2:$BC$124,Calc!$BD$2:$BD$124,Calc!$BE$2:$BE$124,Calc!$BF$2:$BF$124,Calc!$BG$2:$BG$124,Calc!$BH$2:$BH$124,Calc!$BI$2:$BI$124,Calc!$BJ$2:$BJ$124),MATCH($W27,Calc!$A$2:$A$124,0)),"")</f>
        <v>30.4225</v>
      </c>
      <c r="AA27" s="11" t="n">
        <f aca="false">IF(Z27="","",IF(LEFT($X27,1)="H",SQRT(Z27*(IFERROR(INDEX(Calc!$AP$2:$AP$124,MATCH($W27,Calc!$A$2:$A$124,0)),0.5)*Config!$B$5+1-IFERROR(INDEX(Calc!$AP$2:$AP$124,MATCH($W27,Calc!$A$2:$A$124,0)),0.5))),SQRT(Z27*Config!$B$5)))</f>
        <v>6.52621636172139</v>
      </c>
      <c r="AB27" s="10" t="n">
        <f aca="false">IF(OR(F27="",Z27="",N(AA27)&lt;=0),"",1-NORMDIST(FLOOR(F27,1)+0.5,Z27,AA27,TRUE()))</f>
        <v>0.375116760439059</v>
      </c>
      <c r="AC27" s="10" t="n">
        <f aca="false">IF(AB27="","",NORMDIST(CEILING(F27,1)-0.5,Z27,AA27,TRUE()))</f>
        <v>0.565568670755553</v>
      </c>
      <c r="AD27" s="0" t="str">
        <f aca="false">IF(AB27="","",IF(AB27&gt;=0.5+Config!$B$6,"OVER",IF(AC27&gt;=0.5+Config!$B$6,"UNDER","—")))</f>
        <v>UNDER</v>
      </c>
      <c r="AE27" s="13" t="n">
        <f aca="false">IFERROR(Z27/G27,"")</f>
        <v>1</v>
      </c>
    </row>
    <row r="28" customFormat="false" ht="15" hidden="false" customHeight="false" outlineLevel="0" collapsed="false">
      <c r="A28" s="0" t="s">
        <v>988</v>
      </c>
      <c r="B28" s="0" t="s">
        <v>1027</v>
      </c>
      <c r="C28" s="0" t="s">
        <v>1143</v>
      </c>
      <c r="D28" s="0" t="s">
        <v>1033</v>
      </c>
      <c r="E28" s="0" t="s">
        <v>1107</v>
      </c>
      <c r="F28" s="0" t="n">
        <v>16</v>
      </c>
      <c r="G28" s="11" t="n">
        <f aca="false">IFERROR(INDEX(CHOOSE(MATCH($X28,{"K1","K2","K3","K12","K13","H1","H2","H3","H12","H13"},0),Calc!$V$2:$V$124,Calc!$AC$2:$AC$124,Calc!$AJ$2:$AJ$124,Calc!$AL$2:$AL$124,Calc!$AM$2:$AM$124,Calc!$W$2:$W$124,Calc!$AD$2:$AD$124,Calc!$AK$2:$AK$124,Calc!$AN$2:$AN$124,Calc!$AO$2:$AO$124),MATCH($W28,Calc!$A$2:$A$124,0)),"")</f>
        <v>15.5151869335938</v>
      </c>
      <c r="H28" s="11" t="n">
        <f aca="false">IF(G28="","",IF(LEFT($X28,1)="H",SQRT(G28*(IFERROR(INDEX(Calc!$AP$2:$AP$124,MATCH($W28,Calc!$A$2:$A$124,0)),0.5)*Config!$B$5+1-IFERROR(INDEX(Calc!$AP$2:$AP$124,MATCH($W28,Calc!$A$2:$A$124,0)),0.5))),SQRT(G28*Config!$B$5)))</f>
        <v>4.32417680880777</v>
      </c>
      <c r="I28" s="10" t="n">
        <f aca="false">IF(OR(F28="",G28="",N(H28)&lt;=0),"",1-NORMDIST(FLOOR(F28,1)+0.5,G28,H28,TRUE()))</f>
        <v>0.409921935952955</v>
      </c>
      <c r="J28" s="10" t="n">
        <f aca="false">IF(I28="","",NORMDIST(CEILING(F28,1)-0.5,G28,H28,TRUE()))</f>
        <v>0.498598878414882</v>
      </c>
      <c r="K28" s="10" t="n">
        <f aca="false">IF(I28="","",MAX(0,1-I28-J28))</f>
        <v>0.0914791856321638</v>
      </c>
      <c r="L28" s="0" t="str">
        <f aca="false">IF(I28="","",IF(I28&gt;=0.5+Config!$B$6,"OVER",IF(J28&gt;=0.5+Config!$B$6,"UNDER","—")))</f>
        <v>—</v>
      </c>
      <c r="N28" s="0" t="n">
        <v>18.1</v>
      </c>
      <c r="O28" s="10" t="n">
        <v>0.8</v>
      </c>
      <c r="P28" s="10" t="n">
        <v>0.7</v>
      </c>
      <c r="Q28" s="10" t="n">
        <v>0.67</v>
      </c>
      <c r="R28" s="9" t="s">
        <v>1108</v>
      </c>
      <c r="S28" s="0" t="n">
        <v>4</v>
      </c>
      <c r="T28" s="0" t="str">
        <f aca="false">INDEX(Calc!$G$2:$G$124,MATCH($W28,Calc!$A$2:$A$124,0))&amp;" / "&amp;INDEX(Calc!$H$2:$H$124,MATCH($W28,Calc!$A$2:$A$124,0))</f>
        <v>Cache / Nuke</v>
      </c>
      <c r="U28" s="0" t="str">
        <f aca="false">TEXT(INDEX(Calc!$J$2:$J$124,MATCH($W28,Calc!$A$2:$A$124,0)),"0.0")&amp;" / "&amp;TEXT(INDEX(Calc!$K$2:$K$124,MATCH($W28,Calc!$A$2:$A$124,0)),"0.0")</f>
        <v>21.5 / 21.5</v>
      </c>
      <c r="V28" s="0" t="str">
        <f aca="false">IFERROR(INDEX(Calc!$AQ$2:$AQ$124,MATCH($W28,Calc!$A$2:$A$124,0)),"")</f>
        <v/>
      </c>
      <c r="W28" s="9" t="s">
        <v>1144</v>
      </c>
      <c r="X28" s="9" t="s">
        <v>1110</v>
      </c>
      <c r="Y28" s="0" t="str">
        <f aca="false">W28&amp;"|"&amp;X28</f>
        <v>vwa09ypl40r89pt|CS2 [NO MARKET] · BAKS vs MZP|H12</v>
      </c>
      <c r="Z28" s="11" t="n">
        <f aca="false">IFERROR(INDEX(CHOOSE(MATCH($X28,{"K1","K2","K3","K12","K13","H1","H2","H3","H12","H13"},0),Calc!$BA$2:$BA$124,Calc!$BB$2:$BB$124,Calc!$BC$2:$BC$124,Calc!$BD$2:$BD$124,Calc!$BE$2:$BE$124,Calc!$BF$2:$BF$124,Calc!$BG$2:$BG$124,Calc!$BH$2:$BH$124,Calc!$BI$2:$BI$124,Calc!$BJ$2:$BJ$124),MATCH($W28,Calc!$A$2:$A$124,0)),"")</f>
        <v>15.5151869335938</v>
      </c>
      <c r="AA28" s="11" t="n">
        <f aca="false">IF(Z28="","",IF(LEFT($X28,1)="H",SQRT(Z28*(IFERROR(INDEX(Calc!$AP$2:$AP$124,MATCH($W28,Calc!$A$2:$A$124,0)),0.5)*Config!$B$5+1-IFERROR(INDEX(Calc!$AP$2:$AP$124,MATCH($W28,Calc!$A$2:$A$124,0)),0.5))),SQRT(Z28*Config!$B$5)))</f>
        <v>4.32417680880777</v>
      </c>
      <c r="AB28" s="10" t="n">
        <f aca="false">IF(OR(F28="",Z28="",N(AA28)&lt;=0),"",1-NORMDIST(FLOOR(F28,1)+0.5,Z28,AA28,TRUE()))</f>
        <v>0.409921935952955</v>
      </c>
      <c r="AC28" s="10" t="n">
        <f aca="false">IF(AB28="","",NORMDIST(CEILING(F28,1)-0.5,Z28,AA28,TRUE()))</f>
        <v>0.498598878414882</v>
      </c>
      <c r="AD28" s="0" t="str">
        <f aca="false">IF(AB28="","",IF(AB28&gt;=0.5+Config!$B$6,"OVER",IF(AC28&gt;=0.5+Config!$B$6,"UNDER","—")))</f>
        <v>—</v>
      </c>
      <c r="AE28" s="13" t="n">
        <f aca="false">IFERROR(Z28/G28,"")</f>
        <v>1</v>
      </c>
    </row>
    <row r="29" customFormat="false" ht="15" hidden="false" customHeight="false" outlineLevel="0" collapsed="false">
      <c r="A29" s="0" t="s">
        <v>988</v>
      </c>
      <c r="B29" s="0" t="s">
        <v>1027</v>
      </c>
      <c r="C29" s="0" t="s">
        <v>1143</v>
      </c>
      <c r="D29" s="0" t="s">
        <v>1033</v>
      </c>
      <c r="E29" s="0" t="s">
        <v>1111</v>
      </c>
      <c r="F29" s="0" t="n">
        <v>31</v>
      </c>
      <c r="G29" s="11" t="n">
        <f aca="false">IFERROR(INDEX(CHOOSE(MATCH($X29,{"K1","K2","K3","K12","K13","H1","H2","H3","H12","H13"},0),Calc!$V$2:$V$124,Calc!$AC$2:$AC$124,Calc!$AJ$2:$AJ$124,Calc!$AL$2:$AL$124,Calc!$AM$2:$AM$124,Calc!$W$2:$W$124,Calc!$AD$2:$AD$124,Calc!$AK$2:$AK$124,Calc!$AN$2:$AN$124,Calc!$AO$2:$AO$124),MATCH($W29,Calc!$A$2:$A$124,0)),"")</f>
        <v>30.2478125</v>
      </c>
      <c r="H29" s="11" t="n">
        <f aca="false">IF(G29="","",IF(LEFT($X29,1)="H",SQRT(G29*(IFERROR(INDEX(Calc!$AP$2:$AP$124,MATCH($W29,Calc!$A$2:$A$124,0)),0.5)*Config!$B$5+1-IFERROR(INDEX(Calc!$AP$2:$AP$124,MATCH($W29,Calc!$A$2:$A$124,0)),0.5))),SQRT(G29*Config!$B$5)))</f>
        <v>6.50745245852784</v>
      </c>
      <c r="I29" s="10" t="n">
        <f aca="false">IF(OR(F29="",G29="",N(H29)&lt;=0),"",1-NORMDIST(FLOOR(F29,1)+0.5,G29,H29,TRUE()))</f>
        <v>0.423705199563665</v>
      </c>
      <c r="J29" s="10" t="n">
        <f aca="false">IF(I29="","",NORMDIST(CEILING(F29,1)-0.5,G29,H29,TRUE()))</f>
        <v>0.515456598361838</v>
      </c>
      <c r="K29" s="10" t="n">
        <f aca="false">IF(I29="","",MAX(0,1-I29-J29))</f>
        <v>0.0608382020744973</v>
      </c>
      <c r="L29" s="0" t="str">
        <f aca="false">IF(I29="","",IF(I29&gt;=0.5+Config!$B$6,"OVER",IF(J29&gt;=0.5+Config!$B$6,"UNDER","—")))</f>
        <v>—</v>
      </c>
      <c r="N29" s="0" t="n">
        <v>33.2</v>
      </c>
      <c r="O29" s="10" t="n">
        <v>0.8</v>
      </c>
      <c r="P29" s="10" t="n">
        <v>0.6</v>
      </c>
      <c r="Q29" s="10" t="n">
        <v>0.6</v>
      </c>
      <c r="R29" s="9" t="s">
        <v>1108</v>
      </c>
      <c r="S29" s="0" t="n">
        <v>3</v>
      </c>
      <c r="T29" s="0" t="str">
        <f aca="false">INDEX(Calc!$G$2:$G$124,MATCH($W29,Calc!$A$2:$A$124,0))&amp;" / "&amp;INDEX(Calc!$H$2:$H$124,MATCH($W29,Calc!$A$2:$A$124,0))</f>
        <v>Cache / Nuke</v>
      </c>
      <c r="U29" s="0" t="str">
        <f aca="false">TEXT(INDEX(Calc!$J$2:$J$124,MATCH($W29,Calc!$A$2:$A$124,0)),"0.0")&amp;" / "&amp;TEXT(INDEX(Calc!$K$2:$K$124,MATCH($W29,Calc!$A$2:$A$124,0)),"0.0")</f>
        <v>21.5 / 21.5</v>
      </c>
      <c r="V29" s="0" t="str">
        <f aca="false">IFERROR(INDEX(Calc!$AQ$2:$AQ$124,MATCH($W29,Calc!$A$2:$A$124,0)),"")</f>
        <v/>
      </c>
      <c r="W29" s="9" t="s">
        <v>1144</v>
      </c>
      <c r="X29" s="9" t="s">
        <v>1112</v>
      </c>
      <c r="Y29" s="0" t="str">
        <f aca="false">W29&amp;"|"&amp;X29</f>
        <v>vwa09ypl40r89pt|CS2 [NO MARKET] · BAKS vs MZP|K12</v>
      </c>
      <c r="Z29" s="11" t="n">
        <f aca="false">IFERROR(INDEX(CHOOSE(MATCH($X29,{"K1","K2","K3","K12","K13","H1","H2","H3","H12","H13"},0),Calc!$BA$2:$BA$124,Calc!$BB$2:$BB$124,Calc!$BC$2:$BC$124,Calc!$BD$2:$BD$124,Calc!$BE$2:$BE$124,Calc!$BF$2:$BF$124,Calc!$BG$2:$BG$124,Calc!$BH$2:$BH$124,Calc!$BI$2:$BI$124,Calc!$BJ$2:$BJ$124),MATCH($W29,Calc!$A$2:$A$124,0)),"")</f>
        <v>30.2478125</v>
      </c>
      <c r="AA29" s="11" t="n">
        <f aca="false">IF(Z29="","",IF(LEFT($X29,1)="H",SQRT(Z29*(IFERROR(INDEX(Calc!$AP$2:$AP$124,MATCH($W29,Calc!$A$2:$A$124,0)),0.5)*Config!$B$5+1-IFERROR(INDEX(Calc!$AP$2:$AP$124,MATCH($W29,Calc!$A$2:$A$124,0)),0.5))),SQRT(Z29*Config!$B$5)))</f>
        <v>6.50745245852784</v>
      </c>
      <c r="AB29" s="10" t="n">
        <f aca="false">IF(OR(F29="",Z29="",N(AA29)&lt;=0),"",1-NORMDIST(FLOOR(F29,1)+0.5,Z29,AA29,TRUE()))</f>
        <v>0.423705199563665</v>
      </c>
      <c r="AC29" s="10" t="n">
        <f aca="false">IF(AB29="","",NORMDIST(CEILING(F29,1)-0.5,Z29,AA29,TRUE()))</f>
        <v>0.515456598361838</v>
      </c>
      <c r="AD29" s="0" t="str">
        <f aca="false">IF(AB29="","",IF(AB29&gt;=0.5+Config!$B$6,"OVER",IF(AC29&gt;=0.5+Config!$B$6,"UNDER","—")))</f>
        <v>—</v>
      </c>
      <c r="AE29" s="13" t="n">
        <f aca="false">IFERROR(Z29/G29,"")</f>
        <v>1</v>
      </c>
    </row>
    <row r="30" customFormat="false" ht="15" hidden="false" customHeight="false" outlineLevel="0" collapsed="false">
      <c r="A30" s="0" t="s">
        <v>988</v>
      </c>
      <c r="B30" s="0" t="s">
        <v>1027</v>
      </c>
      <c r="C30" s="0" t="s">
        <v>1145</v>
      </c>
      <c r="D30" s="0" t="s">
        <v>1033</v>
      </c>
      <c r="E30" s="0" t="s">
        <v>1107</v>
      </c>
      <c r="F30" s="0" t="n">
        <v>13.5</v>
      </c>
      <c r="G30" s="11" t="n">
        <f aca="false">IFERROR(INDEX(CHOOSE(MATCH($X30,{"K1","K2","K3","K12","K13","H1","H2","H3","H12","H13"},0),Calc!$V$2:$V$124,Calc!$AC$2:$AC$124,Calc!$AJ$2:$AJ$124,Calc!$AL$2:$AL$124,Calc!$AM$2:$AM$124,Calc!$W$2:$W$124,Calc!$AD$2:$AD$124,Calc!$AK$2:$AK$124,Calc!$AN$2:$AN$124,Calc!$AO$2:$AO$124),MATCH($W30,Calc!$A$2:$A$124,0)),"")</f>
        <v>12.63411890625</v>
      </c>
      <c r="H30" s="11" t="n">
        <f aca="false">IF(G30="","",IF(LEFT($X30,1)="H",SQRT(G30*(IFERROR(INDEX(Calc!$AP$2:$AP$124,MATCH($W30,Calc!$A$2:$A$124,0)),0.5)*Config!$B$5+1-IFERROR(INDEX(Calc!$AP$2:$AP$124,MATCH($W30,Calc!$A$2:$A$124,0)),0.5))),SQRT(G30*Config!$B$5)))</f>
        <v>3.91216126095491</v>
      </c>
      <c r="I30" s="10" t="n">
        <f aca="false">IF(OR(F30="",G30="",N(H30)&lt;=0),"",1-NORMDIST(FLOOR(F30,1)+0.5,G30,H30,TRUE()))</f>
        <v>0.412417503283879</v>
      </c>
      <c r="J30" s="10" t="n">
        <f aca="false">IF(I30="","",NORMDIST(CEILING(F30,1)-0.5,G30,H30,TRUE()))</f>
        <v>0.587582496716121</v>
      </c>
      <c r="K30" s="10" t="n">
        <f aca="false">IF(I30="","",MAX(0,1-I30-J30))</f>
        <v>0</v>
      </c>
      <c r="L30" s="0" t="str">
        <f aca="false">IF(I30="","",IF(I30&gt;=0.5+Config!$B$6,"OVER",IF(J30&gt;=0.5+Config!$B$6,"UNDER","—")))</f>
        <v>UNDER</v>
      </c>
      <c r="N30" s="0" t="n">
        <v>13</v>
      </c>
      <c r="O30" s="10" t="n">
        <v>0.8</v>
      </c>
      <c r="P30" s="10" t="n">
        <v>0.6</v>
      </c>
      <c r="Q30" s="10" t="n">
        <v>0.53</v>
      </c>
      <c r="R30" s="9" t="s">
        <v>1108</v>
      </c>
      <c r="S30" s="0" t="n">
        <v>1</v>
      </c>
      <c r="T30" s="0" t="str">
        <f aca="false">INDEX(Calc!$G$2:$G$124,MATCH($W30,Calc!$A$2:$A$124,0))&amp;" / "&amp;INDEX(Calc!$H$2:$H$124,MATCH($W30,Calc!$A$2:$A$124,0))</f>
        <v>Cache / Nuke</v>
      </c>
      <c r="U30" s="0" t="str">
        <f aca="false">TEXT(INDEX(Calc!$J$2:$J$124,MATCH($W30,Calc!$A$2:$A$124,0)),"0.0")&amp;" / "&amp;TEXT(INDEX(Calc!$K$2:$K$124,MATCH($W30,Calc!$A$2:$A$124,0)),"0.0")</f>
        <v>21.5 / 21.5</v>
      </c>
      <c r="V30" s="0" t="str">
        <f aca="false">IFERROR(INDEX(Calc!$AQ$2:$AQ$124,MATCH($W30,Calc!$A$2:$A$124,0)),"")</f>
        <v/>
      </c>
      <c r="W30" s="9" t="s">
        <v>1146</v>
      </c>
      <c r="X30" s="9" t="s">
        <v>1110</v>
      </c>
      <c r="Y30" s="0" t="str">
        <f aca="false">W30&amp;"|"&amp;X30</f>
        <v>vl85mzwiy0ds144|CS2 [NO MARKET] · BAKS vs MZP|H12</v>
      </c>
      <c r="Z30" s="11" t="n">
        <f aca="false">IFERROR(INDEX(CHOOSE(MATCH($X30,{"K1","K2","K3","K12","K13","H1","H2","H3","H12","H13"},0),Calc!$BA$2:$BA$124,Calc!$BB$2:$BB$124,Calc!$BC$2:$BC$124,Calc!$BD$2:$BD$124,Calc!$BE$2:$BE$124,Calc!$BF$2:$BF$124,Calc!$BG$2:$BG$124,Calc!$BH$2:$BH$124,Calc!$BI$2:$BI$124,Calc!$BJ$2:$BJ$124),MATCH($W30,Calc!$A$2:$A$124,0)),"")</f>
        <v>12.63411890625</v>
      </c>
      <c r="AA30" s="11" t="n">
        <f aca="false">IF(Z30="","",IF(LEFT($X30,1)="H",SQRT(Z30*(IFERROR(INDEX(Calc!$AP$2:$AP$124,MATCH($W30,Calc!$A$2:$A$124,0)),0.5)*Config!$B$5+1-IFERROR(INDEX(Calc!$AP$2:$AP$124,MATCH($W30,Calc!$A$2:$A$124,0)),0.5))),SQRT(Z30*Config!$B$5)))</f>
        <v>3.91216126095491</v>
      </c>
      <c r="AB30" s="10" t="n">
        <f aca="false">IF(OR(F30="",Z30="",N(AA30)&lt;=0),"",1-NORMDIST(FLOOR(F30,1)+0.5,Z30,AA30,TRUE()))</f>
        <v>0.412417503283879</v>
      </c>
      <c r="AC30" s="10" t="n">
        <f aca="false">IF(AB30="","",NORMDIST(CEILING(F30,1)-0.5,Z30,AA30,TRUE()))</f>
        <v>0.587582496716121</v>
      </c>
      <c r="AD30" s="0" t="str">
        <f aca="false">IF(AB30="","",IF(AB30&gt;=0.5+Config!$B$6,"OVER",IF(AC30&gt;=0.5+Config!$B$6,"UNDER","—")))</f>
        <v>UNDER</v>
      </c>
      <c r="AE30" s="13" t="n">
        <f aca="false">IFERROR(Z30/G30,"")</f>
        <v>1</v>
      </c>
    </row>
    <row r="31" customFormat="false" ht="15" hidden="false" customHeight="false" outlineLevel="0" collapsed="false">
      <c r="A31" s="0" t="s">
        <v>988</v>
      </c>
      <c r="B31" s="0" t="s">
        <v>1027</v>
      </c>
      <c r="C31" s="0" t="s">
        <v>1145</v>
      </c>
      <c r="D31" s="0" t="s">
        <v>1033</v>
      </c>
      <c r="E31" s="0" t="s">
        <v>1111</v>
      </c>
      <c r="F31" s="0" t="n">
        <v>24.5</v>
      </c>
      <c r="G31" s="11" t="n">
        <f aca="false">IFERROR(INDEX(CHOOSE(MATCH($X31,{"K1","K2","K3","K12","K13","H1","H2","H3","H12","H13"},0),Calc!$V$2:$V$124,Calc!$AC$2:$AC$124,Calc!$AJ$2:$AJ$124,Calc!$AL$2:$AL$124,Calc!$AM$2:$AM$124,Calc!$W$2:$W$124,Calc!$AD$2:$AD$124,Calc!$AK$2:$AK$124,Calc!$AN$2:$AN$124,Calc!$AO$2:$AO$124),MATCH($W31,Calc!$A$2:$A$124,0)),"")</f>
        <v>23.9053125</v>
      </c>
      <c r="H31" s="11" t="n">
        <f aca="false">IF(G31="","",IF(LEFT($X31,1)="H",SQRT(G31*(IFERROR(INDEX(Calc!$AP$2:$AP$124,MATCH($W31,Calc!$A$2:$A$124,0)),0.5)*Config!$B$5+1-IFERROR(INDEX(Calc!$AP$2:$AP$124,MATCH($W31,Calc!$A$2:$A$124,0)),0.5))),SQRT(G31*Config!$B$5)))</f>
        <v>5.78510479593931</v>
      </c>
      <c r="I31" s="10" t="n">
        <f aca="false">IF(OR(F31="",G31="",N(H31)&lt;=0),"",1-NORMDIST(FLOOR(F31,1)+0.5,G31,H31,TRUE()))</f>
        <v>0.459062311895149</v>
      </c>
      <c r="J31" s="10" t="n">
        <f aca="false">IF(I31="","",NORMDIST(CEILING(F31,1)-0.5,G31,H31,TRUE()))</f>
        <v>0.540937688104851</v>
      </c>
      <c r="K31" s="10" t="n">
        <f aca="false">IF(I31="","",MAX(0,1-I31-J31))</f>
        <v>0</v>
      </c>
      <c r="L31" s="0" t="str">
        <f aca="false">IF(I31="","",IF(I31&gt;=0.5+Config!$B$6,"OVER",IF(J31&gt;=0.5+Config!$B$6,"UNDER","—")))</f>
        <v>UNDER</v>
      </c>
      <c r="N31" s="0" t="n">
        <v>25.3</v>
      </c>
      <c r="O31" s="10" t="n">
        <v>0.6</v>
      </c>
      <c r="P31" s="10" t="n">
        <v>0.5</v>
      </c>
      <c r="Q31" s="10" t="n">
        <v>0.53</v>
      </c>
      <c r="R31" s="9" t="s">
        <v>1108</v>
      </c>
      <c r="S31" s="0" t="n">
        <v>1</v>
      </c>
      <c r="T31" s="0" t="str">
        <f aca="false">INDEX(Calc!$G$2:$G$124,MATCH($W31,Calc!$A$2:$A$124,0))&amp;" / "&amp;INDEX(Calc!$H$2:$H$124,MATCH($W31,Calc!$A$2:$A$124,0))</f>
        <v>Cache / Nuke</v>
      </c>
      <c r="U31" s="0" t="str">
        <f aca="false">TEXT(INDEX(Calc!$J$2:$J$124,MATCH($W31,Calc!$A$2:$A$124,0)),"0.0")&amp;" / "&amp;TEXT(INDEX(Calc!$K$2:$K$124,MATCH($W31,Calc!$A$2:$A$124,0)),"0.0")</f>
        <v>21.5 / 21.5</v>
      </c>
      <c r="V31" s="0" t="str">
        <f aca="false">IFERROR(INDEX(Calc!$AQ$2:$AQ$124,MATCH($W31,Calc!$A$2:$A$124,0)),"")</f>
        <v/>
      </c>
      <c r="W31" s="9" t="s">
        <v>1146</v>
      </c>
      <c r="X31" s="9" t="s">
        <v>1112</v>
      </c>
      <c r="Y31" s="0" t="str">
        <f aca="false">W31&amp;"|"&amp;X31</f>
        <v>vl85mzwiy0ds144|CS2 [NO MARKET] · BAKS vs MZP|K12</v>
      </c>
      <c r="Z31" s="11" t="n">
        <f aca="false">IFERROR(INDEX(CHOOSE(MATCH($X31,{"K1","K2","K3","K12","K13","H1","H2","H3","H12","H13"},0),Calc!$BA$2:$BA$124,Calc!$BB$2:$BB$124,Calc!$BC$2:$BC$124,Calc!$BD$2:$BD$124,Calc!$BE$2:$BE$124,Calc!$BF$2:$BF$124,Calc!$BG$2:$BG$124,Calc!$BH$2:$BH$124,Calc!$BI$2:$BI$124,Calc!$BJ$2:$BJ$124),MATCH($W31,Calc!$A$2:$A$124,0)),"")</f>
        <v>23.9053125</v>
      </c>
      <c r="AA31" s="11" t="n">
        <f aca="false">IF(Z31="","",IF(LEFT($X31,1)="H",SQRT(Z31*(IFERROR(INDEX(Calc!$AP$2:$AP$124,MATCH($W31,Calc!$A$2:$A$124,0)),0.5)*Config!$B$5+1-IFERROR(INDEX(Calc!$AP$2:$AP$124,MATCH($W31,Calc!$A$2:$A$124,0)),0.5))),SQRT(Z31*Config!$B$5)))</f>
        <v>5.78510479593931</v>
      </c>
      <c r="AB31" s="10" t="n">
        <f aca="false">IF(OR(F31="",Z31="",N(AA31)&lt;=0),"",1-NORMDIST(FLOOR(F31,1)+0.5,Z31,AA31,TRUE()))</f>
        <v>0.459062311895149</v>
      </c>
      <c r="AC31" s="10" t="n">
        <f aca="false">IF(AB31="","",NORMDIST(CEILING(F31,1)-0.5,Z31,AA31,TRUE()))</f>
        <v>0.540937688104851</v>
      </c>
      <c r="AD31" s="0" t="str">
        <f aca="false">IF(AB31="","",IF(AB31&gt;=0.5+Config!$B$6,"OVER",IF(AC31&gt;=0.5+Config!$B$6,"UNDER","—")))</f>
        <v>UNDER</v>
      </c>
      <c r="AE31" s="13" t="n">
        <f aca="false">IFERROR(Z31/G31,"")</f>
        <v>1</v>
      </c>
    </row>
    <row r="32" customFormat="false" ht="15" hidden="false" customHeight="false" outlineLevel="0" collapsed="false">
      <c r="A32" s="0" t="s">
        <v>988</v>
      </c>
      <c r="B32" s="0" t="s">
        <v>1078</v>
      </c>
      <c r="C32" s="0" t="s">
        <v>1147</v>
      </c>
      <c r="D32" s="0" t="s">
        <v>1081</v>
      </c>
      <c r="E32" s="0" t="s">
        <v>1107</v>
      </c>
      <c r="F32" s="0" t="n">
        <v>18</v>
      </c>
      <c r="G32" s="11" t="n">
        <f aca="false">IFERROR(INDEX(CHOOSE(MATCH($X32,{"K1","K2","K3","K12","K13","H1","H2","H3","H12","H13"},0),Calc!$V$2:$V$124,Calc!$AC$2:$AC$124,Calc!$AJ$2:$AJ$124,Calc!$AL$2:$AL$124,Calc!$AM$2:$AM$124,Calc!$W$2:$W$124,Calc!$AD$2:$AD$124,Calc!$AK$2:$AK$124,Calc!$AN$2:$AN$124,Calc!$AO$2:$AO$124),MATCH($W32,Calc!$A$2:$A$124,0)),"")</f>
        <v>19.0166862962963</v>
      </c>
      <c r="H32" s="11" t="n">
        <f aca="false">IF(G32="","",IF(LEFT($X32,1)="H",SQRT(G32*(IFERROR(INDEX(Calc!$AP$2:$AP$124,MATCH($W32,Calc!$A$2:$A$124,0)),0.5)*Config!$B$5+1-IFERROR(INDEX(Calc!$AP$2:$AP$124,MATCH($W32,Calc!$A$2:$A$124,0)),0.5))),SQRT(G32*Config!$B$5)))</f>
        <v>4.88916273584306</v>
      </c>
      <c r="I32" s="10" t="n">
        <f aca="false">IF(OR(F32="",G32="",N(H32)&lt;=0),"",1-NORMDIST(FLOOR(F32,1)+0.5,G32,H32,TRUE()))</f>
        <v>0.542081841205347</v>
      </c>
      <c r="J32" s="10" t="n">
        <f aca="false">IF(I32="","",NORMDIST(CEILING(F32,1)-0.5,G32,H32,TRUE()))</f>
        <v>0.378199146081499</v>
      </c>
      <c r="K32" s="10" t="n">
        <f aca="false">IF(I32="","",MAX(0,1-I32-J32))</f>
        <v>0.0797190127131539</v>
      </c>
      <c r="L32" s="0" t="str">
        <f aca="false">IF(I32="","",IF(I32&gt;=0.5+Config!$B$6,"OVER",IF(J32&gt;=0.5+Config!$B$6,"UNDER","—")))</f>
        <v>OVER</v>
      </c>
      <c r="N32" s="0" t="n">
        <v>19.8</v>
      </c>
      <c r="O32" s="10" t="n">
        <v>0.6</v>
      </c>
      <c r="P32" s="10" t="n">
        <v>0.7</v>
      </c>
      <c r="Q32" s="10" t="n">
        <v>0.73</v>
      </c>
      <c r="R32" s="9" t="s">
        <v>1108</v>
      </c>
      <c r="S32" s="0" t="n">
        <v>2</v>
      </c>
      <c r="T32" s="0" t="str">
        <f aca="false">INDEX(Calc!$G$2:$G$124,MATCH($W32,Calc!$A$2:$A$124,0))&amp;" / "&amp;INDEX(Calc!$H$2:$H$124,MATCH($W32,Calc!$A$2:$A$124,0))</f>
        <v>Dust2 / Cache</v>
      </c>
      <c r="U32" s="0" t="str">
        <f aca="false">TEXT(INDEX(Calc!$J$2:$J$124,MATCH($W32,Calc!$A$2:$A$124,0)),"0.0")&amp;" / "&amp;TEXT(INDEX(Calc!$K$2:$K$124,MATCH($W32,Calc!$A$2:$A$124,0)),"0.0")</f>
        <v>21.5 / 21.5</v>
      </c>
      <c r="V32" s="0" t="str">
        <f aca="false">IFERROR(INDEX(Calc!$AQ$2:$AQ$124,MATCH($W32,Calc!$A$2:$A$124,0)),"")</f>
        <v/>
      </c>
      <c r="W32" s="9" t="s">
        <v>1148</v>
      </c>
      <c r="X32" s="9" t="s">
        <v>1110</v>
      </c>
      <c r="Y32" s="0" t="str">
        <f aca="false">W32&amp;"|"&amp;X32</f>
        <v>0hbeigv9v9oomi7|CS2 [NO MARKET] · Color vs ex-ZT|H12</v>
      </c>
      <c r="Z32" s="11" t="n">
        <f aca="false">IFERROR(INDEX(CHOOSE(MATCH($X32,{"K1","K2","K3","K12","K13","H1","H2","H3","H12","H13"},0),Calc!$BA$2:$BA$124,Calc!$BB$2:$BB$124,Calc!$BC$2:$BC$124,Calc!$BD$2:$BD$124,Calc!$BE$2:$BE$124,Calc!$BF$2:$BF$124,Calc!$BG$2:$BG$124,Calc!$BH$2:$BH$124,Calc!$BI$2:$BI$124,Calc!$BJ$2:$BJ$124),MATCH($W32,Calc!$A$2:$A$124,0)),"")</f>
        <v>19.0166862962963</v>
      </c>
      <c r="AA32" s="11" t="n">
        <f aca="false">IF(Z32="","",IF(LEFT($X32,1)="H",SQRT(Z32*(IFERROR(INDEX(Calc!$AP$2:$AP$124,MATCH($W32,Calc!$A$2:$A$124,0)),0.5)*Config!$B$5+1-IFERROR(INDEX(Calc!$AP$2:$AP$124,MATCH($W32,Calc!$A$2:$A$124,0)),0.5))),SQRT(Z32*Config!$B$5)))</f>
        <v>4.88916273584306</v>
      </c>
      <c r="AB32" s="10" t="n">
        <f aca="false">IF(OR(F32="",Z32="",N(AA32)&lt;=0),"",1-NORMDIST(FLOOR(F32,1)+0.5,Z32,AA32,TRUE()))</f>
        <v>0.542081841205347</v>
      </c>
      <c r="AC32" s="10" t="n">
        <f aca="false">IF(AB32="","",NORMDIST(CEILING(F32,1)-0.5,Z32,AA32,TRUE()))</f>
        <v>0.378199146081499</v>
      </c>
      <c r="AD32" s="0" t="str">
        <f aca="false">IF(AB32="","",IF(AB32&gt;=0.5+Config!$B$6,"OVER",IF(AC32&gt;=0.5+Config!$B$6,"UNDER","—")))</f>
        <v>OVER</v>
      </c>
      <c r="AE32" s="13" t="n">
        <f aca="false">IFERROR(Z32/G32,"")</f>
        <v>1</v>
      </c>
    </row>
    <row r="33" customFormat="false" ht="15" hidden="false" customHeight="false" outlineLevel="0" collapsed="false">
      <c r="A33" s="0" t="s">
        <v>988</v>
      </c>
      <c r="B33" s="0" t="s">
        <v>1078</v>
      </c>
      <c r="C33" s="0" t="s">
        <v>1147</v>
      </c>
      <c r="D33" s="0" t="s">
        <v>1081</v>
      </c>
      <c r="E33" s="0" t="s">
        <v>1111</v>
      </c>
      <c r="F33" s="0" t="n">
        <v>30.5</v>
      </c>
      <c r="G33" s="11" t="n">
        <f aca="false">IFERROR(INDEX(CHOOSE(MATCH($X33,{"K1","K2","K3","K12","K13","H1","H2","H3","H12","H13"},0),Calc!$V$2:$V$124,Calc!$AC$2:$AC$124,Calc!$AJ$2:$AJ$124,Calc!$AL$2:$AL$124,Calc!$AM$2:$AM$124,Calc!$W$2:$W$124,Calc!$AD$2:$AD$124,Calc!$AK$2:$AK$124,Calc!$AN$2:$AN$124,Calc!$AO$2:$AO$124),MATCH($W33,Calc!$A$2:$A$124,0)),"")</f>
        <v>29.5983333333333</v>
      </c>
      <c r="H33" s="11" t="n">
        <f aca="false">IF(G33="","",IF(LEFT($X33,1)="H",SQRT(G33*(IFERROR(INDEX(Calc!$AP$2:$AP$124,MATCH($W33,Calc!$A$2:$A$124,0)),0.5)*Config!$B$5+1-IFERROR(INDEX(Calc!$AP$2:$AP$124,MATCH($W33,Calc!$A$2:$A$124,0)),0.5))),SQRT(G33*Config!$B$5)))</f>
        <v>6.4372095403728</v>
      </c>
      <c r="I33" s="10" t="n">
        <f aca="false">IF(OR(F33="",G33="",N(H33)&lt;=0),"",1-NORMDIST(FLOOR(F33,1)+0.5,G33,H33,TRUE()))</f>
        <v>0.444301928915743</v>
      </c>
      <c r="J33" s="10" t="n">
        <f aca="false">IF(I33="","",NORMDIST(CEILING(F33,1)-0.5,G33,H33,TRUE()))</f>
        <v>0.555698071084257</v>
      </c>
      <c r="K33" s="10" t="n">
        <f aca="false">IF(I33="","",MAX(0,1-I33-J33))</f>
        <v>0</v>
      </c>
      <c r="L33" s="0" t="str">
        <f aca="false">IF(I33="","",IF(I33&gt;=0.5+Config!$B$6,"OVER",IF(J33&gt;=0.5+Config!$B$6,"UNDER","—")))</f>
        <v>UNDER</v>
      </c>
      <c r="N33" s="0" t="n">
        <v>30.9</v>
      </c>
      <c r="O33" s="10" t="n">
        <v>0.8</v>
      </c>
      <c r="P33" s="10" t="n">
        <v>0.6</v>
      </c>
      <c r="Q33" s="10" t="n">
        <v>0.6</v>
      </c>
      <c r="R33" s="9" t="s">
        <v>1108</v>
      </c>
      <c r="S33" s="0" t="n">
        <v>3</v>
      </c>
      <c r="T33" s="0" t="str">
        <f aca="false">INDEX(Calc!$G$2:$G$124,MATCH($W33,Calc!$A$2:$A$124,0))&amp;" / "&amp;INDEX(Calc!$H$2:$H$124,MATCH($W33,Calc!$A$2:$A$124,0))</f>
        <v>Dust2 / Cache</v>
      </c>
      <c r="U33" s="0" t="str">
        <f aca="false">TEXT(INDEX(Calc!$J$2:$J$124,MATCH($W33,Calc!$A$2:$A$124,0)),"0.0")&amp;" / "&amp;TEXT(INDEX(Calc!$K$2:$K$124,MATCH($W33,Calc!$A$2:$A$124,0)),"0.0")</f>
        <v>21.5 / 21.5</v>
      </c>
      <c r="V33" s="0" t="str">
        <f aca="false">IFERROR(INDEX(Calc!$AQ$2:$AQ$124,MATCH($W33,Calc!$A$2:$A$124,0)),"")</f>
        <v/>
      </c>
      <c r="W33" s="9" t="s">
        <v>1148</v>
      </c>
      <c r="X33" s="9" t="s">
        <v>1112</v>
      </c>
      <c r="Y33" s="0" t="str">
        <f aca="false">W33&amp;"|"&amp;X33</f>
        <v>0hbeigv9v9oomi7|CS2 [NO MARKET] · Color vs ex-ZT|K12</v>
      </c>
      <c r="Z33" s="11" t="n">
        <f aca="false">IFERROR(INDEX(CHOOSE(MATCH($X33,{"K1","K2","K3","K12","K13","H1","H2","H3","H12","H13"},0),Calc!$BA$2:$BA$124,Calc!$BB$2:$BB$124,Calc!$BC$2:$BC$124,Calc!$BD$2:$BD$124,Calc!$BE$2:$BE$124,Calc!$BF$2:$BF$124,Calc!$BG$2:$BG$124,Calc!$BH$2:$BH$124,Calc!$BI$2:$BI$124,Calc!$BJ$2:$BJ$124),MATCH($W33,Calc!$A$2:$A$124,0)),"")</f>
        <v>29.5983333333333</v>
      </c>
      <c r="AA33" s="11" t="n">
        <f aca="false">IF(Z33="","",IF(LEFT($X33,1)="H",SQRT(Z33*(IFERROR(INDEX(Calc!$AP$2:$AP$124,MATCH($W33,Calc!$A$2:$A$124,0)),0.5)*Config!$B$5+1-IFERROR(INDEX(Calc!$AP$2:$AP$124,MATCH($W33,Calc!$A$2:$A$124,0)),0.5))),SQRT(Z33*Config!$B$5)))</f>
        <v>6.4372095403728</v>
      </c>
      <c r="AB33" s="10" t="n">
        <f aca="false">IF(OR(F33="",Z33="",N(AA33)&lt;=0),"",1-NORMDIST(FLOOR(F33,1)+0.5,Z33,AA33,TRUE()))</f>
        <v>0.444301928915743</v>
      </c>
      <c r="AC33" s="10" t="n">
        <f aca="false">IF(AB33="","",NORMDIST(CEILING(F33,1)-0.5,Z33,AA33,TRUE()))</f>
        <v>0.555698071084257</v>
      </c>
      <c r="AD33" s="0" t="str">
        <f aca="false">IF(AB33="","",IF(AB33&gt;=0.5+Config!$B$6,"OVER",IF(AC33&gt;=0.5+Config!$B$6,"UNDER","—")))</f>
        <v>UNDER</v>
      </c>
      <c r="AE33" s="13" t="n">
        <f aca="false">IFERROR(Z33/G33,"")</f>
        <v>1</v>
      </c>
    </row>
    <row r="34" customFormat="false" ht="15" hidden="false" customHeight="false" outlineLevel="0" collapsed="false">
      <c r="A34" s="0" t="s">
        <v>988</v>
      </c>
      <c r="B34" s="0" t="s">
        <v>1078</v>
      </c>
      <c r="C34" s="0" t="s">
        <v>1149</v>
      </c>
      <c r="D34" s="0" t="s">
        <v>1081</v>
      </c>
      <c r="E34" s="0" t="s">
        <v>1107</v>
      </c>
      <c r="F34" s="0" t="n">
        <v>17.5</v>
      </c>
      <c r="G34" s="11" t="n">
        <f aca="false">IFERROR(INDEX(CHOOSE(MATCH($X34,{"K1","K2","K3","K12","K13","H1","H2","H3","H12","H13"},0),Calc!$V$2:$V$124,Calc!$AC$2:$AC$124,Calc!$AJ$2:$AJ$124,Calc!$AL$2:$AL$124,Calc!$AM$2:$AM$124,Calc!$W$2:$W$124,Calc!$AD$2:$AD$124,Calc!$AK$2:$AK$124,Calc!$AN$2:$AN$124,Calc!$AO$2:$AO$124),MATCH($W34,Calc!$A$2:$A$124,0)),"")</f>
        <v>18.1718132716049</v>
      </c>
      <c r="H34" s="11" t="n">
        <f aca="false">IF(G34="","",IF(LEFT($X34,1)="H",SQRT(G34*(IFERROR(INDEX(Calc!$AP$2:$AP$124,MATCH($W34,Calc!$A$2:$A$124,0)),0.5)*Config!$B$5+1-IFERROR(INDEX(Calc!$AP$2:$AP$124,MATCH($W34,Calc!$A$2:$A$124,0)),0.5))),SQRT(G34*Config!$B$5)))</f>
        <v>4.76408531173569</v>
      </c>
      <c r="I34" s="10" t="n">
        <f aca="false">IF(OR(F34="",G34="",N(H34)&lt;=0),"",1-NORMDIST(FLOOR(F34,1)+0.5,G34,H34,TRUE()))</f>
        <v>0.556071433105477</v>
      </c>
      <c r="J34" s="10" t="n">
        <f aca="false">IF(I34="","",NORMDIST(CEILING(F34,1)-0.5,G34,H34,TRUE()))</f>
        <v>0.443928566894524</v>
      </c>
      <c r="K34" s="10" t="n">
        <f aca="false">IF(I34="","",MAX(0,1-I34-J34))</f>
        <v>0</v>
      </c>
      <c r="L34" s="0" t="str">
        <f aca="false">IF(I34="","",IF(I34&gt;=0.5+Config!$B$6,"OVER",IF(J34&gt;=0.5+Config!$B$6,"UNDER","—")))</f>
        <v>OVER</v>
      </c>
      <c r="N34" s="0" t="n">
        <v>20.3</v>
      </c>
      <c r="O34" s="10" t="n">
        <v>0.6</v>
      </c>
      <c r="P34" s="10" t="n">
        <v>0.5</v>
      </c>
      <c r="Q34" s="10" t="n">
        <v>0.47</v>
      </c>
      <c r="R34" s="9" t="s">
        <v>1108</v>
      </c>
      <c r="S34" s="0" t="n">
        <v>-2</v>
      </c>
      <c r="T34" s="0" t="str">
        <f aca="false">INDEX(Calc!$G$2:$G$124,MATCH($W34,Calc!$A$2:$A$124,0))&amp;" / "&amp;INDEX(Calc!$H$2:$H$124,MATCH($W34,Calc!$A$2:$A$124,0))</f>
        <v>Dust2 / Cache</v>
      </c>
      <c r="U34" s="0" t="str">
        <f aca="false">TEXT(INDEX(Calc!$J$2:$J$124,MATCH($W34,Calc!$A$2:$A$124,0)),"0.0")&amp;" / "&amp;TEXT(INDEX(Calc!$K$2:$K$124,MATCH($W34,Calc!$A$2:$A$124,0)),"0.0")</f>
        <v>21.5 / 21.5</v>
      </c>
      <c r="V34" s="0" t="str">
        <f aca="false">IFERROR(INDEX(Calc!$AQ$2:$AQ$124,MATCH($W34,Calc!$A$2:$A$124,0)),"")</f>
        <v/>
      </c>
      <c r="W34" s="9" t="s">
        <v>1150</v>
      </c>
      <c r="X34" s="9" t="s">
        <v>1110</v>
      </c>
      <c r="Y34" s="0" t="str">
        <f aca="false">W34&amp;"|"&amp;X34</f>
        <v>x9afncgn4bx6f1l|CS2 [NO MARKET] · Color vs ex-ZT|H12</v>
      </c>
      <c r="Z34" s="11" t="n">
        <f aca="false">IFERROR(INDEX(CHOOSE(MATCH($X34,{"K1","K2","K3","K12","K13","H1","H2","H3","H12","H13"},0),Calc!$BA$2:$BA$124,Calc!$BB$2:$BB$124,Calc!$BC$2:$BC$124,Calc!$BD$2:$BD$124,Calc!$BE$2:$BE$124,Calc!$BF$2:$BF$124,Calc!$BG$2:$BG$124,Calc!$BH$2:$BH$124,Calc!$BI$2:$BI$124,Calc!$BJ$2:$BJ$124),MATCH($W34,Calc!$A$2:$A$124,0)),"")</f>
        <v>18.1718132716049</v>
      </c>
      <c r="AA34" s="11" t="n">
        <f aca="false">IF(Z34="","",IF(LEFT($X34,1)="H",SQRT(Z34*(IFERROR(INDEX(Calc!$AP$2:$AP$124,MATCH($W34,Calc!$A$2:$A$124,0)),0.5)*Config!$B$5+1-IFERROR(INDEX(Calc!$AP$2:$AP$124,MATCH($W34,Calc!$A$2:$A$124,0)),0.5))),SQRT(Z34*Config!$B$5)))</f>
        <v>4.76408531173569</v>
      </c>
      <c r="AB34" s="10" t="n">
        <f aca="false">IF(OR(F34="",Z34="",N(AA34)&lt;=0),"",1-NORMDIST(FLOOR(F34,1)+0.5,Z34,AA34,TRUE()))</f>
        <v>0.556071433105477</v>
      </c>
      <c r="AC34" s="10" t="n">
        <f aca="false">IF(AB34="","",NORMDIST(CEILING(F34,1)-0.5,Z34,AA34,TRUE()))</f>
        <v>0.443928566894524</v>
      </c>
      <c r="AD34" s="0" t="str">
        <f aca="false">IF(AB34="","",IF(AB34&gt;=0.5+Config!$B$6,"OVER",IF(AC34&gt;=0.5+Config!$B$6,"UNDER","—")))</f>
        <v>OVER</v>
      </c>
      <c r="AE34" s="13" t="n">
        <f aca="false">IFERROR(Z34/G34,"")</f>
        <v>1</v>
      </c>
    </row>
    <row r="35" customFormat="false" ht="15" hidden="false" customHeight="false" outlineLevel="0" collapsed="false">
      <c r="A35" s="0" t="s">
        <v>988</v>
      </c>
      <c r="B35" s="0" t="s">
        <v>1078</v>
      </c>
      <c r="C35" s="0" t="s">
        <v>1149</v>
      </c>
      <c r="D35" s="0" t="s">
        <v>1081</v>
      </c>
      <c r="E35" s="0" t="s">
        <v>1111</v>
      </c>
      <c r="F35" s="0" t="n">
        <v>29</v>
      </c>
      <c r="G35" s="11" t="n">
        <f aca="false">IFERROR(INDEX(CHOOSE(MATCH($X35,{"K1","K2","K3","K12","K13","H1","H2","H3","H12","H13"},0),Calc!$V$2:$V$124,Calc!$AC$2:$AC$124,Calc!$AJ$2:$AJ$124,Calc!$AL$2:$AL$124,Calc!$AM$2:$AM$124,Calc!$W$2:$W$124,Calc!$AD$2:$AD$124,Calc!$AK$2:$AK$124,Calc!$AN$2:$AN$124,Calc!$AO$2:$AO$124),MATCH($W35,Calc!$A$2:$A$124,0)),"")</f>
        <v>29.1922222222222</v>
      </c>
      <c r="H35" s="11" t="n">
        <f aca="false">IF(G35="","",IF(LEFT($X35,1)="H",SQRT(G35*(IFERROR(INDEX(Calc!$AP$2:$AP$124,MATCH($W35,Calc!$A$2:$A$124,0)),0.5)*Config!$B$5+1-IFERROR(INDEX(Calc!$AP$2:$AP$124,MATCH($W35,Calc!$A$2:$A$124,0)),0.5))),SQRT(G35*Config!$B$5)))</f>
        <v>6.39289536212749</v>
      </c>
      <c r="I35" s="10" t="n">
        <f aca="false">IF(OR(F35="",G35="",N(H35)&lt;=0),"",1-NORMDIST(FLOOR(F35,1)+0.5,G35,H35,TRUE()))</f>
        <v>0.480800850690588</v>
      </c>
      <c r="J35" s="10" t="n">
        <f aca="false">IF(I35="","",NORMDIST(CEILING(F35,1)-0.5,G35,H35,TRUE()))</f>
        <v>0.456886823757822</v>
      </c>
      <c r="K35" s="10" t="n">
        <f aca="false">IF(I35="","",MAX(0,1-I35-J35))</f>
        <v>0.0623123255515893</v>
      </c>
      <c r="L35" s="0" t="str">
        <f aca="false">IF(I35="","",IF(I35&gt;=0.5+Config!$B$6,"OVER",IF(J35&gt;=0.5+Config!$B$6,"UNDER","—")))</f>
        <v>—</v>
      </c>
      <c r="N35" s="0" t="n">
        <v>31.2</v>
      </c>
      <c r="O35" s="10" t="n">
        <v>0.6</v>
      </c>
      <c r="P35" s="10" t="n">
        <v>0.5</v>
      </c>
      <c r="Q35" s="10" t="n">
        <v>0.6</v>
      </c>
      <c r="R35" s="9" t="s">
        <v>1108</v>
      </c>
      <c r="S35" s="0" t="n">
        <v>-2</v>
      </c>
      <c r="T35" s="0" t="str">
        <f aca="false">INDEX(Calc!$G$2:$G$124,MATCH($W35,Calc!$A$2:$A$124,0))&amp;" / "&amp;INDEX(Calc!$H$2:$H$124,MATCH($W35,Calc!$A$2:$A$124,0))</f>
        <v>Dust2 / Cache</v>
      </c>
      <c r="U35" s="0" t="str">
        <f aca="false">TEXT(INDEX(Calc!$J$2:$J$124,MATCH($W35,Calc!$A$2:$A$124,0)),"0.0")&amp;" / "&amp;TEXT(INDEX(Calc!$K$2:$K$124,MATCH($W35,Calc!$A$2:$A$124,0)),"0.0")</f>
        <v>21.5 / 21.5</v>
      </c>
      <c r="V35" s="0" t="str">
        <f aca="false">IFERROR(INDEX(Calc!$AQ$2:$AQ$124,MATCH($W35,Calc!$A$2:$A$124,0)),"")</f>
        <v/>
      </c>
      <c r="W35" s="9" t="s">
        <v>1150</v>
      </c>
      <c r="X35" s="9" t="s">
        <v>1112</v>
      </c>
      <c r="Y35" s="0" t="str">
        <f aca="false">W35&amp;"|"&amp;X35</f>
        <v>x9afncgn4bx6f1l|CS2 [NO MARKET] · Color vs ex-ZT|K12</v>
      </c>
      <c r="Z35" s="11" t="n">
        <f aca="false">IFERROR(INDEX(CHOOSE(MATCH($X35,{"K1","K2","K3","K12","K13","H1","H2","H3","H12","H13"},0),Calc!$BA$2:$BA$124,Calc!$BB$2:$BB$124,Calc!$BC$2:$BC$124,Calc!$BD$2:$BD$124,Calc!$BE$2:$BE$124,Calc!$BF$2:$BF$124,Calc!$BG$2:$BG$124,Calc!$BH$2:$BH$124,Calc!$BI$2:$BI$124,Calc!$BJ$2:$BJ$124),MATCH($W35,Calc!$A$2:$A$124,0)),"")</f>
        <v>29.1922222222222</v>
      </c>
      <c r="AA35" s="11" t="n">
        <f aca="false">IF(Z35="","",IF(LEFT($X35,1)="H",SQRT(Z35*(IFERROR(INDEX(Calc!$AP$2:$AP$124,MATCH($W35,Calc!$A$2:$A$124,0)),0.5)*Config!$B$5+1-IFERROR(INDEX(Calc!$AP$2:$AP$124,MATCH($W35,Calc!$A$2:$A$124,0)),0.5))),SQRT(Z35*Config!$B$5)))</f>
        <v>6.39289536212749</v>
      </c>
      <c r="AB35" s="10" t="n">
        <f aca="false">IF(OR(F35="",Z35="",N(AA35)&lt;=0),"",1-NORMDIST(FLOOR(F35,1)+0.5,Z35,AA35,TRUE()))</f>
        <v>0.480800850690588</v>
      </c>
      <c r="AC35" s="10" t="n">
        <f aca="false">IF(AB35="","",NORMDIST(CEILING(F35,1)-0.5,Z35,AA35,TRUE()))</f>
        <v>0.456886823757822</v>
      </c>
      <c r="AD35" s="0" t="str">
        <f aca="false">IF(AB35="","",IF(AB35&gt;=0.5+Config!$B$6,"OVER",IF(AC35&gt;=0.5+Config!$B$6,"UNDER","—")))</f>
        <v>—</v>
      </c>
      <c r="AE35" s="13" t="n">
        <f aca="false">IFERROR(Z35/G35,"")</f>
        <v>1</v>
      </c>
    </row>
    <row r="36" customFormat="false" ht="15" hidden="false" customHeight="false" outlineLevel="0" collapsed="false">
      <c r="A36" s="0" t="s">
        <v>988</v>
      </c>
      <c r="B36" s="0" t="s">
        <v>1041</v>
      </c>
      <c r="C36" s="0" t="s">
        <v>1151</v>
      </c>
      <c r="D36" s="0" t="s">
        <v>1045</v>
      </c>
      <c r="E36" s="0" t="s">
        <v>1107</v>
      </c>
      <c r="F36" s="0" t="n">
        <v>16</v>
      </c>
      <c r="G36" s="11" t="n">
        <f aca="false">IFERROR(INDEX(CHOOSE(MATCH($X36,{"K1","K2","K3","K12","K13","H1","H2","H3","H12","H13"},0),Calc!$V$2:$V$124,Calc!$AC$2:$AC$124,Calc!$AJ$2:$AJ$124,Calc!$AL$2:$AL$124,Calc!$AM$2:$AM$124,Calc!$W$2:$W$124,Calc!$AD$2:$AD$124,Calc!$AK$2:$AK$124,Calc!$AN$2:$AN$124,Calc!$AO$2:$AO$124),MATCH($W36,Calc!$A$2:$A$124,0)),"")</f>
        <v>15.607385835124</v>
      </c>
      <c r="H36" s="11" t="n">
        <f aca="false">IF(G36="","",IF(LEFT($X36,1)="H",SQRT(G36*(IFERROR(INDEX(Calc!$AP$2:$AP$124,MATCH($W36,Calc!$A$2:$A$124,0)),0.5)*Config!$B$5+1-IFERROR(INDEX(Calc!$AP$2:$AP$124,MATCH($W36,Calc!$A$2:$A$124,0)),0.5))),SQRT(G36*Config!$B$5)))</f>
        <v>4.37002606374644</v>
      </c>
      <c r="I36" s="10" t="n">
        <f aca="false">IF(OR(F36="",G36="",N(H36)&lt;=0),"",1-NORMDIST(FLOOR(F36,1)+0.5,G36,H36,TRUE()))</f>
        <v>0.419075821096613</v>
      </c>
      <c r="J36" s="10" t="n">
        <f aca="false">IF(I36="","",NORMDIST(CEILING(F36,1)-0.5,G36,H36,TRUE()))</f>
        <v>0.490197669721102</v>
      </c>
      <c r="K36" s="10" t="n">
        <f aca="false">IF(I36="","",MAX(0,1-I36-J36))</f>
        <v>0.0907265091822849</v>
      </c>
      <c r="L36" s="0" t="str">
        <f aca="false">IF(I36="","",IF(I36&gt;=0.5+Config!$B$6,"OVER",IF(J36&gt;=0.5+Config!$B$6,"UNDER","—")))</f>
        <v>—</v>
      </c>
      <c r="N36" s="0" t="n">
        <v>15.9</v>
      </c>
      <c r="O36" s="10" t="n">
        <v>0.4</v>
      </c>
      <c r="P36" s="10" t="n">
        <v>0.4</v>
      </c>
      <c r="Q36" s="10" t="n">
        <v>0.53</v>
      </c>
      <c r="R36" s="9" t="s">
        <v>1152</v>
      </c>
      <c r="S36" s="0" t="n">
        <v>-1</v>
      </c>
      <c r="T36" s="0" t="str">
        <f aca="false">INDEX(Calc!$G$2:$G$124,MATCH($W36,Calc!$A$2:$A$124,0))&amp;" / "&amp;INDEX(Calc!$H$2:$H$124,MATCH($W36,Calc!$A$2:$A$124,0))</f>
        <v>Mirage / Inferno</v>
      </c>
      <c r="U36" s="0" t="str">
        <f aca="false">TEXT(INDEX(Calc!$J$2:$J$124,MATCH($W36,Calc!$A$2:$A$124,0)),"0.0")&amp;" / "&amp;TEXT(INDEX(Calc!$K$2:$K$124,MATCH($W36,Calc!$A$2:$A$124,0)),"0.0")</f>
        <v>21.4 / 21.5</v>
      </c>
      <c r="V36" s="0" t="str">
        <f aca="false">IFERROR(INDEX(Calc!$AQ$2:$AQ$124,MATCH($W36,Calc!$A$2:$A$124,0)),"")</f>
        <v/>
      </c>
      <c r="W36" s="9" t="s">
        <v>1153</v>
      </c>
      <c r="X36" s="9" t="s">
        <v>1110</v>
      </c>
      <c r="Y36" s="0" t="str">
        <f aca="false">W36&amp;"|"&amp;X36</f>
        <v>66ajrvmetqiufsf|CS2 · AUR vs G2|H12</v>
      </c>
      <c r="Z36" s="11" t="n">
        <f aca="false">IFERROR(INDEX(CHOOSE(MATCH($X36,{"K1","K2","K3","K12","K13","H1","H2","H3","H12","H13"},0),Calc!$BA$2:$BA$124,Calc!$BB$2:$BB$124,Calc!$BC$2:$BC$124,Calc!$BD$2:$BD$124,Calc!$BE$2:$BE$124,Calc!$BF$2:$BF$124,Calc!$BG$2:$BG$124,Calc!$BH$2:$BH$124,Calc!$BI$2:$BI$124,Calc!$BJ$2:$BJ$124),MATCH($W36,Calc!$A$2:$A$124,0)),"")</f>
        <v>15.5193532543901</v>
      </c>
      <c r="AA36" s="11" t="n">
        <f aca="false">IF(Z36="","",IF(LEFT($X36,1)="H",SQRT(Z36*(IFERROR(INDEX(Calc!$AP$2:$AP$124,MATCH($W36,Calc!$A$2:$A$124,0)),0.5)*Config!$B$5+1-IFERROR(INDEX(Calc!$AP$2:$AP$124,MATCH($W36,Calc!$A$2:$A$124,0)),0.5))),SQRT(Z36*Config!$B$5)))</f>
        <v>4.35768419279147</v>
      </c>
      <c r="AB36" s="10" t="n">
        <f aca="false">IF(OR(F36="",Z36="",N(AA36)&lt;=0),"",1-NORMDIST(FLOOR(F36,1)+0.5,Z36,AA36,TRUE()))</f>
        <v>0.410974659018883</v>
      </c>
      <c r="AC36" s="10" t="n">
        <f aca="false">IF(AB36="","",NORMDIST(CEILING(F36,1)-0.5,Z36,AA36,TRUE()))</f>
        <v>0.498228231850446</v>
      </c>
      <c r="AD36" s="0" t="str">
        <f aca="false">IF(AB36="","",IF(AB36&gt;=0.5+Config!$B$6,"OVER",IF(AC36&gt;=0.5+Config!$B$6,"UNDER","—")))</f>
        <v>—</v>
      </c>
      <c r="AE36" s="13" t="n">
        <f aca="false">IFERROR(Z36/G36,"")</f>
        <v>0.994359556323918</v>
      </c>
    </row>
    <row r="37" customFormat="false" ht="15" hidden="false" customHeight="false" outlineLevel="0" collapsed="false">
      <c r="A37" s="0" t="s">
        <v>988</v>
      </c>
      <c r="B37" s="0" t="s">
        <v>1041</v>
      </c>
      <c r="C37" s="0" t="s">
        <v>1151</v>
      </c>
      <c r="D37" s="0" t="s">
        <v>1045</v>
      </c>
      <c r="E37" s="0" t="s">
        <v>1111</v>
      </c>
      <c r="F37" s="0" t="n">
        <v>30</v>
      </c>
      <c r="G37" s="11" t="n">
        <f aca="false">IFERROR(INDEX(CHOOSE(MATCH($X37,{"K1","K2","K3","K12","K13","H1","H2","H3","H12","H13"},0),Calc!$V$2:$V$124,Calc!$AC$2:$AC$124,Calc!$AJ$2:$AJ$124,Calc!$AL$2:$AL$124,Calc!$AM$2:$AM$124,Calc!$W$2:$W$124,Calc!$AD$2:$AD$124,Calc!$AK$2:$AK$124,Calc!$AN$2:$AN$124,Calc!$AO$2:$AO$124),MATCH($W37,Calc!$A$2:$A$124,0)),"")</f>
        <v>27.9207454545455</v>
      </c>
      <c r="H37" s="11" t="n">
        <f aca="false">IF(G37="","",IF(LEFT($X37,1)="H",SQRT(G37*(IFERROR(INDEX(Calc!$AP$2:$AP$124,MATCH($W37,Calc!$A$2:$A$124,0)),0.5)*Config!$B$5+1-IFERROR(INDEX(Calc!$AP$2:$AP$124,MATCH($W37,Calc!$A$2:$A$124,0)),0.5))),SQRT(G37*Config!$B$5)))</f>
        <v>6.25212313029451</v>
      </c>
      <c r="I37" s="10" t="n">
        <f aca="false">IF(OR(F37="",G37="",N(H37)&lt;=0),"",1-NORMDIST(FLOOR(F37,1)+0.5,G37,H37,TRUE()))</f>
        <v>0.339971619245494</v>
      </c>
      <c r="J37" s="10" t="n">
        <f aca="false">IF(I37="","",NORMDIST(CEILING(F37,1)-0.5,G37,H37,TRUE()))</f>
        <v>0.599709372216441</v>
      </c>
      <c r="K37" s="10" t="n">
        <f aca="false">IF(I37="","",MAX(0,1-I37-J37))</f>
        <v>0.0603190085380655</v>
      </c>
      <c r="L37" s="0" t="str">
        <f aca="false">IF(I37="","",IF(I37&gt;=0.5+Config!$B$6,"OVER",IF(J37&gt;=0.5+Config!$B$6,"UNDER","—")))</f>
        <v>UNDER</v>
      </c>
      <c r="M37" s="0" t="n">
        <v>30.18</v>
      </c>
      <c r="N37" s="0" t="n">
        <v>29.9</v>
      </c>
      <c r="O37" s="10" t="n">
        <v>0.4</v>
      </c>
      <c r="P37" s="10" t="n">
        <v>0.5</v>
      </c>
      <c r="Q37" s="10" t="n">
        <v>0.53</v>
      </c>
      <c r="R37" s="9" t="s">
        <v>1154</v>
      </c>
      <c r="S37" s="0" t="n">
        <v>-1</v>
      </c>
      <c r="T37" s="0" t="str">
        <f aca="false">INDEX(Calc!$G$2:$G$124,MATCH($W37,Calc!$A$2:$A$124,0))&amp;" / "&amp;INDEX(Calc!$H$2:$H$124,MATCH($W37,Calc!$A$2:$A$124,0))</f>
        <v>Mirage / Inferno</v>
      </c>
      <c r="U37" s="0" t="str">
        <f aca="false">TEXT(INDEX(Calc!$J$2:$J$124,MATCH($W37,Calc!$A$2:$A$124,0)),"0.0")&amp;" / "&amp;TEXT(INDEX(Calc!$K$2:$K$124,MATCH($W37,Calc!$A$2:$A$124,0)),"0.0")</f>
        <v>21.4 / 21.5</v>
      </c>
      <c r="V37" s="0" t="str">
        <f aca="false">IFERROR(INDEX(Calc!$AQ$2:$AQ$124,MATCH($W37,Calc!$A$2:$A$124,0)),"")</f>
        <v/>
      </c>
      <c r="W37" s="9" t="s">
        <v>1153</v>
      </c>
      <c r="X37" s="9" t="s">
        <v>1112</v>
      </c>
      <c r="Y37" s="0" t="str">
        <f aca="false">W37&amp;"|"&amp;X37</f>
        <v>66ajrvmetqiufsf|CS2 · AUR vs G2|K12</v>
      </c>
      <c r="Z37" s="11" t="n">
        <f aca="false">IFERROR(INDEX(CHOOSE(MATCH($X37,{"K1","K2","K3","K12","K13","H1","H2","H3","H12","H13"},0),Calc!$BA$2:$BA$124,Calc!$BB$2:$BB$124,Calc!$BC$2:$BC$124,Calc!$BD$2:$BD$124,Calc!$BE$2:$BE$124,Calc!$BF$2:$BF$124,Calc!$BG$2:$BG$124,Calc!$BH$2:$BH$124,Calc!$BI$2:$BI$124,Calc!$BJ$2:$BJ$124),MATCH($W37,Calc!$A$2:$A$124,0)),"")</f>
        <v>27.7576971259892</v>
      </c>
      <c r="AA37" s="11" t="n">
        <f aca="false">IF(Z37="","",IF(LEFT($X37,1)="H",SQRT(Z37*(IFERROR(INDEX(Calc!$AP$2:$AP$124,MATCH($W37,Calc!$A$2:$A$124,0)),0.5)*Config!$B$5+1-IFERROR(INDEX(Calc!$AP$2:$AP$124,MATCH($W37,Calc!$A$2:$A$124,0)),0.5))),SQRT(Z37*Config!$B$5)))</f>
        <v>6.23384118953834</v>
      </c>
      <c r="AB37" s="10" t="n">
        <f aca="false">IF(OR(F37="",Z37="",N(AA37)&lt;=0),"",1-NORMDIST(FLOOR(F37,1)+0.5,Z37,AA37,TRUE()))</f>
        <v>0.330002668725133</v>
      </c>
      <c r="AC37" s="10" t="n">
        <f aca="false">IF(AB37="","",NORMDIST(CEILING(F37,1)-0.5,Z37,AA37,TRUE()))</f>
        <v>0.610066000578866</v>
      </c>
      <c r="AD37" s="0" t="str">
        <f aca="false">IF(AB37="","",IF(AB37&gt;=0.5+Config!$B$6,"OVER",IF(AC37&gt;=0.5+Config!$B$6,"UNDER","—")))</f>
        <v>UNDER</v>
      </c>
      <c r="AE37" s="13" t="n">
        <f aca="false">IFERROR(Z37/G37,"")</f>
        <v>0.994160316069579</v>
      </c>
    </row>
    <row r="38" customFormat="false" ht="15" hidden="false" customHeight="false" outlineLevel="0" collapsed="false">
      <c r="A38" s="0" t="s">
        <v>988</v>
      </c>
      <c r="B38" s="0" t="s">
        <v>1041</v>
      </c>
      <c r="C38" s="0" t="s">
        <v>1155</v>
      </c>
      <c r="D38" s="0" t="s">
        <v>1045</v>
      </c>
      <c r="E38" s="0" t="s">
        <v>1107</v>
      </c>
      <c r="F38" s="0" t="n">
        <v>13.5</v>
      </c>
      <c r="G38" s="11" t="n">
        <f aca="false">IFERROR(INDEX(CHOOSE(MATCH($X38,{"K1","K2","K3","K12","K13","H1","H2","H3","H12","H13"},0),Calc!$V$2:$V$124,Calc!$AC$2:$AC$124,Calc!$AJ$2:$AJ$124,Calc!$AL$2:$AL$124,Calc!$AM$2:$AM$124,Calc!$W$2:$W$124,Calc!$AD$2:$AD$124,Calc!$AK$2:$AK$124,Calc!$AN$2:$AN$124,Calc!$AO$2:$AO$124),MATCH($W38,Calc!$A$2:$A$124,0)),"")</f>
        <v>13.0854988643595</v>
      </c>
      <c r="H38" s="11" t="n">
        <f aca="false">IF(G38="","",IF(LEFT($X38,1)="H",SQRT(G38*(IFERROR(INDEX(Calc!$AP$2:$AP$124,MATCH($W38,Calc!$A$2:$A$124,0)),0.5)*Config!$B$5+1-IFERROR(INDEX(Calc!$AP$2:$AP$124,MATCH($W38,Calc!$A$2:$A$124,0)),0.5))),SQRT(G38*Config!$B$5)))</f>
        <v>4.01991707376065</v>
      </c>
      <c r="I38" s="10" t="n">
        <f aca="false">IF(OR(F38="",G38="",N(H38)&lt;=0),"",1-NORMDIST(FLOOR(F38,1)+0.5,G38,H38,TRUE()))</f>
        <v>0.458937095239535</v>
      </c>
      <c r="J38" s="10" t="n">
        <f aca="false">IF(I38="","",NORMDIST(CEILING(F38,1)-0.5,G38,H38,TRUE()))</f>
        <v>0.541062904760465</v>
      </c>
      <c r="K38" s="10" t="n">
        <f aca="false">IF(I38="","",MAX(0,1-I38-J38))</f>
        <v>0</v>
      </c>
      <c r="L38" s="0" t="str">
        <f aca="false">IF(I38="","",IF(I38&gt;=0.5+Config!$B$6,"OVER",IF(J38&gt;=0.5+Config!$B$6,"UNDER","—")))</f>
        <v>UNDER</v>
      </c>
      <c r="N38" s="0" t="n">
        <v>13</v>
      </c>
      <c r="O38" s="10" t="n">
        <v>0.6</v>
      </c>
      <c r="P38" s="10" t="n">
        <v>0.4</v>
      </c>
      <c r="Q38" s="10" t="n">
        <v>0.33</v>
      </c>
      <c r="R38" s="9" t="s">
        <v>1156</v>
      </c>
      <c r="S38" s="0" t="n">
        <v>-1</v>
      </c>
      <c r="T38" s="0" t="str">
        <f aca="false">INDEX(Calc!$G$2:$G$124,MATCH($W38,Calc!$A$2:$A$124,0))&amp;" / "&amp;INDEX(Calc!$H$2:$H$124,MATCH($W38,Calc!$A$2:$A$124,0))</f>
        <v>Mirage / Inferno</v>
      </c>
      <c r="U38" s="0" t="str">
        <f aca="false">TEXT(INDEX(Calc!$J$2:$J$124,MATCH($W38,Calc!$A$2:$A$124,0)),"0.0")&amp;" / "&amp;TEXT(INDEX(Calc!$K$2:$K$124,MATCH($W38,Calc!$A$2:$A$124,0)),"0.0")</f>
        <v>21.4 / 21.5</v>
      </c>
      <c r="V38" s="0" t="str">
        <f aca="false">IFERROR(INDEX(Calc!$AQ$2:$AQ$124,MATCH($W38,Calc!$A$2:$A$124,0)),"")</f>
        <v/>
      </c>
      <c r="W38" s="9" t="s">
        <v>1157</v>
      </c>
      <c r="X38" s="9" t="s">
        <v>1110</v>
      </c>
      <c r="Y38" s="0" t="str">
        <f aca="false">W38&amp;"|"&amp;X38</f>
        <v>gzghvr1quamb0xn|CS2 · AUR vs G2|H12</v>
      </c>
      <c r="Z38" s="11" t="n">
        <f aca="false">IFERROR(INDEX(CHOOSE(MATCH($X38,{"K1","K2","K3","K12","K13","H1","H2","H3","H12","H13"},0),Calc!$BA$2:$BA$124,Calc!$BB$2:$BB$124,Calc!$BC$2:$BC$124,Calc!$BD$2:$BD$124,Calc!$BE$2:$BE$124,Calc!$BF$2:$BF$124,Calc!$BG$2:$BG$124,Calc!$BH$2:$BH$124,Calc!$BI$2:$BI$124,Calc!$BJ$2:$BJ$124),MATCH($W38,Calc!$A$2:$A$124,0)),"")</f>
        <v>13.0012392889401</v>
      </c>
      <c r="AA38" s="11" t="n">
        <f aca="false">IF(Z38="","",IF(LEFT($X38,1)="H",SQRT(Z38*(IFERROR(INDEX(Calc!$AP$2:$AP$124,MATCH($W38,Calc!$A$2:$A$124,0)),0.5)*Config!$B$5+1-IFERROR(INDEX(Calc!$AP$2:$AP$124,MATCH($W38,Calc!$A$2:$A$124,0)),0.5))),SQRT(Z38*Config!$B$5)))</f>
        <v>4.00695373418398</v>
      </c>
      <c r="AB38" s="10" t="n">
        <f aca="false">IF(OR(F38="",Z38="",N(AA38)&lt;=0),"",1-NORMDIST(FLOOR(F38,1)+0.5,Z38,AA38,TRUE()))</f>
        <v>0.450470076410976</v>
      </c>
      <c r="AC38" s="10" t="n">
        <f aca="false">IF(AB38="","",NORMDIST(CEILING(F38,1)-0.5,Z38,AA38,TRUE()))</f>
        <v>0.549529923589024</v>
      </c>
      <c r="AD38" s="0" t="str">
        <f aca="false">IF(AB38="","",IF(AB38&gt;=0.5+Config!$B$6,"OVER",IF(AC38&gt;=0.5+Config!$B$6,"UNDER","—")))</f>
        <v>UNDER</v>
      </c>
      <c r="AE38" s="13" t="n">
        <f aca="false">IFERROR(Z38/G38,"")</f>
        <v>0.993560843473156</v>
      </c>
    </row>
    <row r="39" customFormat="false" ht="15" hidden="false" customHeight="false" outlineLevel="0" collapsed="false">
      <c r="A39" s="0" t="s">
        <v>988</v>
      </c>
      <c r="B39" s="0" t="s">
        <v>1041</v>
      </c>
      <c r="C39" s="0" t="s">
        <v>1155</v>
      </c>
      <c r="D39" s="0" t="s">
        <v>1045</v>
      </c>
      <c r="E39" s="0" t="s">
        <v>1111</v>
      </c>
      <c r="F39" s="0" t="n">
        <v>24.5</v>
      </c>
      <c r="G39" s="11" t="n">
        <f aca="false">IFERROR(INDEX(CHOOSE(MATCH($X39,{"K1","K2","K3","K12","K13","H1","H2","H3","H12","H13"},0),Calc!$V$2:$V$124,Calc!$AC$2:$AC$124,Calc!$AJ$2:$AJ$124,Calc!$AL$2:$AL$124,Calc!$AM$2:$AM$124,Calc!$W$2:$W$124,Calc!$AD$2:$AD$124,Calc!$AK$2:$AK$124,Calc!$AN$2:$AN$124,Calc!$AO$2:$AO$124),MATCH($W39,Calc!$A$2:$A$124,0)),"")</f>
        <v>22.2794045454545</v>
      </c>
      <c r="H39" s="11" t="n">
        <f aca="false">IF(G39="","",IF(LEFT($X39,1)="H",SQRT(G39*(IFERROR(INDEX(Calc!$AP$2:$AP$124,MATCH($W39,Calc!$A$2:$A$124,0)),0.5)*Config!$B$5+1-IFERROR(INDEX(Calc!$AP$2:$AP$124,MATCH($W39,Calc!$A$2:$A$124,0)),0.5))),SQRT(G39*Config!$B$5)))</f>
        <v>5.58490522423043</v>
      </c>
      <c r="I39" s="10" t="n">
        <f aca="false">IF(OR(F39="",G39="",N(H39)&lt;=0),"",1-NORMDIST(FLOOR(F39,1)+0.5,G39,H39,TRUE()))</f>
        <v>0.34546007906907</v>
      </c>
      <c r="J39" s="10" t="n">
        <f aca="false">IF(I39="","",NORMDIST(CEILING(F39,1)-0.5,G39,H39,TRUE()))</f>
        <v>0.65453992093093</v>
      </c>
      <c r="K39" s="10" t="n">
        <f aca="false">IF(I39="","",MAX(0,1-I39-J39))</f>
        <v>0</v>
      </c>
      <c r="L39" s="0" t="str">
        <f aca="false">IF(I39="","",IF(I39&gt;=0.5+Config!$B$6,"OVER",IF(J39&gt;=0.5+Config!$B$6,"UNDER","—")))</f>
        <v>UNDER</v>
      </c>
      <c r="M39" s="0" t="n">
        <v>23.31</v>
      </c>
      <c r="N39" s="0" t="n">
        <v>22.2</v>
      </c>
      <c r="O39" s="10" t="n">
        <v>0.4</v>
      </c>
      <c r="P39" s="10" t="n">
        <v>0.3</v>
      </c>
      <c r="Q39" s="10" t="n">
        <v>0.2</v>
      </c>
      <c r="R39" s="9" t="s">
        <v>1158</v>
      </c>
      <c r="S39" s="0" t="n">
        <v>-1</v>
      </c>
      <c r="T39" s="0" t="str">
        <f aca="false">INDEX(Calc!$G$2:$G$124,MATCH($W39,Calc!$A$2:$A$124,0))&amp;" / "&amp;INDEX(Calc!$H$2:$H$124,MATCH($W39,Calc!$A$2:$A$124,0))</f>
        <v>Mirage / Inferno</v>
      </c>
      <c r="U39" s="0" t="str">
        <f aca="false">TEXT(INDEX(Calc!$J$2:$J$124,MATCH($W39,Calc!$A$2:$A$124,0)),"0.0")&amp;" / "&amp;TEXT(INDEX(Calc!$K$2:$K$124,MATCH($W39,Calc!$A$2:$A$124,0)),"0.0")</f>
        <v>21.4 / 21.5</v>
      </c>
      <c r="V39" s="0" t="str">
        <f aca="false">IFERROR(INDEX(Calc!$AQ$2:$AQ$124,MATCH($W39,Calc!$A$2:$A$124,0)),"")</f>
        <v/>
      </c>
      <c r="W39" s="9" t="s">
        <v>1157</v>
      </c>
      <c r="X39" s="9" t="s">
        <v>1112</v>
      </c>
      <c r="Y39" s="0" t="str">
        <f aca="false">W39&amp;"|"&amp;X39</f>
        <v>gzghvr1quamb0xn|CS2 · AUR vs G2|K12</v>
      </c>
      <c r="Z39" s="11" t="n">
        <f aca="false">IFERROR(INDEX(CHOOSE(MATCH($X39,{"K1","K2","K3","K12","K13","H1","H2","H3","H12","H13"},0),Calc!$BA$2:$BA$124,Calc!$BB$2:$BB$124,Calc!$BC$2:$BC$124,Calc!$BD$2:$BD$124,Calc!$BE$2:$BE$124,Calc!$BF$2:$BF$124,Calc!$BG$2:$BG$124,Calc!$BH$2:$BH$124,Calc!$BI$2:$BI$124,Calc!$BJ$2:$BJ$124),MATCH($W39,Calc!$A$2:$A$124,0)),"")</f>
        <v>22.1328452774871</v>
      </c>
      <c r="AA39" s="11" t="n">
        <f aca="false">IF(Z39="","",IF(LEFT($X39,1)="H",SQRT(Z39*(IFERROR(INDEX(Calc!$AP$2:$AP$124,MATCH($W39,Calc!$A$2:$A$124,0)),0.5)*Config!$B$5+1-IFERROR(INDEX(Calc!$AP$2:$AP$124,MATCH($W39,Calc!$A$2:$A$124,0)),0.5))),SQRT(Z39*Config!$B$5)))</f>
        <v>5.56650549164213</v>
      </c>
      <c r="AB39" s="10" t="n">
        <f aca="false">IF(OR(F39="",Z39="",N(AA39)&lt;=0),"",1-NORMDIST(FLOOR(F39,1)+0.5,Z39,AA39,TRUE()))</f>
        <v>0.335327333023105</v>
      </c>
      <c r="AC39" s="10" t="n">
        <f aca="false">IF(AB39="","",NORMDIST(CEILING(F39,1)-0.5,Z39,AA39,TRUE()))</f>
        <v>0.664672666976895</v>
      </c>
      <c r="AD39" s="0" t="str">
        <f aca="false">IF(AB39="","",IF(AB39&gt;=0.5+Config!$B$6,"OVER",IF(AC39&gt;=0.5+Config!$B$6,"UNDER","—")))</f>
        <v>UNDER</v>
      </c>
      <c r="AE39" s="13" t="n">
        <f aca="false">IFERROR(Z39/G39,"")</f>
        <v>0.993421760098281</v>
      </c>
    </row>
    <row r="40" customFormat="false" ht="15" hidden="false" customHeight="false" outlineLevel="0" collapsed="false">
      <c r="A40" s="0" t="s">
        <v>988</v>
      </c>
      <c r="B40" s="0" t="s">
        <v>1041</v>
      </c>
      <c r="C40" s="0" t="s">
        <v>1159</v>
      </c>
      <c r="D40" s="0" t="s">
        <v>1045</v>
      </c>
      <c r="E40" s="0" t="s">
        <v>1107</v>
      </c>
      <c r="F40" s="0" t="n">
        <v>17.5</v>
      </c>
      <c r="G40" s="11" t="n">
        <f aca="false">IFERROR(INDEX(CHOOSE(MATCH($X40,{"K1","K2","K3","K12","K13","H1","H2","H3","H12","H13"},0),Calc!$V$2:$V$124,Calc!$AC$2:$AC$124,Calc!$AJ$2:$AJ$124,Calc!$AL$2:$AL$124,Calc!$AM$2:$AM$124,Calc!$W$2:$W$124,Calc!$AD$2:$AD$124,Calc!$AK$2:$AK$124,Calc!$AN$2:$AN$124,Calc!$AO$2:$AO$124),MATCH($W40,Calc!$A$2:$A$124,0)),"")</f>
        <v>19.4711295818182</v>
      </c>
      <c r="H40" s="11" t="n">
        <f aca="false">IF(G40="","",IF(LEFT($X40,1)="H",SQRT(G40*(IFERROR(INDEX(Calc!$AP$2:$AP$124,MATCH($W40,Calc!$A$2:$A$124,0)),0.5)*Config!$B$5+1-IFERROR(INDEX(Calc!$AP$2:$AP$124,MATCH($W40,Calc!$A$2:$A$124,0)),0.5))),SQRT(G40*Config!$B$5)))</f>
        <v>4.87655341885078</v>
      </c>
      <c r="I40" s="10" t="n">
        <f aca="false">IF(OR(F40="",G40="",N(H40)&lt;=0),"",1-NORMDIST(FLOOR(F40,1)+0.5,G40,H40,TRUE()))</f>
        <v>0.656969185308246</v>
      </c>
      <c r="J40" s="10" t="n">
        <f aca="false">IF(I40="","",NORMDIST(CEILING(F40,1)-0.5,G40,H40,TRUE()))</f>
        <v>0.343030814691754</v>
      </c>
      <c r="K40" s="10" t="n">
        <f aca="false">IF(I40="","",MAX(0,1-I40-J40))</f>
        <v>0</v>
      </c>
      <c r="L40" s="0" t="str">
        <f aca="false">IF(I40="","",IF(I40&gt;=0.5+Config!$B$6,"OVER",IF(J40&gt;=0.5+Config!$B$6,"UNDER","—")))</f>
        <v>OVER</v>
      </c>
      <c r="N40" s="0" t="n">
        <v>18.3</v>
      </c>
      <c r="O40" s="10" t="n">
        <v>0.8</v>
      </c>
      <c r="P40" s="10" t="n">
        <v>0.5</v>
      </c>
      <c r="Q40" s="10" t="n">
        <v>0.53</v>
      </c>
      <c r="R40" s="9" t="s">
        <v>1160</v>
      </c>
      <c r="S40" s="0" t="n">
        <v>2</v>
      </c>
      <c r="T40" s="0" t="str">
        <f aca="false">INDEX(Calc!$G$2:$G$124,MATCH($W40,Calc!$A$2:$A$124,0))&amp;" / "&amp;INDEX(Calc!$H$2:$H$124,MATCH($W40,Calc!$A$2:$A$124,0))</f>
        <v>Mirage / Inferno</v>
      </c>
      <c r="U40" s="0" t="str">
        <f aca="false">TEXT(INDEX(Calc!$J$2:$J$124,MATCH($W40,Calc!$A$2:$A$124,0)),"0.0")&amp;" / "&amp;TEXT(INDEX(Calc!$K$2:$K$124,MATCH($W40,Calc!$A$2:$A$124,0)),"0.0")</f>
        <v>21.4 / 21.5</v>
      </c>
      <c r="V40" s="0" t="str">
        <f aca="false">IFERROR(INDEX(Calc!$AQ$2:$AQ$124,MATCH($W40,Calc!$A$2:$A$124,0)),"")</f>
        <v/>
      </c>
      <c r="W40" s="9" t="s">
        <v>1161</v>
      </c>
      <c r="X40" s="9" t="s">
        <v>1110</v>
      </c>
      <c r="Y40" s="0" t="str">
        <f aca="false">W40&amp;"|"&amp;X40</f>
        <v>9clq2dpvqugkf0i|CS2 · AUR vs G2|H12</v>
      </c>
      <c r="Z40" s="11" t="n">
        <f aca="false">IFERROR(INDEX(CHOOSE(MATCH($X40,{"K1","K2","K3","K12","K13","H1","H2","H3","H12","H13"},0),Calc!$BA$2:$BA$124,Calc!$BB$2:$BB$124,Calc!$BC$2:$BC$124,Calc!$BD$2:$BD$124,Calc!$BE$2:$BE$124,Calc!$BF$2:$BF$124,Calc!$BG$2:$BG$124,Calc!$BH$2:$BH$124,Calc!$BI$2:$BI$124,Calc!$BJ$2:$BJ$124),MATCH($W40,Calc!$A$2:$A$124,0)),"")</f>
        <v>19.3526296704902</v>
      </c>
      <c r="AA40" s="11" t="n">
        <f aca="false">IF(Z40="","",IF(LEFT($X40,1)="H",SQRT(Z40*(IFERROR(INDEX(Calc!$AP$2:$AP$124,MATCH($W40,Calc!$A$2:$A$124,0)),0.5)*Config!$B$5+1-IFERROR(INDEX(Calc!$AP$2:$AP$124,MATCH($W40,Calc!$A$2:$A$124,0)),0.5))),SQRT(Z40*Config!$B$5)))</f>
        <v>4.86169159351</v>
      </c>
      <c r="AB40" s="10" t="n">
        <f aca="false">IF(OR(F40="",Z40="",N(AA40)&lt;=0),"",1-NORMDIST(FLOOR(F40,1)+0.5,Z40,AA40,TRUE()))</f>
        <v>0.648423190531314</v>
      </c>
      <c r="AC40" s="10" t="n">
        <f aca="false">IF(AB40="","",NORMDIST(CEILING(F40,1)-0.5,Z40,AA40,TRUE()))</f>
        <v>0.351576809468686</v>
      </c>
      <c r="AD40" s="0" t="str">
        <f aca="false">IF(AB40="","",IF(AB40&gt;=0.5+Config!$B$6,"OVER",IF(AC40&gt;=0.5+Config!$B$6,"UNDER","—")))</f>
        <v>OVER</v>
      </c>
      <c r="AE40" s="13" t="n">
        <f aca="false">IFERROR(Z40/G40,"")</f>
        <v>0.993914071043999</v>
      </c>
    </row>
    <row r="41" customFormat="false" ht="15" hidden="false" customHeight="false" outlineLevel="0" collapsed="false">
      <c r="A41" s="0" t="s">
        <v>988</v>
      </c>
      <c r="B41" s="0" t="s">
        <v>1041</v>
      </c>
      <c r="C41" s="0" t="s">
        <v>1159</v>
      </c>
      <c r="D41" s="0" t="s">
        <v>1045</v>
      </c>
      <c r="E41" s="0" t="s">
        <v>1111</v>
      </c>
      <c r="F41" s="0" t="n">
        <v>32.5</v>
      </c>
      <c r="G41" s="11" t="n">
        <f aca="false">IFERROR(INDEX(CHOOSE(MATCH($X41,{"K1","K2","K3","K12","K13","H1","H2","H3","H12","H13"},0),Calc!$V$2:$V$124,Calc!$AC$2:$AC$124,Calc!$AJ$2:$AJ$124,Calc!$AL$2:$AL$124,Calc!$AM$2:$AM$124,Calc!$W$2:$W$124,Calc!$AD$2:$AD$124,Calc!$AK$2:$AK$124,Calc!$AN$2:$AN$124,Calc!$AO$2:$AO$124),MATCH($W41,Calc!$A$2:$A$124,0)),"")</f>
        <v>35.1885136363636</v>
      </c>
      <c r="H41" s="11" t="n">
        <f aca="false">IF(G41="","",IF(LEFT($X41,1)="H",SQRT(G41*(IFERROR(INDEX(Calc!$AP$2:$AP$124,MATCH($W41,Calc!$A$2:$A$124,0)),0.5)*Config!$B$5+1-IFERROR(INDEX(Calc!$AP$2:$AP$124,MATCH($W41,Calc!$A$2:$A$124,0)),0.5))),SQRT(G41*Config!$B$5)))</f>
        <v>7.01882604791635</v>
      </c>
      <c r="I41" s="10" t="n">
        <f aca="false">IF(OR(F41="",G41="",N(H41)&lt;=0),"",1-NORMDIST(FLOOR(F41,1)+0.5,G41,H41,TRUE()))</f>
        <v>0.649156135804316</v>
      </c>
      <c r="J41" s="10" t="n">
        <f aca="false">IF(I41="","",NORMDIST(CEILING(F41,1)-0.5,G41,H41,TRUE()))</f>
        <v>0.350843864195685</v>
      </c>
      <c r="K41" s="10" t="n">
        <f aca="false">IF(I41="","",MAX(0,1-I41-J41))</f>
        <v>0</v>
      </c>
      <c r="L41" s="0" t="str">
        <f aca="false">IF(I41="","",IF(I41&gt;=0.5+Config!$B$6,"OVER",IF(J41&gt;=0.5+Config!$B$6,"UNDER","—")))</f>
        <v>OVER</v>
      </c>
      <c r="M41" s="0" t="n">
        <v>32.14</v>
      </c>
      <c r="N41" s="0" t="n">
        <v>33.6</v>
      </c>
      <c r="O41" s="10" t="n">
        <v>0.8</v>
      </c>
      <c r="P41" s="10" t="n">
        <v>0.6</v>
      </c>
      <c r="Q41" s="10" t="n">
        <v>0.53</v>
      </c>
      <c r="R41" s="9" t="s">
        <v>1162</v>
      </c>
      <c r="S41" s="0" t="n">
        <v>2</v>
      </c>
      <c r="T41" s="0" t="str">
        <f aca="false">INDEX(Calc!$G$2:$G$124,MATCH($W41,Calc!$A$2:$A$124,0))&amp;" / "&amp;INDEX(Calc!$H$2:$H$124,MATCH($W41,Calc!$A$2:$A$124,0))</f>
        <v>Mirage / Inferno</v>
      </c>
      <c r="U41" s="0" t="str">
        <f aca="false">TEXT(INDEX(Calc!$J$2:$J$124,MATCH($W41,Calc!$A$2:$A$124,0)),"0.0")&amp;" / "&amp;TEXT(INDEX(Calc!$K$2:$K$124,MATCH($W41,Calc!$A$2:$A$124,0)),"0.0")</f>
        <v>21.4 / 21.5</v>
      </c>
      <c r="V41" s="0" t="str">
        <f aca="false">IFERROR(INDEX(Calc!$AQ$2:$AQ$124,MATCH($W41,Calc!$A$2:$A$124,0)),"")</f>
        <v/>
      </c>
      <c r="W41" s="9" t="s">
        <v>1161</v>
      </c>
      <c r="X41" s="9" t="s">
        <v>1112</v>
      </c>
      <c r="Y41" s="0" t="str">
        <f aca="false">W41&amp;"|"&amp;X41</f>
        <v>9clq2dpvqugkf0i|CS2 · AUR vs G2|K12</v>
      </c>
      <c r="Z41" s="11" t="n">
        <f aca="false">IFERROR(INDEX(CHOOSE(MATCH($X41,{"K1","K2","K3","K12","K13","H1","H2","H3","H12","H13"},0),Calc!$BA$2:$BA$124,Calc!$BB$2:$BB$124,Calc!$BC$2:$BC$124,Calc!$BD$2:$BD$124,Calc!$BE$2:$BE$124,Calc!$BF$2:$BF$124,Calc!$BG$2:$BG$124,Calc!$BH$2:$BH$124,Calc!$BI$2:$BI$124,Calc!$BJ$2:$BJ$124),MATCH($W41,Calc!$A$2:$A$124,0)),"")</f>
        <v>34.9630216591693</v>
      </c>
      <c r="AA41" s="11" t="n">
        <f aca="false">IF(Z41="","",IF(LEFT($X41,1)="H",SQRT(Z41*(IFERROR(INDEX(Calc!$AP$2:$AP$124,MATCH($W41,Calc!$A$2:$A$124,0)),0.5)*Config!$B$5+1-IFERROR(INDEX(Calc!$AP$2:$AP$124,MATCH($W41,Calc!$A$2:$A$124,0)),0.5))),SQRT(Z41*Config!$B$5)))</f>
        <v>6.99630118868799</v>
      </c>
      <c r="AB41" s="10" t="n">
        <f aca="false">IF(OR(F41="",Z41="",N(AA41)&lt;=0),"",1-NORMDIST(FLOOR(F41,1)+0.5,Z41,AA41,TRUE()))</f>
        <v>0.637598214621801</v>
      </c>
      <c r="AC41" s="10" t="n">
        <f aca="false">IF(AB41="","",NORMDIST(CEILING(F41,1)-0.5,Z41,AA41,TRUE()))</f>
        <v>0.362401785378199</v>
      </c>
      <c r="AD41" s="0" t="str">
        <f aca="false">IF(AB41="","",IF(AB41&gt;=0.5+Config!$B$6,"OVER",IF(AC41&gt;=0.5+Config!$B$6,"UNDER","—")))</f>
        <v>OVER</v>
      </c>
      <c r="AE41" s="13" t="n">
        <f aca="false">IFERROR(Z41/G41,"")</f>
        <v>0.993591886843401</v>
      </c>
    </row>
    <row r="42" customFormat="false" ht="15" hidden="false" customHeight="false" outlineLevel="0" collapsed="false">
      <c r="A42" s="0" t="s">
        <v>988</v>
      </c>
      <c r="B42" s="0" t="s">
        <v>1041</v>
      </c>
      <c r="C42" s="0" t="s">
        <v>1163</v>
      </c>
      <c r="D42" s="0" t="s">
        <v>1045</v>
      </c>
      <c r="E42" s="0" t="s">
        <v>1107</v>
      </c>
      <c r="F42" s="0" t="n">
        <v>10</v>
      </c>
      <c r="G42" s="11" t="n">
        <f aca="false">IFERROR(INDEX(CHOOSE(MATCH($X42,{"K1","K2","K3","K12","K13","H1","H2","H3","H12","H13"},0),Calc!$V$2:$V$124,Calc!$AC$2:$AC$124,Calc!$AJ$2:$AJ$124,Calc!$AL$2:$AL$124,Calc!$AM$2:$AM$124,Calc!$W$2:$W$124,Calc!$AD$2:$AD$124,Calc!$AK$2:$AK$124,Calc!$AN$2:$AN$124,Calc!$AO$2:$AO$124),MATCH($W42,Calc!$A$2:$A$124,0)),"")</f>
        <v>9.14220092272727</v>
      </c>
      <c r="H42" s="11" t="n">
        <f aca="false">IF(G42="","",IF(LEFT($X42,1)="H",SQRT(G42*(IFERROR(INDEX(Calc!$AP$2:$AP$124,MATCH($W42,Calc!$A$2:$A$124,0)),0.5)*Config!$B$5+1-IFERROR(INDEX(Calc!$AP$2:$AP$124,MATCH($W42,Calc!$A$2:$A$124,0)),0.5))),SQRT(G42*Config!$B$5)))</f>
        <v>3.21495147180815</v>
      </c>
      <c r="I42" s="10" t="n">
        <f aca="false">IF(OR(F42="",G42="",N(H42)&lt;=0),"",1-NORMDIST(FLOOR(F42,1)+0.5,G42,H42,TRUE()))</f>
        <v>0.336388833201551</v>
      </c>
      <c r="J42" s="10" t="n">
        <f aca="false">IF(I42="","",NORMDIST(CEILING(F42,1)-0.5,G42,H42,TRUE()))</f>
        <v>0.544307686552636</v>
      </c>
      <c r="K42" s="10" t="n">
        <f aca="false">IF(I42="","",MAX(0,1-I42-J42))</f>
        <v>0.119303480245813</v>
      </c>
      <c r="L42" s="0" t="str">
        <f aca="false">IF(I42="","",IF(I42&gt;=0.5+Config!$B$6,"OVER",IF(J42&gt;=0.5+Config!$B$6,"UNDER","—")))</f>
        <v>UNDER</v>
      </c>
      <c r="N42" s="0" t="n">
        <v>10.3</v>
      </c>
      <c r="O42" s="10" t="n">
        <v>0.8</v>
      </c>
      <c r="P42" s="10" t="n">
        <v>0.7</v>
      </c>
      <c r="Q42" s="10" t="n">
        <v>0.73</v>
      </c>
      <c r="R42" s="9" t="s">
        <v>1164</v>
      </c>
      <c r="S42" s="0" t="n">
        <v>-1</v>
      </c>
      <c r="T42" s="0" t="str">
        <f aca="false">INDEX(Calc!$G$2:$G$124,MATCH($W42,Calc!$A$2:$A$124,0))&amp;" / "&amp;INDEX(Calc!$H$2:$H$124,MATCH($W42,Calc!$A$2:$A$124,0))</f>
        <v>Mirage / Inferno</v>
      </c>
      <c r="U42" s="0" t="str">
        <f aca="false">TEXT(INDEX(Calc!$J$2:$J$124,MATCH($W42,Calc!$A$2:$A$124,0)),"0.0")&amp;" / "&amp;TEXT(INDEX(Calc!$K$2:$K$124,MATCH($W42,Calc!$A$2:$A$124,0)),"0.0")</f>
        <v>21.4 / 21.5</v>
      </c>
      <c r="V42" s="0" t="str">
        <f aca="false">IFERROR(INDEX(Calc!$AQ$2:$AQ$124,MATCH($W42,Calc!$A$2:$A$124,0)),"")</f>
        <v/>
      </c>
      <c r="W42" s="9" t="s">
        <v>1165</v>
      </c>
      <c r="X42" s="9" t="s">
        <v>1110</v>
      </c>
      <c r="Y42" s="0" t="str">
        <f aca="false">W42&amp;"|"&amp;X42</f>
        <v>lpkyyhtoofj8ova|CS2 · AUR vs G2|H12</v>
      </c>
      <c r="Z42" s="11" t="n">
        <f aca="false">IFERROR(INDEX(CHOOSE(MATCH($X42,{"K1","K2","K3","K12","K13","H1","H2","H3","H12","H13"},0),Calc!$BA$2:$BA$124,Calc!$BB$2:$BB$124,Calc!$BC$2:$BC$124,Calc!$BD$2:$BD$124,Calc!$BE$2:$BE$124,Calc!$BF$2:$BF$124,Calc!$BG$2:$BG$124,Calc!$BH$2:$BH$124,Calc!$BI$2:$BI$124,Calc!$BJ$2:$BJ$124),MATCH($W42,Calc!$A$2:$A$124,0)),"")</f>
        <v>9.08815743890508</v>
      </c>
      <c r="AA42" s="11" t="n">
        <f aca="false">IF(Z42="","",IF(LEFT($X42,1)="H",SQRT(Z42*(IFERROR(INDEX(Calc!$AP$2:$AP$124,MATCH($W42,Calc!$A$2:$A$124,0)),0.5)*Config!$B$5+1-IFERROR(INDEX(Calc!$AP$2:$AP$124,MATCH($W42,Calc!$A$2:$A$124,0)),0.5))),SQRT(Z42*Config!$B$5)))</f>
        <v>3.20543490601201</v>
      </c>
      <c r="AB42" s="10" t="n">
        <f aca="false">IF(OR(F42="",Z42="",N(AA42)&lt;=0),"",1-NORMDIST(FLOOR(F42,1)+0.5,Z42,AA42,TRUE()))</f>
        <v>0.3298046200023</v>
      </c>
      <c r="AC42" s="10" t="n">
        <f aca="false">IF(AB42="","",NORMDIST(CEILING(F42,1)-0.5,Z42,AA42,TRUE()))</f>
        <v>0.55111646021694</v>
      </c>
      <c r="AD42" s="0" t="str">
        <f aca="false">IF(AB42="","",IF(AB42&gt;=0.5+Config!$B$6,"OVER",IF(AC42&gt;=0.5+Config!$B$6,"UNDER","—")))</f>
        <v>UNDER</v>
      </c>
      <c r="AE42" s="13" t="n">
        <f aca="false">IFERROR(Z42/G42,"")</f>
        <v>0.994088569669493</v>
      </c>
    </row>
    <row r="43" customFormat="false" ht="15" hidden="false" customHeight="false" outlineLevel="0" collapsed="false">
      <c r="A43" s="0" t="s">
        <v>988</v>
      </c>
      <c r="B43" s="0" t="s">
        <v>1041</v>
      </c>
      <c r="C43" s="0" t="s">
        <v>1163</v>
      </c>
      <c r="D43" s="0" t="s">
        <v>1045</v>
      </c>
      <c r="E43" s="0" t="s">
        <v>1111</v>
      </c>
      <c r="F43" s="0" t="n">
        <v>30</v>
      </c>
      <c r="G43" s="11" t="n">
        <f aca="false">IFERROR(INDEX(CHOOSE(MATCH($X43,{"K1","K2","K3","K12","K13","H1","H2","H3","H12","H13"},0),Calc!$V$2:$V$124,Calc!$AC$2:$AC$124,Calc!$AJ$2:$AJ$124,Calc!$AL$2:$AL$124,Calc!$AM$2:$AM$124,Calc!$W$2:$W$124,Calc!$AD$2:$AD$124,Calc!$AK$2:$AK$124,Calc!$AN$2:$AN$124,Calc!$AO$2:$AO$124),MATCH($W43,Calc!$A$2:$A$124,0)),"")</f>
        <v>28.0067</v>
      </c>
      <c r="H43" s="11" t="n">
        <f aca="false">IF(G43="","",IF(LEFT($X43,1)="H",SQRT(G43*(IFERROR(INDEX(Calc!$AP$2:$AP$124,MATCH($W43,Calc!$A$2:$A$124,0)),0.5)*Config!$B$5+1-IFERROR(INDEX(Calc!$AP$2:$AP$124,MATCH($W43,Calc!$A$2:$A$124,0)),0.5))),SQRT(G43*Config!$B$5)))</f>
        <v>6.26173937496603</v>
      </c>
      <c r="I43" s="10" t="n">
        <f aca="false">IF(OR(F43="",G43="",N(H43)&lt;=0),"",1-NORMDIST(FLOOR(F43,1)+0.5,G43,H43,TRUE()))</f>
        <v>0.345248717469707</v>
      </c>
      <c r="J43" s="10" t="n">
        <f aca="false">IF(I43="","",NORMDIST(CEILING(F43,1)-0.5,G43,H43,TRUE()))</f>
        <v>0.594245611580364</v>
      </c>
      <c r="K43" s="10" t="n">
        <f aca="false">IF(I43="","",MAX(0,1-I43-J43))</f>
        <v>0.060505670949929</v>
      </c>
      <c r="L43" s="0" t="str">
        <f aca="false">IF(I43="","",IF(I43&gt;=0.5+Config!$B$6,"OVER",IF(J43&gt;=0.5+Config!$B$6,"UNDER","—")))</f>
        <v>UNDER</v>
      </c>
      <c r="M43" s="0" t="n">
        <v>29.74</v>
      </c>
      <c r="N43" s="0" t="n">
        <v>28.5</v>
      </c>
      <c r="O43" s="10" t="n">
        <v>0.4</v>
      </c>
      <c r="P43" s="10" t="n">
        <v>0.4</v>
      </c>
      <c r="Q43" s="10" t="n">
        <v>0.4</v>
      </c>
      <c r="R43" s="9" t="s">
        <v>1160</v>
      </c>
      <c r="S43" s="0" t="n">
        <v>-1</v>
      </c>
      <c r="T43" s="0" t="str">
        <f aca="false">INDEX(Calc!$G$2:$G$124,MATCH($W43,Calc!$A$2:$A$124,0))&amp;" / "&amp;INDEX(Calc!$H$2:$H$124,MATCH($W43,Calc!$A$2:$A$124,0))</f>
        <v>Mirage / Inferno</v>
      </c>
      <c r="U43" s="0" t="str">
        <f aca="false">TEXT(INDEX(Calc!$J$2:$J$124,MATCH($W43,Calc!$A$2:$A$124,0)),"0.0")&amp;" / "&amp;TEXT(INDEX(Calc!$K$2:$K$124,MATCH($W43,Calc!$A$2:$A$124,0)),"0.0")</f>
        <v>21.4 / 21.5</v>
      </c>
      <c r="V43" s="0" t="str">
        <f aca="false">IFERROR(INDEX(Calc!$AQ$2:$AQ$124,MATCH($W43,Calc!$A$2:$A$124,0)),"")</f>
        <v/>
      </c>
      <c r="W43" s="9" t="s">
        <v>1165</v>
      </c>
      <c r="X43" s="9" t="s">
        <v>1112</v>
      </c>
      <c r="Y43" s="0" t="str">
        <f aca="false">W43&amp;"|"&amp;X43</f>
        <v>lpkyyhtoofj8ova|CS2 · AUR vs G2|K12</v>
      </c>
      <c r="Z43" s="11" t="n">
        <f aca="false">IFERROR(INDEX(CHOOSE(MATCH($X43,{"K1","K2","K3","K12","K13","H1","H2","H3","H12","H13"},0),Calc!$BA$2:$BA$124,Calc!$BB$2:$BB$124,Calc!$BC$2:$BC$124,Calc!$BD$2:$BD$124,Calc!$BE$2:$BE$124,Calc!$BF$2:$BF$124,Calc!$BG$2:$BG$124,Calc!$BH$2:$BH$124,Calc!$BI$2:$BI$124,Calc!$BJ$2:$BJ$124),MATCH($W43,Calc!$A$2:$A$124,0)),"")</f>
        <v>27.8358911875748</v>
      </c>
      <c r="AA43" s="11" t="n">
        <f aca="false">IF(Z43="","",IF(LEFT($X43,1)="H",SQRT(Z43*(IFERROR(INDEX(Calc!$AP$2:$AP$124,MATCH($W43,Calc!$A$2:$A$124,0)),0.5)*Config!$B$5+1-IFERROR(INDEX(Calc!$AP$2:$AP$124,MATCH($W43,Calc!$A$2:$A$124,0)),0.5))),SQRT(Z43*Config!$B$5)))</f>
        <v>6.24261545048265</v>
      </c>
      <c r="AB43" s="10" t="n">
        <f aca="false">IF(OR(F43="",Z43="",N(AA43)&lt;=0),"",1-NORMDIST(FLOOR(F43,1)+0.5,Z43,AA43,TRUE()))</f>
        <v>0.334776474270117</v>
      </c>
      <c r="AC43" s="10" t="n">
        <f aca="false">IF(AB43="","",NORMDIST(CEILING(F43,1)-0.5,Z43,AA43,TRUE()))</f>
        <v>0.605100785250269</v>
      </c>
      <c r="AD43" s="0" t="str">
        <f aca="false">IF(AB43="","",IF(AB43&gt;=0.5+Config!$B$6,"OVER",IF(AC43&gt;=0.5+Config!$B$6,"UNDER","—")))</f>
        <v>UNDER</v>
      </c>
      <c r="AE43" s="13" t="n">
        <f aca="false">IFERROR(Z43/G43,"")</f>
        <v>0.99390114463949</v>
      </c>
    </row>
    <row r="44" customFormat="false" ht="15" hidden="false" customHeight="false" outlineLevel="0" collapsed="false">
      <c r="A44" s="0" t="s">
        <v>988</v>
      </c>
      <c r="B44" s="0" t="s">
        <v>1041</v>
      </c>
      <c r="C44" s="0" t="s">
        <v>1166</v>
      </c>
      <c r="D44" s="0" t="s">
        <v>1045</v>
      </c>
      <c r="E44" s="0" t="s">
        <v>1107</v>
      </c>
      <c r="F44" s="0" t="n">
        <v>16.5</v>
      </c>
      <c r="G44" s="11" t="n">
        <f aca="false">IFERROR(INDEX(CHOOSE(MATCH($X44,{"K1","K2","K3","K12","K13","H1","H2","H3","H12","H13"},0),Calc!$V$2:$V$124,Calc!$AC$2:$AC$124,Calc!$AJ$2:$AJ$124,Calc!$AL$2:$AL$124,Calc!$AM$2:$AM$124,Calc!$W$2:$W$124,Calc!$AD$2:$AD$124,Calc!$AK$2:$AK$124,Calc!$AN$2:$AN$124,Calc!$AO$2:$AO$124),MATCH($W44,Calc!$A$2:$A$124,0)),"")</f>
        <v>14.3420073295455</v>
      </c>
      <c r="H44" s="11" t="n">
        <f aca="false">IF(G44="","",IF(LEFT($X44,1)="H",SQRT(G44*(IFERROR(INDEX(Calc!$AP$2:$AP$124,MATCH($W44,Calc!$A$2:$A$124,0)),0.5)*Config!$B$5+1-IFERROR(INDEX(Calc!$AP$2:$AP$124,MATCH($W44,Calc!$A$2:$A$124,0)),0.5))),SQRT(G44*Config!$B$5)))</f>
        <v>4.18057273735498</v>
      </c>
      <c r="I44" s="10" t="n">
        <f aca="false">IF(OR(F44="",G44="",N(H44)&lt;=0),"",1-NORMDIST(FLOOR(F44,1)+0.5,G44,H44,TRUE()))</f>
        <v>0.302858950152041</v>
      </c>
      <c r="J44" s="10" t="n">
        <f aca="false">IF(I44="","",NORMDIST(CEILING(F44,1)-0.5,G44,H44,TRUE()))</f>
        <v>0.697141049847959</v>
      </c>
      <c r="K44" s="10" t="n">
        <f aca="false">IF(I44="","",MAX(0,1-I44-J44))</f>
        <v>0</v>
      </c>
      <c r="L44" s="0" t="str">
        <f aca="false">IF(I44="","",IF(I44&gt;=0.5+Config!$B$6,"OVER",IF(J44&gt;=0.5+Config!$B$6,"UNDER","—")))</f>
        <v>UNDER</v>
      </c>
      <c r="N44" s="0" t="n">
        <v>15.8</v>
      </c>
      <c r="O44" s="10" t="n">
        <v>0.4</v>
      </c>
      <c r="P44" s="10" t="n">
        <v>0.4</v>
      </c>
      <c r="Q44" s="10" t="n">
        <v>0.27</v>
      </c>
      <c r="R44" s="9" t="s">
        <v>1167</v>
      </c>
      <c r="S44" s="0" t="n">
        <v>-1</v>
      </c>
      <c r="T44" s="0" t="str">
        <f aca="false">INDEX(Calc!$G$2:$G$124,MATCH($W44,Calc!$A$2:$A$124,0))&amp;" / "&amp;INDEX(Calc!$H$2:$H$124,MATCH($W44,Calc!$A$2:$A$124,0))</f>
        <v>Mirage / Inferno</v>
      </c>
      <c r="U44" s="0" t="str">
        <f aca="false">TEXT(INDEX(Calc!$J$2:$J$124,MATCH($W44,Calc!$A$2:$A$124,0)),"0.0")&amp;" / "&amp;TEXT(INDEX(Calc!$K$2:$K$124,MATCH($W44,Calc!$A$2:$A$124,0)),"0.0")</f>
        <v>21.4 / 21.5</v>
      </c>
      <c r="V44" s="0" t="str">
        <f aca="false">IFERROR(INDEX(Calc!$AQ$2:$AQ$124,MATCH($W44,Calc!$A$2:$A$124,0)),"")</f>
        <v/>
      </c>
      <c r="W44" s="9" t="s">
        <v>1168</v>
      </c>
      <c r="X44" s="9" t="s">
        <v>1110</v>
      </c>
      <c r="Y44" s="0" t="str">
        <f aca="false">W44&amp;"|"&amp;X44</f>
        <v>zauqna21klkp1rt|CS2 · AUR vs G2|H12</v>
      </c>
      <c r="Z44" s="11" t="n">
        <f aca="false">IFERROR(INDEX(CHOOSE(MATCH($X44,{"K1","K2","K3","K12","K13","H1","H2","H3","H12","H13"},0),Calc!$BA$2:$BA$124,Calc!$BB$2:$BB$124,Calc!$BC$2:$BC$124,Calc!$BD$2:$BD$124,Calc!$BE$2:$BE$124,Calc!$BF$2:$BF$124,Calc!$BG$2:$BG$124,Calc!$BH$2:$BH$124,Calc!$BI$2:$BI$124,Calc!$BJ$2:$BJ$124),MATCH($W44,Calc!$A$2:$A$124,0)),"")</f>
        <v>14.2511872419639</v>
      </c>
      <c r="AA44" s="11" t="n">
        <f aca="false">IF(Z44="","",IF(LEFT($X44,1)="H",SQRT(Z44*(IFERROR(INDEX(Calc!$AP$2:$AP$124,MATCH($W44,Calc!$A$2:$A$124,0)),0.5)*Config!$B$5+1-IFERROR(INDEX(Calc!$AP$2:$AP$124,MATCH($W44,Calc!$A$2:$A$124,0)),0.5))),SQRT(Z44*Config!$B$5)))</f>
        <v>4.16731507542065</v>
      </c>
      <c r="AB44" s="10" t="n">
        <f aca="false">IF(OR(F44="",Z44="",N(AA44)&lt;=0),"",1-NORMDIST(FLOOR(F44,1)+0.5,Z44,AA44,TRUE()))</f>
        <v>0.294725737223037</v>
      </c>
      <c r="AC44" s="10" t="n">
        <f aca="false">IF(AB44="","",NORMDIST(CEILING(F44,1)-0.5,Z44,AA44,TRUE()))</f>
        <v>0.705274262776963</v>
      </c>
      <c r="AD44" s="0" t="str">
        <f aca="false">IF(AB44="","",IF(AB44&gt;=0.5+Config!$B$6,"OVER",IF(AC44&gt;=0.5+Config!$B$6,"UNDER","—")))</f>
        <v>UNDER</v>
      </c>
      <c r="AE44" s="13" t="n">
        <f aca="false">IFERROR(Z44/G44,"")</f>
        <v>0.993667546983159</v>
      </c>
    </row>
    <row r="45" customFormat="false" ht="15" hidden="false" customHeight="false" outlineLevel="0" collapsed="false">
      <c r="A45" s="0" t="s">
        <v>988</v>
      </c>
      <c r="B45" s="0" t="s">
        <v>1041</v>
      </c>
      <c r="C45" s="0" t="s">
        <v>1166</v>
      </c>
      <c r="D45" s="0" t="s">
        <v>1045</v>
      </c>
      <c r="E45" s="0" t="s">
        <v>1111</v>
      </c>
      <c r="F45" s="0" t="n">
        <v>29.5</v>
      </c>
      <c r="G45" s="11" t="n">
        <f aca="false">IFERROR(INDEX(CHOOSE(MATCH($X45,{"K1","K2","K3","K12","K13","H1","H2","H3","H12","H13"},0),Calc!$V$2:$V$124,Calc!$AC$2:$AC$124,Calc!$AJ$2:$AJ$124,Calc!$AL$2:$AL$124,Calc!$AM$2:$AM$124,Calc!$W$2:$W$124,Calc!$AD$2:$AD$124,Calc!$AK$2:$AK$124,Calc!$AN$2:$AN$124,Calc!$AO$2:$AO$124),MATCH($W45,Calc!$A$2:$A$124,0)),"")</f>
        <v>26.2432272727273</v>
      </c>
      <c r="H45" s="11" t="n">
        <f aca="false">IF(G45="","",IF(LEFT($X45,1)="H",SQRT(G45*(IFERROR(INDEX(Calc!$AP$2:$AP$124,MATCH($W45,Calc!$A$2:$A$124,0)),0.5)*Config!$B$5+1-IFERROR(INDEX(Calc!$AP$2:$AP$124,MATCH($W45,Calc!$A$2:$A$124,0)),0.5))),SQRT(G45*Config!$B$5)))</f>
        <v>6.06139572885802</v>
      </c>
      <c r="I45" s="10" t="n">
        <f aca="false">IF(OR(F45="",G45="",N(H45)&lt;=0),"",1-NORMDIST(FLOOR(F45,1)+0.5,G45,H45,TRUE()))</f>
        <v>0.295531068549461</v>
      </c>
      <c r="J45" s="10" t="n">
        <f aca="false">IF(I45="","",NORMDIST(CEILING(F45,1)-0.5,G45,H45,TRUE()))</f>
        <v>0.704468931450539</v>
      </c>
      <c r="K45" s="10" t="n">
        <f aca="false">IF(I45="","",MAX(0,1-I45-J45))</f>
        <v>0</v>
      </c>
      <c r="L45" s="0" t="str">
        <f aca="false">IF(I45="","",IF(I45&gt;=0.5+Config!$B$6,"OVER",IF(J45&gt;=0.5+Config!$B$6,"UNDER","—")))</f>
        <v>UNDER</v>
      </c>
      <c r="M45" s="0" t="n">
        <v>29.68</v>
      </c>
      <c r="N45" s="0" t="n">
        <v>28.9</v>
      </c>
      <c r="O45" s="10" t="n">
        <v>0.4</v>
      </c>
      <c r="P45" s="10" t="n">
        <v>0.5</v>
      </c>
      <c r="Q45" s="10" t="n">
        <v>0.4</v>
      </c>
      <c r="R45" s="9" t="s">
        <v>1164</v>
      </c>
      <c r="S45" s="0" t="n">
        <v>-1</v>
      </c>
      <c r="T45" s="0" t="str">
        <f aca="false">INDEX(Calc!$G$2:$G$124,MATCH($W45,Calc!$A$2:$A$124,0))&amp;" / "&amp;INDEX(Calc!$H$2:$H$124,MATCH($W45,Calc!$A$2:$A$124,0))</f>
        <v>Mirage / Inferno</v>
      </c>
      <c r="U45" s="0" t="str">
        <f aca="false">TEXT(INDEX(Calc!$J$2:$J$124,MATCH($W45,Calc!$A$2:$A$124,0)),"0.0")&amp;" / "&amp;TEXT(INDEX(Calc!$K$2:$K$124,MATCH($W45,Calc!$A$2:$A$124,0)),"0.0")</f>
        <v>21.4 / 21.5</v>
      </c>
      <c r="V45" s="0" t="str">
        <f aca="false">IFERROR(INDEX(Calc!$AQ$2:$AQ$124,MATCH($W45,Calc!$A$2:$A$124,0)),"")</f>
        <v/>
      </c>
      <c r="W45" s="9" t="s">
        <v>1168</v>
      </c>
      <c r="X45" s="9" t="s">
        <v>1112</v>
      </c>
      <c r="Y45" s="0" t="str">
        <f aca="false">W45&amp;"|"&amp;X45</f>
        <v>zauqna21klkp1rt|CS2 · AUR vs G2|K12</v>
      </c>
      <c r="Z45" s="11" t="n">
        <f aca="false">IFERROR(INDEX(CHOOSE(MATCH($X45,{"K1","K2","K3","K12","K13","H1","H2","H3","H12","H13"},0),Calc!$BA$2:$BA$124,Calc!$BB$2:$BB$124,Calc!$BC$2:$BC$124,Calc!$BD$2:$BD$124,Calc!$BE$2:$BE$124,Calc!$BF$2:$BF$124,Calc!$BG$2:$BG$124,Calc!$BH$2:$BH$124,Calc!$BI$2:$BI$124,Calc!$BJ$2:$BJ$124),MATCH($W45,Calc!$A$2:$A$124,0)),"")</f>
        <v>26.0789931866381</v>
      </c>
      <c r="AA45" s="11" t="n">
        <f aca="false">IF(Z45="","",IF(LEFT($X45,1)="H",SQRT(Z45*(IFERROR(INDEX(Calc!$AP$2:$AP$124,MATCH($W45,Calc!$A$2:$A$124,0)),0.5)*Config!$B$5+1-IFERROR(INDEX(Calc!$AP$2:$AP$124,MATCH($W45,Calc!$A$2:$A$124,0)),0.5))),SQRT(Z45*Config!$B$5)))</f>
        <v>6.04239939604238</v>
      </c>
      <c r="AB45" s="10" t="n">
        <f aca="false">IF(OR(F45="",Z45="",N(AA45)&lt;=0),"",1-NORMDIST(FLOOR(F45,1)+0.5,Z45,AA45,TRUE()))</f>
        <v>0.285640148670848</v>
      </c>
      <c r="AC45" s="10" t="n">
        <f aca="false">IF(AB45="","",NORMDIST(CEILING(F45,1)-0.5,Z45,AA45,TRUE()))</f>
        <v>0.714359851329152</v>
      </c>
      <c r="AD45" s="0" t="str">
        <f aca="false">IF(AB45="","",IF(AB45&gt;=0.5+Config!$B$6,"OVER",IF(AC45&gt;=0.5+Config!$B$6,"UNDER","—")))</f>
        <v>UNDER</v>
      </c>
      <c r="AE45" s="13" t="n">
        <f aca="false">IFERROR(Z45/G45,"")</f>
        <v>0.993741848729866</v>
      </c>
    </row>
    <row r="46" customFormat="false" ht="15" hidden="false" customHeight="false" outlineLevel="0" collapsed="false">
      <c r="A46" s="0" t="s">
        <v>988</v>
      </c>
      <c r="B46" s="0" t="s">
        <v>1041</v>
      </c>
      <c r="C46" s="0" t="s">
        <v>1169</v>
      </c>
      <c r="D46" s="0" t="s">
        <v>1046</v>
      </c>
      <c r="E46" s="0" t="s">
        <v>1107</v>
      </c>
      <c r="F46" s="0" t="n">
        <v>16</v>
      </c>
      <c r="G46" s="11" t="n">
        <f aca="false">IFERROR(INDEX(CHOOSE(MATCH($X46,{"K1","K2","K3","K12","K13","H1","H2","H3","H12","H13"},0),Calc!$V$2:$V$124,Calc!$AC$2:$AC$124,Calc!$AJ$2:$AJ$124,Calc!$AL$2:$AL$124,Calc!$AM$2:$AM$124,Calc!$W$2:$W$124,Calc!$AD$2:$AD$124,Calc!$AK$2:$AK$124,Calc!$AN$2:$AN$124,Calc!$AO$2:$AO$124),MATCH($W46,Calc!$A$2:$A$124,0)),"")</f>
        <v>16.1185730197662</v>
      </c>
      <c r="H46" s="11" t="n">
        <f aca="false">IF(G46="","",IF(LEFT($X46,1)="H",SQRT(G46*(IFERROR(INDEX(Calc!$AP$2:$AP$124,MATCH($W46,Calc!$A$2:$A$124,0)),0.5)*Config!$B$5+1-IFERROR(INDEX(Calc!$AP$2:$AP$124,MATCH($W46,Calc!$A$2:$A$124,0)),0.5))),SQRT(G46*Config!$B$5)))</f>
        <v>4.45906398756306</v>
      </c>
      <c r="I46" s="10" t="n">
        <f aca="false">IF(OR(F46="",G46="",N(H46)&lt;=0),"",1-NORMDIST(FLOOR(F46,1)+0.5,G46,H46,TRUE()))</f>
        <v>0.465916168924385</v>
      </c>
      <c r="J46" s="10" t="n">
        <f aca="false">IF(I46="","",NORMDIST(CEILING(F46,1)-0.5,G46,H46,TRUE()))</f>
        <v>0.444834673088039</v>
      </c>
      <c r="K46" s="10" t="n">
        <f aca="false">IF(I46="","",MAX(0,1-I46-J46))</f>
        <v>0.0892491579875758</v>
      </c>
      <c r="L46" s="0" t="str">
        <f aca="false">IF(I46="","",IF(I46&gt;=0.5+Config!$B$6,"OVER",IF(J46&gt;=0.5+Config!$B$6,"UNDER","—")))</f>
        <v>—</v>
      </c>
      <c r="N46" s="0" t="n">
        <v>18.4</v>
      </c>
      <c r="O46" s="10" t="n">
        <v>0.6</v>
      </c>
      <c r="P46" s="10" t="n">
        <v>0.7</v>
      </c>
      <c r="Q46" s="10" t="n">
        <v>0.73</v>
      </c>
      <c r="R46" s="9" t="s">
        <v>1170</v>
      </c>
      <c r="S46" s="0" t="n">
        <v>1</v>
      </c>
      <c r="T46" s="0" t="str">
        <f aca="false">INDEX(Calc!$G$2:$G$124,MATCH($W46,Calc!$A$2:$A$124,0))&amp;" / "&amp;INDEX(Calc!$H$2:$H$124,MATCH($W46,Calc!$A$2:$A$124,0))</f>
        <v>Mirage / Inferno</v>
      </c>
      <c r="U46" s="0" t="str">
        <f aca="false">TEXT(INDEX(Calc!$J$2:$J$124,MATCH($W46,Calc!$A$2:$A$124,0)),"0.0")&amp;" / "&amp;TEXT(INDEX(Calc!$K$2:$K$124,MATCH($W46,Calc!$A$2:$A$124,0)),"0.0")</f>
        <v>21.4 / 21.5</v>
      </c>
      <c r="V46" s="0" t="str">
        <f aca="false">IFERROR(INDEX(Calc!$AQ$2:$AQ$124,MATCH($W46,Calc!$A$2:$A$124,0)),"")</f>
        <v/>
      </c>
      <c r="W46" s="9" t="s">
        <v>1171</v>
      </c>
      <c r="X46" s="9" t="s">
        <v>1110</v>
      </c>
      <c r="Y46" s="0" t="str">
        <f aca="false">W46&amp;"|"&amp;X46</f>
        <v>tyf3s6dikrrtlem|CS2 · AUR vs G2|H12</v>
      </c>
      <c r="Z46" s="11" t="n">
        <f aca="false">IFERROR(INDEX(CHOOSE(MATCH($X46,{"K1","K2","K3","K12","K13","H1","H2","H3","H12","H13"},0),Calc!$BA$2:$BA$124,Calc!$BB$2:$BB$124,Calc!$BC$2:$BC$124,Calc!$BD$2:$BD$124,Calc!$BE$2:$BE$124,Calc!$BF$2:$BF$124,Calc!$BG$2:$BG$124,Calc!$BH$2:$BH$124,Calc!$BI$2:$BI$124,Calc!$BJ$2:$BJ$124),MATCH($W46,Calc!$A$2:$A$124,0)),"")</f>
        <v>15.670490166612</v>
      </c>
      <c r="AA46" s="11" t="n">
        <f aca="false">IF(Z46="","",IF(LEFT($X46,1)="H",SQRT(Z46*(IFERROR(INDEX(Calc!$AP$2:$AP$124,MATCH($W46,Calc!$A$2:$A$124,0)),0.5)*Config!$B$5+1-IFERROR(INDEX(Calc!$AP$2:$AP$124,MATCH($W46,Calc!$A$2:$A$124,0)),0.5))),SQRT(Z46*Config!$B$5)))</f>
        <v>4.39664802706584</v>
      </c>
      <c r="AB46" s="10" t="n">
        <f aca="false">IF(OR(F46="",Z46="",N(AA46)&lt;=0),"",1-NORMDIST(FLOOR(F46,1)+0.5,Z46,AA46,TRUE()))</f>
        <v>0.425176245427806</v>
      </c>
      <c r="AC46" s="10" t="n">
        <f aca="false">IF(AB46="","",NORMDIST(CEILING(F46,1)-0.5,Z46,AA46,TRUE()))</f>
        <v>0.484533969143015</v>
      </c>
      <c r="AD46" s="0" t="str">
        <f aca="false">IF(AB46="","",IF(AB46&gt;=0.5+Config!$B$6,"OVER",IF(AC46&gt;=0.5+Config!$B$6,"UNDER","—")))</f>
        <v>—</v>
      </c>
      <c r="AE46" s="13" t="n">
        <f aca="false">IFERROR(Z46/G46,"")</f>
        <v>0.972200836103497</v>
      </c>
    </row>
    <row r="47" customFormat="false" ht="15" hidden="false" customHeight="false" outlineLevel="0" collapsed="false">
      <c r="A47" s="0" t="s">
        <v>988</v>
      </c>
      <c r="B47" s="0" t="s">
        <v>1041</v>
      </c>
      <c r="C47" s="0" t="s">
        <v>1169</v>
      </c>
      <c r="D47" s="0" t="s">
        <v>1046</v>
      </c>
      <c r="E47" s="0" t="s">
        <v>1111</v>
      </c>
      <c r="F47" s="0" t="n">
        <v>28</v>
      </c>
      <c r="G47" s="11" t="n">
        <f aca="false">IFERROR(INDEX(CHOOSE(MATCH($X47,{"K1","K2","K3","K12","K13","H1","H2","H3","H12","H13"},0),Calc!$V$2:$V$124,Calc!$AC$2:$AC$124,Calc!$AJ$2:$AJ$124,Calc!$AL$2:$AL$124,Calc!$AM$2:$AM$124,Calc!$W$2:$W$124,Calc!$AD$2:$AD$124,Calc!$AK$2:$AK$124,Calc!$AN$2:$AN$124,Calc!$AO$2:$AO$124),MATCH($W47,Calc!$A$2:$A$124,0)),"")</f>
        <v>27.604841958042</v>
      </c>
      <c r="H47" s="11" t="n">
        <f aca="false">IF(G47="","",IF(LEFT($X47,1)="H",SQRT(G47*(IFERROR(INDEX(Calc!$AP$2:$AP$124,MATCH($W47,Calc!$A$2:$A$124,0)),0.5)*Config!$B$5+1-IFERROR(INDEX(Calc!$AP$2:$AP$124,MATCH($W47,Calc!$A$2:$A$124,0)),0.5))),SQRT(G47*Config!$B$5)))</f>
        <v>6.21665333931841</v>
      </c>
      <c r="I47" s="10" t="n">
        <f aca="false">IF(OR(F47="",G47="",N(H47)&lt;=0),"",1-NORMDIST(FLOOR(F47,1)+0.5,G47,H47,TRUE()))</f>
        <v>0.442752777740179</v>
      </c>
      <c r="J47" s="10" t="n">
        <f aca="false">IF(I47="","",NORMDIST(CEILING(F47,1)-0.5,G47,H47,TRUE()))</f>
        <v>0.493272279319321</v>
      </c>
      <c r="K47" s="10" t="n">
        <f aca="false">IF(I47="","",MAX(0,1-I47-J47))</f>
        <v>0.0639749429404994</v>
      </c>
      <c r="L47" s="0" t="str">
        <f aca="false">IF(I47="","",IF(I47&gt;=0.5+Config!$B$6,"OVER",IF(J47&gt;=0.5+Config!$B$6,"UNDER","—")))</f>
        <v>—</v>
      </c>
      <c r="M47" s="0" t="n">
        <v>28.76</v>
      </c>
      <c r="N47" s="0" t="n">
        <v>31</v>
      </c>
      <c r="O47" s="10" t="n">
        <v>0.4</v>
      </c>
      <c r="P47" s="10" t="n">
        <v>0.6</v>
      </c>
      <c r="Q47" s="10" t="n">
        <v>0.6</v>
      </c>
      <c r="R47" s="9" t="s">
        <v>1170</v>
      </c>
      <c r="S47" s="0" t="n">
        <v>1</v>
      </c>
      <c r="T47" s="0" t="str">
        <f aca="false">INDEX(Calc!$G$2:$G$124,MATCH($W47,Calc!$A$2:$A$124,0))&amp;" / "&amp;INDEX(Calc!$H$2:$H$124,MATCH($W47,Calc!$A$2:$A$124,0))</f>
        <v>Mirage / Inferno</v>
      </c>
      <c r="U47" s="0" t="str">
        <f aca="false">TEXT(INDEX(Calc!$J$2:$J$124,MATCH($W47,Calc!$A$2:$A$124,0)),"0.0")&amp;" / "&amp;TEXT(INDEX(Calc!$K$2:$K$124,MATCH($W47,Calc!$A$2:$A$124,0)),"0.0")</f>
        <v>21.4 / 21.5</v>
      </c>
      <c r="V47" s="0" t="str">
        <f aca="false">IFERROR(INDEX(Calc!$AQ$2:$AQ$124,MATCH($W47,Calc!$A$2:$A$124,0)),"")</f>
        <v/>
      </c>
      <c r="W47" s="9" t="s">
        <v>1171</v>
      </c>
      <c r="X47" s="9" t="s">
        <v>1112</v>
      </c>
      <c r="Y47" s="0" t="str">
        <f aca="false">W47&amp;"|"&amp;X47</f>
        <v>tyf3s6dikrrtlem|CS2 · AUR vs G2|K12</v>
      </c>
      <c r="Z47" s="11" t="n">
        <f aca="false">IFERROR(INDEX(CHOOSE(MATCH($X47,{"K1","K2","K3","K12","K13","H1","H2","H3","H12","H13"},0),Calc!$BA$2:$BA$124,Calc!$BB$2:$BB$124,Calc!$BC$2:$BC$124,Calc!$BD$2:$BD$124,Calc!$BE$2:$BE$124,Calc!$BF$2:$BF$124,Calc!$BG$2:$BG$124,Calc!$BH$2:$BH$124,Calc!$BI$2:$BI$124,Calc!$BJ$2:$BJ$124),MATCH($W47,Calc!$A$2:$A$124,0)),"")</f>
        <v>26.8506866592838</v>
      </c>
      <c r="AA47" s="11" t="n">
        <f aca="false">IF(Z47="","",IF(LEFT($X47,1)="H",SQRT(Z47*(IFERROR(INDEX(Calc!$AP$2:$AP$124,MATCH($W47,Calc!$A$2:$A$124,0)),0.5)*Config!$B$5+1-IFERROR(INDEX(Calc!$AP$2:$AP$124,MATCH($W47,Calc!$A$2:$A$124,0)),0.5))),SQRT(Z47*Config!$B$5)))</f>
        <v>6.13114681955972</v>
      </c>
      <c r="AB47" s="10" t="n">
        <f aca="false">IF(OR(F47="",Z47="",N(AA47)&lt;=0),"",1-NORMDIST(FLOOR(F47,1)+0.5,Z47,AA47,TRUE()))</f>
        <v>0.393962654522859</v>
      </c>
      <c r="AC47" s="10" t="n">
        <f aca="false">IF(AB47="","",NORMDIST(CEILING(F47,1)-0.5,Z47,AA47,TRUE()))</f>
        <v>0.542170763618387</v>
      </c>
      <c r="AD47" s="0" t="str">
        <f aca="false">IF(AB47="","",IF(AB47&gt;=0.5+Config!$B$6,"OVER",IF(AC47&gt;=0.5+Config!$B$6,"UNDER","—")))</f>
        <v>UNDER</v>
      </c>
      <c r="AE47" s="13" t="n">
        <f aca="false">IFERROR(Z47/G47,"")</f>
        <v>0.972680325433325</v>
      </c>
    </row>
    <row r="48" customFormat="false" ht="15" hidden="false" customHeight="false" outlineLevel="0" collapsed="false">
      <c r="A48" s="0" t="s">
        <v>988</v>
      </c>
      <c r="B48" s="0" t="s">
        <v>1041</v>
      </c>
      <c r="C48" s="0" t="s">
        <v>1172</v>
      </c>
      <c r="D48" s="0" t="s">
        <v>1046</v>
      </c>
      <c r="E48" s="0" t="s">
        <v>1107</v>
      </c>
      <c r="F48" s="0" t="n">
        <v>15.5</v>
      </c>
      <c r="G48" s="11" t="n">
        <f aca="false">IFERROR(INDEX(CHOOSE(MATCH($X48,{"K1","K2","K3","K12","K13","H1","H2","H3","H12","H13"},0),Calc!$V$2:$V$124,Calc!$AC$2:$AC$124,Calc!$AJ$2:$AJ$124,Calc!$AL$2:$AL$124,Calc!$AM$2:$AM$124,Calc!$W$2:$W$124,Calc!$AD$2:$AD$124,Calc!$AK$2:$AK$124,Calc!$AN$2:$AN$124,Calc!$AO$2:$AO$124),MATCH($W48,Calc!$A$2:$A$124,0)),"")</f>
        <v>15.9103367429019</v>
      </c>
      <c r="H48" s="11" t="n">
        <f aca="false">IF(G48="","",IF(LEFT($X48,1)="H",SQRT(G48*(IFERROR(INDEX(Calc!$AP$2:$AP$124,MATCH($W48,Calc!$A$2:$A$124,0)),0.5)*Config!$B$5+1-IFERROR(INDEX(Calc!$AP$2:$AP$124,MATCH($W48,Calc!$A$2:$A$124,0)),0.5))),SQRT(G48*Config!$B$5)))</f>
        <v>4.4399376329169</v>
      </c>
      <c r="I48" s="10" t="n">
        <f aca="false">IF(OR(F48="",G48="",N(H48)&lt;=0),"",1-NORMDIST(FLOOR(F48,1)+0.5,G48,H48,TRUE()))</f>
        <v>0.536817619968285</v>
      </c>
      <c r="J48" s="10" t="n">
        <f aca="false">IF(I48="","",NORMDIST(CEILING(F48,1)-0.5,G48,H48,TRUE()))</f>
        <v>0.463182380031715</v>
      </c>
      <c r="K48" s="10" t="n">
        <f aca="false">IF(I48="","",MAX(0,1-I48-J48))</f>
        <v>0</v>
      </c>
      <c r="L48" s="0" t="str">
        <f aca="false">IF(I48="","",IF(I48&gt;=0.5+Config!$B$6,"OVER",IF(J48&gt;=0.5+Config!$B$6,"UNDER","—")))</f>
        <v>—</v>
      </c>
      <c r="N48" s="0" t="n">
        <v>16.4</v>
      </c>
      <c r="O48" s="10" t="n">
        <v>0.6</v>
      </c>
      <c r="P48" s="10" t="n">
        <v>0.7</v>
      </c>
      <c r="Q48" s="10" t="n">
        <v>0.73</v>
      </c>
      <c r="R48" s="9" t="s">
        <v>1173</v>
      </c>
      <c r="S48" s="0" t="n">
        <v>2</v>
      </c>
      <c r="T48" s="0" t="str">
        <f aca="false">INDEX(Calc!$G$2:$G$124,MATCH($W48,Calc!$A$2:$A$124,0))&amp;" / "&amp;INDEX(Calc!$H$2:$H$124,MATCH($W48,Calc!$A$2:$A$124,0))</f>
        <v>Mirage / Inferno</v>
      </c>
      <c r="U48" s="0" t="str">
        <f aca="false">TEXT(INDEX(Calc!$J$2:$J$124,MATCH($W48,Calc!$A$2:$A$124,0)),"0.0")&amp;" / "&amp;TEXT(INDEX(Calc!$K$2:$K$124,MATCH($W48,Calc!$A$2:$A$124,0)),"0.0")</f>
        <v>21.4 / 21.5</v>
      </c>
      <c r="V48" s="0" t="str">
        <f aca="false">IFERROR(INDEX(Calc!$AQ$2:$AQ$124,MATCH($W48,Calc!$A$2:$A$124,0)),"")</f>
        <v/>
      </c>
      <c r="W48" s="9" t="s">
        <v>1174</v>
      </c>
      <c r="X48" s="9" t="s">
        <v>1110</v>
      </c>
      <c r="Y48" s="0" t="str">
        <f aca="false">W48&amp;"|"&amp;X48</f>
        <v>ikw7yck0lcpdqwz|CS2 · AUR vs G2|H12</v>
      </c>
      <c r="Z48" s="11" t="n">
        <f aca="false">IFERROR(INDEX(CHOOSE(MATCH($X48,{"K1","K2","K3","K12","K13","H1","H2","H3","H12","H13"},0),Calc!$BA$2:$BA$124,Calc!$BB$2:$BB$124,Calc!$BC$2:$BC$124,Calc!$BD$2:$BD$124,Calc!$BE$2:$BE$124,Calc!$BF$2:$BF$124,Calc!$BG$2:$BG$124,Calc!$BH$2:$BH$124,Calc!$BI$2:$BI$124,Calc!$BJ$2:$BJ$124),MATCH($W48,Calc!$A$2:$A$124,0)),"")</f>
        <v>15.4841282398367</v>
      </c>
      <c r="AA48" s="11" t="n">
        <f aca="false">IF(Z48="","",IF(LEFT($X48,1)="H",SQRT(Z48*(IFERROR(INDEX(Calc!$AP$2:$AP$124,MATCH($W48,Calc!$A$2:$A$124,0)),0.5)*Config!$B$5+1-IFERROR(INDEX(Calc!$AP$2:$AP$124,MATCH($W48,Calc!$A$2:$A$124,0)),0.5))),SQRT(Z48*Config!$B$5)))</f>
        <v>4.38006508244108</v>
      </c>
      <c r="AB48" s="10" t="n">
        <f aca="false">IF(OR(F48="",Z48="",N(AA48)&lt;=0),"",1-NORMDIST(FLOOR(F48,1)+0.5,Z48,AA48,TRUE()))</f>
        <v>0.498554381677605</v>
      </c>
      <c r="AC48" s="10" t="n">
        <f aca="false">IF(AB48="","",NORMDIST(CEILING(F48,1)-0.5,Z48,AA48,TRUE()))</f>
        <v>0.501445618322395</v>
      </c>
      <c r="AD48" s="0" t="str">
        <f aca="false">IF(AB48="","",IF(AB48&gt;=0.5+Config!$B$6,"OVER",IF(AC48&gt;=0.5+Config!$B$6,"UNDER","—")))</f>
        <v>—</v>
      </c>
      <c r="AE48" s="13" t="n">
        <f aca="false">IFERROR(Z48/G48,"")</f>
        <v>0.973211849004054</v>
      </c>
    </row>
    <row r="49" customFormat="false" ht="15" hidden="false" customHeight="false" outlineLevel="0" collapsed="false">
      <c r="A49" s="0" t="s">
        <v>988</v>
      </c>
      <c r="B49" s="0" t="s">
        <v>1041</v>
      </c>
      <c r="C49" s="0" t="s">
        <v>1172</v>
      </c>
      <c r="D49" s="0" t="s">
        <v>1046</v>
      </c>
      <c r="E49" s="0" t="s">
        <v>1111</v>
      </c>
      <c r="F49" s="0" t="n">
        <v>26</v>
      </c>
      <c r="G49" s="11" t="n">
        <f aca="false">IFERROR(INDEX(CHOOSE(MATCH($X49,{"K1","K2","K3","K12","K13","H1","H2","H3","H12","H13"},0),Calc!$V$2:$V$124,Calc!$AC$2:$AC$124,Calc!$AJ$2:$AJ$124,Calc!$AL$2:$AL$124,Calc!$AM$2:$AM$124,Calc!$W$2:$W$124,Calc!$AD$2:$AD$124,Calc!$AK$2:$AK$124,Calc!$AN$2:$AN$124,Calc!$AO$2:$AO$124),MATCH($W49,Calc!$A$2:$A$124,0)),"")</f>
        <v>26.6272055944056</v>
      </c>
      <c r="H49" s="11" t="n">
        <f aca="false">IF(G49="","",IF(LEFT($X49,1)="H",SQRT(G49*(IFERROR(INDEX(Calc!$AP$2:$AP$124,MATCH($W49,Calc!$A$2:$A$124,0)),0.5)*Config!$B$5+1-IFERROR(INDEX(Calc!$AP$2:$AP$124,MATCH($W49,Calc!$A$2:$A$124,0)),0.5))),SQRT(G49*Config!$B$5)))</f>
        <v>6.10557841913179</v>
      </c>
      <c r="I49" s="10" t="n">
        <f aca="false">IF(OR(F49="",G49="",N(H49)&lt;=0),"",1-NORMDIST(FLOOR(F49,1)+0.5,G49,H49,TRUE()))</f>
        <v>0.508311091158641</v>
      </c>
      <c r="J49" s="10" t="n">
        <f aca="false">IF(I49="","",NORMDIST(CEILING(F49,1)-0.5,G49,H49,TRUE()))</f>
        <v>0.426763953198635</v>
      </c>
      <c r="K49" s="10" t="n">
        <f aca="false">IF(I49="","",MAX(0,1-I49-J49))</f>
        <v>0.0649249556427237</v>
      </c>
      <c r="L49" s="0" t="str">
        <f aca="false">IF(I49="","",IF(I49&gt;=0.5+Config!$B$6,"OVER",IF(J49&gt;=0.5+Config!$B$6,"UNDER","—")))</f>
        <v>—</v>
      </c>
      <c r="M49" s="0" t="n">
        <v>26.66</v>
      </c>
      <c r="N49" s="0" t="n">
        <v>27.5</v>
      </c>
      <c r="O49" s="10" t="n">
        <v>0.6</v>
      </c>
      <c r="P49" s="10" t="n">
        <v>0.8</v>
      </c>
      <c r="Q49" s="10" t="n">
        <v>0.8</v>
      </c>
      <c r="R49" s="9" t="s">
        <v>1173</v>
      </c>
      <c r="S49" s="0" t="n">
        <v>3</v>
      </c>
      <c r="T49" s="0" t="str">
        <f aca="false">INDEX(Calc!$G$2:$G$124,MATCH($W49,Calc!$A$2:$A$124,0))&amp;" / "&amp;INDEX(Calc!$H$2:$H$124,MATCH($W49,Calc!$A$2:$A$124,0))</f>
        <v>Mirage / Inferno</v>
      </c>
      <c r="U49" s="0" t="str">
        <f aca="false">TEXT(INDEX(Calc!$J$2:$J$124,MATCH($W49,Calc!$A$2:$A$124,0)),"0.0")&amp;" / "&amp;TEXT(INDEX(Calc!$K$2:$K$124,MATCH($W49,Calc!$A$2:$A$124,0)),"0.0")</f>
        <v>21.4 / 21.5</v>
      </c>
      <c r="V49" s="0" t="str">
        <f aca="false">IFERROR(INDEX(Calc!$AQ$2:$AQ$124,MATCH($W49,Calc!$A$2:$A$124,0)),"")</f>
        <v/>
      </c>
      <c r="W49" s="9" t="s">
        <v>1174</v>
      </c>
      <c r="X49" s="9" t="s">
        <v>1112</v>
      </c>
      <c r="Y49" s="0" t="str">
        <f aca="false">W49&amp;"|"&amp;X49</f>
        <v>ikw7yck0lcpdqwz|CS2 · AUR vs G2|K12</v>
      </c>
      <c r="Z49" s="11" t="n">
        <f aca="false">IFERROR(INDEX(CHOOSE(MATCH($X49,{"K1","K2","K3","K12","K13","H1","H2","H3","H12","H13"},0),Calc!$BA$2:$BA$124,Calc!$BB$2:$BB$124,Calc!$BC$2:$BC$124,Calc!$BD$2:$BD$124,Calc!$BE$2:$BE$124,Calc!$BF$2:$BF$124,Calc!$BG$2:$BG$124,Calc!$BH$2:$BH$124,Calc!$BI$2:$BI$124,Calc!$BJ$2:$BJ$124),MATCH($W49,Calc!$A$2:$A$124,0)),"")</f>
        <v>25.9083463457754</v>
      </c>
      <c r="AA49" s="11" t="n">
        <f aca="false">IF(Z49="","",IF(LEFT($X49,1)="H",SQRT(Z49*(IFERROR(INDEX(Calc!$AP$2:$AP$124,MATCH($W49,Calc!$A$2:$A$124,0)),0.5)*Config!$B$5+1-IFERROR(INDEX(Calc!$AP$2:$AP$124,MATCH($W49,Calc!$A$2:$A$124,0)),0.5))),SQRT(Z49*Config!$B$5)))</f>
        <v>6.0225978517651</v>
      </c>
      <c r="AB49" s="10" t="n">
        <f aca="false">IF(OR(F49="",Z49="",N(AA49)&lt;=0),"",1-NORMDIST(FLOOR(F49,1)+0.5,Z49,AA49,TRUE()))</f>
        <v>0.460871279509936</v>
      </c>
      <c r="AC49" s="10" t="n">
        <f aca="false">IF(AB49="","",NORMDIST(CEILING(F49,1)-0.5,Z49,AA49,TRUE()))</f>
        <v>0.472971482665704</v>
      </c>
      <c r="AD49" s="0" t="str">
        <f aca="false">IF(AB49="","",IF(AB49&gt;=0.5+Config!$B$6,"OVER",IF(AC49&gt;=0.5+Config!$B$6,"UNDER","—")))</f>
        <v>—</v>
      </c>
      <c r="AE49" s="13" t="n">
        <f aca="false">IFERROR(Z49/G49,"")</f>
        <v>0.973002828025588</v>
      </c>
    </row>
    <row r="50" customFormat="false" ht="15" hidden="false" customHeight="false" outlineLevel="0" collapsed="false">
      <c r="A50" s="0" t="s">
        <v>988</v>
      </c>
      <c r="B50" s="0" t="s">
        <v>1041</v>
      </c>
      <c r="C50" s="0" t="s">
        <v>1175</v>
      </c>
      <c r="D50" s="0" t="s">
        <v>1046</v>
      </c>
      <c r="E50" s="0" t="s">
        <v>1107</v>
      </c>
      <c r="F50" s="0" t="n">
        <v>16.5</v>
      </c>
      <c r="G50" s="11" t="n">
        <f aca="false">IFERROR(INDEX(CHOOSE(MATCH($X50,{"K1","K2","K3","K12","K13","H1","H2","H3","H12","H13"},0),Calc!$V$2:$V$124,Calc!$AC$2:$AC$124,Calc!$AJ$2:$AJ$124,Calc!$AL$2:$AL$124,Calc!$AM$2:$AM$124,Calc!$W$2:$W$124,Calc!$AD$2:$AD$124,Calc!$AK$2:$AK$124,Calc!$AN$2:$AN$124,Calc!$AO$2:$AO$124),MATCH($W50,Calc!$A$2:$A$124,0)),"")</f>
        <v>19.6839195303829</v>
      </c>
      <c r="H50" s="11" t="n">
        <f aca="false">IF(G50="","",IF(LEFT($X50,1)="H",SQRT(G50*(IFERROR(INDEX(Calc!$AP$2:$AP$124,MATCH($W50,Calc!$A$2:$A$124,0)),0.5)*Config!$B$5+1-IFERROR(INDEX(Calc!$AP$2:$AP$124,MATCH($W50,Calc!$A$2:$A$124,0)),0.5))),SQRT(G50*Config!$B$5)))</f>
        <v>4.98974224221245</v>
      </c>
      <c r="I50" s="10" t="n">
        <f aca="false">IF(OR(F50="",G50="",N(H50)&lt;=0),"",1-NORMDIST(FLOOR(F50,1)+0.5,G50,H50,TRUE()))</f>
        <v>0.738293424191258</v>
      </c>
      <c r="J50" s="10" t="n">
        <f aca="false">IF(I50="","",NORMDIST(CEILING(F50,1)-0.5,G50,H50,TRUE()))</f>
        <v>0.261706575808742</v>
      </c>
      <c r="K50" s="10" t="n">
        <f aca="false">IF(I50="","",MAX(0,1-I50-J50))</f>
        <v>0</v>
      </c>
      <c r="L50" s="0" t="str">
        <f aca="false">IF(I50="","",IF(I50&gt;=0.5+Config!$B$6,"OVER",IF(J50&gt;=0.5+Config!$B$6,"UNDER","—")))</f>
        <v>OVER</v>
      </c>
      <c r="N50" s="0" t="n">
        <v>19.1</v>
      </c>
      <c r="O50" s="10" t="n">
        <v>0.6</v>
      </c>
      <c r="P50" s="10" t="n">
        <v>0.6</v>
      </c>
      <c r="Q50" s="10" t="n">
        <v>0.67</v>
      </c>
      <c r="R50" s="9" t="s">
        <v>1176</v>
      </c>
      <c r="S50" s="0" t="n">
        <v>3</v>
      </c>
      <c r="T50" s="0" t="str">
        <f aca="false">INDEX(Calc!$G$2:$G$124,MATCH($W50,Calc!$A$2:$A$124,0))&amp;" / "&amp;INDEX(Calc!$H$2:$H$124,MATCH($W50,Calc!$A$2:$A$124,0))</f>
        <v>Mirage / Inferno</v>
      </c>
      <c r="U50" s="0" t="str">
        <f aca="false">TEXT(INDEX(Calc!$J$2:$J$124,MATCH($W50,Calc!$A$2:$A$124,0)),"0.0")&amp;" / "&amp;TEXT(INDEX(Calc!$K$2:$K$124,MATCH($W50,Calc!$A$2:$A$124,0)),"0.0")</f>
        <v>21.4 / 21.5</v>
      </c>
      <c r="V50" s="0" t="str">
        <f aca="false">IFERROR(INDEX(Calc!$AQ$2:$AQ$124,MATCH($W50,Calc!$A$2:$A$124,0)),"")</f>
        <v/>
      </c>
      <c r="W50" s="9" t="s">
        <v>1177</v>
      </c>
      <c r="X50" s="9" t="s">
        <v>1110</v>
      </c>
      <c r="Y50" s="0" t="str">
        <f aca="false">W50&amp;"|"&amp;X50</f>
        <v>5l639x0qis2rfwi|CS2 · AUR vs G2|H12</v>
      </c>
      <c r="Z50" s="11" t="n">
        <f aca="false">IFERROR(INDEX(CHOOSE(MATCH($X50,{"K1","K2","K3","K12","K13","H1","H2","H3","H12","H13"},0),Calc!$BA$2:$BA$124,Calc!$BB$2:$BB$124,Calc!$BC$2:$BC$124,Calc!$BD$2:$BD$124,Calc!$BE$2:$BE$124,Calc!$BF$2:$BF$124,Calc!$BG$2:$BG$124,Calc!$BH$2:$BH$124,Calc!$BI$2:$BI$124,Calc!$BJ$2:$BJ$124),MATCH($W50,Calc!$A$2:$A$124,0)),"")</f>
        <v>19.1405899775173</v>
      </c>
      <c r="AA50" s="11" t="n">
        <f aca="false">IF(Z50="","",IF(LEFT($X50,1)="H",SQRT(Z50*(IFERROR(INDEX(Calc!$AP$2:$AP$124,MATCH($W50,Calc!$A$2:$A$124,0)),0.5)*Config!$B$5+1-IFERROR(INDEX(Calc!$AP$2:$AP$124,MATCH($W50,Calc!$A$2:$A$124,0)),0.5))),SQRT(Z50*Config!$B$5)))</f>
        <v>4.92039514368454</v>
      </c>
      <c r="AB50" s="10" t="n">
        <f aca="false">IF(OR(F50="",Z50="",N(AA50)&lt;=0),"",1-NORMDIST(FLOOR(F50,1)+0.5,Z50,AA50,TRUE()))</f>
        <v>0.704249507164491</v>
      </c>
      <c r="AC50" s="10" t="n">
        <f aca="false">IF(AB50="","",NORMDIST(CEILING(F50,1)-0.5,Z50,AA50,TRUE()))</f>
        <v>0.295750492835509</v>
      </c>
      <c r="AD50" s="0" t="str">
        <f aca="false">IF(AB50="","",IF(AB50&gt;=0.5+Config!$B$6,"OVER",IF(AC50&gt;=0.5+Config!$B$6,"UNDER","—")))</f>
        <v>OVER</v>
      </c>
      <c r="AE50" s="13" t="n">
        <f aca="false">IFERROR(Z50/G50,"")</f>
        <v>0.972397288455334</v>
      </c>
    </row>
    <row r="51" customFormat="false" ht="15" hidden="false" customHeight="false" outlineLevel="0" collapsed="false">
      <c r="A51" s="0" t="s">
        <v>988</v>
      </c>
      <c r="B51" s="0" t="s">
        <v>1041</v>
      </c>
      <c r="C51" s="0" t="s">
        <v>1175</v>
      </c>
      <c r="D51" s="0" t="s">
        <v>1046</v>
      </c>
      <c r="E51" s="0" t="s">
        <v>1111</v>
      </c>
      <c r="F51" s="0" t="n">
        <v>26</v>
      </c>
      <c r="G51" s="11" t="n">
        <f aca="false">IFERROR(INDEX(CHOOSE(MATCH($X51,{"K1","K2","K3","K12","K13","H1","H2","H3","H12","H13"},0),Calc!$V$2:$V$124,Calc!$AC$2:$AC$124,Calc!$AJ$2:$AJ$124,Calc!$AL$2:$AL$124,Calc!$AM$2:$AM$124,Calc!$W$2:$W$124,Calc!$AD$2:$AD$124,Calc!$AK$2:$AK$124,Calc!$AN$2:$AN$124,Calc!$AO$2:$AO$124),MATCH($W51,Calc!$A$2:$A$124,0)),"")</f>
        <v>29.7265678321678</v>
      </c>
      <c r="H51" s="11" t="n">
        <f aca="false">IF(G51="","",IF(LEFT($X51,1)="H",SQRT(G51*(IFERROR(INDEX(Calc!$AP$2:$AP$124,MATCH($W51,Calc!$A$2:$A$124,0)),0.5)*Config!$B$5+1-IFERROR(INDEX(Calc!$AP$2:$AP$124,MATCH($W51,Calc!$A$2:$A$124,0)),0.5))),SQRT(G51*Config!$B$5)))</f>
        <v>6.45113904400106</v>
      </c>
      <c r="I51" s="10" t="n">
        <f aca="false">IF(OR(F51="",G51="",N(H51)&lt;=0),"",1-NORMDIST(FLOOR(F51,1)+0.5,G51,H51,TRUE()))</f>
        <v>0.691516941078952</v>
      </c>
      <c r="J51" s="10" t="n">
        <f aca="false">IF(I51="","",NORMDIST(CEILING(F51,1)-0.5,G51,H51,TRUE()))</f>
        <v>0.256180397779187</v>
      </c>
      <c r="K51" s="10" t="n">
        <f aca="false">IF(I51="","",MAX(0,1-I51-J51))</f>
        <v>0.0523026611418609</v>
      </c>
      <c r="L51" s="0" t="str">
        <f aca="false">IF(I51="","",IF(I51&gt;=0.5+Config!$B$6,"OVER",IF(J51&gt;=0.5+Config!$B$6,"UNDER","—")))</f>
        <v>OVER</v>
      </c>
      <c r="M51" s="0" t="n">
        <v>26.76</v>
      </c>
      <c r="N51" s="0" t="n">
        <v>29.2</v>
      </c>
      <c r="O51" s="10" t="n">
        <v>0.6</v>
      </c>
      <c r="P51" s="10" t="n">
        <v>0.6</v>
      </c>
      <c r="Q51" s="10" t="n">
        <v>0.67</v>
      </c>
      <c r="R51" s="9" t="s">
        <v>1176</v>
      </c>
      <c r="S51" s="0" t="n">
        <v>3</v>
      </c>
      <c r="T51" s="0" t="str">
        <f aca="false">INDEX(Calc!$G$2:$G$124,MATCH($W51,Calc!$A$2:$A$124,0))&amp;" / "&amp;INDEX(Calc!$H$2:$H$124,MATCH($W51,Calc!$A$2:$A$124,0))</f>
        <v>Mirage / Inferno</v>
      </c>
      <c r="U51" s="0" t="str">
        <f aca="false">TEXT(INDEX(Calc!$J$2:$J$124,MATCH($W51,Calc!$A$2:$A$124,0)),"0.0")&amp;" / "&amp;TEXT(INDEX(Calc!$K$2:$K$124,MATCH($W51,Calc!$A$2:$A$124,0)),"0.0")</f>
        <v>21.4 / 21.5</v>
      </c>
      <c r="V51" s="0" t="str">
        <f aca="false">IFERROR(INDEX(Calc!$AQ$2:$AQ$124,MATCH($W51,Calc!$A$2:$A$124,0)),"")</f>
        <v/>
      </c>
      <c r="W51" s="9" t="s">
        <v>1177</v>
      </c>
      <c r="X51" s="9" t="s">
        <v>1112</v>
      </c>
      <c r="Y51" s="0" t="str">
        <f aca="false">W51&amp;"|"&amp;X51</f>
        <v>5l639x0qis2rfwi|CS2 · AUR vs G2|K12</v>
      </c>
      <c r="Z51" s="11" t="n">
        <f aca="false">IFERROR(INDEX(CHOOSE(MATCH($X51,{"K1","K2","K3","K12","K13","H1","H2","H3","H12","H13"},0),Calc!$BA$2:$BA$124,Calc!$BB$2:$BB$124,Calc!$BC$2:$BC$124,Calc!$BD$2:$BD$124,Calc!$BE$2:$BE$124,Calc!$BF$2:$BF$124,Calc!$BG$2:$BG$124,Calc!$BH$2:$BH$124,Calc!$BI$2:$BI$124,Calc!$BJ$2:$BJ$124),MATCH($W51,Calc!$A$2:$A$124,0)),"")</f>
        <v>28.9158002186405</v>
      </c>
      <c r="AA51" s="11" t="n">
        <f aca="false">IF(Z51="","",IF(LEFT($X51,1)="H",SQRT(Z51*(IFERROR(INDEX(Calc!$AP$2:$AP$124,MATCH($W51,Calc!$A$2:$A$124,0)),0.5)*Config!$B$5+1-IFERROR(INDEX(Calc!$AP$2:$AP$124,MATCH($W51,Calc!$A$2:$A$124,0)),0.5))),SQRT(Z51*Config!$B$5)))</f>
        <v>6.36255611418058</v>
      </c>
      <c r="AB51" s="10" t="n">
        <f aca="false">IF(OR(F51="",Z51="",N(AA51)&lt;=0),"",1-NORMDIST(FLOOR(F51,1)+0.5,Z51,AA51,TRUE()))</f>
        <v>0.647912303068807</v>
      </c>
      <c r="AC51" s="10" t="n">
        <f aca="false">IF(AB51="","",NORMDIST(CEILING(F51,1)-0.5,Z51,AA51,TRUE()))</f>
        <v>0.295682251358055</v>
      </c>
      <c r="AD51" s="0" t="str">
        <f aca="false">IF(AB51="","",IF(AB51&gt;=0.5+Config!$B$6,"OVER",IF(AC51&gt;=0.5+Config!$B$6,"UNDER","—")))</f>
        <v>OVER</v>
      </c>
      <c r="AE51" s="13" t="n">
        <f aca="false">IFERROR(Z51/G51,"")</f>
        <v>0.972725824989121</v>
      </c>
    </row>
    <row r="52" customFormat="false" ht="15" hidden="false" customHeight="false" outlineLevel="0" collapsed="false">
      <c r="A52" s="0" t="s">
        <v>988</v>
      </c>
      <c r="B52" s="0" t="s">
        <v>1041</v>
      </c>
      <c r="C52" s="0" t="s">
        <v>1178</v>
      </c>
      <c r="D52" s="0" t="s">
        <v>1046</v>
      </c>
      <c r="E52" s="0" t="s">
        <v>1107</v>
      </c>
      <c r="F52" s="0" t="n">
        <v>16</v>
      </c>
      <c r="G52" s="11" t="n">
        <f aca="false">IFERROR(INDEX(CHOOSE(MATCH($X52,{"K1","K2","K3","K12","K13","H1","H2","H3","H12","H13"},0),Calc!$V$2:$V$124,Calc!$AC$2:$AC$124,Calc!$AJ$2:$AJ$124,Calc!$AL$2:$AL$124,Calc!$AM$2:$AM$124,Calc!$W$2:$W$124,Calc!$AD$2:$AD$124,Calc!$AK$2:$AK$124,Calc!$AN$2:$AN$124,Calc!$AO$2:$AO$124),MATCH($W52,Calc!$A$2:$A$124,0)),"")</f>
        <v>15.1611011272727</v>
      </c>
      <c r="H52" s="11" t="n">
        <f aca="false">IF(G52="","",IF(LEFT($X52,1)="H",SQRT(G52*(IFERROR(INDEX(Calc!$AP$2:$AP$124,MATCH($W52,Calc!$A$2:$A$124,0)),0.5)*Config!$B$5+1-IFERROR(INDEX(Calc!$AP$2:$AP$124,MATCH($W52,Calc!$A$2:$A$124,0)),0.5))),SQRT(G52*Config!$B$5)))</f>
        <v>4.27388428023773</v>
      </c>
      <c r="I52" s="10" t="n">
        <f aca="false">IF(OR(F52="",G52="",N(H52)&lt;=0),"",1-NORMDIST(FLOOR(F52,1)+0.5,G52,H52,TRUE()))</f>
        <v>0.377036068752163</v>
      </c>
      <c r="J52" s="10" t="n">
        <f aca="false">IF(I52="","",NORMDIST(CEILING(F52,1)-0.5,G52,H52,TRUE()))</f>
        <v>0.531601121802538</v>
      </c>
      <c r="K52" s="10" t="n">
        <f aca="false">IF(I52="","",MAX(0,1-I52-J52))</f>
        <v>0.0913628094452994</v>
      </c>
      <c r="L52" s="0" t="str">
        <f aca="false">IF(I52="","",IF(I52&gt;=0.5+Config!$B$6,"OVER",IF(J52&gt;=0.5+Config!$B$6,"UNDER","—")))</f>
        <v>—</v>
      </c>
      <c r="N52" s="0" t="n">
        <v>17.6</v>
      </c>
      <c r="O52" s="10" t="n">
        <v>1</v>
      </c>
      <c r="P52" s="10" t="n">
        <v>0.7</v>
      </c>
      <c r="Q52" s="10" t="n">
        <v>0.67</v>
      </c>
      <c r="R52" s="9" t="s">
        <v>1179</v>
      </c>
      <c r="S52" s="0" t="n">
        <v>5</v>
      </c>
      <c r="T52" s="0" t="str">
        <f aca="false">INDEX(Calc!$G$2:$G$124,MATCH($W52,Calc!$A$2:$A$124,0))&amp;" / "&amp;INDEX(Calc!$H$2:$H$124,MATCH($W52,Calc!$A$2:$A$124,0))</f>
        <v>Mirage / Inferno</v>
      </c>
      <c r="U52" s="0" t="str">
        <f aca="false">TEXT(INDEX(Calc!$J$2:$J$124,MATCH($W52,Calc!$A$2:$A$124,0)),"0.0")&amp;" / "&amp;TEXT(INDEX(Calc!$K$2:$K$124,MATCH($W52,Calc!$A$2:$A$124,0)),"0.0")</f>
        <v>21.4 / 21.5</v>
      </c>
      <c r="V52" s="0" t="str">
        <f aca="false">IFERROR(INDEX(Calc!$AQ$2:$AQ$124,MATCH($W52,Calc!$A$2:$A$124,0)),"")</f>
        <v/>
      </c>
      <c r="W52" s="9" t="s">
        <v>1180</v>
      </c>
      <c r="X52" s="9" t="s">
        <v>1110</v>
      </c>
      <c r="Y52" s="0" t="str">
        <f aca="false">W52&amp;"|"&amp;X52</f>
        <v>ysvz6uswynmfc98|CS2 · AUR vs G2|H12</v>
      </c>
      <c r="Z52" s="11" t="n">
        <f aca="false">IFERROR(INDEX(CHOOSE(MATCH($X52,{"K1","K2","K3","K12","K13","H1","H2","H3","H12","H13"},0),Calc!$BA$2:$BA$124,Calc!$BB$2:$BB$124,Calc!$BC$2:$BC$124,Calc!$BD$2:$BD$124,Calc!$BE$2:$BE$124,Calc!$BF$2:$BF$124,Calc!$BG$2:$BG$124,Calc!$BH$2:$BH$124,Calc!$BI$2:$BI$124,Calc!$BJ$2:$BJ$124),MATCH($W52,Calc!$A$2:$A$124,0)),"")</f>
        <v>14.7531073244629</v>
      </c>
      <c r="AA52" s="11" t="n">
        <f aca="false">IF(Z52="","",IF(LEFT($X52,1)="H",SQRT(Z52*(IFERROR(INDEX(Calc!$AP$2:$AP$124,MATCH($W52,Calc!$A$2:$A$124,0)),0.5)*Config!$B$5+1-IFERROR(INDEX(Calc!$AP$2:$AP$124,MATCH($W52,Calc!$A$2:$A$124,0)),0.5))),SQRT(Z52*Config!$B$5)))</f>
        <v>4.21598578236064</v>
      </c>
      <c r="AB52" s="10" t="n">
        <f aca="false">IF(OR(F52="",Z52="",N(AA52)&lt;=0),"",1-NORMDIST(FLOOR(F52,1)+0.5,Z52,AA52,TRUE()))</f>
        <v>0.339308990248791</v>
      </c>
      <c r="AC52" s="10" t="n">
        <f aca="false">IF(AB52="","",NORMDIST(CEILING(F52,1)-0.5,Z52,AA52,TRUE()))</f>
        <v>0.570307584256115</v>
      </c>
      <c r="AD52" s="0" t="str">
        <f aca="false">IF(AB52="","",IF(AB52&gt;=0.5+Config!$B$6,"OVER",IF(AC52&gt;=0.5+Config!$B$6,"UNDER","—")))</f>
        <v>UNDER</v>
      </c>
      <c r="AE52" s="13" t="n">
        <f aca="false">IFERROR(Z52/G52,"")</f>
        <v>0.973089434640346</v>
      </c>
    </row>
    <row r="53" customFormat="false" ht="15" hidden="false" customHeight="false" outlineLevel="0" collapsed="false">
      <c r="A53" s="0" t="s">
        <v>988</v>
      </c>
      <c r="B53" s="0" t="s">
        <v>1041</v>
      </c>
      <c r="C53" s="0" t="s">
        <v>1178</v>
      </c>
      <c r="D53" s="0" t="s">
        <v>1046</v>
      </c>
      <c r="E53" s="0" t="s">
        <v>1111</v>
      </c>
      <c r="F53" s="0" t="n">
        <v>31</v>
      </c>
      <c r="G53" s="11" t="n">
        <f aca="false">IFERROR(INDEX(CHOOSE(MATCH($X53,{"K1","K2","K3","K12","K13","H1","H2","H3","H12","H13"},0),Calc!$V$2:$V$124,Calc!$AC$2:$AC$124,Calc!$AJ$2:$AJ$124,Calc!$AL$2:$AL$124,Calc!$AM$2:$AM$124,Calc!$W$2:$W$124,Calc!$AD$2:$AD$124,Calc!$AK$2:$AK$124,Calc!$AN$2:$AN$124,Calc!$AO$2:$AO$124),MATCH($W53,Calc!$A$2:$A$124,0)),"")</f>
        <v>29.6116</v>
      </c>
      <c r="H53" s="11" t="n">
        <f aca="false">IF(G53="","",IF(LEFT($X53,1)="H",SQRT(G53*(IFERROR(INDEX(Calc!$AP$2:$AP$124,MATCH($W53,Calc!$A$2:$A$124,0)),0.5)*Config!$B$5+1-IFERROR(INDEX(Calc!$AP$2:$AP$124,MATCH($W53,Calc!$A$2:$A$124,0)),0.5))),SQRT(G53*Config!$B$5)))</f>
        <v>6.43865203284041</v>
      </c>
      <c r="I53" s="10" t="n">
        <f aca="false">IF(OR(F53="",G53="",N(H53)&lt;=0),"",1-NORMDIST(FLOOR(F53,1)+0.5,G53,H53,TRUE()))</f>
        <v>0.384649788596667</v>
      </c>
      <c r="J53" s="10" t="n">
        <f aca="false">IF(I53="","",NORMDIST(CEILING(F53,1)-0.5,G53,H53,TRUE()))</f>
        <v>0.55487156838172</v>
      </c>
      <c r="K53" s="10" t="n">
        <f aca="false">IF(I53="","",MAX(0,1-I53-J53))</f>
        <v>0.0604786430216137</v>
      </c>
      <c r="L53" s="0" t="str">
        <f aca="false">IF(I53="","",IF(I53&gt;=0.5+Config!$B$6,"OVER",IF(J53&gt;=0.5+Config!$B$6,"UNDER","—")))</f>
        <v>UNDER</v>
      </c>
      <c r="M53" s="0" t="n">
        <v>30.4</v>
      </c>
      <c r="N53" s="0" t="n">
        <v>33.6</v>
      </c>
      <c r="O53" s="10" t="n">
        <v>0.6</v>
      </c>
      <c r="P53" s="10" t="n">
        <v>0.7</v>
      </c>
      <c r="Q53" s="10" t="n">
        <v>0.6</v>
      </c>
      <c r="R53" s="9" t="s">
        <v>1179</v>
      </c>
      <c r="S53" s="0" t="n">
        <v>3</v>
      </c>
      <c r="T53" s="0" t="str">
        <f aca="false">INDEX(Calc!$G$2:$G$124,MATCH($W53,Calc!$A$2:$A$124,0))&amp;" / "&amp;INDEX(Calc!$H$2:$H$124,MATCH($W53,Calc!$A$2:$A$124,0))</f>
        <v>Mirage / Inferno</v>
      </c>
      <c r="U53" s="0" t="str">
        <f aca="false">TEXT(INDEX(Calc!$J$2:$J$124,MATCH($W53,Calc!$A$2:$A$124,0)),"0.0")&amp;" / "&amp;TEXT(INDEX(Calc!$K$2:$K$124,MATCH($W53,Calc!$A$2:$A$124,0)),"0.0")</f>
        <v>21.4 / 21.5</v>
      </c>
      <c r="V53" s="0" t="str">
        <f aca="false">IFERROR(INDEX(Calc!$AQ$2:$AQ$124,MATCH($W53,Calc!$A$2:$A$124,0)),"")</f>
        <v/>
      </c>
      <c r="W53" s="9" t="s">
        <v>1180</v>
      </c>
      <c r="X53" s="9" t="s">
        <v>1112</v>
      </c>
      <c r="Y53" s="0" t="str">
        <f aca="false">W53&amp;"|"&amp;X53</f>
        <v>ysvz6uswynmfc98|CS2 · AUR vs G2|K12</v>
      </c>
      <c r="Z53" s="11" t="n">
        <f aca="false">IFERROR(INDEX(CHOOSE(MATCH($X53,{"K1","K2","K3","K12","K13","H1","H2","H3","H12","H13"},0),Calc!$BA$2:$BA$124,Calc!$BB$2:$BB$124,Calc!$BC$2:$BC$124,Calc!$BD$2:$BD$124,Calc!$BE$2:$BE$124,Calc!$BF$2:$BF$124,Calc!$BG$2:$BG$124,Calc!$BH$2:$BH$124,Calc!$BI$2:$BI$124,Calc!$BJ$2:$BJ$124),MATCH($W53,Calc!$A$2:$A$124,0)),"")</f>
        <v>28.8196190366391</v>
      </c>
      <c r="AA53" s="11" t="n">
        <f aca="false">IF(Z53="","",IF(LEFT($X53,1)="H",SQRT(Z53*(IFERROR(INDEX(Calc!$AP$2:$AP$124,MATCH($W53,Calc!$A$2:$A$124,0)),0.5)*Config!$B$5+1-IFERROR(INDEX(Calc!$AP$2:$AP$124,MATCH($W53,Calc!$A$2:$A$124,0)),0.5))),SQRT(Z53*Config!$B$5)))</f>
        <v>6.35196557384364</v>
      </c>
      <c r="AB53" s="10" t="n">
        <f aca="false">IF(OR(F53="",Z53="",N(AA53)&lt;=0),"",1-NORMDIST(FLOOR(F53,1)+0.5,Z53,AA53,TRUE()))</f>
        <v>0.336521041411477</v>
      </c>
      <c r="AC53" s="10" t="n">
        <f aca="false">IF(AB53="","",NORMDIST(CEILING(F53,1)-0.5,Z53,AA53,TRUE()))</f>
        <v>0.604320016760453</v>
      </c>
      <c r="AD53" s="0" t="str">
        <f aca="false">IF(AB53="","",IF(AB53&gt;=0.5+Config!$B$6,"OVER",IF(AC53&gt;=0.5+Config!$B$6,"UNDER","—")))</f>
        <v>UNDER</v>
      </c>
      <c r="AE53" s="13" t="n">
        <f aca="false">IFERROR(Z53/G53,"")</f>
        <v>0.973254367769357</v>
      </c>
    </row>
    <row r="54" customFormat="false" ht="15" hidden="false" customHeight="false" outlineLevel="0" collapsed="false">
      <c r="A54" s="0" t="s">
        <v>988</v>
      </c>
      <c r="B54" s="0" t="s">
        <v>1041</v>
      </c>
      <c r="C54" s="0" t="s">
        <v>1181</v>
      </c>
      <c r="D54" s="0" t="s">
        <v>1046</v>
      </c>
      <c r="E54" s="0" t="s">
        <v>1107</v>
      </c>
      <c r="F54" s="0" t="n">
        <v>9.5</v>
      </c>
      <c r="G54" s="11" t="n">
        <f aca="false">IFERROR(INDEX(CHOOSE(MATCH($X54,{"K1","K2","K3","K12","K13","H1","H2","H3","H12","H13"},0),Calc!$V$2:$V$124,Calc!$AC$2:$AC$124,Calc!$AJ$2:$AJ$124,Calc!$AL$2:$AL$124,Calc!$AM$2:$AM$124,Calc!$W$2:$W$124,Calc!$AD$2:$AD$124,Calc!$AK$2:$AK$124,Calc!$AN$2:$AN$124,Calc!$AO$2:$AO$124),MATCH($W54,Calc!$A$2:$A$124,0)),"")</f>
        <v>7.37612583608</v>
      </c>
      <c r="H54" s="11" t="n">
        <f aca="false">IF(G54="","",IF(LEFT($X54,1)="H",SQRT(G54*(IFERROR(INDEX(Calc!$AP$2:$AP$124,MATCH($W54,Calc!$A$2:$A$124,0)),0.5)*Config!$B$5+1-IFERROR(INDEX(Calc!$AP$2:$AP$124,MATCH($W54,Calc!$A$2:$A$124,0)),0.5))),SQRT(G54*Config!$B$5)))</f>
        <v>2.86911675223651</v>
      </c>
      <c r="I54" s="10" t="n">
        <f aca="false">IF(OR(F54="",G54="",N(H54)&lt;=0),"",1-NORMDIST(FLOOR(F54,1)+0.5,G54,H54,TRUE()))</f>
        <v>0.229573048025066</v>
      </c>
      <c r="J54" s="10" t="n">
        <f aca="false">IF(I54="","",NORMDIST(CEILING(F54,1)-0.5,G54,H54,TRUE()))</f>
        <v>0.770426951974934</v>
      </c>
      <c r="K54" s="10" t="n">
        <f aca="false">IF(I54="","",MAX(0,1-I54-J54))</f>
        <v>0</v>
      </c>
      <c r="L54" s="0" t="str">
        <f aca="false">IF(I54="","",IF(I54&gt;=0.5+Config!$B$6,"OVER",IF(J54&gt;=0.5+Config!$B$6,"UNDER","—")))</f>
        <v>UNDER</v>
      </c>
      <c r="N54" s="0" t="n">
        <v>8.8</v>
      </c>
      <c r="O54" s="10" t="n">
        <v>0.6</v>
      </c>
      <c r="P54" s="10" t="n">
        <v>0.4</v>
      </c>
      <c r="Q54" s="10" t="n">
        <v>0.27</v>
      </c>
      <c r="R54" s="9" t="s">
        <v>1182</v>
      </c>
      <c r="S54" s="0" t="n">
        <v>1</v>
      </c>
      <c r="T54" s="0" t="str">
        <f aca="false">INDEX(Calc!$G$2:$G$124,MATCH($W54,Calc!$A$2:$A$124,0))&amp;" / "&amp;INDEX(Calc!$H$2:$H$124,MATCH($W54,Calc!$A$2:$A$124,0))</f>
        <v>Mirage / Inferno</v>
      </c>
      <c r="U54" s="0" t="str">
        <f aca="false">TEXT(INDEX(Calc!$J$2:$J$124,MATCH($W54,Calc!$A$2:$A$124,0)),"0.0")&amp;" / "&amp;TEXT(INDEX(Calc!$K$2:$K$124,MATCH($W54,Calc!$A$2:$A$124,0)),"0.0")</f>
        <v>21.4 / 21.5</v>
      </c>
      <c r="V54" s="0" t="str">
        <f aca="false">IFERROR(INDEX(Calc!$AQ$2:$AQ$124,MATCH($W54,Calc!$A$2:$A$124,0)),"")</f>
        <v/>
      </c>
      <c r="W54" s="9" t="s">
        <v>1183</v>
      </c>
      <c r="X54" s="9" t="s">
        <v>1110</v>
      </c>
      <c r="Y54" s="0" t="str">
        <f aca="false">W54&amp;"|"&amp;X54</f>
        <v>3v2vw55rjp5df2r|CS2 · AUR vs G2|H12</v>
      </c>
      <c r="Z54" s="11" t="n">
        <f aca="false">IFERROR(INDEX(CHOOSE(MATCH($X54,{"K1","K2","K3","K12","K13","H1","H2","H3","H12","H13"},0),Calc!$BA$2:$BA$124,Calc!$BB$2:$BB$124,Calc!$BC$2:$BC$124,Calc!$BD$2:$BD$124,Calc!$BE$2:$BE$124,Calc!$BF$2:$BF$124,Calc!$BG$2:$BG$124,Calc!$BH$2:$BH$124,Calc!$BI$2:$BI$124,Calc!$BJ$2:$BJ$124),MATCH($W54,Calc!$A$2:$A$124,0)),"")</f>
        <v>7.17335758993081</v>
      </c>
      <c r="AA54" s="11" t="n">
        <f aca="false">IF(Z54="","",IF(LEFT($X54,1)="H",SQRT(Z54*(IFERROR(INDEX(Calc!$AP$2:$AP$124,MATCH($W54,Calc!$A$2:$A$124,0)),0.5)*Config!$B$5+1-IFERROR(INDEX(Calc!$AP$2:$AP$124,MATCH($W54,Calc!$A$2:$A$124,0)),0.5))),SQRT(Z54*Config!$B$5)))</f>
        <v>2.82940621458579</v>
      </c>
      <c r="AB54" s="10" t="n">
        <f aca="false">IF(OR(F54="",Z54="",N(AA54)&lt;=0),"",1-NORMDIST(FLOOR(F54,1)+0.5,Z54,AA54,TRUE()))</f>
        <v>0.20545090845348</v>
      </c>
      <c r="AC54" s="10" t="n">
        <f aca="false">IF(AB54="","",NORMDIST(CEILING(F54,1)-0.5,Z54,AA54,TRUE()))</f>
        <v>0.79454909154652</v>
      </c>
      <c r="AD54" s="0" t="str">
        <f aca="false">IF(AB54="","",IF(AB54&gt;=0.5+Config!$B$6,"OVER",IF(AC54&gt;=0.5+Config!$B$6,"UNDER","—")))</f>
        <v>UNDER</v>
      </c>
      <c r="AE54" s="13" t="n">
        <f aca="false">IFERROR(Z54/G54,"")</f>
        <v>0.972510196998353</v>
      </c>
    </row>
    <row r="55" customFormat="false" ht="15" hidden="false" customHeight="false" outlineLevel="0" collapsed="false">
      <c r="A55" s="0" t="s">
        <v>988</v>
      </c>
      <c r="B55" s="0" t="s">
        <v>1041</v>
      </c>
      <c r="C55" s="0" t="s">
        <v>1181</v>
      </c>
      <c r="D55" s="0" t="s">
        <v>1046</v>
      </c>
      <c r="E55" s="0" t="s">
        <v>1111</v>
      </c>
      <c r="F55" s="0" t="n">
        <v>27</v>
      </c>
      <c r="G55" s="11" t="n">
        <f aca="false">IFERROR(INDEX(CHOOSE(MATCH($X55,{"K1","K2","K3","K12","K13","H1","H2","H3","H12","H13"},0),Calc!$V$2:$V$124,Calc!$AC$2:$AC$124,Calc!$AJ$2:$AJ$124,Calc!$AL$2:$AL$124,Calc!$AM$2:$AM$124,Calc!$W$2:$W$124,Calc!$AD$2:$AD$124,Calc!$AK$2:$AK$124,Calc!$AN$2:$AN$124,Calc!$AO$2:$AO$124),MATCH($W55,Calc!$A$2:$A$124,0)),"")</f>
        <v>25.4327020979021</v>
      </c>
      <c r="H55" s="11" t="n">
        <f aca="false">IF(G55="","",IF(LEFT($X55,1)="H",SQRT(G55*(IFERROR(INDEX(Calc!$AP$2:$AP$124,MATCH($W55,Calc!$A$2:$A$124,0)),0.5)*Config!$B$5+1-IFERROR(INDEX(Calc!$AP$2:$AP$124,MATCH($W55,Calc!$A$2:$A$124,0)),0.5))),SQRT(G55*Config!$B$5)))</f>
        <v>5.96705814761872</v>
      </c>
      <c r="I55" s="10" t="n">
        <f aca="false">IF(OR(F55="",G55="",N(H55)&lt;=0),"",1-NORMDIST(FLOOR(F55,1)+0.5,G55,H55,TRUE()))</f>
        <v>0.364501609327013</v>
      </c>
      <c r="J55" s="10" t="n">
        <f aca="false">IF(I55="","",NORMDIST(CEILING(F55,1)-0.5,G55,H55,TRUE()))</f>
        <v>0.570978150311053</v>
      </c>
      <c r="K55" s="10" t="n">
        <f aca="false">IF(I55="","",MAX(0,1-I55-J55))</f>
        <v>0.0645202403619346</v>
      </c>
      <c r="L55" s="0" t="str">
        <f aca="false">IF(I55="","",IF(I55&gt;=0.5+Config!$B$6,"OVER",IF(J55&gt;=0.5+Config!$B$6,"UNDER","—")))</f>
        <v>UNDER</v>
      </c>
      <c r="M55" s="0" t="n">
        <v>26.9</v>
      </c>
      <c r="N55" s="0" t="n">
        <v>25.5</v>
      </c>
      <c r="O55" s="10" t="n">
        <v>0.4</v>
      </c>
      <c r="P55" s="10" t="n">
        <v>0.4</v>
      </c>
      <c r="Q55" s="10" t="n">
        <v>0.53</v>
      </c>
      <c r="R55" s="9" t="s">
        <v>1184</v>
      </c>
      <c r="S55" s="0" t="n">
        <v>1</v>
      </c>
      <c r="T55" s="0" t="str">
        <f aca="false">INDEX(Calc!$G$2:$G$124,MATCH($W55,Calc!$A$2:$A$124,0))&amp;" / "&amp;INDEX(Calc!$H$2:$H$124,MATCH($W55,Calc!$A$2:$A$124,0))</f>
        <v>Mirage / Inferno</v>
      </c>
      <c r="U55" s="0" t="str">
        <f aca="false">TEXT(INDEX(Calc!$J$2:$J$124,MATCH($W55,Calc!$A$2:$A$124,0)),"0.0")&amp;" / "&amp;TEXT(INDEX(Calc!$K$2:$K$124,MATCH($W55,Calc!$A$2:$A$124,0)),"0.0")</f>
        <v>21.4 / 21.5</v>
      </c>
      <c r="V55" s="0" t="str">
        <f aca="false">IFERROR(INDEX(Calc!$AQ$2:$AQ$124,MATCH($W55,Calc!$A$2:$A$124,0)),"")</f>
        <v/>
      </c>
      <c r="W55" s="9" t="s">
        <v>1183</v>
      </c>
      <c r="X55" s="9" t="s">
        <v>1112</v>
      </c>
      <c r="Y55" s="0" t="str">
        <f aca="false">W55&amp;"|"&amp;X55</f>
        <v>3v2vw55rjp5df2r|CS2 · AUR vs G2|K12</v>
      </c>
      <c r="Z55" s="11" t="n">
        <f aca="false">IFERROR(INDEX(CHOOSE(MATCH($X55,{"K1","K2","K3","K12","K13","H1","H2","H3","H12","H13"},0),Calc!$BA$2:$BA$124,Calc!$BB$2:$BB$124,Calc!$BC$2:$BC$124,Calc!$BD$2:$BD$124,Calc!$BE$2:$BE$124,Calc!$BF$2:$BF$124,Calc!$BG$2:$BG$124,Calc!$BH$2:$BH$124,Calc!$BI$2:$BI$124,Calc!$BJ$2:$BJ$124),MATCH($W55,Calc!$A$2:$A$124,0)),"")</f>
        <v>24.7580981696413</v>
      </c>
      <c r="AA55" s="11" t="n">
        <f aca="false">IF(Z55="","",IF(LEFT($X55,1)="H",SQRT(Z55*(IFERROR(INDEX(Calc!$AP$2:$AP$124,MATCH($W55,Calc!$A$2:$A$124,0)),0.5)*Config!$B$5+1-IFERROR(INDEX(Calc!$AP$2:$AP$124,MATCH($W55,Calc!$A$2:$A$124,0)),0.5))),SQRT(Z55*Config!$B$5)))</f>
        <v>5.8873879978729</v>
      </c>
      <c r="AB55" s="10" t="n">
        <f aca="false">IF(OR(F55="",Z55="",N(AA55)&lt;=0),"",1-NORMDIST(FLOOR(F55,1)+0.5,Z55,AA55,TRUE()))</f>
        <v>0.320706295867481</v>
      </c>
      <c r="AC55" s="10" t="n">
        <f aca="false">IF(AB55="","",NORMDIST(CEILING(F55,1)-0.5,Z55,AA55,TRUE()))</f>
        <v>0.616335341070684</v>
      </c>
      <c r="AD55" s="0" t="str">
        <f aca="false">IF(AB55="","",IF(AB55&gt;=0.5+Config!$B$6,"OVER",IF(AC55&gt;=0.5+Config!$B$6,"UNDER","—")))</f>
        <v>UNDER</v>
      </c>
      <c r="AE55" s="13" t="n">
        <f aca="false">IFERROR(Z55/G55,"")</f>
        <v>0.97347494081974</v>
      </c>
    </row>
    <row r="56" customFormat="false" ht="15" hidden="false" customHeight="false" outlineLevel="0" collapsed="false">
      <c r="A56" s="0" t="s">
        <v>988</v>
      </c>
      <c r="B56" s="0" t="s">
        <v>1008</v>
      </c>
      <c r="C56" s="0" t="s">
        <v>1185</v>
      </c>
      <c r="D56" s="0" t="s">
        <v>1013</v>
      </c>
      <c r="E56" s="0" t="s">
        <v>1107</v>
      </c>
      <c r="F56" s="0" t="n">
        <v>11.5</v>
      </c>
      <c r="G56" s="11" t="n">
        <f aca="false">IFERROR(INDEX(CHOOSE(MATCH($X56,{"K1","K2","K3","K12","K13","H1","H2","H3","H12","H13"},0),Calc!$V$2:$V$124,Calc!$AC$2:$AC$124,Calc!$AJ$2:$AJ$124,Calc!$AL$2:$AL$124,Calc!$AM$2:$AM$124,Calc!$W$2:$W$124,Calc!$AD$2:$AD$124,Calc!$AK$2:$AK$124,Calc!$AN$2:$AN$124,Calc!$AO$2:$AO$124),MATCH($W56,Calc!$A$2:$A$124,0)),"")</f>
        <v>9.8541139018595</v>
      </c>
      <c r="H56" s="11" t="n">
        <f aca="false">IF(G56="","",IF(LEFT($X56,1)="H",SQRT(G56*(IFERROR(INDEX(Calc!$AP$2:$AP$124,MATCH($W56,Calc!$A$2:$A$124,0)),0.5)*Config!$B$5+1-IFERROR(INDEX(Calc!$AP$2:$AP$124,MATCH($W56,Calc!$A$2:$A$124,0)),0.5))),SQRT(G56*Config!$B$5)))</f>
        <v>3.40547965788804</v>
      </c>
      <c r="I56" s="10" t="n">
        <f aca="false">IF(OR(F56="",G56="",N(H56)&lt;=0),"",1-NORMDIST(FLOOR(F56,1)+0.5,G56,H56,TRUE()))</f>
        <v>0.314439516798349</v>
      </c>
      <c r="J56" s="10" t="n">
        <f aca="false">IF(I56="","",NORMDIST(CEILING(F56,1)-0.5,G56,H56,TRUE()))</f>
        <v>0.685560483201651</v>
      </c>
      <c r="K56" s="10" t="n">
        <f aca="false">IF(I56="","",MAX(0,1-I56-J56))</f>
        <v>0</v>
      </c>
      <c r="L56" s="0" t="str">
        <f aca="false">IF(I56="","",IF(I56&gt;=0.5+Config!$B$6,"OVER",IF(J56&gt;=0.5+Config!$B$6,"UNDER","—")))</f>
        <v>UNDER</v>
      </c>
      <c r="N56" s="0" t="n">
        <v>11</v>
      </c>
      <c r="O56" s="10" t="n">
        <v>0.6</v>
      </c>
      <c r="P56" s="10" t="n">
        <v>0.5</v>
      </c>
      <c r="Q56" s="10" t="n">
        <v>0.53</v>
      </c>
      <c r="R56" s="9" t="s">
        <v>1114</v>
      </c>
      <c r="S56" s="0" t="n">
        <v>1</v>
      </c>
      <c r="T56" s="0" t="str">
        <f aca="false">INDEX(Calc!$G$2:$G$124,MATCH($W56,Calc!$A$2:$A$124,0))&amp;" / "&amp;INDEX(Calc!$H$2:$H$124,MATCH($W56,Calc!$A$2:$A$124,0))</f>
        <v>Ancient / Mirage</v>
      </c>
      <c r="U56" s="0" t="str">
        <f aca="false">TEXT(INDEX(Calc!$J$2:$J$124,MATCH($W56,Calc!$A$2:$A$124,0)),"0.0")&amp;" / "&amp;TEXT(INDEX(Calc!$K$2:$K$124,MATCH($W56,Calc!$A$2:$A$124,0)),"0.0")</f>
        <v>21.5 / 21.4</v>
      </c>
      <c r="V56" s="0" t="str">
        <f aca="false">IFERROR(INDEX(Calc!$AQ$2:$AQ$124,MATCH($W56,Calc!$A$2:$A$124,0)),"")</f>
        <v/>
      </c>
      <c r="W56" s="9" t="s">
        <v>1186</v>
      </c>
      <c r="X56" s="9" t="s">
        <v>1110</v>
      </c>
      <c r="Y56" s="0" t="str">
        <f aca="false">W56&amp;"|"&amp;X56</f>
        <v>75r40osa6cjt3o0|CS2 · BB vs NEMI|H12</v>
      </c>
      <c r="Z56" s="11" t="n">
        <f aca="false">IFERROR(INDEX(CHOOSE(MATCH($X56,{"K1","K2","K3","K12","K13","H1","H2","H3","H12","H13"},0),Calc!$BA$2:$BA$124,Calc!$BB$2:$BB$124,Calc!$BC$2:$BC$124,Calc!$BD$2:$BD$124,Calc!$BE$2:$BE$124,Calc!$BF$2:$BF$124,Calc!$BG$2:$BG$124,Calc!$BH$2:$BH$124,Calc!$BI$2:$BI$124,Calc!$BJ$2:$BJ$124),MATCH($W56,Calc!$A$2:$A$124,0)),"")</f>
        <v>9.97840042036786</v>
      </c>
      <c r="AA56" s="11" t="n">
        <f aca="false">IF(Z56="","",IF(LEFT($X56,1)="H",SQRT(Z56*(IFERROR(INDEX(Calc!$AP$2:$AP$124,MATCH($W56,Calc!$A$2:$A$124,0)),0.5)*Config!$B$5+1-IFERROR(INDEX(Calc!$AP$2:$AP$124,MATCH($W56,Calc!$A$2:$A$124,0)),0.5))),SQRT(Z56*Config!$B$5)))</f>
        <v>3.42688843053759</v>
      </c>
      <c r="AB56" s="10" t="n">
        <f aca="false">IF(OR(F56="",Z56="",N(AA56)&lt;=0),"",1-NORMDIST(FLOOR(F56,1)+0.5,Z56,AA56,TRUE()))</f>
        <v>0.328514844934234</v>
      </c>
      <c r="AC56" s="10" t="n">
        <f aca="false">IF(AB56="","",NORMDIST(CEILING(F56,1)-0.5,Z56,AA56,TRUE()))</f>
        <v>0.671485155065766</v>
      </c>
      <c r="AD56" s="0" t="str">
        <f aca="false">IF(AB56="","",IF(AB56&gt;=0.5+Config!$B$6,"OVER",IF(AC56&gt;=0.5+Config!$B$6,"UNDER","—")))</f>
        <v>UNDER</v>
      </c>
      <c r="AE56" s="13" t="n">
        <f aca="false">IFERROR(Z56/G56,"")</f>
        <v>1.01261265292305</v>
      </c>
    </row>
    <row r="57" customFormat="false" ht="15" hidden="false" customHeight="false" outlineLevel="0" collapsed="false">
      <c r="A57" s="0" t="s">
        <v>988</v>
      </c>
      <c r="B57" s="0" t="s">
        <v>1008</v>
      </c>
      <c r="C57" s="0" t="s">
        <v>1185</v>
      </c>
      <c r="D57" s="0" t="s">
        <v>1013</v>
      </c>
      <c r="E57" s="0" t="s">
        <v>1111</v>
      </c>
      <c r="F57" s="0" t="n">
        <v>25</v>
      </c>
      <c r="G57" s="11" t="n">
        <f aca="false">IFERROR(INDEX(CHOOSE(MATCH($X57,{"K1","K2","K3","K12","K13","H1","H2","H3","H12","H13"},0),Calc!$V$2:$V$124,Calc!$AC$2:$AC$124,Calc!$AJ$2:$AJ$124,Calc!$AL$2:$AL$124,Calc!$AM$2:$AM$124,Calc!$W$2:$W$124,Calc!$AD$2:$AD$124,Calc!$AK$2:$AK$124,Calc!$AN$2:$AN$124,Calc!$AO$2:$AO$124),MATCH($W57,Calc!$A$2:$A$124,0)),"")</f>
        <v>22.2819636363636</v>
      </c>
      <c r="H57" s="11" t="n">
        <f aca="false">IF(G57="","",IF(LEFT($X57,1)="H",SQRT(G57*(IFERROR(INDEX(Calc!$AP$2:$AP$124,MATCH($W57,Calc!$A$2:$A$124,0)),0.5)*Config!$B$5+1-IFERROR(INDEX(Calc!$AP$2:$AP$124,MATCH($W57,Calc!$A$2:$A$124,0)),0.5))),SQRT(G57*Config!$B$5)))</f>
        <v>5.58522596596674</v>
      </c>
      <c r="I57" s="10" t="n">
        <f aca="false">IF(OR(F57="",G57="",N(H57)&lt;=0),"",1-NORMDIST(FLOOR(F57,1)+0.5,G57,H57,TRUE()))</f>
        <v>0.282250338864191</v>
      </c>
      <c r="J57" s="10" t="n">
        <f aca="false">IF(I57="","",NORMDIST(CEILING(F57,1)-0.5,G57,H57,TRUE()))</f>
        <v>0.654362588554556</v>
      </c>
      <c r="K57" s="10" t="n">
        <f aca="false">IF(I57="","",MAX(0,1-I57-J57))</f>
        <v>0.0633870725812531</v>
      </c>
      <c r="L57" s="0" t="str">
        <f aca="false">IF(I57="","",IF(I57&gt;=0.5+Config!$B$6,"OVER",IF(J57&gt;=0.5+Config!$B$6,"UNDER","—")))</f>
        <v>UNDER</v>
      </c>
      <c r="M57" s="0" t="n">
        <v>25.18</v>
      </c>
      <c r="N57" s="0" t="n">
        <v>23.3</v>
      </c>
      <c r="O57" s="10" t="n">
        <v>0.6</v>
      </c>
      <c r="P57" s="10" t="n">
        <v>0.4</v>
      </c>
      <c r="Q57" s="10" t="n">
        <v>0.47</v>
      </c>
      <c r="R57" s="9" t="s">
        <v>1114</v>
      </c>
      <c r="S57" s="0" t="n">
        <v>1</v>
      </c>
      <c r="T57" s="0" t="str">
        <f aca="false">INDEX(Calc!$G$2:$G$124,MATCH($W57,Calc!$A$2:$A$124,0))&amp;" / "&amp;INDEX(Calc!$H$2:$H$124,MATCH($W57,Calc!$A$2:$A$124,0))</f>
        <v>Ancient / Mirage</v>
      </c>
      <c r="U57" s="0" t="str">
        <f aca="false">TEXT(INDEX(Calc!$J$2:$J$124,MATCH($W57,Calc!$A$2:$A$124,0)),"0.0")&amp;" / "&amp;TEXT(INDEX(Calc!$K$2:$K$124,MATCH($W57,Calc!$A$2:$A$124,0)),"0.0")</f>
        <v>21.5 / 21.4</v>
      </c>
      <c r="V57" s="0" t="str">
        <f aca="false">IFERROR(INDEX(Calc!$AQ$2:$AQ$124,MATCH($W57,Calc!$A$2:$A$124,0)),"")</f>
        <v/>
      </c>
      <c r="W57" s="9" t="s">
        <v>1186</v>
      </c>
      <c r="X57" s="9" t="s">
        <v>1112</v>
      </c>
      <c r="Y57" s="0" t="str">
        <f aca="false">W57&amp;"|"&amp;X57</f>
        <v>75r40osa6cjt3o0|CS2 · BB vs NEMI|K12</v>
      </c>
      <c r="Z57" s="11" t="n">
        <f aca="false">IFERROR(INDEX(CHOOSE(MATCH($X57,{"K1","K2","K3","K12","K13","H1","H2","H3","H12","H13"},0),Calc!$BA$2:$BA$124,Calc!$BB$2:$BB$124,Calc!$BC$2:$BC$124,Calc!$BD$2:$BD$124,Calc!$BE$2:$BE$124,Calc!$BF$2:$BF$124,Calc!$BG$2:$BG$124,Calc!$BH$2:$BH$124,Calc!$BI$2:$BI$124,Calc!$BJ$2:$BJ$124),MATCH($W57,Calc!$A$2:$A$124,0)),"")</f>
        <v>22.5632114890839</v>
      </c>
      <c r="AA57" s="11" t="n">
        <f aca="false">IF(Z57="","",IF(LEFT($X57,1)="H",SQRT(Z57*(IFERROR(INDEX(Calc!$AP$2:$AP$124,MATCH($W57,Calc!$A$2:$A$124,0)),0.5)*Config!$B$5+1-IFERROR(INDEX(Calc!$AP$2:$AP$124,MATCH($W57,Calc!$A$2:$A$124,0)),0.5))),SQRT(Z57*Config!$B$5)))</f>
        <v>5.62036440853415</v>
      </c>
      <c r="AB57" s="10" t="n">
        <f aca="false">IF(OR(F57="",Z57="",N(AA57)&lt;=0),"",1-NORMDIST(FLOOR(F57,1)+0.5,Z57,AA57,TRUE()))</f>
        <v>0.300651951798494</v>
      </c>
      <c r="AC57" s="10" t="n">
        <f aca="false">IF(AB57="","",NORMDIST(CEILING(F57,1)-0.5,Z57,AA57,TRUE()))</f>
        <v>0.634803178593879</v>
      </c>
      <c r="AD57" s="0" t="str">
        <f aca="false">IF(AB57="","",IF(AB57&gt;=0.5+Config!$B$6,"OVER",IF(AC57&gt;=0.5+Config!$B$6,"UNDER","—")))</f>
        <v>UNDER</v>
      </c>
      <c r="AE57" s="13" t="n">
        <f aca="false">IFERROR(Z57/G57,"")</f>
        <v>1.01262222025447</v>
      </c>
    </row>
    <row r="58" customFormat="false" ht="15" hidden="false" customHeight="false" outlineLevel="0" collapsed="false">
      <c r="A58" s="0" t="s">
        <v>988</v>
      </c>
      <c r="B58" s="0" t="s">
        <v>1008</v>
      </c>
      <c r="C58" s="0" t="s">
        <v>1187</v>
      </c>
      <c r="D58" s="0" t="s">
        <v>1013</v>
      </c>
      <c r="E58" s="0" t="s">
        <v>1107</v>
      </c>
      <c r="F58" s="0" t="n">
        <v>17.5</v>
      </c>
      <c r="G58" s="11" t="n">
        <f aca="false">IFERROR(INDEX(CHOOSE(MATCH($X58,{"K1","K2","K3","K12","K13","H1","H2","H3","H12","H13"},0),Calc!$V$2:$V$124,Calc!$AC$2:$AC$124,Calc!$AJ$2:$AJ$124,Calc!$AL$2:$AL$124,Calc!$AM$2:$AM$124,Calc!$W$2:$W$124,Calc!$AD$2:$AD$124,Calc!$AK$2:$AK$124,Calc!$AN$2:$AN$124,Calc!$AO$2:$AO$124),MATCH($W58,Calc!$A$2:$A$124,0)),"")</f>
        <v>16.1317016398502</v>
      </c>
      <c r="H58" s="11" t="n">
        <f aca="false">IF(G58="","",IF(LEFT($X58,1)="H",SQRT(G58*(IFERROR(INDEX(Calc!$AP$2:$AP$124,MATCH($W58,Calc!$A$2:$A$124,0)),0.5)*Config!$B$5+1-IFERROR(INDEX(Calc!$AP$2:$AP$124,MATCH($W58,Calc!$A$2:$A$124,0)),0.5))),SQRT(G58*Config!$B$5)))</f>
        <v>4.44113401730063</v>
      </c>
      <c r="I58" s="10" t="n">
        <f aca="false">IF(OR(F58="",G58="",N(H58)&lt;=0),"",1-NORMDIST(FLOOR(F58,1)+0.5,G58,H58,TRUE()))</f>
        <v>0.379004408209743</v>
      </c>
      <c r="J58" s="10" t="n">
        <f aca="false">IF(I58="","",NORMDIST(CEILING(F58,1)-0.5,G58,H58,TRUE()))</f>
        <v>0.620995591790257</v>
      </c>
      <c r="K58" s="10" t="n">
        <f aca="false">IF(I58="","",MAX(0,1-I58-J58))</f>
        <v>0</v>
      </c>
      <c r="L58" s="0" t="str">
        <f aca="false">IF(I58="","",IF(I58&gt;=0.5+Config!$B$6,"OVER",IF(J58&gt;=0.5+Config!$B$6,"UNDER","—")))</f>
        <v>UNDER</v>
      </c>
      <c r="N58" s="0" t="n">
        <v>17.7</v>
      </c>
      <c r="O58" s="10" t="n">
        <v>0.8</v>
      </c>
      <c r="P58" s="10" t="n">
        <v>0.6</v>
      </c>
      <c r="Q58" s="10" t="n">
        <v>0.6</v>
      </c>
      <c r="R58" s="9" t="s">
        <v>1188</v>
      </c>
      <c r="S58" s="0" t="n">
        <v>-1</v>
      </c>
      <c r="T58" s="0" t="str">
        <f aca="false">INDEX(Calc!$G$2:$G$124,MATCH($W58,Calc!$A$2:$A$124,0))&amp;" / "&amp;INDEX(Calc!$H$2:$H$124,MATCH($W58,Calc!$A$2:$A$124,0))</f>
        <v>Ancient / Mirage</v>
      </c>
      <c r="U58" s="0" t="str">
        <f aca="false">TEXT(INDEX(Calc!$J$2:$J$124,MATCH($W58,Calc!$A$2:$A$124,0)),"0.0")&amp;" / "&amp;TEXT(INDEX(Calc!$K$2:$K$124,MATCH($W58,Calc!$A$2:$A$124,0)),"0.0")</f>
        <v>21.5 / 21.4</v>
      </c>
      <c r="V58" s="0" t="str">
        <f aca="false">IFERROR(INDEX(Calc!$AQ$2:$AQ$124,MATCH($W58,Calc!$A$2:$A$124,0)),"")</f>
        <v/>
      </c>
      <c r="W58" s="9" t="s">
        <v>1189</v>
      </c>
      <c r="X58" s="9" t="s">
        <v>1110</v>
      </c>
      <c r="Y58" s="0" t="str">
        <f aca="false">W58&amp;"|"&amp;X58</f>
        <v>kgpnwz42wxtq29r|CS2 · BB vs NEMI|H12</v>
      </c>
      <c r="Z58" s="11" t="n">
        <f aca="false">IFERROR(INDEX(CHOOSE(MATCH($X58,{"K1","K2","K3","K12","K13","H1","H2","H3","H12","H13"},0),Calc!$BA$2:$BA$124,Calc!$BB$2:$BB$124,Calc!$BC$2:$BC$124,Calc!$BD$2:$BD$124,Calc!$BE$2:$BE$124,Calc!$BF$2:$BF$124,Calc!$BG$2:$BG$124,Calc!$BH$2:$BH$124,Calc!$BI$2:$BI$124,Calc!$BJ$2:$BJ$124),MATCH($W58,Calc!$A$2:$A$124,0)),"")</f>
        <v>16.3347667211718</v>
      </c>
      <c r="AA58" s="11" t="n">
        <f aca="false">IF(Z58="","",IF(LEFT($X58,1)="H",SQRT(Z58*(IFERROR(INDEX(Calc!$AP$2:$AP$124,MATCH($W58,Calc!$A$2:$A$124,0)),0.5)*Config!$B$5+1-IFERROR(INDEX(Calc!$AP$2:$AP$124,MATCH($W58,Calc!$A$2:$A$124,0)),0.5))),SQRT(Z58*Config!$B$5)))</f>
        <v>4.4689989910874</v>
      </c>
      <c r="AB58" s="10" t="n">
        <f aca="false">IF(OR(F58="",Z58="",N(AA58)&lt;=0),"",1-NORMDIST(FLOOR(F58,1)+0.5,Z58,AA58,TRUE()))</f>
        <v>0.397147675000246</v>
      </c>
      <c r="AC58" s="10" t="n">
        <f aca="false">IF(AB58="","",NORMDIST(CEILING(F58,1)-0.5,Z58,AA58,TRUE()))</f>
        <v>0.602852324999754</v>
      </c>
      <c r="AD58" s="0" t="str">
        <f aca="false">IF(AB58="","",IF(AB58&gt;=0.5+Config!$B$6,"OVER",IF(AC58&gt;=0.5+Config!$B$6,"UNDER","—")))</f>
        <v>UNDER</v>
      </c>
      <c r="AE58" s="13" t="n">
        <f aca="false">IFERROR(Z58/G58,"")</f>
        <v>1.0125879517149</v>
      </c>
    </row>
    <row r="59" customFormat="false" ht="15" hidden="false" customHeight="false" outlineLevel="0" collapsed="false">
      <c r="A59" s="0" t="s">
        <v>988</v>
      </c>
      <c r="B59" s="0" t="s">
        <v>1008</v>
      </c>
      <c r="C59" s="0" t="s">
        <v>1187</v>
      </c>
      <c r="D59" s="0" t="s">
        <v>1013</v>
      </c>
      <c r="E59" s="0" t="s">
        <v>1111</v>
      </c>
      <c r="F59" s="0" t="n">
        <v>30.5</v>
      </c>
      <c r="G59" s="11" t="n">
        <f aca="false">IFERROR(INDEX(CHOOSE(MATCH($X59,{"K1","K2","K3","K12","K13","H1","H2","H3","H12","H13"},0),Calc!$V$2:$V$124,Calc!$AC$2:$AC$124,Calc!$AJ$2:$AJ$124,Calc!$AL$2:$AL$124,Calc!$AM$2:$AM$124,Calc!$W$2:$W$124,Calc!$AD$2:$AD$124,Calc!$AK$2:$AK$124,Calc!$AN$2:$AN$124,Calc!$AO$2:$AO$124),MATCH($W59,Calc!$A$2:$A$124,0)),"")</f>
        <v>28.9792863636364</v>
      </c>
      <c r="H59" s="11" t="n">
        <f aca="false">IF(G59="","",IF(LEFT($X59,1)="H",SQRT(G59*(IFERROR(INDEX(Calc!$AP$2:$AP$124,MATCH($W59,Calc!$A$2:$A$124,0)),0.5)*Config!$B$5+1-IFERROR(INDEX(Calc!$AP$2:$AP$124,MATCH($W59,Calc!$A$2:$A$124,0)),0.5))),SQRT(G59*Config!$B$5)))</f>
        <v>6.3695369462066</v>
      </c>
      <c r="I59" s="10" t="n">
        <f aca="false">IF(OR(F59="",G59="",N(H59)&lt;=0),"",1-NORMDIST(FLOOR(F59,1)+0.5,G59,H59,TRUE()))</f>
        <v>0.405650531821879</v>
      </c>
      <c r="J59" s="10" t="n">
        <f aca="false">IF(I59="","",NORMDIST(CEILING(F59,1)-0.5,G59,H59,TRUE()))</f>
        <v>0.594349468178121</v>
      </c>
      <c r="K59" s="10" t="n">
        <f aca="false">IF(I59="","",MAX(0,1-I59-J59))</f>
        <v>0</v>
      </c>
      <c r="L59" s="0" t="str">
        <f aca="false">IF(I59="","",IF(I59&gt;=0.5+Config!$B$6,"OVER",IF(J59&gt;=0.5+Config!$B$6,"UNDER","—")))</f>
        <v>UNDER</v>
      </c>
      <c r="M59" s="0" t="n">
        <v>29.18</v>
      </c>
      <c r="N59" s="0" t="n">
        <v>30.9</v>
      </c>
      <c r="O59" s="10" t="n">
        <v>0.6</v>
      </c>
      <c r="P59" s="10" t="n">
        <v>0.6</v>
      </c>
      <c r="Q59" s="10" t="n">
        <v>0.6</v>
      </c>
      <c r="R59" s="9" t="s">
        <v>1188</v>
      </c>
      <c r="S59" s="0" t="n">
        <v>-1</v>
      </c>
      <c r="T59" s="0" t="str">
        <f aca="false">INDEX(Calc!$G$2:$G$124,MATCH($W59,Calc!$A$2:$A$124,0))&amp;" / "&amp;INDEX(Calc!$H$2:$H$124,MATCH($W59,Calc!$A$2:$A$124,0))</f>
        <v>Ancient / Mirage</v>
      </c>
      <c r="U59" s="0" t="str">
        <f aca="false">TEXT(INDEX(Calc!$J$2:$J$124,MATCH($W59,Calc!$A$2:$A$124,0)),"0.0")&amp;" / "&amp;TEXT(INDEX(Calc!$K$2:$K$124,MATCH($W59,Calc!$A$2:$A$124,0)),"0.0")</f>
        <v>21.5 / 21.4</v>
      </c>
      <c r="V59" s="0" t="str">
        <f aca="false">IFERROR(INDEX(Calc!$AQ$2:$AQ$124,MATCH($W59,Calc!$A$2:$A$124,0)),"")</f>
        <v/>
      </c>
      <c r="W59" s="9" t="s">
        <v>1189</v>
      </c>
      <c r="X59" s="9" t="s">
        <v>1112</v>
      </c>
      <c r="Y59" s="0" t="str">
        <f aca="false">W59&amp;"|"&amp;X59</f>
        <v>kgpnwz42wxtq29r|CS2 · BB vs NEMI|K12</v>
      </c>
      <c r="Z59" s="11" t="n">
        <f aca="false">IFERROR(INDEX(CHOOSE(MATCH($X59,{"K1","K2","K3","K12","K13","H1","H2","H3","H12","H13"},0),Calc!$BA$2:$BA$124,Calc!$BB$2:$BB$124,Calc!$BC$2:$BC$124,Calc!$BD$2:$BD$124,Calc!$BE$2:$BE$124,Calc!$BF$2:$BF$124,Calc!$BG$2:$BG$124,Calc!$BH$2:$BH$124,Calc!$BI$2:$BI$124,Calc!$BJ$2:$BJ$124),MATCH($W59,Calc!$A$2:$A$124,0)),"")</f>
        <v>29.3440556739699</v>
      </c>
      <c r="AA59" s="11" t="n">
        <f aca="false">IF(Z59="","",IF(LEFT($X59,1)="H",SQRT(Z59*(IFERROR(INDEX(Calc!$AP$2:$AP$124,MATCH($W59,Calc!$A$2:$A$124,0)),0.5)*Config!$B$5+1-IFERROR(INDEX(Calc!$AP$2:$AP$124,MATCH($W59,Calc!$A$2:$A$124,0)),0.5))),SQRT(Z59*Config!$B$5)))</f>
        <v>6.40949903998416</v>
      </c>
      <c r="AB59" s="10" t="n">
        <f aca="false">IF(OR(F59="",Z59="",N(AA59)&lt;=0),"",1-NORMDIST(FLOOR(F59,1)+0.5,Z59,AA59,TRUE()))</f>
        <v>0.428439442889207</v>
      </c>
      <c r="AC59" s="10" t="n">
        <f aca="false">IF(AB59="","",NORMDIST(CEILING(F59,1)-0.5,Z59,AA59,TRUE()))</f>
        <v>0.571560557110793</v>
      </c>
      <c r="AD59" s="0" t="str">
        <f aca="false">IF(AB59="","",IF(AB59&gt;=0.5+Config!$B$6,"OVER",IF(AC59&gt;=0.5+Config!$B$6,"UNDER","—")))</f>
        <v>UNDER</v>
      </c>
      <c r="AE59" s="13" t="n">
        <f aca="false">IFERROR(Z59/G59,"")</f>
        <v>1.01258724268625</v>
      </c>
    </row>
    <row r="60" customFormat="false" ht="15" hidden="false" customHeight="false" outlineLevel="0" collapsed="false">
      <c r="A60" s="0" t="s">
        <v>988</v>
      </c>
      <c r="B60" s="0" t="s">
        <v>1008</v>
      </c>
      <c r="C60" s="0" t="s">
        <v>1190</v>
      </c>
      <c r="D60" s="0" t="s">
        <v>1013</v>
      </c>
      <c r="E60" s="0" t="s">
        <v>1107</v>
      </c>
      <c r="F60" s="0" t="n">
        <v>16.5</v>
      </c>
      <c r="G60" s="11" t="n">
        <f aca="false">IFERROR(INDEX(CHOOSE(MATCH($X60,{"K1","K2","K3","K12","K13","H1","H2","H3","H12","H13"},0),Calc!$V$2:$V$124,Calc!$AC$2:$AC$124,Calc!$AJ$2:$AJ$124,Calc!$AL$2:$AL$124,Calc!$AM$2:$AM$124,Calc!$W$2:$W$124,Calc!$AD$2:$AD$124,Calc!$AK$2:$AK$124,Calc!$AN$2:$AN$124,Calc!$AO$2:$AO$124),MATCH($W60,Calc!$A$2:$A$124,0)),"")</f>
        <v>17.4360952608471</v>
      </c>
      <c r="H60" s="11" t="n">
        <f aca="false">IF(G60="","",IF(LEFT($X60,1)="H",SQRT(G60*(IFERROR(INDEX(Calc!$AP$2:$AP$124,MATCH($W60,Calc!$A$2:$A$124,0)),0.5)*Config!$B$5+1-IFERROR(INDEX(Calc!$AP$2:$AP$124,MATCH($W60,Calc!$A$2:$A$124,0)),0.5))),SQRT(G60*Config!$B$5)))</f>
        <v>4.60595645037218</v>
      </c>
      <c r="I60" s="10" t="n">
        <f aca="false">IF(OR(F60="",G60="",N(H60)&lt;=0),"",1-NORMDIST(FLOOR(F60,1)+0.5,G60,H60,TRUE()))</f>
        <v>0.580524635265213</v>
      </c>
      <c r="J60" s="10" t="n">
        <f aca="false">IF(I60="","",NORMDIST(CEILING(F60,1)-0.5,G60,H60,TRUE()))</f>
        <v>0.419475364734787</v>
      </c>
      <c r="K60" s="10" t="n">
        <f aca="false">IF(I60="","",MAX(0,1-I60-J60))</f>
        <v>0</v>
      </c>
      <c r="L60" s="0" t="str">
        <f aca="false">IF(I60="","",IF(I60&gt;=0.5+Config!$B$6,"OVER",IF(J60&gt;=0.5+Config!$B$6,"UNDER","—")))</f>
        <v>OVER</v>
      </c>
      <c r="N60" s="0" t="n">
        <v>15.8</v>
      </c>
      <c r="O60" s="10" t="n">
        <v>0.6</v>
      </c>
      <c r="P60" s="10" t="n">
        <v>0.5</v>
      </c>
      <c r="Q60" s="10" t="n">
        <v>0.53</v>
      </c>
      <c r="R60" s="9" t="s">
        <v>1191</v>
      </c>
      <c r="S60" s="0" t="n">
        <v>-1</v>
      </c>
      <c r="T60" s="0" t="str">
        <f aca="false">INDEX(Calc!$G$2:$G$124,MATCH($W60,Calc!$A$2:$A$124,0))&amp;" / "&amp;INDEX(Calc!$H$2:$H$124,MATCH($W60,Calc!$A$2:$A$124,0))</f>
        <v>Ancient / Mirage</v>
      </c>
      <c r="U60" s="0" t="str">
        <f aca="false">TEXT(INDEX(Calc!$J$2:$J$124,MATCH($W60,Calc!$A$2:$A$124,0)),"0.0")&amp;" / "&amp;TEXT(INDEX(Calc!$K$2:$K$124,MATCH($W60,Calc!$A$2:$A$124,0)),"0.0")</f>
        <v>21.5 / 21.4</v>
      </c>
      <c r="V60" s="0" t="str">
        <f aca="false">IFERROR(INDEX(Calc!$AQ$2:$AQ$124,MATCH($W60,Calc!$A$2:$A$124,0)),"")</f>
        <v/>
      </c>
      <c r="W60" s="9" t="s">
        <v>1192</v>
      </c>
      <c r="X60" s="9" t="s">
        <v>1110</v>
      </c>
      <c r="Y60" s="0" t="str">
        <f aca="false">W60&amp;"|"&amp;X60</f>
        <v>w2jejpg0j9hthoo|CS2 · BB vs NEMI|H12</v>
      </c>
      <c r="Z60" s="11" t="n">
        <f aca="false">IFERROR(INDEX(CHOOSE(MATCH($X60,{"K1","K2","K3","K12","K13","H1","H2","H3","H12","H13"},0),Calc!$BA$2:$BA$124,Calc!$BB$2:$BB$124,Calc!$BC$2:$BC$124,Calc!$BD$2:$BD$124,Calc!$BE$2:$BE$124,Calc!$BF$2:$BF$124,Calc!$BG$2:$BG$124,Calc!$BH$2:$BH$124,Calc!$BI$2:$BI$124,Calc!$BJ$2:$BJ$124),MATCH($W60,Calc!$A$2:$A$124,0)),"")</f>
        <v>17.6564789211137</v>
      </c>
      <c r="AA60" s="11" t="n">
        <f aca="false">IF(Z60="","",IF(LEFT($X60,1)="H",SQRT(Z60*(IFERROR(INDEX(Calc!$AP$2:$AP$124,MATCH($W60,Calc!$A$2:$A$124,0)),0.5)*Config!$B$5+1-IFERROR(INDEX(Calc!$AP$2:$AP$124,MATCH($W60,Calc!$A$2:$A$124,0)),0.5))),SQRT(Z60*Config!$B$5)))</f>
        <v>4.63497355879961</v>
      </c>
      <c r="AB60" s="10" t="n">
        <f aca="false">IF(OR(F60="",Z60="",N(AA60)&lt;=0),"",1-NORMDIST(FLOOR(F60,1)+0.5,Z60,AA60,TRUE()))</f>
        <v>0.598517403085437</v>
      </c>
      <c r="AC60" s="10" t="n">
        <f aca="false">IF(AB60="","",NORMDIST(CEILING(F60,1)-0.5,Z60,AA60,TRUE()))</f>
        <v>0.401482596914563</v>
      </c>
      <c r="AD60" s="0" t="str">
        <f aca="false">IF(AB60="","",IF(AB60&gt;=0.5+Config!$B$6,"OVER",IF(AC60&gt;=0.5+Config!$B$6,"UNDER","—")))</f>
        <v>OVER</v>
      </c>
      <c r="AE60" s="13" t="n">
        <f aca="false">IFERROR(Z60/G60,"")</f>
        <v>1.01263950769766</v>
      </c>
    </row>
    <row r="61" customFormat="false" ht="15" hidden="false" customHeight="false" outlineLevel="0" collapsed="false">
      <c r="A61" s="0" t="s">
        <v>988</v>
      </c>
      <c r="B61" s="0" t="s">
        <v>1008</v>
      </c>
      <c r="C61" s="0" t="s">
        <v>1190</v>
      </c>
      <c r="D61" s="0" t="s">
        <v>1013</v>
      </c>
      <c r="E61" s="0" t="s">
        <v>1111</v>
      </c>
      <c r="F61" s="0" t="n">
        <v>32.5</v>
      </c>
      <c r="G61" s="11" t="n">
        <f aca="false">IFERROR(INDEX(CHOOSE(MATCH($X61,{"K1","K2","K3","K12","K13","H1","H2","H3","H12","H13"},0),Calc!$V$2:$V$124,Calc!$AC$2:$AC$124,Calc!$AJ$2:$AJ$124,Calc!$AL$2:$AL$124,Calc!$AM$2:$AM$124,Calc!$W$2:$W$124,Calc!$AD$2:$AD$124,Calc!$AK$2:$AK$124,Calc!$AN$2:$AN$124,Calc!$AO$2:$AO$124),MATCH($W61,Calc!$A$2:$A$124,0)),"")</f>
        <v>32.1818863636364</v>
      </c>
      <c r="H61" s="11" t="n">
        <f aca="false">IF(G61="","",IF(LEFT($X61,1)="H",SQRT(G61*(IFERROR(INDEX(Calc!$AP$2:$AP$124,MATCH($W61,Calc!$A$2:$A$124,0)),0.5)*Config!$B$5+1-IFERROR(INDEX(Calc!$AP$2:$AP$124,MATCH($W61,Calc!$A$2:$A$124,0)),0.5))),SQRT(G61*Config!$B$5)))</f>
        <v>6.71227538984292</v>
      </c>
      <c r="I61" s="10" t="n">
        <f aca="false">IF(OR(F61="",G61="",N(H61)&lt;=0),"",1-NORMDIST(FLOOR(F61,1)+0.5,G61,H61,TRUE()))</f>
        <v>0.481100077065113</v>
      </c>
      <c r="J61" s="10" t="n">
        <f aca="false">IF(I61="","",NORMDIST(CEILING(F61,1)-0.5,G61,H61,TRUE()))</f>
        <v>0.518899922934887</v>
      </c>
      <c r="K61" s="10" t="n">
        <f aca="false">IF(I61="","",MAX(0,1-I61-J61))</f>
        <v>0</v>
      </c>
      <c r="L61" s="0" t="str">
        <f aca="false">IF(I61="","",IF(I61&gt;=0.5+Config!$B$6,"OVER",IF(J61&gt;=0.5+Config!$B$6,"UNDER","—")))</f>
        <v>—</v>
      </c>
      <c r="M61" s="0" t="n">
        <v>33</v>
      </c>
      <c r="N61" s="0" t="n">
        <v>30.9</v>
      </c>
      <c r="O61" s="10" t="n">
        <v>0.4</v>
      </c>
      <c r="P61" s="10" t="n">
        <v>0.4</v>
      </c>
      <c r="Q61" s="10" t="n">
        <v>0.47</v>
      </c>
      <c r="R61" s="9" t="s">
        <v>1191</v>
      </c>
      <c r="S61" s="0" t="n">
        <v>-2</v>
      </c>
      <c r="T61" s="0" t="str">
        <f aca="false">INDEX(Calc!$G$2:$G$124,MATCH($W61,Calc!$A$2:$A$124,0))&amp;" / "&amp;INDEX(Calc!$H$2:$H$124,MATCH($W61,Calc!$A$2:$A$124,0))</f>
        <v>Ancient / Mirage</v>
      </c>
      <c r="U61" s="0" t="str">
        <f aca="false">TEXT(INDEX(Calc!$J$2:$J$124,MATCH($W61,Calc!$A$2:$A$124,0)),"0.0")&amp;" / "&amp;TEXT(INDEX(Calc!$K$2:$K$124,MATCH($W61,Calc!$A$2:$A$124,0)),"0.0")</f>
        <v>21.5 / 21.4</v>
      </c>
      <c r="V61" s="0" t="str">
        <f aca="false">IFERROR(INDEX(Calc!$AQ$2:$AQ$124,MATCH($W61,Calc!$A$2:$A$124,0)),"")</f>
        <v/>
      </c>
      <c r="W61" s="9" t="s">
        <v>1192</v>
      </c>
      <c r="X61" s="9" t="s">
        <v>1112</v>
      </c>
      <c r="Y61" s="0" t="str">
        <f aca="false">W61&amp;"|"&amp;X61</f>
        <v>w2jejpg0j9hthoo|CS2 · BB vs NEMI|K12</v>
      </c>
      <c r="Z61" s="11" t="n">
        <f aca="false">IFERROR(INDEX(CHOOSE(MATCH($X61,{"K1","K2","K3","K12","K13","H1","H2","H3","H12","H13"},0),Calc!$BA$2:$BA$124,Calc!$BB$2:$BB$124,Calc!$BC$2:$BC$124,Calc!$BD$2:$BD$124,Calc!$BE$2:$BE$124,Calc!$BF$2:$BF$124,Calc!$BG$2:$BG$124,Calc!$BH$2:$BH$124,Calc!$BI$2:$BI$124,Calc!$BJ$2:$BJ$124),MATCH($W61,Calc!$A$2:$A$124,0)),"")</f>
        <v>32.5899316771967</v>
      </c>
      <c r="AA61" s="11" t="n">
        <f aca="false">IF(Z61="","",IF(LEFT($X61,1)="H",SQRT(Z61*(IFERROR(INDEX(Calc!$AP$2:$AP$124,MATCH($W61,Calc!$A$2:$A$124,0)),0.5)*Config!$B$5+1-IFERROR(INDEX(Calc!$AP$2:$AP$124,MATCH($W61,Calc!$A$2:$A$124,0)),0.5))),SQRT(Z61*Config!$B$5)))</f>
        <v>6.75469498556932</v>
      </c>
      <c r="AB61" s="10" t="n">
        <f aca="false">IF(OR(F61="",Z61="",N(AA61)&lt;=0),"",1-NORMDIST(FLOOR(F61,1)+0.5,Z61,AA61,TRUE()))</f>
        <v>0.505311341005911</v>
      </c>
      <c r="AC61" s="10" t="n">
        <f aca="false">IF(AB61="","",NORMDIST(CEILING(F61,1)-0.5,Z61,AA61,TRUE()))</f>
        <v>0.49468865899409</v>
      </c>
      <c r="AD61" s="0" t="str">
        <f aca="false">IF(AB61="","",IF(AB61&gt;=0.5+Config!$B$6,"OVER",IF(AC61&gt;=0.5+Config!$B$6,"UNDER","—")))</f>
        <v>—</v>
      </c>
      <c r="AE61" s="13" t="n">
        <f aca="false">IFERROR(Z61/G61,"")</f>
        <v>1.01267934728715</v>
      </c>
    </row>
    <row r="62" customFormat="false" ht="15" hidden="false" customHeight="false" outlineLevel="0" collapsed="false">
      <c r="A62" s="0" t="s">
        <v>988</v>
      </c>
      <c r="B62" s="0" t="s">
        <v>1008</v>
      </c>
      <c r="C62" s="0" t="s">
        <v>1193</v>
      </c>
      <c r="D62" s="0" t="s">
        <v>1013</v>
      </c>
      <c r="E62" s="0" t="s">
        <v>1107</v>
      </c>
      <c r="F62" s="0" t="n">
        <v>17</v>
      </c>
      <c r="G62" s="11" t="n">
        <f aca="false">IFERROR(INDEX(CHOOSE(MATCH($X62,{"K1","K2","K3","K12","K13","H1","H2","H3","H12","H13"},0),Calc!$V$2:$V$124,Calc!$AC$2:$AC$124,Calc!$AJ$2:$AJ$124,Calc!$AL$2:$AL$124,Calc!$AM$2:$AM$124,Calc!$W$2:$W$124,Calc!$AD$2:$AD$124,Calc!$AK$2:$AK$124,Calc!$AN$2:$AN$124,Calc!$AO$2:$AO$124),MATCH($W62,Calc!$A$2:$A$124,0)),"")</f>
        <v>16.3686722901084</v>
      </c>
      <c r="H62" s="11" t="n">
        <f aca="false">IF(G62="","",IF(LEFT($X62,1)="H",SQRT(G62*(IFERROR(INDEX(Calc!$AP$2:$AP$124,MATCH($W62,Calc!$A$2:$A$124,0)),0.5)*Config!$B$5+1-IFERROR(INDEX(Calc!$AP$2:$AP$124,MATCH($W62,Calc!$A$2:$A$124,0)),0.5))),SQRT(G62*Config!$B$5)))</f>
        <v>4.47906713711444</v>
      </c>
      <c r="I62" s="10" t="n">
        <f aca="false">IF(OR(F62="",G62="",N(H62)&lt;=0),"",1-NORMDIST(FLOOR(F62,1)+0.5,G62,H62,TRUE()))</f>
        <v>0.400295967812715</v>
      </c>
      <c r="J62" s="10" t="n">
        <f aca="false">IF(I62="","",NORMDIST(CEILING(F62,1)-0.5,G62,H62,TRUE()))</f>
        <v>0.511695442078448</v>
      </c>
      <c r="K62" s="10" t="n">
        <f aca="false">IF(I62="","",MAX(0,1-I62-J62))</f>
        <v>0.0880085901088373</v>
      </c>
      <c r="L62" s="0" t="str">
        <f aca="false">IF(I62="","",IF(I62&gt;=0.5+Config!$B$6,"OVER",IF(J62&gt;=0.5+Config!$B$6,"UNDER","—")))</f>
        <v>—</v>
      </c>
      <c r="N62" s="0" t="n">
        <v>17.2</v>
      </c>
      <c r="O62" s="10" t="n">
        <v>0.8</v>
      </c>
      <c r="P62" s="10" t="n">
        <v>0.5</v>
      </c>
      <c r="Q62" s="10" t="n">
        <v>0.53</v>
      </c>
      <c r="R62" s="9" t="s">
        <v>1194</v>
      </c>
      <c r="S62" s="0" t="n">
        <v>-1</v>
      </c>
      <c r="T62" s="0" t="str">
        <f aca="false">INDEX(Calc!$G$2:$G$124,MATCH($W62,Calc!$A$2:$A$124,0))&amp;" / "&amp;INDEX(Calc!$H$2:$H$124,MATCH($W62,Calc!$A$2:$A$124,0))</f>
        <v>Ancient / Mirage</v>
      </c>
      <c r="U62" s="0" t="str">
        <f aca="false">TEXT(INDEX(Calc!$J$2:$J$124,MATCH($W62,Calc!$A$2:$A$124,0)),"0.0")&amp;" / "&amp;TEXT(INDEX(Calc!$K$2:$K$124,MATCH($W62,Calc!$A$2:$A$124,0)),"0.0")</f>
        <v>21.5 / 21.4</v>
      </c>
      <c r="V62" s="0" t="str">
        <f aca="false">IFERROR(INDEX(Calc!$AQ$2:$AQ$124,MATCH($W62,Calc!$A$2:$A$124,0)),"")</f>
        <v/>
      </c>
      <c r="W62" s="9" t="s">
        <v>1195</v>
      </c>
      <c r="X62" s="9" t="s">
        <v>1110</v>
      </c>
      <c r="Y62" s="0" t="str">
        <f aca="false">W62&amp;"|"&amp;X62</f>
        <v>bn3mlvy0cst11z3|CS2 · BB vs NEMI|H12</v>
      </c>
      <c r="Z62" s="11" t="n">
        <f aca="false">IFERROR(INDEX(CHOOSE(MATCH($X62,{"K1","K2","K3","K12","K13","H1","H2","H3","H12","H13"},0),Calc!$BA$2:$BA$124,Calc!$BB$2:$BB$124,Calc!$BC$2:$BC$124,Calc!$BD$2:$BD$124,Calc!$BE$2:$BE$124,Calc!$BF$2:$BF$124,Calc!$BG$2:$BG$124,Calc!$BH$2:$BH$124,Calc!$BI$2:$BI$124,Calc!$BJ$2:$BJ$124),MATCH($W62,Calc!$A$2:$A$124,0)),"")</f>
        <v>16.5748940992449</v>
      </c>
      <c r="AA62" s="11" t="n">
        <f aca="false">IF(Z62="","",IF(LEFT($X62,1)="H",SQRT(Z62*(IFERROR(INDEX(Calc!$AP$2:$AP$124,MATCH($W62,Calc!$A$2:$A$124,0)),0.5)*Config!$B$5+1-IFERROR(INDEX(Calc!$AP$2:$AP$124,MATCH($W62,Calc!$A$2:$A$124,0)),0.5))),SQRT(Z62*Config!$B$5)))</f>
        <v>4.50719373864891</v>
      </c>
      <c r="AB62" s="10" t="n">
        <f aca="false">IF(OR(F62="",Z62="",N(AA62)&lt;=0),"",1-NORMDIST(FLOOR(F62,1)+0.5,Z62,AA62,TRUE()))</f>
        <v>0.418688023160754</v>
      </c>
      <c r="AC62" s="10" t="n">
        <f aca="false">IF(AB62="","",NORMDIST(CEILING(F62,1)-0.5,Z62,AA62,TRUE()))</f>
        <v>0.493371252807492</v>
      </c>
      <c r="AD62" s="0" t="str">
        <f aca="false">IF(AB62="","",IF(AB62&gt;=0.5+Config!$B$6,"OVER",IF(AC62&gt;=0.5+Config!$B$6,"UNDER","—")))</f>
        <v>—</v>
      </c>
      <c r="AE62" s="13" t="n">
        <f aca="false">IFERROR(Z62/G62,"")</f>
        <v>1.0125985666694</v>
      </c>
    </row>
    <row r="63" customFormat="false" ht="15" hidden="false" customHeight="false" outlineLevel="0" collapsed="false">
      <c r="A63" s="0" t="s">
        <v>988</v>
      </c>
      <c r="B63" s="0" t="s">
        <v>1008</v>
      </c>
      <c r="C63" s="0" t="s">
        <v>1193</v>
      </c>
      <c r="D63" s="0" t="s">
        <v>1013</v>
      </c>
      <c r="E63" s="0" t="s">
        <v>1111</v>
      </c>
      <c r="F63" s="0" t="n">
        <v>29.5</v>
      </c>
      <c r="G63" s="11" t="n">
        <f aca="false">IFERROR(INDEX(CHOOSE(MATCH($X63,{"K1","K2","K3","K12","K13","H1","H2","H3","H12","H13"},0),Calc!$V$2:$V$124,Calc!$AC$2:$AC$124,Calc!$AJ$2:$AJ$124,Calc!$AL$2:$AL$124,Calc!$AM$2:$AM$124,Calc!$W$2:$W$124,Calc!$AD$2:$AD$124,Calc!$AK$2:$AK$124,Calc!$AN$2:$AN$124,Calc!$AO$2:$AO$124),MATCH($W63,Calc!$A$2:$A$124,0)),"")</f>
        <v>29.0177721925134</v>
      </c>
      <c r="H63" s="11" t="n">
        <f aca="false">IF(G63="","",IF(LEFT($X63,1)="H",SQRT(G63*(IFERROR(INDEX(Calc!$AP$2:$AP$124,MATCH($W63,Calc!$A$2:$A$124,0)),0.5)*Config!$B$5+1-IFERROR(INDEX(Calc!$AP$2:$AP$124,MATCH($W63,Calc!$A$2:$A$124,0)),0.5))),SQRT(G63*Config!$B$5)))</f>
        <v>6.37376506230962</v>
      </c>
      <c r="I63" s="10" t="n">
        <f aca="false">IF(OR(F63="",G63="",N(H63)&lt;=0),"",1-NORMDIST(FLOOR(F63,1)+0.5,G63,H63,TRUE()))</f>
        <v>0.469845502640162</v>
      </c>
      <c r="J63" s="10" t="n">
        <f aca="false">IF(I63="","",NORMDIST(CEILING(F63,1)-0.5,G63,H63,TRUE()))</f>
        <v>0.530154497359838</v>
      </c>
      <c r="K63" s="10" t="n">
        <f aca="false">IF(I63="","",MAX(0,1-I63-J63))</f>
        <v>0</v>
      </c>
      <c r="L63" s="0" t="str">
        <f aca="false">IF(I63="","",IF(I63&gt;=0.5+Config!$B$6,"OVER",IF(J63&gt;=0.5+Config!$B$6,"UNDER","—")))</f>
        <v>—</v>
      </c>
      <c r="M63" s="0" t="n">
        <v>28</v>
      </c>
      <c r="N63" s="0" t="n">
        <v>29.9</v>
      </c>
      <c r="O63" s="10" t="n">
        <v>0.8</v>
      </c>
      <c r="P63" s="10" t="n">
        <v>0.5</v>
      </c>
      <c r="Q63" s="10" t="n">
        <v>0.67</v>
      </c>
      <c r="R63" s="9" t="s">
        <v>1194</v>
      </c>
      <c r="S63" s="0" t="n">
        <v>-1</v>
      </c>
      <c r="T63" s="0" t="str">
        <f aca="false">INDEX(Calc!$G$2:$G$124,MATCH($W63,Calc!$A$2:$A$124,0))&amp;" / "&amp;INDEX(Calc!$H$2:$H$124,MATCH($W63,Calc!$A$2:$A$124,0))</f>
        <v>Ancient / Mirage</v>
      </c>
      <c r="U63" s="0" t="str">
        <f aca="false">TEXT(INDEX(Calc!$J$2:$J$124,MATCH($W63,Calc!$A$2:$A$124,0)),"0.0")&amp;" / "&amp;TEXT(INDEX(Calc!$K$2:$K$124,MATCH($W63,Calc!$A$2:$A$124,0)),"0.0")</f>
        <v>21.5 / 21.4</v>
      </c>
      <c r="V63" s="0" t="str">
        <f aca="false">IFERROR(INDEX(Calc!$AQ$2:$AQ$124,MATCH($W63,Calc!$A$2:$A$124,0)),"")</f>
        <v/>
      </c>
      <c r="W63" s="9" t="s">
        <v>1195</v>
      </c>
      <c r="X63" s="9" t="s">
        <v>1112</v>
      </c>
      <c r="Y63" s="0" t="str">
        <f aca="false">W63&amp;"|"&amp;X63</f>
        <v>bn3mlvy0cst11z3|CS2 · BB vs NEMI|K12</v>
      </c>
      <c r="Z63" s="11" t="n">
        <f aca="false">IFERROR(INDEX(CHOOSE(MATCH($X63,{"K1","K2","K3","K12","K13","H1","H2","H3","H12","H13"},0),Calc!$BA$2:$BA$124,Calc!$BB$2:$BB$124,Calc!$BC$2:$BC$124,Calc!$BD$2:$BD$124,Calc!$BE$2:$BE$124,Calc!$BF$2:$BF$124,Calc!$BG$2:$BG$124,Calc!$BH$2:$BH$124,Calc!$BI$2:$BI$124,Calc!$BJ$2:$BJ$124),MATCH($W63,Calc!$A$2:$A$124,0)),"")</f>
        <v>29.3825041813326</v>
      </c>
      <c r="AA63" s="11" t="n">
        <f aca="false">IF(Z63="","",IF(LEFT($X63,1)="H",SQRT(Z63*(IFERROR(INDEX(Calc!$AP$2:$AP$124,MATCH($W63,Calc!$A$2:$A$124,0)),0.5)*Config!$B$5+1-IFERROR(INDEX(Calc!$AP$2:$AP$124,MATCH($W63,Calc!$A$2:$A$124,0)),0.5))),SQRT(Z63*Config!$B$5)))</f>
        <v>6.41369673853275</v>
      </c>
      <c r="AB63" s="10" t="n">
        <f aca="false">IF(OR(F63="",Z63="",N(AA63)&lt;=0),"",1-NORMDIST(FLOOR(F63,1)+0.5,Z63,AA63,TRUE()))</f>
        <v>0.492691979365204</v>
      </c>
      <c r="AC63" s="10" t="n">
        <f aca="false">IF(AB63="","",NORMDIST(CEILING(F63,1)-0.5,Z63,AA63,TRUE()))</f>
        <v>0.507308020634796</v>
      </c>
      <c r="AD63" s="0" t="str">
        <f aca="false">IF(AB63="","",IF(AB63&gt;=0.5+Config!$B$6,"OVER",IF(AC63&gt;=0.5+Config!$B$6,"UNDER","—")))</f>
        <v>—</v>
      </c>
      <c r="AE63" s="13" t="n">
        <f aca="false">IFERROR(Z63/G63,"")</f>
        <v>1.01256926225761</v>
      </c>
    </row>
    <row r="64" customFormat="false" ht="15" hidden="false" customHeight="false" outlineLevel="0" collapsed="false">
      <c r="A64" s="0" t="s">
        <v>988</v>
      </c>
      <c r="B64" s="0" t="s">
        <v>1008</v>
      </c>
      <c r="C64" s="0" t="s">
        <v>1196</v>
      </c>
      <c r="D64" s="0" t="s">
        <v>1013</v>
      </c>
      <c r="E64" s="0" t="s">
        <v>1107</v>
      </c>
      <c r="F64" s="0" t="n">
        <v>10</v>
      </c>
      <c r="G64" s="11" t="n">
        <f aca="false">IFERROR(INDEX(CHOOSE(MATCH($X64,{"K1","K2","K3","K12","K13","H1","H2","H3","H12","H13"},0),Calc!$V$2:$V$124,Calc!$AC$2:$AC$124,Calc!$AJ$2:$AJ$124,Calc!$AL$2:$AL$124,Calc!$AM$2:$AM$124,Calc!$W$2:$W$124,Calc!$AD$2:$AD$124,Calc!$AK$2:$AK$124,Calc!$AN$2:$AN$124,Calc!$AO$2:$AO$124),MATCH($W64,Calc!$A$2:$A$124,0)),"")</f>
        <v>8.49448551306818</v>
      </c>
      <c r="H64" s="11" t="n">
        <f aca="false">IF(G64="","",IF(LEFT($X64,1)="H",SQRT(G64*(IFERROR(INDEX(Calc!$AP$2:$AP$124,MATCH($W64,Calc!$A$2:$A$124,0)),0.5)*Config!$B$5+1-IFERROR(INDEX(Calc!$AP$2:$AP$124,MATCH($W64,Calc!$A$2:$A$124,0)),0.5))),SQRT(G64*Config!$B$5)))</f>
        <v>3.07584952451939</v>
      </c>
      <c r="I64" s="10" t="n">
        <f aca="false">IF(OR(F64="",G64="",N(H64)&lt;=0),"",1-NORMDIST(FLOOR(F64,1)+0.5,G64,H64,TRUE()))</f>
        <v>0.257194231678769</v>
      </c>
      <c r="J64" s="10" t="n">
        <f aca="false">IF(I64="","",NORMDIST(CEILING(F64,1)-0.5,G64,H64,TRUE()))</f>
        <v>0.62813060966821</v>
      </c>
      <c r="K64" s="10" t="n">
        <f aca="false">IF(I64="","",MAX(0,1-I64-J64))</f>
        <v>0.114675158653021</v>
      </c>
      <c r="L64" s="0" t="str">
        <f aca="false">IF(I64="","",IF(I64&gt;=0.5+Config!$B$6,"OVER",IF(J64&gt;=0.5+Config!$B$6,"UNDER","—")))</f>
        <v>UNDER</v>
      </c>
      <c r="N64" s="0" t="n">
        <v>9.1</v>
      </c>
      <c r="O64" s="10" t="n">
        <v>0.6</v>
      </c>
      <c r="P64" s="10" t="n">
        <v>0.4</v>
      </c>
      <c r="Q64" s="10" t="n">
        <v>0.4</v>
      </c>
      <c r="R64" s="9" t="s">
        <v>1176</v>
      </c>
      <c r="S64" s="0" t="n">
        <v>-1</v>
      </c>
      <c r="T64" s="0" t="str">
        <f aca="false">INDEX(Calc!$G$2:$G$124,MATCH($W64,Calc!$A$2:$A$124,0))&amp;" / "&amp;INDEX(Calc!$H$2:$H$124,MATCH($W64,Calc!$A$2:$A$124,0))</f>
        <v>Ancient / Mirage</v>
      </c>
      <c r="U64" s="0" t="str">
        <f aca="false">TEXT(INDEX(Calc!$J$2:$J$124,MATCH($W64,Calc!$A$2:$A$124,0)),"0.0")&amp;" / "&amp;TEXT(INDEX(Calc!$K$2:$K$124,MATCH($W64,Calc!$A$2:$A$124,0)),"0.0")</f>
        <v>21.5 / 21.4</v>
      </c>
      <c r="V64" s="0" t="str">
        <f aca="false">IFERROR(INDEX(Calc!$AQ$2:$AQ$124,MATCH($W64,Calc!$A$2:$A$124,0)),"")</f>
        <v/>
      </c>
      <c r="W64" s="9" t="s">
        <v>1197</v>
      </c>
      <c r="X64" s="9" t="s">
        <v>1110</v>
      </c>
      <c r="Y64" s="0" t="str">
        <f aca="false">W64&amp;"|"&amp;X64</f>
        <v>c4m3zncm4mxvzoh|CS2 · BB vs NEMI|H12</v>
      </c>
      <c r="Z64" s="11" t="n">
        <f aca="false">IFERROR(INDEX(CHOOSE(MATCH($X64,{"K1","K2","K3","K12","K13","H1","H2","H3","H12","H13"},0),Calc!$BA$2:$BA$124,Calc!$BB$2:$BB$124,Calc!$BC$2:$BC$124,Calc!$BD$2:$BD$124,Calc!$BE$2:$BE$124,Calc!$BF$2:$BF$124,Calc!$BG$2:$BG$124,Calc!$BH$2:$BH$124,Calc!$BI$2:$BI$124,Calc!$BJ$2:$BJ$124),MATCH($W64,Calc!$A$2:$A$124,0)),"")</f>
        <v>8.60182937127524</v>
      </c>
      <c r="AA64" s="11" t="n">
        <f aca="false">IF(Z64="","",IF(LEFT($X64,1)="H",SQRT(Z64*(IFERROR(INDEX(Calc!$AP$2:$AP$124,MATCH($W64,Calc!$A$2:$A$124,0)),0.5)*Config!$B$5+1-IFERROR(INDEX(Calc!$AP$2:$AP$124,MATCH($W64,Calc!$A$2:$A$124,0)),0.5))),SQRT(Z64*Config!$B$5)))</f>
        <v>3.09522309354339</v>
      </c>
      <c r="AB64" s="10" t="n">
        <f aca="false">IF(OR(F64="",Z64="",N(AA64)&lt;=0),"",1-NORMDIST(FLOOR(F64,1)+0.5,Z64,AA64,TRUE()))</f>
        <v>0.269852847285618</v>
      </c>
      <c r="AC64" s="10" t="n">
        <f aca="false">IF(AB64="","",NORMDIST(CEILING(F64,1)-0.5,Z64,AA64,TRUE()))</f>
        <v>0.614160582675496</v>
      </c>
      <c r="AD64" s="0" t="str">
        <f aca="false">IF(AB64="","",IF(AB64&gt;=0.5+Config!$B$6,"OVER",IF(AC64&gt;=0.5+Config!$B$6,"UNDER","—")))</f>
        <v>UNDER</v>
      </c>
      <c r="AE64" s="13" t="n">
        <f aca="false">IFERROR(Z64/G64,"")</f>
        <v>1.01263688754804</v>
      </c>
    </row>
    <row r="65" customFormat="false" ht="15" hidden="false" customHeight="false" outlineLevel="0" collapsed="false">
      <c r="A65" s="0" t="s">
        <v>988</v>
      </c>
      <c r="B65" s="0" t="s">
        <v>1008</v>
      </c>
      <c r="C65" s="0" t="s">
        <v>1196</v>
      </c>
      <c r="D65" s="0" t="s">
        <v>1013</v>
      </c>
      <c r="E65" s="0" t="s">
        <v>1111</v>
      </c>
      <c r="F65" s="0" t="n">
        <v>30.5</v>
      </c>
      <c r="G65" s="11" t="n">
        <f aca="false">IFERROR(INDEX(CHOOSE(MATCH($X65,{"K1","K2","K3","K12","K13","H1","H2","H3","H12","H13"},0),Calc!$V$2:$V$124,Calc!$AC$2:$AC$124,Calc!$AJ$2:$AJ$124,Calc!$AL$2:$AL$124,Calc!$AM$2:$AM$124,Calc!$W$2:$W$124,Calc!$AD$2:$AD$124,Calc!$AK$2:$AK$124,Calc!$AN$2:$AN$124,Calc!$AO$2:$AO$124),MATCH($W65,Calc!$A$2:$A$124,0)),"")</f>
        <v>29.8671</v>
      </c>
      <c r="H65" s="11" t="n">
        <f aca="false">IF(G65="","",IF(LEFT($X65,1)="H",SQRT(G65*(IFERROR(INDEX(Calc!$AP$2:$AP$124,MATCH($W65,Calc!$A$2:$A$124,0)),0.5)*Config!$B$5+1-IFERROR(INDEX(Calc!$AP$2:$AP$124,MATCH($W65,Calc!$A$2:$A$124,0)),0.5))),SQRT(G65*Config!$B$5)))</f>
        <v>6.46636992446303</v>
      </c>
      <c r="I65" s="10" t="n">
        <f aca="false">IF(OR(F65="",G65="",N(H65)&lt;=0),"",1-NORMDIST(FLOOR(F65,1)+0.5,G65,H65,TRUE()))</f>
        <v>0.461015527601964</v>
      </c>
      <c r="J65" s="10" t="n">
        <f aca="false">IF(I65="","",NORMDIST(CEILING(F65,1)-0.5,G65,H65,TRUE()))</f>
        <v>0.538984472398036</v>
      </c>
      <c r="K65" s="10" t="n">
        <f aca="false">IF(I65="","",MAX(0,1-I65-J65))</f>
        <v>0</v>
      </c>
      <c r="L65" s="0" t="str">
        <f aca="false">IF(I65="","",IF(I65&gt;=0.5+Config!$B$6,"OVER",IF(J65&gt;=0.5+Config!$B$6,"UNDER","—")))</f>
        <v>—</v>
      </c>
      <c r="M65" s="0" t="n">
        <v>29.24</v>
      </c>
      <c r="N65" s="0" t="n">
        <v>31.3</v>
      </c>
      <c r="O65" s="10" t="n">
        <v>0.8</v>
      </c>
      <c r="P65" s="10" t="n">
        <v>0.5</v>
      </c>
      <c r="Q65" s="10" t="n">
        <v>0.47</v>
      </c>
      <c r="R65" s="9" t="s">
        <v>1176</v>
      </c>
      <c r="S65" s="0" t="n">
        <v>4</v>
      </c>
      <c r="T65" s="0" t="str">
        <f aca="false">INDEX(Calc!$G$2:$G$124,MATCH($W65,Calc!$A$2:$A$124,0))&amp;" / "&amp;INDEX(Calc!$H$2:$H$124,MATCH($W65,Calc!$A$2:$A$124,0))</f>
        <v>Ancient / Mirage</v>
      </c>
      <c r="U65" s="0" t="str">
        <f aca="false">TEXT(INDEX(Calc!$J$2:$J$124,MATCH($W65,Calc!$A$2:$A$124,0)),"0.0")&amp;" / "&amp;TEXT(INDEX(Calc!$K$2:$K$124,MATCH($W65,Calc!$A$2:$A$124,0)),"0.0")</f>
        <v>21.5 / 21.4</v>
      </c>
      <c r="V65" s="0" t="str">
        <f aca="false">IFERROR(INDEX(Calc!$AQ$2:$AQ$124,MATCH($W65,Calc!$A$2:$A$124,0)),"")</f>
        <v/>
      </c>
      <c r="W65" s="9" t="s">
        <v>1197</v>
      </c>
      <c r="X65" s="9" t="s">
        <v>1112</v>
      </c>
      <c r="Y65" s="0" t="str">
        <f aca="false">W65&amp;"|"&amp;X65</f>
        <v>c4m3zncm4mxvzoh|CS2 · BB vs NEMI|K12</v>
      </c>
      <c r="Z65" s="11" t="n">
        <f aca="false">IFERROR(INDEX(CHOOSE(MATCH($X65,{"K1","K2","K3","K12","K13","H1","H2","H3","H12","H13"},0),Calc!$BA$2:$BA$124,Calc!$BB$2:$BB$124,Calc!$BC$2:$BC$124,Calc!$BD$2:$BD$124,Calc!$BE$2:$BE$124,Calc!$BF$2:$BF$124,Calc!$BG$2:$BG$124,Calc!$BH$2:$BH$124,Calc!$BI$2:$BI$124,Calc!$BJ$2:$BJ$124),MATCH($W65,Calc!$A$2:$A$124,0)),"")</f>
        <v>30.2442027484093</v>
      </c>
      <c r="AA65" s="11" t="n">
        <f aca="false">IF(Z65="","",IF(LEFT($X65,1)="H",SQRT(Z65*(IFERROR(INDEX(Calc!$AP$2:$AP$124,MATCH($W65,Calc!$A$2:$A$124,0)),0.5)*Config!$B$5+1-IFERROR(INDEX(Calc!$AP$2:$AP$124,MATCH($W65,Calc!$A$2:$A$124,0)),0.5))),SQRT(Z65*Config!$B$5)))</f>
        <v>6.50706414965866</v>
      </c>
      <c r="AB65" s="10" t="n">
        <f aca="false">IF(OR(F65="",Z65="",N(AA65)&lt;=0),"",1-NORMDIST(FLOOR(F65,1)+0.5,Z65,AA65,TRUE()))</f>
        <v>0.484321337620984</v>
      </c>
      <c r="AC65" s="10" t="n">
        <f aca="false">IF(AB65="","",NORMDIST(CEILING(F65,1)-0.5,Z65,AA65,TRUE()))</f>
        <v>0.515678662379016</v>
      </c>
      <c r="AD65" s="0" t="str">
        <f aca="false">IF(AB65="","",IF(AB65&gt;=0.5+Config!$B$6,"OVER",IF(AC65&gt;=0.5+Config!$B$6,"UNDER","—")))</f>
        <v>—</v>
      </c>
      <c r="AE65" s="13" t="n">
        <f aca="false">IFERROR(Z65/G65,"")</f>
        <v>1.01262602490397</v>
      </c>
    </row>
    <row r="66" customFormat="false" ht="15" hidden="false" customHeight="false" outlineLevel="0" collapsed="false">
      <c r="A66" s="0" t="s">
        <v>988</v>
      </c>
      <c r="B66" s="0" t="s">
        <v>1008</v>
      </c>
      <c r="C66" s="0" t="s">
        <v>1198</v>
      </c>
      <c r="D66" s="0" t="s">
        <v>1014</v>
      </c>
      <c r="E66" s="0" t="s">
        <v>1107</v>
      </c>
      <c r="F66" s="0" t="n">
        <v>18</v>
      </c>
      <c r="G66" s="11" t="n">
        <f aca="false">IFERROR(INDEX(CHOOSE(MATCH($X66,{"K1","K2","K3","K12","K13","H1","H2","H3","H12","H13"},0),Calc!$V$2:$V$124,Calc!$AC$2:$AC$124,Calc!$AJ$2:$AJ$124,Calc!$AL$2:$AL$124,Calc!$AM$2:$AM$124,Calc!$W$2:$W$124,Calc!$AD$2:$AD$124,Calc!$AK$2:$AK$124,Calc!$AN$2:$AN$124,Calc!$AO$2:$AO$124),MATCH($W66,Calc!$A$2:$A$124,0)),"")</f>
        <v>19.9555189412229</v>
      </c>
      <c r="H66" s="11" t="n">
        <f aca="false">IF(G66="","",IF(LEFT($X66,1)="H",SQRT(G66*(IFERROR(INDEX(Calc!$AP$2:$AP$124,MATCH($W66,Calc!$A$2:$A$124,0)),0.5)*Config!$B$5+1-IFERROR(INDEX(Calc!$AP$2:$AP$124,MATCH($W66,Calc!$A$2:$A$124,0)),0.5))),SQRT(G66*Config!$B$5)))</f>
        <v>4.97658587409551</v>
      </c>
      <c r="I66" s="10" t="n">
        <f aca="false">IF(OR(F66="",G66="",N(H66)&lt;=0),"",1-NORMDIST(FLOOR(F66,1)+0.5,G66,H66,TRUE()))</f>
        <v>0.615037648716249</v>
      </c>
      <c r="J66" s="10" t="n">
        <f aca="false">IF(I66="","",NORMDIST(CEILING(F66,1)-0.5,G66,H66,TRUE()))</f>
        <v>0.310859918433804</v>
      </c>
      <c r="K66" s="10" t="n">
        <f aca="false">IF(I66="","",MAX(0,1-I66-J66))</f>
        <v>0.0741024328499466</v>
      </c>
      <c r="L66" s="0" t="str">
        <f aca="false">IF(I66="","",IF(I66&gt;=0.5+Config!$B$6,"OVER",IF(J66&gt;=0.5+Config!$B$6,"UNDER","—")))</f>
        <v>OVER</v>
      </c>
      <c r="N66" s="0" t="n">
        <v>21.3</v>
      </c>
      <c r="O66" s="10" t="n">
        <v>0.6</v>
      </c>
      <c r="P66" s="10" t="n">
        <v>0.7</v>
      </c>
      <c r="Q66" s="10" t="n">
        <v>0.73</v>
      </c>
      <c r="R66" s="9" t="s">
        <v>1116</v>
      </c>
      <c r="S66" s="0" t="n">
        <v>1</v>
      </c>
      <c r="T66" s="0" t="str">
        <f aca="false">INDEX(Calc!$G$2:$G$124,MATCH($W66,Calc!$A$2:$A$124,0))&amp;" / "&amp;INDEX(Calc!$H$2:$H$124,MATCH($W66,Calc!$A$2:$A$124,0))</f>
        <v>Ancient / Mirage</v>
      </c>
      <c r="U66" s="0" t="str">
        <f aca="false">TEXT(INDEX(Calc!$J$2:$J$124,MATCH($W66,Calc!$A$2:$A$124,0)),"0.0")&amp;" / "&amp;TEXT(INDEX(Calc!$K$2:$K$124,MATCH($W66,Calc!$A$2:$A$124,0)),"0.0")</f>
        <v>21.5 / 21.4</v>
      </c>
      <c r="V66" s="0" t="str">
        <f aca="false">IFERROR(INDEX(Calc!$AQ$2:$AQ$124,MATCH($W66,Calc!$A$2:$A$124,0)),"")</f>
        <v/>
      </c>
      <c r="W66" s="9" t="s">
        <v>1199</v>
      </c>
      <c r="X66" s="9" t="s">
        <v>1110</v>
      </c>
      <c r="Y66" s="0" t="str">
        <f aca="false">W66&amp;"|"&amp;X66</f>
        <v>fhr6sqp0a6355ky|CS2 · BB vs NEMI|H12</v>
      </c>
      <c r="Z66" s="11" t="n">
        <f aca="false">IFERROR(INDEX(CHOOSE(MATCH($X66,{"K1","K2","K3","K12","K13","H1","H2","H3","H12","H13"},0),Calc!$BA$2:$BA$124,Calc!$BB$2:$BB$124,Calc!$BC$2:$BC$124,Calc!$BD$2:$BD$124,Calc!$BE$2:$BE$124,Calc!$BF$2:$BF$124,Calc!$BG$2:$BG$124,Calc!$BH$2:$BH$124,Calc!$BI$2:$BI$124,Calc!$BJ$2:$BJ$124),MATCH($W66,Calc!$A$2:$A$124,0)),"")</f>
        <v>19.1248015343329</v>
      </c>
      <c r="AA66" s="11" t="n">
        <f aca="false">IF(Z66="","",IF(LEFT($X66,1)="H",SQRT(Z66*(IFERROR(INDEX(Calc!$AP$2:$AP$124,MATCH($W66,Calc!$A$2:$A$124,0)),0.5)*Config!$B$5+1-IFERROR(INDEX(Calc!$AP$2:$AP$124,MATCH($W66,Calc!$A$2:$A$124,0)),0.5))),SQRT(Z66*Config!$B$5)))</f>
        <v>4.87190103794872</v>
      </c>
      <c r="AB66" s="10" t="n">
        <f aca="false">IF(OR(F66="",Z66="",N(AA66)&lt;=0),"",1-NORMDIST(FLOOR(F66,1)+0.5,Z66,AA66,TRUE()))</f>
        <v>0.551022827827311</v>
      </c>
      <c r="AC66" s="10" t="n">
        <f aca="false">IF(AB66="","",NORMDIST(CEILING(F66,1)-0.5,Z66,AA66,TRUE()))</f>
        <v>0.369376698989012</v>
      </c>
      <c r="AD66" s="0" t="str">
        <f aca="false">IF(AB66="","",IF(AB66&gt;=0.5+Config!$B$6,"OVER",IF(AC66&gt;=0.5+Config!$B$6,"UNDER","—")))</f>
        <v>OVER</v>
      </c>
      <c r="AE66" s="13" t="n">
        <f aca="false">IFERROR(Z66/G66,"")</f>
        <v>0.95837154576953</v>
      </c>
    </row>
    <row r="67" customFormat="false" ht="15" hidden="false" customHeight="false" outlineLevel="0" collapsed="false">
      <c r="A67" s="0" t="s">
        <v>988</v>
      </c>
      <c r="B67" s="0" t="s">
        <v>1008</v>
      </c>
      <c r="C67" s="0" t="s">
        <v>1198</v>
      </c>
      <c r="D67" s="0" t="s">
        <v>1014</v>
      </c>
      <c r="E67" s="0" t="s">
        <v>1111</v>
      </c>
      <c r="F67" s="0" t="n">
        <v>29.5</v>
      </c>
      <c r="G67" s="11" t="n">
        <f aca="false">IFERROR(INDEX(CHOOSE(MATCH($X67,{"K1","K2","K3","K12","K13","H1","H2","H3","H12","H13"},0),Calc!$V$2:$V$124,Calc!$AC$2:$AC$124,Calc!$AJ$2:$AJ$124,Calc!$AL$2:$AL$124,Calc!$AM$2:$AM$124,Calc!$W$2:$W$124,Calc!$AD$2:$AD$124,Calc!$AK$2:$AK$124,Calc!$AN$2:$AN$124,Calc!$AO$2:$AO$124),MATCH($W67,Calc!$A$2:$A$124,0)),"")</f>
        <v>33.1101230769231</v>
      </c>
      <c r="H67" s="11" t="n">
        <f aca="false">IF(G67="","",IF(LEFT($X67,1)="H",SQRT(G67*(IFERROR(INDEX(Calc!$AP$2:$AP$124,MATCH($W67,Calc!$A$2:$A$124,0)),0.5)*Config!$B$5+1-IFERROR(INDEX(Calc!$AP$2:$AP$124,MATCH($W67,Calc!$A$2:$A$124,0)),0.5))),SQRT(G67*Config!$B$5)))</f>
        <v>6.8083898469236</v>
      </c>
      <c r="I67" s="10" t="n">
        <f aca="false">IF(OR(F67="",G67="",N(H67)&lt;=0),"",1-NORMDIST(FLOOR(F67,1)+0.5,G67,H67,TRUE()))</f>
        <v>0.702029390464497</v>
      </c>
      <c r="J67" s="10" t="n">
        <f aca="false">IF(I67="","",NORMDIST(CEILING(F67,1)-0.5,G67,H67,TRUE()))</f>
        <v>0.297970609535503</v>
      </c>
      <c r="K67" s="10" t="n">
        <f aca="false">IF(I67="","",MAX(0,1-I67-J67))</f>
        <v>0</v>
      </c>
      <c r="L67" s="0" t="str">
        <f aca="false">IF(I67="","",IF(I67&gt;=0.5+Config!$B$6,"OVER",IF(J67&gt;=0.5+Config!$B$6,"UNDER","—")))</f>
        <v>OVER</v>
      </c>
      <c r="N67" s="0" t="n">
        <v>34.4</v>
      </c>
      <c r="O67" s="10" t="n">
        <v>0.6</v>
      </c>
      <c r="P67" s="10" t="n">
        <v>0.6</v>
      </c>
      <c r="Q67" s="10" t="n">
        <v>0.73</v>
      </c>
      <c r="R67" s="9" t="s">
        <v>1114</v>
      </c>
      <c r="S67" s="0" t="n">
        <v>1</v>
      </c>
      <c r="T67" s="0" t="str">
        <f aca="false">INDEX(Calc!$G$2:$G$124,MATCH($W67,Calc!$A$2:$A$124,0))&amp;" / "&amp;INDEX(Calc!$H$2:$H$124,MATCH($W67,Calc!$A$2:$A$124,0))</f>
        <v>Ancient / Mirage</v>
      </c>
      <c r="U67" s="0" t="str">
        <f aca="false">TEXT(INDEX(Calc!$J$2:$J$124,MATCH($W67,Calc!$A$2:$A$124,0)),"0.0")&amp;" / "&amp;TEXT(INDEX(Calc!$K$2:$K$124,MATCH($W67,Calc!$A$2:$A$124,0)),"0.0")</f>
        <v>21.5 / 21.4</v>
      </c>
      <c r="V67" s="0" t="str">
        <f aca="false">IFERROR(INDEX(Calc!$AQ$2:$AQ$124,MATCH($W67,Calc!$A$2:$A$124,0)),"")</f>
        <v/>
      </c>
      <c r="W67" s="9" t="s">
        <v>1199</v>
      </c>
      <c r="X67" s="9" t="s">
        <v>1112</v>
      </c>
      <c r="Y67" s="0" t="str">
        <f aca="false">W67&amp;"|"&amp;X67</f>
        <v>fhr6sqp0a6355ky|CS2 · BB vs NEMI|K12</v>
      </c>
      <c r="Z67" s="11" t="n">
        <f aca="false">IFERROR(INDEX(CHOOSE(MATCH($X67,{"K1","K2","K3","K12","K13","H1","H2","H3","H12","H13"},0),Calc!$BA$2:$BA$124,Calc!$BB$2:$BB$124,Calc!$BC$2:$BC$124,Calc!$BD$2:$BD$124,Calc!$BE$2:$BE$124,Calc!$BF$2:$BF$124,Calc!$BG$2:$BG$124,Calc!$BH$2:$BH$124,Calc!$BI$2:$BI$124,Calc!$BJ$2:$BJ$124),MATCH($W67,Calc!$A$2:$A$124,0)),"")</f>
        <v>31.7322673274544</v>
      </c>
      <c r="AA67" s="11" t="n">
        <f aca="false">IF(Z67="","",IF(LEFT($X67,1)="H",SQRT(Z67*(IFERROR(INDEX(Calc!$AP$2:$AP$124,MATCH($W67,Calc!$A$2:$A$124,0)),0.5)*Config!$B$5+1-IFERROR(INDEX(Calc!$AP$2:$AP$124,MATCH($W67,Calc!$A$2:$A$124,0)),0.5))),SQRT(Z67*Config!$B$5)))</f>
        <v>6.66522124602298</v>
      </c>
      <c r="AB67" s="10" t="n">
        <f aca="false">IF(OR(F67="",Z67="",N(AA67)&lt;=0),"",1-NORMDIST(FLOOR(F67,1)+0.5,Z67,AA67,TRUE()))</f>
        <v>0.631154533942868</v>
      </c>
      <c r="AC67" s="10" t="n">
        <f aca="false">IF(AB67="","",NORMDIST(CEILING(F67,1)-0.5,Z67,AA67,TRUE()))</f>
        <v>0.368845466057132</v>
      </c>
      <c r="AD67" s="0" t="str">
        <f aca="false">IF(AB67="","",IF(AB67&gt;=0.5+Config!$B$6,"OVER",IF(AC67&gt;=0.5+Config!$B$6,"UNDER","—")))</f>
        <v>OVER</v>
      </c>
      <c r="AE67" s="13" t="n">
        <f aca="false">IFERROR(Z67/G67,"")</f>
        <v>0.958385665125207</v>
      </c>
    </row>
    <row r="68" customFormat="false" ht="15" hidden="false" customHeight="false" outlineLevel="0" collapsed="false">
      <c r="A68" s="0" t="s">
        <v>988</v>
      </c>
      <c r="B68" s="0" t="s">
        <v>1008</v>
      </c>
      <c r="C68" s="0" t="s">
        <v>1200</v>
      </c>
      <c r="D68" s="0" t="s">
        <v>1014</v>
      </c>
      <c r="E68" s="0" t="s">
        <v>1107</v>
      </c>
      <c r="F68" s="0" t="n">
        <v>9.5</v>
      </c>
      <c r="G68" s="11" t="n">
        <f aca="false">IFERROR(INDEX(CHOOSE(MATCH($X68,{"K1","K2","K3","K12","K13","H1","H2","H3","H12","H13"},0),Calc!$V$2:$V$124,Calc!$AC$2:$AC$124,Calc!$AJ$2:$AJ$124,Calc!$AL$2:$AL$124,Calc!$AM$2:$AM$124,Calc!$W$2:$W$124,Calc!$AD$2:$AD$124,Calc!$AK$2:$AK$124,Calc!$AN$2:$AN$124,Calc!$AO$2:$AO$124),MATCH($W68,Calc!$A$2:$A$124,0)),"")</f>
        <v>8.20251601775148</v>
      </c>
      <c r="H68" s="11" t="n">
        <f aca="false">IF(G68="","",IF(LEFT($X68,1)="H",SQRT(G68*(IFERROR(INDEX(Calc!$AP$2:$AP$124,MATCH($W68,Calc!$A$2:$A$124,0)),0.5)*Config!$B$5+1-IFERROR(INDEX(Calc!$AP$2:$AP$124,MATCH($W68,Calc!$A$2:$A$124,0)),0.5))),SQRT(G68*Config!$B$5)))</f>
        <v>3.02428831783417</v>
      </c>
      <c r="I68" s="10" t="n">
        <f aca="false">IF(OR(F68="",G68="",N(H68)&lt;=0),"",1-NORMDIST(FLOOR(F68,1)+0.5,G68,H68,TRUE()))</f>
        <v>0.333953876804532</v>
      </c>
      <c r="J68" s="10" t="n">
        <f aca="false">IF(I68="","",NORMDIST(CEILING(F68,1)-0.5,G68,H68,TRUE()))</f>
        <v>0.666046123195468</v>
      </c>
      <c r="K68" s="10" t="n">
        <f aca="false">IF(I68="","",MAX(0,1-I68-J68))</f>
        <v>0</v>
      </c>
      <c r="L68" s="0" t="str">
        <f aca="false">IF(I68="","",IF(I68&gt;=0.5+Config!$B$6,"OVER",IF(J68&gt;=0.5+Config!$B$6,"UNDER","—")))</f>
        <v>UNDER</v>
      </c>
      <c r="N68" s="0" t="n">
        <v>9.8</v>
      </c>
      <c r="O68" s="10" t="n">
        <v>0.8</v>
      </c>
      <c r="P68" s="10" t="n">
        <v>0.5</v>
      </c>
      <c r="Q68" s="10" t="n">
        <v>0.4</v>
      </c>
      <c r="R68" s="9" t="s">
        <v>1173</v>
      </c>
      <c r="S68" s="0" t="n">
        <v>2</v>
      </c>
      <c r="T68" s="0" t="str">
        <f aca="false">INDEX(Calc!$G$2:$G$124,MATCH($W68,Calc!$A$2:$A$124,0))&amp;" / "&amp;INDEX(Calc!$H$2:$H$124,MATCH($W68,Calc!$A$2:$A$124,0))</f>
        <v>Ancient / Mirage</v>
      </c>
      <c r="U68" s="0" t="str">
        <f aca="false">TEXT(INDEX(Calc!$J$2:$J$124,MATCH($W68,Calc!$A$2:$A$124,0)),"0.0")&amp;" / "&amp;TEXT(INDEX(Calc!$K$2:$K$124,MATCH($W68,Calc!$A$2:$A$124,0)),"0.0")</f>
        <v>21.5 / 21.4</v>
      </c>
      <c r="V68" s="0" t="str">
        <f aca="false">IFERROR(INDEX(Calc!$AQ$2:$AQ$124,MATCH($W68,Calc!$A$2:$A$124,0)),"")</f>
        <v/>
      </c>
      <c r="W68" s="9" t="s">
        <v>1201</v>
      </c>
      <c r="X68" s="9" t="s">
        <v>1110</v>
      </c>
      <c r="Y68" s="0" t="str">
        <f aca="false">W68&amp;"|"&amp;X68</f>
        <v>sj7nkpqagh6m88h|CS2 · BB vs NEMI|H12</v>
      </c>
      <c r="Z68" s="11" t="n">
        <f aca="false">IFERROR(INDEX(CHOOSE(MATCH($X68,{"K1","K2","K3","K12","K13","H1","H2","H3","H12","H13"},0),Calc!$BA$2:$BA$124,Calc!$BB$2:$BB$124,Calc!$BC$2:$BC$124,Calc!$BD$2:$BD$124,Calc!$BE$2:$BE$124,Calc!$BF$2:$BF$124,Calc!$BG$2:$BG$124,Calc!$BH$2:$BH$124,Calc!$BI$2:$BI$124,Calc!$BJ$2:$BJ$124),MATCH($W68,Calc!$A$2:$A$124,0)),"")</f>
        <v>7.86163497781514</v>
      </c>
      <c r="AA68" s="11" t="n">
        <f aca="false">IF(Z68="","",IF(LEFT($X68,1)="H",SQRT(Z68*(IFERROR(INDEX(Calc!$AP$2:$AP$124,MATCH($W68,Calc!$A$2:$A$124,0)),0.5)*Config!$B$5+1-IFERROR(INDEX(Calc!$AP$2:$AP$124,MATCH($W68,Calc!$A$2:$A$124,0)),0.5))),SQRT(Z68*Config!$B$5)))</f>
        <v>2.96077964216803</v>
      </c>
      <c r="AB68" s="10" t="n">
        <f aca="false">IF(OR(F68="",Z68="",N(AA68)&lt;=0),"",1-NORMDIST(FLOOR(F68,1)+0.5,Z68,AA68,TRUE()))</f>
        <v>0.290009849106546</v>
      </c>
      <c r="AC68" s="10" t="n">
        <f aca="false">IF(AB68="","",NORMDIST(CEILING(F68,1)-0.5,Z68,AA68,TRUE()))</f>
        <v>0.709990150893454</v>
      </c>
      <c r="AD68" s="0" t="str">
        <f aca="false">IF(AB68="","",IF(AB68&gt;=0.5+Config!$B$6,"OVER",IF(AC68&gt;=0.5+Config!$B$6,"UNDER","—")))</f>
        <v>UNDER</v>
      </c>
      <c r="AE68" s="13" t="n">
        <f aca="false">IFERROR(Z68/G68,"")</f>
        <v>0.958441892804766</v>
      </c>
    </row>
    <row r="69" customFormat="false" ht="15" hidden="false" customHeight="false" outlineLevel="0" collapsed="false">
      <c r="A69" s="0" t="s">
        <v>988</v>
      </c>
      <c r="B69" s="0" t="s">
        <v>1008</v>
      </c>
      <c r="C69" s="0" t="s">
        <v>1200</v>
      </c>
      <c r="D69" s="0" t="s">
        <v>1014</v>
      </c>
      <c r="E69" s="0" t="s">
        <v>1111</v>
      </c>
      <c r="F69" s="0" t="n">
        <v>28</v>
      </c>
      <c r="G69" s="11" t="n">
        <f aca="false">IFERROR(INDEX(CHOOSE(MATCH($X69,{"K1","K2","K3","K12","K13","H1","H2","H3","H12","H13"},0),Calc!$V$2:$V$124,Calc!$AC$2:$AC$124,Calc!$AJ$2:$AJ$124,Calc!$AL$2:$AL$124,Calc!$AM$2:$AM$124,Calc!$W$2:$W$124,Calc!$AD$2:$AD$124,Calc!$AK$2:$AK$124,Calc!$AN$2:$AN$124,Calc!$AO$2:$AO$124),MATCH($W69,Calc!$A$2:$A$124,0)),"")</f>
        <v>28.5149384615385</v>
      </c>
      <c r="H69" s="11" t="n">
        <f aca="false">IF(G69="","",IF(LEFT($X69,1)="H",SQRT(G69*(IFERROR(INDEX(Calc!$AP$2:$AP$124,MATCH($W69,Calc!$A$2:$A$124,0)),0.5)*Config!$B$5+1-IFERROR(INDEX(Calc!$AP$2:$AP$124,MATCH($W69,Calc!$A$2:$A$124,0)),0.5))),SQRT(G69*Config!$B$5)))</f>
        <v>6.31829991739502</v>
      </c>
      <c r="I69" s="10" t="n">
        <f aca="false">IF(OR(F69="",G69="",N(H69)&lt;=0),"",1-NORMDIST(FLOOR(F69,1)+0.5,G69,H69,TRUE()))</f>
        <v>0.500943224987326</v>
      </c>
      <c r="J69" s="10" t="n">
        <f aca="false">IF(I69="","",NORMDIST(CEILING(F69,1)-0.5,G69,H69,TRUE()))</f>
        <v>0.436190545999005</v>
      </c>
      <c r="K69" s="10" t="n">
        <f aca="false">IF(I69="","",MAX(0,1-I69-J69))</f>
        <v>0.0628662290136692</v>
      </c>
      <c r="L69" s="0" t="str">
        <f aca="false">IF(I69="","",IF(I69&gt;=0.5+Config!$B$6,"OVER",IF(J69&gt;=0.5+Config!$B$6,"UNDER","—")))</f>
        <v>—</v>
      </c>
      <c r="M69" s="0" t="n">
        <v>28.4</v>
      </c>
      <c r="N69" s="0" t="n">
        <v>33.2</v>
      </c>
      <c r="O69" s="10" t="n">
        <v>0.6</v>
      </c>
      <c r="P69" s="10" t="n">
        <v>0.7</v>
      </c>
      <c r="Q69" s="10" t="n">
        <v>0.67</v>
      </c>
      <c r="R69" s="9" t="s">
        <v>1194</v>
      </c>
      <c r="S69" s="0" t="n">
        <v>1</v>
      </c>
      <c r="T69" s="0" t="str">
        <f aca="false">INDEX(Calc!$G$2:$G$124,MATCH($W69,Calc!$A$2:$A$124,0))&amp;" / "&amp;INDEX(Calc!$H$2:$H$124,MATCH($W69,Calc!$A$2:$A$124,0))</f>
        <v>Ancient / Mirage</v>
      </c>
      <c r="U69" s="0" t="str">
        <f aca="false">TEXT(INDEX(Calc!$J$2:$J$124,MATCH($W69,Calc!$A$2:$A$124,0)),"0.0")&amp;" / "&amp;TEXT(INDEX(Calc!$K$2:$K$124,MATCH($W69,Calc!$A$2:$A$124,0)),"0.0")</f>
        <v>21.5 / 21.4</v>
      </c>
      <c r="V69" s="0" t="str">
        <f aca="false">IFERROR(INDEX(Calc!$AQ$2:$AQ$124,MATCH($W69,Calc!$A$2:$A$124,0)),"")</f>
        <v/>
      </c>
      <c r="W69" s="9" t="s">
        <v>1201</v>
      </c>
      <c r="X69" s="9" t="s">
        <v>1112</v>
      </c>
      <c r="Y69" s="0" t="str">
        <f aca="false">W69&amp;"|"&amp;X69</f>
        <v>sj7nkpqagh6m88h|CS2 · BB vs NEMI|K12</v>
      </c>
      <c r="Z69" s="11" t="n">
        <f aca="false">IFERROR(INDEX(CHOOSE(MATCH($X69,{"K1","K2","K3","K12","K13","H1","H2","H3","H12","H13"},0),Calc!$BA$2:$BA$124,Calc!$BB$2:$BB$124,Calc!$BC$2:$BC$124,Calc!$BD$2:$BD$124,Calc!$BE$2:$BE$124,Calc!$BF$2:$BF$124,Calc!$BG$2:$BG$124,Calc!$BH$2:$BH$124,Calc!$BI$2:$BI$124,Calc!$BJ$2:$BJ$124),MATCH($W69,Calc!$A$2:$A$124,0)),"")</f>
        <v>27.3279057295596</v>
      </c>
      <c r="AA69" s="11" t="n">
        <f aca="false">IF(Z69="","",IF(LEFT($X69,1)="H",SQRT(Z69*(IFERROR(INDEX(Calc!$AP$2:$AP$124,MATCH($W69,Calc!$A$2:$A$124,0)),0.5)*Config!$B$5+1-IFERROR(INDEX(Calc!$AP$2:$AP$124,MATCH($W69,Calc!$A$2:$A$124,0)),0.5))),SQRT(Z69*Config!$B$5)))</f>
        <v>6.18539150105985</v>
      </c>
      <c r="AB69" s="10" t="n">
        <f aca="false">IF(OR(F69="",Z69="",N(AA69)&lt;=0),"",1-NORMDIST(FLOOR(F69,1)+0.5,Z69,AA69,TRUE()))</f>
        <v>0.424852848035481</v>
      </c>
      <c r="AC69" s="10" t="n">
        <f aca="false">IF(AB69="","",NORMDIST(CEILING(F69,1)-0.5,Z69,AA69,TRUE()))</f>
        <v>0.511098218108781</v>
      </c>
      <c r="AD69" s="0" t="str">
        <f aca="false">IF(AB69="","",IF(AB69&gt;=0.5+Config!$B$6,"OVER",IF(AC69&gt;=0.5+Config!$B$6,"UNDER","—")))</f>
        <v>—</v>
      </c>
      <c r="AE69" s="13" t="n">
        <f aca="false">IFERROR(Z69/G69,"")</f>
        <v>0.958371548527801</v>
      </c>
    </row>
    <row r="70" customFormat="false" ht="15" hidden="false" customHeight="false" outlineLevel="0" collapsed="false">
      <c r="A70" s="0" t="s">
        <v>988</v>
      </c>
      <c r="B70" s="0" t="s">
        <v>1008</v>
      </c>
      <c r="C70" s="0" t="s">
        <v>1202</v>
      </c>
      <c r="D70" s="0" t="s">
        <v>1014</v>
      </c>
      <c r="E70" s="0" t="s">
        <v>1107</v>
      </c>
      <c r="F70" s="0" t="n">
        <v>14.5</v>
      </c>
      <c r="G70" s="11" t="n">
        <f aca="false">IFERROR(INDEX(CHOOSE(MATCH($X70,{"K1","K2","K3","K12","K13","H1","H2","H3","H12","H13"},0),Calc!$V$2:$V$124,Calc!$AC$2:$AC$124,Calc!$AJ$2:$AJ$124,Calc!$AL$2:$AL$124,Calc!$AM$2:$AM$124,Calc!$W$2:$W$124,Calc!$AD$2:$AD$124,Calc!$AK$2:$AK$124,Calc!$AN$2:$AN$124,Calc!$AO$2:$AO$124),MATCH($W70,Calc!$A$2:$A$124,0)),"")</f>
        <v>15.1250688410256</v>
      </c>
      <c r="H70" s="11" t="n">
        <f aca="false">IF(G70="","",IF(LEFT($X70,1)="H",SQRT(G70*(IFERROR(INDEX(Calc!$AP$2:$AP$124,MATCH($W70,Calc!$A$2:$A$124,0)),0.5)*Config!$B$5+1-IFERROR(INDEX(Calc!$AP$2:$AP$124,MATCH($W70,Calc!$A$2:$A$124,0)),0.5))),SQRT(G70*Config!$B$5)))</f>
        <v>4.29161622088643</v>
      </c>
      <c r="I70" s="10" t="n">
        <f aca="false">IF(OR(F70="",G70="",N(H70)&lt;=0),"",1-NORMDIST(FLOOR(F70,1)+0.5,G70,H70,TRUE()))</f>
        <v>0.557900687183747</v>
      </c>
      <c r="J70" s="10" t="n">
        <f aca="false">IF(I70="","",NORMDIST(CEILING(F70,1)-0.5,G70,H70,TRUE()))</f>
        <v>0.442099312816253</v>
      </c>
      <c r="K70" s="10" t="n">
        <f aca="false">IF(I70="","",MAX(0,1-I70-J70))</f>
        <v>0</v>
      </c>
      <c r="L70" s="0" t="str">
        <f aca="false">IF(I70="","",IF(I70&gt;=0.5+Config!$B$6,"OVER",IF(J70&gt;=0.5+Config!$B$6,"UNDER","—")))</f>
        <v>OVER</v>
      </c>
      <c r="N70" s="0" t="n">
        <v>18.9</v>
      </c>
      <c r="O70" s="10" t="n">
        <v>0.8</v>
      </c>
      <c r="P70" s="10" t="n">
        <v>0.9</v>
      </c>
      <c r="Q70" s="10" t="n">
        <v>0.67</v>
      </c>
      <c r="R70" s="9" t="s">
        <v>1191</v>
      </c>
      <c r="S70" s="0" t="n">
        <v>2</v>
      </c>
      <c r="T70" s="0" t="str">
        <f aca="false">INDEX(Calc!$G$2:$G$124,MATCH($W70,Calc!$A$2:$A$124,0))&amp;" / "&amp;INDEX(Calc!$H$2:$H$124,MATCH($W70,Calc!$A$2:$A$124,0))</f>
        <v>Ancient / Mirage</v>
      </c>
      <c r="U70" s="0" t="str">
        <f aca="false">TEXT(INDEX(Calc!$J$2:$J$124,MATCH($W70,Calc!$A$2:$A$124,0)),"0.0")&amp;" / "&amp;TEXT(INDEX(Calc!$K$2:$K$124,MATCH($W70,Calc!$A$2:$A$124,0)),"0.0")</f>
        <v>21.5 / 21.4</v>
      </c>
      <c r="V70" s="0" t="str">
        <f aca="false">IFERROR(INDEX(Calc!$AQ$2:$AQ$124,MATCH($W70,Calc!$A$2:$A$124,0)),"")</f>
        <v/>
      </c>
      <c r="W70" s="9" t="s">
        <v>1203</v>
      </c>
      <c r="X70" s="9" t="s">
        <v>1110</v>
      </c>
      <c r="Y70" s="0" t="str">
        <f aca="false">W70&amp;"|"&amp;X70</f>
        <v>ewe4j1nrqwzs0q7|CS2 · BB vs NEMI|H12</v>
      </c>
      <c r="Z70" s="11" t="n">
        <f aca="false">IFERROR(INDEX(CHOOSE(MATCH($X70,{"K1","K2","K3","K12","K13","H1","H2","H3","H12","H13"},0),Calc!$BA$2:$BA$124,Calc!$BB$2:$BB$124,Calc!$BC$2:$BC$124,Calc!$BD$2:$BD$124,Calc!$BE$2:$BE$124,Calc!$BF$2:$BF$124,Calc!$BG$2:$BG$124,Calc!$BH$2:$BH$124,Calc!$BI$2:$BI$124,Calc!$BJ$2:$BJ$124),MATCH($W70,Calc!$A$2:$A$124,0)),"")</f>
        <v>14.4961975371293</v>
      </c>
      <c r="AA70" s="11" t="n">
        <f aca="false">IF(Z70="","",IF(LEFT($X70,1)="H",SQRT(Z70*(IFERROR(INDEX(Calc!$AP$2:$AP$124,MATCH($W70,Calc!$A$2:$A$124,0)),0.5)*Config!$B$5+1-IFERROR(INDEX(Calc!$AP$2:$AP$124,MATCH($W70,Calc!$A$2:$A$124,0)),0.5))),SQRT(Z70*Config!$B$5)))</f>
        <v>4.20145046245955</v>
      </c>
      <c r="AB70" s="10" t="n">
        <f aca="false">IF(OR(F70="",Z70="",N(AA70)&lt;=0),"",1-NORMDIST(FLOOR(F70,1)+0.5,Z70,AA70,TRUE()))</f>
        <v>0.49963894302331</v>
      </c>
      <c r="AC70" s="10" t="n">
        <f aca="false">IF(AB70="","",NORMDIST(CEILING(F70,1)-0.5,Z70,AA70,TRUE()))</f>
        <v>0.50036105697669</v>
      </c>
      <c r="AD70" s="0" t="str">
        <f aca="false">IF(AB70="","",IF(AB70&gt;=0.5+Config!$B$6,"OVER",IF(AC70&gt;=0.5+Config!$B$6,"UNDER","—")))</f>
        <v>—</v>
      </c>
      <c r="AE70" s="13" t="n">
        <f aca="false">IFERROR(Z70/G70,"")</f>
        <v>0.958421921215289</v>
      </c>
    </row>
    <row r="71" customFormat="false" ht="15" hidden="false" customHeight="false" outlineLevel="0" collapsed="false">
      <c r="A71" s="0" t="s">
        <v>988</v>
      </c>
      <c r="B71" s="0" t="s">
        <v>1008</v>
      </c>
      <c r="C71" s="0" t="s">
        <v>1202</v>
      </c>
      <c r="D71" s="0" t="s">
        <v>1014</v>
      </c>
      <c r="E71" s="0" t="s">
        <v>1111</v>
      </c>
      <c r="F71" s="0" t="n">
        <v>26</v>
      </c>
      <c r="G71" s="11" t="n">
        <f aca="false">IFERROR(INDEX(CHOOSE(MATCH($X71,{"K1","K2","K3","K12","K13","H1","H2","H3","H12","H13"},0),Calc!$V$2:$V$124,Calc!$AC$2:$AC$124,Calc!$AJ$2:$AJ$124,Calc!$AL$2:$AL$124,Calc!$AM$2:$AM$124,Calc!$W$2:$W$124,Calc!$AD$2:$AD$124,Calc!$AK$2:$AK$124,Calc!$AN$2:$AN$124,Calc!$AO$2:$AO$124),MATCH($W71,Calc!$A$2:$A$124,0)),"")</f>
        <v>27.7892</v>
      </c>
      <c r="H71" s="11" t="n">
        <f aca="false">IF(G71="","",IF(LEFT($X71,1)="H",SQRT(G71*(IFERROR(INDEX(Calc!$AP$2:$AP$124,MATCH($W71,Calc!$A$2:$A$124,0)),0.5)*Config!$B$5+1-IFERROR(INDEX(Calc!$AP$2:$AP$124,MATCH($W71,Calc!$A$2:$A$124,0)),0.5))),SQRT(G71*Config!$B$5)))</f>
        <v>6.23737765411074</v>
      </c>
      <c r="I71" s="10" t="n">
        <f aca="false">IF(OR(F71="",G71="",N(H71)&lt;=0),"",1-NORMDIST(FLOOR(F71,1)+0.5,G71,H71,TRUE()))</f>
        <v>0.581873791596764</v>
      </c>
      <c r="J71" s="10" t="n">
        <f aca="false">IF(I71="","",NORMDIST(CEILING(F71,1)-0.5,G71,H71,TRUE()))</f>
        <v>0.356804581897342</v>
      </c>
      <c r="K71" s="10" t="n">
        <f aca="false">IF(I71="","",MAX(0,1-I71-J71))</f>
        <v>0.0613216265058936</v>
      </c>
      <c r="L71" s="0" t="str">
        <f aca="false">IF(I71="","",IF(I71&gt;=0.5+Config!$B$6,"OVER",IF(J71&gt;=0.5+Config!$B$6,"UNDER","—")))</f>
        <v>OVER</v>
      </c>
      <c r="M71" s="0" t="n">
        <v>26.11</v>
      </c>
      <c r="N71" s="0" t="n">
        <v>35.9</v>
      </c>
      <c r="O71" s="10" t="n">
        <v>0.8</v>
      </c>
      <c r="P71" s="10" t="n">
        <v>0.9</v>
      </c>
      <c r="Q71" s="10" t="n">
        <v>0.67</v>
      </c>
      <c r="R71" s="9" t="s">
        <v>1118</v>
      </c>
      <c r="S71" s="0" t="n">
        <v>2</v>
      </c>
      <c r="T71" s="0" t="str">
        <f aca="false">INDEX(Calc!$G$2:$G$124,MATCH($W71,Calc!$A$2:$A$124,0))&amp;" / "&amp;INDEX(Calc!$H$2:$H$124,MATCH($W71,Calc!$A$2:$A$124,0))</f>
        <v>Ancient / Mirage</v>
      </c>
      <c r="U71" s="0" t="str">
        <f aca="false">TEXT(INDEX(Calc!$J$2:$J$124,MATCH($W71,Calc!$A$2:$A$124,0)),"0.0")&amp;" / "&amp;TEXT(INDEX(Calc!$K$2:$K$124,MATCH($W71,Calc!$A$2:$A$124,0)),"0.0")</f>
        <v>21.5 / 21.4</v>
      </c>
      <c r="V71" s="0" t="str">
        <f aca="false">IFERROR(INDEX(Calc!$AQ$2:$AQ$124,MATCH($W71,Calc!$A$2:$A$124,0)),"")</f>
        <v/>
      </c>
      <c r="W71" s="9" t="s">
        <v>1203</v>
      </c>
      <c r="X71" s="9" t="s">
        <v>1112</v>
      </c>
      <c r="Y71" s="0" t="str">
        <f aca="false">W71&amp;"|"&amp;X71</f>
        <v>ewe4j1nrqwzs0q7|CS2 · BB vs NEMI|K12</v>
      </c>
      <c r="Z71" s="11" t="n">
        <f aca="false">IFERROR(INDEX(CHOOSE(MATCH($X71,{"K1","K2","K3","K12","K13","H1","H2","H3","H12","H13"},0),Calc!$BA$2:$BA$124,Calc!$BB$2:$BB$124,Calc!$BC$2:$BC$124,Calc!$BD$2:$BD$124,Calc!$BE$2:$BE$124,Calc!$BF$2:$BF$124,Calc!$BG$2:$BG$124,Calc!$BH$2:$BH$124,Calc!$BI$2:$BI$124,Calc!$BJ$2:$BJ$124),MATCH($W71,Calc!$A$2:$A$124,0)),"")</f>
        <v>26.6335296004612</v>
      </c>
      <c r="AA71" s="11" t="n">
        <f aca="false">IF(Z71="","",IF(LEFT($X71,1)="H",SQRT(Z71*(IFERROR(INDEX(Calc!$AP$2:$AP$124,MATCH($W71,Calc!$A$2:$A$124,0)),0.5)*Config!$B$5+1-IFERROR(INDEX(Calc!$AP$2:$AP$124,MATCH($W71,Calc!$A$2:$A$124,0)),0.5))),SQRT(Z71*Config!$B$5)))</f>
        <v>6.10630341865238</v>
      </c>
      <c r="AB71" s="10" t="n">
        <f aca="false">IF(OR(F71="",Z71="",N(AA71)&lt;=0),"",1-NORMDIST(FLOOR(F71,1)+0.5,Z71,AA71,TRUE()))</f>
        <v>0.508723175774993</v>
      </c>
      <c r="AC71" s="10" t="n">
        <f aca="false">IF(AB71="","",NORMDIST(CEILING(F71,1)-0.5,Z71,AA71,TRUE()))</f>
        <v>0.426366403543412</v>
      </c>
      <c r="AD71" s="0" t="str">
        <f aca="false">IF(AB71="","",IF(AB71&gt;=0.5+Config!$B$6,"OVER",IF(AC71&gt;=0.5+Config!$B$6,"UNDER","—")))</f>
        <v>—</v>
      </c>
      <c r="AE71" s="13" t="n">
        <f aca="false">IFERROR(Z71/G71,"")</f>
        <v>0.958412966204901</v>
      </c>
    </row>
    <row r="72" customFormat="false" ht="15" hidden="false" customHeight="false" outlineLevel="0" collapsed="false">
      <c r="A72" s="0" t="s">
        <v>988</v>
      </c>
      <c r="B72" s="0" t="s">
        <v>1008</v>
      </c>
      <c r="C72" s="0" t="s">
        <v>1204</v>
      </c>
      <c r="D72" s="0" t="s">
        <v>1014</v>
      </c>
      <c r="E72" s="0" t="s">
        <v>1107</v>
      </c>
      <c r="F72" s="0" t="n">
        <v>15.5</v>
      </c>
      <c r="G72" s="11" t="n">
        <f aca="false">IFERROR(INDEX(CHOOSE(MATCH($X72,{"K1","K2","K3","K12","K13","H1","H2","H3","H12","H13"},0),Calc!$V$2:$V$124,Calc!$AC$2:$AC$124,Calc!$AJ$2:$AJ$124,Calc!$AL$2:$AL$124,Calc!$AM$2:$AM$124,Calc!$W$2:$W$124,Calc!$AD$2:$AD$124,Calc!$AK$2:$AK$124,Calc!$AN$2:$AN$124,Calc!$AO$2:$AO$124),MATCH($W72,Calc!$A$2:$A$124,0)),"")</f>
        <v>17.2978182473373</v>
      </c>
      <c r="H72" s="11" t="n">
        <f aca="false">IF(G72="","",IF(LEFT($X72,1)="H",SQRT(G72*(IFERROR(INDEX(Calc!$AP$2:$AP$124,MATCH($W72,Calc!$A$2:$A$124,0)),0.5)*Config!$B$5+1-IFERROR(INDEX(Calc!$AP$2:$AP$124,MATCH($W72,Calc!$A$2:$A$124,0)),0.5))),SQRT(G72*Config!$B$5)))</f>
        <v>4.58736639508795</v>
      </c>
      <c r="I72" s="10" t="n">
        <f aca="false">IF(OR(F72="",G72="",N(H72)&lt;=0),"",1-NORMDIST(FLOOR(F72,1)+0.5,G72,H72,TRUE()))</f>
        <v>0.652436312840533</v>
      </c>
      <c r="J72" s="10" t="n">
        <f aca="false">IF(I72="","",NORMDIST(CEILING(F72,1)-0.5,G72,H72,TRUE()))</f>
        <v>0.347563687159467</v>
      </c>
      <c r="K72" s="10" t="n">
        <f aca="false">IF(I72="","",MAX(0,1-I72-J72))</f>
        <v>0</v>
      </c>
      <c r="L72" s="0" t="str">
        <f aca="false">IF(I72="","",IF(I72&gt;=0.5+Config!$B$6,"OVER",IF(J72&gt;=0.5+Config!$B$6,"UNDER","—")))</f>
        <v>OVER</v>
      </c>
      <c r="N72" s="0" t="n">
        <v>20</v>
      </c>
      <c r="O72" s="10" t="n">
        <v>1</v>
      </c>
      <c r="P72" s="10" t="n">
        <v>0.8</v>
      </c>
      <c r="Q72" s="10" t="n">
        <v>0.73</v>
      </c>
      <c r="R72" s="9" t="s">
        <v>1118</v>
      </c>
      <c r="S72" s="0" t="n">
        <v>5</v>
      </c>
      <c r="T72" s="0" t="str">
        <f aca="false">INDEX(Calc!$G$2:$G$124,MATCH($W72,Calc!$A$2:$A$124,0))&amp;" / "&amp;INDEX(Calc!$H$2:$H$124,MATCH($W72,Calc!$A$2:$A$124,0))</f>
        <v>Ancient / Mirage</v>
      </c>
      <c r="U72" s="0" t="str">
        <f aca="false">TEXT(INDEX(Calc!$J$2:$J$124,MATCH($W72,Calc!$A$2:$A$124,0)),"0.0")&amp;" / "&amp;TEXT(INDEX(Calc!$K$2:$K$124,MATCH($W72,Calc!$A$2:$A$124,0)),"0.0")</f>
        <v>21.5 / 21.4</v>
      </c>
      <c r="V72" s="0" t="str">
        <f aca="false">IFERROR(INDEX(Calc!$AQ$2:$AQ$124,MATCH($W72,Calc!$A$2:$A$124,0)),"")</f>
        <v/>
      </c>
      <c r="W72" s="9" t="s">
        <v>1205</v>
      </c>
      <c r="X72" s="9" t="s">
        <v>1110</v>
      </c>
      <c r="Y72" s="0" t="str">
        <f aca="false">W72&amp;"|"&amp;X72</f>
        <v>f00llyg1ocypenv|CS2 · BB vs NEMI|H12</v>
      </c>
      <c r="Z72" s="11" t="n">
        <f aca="false">IFERROR(INDEX(CHOOSE(MATCH($X72,{"K1","K2","K3","K12","K13","H1","H2","H3","H12","H13"},0),Calc!$BA$2:$BA$124,Calc!$BB$2:$BB$124,Calc!$BC$2:$BC$124,Calc!$BD$2:$BD$124,Calc!$BE$2:$BE$124,Calc!$BF$2:$BF$124,Calc!$BG$2:$BG$124,Calc!$BH$2:$BH$124,Calc!$BI$2:$BI$124,Calc!$BJ$2:$BJ$124),MATCH($W72,Calc!$A$2:$A$124,0)),"")</f>
        <v>16.5795426767178</v>
      </c>
      <c r="AA72" s="11" t="n">
        <f aca="false">IF(Z72="","",IF(LEFT($X72,1)="H",SQRT(Z72*(IFERROR(INDEX(Calc!$AP$2:$AP$124,MATCH($W72,Calc!$A$2:$A$124,0)),0.5)*Config!$B$5+1-IFERROR(INDEX(Calc!$AP$2:$AP$124,MATCH($W72,Calc!$A$2:$A$124,0)),0.5))),SQRT(Z72*Config!$B$5)))</f>
        <v>4.49111357017589</v>
      </c>
      <c r="AB72" s="10" t="n">
        <f aca="false">IF(OR(F72="",Z72="",N(AA72)&lt;=0),"",1-NORMDIST(FLOOR(F72,1)+0.5,Z72,AA72,TRUE()))</f>
        <v>0.594979466459122</v>
      </c>
      <c r="AC72" s="10" t="n">
        <f aca="false">IF(AB72="","",NORMDIST(CEILING(F72,1)-0.5,Z72,AA72,TRUE()))</f>
        <v>0.405020533540878</v>
      </c>
      <c r="AD72" s="0" t="str">
        <f aca="false">IF(AB72="","",IF(AB72&gt;=0.5+Config!$B$6,"OVER",IF(AC72&gt;=0.5+Config!$B$6,"UNDER","—")))</f>
        <v>OVER</v>
      </c>
      <c r="AE72" s="13" t="n">
        <f aca="false">IFERROR(Z72/G72,"")</f>
        <v>0.958475944171166</v>
      </c>
    </row>
    <row r="73" customFormat="false" ht="15" hidden="false" customHeight="false" outlineLevel="0" collapsed="false">
      <c r="A73" s="0" t="s">
        <v>988</v>
      </c>
      <c r="B73" s="0" t="s">
        <v>1008</v>
      </c>
      <c r="C73" s="0" t="s">
        <v>1204</v>
      </c>
      <c r="D73" s="0" t="s">
        <v>1014</v>
      </c>
      <c r="E73" s="0" t="s">
        <v>1111</v>
      </c>
      <c r="F73" s="0" t="n">
        <v>28</v>
      </c>
      <c r="G73" s="11" t="n">
        <f aca="false">IFERROR(INDEX(CHOOSE(MATCH($X73,{"K1","K2","K3","K12","K13","H1","H2","H3","H12","H13"},0),Calc!$V$2:$V$124,Calc!$AC$2:$AC$124,Calc!$AJ$2:$AJ$124,Calc!$AL$2:$AL$124,Calc!$AM$2:$AM$124,Calc!$W$2:$W$124,Calc!$AD$2:$AD$124,Calc!$AK$2:$AK$124,Calc!$AN$2:$AN$124,Calc!$AO$2:$AO$124),MATCH($W73,Calc!$A$2:$A$124,0)),"")</f>
        <v>31.9493384615385</v>
      </c>
      <c r="H73" s="11" t="n">
        <f aca="false">IF(G73="","",IF(LEFT($X73,1)="H",SQRT(G73*(IFERROR(INDEX(Calc!$AP$2:$AP$124,MATCH($W73,Calc!$A$2:$A$124,0)),0.5)*Config!$B$5+1-IFERROR(INDEX(Calc!$AP$2:$AP$124,MATCH($W73,Calc!$A$2:$A$124,0)),0.5))),SQRT(G73*Config!$B$5)))</f>
        <v>6.68797980306115</v>
      </c>
      <c r="I73" s="10" t="n">
        <f aca="false">IF(OR(F73="",G73="",N(H73)&lt;=0),"",1-NORMDIST(FLOOR(F73,1)+0.5,G73,H73,TRUE()))</f>
        <v>0.696986158447289</v>
      </c>
      <c r="J73" s="10" t="n">
        <f aca="false">IF(I73="","",NORMDIST(CEILING(F73,1)-0.5,G73,H73,TRUE()))</f>
        <v>0.252937657934138</v>
      </c>
      <c r="K73" s="10" t="n">
        <f aca="false">IF(I73="","",MAX(0,1-I73-J73))</f>
        <v>0.0500761836185727</v>
      </c>
      <c r="L73" s="0" t="str">
        <f aca="false">IF(I73="","",IF(I73&gt;=0.5+Config!$B$6,"OVER",IF(J73&gt;=0.5+Config!$B$6,"UNDER","—")))</f>
        <v>OVER</v>
      </c>
      <c r="M73" s="0" t="n">
        <v>28.15</v>
      </c>
      <c r="N73" s="0" t="n">
        <v>35.5</v>
      </c>
      <c r="O73" s="10" t="n">
        <v>1</v>
      </c>
      <c r="P73" s="10" t="n">
        <v>0.9</v>
      </c>
      <c r="Q73" s="10" t="n">
        <v>0.87</v>
      </c>
      <c r="R73" s="9" t="s">
        <v>1118</v>
      </c>
      <c r="S73" s="0" t="n">
        <v>9</v>
      </c>
      <c r="T73" s="0" t="str">
        <f aca="false">INDEX(Calc!$G$2:$G$124,MATCH($W73,Calc!$A$2:$A$124,0))&amp;" / "&amp;INDEX(Calc!$H$2:$H$124,MATCH($W73,Calc!$A$2:$A$124,0))</f>
        <v>Ancient / Mirage</v>
      </c>
      <c r="U73" s="0" t="str">
        <f aca="false">TEXT(INDEX(Calc!$J$2:$J$124,MATCH($W73,Calc!$A$2:$A$124,0)),"0.0")&amp;" / "&amp;TEXT(INDEX(Calc!$K$2:$K$124,MATCH($W73,Calc!$A$2:$A$124,0)),"0.0")</f>
        <v>21.5 / 21.4</v>
      </c>
      <c r="V73" s="0" t="str">
        <f aca="false">IFERROR(INDEX(Calc!$AQ$2:$AQ$124,MATCH($W73,Calc!$A$2:$A$124,0)),"")</f>
        <v/>
      </c>
      <c r="W73" s="9" t="s">
        <v>1205</v>
      </c>
      <c r="X73" s="9" t="s">
        <v>1112</v>
      </c>
      <c r="Y73" s="0" t="str">
        <f aca="false">W73&amp;"|"&amp;X73</f>
        <v>f00llyg1ocypenv|CS2 · BB vs NEMI|K12</v>
      </c>
      <c r="Z73" s="11" t="n">
        <f aca="false">IFERROR(INDEX(CHOOSE(MATCH($X73,{"K1","K2","K3","K12","K13","H1","H2","H3","H12","H13"},0),Calc!$BA$2:$BA$124,Calc!$BB$2:$BB$124,Calc!$BC$2:$BC$124,Calc!$BD$2:$BD$124,Calc!$BE$2:$BE$124,Calc!$BF$2:$BF$124,Calc!$BG$2:$BG$124,Calc!$BH$2:$BH$124,Calc!$BI$2:$BI$124,Calc!$BJ$2:$BJ$124),MATCH($W73,Calc!$A$2:$A$124,0)),"")</f>
        <v>30.6207238804255</v>
      </c>
      <c r="AA73" s="11" t="n">
        <f aca="false">IF(Z73="","",IF(LEFT($X73,1)="H",SQRT(Z73*(IFERROR(INDEX(Calc!$AP$2:$AP$124,MATCH($W73,Calc!$A$2:$A$124,0)),0.5)*Config!$B$5+1-IFERROR(INDEX(Calc!$AP$2:$AP$124,MATCH($W73,Calc!$A$2:$A$124,0)),0.5))),SQRT(Z73*Config!$B$5)))</f>
        <v>6.54744327448476</v>
      </c>
      <c r="AB73" s="10" t="n">
        <f aca="false">IF(OR(F73="",Z73="",N(AA73)&lt;=0),"",1-NORMDIST(FLOOR(F73,1)+0.5,Z73,AA73,TRUE()))</f>
        <v>0.626993532947724</v>
      </c>
      <c r="AC73" s="10" t="n">
        <f aca="false">IF(AB73="","",NORMDIST(CEILING(F73,1)-0.5,Z73,AA73,TRUE()))</f>
        <v>0.316811938639632</v>
      </c>
      <c r="AD73" s="0" t="str">
        <f aca="false">IF(AB73="","",IF(AB73&gt;=0.5+Config!$B$6,"OVER",IF(AC73&gt;=0.5+Config!$B$6,"UNDER","—")))</f>
        <v>OVER</v>
      </c>
      <c r="AE73" s="13" t="n">
        <f aca="false">IFERROR(Z73/G73,"")</f>
        <v>0.958414958021357</v>
      </c>
    </row>
    <row r="74" customFormat="false" ht="15" hidden="false" customHeight="false" outlineLevel="0" collapsed="false">
      <c r="A74" s="0" t="s">
        <v>988</v>
      </c>
      <c r="B74" s="0" t="s">
        <v>1008</v>
      </c>
      <c r="C74" s="0" t="s">
        <v>1206</v>
      </c>
      <c r="D74" s="0" t="s">
        <v>1014</v>
      </c>
      <c r="E74" s="0" t="s">
        <v>1107</v>
      </c>
      <c r="F74" s="0" t="n">
        <v>14.5</v>
      </c>
      <c r="G74" s="11" t="n">
        <f aca="false">IFERROR(INDEX(CHOOSE(MATCH($X74,{"K1","K2","K3","K12","K13","H1","H2","H3","H12","H13"},0),Calc!$V$2:$V$124,Calc!$AC$2:$AC$124,Calc!$AJ$2:$AJ$124,Calc!$AL$2:$AL$124,Calc!$AM$2:$AM$124,Calc!$W$2:$W$124,Calc!$AD$2:$AD$124,Calc!$AK$2:$AK$124,Calc!$AN$2:$AN$124,Calc!$AO$2:$AO$124),MATCH($W74,Calc!$A$2:$A$124,0)),"")</f>
        <v>17.4541328544379</v>
      </c>
      <c r="H74" s="11" t="n">
        <f aca="false">IF(G74="","",IF(LEFT($X74,1)="H",SQRT(G74*(IFERROR(INDEX(Calc!$AP$2:$AP$124,MATCH($W74,Calc!$A$2:$A$124,0)),0.5)*Config!$B$5+1-IFERROR(INDEX(Calc!$AP$2:$AP$124,MATCH($W74,Calc!$A$2:$A$124,0)),0.5))),SQRT(G74*Config!$B$5)))</f>
        <v>4.62676977866084</v>
      </c>
      <c r="I74" s="10" t="n">
        <f aca="false">IF(OR(F74="",G74="",N(H74)&lt;=0),"",1-NORMDIST(FLOOR(F74,1)+0.5,G74,H74,TRUE()))</f>
        <v>0.738421678169214</v>
      </c>
      <c r="J74" s="10" t="n">
        <f aca="false">IF(I74="","",NORMDIST(CEILING(F74,1)-0.5,G74,H74,TRUE()))</f>
        <v>0.261578321830786</v>
      </c>
      <c r="K74" s="10" t="n">
        <f aca="false">IF(I74="","",MAX(0,1-I74-J74))</f>
        <v>0</v>
      </c>
      <c r="L74" s="0" t="str">
        <f aca="false">IF(I74="","",IF(I74&gt;=0.5+Config!$B$6,"OVER",IF(J74&gt;=0.5+Config!$B$6,"UNDER","—")))</f>
        <v>OVER</v>
      </c>
      <c r="N74" s="0" t="n">
        <v>19</v>
      </c>
      <c r="O74" s="10" t="n">
        <v>0.8</v>
      </c>
      <c r="P74" s="10" t="n">
        <v>0.7</v>
      </c>
      <c r="Q74" s="10" t="n">
        <v>0.73</v>
      </c>
      <c r="R74" s="9" t="s">
        <v>1207</v>
      </c>
      <c r="S74" s="0" t="n">
        <v>3</v>
      </c>
      <c r="T74" s="0" t="str">
        <f aca="false">INDEX(Calc!$G$2:$G$124,MATCH($W74,Calc!$A$2:$A$124,0))&amp;" / "&amp;INDEX(Calc!$H$2:$H$124,MATCH($W74,Calc!$A$2:$A$124,0))</f>
        <v>Ancient / Mirage</v>
      </c>
      <c r="U74" s="0" t="str">
        <f aca="false">TEXT(INDEX(Calc!$J$2:$J$124,MATCH($W74,Calc!$A$2:$A$124,0)),"0.0")&amp;" / "&amp;TEXT(INDEX(Calc!$K$2:$K$124,MATCH($W74,Calc!$A$2:$A$124,0)),"0.0")</f>
        <v>21.5 / 21.4</v>
      </c>
      <c r="V74" s="0" t="str">
        <f aca="false">IFERROR(INDEX(Calc!$AQ$2:$AQ$124,MATCH($W74,Calc!$A$2:$A$124,0)),"")</f>
        <v/>
      </c>
      <c r="W74" s="9" t="s">
        <v>1208</v>
      </c>
      <c r="X74" s="9" t="s">
        <v>1110</v>
      </c>
      <c r="Y74" s="0" t="str">
        <f aca="false">W74&amp;"|"&amp;X74</f>
        <v>jc1nf38p0b44dfy|CS2 · BB vs NEMI|H12</v>
      </c>
      <c r="Z74" s="11" t="n">
        <f aca="false">IFERROR(INDEX(CHOOSE(MATCH($X74,{"K1","K2","K3","K12","K13","H1","H2","H3","H12","H13"},0),Calc!$BA$2:$BA$124,Calc!$BB$2:$BB$124,Calc!$BC$2:$BC$124,Calc!$BD$2:$BD$124,Calc!$BE$2:$BE$124,Calc!$BF$2:$BF$124,Calc!$BG$2:$BG$124,Calc!$BH$2:$BH$124,Calc!$BI$2:$BI$124,Calc!$BJ$2:$BJ$124),MATCH($W74,Calc!$A$2:$A$124,0)),"")</f>
        <v>16.7281125107905</v>
      </c>
      <c r="AA74" s="11" t="n">
        <f aca="false">IF(Z74="","",IF(LEFT($X74,1)="H",SQRT(Z74*(IFERROR(INDEX(Calc!$AP$2:$AP$124,MATCH($W74,Calc!$A$2:$A$124,0)),0.5)*Config!$B$5+1-IFERROR(INDEX(Calc!$AP$2:$AP$124,MATCH($W74,Calc!$A$2:$A$124,0)),0.5))),SQRT(Z74*Config!$B$5)))</f>
        <v>4.5295204203361</v>
      </c>
      <c r="AB74" s="10" t="n">
        <f aca="false">IF(OR(F74="",Z74="",N(AA74)&lt;=0),"",1-NORMDIST(FLOOR(F74,1)+0.5,Z74,AA74,TRUE()))</f>
        <v>0.688608212937834</v>
      </c>
      <c r="AC74" s="10" t="n">
        <f aca="false">IF(AB74="","",NORMDIST(CEILING(F74,1)-0.5,Z74,AA74,TRUE()))</f>
        <v>0.311391787062166</v>
      </c>
      <c r="AD74" s="0" t="str">
        <f aca="false">IF(AB74="","",IF(AB74&gt;=0.5+Config!$B$6,"OVER",IF(AC74&gt;=0.5+Config!$B$6,"UNDER","—")))</f>
        <v>OVER</v>
      </c>
      <c r="AE74" s="13" t="n">
        <f aca="false">IFERROR(Z74/G74,"")</f>
        <v>0.958404101211894</v>
      </c>
    </row>
    <row r="75" customFormat="false" ht="15" hidden="false" customHeight="false" outlineLevel="0" collapsed="false">
      <c r="A75" s="0" t="s">
        <v>988</v>
      </c>
      <c r="B75" s="0" t="s">
        <v>1008</v>
      </c>
      <c r="C75" s="0" t="s">
        <v>1206</v>
      </c>
      <c r="D75" s="0" t="s">
        <v>1014</v>
      </c>
      <c r="E75" s="0" t="s">
        <v>1111</v>
      </c>
      <c r="F75" s="0" t="n">
        <v>26.5</v>
      </c>
      <c r="G75" s="11" t="n">
        <f aca="false">IFERROR(INDEX(CHOOSE(MATCH($X75,{"K1","K2","K3","K12","K13","H1","H2","H3","H12","H13"},0),Calc!$V$2:$V$124,Calc!$AC$2:$AC$124,Calc!$AJ$2:$AJ$124,Calc!$AL$2:$AL$124,Calc!$AM$2:$AM$124,Calc!$W$2:$W$124,Calc!$AD$2:$AD$124,Calc!$AK$2:$AK$124,Calc!$AN$2:$AN$124,Calc!$AO$2:$AO$124),MATCH($W75,Calc!$A$2:$A$124,0)),"")</f>
        <v>30.8279384615385</v>
      </c>
      <c r="H75" s="11" t="n">
        <f aca="false">IF(G75="","",IF(LEFT($X75,1)="H",SQRT(G75*(IFERROR(INDEX(Calc!$AP$2:$AP$124,MATCH($W75,Calc!$A$2:$A$124,0)),0.5)*Config!$B$5+1-IFERROR(INDEX(Calc!$AP$2:$AP$124,MATCH($W75,Calc!$A$2:$A$124,0)),0.5))),SQRT(G75*Config!$B$5)))</f>
        <v>6.56955963867852</v>
      </c>
      <c r="I75" s="10" t="n">
        <f aca="false">IF(OR(F75="",G75="",N(H75)&lt;=0),"",1-NORMDIST(FLOOR(F75,1)+0.5,G75,H75,TRUE()))</f>
        <v>0.744983622852127</v>
      </c>
      <c r="J75" s="10" t="n">
        <f aca="false">IF(I75="","",NORMDIST(CEILING(F75,1)-0.5,G75,H75,TRUE()))</f>
        <v>0.255016377147873</v>
      </c>
      <c r="K75" s="10" t="n">
        <f aca="false">IF(I75="","",MAX(0,1-I75-J75))</f>
        <v>0</v>
      </c>
      <c r="L75" s="0" t="str">
        <f aca="false">IF(I75="","",IF(I75&gt;=0.5+Config!$B$6,"OVER",IF(J75&gt;=0.5+Config!$B$6,"UNDER","—")))</f>
        <v>OVER</v>
      </c>
      <c r="M75" s="0" t="n">
        <v>27.54</v>
      </c>
      <c r="N75" s="0" t="n">
        <v>35.4</v>
      </c>
      <c r="O75" s="10" t="n">
        <v>1</v>
      </c>
      <c r="P75" s="10" t="n">
        <v>0.9</v>
      </c>
      <c r="Q75" s="10" t="n">
        <v>0.87</v>
      </c>
      <c r="R75" s="9" t="s">
        <v>1173</v>
      </c>
      <c r="S75" s="0" t="n">
        <v>7</v>
      </c>
      <c r="T75" s="0" t="str">
        <f aca="false">INDEX(Calc!$G$2:$G$124,MATCH($W75,Calc!$A$2:$A$124,0))&amp;" / "&amp;INDEX(Calc!$H$2:$H$124,MATCH($W75,Calc!$A$2:$A$124,0))</f>
        <v>Ancient / Mirage</v>
      </c>
      <c r="U75" s="0" t="str">
        <f aca="false">TEXT(INDEX(Calc!$J$2:$J$124,MATCH($W75,Calc!$A$2:$A$124,0)),"0.0")&amp;" / "&amp;TEXT(INDEX(Calc!$K$2:$K$124,MATCH($W75,Calc!$A$2:$A$124,0)),"0.0")</f>
        <v>21.5 / 21.4</v>
      </c>
      <c r="V75" s="0" t="str">
        <f aca="false">IFERROR(INDEX(Calc!$AQ$2:$AQ$124,MATCH($W75,Calc!$A$2:$A$124,0)),"")</f>
        <v/>
      </c>
      <c r="W75" s="9" t="s">
        <v>1208</v>
      </c>
      <c r="X75" s="9" t="s">
        <v>1112</v>
      </c>
      <c r="Y75" s="0" t="str">
        <f aca="false">W75&amp;"|"&amp;X75</f>
        <v>jc1nf38p0b44dfy|CS2 · BB vs NEMI|K12</v>
      </c>
      <c r="Z75" s="11" t="n">
        <f aca="false">IFERROR(INDEX(CHOOSE(MATCH($X75,{"K1","K2","K3","K12","K13","H1","H2","H3","H12","H13"},0),Calc!$BA$2:$BA$124,Calc!$BB$2:$BB$124,Calc!$BC$2:$BC$124,Calc!$BD$2:$BD$124,Calc!$BE$2:$BE$124,Calc!$BF$2:$BF$124,Calc!$BG$2:$BG$124,Calc!$BH$2:$BH$124,Calc!$BI$2:$BI$124,Calc!$BJ$2:$BJ$124),MATCH($W75,Calc!$A$2:$A$124,0)),"")</f>
        <v>29.5468221293175</v>
      </c>
      <c r="AA75" s="11" t="n">
        <f aca="false">IF(Z75="","",IF(LEFT($X75,1)="H",SQRT(Z75*(IFERROR(INDEX(Calc!$AP$2:$AP$124,MATCH($W75,Calc!$A$2:$A$124,0)),0.5)*Config!$B$5+1-IFERROR(INDEX(Calc!$AP$2:$AP$124,MATCH($W75,Calc!$A$2:$A$124,0)),0.5))),SQRT(Z75*Config!$B$5)))</f>
        <v>6.43160563009304</v>
      </c>
      <c r="AB75" s="10" t="n">
        <f aca="false">IF(OR(F75="",Z75="",N(AA75)&lt;=0),"",1-NORMDIST(FLOOR(F75,1)+0.5,Z75,AA75,TRUE()))</f>
        <v>0.682152529036845</v>
      </c>
      <c r="AC75" s="10" t="n">
        <f aca="false">IF(AB75="","",NORMDIST(CEILING(F75,1)-0.5,Z75,AA75,TRUE()))</f>
        <v>0.317847470963155</v>
      </c>
      <c r="AD75" s="0" t="str">
        <f aca="false">IF(AB75="","",IF(AB75&gt;=0.5+Config!$B$6,"OVER",IF(AC75&gt;=0.5+Config!$B$6,"UNDER","—")))</f>
        <v>OVER</v>
      </c>
      <c r="AE75" s="13" t="n">
        <f aca="false">IFERROR(Z75/G75,"")</f>
        <v>0.958443009939853</v>
      </c>
    </row>
    <row r="76" customFormat="false" ht="15" hidden="false" customHeight="false" outlineLevel="0" collapsed="false">
      <c r="A76" s="0" t="s">
        <v>988</v>
      </c>
      <c r="B76" s="0" t="s">
        <v>1072</v>
      </c>
      <c r="C76" s="0" t="s">
        <v>1209</v>
      </c>
      <c r="D76" s="0" t="s">
        <v>1076</v>
      </c>
      <c r="E76" s="0" t="s">
        <v>1107</v>
      </c>
      <c r="F76" s="0" t="n">
        <v>19.5</v>
      </c>
      <c r="G76" s="11" t="n">
        <f aca="false">IFERROR(INDEX(CHOOSE(MATCH($X76,{"K1","K2","K3","K12","K13","H1","H2","H3","H12","H13"},0),Calc!$V$2:$V$124,Calc!$AC$2:$AC$124,Calc!$AJ$2:$AJ$124,Calc!$AL$2:$AL$124,Calc!$AM$2:$AM$124,Calc!$W$2:$W$124,Calc!$AD$2:$AD$124,Calc!$AK$2:$AK$124,Calc!$AN$2:$AN$124,Calc!$AO$2:$AO$124),MATCH($W76,Calc!$A$2:$A$124,0)),"")</f>
        <v>18.7931607256236</v>
      </c>
      <c r="H76" s="11" t="n">
        <f aca="false">IF(G76="","",IF(LEFT($X76,1)="H",SQRT(G76*(IFERROR(INDEX(Calc!$AP$2:$AP$124,MATCH($W76,Calc!$A$2:$A$124,0)),0.5)*Config!$B$5+1-IFERROR(INDEX(Calc!$AP$2:$AP$124,MATCH($W76,Calc!$A$2:$A$124,0)),0.5))),SQRT(G76*Config!$B$5)))</f>
        <v>4.85994151960447</v>
      </c>
      <c r="I76" s="10" t="n">
        <f aca="false">IF(OR(F76="",G76="",N(H76)&lt;=0),"",1-NORMDIST(FLOOR(F76,1)+0.5,G76,H76,TRUE()))</f>
        <v>0.442180980615848</v>
      </c>
      <c r="J76" s="10" t="n">
        <f aca="false">IF(I76="","",NORMDIST(CEILING(F76,1)-0.5,G76,H76,TRUE()))</f>
        <v>0.557819019384152</v>
      </c>
      <c r="K76" s="10" t="n">
        <f aca="false">IF(I76="","",MAX(0,1-I76-J76))</f>
        <v>0</v>
      </c>
      <c r="L76" s="0" t="str">
        <f aca="false">IF(I76="","",IF(I76&gt;=0.5+Config!$B$6,"OVER",IF(J76&gt;=0.5+Config!$B$6,"UNDER","—")))</f>
        <v>UNDER</v>
      </c>
      <c r="N76" s="0" t="n">
        <v>21.4</v>
      </c>
      <c r="O76" s="10" t="n">
        <v>0.4</v>
      </c>
      <c r="P76" s="10" t="n">
        <v>0.5</v>
      </c>
      <c r="Q76" s="10" t="n">
        <v>0.53</v>
      </c>
      <c r="R76" s="9" t="s">
        <v>1121</v>
      </c>
      <c r="S76" s="0" t="n">
        <v>-2</v>
      </c>
      <c r="T76" s="0" t="str">
        <f aca="false">INDEX(Calc!$G$2:$G$124,MATCH($W76,Calc!$A$2:$A$124,0))&amp;" / "&amp;INDEX(Calc!$H$2:$H$124,MATCH($W76,Calc!$A$2:$A$124,0))</f>
        <v>Dust2 / Nuke</v>
      </c>
      <c r="U76" s="0" t="str">
        <f aca="false">TEXT(INDEX(Calc!$J$2:$J$124,MATCH($W76,Calc!$A$2:$A$124,0)),"0.0")&amp;" / "&amp;TEXT(INDEX(Calc!$K$2:$K$124,MATCH($W76,Calc!$A$2:$A$124,0)),"0.0")</f>
        <v>21.5 / 21.5</v>
      </c>
      <c r="V76" s="0" t="str">
        <f aca="false">IFERROR(INDEX(Calc!$AQ$2:$AQ$124,MATCH($W76,Calc!$A$2:$A$124,0)),"")</f>
        <v/>
      </c>
      <c r="W76" s="9" t="s">
        <v>1210</v>
      </c>
      <c r="X76" s="9" t="s">
        <v>1110</v>
      </c>
      <c r="Y76" s="0" t="str">
        <f aca="false">W76&amp;"|"&amp;X76</f>
        <v>012uwaetq7hevsp|CS2 · FORZE.R vs ex-RUSTEC|H12</v>
      </c>
      <c r="Z76" s="11" t="n">
        <f aca="false">IFERROR(INDEX(CHOOSE(MATCH($X76,{"K1","K2","K3","K12","K13","H1","H2","H3","H12","H13"},0),Calc!$BA$2:$BA$124,Calc!$BB$2:$BB$124,Calc!$BC$2:$BC$124,Calc!$BD$2:$BD$124,Calc!$BE$2:$BE$124,Calc!$BF$2:$BF$124,Calc!$BG$2:$BG$124,Calc!$BH$2:$BH$124,Calc!$BI$2:$BI$124,Calc!$BJ$2:$BJ$124),MATCH($W76,Calc!$A$2:$A$124,0)),"")</f>
        <v>18.4524309203068</v>
      </c>
      <c r="AA76" s="11" t="n">
        <f aca="false">IF(Z76="","",IF(LEFT($X76,1)="H",SQRT(Z76*(IFERROR(INDEX(Calc!$AP$2:$AP$124,MATCH($W76,Calc!$A$2:$A$124,0)),0.5)*Config!$B$5+1-IFERROR(INDEX(Calc!$AP$2:$AP$124,MATCH($W76,Calc!$A$2:$A$124,0)),0.5))),SQRT(Z76*Config!$B$5)))</f>
        <v>4.81568335891175</v>
      </c>
      <c r="AB76" s="10" t="n">
        <f aca="false">IF(OR(F76="",Z76="",N(AA76)&lt;=0),"",1-NORMDIST(FLOOR(F76,1)+0.5,Z76,AA76,TRUE()))</f>
        <v>0.413896574541537</v>
      </c>
      <c r="AC76" s="10" t="n">
        <f aca="false">IF(AB76="","",NORMDIST(CEILING(F76,1)-0.5,Z76,AA76,TRUE()))</f>
        <v>0.586103425458463</v>
      </c>
      <c r="AD76" s="0" t="str">
        <f aca="false">IF(AB76="","",IF(AB76&gt;=0.5+Config!$B$6,"OVER",IF(AC76&gt;=0.5+Config!$B$6,"UNDER","—")))</f>
        <v>UNDER</v>
      </c>
      <c r="AE76" s="13" t="n">
        <f aca="false">IFERROR(Z76/G76,"")</f>
        <v>0.981869478461269</v>
      </c>
    </row>
    <row r="77" customFormat="false" ht="15" hidden="false" customHeight="false" outlineLevel="0" collapsed="false">
      <c r="A77" s="0" t="s">
        <v>988</v>
      </c>
      <c r="B77" s="0" t="s">
        <v>1072</v>
      </c>
      <c r="C77" s="0" t="s">
        <v>1209</v>
      </c>
      <c r="D77" s="0" t="s">
        <v>1076</v>
      </c>
      <c r="E77" s="0" t="s">
        <v>1111</v>
      </c>
      <c r="F77" s="0" t="n">
        <v>32</v>
      </c>
      <c r="G77" s="11" t="n">
        <f aca="false">IFERROR(INDEX(CHOOSE(MATCH($X77,{"K1","K2","K3","K12","K13","H1","H2","H3","H12","H13"},0),Calc!$V$2:$V$124,Calc!$AC$2:$AC$124,Calc!$AJ$2:$AJ$124,Calc!$AL$2:$AL$124,Calc!$AM$2:$AM$124,Calc!$W$2:$W$124,Calc!$AD$2:$AD$124,Calc!$AK$2:$AK$124,Calc!$AN$2:$AN$124,Calc!$AO$2:$AO$124),MATCH($W77,Calc!$A$2:$A$124,0)),"")</f>
        <v>29.274126984127</v>
      </c>
      <c r="H77" s="11" t="n">
        <f aca="false">IF(G77="","",IF(LEFT($X77,1)="H",SQRT(G77*(IFERROR(INDEX(Calc!$AP$2:$AP$124,MATCH($W77,Calc!$A$2:$A$124,0)),0.5)*Config!$B$5+1-IFERROR(INDEX(Calc!$AP$2:$AP$124,MATCH($W77,Calc!$A$2:$A$124,0)),0.5))),SQRT(G77*Config!$B$5)))</f>
        <v>6.40185736937162</v>
      </c>
      <c r="I77" s="10" t="n">
        <f aca="false">IF(OR(F77="",G77="",N(H77)&lt;=0),"",1-NORMDIST(FLOOR(F77,1)+0.5,G77,H77,TRUE()))</f>
        <v>0.307167082881334</v>
      </c>
      <c r="J77" s="10" t="n">
        <f aca="false">IF(I77="","",NORMDIST(CEILING(F77,1)-0.5,G77,H77,TRUE()))</f>
        <v>0.635964154844935</v>
      </c>
      <c r="K77" s="10" t="n">
        <f aca="false">IF(I77="","",MAX(0,1-I77-J77))</f>
        <v>0.0568687622737308</v>
      </c>
      <c r="L77" s="0" t="str">
        <f aca="false">IF(I77="","",IF(I77&gt;=0.5+Config!$B$6,"OVER",IF(J77&gt;=0.5+Config!$B$6,"UNDER","—")))</f>
        <v>UNDER</v>
      </c>
      <c r="N77" s="0" t="n">
        <v>31.5</v>
      </c>
      <c r="O77" s="10" t="n">
        <v>0.2</v>
      </c>
      <c r="P77" s="10" t="n">
        <v>0.3</v>
      </c>
      <c r="Q77" s="10" t="n">
        <v>0.27</v>
      </c>
      <c r="R77" s="9" t="s">
        <v>1121</v>
      </c>
      <c r="S77" s="0" t="n">
        <v>-4</v>
      </c>
      <c r="T77" s="0" t="str">
        <f aca="false">INDEX(Calc!$G$2:$G$124,MATCH($W77,Calc!$A$2:$A$124,0))&amp;" / "&amp;INDEX(Calc!$H$2:$H$124,MATCH($W77,Calc!$A$2:$A$124,0))</f>
        <v>Dust2 / Nuke</v>
      </c>
      <c r="U77" s="0" t="str">
        <f aca="false">TEXT(INDEX(Calc!$J$2:$J$124,MATCH($W77,Calc!$A$2:$A$124,0)),"0.0")&amp;" / "&amp;TEXT(INDEX(Calc!$K$2:$K$124,MATCH($W77,Calc!$A$2:$A$124,0)),"0.0")</f>
        <v>21.5 / 21.5</v>
      </c>
      <c r="V77" s="0" t="str">
        <f aca="false">IFERROR(INDEX(Calc!$AQ$2:$AQ$124,MATCH($W77,Calc!$A$2:$A$124,0)),"")</f>
        <v/>
      </c>
      <c r="W77" s="9" t="s">
        <v>1210</v>
      </c>
      <c r="X77" s="9" t="s">
        <v>1112</v>
      </c>
      <c r="Y77" s="0" t="str">
        <f aca="false">W77&amp;"|"&amp;X77</f>
        <v>012uwaetq7hevsp|CS2 · FORZE.R vs ex-RUSTEC|K12</v>
      </c>
      <c r="Z77" s="11" t="n">
        <f aca="false">IFERROR(INDEX(CHOOSE(MATCH($X77,{"K1","K2","K3","K12","K13","H1","H2","H3","H12","H13"},0),Calc!$BA$2:$BA$124,Calc!$BB$2:$BB$124,Calc!$BC$2:$BC$124,Calc!$BD$2:$BD$124,Calc!$BE$2:$BE$124,Calc!$BF$2:$BF$124,Calc!$BG$2:$BG$124,Calc!$BH$2:$BH$124,Calc!$BI$2:$BI$124,Calc!$BJ$2:$BJ$124),MATCH($W77,Calc!$A$2:$A$124,0)),"")</f>
        <v>28.7319643727566</v>
      </c>
      <c r="AA77" s="11" t="n">
        <f aca="false">IF(Z77="","",IF(LEFT($X77,1)="H",SQRT(Z77*(IFERROR(INDEX(Calc!$AP$2:$AP$124,MATCH($W77,Calc!$A$2:$A$124,0)),0.5)*Config!$B$5+1-IFERROR(INDEX(Calc!$AP$2:$AP$124,MATCH($W77,Calc!$A$2:$A$124,0)),0.5))),SQRT(Z77*Config!$B$5)))</f>
        <v>6.34229848886499</v>
      </c>
      <c r="AB77" s="10" t="n">
        <f aca="false">IF(OR(F77="",Z77="",N(AA77)&lt;=0),"",1-NORMDIST(FLOOR(F77,1)+0.5,Z77,AA77,TRUE()))</f>
        <v>0.276218603316417</v>
      </c>
      <c r="AC77" s="10" t="n">
        <f aca="false">IF(AB77="","",NORMDIST(CEILING(F77,1)-0.5,Z77,AA77,TRUE()))</f>
        <v>0.6687414030559</v>
      </c>
      <c r="AD77" s="0" t="str">
        <f aca="false">IF(AB77="","",IF(AB77&gt;=0.5+Config!$B$6,"OVER",IF(AC77&gt;=0.5+Config!$B$6,"UNDER","—")))</f>
        <v>UNDER</v>
      </c>
      <c r="AE77" s="13" t="n">
        <f aca="false">IFERROR(Z77/G77,"")</f>
        <v>0.981479802568856</v>
      </c>
    </row>
    <row r="78" customFormat="false" ht="15" hidden="false" customHeight="false" outlineLevel="0" collapsed="false">
      <c r="A78" s="0" t="s">
        <v>988</v>
      </c>
      <c r="B78" s="0" t="s">
        <v>1072</v>
      </c>
      <c r="C78" s="0" t="s">
        <v>1211</v>
      </c>
      <c r="D78" s="0" t="s">
        <v>1076</v>
      </c>
      <c r="E78" s="0" t="s">
        <v>1107</v>
      </c>
      <c r="F78" s="0" t="n">
        <v>16</v>
      </c>
      <c r="G78" s="11" t="n">
        <f aca="false">IFERROR(INDEX(CHOOSE(MATCH($X78,{"K1","K2","K3","K12","K13","H1","H2","H3","H12","H13"},0),Calc!$V$2:$V$124,Calc!$AC$2:$AC$124,Calc!$AJ$2:$AJ$124,Calc!$AL$2:$AL$124,Calc!$AM$2:$AM$124,Calc!$W$2:$W$124,Calc!$AD$2:$AD$124,Calc!$AK$2:$AK$124,Calc!$AN$2:$AN$124,Calc!$AO$2:$AO$124),MATCH($W78,Calc!$A$2:$A$124,0)),"")</f>
        <v>14.6066138800705</v>
      </c>
      <c r="H78" s="11" t="n">
        <f aca="false">IF(G78="","",IF(LEFT($X78,1)="H",SQRT(G78*(IFERROR(INDEX(Calc!$AP$2:$AP$124,MATCH($W78,Calc!$A$2:$A$124,0)),0.5)*Config!$B$5+1-IFERROR(INDEX(Calc!$AP$2:$AP$124,MATCH($W78,Calc!$A$2:$A$124,0)),0.5))),SQRT(G78*Config!$B$5)))</f>
        <v>4.19408915581636</v>
      </c>
      <c r="I78" s="10" t="n">
        <f aca="false">IF(OR(F78="",G78="",N(H78)&lt;=0),"",1-NORMDIST(FLOOR(F78,1)+0.5,G78,H78,TRUE()))</f>
        <v>0.325835670448729</v>
      </c>
      <c r="J78" s="10" t="n">
        <f aca="false">IF(I78="","",NORMDIST(CEILING(F78,1)-0.5,G78,H78,TRUE()))</f>
        <v>0.584340715117843</v>
      </c>
      <c r="K78" s="10" t="n">
        <f aca="false">IF(I78="","",MAX(0,1-I78-J78))</f>
        <v>0.0898236144334285</v>
      </c>
      <c r="L78" s="0" t="str">
        <f aca="false">IF(I78="","",IF(I78&gt;=0.5+Config!$B$6,"OVER",IF(J78&gt;=0.5+Config!$B$6,"UNDER","—")))</f>
        <v>UNDER</v>
      </c>
      <c r="N78" s="0" t="n">
        <v>15</v>
      </c>
      <c r="O78" s="10" t="n">
        <v>0.8</v>
      </c>
      <c r="P78" s="10" t="n">
        <v>0.5</v>
      </c>
      <c r="Q78" s="10" t="n">
        <v>0.53</v>
      </c>
      <c r="R78" s="9" t="s">
        <v>1114</v>
      </c>
      <c r="S78" s="0" t="n">
        <v>2</v>
      </c>
      <c r="T78" s="0" t="str">
        <f aca="false">INDEX(Calc!$G$2:$G$124,MATCH($W78,Calc!$A$2:$A$124,0))&amp;" / "&amp;INDEX(Calc!$H$2:$H$124,MATCH($W78,Calc!$A$2:$A$124,0))</f>
        <v>Dust2 / Nuke</v>
      </c>
      <c r="U78" s="0" t="str">
        <f aca="false">TEXT(INDEX(Calc!$J$2:$J$124,MATCH($W78,Calc!$A$2:$A$124,0)),"0.0")&amp;" / "&amp;TEXT(INDEX(Calc!$K$2:$K$124,MATCH($W78,Calc!$A$2:$A$124,0)),"0.0")</f>
        <v>21.5 / 21.5</v>
      </c>
      <c r="V78" s="0" t="str">
        <f aca="false">IFERROR(INDEX(Calc!$AQ$2:$AQ$124,MATCH($W78,Calc!$A$2:$A$124,0)),"")</f>
        <v/>
      </c>
      <c r="W78" s="9" t="s">
        <v>1212</v>
      </c>
      <c r="X78" s="9" t="s">
        <v>1110</v>
      </c>
      <c r="Y78" s="0" t="str">
        <f aca="false">W78&amp;"|"&amp;X78</f>
        <v>2s3qwqpg7uefnn7|CS2 · FORZE.R vs ex-RUSTEC|H12</v>
      </c>
      <c r="Z78" s="11" t="n">
        <f aca="false">IFERROR(INDEX(CHOOSE(MATCH($X78,{"K1","K2","K3","K12","K13","H1","H2","H3","H12","H13"},0),Calc!$BA$2:$BA$124,Calc!$BB$2:$BB$124,Calc!$BC$2:$BC$124,Calc!$BD$2:$BD$124,Calc!$BE$2:$BE$124,Calc!$BF$2:$BF$124,Calc!$BG$2:$BG$124,Calc!$BH$2:$BH$124,Calc!$BI$2:$BI$124,Calc!$BJ$2:$BJ$124),MATCH($W78,Calc!$A$2:$A$124,0)),"")</f>
        <v>14.329148690455</v>
      </c>
      <c r="AA78" s="11" t="n">
        <f aca="false">IF(Z78="","",IF(LEFT($X78,1)="H",SQRT(Z78*(IFERROR(INDEX(Calc!$AP$2:$AP$124,MATCH($W78,Calc!$A$2:$A$124,0)),0.5)*Config!$B$5+1-IFERROR(INDEX(Calc!$AP$2:$AP$124,MATCH($W78,Calc!$A$2:$A$124,0)),0.5))),SQRT(Z78*Config!$B$5)))</f>
        <v>4.15406299679176</v>
      </c>
      <c r="AB78" s="10" t="n">
        <f aca="false">IF(OR(F78="",Z78="",N(AA78)&lt;=0),"",1-NORMDIST(FLOOR(F78,1)+0.5,Z78,AA78,TRUE()))</f>
        <v>0.300631515599108</v>
      </c>
      <c r="AC78" s="10" t="n">
        <f aca="false">IF(AB78="","",NORMDIST(CEILING(F78,1)-0.5,Z78,AA78,TRUE()))</f>
        <v>0.610973379680822</v>
      </c>
      <c r="AD78" s="0" t="str">
        <f aca="false">IF(AB78="","",IF(AB78&gt;=0.5+Config!$B$6,"OVER",IF(AC78&gt;=0.5+Config!$B$6,"UNDER","—")))</f>
        <v>UNDER</v>
      </c>
      <c r="AE78" s="13" t="n">
        <f aca="false">IFERROR(Z78/G78,"")</f>
        <v>0.981004140186514</v>
      </c>
    </row>
    <row r="79" customFormat="false" ht="15" hidden="false" customHeight="false" outlineLevel="0" collapsed="false">
      <c r="A79" s="0" t="s">
        <v>988</v>
      </c>
      <c r="B79" s="0" t="s">
        <v>1072</v>
      </c>
      <c r="C79" s="0" t="s">
        <v>1211</v>
      </c>
      <c r="D79" s="0" t="s">
        <v>1076</v>
      </c>
      <c r="E79" s="0" t="s">
        <v>1111</v>
      </c>
      <c r="F79" s="0" t="n">
        <v>29.5</v>
      </c>
      <c r="G79" s="11" t="n">
        <f aca="false">IFERROR(INDEX(CHOOSE(MATCH($X79,{"K1","K2","K3","K12","K13","H1","H2","H3","H12","H13"},0),Calc!$V$2:$V$124,Calc!$AC$2:$AC$124,Calc!$AJ$2:$AJ$124,Calc!$AL$2:$AL$124,Calc!$AM$2:$AM$124,Calc!$W$2:$W$124,Calc!$AD$2:$AD$124,Calc!$AK$2:$AK$124,Calc!$AN$2:$AN$124,Calc!$AO$2:$AO$124),MATCH($W79,Calc!$A$2:$A$124,0)),"")</f>
        <v>28.6018253968254</v>
      </c>
      <c r="H79" s="11" t="n">
        <f aca="false">IF(G79="","",IF(LEFT($X79,1)="H",SQRT(G79*(IFERROR(INDEX(Calc!$AP$2:$AP$124,MATCH($W79,Calc!$A$2:$A$124,0)),0.5)*Config!$B$5+1-IFERROR(INDEX(Calc!$AP$2:$AP$124,MATCH($W79,Calc!$A$2:$A$124,0)),0.5))),SQRT(G79*Config!$B$5)))</f>
        <v>6.32791873806511</v>
      </c>
      <c r="I79" s="10" t="n">
        <f aca="false">IF(OR(F79="",G79="",N(H79)&lt;=0),"",1-NORMDIST(FLOOR(F79,1)+0.5,G79,H79,TRUE()))</f>
        <v>0.443564334885017</v>
      </c>
      <c r="J79" s="10" t="n">
        <f aca="false">IF(I79="","",NORMDIST(CEILING(F79,1)-0.5,G79,H79,TRUE()))</f>
        <v>0.556435665114983</v>
      </c>
      <c r="K79" s="10" t="n">
        <f aca="false">IF(I79="","",MAX(0,1-I79-J79))</f>
        <v>0</v>
      </c>
      <c r="L79" s="0" t="str">
        <f aca="false">IF(I79="","",IF(I79&gt;=0.5+Config!$B$6,"OVER",IF(J79&gt;=0.5+Config!$B$6,"UNDER","—")))</f>
        <v>UNDER</v>
      </c>
      <c r="N79" s="0" t="n">
        <v>26.1</v>
      </c>
      <c r="O79" s="10" t="n">
        <v>0.2</v>
      </c>
      <c r="P79" s="10" t="n">
        <v>0.2</v>
      </c>
      <c r="Q79" s="10" t="n">
        <v>0.47</v>
      </c>
      <c r="R79" s="9" t="s">
        <v>1116</v>
      </c>
      <c r="S79" s="0" t="n">
        <v>-4</v>
      </c>
      <c r="T79" s="0" t="str">
        <f aca="false">INDEX(Calc!$G$2:$G$124,MATCH($W79,Calc!$A$2:$A$124,0))&amp;" / "&amp;INDEX(Calc!$H$2:$H$124,MATCH($W79,Calc!$A$2:$A$124,0))</f>
        <v>Dust2 / Nuke</v>
      </c>
      <c r="U79" s="0" t="str">
        <f aca="false">TEXT(INDEX(Calc!$J$2:$J$124,MATCH($W79,Calc!$A$2:$A$124,0)),"0.0")&amp;" / "&amp;TEXT(INDEX(Calc!$K$2:$K$124,MATCH($W79,Calc!$A$2:$A$124,0)),"0.0")</f>
        <v>21.5 / 21.5</v>
      </c>
      <c r="V79" s="0" t="str">
        <f aca="false">IFERROR(INDEX(Calc!$AQ$2:$AQ$124,MATCH($W79,Calc!$A$2:$A$124,0)),"")</f>
        <v/>
      </c>
      <c r="W79" s="9" t="s">
        <v>1212</v>
      </c>
      <c r="X79" s="9" t="s">
        <v>1112</v>
      </c>
      <c r="Y79" s="0" t="str">
        <f aca="false">W79&amp;"|"&amp;X79</f>
        <v>2s3qwqpg7uefnn7|CS2 · FORZE.R vs ex-RUSTEC|K12</v>
      </c>
      <c r="Z79" s="11" t="n">
        <f aca="false">IFERROR(INDEX(CHOOSE(MATCH($X79,{"K1","K2","K3","K12","K13","H1","H2","H3","H12","H13"},0),Calc!$BA$2:$BA$124,Calc!$BB$2:$BB$124,Calc!$BC$2:$BC$124,Calc!$BD$2:$BD$124,Calc!$BE$2:$BE$124,Calc!$BF$2:$BF$124,Calc!$BG$2:$BG$124,Calc!$BH$2:$BH$124,Calc!$BI$2:$BI$124,Calc!$BJ$2:$BJ$124),MATCH($W79,Calc!$A$2:$A$124,0)),"")</f>
        <v>28.0501573884339</v>
      </c>
      <c r="AA79" s="11" t="n">
        <f aca="false">IF(Z79="","",IF(LEFT($X79,1)="H",SQRT(Z79*(IFERROR(INDEX(Calc!$AP$2:$AP$124,MATCH($W79,Calc!$A$2:$A$124,0)),0.5)*Config!$B$5+1-IFERROR(INDEX(Calc!$AP$2:$AP$124,MATCH($W79,Calc!$A$2:$A$124,0)),0.5))),SQRT(Z79*Config!$B$5)))</f>
        <v>6.2665955944043</v>
      </c>
      <c r="AB79" s="10" t="n">
        <f aca="false">IF(OR(F79="",Z79="",N(AA79)&lt;=0),"",1-NORMDIST(FLOOR(F79,1)+0.5,Z79,AA79,TRUE()))</f>
        <v>0.408517379436996</v>
      </c>
      <c r="AC79" s="10" t="n">
        <f aca="false">IF(AB79="","",NORMDIST(CEILING(F79,1)-0.5,Z79,AA79,TRUE()))</f>
        <v>0.591482620563004</v>
      </c>
      <c r="AD79" s="0" t="str">
        <f aca="false">IF(AB79="","",IF(AB79&gt;=0.5+Config!$B$6,"OVER",IF(AC79&gt;=0.5+Config!$B$6,"UNDER","—")))</f>
        <v>UNDER</v>
      </c>
      <c r="AE79" s="13" t="n">
        <f aca="false">IFERROR(Z79/G79,"")</f>
        <v>0.980712139846405</v>
      </c>
    </row>
    <row r="80" customFormat="false" ht="15" hidden="false" customHeight="false" outlineLevel="0" collapsed="false">
      <c r="A80" s="0" t="s">
        <v>988</v>
      </c>
      <c r="B80" s="0" t="s">
        <v>1072</v>
      </c>
      <c r="C80" s="0" t="s">
        <v>1213</v>
      </c>
      <c r="D80" s="0" t="s">
        <v>1076</v>
      </c>
      <c r="E80" s="0" t="s">
        <v>1107</v>
      </c>
      <c r="F80" s="0" t="n">
        <v>17</v>
      </c>
      <c r="G80" s="11" t="n">
        <f aca="false">IFERROR(INDEX(CHOOSE(MATCH($X80,{"K1","K2","K3","K12","K13","H1","H2","H3","H12","H13"},0),Calc!$V$2:$V$124,Calc!$AC$2:$AC$124,Calc!$AJ$2:$AJ$124,Calc!$AL$2:$AL$124,Calc!$AM$2:$AM$124,Calc!$W$2:$W$124,Calc!$AD$2:$AD$124,Calc!$AK$2:$AK$124,Calc!$AN$2:$AN$124,Calc!$AO$2:$AO$124),MATCH($W80,Calc!$A$2:$A$124,0)),"")</f>
        <v>16.54750888322</v>
      </c>
      <c r="H80" s="11" t="n">
        <f aca="false">IF(G80="","",IF(LEFT($X80,1)="H",SQRT(G80*(IFERROR(INDEX(Calc!$AP$2:$AP$124,MATCH($W80,Calc!$A$2:$A$124,0)),0.5)*Config!$B$5+1-IFERROR(INDEX(Calc!$AP$2:$AP$124,MATCH($W80,Calc!$A$2:$A$124,0)),0.5))),SQRT(G80*Config!$B$5)))</f>
        <v>4.50063152941543</v>
      </c>
      <c r="I80" s="10" t="n">
        <f aca="false">IF(OR(F80="",G80="",N(H80)&lt;=0),"",1-NORMDIST(FLOOR(F80,1)+0.5,G80,H80,TRUE()))</f>
        <v>0.416195904058425</v>
      </c>
      <c r="J80" s="10" t="n">
        <f aca="false">IF(I80="","",NORMDIST(CEILING(F80,1)-0.5,G80,H80,TRUE()))</f>
        <v>0.495788824279835</v>
      </c>
      <c r="K80" s="10" t="n">
        <f aca="false">IF(I80="","",MAX(0,1-I80-J80))</f>
        <v>0.0880152716617399</v>
      </c>
      <c r="L80" s="0" t="str">
        <f aca="false">IF(I80="","",IF(I80&gt;=0.5+Config!$B$6,"OVER",IF(J80&gt;=0.5+Config!$B$6,"UNDER","—")))</f>
        <v>—</v>
      </c>
      <c r="N80" s="0" t="n">
        <v>13.8</v>
      </c>
      <c r="O80" s="10" t="n">
        <v>0.4</v>
      </c>
      <c r="P80" s="10" t="n">
        <v>0.4</v>
      </c>
      <c r="Q80" s="10" t="n">
        <v>0.33</v>
      </c>
      <c r="R80" s="9" t="s">
        <v>1121</v>
      </c>
      <c r="S80" s="0" t="n">
        <v>-2</v>
      </c>
      <c r="T80" s="0" t="str">
        <f aca="false">INDEX(Calc!$G$2:$G$124,MATCH($W80,Calc!$A$2:$A$124,0))&amp;" / "&amp;INDEX(Calc!$H$2:$H$124,MATCH($W80,Calc!$A$2:$A$124,0))</f>
        <v>Dust2 / Nuke</v>
      </c>
      <c r="U80" s="0" t="str">
        <f aca="false">TEXT(INDEX(Calc!$J$2:$J$124,MATCH($W80,Calc!$A$2:$A$124,0)),"0.0")&amp;" / "&amp;TEXT(INDEX(Calc!$K$2:$K$124,MATCH($W80,Calc!$A$2:$A$124,0)),"0.0")</f>
        <v>21.5 / 21.5</v>
      </c>
      <c r="V80" s="0" t="str">
        <f aca="false">IFERROR(INDEX(Calc!$AQ$2:$AQ$124,MATCH($W80,Calc!$A$2:$A$124,0)),"")</f>
        <v/>
      </c>
      <c r="W80" s="9" t="s">
        <v>1214</v>
      </c>
      <c r="X80" s="9" t="s">
        <v>1110</v>
      </c>
      <c r="Y80" s="0" t="str">
        <f aca="false">W80&amp;"|"&amp;X80</f>
        <v>798yw8my6zycp2s|CS2 · FORZE.R vs ex-RUSTEC|H12</v>
      </c>
      <c r="Z80" s="11" t="n">
        <f aca="false">IFERROR(INDEX(CHOOSE(MATCH($X80,{"K1","K2","K3","K12","K13","H1","H2","H3","H12","H13"},0),Calc!$BA$2:$BA$124,Calc!$BB$2:$BB$124,Calc!$BC$2:$BC$124,Calc!$BD$2:$BD$124,Calc!$BE$2:$BE$124,Calc!$BF$2:$BF$124,Calc!$BG$2:$BG$124,Calc!$BH$2:$BH$124,Calc!$BI$2:$BI$124,Calc!$BJ$2:$BJ$124),MATCH($W80,Calc!$A$2:$A$124,0)),"")</f>
        <v>16.2416144713278</v>
      </c>
      <c r="AA80" s="11" t="n">
        <f aca="false">IF(Z80="","",IF(LEFT($X80,1)="H",SQRT(Z80*(IFERROR(INDEX(Calc!$AP$2:$AP$124,MATCH($W80,Calc!$A$2:$A$124,0)),0.5)*Config!$B$5+1-IFERROR(INDEX(Calc!$AP$2:$AP$124,MATCH($W80,Calc!$A$2:$A$124,0)),0.5))),SQRT(Z80*Config!$B$5)))</f>
        <v>4.45883853254038</v>
      </c>
      <c r="AB80" s="10" t="n">
        <f aca="false">IF(OR(F80="",Z80="",N(AA80)&lt;=0),"",1-NORMDIST(FLOOR(F80,1)+0.5,Z80,AA80,TRUE()))</f>
        <v>0.388886369903037</v>
      </c>
      <c r="AC80" s="10" t="n">
        <f aca="false">IF(AB80="","",NORMDIST(CEILING(F80,1)-0.5,Z80,AA80,TRUE()))</f>
        <v>0.523105400152647</v>
      </c>
      <c r="AD80" s="0" t="str">
        <f aca="false">IF(AB80="","",IF(AB80&gt;=0.5+Config!$B$6,"OVER",IF(AC80&gt;=0.5+Config!$B$6,"UNDER","—")))</f>
        <v>—</v>
      </c>
      <c r="AE80" s="13" t="n">
        <f aca="false">IFERROR(Z80/G80,"")</f>
        <v>0.981514171465267</v>
      </c>
    </row>
    <row r="81" customFormat="false" ht="15" hidden="false" customHeight="false" outlineLevel="0" collapsed="false">
      <c r="A81" s="0" t="s">
        <v>988</v>
      </c>
      <c r="B81" s="0" t="s">
        <v>1072</v>
      </c>
      <c r="C81" s="0" t="s">
        <v>1213</v>
      </c>
      <c r="D81" s="0" t="s">
        <v>1076</v>
      </c>
      <c r="E81" s="0" t="s">
        <v>1111</v>
      </c>
      <c r="F81" s="0" t="n">
        <v>29</v>
      </c>
      <c r="G81" s="11" t="n">
        <f aca="false">IFERROR(INDEX(CHOOSE(MATCH($X81,{"K1","K2","K3","K12","K13","H1","H2","H3","H12","H13"},0),Calc!$V$2:$V$124,Calc!$AC$2:$AC$124,Calc!$AJ$2:$AJ$124,Calc!$AL$2:$AL$124,Calc!$AM$2:$AM$124,Calc!$W$2:$W$124,Calc!$AD$2:$AD$124,Calc!$AK$2:$AK$124,Calc!$AN$2:$AN$124,Calc!$AO$2:$AO$124),MATCH($W81,Calc!$A$2:$A$124,0)),"")</f>
        <v>29.5369047619048</v>
      </c>
      <c r="H81" s="11" t="n">
        <f aca="false">IF(G81="","",IF(LEFT($X81,1)="H",SQRT(G81*(IFERROR(INDEX(Calc!$AP$2:$AP$124,MATCH($W81,Calc!$A$2:$A$124,0)),0.5)*Config!$B$5+1-IFERROR(INDEX(Calc!$AP$2:$AP$124,MATCH($W81,Calc!$A$2:$A$124,0)),0.5))),SQRT(G81*Config!$B$5)))</f>
        <v>6.43052615784017</v>
      </c>
      <c r="I81" s="10" t="n">
        <f aca="false">IF(OR(F81="",G81="",N(H81)&lt;=0),"",1-NORMDIST(FLOOR(F81,1)+0.5,G81,H81,TRUE()))</f>
        <v>0.502289515459865</v>
      </c>
      <c r="J81" s="10" t="n">
        <f aca="false">IF(I81="","",NORMDIST(CEILING(F81,1)-0.5,G81,H81,TRUE()))</f>
        <v>0.435949327634506</v>
      </c>
      <c r="K81" s="10" t="n">
        <f aca="false">IF(I81="","",MAX(0,1-I81-J81))</f>
        <v>0.0617611569056286</v>
      </c>
      <c r="L81" s="0" t="str">
        <f aca="false">IF(I81="","",IF(I81&gt;=0.5+Config!$B$6,"OVER",IF(J81&gt;=0.5+Config!$B$6,"UNDER","—")))</f>
        <v>—</v>
      </c>
      <c r="N81" s="0" t="n">
        <v>24.4</v>
      </c>
      <c r="O81" s="10" t="n">
        <v>0.4</v>
      </c>
      <c r="P81" s="10" t="n">
        <v>0.4</v>
      </c>
      <c r="Q81" s="10" t="n">
        <v>0.47</v>
      </c>
      <c r="R81" s="9" t="s">
        <v>1114</v>
      </c>
      <c r="S81" s="0" t="n">
        <v>-2</v>
      </c>
      <c r="T81" s="0" t="str">
        <f aca="false">INDEX(Calc!$G$2:$G$124,MATCH($W81,Calc!$A$2:$A$124,0))&amp;" / "&amp;INDEX(Calc!$H$2:$H$124,MATCH($W81,Calc!$A$2:$A$124,0))</f>
        <v>Dust2 / Nuke</v>
      </c>
      <c r="U81" s="0" t="str">
        <f aca="false">TEXT(INDEX(Calc!$J$2:$J$124,MATCH($W81,Calc!$A$2:$A$124,0)),"0.0")&amp;" / "&amp;TEXT(INDEX(Calc!$K$2:$K$124,MATCH($W81,Calc!$A$2:$A$124,0)),"0.0")</f>
        <v>21.5 / 21.5</v>
      </c>
      <c r="V81" s="0" t="str">
        <f aca="false">IFERROR(INDEX(Calc!$AQ$2:$AQ$124,MATCH($W81,Calc!$A$2:$A$124,0)),"")</f>
        <v/>
      </c>
      <c r="W81" s="9" t="s">
        <v>1214</v>
      </c>
      <c r="X81" s="9" t="s">
        <v>1112</v>
      </c>
      <c r="Y81" s="0" t="str">
        <f aca="false">W81&amp;"|"&amp;X81</f>
        <v>798yw8my6zycp2s|CS2 · FORZE.R vs ex-RUSTEC|K12</v>
      </c>
      <c r="Z81" s="11" t="n">
        <f aca="false">IFERROR(INDEX(CHOOSE(MATCH($X81,{"K1","K2","K3","K12","K13","H1","H2","H3","H12","H13"},0),Calc!$BA$2:$BA$124,Calc!$BB$2:$BB$124,Calc!$BC$2:$BC$124,Calc!$BD$2:$BD$124,Calc!$BE$2:$BE$124,Calc!$BF$2:$BF$124,Calc!$BG$2:$BG$124,Calc!$BH$2:$BH$124,Calc!$BI$2:$BI$124,Calc!$BJ$2:$BJ$124),MATCH($W81,Calc!$A$2:$A$124,0)),"")</f>
        <v>28.9788771017632</v>
      </c>
      <c r="AA81" s="11" t="n">
        <f aca="false">IF(Z81="","",IF(LEFT($X81,1)="H",SQRT(Z81*(IFERROR(INDEX(Calc!$AP$2:$AP$124,MATCH($W81,Calc!$A$2:$A$124,0)),0.5)*Config!$B$5+1-IFERROR(INDEX(Calc!$AP$2:$AP$124,MATCH($W81,Calc!$A$2:$A$124,0)),0.5))),SQRT(Z81*Config!$B$5)))</f>
        <v>6.36949196894607</v>
      </c>
      <c r="AB81" s="10" t="n">
        <f aca="false">IF(OR(F81="",Z81="",N(AA81)&lt;=0),"",1-NORMDIST(FLOOR(F81,1)+0.5,Z81,AA81,TRUE()))</f>
        <v>0.467396732065948</v>
      </c>
      <c r="AC81" s="10" t="n">
        <f aca="false">IF(AB81="","",NORMDIST(CEILING(F81,1)-0.5,Z81,AA81,TRUE()))</f>
        <v>0.470034580842605</v>
      </c>
      <c r="AD81" s="0" t="str">
        <f aca="false">IF(AB81="","",IF(AB81&gt;=0.5+Config!$B$6,"OVER",IF(AC81&gt;=0.5+Config!$B$6,"UNDER","—")))</f>
        <v>—</v>
      </c>
      <c r="AE81" s="13" t="n">
        <f aca="false">IFERROR(Z81/G81,"")</f>
        <v>0.981107442887472</v>
      </c>
    </row>
    <row r="82" customFormat="false" ht="15" hidden="false" customHeight="false" outlineLevel="0" collapsed="false">
      <c r="A82" s="0" t="s">
        <v>988</v>
      </c>
      <c r="B82" s="0" t="s">
        <v>1072</v>
      </c>
      <c r="C82" s="0" t="s">
        <v>1215</v>
      </c>
      <c r="D82" s="0" t="s">
        <v>1076</v>
      </c>
      <c r="E82" s="0" t="s">
        <v>1107</v>
      </c>
      <c r="F82" s="0" t="n">
        <v>12.5</v>
      </c>
      <c r="G82" s="11" t="n">
        <f aca="false">IFERROR(INDEX(CHOOSE(MATCH($X82,{"K1","K2","K3","K12","K13","H1","H2","H3","H12","H13"},0),Calc!$V$2:$V$124,Calc!$AC$2:$AC$124,Calc!$AJ$2:$AJ$124,Calc!$AL$2:$AL$124,Calc!$AM$2:$AM$124,Calc!$W$2:$W$124,Calc!$AD$2:$AD$124,Calc!$AK$2:$AK$124,Calc!$AN$2:$AN$124,Calc!$AO$2:$AO$124),MATCH($W82,Calc!$A$2:$A$124,0)),"")</f>
        <v>11.2204192648459</v>
      </c>
      <c r="H82" s="11" t="n">
        <f aca="false">IF(G82="","",IF(LEFT($X82,1)="H",SQRT(G82*(IFERROR(INDEX(Calc!$AP$2:$AP$124,MATCH($W82,Calc!$A$2:$A$124,0)),0.5)*Config!$B$5+1-IFERROR(INDEX(Calc!$AP$2:$AP$124,MATCH($W82,Calc!$A$2:$A$124,0)),0.5))),SQRT(G82*Config!$B$5)))</f>
        <v>3.65749168214976</v>
      </c>
      <c r="I82" s="10" t="n">
        <f aca="false">IF(OR(F82="",G82="",N(H82)&lt;=0),"",1-NORMDIST(FLOOR(F82,1)+0.5,G82,H82,TRUE()))</f>
        <v>0.363224890433426</v>
      </c>
      <c r="J82" s="10" t="n">
        <f aca="false">IF(I82="","",NORMDIST(CEILING(F82,1)-0.5,G82,H82,TRUE()))</f>
        <v>0.636775109566574</v>
      </c>
      <c r="K82" s="10" t="n">
        <f aca="false">IF(I82="","",MAX(0,1-I82-J82))</f>
        <v>0</v>
      </c>
      <c r="L82" s="0" t="str">
        <f aca="false">IF(I82="","",IF(I82&gt;=0.5+Config!$B$6,"OVER",IF(J82&gt;=0.5+Config!$B$6,"UNDER","—")))</f>
        <v>UNDER</v>
      </c>
      <c r="N82" s="0" t="n">
        <v>12</v>
      </c>
      <c r="O82" s="10" t="n">
        <v>0.4</v>
      </c>
      <c r="P82" s="10" t="n">
        <v>0.3</v>
      </c>
      <c r="Q82" s="10" t="n">
        <v>0.4</v>
      </c>
      <c r="R82" s="9" t="s">
        <v>1131</v>
      </c>
      <c r="S82" s="0" t="n">
        <v>-2</v>
      </c>
      <c r="T82" s="0" t="str">
        <f aca="false">INDEX(Calc!$G$2:$G$124,MATCH($W82,Calc!$A$2:$A$124,0))&amp;" / "&amp;INDEX(Calc!$H$2:$H$124,MATCH($W82,Calc!$A$2:$A$124,0))</f>
        <v>Dust2 / Nuke</v>
      </c>
      <c r="U82" s="0" t="str">
        <f aca="false">TEXT(INDEX(Calc!$J$2:$J$124,MATCH($W82,Calc!$A$2:$A$124,0)),"0.0")&amp;" / "&amp;TEXT(INDEX(Calc!$K$2:$K$124,MATCH($W82,Calc!$A$2:$A$124,0)),"0.0")</f>
        <v>21.5 / 21.5</v>
      </c>
      <c r="V82" s="0" t="str">
        <f aca="false">IFERROR(INDEX(Calc!$AQ$2:$AQ$124,MATCH($W82,Calc!$A$2:$A$124,0)),"")</f>
        <v/>
      </c>
      <c r="W82" s="9" t="s">
        <v>1216</v>
      </c>
      <c r="X82" s="9" t="s">
        <v>1110</v>
      </c>
      <c r="Y82" s="0" t="str">
        <f aca="false">W82&amp;"|"&amp;X82</f>
        <v>udiua4ttm49q2v4|CS2 · FORZE.R vs ex-RUSTEC|H12</v>
      </c>
      <c r="Z82" s="11" t="n">
        <f aca="false">IFERROR(INDEX(CHOOSE(MATCH($X82,{"K1","K2","K3","K12","K13","H1","H2","H3","H12","H13"},0),Calc!$BA$2:$BA$124,Calc!$BB$2:$BB$124,Calc!$BC$2:$BC$124,Calc!$BD$2:$BD$124,Calc!$BE$2:$BE$124,Calc!$BF$2:$BF$124,Calc!$BG$2:$BG$124,Calc!$BH$2:$BH$124,Calc!$BI$2:$BI$124,Calc!$BJ$2:$BJ$124),MATCH($W82,Calc!$A$2:$A$124,0)),"")</f>
        <v>10.9714300190989</v>
      </c>
      <c r="AA82" s="11" t="n">
        <f aca="false">IF(Z82="","",IF(LEFT($X82,1)="H",SQRT(Z82*(IFERROR(INDEX(Calc!$AP$2:$AP$124,MATCH($W82,Calc!$A$2:$A$124,0)),0.5)*Config!$B$5+1-IFERROR(INDEX(Calc!$AP$2:$AP$124,MATCH($W82,Calc!$A$2:$A$124,0)),0.5))),SQRT(Z82*Config!$B$5)))</f>
        <v>3.61668282021876</v>
      </c>
      <c r="AB82" s="10" t="n">
        <f aca="false">IF(OR(F82="",Z82="",N(AA82)&lt;=0),"",1-NORMDIST(FLOOR(F82,1)+0.5,Z82,AA82,TRUE()))</f>
        <v>0.336277440184418</v>
      </c>
      <c r="AC82" s="10" t="n">
        <f aca="false">IF(AB82="","",NORMDIST(CEILING(F82,1)-0.5,Z82,AA82,TRUE()))</f>
        <v>0.663722559815582</v>
      </c>
      <c r="AD82" s="0" t="str">
        <f aca="false">IF(AB82="","",IF(AB82&gt;=0.5+Config!$B$6,"OVER",IF(AC82&gt;=0.5+Config!$B$6,"UNDER","—")))</f>
        <v>UNDER</v>
      </c>
      <c r="AE82" s="13" t="n">
        <f aca="false">IFERROR(Z82/G82,"")</f>
        <v>0.977809274335485</v>
      </c>
    </row>
    <row r="83" customFormat="false" ht="15" hidden="false" customHeight="false" outlineLevel="0" collapsed="false">
      <c r="A83" s="0" t="s">
        <v>988</v>
      </c>
      <c r="B83" s="0" t="s">
        <v>1072</v>
      </c>
      <c r="C83" s="0" t="s">
        <v>1215</v>
      </c>
      <c r="D83" s="0" t="s">
        <v>1076</v>
      </c>
      <c r="E83" s="0" t="s">
        <v>1111</v>
      </c>
      <c r="F83" s="0" t="n">
        <v>25.5</v>
      </c>
      <c r="G83" s="11" t="n">
        <f aca="false">IFERROR(INDEX(CHOOSE(MATCH($X83,{"K1","K2","K3","K12","K13","H1","H2","H3","H12","H13"},0),Calc!$V$2:$V$124,Calc!$AC$2:$AC$124,Calc!$AJ$2:$AJ$124,Calc!$AL$2:$AL$124,Calc!$AM$2:$AM$124,Calc!$W$2:$W$124,Calc!$AD$2:$AD$124,Calc!$AK$2:$AK$124,Calc!$AN$2:$AN$124,Calc!$AO$2:$AO$124),MATCH($W83,Calc!$A$2:$A$124,0)),"")</f>
        <v>23.3487171052632</v>
      </c>
      <c r="H83" s="11" t="n">
        <f aca="false">IF(G83="","",IF(LEFT($X83,1)="H",SQRT(G83*(IFERROR(INDEX(Calc!$AP$2:$AP$124,MATCH($W83,Calc!$A$2:$A$124,0)),0.5)*Config!$B$5+1-IFERROR(INDEX(Calc!$AP$2:$AP$124,MATCH($W83,Calc!$A$2:$A$124,0)),0.5))),SQRT(G83*Config!$B$5)))</f>
        <v>5.71735987562165</v>
      </c>
      <c r="I83" s="10" t="n">
        <f aca="false">IF(OR(F83="",G83="",N(H83)&lt;=0),"",1-NORMDIST(FLOOR(F83,1)+0.5,G83,H83,TRUE()))</f>
        <v>0.353357316688823</v>
      </c>
      <c r="J83" s="10" t="n">
        <f aca="false">IF(I83="","",NORMDIST(CEILING(F83,1)-0.5,G83,H83,TRUE()))</f>
        <v>0.646642683311177</v>
      </c>
      <c r="K83" s="10" t="n">
        <f aca="false">IF(I83="","",MAX(0,1-I83-J83))</f>
        <v>0</v>
      </c>
      <c r="L83" s="0" t="str">
        <f aca="false">IF(I83="","",IF(I83&gt;=0.5+Config!$B$6,"OVER",IF(J83&gt;=0.5+Config!$B$6,"UNDER","—")))</f>
        <v>UNDER</v>
      </c>
      <c r="N83" s="0" t="n">
        <v>27.7</v>
      </c>
      <c r="O83" s="10" t="n">
        <v>0.6</v>
      </c>
      <c r="P83" s="10" t="n">
        <v>0.6</v>
      </c>
      <c r="Q83" s="10" t="n">
        <v>0.6</v>
      </c>
      <c r="R83" s="9" t="s">
        <v>1131</v>
      </c>
      <c r="S83" s="0" t="n">
        <v>1</v>
      </c>
      <c r="T83" s="0" t="str">
        <f aca="false">INDEX(Calc!$G$2:$G$124,MATCH($W83,Calc!$A$2:$A$124,0))&amp;" / "&amp;INDEX(Calc!$H$2:$H$124,MATCH($W83,Calc!$A$2:$A$124,0))</f>
        <v>Dust2 / Nuke</v>
      </c>
      <c r="U83" s="0" t="str">
        <f aca="false">TEXT(INDEX(Calc!$J$2:$J$124,MATCH($W83,Calc!$A$2:$A$124,0)),"0.0")&amp;" / "&amp;TEXT(INDEX(Calc!$K$2:$K$124,MATCH($W83,Calc!$A$2:$A$124,0)),"0.0")</f>
        <v>21.5 / 21.5</v>
      </c>
      <c r="V83" s="0" t="str">
        <f aca="false">IFERROR(INDEX(Calc!$AQ$2:$AQ$124,MATCH($W83,Calc!$A$2:$A$124,0)),"")</f>
        <v/>
      </c>
      <c r="W83" s="9" t="s">
        <v>1216</v>
      </c>
      <c r="X83" s="9" t="s">
        <v>1112</v>
      </c>
      <c r="Y83" s="0" t="str">
        <f aca="false">W83&amp;"|"&amp;X83</f>
        <v>udiua4ttm49q2v4|CS2 · FORZE.R vs ex-RUSTEC|K12</v>
      </c>
      <c r="Z83" s="11" t="n">
        <f aca="false">IFERROR(INDEX(CHOOSE(MATCH($X83,{"K1","K2","K3","K12","K13","H1","H2","H3","H12","H13"},0),Calc!$BA$2:$BA$124,Calc!$BB$2:$BB$124,Calc!$BC$2:$BC$124,Calc!$BD$2:$BD$124,Calc!$BE$2:$BE$124,Calc!$BF$2:$BF$124,Calc!$BG$2:$BG$124,Calc!$BH$2:$BH$124,Calc!$BI$2:$BI$124,Calc!$BJ$2:$BJ$124),MATCH($W83,Calc!$A$2:$A$124,0)),"")</f>
        <v>22.8362893269623</v>
      </c>
      <c r="AA83" s="11" t="n">
        <f aca="false">IF(Z83="","",IF(LEFT($X83,1)="H",SQRT(Z83*(IFERROR(INDEX(Calc!$AP$2:$AP$124,MATCH($W83,Calc!$A$2:$A$124,0)),0.5)*Config!$B$5+1-IFERROR(INDEX(Calc!$AP$2:$AP$124,MATCH($W83,Calc!$A$2:$A$124,0)),0.5))),SQRT(Z83*Config!$B$5)))</f>
        <v>5.65427316794539</v>
      </c>
      <c r="AB83" s="10" t="n">
        <f aca="false">IF(OR(F83="",Z83="",N(AA83)&lt;=0),"",1-NORMDIST(FLOOR(F83,1)+0.5,Z83,AA83,TRUE()))</f>
        <v>0.318785762326029</v>
      </c>
      <c r="AC83" s="10" t="n">
        <f aca="false">IF(AB83="","",NORMDIST(CEILING(F83,1)-0.5,Z83,AA83,TRUE()))</f>
        <v>0.681214237673971</v>
      </c>
      <c r="AD83" s="0" t="str">
        <f aca="false">IF(AB83="","",IF(AB83&gt;=0.5+Config!$B$6,"OVER",IF(AC83&gt;=0.5+Config!$B$6,"UNDER","—")))</f>
        <v>UNDER</v>
      </c>
      <c r="AE83" s="13" t="n">
        <f aca="false">IFERROR(Z83/G83,"")</f>
        <v>0.978053279073507</v>
      </c>
    </row>
    <row r="84" customFormat="false" ht="15" hidden="false" customHeight="false" outlineLevel="0" collapsed="false">
      <c r="A84" s="0" t="s">
        <v>988</v>
      </c>
      <c r="B84" s="0" t="s">
        <v>1072</v>
      </c>
      <c r="C84" s="0" t="s">
        <v>1217</v>
      </c>
      <c r="D84" s="0" t="s">
        <v>1076</v>
      </c>
      <c r="E84" s="0" t="s">
        <v>1107</v>
      </c>
      <c r="F84" s="0" t="n">
        <v>10</v>
      </c>
      <c r="G84" s="11" t="n">
        <f aca="false">IFERROR(INDEX(CHOOSE(MATCH($X84,{"K1","K2","K3","K12","K13","H1","H2","H3","H12","H13"},0),Calc!$V$2:$V$124,Calc!$AC$2:$AC$124,Calc!$AJ$2:$AJ$124,Calc!$AL$2:$AL$124,Calc!$AM$2:$AM$124,Calc!$W$2:$W$124,Calc!$AD$2:$AD$124,Calc!$AK$2:$AK$124,Calc!$AN$2:$AN$124,Calc!$AO$2:$AO$124),MATCH($W84,Calc!$A$2:$A$124,0)),"")</f>
        <v>9.49743084183674</v>
      </c>
      <c r="H84" s="11" t="n">
        <f aca="false">IF(G84="","",IF(LEFT($X84,1)="H",SQRT(G84*(IFERROR(INDEX(Calc!$AP$2:$AP$124,MATCH($W84,Calc!$A$2:$A$124,0)),0.5)*Config!$B$5+1-IFERROR(INDEX(Calc!$AP$2:$AP$124,MATCH($W84,Calc!$A$2:$A$124,0)),0.5))),SQRT(G84*Config!$B$5)))</f>
        <v>3.25116364209941</v>
      </c>
      <c r="I84" s="10" t="n">
        <f aca="false">IF(OR(F84="",G84="",N(H84)&lt;=0),"",1-NORMDIST(FLOOR(F84,1)+0.5,G84,H84,TRUE()))</f>
        <v>0.378899487771942</v>
      </c>
      <c r="J84" s="10" t="n">
        <f aca="false">IF(I84="","",NORMDIST(CEILING(F84,1)-0.5,G84,H84,TRUE()))</f>
        <v>0.500315255035588</v>
      </c>
      <c r="K84" s="10" t="n">
        <f aca="false">IF(I84="","",MAX(0,1-I84-J84))</f>
        <v>0.12078525719247</v>
      </c>
      <c r="L84" s="0" t="str">
        <f aca="false">IF(I84="","",IF(I84&gt;=0.5+Config!$B$6,"OVER",IF(J84&gt;=0.5+Config!$B$6,"UNDER","—")))</f>
        <v>—</v>
      </c>
      <c r="N84" s="0" t="n">
        <v>9.1</v>
      </c>
      <c r="O84" s="10" t="n">
        <v>0.2</v>
      </c>
      <c r="P84" s="10" t="n">
        <v>0.3</v>
      </c>
      <c r="Q84" s="10" t="n">
        <v>0.33</v>
      </c>
      <c r="R84" s="9" t="s">
        <v>1114</v>
      </c>
      <c r="S84" s="0" t="n">
        <v>-2</v>
      </c>
      <c r="T84" s="0" t="str">
        <f aca="false">INDEX(Calc!$G$2:$G$124,MATCH($W84,Calc!$A$2:$A$124,0))&amp;" / "&amp;INDEX(Calc!$H$2:$H$124,MATCH($W84,Calc!$A$2:$A$124,0))</f>
        <v>Dust2 / Nuke</v>
      </c>
      <c r="U84" s="0" t="str">
        <f aca="false">TEXT(INDEX(Calc!$J$2:$J$124,MATCH($W84,Calc!$A$2:$A$124,0)),"0.0")&amp;" / "&amp;TEXT(INDEX(Calc!$K$2:$K$124,MATCH($W84,Calc!$A$2:$A$124,0)),"0.0")</f>
        <v>21.5 / 21.5</v>
      </c>
      <c r="V84" s="0" t="str">
        <f aca="false">IFERROR(INDEX(Calc!$AQ$2:$AQ$124,MATCH($W84,Calc!$A$2:$A$124,0)),"")</f>
        <v/>
      </c>
      <c r="W84" s="9" t="s">
        <v>1218</v>
      </c>
      <c r="X84" s="9" t="s">
        <v>1110</v>
      </c>
      <c r="Y84" s="0" t="str">
        <f aca="false">W84&amp;"|"&amp;X84</f>
        <v>fcekd28mes5c7xs|CS2 · FORZE.R vs ex-RUSTEC|H12</v>
      </c>
      <c r="Z84" s="11" t="n">
        <f aca="false">IFERROR(INDEX(CHOOSE(MATCH($X84,{"K1","K2","K3","K12","K13","H1","H2","H3","H12","H13"},0),Calc!$BA$2:$BA$124,Calc!$BB$2:$BB$124,Calc!$BC$2:$BC$124,Calc!$BD$2:$BD$124,Calc!$BE$2:$BE$124,Calc!$BF$2:$BF$124,Calc!$BG$2:$BG$124,Calc!$BH$2:$BH$124,Calc!$BI$2:$BI$124,Calc!$BJ$2:$BJ$124),MATCH($W84,Calc!$A$2:$A$124,0)),"")</f>
        <v>9.2975993195407</v>
      </c>
      <c r="AA84" s="11" t="n">
        <f aca="false">IF(Z84="","",IF(LEFT($X84,1)="H",SQRT(Z84*(IFERROR(INDEX(Calc!$AP$2:$AP$124,MATCH($W84,Calc!$A$2:$A$124,0)),0.5)*Config!$B$5+1-IFERROR(INDEX(Calc!$AP$2:$AP$124,MATCH($W84,Calc!$A$2:$A$124,0)),0.5))),SQRT(Z84*Config!$B$5)))</f>
        <v>3.21677861411628</v>
      </c>
      <c r="AB84" s="10" t="n">
        <f aca="false">IF(OR(F84="",Z84="",N(AA84)&lt;=0),"",1-NORMDIST(FLOOR(F84,1)+0.5,Z84,AA84,TRUE()))</f>
        <v>0.354280164061995</v>
      </c>
      <c r="AC84" s="10" t="n">
        <f aca="false">IF(AB84="","",NORMDIST(CEILING(F84,1)-0.5,Z84,AA84,TRUE()))</f>
        <v>0.525085015717318</v>
      </c>
      <c r="AD84" s="0" t="str">
        <f aca="false">IF(AB84="","",IF(AB84&gt;=0.5+Config!$B$6,"OVER",IF(AC84&gt;=0.5+Config!$B$6,"UNDER","—")))</f>
        <v>—</v>
      </c>
      <c r="AE84" s="13" t="n">
        <f aca="false">IFERROR(Z84/G84,"")</f>
        <v>0.978959412748155</v>
      </c>
    </row>
    <row r="85" customFormat="false" ht="15" hidden="false" customHeight="false" outlineLevel="0" collapsed="false">
      <c r="A85" s="0" t="s">
        <v>988</v>
      </c>
      <c r="B85" s="0" t="s">
        <v>1072</v>
      </c>
      <c r="C85" s="0" t="s">
        <v>1217</v>
      </c>
      <c r="D85" s="0" t="s">
        <v>1076</v>
      </c>
      <c r="E85" s="0" t="s">
        <v>1111</v>
      </c>
      <c r="F85" s="0" t="n">
        <v>32</v>
      </c>
      <c r="G85" s="11" t="n">
        <f aca="false">IFERROR(INDEX(CHOOSE(MATCH($X85,{"K1","K2","K3","K12","K13","H1","H2","H3","H12","H13"},0),Calc!$V$2:$V$124,Calc!$AC$2:$AC$124,Calc!$AJ$2:$AJ$124,Calc!$AL$2:$AL$124,Calc!$AM$2:$AM$124,Calc!$W$2:$W$124,Calc!$AD$2:$AD$124,Calc!$AK$2:$AK$124,Calc!$AN$2:$AN$124,Calc!$AO$2:$AO$124),MATCH($W85,Calc!$A$2:$A$124,0)),"")</f>
        <v>33.6372619047619</v>
      </c>
      <c r="H85" s="11" t="n">
        <f aca="false">IF(G85="","",IF(LEFT($X85,1)="H",SQRT(G85*(IFERROR(INDEX(Calc!$AP$2:$AP$124,MATCH($W85,Calc!$A$2:$A$124,0)),0.5)*Config!$B$5+1-IFERROR(INDEX(Calc!$AP$2:$AP$124,MATCH($W85,Calc!$A$2:$A$124,0)),0.5))),SQRT(G85*Config!$B$5)))</f>
        <v>6.86237325323147</v>
      </c>
      <c r="I85" s="10" t="n">
        <f aca="false">IF(OR(F85="",G85="",N(H85)&lt;=0),"",1-NORMDIST(FLOOR(F85,1)+0.5,G85,H85,TRUE()))</f>
        <v>0.565813033399079</v>
      </c>
      <c r="J85" s="10" t="n">
        <f aca="false">IF(I85="","",NORMDIST(CEILING(F85,1)-0.5,G85,H85,TRUE()))</f>
        <v>0.377730616795168</v>
      </c>
      <c r="K85" s="10" t="n">
        <f aca="false">IF(I85="","",MAX(0,1-I85-J85))</f>
        <v>0.0564563498057524</v>
      </c>
      <c r="L85" s="0" t="str">
        <f aca="false">IF(I85="","",IF(I85&gt;=0.5+Config!$B$6,"OVER",IF(J85&gt;=0.5+Config!$B$6,"UNDER","—")))</f>
        <v>OVER</v>
      </c>
      <c r="N85" s="0" t="n">
        <v>32.3</v>
      </c>
      <c r="O85" s="10" t="n">
        <v>0.4</v>
      </c>
      <c r="P85" s="10" t="n">
        <v>0.5</v>
      </c>
      <c r="Q85" s="10" t="n">
        <v>0.4</v>
      </c>
      <c r="R85" s="9" t="s">
        <v>1114</v>
      </c>
      <c r="S85" s="0" t="n">
        <v>-2</v>
      </c>
      <c r="T85" s="0" t="str">
        <f aca="false">INDEX(Calc!$G$2:$G$124,MATCH($W85,Calc!$A$2:$A$124,0))&amp;" / "&amp;INDEX(Calc!$H$2:$H$124,MATCH($W85,Calc!$A$2:$A$124,0))</f>
        <v>Dust2 / Nuke</v>
      </c>
      <c r="U85" s="0" t="str">
        <f aca="false">TEXT(INDEX(Calc!$J$2:$J$124,MATCH($W85,Calc!$A$2:$A$124,0)),"0.0")&amp;" / "&amp;TEXT(INDEX(Calc!$K$2:$K$124,MATCH($W85,Calc!$A$2:$A$124,0)),"0.0")</f>
        <v>21.5 / 21.5</v>
      </c>
      <c r="V85" s="0" t="str">
        <f aca="false">IFERROR(INDEX(Calc!$AQ$2:$AQ$124,MATCH($W85,Calc!$A$2:$A$124,0)),"")</f>
        <v/>
      </c>
      <c r="W85" s="9" t="s">
        <v>1218</v>
      </c>
      <c r="X85" s="9" t="s">
        <v>1112</v>
      </c>
      <c r="Y85" s="0" t="str">
        <f aca="false">W85&amp;"|"&amp;X85</f>
        <v>fcekd28mes5c7xs|CS2 · FORZE.R vs ex-RUSTEC|K12</v>
      </c>
      <c r="Z85" s="11" t="n">
        <f aca="false">IFERROR(INDEX(CHOOSE(MATCH($X85,{"K1","K2","K3","K12","K13","H1","H2","H3","H12","H13"},0),Calc!$BA$2:$BA$124,Calc!$BB$2:$BB$124,Calc!$BC$2:$BC$124,Calc!$BD$2:$BD$124,Calc!$BE$2:$BE$124,Calc!$BF$2:$BF$124,Calc!$BG$2:$BG$124,Calc!$BH$2:$BH$124,Calc!$BI$2:$BI$124,Calc!$BJ$2:$BJ$124),MATCH($W85,Calc!$A$2:$A$124,0)),"")</f>
        <v>32.9551762481548</v>
      </c>
      <c r="AA85" s="11" t="n">
        <f aca="false">IF(Z85="","",IF(LEFT($X85,1)="H",SQRT(Z85*(IFERROR(INDEX(Calc!$AP$2:$AP$124,MATCH($W85,Calc!$A$2:$A$124,0)),0.5)*Config!$B$5+1-IFERROR(INDEX(Calc!$AP$2:$AP$124,MATCH($W85,Calc!$A$2:$A$124,0)),0.5))),SQRT(Z85*Config!$B$5)))</f>
        <v>6.79244041176783</v>
      </c>
      <c r="AB85" s="10" t="n">
        <f aca="false">IF(OR(F85="",Z85="",N(AA85)&lt;=0),"",1-NORMDIST(FLOOR(F85,1)+0.5,Z85,AA85,TRUE()))</f>
        <v>0.526713997126455</v>
      </c>
      <c r="AC85" s="10" t="n">
        <f aca="false">IF(AB85="","",NORMDIST(CEILING(F85,1)-0.5,Z85,AA85,TRUE()))</f>
        <v>0.415182029416466</v>
      </c>
      <c r="AD85" s="0" t="str">
        <f aca="false">IF(AB85="","",IF(AB85&gt;=0.5+Config!$B$6,"OVER",IF(AC85&gt;=0.5+Config!$B$6,"UNDER","—")))</f>
        <v>—</v>
      </c>
      <c r="AE85" s="13" t="n">
        <f aca="false">IFERROR(Z85/G85,"")</f>
        <v>0.97972231929762</v>
      </c>
    </row>
    <row r="86" customFormat="false" ht="15" hidden="false" customHeight="false" outlineLevel="0" collapsed="false">
      <c r="A86" s="0" t="s">
        <v>988</v>
      </c>
      <c r="B86" s="0" t="s">
        <v>1072</v>
      </c>
      <c r="C86" s="0" t="s">
        <v>1219</v>
      </c>
      <c r="D86" s="0" t="s">
        <v>1077</v>
      </c>
      <c r="E86" s="0" t="s">
        <v>1107</v>
      </c>
      <c r="F86" s="0" t="n">
        <v>18</v>
      </c>
      <c r="G86" s="11" t="n">
        <f aca="false">IFERROR(INDEX(CHOOSE(MATCH($X86,{"K1","K2","K3","K12","K13","H1","H2","H3","H12","H13"},0),Calc!$V$2:$V$124,Calc!$AC$2:$AC$124,Calc!$AJ$2:$AJ$124,Calc!$AL$2:$AL$124,Calc!$AM$2:$AM$124,Calc!$W$2:$W$124,Calc!$AD$2:$AD$124,Calc!$AK$2:$AK$124,Calc!$AN$2:$AN$124,Calc!$AO$2:$AO$124),MATCH($W86,Calc!$A$2:$A$124,0)),"")</f>
        <v>17.3090328374656</v>
      </c>
      <c r="H86" s="11" t="n">
        <f aca="false">IF(G86="","",IF(LEFT($X86,1)="H",SQRT(G86*(IFERROR(INDEX(Calc!$AP$2:$AP$124,MATCH($W86,Calc!$A$2:$A$124,0)),0.5)*Config!$B$5+1-IFERROR(INDEX(Calc!$AP$2:$AP$124,MATCH($W86,Calc!$A$2:$A$124,0)),0.5))),SQRT(G86*Config!$B$5)))</f>
        <v>4.65980428217775</v>
      </c>
      <c r="I86" s="10" t="n">
        <f aca="false">IF(OR(F86="",G86="",N(H86)&lt;=0),"",1-NORMDIST(FLOOR(F86,1)+0.5,G86,H86,TRUE()))</f>
        <v>0.399136389740558</v>
      </c>
      <c r="J86" s="10" t="n">
        <f aca="false">IF(I86="","",NORMDIST(CEILING(F86,1)-0.5,G86,H86,TRUE()))</f>
        <v>0.5163447970229</v>
      </c>
      <c r="K86" s="10" t="n">
        <f aca="false">IF(I86="","",MAX(0,1-I86-J86))</f>
        <v>0.0845188132365422</v>
      </c>
      <c r="L86" s="0" t="str">
        <f aca="false">IF(I86="","",IF(I86&gt;=0.5+Config!$B$6,"OVER",IF(J86&gt;=0.5+Config!$B$6,"UNDER","—")))</f>
        <v>—</v>
      </c>
      <c r="N86" s="0" t="n">
        <v>17.5</v>
      </c>
      <c r="O86" s="10" t="n">
        <v>1</v>
      </c>
      <c r="P86" s="10" t="n">
        <v>0.7</v>
      </c>
      <c r="Q86" s="10" t="n">
        <v>0.73</v>
      </c>
      <c r="R86" s="9" t="s">
        <v>1118</v>
      </c>
      <c r="S86" s="0" t="n">
        <v>5</v>
      </c>
      <c r="T86" s="0" t="str">
        <f aca="false">INDEX(Calc!$G$2:$G$124,MATCH($W86,Calc!$A$2:$A$124,0))&amp;" / "&amp;INDEX(Calc!$H$2:$H$124,MATCH($W86,Calc!$A$2:$A$124,0))</f>
        <v>Dust2 / Nuke</v>
      </c>
      <c r="U86" s="0" t="str">
        <f aca="false">TEXT(INDEX(Calc!$J$2:$J$124,MATCH($W86,Calc!$A$2:$A$124,0)),"0.0")&amp;" / "&amp;TEXT(INDEX(Calc!$K$2:$K$124,MATCH($W86,Calc!$A$2:$A$124,0)),"0.0")</f>
        <v>21.5 / 21.5</v>
      </c>
      <c r="V86" s="0" t="str">
        <f aca="false">IFERROR(INDEX(Calc!$AQ$2:$AQ$124,MATCH($W86,Calc!$A$2:$A$124,0)),"")</f>
        <v/>
      </c>
      <c r="W86" s="9" t="s">
        <v>1220</v>
      </c>
      <c r="X86" s="9" t="s">
        <v>1110</v>
      </c>
      <c r="Y86" s="0" t="str">
        <f aca="false">W86&amp;"|"&amp;X86</f>
        <v>u2qbkafgxd78s8o|CS2 · FORZE.R vs ex-RUSTEC|H12</v>
      </c>
      <c r="Z86" s="11" t="n">
        <f aca="false">IFERROR(INDEX(CHOOSE(MATCH($X86,{"K1","K2","K3","K12","K13","H1","H2","H3","H12","H13"},0),Calc!$BA$2:$BA$124,Calc!$BB$2:$BB$124,Calc!$BC$2:$BC$124,Calc!$BD$2:$BD$124,Calc!$BE$2:$BE$124,Calc!$BF$2:$BF$124,Calc!$BG$2:$BG$124,Calc!$BH$2:$BH$124,Calc!$BI$2:$BI$124,Calc!$BJ$2:$BJ$124),MATCH($W86,Calc!$A$2:$A$124,0)),"")</f>
        <v>16.4411291880834</v>
      </c>
      <c r="AA86" s="11" t="n">
        <f aca="false">IF(Z86="","",IF(LEFT($X86,1)="H",SQRT(Z86*(IFERROR(INDEX(Calc!$AP$2:$AP$124,MATCH($W86,Calc!$A$2:$A$124,0)),0.5)*Config!$B$5+1-IFERROR(INDEX(Calc!$AP$2:$AP$124,MATCH($W86,Calc!$A$2:$A$124,0)),0.5))),SQRT(Z86*Config!$B$5)))</f>
        <v>4.54147676035564</v>
      </c>
      <c r="AB86" s="10" t="n">
        <f aca="false">IF(OR(F86="",Z86="",N(AA86)&lt;=0),"",1-NORMDIST(FLOOR(F86,1)+0.5,Z86,AA86,TRUE()))</f>
        <v>0.325148975667455</v>
      </c>
      <c r="AC86" s="10" t="n">
        <f aca="false">IF(AB86="","",NORMDIST(CEILING(F86,1)-0.5,Z86,AA86,TRUE()))</f>
        <v>0.592179715335018</v>
      </c>
      <c r="AD86" s="0" t="str">
        <f aca="false">IF(AB86="","",IF(AB86&gt;=0.5+Config!$B$6,"OVER",IF(AC86&gt;=0.5+Config!$B$6,"UNDER","—")))</f>
        <v>UNDER</v>
      </c>
      <c r="AE86" s="13" t="n">
        <f aca="false">IFERROR(Z86/G86,"")</f>
        <v>0.949858339427056</v>
      </c>
    </row>
    <row r="87" customFormat="false" ht="15" hidden="false" customHeight="false" outlineLevel="0" collapsed="false">
      <c r="A87" s="0" t="s">
        <v>988</v>
      </c>
      <c r="B87" s="0" t="s">
        <v>1072</v>
      </c>
      <c r="C87" s="0" t="s">
        <v>1219</v>
      </c>
      <c r="D87" s="0" t="s">
        <v>1077</v>
      </c>
      <c r="E87" s="0" t="s">
        <v>1111</v>
      </c>
      <c r="F87" s="0" t="n">
        <v>29</v>
      </c>
      <c r="G87" s="11" t="n">
        <f aca="false">IFERROR(INDEX(CHOOSE(MATCH($X87,{"K1","K2","K3","K12","K13","H1","H2","H3","H12","H13"},0),Calc!$V$2:$V$124,Calc!$AC$2:$AC$124,Calc!$AJ$2:$AJ$124,Calc!$AL$2:$AL$124,Calc!$AM$2:$AM$124,Calc!$W$2:$W$124,Calc!$AD$2:$AD$124,Calc!$AK$2:$AK$124,Calc!$AN$2:$AN$124,Calc!$AO$2:$AO$124),MATCH($W87,Calc!$A$2:$A$124,0)),"")</f>
        <v>27.2072727272727</v>
      </c>
      <c r="H87" s="11" t="n">
        <f aca="false">IF(G87="","",IF(LEFT($X87,1)="H",SQRT(G87*(IFERROR(INDEX(Calc!$AP$2:$AP$124,MATCH($W87,Calc!$A$2:$A$124,0)),0.5)*Config!$B$5+1-IFERROR(INDEX(Calc!$AP$2:$AP$124,MATCH($W87,Calc!$A$2:$A$124,0)),0.5))),SQRT(G87*Config!$B$5)))</f>
        <v>6.17172437963506</v>
      </c>
      <c r="I87" s="10" t="n">
        <f aca="false">IF(OR(F87="",G87="",N(H87)&lt;=0),"",1-NORMDIST(FLOOR(F87,1)+0.5,G87,H87,TRUE()))</f>
        <v>0.35513670060344</v>
      </c>
      <c r="J87" s="10" t="n">
        <f aca="false">IF(I87="","",NORMDIST(CEILING(F87,1)-0.5,G87,H87,TRUE()))</f>
        <v>0.582955287129478</v>
      </c>
      <c r="K87" s="10" t="n">
        <f aca="false">IF(I87="","",MAX(0,1-I87-J87))</f>
        <v>0.0619080122670812</v>
      </c>
      <c r="L87" s="0" t="str">
        <f aca="false">IF(I87="","",IF(I87&gt;=0.5+Config!$B$6,"OVER",IF(J87&gt;=0.5+Config!$B$6,"UNDER","—")))</f>
        <v>UNDER</v>
      </c>
      <c r="N87" s="0" t="n">
        <v>27.1</v>
      </c>
      <c r="O87" s="10" t="n">
        <v>0.4</v>
      </c>
      <c r="P87" s="10" t="n">
        <v>0.4</v>
      </c>
      <c r="Q87" s="10" t="n">
        <v>0.53</v>
      </c>
      <c r="R87" s="9" t="s">
        <v>1118</v>
      </c>
      <c r="S87" s="0" t="n">
        <v>-1</v>
      </c>
      <c r="T87" s="0" t="str">
        <f aca="false">INDEX(Calc!$G$2:$G$124,MATCH($W87,Calc!$A$2:$A$124,0))&amp;" / "&amp;INDEX(Calc!$H$2:$H$124,MATCH($W87,Calc!$A$2:$A$124,0))</f>
        <v>Dust2 / Nuke</v>
      </c>
      <c r="U87" s="0" t="str">
        <f aca="false">TEXT(INDEX(Calc!$J$2:$J$124,MATCH($W87,Calc!$A$2:$A$124,0)),"0.0")&amp;" / "&amp;TEXT(INDEX(Calc!$K$2:$K$124,MATCH($W87,Calc!$A$2:$A$124,0)),"0.0")</f>
        <v>21.5 / 21.5</v>
      </c>
      <c r="V87" s="0" t="str">
        <f aca="false">IFERROR(INDEX(Calc!$AQ$2:$AQ$124,MATCH($W87,Calc!$A$2:$A$124,0)),"")</f>
        <v/>
      </c>
      <c r="W87" s="9" t="s">
        <v>1220</v>
      </c>
      <c r="X87" s="9" t="s">
        <v>1112</v>
      </c>
      <c r="Y87" s="0" t="str">
        <f aca="false">W87&amp;"|"&amp;X87</f>
        <v>u2qbkafgxd78s8o|CS2 · FORZE.R vs ex-RUSTEC|K12</v>
      </c>
      <c r="Z87" s="11" t="n">
        <f aca="false">IFERROR(INDEX(CHOOSE(MATCH($X87,{"K1","K2","K3","K12","K13","H1","H2","H3","H12","H13"},0),Calc!$BA$2:$BA$124,Calc!$BB$2:$BB$124,Calc!$BC$2:$BC$124,Calc!$BD$2:$BD$124,Calc!$BE$2:$BE$124,Calc!$BF$2:$BF$124,Calc!$BG$2:$BG$124,Calc!$BH$2:$BH$124,Calc!$BI$2:$BI$124,Calc!$BJ$2:$BJ$124),MATCH($W87,Calc!$A$2:$A$124,0)),"")</f>
        <v>25.8685410878528</v>
      </c>
      <c r="AA87" s="11" t="n">
        <f aca="false">IF(Z87="","",IF(LEFT($X87,1)="H",SQRT(Z87*(IFERROR(INDEX(Calc!$AP$2:$AP$124,MATCH($W87,Calc!$A$2:$A$124,0)),0.5)*Config!$B$5+1-IFERROR(INDEX(Calc!$AP$2:$AP$124,MATCH($W87,Calc!$A$2:$A$124,0)),0.5))),SQRT(Z87*Config!$B$5)))</f>
        <v>6.01796955151768</v>
      </c>
      <c r="AB87" s="10" t="n">
        <f aca="false">IF(OR(F87="",Z87="",N(AA87)&lt;=0),"",1-NORMDIST(FLOOR(F87,1)+0.5,Z87,AA87,TRUE()))</f>
        <v>0.273109370740271</v>
      </c>
      <c r="AC87" s="10" t="n">
        <f aca="false">IF(AB87="","",NORMDIST(CEILING(F87,1)-0.5,Z87,AA87,TRUE()))</f>
        <v>0.669041102696716</v>
      </c>
      <c r="AD87" s="0" t="str">
        <f aca="false">IF(AB87="","",IF(AB87&gt;=0.5+Config!$B$6,"OVER",IF(AC87&gt;=0.5+Config!$B$6,"UNDER","—")))</f>
        <v>UNDER</v>
      </c>
      <c r="AE87" s="13" t="n">
        <f aca="false">IFERROR(Z87/G87,"")</f>
        <v>0.950795081416669</v>
      </c>
    </row>
    <row r="88" customFormat="false" ht="15" hidden="false" customHeight="false" outlineLevel="0" collapsed="false">
      <c r="A88" s="0" t="s">
        <v>988</v>
      </c>
      <c r="B88" s="0" t="s">
        <v>1072</v>
      </c>
      <c r="C88" s="0" t="s">
        <v>1221</v>
      </c>
      <c r="D88" s="0" t="s">
        <v>1077</v>
      </c>
      <c r="E88" s="0" t="s">
        <v>1107</v>
      </c>
      <c r="F88" s="0" t="n">
        <v>14.5</v>
      </c>
      <c r="G88" s="11" t="n">
        <f aca="false">IFERROR(INDEX(CHOOSE(MATCH($X88,{"K1","K2","K3","K12","K13","H1","H2","H3","H12","H13"},0),Calc!$V$2:$V$124,Calc!$AC$2:$AC$124,Calc!$AJ$2:$AJ$124,Calc!$AL$2:$AL$124,Calc!$AM$2:$AM$124,Calc!$W$2:$W$124,Calc!$AD$2:$AD$124,Calc!$AK$2:$AK$124,Calc!$AN$2:$AN$124,Calc!$AO$2:$AO$124),MATCH($W88,Calc!$A$2:$A$124,0)),"")</f>
        <v>14.1945866666667</v>
      </c>
      <c r="H88" s="11" t="n">
        <f aca="false">IF(G88="","",IF(LEFT($X88,1)="H",SQRT(G88*(IFERROR(INDEX(Calc!$AP$2:$AP$124,MATCH($W88,Calc!$A$2:$A$124,0)),0.5)*Config!$B$5+1-IFERROR(INDEX(Calc!$AP$2:$AP$124,MATCH($W88,Calc!$A$2:$A$124,0)),0.5))),SQRT(G88*Config!$B$5)))</f>
        <v>4.18589662892237</v>
      </c>
      <c r="I88" s="10" t="n">
        <f aca="false">IF(OR(F88="",G88="",N(H88)&lt;=0),"",1-NORMDIST(FLOOR(F88,1)+0.5,G88,H88,TRUE()))</f>
        <v>0.470917993509351</v>
      </c>
      <c r="J88" s="10" t="n">
        <f aca="false">IF(I88="","",NORMDIST(CEILING(F88,1)-0.5,G88,H88,TRUE()))</f>
        <v>0.529082006490649</v>
      </c>
      <c r="K88" s="10" t="n">
        <f aca="false">IF(I88="","",MAX(0,1-I88-J88))</f>
        <v>0</v>
      </c>
      <c r="L88" s="0" t="str">
        <f aca="false">IF(I88="","",IF(I88&gt;=0.5+Config!$B$6,"OVER",IF(J88&gt;=0.5+Config!$B$6,"UNDER","—")))</f>
        <v>—</v>
      </c>
      <c r="N88" s="0" t="n">
        <v>13.9</v>
      </c>
      <c r="O88" s="10" t="n">
        <v>0.2</v>
      </c>
      <c r="P88" s="10" t="n">
        <v>0.4</v>
      </c>
      <c r="Q88" s="10" t="n">
        <v>0.53</v>
      </c>
      <c r="R88" s="9" t="s">
        <v>1222</v>
      </c>
      <c r="S88" s="0" t="n">
        <v>-1</v>
      </c>
      <c r="T88" s="0" t="str">
        <f aca="false">INDEX(Calc!$G$2:$G$124,MATCH($W88,Calc!$A$2:$A$124,0))&amp;" / "&amp;INDEX(Calc!$H$2:$H$124,MATCH($W88,Calc!$A$2:$A$124,0))</f>
        <v>Dust2 / Nuke</v>
      </c>
      <c r="U88" s="0" t="str">
        <f aca="false">TEXT(INDEX(Calc!$J$2:$J$124,MATCH($W88,Calc!$A$2:$A$124,0)),"0.0")&amp;" / "&amp;TEXT(INDEX(Calc!$K$2:$K$124,MATCH($W88,Calc!$A$2:$A$124,0)),"0.0")</f>
        <v>21.5 / 21.5</v>
      </c>
      <c r="V88" s="0" t="str">
        <f aca="false">IFERROR(INDEX(Calc!$AQ$2:$AQ$124,MATCH($W88,Calc!$A$2:$A$124,0)),"")</f>
        <v/>
      </c>
      <c r="W88" s="9" t="s">
        <v>1223</v>
      </c>
      <c r="X88" s="9" t="s">
        <v>1110</v>
      </c>
      <c r="Y88" s="0" t="str">
        <f aca="false">W88&amp;"|"&amp;X88</f>
        <v>ib0ui40iou8m5h8|CS2 · FORZE.R vs ex-RUSTEC|H12</v>
      </c>
      <c r="Z88" s="11" t="n">
        <f aca="false">IFERROR(INDEX(CHOOSE(MATCH($X88,{"K1","K2","K3","K12","K13","H1","H2","H3","H12","H13"},0),Calc!$BA$2:$BA$124,Calc!$BB$2:$BB$124,Calc!$BC$2:$BC$124,Calc!$BD$2:$BD$124,Calc!$BE$2:$BE$124,Calc!$BF$2:$BF$124,Calc!$BG$2:$BG$124,Calc!$BH$2:$BH$124,Calc!$BI$2:$BI$124,Calc!$BJ$2:$BJ$124),MATCH($W88,Calc!$A$2:$A$124,0)),"")</f>
        <v>13.5055136502458</v>
      </c>
      <c r="AA88" s="11" t="n">
        <f aca="false">IF(Z88="","",IF(LEFT($X88,1)="H",SQRT(Z88*(IFERROR(INDEX(Calc!$AP$2:$AP$124,MATCH($W88,Calc!$A$2:$A$124,0)),0.5)*Config!$B$5+1-IFERROR(INDEX(Calc!$AP$2:$AP$124,MATCH($W88,Calc!$A$2:$A$124,0)),0.5))),SQRT(Z88*Config!$B$5)))</f>
        <v>4.08303099650711</v>
      </c>
      <c r="AB88" s="10" t="n">
        <f aca="false">IF(OR(F88="",Z88="",N(AA88)&lt;=0),"",1-NORMDIST(FLOOR(F88,1)+0.5,Z88,AA88,TRUE()))</f>
        <v>0.403783593429843</v>
      </c>
      <c r="AC88" s="10" t="n">
        <f aca="false">IF(AB88="","",NORMDIST(CEILING(F88,1)-0.5,Z88,AA88,TRUE()))</f>
        <v>0.596216406570157</v>
      </c>
      <c r="AD88" s="0" t="str">
        <f aca="false">IF(AB88="","",IF(AB88&gt;=0.5+Config!$B$6,"OVER",IF(AC88&gt;=0.5+Config!$B$6,"UNDER","—")))</f>
        <v>UNDER</v>
      </c>
      <c r="AE88" s="13" t="n">
        <f aca="false">IFERROR(Z88/G88,"")</f>
        <v>0.95145522496692</v>
      </c>
    </row>
    <row r="89" customFormat="false" ht="15" hidden="false" customHeight="false" outlineLevel="0" collapsed="false">
      <c r="A89" s="0" t="s">
        <v>988</v>
      </c>
      <c r="B89" s="0" t="s">
        <v>1072</v>
      </c>
      <c r="C89" s="0" t="s">
        <v>1221</v>
      </c>
      <c r="D89" s="0" t="s">
        <v>1077</v>
      </c>
      <c r="E89" s="0" t="s">
        <v>1111</v>
      </c>
      <c r="F89" s="0" t="n">
        <v>25.5</v>
      </c>
      <c r="G89" s="11" t="n">
        <f aca="false">IFERROR(INDEX(CHOOSE(MATCH($X89,{"K1","K2","K3","K12","K13","H1","H2","H3","H12","H13"},0),Calc!$V$2:$V$124,Calc!$AC$2:$AC$124,Calc!$AJ$2:$AJ$124,Calc!$AL$2:$AL$124,Calc!$AM$2:$AM$124,Calc!$W$2:$W$124,Calc!$AD$2:$AD$124,Calc!$AK$2:$AK$124,Calc!$AN$2:$AN$124,Calc!$AO$2:$AO$124),MATCH($W89,Calc!$A$2:$A$124,0)),"")</f>
        <v>24.2233333333333</v>
      </c>
      <c r="H89" s="11" t="n">
        <f aca="false">IF(G89="","",IF(LEFT($X89,1)="H",SQRT(G89*(IFERROR(INDEX(Calc!$AP$2:$AP$124,MATCH($W89,Calc!$A$2:$A$124,0)),0.5)*Config!$B$5+1-IFERROR(INDEX(Calc!$AP$2:$AP$124,MATCH($W89,Calc!$A$2:$A$124,0)),0.5))),SQRT(G89*Config!$B$5)))</f>
        <v>5.82345830814188</v>
      </c>
      <c r="I89" s="10" t="n">
        <f aca="false">IF(OR(F89="",G89="",N(H89)&lt;=0),"",1-NORMDIST(FLOOR(F89,1)+0.5,G89,H89,TRUE()))</f>
        <v>0.413236118978297</v>
      </c>
      <c r="J89" s="10" t="n">
        <f aca="false">IF(I89="","",NORMDIST(CEILING(F89,1)-0.5,G89,H89,TRUE()))</f>
        <v>0.586763881021703</v>
      </c>
      <c r="K89" s="10" t="n">
        <f aca="false">IF(I89="","",MAX(0,1-I89-J89))</f>
        <v>0</v>
      </c>
      <c r="L89" s="0" t="str">
        <f aca="false">IF(I89="","",IF(I89&gt;=0.5+Config!$B$6,"OVER",IF(J89&gt;=0.5+Config!$B$6,"UNDER","—")))</f>
        <v>UNDER</v>
      </c>
      <c r="N89" s="0" t="n">
        <v>24.2</v>
      </c>
      <c r="O89" s="10" t="n">
        <v>0.2</v>
      </c>
      <c r="P89" s="10" t="n">
        <v>0.4</v>
      </c>
      <c r="Q89" s="10" t="n">
        <v>0.4</v>
      </c>
      <c r="R89" s="9" t="s">
        <v>1224</v>
      </c>
      <c r="S89" s="0" t="n">
        <v>-1</v>
      </c>
      <c r="T89" s="0" t="str">
        <f aca="false">INDEX(Calc!$G$2:$G$124,MATCH($W89,Calc!$A$2:$A$124,0))&amp;" / "&amp;INDEX(Calc!$H$2:$H$124,MATCH($W89,Calc!$A$2:$A$124,0))</f>
        <v>Dust2 / Nuke</v>
      </c>
      <c r="U89" s="0" t="str">
        <f aca="false">TEXT(INDEX(Calc!$J$2:$J$124,MATCH($W89,Calc!$A$2:$A$124,0)),"0.0")&amp;" / "&amp;TEXT(INDEX(Calc!$K$2:$K$124,MATCH($W89,Calc!$A$2:$A$124,0)),"0.0")</f>
        <v>21.5 / 21.5</v>
      </c>
      <c r="V89" s="0" t="str">
        <f aca="false">IFERROR(INDEX(Calc!$AQ$2:$AQ$124,MATCH($W89,Calc!$A$2:$A$124,0)),"")</f>
        <v/>
      </c>
      <c r="W89" s="9" t="s">
        <v>1223</v>
      </c>
      <c r="X89" s="9" t="s">
        <v>1112</v>
      </c>
      <c r="Y89" s="0" t="str">
        <f aca="false">W89&amp;"|"&amp;X89</f>
        <v>ib0ui40iou8m5h8|CS2 · FORZE.R vs ex-RUSTEC|K12</v>
      </c>
      <c r="Z89" s="11" t="n">
        <f aca="false">IFERROR(INDEX(CHOOSE(MATCH($X89,{"K1","K2","K3","K12","K13","H1","H2","H3","H12","H13"},0),Calc!$BA$2:$BA$124,Calc!$BB$2:$BB$124,Calc!$BC$2:$BC$124,Calc!$BD$2:$BD$124,Calc!$BE$2:$BE$124,Calc!$BF$2:$BF$124,Calc!$BG$2:$BG$124,Calc!$BH$2:$BH$124,Calc!$BI$2:$BI$124,Calc!$BJ$2:$BJ$124),MATCH($W89,Calc!$A$2:$A$124,0)),"")</f>
        <v>23.054173125297</v>
      </c>
      <c r="AA89" s="11" t="n">
        <f aca="false">IF(Z89="","",IF(LEFT($X89,1)="H",SQRT(Z89*(IFERROR(INDEX(Calc!$AP$2:$AP$124,MATCH($W89,Calc!$A$2:$A$124,0)),0.5)*Config!$B$5+1-IFERROR(INDEX(Calc!$AP$2:$AP$124,MATCH($W89,Calc!$A$2:$A$124,0)),0.5))),SQRT(Z89*Config!$B$5)))</f>
        <v>5.68118318446218</v>
      </c>
      <c r="AB89" s="10" t="n">
        <f aca="false">IF(OR(F89="",Z89="",N(AA89)&lt;=0),"",1-NORMDIST(FLOOR(F89,1)+0.5,Z89,AA89,TRUE()))</f>
        <v>0.333411021942072</v>
      </c>
      <c r="AC89" s="10" t="n">
        <f aca="false">IF(AB89="","",NORMDIST(CEILING(F89,1)-0.5,Z89,AA89,TRUE()))</f>
        <v>0.666588978057928</v>
      </c>
      <c r="AD89" s="0" t="str">
        <f aca="false">IF(AB89="","",IF(AB89&gt;=0.5+Config!$B$6,"OVER",IF(AC89&gt;=0.5+Config!$B$6,"UNDER","—")))</f>
        <v>UNDER</v>
      </c>
      <c r="AE89" s="13" t="n">
        <f aca="false">IFERROR(Z89/G89,"")</f>
        <v>0.951734132047489</v>
      </c>
    </row>
    <row r="90" customFormat="false" ht="15" hidden="false" customHeight="false" outlineLevel="0" collapsed="false">
      <c r="A90" s="0" t="s">
        <v>988</v>
      </c>
      <c r="B90" s="0" t="s">
        <v>1072</v>
      </c>
      <c r="C90" s="0" t="s">
        <v>1225</v>
      </c>
      <c r="D90" s="0" t="s">
        <v>1077</v>
      </c>
      <c r="E90" s="0" t="s">
        <v>1107</v>
      </c>
      <c r="F90" s="0" t="n">
        <v>14.5</v>
      </c>
      <c r="G90" s="11" t="n">
        <f aca="false">IFERROR(INDEX(CHOOSE(MATCH($X90,{"K1","K2","K3","K12","K13","H1","H2","H3","H12","H13"},0),Calc!$V$2:$V$124,Calc!$AC$2:$AC$124,Calc!$AJ$2:$AJ$124,Calc!$AL$2:$AL$124,Calc!$AM$2:$AM$124,Calc!$W$2:$W$124,Calc!$AD$2:$AD$124,Calc!$AK$2:$AK$124,Calc!$AN$2:$AN$124,Calc!$AO$2:$AO$124),MATCH($W90,Calc!$A$2:$A$124,0)),"")</f>
        <v>13.4345351618457</v>
      </c>
      <c r="H90" s="11" t="n">
        <f aca="false">IF(G90="","",IF(LEFT($X90,1)="H",SQRT(G90*(IFERROR(INDEX(Calc!$AP$2:$AP$124,MATCH($W90,Calc!$A$2:$A$124,0)),0.5)*Config!$B$5+1-IFERROR(INDEX(Calc!$AP$2:$AP$124,MATCH($W90,Calc!$A$2:$A$124,0)),0.5))),SQRT(G90*Config!$B$5)))</f>
        <v>4.03957412901642</v>
      </c>
      <c r="I90" s="10" t="n">
        <f aca="false">IF(OR(F90="",G90="",N(H90)&lt;=0),"",1-NORMDIST(FLOOR(F90,1)+0.5,G90,H90,TRUE()))</f>
        <v>0.395983691657058</v>
      </c>
      <c r="J90" s="10" t="n">
        <f aca="false">IF(I90="","",NORMDIST(CEILING(F90,1)-0.5,G90,H90,TRUE()))</f>
        <v>0.604016308342942</v>
      </c>
      <c r="K90" s="10" t="n">
        <f aca="false">IF(I90="","",MAX(0,1-I90-J90))</f>
        <v>0</v>
      </c>
      <c r="L90" s="0" t="str">
        <f aca="false">IF(I90="","",IF(I90&gt;=0.5+Config!$B$6,"OVER",IF(J90&gt;=0.5+Config!$B$6,"UNDER","—")))</f>
        <v>UNDER</v>
      </c>
      <c r="N90" s="0" t="n">
        <v>13</v>
      </c>
      <c r="O90" s="10" t="n">
        <v>0.4</v>
      </c>
      <c r="P90" s="10" t="n">
        <v>0.4</v>
      </c>
      <c r="Q90" s="10" t="n">
        <v>0.53</v>
      </c>
      <c r="R90" s="9" t="s">
        <v>1207</v>
      </c>
      <c r="S90" s="0" t="n">
        <v>-2</v>
      </c>
      <c r="T90" s="0" t="str">
        <f aca="false">INDEX(Calc!$G$2:$G$124,MATCH($W90,Calc!$A$2:$A$124,0))&amp;" / "&amp;INDEX(Calc!$H$2:$H$124,MATCH($W90,Calc!$A$2:$A$124,0))</f>
        <v>Dust2 / Nuke</v>
      </c>
      <c r="U90" s="0" t="str">
        <f aca="false">TEXT(INDEX(Calc!$J$2:$J$124,MATCH($W90,Calc!$A$2:$A$124,0)),"0.0")&amp;" / "&amp;TEXT(INDEX(Calc!$K$2:$K$124,MATCH($W90,Calc!$A$2:$A$124,0)),"0.0")</f>
        <v>21.5 / 21.5</v>
      </c>
      <c r="V90" s="0" t="str">
        <f aca="false">IFERROR(INDEX(Calc!$AQ$2:$AQ$124,MATCH($W90,Calc!$A$2:$A$124,0)),"")</f>
        <v/>
      </c>
      <c r="W90" s="9" t="s">
        <v>1226</v>
      </c>
      <c r="X90" s="9" t="s">
        <v>1110</v>
      </c>
      <c r="Y90" s="0" t="str">
        <f aca="false">W90&amp;"|"&amp;X90</f>
        <v>5efm2s88qbsnvv0|CS2 · FORZE.R vs ex-RUSTEC|H12</v>
      </c>
      <c r="Z90" s="11" t="n">
        <f aca="false">IFERROR(INDEX(CHOOSE(MATCH($X90,{"K1","K2","K3","K12","K13","H1","H2","H3","H12","H13"},0),Calc!$BA$2:$BA$124,Calc!$BB$2:$BB$124,Calc!$BC$2:$BC$124,Calc!$BD$2:$BD$124,Calc!$BE$2:$BE$124,Calc!$BF$2:$BF$124,Calc!$BG$2:$BG$124,Calc!$BH$2:$BH$124,Calc!$BI$2:$BI$124,Calc!$BJ$2:$BJ$124),MATCH($W90,Calc!$A$2:$A$124,0)),"")</f>
        <v>12.7504902356801</v>
      </c>
      <c r="AA90" s="11" t="n">
        <f aca="false">IF(Z90="","",IF(LEFT($X90,1)="H",SQRT(Z90*(IFERROR(INDEX(Calc!$AP$2:$AP$124,MATCH($W90,Calc!$A$2:$A$124,0)),0.5)*Config!$B$5+1-IFERROR(INDEX(Calc!$AP$2:$AP$124,MATCH($W90,Calc!$A$2:$A$124,0)),0.5))),SQRT(Z90*Config!$B$5)))</f>
        <v>3.93538930914621</v>
      </c>
      <c r="AB90" s="10" t="n">
        <f aca="false">IF(OR(F90="",Z90="",N(AA90)&lt;=0),"",1-NORMDIST(FLOOR(F90,1)+0.5,Z90,AA90,TRUE()))</f>
        <v>0.328319514121235</v>
      </c>
      <c r="AC90" s="10" t="n">
        <f aca="false">IF(AB90="","",NORMDIST(CEILING(F90,1)-0.5,Z90,AA90,TRUE()))</f>
        <v>0.671680485878765</v>
      </c>
      <c r="AD90" s="0" t="str">
        <f aca="false">IF(AB90="","",IF(AB90&gt;=0.5+Config!$B$6,"OVER",IF(AC90&gt;=0.5+Config!$B$6,"UNDER","—")))</f>
        <v>UNDER</v>
      </c>
      <c r="AE90" s="13" t="n">
        <f aca="false">IFERROR(Z90/G90,"")</f>
        <v>0.949083096815414</v>
      </c>
    </row>
    <row r="91" customFormat="false" ht="15" hidden="false" customHeight="false" outlineLevel="0" collapsed="false">
      <c r="A91" s="0" t="s">
        <v>988</v>
      </c>
      <c r="B91" s="0" t="s">
        <v>1072</v>
      </c>
      <c r="C91" s="0" t="s">
        <v>1225</v>
      </c>
      <c r="D91" s="0" t="s">
        <v>1077</v>
      </c>
      <c r="E91" s="0" t="s">
        <v>1111</v>
      </c>
      <c r="F91" s="0" t="n">
        <v>26.5</v>
      </c>
      <c r="G91" s="11" t="n">
        <f aca="false">IFERROR(INDEX(CHOOSE(MATCH($X91,{"K1","K2","K3","K12","K13","H1","H2","H3","H12","H13"},0),Calc!$V$2:$V$124,Calc!$AC$2:$AC$124,Calc!$AJ$2:$AJ$124,Calc!$AL$2:$AL$124,Calc!$AM$2:$AM$124,Calc!$W$2:$W$124,Calc!$AD$2:$AD$124,Calc!$AK$2:$AK$124,Calc!$AN$2:$AN$124,Calc!$AO$2:$AO$124),MATCH($W91,Calc!$A$2:$A$124,0)),"")</f>
        <v>25.0360984848485</v>
      </c>
      <c r="H91" s="11" t="n">
        <f aca="false">IF(G91="","",IF(LEFT($X91,1)="H",SQRT(G91*(IFERROR(INDEX(Calc!$AP$2:$AP$124,MATCH($W91,Calc!$A$2:$A$124,0)),0.5)*Config!$B$5+1-IFERROR(INDEX(Calc!$AP$2:$AP$124,MATCH($W91,Calc!$A$2:$A$124,0)),0.5))),SQRT(G91*Config!$B$5)))</f>
        <v>5.9203494726906</v>
      </c>
      <c r="I91" s="10" t="n">
        <f aca="false">IF(OR(F91="",G91="",N(H91)&lt;=0),"",1-NORMDIST(FLOOR(F91,1)+0.5,G91,H91,TRUE()))</f>
        <v>0.402351159999695</v>
      </c>
      <c r="J91" s="10" t="n">
        <f aca="false">IF(I91="","",NORMDIST(CEILING(F91,1)-0.5,G91,H91,TRUE()))</f>
        <v>0.597648840000305</v>
      </c>
      <c r="K91" s="10" t="n">
        <f aca="false">IF(I91="","",MAX(0,1-I91-J91))</f>
        <v>0</v>
      </c>
      <c r="L91" s="0" t="str">
        <f aca="false">IF(I91="","",IF(I91&gt;=0.5+Config!$B$6,"OVER",IF(J91&gt;=0.5+Config!$B$6,"UNDER","—")))</f>
        <v>UNDER</v>
      </c>
      <c r="N91" s="0" t="n">
        <v>24.5</v>
      </c>
      <c r="O91" s="10" t="n">
        <v>0.6</v>
      </c>
      <c r="P91" s="10" t="n">
        <v>0.4</v>
      </c>
      <c r="Q91" s="10" t="n">
        <v>0.53</v>
      </c>
      <c r="R91" s="9" t="s">
        <v>1207</v>
      </c>
      <c r="S91" s="0" t="n">
        <v>1</v>
      </c>
      <c r="T91" s="0" t="str">
        <f aca="false">INDEX(Calc!$G$2:$G$124,MATCH($W91,Calc!$A$2:$A$124,0))&amp;" / "&amp;INDEX(Calc!$H$2:$H$124,MATCH($W91,Calc!$A$2:$A$124,0))</f>
        <v>Dust2 / Nuke</v>
      </c>
      <c r="U91" s="0" t="str">
        <f aca="false">TEXT(INDEX(Calc!$J$2:$J$124,MATCH($W91,Calc!$A$2:$A$124,0)),"0.0")&amp;" / "&amp;TEXT(INDEX(Calc!$K$2:$K$124,MATCH($W91,Calc!$A$2:$A$124,0)),"0.0")</f>
        <v>21.5 / 21.5</v>
      </c>
      <c r="V91" s="0" t="str">
        <f aca="false">IFERROR(INDEX(Calc!$AQ$2:$AQ$124,MATCH($W91,Calc!$A$2:$A$124,0)),"")</f>
        <v/>
      </c>
      <c r="W91" s="9" t="s">
        <v>1226</v>
      </c>
      <c r="X91" s="9" t="s">
        <v>1112</v>
      </c>
      <c r="Y91" s="0" t="str">
        <f aca="false">W91&amp;"|"&amp;X91</f>
        <v>5efm2s88qbsnvv0|CS2 · FORZE.R vs ex-RUSTEC|K12</v>
      </c>
      <c r="Z91" s="11" t="n">
        <f aca="false">IFERROR(INDEX(CHOOSE(MATCH($X91,{"K1","K2","K3","K12","K13","H1","H2","H3","H12","H13"},0),Calc!$BA$2:$BA$124,Calc!$BB$2:$BB$124,Calc!$BC$2:$BC$124,Calc!$BD$2:$BD$124,Calc!$BE$2:$BE$124,Calc!$BF$2:$BF$124,Calc!$BG$2:$BG$124,Calc!$BH$2:$BH$124,Calc!$BI$2:$BI$124,Calc!$BJ$2:$BJ$124),MATCH($W91,Calc!$A$2:$A$124,0)),"")</f>
        <v>23.7821275980595</v>
      </c>
      <c r="AA91" s="11" t="n">
        <f aca="false">IF(Z91="","",IF(LEFT($X91,1)="H",SQRT(Z91*(IFERROR(INDEX(Calc!$AP$2:$AP$124,MATCH($W91,Calc!$A$2:$A$124,0)),0.5)*Config!$B$5+1-IFERROR(INDEX(Calc!$AP$2:$AP$124,MATCH($W91,Calc!$A$2:$A$124,0)),0.5))),SQRT(Z91*Config!$B$5)))</f>
        <v>5.77018012173653</v>
      </c>
      <c r="AB91" s="10" t="n">
        <f aca="false">IF(OR(F91="",Z91="",N(AA91)&lt;=0),"",1-NORMDIST(FLOOR(F91,1)+0.5,Z91,AA91,TRUE()))</f>
        <v>0.318813092618606</v>
      </c>
      <c r="AC91" s="10" t="n">
        <f aca="false">IF(AB91="","",NORMDIST(CEILING(F91,1)-0.5,Z91,AA91,TRUE()))</f>
        <v>0.681186907381394</v>
      </c>
      <c r="AD91" s="0" t="str">
        <f aca="false">IF(AB91="","",IF(AB91&gt;=0.5+Config!$B$6,"OVER",IF(AC91&gt;=0.5+Config!$B$6,"UNDER","—")))</f>
        <v>UNDER</v>
      </c>
      <c r="AE91" s="13" t="n">
        <f aca="false">IFERROR(Z91/G91,"")</f>
        <v>0.949913486418507</v>
      </c>
    </row>
    <row r="92" customFormat="false" ht="15" hidden="false" customHeight="false" outlineLevel="0" collapsed="false">
      <c r="A92" s="0" t="s">
        <v>988</v>
      </c>
      <c r="B92" s="0" t="s">
        <v>1072</v>
      </c>
      <c r="C92" s="0" t="s">
        <v>1227</v>
      </c>
      <c r="D92" s="0" t="s">
        <v>1077</v>
      </c>
      <c r="E92" s="0" t="s">
        <v>1107</v>
      </c>
      <c r="F92" s="0" t="n">
        <v>20.5</v>
      </c>
      <c r="G92" s="11" t="n">
        <f aca="false">IFERROR(INDEX(CHOOSE(MATCH($X92,{"K1","K2","K3","K12","K13","H1","H2","H3","H12","H13"},0),Calc!$V$2:$V$124,Calc!$AC$2:$AC$124,Calc!$AJ$2:$AJ$124,Calc!$AL$2:$AL$124,Calc!$AM$2:$AM$124,Calc!$W$2:$W$124,Calc!$AD$2:$AD$124,Calc!$AK$2:$AK$124,Calc!$AN$2:$AN$124,Calc!$AO$2:$AO$124),MATCH($W92,Calc!$A$2:$A$124,0)),"")</f>
        <v>21.2190442625232</v>
      </c>
      <c r="H92" s="11" t="n">
        <f aca="false">IF(G92="","",IF(LEFT($X92,1)="H",SQRT(G92*(IFERROR(INDEX(Calc!$AP$2:$AP$124,MATCH($W92,Calc!$A$2:$A$124,0)),0.5)*Config!$B$5+1-IFERROR(INDEX(Calc!$AP$2:$AP$124,MATCH($W92,Calc!$A$2:$A$124,0)),0.5))),SQRT(G92*Config!$B$5)))</f>
        <v>5.16736808924535</v>
      </c>
      <c r="I92" s="10" t="n">
        <f aca="false">IF(OR(F92="",G92="",N(H92)&lt;=0),"",1-NORMDIST(FLOOR(F92,1)+0.5,G92,H92,TRUE()))</f>
        <v>0.555334572645162</v>
      </c>
      <c r="J92" s="10" t="n">
        <f aca="false">IF(I92="","",NORMDIST(CEILING(F92,1)-0.5,G92,H92,TRUE()))</f>
        <v>0.444665427354839</v>
      </c>
      <c r="K92" s="10" t="n">
        <f aca="false">IF(I92="","",MAX(0,1-I92-J92))</f>
        <v>0</v>
      </c>
      <c r="L92" s="0" t="str">
        <f aca="false">IF(I92="","",IF(I92&gt;=0.5+Config!$B$6,"OVER",IF(J92&gt;=0.5+Config!$B$6,"UNDER","—")))</f>
        <v>OVER</v>
      </c>
      <c r="N92" s="0" t="n">
        <v>23.2</v>
      </c>
      <c r="O92" s="10" t="n">
        <v>0.8</v>
      </c>
      <c r="P92" s="10" t="n">
        <v>0.6</v>
      </c>
      <c r="Q92" s="10" t="n">
        <v>0.53</v>
      </c>
      <c r="R92" s="9" t="s">
        <v>1114</v>
      </c>
      <c r="S92" s="0" t="n">
        <v>-1</v>
      </c>
      <c r="T92" s="0" t="str">
        <f aca="false">INDEX(Calc!$G$2:$G$124,MATCH($W92,Calc!$A$2:$A$124,0))&amp;" / "&amp;INDEX(Calc!$H$2:$H$124,MATCH($W92,Calc!$A$2:$A$124,0))</f>
        <v>Dust2 / Nuke</v>
      </c>
      <c r="U92" s="0" t="str">
        <f aca="false">TEXT(INDEX(Calc!$J$2:$J$124,MATCH($W92,Calc!$A$2:$A$124,0)),"0.0")&amp;" / "&amp;TEXT(INDEX(Calc!$K$2:$K$124,MATCH($W92,Calc!$A$2:$A$124,0)),"0.0")</f>
        <v>21.5 / 21.5</v>
      </c>
      <c r="V92" s="0" t="str">
        <f aca="false">IFERROR(INDEX(Calc!$AQ$2:$AQ$124,MATCH($W92,Calc!$A$2:$A$124,0)),"")</f>
        <v/>
      </c>
      <c r="W92" s="9" t="s">
        <v>1228</v>
      </c>
      <c r="X92" s="9" t="s">
        <v>1110</v>
      </c>
      <c r="Y92" s="0" t="str">
        <f aca="false">W92&amp;"|"&amp;X92</f>
        <v>dvwiagwt3fsxpwe|CS2 · FORZE.R vs ex-RUSTEC|H12</v>
      </c>
      <c r="Z92" s="11" t="n">
        <f aca="false">IFERROR(INDEX(CHOOSE(MATCH($X92,{"K1","K2","K3","K12","K13","H1","H2","H3","H12","H13"},0),Calc!$BA$2:$BA$124,Calc!$BB$2:$BB$124,Calc!$BC$2:$BC$124,Calc!$BD$2:$BD$124,Calc!$BE$2:$BE$124,Calc!$BF$2:$BF$124,Calc!$BG$2:$BG$124,Calc!$BH$2:$BH$124,Calc!$BI$2:$BI$124,Calc!$BJ$2:$BJ$124),MATCH($W92,Calc!$A$2:$A$124,0)),"")</f>
        <v>20.1782765751383</v>
      </c>
      <c r="AA92" s="11" t="n">
        <f aca="false">IF(Z92="","",IF(LEFT($X92,1)="H",SQRT(Z92*(IFERROR(INDEX(Calc!$AP$2:$AP$124,MATCH($W92,Calc!$A$2:$A$124,0)),0.5)*Config!$B$5+1-IFERROR(INDEX(Calc!$AP$2:$AP$124,MATCH($W92,Calc!$A$2:$A$124,0)),0.5))),SQRT(Z92*Config!$B$5)))</f>
        <v>5.03904834202886</v>
      </c>
      <c r="AB92" s="10" t="n">
        <f aca="false">IF(OR(F92="",Z92="",N(AA92)&lt;=0),"",1-NORMDIST(FLOOR(F92,1)+0.5,Z92,AA92,TRUE()))</f>
        <v>0.474546397911332</v>
      </c>
      <c r="AC92" s="10" t="n">
        <f aca="false">IF(AB92="","",NORMDIST(CEILING(F92,1)-0.5,Z92,AA92,TRUE()))</f>
        <v>0.525453602088668</v>
      </c>
      <c r="AD92" s="0" t="str">
        <f aca="false">IF(AB92="","",IF(AB92&gt;=0.5+Config!$B$6,"OVER",IF(AC92&gt;=0.5+Config!$B$6,"UNDER","—")))</f>
        <v>—</v>
      </c>
      <c r="AE92" s="13" t="n">
        <f aca="false">IFERROR(Z92/G92,"")</f>
        <v>0.950951245753178</v>
      </c>
    </row>
    <row r="93" customFormat="false" ht="15" hidden="false" customHeight="false" outlineLevel="0" collapsed="false">
      <c r="A93" s="0" t="s">
        <v>988</v>
      </c>
      <c r="B93" s="0" t="s">
        <v>1072</v>
      </c>
      <c r="C93" s="0" t="s">
        <v>1227</v>
      </c>
      <c r="D93" s="0" t="s">
        <v>1077</v>
      </c>
      <c r="E93" s="0" t="s">
        <v>1111</v>
      </c>
      <c r="F93" s="0" t="n">
        <v>31.5</v>
      </c>
      <c r="G93" s="11" t="n">
        <f aca="false">IFERROR(INDEX(CHOOSE(MATCH($X93,{"K1","K2","K3","K12","K13","H1","H2","H3","H12","H13"},0),Calc!$V$2:$V$124,Calc!$AC$2:$AC$124,Calc!$AJ$2:$AJ$124,Calc!$AL$2:$AL$124,Calc!$AM$2:$AM$124,Calc!$W$2:$W$124,Calc!$AD$2:$AD$124,Calc!$AK$2:$AK$124,Calc!$AN$2:$AN$124,Calc!$AO$2:$AO$124),MATCH($W93,Calc!$A$2:$A$124,0)),"")</f>
        <v>32.8489285714286</v>
      </c>
      <c r="H93" s="11" t="n">
        <f aca="false">IF(G93="","",IF(LEFT($X93,1)="H",SQRT(G93*(IFERROR(INDEX(Calc!$AP$2:$AP$124,MATCH($W93,Calc!$A$2:$A$124,0)),0.5)*Config!$B$5+1-IFERROR(INDEX(Calc!$AP$2:$AP$124,MATCH($W93,Calc!$A$2:$A$124,0)),0.5))),SQRT(G93*Config!$B$5)))</f>
        <v>6.7814821388838</v>
      </c>
      <c r="I93" s="10" t="n">
        <f aca="false">IF(OR(F93="",G93="",N(H93)&lt;=0),"",1-NORMDIST(FLOOR(F93,1)+0.5,G93,H93,TRUE()))</f>
        <v>0.578834808389597</v>
      </c>
      <c r="J93" s="10" t="n">
        <f aca="false">IF(I93="","",NORMDIST(CEILING(F93,1)-0.5,G93,H93,TRUE()))</f>
        <v>0.421165191610403</v>
      </c>
      <c r="K93" s="10" t="n">
        <f aca="false">IF(I93="","",MAX(0,1-I93-J93))</f>
        <v>0</v>
      </c>
      <c r="L93" s="0" t="str">
        <f aca="false">IF(I93="","",IF(I93&gt;=0.5+Config!$B$6,"OVER",IF(J93&gt;=0.5+Config!$B$6,"UNDER","—")))</f>
        <v>OVER</v>
      </c>
      <c r="N93" s="0" t="n">
        <v>35.4</v>
      </c>
      <c r="O93" s="10" t="n">
        <v>0.8</v>
      </c>
      <c r="P93" s="10" t="n">
        <v>0.7</v>
      </c>
      <c r="Q93" s="10" t="n">
        <v>0.53</v>
      </c>
      <c r="R93" s="9" t="s">
        <v>1121</v>
      </c>
      <c r="S93" s="0" t="n">
        <v>-1</v>
      </c>
      <c r="T93" s="0" t="str">
        <f aca="false">INDEX(Calc!$G$2:$G$124,MATCH($W93,Calc!$A$2:$A$124,0))&amp;" / "&amp;INDEX(Calc!$H$2:$H$124,MATCH($W93,Calc!$A$2:$A$124,0))</f>
        <v>Dust2 / Nuke</v>
      </c>
      <c r="U93" s="0" t="str">
        <f aca="false">TEXT(INDEX(Calc!$J$2:$J$124,MATCH($W93,Calc!$A$2:$A$124,0)),"0.0")&amp;" / "&amp;TEXT(INDEX(Calc!$K$2:$K$124,MATCH($W93,Calc!$A$2:$A$124,0)),"0.0")</f>
        <v>21.5 / 21.5</v>
      </c>
      <c r="V93" s="0" t="str">
        <f aca="false">IFERROR(INDEX(Calc!$AQ$2:$AQ$124,MATCH($W93,Calc!$A$2:$A$124,0)),"")</f>
        <v/>
      </c>
      <c r="W93" s="9" t="s">
        <v>1228</v>
      </c>
      <c r="X93" s="9" t="s">
        <v>1112</v>
      </c>
      <c r="Y93" s="0" t="str">
        <f aca="false">W93&amp;"|"&amp;X93</f>
        <v>dvwiagwt3fsxpwe|CS2 · FORZE.R vs ex-RUSTEC|K12</v>
      </c>
      <c r="Z93" s="11" t="n">
        <f aca="false">IFERROR(INDEX(CHOOSE(MATCH($X93,{"K1","K2","K3","K12","K13","H1","H2","H3","H12","H13"},0),Calc!$BA$2:$BA$124,Calc!$BB$2:$BB$124,Calc!$BC$2:$BC$124,Calc!$BD$2:$BD$124,Calc!$BE$2:$BE$124,Calc!$BF$2:$BF$124,Calc!$BG$2:$BG$124,Calc!$BH$2:$BH$124,Calc!$BI$2:$BI$124,Calc!$BJ$2:$BJ$124),MATCH($W93,Calc!$A$2:$A$124,0)),"")</f>
        <v>31.2650363446314</v>
      </c>
      <c r="AA93" s="11" t="n">
        <f aca="false">IF(Z93="","",IF(LEFT($X93,1)="H",SQRT(Z93*(IFERROR(INDEX(Calc!$AP$2:$AP$124,MATCH($W93,Calc!$A$2:$A$124,0)),0.5)*Config!$B$5+1-IFERROR(INDEX(Calc!$AP$2:$AP$124,MATCH($W93,Calc!$A$2:$A$124,0)),0.5))),SQRT(Z93*Config!$B$5)))</f>
        <v>6.61596938343006</v>
      </c>
      <c r="AB93" s="10" t="n">
        <f aca="false">IF(OR(F93="",Z93="",N(AA93)&lt;=0),"",1-NORMDIST(FLOOR(F93,1)+0.5,Z93,AA93,TRUE()))</f>
        <v>0.485834693316285</v>
      </c>
      <c r="AC93" s="10" t="n">
        <f aca="false">IF(AB93="","",NORMDIST(CEILING(F93,1)-0.5,Z93,AA93,TRUE()))</f>
        <v>0.514165306683715</v>
      </c>
      <c r="AD93" s="0" t="str">
        <f aca="false">IF(AB93="","",IF(AB93&gt;=0.5+Config!$B$6,"OVER",IF(AC93&gt;=0.5+Config!$B$6,"UNDER","—")))</f>
        <v>—</v>
      </c>
      <c r="AE93" s="13" t="n">
        <f aca="false">IFERROR(Z93/G93,"")</f>
        <v>0.951782530034333</v>
      </c>
    </row>
    <row r="94" customFormat="false" ht="15" hidden="false" customHeight="false" outlineLevel="0" collapsed="false">
      <c r="A94" s="0" t="s">
        <v>988</v>
      </c>
      <c r="B94" s="0" t="s">
        <v>1072</v>
      </c>
      <c r="C94" s="0" t="s">
        <v>1229</v>
      </c>
      <c r="D94" s="0" t="s">
        <v>1077</v>
      </c>
      <c r="E94" s="0" t="s">
        <v>1107</v>
      </c>
      <c r="F94" s="0" t="n">
        <v>11</v>
      </c>
      <c r="G94" s="11" t="n">
        <f aca="false">IFERROR(INDEX(CHOOSE(MATCH($X94,{"K1","K2","K3","K12","K13","H1","H2","H3","H12","H13"},0),Calc!$V$2:$V$124,Calc!$AC$2:$AC$124,Calc!$AJ$2:$AJ$124,Calc!$AL$2:$AL$124,Calc!$AM$2:$AM$124,Calc!$W$2:$W$124,Calc!$AD$2:$AD$124,Calc!$AK$2:$AK$124,Calc!$AN$2:$AN$124,Calc!$AO$2:$AO$124),MATCH($W94,Calc!$A$2:$A$124,0)),"")</f>
        <v>12.7364566666667</v>
      </c>
      <c r="H94" s="11" t="n">
        <f aca="false">IF(G94="","",IF(LEFT($X94,1)="H",SQRT(G94*(IFERROR(INDEX(Calc!$AP$2:$AP$124,MATCH($W94,Calc!$A$2:$A$124,0)),0.5)*Config!$B$5+1-IFERROR(INDEX(Calc!$AP$2:$AP$124,MATCH($W94,Calc!$A$2:$A$124,0)),0.5))),SQRT(G94*Config!$B$5)))</f>
        <v>3.85948129641398</v>
      </c>
      <c r="I94" s="10" t="n">
        <f aca="false">IF(OR(F94="",G94="",N(H94)&lt;=0),"",1-NORMDIST(FLOOR(F94,1)+0.5,G94,H94,TRUE()))</f>
        <v>0.625655541748878</v>
      </c>
      <c r="J94" s="10" t="n">
        <f aca="false">IF(I94="","",NORMDIST(CEILING(F94,1)-0.5,G94,H94,TRUE()))</f>
        <v>0.2811357760765</v>
      </c>
      <c r="K94" s="10" t="n">
        <f aca="false">IF(I94="","",MAX(0,1-I94-J94))</f>
        <v>0.0932086821746227</v>
      </c>
      <c r="L94" s="0" t="str">
        <f aca="false">IF(I94="","",IF(I94&gt;=0.5+Config!$B$6,"OVER",IF(J94&gt;=0.5+Config!$B$6,"UNDER","—")))</f>
        <v>OVER</v>
      </c>
      <c r="N94" s="0" t="n">
        <v>12.4</v>
      </c>
      <c r="O94" s="10" t="n">
        <v>0.4</v>
      </c>
      <c r="P94" s="10" t="n">
        <v>0.6</v>
      </c>
      <c r="Q94" s="10" t="n">
        <v>0.6</v>
      </c>
      <c r="R94" s="9" t="s">
        <v>1116</v>
      </c>
      <c r="S94" s="0" t="n">
        <v>2</v>
      </c>
      <c r="T94" s="0" t="str">
        <f aca="false">INDEX(Calc!$G$2:$G$124,MATCH($W94,Calc!$A$2:$A$124,0))&amp;" / "&amp;INDEX(Calc!$H$2:$H$124,MATCH($W94,Calc!$A$2:$A$124,0))</f>
        <v>Dust2 / Nuke</v>
      </c>
      <c r="U94" s="0" t="str">
        <f aca="false">TEXT(INDEX(Calc!$J$2:$J$124,MATCH($W94,Calc!$A$2:$A$124,0)),"0.0")&amp;" / "&amp;TEXT(INDEX(Calc!$K$2:$K$124,MATCH($W94,Calc!$A$2:$A$124,0)),"0.0")</f>
        <v>21.5 / 21.5</v>
      </c>
      <c r="V94" s="0" t="str">
        <f aca="false">IFERROR(INDEX(Calc!$AQ$2:$AQ$124,MATCH($W94,Calc!$A$2:$A$124,0)),"")</f>
        <v/>
      </c>
      <c r="W94" s="9" t="s">
        <v>1230</v>
      </c>
      <c r="X94" s="9" t="s">
        <v>1110</v>
      </c>
      <c r="Y94" s="0" t="str">
        <f aca="false">W94&amp;"|"&amp;X94</f>
        <v>41ry45brll61gbm|CS2 · FORZE.R vs ex-RUSTEC|H12</v>
      </c>
      <c r="Z94" s="11" t="n">
        <f aca="false">IFERROR(INDEX(CHOOSE(MATCH($X94,{"K1","K2","K3","K12","K13","H1","H2","H3","H12","H13"},0),Calc!$BA$2:$BA$124,Calc!$BB$2:$BB$124,Calc!$BC$2:$BC$124,Calc!$BD$2:$BD$124,Calc!$BE$2:$BE$124,Calc!$BF$2:$BF$124,Calc!$BG$2:$BG$124,Calc!$BH$2:$BH$124,Calc!$BI$2:$BI$124,Calc!$BJ$2:$BJ$124),MATCH($W94,Calc!$A$2:$A$124,0)),"")</f>
        <v>12.1229181300573</v>
      </c>
      <c r="AA94" s="11" t="n">
        <f aca="false">IF(Z94="","",IF(LEFT($X94,1)="H",SQRT(Z94*(IFERROR(INDEX(Calc!$AP$2:$AP$124,MATCH($W94,Calc!$A$2:$A$124,0)),0.5)*Config!$B$5+1-IFERROR(INDEX(Calc!$AP$2:$AP$124,MATCH($W94,Calc!$A$2:$A$124,0)),0.5))),SQRT(Z94*Config!$B$5)))</f>
        <v>3.76537483325291</v>
      </c>
      <c r="AB94" s="10" t="n">
        <f aca="false">IF(OR(F94="",Z94="",N(AA94)&lt;=0),"",1-NORMDIST(FLOOR(F94,1)+0.5,Z94,AA94,TRUE()))</f>
        <v>0.565698500842901</v>
      </c>
      <c r="AC94" s="10" t="n">
        <f aca="false">IF(AB94="","",NORMDIST(CEILING(F94,1)-0.5,Z94,AA94,TRUE()))</f>
        <v>0.333230170888622</v>
      </c>
      <c r="AD94" s="0" t="str">
        <f aca="false">IF(AB94="","",IF(AB94&gt;=0.5+Config!$B$6,"OVER",IF(AC94&gt;=0.5+Config!$B$6,"UNDER","—")))</f>
        <v>OVER</v>
      </c>
      <c r="AE94" s="13" t="n">
        <f aca="false">IFERROR(Z94/G94,"")</f>
        <v>0.951828161264422</v>
      </c>
    </row>
    <row r="95" customFormat="false" ht="15" hidden="false" customHeight="false" outlineLevel="0" collapsed="false">
      <c r="A95" s="0" t="s">
        <v>988</v>
      </c>
      <c r="B95" s="0" t="s">
        <v>1072</v>
      </c>
      <c r="C95" s="0" t="s">
        <v>1229</v>
      </c>
      <c r="D95" s="0" t="s">
        <v>1077</v>
      </c>
      <c r="E95" s="0" t="s">
        <v>1111</v>
      </c>
      <c r="F95" s="0" t="n">
        <v>30.5</v>
      </c>
      <c r="G95" s="11" t="n">
        <f aca="false">IFERROR(INDEX(CHOOSE(MATCH($X95,{"K1","K2","K3","K12","K13","H1","H2","H3","H12","H13"},0),Calc!$V$2:$V$124,Calc!$AC$2:$AC$124,Calc!$AJ$2:$AJ$124,Calc!$AL$2:$AL$124,Calc!$AM$2:$AM$124,Calc!$W$2:$W$124,Calc!$AD$2:$AD$124,Calc!$AK$2:$AK$124,Calc!$AN$2:$AN$124,Calc!$AO$2:$AO$124),MATCH($W95,Calc!$A$2:$A$124,0)),"")</f>
        <v>30.0522222222222</v>
      </c>
      <c r="H95" s="11" t="n">
        <f aca="false">IF(G95="","",IF(LEFT($X95,1)="H",SQRT(G95*(IFERROR(INDEX(Calc!$AP$2:$AP$124,MATCH($W95,Calc!$A$2:$A$124,0)),0.5)*Config!$B$5+1-IFERROR(INDEX(Calc!$AP$2:$AP$124,MATCH($W95,Calc!$A$2:$A$124,0)),0.5))),SQRT(G95*Config!$B$5)))</f>
        <v>6.48637889049901</v>
      </c>
      <c r="I95" s="10" t="n">
        <f aca="false">IF(OR(F95="",G95="",N(H95)&lt;=0),"",1-NORMDIST(FLOOR(F95,1)+0.5,G95,H95,TRUE()))</f>
        <v>0.472481456074876</v>
      </c>
      <c r="J95" s="10" t="n">
        <f aca="false">IF(I95="","",NORMDIST(CEILING(F95,1)-0.5,G95,H95,TRUE()))</f>
        <v>0.527518543925124</v>
      </c>
      <c r="K95" s="10" t="n">
        <f aca="false">IF(I95="","",MAX(0,1-I95-J95))</f>
        <v>0</v>
      </c>
      <c r="L95" s="0" t="str">
        <f aca="false">IF(I95="","",IF(I95&gt;=0.5+Config!$B$6,"OVER",IF(J95&gt;=0.5+Config!$B$6,"UNDER","—")))</f>
        <v>—</v>
      </c>
      <c r="N95" s="0" t="n">
        <v>27.6</v>
      </c>
      <c r="O95" s="10" t="n">
        <v>0.4</v>
      </c>
      <c r="P95" s="10" t="n">
        <v>0.5</v>
      </c>
      <c r="Q95" s="10" t="n">
        <v>0.53</v>
      </c>
      <c r="R95" s="9" t="s">
        <v>1121</v>
      </c>
      <c r="S95" s="0" t="n">
        <v>1</v>
      </c>
      <c r="T95" s="0" t="str">
        <f aca="false">INDEX(Calc!$G$2:$G$124,MATCH($W95,Calc!$A$2:$A$124,0))&amp;" / "&amp;INDEX(Calc!$H$2:$H$124,MATCH($W95,Calc!$A$2:$A$124,0))</f>
        <v>Dust2 / Nuke</v>
      </c>
      <c r="U95" s="0" t="str">
        <f aca="false">TEXT(INDEX(Calc!$J$2:$J$124,MATCH($W95,Calc!$A$2:$A$124,0)),"0.0")&amp;" / "&amp;TEXT(INDEX(Calc!$K$2:$K$124,MATCH($W95,Calc!$A$2:$A$124,0)),"0.0")</f>
        <v>21.5 / 21.5</v>
      </c>
      <c r="V95" s="0" t="str">
        <f aca="false">IFERROR(INDEX(Calc!$AQ$2:$AQ$124,MATCH($W95,Calc!$A$2:$A$124,0)),"")</f>
        <v/>
      </c>
      <c r="W95" s="9" t="s">
        <v>1230</v>
      </c>
      <c r="X95" s="9" t="s">
        <v>1112</v>
      </c>
      <c r="Y95" s="0" t="str">
        <f aca="false">W95&amp;"|"&amp;X95</f>
        <v>41ry45brll61gbm|CS2 · FORZE.R vs ex-RUSTEC|K12</v>
      </c>
      <c r="Z95" s="11" t="n">
        <f aca="false">IFERROR(INDEX(CHOOSE(MATCH($X95,{"K1","K2","K3","K12","K13","H1","H2","H3","H12","H13"},0),Calc!$BA$2:$BA$124,Calc!$BB$2:$BB$124,Calc!$BC$2:$BC$124,Calc!$BD$2:$BD$124,Calc!$BE$2:$BE$124,Calc!$BF$2:$BF$124,Calc!$BG$2:$BG$124,Calc!$BH$2:$BH$124,Calc!$BI$2:$BI$124,Calc!$BJ$2:$BJ$124),MATCH($W95,Calc!$A$2:$A$124,0)),"")</f>
        <v>28.6297536060286</v>
      </c>
      <c r="AA95" s="11" t="n">
        <f aca="false">IF(Z95="","",IF(LEFT($X95,1)="H",SQRT(Z95*(IFERROR(INDEX(Calc!$AP$2:$AP$124,MATCH($W95,Calc!$A$2:$A$124,0)),0.5)*Config!$B$5+1-IFERROR(INDEX(Calc!$AP$2:$AP$124,MATCH($W95,Calc!$A$2:$A$124,0)),0.5))),SQRT(Z95*Config!$B$5)))</f>
        <v>6.33100742760897</v>
      </c>
      <c r="AB95" s="10" t="n">
        <f aca="false">IF(OR(F95="",Z95="",N(AA95)&lt;=0),"",1-NORMDIST(FLOOR(F95,1)+0.5,Z95,AA95,TRUE()))</f>
        <v>0.383840137035463</v>
      </c>
      <c r="AC95" s="10" t="n">
        <f aca="false">IF(AB95="","",NORMDIST(CEILING(F95,1)-0.5,Z95,AA95,TRUE()))</f>
        <v>0.616159862964537</v>
      </c>
      <c r="AD95" s="0" t="str">
        <f aca="false">IF(AB95="","",IF(AB95&gt;=0.5+Config!$B$6,"OVER",IF(AC95&gt;=0.5+Config!$B$6,"UNDER","—")))</f>
        <v>UNDER</v>
      </c>
      <c r="AE95" s="13" t="n">
        <f aca="false">IFERROR(Z95/G95,"")</f>
        <v>0.952666774334518</v>
      </c>
    </row>
    <row r="96" customFormat="false" ht="15" hidden="false" customHeight="false" outlineLevel="0" collapsed="false">
      <c r="A96" s="0" t="s">
        <v>988</v>
      </c>
      <c r="B96" s="0" t="s">
        <v>1060</v>
      </c>
      <c r="C96" s="0" t="s">
        <v>1231</v>
      </c>
      <c r="D96" s="0" t="s">
        <v>1064</v>
      </c>
      <c r="E96" s="0" t="s">
        <v>1107</v>
      </c>
      <c r="F96" s="0" t="n">
        <v>13</v>
      </c>
      <c r="G96" s="11" t="n">
        <f aca="false">IFERROR(INDEX(CHOOSE(MATCH($X96,{"K1","K2","K3","K12","K13","H1","H2","H3","H12","H13"},0),Calc!$V$2:$V$124,Calc!$AC$2:$AC$124,Calc!$AJ$2:$AJ$124,Calc!$AL$2:$AL$124,Calc!$AM$2:$AM$124,Calc!$W$2:$W$124,Calc!$AD$2:$AD$124,Calc!$AK$2:$AK$124,Calc!$AN$2:$AN$124,Calc!$AO$2:$AO$124),MATCH($W96,Calc!$A$2:$A$124,0)),"")</f>
        <v>12.3160750325069</v>
      </c>
      <c r="H96" s="11" t="n">
        <f aca="false">IF(G96="","",IF(LEFT($X96,1)="H",SQRT(G96*(IFERROR(INDEX(Calc!$AP$2:$AP$124,MATCH($W96,Calc!$A$2:$A$124,0)),0.5)*Config!$B$5+1-IFERROR(INDEX(Calc!$AP$2:$AP$124,MATCH($W96,Calc!$A$2:$A$124,0)),0.5))),SQRT(G96*Config!$B$5)))</f>
        <v>3.84780683007115</v>
      </c>
      <c r="I96" s="10" t="n">
        <f aca="false">IF(OR(F96="",G96="",N(H96)&lt;=0),"",1-NORMDIST(FLOOR(F96,1)+0.5,G96,H96,TRUE()))</f>
        <v>0.379159778964227</v>
      </c>
      <c r="J96" s="10" t="n">
        <f aca="false">IF(I96="","",NORMDIST(CEILING(F96,1)-0.5,G96,H96,TRUE()))</f>
        <v>0.519062161113824</v>
      </c>
      <c r="K96" s="10" t="n">
        <f aca="false">IF(I96="","",MAX(0,1-I96-J96))</f>
        <v>0.10177805992195</v>
      </c>
      <c r="L96" s="0" t="str">
        <f aca="false">IF(I96="","",IF(I96&gt;=0.5+Config!$B$6,"OVER",IF(J96&gt;=0.5+Config!$B$6,"UNDER","—")))</f>
        <v>—</v>
      </c>
      <c r="N96" s="0" t="n">
        <v>12.4</v>
      </c>
      <c r="O96" s="10" t="n">
        <v>0.8</v>
      </c>
      <c r="P96" s="10" t="n">
        <v>0.5</v>
      </c>
      <c r="Q96" s="10" t="n">
        <v>0.4</v>
      </c>
      <c r="R96" s="9" t="s">
        <v>1232</v>
      </c>
      <c r="S96" s="0" t="n">
        <v>4</v>
      </c>
      <c r="T96" s="0" t="str">
        <f aca="false">INDEX(Calc!$G$2:$G$124,MATCH($W96,Calc!$A$2:$A$124,0))&amp;" / "&amp;INDEX(Calc!$H$2:$H$124,MATCH($W96,Calc!$A$2:$A$124,0))</f>
        <v>Mirage / Inferno</v>
      </c>
      <c r="U96" s="0" t="str">
        <f aca="false">TEXT(INDEX(Calc!$J$2:$J$124,MATCH($W96,Calc!$A$2:$A$124,0)),"0.0")&amp;" / "&amp;TEXT(INDEX(Calc!$K$2:$K$124,MATCH($W96,Calc!$A$2:$A$124,0)),"0.0")</f>
        <v>21.5 / 21.4</v>
      </c>
      <c r="V96" s="0" t="str">
        <f aca="false">IFERROR(INDEX(Calc!$AQ$2:$AQ$124,MATCH($W96,Calc!$A$2:$A$124,0)),"")</f>
        <v/>
      </c>
      <c r="W96" s="9" t="s">
        <v>1233</v>
      </c>
      <c r="X96" s="9" t="s">
        <v>1110</v>
      </c>
      <c r="Y96" s="0" t="str">
        <f aca="false">W96&amp;"|"&amp;X96</f>
        <v>upsdzrueyrfmr1m|CS2 · FURIA vs NAVI|H12</v>
      </c>
      <c r="Z96" s="11" t="n">
        <f aca="false">IFERROR(INDEX(CHOOSE(MATCH($X96,{"K1","K2","K3","K12","K13","H1","H2","H3","H12","H13"},0),Calc!$BA$2:$BA$124,Calc!$BB$2:$BB$124,Calc!$BC$2:$BC$124,Calc!$BD$2:$BD$124,Calc!$BE$2:$BE$124,Calc!$BF$2:$BF$124,Calc!$BG$2:$BG$124,Calc!$BH$2:$BH$124,Calc!$BI$2:$BI$124,Calc!$BJ$2:$BJ$124),MATCH($W96,Calc!$A$2:$A$124,0)),"")</f>
        <v>12.1849865979327</v>
      </c>
      <c r="AA96" s="11" t="n">
        <f aca="false">IF(Z96="","",IF(LEFT($X96,1)="H",SQRT(Z96*(IFERROR(INDEX(Calc!$AP$2:$AP$124,MATCH($W96,Calc!$A$2:$A$124,0)),0.5)*Config!$B$5+1-IFERROR(INDEX(Calc!$AP$2:$AP$124,MATCH($W96,Calc!$A$2:$A$124,0)),0.5))),SQRT(Z96*Config!$B$5)))</f>
        <v>3.8272746256148</v>
      </c>
      <c r="AB96" s="10" t="n">
        <f aca="false">IF(OR(F96="",Z96="",N(AA96)&lt;=0),"",1-NORMDIST(FLOOR(F96,1)+0.5,Z96,AA96,TRUE()))</f>
        <v>0.365577311954614</v>
      </c>
      <c r="AC96" s="10" t="n">
        <f aca="false">IF(AB96="","",NORMDIST(CEILING(F96,1)-0.5,Z96,AA96,TRUE()))</f>
        <v>0.532798904305009</v>
      </c>
      <c r="AD96" s="0" t="str">
        <f aca="false">IF(AB96="","",IF(AB96&gt;=0.5+Config!$B$6,"OVER",IF(AC96&gt;=0.5+Config!$B$6,"UNDER","—")))</f>
        <v>—</v>
      </c>
      <c r="AE96" s="13" t="n">
        <f aca="false">IFERROR(Z96/G96,"")</f>
        <v>0.989356314066928</v>
      </c>
    </row>
    <row r="97" customFormat="false" ht="15" hidden="false" customHeight="false" outlineLevel="0" collapsed="false">
      <c r="A97" s="0" t="s">
        <v>988</v>
      </c>
      <c r="B97" s="0" t="s">
        <v>1060</v>
      </c>
      <c r="C97" s="0" t="s">
        <v>1231</v>
      </c>
      <c r="D97" s="0" t="s">
        <v>1064</v>
      </c>
      <c r="E97" s="0" t="s">
        <v>1111</v>
      </c>
      <c r="F97" s="0" t="n">
        <v>24.5</v>
      </c>
      <c r="G97" s="11" t="n">
        <f aca="false">IFERROR(INDEX(CHOOSE(MATCH($X97,{"K1","K2","K3","K12","K13","H1","H2","H3","H12","H13"},0),Calc!$V$2:$V$124,Calc!$AC$2:$AC$124,Calc!$AJ$2:$AJ$124,Calc!$AL$2:$AL$124,Calc!$AM$2:$AM$124,Calc!$W$2:$W$124,Calc!$AD$2:$AD$124,Calc!$AK$2:$AK$124,Calc!$AN$2:$AN$124,Calc!$AO$2:$AO$124),MATCH($W97,Calc!$A$2:$A$124,0)),"")</f>
        <v>24.3716606060606</v>
      </c>
      <c r="H97" s="11" t="n">
        <f aca="false">IF(G97="","",IF(LEFT($X97,1)="H",SQRT(G97*(IFERROR(INDEX(Calc!$AP$2:$AP$124,MATCH($W97,Calc!$A$2:$A$124,0)),0.5)*Config!$B$5+1-IFERROR(INDEX(Calc!$AP$2:$AP$124,MATCH($W97,Calc!$A$2:$A$124,0)),0.5))),SQRT(G97*Config!$B$5)))</f>
        <v>5.8412605530386</v>
      </c>
      <c r="I97" s="10" t="n">
        <f aca="false">IF(OR(F97="",G97="",N(H97)&lt;=0),"",1-NORMDIST(FLOOR(F97,1)+0.5,G97,H97,TRUE()))</f>
        <v>0.491235472036187</v>
      </c>
      <c r="J97" s="10" t="n">
        <f aca="false">IF(I97="","",NORMDIST(CEILING(F97,1)-0.5,G97,H97,TRUE()))</f>
        <v>0.508764527963813</v>
      </c>
      <c r="K97" s="10" t="n">
        <f aca="false">IF(I97="","",MAX(0,1-I97-J97))</f>
        <v>0</v>
      </c>
      <c r="L97" s="0" t="str">
        <f aca="false">IF(I97="","",IF(I97&gt;=0.5+Config!$B$6,"OVER",IF(J97&gt;=0.5+Config!$B$6,"UNDER","—")))</f>
        <v>—</v>
      </c>
      <c r="M97" s="0" t="n">
        <v>23.62</v>
      </c>
      <c r="N97" s="0" t="n">
        <v>23.3</v>
      </c>
      <c r="O97" s="10" t="n">
        <v>0.8</v>
      </c>
      <c r="P97" s="10" t="n">
        <v>0.5</v>
      </c>
      <c r="Q97" s="10" t="n">
        <v>0.4</v>
      </c>
      <c r="R97" s="9" t="s">
        <v>1234</v>
      </c>
      <c r="S97" s="0" t="n">
        <v>4</v>
      </c>
      <c r="T97" s="0" t="str">
        <f aca="false">INDEX(Calc!$G$2:$G$124,MATCH($W97,Calc!$A$2:$A$124,0))&amp;" / "&amp;INDEX(Calc!$H$2:$H$124,MATCH($W97,Calc!$A$2:$A$124,0))</f>
        <v>Mirage / Inferno</v>
      </c>
      <c r="U97" s="0" t="str">
        <f aca="false">TEXT(INDEX(Calc!$J$2:$J$124,MATCH($W97,Calc!$A$2:$A$124,0)),"0.0")&amp;" / "&amp;TEXT(INDEX(Calc!$K$2:$K$124,MATCH($W97,Calc!$A$2:$A$124,0)),"0.0")</f>
        <v>21.5 / 21.4</v>
      </c>
      <c r="V97" s="0" t="str">
        <f aca="false">IFERROR(INDEX(Calc!$AQ$2:$AQ$124,MATCH($W97,Calc!$A$2:$A$124,0)),"")</f>
        <v/>
      </c>
      <c r="W97" s="9" t="s">
        <v>1233</v>
      </c>
      <c r="X97" s="9" t="s">
        <v>1112</v>
      </c>
      <c r="Y97" s="0" t="str">
        <f aca="false">W97&amp;"|"&amp;X97</f>
        <v>upsdzrueyrfmr1m|CS2 · FURIA vs NAVI|K12</v>
      </c>
      <c r="Z97" s="11" t="n">
        <f aca="false">IFERROR(INDEX(CHOOSE(MATCH($X97,{"K1","K2","K3","K12","K13","H1","H2","H3","H12","H13"},0),Calc!$BA$2:$BA$124,Calc!$BB$2:$BB$124,Calc!$BC$2:$BC$124,Calc!$BD$2:$BD$124,Calc!$BE$2:$BE$124,Calc!$BF$2:$BF$124,Calc!$BG$2:$BG$124,Calc!$BH$2:$BH$124,Calc!$BI$2:$BI$124,Calc!$BJ$2:$BJ$124),MATCH($W97,Calc!$A$2:$A$124,0)),"")</f>
        <v>24.1200293918835</v>
      </c>
      <c r="AA97" s="11" t="n">
        <f aca="false">IF(Z97="","",IF(LEFT($X97,1)="H",SQRT(Z97*(IFERROR(INDEX(Calc!$AP$2:$AP$124,MATCH($W97,Calc!$A$2:$A$124,0)),0.5)*Config!$B$5+1-IFERROR(INDEX(Calc!$AP$2:$AP$124,MATCH($W97,Calc!$A$2:$A$124,0)),0.5))),SQRT(Z97*Config!$B$5)))</f>
        <v>5.81102754671124</v>
      </c>
      <c r="AB97" s="10" t="n">
        <f aca="false">IF(OR(F97="",Z97="",N(AA97)&lt;=0),"",1-NORMDIST(FLOOR(F97,1)+0.5,Z97,AA97,TRUE()))</f>
        <v>0.473932598113931</v>
      </c>
      <c r="AC97" s="10" t="n">
        <f aca="false">IF(AB97="","",NORMDIST(CEILING(F97,1)-0.5,Z97,AA97,TRUE()))</f>
        <v>0.526067401886069</v>
      </c>
      <c r="AD97" s="0" t="str">
        <f aca="false">IF(AB97="","",IF(AB97&gt;=0.5+Config!$B$6,"OVER",IF(AC97&gt;=0.5+Config!$B$6,"UNDER","—")))</f>
        <v>—</v>
      </c>
      <c r="AE97" s="13" t="n">
        <f aca="false">IFERROR(Z97/G97,"")</f>
        <v>0.98967525363805</v>
      </c>
    </row>
    <row r="98" customFormat="false" ht="15" hidden="false" customHeight="false" outlineLevel="0" collapsed="false">
      <c r="A98" s="0" t="s">
        <v>988</v>
      </c>
      <c r="B98" s="0" t="s">
        <v>1060</v>
      </c>
      <c r="C98" s="0" t="s">
        <v>1235</v>
      </c>
      <c r="D98" s="0" t="s">
        <v>1064</v>
      </c>
      <c r="E98" s="0" t="s">
        <v>1107</v>
      </c>
      <c r="F98" s="0" t="n">
        <v>17</v>
      </c>
      <c r="G98" s="11" t="n">
        <f aca="false">IFERROR(INDEX(CHOOSE(MATCH($X98,{"K1","K2","K3","K12","K13","H1","H2","H3","H12","H13"},0),Calc!$V$2:$V$124,Calc!$AC$2:$AC$124,Calc!$AJ$2:$AJ$124,Calc!$AL$2:$AL$124,Calc!$AM$2:$AM$124,Calc!$W$2:$W$124,Calc!$AD$2:$AD$124,Calc!$AK$2:$AK$124,Calc!$AN$2:$AN$124,Calc!$AO$2:$AO$124),MATCH($W98,Calc!$A$2:$A$124,0)),"")</f>
        <v>15.8782560936639</v>
      </c>
      <c r="H98" s="11" t="n">
        <f aca="false">IF(G98="","",IF(LEFT($X98,1)="H",SQRT(G98*(IFERROR(INDEX(Calc!$AP$2:$AP$124,MATCH($W98,Calc!$A$2:$A$124,0)),0.5)*Config!$B$5+1-IFERROR(INDEX(Calc!$AP$2:$AP$124,MATCH($W98,Calc!$A$2:$A$124,0)),0.5))),SQRT(G98*Config!$B$5)))</f>
        <v>4.36575235947291</v>
      </c>
      <c r="I98" s="10" t="n">
        <f aca="false">IF(OR(F98="",G98="",N(H98)&lt;=0),"",1-NORMDIST(FLOOR(F98,1)+0.5,G98,H98,TRUE()))</f>
        <v>0.355143929307555</v>
      </c>
      <c r="J98" s="10" t="n">
        <f aca="false">IF(I98="","",NORMDIST(CEILING(F98,1)-0.5,G98,H98,TRUE()))</f>
        <v>0.556623465974738</v>
      </c>
      <c r="K98" s="10" t="n">
        <f aca="false">IF(I98="","",MAX(0,1-I98-J98))</f>
        <v>0.0882326047177077</v>
      </c>
      <c r="L98" s="0" t="str">
        <f aca="false">IF(I98="","",IF(I98&gt;=0.5+Config!$B$6,"OVER",IF(J98&gt;=0.5+Config!$B$6,"UNDER","—")))</f>
        <v>UNDER</v>
      </c>
      <c r="N98" s="0" t="n">
        <v>15.7</v>
      </c>
      <c r="O98" s="10" t="n">
        <v>0.6</v>
      </c>
      <c r="P98" s="10" t="n">
        <v>0.4</v>
      </c>
      <c r="Q98" s="10" t="n">
        <v>0.4</v>
      </c>
      <c r="R98" s="9" t="s">
        <v>1236</v>
      </c>
      <c r="S98" s="0" t="n">
        <v>3</v>
      </c>
      <c r="T98" s="0" t="str">
        <f aca="false">INDEX(Calc!$G$2:$G$124,MATCH($W98,Calc!$A$2:$A$124,0))&amp;" / "&amp;INDEX(Calc!$H$2:$H$124,MATCH($W98,Calc!$A$2:$A$124,0))</f>
        <v>Mirage / Inferno</v>
      </c>
      <c r="U98" s="0" t="str">
        <f aca="false">TEXT(INDEX(Calc!$J$2:$J$124,MATCH($W98,Calc!$A$2:$A$124,0)),"0.0")&amp;" / "&amp;TEXT(INDEX(Calc!$K$2:$K$124,MATCH($W98,Calc!$A$2:$A$124,0)),"0.0")</f>
        <v>21.5 / 21.4</v>
      </c>
      <c r="V98" s="0" t="str">
        <f aca="false">IFERROR(INDEX(Calc!$AQ$2:$AQ$124,MATCH($W98,Calc!$A$2:$A$124,0)),"")</f>
        <v/>
      </c>
      <c r="W98" s="9" t="s">
        <v>1237</v>
      </c>
      <c r="X98" s="9" t="s">
        <v>1110</v>
      </c>
      <c r="Y98" s="0" t="str">
        <f aca="false">W98&amp;"|"&amp;X98</f>
        <v>xlunjfskczbvxwn|CS2 · FURIA vs NAVI|H12</v>
      </c>
      <c r="Z98" s="11" t="n">
        <f aca="false">IFERROR(INDEX(CHOOSE(MATCH($X98,{"K1","K2","K3","K12","K13","H1","H2","H3","H12","H13"},0),Calc!$BA$2:$BA$124,Calc!$BB$2:$BB$124,Calc!$BC$2:$BC$124,Calc!$BD$2:$BD$124,Calc!$BE$2:$BE$124,Calc!$BF$2:$BF$124,Calc!$BG$2:$BG$124,Calc!$BH$2:$BH$124,Calc!$BI$2:$BI$124,Calc!$BJ$2:$BJ$124),MATCH($W98,Calc!$A$2:$A$124,0)),"")</f>
        <v>15.7241187831182</v>
      </c>
      <c r="AA98" s="11" t="n">
        <f aca="false">IF(Z98="","",IF(LEFT($X98,1)="H",SQRT(Z98*(IFERROR(INDEX(Calc!$AP$2:$AP$124,MATCH($W98,Calc!$A$2:$A$124,0)),0.5)*Config!$B$5+1-IFERROR(INDEX(Calc!$AP$2:$AP$124,MATCH($W98,Calc!$A$2:$A$124,0)),0.5))),SQRT(Z98*Config!$B$5)))</f>
        <v>4.34451053056002</v>
      </c>
      <c r="AB98" s="10" t="n">
        <f aca="false">IF(OR(F98="",Z98="",N(AA98)&lt;=0),"",1-NORMDIST(FLOOR(F98,1)+0.5,Z98,AA98,TRUE()))</f>
        <v>0.341356285871539</v>
      </c>
      <c r="AC98" s="10" t="n">
        <f aca="false">IF(AB98="","",NORMDIST(CEILING(F98,1)-0.5,Z98,AA98,TRUE()))</f>
        <v>0.570869731922944</v>
      </c>
      <c r="AD98" s="0" t="str">
        <f aca="false">IF(AB98="","",IF(AB98&gt;=0.5+Config!$B$6,"OVER",IF(AC98&gt;=0.5+Config!$B$6,"UNDER","—")))</f>
        <v>UNDER</v>
      </c>
      <c r="AE98" s="13" t="n">
        <f aca="false">IFERROR(Z98/G98,"")</f>
        <v>0.990292554192572</v>
      </c>
    </row>
    <row r="99" customFormat="false" ht="15" hidden="false" customHeight="false" outlineLevel="0" collapsed="false">
      <c r="A99" s="0" t="s">
        <v>988</v>
      </c>
      <c r="B99" s="0" t="s">
        <v>1060</v>
      </c>
      <c r="C99" s="0" t="s">
        <v>1235</v>
      </c>
      <c r="D99" s="0" t="s">
        <v>1064</v>
      </c>
      <c r="E99" s="0" t="s">
        <v>1111</v>
      </c>
      <c r="F99" s="0" t="n">
        <v>33</v>
      </c>
      <c r="G99" s="11" t="n">
        <f aca="false">IFERROR(INDEX(CHOOSE(MATCH($X99,{"K1","K2","K3","K12","K13","H1","H2","H3","H12","H13"},0),Calc!$V$2:$V$124,Calc!$AC$2:$AC$124,Calc!$AJ$2:$AJ$124,Calc!$AL$2:$AL$124,Calc!$AM$2:$AM$124,Calc!$W$2:$W$124,Calc!$AD$2:$AD$124,Calc!$AK$2:$AK$124,Calc!$AN$2:$AN$124,Calc!$AO$2:$AO$124),MATCH($W99,Calc!$A$2:$A$124,0)),"")</f>
        <v>31.6977575757576</v>
      </c>
      <c r="H99" s="11" t="n">
        <f aca="false">IF(G99="","",IF(LEFT($X99,1)="H",SQRT(G99*(IFERROR(INDEX(Calc!$AP$2:$AP$124,MATCH($W99,Calc!$A$2:$A$124,0)),0.5)*Config!$B$5+1-IFERROR(INDEX(Calc!$AP$2:$AP$124,MATCH($W99,Calc!$A$2:$A$124,0)),0.5))),SQRT(G99*Config!$B$5)))</f>
        <v>6.6615959503756</v>
      </c>
      <c r="I99" s="10" t="n">
        <f aca="false">IF(OR(F99="",G99="",N(H99)&lt;=0),"",1-NORMDIST(FLOOR(F99,1)+0.5,G99,H99,TRUE()))</f>
        <v>0.393371601058401</v>
      </c>
      <c r="J99" s="10" t="n">
        <f aca="false">IF(I99="","",NORMDIST(CEILING(F99,1)-0.5,G99,H99,TRUE()))</f>
        <v>0.54792792895865</v>
      </c>
      <c r="K99" s="10" t="n">
        <f aca="false">IF(I99="","",MAX(0,1-I99-J99))</f>
        <v>0.0587004699829493</v>
      </c>
      <c r="L99" s="0" t="str">
        <f aca="false">IF(I99="","",IF(I99&gt;=0.5+Config!$B$6,"OVER",IF(J99&gt;=0.5+Config!$B$6,"UNDER","—")))</f>
        <v>UNDER</v>
      </c>
      <c r="M99" s="0" t="n">
        <v>31.18</v>
      </c>
      <c r="N99" s="0" t="n">
        <v>30.9</v>
      </c>
      <c r="O99" s="10" t="n">
        <v>0.6</v>
      </c>
      <c r="P99" s="10" t="n">
        <v>0.4</v>
      </c>
      <c r="Q99" s="10" t="n">
        <v>0.47</v>
      </c>
      <c r="R99" s="9" t="s">
        <v>1234</v>
      </c>
      <c r="S99" s="0" t="n">
        <v>-1</v>
      </c>
      <c r="T99" s="0" t="str">
        <f aca="false">INDEX(Calc!$G$2:$G$124,MATCH($W99,Calc!$A$2:$A$124,0))&amp;" / "&amp;INDEX(Calc!$H$2:$H$124,MATCH($W99,Calc!$A$2:$A$124,0))</f>
        <v>Mirage / Inferno</v>
      </c>
      <c r="U99" s="0" t="str">
        <f aca="false">TEXT(INDEX(Calc!$J$2:$J$124,MATCH($W99,Calc!$A$2:$A$124,0)),"0.0")&amp;" / "&amp;TEXT(INDEX(Calc!$K$2:$K$124,MATCH($W99,Calc!$A$2:$A$124,0)),"0.0")</f>
        <v>21.5 / 21.4</v>
      </c>
      <c r="V99" s="0" t="str">
        <f aca="false">IFERROR(INDEX(Calc!$AQ$2:$AQ$124,MATCH($W99,Calc!$A$2:$A$124,0)),"")</f>
        <v/>
      </c>
      <c r="W99" s="9" t="s">
        <v>1237</v>
      </c>
      <c r="X99" s="9" t="s">
        <v>1112</v>
      </c>
      <c r="Y99" s="0" t="str">
        <f aca="false">W99&amp;"|"&amp;X99</f>
        <v>xlunjfskczbvxwn|CS2 · FURIA vs NAVI|K12</v>
      </c>
      <c r="Z99" s="11" t="n">
        <f aca="false">IFERROR(INDEX(CHOOSE(MATCH($X99,{"K1","K2","K3","K12","K13","H1","H2","H3","H12","H13"},0),Calc!$BA$2:$BA$124,Calc!$BB$2:$BB$124,Calc!$BC$2:$BC$124,Calc!$BD$2:$BD$124,Calc!$BE$2:$BE$124,Calc!$BF$2:$BF$124,Calc!$BG$2:$BG$124,Calc!$BH$2:$BH$124,Calc!$BI$2:$BI$124,Calc!$BJ$2:$BJ$124),MATCH($W99,Calc!$A$2:$A$124,0)),"")</f>
        <v>31.3949962915344</v>
      </c>
      <c r="AA99" s="11" t="n">
        <f aca="false">IF(Z99="","",IF(LEFT($X99,1)="H",SQRT(Z99*(IFERROR(INDEX(Calc!$AP$2:$AP$124,MATCH($W99,Calc!$A$2:$A$124,0)),0.5)*Config!$B$5+1-IFERROR(INDEX(Calc!$AP$2:$AP$124,MATCH($W99,Calc!$A$2:$A$124,0)),0.5))),SQRT(Z99*Config!$B$5)))</f>
        <v>6.62970548426913</v>
      </c>
      <c r="AB99" s="10" t="n">
        <f aca="false">IF(OR(F99="",Z99="",N(AA99)&lt;=0),"",1-NORMDIST(FLOOR(F99,1)+0.5,Z99,AA99,TRUE()))</f>
        <v>0.375427987682046</v>
      </c>
      <c r="AC99" s="10" t="n">
        <f aca="false">IF(AB99="","",NORMDIST(CEILING(F99,1)-0.5,Z99,AA99,TRUE()))</f>
        <v>0.566186965692485</v>
      </c>
      <c r="AD99" s="0" t="str">
        <f aca="false">IF(AB99="","",IF(AB99&gt;=0.5+Config!$B$6,"OVER",IF(AC99&gt;=0.5+Config!$B$6,"UNDER","—")))</f>
        <v>UNDER</v>
      </c>
      <c r="AE99" s="13" t="n">
        <f aca="false">IFERROR(Z99/G99,"")</f>
        <v>0.990448495181414</v>
      </c>
    </row>
    <row r="100" customFormat="false" ht="15" hidden="false" customHeight="false" outlineLevel="0" collapsed="false">
      <c r="A100" s="0" t="s">
        <v>988</v>
      </c>
      <c r="B100" s="0" t="s">
        <v>1060</v>
      </c>
      <c r="C100" s="0" t="s">
        <v>1238</v>
      </c>
      <c r="D100" s="0" t="s">
        <v>1064</v>
      </c>
      <c r="E100" s="0" t="s">
        <v>1107</v>
      </c>
      <c r="F100" s="0" t="n">
        <v>12</v>
      </c>
      <c r="G100" s="11" t="n">
        <f aca="false">IFERROR(INDEX(CHOOSE(MATCH($X100,{"K1","K2","K3","K12","K13","H1","H2","H3","H12","H13"},0),Calc!$V$2:$V$124,Calc!$AC$2:$AC$124,Calc!$AJ$2:$AJ$124,Calc!$AL$2:$AL$124,Calc!$AM$2:$AM$124,Calc!$W$2:$W$124,Calc!$AD$2:$AD$124,Calc!$AK$2:$AK$124,Calc!$AN$2:$AN$124,Calc!$AO$2:$AO$124),MATCH($W100,Calc!$A$2:$A$124,0)),"")</f>
        <v>12.0046747438017</v>
      </c>
      <c r="H100" s="11" t="n">
        <f aca="false">IF(G100="","",IF(LEFT($X100,1)="H",SQRT(G100*(IFERROR(INDEX(Calc!$AP$2:$AP$124,MATCH($W100,Calc!$A$2:$A$124,0)),0.5)*Config!$B$5+1-IFERROR(INDEX(Calc!$AP$2:$AP$124,MATCH($W100,Calc!$A$2:$A$124,0)),0.5))),SQRT(G100*Config!$B$5)))</f>
        <v>3.715688845387</v>
      </c>
      <c r="I100" s="10" t="n">
        <f aca="false">IF(OR(F100="",G100="",N(H100)&lt;=0),"",1-NORMDIST(FLOOR(F100,1)+0.5,G100,H100,TRUE()))</f>
        <v>0.44697551690455</v>
      </c>
      <c r="J100" s="10" t="n">
        <f aca="false">IF(I100="","",NORMDIST(CEILING(F100,1)-0.5,G100,H100,TRUE()))</f>
        <v>0.445980738370129</v>
      </c>
      <c r="K100" s="10" t="n">
        <f aca="false">IF(I100="","",MAX(0,1-I100-J100))</f>
        <v>0.107043744725321</v>
      </c>
      <c r="L100" s="0" t="str">
        <f aca="false">IF(I100="","",IF(I100&gt;=0.5+Config!$B$6,"OVER",IF(J100&gt;=0.5+Config!$B$6,"UNDER","—")))</f>
        <v>—</v>
      </c>
      <c r="N100" s="0" t="n">
        <v>12.4</v>
      </c>
      <c r="O100" s="10" t="n">
        <v>0.6</v>
      </c>
      <c r="P100" s="10" t="n">
        <v>0.6</v>
      </c>
      <c r="Q100" s="10" t="n">
        <v>0.6</v>
      </c>
      <c r="R100" s="9" t="s">
        <v>1239</v>
      </c>
      <c r="S100" s="0" t="n">
        <v>2</v>
      </c>
      <c r="T100" s="0" t="str">
        <f aca="false">INDEX(Calc!$G$2:$G$124,MATCH($W100,Calc!$A$2:$A$124,0))&amp;" / "&amp;INDEX(Calc!$H$2:$H$124,MATCH($W100,Calc!$A$2:$A$124,0))</f>
        <v>Mirage / Inferno</v>
      </c>
      <c r="U100" s="0" t="str">
        <f aca="false">TEXT(INDEX(Calc!$J$2:$J$124,MATCH($W100,Calc!$A$2:$A$124,0)),"0.0")&amp;" / "&amp;TEXT(INDEX(Calc!$K$2:$K$124,MATCH($W100,Calc!$A$2:$A$124,0)),"0.0")</f>
        <v>21.5 / 21.4</v>
      </c>
      <c r="V100" s="0" t="str">
        <f aca="false">IFERROR(INDEX(Calc!$AQ$2:$AQ$124,MATCH($W100,Calc!$A$2:$A$124,0)),"")</f>
        <v/>
      </c>
      <c r="W100" s="9" t="s">
        <v>1240</v>
      </c>
      <c r="X100" s="9" t="s">
        <v>1110</v>
      </c>
      <c r="Y100" s="0" t="str">
        <f aca="false">W100&amp;"|"&amp;X100</f>
        <v>g1czin1kua6nls5|CS2 · FURIA vs NAVI|H12</v>
      </c>
      <c r="Z100" s="11" t="n">
        <f aca="false">IFERROR(INDEX(CHOOSE(MATCH($X100,{"K1","K2","K3","K12","K13","H1","H2","H3","H12","H13"},0),Calc!$BA$2:$BA$124,Calc!$BB$2:$BB$124,Calc!$BC$2:$BC$124,Calc!$BD$2:$BD$124,Calc!$BE$2:$BE$124,Calc!$BF$2:$BF$124,Calc!$BG$2:$BG$124,Calc!$BH$2:$BH$124,Calc!$BI$2:$BI$124,Calc!$BJ$2:$BJ$124),MATCH($W100,Calc!$A$2:$A$124,0)),"")</f>
        <v>11.8793153099601</v>
      </c>
      <c r="AA100" s="11" t="n">
        <f aca="false">IF(Z100="","",IF(LEFT($X100,1)="H",SQRT(Z100*(IFERROR(INDEX(Calc!$AP$2:$AP$124,MATCH($W100,Calc!$A$2:$A$124,0)),0.5)*Config!$B$5+1-IFERROR(INDEX(Calc!$AP$2:$AP$124,MATCH($W100,Calc!$A$2:$A$124,0)),0.5))),SQRT(Z100*Config!$B$5)))</f>
        <v>3.69623729516671</v>
      </c>
      <c r="AB100" s="10" t="n">
        <f aca="false">IF(OR(F100="",Z100="",N(AA100)&lt;=0),"",1-NORMDIST(FLOOR(F100,1)+0.5,Z100,AA100,TRUE()))</f>
        <v>0.433321775150437</v>
      </c>
      <c r="AC100" s="10" t="n">
        <f aca="false">IF(AB100="","",NORMDIST(CEILING(F100,1)-0.5,Z100,AA100,TRUE()))</f>
        <v>0.459131485807808</v>
      </c>
      <c r="AD100" s="0" t="str">
        <f aca="false">IF(AB100="","",IF(AB100&gt;=0.5+Config!$B$6,"OVER",IF(AC100&gt;=0.5+Config!$B$6,"UNDER","—")))</f>
        <v>—</v>
      </c>
      <c r="AE100" s="13" t="n">
        <f aca="false">IFERROR(Z100/G100,"")</f>
        <v>0.989557448534265</v>
      </c>
    </row>
    <row r="101" customFormat="false" ht="15" hidden="false" customHeight="false" outlineLevel="0" collapsed="false">
      <c r="A101" s="0" t="s">
        <v>988</v>
      </c>
      <c r="B101" s="0" t="s">
        <v>1060</v>
      </c>
      <c r="C101" s="0" t="s">
        <v>1238</v>
      </c>
      <c r="D101" s="0" t="s">
        <v>1064</v>
      </c>
      <c r="E101" s="0" t="s">
        <v>1111</v>
      </c>
      <c r="F101" s="0" t="n">
        <v>33.5</v>
      </c>
      <c r="G101" s="11" t="n">
        <f aca="false">IFERROR(INDEX(CHOOSE(MATCH($X101,{"K1","K2","K3","K12","K13","H1","H2","H3","H12","H13"},0),Calc!$V$2:$V$124,Calc!$AC$2:$AC$124,Calc!$AJ$2:$AJ$124,Calc!$AL$2:$AL$124,Calc!$AM$2:$AM$124,Calc!$W$2:$W$124,Calc!$AD$2:$AD$124,Calc!$AK$2:$AK$124,Calc!$AN$2:$AN$124,Calc!$AO$2:$AO$124),MATCH($W101,Calc!$A$2:$A$124,0)),"")</f>
        <v>31.9952727272727</v>
      </c>
      <c r="H101" s="11" t="n">
        <f aca="false">IF(G101="","",IF(LEFT($X101,1)="H",SQRT(G101*(IFERROR(INDEX(Calc!$AP$2:$AP$124,MATCH($W101,Calc!$A$2:$A$124,0)),0.5)*Config!$B$5+1-IFERROR(INDEX(Calc!$AP$2:$AP$124,MATCH($W101,Calc!$A$2:$A$124,0)),0.5))),SQRT(G101*Config!$B$5)))</f>
        <v>6.69278580399685</v>
      </c>
      <c r="I101" s="10" t="n">
        <f aca="false">IF(OR(F101="",G101="",N(H101)&lt;=0),"",1-NORMDIST(FLOOR(F101,1)+0.5,G101,H101,TRUE()))</f>
        <v>0.41105644689848</v>
      </c>
      <c r="J101" s="10" t="n">
        <f aca="false">IF(I101="","",NORMDIST(CEILING(F101,1)-0.5,G101,H101,TRUE()))</f>
        <v>0.588943553101521</v>
      </c>
      <c r="K101" s="10" t="n">
        <f aca="false">IF(I101="","",MAX(0,1-I101-J101))</f>
        <v>0</v>
      </c>
      <c r="L101" s="0" t="str">
        <f aca="false">IF(I101="","",IF(I101&gt;=0.5+Config!$B$6,"OVER",IF(J101&gt;=0.5+Config!$B$6,"UNDER","—")))</f>
        <v>UNDER</v>
      </c>
      <c r="M101" s="0" t="n">
        <v>32.72</v>
      </c>
      <c r="N101" s="0" t="n">
        <v>32.6</v>
      </c>
      <c r="O101" s="10" t="n">
        <v>0.6</v>
      </c>
      <c r="P101" s="10" t="n">
        <v>0.4</v>
      </c>
      <c r="Q101" s="10" t="n">
        <v>0.4</v>
      </c>
      <c r="R101" s="9" t="s">
        <v>1239</v>
      </c>
      <c r="S101" s="0" t="n">
        <v>2</v>
      </c>
      <c r="T101" s="0" t="str">
        <f aca="false">INDEX(Calc!$G$2:$G$124,MATCH($W101,Calc!$A$2:$A$124,0))&amp;" / "&amp;INDEX(Calc!$H$2:$H$124,MATCH($W101,Calc!$A$2:$A$124,0))</f>
        <v>Mirage / Inferno</v>
      </c>
      <c r="U101" s="0" t="str">
        <f aca="false">TEXT(INDEX(Calc!$J$2:$J$124,MATCH($W101,Calc!$A$2:$A$124,0)),"0.0")&amp;" / "&amp;TEXT(INDEX(Calc!$K$2:$K$124,MATCH($W101,Calc!$A$2:$A$124,0)),"0.0")</f>
        <v>21.5 / 21.4</v>
      </c>
      <c r="V101" s="0" t="str">
        <f aca="false">IFERROR(INDEX(Calc!$AQ$2:$AQ$124,MATCH($W101,Calc!$A$2:$A$124,0)),"")</f>
        <v/>
      </c>
      <c r="W101" s="9" t="s">
        <v>1240</v>
      </c>
      <c r="X101" s="9" t="s">
        <v>1112</v>
      </c>
      <c r="Y101" s="0" t="str">
        <f aca="false">W101&amp;"|"&amp;X101</f>
        <v>g1czin1kua6nls5|CS2 · FURIA vs NAVI|K12</v>
      </c>
      <c r="Z101" s="11" t="n">
        <f aca="false">IFERROR(INDEX(CHOOSE(MATCH($X101,{"K1","K2","K3","K12","K13","H1","H2","H3","H12","H13"},0),Calc!$BA$2:$BA$124,Calc!$BB$2:$BB$124,Calc!$BC$2:$BC$124,Calc!$BD$2:$BD$124,Calc!$BE$2:$BE$124,Calc!$BF$2:$BF$124,Calc!$BG$2:$BG$124,Calc!$BH$2:$BH$124,Calc!$BI$2:$BI$124,Calc!$BJ$2:$BJ$124),MATCH($W101,Calc!$A$2:$A$124,0)),"")</f>
        <v>31.6800706895981</v>
      </c>
      <c r="AA101" s="11" t="n">
        <f aca="false">IF(Z101="","",IF(LEFT($X101,1)="H",SQRT(Z101*(IFERROR(INDEX(Calc!$AP$2:$AP$124,MATCH($W101,Calc!$A$2:$A$124,0)),0.5)*Config!$B$5+1-IFERROR(INDEX(Calc!$AP$2:$AP$124,MATCH($W101,Calc!$A$2:$A$124,0)),0.5))),SQRT(Z101*Config!$B$5)))</f>
        <v>6.65973715438059</v>
      </c>
      <c r="AB101" s="10" t="n">
        <f aca="false">IF(OR(F101="",Z101="",N(AA101)&lt;=0),"",1-NORMDIST(FLOOR(F101,1)+0.5,Z101,AA101,TRUE()))</f>
        <v>0.392321513530869</v>
      </c>
      <c r="AC101" s="10" t="n">
        <f aca="false">IF(AB101="","",NORMDIST(CEILING(F101,1)-0.5,Z101,AA101,TRUE()))</f>
        <v>0.607678486469131</v>
      </c>
      <c r="AD101" s="0" t="str">
        <f aca="false">IF(AB101="","",IF(AB101&gt;=0.5+Config!$B$6,"OVER",IF(AC101&gt;=0.5+Config!$B$6,"UNDER","—")))</f>
        <v>UNDER</v>
      </c>
      <c r="AE101" s="13" t="n">
        <f aca="false">IFERROR(Z101/G101,"")</f>
        <v>0.99014848098463</v>
      </c>
    </row>
    <row r="102" customFormat="false" ht="15" hidden="false" customHeight="false" outlineLevel="0" collapsed="false">
      <c r="A102" s="0" t="s">
        <v>988</v>
      </c>
      <c r="B102" s="0" t="s">
        <v>1060</v>
      </c>
      <c r="C102" s="0" t="s">
        <v>1241</v>
      </c>
      <c r="D102" s="0" t="s">
        <v>1064</v>
      </c>
      <c r="E102" s="0" t="s">
        <v>1107</v>
      </c>
      <c r="F102" s="0" t="n">
        <v>18.5</v>
      </c>
      <c r="G102" s="11" t="n">
        <f aca="false">IFERROR(INDEX(CHOOSE(MATCH($X102,{"K1","K2","K3","K12","K13","H1","H2","H3","H12","H13"},0),Calc!$V$2:$V$124,Calc!$AC$2:$AC$124,Calc!$AJ$2:$AJ$124,Calc!$AL$2:$AL$124,Calc!$AM$2:$AM$124,Calc!$W$2:$W$124,Calc!$AD$2:$AD$124,Calc!$AK$2:$AK$124,Calc!$AN$2:$AN$124,Calc!$AO$2:$AO$124),MATCH($W102,Calc!$A$2:$A$124,0)),"")</f>
        <v>16.7052382523416</v>
      </c>
      <c r="H102" s="11" t="n">
        <f aca="false">IF(G102="","",IF(LEFT($X102,1)="H",SQRT(G102*(IFERROR(INDEX(Calc!$AP$2:$AP$124,MATCH($W102,Calc!$A$2:$A$124,0)),0.5)*Config!$B$5+1-IFERROR(INDEX(Calc!$AP$2:$AP$124,MATCH($W102,Calc!$A$2:$A$124,0)),0.5))),SQRT(G102*Config!$B$5)))</f>
        <v>4.53008705045915</v>
      </c>
      <c r="I102" s="10" t="n">
        <f aca="false">IF(OR(F102="",G102="",N(H102)&lt;=0),"",1-NORMDIST(FLOOR(F102,1)+0.5,G102,H102,TRUE()))</f>
        <v>0.345983528262725</v>
      </c>
      <c r="J102" s="10" t="n">
        <f aca="false">IF(I102="","",NORMDIST(CEILING(F102,1)-0.5,G102,H102,TRUE()))</f>
        <v>0.654016471737275</v>
      </c>
      <c r="K102" s="10" t="n">
        <f aca="false">IF(I102="","",MAX(0,1-I102-J102))</f>
        <v>0</v>
      </c>
      <c r="L102" s="0" t="str">
        <f aca="false">IF(I102="","",IF(I102&gt;=0.5+Config!$B$6,"OVER",IF(J102&gt;=0.5+Config!$B$6,"UNDER","—")))</f>
        <v>UNDER</v>
      </c>
      <c r="N102" s="0" t="n">
        <v>16.1</v>
      </c>
      <c r="O102" s="10" t="n">
        <v>0</v>
      </c>
      <c r="P102" s="10" t="n">
        <v>0.2</v>
      </c>
      <c r="Q102" s="10" t="n">
        <v>0.33</v>
      </c>
      <c r="R102" s="9" t="s">
        <v>1242</v>
      </c>
      <c r="S102" s="0" t="n">
        <v>-5</v>
      </c>
      <c r="T102" s="0" t="str">
        <f aca="false">INDEX(Calc!$G$2:$G$124,MATCH($W102,Calc!$A$2:$A$124,0))&amp;" / "&amp;INDEX(Calc!$H$2:$H$124,MATCH($W102,Calc!$A$2:$A$124,0))</f>
        <v>Mirage / Inferno</v>
      </c>
      <c r="U102" s="0" t="str">
        <f aca="false">TEXT(INDEX(Calc!$J$2:$J$124,MATCH($W102,Calc!$A$2:$A$124,0)),"0.0")&amp;" / "&amp;TEXT(INDEX(Calc!$K$2:$K$124,MATCH($W102,Calc!$A$2:$A$124,0)),"0.0")</f>
        <v>21.5 / 21.4</v>
      </c>
      <c r="V102" s="0" t="str">
        <f aca="false">IFERROR(INDEX(Calc!$AQ$2:$AQ$124,MATCH($W102,Calc!$A$2:$A$124,0)),"")</f>
        <v/>
      </c>
      <c r="W102" s="9" t="s">
        <v>1243</v>
      </c>
      <c r="X102" s="9" t="s">
        <v>1110</v>
      </c>
      <c r="Y102" s="0" t="str">
        <f aca="false">W102&amp;"|"&amp;X102</f>
        <v>vl5i6xbqmsocy69|CS2 · FURIA vs NAVI|H12</v>
      </c>
      <c r="Z102" s="11" t="n">
        <f aca="false">IFERROR(INDEX(CHOOSE(MATCH($X102,{"K1","K2","K3","K12","K13","H1","H2","H3","H12","H13"},0),Calc!$BA$2:$BA$124,Calc!$BB$2:$BB$124,Calc!$BC$2:$BC$124,Calc!$BD$2:$BD$124,Calc!$BE$2:$BE$124,Calc!$BF$2:$BF$124,Calc!$BG$2:$BG$124,Calc!$BH$2:$BH$124,Calc!$BI$2:$BI$124,Calc!$BJ$2:$BJ$124),MATCH($W102,Calc!$A$2:$A$124,0)),"")</f>
        <v>16.5457939802793</v>
      </c>
      <c r="AA102" s="11" t="n">
        <f aca="false">IF(Z102="","",IF(LEFT($X102,1)="H",SQRT(Z102*(IFERROR(INDEX(Calc!$AP$2:$AP$124,MATCH($W102,Calc!$A$2:$A$124,0)),0.5)*Config!$B$5+1-IFERROR(INDEX(Calc!$AP$2:$AP$124,MATCH($W102,Calc!$A$2:$A$124,0)),0.5))),SQRT(Z102*Config!$B$5)))</f>
        <v>4.50841635659121</v>
      </c>
      <c r="AB102" s="10" t="n">
        <f aca="false">IF(OR(F102="",Z102="",N(AA102)&lt;=0),"",1-NORMDIST(FLOOR(F102,1)+0.5,Z102,AA102,TRUE()))</f>
        <v>0.332341287201218</v>
      </c>
      <c r="AC102" s="10" t="n">
        <f aca="false">IF(AB102="","",NORMDIST(CEILING(F102,1)-0.5,Z102,AA102,TRUE()))</f>
        <v>0.667658712798782</v>
      </c>
      <c r="AD102" s="0" t="str">
        <f aca="false">IF(AB102="","",IF(AB102&gt;=0.5+Config!$B$6,"OVER",IF(AC102&gt;=0.5+Config!$B$6,"UNDER","—")))</f>
        <v>UNDER</v>
      </c>
      <c r="AE102" s="13" t="n">
        <f aca="false">IFERROR(Z102/G102,"")</f>
        <v>0.990455432622161</v>
      </c>
    </row>
    <row r="103" customFormat="false" ht="15" hidden="false" customHeight="false" outlineLevel="0" collapsed="false">
      <c r="A103" s="0" t="s">
        <v>988</v>
      </c>
      <c r="B103" s="0" t="s">
        <v>1060</v>
      </c>
      <c r="C103" s="0" t="s">
        <v>1241</v>
      </c>
      <c r="D103" s="0" t="s">
        <v>1064</v>
      </c>
      <c r="E103" s="0" t="s">
        <v>1111</v>
      </c>
      <c r="F103" s="0" t="n">
        <v>30</v>
      </c>
      <c r="G103" s="11" t="n">
        <f aca="false">IFERROR(INDEX(CHOOSE(MATCH($X103,{"K1","K2","K3","K12","K13","H1","H2","H3","H12","H13"},0),Calc!$V$2:$V$124,Calc!$AC$2:$AC$124,Calc!$AJ$2:$AJ$124,Calc!$AL$2:$AL$124,Calc!$AM$2:$AM$124,Calc!$W$2:$W$124,Calc!$AD$2:$AD$124,Calc!$AK$2:$AK$124,Calc!$AN$2:$AN$124,Calc!$AO$2:$AO$124),MATCH($W103,Calc!$A$2:$A$124,0)),"")</f>
        <v>29.2486424242424</v>
      </c>
      <c r="H103" s="11" t="n">
        <f aca="false">IF(G103="","",IF(LEFT($X103,1)="H",SQRT(G103*(IFERROR(INDEX(Calc!$AP$2:$AP$124,MATCH($W103,Calc!$A$2:$A$124,0)),0.5)*Config!$B$5+1-IFERROR(INDEX(Calc!$AP$2:$AP$124,MATCH($W103,Calc!$A$2:$A$124,0)),0.5))),SQRT(G103*Config!$B$5)))</f>
        <v>6.39907019760991</v>
      </c>
      <c r="I103" s="10" t="n">
        <f aca="false">IF(OR(F103="",G103="",N(H103)&lt;=0),"",1-NORMDIST(FLOOR(F103,1)+0.5,G103,H103,TRUE()))</f>
        <v>0.422480012914987</v>
      </c>
      <c r="J103" s="10" t="n">
        <f aca="false">IF(I103="","",NORMDIST(CEILING(F103,1)-0.5,G103,H103,TRUE()))</f>
        <v>0.515666554722673</v>
      </c>
      <c r="K103" s="10" t="n">
        <f aca="false">IF(I103="","",MAX(0,1-I103-J103))</f>
        <v>0.06185343236234</v>
      </c>
      <c r="L103" s="0" t="str">
        <f aca="false">IF(I103="","",IF(I103&gt;=0.5+Config!$B$6,"OVER",IF(J103&gt;=0.5+Config!$B$6,"UNDER","—")))</f>
        <v>—</v>
      </c>
      <c r="M103" s="0" t="n">
        <v>29.96</v>
      </c>
      <c r="N103" s="0" t="n">
        <v>27.5</v>
      </c>
      <c r="O103" s="10" t="n">
        <v>0.6</v>
      </c>
      <c r="P103" s="10" t="n">
        <v>0.5</v>
      </c>
      <c r="Q103" s="10" t="n">
        <v>0.53</v>
      </c>
      <c r="R103" s="9" t="s">
        <v>1167</v>
      </c>
      <c r="S103" s="0" t="n">
        <v>3</v>
      </c>
      <c r="T103" s="0" t="str">
        <f aca="false">INDEX(Calc!$G$2:$G$124,MATCH($W103,Calc!$A$2:$A$124,0))&amp;" / "&amp;INDEX(Calc!$H$2:$H$124,MATCH($W103,Calc!$A$2:$A$124,0))</f>
        <v>Mirage / Inferno</v>
      </c>
      <c r="U103" s="0" t="str">
        <f aca="false">TEXT(INDEX(Calc!$J$2:$J$124,MATCH($W103,Calc!$A$2:$A$124,0)),"0.0")&amp;" / "&amp;TEXT(INDEX(Calc!$K$2:$K$124,MATCH($W103,Calc!$A$2:$A$124,0)),"0.0")</f>
        <v>21.5 / 21.4</v>
      </c>
      <c r="V103" s="0" t="str">
        <f aca="false">IFERROR(INDEX(Calc!$AQ$2:$AQ$124,MATCH($W103,Calc!$A$2:$A$124,0)),"")</f>
        <v/>
      </c>
      <c r="W103" s="9" t="s">
        <v>1243</v>
      </c>
      <c r="X103" s="9" t="s">
        <v>1112</v>
      </c>
      <c r="Y103" s="0" t="str">
        <f aca="false">W103&amp;"|"&amp;X103</f>
        <v>vl5i6xbqmsocy69|CS2 · FURIA vs NAVI|K12</v>
      </c>
      <c r="Z103" s="11" t="n">
        <f aca="false">IFERROR(INDEX(CHOOSE(MATCH($X103,{"K1","K2","K3","K12","K13","H1","H2","H3","H12","H13"},0),Calc!$BA$2:$BA$124,Calc!$BB$2:$BB$124,Calc!$BC$2:$BC$124,Calc!$BD$2:$BD$124,Calc!$BE$2:$BE$124,Calc!$BF$2:$BF$124,Calc!$BG$2:$BG$124,Calc!$BH$2:$BH$124,Calc!$BI$2:$BI$124,Calc!$BJ$2:$BJ$124),MATCH($W103,Calc!$A$2:$A$124,0)),"")</f>
        <v>28.9469419719445</v>
      </c>
      <c r="AA103" s="11" t="n">
        <f aca="false">IF(Z103="","",IF(LEFT($X103,1)="H",SQRT(Z103*(IFERROR(INDEX(Calc!$AP$2:$AP$124,MATCH($W103,Calc!$A$2:$A$124,0)),0.5)*Config!$B$5+1-IFERROR(INDEX(Calc!$AP$2:$AP$124,MATCH($W103,Calc!$A$2:$A$124,0)),0.5))),SQRT(Z103*Config!$B$5)))</f>
        <v>6.36598136666471</v>
      </c>
      <c r="AB103" s="10" t="n">
        <f aca="false">IF(OR(F103="",Z103="",N(AA103)&lt;=0),"",1-NORMDIST(FLOOR(F103,1)+0.5,Z103,AA103,TRUE()))</f>
        <v>0.403630095894473</v>
      </c>
      <c r="AC103" s="10" t="n">
        <f aca="false">IF(AB103="","",NORMDIST(CEILING(F103,1)-0.5,Z103,AA103,TRUE()))</f>
        <v>0.534615400646506</v>
      </c>
      <c r="AD103" s="0" t="str">
        <f aca="false">IF(AB103="","",IF(AB103&gt;=0.5+Config!$B$6,"OVER",IF(AC103&gt;=0.5+Config!$B$6,"UNDER","—")))</f>
        <v>—</v>
      </c>
      <c r="AE103" s="13" t="n">
        <f aca="false">IFERROR(Z103/G103,"")</f>
        <v>0.989684975872662</v>
      </c>
    </row>
    <row r="104" customFormat="false" ht="15" hidden="false" customHeight="false" outlineLevel="0" collapsed="false">
      <c r="A104" s="0" t="s">
        <v>988</v>
      </c>
      <c r="B104" s="0" t="s">
        <v>1060</v>
      </c>
      <c r="C104" s="0" t="s">
        <v>1244</v>
      </c>
      <c r="D104" s="0" t="s">
        <v>1064</v>
      </c>
      <c r="E104" s="0" t="s">
        <v>1107</v>
      </c>
      <c r="F104" s="0" t="n">
        <v>12.5</v>
      </c>
      <c r="G104" s="11" t="n">
        <f aca="false">IFERROR(INDEX(CHOOSE(MATCH($X104,{"K1","K2","K3","K12","K13","H1","H2","H3","H12","H13"},0),Calc!$V$2:$V$124,Calc!$AC$2:$AC$124,Calc!$AJ$2:$AJ$124,Calc!$AL$2:$AL$124,Calc!$AM$2:$AM$124,Calc!$W$2:$W$124,Calc!$AD$2:$AD$124,Calc!$AK$2:$AK$124,Calc!$AN$2:$AN$124,Calc!$AO$2:$AO$124),MATCH($W104,Calc!$A$2:$A$124,0)),"")</f>
        <v>11.4292699959596</v>
      </c>
      <c r="H104" s="11" t="n">
        <f aca="false">IF(G104="","",IF(LEFT($X104,1)="H",SQRT(G104*(IFERROR(INDEX(Calc!$AP$2:$AP$124,MATCH($W104,Calc!$A$2:$A$124,0)),0.5)*Config!$B$5+1-IFERROR(INDEX(Calc!$AP$2:$AP$124,MATCH($W104,Calc!$A$2:$A$124,0)),0.5))),SQRT(G104*Config!$B$5)))</f>
        <v>3.68479806471025</v>
      </c>
      <c r="I104" s="10" t="n">
        <f aca="false">IF(OR(F104="",G104="",N(H104)&lt;=0),"",1-NORMDIST(FLOOR(F104,1)+0.5,G104,H104,TRUE()))</f>
        <v>0.38568613553899</v>
      </c>
      <c r="J104" s="10" t="n">
        <f aca="false">IF(I104="","",NORMDIST(CEILING(F104,1)-0.5,G104,H104,TRUE()))</f>
        <v>0.61431386446101</v>
      </c>
      <c r="K104" s="10" t="n">
        <f aca="false">IF(I104="","",MAX(0,1-I104-J104))</f>
        <v>0</v>
      </c>
      <c r="L104" s="0" t="str">
        <f aca="false">IF(I104="","",IF(I104&gt;=0.5+Config!$B$6,"OVER",IF(J104&gt;=0.5+Config!$B$6,"UNDER","—")))</f>
        <v>UNDER</v>
      </c>
      <c r="N104" s="0" t="n">
        <v>12.1</v>
      </c>
      <c r="O104" s="10" t="n">
        <v>0.2</v>
      </c>
      <c r="P104" s="10" t="n">
        <v>0.4</v>
      </c>
      <c r="Q104" s="10" t="n">
        <v>0.4</v>
      </c>
      <c r="R104" s="9" t="s">
        <v>1234</v>
      </c>
      <c r="S104" s="0" t="n">
        <v>-4</v>
      </c>
      <c r="T104" s="0" t="str">
        <f aca="false">INDEX(Calc!$G$2:$G$124,MATCH($W104,Calc!$A$2:$A$124,0))&amp;" / "&amp;INDEX(Calc!$H$2:$H$124,MATCH($W104,Calc!$A$2:$A$124,0))</f>
        <v>Mirage / Inferno</v>
      </c>
      <c r="U104" s="0" t="str">
        <f aca="false">TEXT(INDEX(Calc!$J$2:$J$124,MATCH($W104,Calc!$A$2:$A$124,0)),"0.0")&amp;" / "&amp;TEXT(INDEX(Calc!$K$2:$K$124,MATCH($W104,Calc!$A$2:$A$124,0)),"0.0")</f>
        <v>21.5 / 21.4</v>
      </c>
      <c r="V104" s="0" t="str">
        <f aca="false">IFERROR(INDEX(Calc!$AQ$2:$AQ$124,MATCH($W104,Calc!$A$2:$A$124,0)),"")</f>
        <v/>
      </c>
      <c r="W104" s="9" t="s">
        <v>1245</v>
      </c>
      <c r="X104" s="9" t="s">
        <v>1110</v>
      </c>
      <c r="Y104" s="0" t="str">
        <f aca="false">W104&amp;"|"&amp;X104</f>
        <v>npowbduexyegr6i|CS2 · FURIA vs NAVI|H12</v>
      </c>
      <c r="Z104" s="11" t="n">
        <f aca="false">IFERROR(INDEX(CHOOSE(MATCH($X104,{"K1","K2","K3","K12","K13","H1","H2","H3","H12","H13"},0),Calc!$BA$2:$BA$124,Calc!$BB$2:$BB$124,Calc!$BC$2:$BC$124,Calc!$BD$2:$BD$124,Calc!$BE$2:$BE$124,Calc!$BF$2:$BF$124,Calc!$BG$2:$BG$124,Calc!$BH$2:$BH$124,Calc!$BI$2:$BI$124,Calc!$BJ$2:$BJ$124),MATCH($W104,Calc!$A$2:$A$124,0)),"")</f>
        <v>11.3121361696091</v>
      </c>
      <c r="AA104" s="11" t="n">
        <f aca="false">IF(Z104="","",IF(LEFT($X104,1)="H",SQRT(Z104*(IFERROR(INDEX(Calc!$AP$2:$AP$124,MATCH($W104,Calc!$A$2:$A$124,0)),0.5)*Config!$B$5+1-IFERROR(INDEX(Calc!$AP$2:$AP$124,MATCH($W104,Calc!$A$2:$A$124,0)),0.5))),SQRT(Z104*Config!$B$5)))</f>
        <v>3.66586745674516</v>
      </c>
      <c r="AB104" s="10" t="n">
        <f aca="false">IF(OR(F104="",Z104="",N(AA104)&lt;=0),"",1-NORMDIST(FLOOR(F104,1)+0.5,Z104,AA104,TRUE()))</f>
        <v>0.372956339325797</v>
      </c>
      <c r="AC104" s="10" t="n">
        <f aca="false">IF(AB104="","",NORMDIST(CEILING(F104,1)-0.5,Z104,AA104,TRUE()))</f>
        <v>0.627043660674203</v>
      </c>
      <c r="AD104" s="0" t="str">
        <f aca="false">IF(AB104="","",IF(AB104&gt;=0.5+Config!$B$6,"OVER",IF(AC104&gt;=0.5+Config!$B$6,"UNDER","—")))</f>
        <v>UNDER</v>
      </c>
      <c r="AE104" s="13" t="n">
        <f aca="false">IFERROR(Z104/G104,"")</f>
        <v>0.989751416635369</v>
      </c>
    </row>
    <row r="105" customFormat="false" ht="15" hidden="false" customHeight="false" outlineLevel="0" collapsed="false">
      <c r="A105" s="0" t="s">
        <v>988</v>
      </c>
      <c r="B105" s="0" t="s">
        <v>1060</v>
      </c>
      <c r="C105" s="0" t="s">
        <v>1244</v>
      </c>
      <c r="D105" s="0" t="s">
        <v>1064</v>
      </c>
      <c r="E105" s="0" t="s">
        <v>1111</v>
      </c>
      <c r="F105" s="0" t="n">
        <v>25.5</v>
      </c>
      <c r="G105" s="11" t="n">
        <f aca="false">IFERROR(INDEX(CHOOSE(MATCH($X105,{"K1","K2","K3","K12","K13","H1","H2","H3","H12","H13"},0),Calc!$V$2:$V$124,Calc!$AC$2:$AC$124,Calc!$AJ$2:$AJ$124,Calc!$AL$2:$AL$124,Calc!$AM$2:$AM$124,Calc!$W$2:$W$124,Calc!$AD$2:$AD$124,Calc!$AK$2:$AK$124,Calc!$AN$2:$AN$124,Calc!$AO$2:$AO$124),MATCH($W105,Calc!$A$2:$A$124,0)),"")</f>
        <v>24.3202666666667</v>
      </c>
      <c r="H105" s="11" t="n">
        <f aca="false">IF(G105="","",IF(LEFT($X105,1)="H",SQRT(G105*(IFERROR(INDEX(Calc!$AP$2:$AP$124,MATCH($W105,Calc!$A$2:$A$124,0)),0.5)*Config!$B$5+1-IFERROR(INDEX(Calc!$AP$2:$AP$124,MATCH($W105,Calc!$A$2:$A$124,0)),0.5))),SQRT(G105*Config!$B$5)))</f>
        <v>5.83509839962732</v>
      </c>
      <c r="I105" s="10" t="n">
        <f aca="false">IF(OR(F105="",G105="",N(H105)&lt;=0),"",1-NORMDIST(FLOOR(F105,1)+0.5,G105,H105,TRUE()))</f>
        <v>0.419888463574724</v>
      </c>
      <c r="J105" s="10" t="n">
        <f aca="false">IF(I105="","",NORMDIST(CEILING(F105,1)-0.5,G105,H105,TRUE()))</f>
        <v>0.580111536425276</v>
      </c>
      <c r="K105" s="10" t="n">
        <f aca="false">IF(I105="","",MAX(0,1-I105-J105))</f>
        <v>0</v>
      </c>
      <c r="L105" s="0" t="str">
        <f aca="false">IF(I105="","",IF(I105&gt;=0.5+Config!$B$6,"OVER",IF(J105&gt;=0.5+Config!$B$6,"UNDER","—")))</f>
        <v>UNDER</v>
      </c>
      <c r="M105" s="0" t="n">
        <v>25.89</v>
      </c>
      <c r="N105" s="0" t="n">
        <v>25.2</v>
      </c>
      <c r="O105" s="10" t="n">
        <v>0.6</v>
      </c>
      <c r="P105" s="10" t="n">
        <v>0.5</v>
      </c>
      <c r="Q105" s="10" t="n">
        <v>0.47</v>
      </c>
      <c r="R105" s="9" t="s">
        <v>1246</v>
      </c>
      <c r="S105" s="0" t="n">
        <v>2</v>
      </c>
      <c r="T105" s="0" t="str">
        <f aca="false">INDEX(Calc!$G$2:$G$124,MATCH($W105,Calc!$A$2:$A$124,0))&amp;" / "&amp;INDEX(Calc!$H$2:$H$124,MATCH($W105,Calc!$A$2:$A$124,0))</f>
        <v>Mirage / Inferno</v>
      </c>
      <c r="U105" s="0" t="str">
        <f aca="false">TEXT(INDEX(Calc!$J$2:$J$124,MATCH($W105,Calc!$A$2:$A$124,0)),"0.0")&amp;" / "&amp;TEXT(INDEX(Calc!$K$2:$K$124,MATCH($W105,Calc!$A$2:$A$124,0)),"0.0")</f>
        <v>21.5 / 21.4</v>
      </c>
      <c r="V105" s="0" t="str">
        <f aca="false">IFERROR(INDEX(Calc!$AQ$2:$AQ$124,MATCH($W105,Calc!$A$2:$A$124,0)),"")</f>
        <v/>
      </c>
      <c r="W105" s="9" t="s">
        <v>1245</v>
      </c>
      <c r="X105" s="9" t="s">
        <v>1112</v>
      </c>
      <c r="Y105" s="0" t="str">
        <f aca="false">W105&amp;"|"&amp;X105</f>
        <v>npowbduexyegr6i|CS2 · FURIA vs NAVI|K12</v>
      </c>
      <c r="Z105" s="11" t="n">
        <f aca="false">IFERROR(INDEX(CHOOSE(MATCH($X105,{"K1","K2","K3","K12","K13","H1","H2","H3","H12","H13"},0),Calc!$BA$2:$BA$124,Calc!$BB$2:$BB$124,Calc!$BC$2:$BC$124,Calc!$BD$2:$BD$124,Calc!$BE$2:$BE$124,Calc!$BF$2:$BF$124,Calc!$BG$2:$BG$124,Calc!$BH$2:$BH$124,Calc!$BI$2:$BI$124,Calc!$BJ$2:$BJ$124),MATCH($W105,Calc!$A$2:$A$124,0)),"")</f>
        <v>24.0728278683375</v>
      </c>
      <c r="AA105" s="11" t="n">
        <f aca="false">IF(Z105="","",IF(LEFT($X105,1)="H",SQRT(Z105*(IFERROR(INDEX(Calc!$AP$2:$AP$124,MATCH($W105,Calc!$A$2:$A$124,0)),0.5)*Config!$B$5+1-IFERROR(INDEX(Calc!$AP$2:$AP$124,MATCH($W105,Calc!$A$2:$A$124,0)),0.5))),SQRT(Z105*Config!$B$5)))</f>
        <v>5.80533883728353</v>
      </c>
      <c r="AB105" s="10" t="n">
        <f aca="false">IF(OR(F105="",Z105="",N(AA105)&lt;=0),"",1-NORMDIST(FLOOR(F105,1)+0.5,Z105,AA105,TRUE()))</f>
        <v>0.40290387040518</v>
      </c>
      <c r="AC105" s="10" t="n">
        <f aca="false">IF(AB105="","",NORMDIST(CEILING(F105,1)-0.5,Z105,AA105,TRUE()))</f>
        <v>0.59709612959482</v>
      </c>
      <c r="AD105" s="0" t="str">
        <f aca="false">IF(AB105="","",IF(AB105&gt;=0.5+Config!$B$6,"OVER",IF(AC105&gt;=0.5+Config!$B$6,"UNDER","—")))</f>
        <v>UNDER</v>
      </c>
      <c r="AE105" s="13" t="n">
        <f aca="false">IFERROR(Z105/G105,"")</f>
        <v>0.989825818864549</v>
      </c>
    </row>
    <row r="106" customFormat="false" ht="15" hidden="false" customHeight="false" outlineLevel="0" collapsed="false">
      <c r="A106" s="0" t="s">
        <v>988</v>
      </c>
      <c r="B106" s="0" t="s">
        <v>1060</v>
      </c>
      <c r="C106" s="0" t="s">
        <v>1247</v>
      </c>
      <c r="D106" s="0" t="s">
        <v>1065</v>
      </c>
      <c r="E106" s="0" t="s">
        <v>1107</v>
      </c>
      <c r="F106" s="0" t="n">
        <v>12</v>
      </c>
      <c r="G106" s="11" t="n">
        <f aca="false">IFERROR(INDEX(CHOOSE(MATCH($X106,{"K1","K2","K3","K12","K13","H1","H2","H3","H12","H13"},0),Calc!$V$2:$V$124,Calc!$AC$2:$AC$124,Calc!$AJ$2:$AJ$124,Calc!$AL$2:$AL$124,Calc!$AM$2:$AM$124,Calc!$W$2:$W$124,Calc!$AD$2:$AD$124,Calc!$AK$2:$AK$124,Calc!$AN$2:$AN$124,Calc!$AO$2:$AO$124),MATCH($W106,Calc!$A$2:$A$124,0)),"")</f>
        <v>11.1967166040816</v>
      </c>
      <c r="H106" s="11" t="n">
        <f aca="false">IF(G106="","",IF(LEFT($X106,1)="H",SQRT(G106*(IFERROR(INDEX(Calc!$AP$2:$AP$124,MATCH($W106,Calc!$A$2:$A$124,0)),0.5)*Config!$B$5+1-IFERROR(INDEX(Calc!$AP$2:$AP$124,MATCH($W106,Calc!$A$2:$A$124,0)),0.5))),SQRT(G106*Config!$B$5)))</f>
        <v>3.6827885574691</v>
      </c>
      <c r="I106" s="10" t="n">
        <f aca="false">IF(OR(F106="",G106="",N(H106)&lt;=0),"",1-NORMDIST(FLOOR(F106,1)+0.5,G106,H106,TRUE()))</f>
        <v>0.361712558100384</v>
      </c>
      <c r="J106" s="10" t="n">
        <f aca="false">IF(I106="","",NORMDIST(CEILING(F106,1)-0.5,G106,H106,TRUE()))</f>
        <v>0.532816424075894</v>
      </c>
      <c r="K106" s="10" t="n">
        <f aca="false">IF(I106="","",MAX(0,1-I106-J106))</f>
        <v>0.105471017823722</v>
      </c>
      <c r="L106" s="0" t="str">
        <f aca="false">IF(I106="","",IF(I106&gt;=0.5+Config!$B$6,"OVER",IF(J106&gt;=0.5+Config!$B$6,"UNDER","—")))</f>
        <v>—</v>
      </c>
      <c r="N106" s="0" t="n">
        <v>12.7</v>
      </c>
      <c r="O106" s="10" t="n">
        <v>0.8</v>
      </c>
      <c r="P106" s="10" t="n">
        <v>0.5</v>
      </c>
      <c r="Q106" s="10" t="n">
        <v>0.47</v>
      </c>
      <c r="R106" s="9" t="s">
        <v>1248</v>
      </c>
      <c r="S106" s="0" t="n">
        <v>1</v>
      </c>
      <c r="T106" s="0" t="str">
        <f aca="false">INDEX(Calc!$G$2:$G$124,MATCH($W106,Calc!$A$2:$A$124,0))&amp;" / "&amp;INDEX(Calc!$H$2:$H$124,MATCH($W106,Calc!$A$2:$A$124,0))</f>
        <v>Mirage / Inferno</v>
      </c>
      <c r="U106" s="0" t="str">
        <f aca="false">TEXT(INDEX(Calc!$J$2:$J$124,MATCH($W106,Calc!$A$2:$A$124,0)),"0.0")&amp;" / "&amp;TEXT(INDEX(Calc!$K$2:$K$124,MATCH($W106,Calc!$A$2:$A$124,0)),"0.0")</f>
        <v>21.5 / 21.4</v>
      </c>
      <c r="V106" s="0" t="str">
        <f aca="false">IFERROR(INDEX(Calc!$AQ$2:$AQ$124,MATCH($W106,Calc!$A$2:$A$124,0)),"")</f>
        <v/>
      </c>
      <c r="W106" s="9" t="s">
        <v>1249</v>
      </c>
      <c r="X106" s="9" t="s">
        <v>1110</v>
      </c>
      <c r="Y106" s="0" t="str">
        <f aca="false">W106&amp;"|"&amp;X106</f>
        <v>509x6s2e70l3hhg|CS2 · FURIA vs NAVI|H12</v>
      </c>
      <c r="Z106" s="11" t="n">
        <f aca="false">IFERROR(INDEX(CHOOSE(MATCH($X106,{"K1","K2","K3","K12","K13","H1","H2","H3","H12","H13"},0),Calc!$BA$2:$BA$124,Calc!$BB$2:$BB$124,Calc!$BC$2:$BC$124,Calc!$BD$2:$BD$124,Calc!$BE$2:$BE$124,Calc!$BF$2:$BF$124,Calc!$BG$2:$BG$124,Calc!$BH$2:$BH$124,Calc!$BI$2:$BI$124,Calc!$BJ$2:$BJ$124),MATCH($W106,Calc!$A$2:$A$124,0)),"")</f>
        <v>11.229297256814</v>
      </c>
      <c r="AA106" s="11" t="n">
        <f aca="false">IF(Z106="","",IF(LEFT($X106,1)="H",SQRT(Z106*(IFERROR(INDEX(Calc!$AP$2:$AP$124,MATCH($W106,Calc!$A$2:$A$124,0)),0.5)*Config!$B$5+1-IFERROR(INDEX(Calc!$AP$2:$AP$124,MATCH($W106,Calc!$A$2:$A$124,0)),0.5))),SQRT(Z106*Config!$B$5)))</f>
        <v>3.68814282782641</v>
      </c>
      <c r="AB106" s="10" t="n">
        <f aca="false">IF(OR(F106="",Z106="",N(AA106)&lt;=0),"",1-NORMDIST(FLOOR(F106,1)+0.5,Z106,AA106,TRUE()))</f>
        <v>0.365221127812653</v>
      </c>
      <c r="AC106" s="10" t="n">
        <f aca="false">IF(AB106="","",NORMDIST(CEILING(F106,1)-0.5,Z106,AA106,TRUE()))</f>
        <v>0.529255342488287</v>
      </c>
      <c r="AD106" s="0" t="str">
        <f aca="false">IF(AB106="","",IF(AB106&gt;=0.5+Config!$B$6,"OVER",IF(AC106&gt;=0.5+Config!$B$6,"UNDER","—")))</f>
        <v>—</v>
      </c>
      <c r="AE106" s="13" t="n">
        <f aca="false">IFERROR(Z106/G106,"")</f>
        <v>1.00290983990079</v>
      </c>
    </row>
    <row r="107" customFormat="false" ht="15" hidden="false" customHeight="false" outlineLevel="0" collapsed="false">
      <c r="A107" s="0" t="s">
        <v>988</v>
      </c>
      <c r="B107" s="0" t="s">
        <v>1060</v>
      </c>
      <c r="C107" s="0" t="s">
        <v>1247</v>
      </c>
      <c r="D107" s="0" t="s">
        <v>1065</v>
      </c>
      <c r="E107" s="0" t="s">
        <v>1111</v>
      </c>
      <c r="F107" s="0" t="n">
        <v>22</v>
      </c>
      <c r="G107" s="11" t="n">
        <f aca="false">IFERROR(INDEX(CHOOSE(MATCH($X107,{"K1","K2","K3","K12","K13","H1","H2","H3","H12","H13"},0),Calc!$V$2:$V$124,Calc!$AC$2:$AC$124,Calc!$AJ$2:$AJ$124,Calc!$AL$2:$AL$124,Calc!$AM$2:$AM$124,Calc!$W$2:$W$124,Calc!$AD$2:$AD$124,Calc!$AK$2:$AK$124,Calc!$AN$2:$AN$124,Calc!$AO$2:$AO$124),MATCH($W107,Calc!$A$2:$A$124,0)),"")</f>
        <v>21.1927428571429</v>
      </c>
      <c r="H107" s="11" t="n">
        <f aca="false">IF(G107="","",IF(LEFT($X107,1)="H",SQRT(G107*(IFERROR(INDEX(Calc!$AP$2:$AP$124,MATCH($W107,Calc!$A$2:$A$124,0)),0.5)*Config!$B$5+1-IFERROR(INDEX(Calc!$AP$2:$AP$124,MATCH($W107,Calc!$A$2:$A$124,0)),0.5))),SQRT(G107*Config!$B$5)))</f>
        <v>5.44700284560234</v>
      </c>
      <c r="I107" s="10" t="n">
        <f aca="false">IF(OR(F107="",G107="",N(H107)&lt;=0),"",1-NORMDIST(FLOOR(F107,1)+0.5,G107,H107,TRUE()))</f>
        <v>0.405166803449803</v>
      </c>
      <c r="J107" s="10" t="n">
        <f aca="false">IF(I107="","",NORMDIST(CEILING(F107,1)-0.5,G107,H107,TRUE()))</f>
        <v>0.522491798573891</v>
      </c>
      <c r="K107" s="10" t="n">
        <f aca="false">IF(I107="","",MAX(0,1-I107-J107))</f>
        <v>0.072341397976306</v>
      </c>
      <c r="L107" s="0" t="str">
        <f aca="false">IF(I107="","",IF(I107&gt;=0.5+Config!$B$6,"OVER",IF(J107&gt;=0.5+Config!$B$6,"UNDER","—")))</f>
        <v>—</v>
      </c>
      <c r="M107" s="0" t="n">
        <v>21</v>
      </c>
      <c r="N107" s="0" t="n">
        <v>21.8</v>
      </c>
      <c r="O107" s="10" t="n">
        <v>0.6</v>
      </c>
      <c r="P107" s="10" t="n">
        <v>0.4</v>
      </c>
      <c r="Q107" s="10" t="n">
        <v>0.4</v>
      </c>
      <c r="R107" s="9" t="s">
        <v>1250</v>
      </c>
      <c r="S107" s="0" t="n">
        <v>1</v>
      </c>
      <c r="T107" s="0" t="str">
        <f aca="false">INDEX(Calc!$G$2:$G$124,MATCH($W107,Calc!$A$2:$A$124,0))&amp;" / "&amp;INDEX(Calc!$H$2:$H$124,MATCH($W107,Calc!$A$2:$A$124,0))</f>
        <v>Mirage / Inferno</v>
      </c>
      <c r="U107" s="0" t="str">
        <f aca="false">TEXT(INDEX(Calc!$J$2:$J$124,MATCH($W107,Calc!$A$2:$A$124,0)),"0.0")&amp;" / "&amp;TEXT(INDEX(Calc!$K$2:$K$124,MATCH($W107,Calc!$A$2:$A$124,0)),"0.0")</f>
        <v>21.5 / 21.4</v>
      </c>
      <c r="V107" s="0" t="str">
        <f aca="false">IFERROR(INDEX(Calc!$AQ$2:$AQ$124,MATCH($W107,Calc!$A$2:$A$124,0)),"")</f>
        <v/>
      </c>
      <c r="W107" s="9" t="s">
        <v>1249</v>
      </c>
      <c r="X107" s="9" t="s">
        <v>1112</v>
      </c>
      <c r="Y107" s="0" t="str">
        <f aca="false">W107&amp;"|"&amp;X107</f>
        <v>509x6s2e70l3hhg|CS2 · FURIA vs NAVI|K12</v>
      </c>
      <c r="Z107" s="11" t="n">
        <f aca="false">IFERROR(INDEX(CHOOSE(MATCH($X107,{"K1","K2","K3","K12","K13","H1","H2","H3","H12","H13"},0),Calc!$BA$2:$BA$124,Calc!$BB$2:$BB$124,Calc!$BC$2:$BC$124,Calc!$BD$2:$BD$124,Calc!$BE$2:$BE$124,Calc!$BF$2:$BF$124,Calc!$BG$2:$BG$124,Calc!$BH$2:$BH$124,Calc!$BI$2:$BI$124,Calc!$BJ$2:$BJ$124),MATCH($W107,Calc!$A$2:$A$124,0)),"")</f>
        <v>21.2469665082222</v>
      </c>
      <c r="AA107" s="11" t="n">
        <f aca="false">IF(Z107="","",IF(LEFT($X107,1)="H",SQRT(Z107*(IFERROR(INDEX(Calc!$AP$2:$AP$124,MATCH($W107,Calc!$A$2:$A$124,0)),0.5)*Config!$B$5+1-IFERROR(INDEX(Calc!$AP$2:$AP$124,MATCH($W107,Calc!$A$2:$A$124,0)),0.5))),SQRT(Z107*Config!$B$5)))</f>
        <v>5.45396673179358</v>
      </c>
      <c r="AB107" s="10" t="n">
        <f aca="false">IF(OR(F107="",Z107="",N(AA107)&lt;=0),"",1-NORMDIST(FLOOR(F107,1)+0.5,Z107,AA107,TRUE()))</f>
        <v>0.409144114417395</v>
      </c>
      <c r="AC107" s="10" t="n">
        <f aca="false">IF(AB107="","",NORMDIST(CEILING(F107,1)-0.5,Z107,AA107,TRUE()))</f>
        <v>0.518502048435269</v>
      </c>
      <c r="AD107" s="0" t="str">
        <f aca="false">IF(AB107="","",IF(AB107&gt;=0.5+Config!$B$6,"OVER",IF(AC107&gt;=0.5+Config!$B$6,"UNDER","—")))</f>
        <v>—</v>
      </c>
      <c r="AE107" s="13" t="n">
        <f aca="false">IFERROR(Z107/G107,"")</f>
        <v>1.00255859524389</v>
      </c>
    </row>
    <row r="108" customFormat="false" ht="15" hidden="false" customHeight="false" outlineLevel="0" collapsed="false">
      <c r="A108" s="0" t="s">
        <v>988</v>
      </c>
      <c r="B108" s="0" t="s">
        <v>1060</v>
      </c>
      <c r="C108" s="0" t="s">
        <v>1251</v>
      </c>
      <c r="D108" s="0" t="s">
        <v>1065</v>
      </c>
      <c r="E108" s="0" t="s">
        <v>1107</v>
      </c>
      <c r="F108" s="0" t="n">
        <v>17.5</v>
      </c>
      <c r="G108" s="11" t="n">
        <f aca="false">IFERROR(INDEX(CHOOSE(MATCH($X108,{"K1","K2","K3","K12","K13","H1","H2","H3","H12","H13"},0),Calc!$V$2:$V$124,Calc!$AC$2:$AC$124,Calc!$AJ$2:$AJ$124,Calc!$AL$2:$AL$124,Calc!$AM$2:$AM$124,Calc!$W$2:$W$124,Calc!$AD$2:$AD$124,Calc!$AK$2:$AK$124,Calc!$AN$2:$AN$124,Calc!$AO$2:$AO$124),MATCH($W108,Calc!$A$2:$A$124,0)),"")</f>
        <v>17.0581928765306</v>
      </c>
      <c r="H108" s="11" t="n">
        <f aca="false">IF(G108="","",IF(LEFT($X108,1)="H",SQRT(G108*(IFERROR(INDEX(Calc!$AP$2:$AP$124,MATCH($W108,Calc!$A$2:$A$124,0)),0.5)*Config!$B$5+1-IFERROR(INDEX(Calc!$AP$2:$AP$124,MATCH($W108,Calc!$A$2:$A$124,0)),0.5))),SQRT(G108*Config!$B$5)))</f>
        <v>4.61429133819186</v>
      </c>
      <c r="I108" s="10" t="n">
        <f aca="false">IF(OR(F108="",G108="",N(H108)&lt;=0),"",1-NORMDIST(FLOOR(F108,1)+0.5,G108,H108,TRUE()))</f>
        <v>0.461860534629203</v>
      </c>
      <c r="J108" s="10" t="n">
        <f aca="false">IF(I108="","",NORMDIST(CEILING(F108,1)-0.5,G108,H108,TRUE()))</f>
        <v>0.538139465370797</v>
      </c>
      <c r="K108" s="10" t="n">
        <f aca="false">IF(I108="","",MAX(0,1-I108-J108))</f>
        <v>0</v>
      </c>
      <c r="L108" s="0" t="str">
        <f aca="false">IF(I108="","",IF(I108&gt;=0.5+Config!$B$6,"OVER",IF(J108&gt;=0.5+Config!$B$6,"UNDER","—")))</f>
        <v>—</v>
      </c>
      <c r="N108" s="0" t="n">
        <v>17.7</v>
      </c>
      <c r="O108" s="10" t="n">
        <v>0.6</v>
      </c>
      <c r="P108" s="10" t="n">
        <v>0.5</v>
      </c>
      <c r="Q108" s="10" t="n">
        <v>0.6</v>
      </c>
      <c r="R108" s="9" t="s">
        <v>1246</v>
      </c>
      <c r="S108" s="0" t="n">
        <v>1</v>
      </c>
      <c r="T108" s="0" t="str">
        <f aca="false">INDEX(Calc!$G$2:$G$124,MATCH($W108,Calc!$A$2:$A$124,0))&amp;" / "&amp;INDEX(Calc!$H$2:$H$124,MATCH($W108,Calc!$A$2:$A$124,0))</f>
        <v>Mirage / Inferno</v>
      </c>
      <c r="U108" s="0" t="str">
        <f aca="false">TEXT(INDEX(Calc!$J$2:$J$124,MATCH($W108,Calc!$A$2:$A$124,0)),"0.0")&amp;" / "&amp;TEXT(INDEX(Calc!$K$2:$K$124,MATCH($W108,Calc!$A$2:$A$124,0)),"0.0")</f>
        <v>21.5 / 21.4</v>
      </c>
      <c r="V108" s="0" t="str">
        <f aca="false">IFERROR(INDEX(Calc!$AQ$2:$AQ$124,MATCH($W108,Calc!$A$2:$A$124,0)),"")</f>
        <v/>
      </c>
      <c r="W108" s="9" t="s">
        <v>1252</v>
      </c>
      <c r="X108" s="9" t="s">
        <v>1110</v>
      </c>
      <c r="Y108" s="0" t="str">
        <f aca="false">W108&amp;"|"&amp;X108</f>
        <v>2y1yay7td9d3pb6|CS2 · FURIA vs NAVI|H12</v>
      </c>
      <c r="Z108" s="11" t="n">
        <f aca="false">IFERROR(INDEX(CHOOSE(MATCH($X108,{"K1","K2","K3","K12","K13","H1","H2","H3","H12","H13"},0),Calc!$BA$2:$BA$124,Calc!$BB$2:$BB$124,Calc!$BC$2:$BC$124,Calc!$BD$2:$BD$124,Calc!$BE$2:$BE$124,Calc!$BF$2:$BF$124,Calc!$BG$2:$BG$124,Calc!$BH$2:$BH$124,Calc!$BI$2:$BI$124,Calc!$BJ$2:$BJ$124),MATCH($W108,Calc!$A$2:$A$124,0)),"")</f>
        <v>17.1006368668142</v>
      </c>
      <c r="AA108" s="11" t="n">
        <f aca="false">IF(Z108="","",IF(LEFT($X108,1)="H",SQRT(Z108*(IFERROR(INDEX(Calc!$AP$2:$AP$124,MATCH($W108,Calc!$A$2:$A$124,0)),0.5)*Config!$B$5+1-IFERROR(INDEX(Calc!$AP$2:$AP$124,MATCH($W108,Calc!$A$2:$A$124,0)),0.5))),SQRT(Z108*Config!$B$5)))</f>
        <v>4.62002838379299</v>
      </c>
      <c r="AB108" s="10" t="n">
        <f aca="false">IF(OR(F108="",Z108="",N(AA108)&lt;=0),"",1-NORMDIST(FLOOR(F108,1)+0.5,Z108,AA108,TRUE()))</f>
        <v>0.465557647374098</v>
      </c>
      <c r="AC108" s="10" t="n">
        <f aca="false">IF(AB108="","",NORMDIST(CEILING(F108,1)-0.5,Z108,AA108,TRUE()))</f>
        <v>0.534442352625902</v>
      </c>
      <c r="AD108" s="0" t="str">
        <f aca="false">IF(AB108="","",IF(AB108&gt;=0.5+Config!$B$6,"OVER",IF(AC108&gt;=0.5+Config!$B$6,"UNDER","—")))</f>
        <v>—</v>
      </c>
      <c r="AE108" s="13" t="n">
        <f aca="false">IFERROR(Z108/G108,"")</f>
        <v>1.00248818796873</v>
      </c>
    </row>
    <row r="109" customFormat="false" ht="15" hidden="false" customHeight="false" outlineLevel="0" collapsed="false">
      <c r="A109" s="0" t="s">
        <v>988</v>
      </c>
      <c r="B109" s="0" t="s">
        <v>1060</v>
      </c>
      <c r="C109" s="0" t="s">
        <v>1251</v>
      </c>
      <c r="D109" s="0" t="s">
        <v>1065</v>
      </c>
      <c r="E109" s="0" t="s">
        <v>1111</v>
      </c>
      <c r="F109" s="0" t="n">
        <v>29</v>
      </c>
      <c r="G109" s="11" t="n">
        <f aca="false">IFERROR(INDEX(CHOOSE(MATCH($X109,{"K1","K2","K3","K12","K13","H1","H2","H3","H12","H13"},0),Calc!$V$2:$V$124,Calc!$AC$2:$AC$124,Calc!$AJ$2:$AJ$124,Calc!$AL$2:$AL$124,Calc!$AM$2:$AM$124,Calc!$W$2:$W$124,Calc!$AD$2:$AD$124,Calc!$AK$2:$AK$124,Calc!$AN$2:$AN$124,Calc!$AO$2:$AO$124),MATCH($W109,Calc!$A$2:$A$124,0)),"")</f>
        <v>27.4933285714286</v>
      </c>
      <c r="H109" s="11" t="n">
        <f aca="false">IF(G109="","",IF(LEFT($X109,1)="H",SQRT(G109*(IFERROR(INDEX(Calc!$AP$2:$AP$124,MATCH($W109,Calc!$A$2:$A$124,0)),0.5)*Config!$B$5+1-IFERROR(INDEX(Calc!$AP$2:$AP$124,MATCH($W109,Calc!$A$2:$A$124,0)),0.5))),SQRT(G109*Config!$B$5)))</f>
        <v>6.20408413869445</v>
      </c>
      <c r="I109" s="10" t="n">
        <f aca="false">IF(OR(F109="",G109="",N(H109)&lt;=0),"",1-NORMDIST(FLOOR(F109,1)+0.5,G109,H109,TRUE()))</f>
        <v>0.373179649894263</v>
      </c>
      <c r="J109" s="10" t="n">
        <f aca="false">IF(I109="","",NORMDIST(CEILING(F109,1)-0.5,G109,H109,TRUE()))</f>
        <v>0.564449236586367</v>
      </c>
      <c r="K109" s="10" t="n">
        <f aca="false">IF(I109="","",MAX(0,1-I109-J109))</f>
        <v>0.0623711135193699</v>
      </c>
      <c r="L109" s="0" t="str">
        <f aca="false">IF(I109="","",IF(I109&gt;=0.5+Config!$B$6,"OVER",IF(J109&gt;=0.5+Config!$B$6,"UNDER","—")))</f>
        <v>UNDER</v>
      </c>
      <c r="M109" s="0" t="n">
        <v>29.24</v>
      </c>
      <c r="N109" s="0" t="n">
        <v>29.8</v>
      </c>
      <c r="O109" s="10" t="n">
        <v>0.6</v>
      </c>
      <c r="P109" s="10" t="n">
        <v>0.6</v>
      </c>
      <c r="Q109" s="10" t="n">
        <v>0.6</v>
      </c>
      <c r="R109" s="9" t="s">
        <v>1246</v>
      </c>
      <c r="S109" s="0" t="n">
        <v>1</v>
      </c>
      <c r="T109" s="0" t="str">
        <f aca="false">INDEX(Calc!$G$2:$G$124,MATCH($W109,Calc!$A$2:$A$124,0))&amp;" / "&amp;INDEX(Calc!$H$2:$H$124,MATCH($W109,Calc!$A$2:$A$124,0))</f>
        <v>Mirage / Inferno</v>
      </c>
      <c r="U109" s="0" t="str">
        <f aca="false">TEXT(INDEX(Calc!$J$2:$J$124,MATCH($W109,Calc!$A$2:$A$124,0)),"0.0")&amp;" / "&amp;TEXT(INDEX(Calc!$K$2:$K$124,MATCH($W109,Calc!$A$2:$A$124,0)),"0.0")</f>
        <v>21.5 / 21.4</v>
      </c>
      <c r="V109" s="0" t="str">
        <f aca="false">IFERROR(INDEX(Calc!$AQ$2:$AQ$124,MATCH($W109,Calc!$A$2:$A$124,0)),"")</f>
        <v/>
      </c>
      <c r="W109" s="9" t="s">
        <v>1252</v>
      </c>
      <c r="X109" s="9" t="s">
        <v>1112</v>
      </c>
      <c r="Y109" s="0" t="str">
        <f aca="false">W109&amp;"|"&amp;X109</f>
        <v>2y1yay7td9d3pb6|CS2 · FURIA vs NAVI|K12</v>
      </c>
      <c r="Z109" s="11" t="n">
        <f aca="false">IFERROR(INDEX(CHOOSE(MATCH($X109,{"K1","K2","K3","K12","K13","H1","H2","H3","H12","H13"},0),Calc!$BA$2:$BA$124,Calc!$BB$2:$BB$124,Calc!$BC$2:$BC$124,Calc!$BD$2:$BD$124,Calc!$BE$2:$BE$124,Calc!$BF$2:$BF$124,Calc!$BG$2:$BG$124,Calc!$BH$2:$BH$124,Calc!$BI$2:$BI$124,Calc!$BJ$2:$BJ$124),MATCH($W109,Calc!$A$2:$A$124,0)),"")</f>
        <v>27.5575067554021</v>
      </c>
      <c r="AA109" s="11" t="n">
        <f aca="false">IF(Z109="","",IF(LEFT($X109,1)="H",SQRT(Z109*(IFERROR(INDEX(Calc!$AP$2:$AP$124,MATCH($W109,Calc!$A$2:$A$124,0)),0.5)*Config!$B$5+1-IFERROR(INDEX(Calc!$AP$2:$AP$124,MATCH($W109,Calc!$A$2:$A$124,0)),0.5))),SQRT(Z109*Config!$B$5)))</f>
        <v>6.21132107184639</v>
      </c>
      <c r="AB109" s="10" t="n">
        <f aca="false">IF(OR(F109="",Z109="",N(AA109)&lt;=0),"",1-NORMDIST(FLOOR(F109,1)+0.5,Z109,AA109,TRUE()))</f>
        <v>0.37724126110836</v>
      </c>
      <c r="AC109" s="10" t="n">
        <f aca="false">IF(AB109="","",NORMDIST(CEILING(F109,1)-0.5,Z109,AA109,TRUE()))</f>
        <v>0.560303195537916</v>
      </c>
      <c r="AD109" s="0" t="str">
        <f aca="false">IF(AB109="","",IF(AB109&gt;=0.5+Config!$B$6,"OVER",IF(AC109&gt;=0.5+Config!$B$6,"UNDER","—")))</f>
        <v>UNDER</v>
      </c>
      <c r="AE109" s="13" t="n">
        <f aca="false">IFERROR(Z109/G109,"")</f>
        <v>1.00233431844408</v>
      </c>
    </row>
    <row r="110" customFormat="false" ht="15" hidden="false" customHeight="false" outlineLevel="0" collapsed="false">
      <c r="A110" s="0" t="s">
        <v>988</v>
      </c>
      <c r="B110" s="0" t="s">
        <v>1060</v>
      </c>
      <c r="C110" s="0" t="s">
        <v>1253</v>
      </c>
      <c r="D110" s="0" t="s">
        <v>1065</v>
      </c>
      <c r="E110" s="0" t="s">
        <v>1107</v>
      </c>
      <c r="F110" s="0" t="n">
        <v>12.5</v>
      </c>
      <c r="G110" s="11" t="n">
        <f aca="false">IFERROR(INDEX(CHOOSE(MATCH($X110,{"K1","K2","K3","K12","K13","H1","H2","H3","H12","H13"},0),Calc!$V$2:$V$124,Calc!$AC$2:$AC$124,Calc!$AJ$2:$AJ$124,Calc!$AL$2:$AL$124,Calc!$AM$2:$AM$124,Calc!$W$2:$W$124,Calc!$AD$2:$AD$124,Calc!$AK$2:$AK$124,Calc!$AN$2:$AN$124,Calc!$AO$2:$AO$124),MATCH($W110,Calc!$A$2:$A$124,0)),"")</f>
        <v>13.4788181887755</v>
      </c>
      <c r="H110" s="11" t="n">
        <f aca="false">IF(G110="","",IF(LEFT($X110,1)="H",SQRT(G110*(IFERROR(INDEX(Calc!$AP$2:$AP$124,MATCH($W110,Calc!$A$2:$A$124,0)),0.5)*Config!$B$5+1-IFERROR(INDEX(Calc!$AP$2:$AP$124,MATCH($W110,Calc!$A$2:$A$124,0)),0.5))),SQRT(G110*Config!$B$5)))</f>
        <v>4.0037754876488</v>
      </c>
      <c r="I110" s="10" t="n">
        <f aca="false">IF(OR(F110="",G110="",N(H110)&lt;=0),"",1-NORMDIST(FLOOR(F110,1)+0.5,G110,H110,TRUE()))</f>
        <v>0.596568052650308</v>
      </c>
      <c r="J110" s="10" t="n">
        <f aca="false">IF(I110="","",NORMDIST(CEILING(F110,1)-0.5,G110,H110,TRUE()))</f>
        <v>0.403431947349692</v>
      </c>
      <c r="K110" s="10" t="n">
        <f aca="false">IF(I110="","",MAX(0,1-I110-J110))</f>
        <v>0</v>
      </c>
      <c r="L110" s="0" t="str">
        <f aca="false">IF(I110="","",IF(I110&gt;=0.5+Config!$B$6,"OVER",IF(J110&gt;=0.5+Config!$B$6,"UNDER","—")))</f>
        <v>OVER</v>
      </c>
      <c r="N110" s="0" t="n">
        <v>13.9</v>
      </c>
      <c r="O110" s="10" t="n">
        <v>0.6</v>
      </c>
      <c r="P110" s="10" t="n">
        <v>0.6</v>
      </c>
      <c r="Q110" s="10" t="n">
        <v>0.53</v>
      </c>
      <c r="R110" s="9" t="s">
        <v>1254</v>
      </c>
      <c r="S110" s="0" t="n">
        <v>2</v>
      </c>
      <c r="T110" s="0" t="str">
        <f aca="false">INDEX(Calc!$G$2:$G$124,MATCH($W110,Calc!$A$2:$A$124,0))&amp;" / "&amp;INDEX(Calc!$H$2:$H$124,MATCH($W110,Calc!$A$2:$A$124,0))</f>
        <v>Mirage / Inferno</v>
      </c>
      <c r="U110" s="0" t="str">
        <f aca="false">TEXT(INDEX(Calc!$J$2:$J$124,MATCH($W110,Calc!$A$2:$A$124,0)),"0.0")&amp;" / "&amp;TEXT(INDEX(Calc!$K$2:$K$124,MATCH($W110,Calc!$A$2:$A$124,0)),"0.0")</f>
        <v>21.5 / 21.4</v>
      </c>
      <c r="V110" s="0" t="str">
        <f aca="false">IFERROR(INDEX(Calc!$AQ$2:$AQ$124,MATCH($W110,Calc!$A$2:$A$124,0)),"")</f>
        <v/>
      </c>
      <c r="W110" s="9" t="s">
        <v>1255</v>
      </c>
      <c r="X110" s="9" t="s">
        <v>1110</v>
      </c>
      <c r="Y110" s="0" t="str">
        <f aca="false">W110&amp;"|"&amp;X110</f>
        <v>6fnysfxfr7gofjk|CS2 · FURIA vs NAVI|H12</v>
      </c>
      <c r="Z110" s="11" t="n">
        <f aca="false">IFERROR(INDEX(CHOOSE(MATCH($X110,{"K1","K2","K3","K12","K13","H1","H2","H3","H12","H13"},0),Calc!$BA$2:$BA$124,Calc!$BB$2:$BB$124,Calc!$BC$2:$BC$124,Calc!$BD$2:$BD$124,Calc!$BE$2:$BE$124,Calc!$BF$2:$BF$124,Calc!$BG$2:$BG$124,Calc!$BH$2:$BH$124,Calc!$BI$2:$BI$124,Calc!$BJ$2:$BJ$124),MATCH($W110,Calc!$A$2:$A$124,0)),"")</f>
        <v>13.5211471666088</v>
      </c>
      <c r="AA110" s="11" t="n">
        <f aca="false">IF(Z110="","",IF(LEFT($X110,1)="H",SQRT(Z110*(IFERROR(INDEX(Calc!$AP$2:$AP$124,MATCH($W110,Calc!$A$2:$A$124,0)),0.5)*Config!$B$5+1-IFERROR(INDEX(Calc!$AP$2:$AP$124,MATCH($W110,Calc!$A$2:$A$124,0)),0.5))),SQRT(Z110*Config!$B$5)))</f>
        <v>4.01005730235664</v>
      </c>
      <c r="AB110" s="10" t="n">
        <f aca="false">IF(OR(F110="",Z110="",N(AA110)&lt;=0),"",1-NORMDIST(FLOOR(F110,1)+0.5,Z110,AA110,TRUE()))</f>
        <v>0.600501940085105</v>
      </c>
      <c r="AC110" s="10" t="n">
        <f aca="false">IF(AB110="","",NORMDIST(CEILING(F110,1)-0.5,Z110,AA110,TRUE()))</f>
        <v>0.399498059914895</v>
      </c>
      <c r="AD110" s="0" t="str">
        <f aca="false">IF(AB110="","",IF(AB110&gt;=0.5+Config!$B$6,"OVER",IF(AC110&gt;=0.5+Config!$B$6,"UNDER","—")))</f>
        <v>OVER</v>
      </c>
      <c r="AE110" s="13" t="n">
        <f aca="false">IFERROR(Z110/G110,"")</f>
        <v>1.00314040721081</v>
      </c>
    </row>
    <row r="111" customFormat="false" ht="15" hidden="false" customHeight="false" outlineLevel="0" collapsed="false">
      <c r="A111" s="0" t="s">
        <v>988</v>
      </c>
      <c r="B111" s="0" t="s">
        <v>1060</v>
      </c>
      <c r="C111" s="0" t="s">
        <v>1253</v>
      </c>
      <c r="D111" s="0" t="s">
        <v>1065</v>
      </c>
      <c r="E111" s="0" t="s">
        <v>1111</v>
      </c>
      <c r="F111" s="0" t="n">
        <v>27.5</v>
      </c>
      <c r="G111" s="11" t="n">
        <f aca="false">IFERROR(INDEX(CHOOSE(MATCH($X111,{"K1","K2","K3","K12","K13","H1","H2","H3","H12","H13"},0),Calc!$V$2:$V$124,Calc!$AC$2:$AC$124,Calc!$AJ$2:$AJ$124,Calc!$AL$2:$AL$124,Calc!$AM$2:$AM$124,Calc!$W$2:$W$124,Calc!$AD$2:$AD$124,Calc!$AK$2:$AK$124,Calc!$AN$2:$AN$124,Calc!$AO$2:$AO$124),MATCH($W111,Calc!$A$2:$A$124,0)),"")</f>
        <v>28.4829571428571</v>
      </c>
      <c r="H111" s="11" t="n">
        <f aca="false">IF(G111="","",IF(LEFT($X111,1)="H",SQRT(G111*(IFERROR(INDEX(Calc!$AP$2:$AP$124,MATCH($W111,Calc!$A$2:$A$124,0)),0.5)*Config!$B$5+1-IFERROR(INDEX(Calc!$AP$2:$AP$124,MATCH($W111,Calc!$A$2:$A$124,0)),0.5))),SQRT(G111*Config!$B$5)))</f>
        <v>6.31475573557679</v>
      </c>
      <c r="I111" s="10" t="n">
        <f aca="false">IF(OR(F111="",G111="",N(H111)&lt;=0),"",1-NORMDIST(FLOOR(F111,1)+0.5,G111,H111,TRUE()))</f>
        <v>0.561849627308618</v>
      </c>
      <c r="J111" s="10" t="n">
        <f aca="false">IF(I111="","",NORMDIST(CEILING(F111,1)-0.5,G111,H111,TRUE()))</f>
        <v>0.438150372691382</v>
      </c>
      <c r="K111" s="10" t="n">
        <f aca="false">IF(I111="","",MAX(0,1-I111-J111))</f>
        <v>0</v>
      </c>
      <c r="L111" s="0" t="str">
        <f aca="false">IF(I111="","",IF(I111&gt;=0.5+Config!$B$6,"OVER",IF(J111&gt;=0.5+Config!$B$6,"UNDER","—")))</f>
        <v>OVER</v>
      </c>
      <c r="M111" s="0" t="n">
        <v>28.08</v>
      </c>
      <c r="N111" s="0" t="n">
        <v>30.5</v>
      </c>
      <c r="O111" s="10" t="n">
        <v>0.6</v>
      </c>
      <c r="P111" s="10" t="n">
        <v>0.7</v>
      </c>
      <c r="Q111" s="10" t="n">
        <v>0.6</v>
      </c>
      <c r="R111" s="9" t="s">
        <v>1236</v>
      </c>
      <c r="S111" s="0" t="n">
        <v>3</v>
      </c>
      <c r="T111" s="0" t="str">
        <f aca="false">INDEX(Calc!$G$2:$G$124,MATCH($W111,Calc!$A$2:$A$124,0))&amp;" / "&amp;INDEX(Calc!$H$2:$H$124,MATCH($W111,Calc!$A$2:$A$124,0))</f>
        <v>Mirage / Inferno</v>
      </c>
      <c r="U111" s="0" t="str">
        <f aca="false">TEXT(INDEX(Calc!$J$2:$J$124,MATCH($W111,Calc!$A$2:$A$124,0)),"0.0")&amp;" / "&amp;TEXT(INDEX(Calc!$K$2:$K$124,MATCH($W111,Calc!$A$2:$A$124,0)),"0.0")</f>
        <v>21.5 / 21.4</v>
      </c>
      <c r="V111" s="0" t="str">
        <f aca="false">IFERROR(INDEX(Calc!$AQ$2:$AQ$124,MATCH($W111,Calc!$A$2:$A$124,0)),"")</f>
        <v/>
      </c>
      <c r="W111" s="9" t="s">
        <v>1255</v>
      </c>
      <c r="X111" s="9" t="s">
        <v>1112</v>
      </c>
      <c r="Y111" s="0" t="str">
        <f aca="false">W111&amp;"|"&amp;X111</f>
        <v>6fnysfxfr7gofjk|CS2 · FURIA vs NAVI|K12</v>
      </c>
      <c r="Z111" s="11" t="n">
        <f aca="false">IFERROR(INDEX(CHOOSE(MATCH($X111,{"K1","K2","K3","K12","K13","H1","H2","H3","H12","H13"},0),Calc!$BA$2:$BA$124,Calc!$BB$2:$BB$124,Calc!$BC$2:$BC$124,Calc!$BD$2:$BD$124,Calc!$BE$2:$BE$124,Calc!$BF$2:$BF$124,Calc!$BG$2:$BG$124,Calc!$BH$2:$BH$124,Calc!$BI$2:$BI$124,Calc!$BJ$2:$BJ$124),MATCH($W111,Calc!$A$2:$A$124,0)),"")</f>
        <v>28.5591326450432</v>
      </c>
      <c r="AA111" s="11" t="n">
        <f aca="false">IF(Z111="","",IF(LEFT($X111,1)="H",SQRT(Z111*(IFERROR(INDEX(Calc!$AP$2:$AP$124,MATCH($W111,Calc!$A$2:$A$124,0)),0.5)*Config!$B$5+1-IFERROR(INDEX(Calc!$AP$2:$AP$124,MATCH($W111,Calc!$A$2:$A$124,0)),0.5))),SQRT(Z111*Config!$B$5)))</f>
        <v>6.32319426421967</v>
      </c>
      <c r="AB111" s="10" t="n">
        <f aca="false">IF(OR(F111="",Z111="",N(AA111)&lt;=0),"",1-NORMDIST(FLOOR(F111,1)+0.5,Z111,AA111,TRUE()))</f>
        <v>0.566511527284361</v>
      </c>
      <c r="AC111" s="10" t="n">
        <f aca="false">IF(AB111="","",NORMDIST(CEILING(F111,1)-0.5,Z111,AA111,TRUE()))</f>
        <v>0.433488472715639</v>
      </c>
      <c r="AD111" s="0" t="str">
        <f aca="false">IF(AB111="","",IF(AB111&gt;=0.5+Config!$B$6,"OVER",IF(AC111&gt;=0.5+Config!$B$6,"UNDER","—")))</f>
        <v>OVER</v>
      </c>
      <c r="AE111" s="13" t="n">
        <f aca="false">IFERROR(Z111/G111,"")</f>
        <v>1.00267442393021</v>
      </c>
    </row>
    <row r="112" customFormat="false" ht="15" hidden="false" customHeight="false" outlineLevel="0" collapsed="false">
      <c r="A112" s="0" t="s">
        <v>988</v>
      </c>
      <c r="B112" s="0" t="s">
        <v>1060</v>
      </c>
      <c r="C112" s="0" t="s">
        <v>1256</v>
      </c>
      <c r="D112" s="0" t="s">
        <v>1065</v>
      </c>
      <c r="E112" s="0" t="s">
        <v>1107</v>
      </c>
      <c r="F112" s="0" t="n">
        <v>16</v>
      </c>
      <c r="G112" s="11" t="n">
        <f aca="false">IFERROR(INDEX(CHOOSE(MATCH($X112,{"K1","K2","K3","K12","K13","H1","H2","H3","H12","H13"},0),Calc!$V$2:$V$124,Calc!$AC$2:$AC$124,Calc!$AJ$2:$AJ$124,Calc!$AL$2:$AL$124,Calc!$AM$2:$AM$124,Calc!$W$2:$W$124,Calc!$AD$2:$AD$124,Calc!$AK$2:$AK$124,Calc!$AN$2:$AN$124,Calc!$AO$2:$AO$124),MATCH($W112,Calc!$A$2:$A$124,0)),"")</f>
        <v>14.6504680367347</v>
      </c>
      <c r="H112" s="11" t="n">
        <f aca="false">IF(G112="","",IF(LEFT($X112,1)="H",SQRT(G112*(IFERROR(INDEX(Calc!$AP$2:$AP$124,MATCH($W112,Calc!$A$2:$A$124,0)),0.5)*Config!$B$5+1-IFERROR(INDEX(Calc!$AP$2:$AP$124,MATCH($W112,Calc!$A$2:$A$124,0)),0.5))),SQRT(G112*Config!$B$5)))</f>
        <v>4.22027098150972</v>
      </c>
      <c r="I112" s="10" t="n">
        <f aca="false">IF(OR(F112="",G112="",N(H112)&lt;=0),"",1-NORMDIST(FLOOR(F112,1)+0.5,G112,H112,TRUE()))</f>
        <v>0.330602687523625</v>
      </c>
      <c r="J112" s="10" t="n">
        <f aca="false">IF(I112="","",NORMDIST(CEILING(F112,1)-0.5,G112,H112,TRUE()))</f>
        <v>0.579767203425362</v>
      </c>
      <c r="K112" s="10" t="n">
        <f aca="false">IF(I112="","",MAX(0,1-I112-J112))</f>
        <v>0.0896301090510132</v>
      </c>
      <c r="L112" s="0" t="str">
        <f aca="false">IF(I112="","",IF(I112&gt;=0.5+Config!$B$6,"OVER",IF(J112&gt;=0.5+Config!$B$6,"UNDER","—")))</f>
        <v>UNDER</v>
      </c>
      <c r="N112" s="0" t="n">
        <v>16.2</v>
      </c>
      <c r="O112" s="10" t="n">
        <v>0.4</v>
      </c>
      <c r="P112" s="10" t="n">
        <v>0.4</v>
      </c>
      <c r="Q112" s="10" t="n">
        <v>0.4</v>
      </c>
      <c r="R112" s="9" t="s">
        <v>1194</v>
      </c>
      <c r="S112" s="0" t="n">
        <v>-2</v>
      </c>
      <c r="T112" s="0" t="str">
        <f aca="false">INDEX(Calc!$G$2:$G$124,MATCH($W112,Calc!$A$2:$A$124,0))&amp;" / "&amp;INDEX(Calc!$H$2:$H$124,MATCH($W112,Calc!$A$2:$A$124,0))</f>
        <v>Mirage / Inferno</v>
      </c>
      <c r="U112" s="0" t="str">
        <f aca="false">TEXT(INDEX(Calc!$J$2:$J$124,MATCH($W112,Calc!$A$2:$A$124,0)),"0.0")&amp;" / "&amp;TEXT(INDEX(Calc!$K$2:$K$124,MATCH($W112,Calc!$A$2:$A$124,0)),"0.0")</f>
        <v>21.5 / 21.4</v>
      </c>
      <c r="V112" s="0" t="str">
        <f aca="false">IFERROR(INDEX(Calc!$AQ$2:$AQ$124,MATCH($W112,Calc!$A$2:$A$124,0)),"")</f>
        <v/>
      </c>
      <c r="W112" s="9" t="s">
        <v>1257</v>
      </c>
      <c r="X112" s="9" t="s">
        <v>1110</v>
      </c>
      <c r="Y112" s="0" t="str">
        <f aca="false">W112&amp;"|"&amp;X112</f>
        <v>6oi74s8csyxqh63|CS2 · FURIA vs NAVI|H12</v>
      </c>
      <c r="Z112" s="11" t="n">
        <f aca="false">IFERROR(INDEX(CHOOSE(MATCH($X112,{"K1","K2","K3","K12","K13","H1","H2","H3","H12","H13"},0),Calc!$BA$2:$BA$124,Calc!$BB$2:$BB$124,Calc!$BC$2:$BC$124,Calc!$BD$2:$BD$124,Calc!$BE$2:$BE$124,Calc!$BF$2:$BF$124,Calc!$BG$2:$BG$124,Calc!$BH$2:$BH$124,Calc!$BI$2:$BI$124,Calc!$BJ$2:$BJ$124),MATCH($W112,Calc!$A$2:$A$124,0)),"")</f>
        <v>14.6671739686207</v>
      </c>
      <c r="AA112" s="11" t="n">
        <f aca="false">IF(Z112="","",IF(LEFT($X112,1)="H",SQRT(Z112*(IFERROR(INDEX(Calc!$AP$2:$AP$124,MATCH($W112,Calc!$A$2:$A$124,0)),0.5)*Config!$B$5+1-IFERROR(INDEX(Calc!$AP$2:$AP$124,MATCH($W112,Calc!$A$2:$A$124,0)),0.5))),SQRT(Z112*Config!$B$5)))</f>
        <v>4.22267648391503</v>
      </c>
      <c r="AB112" s="10" t="n">
        <f aca="false">IF(OR(F112="",Z112="",N(AA112)&lt;=0),"",1-NORMDIST(FLOOR(F112,1)+0.5,Z112,AA112,TRUE()))</f>
        <v>0.332128361882262</v>
      </c>
      <c r="AC112" s="10" t="n">
        <f aca="false">IF(AB112="","",NORMDIST(CEILING(F112,1)-0.5,Z112,AA112,TRUE()))</f>
        <v>0.578175068748815</v>
      </c>
      <c r="AD112" s="0" t="str">
        <f aca="false">IF(AB112="","",IF(AB112&gt;=0.5+Config!$B$6,"OVER",IF(AC112&gt;=0.5+Config!$B$6,"UNDER","—")))</f>
        <v>UNDER</v>
      </c>
      <c r="AE112" s="13" t="n">
        <f aca="false">IFERROR(Z112/G112,"")</f>
        <v>1.00114030021731</v>
      </c>
    </row>
    <row r="113" customFormat="false" ht="15" hidden="false" customHeight="false" outlineLevel="0" collapsed="false">
      <c r="A113" s="0" t="s">
        <v>988</v>
      </c>
      <c r="B113" s="0" t="s">
        <v>1060</v>
      </c>
      <c r="C113" s="0" t="s">
        <v>1256</v>
      </c>
      <c r="D113" s="0" t="s">
        <v>1065</v>
      </c>
      <c r="E113" s="0" t="s">
        <v>1111</v>
      </c>
      <c r="F113" s="0" t="n">
        <v>29</v>
      </c>
      <c r="G113" s="11" t="n">
        <f aca="false">IFERROR(INDEX(CHOOSE(MATCH($X113,{"K1","K2","K3","K12","K13","H1","H2","H3","H12","H13"},0),Calc!$V$2:$V$124,Calc!$AC$2:$AC$124,Calc!$AJ$2:$AJ$124,Calc!$AL$2:$AL$124,Calc!$AM$2:$AM$124,Calc!$W$2:$W$124,Calc!$AD$2:$AD$124,Calc!$AK$2:$AK$124,Calc!$AN$2:$AN$124,Calc!$AO$2:$AO$124),MATCH($W113,Calc!$A$2:$A$124,0)),"")</f>
        <v>27.1672571428571</v>
      </c>
      <c r="H113" s="11" t="n">
        <f aca="false">IF(G113="","",IF(LEFT($X113,1)="H",SQRT(G113*(IFERROR(INDEX(Calc!$AP$2:$AP$124,MATCH($W113,Calc!$A$2:$A$124,0)),0.5)*Config!$B$5+1-IFERROR(INDEX(Calc!$AP$2:$AP$124,MATCH($W113,Calc!$A$2:$A$124,0)),0.5))),SQRT(G113*Config!$B$5)))</f>
        <v>6.16718412243384</v>
      </c>
      <c r="I113" s="10" t="n">
        <f aca="false">IF(OR(F113="",G113="",N(H113)&lt;=0),"",1-NORMDIST(FLOOR(F113,1)+0.5,G113,H113,TRUE()))</f>
        <v>0.352622113563398</v>
      </c>
      <c r="J113" s="10" t="n">
        <f aca="false">IF(I113="","",NORMDIST(CEILING(F113,1)-0.5,G113,H113,TRUE()))</f>
        <v>0.585546008146449</v>
      </c>
      <c r="K113" s="10" t="n">
        <f aca="false">IF(I113="","",MAX(0,1-I113-J113))</f>
        <v>0.0618318782901535</v>
      </c>
      <c r="L113" s="0" t="str">
        <f aca="false">IF(I113="","",IF(I113&gt;=0.5+Config!$B$6,"OVER",IF(J113&gt;=0.5+Config!$B$6,"UNDER","—")))</f>
        <v>UNDER</v>
      </c>
      <c r="M113" s="0" t="n">
        <v>29.18</v>
      </c>
      <c r="N113" s="0" t="n">
        <v>31.3</v>
      </c>
      <c r="O113" s="10" t="n">
        <v>0.8</v>
      </c>
      <c r="P113" s="10" t="n">
        <v>0.7</v>
      </c>
      <c r="Q113" s="10" t="n">
        <v>0.6</v>
      </c>
      <c r="R113" s="9" t="s">
        <v>1194</v>
      </c>
      <c r="S113" s="0" t="n">
        <v>4</v>
      </c>
      <c r="T113" s="0" t="str">
        <f aca="false">INDEX(Calc!$G$2:$G$124,MATCH($W113,Calc!$A$2:$A$124,0))&amp;" / "&amp;INDEX(Calc!$H$2:$H$124,MATCH($W113,Calc!$A$2:$A$124,0))</f>
        <v>Mirage / Inferno</v>
      </c>
      <c r="U113" s="0" t="str">
        <f aca="false">TEXT(INDEX(Calc!$J$2:$J$124,MATCH($W113,Calc!$A$2:$A$124,0)),"0.0")&amp;" / "&amp;TEXT(INDEX(Calc!$K$2:$K$124,MATCH($W113,Calc!$A$2:$A$124,0)),"0.0")</f>
        <v>21.5 / 21.4</v>
      </c>
      <c r="V113" s="0" t="str">
        <f aca="false">IFERROR(INDEX(Calc!$AQ$2:$AQ$124,MATCH($W113,Calc!$A$2:$A$124,0)),"")</f>
        <v/>
      </c>
      <c r="W113" s="9" t="s">
        <v>1257</v>
      </c>
      <c r="X113" s="9" t="s">
        <v>1112</v>
      </c>
      <c r="Y113" s="0" t="str">
        <f aca="false">W113&amp;"|"&amp;X113</f>
        <v>6oi74s8csyxqh63|CS2 · FURIA vs NAVI|K12</v>
      </c>
      <c r="Z113" s="11" t="n">
        <f aca="false">IFERROR(INDEX(CHOOSE(MATCH($X113,{"K1","K2","K3","K12","K13","H1","H2","H3","H12","H13"},0),Calc!$BA$2:$BA$124,Calc!$BB$2:$BB$124,Calc!$BC$2:$BC$124,Calc!$BD$2:$BD$124,Calc!$BE$2:$BE$124,Calc!$BF$2:$BF$124,Calc!$BG$2:$BG$124,Calc!$BH$2:$BH$124,Calc!$BI$2:$BI$124,Calc!$BJ$2:$BJ$124),MATCH($W113,Calc!$A$2:$A$124,0)),"")</f>
        <v>27.1937247887088</v>
      </c>
      <c r="AA113" s="11" t="n">
        <f aca="false">IF(Z113="","",IF(LEFT($X113,1)="H",SQRT(Z113*(IFERROR(INDEX(Calc!$AP$2:$AP$124,MATCH($W113,Calc!$A$2:$A$124,0)),0.5)*Config!$B$5+1-IFERROR(INDEX(Calc!$AP$2:$AP$124,MATCH($W113,Calc!$A$2:$A$124,0)),0.5))),SQRT(Z113*Config!$B$5)))</f>
        <v>6.17018757447391</v>
      </c>
      <c r="AB113" s="10" t="n">
        <f aca="false">IF(OR(F113="",Z113="",N(AA113)&lt;=0),"",1-NORMDIST(FLOOR(F113,1)+0.5,Z113,AA113,TRUE()))</f>
        <v>0.354285055383013</v>
      </c>
      <c r="AC113" s="10" t="n">
        <f aca="false">IF(AB113="","",NORMDIST(CEILING(F113,1)-0.5,Z113,AA113,TRUE()))</f>
        <v>0.583832395961484</v>
      </c>
      <c r="AD113" s="0" t="str">
        <f aca="false">IF(AB113="","",IF(AB113&gt;=0.5+Config!$B$6,"OVER",IF(AC113&gt;=0.5+Config!$B$6,"UNDER","—")))</f>
        <v>UNDER</v>
      </c>
      <c r="AE113" s="13" t="n">
        <f aca="false">IFERROR(Z113/G113,"")</f>
        <v>1.00097424799686</v>
      </c>
    </row>
    <row r="114" customFormat="false" ht="15" hidden="false" customHeight="false" outlineLevel="0" collapsed="false">
      <c r="A114" s="0" t="s">
        <v>988</v>
      </c>
      <c r="B114" s="0" t="s">
        <v>1060</v>
      </c>
      <c r="C114" s="0" t="s">
        <v>1258</v>
      </c>
      <c r="D114" s="0" t="s">
        <v>1065</v>
      </c>
      <c r="E114" s="0" t="s">
        <v>1107</v>
      </c>
      <c r="F114" s="0" t="n">
        <v>12.5</v>
      </c>
      <c r="G114" s="11" t="n">
        <f aca="false">IFERROR(INDEX(CHOOSE(MATCH($X114,{"K1","K2","K3","K12","K13","H1","H2","H3","H12","H13"},0),Calc!$V$2:$V$124,Calc!$AC$2:$AC$124,Calc!$AJ$2:$AJ$124,Calc!$AL$2:$AL$124,Calc!$AM$2:$AM$124,Calc!$W$2:$W$124,Calc!$AD$2:$AD$124,Calc!$AK$2:$AK$124,Calc!$AN$2:$AN$124,Calc!$AO$2:$AO$124),MATCH($W114,Calc!$A$2:$A$124,0)),"")</f>
        <v>12.4042054214286</v>
      </c>
      <c r="H114" s="11" t="n">
        <f aca="false">IF(G114="","",IF(LEFT($X114,1)="H",SQRT(G114*(IFERROR(INDEX(Calc!$AP$2:$AP$124,MATCH($W114,Calc!$A$2:$A$124,0)),0.5)*Config!$B$5+1-IFERROR(INDEX(Calc!$AP$2:$AP$124,MATCH($W114,Calc!$A$2:$A$124,0)),0.5))),SQRT(G114*Config!$B$5)))</f>
        <v>3.7988256185055</v>
      </c>
      <c r="I114" s="10" t="n">
        <f aca="false">IF(OR(F114="",G114="",N(H114)&lt;=0),"",1-NORMDIST(FLOOR(F114,1)+0.5,G114,H114,TRUE()))</f>
        <v>0.489940981348123</v>
      </c>
      <c r="J114" s="10" t="n">
        <f aca="false">IF(I114="","",NORMDIST(CEILING(F114,1)-0.5,G114,H114,TRUE()))</f>
        <v>0.510059018651877</v>
      </c>
      <c r="K114" s="10" t="n">
        <f aca="false">IF(I114="","",MAX(0,1-I114-J114))</f>
        <v>0</v>
      </c>
      <c r="L114" s="0" t="str">
        <f aca="false">IF(I114="","",IF(I114&gt;=0.5+Config!$B$6,"OVER",IF(J114&gt;=0.5+Config!$B$6,"UNDER","—")))</f>
        <v>—</v>
      </c>
      <c r="N114" s="0" t="n">
        <v>13.6</v>
      </c>
      <c r="O114" s="10" t="n">
        <v>0.6</v>
      </c>
      <c r="P114" s="10" t="n">
        <v>0.6</v>
      </c>
      <c r="Q114" s="10" t="n">
        <v>0.53</v>
      </c>
      <c r="R114" s="9" t="s">
        <v>1236</v>
      </c>
      <c r="S114" s="0" t="n">
        <v>1</v>
      </c>
      <c r="T114" s="0" t="str">
        <f aca="false">INDEX(Calc!$G$2:$G$124,MATCH($W114,Calc!$A$2:$A$124,0))&amp;" / "&amp;INDEX(Calc!$H$2:$H$124,MATCH($W114,Calc!$A$2:$A$124,0))</f>
        <v>Mirage / Inferno</v>
      </c>
      <c r="U114" s="0" t="str">
        <f aca="false">TEXT(INDEX(Calc!$J$2:$J$124,MATCH($W114,Calc!$A$2:$A$124,0)),"0.0")&amp;" / "&amp;TEXT(INDEX(Calc!$K$2:$K$124,MATCH($W114,Calc!$A$2:$A$124,0)),"0.0")</f>
        <v>21.5 / 21.4</v>
      </c>
      <c r="V114" s="0" t="str">
        <f aca="false">IFERROR(INDEX(Calc!$AQ$2:$AQ$124,MATCH($W114,Calc!$A$2:$A$124,0)),"")</f>
        <v/>
      </c>
      <c r="W114" s="9" t="s">
        <v>1259</v>
      </c>
      <c r="X114" s="9" t="s">
        <v>1110</v>
      </c>
      <c r="Y114" s="0" t="str">
        <f aca="false">W114&amp;"|"&amp;X114</f>
        <v>9wdj3z2kekttkk3|CS2 · FURIA vs NAVI|H12</v>
      </c>
      <c r="Z114" s="11" t="n">
        <f aca="false">IFERROR(INDEX(CHOOSE(MATCH($X114,{"K1","K2","K3","K12","K13","H1","H2","H3","H12","H13"},0),Calc!$BA$2:$BA$124,Calc!$BB$2:$BB$124,Calc!$BC$2:$BC$124,Calc!$BD$2:$BD$124,Calc!$BE$2:$BE$124,Calc!$BF$2:$BF$124,Calc!$BG$2:$BG$124,Calc!$BH$2:$BH$124,Calc!$BI$2:$BI$124,Calc!$BJ$2:$BJ$124),MATCH($W114,Calc!$A$2:$A$124,0)),"")</f>
        <v>12.4394740681017</v>
      </c>
      <c r="AA114" s="11" t="n">
        <f aca="false">IF(Z114="","",IF(LEFT($X114,1)="H",SQRT(Z114*(IFERROR(INDEX(Calc!$AP$2:$AP$124,MATCH($W114,Calc!$A$2:$A$124,0)),0.5)*Config!$B$5+1-IFERROR(INDEX(Calc!$AP$2:$AP$124,MATCH($W114,Calc!$A$2:$A$124,0)),0.5))),SQRT(Z114*Config!$B$5)))</f>
        <v>3.80422235025098</v>
      </c>
      <c r="AB114" s="10" t="n">
        <f aca="false">IF(OR(F114="",Z114="",N(AA114)&lt;=0),"",1-NORMDIST(FLOOR(F114,1)+0.5,Z114,AA114,TRUE()))</f>
        <v>0.493653016990481</v>
      </c>
      <c r="AC114" s="10" t="n">
        <f aca="false">IF(AB114="","",NORMDIST(CEILING(F114,1)-0.5,Z114,AA114,TRUE()))</f>
        <v>0.506346983009519</v>
      </c>
      <c r="AD114" s="0" t="str">
        <f aca="false">IF(AB114="","",IF(AB114&gt;=0.5+Config!$B$6,"OVER",IF(AC114&gt;=0.5+Config!$B$6,"UNDER","—")))</f>
        <v>—</v>
      </c>
      <c r="AE114" s="13" t="n">
        <f aca="false">IFERROR(Z114/G114,"")</f>
        <v>1.0028432814094</v>
      </c>
    </row>
    <row r="115" customFormat="false" ht="15" hidden="false" customHeight="false" outlineLevel="0" collapsed="false">
      <c r="A115" s="0" t="s">
        <v>988</v>
      </c>
      <c r="B115" s="0" t="s">
        <v>1060</v>
      </c>
      <c r="C115" s="0" t="s">
        <v>1258</v>
      </c>
      <c r="D115" s="0" t="s">
        <v>1065</v>
      </c>
      <c r="E115" s="0" t="s">
        <v>1111</v>
      </c>
      <c r="F115" s="0" t="n">
        <v>32.5</v>
      </c>
      <c r="G115" s="11" t="n">
        <f aca="false">IFERROR(INDEX(CHOOSE(MATCH($X115,{"K1","K2","K3","K12","K13","H1","H2","H3","H12","H13"},0),Calc!$V$2:$V$124,Calc!$AC$2:$AC$124,Calc!$AJ$2:$AJ$124,Calc!$AL$2:$AL$124,Calc!$AM$2:$AM$124,Calc!$W$2:$W$124,Calc!$AD$2:$AD$124,Calc!$AK$2:$AK$124,Calc!$AN$2:$AN$124,Calc!$AO$2:$AO$124),MATCH($W115,Calc!$A$2:$A$124,0)),"")</f>
        <v>30.3649</v>
      </c>
      <c r="H115" s="11" t="n">
        <f aca="false">IF(G115="","",IF(LEFT($X115,1)="H",SQRT(G115*(IFERROR(INDEX(Calc!$AP$2:$AP$124,MATCH($W115,Calc!$A$2:$A$124,0)),0.5)*Config!$B$5+1-IFERROR(INDEX(Calc!$AP$2:$AP$124,MATCH($W115,Calc!$A$2:$A$124,0)),0.5))),SQRT(G115*Config!$B$5)))</f>
        <v>6.52003527597819</v>
      </c>
      <c r="I115" s="10" t="n">
        <f aca="false">IF(OR(F115="",G115="",N(H115)&lt;=0),"",1-NORMDIST(FLOOR(F115,1)+0.5,G115,H115,TRUE()))</f>
        <v>0.37165713996647</v>
      </c>
      <c r="J115" s="10" t="n">
        <f aca="false">IF(I115="","",NORMDIST(CEILING(F115,1)-0.5,G115,H115,TRUE()))</f>
        <v>0.62834286003353</v>
      </c>
      <c r="K115" s="10" t="n">
        <f aca="false">IF(I115="","",MAX(0,1-I115-J115))</f>
        <v>0</v>
      </c>
      <c r="L115" s="0" t="str">
        <f aca="false">IF(I115="","",IF(I115&gt;=0.5+Config!$B$6,"OVER",IF(J115&gt;=0.5+Config!$B$6,"UNDER","—")))</f>
        <v>UNDER</v>
      </c>
      <c r="M115" s="0" t="n">
        <v>32.82</v>
      </c>
      <c r="N115" s="0" t="n">
        <v>34.8</v>
      </c>
      <c r="O115" s="10" t="n">
        <v>0.8</v>
      </c>
      <c r="P115" s="10" t="n">
        <v>0.6</v>
      </c>
      <c r="Q115" s="10" t="n">
        <v>0.4</v>
      </c>
      <c r="R115" s="9" t="s">
        <v>1234</v>
      </c>
      <c r="S115" s="0" t="n">
        <v>4</v>
      </c>
      <c r="T115" s="0" t="str">
        <f aca="false">INDEX(Calc!$G$2:$G$124,MATCH($W115,Calc!$A$2:$A$124,0))&amp;" / "&amp;INDEX(Calc!$H$2:$H$124,MATCH($W115,Calc!$A$2:$A$124,0))</f>
        <v>Mirage / Inferno</v>
      </c>
      <c r="U115" s="0" t="str">
        <f aca="false">TEXT(INDEX(Calc!$J$2:$J$124,MATCH($W115,Calc!$A$2:$A$124,0)),"0.0")&amp;" / "&amp;TEXT(INDEX(Calc!$K$2:$K$124,MATCH($W115,Calc!$A$2:$A$124,0)),"0.0")</f>
        <v>21.5 / 21.4</v>
      </c>
      <c r="V115" s="0" t="str">
        <f aca="false">IFERROR(INDEX(Calc!$AQ$2:$AQ$124,MATCH($W115,Calc!$A$2:$A$124,0)),"")</f>
        <v/>
      </c>
      <c r="W115" s="9" t="s">
        <v>1259</v>
      </c>
      <c r="X115" s="9" t="s">
        <v>1112</v>
      </c>
      <c r="Y115" s="0" t="str">
        <f aca="false">W115&amp;"|"&amp;X115</f>
        <v>9wdj3z2kekttkk3|CS2 · FURIA vs NAVI|K12</v>
      </c>
      <c r="Z115" s="11" t="n">
        <f aca="false">IFERROR(INDEX(CHOOSE(MATCH($X115,{"K1","K2","K3","K12","K13","H1","H2","H3","H12","H13"},0),Calc!$BA$2:$BA$124,Calc!$BB$2:$BB$124,Calc!$BC$2:$BC$124,Calc!$BD$2:$BD$124,Calc!$BE$2:$BE$124,Calc!$BF$2:$BF$124,Calc!$BG$2:$BG$124,Calc!$BH$2:$BH$124,Calc!$BI$2:$BI$124,Calc!$BJ$2:$BJ$124),MATCH($W115,Calc!$A$2:$A$124,0)),"")</f>
        <v>30.435013141178</v>
      </c>
      <c r="AA115" s="11" t="n">
        <f aca="false">IF(Z115="","",IF(LEFT($X115,1)="H",SQRT(Z115*(IFERROR(INDEX(Calc!$AP$2:$AP$124,MATCH($W115,Calc!$A$2:$A$124,0)),0.5)*Config!$B$5+1-IFERROR(INDEX(Calc!$AP$2:$AP$124,MATCH($W115,Calc!$A$2:$A$124,0)),0.5))),SQRT(Z115*Config!$B$5)))</f>
        <v>6.52755837948993</v>
      </c>
      <c r="AB115" s="10" t="n">
        <f aca="false">IF(OR(F115="",Z115="",N(AA115)&lt;=0),"",1-NORMDIST(FLOOR(F115,1)+0.5,Z115,AA115,TRUE()))</f>
        <v>0.37586879431489</v>
      </c>
      <c r="AC115" s="10" t="n">
        <f aca="false">IF(AB115="","",NORMDIST(CEILING(F115,1)-0.5,Z115,AA115,TRUE()))</f>
        <v>0.624131205685111</v>
      </c>
      <c r="AD115" s="0" t="str">
        <f aca="false">IF(AB115="","",IF(AB115&gt;=0.5+Config!$B$6,"OVER",IF(AC115&gt;=0.5+Config!$B$6,"UNDER","—")))</f>
        <v>UNDER</v>
      </c>
      <c r="AE115" s="13" t="n">
        <f aca="false">IFERROR(Z115/G115,"")</f>
        <v>1.0023090193341</v>
      </c>
    </row>
    <row r="116" customFormat="false" ht="15" hidden="false" customHeight="false" outlineLevel="0" collapsed="false">
      <c r="A116" s="0" t="s">
        <v>988</v>
      </c>
      <c r="B116" s="0" t="s">
        <v>905</v>
      </c>
      <c r="C116" s="0" t="s">
        <v>1260</v>
      </c>
      <c r="D116" s="0" t="s">
        <v>994</v>
      </c>
      <c r="E116" s="0" t="s">
        <v>1107</v>
      </c>
      <c r="F116" s="0" t="n">
        <v>21.5</v>
      </c>
      <c r="G116" s="11" t="n">
        <f aca="false">IFERROR(INDEX(CHOOSE(MATCH($X116,{"K1","K2","K3","K12","K13","H1","H2","H3","H12","H13"},0),Calc!$V$2:$V$124,Calc!$AC$2:$AC$124,Calc!$AJ$2:$AJ$124,Calc!$AL$2:$AL$124,Calc!$AM$2:$AM$124,Calc!$W$2:$W$124,Calc!$AD$2:$AD$124,Calc!$AK$2:$AK$124,Calc!$AN$2:$AN$124,Calc!$AO$2:$AO$124),MATCH($W116,Calc!$A$2:$A$124,0)),"")</f>
        <v>20.5078687359657</v>
      </c>
      <c r="H116" s="11" t="n">
        <f aca="false">IF(G116="","",IF(LEFT($X116,1)="H",SQRT(G116*(IFERROR(INDEX(Calc!$AP$2:$AP$124,MATCH($W116,Calc!$A$2:$A$124,0)),0.5)*Config!$B$5+1-IFERROR(INDEX(Calc!$AP$2:$AP$124,MATCH($W116,Calc!$A$2:$A$124,0)),0.5))),SQRT(G116*Config!$B$5)))</f>
        <v>5.09833407708934</v>
      </c>
      <c r="I116" s="10" t="n">
        <f aca="false">IF(OR(F116="",G116="",N(H116)&lt;=0),"",1-NORMDIST(FLOOR(F116,1)+0.5,G116,H116,TRUE()))</f>
        <v>0.422853400683997</v>
      </c>
      <c r="J116" s="10" t="n">
        <f aca="false">IF(I116="","",NORMDIST(CEILING(F116,1)-0.5,G116,H116,TRUE()))</f>
        <v>0.577146599316003</v>
      </c>
      <c r="K116" s="10" t="n">
        <f aca="false">IF(I116="","",MAX(0,1-I116-J116))</f>
        <v>0</v>
      </c>
      <c r="L116" s="0" t="str">
        <f aca="false">IF(I116="","",IF(I116&gt;=0.5+Config!$B$6,"OVER",IF(J116&gt;=0.5+Config!$B$6,"UNDER","—")))</f>
        <v>UNDER</v>
      </c>
      <c r="N116" s="0" t="n">
        <v>22.5</v>
      </c>
      <c r="O116" s="10" t="n">
        <v>0.4</v>
      </c>
      <c r="P116" s="10" t="n">
        <v>0.4</v>
      </c>
      <c r="Q116" s="10" t="n">
        <v>0.33</v>
      </c>
      <c r="R116" s="9" t="s">
        <v>1131</v>
      </c>
      <c r="S116" s="0" t="n">
        <v>-2</v>
      </c>
      <c r="T116" s="0" t="str">
        <f aca="false">INDEX(Calc!$G$2:$G$124,MATCH($W116,Calc!$A$2:$A$124,0))&amp;" / "&amp;INDEX(Calc!$H$2:$H$124,MATCH($W116,Calc!$A$2:$A$124,0))</f>
        <v>Nuke / Anubis</v>
      </c>
      <c r="U116" s="0" t="str">
        <f aca="false">TEXT(INDEX(Calc!$J$2:$J$124,MATCH($W116,Calc!$A$2:$A$124,0)),"0.0")&amp;" / "&amp;TEXT(INDEX(Calc!$K$2:$K$124,MATCH($W116,Calc!$A$2:$A$124,0)),"0.0")</f>
        <v>21.4 / 21.2</v>
      </c>
      <c r="V116" s="0" t="str">
        <f aca="false">IFERROR(INDEX(Calc!$AQ$2:$AQ$124,MATCH($W116,Calc!$A$2:$A$124,0)),"")</f>
        <v/>
      </c>
      <c r="W116" s="9" t="s">
        <v>1261</v>
      </c>
      <c r="X116" s="9" t="s">
        <v>1110</v>
      </c>
      <c r="Y116" s="0" t="str">
        <f aca="false">W116&amp;"|"&amp;X116</f>
        <v>w5k5az5ca72wkvb|CS2 · FUT vs TL|H12</v>
      </c>
      <c r="Z116" s="11" t="n">
        <f aca="false">IFERROR(INDEX(CHOOSE(MATCH($X116,{"K1","K2","K3","K12","K13","H1","H2","H3","H12","H13"},0),Calc!$BA$2:$BA$124,Calc!$BB$2:$BB$124,Calc!$BC$2:$BC$124,Calc!$BD$2:$BD$124,Calc!$BE$2:$BE$124,Calc!$BF$2:$BF$124,Calc!$BG$2:$BG$124,Calc!$BH$2:$BH$124,Calc!$BI$2:$BI$124,Calc!$BJ$2:$BJ$124),MATCH($W116,Calc!$A$2:$A$124,0)),"")</f>
        <v>20.5586444213272</v>
      </c>
      <c r="AA116" s="11" t="n">
        <f aca="false">IF(Z116="","",IF(LEFT($X116,1)="H",SQRT(Z116*(IFERROR(INDEX(Calc!$AP$2:$AP$124,MATCH($W116,Calc!$A$2:$A$124,0)),0.5)*Config!$B$5+1-IFERROR(INDEX(Calc!$AP$2:$AP$124,MATCH($W116,Calc!$A$2:$A$124,0)),0.5))),SQRT(Z116*Config!$B$5)))</f>
        <v>5.10464168936801</v>
      </c>
      <c r="AB116" s="10" t="n">
        <f aca="false">IF(OR(F116="",Z116="",N(AA116)&lt;=0),"",1-NORMDIST(FLOOR(F116,1)+0.5,Z116,AA116,TRUE()))</f>
        <v>0.42684525159704</v>
      </c>
      <c r="AC116" s="10" t="n">
        <f aca="false">IF(AB116="","",NORMDIST(CEILING(F116,1)-0.5,Z116,AA116,TRUE()))</f>
        <v>0.57315474840296</v>
      </c>
      <c r="AD116" s="0" t="str">
        <f aca="false">IF(AB116="","",IF(AB116&gt;=0.5+Config!$B$6,"OVER",IF(AC116&gt;=0.5+Config!$B$6,"UNDER","—")))</f>
        <v>UNDER</v>
      </c>
      <c r="AE116" s="13" t="n">
        <f aca="false">IFERROR(Z116/G116,"")</f>
        <v>1.00247591234444</v>
      </c>
    </row>
    <row r="117" customFormat="false" ht="15" hidden="false" customHeight="false" outlineLevel="0" collapsed="false">
      <c r="A117" s="0" t="s">
        <v>988</v>
      </c>
      <c r="B117" s="0" t="s">
        <v>905</v>
      </c>
      <c r="C117" s="0" t="s">
        <v>1260</v>
      </c>
      <c r="D117" s="0" t="s">
        <v>994</v>
      </c>
      <c r="E117" s="0" t="s">
        <v>1111</v>
      </c>
      <c r="F117" s="0" t="n">
        <v>32</v>
      </c>
      <c r="G117" s="11" t="n">
        <f aca="false">IFERROR(INDEX(CHOOSE(MATCH($X117,{"K1","K2","K3","K12","K13","H1","H2","H3","H12","H13"},0),Calc!$V$2:$V$124,Calc!$AC$2:$AC$124,Calc!$AJ$2:$AJ$124,Calc!$AL$2:$AL$124,Calc!$AM$2:$AM$124,Calc!$W$2:$W$124,Calc!$AD$2:$AD$124,Calc!$AK$2:$AK$124,Calc!$AN$2:$AN$124,Calc!$AO$2:$AO$124),MATCH($W117,Calc!$A$2:$A$124,0)),"")</f>
        <v>30.6699595959596</v>
      </c>
      <c r="H117" s="11" t="n">
        <f aca="false">IF(G117="","",IF(LEFT($X117,1)="H",SQRT(G117*(IFERROR(INDEX(Calc!$AP$2:$AP$124,MATCH($W117,Calc!$A$2:$A$124,0)),0.5)*Config!$B$5+1-IFERROR(INDEX(Calc!$AP$2:$AP$124,MATCH($W117,Calc!$A$2:$A$124,0)),0.5))),SQRT(G117*Config!$B$5)))</f>
        <v>6.55270504710409</v>
      </c>
      <c r="I117" s="10" t="n">
        <f aca="false">IF(OR(F117="",G117="",N(H117)&lt;=0),"",1-NORMDIST(FLOOR(F117,1)+0.5,G117,H117,TRUE()))</f>
        <v>0.390014921841617</v>
      </c>
      <c r="J117" s="10" t="n">
        <f aca="false">IF(I117="","",NORMDIST(CEILING(F117,1)-0.5,G117,H117,TRUE()))</f>
        <v>0.550399763472792</v>
      </c>
      <c r="K117" s="10" t="n">
        <f aca="false">IF(I117="","",MAX(0,1-I117-J117))</f>
        <v>0.0595853146855916</v>
      </c>
      <c r="L117" s="0" t="str">
        <f aca="false">IF(I117="","",IF(I117&gt;=0.5+Config!$B$6,"OVER",IF(J117&gt;=0.5+Config!$B$6,"UNDER","—")))</f>
        <v>UNDER</v>
      </c>
      <c r="M117" s="0" t="n">
        <v>31.18</v>
      </c>
      <c r="N117" s="0" t="n">
        <v>33.2</v>
      </c>
      <c r="O117" s="10" t="n">
        <v>0.4</v>
      </c>
      <c r="P117" s="10" t="n">
        <v>0.5</v>
      </c>
      <c r="Q117" s="10" t="n">
        <v>0.4</v>
      </c>
      <c r="R117" s="9" t="s">
        <v>1131</v>
      </c>
      <c r="S117" s="0" t="n">
        <v>-2</v>
      </c>
      <c r="T117" s="0" t="str">
        <f aca="false">INDEX(Calc!$G$2:$G$124,MATCH($W117,Calc!$A$2:$A$124,0))&amp;" / "&amp;INDEX(Calc!$H$2:$H$124,MATCH($W117,Calc!$A$2:$A$124,0))</f>
        <v>Nuke / Anubis</v>
      </c>
      <c r="U117" s="0" t="str">
        <f aca="false">TEXT(INDEX(Calc!$J$2:$J$124,MATCH($W117,Calc!$A$2:$A$124,0)),"0.0")&amp;" / "&amp;TEXT(INDEX(Calc!$K$2:$K$124,MATCH($W117,Calc!$A$2:$A$124,0)),"0.0")</f>
        <v>21.4 / 21.2</v>
      </c>
      <c r="V117" s="0" t="str">
        <f aca="false">IFERROR(INDEX(Calc!$AQ$2:$AQ$124,MATCH($W117,Calc!$A$2:$A$124,0)),"")</f>
        <v/>
      </c>
      <c r="W117" s="9" t="s">
        <v>1261</v>
      </c>
      <c r="X117" s="9" t="s">
        <v>1112</v>
      </c>
      <c r="Y117" s="0" t="str">
        <f aca="false">W117&amp;"|"&amp;X117</f>
        <v>w5k5az5ca72wkvb|CS2 · FUT vs TL|K12</v>
      </c>
      <c r="Z117" s="11" t="n">
        <f aca="false">IFERROR(INDEX(CHOOSE(MATCH($X117,{"K1","K2","K3","K12","K13","H1","H2","H3","H12","H13"},0),Calc!$BA$2:$BA$124,Calc!$BB$2:$BB$124,Calc!$BC$2:$BC$124,Calc!$BD$2:$BD$124,Calc!$BE$2:$BE$124,Calc!$BF$2:$BF$124,Calc!$BG$2:$BG$124,Calc!$BH$2:$BH$124,Calc!$BI$2:$BI$124,Calc!$BJ$2:$BJ$124),MATCH($W117,Calc!$A$2:$A$124,0)),"")</f>
        <v>30.7341877104232</v>
      </c>
      <c r="AA117" s="11" t="n">
        <f aca="false">IF(Z117="","",IF(LEFT($X117,1)="H",SQRT(Z117*(IFERROR(INDEX(Calc!$AP$2:$AP$124,MATCH($W117,Calc!$A$2:$A$124,0)),0.5)*Config!$B$5+1-IFERROR(INDEX(Calc!$AP$2:$AP$124,MATCH($W117,Calc!$A$2:$A$124,0)),0.5))),SQRT(Z117*Config!$B$5)))</f>
        <v>6.55956269842682</v>
      </c>
      <c r="AB117" s="10" t="n">
        <f aca="false">IF(OR(F117="",Z117="",N(AA117)&lt;=0),"",1-NORMDIST(FLOOR(F117,1)+0.5,Z117,AA117,TRUE()))</f>
        <v>0.393889179872901</v>
      </c>
      <c r="AC117" s="10" t="n">
        <f aca="false">IF(AB117="","",NORMDIST(CEILING(F117,1)-0.5,Z117,AA117,TRUE()))</f>
        <v>0.546469910471399</v>
      </c>
      <c r="AD117" s="0" t="str">
        <f aca="false">IF(AB117="","",IF(AB117&gt;=0.5+Config!$B$6,"OVER",IF(AC117&gt;=0.5+Config!$B$6,"UNDER","—")))</f>
        <v>UNDER</v>
      </c>
      <c r="AE117" s="13" t="n">
        <f aca="false">IFERROR(Z117/G117,"")</f>
        <v>1.00209417016878</v>
      </c>
    </row>
    <row r="118" customFormat="false" ht="15" hidden="false" customHeight="false" outlineLevel="0" collapsed="false">
      <c r="A118" s="0" t="s">
        <v>988</v>
      </c>
      <c r="B118" s="0" t="s">
        <v>905</v>
      </c>
      <c r="C118" s="0" t="s">
        <v>1262</v>
      </c>
      <c r="D118" s="0" t="s">
        <v>994</v>
      </c>
      <c r="E118" s="0" t="s">
        <v>1107</v>
      </c>
      <c r="F118" s="0" t="n">
        <v>16</v>
      </c>
      <c r="G118" s="11" t="n">
        <f aca="false">IFERROR(INDEX(CHOOSE(MATCH($X118,{"K1","K2","K3","K12","K13","H1","H2","H3","H12","H13"},0),Calc!$V$2:$V$124,Calc!$AC$2:$AC$124,Calc!$AJ$2:$AJ$124,Calc!$AL$2:$AL$124,Calc!$AM$2:$AM$124,Calc!$W$2:$W$124,Calc!$AD$2:$AD$124,Calc!$AK$2:$AK$124,Calc!$AN$2:$AN$124,Calc!$AO$2:$AO$124),MATCH($W118,Calc!$A$2:$A$124,0)),"")</f>
        <v>16.2542921523926</v>
      </c>
      <c r="H118" s="11" t="n">
        <f aca="false">IF(G118="","",IF(LEFT($X118,1)="H",SQRT(G118*(IFERROR(INDEX(Calc!$AP$2:$AP$124,MATCH($W118,Calc!$A$2:$A$124,0)),0.5)*Config!$B$5+1-IFERROR(INDEX(Calc!$AP$2:$AP$124,MATCH($W118,Calc!$A$2:$A$124,0)),0.5))),SQRT(G118*Config!$B$5)))</f>
        <v>4.49940168917378</v>
      </c>
      <c r="I118" s="10" t="n">
        <f aca="false">IF(OR(F118="",G118="",N(H118)&lt;=0),"",1-NORMDIST(FLOOR(F118,1)+0.5,G118,H118,TRUE()))</f>
        <v>0.478224982410172</v>
      </c>
      <c r="J118" s="10" t="n">
        <f aca="false">IF(I118="","",NORMDIST(CEILING(F118,1)-0.5,G118,H118,TRUE()))</f>
        <v>0.433432161753461</v>
      </c>
      <c r="K118" s="10" t="n">
        <f aca="false">IF(I118="","",MAX(0,1-I118-J118))</f>
        <v>0.0883428558363673</v>
      </c>
      <c r="L118" s="0" t="str">
        <f aca="false">IF(I118="","",IF(I118&gt;=0.5+Config!$B$6,"OVER",IF(J118&gt;=0.5+Config!$B$6,"UNDER","—")))</f>
        <v>—</v>
      </c>
      <c r="N118" s="0" t="n">
        <v>14.3</v>
      </c>
      <c r="O118" s="10" t="n">
        <v>0</v>
      </c>
      <c r="P118" s="10" t="n">
        <v>0.3</v>
      </c>
      <c r="Q118" s="10" t="n">
        <v>0.4</v>
      </c>
      <c r="R118" s="9" t="s">
        <v>1131</v>
      </c>
      <c r="S118" s="0" t="n">
        <v>-5</v>
      </c>
      <c r="T118" s="0" t="str">
        <f aca="false">INDEX(Calc!$G$2:$G$124,MATCH($W118,Calc!$A$2:$A$124,0))&amp;" / "&amp;INDEX(Calc!$H$2:$H$124,MATCH($W118,Calc!$A$2:$A$124,0))</f>
        <v>Nuke / Anubis</v>
      </c>
      <c r="U118" s="0" t="str">
        <f aca="false">TEXT(INDEX(Calc!$J$2:$J$124,MATCH($W118,Calc!$A$2:$A$124,0)),"0.0")&amp;" / "&amp;TEXT(INDEX(Calc!$K$2:$K$124,MATCH($W118,Calc!$A$2:$A$124,0)),"0.0")</f>
        <v>21.4 / 21.2</v>
      </c>
      <c r="V118" s="0" t="str">
        <f aca="false">IFERROR(INDEX(Calc!$AQ$2:$AQ$124,MATCH($W118,Calc!$A$2:$A$124,0)),"")</f>
        <v/>
      </c>
      <c r="W118" s="9" t="s">
        <v>1263</v>
      </c>
      <c r="X118" s="9" t="s">
        <v>1110</v>
      </c>
      <c r="Y118" s="0" t="str">
        <f aca="false">W118&amp;"|"&amp;X118</f>
        <v>jf6rt002svd50mx|CS2 · FUT vs TL|H12</v>
      </c>
      <c r="Z118" s="11" t="n">
        <f aca="false">IFERROR(INDEX(CHOOSE(MATCH($X118,{"K1","K2","K3","K12","K13","H1","H2","H3","H12","H13"},0),Calc!$BA$2:$BA$124,Calc!$BB$2:$BB$124,Calc!$BC$2:$BC$124,Calc!$BD$2:$BD$124,Calc!$BE$2:$BE$124,Calc!$BF$2:$BF$124,Calc!$BG$2:$BG$124,Calc!$BH$2:$BH$124,Calc!$BI$2:$BI$124,Calc!$BJ$2:$BJ$124),MATCH($W118,Calc!$A$2:$A$124,0)),"")</f>
        <v>16.3036813153756</v>
      </c>
      <c r="AA118" s="11" t="n">
        <f aca="false">IF(Z118="","",IF(LEFT($X118,1)="H",SQRT(Z118*(IFERROR(INDEX(Calc!$AP$2:$AP$124,MATCH($W118,Calc!$A$2:$A$124,0)),0.5)*Config!$B$5+1-IFERROR(INDEX(Calc!$AP$2:$AP$124,MATCH($W118,Calc!$A$2:$A$124,0)),0.5))),SQRT(Z118*Config!$B$5)))</f>
        <v>4.50623228906717</v>
      </c>
      <c r="AB118" s="10" t="n">
        <f aca="false">IF(OR(F118="",Z118="",N(AA118)&lt;=0),"",1-NORMDIST(FLOOR(F118,1)+0.5,Z118,AA118,TRUE()))</f>
        <v>0.482625162088206</v>
      </c>
      <c r="AC118" s="10" t="n">
        <f aca="false">IF(AB118="","",NORMDIST(CEILING(F118,1)-0.5,Z118,AA118,TRUE()))</f>
        <v>0.429224511206246</v>
      </c>
      <c r="AD118" s="0" t="str">
        <f aca="false">IF(AB118="","",IF(AB118&gt;=0.5+Config!$B$6,"OVER",IF(AC118&gt;=0.5+Config!$B$6,"UNDER","—")))</f>
        <v>—</v>
      </c>
      <c r="AE118" s="13" t="n">
        <f aca="false">IFERROR(Z118/G118,"")</f>
        <v>1.00303853053212</v>
      </c>
    </row>
    <row r="119" customFormat="false" ht="15" hidden="false" customHeight="false" outlineLevel="0" collapsed="false">
      <c r="A119" s="0" t="s">
        <v>988</v>
      </c>
      <c r="B119" s="0" t="s">
        <v>905</v>
      </c>
      <c r="C119" s="0" t="s">
        <v>1262</v>
      </c>
      <c r="D119" s="0" t="s">
        <v>994</v>
      </c>
      <c r="E119" s="0" t="s">
        <v>1111</v>
      </c>
      <c r="F119" s="0" t="n">
        <v>27.5</v>
      </c>
      <c r="G119" s="11" t="n">
        <f aca="false">IFERROR(INDEX(CHOOSE(MATCH($X119,{"K1","K2","K3","K12","K13","H1","H2","H3","H12","H13"},0),Calc!$V$2:$V$124,Calc!$AC$2:$AC$124,Calc!$AJ$2:$AJ$124,Calc!$AL$2:$AL$124,Calc!$AM$2:$AM$124,Calc!$W$2:$W$124,Calc!$AD$2:$AD$124,Calc!$AK$2:$AK$124,Calc!$AN$2:$AN$124,Calc!$AO$2:$AO$124),MATCH($W119,Calc!$A$2:$A$124,0)),"")</f>
        <v>26.4842707070707</v>
      </c>
      <c r="H119" s="11" t="n">
        <f aca="false">IF(G119="","",IF(LEFT($X119,1)="H",SQRT(G119*(IFERROR(INDEX(Calc!$AP$2:$AP$124,MATCH($W119,Calc!$A$2:$A$124,0)),0.5)*Config!$B$5+1-IFERROR(INDEX(Calc!$AP$2:$AP$124,MATCH($W119,Calc!$A$2:$A$124,0)),0.5))),SQRT(G119*Config!$B$5)))</f>
        <v>6.08916899009208</v>
      </c>
      <c r="I119" s="10" t="n">
        <f aca="false">IF(OR(F119="",G119="",N(H119)&lt;=0),"",1-NORMDIST(FLOOR(F119,1)+0.5,G119,H119,TRUE()))</f>
        <v>0.433760097209728</v>
      </c>
      <c r="J119" s="10" t="n">
        <f aca="false">IF(I119="","",NORMDIST(CEILING(F119,1)-0.5,G119,H119,TRUE()))</f>
        <v>0.566239902790272</v>
      </c>
      <c r="K119" s="10" t="n">
        <f aca="false">IF(I119="","",MAX(0,1-I119-J119))</f>
        <v>0</v>
      </c>
      <c r="L119" s="0" t="str">
        <f aca="false">IF(I119="","",IF(I119&gt;=0.5+Config!$B$6,"OVER",IF(J119&gt;=0.5+Config!$B$6,"UNDER","—")))</f>
        <v>UNDER</v>
      </c>
      <c r="M119" s="0" t="n">
        <v>28.11</v>
      </c>
      <c r="N119" s="0" t="n">
        <v>25.5</v>
      </c>
      <c r="O119" s="10" t="n">
        <v>0</v>
      </c>
      <c r="P119" s="10" t="n">
        <v>0.4</v>
      </c>
      <c r="Q119" s="10" t="n">
        <v>0.47</v>
      </c>
      <c r="R119" s="9" t="s">
        <v>1124</v>
      </c>
      <c r="S119" s="0" t="n">
        <v>-5</v>
      </c>
      <c r="T119" s="0" t="str">
        <f aca="false">INDEX(Calc!$G$2:$G$124,MATCH($W119,Calc!$A$2:$A$124,0))&amp;" / "&amp;INDEX(Calc!$H$2:$H$124,MATCH($W119,Calc!$A$2:$A$124,0))</f>
        <v>Nuke / Anubis</v>
      </c>
      <c r="U119" s="0" t="str">
        <f aca="false">TEXT(INDEX(Calc!$J$2:$J$124,MATCH($W119,Calc!$A$2:$A$124,0)),"0.0")&amp;" / "&amp;TEXT(INDEX(Calc!$K$2:$K$124,MATCH($W119,Calc!$A$2:$A$124,0)),"0.0")</f>
        <v>21.4 / 21.2</v>
      </c>
      <c r="V119" s="0" t="str">
        <f aca="false">IFERROR(INDEX(Calc!$AQ$2:$AQ$124,MATCH($W119,Calc!$A$2:$A$124,0)),"")</f>
        <v/>
      </c>
      <c r="W119" s="9" t="s">
        <v>1263</v>
      </c>
      <c r="X119" s="9" t="s">
        <v>1112</v>
      </c>
      <c r="Y119" s="0" t="str">
        <f aca="false">W119&amp;"|"&amp;X119</f>
        <v>jf6rt002svd50mx|CS2 · FUT vs TL|K12</v>
      </c>
      <c r="Z119" s="11" t="n">
        <f aca="false">IFERROR(INDEX(CHOOSE(MATCH($X119,{"K1","K2","K3","K12","K13","H1","H2","H3","H12","H13"},0),Calc!$BA$2:$BA$124,Calc!$BB$2:$BB$124,Calc!$BC$2:$BC$124,Calc!$BD$2:$BD$124,Calc!$BE$2:$BE$124,Calc!$BF$2:$BF$124,Calc!$BG$2:$BG$124,Calc!$BH$2:$BH$124,Calc!$BI$2:$BI$124,Calc!$BJ$2:$BJ$124),MATCH($W119,Calc!$A$2:$A$124,0)),"")</f>
        <v>26.5844616942678</v>
      </c>
      <c r="AA119" s="11" t="n">
        <f aca="false">IF(Z119="","",IF(LEFT($X119,1)="H",SQRT(Z119*(IFERROR(INDEX(Calc!$AP$2:$AP$124,MATCH($W119,Calc!$A$2:$A$124,0)),0.5)*Config!$B$5+1-IFERROR(INDEX(Calc!$AP$2:$AP$124,MATCH($W119,Calc!$A$2:$A$124,0)),0.5))),SQRT(Z119*Config!$B$5)))</f>
        <v>6.10067589468371</v>
      </c>
      <c r="AB119" s="10" t="n">
        <f aca="false">IF(OR(F119="",Z119="",N(AA119)&lt;=0),"",1-NORMDIST(FLOOR(F119,1)+0.5,Z119,AA119,TRUE()))</f>
        <v>0.440354055745913</v>
      </c>
      <c r="AC119" s="10" t="n">
        <f aca="false">IF(AB119="","",NORMDIST(CEILING(F119,1)-0.5,Z119,AA119,TRUE()))</f>
        <v>0.559645944254087</v>
      </c>
      <c r="AD119" s="0" t="str">
        <f aca="false">IF(AB119="","",IF(AB119&gt;=0.5+Config!$B$6,"OVER",IF(AC119&gt;=0.5+Config!$B$6,"UNDER","—")))</f>
        <v>UNDER</v>
      </c>
      <c r="AE119" s="13" t="n">
        <f aca="false">IFERROR(Z119/G119,"")</f>
        <v>1.00378303742267</v>
      </c>
    </row>
    <row r="120" customFormat="false" ht="15" hidden="false" customHeight="false" outlineLevel="0" collapsed="false">
      <c r="A120" s="0" t="s">
        <v>988</v>
      </c>
      <c r="B120" s="0" t="s">
        <v>905</v>
      </c>
      <c r="C120" s="0" t="s">
        <v>1264</v>
      </c>
      <c r="D120" s="0" t="s">
        <v>994</v>
      </c>
      <c r="E120" s="0" t="s">
        <v>1107</v>
      </c>
      <c r="F120" s="0" t="n">
        <v>17</v>
      </c>
      <c r="G120" s="11" t="n">
        <f aca="false">IFERROR(INDEX(CHOOSE(MATCH($X120,{"K1","K2","K3","K12","K13","H1","H2","H3","H12","H13"},0),Calc!$V$2:$V$124,Calc!$AC$2:$AC$124,Calc!$AJ$2:$AJ$124,Calc!$AL$2:$AL$124,Calc!$AM$2:$AM$124,Calc!$W$2:$W$124,Calc!$AD$2:$AD$124,Calc!$AK$2:$AK$124,Calc!$AN$2:$AN$124,Calc!$AO$2:$AO$124),MATCH($W120,Calc!$A$2:$A$124,0)),"")</f>
        <v>16.2770274</v>
      </c>
      <c r="H120" s="11" t="n">
        <f aca="false">IF(G120="","",IF(LEFT($X120,1)="H",SQRT(G120*(IFERROR(INDEX(Calc!$AP$2:$AP$124,MATCH($W120,Calc!$A$2:$A$124,0)),0.5)*Config!$B$5+1-IFERROR(INDEX(Calc!$AP$2:$AP$124,MATCH($W120,Calc!$A$2:$A$124,0)),0.5))),SQRT(G120*Config!$B$5)))</f>
        <v>4.44457257280851</v>
      </c>
      <c r="I120" s="10" t="n">
        <f aca="false">IF(OR(F120="",G120="",N(H120)&lt;=0),"",1-NORMDIST(FLOOR(F120,1)+0.5,G120,H120,TRUE()))</f>
        <v>0.391596311640675</v>
      </c>
      <c r="J120" s="10" t="n">
        <f aca="false">IF(I120="","",NORMDIST(CEILING(F120,1)-0.5,G120,H120,TRUE()))</f>
        <v>0.520005500579828</v>
      </c>
      <c r="K120" s="10" t="n">
        <f aca="false">IF(I120="","",MAX(0,1-I120-J120))</f>
        <v>0.0883981877794976</v>
      </c>
      <c r="L120" s="0" t="str">
        <f aca="false">IF(I120="","",IF(I120&gt;=0.5+Config!$B$6,"OVER",IF(J120&gt;=0.5+Config!$B$6,"UNDER","—")))</f>
        <v>—</v>
      </c>
      <c r="N120" s="0" t="n">
        <v>18</v>
      </c>
      <c r="O120" s="10" t="n">
        <v>0.8</v>
      </c>
      <c r="P120" s="10" t="n">
        <v>0.7</v>
      </c>
      <c r="Q120" s="10" t="n">
        <v>0.53</v>
      </c>
      <c r="R120" s="9" t="s">
        <v>1131</v>
      </c>
      <c r="S120" s="0" t="n">
        <v>2</v>
      </c>
      <c r="T120" s="0" t="str">
        <f aca="false">INDEX(Calc!$G$2:$G$124,MATCH($W120,Calc!$A$2:$A$124,0))&amp;" / "&amp;INDEX(Calc!$H$2:$H$124,MATCH($W120,Calc!$A$2:$A$124,0))</f>
        <v>Nuke / Anubis</v>
      </c>
      <c r="U120" s="0" t="str">
        <f aca="false">TEXT(INDEX(Calc!$J$2:$J$124,MATCH($W120,Calc!$A$2:$A$124,0)),"0.0")&amp;" / "&amp;TEXT(INDEX(Calc!$K$2:$K$124,MATCH($W120,Calc!$A$2:$A$124,0)),"0.0")</f>
        <v>21.4 / 21.2</v>
      </c>
      <c r="V120" s="0" t="str">
        <f aca="false">IFERROR(INDEX(Calc!$AQ$2:$AQ$124,MATCH($W120,Calc!$A$2:$A$124,0)),"")</f>
        <v/>
      </c>
      <c r="W120" s="9" t="s">
        <v>1265</v>
      </c>
      <c r="X120" s="9" t="s">
        <v>1110</v>
      </c>
      <c r="Y120" s="0" t="str">
        <f aca="false">W120&amp;"|"&amp;X120</f>
        <v>rhz6c2hq5wcant1|CS2 · FUT vs TL|H12</v>
      </c>
      <c r="Z120" s="11" t="n">
        <f aca="false">IFERROR(INDEX(CHOOSE(MATCH($X120,{"K1","K2","K3","K12","K13","H1","H2","H3","H12","H13"},0),Calc!$BA$2:$BA$124,Calc!$BB$2:$BB$124,Calc!$BC$2:$BC$124,Calc!$BD$2:$BD$124,Calc!$BE$2:$BE$124,Calc!$BF$2:$BF$124,Calc!$BG$2:$BG$124,Calc!$BH$2:$BH$124,Calc!$BI$2:$BI$124,Calc!$BJ$2:$BJ$124),MATCH($W120,Calc!$A$2:$A$124,0)),"")</f>
        <v>16.3318708389542</v>
      </c>
      <c r="AA120" s="11" t="n">
        <f aca="false">IF(Z120="","",IF(LEFT($X120,1)="H",SQRT(Z120*(IFERROR(INDEX(Calc!$AP$2:$AP$124,MATCH($W120,Calc!$A$2:$A$124,0)),0.5)*Config!$B$5+1-IFERROR(INDEX(Calc!$AP$2:$AP$124,MATCH($W120,Calc!$A$2:$A$124,0)),0.5))),SQRT(Z120*Config!$B$5)))</f>
        <v>4.45205399609355</v>
      </c>
      <c r="AB120" s="10" t="n">
        <f aca="false">IF(OR(F120="",Z120="",N(AA120)&lt;=0),"",1-NORMDIST(FLOOR(F120,1)+0.5,Z120,AA120,TRUE()))</f>
        <v>0.396514311550175</v>
      </c>
      <c r="AC120" s="10" t="n">
        <f aca="false">IF(AB120="","",NORMDIST(CEILING(F120,1)-0.5,Z120,AA120,TRUE()))</f>
        <v>0.515062236775718</v>
      </c>
      <c r="AD120" s="0" t="str">
        <f aca="false">IF(AB120="","",IF(AB120&gt;=0.5+Config!$B$6,"OVER",IF(AC120&gt;=0.5+Config!$B$6,"UNDER","—")))</f>
        <v>—</v>
      </c>
      <c r="AE120" s="13" t="n">
        <f aca="false">IFERROR(Z120/G120,"")</f>
        <v>1.00336937682824</v>
      </c>
    </row>
    <row r="121" customFormat="false" ht="15" hidden="false" customHeight="false" outlineLevel="0" collapsed="false">
      <c r="A121" s="0" t="s">
        <v>988</v>
      </c>
      <c r="B121" s="0" t="s">
        <v>905</v>
      </c>
      <c r="C121" s="0" t="s">
        <v>1264</v>
      </c>
      <c r="D121" s="0" t="s">
        <v>994</v>
      </c>
      <c r="E121" s="0" t="s">
        <v>1111</v>
      </c>
      <c r="F121" s="0" t="n">
        <v>31</v>
      </c>
      <c r="G121" s="11" t="n">
        <f aca="false">IFERROR(INDEX(CHOOSE(MATCH($X121,{"K1","K2","K3","K12","K13","H1","H2","H3","H12","H13"},0),Calc!$V$2:$V$124,Calc!$AC$2:$AC$124,Calc!$AJ$2:$AJ$124,Calc!$AL$2:$AL$124,Calc!$AM$2:$AM$124,Calc!$W$2:$W$124,Calc!$AD$2:$AD$124,Calc!$AK$2:$AK$124,Calc!$AN$2:$AN$124,Calc!$AO$2:$AO$124),MATCH($W121,Calc!$A$2:$A$124,0)),"")</f>
        <v>30.4776</v>
      </c>
      <c r="H121" s="11" t="n">
        <f aca="false">IF(G121="","",IF(LEFT($X121,1)="H",SQRT(G121*(IFERROR(INDEX(Calc!$AP$2:$AP$124,MATCH($W121,Calc!$A$2:$A$124,0)),0.5)*Config!$B$5+1-IFERROR(INDEX(Calc!$AP$2:$AP$124,MATCH($W121,Calc!$A$2:$A$124,0)),0.5))),SQRT(G121*Config!$B$5)))</f>
        <v>6.53212369754278</v>
      </c>
      <c r="I121" s="10" t="n">
        <f aca="false">IF(OR(F121="",G121="",N(H121)&lt;=0),"",1-NORMDIST(FLOOR(F121,1)+0.5,G121,H121,TRUE()))</f>
        <v>0.437812060613864</v>
      </c>
      <c r="J121" s="10" t="n">
        <f aca="false">IF(I121="","",NORMDIST(CEILING(F121,1)-0.5,G121,H121,TRUE()))</f>
        <v>0.501368052716153</v>
      </c>
      <c r="K121" s="10" t="n">
        <f aca="false">IF(I121="","",MAX(0,1-I121-J121))</f>
        <v>0.0608198866699826</v>
      </c>
      <c r="L121" s="0" t="str">
        <f aca="false">IF(I121="","",IF(I121&gt;=0.5+Config!$B$6,"OVER",IF(J121&gt;=0.5+Config!$B$6,"UNDER","—")))</f>
        <v>—</v>
      </c>
      <c r="M121" s="0" t="n">
        <v>31.18</v>
      </c>
      <c r="N121" s="0" t="n">
        <v>31.8</v>
      </c>
      <c r="O121" s="10" t="n">
        <v>0.4</v>
      </c>
      <c r="P121" s="10" t="n">
        <v>0.6</v>
      </c>
      <c r="Q121" s="10" t="n">
        <v>0.53</v>
      </c>
      <c r="R121" s="9" t="s">
        <v>1131</v>
      </c>
      <c r="S121" s="0" t="n">
        <v>1</v>
      </c>
      <c r="T121" s="0" t="str">
        <f aca="false">INDEX(Calc!$G$2:$G$124,MATCH($W121,Calc!$A$2:$A$124,0))&amp;" / "&amp;INDEX(Calc!$H$2:$H$124,MATCH($W121,Calc!$A$2:$A$124,0))</f>
        <v>Nuke / Anubis</v>
      </c>
      <c r="U121" s="0" t="str">
        <f aca="false">TEXT(INDEX(Calc!$J$2:$J$124,MATCH($W121,Calc!$A$2:$A$124,0)),"0.0")&amp;" / "&amp;TEXT(INDEX(Calc!$K$2:$K$124,MATCH($W121,Calc!$A$2:$A$124,0)),"0.0")</f>
        <v>21.4 / 21.2</v>
      </c>
      <c r="V121" s="0" t="str">
        <f aca="false">IFERROR(INDEX(Calc!$AQ$2:$AQ$124,MATCH($W121,Calc!$A$2:$A$124,0)),"")</f>
        <v/>
      </c>
      <c r="W121" s="9" t="s">
        <v>1265</v>
      </c>
      <c r="X121" s="9" t="s">
        <v>1112</v>
      </c>
      <c r="Y121" s="0" t="str">
        <f aca="false">W121&amp;"|"&amp;X121</f>
        <v>rhz6c2hq5wcant1|CS2 · FUT vs TL|K12</v>
      </c>
      <c r="Z121" s="11" t="n">
        <f aca="false">IFERROR(INDEX(CHOOSE(MATCH($X121,{"K1","K2","K3","K12","K13","H1","H2","H3","H12","H13"},0),Calc!$BA$2:$BA$124,Calc!$BB$2:$BB$124,Calc!$BC$2:$BC$124,Calc!$BD$2:$BD$124,Calc!$BE$2:$BE$124,Calc!$BF$2:$BF$124,Calc!$BG$2:$BG$124,Calc!$BH$2:$BH$124,Calc!$BI$2:$BI$124,Calc!$BJ$2:$BJ$124),MATCH($W121,Calc!$A$2:$A$124,0)),"")</f>
        <v>30.5795431198037</v>
      </c>
      <c r="AA121" s="11" t="n">
        <f aca="false">IF(Z121="","",IF(LEFT($X121,1)="H",SQRT(Z121*(IFERROR(INDEX(Calc!$AP$2:$AP$124,MATCH($W121,Calc!$A$2:$A$124,0)),0.5)*Config!$B$5+1-IFERROR(INDEX(Calc!$AP$2:$AP$124,MATCH($W121,Calc!$A$2:$A$124,0)),0.5))),SQRT(Z121*Config!$B$5)))</f>
        <v>6.54303907734969</v>
      </c>
      <c r="AB121" s="10" t="n">
        <f aca="false">IF(OR(F121="",Z121="",N(AA121)&lt;=0),"",1-NORMDIST(FLOOR(F121,1)+0.5,Z121,AA121,TRUE()))</f>
        <v>0.444062450886745</v>
      </c>
      <c r="AC121" s="10" t="n">
        <f aca="false">IF(AB121="","",NORMDIST(CEILING(F121,1)-0.5,Z121,AA121,TRUE()))</f>
        <v>0.495150215120933</v>
      </c>
      <c r="AD121" s="0" t="str">
        <f aca="false">IF(AB121="","",IF(AB121&gt;=0.5+Config!$B$6,"OVER",IF(AC121&gt;=0.5+Config!$B$6,"UNDER","—")))</f>
        <v>—</v>
      </c>
      <c r="AE121" s="13" t="n">
        <f aca="false">IFERROR(Z121/G121,"")</f>
        <v>1.00334485391906</v>
      </c>
    </row>
    <row r="122" customFormat="false" ht="15" hidden="false" customHeight="false" outlineLevel="0" collapsed="false">
      <c r="A122" s="0" t="s">
        <v>988</v>
      </c>
      <c r="B122" s="0" t="s">
        <v>905</v>
      </c>
      <c r="C122" s="0" t="s">
        <v>1266</v>
      </c>
      <c r="D122" s="0" t="s">
        <v>994</v>
      </c>
      <c r="E122" s="0" t="s">
        <v>1107</v>
      </c>
      <c r="F122" s="0" t="n">
        <v>10.5</v>
      </c>
      <c r="G122" s="11" t="n">
        <f aca="false">IFERROR(INDEX(CHOOSE(MATCH($X122,{"K1","K2","K3","K12","K13","H1","H2","H3","H12","H13"},0),Calc!$V$2:$V$124,Calc!$AC$2:$AC$124,Calc!$AJ$2:$AJ$124,Calc!$AL$2:$AL$124,Calc!$AM$2:$AM$124,Calc!$W$2:$W$124,Calc!$AD$2:$AD$124,Calc!$AK$2:$AK$124,Calc!$AN$2:$AN$124,Calc!$AO$2:$AO$124),MATCH($W122,Calc!$A$2:$A$124,0)),"")</f>
        <v>9.72722232653061</v>
      </c>
      <c r="H122" s="11" t="n">
        <f aca="false">IF(G122="","",IF(LEFT($X122,1)="H",SQRT(G122*(IFERROR(INDEX(Calc!$AP$2:$AP$124,MATCH($W122,Calc!$A$2:$A$124,0)),0.5)*Config!$B$5+1-IFERROR(INDEX(Calc!$AP$2:$AP$124,MATCH($W122,Calc!$A$2:$A$124,0)),0.5))),SQRT(G122*Config!$B$5)))</f>
        <v>3.32023670955633</v>
      </c>
      <c r="I122" s="10" t="n">
        <f aca="false">IF(OR(F122="",G122="",N(H122)&lt;=0),"",1-NORMDIST(FLOOR(F122,1)+0.5,G122,H122,TRUE()))</f>
        <v>0.407978638225171</v>
      </c>
      <c r="J122" s="10" t="n">
        <f aca="false">IF(I122="","",NORMDIST(CEILING(F122,1)-0.5,G122,H122,TRUE()))</f>
        <v>0.592021361774829</v>
      </c>
      <c r="K122" s="10" t="n">
        <f aca="false">IF(I122="","",MAX(0,1-I122-J122))</f>
        <v>0</v>
      </c>
      <c r="L122" s="0" t="str">
        <f aca="false">IF(I122="","",IF(I122&gt;=0.5+Config!$B$6,"OVER",IF(J122&gt;=0.5+Config!$B$6,"UNDER","—")))</f>
        <v>UNDER</v>
      </c>
      <c r="N122" s="0" t="n">
        <v>9.6</v>
      </c>
      <c r="O122" s="10" t="n">
        <v>0.4</v>
      </c>
      <c r="P122" s="10" t="n">
        <v>0.4</v>
      </c>
      <c r="Q122" s="10" t="n">
        <v>0.4</v>
      </c>
      <c r="R122" s="9" t="s">
        <v>1267</v>
      </c>
      <c r="S122" s="0" t="n">
        <v>1</v>
      </c>
      <c r="T122" s="0" t="str">
        <f aca="false">INDEX(Calc!$G$2:$G$124,MATCH($W122,Calc!$A$2:$A$124,0))&amp;" / "&amp;INDEX(Calc!$H$2:$H$124,MATCH($W122,Calc!$A$2:$A$124,0))</f>
        <v>Nuke / Anubis</v>
      </c>
      <c r="U122" s="0" t="str">
        <f aca="false">TEXT(INDEX(Calc!$J$2:$J$124,MATCH($W122,Calc!$A$2:$A$124,0)),"0.0")&amp;" / "&amp;TEXT(INDEX(Calc!$K$2:$K$124,MATCH($W122,Calc!$A$2:$A$124,0)),"0.0")</f>
        <v>21.4 / 21.2</v>
      </c>
      <c r="V122" s="0" t="str">
        <f aca="false">IFERROR(INDEX(Calc!$AQ$2:$AQ$124,MATCH($W122,Calc!$A$2:$A$124,0)),"")</f>
        <v/>
      </c>
      <c r="W122" s="9" t="s">
        <v>1268</v>
      </c>
      <c r="X122" s="9" t="s">
        <v>1110</v>
      </c>
      <c r="Y122" s="0" t="str">
        <f aca="false">W122&amp;"|"&amp;X122</f>
        <v>xwyhvw38gardzpx|CS2 · FUT vs TL|H12</v>
      </c>
      <c r="Z122" s="11" t="n">
        <f aca="false">IFERROR(INDEX(CHOOSE(MATCH($X122,{"K1","K2","K3","K12","K13","H1","H2","H3","H12","H13"},0),Calc!$BA$2:$BA$124,Calc!$BB$2:$BB$124,Calc!$BC$2:$BC$124,Calc!$BD$2:$BD$124,Calc!$BE$2:$BE$124,Calc!$BF$2:$BF$124,Calc!$BG$2:$BG$124,Calc!$BH$2:$BH$124,Calc!$BI$2:$BI$124,Calc!$BJ$2:$BJ$124),MATCH($W122,Calc!$A$2:$A$124,0)),"")</f>
        <v>9.7391261962404</v>
      </c>
      <c r="AA122" s="11" t="n">
        <f aca="false">IF(Z122="","",IF(LEFT($X122,1)="H",SQRT(Z122*(IFERROR(INDEX(Calc!$AP$2:$AP$124,MATCH($W122,Calc!$A$2:$A$124,0)),0.5)*Config!$B$5+1-IFERROR(INDEX(Calc!$AP$2:$AP$124,MATCH($W122,Calc!$A$2:$A$124,0)),0.5))),SQRT(Z122*Config!$B$5)))</f>
        <v>3.32226768917761</v>
      </c>
      <c r="AB122" s="10" t="n">
        <f aca="false">IF(OR(F122="",Z122="",N(AA122)&lt;=0),"",1-NORMDIST(FLOOR(F122,1)+0.5,Z122,AA122,TRUE()))</f>
        <v>0.409425743204886</v>
      </c>
      <c r="AC122" s="10" t="n">
        <f aca="false">IF(AB122="","",NORMDIST(CEILING(F122,1)-0.5,Z122,AA122,TRUE()))</f>
        <v>0.590574256795114</v>
      </c>
      <c r="AD122" s="0" t="str">
        <f aca="false">IF(AB122="","",IF(AB122&gt;=0.5+Config!$B$6,"OVER",IF(AC122&gt;=0.5+Config!$B$6,"UNDER","—")))</f>
        <v>UNDER</v>
      </c>
      <c r="AE122" s="13" t="n">
        <f aca="false">IFERROR(Z122/G122,"")</f>
        <v>1.00122376864743</v>
      </c>
    </row>
    <row r="123" customFormat="false" ht="15" hidden="false" customHeight="false" outlineLevel="0" collapsed="false">
      <c r="A123" s="0" t="s">
        <v>988</v>
      </c>
      <c r="B123" s="0" t="s">
        <v>905</v>
      </c>
      <c r="C123" s="0" t="s">
        <v>1266</v>
      </c>
      <c r="D123" s="0" t="s">
        <v>994</v>
      </c>
      <c r="E123" s="0" t="s">
        <v>1111</v>
      </c>
      <c r="F123" s="0" t="n">
        <v>29.5</v>
      </c>
      <c r="G123" s="11" t="n">
        <f aca="false">IFERROR(INDEX(CHOOSE(MATCH($X123,{"K1","K2","K3","K12","K13","H1","H2","H3","H12","H13"},0),Calc!$V$2:$V$124,Calc!$AC$2:$AC$124,Calc!$AJ$2:$AJ$124,Calc!$AL$2:$AL$124,Calc!$AM$2:$AM$124,Calc!$W$2:$W$124,Calc!$AD$2:$AD$124,Calc!$AK$2:$AK$124,Calc!$AN$2:$AN$124,Calc!$AO$2:$AO$124),MATCH($W123,Calc!$A$2:$A$124,0)),"")</f>
        <v>29.1864714285714</v>
      </c>
      <c r="H123" s="11" t="n">
        <f aca="false">IF(G123="","",IF(LEFT($X123,1)="H",SQRT(G123*(IFERROR(INDEX(Calc!$AP$2:$AP$124,MATCH($W123,Calc!$A$2:$A$124,0)),0.5)*Config!$B$5+1-IFERROR(INDEX(Calc!$AP$2:$AP$124,MATCH($W123,Calc!$A$2:$A$124,0)),0.5))),SQRT(G123*Config!$B$5)))</f>
        <v>6.39226563903598</v>
      </c>
      <c r="I123" s="10" t="n">
        <f aca="false">IF(OR(F123="",G123="",N(H123)&lt;=0),"",1-NORMDIST(FLOOR(F123,1)+0.5,G123,H123,TRUE()))</f>
        <v>0.48044047646041</v>
      </c>
      <c r="J123" s="10" t="n">
        <f aca="false">IF(I123="","",NORMDIST(CEILING(F123,1)-0.5,G123,H123,TRUE()))</f>
        <v>0.51955952353959</v>
      </c>
      <c r="K123" s="10" t="n">
        <f aca="false">IF(I123="","",MAX(0,1-I123-J123))</f>
        <v>0</v>
      </c>
      <c r="L123" s="0" t="str">
        <f aca="false">IF(I123="","",IF(I123&gt;=0.5+Config!$B$6,"OVER",IF(J123&gt;=0.5+Config!$B$6,"UNDER","—")))</f>
        <v>—</v>
      </c>
      <c r="M123" s="0" t="n">
        <v>29.18</v>
      </c>
      <c r="N123" s="0" t="n">
        <v>29.7</v>
      </c>
      <c r="O123" s="10" t="n">
        <v>0.6</v>
      </c>
      <c r="P123" s="10" t="n">
        <v>0.5</v>
      </c>
      <c r="Q123" s="10" t="n">
        <v>0.47</v>
      </c>
      <c r="R123" s="9" t="s">
        <v>1188</v>
      </c>
      <c r="S123" s="0" t="n">
        <v>3</v>
      </c>
      <c r="T123" s="0" t="str">
        <f aca="false">INDEX(Calc!$G$2:$G$124,MATCH($W123,Calc!$A$2:$A$124,0))&amp;" / "&amp;INDEX(Calc!$H$2:$H$124,MATCH($W123,Calc!$A$2:$A$124,0))</f>
        <v>Nuke / Anubis</v>
      </c>
      <c r="U123" s="0" t="str">
        <f aca="false">TEXT(INDEX(Calc!$J$2:$J$124,MATCH($W123,Calc!$A$2:$A$124,0)),"0.0")&amp;" / "&amp;TEXT(INDEX(Calc!$K$2:$K$124,MATCH($W123,Calc!$A$2:$A$124,0)),"0.0")</f>
        <v>21.4 / 21.2</v>
      </c>
      <c r="V123" s="0" t="str">
        <f aca="false">IFERROR(INDEX(Calc!$AQ$2:$AQ$124,MATCH($W123,Calc!$A$2:$A$124,0)),"")</f>
        <v/>
      </c>
      <c r="W123" s="9" t="s">
        <v>1268</v>
      </c>
      <c r="X123" s="9" t="s">
        <v>1112</v>
      </c>
      <c r="Y123" s="0" t="str">
        <f aca="false">W123&amp;"|"&amp;X123</f>
        <v>xwyhvw38gardzpx|CS2 · FUT vs TL|K12</v>
      </c>
      <c r="Z123" s="11" t="n">
        <f aca="false">IFERROR(INDEX(CHOOSE(MATCH($X123,{"K1","K2","K3","K12","K13","H1","H2","H3","H12","H13"},0),Calc!$BA$2:$BA$124,Calc!$BB$2:$BB$124,Calc!$BC$2:$BC$124,Calc!$BD$2:$BD$124,Calc!$BE$2:$BE$124,Calc!$BF$2:$BF$124,Calc!$BG$2:$BG$124,Calc!$BH$2:$BH$124,Calc!$BI$2:$BI$124,Calc!$BJ$2:$BJ$124),MATCH($W123,Calc!$A$2:$A$124,0)),"")</f>
        <v>29.2475616537021</v>
      </c>
      <c r="AA123" s="11" t="n">
        <f aca="false">IF(Z123="","",IF(LEFT($X123,1)="H",SQRT(Z123*(IFERROR(INDEX(Calc!$AP$2:$AP$124,MATCH($W123,Calc!$A$2:$A$124,0)),0.5)*Config!$B$5+1-IFERROR(INDEX(Calc!$AP$2:$AP$124,MATCH($W123,Calc!$A$2:$A$124,0)),0.5))),SQRT(Z123*Config!$B$5)))</f>
        <v>6.39895197006377</v>
      </c>
      <c r="AB123" s="10" t="n">
        <f aca="false">IF(OR(F123="",Z123="",N(AA123)&lt;=0),"",1-NORMDIST(FLOOR(F123,1)+0.5,Z123,AA123,TRUE()))</f>
        <v>0.484265827582306</v>
      </c>
      <c r="AC123" s="10" t="n">
        <f aca="false">IF(AB123="","",NORMDIST(CEILING(F123,1)-0.5,Z123,AA123,TRUE()))</f>
        <v>0.515734172417694</v>
      </c>
      <c r="AD123" s="0" t="str">
        <f aca="false">IF(AB123="","",IF(AB123&gt;=0.5+Config!$B$6,"OVER",IF(AC123&gt;=0.5+Config!$B$6,"UNDER","—")))</f>
        <v>—</v>
      </c>
      <c r="AE123" s="13" t="n">
        <f aca="false">IFERROR(Z123/G123,"")</f>
        <v>1.00209310074636</v>
      </c>
    </row>
    <row r="124" customFormat="false" ht="15" hidden="false" customHeight="false" outlineLevel="0" collapsed="false">
      <c r="A124" s="0" t="s">
        <v>988</v>
      </c>
      <c r="B124" s="0" t="s">
        <v>905</v>
      </c>
      <c r="C124" s="0" t="s">
        <v>1269</v>
      </c>
      <c r="D124" s="0" t="s">
        <v>994</v>
      </c>
      <c r="E124" s="0" t="s">
        <v>1107</v>
      </c>
      <c r="F124" s="0" t="n">
        <v>16</v>
      </c>
      <c r="G124" s="11" t="n">
        <f aca="false">IFERROR(INDEX(CHOOSE(MATCH($X124,{"K1","K2","K3","K12","K13","H1","H2","H3","H12","H13"},0),Calc!$V$2:$V$124,Calc!$AC$2:$AC$124,Calc!$AJ$2:$AJ$124,Calc!$AL$2:$AL$124,Calc!$AM$2:$AM$124,Calc!$W$2:$W$124,Calc!$AD$2:$AD$124,Calc!$AK$2:$AK$124,Calc!$AN$2:$AN$124,Calc!$AO$2:$AO$124),MATCH($W124,Calc!$A$2:$A$124,0)),"")</f>
        <v>14.6604887046628</v>
      </c>
      <c r="H124" s="11" t="n">
        <f aca="false">IF(G124="","",IF(LEFT($X124,1)="H",SQRT(G124*(IFERROR(INDEX(Calc!$AP$2:$AP$124,MATCH($W124,Calc!$A$2:$A$124,0)),0.5)*Config!$B$5+1-IFERROR(INDEX(Calc!$AP$2:$AP$124,MATCH($W124,Calc!$A$2:$A$124,0)),0.5))),SQRT(G124*Config!$B$5)))</f>
        <v>4.22096606134491</v>
      </c>
      <c r="I124" s="10" t="n">
        <f aca="false">IF(OR(F124="",G124="",N(H124)&lt;=0),"",1-NORMDIST(FLOOR(F124,1)+0.5,G124,H124,TRUE()))</f>
        <v>0.331489694032057</v>
      </c>
      <c r="J124" s="10" t="n">
        <f aca="false">IF(I124="","",NORMDIST(CEILING(F124,1)-0.5,G124,H124,TRUE()))</f>
        <v>0.578825914876575</v>
      </c>
      <c r="K124" s="10" t="n">
        <f aca="false">IF(I124="","",MAX(0,1-I124-J124))</f>
        <v>0.0896843910913684</v>
      </c>
      <c r="L124" s="0" t="str">
        <f aca="false">IF(I124="","",IF(I124&gt;=0.5+Config!$B$6,"OVER",IF(J124&gt;=0.5+Config!$B$6,"UNDER","—")))</f>
        <v>UNDER</v>
      </c>
      <c r="N124" s="0" t="n">
        <v>17</v>
      </c>
      <c r="O124" s="10" t="n">
        <v>0.4</v>
      </c>
      <c r="P124" s="10" t="n">
        <v>0.6</v>
      </c>
      <c r="Q124" s="10" t="n">
        <v>0.53</v>
      </c>
      <c r="R124" s="9" t="s">
        <v>1176</v>
      </c>
      <c r="S124" s="0" t="n">
        <v>-3</v>
      </c>
      <c r="T124" s="0" t="str">
        <f aca="false">INDEX(Calc!$G$2:$G$124,MATCH($W124,Calc!$A$2:$A$124,0))&amp;" / "&amp;INDEX(Calc!$H$2:$H$124,MATCH($W124,Calc!$A$2:$A$124,0))</f>
        <v>Nuke / Anubis</v>
      </c>
      <c r="U124" s="0" t="str">
        <f aca="false">TEXT(INDEX(Calc!$J$2:$J$124,MATCH($W124,Calc!$A$2:$A$124,0)),"0.0")&amp;" / "&amp;TEXT(INDEX(Calc!$K$2:$K$124,MATCH($W124,Calc!$A$2:$A$124,0)),"0.0")</f>
        <v>21.4 / 21.2</v>
      </c>
      <c r="V124" s="0" t="str">
        <f aca="false">IFERROR(INDEX(Calc!$AQ$2:$AQ$124,MATCH($W124,Calc!$A$2:$A$124,0)),"")</f>
        <v/>
      </c>
      <c r="W124" s="9" t="s">
        <v>1270</v>
      </c>
      <c r="X124" s="9" t="s">
        <v>1110</v>
      </c>
      <c r="Y124" s="0" t="str">
        <f aca="false">W124&amp;"|"&amp;X124</f>
        <v>lj8zw2mudcbj35u|CS2 · FUT vs TL|H12</v>
      </c>
      <c r="Z124" s="11" t="n">
        <f aca="false">IFERROR(INDEX(CHOOSE(MATCH($X124,{"K1","K2","K3","K12","K13","H1","H2","H3","H12","H13"},0),Calc!$BA$2:$BA$124,Calc!$BB$2:$BB$124,Calc!$BC$2:$BC$124,Calc!$BD$2:$BD$124,Calc!$BE$2:$BE$124,Calc!$BF$2:$BF$124,Calc!$BG$2:$BG$124,Calc!$BH$2:$BH$124,Calc!$BI$2:$BI$124,Calc!$BJ$2:$BJ$124),MATCH($W124,Calc!$A$2:$A$124,0)),"")</f>
        <v>14.6793994881825</v>
      </c>
      <c r="AA124" s="11" t="n">
        <f aca="false">IF(Z124="","",IF(LEFT($X124,1)="H",SQRT(Z124*(IFERROR(INDEX(Calc!$AP$2:$AP$124,MATCH($W124,Calc!$A$2:$A$124,0)),0.5)*Config!$B$5+1-IFERROR(INDEX(Calc!$AP$2:$AP$124,MATCH($W124,Calc!$A$2:$A$124,0)),0.5))),SQRT(Z124*Config!$B$5)))</f>
        <v>4.22368752762071</v>
      </c>
      <c r="AB124" s="10" t="n">
        <f aca="false">IF(OR(F124="",Z124="",N(AA124)&lt;=0),"",1-NORMDIST(FLOOR(F124,1)+0.5,Z124,AA124,TRUE()))</f>
        <v>0.333217728804207</v>
      </c>
      <c r="AC124" s="10" t="n">
        <f aca="false">IF(AB124="","",NORMDIST(CEILING(F124,1)-0.5,Z124,AA124,TRUE()))</f>
        <v>0.577023762895105</v>
      </c>
      <c r="AD124" s="0" t="str">
        <f aca="false">IF(AB124="","",IF(AB124&gt;=0.5+Config!$B$6,"OVER",IF(AC124&gt;=0.5+Config!$B$6,"UNDER","—")))</f>
        <v>UNDER</v>
      </c>
      <c r="AE124" s="13" t="n">
        <f aca="false">IFERROR(Z124/G124,"")</f>
        <v>1.00128991494763</v>
      </c>
    </row>
    <row r="125" customFormat="false" ht="15" hidden="false" customHeight="false" outlineLevel="0" collapsed="false">
      <c r="A125" s="0" t="s">
        <v>988</v>
      </c>
      <c r="B125" s="0" t="s">
        <v>905</v>
      </c>
      <c r="C125" s="0" t="s">
        <v>1269</v>
      </c>
      <c r="D125" s="0" t="s">
        <v>994</v>
      </c>
      <c r="E125" s="0" t="s">
        <v>1111</v>
      </c>
      <c r="F125" s="0" t="n">
        <v>29</v>
      </c>
      <c r="G125" s="11" t="n">
        <f aca="false">IFERROR(INDEX(CHOOSE(MATCH($X125,{"K1","K2","K3","K12","K13","H1","H2","H3","H12","H13"},0),Calc!$V$2:$V$124,Calc!$AC$2:$AC$124,Calc!$AJ$2:$AJ$124,Calc!$AL$2:$AL$124,Calc!$AM$2:$AM$124,Calc!$W$2:$W$124,Calc!$AD$2:$AD$124,Calc!$AK$2:$AK$124,Calc!$AN$2:$AN$124,Calc!$AO$2:$AO$124),MATCH($W125,Calc!$A$2:$A$124,0)),"")</f>
        <v>27.2402343434343</v>
      </c>
      <c r="H125" s="11" t="n">
        <f aca="false">IF(G125="","",IF(LEFT($X125,1)="H",SQRT(G125*(IFERROR(INDEX(Calc!$AP$2:$AP$124,MATCH($W125,Calc!$A$2:$A$124,0)),0.5)*Config!$B$5+1-IFERROR(INDEX(Calc!$AP$2:$AP$124,MATCH($W125,Calc!$A$2:$A$124,0)),0.5))),SQRT(G125*Config!$B$5)))</f>
        <v>6.17546177065392</v>
      </c>
      <c r="I125" s="10" t="n">
        <f aca="false">IF(OR(F125="",G125="",N(H125)&lt;=0),"",1-NORMDIST(FLOOR(F125,1)+0.5,G125,H125,TRUE()))</f>
        <v>0.357209927868158</v>
      </c>
      <c r="J125" s="10" t="n">
        <f aca="false">IF(I125="","",NORMDIST(CEILING(F125,1)-0.5,G125,H125,TRUE()))</f>
        <v>0.580821444499254</v>
      </c>
      <c r="K125" s="10" t="n">
        <f aca="false">IF(I125="","",MAX(0,1-I125-J125))</f>
        <v>0.0619686276325874</v>
      </c>
      <c r="L125" s="0" t="str">
        <f aca="false">IF(I125="","",IF(I125&gt;=0.5+Config!$B$6,"OVER",IF(J125&gt;=0.5+Config!$B$6,"UNDER","—")))</f>
        <v>UNDER</v>
      </c>
      <c r="M125" s="0" t="n">
        <v>28.9</v>
      </c>
      <c r="N125" s="0" t="n">
        <v>30.5</v>
      </c>
      <c r="O125" s="10" t="n">
        <v>0.4</v>
      </c>
      <c r="P125" s="10" t="n">
        <v>0.6</v>
      </c>
      <c r="Q125" s="10" t="n">
        <v>0.53</v>
      </c>
      <c r="R125" s="9" t="s">
        <v>1267</v>
      </c>
      <c r="S125" s="0" t="n">
        <v>-3</v>
      </c>
      <c r="T125" s="0" t="str">
        <f aca="false">INDEX(Calc!$G$2:$G$124,MATCH($W125,Calc!$A$2:$A$124,0))&amp;" / "&amp;INDEX(Calc!$H$2:$H$124,MATCH($W125,Calc!$A$2:$A$124,0))</f>
        <v>Nuke / Anubis</v>
      </c>
      <c r="U125" s="0" t="str">
        <f aca="false">TEXT(INDEX(Calc!$J$2:$J$124,MATCH($W125,Calc!$A$2:$A$124,0)),"0.0")&amp;" / "&amp;TEXT(INDEX(Calc!$K$2:$K$124,MATCH($W125,Calc!$A$2:$A$124,0)),"0.0")</f>
        <v>21.4 / 21.2</v>
      </c>
      <c r="V125" s="0" t="str">
        <f aca="false">IFERROR(INDEX(Calc!$AQ$2:$AQ$124,MATCH($W125,Calc!$A$2:$A$124,0)),"")</f>
        <v/>
      </c>
      <c r="W125" s="9" t="s">
        <v>1270</v>
      </c>
      <c r="X125" s="9" t="s">
        <v>1112</v>
      </c>
      <c r="Y125" s="0" t="str">
        <f aca="false">W125&amp;"|"&amp;X125</f>
        <v>lj8zw2mudcbj35u|CS2 · FUT vs TL|K12</v>
      </c>
      <c r="Z125" s="11" t="n">
        <f aca="false">IFERROR(INDEX(CHOOSE(MATCH($X125,{"K1","K2","K3","K12","K13","H1","H2","H3","H12","H13"},0),Calc!$BA$2:$BA$124,Calc!$BB$2:$BB$124,Calc!$BC$2:$BC$124,Calc!$BD$2:$BD$124,Calc!$BE$2:$BE$124,Calc!$BF$2:$BF$124,Calc!$BG$2:$BG$124,Calc!$BH$2:$BH$124,Calc!$BI$2:$BI$124,Calc!$BJ$2:$BJ$124),MATCH($W125,Calc!$A$2:$A$124,0)),"")</f>
        <v>27.2877053822416</v>
      </c>
      <c r="AA125" s="11" t="n">
        <f aca="false">IF(Z125="","",IF(LEFT($X125,1)="H",SQRT(Z125*(IFERROR(INDEX(Calc!$AP$2:$AP$124,MATCH($W125,Calc!$A$2:$A$124,0)),0.5)*Config!$B$5+1-IFERROR(INDEX(Calc!$AP$2:$AP$124,MATCH($W125,Calc!$A$2:$A$124,0)),0.5))),SQRT(Z125*Config!$B$5)))</f>
        <v>6.18084035832817</v>
      </c>
      <c r="AB125" s="10" t="n">
        <f aca="false">IF(OR(F125="",Z125="",N(AA125)&lt;=0),"",1-NORMDIST(FLOOR(F125,1)+0.5,Z125,AA125,TRUE()))</f>
        <v>0.360198671276197</v>
      </c>
      <c r="AC125" s="10" t="n">
        <f aca="false">IF(AB125="","",NORMDIST(CEILING(F125,1)-0.5,Z125,AA125,TRUE()))</f>
        <v>0.577748729905975</v>
      </c>
      <c r="AD125" s="0" t="str">
        <f aca="false">IF(AB125="","",IF(AB125&gt;=0.5+Config!$B$6,"OVER",IF(AC125&gt;=0.5+Config!$B$6,"UNDER","—")))</f>
        <v>UNDER</v>
      </c>
      <c r="AE125" s="13" t="n">
        <f aca="false">IFERROR(Z125/G125,"")</f>
        <v>1.00174268099932</v>
      </c>
    </row>
    <row r="126" customFormat="false" ht="15" hidden="false" customHeight="false" outlineLevel="0" collapsed="false">
      <c r="A126" s="0" t="s">
        <v>988</v>
      </c>
      <c r="B126" s="0" t="s">
        <v>905</v>
      </c>
      <c r="C126" s="0" t="s">
        <v>1271</v>
      </c>
      <c r="D126" s="0" t="s">
        <v>995</v>
      </c>
      <c r="E126" s="0" t="s">
        <v>1107</v>
      </c>
      <c r="F126" s="0" t="n">
        <v>18</v>
      </c>
      <c r="G126" s="11" t="n">
        <f aca="false">IFERROR(INDEX(CHOOSE(MATCH($X126,{"K1","K2","K3","K12","K13","H1","H2","H3","H12","H13"},0),Calc!$V$2:$V$124,Calc!$AC$2:$AC$124,Calc!$AJ$2:$AJ$124,Calc!$AL$2:$AL$124,Calc!$AM$2:$AM$124,Calc!$W$2:$W$124,Calc!$AD$2:$AD$124,Calc!$AK$2:$AK$124,Calc!$AN$2:$AN$124,Calc!$AO$2:$AO$124),MATCH($W126,Calc!$A$2:$A$124,0)),"")</f>
        <v>19.4081396520833</v>
      </c>
      <c r="H126" s="11" t="n">
        <f aca="false">IF(G126="","",IF(LEFT($X126,1)="H",SQRT(G126*(IFERROR(INDEX(Calc!$AP$2:$AP$124,MATCH($W126,Calc!$A$2:$A$124,0)),0.5)*Config!$B$5+1-IFERROR(INDEX(Calc!$AP$2:$AP$124,MATCH($W126,Calc!$A$2:$A$124,0)),0.5))),SQRT(G126*Config!$B$5)))</f>
        <v>4.8799681168727</v>
      </c>
      <c r="I126" s="10" t="n">
        <f aca="false">IF(OR(F126="",G126="",N(H126)&lt;=0),"",1-NORMDIST(FLOOR(F126,1)+0.5,G126,H126,TRUE()))</f>
        <v>0.57381502809503</v>
      </c>
      <c r="J126" s="10" t="n">
        <f aca="false">IF(I126="","",NORMDIST(CEILING(F126,1)-0.5,G126,H126,TRUE()))</f>
        <v>0.347893156074387</v>
      </c>
      <c r="K126" s="10" t="n">
        <f aca="false">IF(I126="","",MAX(0,1-I126-J126))</f>
        <v>0.0782918158305831</v>
      </c>
      <c r="L126" s="0" t="str">
        <f aca="false">IF(I126="","",IF(I126&gt;=0.5+Config!$B$6,"OVER",IF(J126&gt;=0.5+Config!$B$6,"UNDER","—")))</f>
        <v>OVER</v>
      </c>
      <c r="N126" s="0" t="n">
        <v>19.1</v>
      </c>
      <c r="O126" s="10" t="n">
        <v>0.6</v>
      </c>
      <c r="P126" s="10" t="n">
        <v>0.5</v>
      </c>
      <c r="Q126" s="10" t="n">
        <v>0.6</v>
      </c>
      <c r="R126" s="9" t="s">
        <v>1124</v>
      </c>
      <c r="S126" s="0" t="n">
        <v>1</v>
      </c>
      <c r="T126" s="0" t="str">
        <f aca="false">INDEX(Calc!$G$2:$G$124,MATCH($W126,Calc!$A$2:$A$124,0))&amp;" / "&amp;INDEX(Calc!$H$2:$H$124,MATCH($W126,Calc!$A$2:$A$124,0))</f>
        <v>Nuke / Anubis</v>
      </c>
      <c r="U126" s="0" t="str">
        <f aca="false">TEXT(INDEX(Calc!$J$2:$J$124,MATCH($W126,Calc!$A$2:$A$124,0)),"0.0")&amp;" / "&amp;TEXT(INDEX(Calc!$K$2:$K$124,MATCH($W126,Calc!$A$2:$A$124,0)),"0.0")</f>
        <v>21.4 / 21.2</v>
      </c>
      <c r="V126" s="0" t="str">
        <f aca="false">IFERROR(INDEX(Calc!$AQ$2:$AQ$124,MATCH($W126,Calc!$A$2:$A$124,0)),"")</f>
        <v/>
      </c>
      <c r="W126" s="9" t="s">
        <v>1272</v>
      </c>
      <c r="X126" s="9" t="s">
        <v>1110</v>
      </c>
      <c r="Y126" s="0" t="str">
        <f aca="false">W126&amp;"|"&amp;X126</f>
        <v>we8rbjpf65bc2tn|CS2 · FUT vs TL|H12</v>
      </c>
      <c r="Z126" s="11" t="n">
        <f aca="false">IFERROR(INDEX(CHOOSE(MATCH($X126,{"K1","K2","K3","K12","K13","H1","H2","H3","H12","H13"},0),Calc!$BA$2:$BA$124,Calc!$BB$2:$BB$124,Calc!$BC$2:$BC$124,Calc!$BD$2:$BD$124,Calc!$BE$2:$BE$124,Calc!$BF$2:$BF$124,Calc!$BG$2:$BG$124,Calc!$BH$2:$BH$124,Calc!$BI$2:$BI$124,Calc!$BJ$2:$BJ$124),MATCH($W126,Calc!$A$2:$A$124,0)),"")</f>
        <v>18.1919791842089</v>
      </c>
      <c r="AA126" s="11" t="n">
        <f aca="false">IF(Z126="","",IF(LEFT($X126,1)="H",SQRT(Z126*(IFERROR(INDEX(Calc!$AP$2:$AP$124,MATCH($W126,Calc!$A$2:$A$124,0)),0.5)*Config!$B$5+1-IFERROR(INDEX(Calc!$AP$2:$AP$124,MATCH($W126,Calc!$A$2:$A$124,0)),0.5))),SQRT(Z126*Config!$B$5)))</f>
        <v>4.72459956365289</v>
      </c>
      <c r="AB126" s="10" t="n">
        <f aca="false">IF(OR(F126="",Z126="",N(AA126)&lt;=0),"",1-NORMDIST(FLOOR(F126,1)+0.5,Z126,AA126,TRUE()))</f>
        <v>0.474009324931334</v>
      </c>
      <c r="AC126" s="10" t="n">
        <f aca="false">IF(AB126="","",NORMDIST(CEILING(F126,1)-0.5,Z126,AA126,TRUE()))</f>
        <v>0.441777935083788</v>
      </c>
      <c r="AD126" s="0" t="str">
        <f aca="false">IF(AB126="","",IF(AB126&gt;=0.5+Config!$B$6,"OVER",IF(AC126&gt;=0.5+Config!$B$6,"UNDER","—")))</f>
        <v>—</v>
      </c>
      <c r="AE126" s="13" t="n">
        <f aca="false">IFERROR(Z126/G126,"")</f>
        <v>0.937337607329928</v>
      </c>
    </row>
    <row r="127" customFormat="false" ht="15" hidden="false" customHeight="false" outlineLevel="0" collapsed="false">
      <c r="A127" s="0" t="s">
        <v>988</v>
      </c>
      <c r="B127" s="0" t="s">
        <v>905</v>
      </c>
      <c r="C127" s="0" t="s">
        <v>1271</v>
      </c>
      <c r="D127" s="0" t="s">
        <v>995</v>
      </c>
      <c r="E127" s="0" t="s">
        <v>1111</v>
      </c>
      <c r="F127" s="0" t="n">
        <v>31</v>
      </c>
      <c r="G127" s="11" t="n">
        <f aca="false">IFERROR(INDEX(CHOOSE(MATCH($X127,{"K1","K2","K3","K12","K13","H1","H2","H3","H12","H13"},0),Calc!$V$2:$V$124,Calc!$AC$2:$AC$124,Calc!$AJ$2:$AJ$124,Calc!$AL$2:$AL$124,Calc!$AM$2:$AM$124,Calc!$W$2:$W$124,Calc!$AD$2:$AD$124,Calc!$AK$2:$AK$124,Calc!$AN$2:$AN$124,Calc!$AO$2:$AO$124),MATCH($W127,Calc!$A$2:$A$124,0)),"")</f>
        <v>34.197025</v>
      </c>
      <c r="H127" s="11" t="n">
        <f aca="false">IF(G127="","",IF(LEFT($X127,1)="H",SQRT(G127*(IFERROR(INDEX(Calc!$AP$2:$AP$124,MATCH($W127,Calc!$A$2:$A$124,0)),0.5)*Config!$B$5+1-IFERROR(INDEX(Calc!$AP$2:$AP$124,MATCH($W127,Calc!$A$2:$A$124,0)),0.5))),SQRT(G127*Config!$B$5)))</f>
        <v>6.91923659083862</v>
      </c>
      <c r="I127" s="10" t="n">
        <f aca="false">IF(OR(F127="",G127="",N(H127)&lt;=0),"",1-NORMDIST(FLOOR(F127,1)+0.5,G127,H127,TRUE()))</f>
        <v>0.651652785672712</v>
      </c>
      <c r="J127" s="10" t="n">
        <f aca="false">IF(I127="","",NORMDIST(CEILING(F127,1)-0.5,G127,H127,TRUE()))</f>
        <v>0.296563152605678</v>
      </c>
      <c r="K127" s="10" t="n">
        <f aca="false">IF(I127="","",MAX(0,1-I127-J127))</f>
        <v>0.0517840617216104</v>
      </c>
      <c r="L127" s="0" t="str">
        <f aca="false">IF(I127="","",IF(I127&gt;=0.5+Config!$B$6,"OVER",IF(J127&gt;=0.5+Config!$B$6,"UNDER","—")))</f>
        <v>OVER</v>
      </c>
      <c r="M127" s="0" t="n">
        <v>31.4</v>
      </c>
      <c r="N127" s="0" t="n">
        <v>32</v>
      </c>
      <c r="O127" s="10" t="n">
        <v>0.6</v>
      </c>
      <c r="P127" s="10" t="n">
        <v>0.5</v>
      </c>
      <c r="Q127" s="10" t="n">
        <v>0.67</v>
      </c>
      <c r="R127" s="9" t="s">
        <v>1124</v>
      </c>
      <c r="S127" s="0" t="n">
        <v>2</v>
      </c>
      <c r="T127" s="0" t="str">
        <f aca="false">INDEX(Calc!$G$2:$G$124,MATCH($W127,Calc!$A$2:$A$124,0))&amp;" / "&amp;INDEX(Calc!$H$2:$H$124,MATCH($W127,Calc!$A$2:$A$124,0))</f>
        <v>Nuke / Anubis</v>
      </c>
      <c r="U127" s="0" t="str">
        <f aca="false">TEXT(INDEX(Calc!$J$2:$J$124,MATCH($W127,Calc!$A$2:$A$124,0)),"0.0")&amp;" / "&amp;TEXT(INDEX(Calc!$K$2:$K$124,MATCH($W127,Calc!$A$2:$A$124,0)),"0.0")</f>
        <v>21.4 / 21.2</v>
      </c>
      <c r="V127" s="0" t="str">
        <f aca="false">IFERROR(INDEX(Calc!$AQ$2:$AQ$124,MATCH($W127,Calc!$A$2:$A$124,0)),"")</f>
        <v/>
      </c>
      <c r="W127" s="9" t="s">
        <v>1272</v>
      </c>
      <c r="X127" s="9" t="s">
        <v>1112</v>
      </c>
      <c r="Y127" s="0" t="str">
        <f aca="false">W127&amp;"|"&amp;X127</f>
        <v>we8rbjpf65bc2tn|CS2 · FUT vs TL|K12</v>
      </c>
      <c r="Z127" s="11" t="n">
        <f aca="false">IFERROR(INDEX(CHOOSE(MATCH($X127,{"K1","K2","K3","K12","K13","H1","H2","H3","H12","H13"},0),Calc!$BA$2:$BA$124,Calc!$BB$2:$BB$124,Calc!$BC$2:$BC$124,Calc!$BD$2:$BD$124,Calc!$BE$2:$BE$124,Calc!$BF$2:$BF$124,Calc!$BG$2:$BG$124,Calc!$BH$2:$BH$124,Calc!$BI$2:$BI$124,Calc!$BJ$2:$BJ$124),MATCH($W127,Calc!$A$2:$A$124,0)),"")</f>
        <v>32.0503930981442</v>
      </c>
      <c r="AA127" s="11" t="n">
        <f aca="false">IF(Z127="","",IF(LEFT($X127,1)="H",SQRT(Z127*(IFERROR(INDEX(Calc!$AP$2:$AP$124,MATCH($W127,Calc!$A$2:$A$124,0)),0.5)*Config!$B$5+1-IFERROR(INDEX(Calc!$AP$2:$AP$124,MATCH($W127,Calc!$A$2:$A$124,0)),0.5))),SQRT(Z127*Config!$B$5)))</f>
        <v>6.69854837538715</v>
      </c>
      <c r="AB127" s="10" t="n">
        <f aca="false">IF(OR(F127="",Z127="",N(AA127)&lt;=0),"",1-NORMDIST(FLOOR(F127,1)+0.5,Z127,AA127,TRUE()))</f>
        <v>0.532742655196716</v>
      </c>
      <c r="AC127" s="10" t="n">
        <f aca="false">IF(AB127="","",NORMDIST(CEILING(F127,1)-0.5,Z127,AA127,TRUE()))</f>
        <v>0.408481796337685</v>
      </c>
      <c r="AD127" s="0" t="str">
        <f aca="false">IF(AB127="","",IF(AB127&gt;=0.5+Config!$B$6,"OVER",IF(AC127&gt;=0.5+Config!$B$6,"UNDER","—")))</f>
        <v>—</v>
      </c>
      <c r="AE127" s="13" t="n">
        <f aca="false">IFERROR(Z127/G127,"")</f>
        <v>0.937227524854696</v>
      </c>
    </row>
    <row r="128" customFormat="false" ht="15" hidden="false" customHeight="false" outlineLevel="0" collapsed="false">
      <c r="A128" s="0" t="s">
        <v>988</v>
      </c>
      <c r="B128" s="0" t="s">
        <v>905</v>
      </c>
      <c r="C128" s="0" t="s">
        <v>1273</v>
      </c>
      <c r="D128" s="0" t="s">
        <v>995</v>
      </c>
      <c r="E128" s="0" t="s">
        <v>1107</v>
      </c>
      <c r="F128" s="0" t="n">
        <v>9.5</v>
      </c>
      <c r="G128" s="11" t="n">
        <f aca="false">IFERROR(INDEX(CHOOSE(MATCH($X128,{"K1","K2","K3","K12","K13","H1","H2","H3","H12","H13"},0),Calc!$V$2:$V$124,Calc!$AC$2:$AC$124,Calc!$AJ$2:$AJ$124,Calc!$AL$2:$AL$124,Calc!$AM$2:$AM$124,Calc!$W$2:$W$124,Calc!$AD$2:$AD$124,Calc!$AK$2:$AK$124,Calc!$AN$2:$AN$124,Calc!$AO$2:$AO$124),MATCH($W128,Calc!$A$2:$A$124,0)),"")</f>
        <v>9.64481577013889</v>
      </c>
      <c r="H128" s="11" t="n">
        <f aca="false">IF(G128="","",IF(LEFT($X128,1)="H",SQRT(G128*(IFERROR(INDEX(Calc!$AP$2:$AP$124,MATCH($W128,Calc!$A$2:$A$124,0)),0.5)*Config!$B$5+1-IFERROR(INDEX(Calc!$AP$2:$AP$124,MATCH($W128,Calc!$A$2:$A$124,0)),0.5))),SQRT(G128*Config!$B$5)))</f>
        <v>3.29138511409809</v>
      </c>
      <c r="I128" s="10" t="n">
        <f aca="false">IF(OR(F128="",G128="",N(H128)&lt;=0),"",1-NORMDIST(FLOOR(F128,1)+0.5,G128,H128,TRUE()))</f>
        <v>0.517547171435257</v>
      </c>
      <c r="J128" s="10" t="n">
        <f aca="false">IF(I128="","",NORMDIST(CEILING(F128,1)-0.5,G128,H128,TRUE()))</f>
        <v>0.482452828564744</v>
      </c>
      <c r="K128" s="10" t="n">
        <f aca="false">IF(I128="","",MAX(0,1-I128-J128))</f>
        <v>0</v>
      </c>
      <c r="L128" s="0" t="str">
        <f aca="false">IF(I128="","",IF(I128&gt;=0.5+Config!$B$6,"OVER",IF(J128&gt;=0.5+Config!$B$6,"UNDER","—")))</f>
        <v>—</v>
      </c>
      <c r="N128" s="0" t="n">
        <v>10</v>
      </c>
      <c r="O128" s="10" t="n">
        <v>0.8</v>
      </c>
      <c r="P128" s="10" t="n">
        <v>0.7</v>
      </c>
      <c r="Q128" s="10" t="n">
        <v>0.73</v>
      </c>
      <c r="R128" s="9" t="s">
        <v>1131</v>
      </c>
      <c r="S128" s="0" t="n">
        <v>2</v>
      </c>
      <c r="T128" s="0" t="str">
        <f aca="false">INDEX(Calc!$G$2:$G$124,MATCH($W128,Calc!$A$2:$A$124,0))&amp;" / "&amp;INDEX(Calc!$H$2:$H$124,MATCH($W128,Calc!$A$2:$A$124,0))</f>
        <v>Nuke / Anubis</v>
      </c>
      <c r="U128" s="0" t="str">
        <f aca="false">TEXT(INDEX(Calc!$J$2:$J$124,MATCH($W128,Calc!$A$2:$A$124,0)),"0.0")&amp;" / "&amp;TEXT(INDEX(Calc!$K$2:$K$124,MATCH($W128,Calc!$A$2:$A$124,0)),"0.0")</f>
        <v>21.4 / 21.2</v>
      </c>
      <c r="V128" s="0" t="str">
        <f aca="false">IFERROR(INDEX(Calc!$AQ$2:$AQ$124,MATCH($W128,Calc!$A$2:$A$124,0)),"")</f>
        <v/>
      </c>
      <c r="W128" s="9" t="s">
        <v>1274</v>
      </c>
      <c r="X128" s="9" t="s">
        <v>1110</v>
      </c>
      <c r="Y128" s="0" t="str">
        <f aca="false">W128&amp;"|"&amp;X128</f>
        <v>eb7cqiuc8bqx4zr|CS2 · FUT vs TL|H12</v>
      </c>
      <c r="Z128" s="11" t="n">
        <f aca="false">IFERROR(INDEX(CHOOSE(MATCH($X128,{"K1","K2","K3","K12","K13","H1","H2","H3","H12","H13"},0),Calc!$BA$2:$BA$124,Calc!$BB$2:$BB$124,Calc!$BC$2:$BC$124,Calc!$BD$2:$BD$124,Calc!$BE$2:$BE$124,Calc!$BF$2:$BF$124,Calc!$BG$2:$BG$124,Calc!$BH$2:$BH$124,Calc!$BI$2:$BI$124,Calc!$BJ$2:$BJ$124),MATCH($W128,Calc!$A$2:$A$124,0)),"")</f>
        <v>9.0305936198834</v>
      </c>
      <c r="AA128" s="11" t="n">
        <f aca="false">IF(Z128="","",IF(LEFT($X128,1)="H",SQRT(Z128*(IFERROR(INDEX(Calc!$AP$2:$AP$124,MATCH($W128,Calc!$A$2:$A$124,0)),0.5)*Config!$B$5+1-IFERROR(INDEX(Calc!$AP$2:$AP$124,MATCH($W128,Calc!$A$2:$A$124,0)),0.5))),SQRT(Z128*Config!$B$5)))</f>
        <v>3.18485659503852</v>
      </c>
      <c r="AB128" s="10" t="n">
        <f aca="false">IF(OR(F128="",Z128="",N(AA128)&lt;=0),"",1-NORMDIST(FLOOR(F128,1)+0.5,Z128,AA128,TRUE()))</f>
        <v>0.441413292751537</v>
      </c>
      <c r="AC128" s="10" t="n">
        <f aca="false">IF(AB128="","",NORMDIST(CEILING(F128,1)-0.5,Z128,AA128,TRUE()))</f>
        <v>0.558586707248463</v>
      </c>
      <c r="AD128" s="0" t="str">
        <f aca="false">IF(AB128="","",IF(AB128&gt;=0.5+Config!$B$6,"OVER",IF(AC128&gt;=0.5+Config!$B$6,"UNDER","—")))</f>
        <v>UNDER</v>
      </c>
      <c r="AE128" s="13" t="n">
        <f aca="false">IFERROR(Z128/G128,"")</f>
        <v>0.936315823454382</v>
      </c>
    </row>
    <row r="129" customFormat="false" ht="15" hidden="false" customHeight="false" outlineLevel="0" collapsed="false">
      <c r="A129" s="0" t="s">
        <v>988</v>
      </c>
      <c r="B129" s="0" t="s">
        <v>905</v>
      </c>
      <c r="C129" s="0" t="s">
        <v>1273</v>
      </c>
      <c r="D129" s="0" t="s">
        <v>995</v>
      </c>
      <c r="E129" s="0" t="s">
        <v>1111</v>
      </c>
      <c r="F129" s="0" t="n">
        <v>27.5</v>
      </c>
      <c r="G129" s="11" t="n">
        <f aca="false">IFERROR(INDEX(CHOOSE(MATCH($X129,{"K1","K2","K3","K12","K13","H1","H2","H3","H12","H13"},0),Calc!$V$2:$V$124,Calc!$AC$2:$AC$124,Calc!$AJ$2:$AJ$124,Calc!$AL$2:$AL$124,Calc!$AM$2:$AM$124,Calc!$W$2:$W$124,Calc!$AD$2:$AD$124,Calc!$AK$2:$AK$124,Calc!$AN$2:$AN$124,Calc!$AO$2:$AO$124),MATCH($W129,Calc!$A$2:$A$124,0)),"")</f>
        <v>31.31015</v>
      </c>
      <c r="H129" s="11" t="n">
        <f aca="false">IF(G129="","",IF(LEFT($X129,1)="H",SQRT(G129*(IFERROR(INDEX(Calc!$AP$2:$AP$124,MATCH($W129,Calc!$A$2:$A$124,0)),0.5)*Config!$B$5+1-IFERROR(INDEX(Calc!$AP$2:$AP$124,MATCH($W129,Calc!$A$2:$A$124,0)),0.5))),SQRT(G129*Config!$B$5)))</f>
        <v>6.62074089509626</v>
      </c>
      <c r="I129" s="10" t="n">
        <f aca="false">IF(OR(F129="",G129="",N(H129)&lt;=0),"",1-NORMDIST(FLOOR(F129,1)+0.5,G129,H129,TRUE()))</f>
        <v>0.717518993795994</v>
      </c>
      <c r="J129" s="10" t="n">
        <f aca="false">IF(I129="","",NORMDIST(CEILING(F129,1)-0.5,G129,H129,TRUE()))</f>
        <v>0.282481006204006</v>
      </c>
      <c r="K129" s="10" t="n">
        <f aca="false">IF(I129="","",MAX(0,1-I129-J129))</f>
        <v>0</v>
      </c>
      <c r="L129" s="0" t="str">
        <f aca="false">IF(I129="","",IF(I129&gt;=0.5+Config!$B$6,"OVER",IF(J129&gt;=0.5+Config!$B$6,"UNDER","—")))</f>
        <v>OVER</v>
      </c>
      <c r="M129" s="0" t="n">
        <v>27.91</v>
      </c>
      <c r="N129" s="0" t="n">
        <v>29.1</v>
      </c>
      <c r="O129" s="10" t="n">
        <v>0.6</v>
      </c>
      <c r="P129" s="10" t="n">
        <v>0.7</v>
      </c>
      <c r="Q129" s="10" t="n">
        <v>0.73</v>
      </c>
      <c r="R129" s="9" t="s">
        <v>1131</v>
      </c>
      <c r="S129" s="0" t="n">
        <v>2</v>
      </c>
      <c r="T129" s="0" t="str">
        <f aca="false">INDEX(Calc!$G$2:$G$124,MATCH($W129,Calc!$A$2:$A$124,0))&amp;" / "&amp;INDEX(Calc!$H$2:$H$124,MATCH($W129,Calc!$A$2:$A$124,0))</f>
        <v>Nuke / Anubis</v>
      </c>
      <c r="U129" s="0" t="str">
        <f aca="false">TEXT(INDEX(Calc!$J$2:$J$124,MATCH($W129,Calc!$A$2:$A$124,0)),"0.0")&amp;" / "&amp;TEXT(INDEX(Calc!$K$2:$K$124,MATCH($W129,Calc!$A$2:$A$124,0)),"0.0")</f>
        <v>21.4 / 21.2</v>
      </c>
      <c r="V129" s="0" t="str">
        <f aca="false">IFERROR(INDEX(Calc!$AQ$2:$AQ$124,MATCH($W129,Calc!$A$2:$A$124,0)),"")</f>
        <v/>
      </c>
      <c r="W129" s="9" t="s">
        <v>1274</v>
      </c>
      <c r="X129" s="9" t="s">
        <v>1112</v>
      </c>
      <c r="Y129" s="0" t="str">
        <f aca="false">W129&amp;"|"&amp;X129</f>
        <v>eb7cqiuc8bqx4zr|CS2 · FUT vs TL|K12</v>
      </c>
      <c r="Z129" s="11" t="n">
        <f aca="false">IFERROR(INDEX(CHOOSE(MATCH($X129,{"K1","K2","K3","K12","K13","H1","H2","H3","H12","H13"},0),Calc!$BA$2:$BA$124,Calc!$BB$2:$BB$124,Calc!$BC$2:$BC$124,Calc!$BD$2:$BD$124,Calc!$BE$2:$BE$124,Calc!$BF$2:$BF$124,Calc!$BG$2:$BG$124,Calc!$BH$2:$BH$124,Calc!$BI$2:$BI$124,Calc!$BJ$2:$BJ$124),MATCH($W129,Calc!$A$2:$A$124,0)),"")</f>
        <v>29.3451146891747</v>
      </c>
      <c r="AA129" s="11" t="n">
        <f aca="false">IF(Z129="","",IF(LEFT($X129,1)="H",SQRT(Z129*(IFERROR(INDEX(Calc!$AP$2:$AP$124,MATCH($W129,Calc!$A$2:$A$124,0)),0.5)*Config!$B$5+1-IFERROR(INDEX(Calc!$AP$2:$AP$124,MATCH($W129,Calc!$A$2:$A$124,0)),0.5))),SQRT(Z129*Config!$B$5)))</f>
        <v>6.40961469706601</v>
      </c>
      <c r="AB129" s="10" t="n">
        <f aca="false">IF(OR(F129="",Z129="",N(AA129)&lt;=0),"",1-NORMDIST(FLOOR(F129,1)+0.5,Z129,AA129,TRUE()))</f>
        <v>0.61327561448171</v>
      </c>
      <c r="AC129" s="10" t="n">
        <f aca="false">IF(AB129="","",NORMDIST(CEILING(F129,1)-0.5,Z129,AA129,TRUE()))</f>
        <v>0.38672438551829</v>
      </c>
      <c r="AD129" s="0" t="str">
        <f aca="false">IF(AB129="","",IF(AB129&gt;=0.5+Config!$B$6,"OVER",IF(AC129&gt;=0.5+Config!$B$6,"UNDER","—")))</f>
        <v>OVER</v>
      </c>
      <c r="AE129" s="13" t="n">
        <f aca="false">IFERROR(Z129/G129,"")</f>
        <v>0.93723967113459</v>
      </c>
    </row>
    <row r="130" customFormat="false" ht="15" hidden="false" customHeight="false" outlineLevel="0" collapsed="false">
      <c r="A130" s="0" t="s">
        <v>988</v>
      </c>
      <c r="B130" s="0" t="s">
        <v>905</v>
      </c>
      <c r="C130" s="0" t="s">
        <v>1275</v>
      </c>
      <c r="D130" s="0" t="s">
        <v>995</v>
      </c>
      <c r="E130" s="0" t="s">
        <v>1107</v>
      </c>
      <c r="F130" s="0" t="n">
        <v>12.5</v>
      </c>
      <c r="G130" s="11" t="n">
        <f aca="false">IFERROR(INDEX(CHOOSE(MATCH($X130,{"K1","K2","K3","K12","K13","H1","H2","H3","H12","H13"},0),Calc!$V$2:$V$124,Calc!$AC$2:$AC$124,Calc!$AJ$2:$AJ$124,Calc!$AL$2:$AL$124,Calc!$AM$2:$AM$124,Calc!$W$2:$W$124,Calc!$AD$2:$AD$124,Calc!$AK$2:$AK$124,Calc!$AN$2:$AN$124,Calc!$AO$2:$AO$124),MATCH($W130,Calc!$A$2:$A$124,0)),"")</f>
        <v>12.0353837885417</v>
      </c>
      <c r="H130" s="11" t="n">
        <f aca="false">IF(G130="","",IF(LEFT($X130,1)="H",SQRT(G130*(IFERROR(INDEX(Calc!$AP$2:$AP$124,MATCH($W130,Calc!$A$2:$A$124,0)),0.5)*Config!$B$5+1-IFERROR(INDEX(Calc!$AP$2:$AP$124,MATCH($W130,Calc!$A$2:$A$124,0)),0.5))),SQRT(G130*Config!$B$5)))</f>
        <v>3.82810436202447</v>
      </c>
      <c r="I130" s="10" t="n">
        <f aca="false">IF(OR(F130="",G130="",N(H130)&lt;=0),"",1-NORMDIST(FLOOR(F130,1)+0.5,G130,H130,TRUE()))</f>
        <v>0.45169907316782</v>
      </c>
      <c r="J130" s="10" t="n">
        <f aca="false">IF(I130="","",NORMDIST(CEILING(F130,1)-0.5,G130,H130,TRUE()))</f>
        <v>0.54830092683218</v>
      </c>
      <c r="K130" s="10" t="n">
        <f aca="false">IF(I130="","",MAX(0,1-I130-J130))</f>
        <v>0</v>
      </c>
      <c r="L130" s="0" t="str">
        <f aca="false">IF(I130="","",IF(I130&gt;=0.5+Config!$B$6,"OVER",IF(J130&gt;=0.5+Config!$B$6,"UNDER","—")))</f>
        <v>UNDER</v>
      </c>
      <c r="N130" s="0" t="n">
        <v>12.8</v>
      </c>
      <c r="O130" s="10" t="n">
        <v>0.4</v>
      </c>
      <c r="P130" s="10" t="n">
        <v>0.3</v>
      </c>
      <c r="Q130" s="10" t="n">
        <v>0.4</v>
      </c>
      <c r="R130" s="9" t="s">
        <v>1114</v>
      </c>
      <c r="S130" s="0" t="n">
        <v>1</v>
      </c>
      <c r="T130" s="0" t="str">
        <f aca="false">INDEX(Calc!$G$2:$G$124,MATCH($W130,Calc!$A$2:$A$124,0))&amp;" / "&amp;INDEX(Calc!$H$2:$H$124,MATCH($W130,Calc!$A$2:$A$124,0))</f>
        <v>Nuke / Anubis</v>
      </c>
      <c r="U130" s="0" t="str">
        <f aca="false">TEXT(INDEX(Calc!$J$2:$J$124,MATCH($W130,Calc!$A$2:$A$124,0)),"0.0")&amp;" / "&amp;TEXT(INDEX(Calc!$K$2:$K$124,MATCH($W130,Calc!$A$2:$A$124,0)),"0.0")</f>
        <v>21.4 / 21.2</v>
      </c>
      <c r="V130" s="0" t="str">
        <f aca="false">IFERROR(INDEX(Calc!$AQ$2:$AQ$124,MATCH($W130,Calc!$A$2:$A$124,0)),"")</f>
        <v/>
      </c>
      <c r="W130" s="9" t="s">
        <v>1276</v>
      </c>
      <c r="X130" s="9" t="s">
        <v>1110</v>
      </c>
      <c r="Y130" s="0" t="str">
        <f aca="false">W130&amp;"|"&amp;X130</f>
        <v>j4y4z5p4stvkatz|CS2 · FUT vs TL|H12</v>
      </c>
      <c r="Z130" s="11" t="n">
        <f aca="false">IFERROR(INDEX(CHOOSE(MATCH($X130,{"K1","K2","K3","K12","K13","H1","H2","H3","H12","H13"},0),Calc!$BA$2:$BA$124,Calc!$BB$2:$BB$124,Calc!$BC$2:$BC$124,Calc!$BD$2:$BD$124,Calc!$BE$2:$BE$124,Calc!$BF$2:$BF$124,Calc!$BG$2:$BG$124,Calc!$BH$2:$BH$124,Calc!$BI$2:$BI$124,Calc!$BJ$2:$BJ$124),MATCH($W130,Calc!$A$2:$A$124,0)),"")</f>
        <v>11.2851881973425</v>
      </c>
      <c r="AA130" s="11" t="n">
        <f aca="false">IF(Z130="","",IF(LEFT($X130,1)="H",SQRT(Z130*(IFERROR(INDEX(Calc!$AP$2:$AP$124,MATCH($W130,Calc!$A$2:$A$124,0)),0.5)*Config!$B$5+1-IFERROR(INDEX(Calc!$AP$2:$AP$124,MATCH($W130,Calc!$A$2:$A$124,0)),0.5))),SQRT(Z130*Config!$B$5)))</f>
        <v>3.70687720862261</v>
      </c>
      <c r="AB130" s="10" t="n">
        <f aca="false">IF(OR(F130="",Z130="",N(AA130)&lt;=0),"",1-NORMDIST(FLOOR(F130,1)+0.5,Z130,AA130,TRUE()))</f>
        <v>0.371562301569169</v>
      </c>
      <c r="AC130" s="10" t="n">
        <f aca="false">IF(AB130="","",NORMDIST(CEILING(F130,1)-0.5,Z130,AA130,TRUE()))</f>
        <v>0.628437698430831</v>
      </c>
      <c r="AD130" s="0" t="str">
        <f aca="false">IF(AB130="","",IF(AB130&gt;=0.5+Config!$B$6,"OVER",IF(AC130&gt;=0.5+Config!$B$6,"UNDER","—")))</f>
        <v>UNDER</v>
      </c>
      <c r="AE130" s="13" t="n">
        <f aca="false">IFERROR(Z130/G130,"")</f>
        <v>0.937667497407656</v>
      </c>
    </row>
    <row r="131" customFormat="false" ht="15" hidden="false" customHeight="false" outlineLevel="0" collapsed="false">
      <c r="A131" s="0" t="s">
        <v>988</v>
      </c>
      <c r="B131" s="0" t="s">
        <v>905</v>
      </c>
      <c r="C131" s="0" t="s">
        <v>1275</v>
      </c>
      <c r="D131" s="0" t="s">
        <v>995</v>
      </c>
      <c r="E131" s="0" t="s">
        <v>1111</v>
      </c>
      <c r="F131" s="0" t="n">
        <v>23</v>
      </c>
      <c r="G131" s="11" t="n">
        <f aca="false">IFERROR(INDEX(CHOOSE(MATCH($X131,{"K1","K2","K3","K12","K13","H1","H2","H3","H12","H13"},0),Calc!$V$2:$V$124,Calc!$AC$2:$AC$124,Calc!$AJ$2:$AJ$124,Calc!$AL$2:$AL$124,Calc!$AM$2:$AM$124,Calc!$W$2:$W$124,Calc!$AD$2:$AD$124,Calc!$AK$2:$AK$124,Calc!$AN$2:$AN$124,Calc!$AO$2:$AO$124),MATCH($W131,Calc!$A$2:$A$124,0)),"")</f>
        <v>22.123025</v>
      </c>
      <c r="H131" s="11" t="n">
        <f aca="false">IF(G131="","",IF(LEFT($X131,1)="H",SQRT(G131*(IFERROR(INDEX(Calc!$AP$2:$AP$124,MATCH($W131,Calc!$A$2:$A$124,0)),0.5)*Config!$B$5+1-IFERROR(INDEX(Calc!$AP$2:$AP$124,MATCH($W131,Calc!$A$2:$A$124,0)),0.5))),SQRT(G131*Config!$B$5)))</f>
        <v>5.56527043368065</v>
      </c>
      <c r="I131" s="10" t="n">
        <f aca="false">IF(OR(F131="",G131="",N(H131)&lt;=0),"",1-NORMDIST(FLOOR(F131,1)+0.5,G131,H131,TRUE()))</f>
        <v>0.402290501022796</v>
      </c>
      <c r="J131" s="10" t="n">
        <f aca="false">IF(I131="","",NORMDIST(CEILING(F131,1)-0.5,G131,H131,TRUE()))</f>
        <v>0.527002522186321</v>
      </c>
      <c r="K131" s="10" t="n">
        <f aca="false">IF(I131="","",MAX(0,1-I131-J131))</f>
        <v>0.0707069767908832</v>
      </c>
      <c r="L131" s="0" t="str">
        <f aca="false">IF(I131="","",IF(I131&gt;=0.5+Config!$B$6,"OVER",IF(J131&gt;=0.5+Config!$B$6,"UNDER","—")))</f>
        <v>—</v>
      </c>
      <c r="M131" s="0" t="n">
        <v>23.17</v>
      </c>
      <c r="N131" s="0" t="n">
        <v>22.6</v>
      </c>
      <c r="O131" s="10" t="n">
        <v>0.4</v>
      </c>
      <c r="P131" s="10" t="n">
        <v>0.4</v>
      </c>
      <c r="Q131" s="10" t="n">
        <v>0.53</v>
      </c>
      <c r="R131" s="9" t="s">
        <v>1121</v>
      </c>
      <c r="S131" s="0" t="n">
        <v>1</v>
      </c>
      <c r="T131" s="0" t="str">
        <f aca="false">INDEX(Calc!$G$2:$G$124,MATCH($W131,Calc!$A$2:$A$124,0))&amp;" / "&amp;INDEX(Calc!$H$2:$H$124,MATCH($W131,Calc!$A$2:$A$124,0))</f>
        <v>Nuke / Anubis</v>
      </c>
      <c r="U131" s="0" t="str">
        <f aca="false">TEXT(INDEX(Calc!$J$2:$J$124,MATCH($W131,Calc!$A$2:$A$124,0)),"0.0")&amp;" / "&amp;TEXT(INDEX(Calc!$K$2:$K$124,MATCH($W131,Calc!$A$2:$A$124,0)),"0.0")</f>
        <v>21.4 / 21.2</v>
      </c>
      <c r="V131" s="0" t="str">
        <f aca="false">IFERROR(INDEX(Calc!$AQ$2:$AQ$124,MATCH($W131,Calc!$A$2:$A$124,0)),"")</f>
        <v/>
      </c>
      <c r="W131" s="9" t="s">
        <v>1276</v>
      </c>
      <c r="X131" s="9" t="s">
        <v>1112</v>
      </c>
      <c r="Y131" s="0" t="str">
        <f aca="false">W131&amp;"|"&amp;X131</f>
        <v>j4y4z5p4stvkatz|CS2 · FUT vs TL|K12</v>
      </c>
      <c r="Z131" s="11" t="n">
        <f aca="false">IFERROR(INDEX(CHOOSE(MATCH($X131,{"K1","K2","K3","K12","K13","H1","H2","H3","H12","H13"},0),Calc!$BA$2:$BA$124,Calc!$BB$2:$BB$124,Calc!$BC$2:$BC$124,Calc!$BD$2:$BD$124,Calc!$BE$2:$BE$124,Calc!$BF$2:$BF$124,Calc!$BG$2:$BG$124,Calc!$BH$2:$BH$124,Calc!$BI$2:$BI$124,Calc!$BJ$2:$BJ$124),MATCH($W131,Calc!$A$2:$A$124,0)),"")</f>
        <v>20.7538612546404</v>
      </c>
      <c r="AA131" s="11" t="n">
        <f aca="false">IF(Z131="","",IF(LEFT($X131,1)="H",SQRT(Z131*(IFERROR(INDEX(Calc!$AP$2:$AP$124,MATCH($W131,Calc!$A$2:$A$124,0)),0.5)*Config!$B$5+1-IFERROR(INDEX(Calc!$AP$2:$AP$124,MATCH($W131,Calc!$A$2:$A$124,0)),0.5))),SQRT(Z131*Config!$B$5)))</f>
        <v>5.39030664772391</v>
      </c>
      <c r="AB131" s="10" t="n">
        <f aca="false">IF(OR(F131="",Z131="",N(AA131)&lt;=0),"",1-NORMDIST(FLOOR(F131,1)+0.5,Z131,AA131,TRUE()))</f>
        <v>0.305215361736099</v>
      </c>
      <c r="AC131" s="10" t="n">
        <f aca="false">IF(AB131="","",NORMDIST(CEILING(F131,1)-0.5,Z131,AA131,TRUE()))</f>
        <v>0.62700846743797</v>
      </c>
      <c r="AD131" s="0" t="str">
        <f aca="false">IF(AB131="","",IF(AB131&gt;=0.5+Config!$B$6,"OVER",IF(AC131&gt;=0.5+Config!$B$6,"UNDER","—")))</f>
        <v>UNDER</v>
      </c>
      <c r="AE131" s="13" t="n">
        <f aca="false">IFERROR(Z131/G131,"")</f>
        <v>0.938111368343182</v>
      </c>
    </row>
    <row r="132" customFormat="false" ht="15" hidden="false" customHeight="false" outlineLevel="0" collapsed="false">
      <c r="A132" s="0" t="s">
        <v>988</v>
      </c>
      <c r="B132" s="0" t="s">
        <v>905</v>
      </c>
      <c r="C132" s="0" t="s">
        <v>1277</v>
      </c>
      <c r="D132" s="0" t="s">
        <v>995</v>
      </c>
      <c r="E132" s="0" t="s">
        <v>1107</v>
      </c>
      <c r="F132" s="0" t="n">
        <v>17.5</v>
      </c>
      <c r="G132" s="11" t="n">
        <f aca="false">IFERROR(INDEX(CHOOSE(MATCH($X132,{"K1","K2","K3","K12","K13","H1","H2","H3","H12","H13"},0),Calc!$V$2:$V$124,Calc!$AC$2:$AC$124,Calc!$AJ$2:$AJ$124,Calc!$AL$2:$AL$124,Calc!$AM$2:$AM$124,Calc!$W$2:$W$124,Calc!$AD$2:$AD$124,Calc!$AK$2:$AK$124,Calc!$AN$2:$AN$124,Calc!$AO$2:$AO$124),MATCH($W132,Calc!$A$2:$A$124,0)),"")</f>
        <v>19.6802114727273</v>
      </c>
      <c r="H132" s="11" t="n">
        <f aca="false">IF(G132="","",IF(LEFT($X132,1)="H",SQRT(G132*(IFERROR(INDEX(Calc!$AP$2:$AP$124,MATCH($W132,Calc!$A$2:$A$124,0)),0.5)*Config!$B$5+1-IFERROR(INDEX(Calc!$AP$2:$AP$124,MATCH($W132,Calc!$A$2:$A$124,0)),0.5))),SQRT(G132*Config!$B$5)))</f>
        <v>4.98893968211566</v>
      </c>
      <c r="I132" s="10" t="n">
        <f aca="false">IF(OR(F132="",G132="",N(H132)&lt;=0),"",1-NORMDIST(FLOOR(F132,1)+0.5,G132,H132,TRUE()))</f>
        <v>0.668947584476939</v>
      </c>
      <c r="J132" s="10" t="n">
        <f aca="false">IF(I132="","",NORMDIST(CEILING(F132,1)-0.5,G132,H132,TRUE()))</f>
        <v>0.331052415523061</v>
      </c>
      <c r="K132" s="10" t="n">
        <f aca="false">IF(I132="","",MAX(0,1-I132-J132))</f>
        <v>0</v>
      </c>
      <c r="L132" s="0" t="str">
        <f aca="false">IF(I132="","",IF(I132&gt;=0.5+Config!$B$6,"OVER",IF(J132&gt;=0.5+Config!$B$6,"UNDER","—")))</f>
        <v>OVER</v>
      </c>
      <c r="N132" s="0" t="n">
        <v>19.2</v>
      </c>
      <c r="O132" s="10" t="n">
        <v>0.4</v>
      </c>
      <c r="P132" s="10" t="n">
        <v>0.6</v>
      </c>
      <c r="Q132" s="10" t="n">
        <v>0.53</v>
      </c>
      <c r="R132" s="9" t="s">
        <v>1114</v>
      </c>
      <c r="S132" s="0" t="n">
        <v>1</v>
      </c>
      <c r="T132" s="0" t="str">
        <f aca="false">INDEX(Calc!$G$2:$G$124,MATCH($W132,Calc!$A$2:$A$124,0))&amp;" / "&amp;INDEX(Calc!$H$2:$H$124,MATCH($W132,Calc!$A$2:$A$124,0))</f>
        <v>Nuke / Anubis</v>
      </c>
      <c r="U132" s="0" t="str">
        <f aca="false">TEXT(INDEX(Calc!$J$2:$J$124,MATCH($W132,Calc!$A$2:$A$124,0)),"0.0")&amp;" / "&amp;TEXT(INDEX(Calc!$K$2:$K$124,MATCH($W132,Calc!$A$2:$A$124,0)),"0.0")</f>
        <v>21.4 / 21.2</v>
      </c>
      <c r="V132" s="0" t="str">
        <f aca="false">IFERROR(INDEX(Calc!$AQ$2:$AQ$124,MATCH($W132,Calc!$A$2:$A$124,0)),"")</f>
        <v/>
      </c>
      <c r="W132" s="9" t="s">
        <v>1278</v>
      </c>
      <c r="X132" s="9" t="s">
        <v>1110</v>
      </c>
      <c r="Y132" s="0" t="str">
        <f aca="false">W132&amp;"|"&amp;X132</f>
        <v>30ba4vwtbgb75sn|CS2 · FUT vs TL|H12</v>
      </c>
      <c r="Z132" s="11" t="n">
        <f aca="false">IFERROR(INDEX(CHOOSE(MATCH($X132,{"K1","K2","K3","K12","K13","H1","H2","H3","H12","H13"},0),Calc!$BA$2:$BA$124,Calc!$BB$2:$BB$124,Calc!$BC$2:$BC$124,Calc!$BD$2:$BD$124,Calc!$BE$2:$BE$124,Calc!$BF$2:$BF$124,Calc!$BG$2:$BG$124,Calc!$BH$2:$BH$124,Calc!$BI$2:$BI$124,Calc!$BJ$2:$BJ$124),MATCH($W132,Calc!$A$2:$A$124,0)),"")</f>
        <v>18.4394311258193</v>
      </c>
      <c r="AA132" s="11" t="n">
        <f aca="false">IF(Z132="","",IF(LEFT($X132,1)="H",SQRT(Z132*(IFERROR(INDEX(Calc!$AP$2:$AP$124,MATCH($W132,Calc!$A$2:$A$124,0)),0.5)*Config!$B$5+1-IFERROR(INDEX(Calc!$AP$2:$AP$124,MATCH($W132,Calc!$A$2:$A$124,0)),0.5))),SQRT(Z132*Config!$B$5)))</f>
        <v>4.82911037768862</v>
      </c>
      <c r="AB132" s="10" t="n">
        <f aca="false">IF(OR(F132="",Z132="",N(AA132)&lt;=0),"",1-NORMDIST(FLOOR(F132,1)+0.5,Z132,AA132,TRUE()))</f>
        <v>0.577121514667209</v>
      </c>
      <c r="AC132" s="10" t="n">
        <f aca="false">IF(AB132="","",NORMDIST(CEILING(F132,1)-0.5,Z132,AA132,TRUE()))</f>
        <v>0.422878485332791</v>
      </c>
      <c r="AD132" s="0" t="str">
        <f aca="false">IF(AB132="","",IF(AB132&gt;=0.5+Config!$B$6,"OVER",IF(AC132&gt;=0.5+Config!$B$6,"UNDER","—")))</f>
        <v>OVER</v>
      </c>
      <c r="AE132" s="13" t="n">
        <f aca="false">IFERROR(Z132/G132,"")</f>
        <v>0.936952895621705</v>
      </c>
    </row>
    <row r="133" customFormat="false" ht="15" hidden="false" customHeight="false" outlineLevel="0" collapsed="false">
      <c r="A133" s="0" t="s">
        <v>988</v>
      </c>
      <c r="B133" s="0" t="s">
        <v>905</v>
      </c>
      <c r="C133" s="0" t="s">
        <v>1277</v>
      </c>
      <c r="D133" s="0" t="s">
        <v>995</v>
      </c>
      <c r="E133" s="0" t="s">
        <v>1111</v>
      </c>
      <c r="F133" s="0" t="n">
        <v>27</v>
      </c>
      <c r="G133" s="11" t="n">
        <f aca="false">IFERROR(INDEX(CHOOSE(MATCH($X133,{"K1","K2","K3","K12","K13","H1","H2","H3","H12","H13"},0),Calc!$V$2:$V$124,Calc!$AC$2:$AC$124,Calc!$AJ$2:$AJ$124,Calc!$AL$2:$AL$124,Calc!$AM$2:$AM$124,Calc!$W$2:$W$124,Calc!$AD$2:$AD$124,Calc!$AK$2:$AK$124,Calc!$AN$2:$AN$124,Calc!$AO$2:$AO$124),MATCH($W133,Calc!$A$2:$A$124,0)),"")</f>
        <v>29.7399</v>
      </c>
      <c r="H133" s="11" t="n">
        <f aca="false">IF(G133="","",IF(LEFT($X133,1)="H",SQRT(G133*(IFERROR(INDEX(Calc!$AP$2:$AP$124,MATCH($W133,Calc!$A$2:$A$124,0)),0.5)*Config!$B$5+1-IFERROR(INDEX(Calc!$AP$2:$AP$124,MATCH($W133,Calc!$A$2:$A$124,0)),0.5))),SQRT(G133*Config!$B$5)))</f>
        <v>6.45258552829794</v>
      </c>
      <c r="I133" s="10" t="n">
        <f aca="false">IF(OR(F133="",G133="",N(H133)&lt;=0),"",1-NORMDIST(FLOOR(F133,1)+0.5,G133,H133,TRUE()))</f>
        <v>0.635753985908265</v>
      </c>
      <c r="J133" s="10" t="n">
        <f aca="false">IF(I133="","",NORMDIST(CEILING(F133,1)-0.5,G133,H133,TRUE()))</f>
        <v>0.307795493908886</v>
      </c>
      <c r="K133" s="10" t="n">
        <f aca="false">IF(I133="","",MAX(0,1-I133-J133))</f>
        <v>0.0564505201828494</v>
      </c>
      <c r="L133" s="0" t="str">
        <f aca="false">IF(I133="","",IF(I133&gt;=0.5+Config!$B$6,"OVER",IF(J133&gt;=0.5+Config!$B$6,"UNDER","—")))</f>
        <v>OVER</v>
      </c>
      <c r="M133" s="0" t="n">
        <v>26.76</v>
      </c>
      <c r="N133" s="0" t="n">
        <v>29.8</v>
      </c>
      <c r="O133" s="10" t="n">
        <v>0.2</v>
      </c>
      <c r="P133" s="10" t="n">
        <v>0.5</v>
      </c>
      <c r="Q133" s="10" t="n">
        <v>0.6</v>
      </c>
      <c r="R133" s="9" t="s">
        <v>1114</v>
      </c>
      <c r="S133" s="0" t="n">
        <v>1</v>
      </c>
      <c r="T133" s="0" t="str">
        <f aca="false">INDEX(Calc!$G$2:$G$124,MATCH($W133,Calc!$A$2:$A$124,0))&amp;" / "&amp;INDEX(Calc!$H$2:$H$124,MATCH($W133,Calc!$A$2:$A$124,0))</f>
        <v>Nuke / Anubis</v>
      </c>
      <c r="U133" s="0" t="str">
        <f aca="false">TEXT(INDEX(Calc!$J$2:$J$124,MATCH($W133,Calc!$A$2:$A$124,0)),"0.0")&amp;" / "&amp;TEXT(INDEX(Calc!$K$2:$K$124,MATCH($W133,Calc!$A$2:$A$124,0)),"0.0")</f>
        <v>21.4 / 21.2</v>
      </c>
      <c r="V133" s="0" t="str">
        <f aca="false">IFERROR(INDEX(Calc!$AQ$2:$AQ$124,MATCH($W133,Calc!$A$2:$A$124,0)),"")</f>
        <v/>
      </c>
      <c r="W133" s="9" t="s">
        <v>1278</v>
      </c>
      <c r="X133" s="9" t="s">
        <v>1112</v>
      </c>
      <c r="Y133" s="0" t="str">
        <f aca="false">W133&amp;"|"&amp;X133</f>
        <v>30ba4vwtbgb75sn|CS2 · FUT vs TL|K12</v>
      </c>
      <c r="Z133" s="11" t="n">
        <f aca="false">IFERROR(INDEX(CHOOSE(MATCH($X133,{"K1","K2","K3","K12","K13","H1","H2","H3","H12","H13"},0),Calc!$BA$2:$BA$124,Calc!$BB$2:$BB$124,Calc!$BC$2:$BC$124,Calc!$BD$2:$BD$124,Calc!$BE$2:$BE$124,Calc!$BF$2:$BF$124,Calc!$BG$2:$BG$124,Calc!$BH$2:$BH$124,Calc!$BI$2:$BI$124,Calc!$BJ$2:$BJ$124),MATCH($W133,Calc!$A$2:$A$124,0)),"")</f>
        <v>27.8709313598024</v>
      </c>
      <c r="AA133" s="11" t="n">
        <f aca="false">IF(Z133="","",IF(LEFT($X133,1)="H",SQRT(Z133*(IFERROR(INDEX(Calc!$AP$2:$AP$124,MATCH($W133,Calc!$A$2:$A$124,0)),0.5)*Config!$B$5+1-IFERROR(INDEX(Calc!$AP$2:$AP$124,MATCH($W133,Calc!$A$2:$A$124,0)),0.5))),SQRT(Z133*Config!$B$5)))</f>
        <v>6.24654335642708</v>
      </c>
      <c r="AB133" s="10" t="n">
        <f aca="false">IF(OR(F133="",Z133="",N(AA133)&lt;=0),"",1-NORMDIST(FLOOR(F133,1)+0.5,Z133,AA133,TRUE()))</f>
        <v>0.523676019199715</v>
      </c>
      <c r="AC133" s="10" t="n">
        <f aca="false">IF(AB133="","",NORMDIST(CEILING(F133,1)-0.5,Z133,AA133,TRUE()))</f>
        <v>0.413141818164025</v>
      </c>
      <c r="AD133" s="0" t="str">
        <f aca="false">IF(AB133="","",IF(AB133&gt;=0.5+Config!$B$6,"OVER",IF(AC133&gt;=0.5+Config!$B$6,"UNDER","—")))</f>
        <v>—</v>
      </c>
      <c r="AE133" s="13" t="n">
        <f aca="false">IFERROR(Z133/G133,"")</f>
        <v>0.937156189489621</v>
      </c>
    </row>
    <row r="134" customFormat="false" ht="15" hidden="false" customHeight="false" outlineLevel="0" collapsed="false">
      <c r="A134" s="0" t="s">
        <v>988</v>
      </c>
      <c r="B134" s="0" t="s">
        <v>905</v>
      </c>
      <c r="C134" s="0" t="s">
        <v>1279</v>
      </c>
      <c r="D134" s="0" t="s">
        <v>995</v>
      </c>
      <c r="E134" s="0" t="s">
        <v>1107</v>
      </c>
      <c r="F134" s="0" t="n">
        <v>13.5</v>
      </c>
      <c r="G134" s="11" t="n">
        <f aca="false">IFERROR(INDEX(CHOOSE(MATCH($X134,{"K1","K2","K3","K12","K13","H1","H2","H3","H12","H13"},0),Calc!$V$2:$V$124,Calc!$AC$2:$AC$124,Calc!$AJ$2:$AJ$124,Calc!$AL$2:$AL$124,Calc!$AM$2:$AM$124,Calc!$W$2:$W$124,Calc!$AD$2:$AD$124,Calc!$AK$2:$AK$124,Calc!$AN$2:$AN$124,Calc!$AO$2:$AO$124),MATCH($W134,Calc!$A$2:$A$124,0)),"")</f>
        <v>15.9251933798611</v>
      </c>
      <c r="H134" s="11" t="n">
        <f aca="false">IF(G134="","",IF(LEFT($X134,1)="H",SQRT(G134*(IFERROR(INDEX(Calc!$AP$2:$AP$124,MATCH($W134,Calc!$A$2:$A$124,0)),0.5)*Config!$B$5+1-IFERROR(INDEX(Calc!$AP$2:$AP$124,MATCH($W134,Calc!$A$2:$A$124,0)),0.5))),SQRT(G134*Config!$B$5)))</f>
        <v>4.40587588001631</v>
      </c>
      <c r="I134" s="10" t="n">
        <f aca="false">IF(OR(F134="",G134="",N(H134)&lt;=0),"",1-NORMDIST(FLOOR(F134,1)+0.5,G134,H134,TRUE()))</f>
        <v>0.70899298478579</v>
      </c>
      <c r="J134" s="10" t="n">
        <f aca="false">IF(I134="","",NORMDIST(CEILING(F134,1)-0.5,G134,H134,TRUE()))</f>
        <v>0.29100701521421</v>
      </c>
      <c r="K134" s="10" t="n">
        <f aca="false">IF(I134="","",MAX(0,1-I134-J134))</f>
        <v>0</v>
      </c>
      <c r="L134" s="0" t="str">
        <f aca="false">IF(I134="","",IF(I134&gt;=0.5+Config!$B$6,"OVER",IF(J134&gt;=0.5+Config!$B$6,"UNDER","—")))</f>
        <v>OVER</v>
      </c>
      <c r="N134" s="0" t="n">
        <v>16.4</v>
      </c>
      <c r="O134" s="10" t="n">
        <v>0.8</v>
      </c>
      <c r="P134" s="10" t="n">
        <v>0.8</v>
      </c>
      <c r="Q134" s="10" t="n">
        <v>0.73</v>
      </c>
      <c r="R134" s="9" t="s">
        <v>1108</v>
      </c>
      <c r="S134" s="0" t="n">
        <v>2</v>
      </c>
      <c r="T134" s="0" t="str">
        <f aca="false">INDEX(Calc!$G$2:$G$124,MATCH($W134,Calc!$A$2:$A$124,0))&amp;" / "&amp;INDEX(Calc!$H$2:$H$124,MATCH($W134,Calc!$A$2:$A$124,0))</f>
        <v>Nuke / Anubis</v>
      </c>
      <c r="U134" s="0" t="str">
        <f aca="false">TEXT(INDEX(Calc!$J$2:$J$124,MATCH($W134,Calc!$A$2:$A$124,0)),"0.0")&amp;" / "&amp;TEXT(INDEX(Calc!$K$2:$K$124,MATCH($W134,Calc!$A$2:$A$124,0)),"0.0")</f>
        <v>21.4 / 21.2</v>
      </c>
      <c r="V134" s="0" t="str">
        <f aca="false">IFERROR(INDEX(Calc!$AQ$2:$AQ$124,MATCH($W134,Calc!$A$2:$A$124,0)),"")</f>
        <v/>
      </c>
      <c r="W134" s="9" t="s">
        <v>1280</v>
      </c>
      <c r="X134" s="9" t="s">
        <v>1110</v>
      </c>
      <c r="Y134" s="0" t="str">
        <f aca="false">W134&amp;"|"&amp;X134</f>
        <v>as14gj4lvoykr11|CS2 · FUT vs TL|H12</v>
      </c>
      <c r="Z134" s="11" t="n">
        <f aca="false">IFERROR(INDEX(CHOOSE(MATCH($X134,{"K1","K2","K3","K12","K13","H1","H2","H3","H12","H13"},0),Calc!$BA$2:$BA$124,Calc!$BB$2:$BB$124,Calc!$BC$2:$BC$124,Calc!$BD$2:$BD$124,Calc!$BE$2:$BE$124,Calc!$BF$2:$BF$124,Calc!$BG$2:$BG$124,Calc!$BH$2:$BH$124,Calc!$BI$2:$BI$124,Calc!$BJ$2:$BJ$124),MATCH($W134,Calc!$A$2:$A$124,0)),"")</f>
        <v>14.9079425722827</v>
      </c>
      <c r="AA134" s="11" t="n">
        <f aca="false">IF(Z134="","",IF(LEFT($X134,1)="H",SQRT(Z134*(IFERROR(INDEX(Calc!$AP$2:$AP$124,MATCH($W134,Calc!$A$2:$A$124,0)),0.5)*Config!$B$5+1-IFERROR(INDEX(Calc!$AP$2:$AP$124,MATCH($W134,Calc!$A$2:$A$124,0)),0.5))),SQRT(Z134*Config!$B$5)))</f>
        <v>4.2628372928721</v>
      </c>
      <c r="AB134" s="10" t="n">
        <f aca="false">IF(OR(F134="",Z134="",N(AA134)&lt;=0),"",1-NORMDIST(FLOOR(F134,1)+0.5,Z134,AA134,TRUE()))</f>
        <v>0.629406921141711</v>
      </c>
      <c r="AC134" s="10" t="n">
        <f aca="false">IF(AB134="","",NORMDIST(CEILING(F134,1)-0.5,Z134,AA134,TRUE()))</f>
        <v>0.370593078858289</v>
      </c>
      <c r="AD134" s="0" t="str">
        <f aca="false">IF(AB134="","",IF(AB134&gt;=0.5+Config!$B$6,"OVER",IF(AC134&gt;=0.5+Config!$B$6,"UNDER","—")))</f>
        <v>OVER</v>
      </c>
      <c r="AE134" s="13" t="n">
        <f aca="false">IFERROR(Z134/G134,"")</f>
        <v>0.936123173934901</v>
      </c>
    </row>
    <row r="135" customFormat="false" ht="15" hidden="false" customHeight="false" outlineLevel="0" collapsed="false">
      <c r="A135" s="0" t="s">
        <v>988</v>
      </c>
      <c r="B135" s="0" t="s">
        <v>905</v>
      </c>
      <c r="C135" s="0" t="s">
        <v>1279</v>
      </c>
      <c r="D135" s="0" t="s">
        <v>995</v>
      </c>
      <c r="E135" s="0" t="s">
        <v>1111</v>
      </c>
      <c r="F135" s="0" t="n">
        <v>27</v>
      </c>
      <c r="G135" s="11" t="n">
        <f aca="false">IFERROR(INDEX(CHOOSE(MATCH($X135,{"K1","K2","K3","K12","K13","H1","H2","H3","H12","H13"},0),Calc!$V$2:$V$124,Calc!$AC$2:$AC$124,Calc!$AJ$2:$AJ$124,Calc!$AL$2:$AL$124,Calc!$AM$2:$AM$124,Calc!$W$2:$W$124,Calc!$AD$2:$AD$124,Calc!$AK$2:$AK$124,Calc!$AN$2:$AN$124,Calc!$AO$2:$AO$124),MATCH($W135,Calc!$A$2:$A$124,0)),"")</f>
        <v>29.096025</v>
      </c>
      <c r="H135" s="11" t="n">
        <f aca="false">IF(G135="","",IF(LEFT($X135,1)="H",SQRT(G135*(IFERROR(INDEX(Calc!$AP$2:$AP$124,MATCH($W135,Calc!$A$2:$A$124,0)),0.5)*Config!$B$5+1-IFERROR(INDEX(Calc!$AP$2:$AP$124,MATCH($W135,Calc!$A$2:$A$124,0)),0.5))),SQRT(G135*Config!$B$5)))</f>
        <v>6.38235340607209</v>
      </c>
      <c r="I135" s="10" t="n">
        <f aca="false">IF(OR(F135="",G135="",N(H135)&lt;=0),"",1-NORMDIST(FLOOR(F135,1)+0.5,G135,H135,TRUE()))</f>
        <v>0.598732779342175</v>
      </c>
      <c r="J135" s="10" t="n">
        <f aca="false">IF(I135="","",NORMDIST(CEILING(F135,1)-0.5,G135,H135,TRUE()))</f>
        <v>0.342095648257626</v>
      </c>
      <c r="K135" s="10" t="n">
        <f aca="false">IF(I135="","",MAX(0,1-I135-J135))</f>
        <v>0.0591715724001983</v>
      </c>
      <c r="L135" s="0" t="str">
        <f aca="false">IF(I135="","",IF(I135&gt;=0.5+Config!$B$6,"OVER",IF(J135&gt;=0.5+Config!$B$6,"UNDER","—")))</f>
        <v>OVER</v>
      </c>
      <c r="M135" s="0" t="n">
        <v>27.06</v>
      </c>
      <c r="N135" s="0" t="n">
        <v>30.1</v>
      </c>
      <c r="O135" s="10" t="n">
        <v>0.8</v>
      </c>
      <c r="P135" s="10" t="n">
        <v>0.8</v>
      </c>
      <c r="Q135" s="10" t="n">
        <v>0.8</v>
      </c>
      <c r="R135" s="9" t="s">
        <v>1108</v>
      </c>
      <c r="S135" s="0" t="n">
        <v>2</v>
      </c>
      <c r="T135" s="0" t="str">
        <f aca="false">INDEX(Calc!$G$2:$G$124,MATCH($W135,Calc!$A$2:$A$124,0))&amp;" / "&amp;INDEX(Calc!$H$2:$H$124,MATCH($W135,Calc!$A$2:$A$124,0))</f>
        <v>Nuke / Anubis</v>
      </c>
      <c r="U135" s="0" t="str">
        <f aca="false">TEXT(INDEX(Calc!$J$2:$J$124,MATCH($W135,Calc!$A$2:$A$124,0)),"0.0")&amp;" / "&amp;TEXT(INDEX(Calc!$K$2:$K$124,MATCH($W135,Calc!$A$2:$A$124,0)),"0.0")</f>
        <v>21.4 / 21.2</v>
      </c>
      <c r="V135" s="0" t="str">
        <f aca="false">IFERROR(INDEX(Calc!$AQ$2:$AQ$124,MATCH($W135,Calc!$A$2:$A$124,0)),"")</f>
        <v/>
      </c>
      <c r="W135" s="9" t="s">
        <v>1280</v>
      </c>
      <c r="X135" s="9" t="s">
        <v>1112</v>
      </c>
      <c r="Y135" s="0" t="str">
        <f aca="false">W135&amp;"|"&amp;X135</f>
        <v>as14gj4lvoykr11|CS2 · FUT vs TL|K12</v>
      </c>
      <c r="Z135" s="11" t="n">
        <f aca="false">IFERROR(INDEX(CHOOSE(MATCH($X135,{"K1","K2","K3","K12","K13","H1","H2","H3","H12","H13"},0),Calc!$BA$2:$BA$124,Calc!$BB$2:$BB$124,Calc!$BC$2:$BC$124,Calc!$BD$2:$BD$124,Calc!$BE$2:$BE$124,Calc!$BF$2:$BF$124,Calc!$BG$2:$BG$124,Calc!$BH$2:$BH$124,Calc!$BI$2:$BI$124,Calc!$BJ$2:$BJ$124),MATCH($W135,Calc!$A$2:$A$124,0)),"")</f>
        <v>27.2473151010605</v>
      </c>
      <c r="AA135" s="11" t="n">
        <f aca="false">IF(Z135="","",IF(LEFT($X135,1)="H",SQRT(Z135*(IFERROR(INDEX(Calc!$AP$2:$AP$124,MATCH($W135,Calc!$A$2:$A$124,0)),0.5)*Config!$B$5+1-IFERROR(INDEX(Calc!$AP$2:$AP$124,MATCH($W135,Calc!$A$2:$A$124,0)),0.5))),SQRT(Z135*Config!$B$5)))</f>
        <v>6.17626433546077</v>
      </c>
      <c r="AB135" s="10" t="n">
        <f aca="false">IF(OR(F135="",Z135="",N(AA135)&lt;=0),"",1-NORMDIST(FLOOR(F135,1)+0.5,Z135,AA135,TRUE()))</f>
        <v>0.483682923936883</v>
      </c>
      <c r="AC135" s="10" t="n">
        <f aca="false">IF(AB135="","",NORMDIST(CEILING(F135,1)-0.5,Z135,AA135,TRUE()))</f>
        <v>0.451846343711289</v>
      </c>
      <c r="AD135" s="0" t="str">
        <f aca="false">IF(AB135="","",IF(AB135&gt;=0.5+Config!$B$6,"OVER",IF(AC135&gt;=0.5+Config!$B$6,"UNDER","—")))</f>
        <v>—</v>
      </c>
      <c r="AE135" s="13" t="n">
        <f aca="false">IFERROR(Z135/G135,"")</f>
        <v>0.936461771017192</v>
      </c>
    </row>
    <row r="136" customFormat="false" ht="15" hidden="false" customHeight="false" outlineLevel="0" collapsed="false">
      <c r="A136" s="0" t="s">
        <v>988</v>
      </c>
      <c r="B136" s="0" t="s">
        <v>1047</v>
      </c>
      <c r="C136" s="0" t="s">
        <v>1281</v>
      </c>
      <c r="D136" s="0" t="s">
        <v>1053</v>
      </c>
      <c r="E136" s="0" t="s">
        <v>1107</v>
      </c>
      <c r="F136" s="0" t="n">
        <v>13.5</v>
      </c>
      <c r="G136" s="11" t="n">
        <f aca="false">IFERROR(INDEX(CHOOSE(MATCH($X136,{"K1","K2","K3","K12","K13","H1","H2","H3","H12","H13"},0),Calc!$V$2:$V$124,Calc!$AC$2:$AC$124,Calc!$AJ$2:$AJ$124,Calc!$AL$2:$AL$124,Calc!$AM$2:$AM$124,Calc!$W$2:$W$124,Calc!$AD$2:$AD$124,Calc!$AK$2:$AK$124,Calc!$AN$2:$AN$124,Calc!$AO$2:$AO$124),MATCH($W136,Calc!$A$2:$A$124,0)),"")</f>
        <v>13.9026788266723</v>
      </c>
      <c r="H136" s="11" t="n">
        <f aca="false">IF(G136="","",IF(LEFT($X136,1)="H",SQRT(G136*(IFERROR(INDEX(Calc!$AP$2:$AP$124,MATCH($W136,Calc!$A$2:$A$124,0)),0.5)*Config!$B$5+1-IFERROR(INDEX(Calc!$AP$2:$AP$124,MATCH($W136,Calc!$A$2:$A$124,0)),0.5))),SQRT(G136*Config!$B$5)))</f>
        <v>4.07342058999229</v>
      </c>
      <c r="I136" s="10" t="n">
        <f aca="false">IF(OR(F136="",G136="",N(H136)&lt;=0),"",1-NORMDIST(FLOOR(F136,1)+0.5,G136,H136,TRUE()))</f>
        <v>0.53937338199407</v>
      </c>
      <c r="J136" s="10" t="n">
        <f aca="false">IF(I136="","",NORMDIST(CEILING(F136,1)-0.5,G136,H136,TRUE()))</f>
        <v>0.46062661800593</v>
      </c>
      <c r="K136" s="10" t="n">
        <f aca="false">IF(I136="","",MAX(0,1-I136-J136))</f>
        <v>0</v>
      </c>
      <c r="L136" s="0" t="str">
        <f aca="false">IF(I136="","",IF(I136&gt;=0.5+Config!$B$6,"OVER",IF(J136&gt;=0.5+Config!$B$6,"UNDER","—")))</f>
        <v>—</v>
      </c>
      <c r="N136" s="0" t="n">
        <v>13.8</v>
      </c>
      <c r="O136" s="10" t="n">
        <v>0.4</v>
      </c>
      <c r="P136" s="10" t="n">
        <v>0.5</v>
      </c>
      <c r="Q136" s="10" t="n">
        <v>0.6</v>
      </c>
      <c r="R136" s="9" t="s">
        <v>1108</v>
      </c>
      <c r="S136" s="0" t="n">
        <v>-3</v>
      </c>
      <c r="T136" s="0" t="str">
        <f aca="false">INDEX(Calc!$G$2:$G$124,MATCH($W136,Calc!$A$2:$A$124,0))&amp;" / "&amp;INDEX(Calc!$H$2:$H$124,MATCH($W136,Calc!$A$2:$A$124,0))</f>
        <v>Dust2 / Mirage</v>
      </c>
      <c r="U136" s="0" t="str">
        <f aca="false">TEXT(INDEX(Calc!$J$2:$J$124,MATCH($W136,Calc!$A$2:$A$124,0)),"0.0")&amp;" / "&amp;TEXT(INDEX(Calc!$K$2:$K$124,MATCH($W136,Calc!$A$2:$A$124,0)),"0.0")</f>
        <v>21.5 / 21.5</v>
      </c>
      <c r="V136" s="0" t="str">
        <f aca="false">IFERROR(INDEX(Calc!$AQ$2:$AQ$124,MATCH($W136,Calc!$A$2:$A$124,0)),"")</f>
        <v/>
      </c>
      <c r="W136" s="9" t="s">
        <v>1282</v>
      </c>
      <c r="X136" s="9" t="s">
        <v>1110</v>
      </c>
      <c r="Y136" s="0" t="str">
        <f aca="false">W136&amp;"|"&amp;X136</f>
        <v>l65e6bpbpsopabo|CS2 · INF vs BRUTE|H12</v>
      </c>
      <c r="Z136" s="11" t="n">
        <f aca="false">IFERROR(INDEX(CHOOSE(MATCH($X136,{"K1","K2","K3","K12","K13","H1","H2","H3","H12","H13"},0),Calc!$BA$2:$BA$124,Calc!$BB$2:$BB$124,Calc!$BC$2:$BC$124,Calc!$BD$2:$BD$124,Calc!$BE$2:$BE$124,Calc!$BF$2:$BF$124,Calc!$BG$2:$BG$124,Calc!$BH$2:$BH$124,Calc!$BI$2:$BI$124,Calc!$BJ$2:$BJ$124),MATCH($W136,Calc!$A$2:$A$124,0)),"")</f>
        <v>13.9791704935025</v>
      </c>
      <c r="AA136" s="11" t="n">
        <f aca="false">IF(Z136="","",IF(LEFT($X136,1)="H",SQRT(Z136*(IFERROR(INDEX(Calc!$AP$2:$AP$124,MATCH($W136,Calc!$A$2:$A$124,0)),0.5)*Config!$B$5+1-IFERROR(INDEX(Calc!$AP$2:$AP$124,MATCH($W136,Calc!$A$2:$A$124,0)),0.5))),SQRT(Z136*Config!$B$5)))</f>
        <v>4.08461107106117</v>
      </c>
      <c r="AB136" s="10" t="n">
        <f aca="false">IF(OR(F136="",Z136="",N(AA136)&lt;=0),"",1-NORMDIST(FLOOR(F136,1)+0.5,Z136,AA136,TRUE()))</f>
        <v>0.546693262121669</v>
      </c>
      <c r="AC136" s="10" t="n">
        <f aca="false">IF(AB136="","",NORMDIST(CEILING(F136,1)-0.5,Z136,AA136,TRUE()))</f>
        <v>0.453306737878331</v>
      </c>
      <c r="AD136" s="0" t="str">
        <f aca="false">IF(AB136="","",IF(AB136&gt;=0.5+Config!$B$6,"OVER",IF(AC136&gt;=0.5+Config!$B$6,"UNDER","—")))</f>
        <v>OVER</v>
      </c>
      <c r="AE136" s="13" t="n">
        <f aca="false">IFERROR(Z136/G136,"")</f>
        <v>1.00550193727295</v>
      </c>
    </row>
    <row r="137" customFormat="false" ht="15" hidden="false" customHeight="false" outlineLevel="0" collapsed="false">
      <c r="A137" s="0" t="s">
        <v>988</v>
      </c>
      <c r="B137" s="0" t="s">
        <v>1047</v>
      </c>
      <c r="C137" s="0" t="s">
        <v>1281</v>
      </c>
      <c r="D137" s="0" t="s">
        <v>1053</v>
      </c>
      <c r="E137" s="0" t="s">
        <v>1111</v>
      </c>
      <c r="F137" s="0" t="n">
        <v>28.5</v>
      </c>
      <c r="G137" s="11" t="n">
        <f aca="false">IFERROR(INDEX(CHOOSE(MATCH($X137,{"K1","K2","K3","K12","K13","H1","H2","H3","H12","H13"},0),Calc!$V$2:$V$124,Calc!$AC$2:$AC$124,Calc!$AJ$2:$AJ$124,Calc!$AL$2:$AL$124,Calc!$AM$2:$AM$124,Calc!$W$2:$W$124,Calc!$AD$2:$AD$124,Calc!$AK$2:$AK$124,Calc!$AN$2:$AN$124,Calc!$AO$2:$AO$124),MATCH($W137,Calc!$A$2:$A$124,0)),"")</f>
        <v>28.7403693181818</v>
      </c>
      <c r="H137" s="11" t="n">
        <f aca="false">IF(G137="","",IF(LEFT($X137,1)="H",SQRT(G137*(IFERROR(INDEX(Calc!$AP$2:$AP$124,MATCH($W137,Calc!$A$2:$A$124,0)),0.5)*Config!$B$5+1-IFERROR(INDEX(Calc!$AP$2:$AP$124,MATCH($W137,Calc!$A$2:$A$124,0)),0.5))),SQRT(G137*Config!$B$5)))</f>
        <v>6.34322607554347</v>
      </c>
      <c r="I137" s="10" t="n">
        <f aca="false">IF(OR(F137="",G137="",N(H137)&lt;=0),"",1-NORMDIST(FLOOR(F137,1)+0.5,G137,H137,TRUE()))</f>
        <v>0.515113845559486</v>
      </c>
      <c r="J137" s="10" t="n">
        <f aca="false">IF(I137="","",NORMDIST(CEILING(F137,1)-0.5,G137,H137,TRUE()))</f>
        <v>0.484886154440514</v>
      </c>
      <c r="K137" s="10" t="n">
        <f aca="false">IF(I137="","",MAX(0,1-I137-J137))</f>
        <v>0</v>
      </c>
      <c r="L137" s="0" t="str">
        <f aca="false">IF(I137="","",IF(I137&gt;=0.5+Config!$B$6,"OVER",IF(J137&gt;=0.5+Config!$B$6,"UNDER","—")))</f>
        <v>—</v>
      </c>
      <c r="N137" s="0" t="n">
        <v>29.3</v>
      </c>
      <c r="O137" s="10" t="n">
        <v>0.4</v>
      </c>
      <c r="P137" s="10" t="n">
        <v>0.5</v>
      </c>
      <c r="Q137" s="10" t="n">
        <v>0.6</v>
      </c>
      <c r="R137" s="9" t="s">
        <v>1108</v>
      </c>
      <c r="S137" s="0" t="n">
        <v>-3</v>
      </c>
      <c r="T137" s="0" t="str">
        <f aca="false">INDEX(Calc!$G$2:$G$124,MATCH($W137,Calc!$A$2:$A$124,0))&amp;" / "&amp;INDEX(Calc!$H$2:$H$124,MATCH($W137,Calc!$A$2:$A$124,0))</f>
        <v>Dust2 / Mirage</v>
      </c>
      <c r="U137" s="0" t="str">
        <f aca="false">TEXT(INDEX(Calc!$J$2:$J$124,MATCH($W137,Calc!$A$2:$A$124,0)),"0.0")&amp;" / "&amp;TEXT(INDEX(Calc!$K$2:$K$124,MATCH($W137,Calc!$A$2:$A$124,0)),"0.0")</f>
        <v>21.5 / 21.5</v>
      </c>
      <c r="V137" s="0" t="str">
        <f aca="false">IFERROR(INDEX(Calc!$AQ$2:$AQ$124,MATCH($W137,Calc!$A$2:$A$124,0)),"")</f>
        <v/>
      </c>
      <c r="W137" s="9" t="s">
        <v>1282</v>
      </c>
      <c r="X137" s="9" t="s">
        <v>1112</v>
      </c>
      <c r="Y137" s="0" t="str">
        <f aca="false">W137&amp;"|"&amp;X137</f>
        <v>l65e6bpbpsopabo|CS2 · INF vs BRUTE|K12</v>
      </c>
      <c r="Z137" s="11" t="n">
        <f aca="false">IFERROR(INDEX(CHOOSE(MATCH($X137,{"K1","K2","K3","K12","K13","H1","H2","H3","H12","H13"},0),Calc!$BA$2:$BA$124,Calc!$BB$2:$BB$124,Calc!$BC$2:$BC$124,Calc!$BD$2:$BD$124,Calc!$BE$2:$BE$124,Calc!$BF$2:$BF$124,Calc!$BG$2:$BG$124,Calc!$BH$2:$BH$124,Calc!$BI$2:$BI$124,Calc!$BJ$2:$BJ$124),MATCH($W137,Calc!$A$2:$A$124,0)),"")</f>
        <v>28.9009470199271</v>
      </c>
      <c r="AA137" s="11" t="n">
        <f aca="false">IF(Z137="","",IF(LEFT($X137,1)="H",SQRT(Z137*(IFERROR(INDEX(Calc!$AP$2:$AP$124,MATCH($W137,Calc!$A$2:$A$124,0)),0.5)*Config!$B$5+1-IFERROR(INDEX(Calc!$AP$2:$AP$124,MATCH($W137,Calc!$A$2:$A$124,0)),0.5))),SQRT(Z137*Config!$B$5)))</f>
        <v>6.36092177501799</v>
      </c>
      <c r="AB137" s="10" t="n">
        <f aca="false">IF(OR(F137="",Z137="",N(AA137)&lt;=0),"",1-NORMDIST(FLOOR(F137,1)+0.5,Z137,AA137,TRUE()))</f>
        <v>0.52512982658549</v>
      </c>
      <c r="AC137" s="10" t="n">
        <f aca="false">IF(AB137="","",NORMDIST(CEILING(F137,1)-0.5,Z137,AA137,TRUE()))</f>
        <v>0.47487017341451</v>
      </c>
      <c r="AD137" s="0" t="str">
        <f aca="false">IF(AB137="","",IF(AB137&gt;=0.5+Config!$B$6,"OVER",IF(AC137&gt;=0.5+Config!$B$6,"UNDER","—")))</f>
        <v>—</v>
      </c>
      <c r="AE137" s="13" t="n">
        <f aca="false">IFERROR(Z137/G137,"")</f>
        <v>1.00558718296093</v>
      </c>
    </row>
    <row r="138" customFormat="false" ht="15" hidden="false" customHeight="false" outlineLevel="0" collapsed="false">
      <c r="A138" s="0" t="s">
        <v>988</v>
      </c>
      <c r="B138" s="0" t="s">
        <v>1047</v>
      </c>
      <c r="C138" s="0" t="s">
        <v>1283</v>
      </c>
      <c r="D138" s="0" t="s">
        <v>1053</v>
      </c>
      <c r="E138" s="0" t="s">
        <v>1107</v>
      </c>
      <c r="F138" s="0" t="n">
        <v>15.5</v>
      </c>
      <c r="G138" s="11" t="n">
        <f aca="false">IFERROR(INDEX(CHOOSE(MATCH($X138,{"K1","K2","K3","K12","K13","H1","H2","H3","H12","H13"},0),Calc!$V$2:$V$124,Calc!$AC$2:$AC$124,Calc!$AJ$2:$AJ$124,Calc!$AL$2:$AL$124,Calc!$AM$2:$AM$124,Calc!$W$2:$W$124,Calc!$AD$2:$AD$124,Calc!$AK$2:$AK$124,Calc!$AN$2:$AN$124,Calc!$AO$2:$AO$124),MATCH($W138,Calc!$A$2:$A$124,0)),"")</f>
        <v>17.2744695908122</v>
      </c>
      <c r="H138" s="11" t="n">
        <f aca="false">IF(G138="","",IF(LEFT($X138,1)="H",SQRT(G138*(IFERROR(INDEX(Calc!$AP$2:$AP$124,MATCH($W138,Calc!$A$2:$A$124,0)),0.5)*Config!$B$5+1-IFERROR(INDEX(Calc!$AP$2:$AP$124,MATCH($W138,Calc!$A$2:$A$124,0)),0.5))),SQRT(G138*Config!$B$5)))</f>
        <v>4.57725601783198</v>
      </c>
      <c r="I138" s="10" t="n">
        <f aca="false">IF(OR(F138="",G138="",N(H138)&lt;=0),"",1-NORMDIST(FLOOR(F138,1)+0.5,G138,H138,TRUE()))</f>
        <v>0.650870254345996</v>
      </c>
      <c r="J138" s="10" t="n">
        <f aca="false">IF(I138="","",NORMDIST(CEILING(F138,1)-0.5,G138,H138,TRUE()))</f>
        <v>0.349129745654004</v>
      </c>
      <c r="K138" s="10" t="n">
        <f aca="false">IF(I138="","",MAX(0,1-I138-J138))</f>
        <v>0</v>
      </c>
      <c r="L138" s="0" t="str">
        <f aca="false">IF(I138="","",IF(I138&gt;=0.5+Config!$B$6,"OVER",IF(J138&gt;=0.5+Config!$B$6,"UNDER","—")))</f>
        <v>OVER</v>
      </c>
      <c r="N138" s="0" t="n">
        <v>16.9</v>
      </c>
      <c r="O138" s="10" t="n">
        <v>0.8</v>
      </c>
      <c r="P138" s="10" t="n">
        <v>0.7</v>
      </c>
      <c r="Q138" s="10" t="n">
        <v>0.73</v>
      </c>
      <c r="R138" s="9" t="s">
        <v>1131</v>
      </c>
      <c r="S138" s="0" t="n">
        <v>2</v>
      </c>
      <c r="T138" s="0" t="str">
        <f aca="false">INDEX(Calc!$G$2:$G$124,MATCH($W138,Calc!$A$2:$A$124,0))&amp;" / "&amp;INDEX(Calc!$H$2:$H$124,MATCH($W138,Calc!$A$2:$A$124,0))</f>
        <v>Dust2 / Mirage</v>
      </c>
      <c r="U138" s="0" t="str">
        <f aca="false">TEXT(INDEX(Calc!$J$2:$J$124,MATCH($W138,Calc!$A$2:$A$124,0)),"0.0")&amp;" / "&amp;TEXT(INDEX(Calc!$K$2:$K$124,MATCH($W138,Calc!$A$2:$A$124,0)),"0.0")</f>
        <v>21.5 / 21.5</v>
      </c>
      <c r="V138" s="0" t="str">
        <f aca="false">IFERROR(INDEX(Calc!$AQ$2:$AQ$124,MATCH($W138,Calc!$A$2:$A$124,0)),"")</f>
        <v/>
      </c>
      <c r="W138" s="9" t="s">
        <v>1284</v>
      </c>
      <c r="X138" s="9" t="s">
        <v>1110</v>
      </c>
      <c r="Y138" s="0" t="str">
        <f aca="false">W138&amp;"|"&amp;X138</f>
        <v>2fcfnso9a3rhpcr|CS2 · INF vs BRUTE|H12</v>
      </c>
      <c r="Z138" s="11" t="n">
        <f aca="false">IFERROR(INDEX(CHOOSE(MATCH($X138,{"K1","K2","K3","K12","K13","H1","H2","H3","H12","H13"},0),Calc!$BA$2:$BA$124,Calc!$BB$2:$BB$124,Calc!$BC$2:$BC$124,Calc!$BD$2:$BD$124,Calc!$BE$2:$BE$124,Calc!$BF$2:$BF$124,Calc!$BG$2:$BG$124,Calc!$BH$2:$BH$124,Calc!$BI$2:$BI$124,Calc!$BJ$2:$BJ$124),MATCH($W138,Calc!$A$2:$A$124,0)),"")</f>
        <v>17.3694490778085</v>
      </c>
      <c r="AA138" s="11" t="n">
        <f aca="false">IF(Z138="","",IF(LEFT($X138,1)="H",SQRT(Z138*(IFERROR(INDEX(Calc!$AP$2:$AP$124,MATCH($W138,Calc!$A$2:$A$124,0)),0.5)*Config!$B$5+1-IFERROR(INDEX(Calc!$AP$2:$AP$124,MATCH($W138,Calc!$A$2:$A$124,0)),0.5))),SQRT(Z138*Config!$B$5)))</f>
        <v>4.58982223521273</v>
      </c>
      <c r="AB138" s="10" t="n">
        <f aca="false">IF(OR(F138="",Z138="",N(AA138)&lt;=0),"",1-NORMDIST(FLOOR(F138,1)+0.5,Z138,AA138,TRUE()))</f>
        <v>0.658107327118426</v>
      </c>
      <c r="AC138" s="10" t="n">
        <f aca="false">IF(AB138="","",NORMDIST(CEILING(F138,1)-0.5,Z138,AA138,TRUE()))</f>
        <v>0.341892672881574</v>
      </c>
      <c r="AD138" s="0" t="str">
        <f aca="false">IF(AB138="","",IF(AB138&gt;=0.5+Config!$B$6,"OVER",IF(AC138&gt;=0.5+Config!$B$6,"UNDER","—")))</f>
        <v>OVER</v>
      </c>
      <c r="AE138" s="13" t="n">
        <f aca="false">IFERROR(Z138/G138,"")</f>
        <v>1.00549825779003</v>
      </c>
    </row>
    <row r="139" customFormat="false" ht="15" hidden="false" customHeight="false" outlineLevel="0" collapsed="false">
      <c r="A139" s="0" t="s">
        <v>988</v>
      </c>
      <c r="B139" s="0" t="s">
        <v>1047</v>
      </c>
      <c r="C139" s="0" t="s">
        <v>1283</v>
      </c>
      <c r="D139" s="0" t="s">
        <v>1053</v>
      </c>
      <c r="E139" s="0" t="s">
        <v>1111</v>
      </c>
      <c r="F139" s="0" t="n">
        <v>31</v>
      </c>
      <c r="G139" s="11" t="n">
        <f aca="false">IFERROR(INDEX(CHOOSE(MATCH($X139,{"K1","K2","K3","K12","K13","H1","H2","H3","H12","H13"},0),Calc!$V$2:$V$124,Calc!$AC$2:$AC$124,Calc!$AJ$2:$AJ$124,Calc!$AL$2:$AL$124,Calc!$AM$2:$AM$124,Calc!$W$2:$W$124,Calc!$AD$2:$AD$124,Calc!$AK$2:$AK$124,Calc!$AN$2:$AN$124,Calc!$AO$2:$AO$124),MATCH($W139,Calc!$A$2:$A$124,0)),"")</f>
        <v>32.4637784090909</v>
      </c>
      <c r="H139" s="11" t="n">
        <f aca="false">IF(G139="","",IF(LEFT($X139,1)="H",SQRT(G139*(IFERROR(INDEX(Calc!$AP$2:$AP$124,MATCH($W139,Calc!$A$2:$A$124,0)),0.5)*Config!$B$5+1-IFERROR(INDEX(Calc!$AP$2:$AP$124,MATCH($W139,Calc!$A$2:$A$124,0)),0.5))),SQRT(G139*Config!$B$5)))</f>
        <v>6.74160884156944</v>
      </c>
      <c r="I139" s="10" t="n">
        <f aca="false">IF(OR(F139="",G139="",N(H139)&lt;=0),"",1-NORMDIST(FLOOR(F139,1)+0.5,G139,H139,TRUE()))</f>
        <v>0.556838997379277</v>
      </c>
      <c r="J139" s="10" t="n">
        <f aca="false">IF(I139="","",NORMDIST(CEILING(F139,1)-0.5,G139,H139,TRUE()))</f>
        <v>0.385413907036765</v>
      </c>
      <c r="K139" s="10" t="n">
        <f aca="false">IF(I139="","",MAX(0,1-I139-J139))</f>
        <v>0.0577470955839577</v>
      </c>
      <c r="L139" s="0" t="str">
        <f aca="false">IF(I139="","",IF(I139&gt;=0.5+Config!$B$6,"OVER",IF(J139&gt;=0.5+Config!$B$6,"UNDER","—")))</f>
        <v>OVER</v>
      </c>
      <c r="N139" s="0" t="n">
        <v>32.3</v>
      </c>
      <c r="O139" s="10" t="n">
        <v>0.6</v>
      </c>
      <c r="P139" s="10" t="n">
        <v>0.6</v>
      </c>
      <c r="Q139" s="10" t="n">
        <v>0.6</v>
      </c>
      <c r="R139" s="9" t="s">
        <v>1131</v>
      </c>
      <c r="S139" s="0" t="n">
        <v>1</v>
      </c>
      <c r="T139" s="0" t="str">
        <f aca="false">INDEX(Calc!$G$2:$G$124,MATCH($W139,Calc!$A$2:$A$124,0))&amp;" / "&amp;INDEX(Calc!$H$2:$H$124,MATCH($W139,Calc!$A$2:$A$124,0))</f>
        <v>Dust2 / Mirage</v>
      </c>
      <c r="U139" s="0" t="str">
        <f aca="false">TEXT(INDEX(Calc!$J$2:$J$124,MATCH($W139,Calc!$A$2:$A$124,0)),"0.0")&amp;" / "&amp;TEXT(INDEX(Calc!$K$2:$K$124,MATCH($W139,Calc!$A$2:$A$124,0)),"0.0")</f>
        <v>21.5 / 21.5</v>
      </c>
      <c r="V139" s="0" t="str">
        <f aca="false">IFERROR(INDEX(Calc!$AQ$2:$AQ$124,MATCH($W139,Calc!$A$2:$A$124,0)),"")</f>
        <v/>
      </c>
      <c r="W139" s="9" t="s">
        <v>1284</v>
      </c>
      <c r="X139" s="9" t="s">
        <v>1112</v>
      </c>
      <c r="Y139" s="0" t="str">
        <f aca="false">W139&amp;"|"&amp;X139</f>
        <v>2fcfnso9a3rhpcr|CS2 · INF vs BRUTE|K12</v>
      </c>
      <c r="Z139" s="11" t="n">
        <f aca="false">IFERROR(INDEX(CHOOSE(MATCH($X139,{"K1","K2","K3","K12","K13","H1","H2","H3","H12","H13"},0),Calc!$BA$2:$BA$124,Calc!$BB$2:$BB$124,Calc!$BC$2:$BC$124,Calc!$BD$2:$BD$124,Calc!$BE$2:$BE$124,Calc!$BF$2:$BF$124,Calc!$BG$2:$BG$124,Calc!$BH$2:$BH$124,Calc!$BI$2:$BI$124,Calc!$BJ$2:$BJ$124),MATCH($W139,Calc!$A$2:$A$124,0)),"")</f>
        <v>32.6430596587119</v>
      </c>
      <c r="AA139" s="11" t="n">
        <f aca="false">IF(Z139="","",IF(LEFT($X139,1)="H",SQRT(Z139*(IFERROR(INDEX(Calc!$AP$2:$AP$124,MATCH($W139,Calc!$A$2:$A$124,0)),0.5)*Config!$B$5+1-IFERROR(INDEX(Calc!$AP$2:$AP$124,MATCH($W139,Calc!$A$2:$A$124,0)),0.5))),SQRT(Z139*Config!$B$5)))</f>
        <v>6.76019848245573</v>
      </c>
      <c r="AB139" s="10" t="n">
        <f aca="false">IF(OR(F139="",Z139="",N(AA139)&lt;=0),"",1-NORMDIST(FLOOR(F139,1)+0.5,Z139,AA139,TRUE()))</f>
        <v>0.567135777265483</v>
      </c>
      <c r="AC139" s="10" t="n">
        <f aca="false">IF(AB139="","",NORMDIST(CEILING(F139,1)-0.5,Z139,AA139,TRUE()))</f>
        <v>0.375617494379128</v>
      </c>
      <c r="AD139" s="0" t="str">
        <f aca="false">IF(AB139="","",IF(AB139&gt;=0.5+Config!$B$6,"OVER",IF(AC139&gt;=0.5+Config!$B$6,"UNDER","—")))</f>
        <v>OVER</v>
      </c>
      <c r="AE139" s="13" t="n">
        <f aca="false">IFERROR(Z139/G139,"")</f>
        <v>1.00552250102751</v>
      </c>
    </row>
    <row r="140" customFormat="false" ht="15" hidden="false" customHeight="false" outlineLevel="0" collapsed="false">
      <c r="A140" s="0" t="s">
        <v>988</v>
      </c>
      <c r="B140" s="0" t="s">
        <v>1047</v>
      </c>
      <c r="C140" s="0" t="s">
        <v>1285</v>
      </c>
      <c r="D140" s="0" t="s">
        <v>1053</v>
      </c>
      <c r="E140" s="0" t="s">
        <v>1107</v>
      </c>
      <c r="F140" s="0" t="n">
        <v>14.5</v>
      </c>
      <c r="G140" s="11" t="n">
        <f aca="false">IFERROR(INDEX(CHOOSE(MATCH($X140,{"K1","K2","K3","K12","K13","H1","H2","H3","H12","H13"},0),Calc!$V$2:$V$124,Calc!$AC$2:$AC$124,Calc!$AJ$2:$AJ$124,Calc!$AL$2:$AL$124,Calc!$AM$2:$AM$124,Calc!$W$2:$W$124,Calc!$AD$2:$AD$124,Calc!$AK$2:$AK$124,Calc!$AN$2:$AN$124,Calc!$AO$2:$AO$124),MATCH($W140,Calc!$A$2:$A$124,0)),"")</f>
        <v>15.6976738126291</v>
      </c>
      <c r="H140" s="11" t="n">
        <f aca="false">IF(G140="","",IF(LEFT($X140,1)="H",SQRT(G140*(IFERROR(INDEX(Calc!$AP$2:$AP$124,MATCH($W140,Calc!$A$2:$A$124,0)),0.5)*Config!$B$5+1-IFERROR(INDEX(Calc!$AP$2:$AP$124,MATCH($W140,Calc!$A$2:$A$124,0)),0.5))),SQRT(G140*Config!$B$5)))</f>
        <v>4.38876777037445</v>
      </c>
      <c r="I140" s="10" t="n">
        <f aca="false">IF(OR(F140="",G140="",N(H140)&lt;=0),"",1-NORMDIST(FLOOR(F140,1)+0.5,G140,H140,TRUE()))</f>
        <v>0.607533125314016</v>
      </c>
      <c r="J140" s="10" t="n">
        <f aca="false">IF(I140="","",NORMDIST(CEILING(F140,1)-0.5,G140,H140,TRUE()))</f>
        <v>0.392466874685984</v>
      </c>
      <c r="K140" s="10" t="n">
        <f aca="false">IF(I140="","",MAX(0,1-I140-J140))</f>
        <v>0</v>
      </c>
      <c r="L140" s="0" t="str">
        <f aca="false">IF(I140="","",IF(I140&gt;=0.5+Config!$B$6,"OVER",IF(J140&gt;=0.5+Config!$B$6,"UNDER","—")))</f>
        <v>OVER</v>
      </c>
      <c r="N140" s="0" t="n">
        <v>13.5</v>
      </c>
      <c r="O140" s="10" t="n">
        <v>0.4</v>
      </c>
      <c r="P140" s="10" t="n">
        <v>0.3</v>
      </c>
      <c r="Q140" s="10" t="n">
        <v>0.47</v>
      </c>
      <c r="R140" s="9" t="s">
        <v>1116</v>
      </c>
      <c r="S140" s="0" t="n">
        <v>-1</v>
      </c>
      <c r="T140" s="0" t="str">
        <f aca="false">INDEX(Calc!$G$2:$G$124,MATCH($W140,Calc!$A$2:$A$124,0))&amp;" / "&amp;INDEX(Calc!$H$2:$H$124,MATCH($W140,Calc!$A$2:$A$124,0))</f>
        <v>Dust2 / Mirage</v>
      </c>
      <c r="U140" s="0" t="str">
        <f aca="false">TEXT(INDEX(Calc!$J$2:$J$124,MATCH($W140,Calc!$A$2:$A$124,0)),"0.0")&amp;" / "&amp;TEXT(INDEX(Calc!$K$2:$K$124,MATCH($W140,Calc!$A$2:$A$124,0)),"0.0")</f>
        <v>21.5 / 21.5</v>
      </c>
      <c r="V140" s="0" t="str">
        <f aca="false">IFERROR(INDEX(Calc!$AQ$2:$AQ$124,MATCH($W140,Calc!$A$2:$A$124,0)),"")</f>
        <v/>
      </c>
      <c r="W140" s="9" t="s">
        <v>1286</v>
      </c>
      <c r="X140" s="9" t="s">
        <v>1110</v>
      </c>
      <c r="Y140" s="0" t="str">
        <f aca="false">W140&amp;"|"&amp;X140</f>
        <v>a5ni4ejys4e3xjq|CS2 · INF vs BRUTE|H12</v>
      </c>
      <c r="Z140" s="11" t="n">
        <f aca="false">IFERROR(INDEX(CHOOSE(MATCH($X140,{"K1","K2","K3","K12","K13","H1","H2","H3","H12","H13"},0),Calc!$BA$2:$BA$124,Calc!$BB$2:$BB$124,Calc!$BC$2:$BC$124,Calc!$BD$2:$BD$124,Calc!$BE$2:$BE$124,Calc!$BF$2:$BF$124,Calc!$BG$2:$BG$124,Calc!$BH$2:$BH$124,Calc!$BI$2:$BI$124,Calc!$BJ$2:$BJ$124),MATCH($W140,Calc!$A$2:$A$124,0)),"")</f>
        <v>15.7844463851982</v>
      </c>
      <c r="AA140" s="11" t="n">
        <f aca="false">IF(Z140="","",IF(LEFT($X140,1)="H",SQRT(Z140*(IFERROR(INDEX(Calc!$AP$2:$AP$124,MATCH($W140,Calc!$A$2:$A$124,0)),0.5)*Config!$B$5+1-IFERROR(INDEX(Calc!$AP$2:$AP$124,MATCH($W140,Calc!$A$2:$A$124,0)),0.5))),SQRT(Z140*Config!$B$5)))</f>
        <v>4.40088102516355</v>
      </c>
      <c r="AB140" s="10" t="n">
        <f aca="false">IF(OR(F140="",Z140="",N(AA140)&lt;=0),"",1-NORMDIST(FLOOR(F140,1)+0.5,Z140,AA140,TRUE()))</f>
        <v>0.614803622040464</v>
      </c>
      <c r="AC140" s="10" t="n">
        <f aca="false">IF(AB140="","",NORMDIST(CEILING(F140,1)-0.5,Z140,AA140,TRUE()))</f>
        <v>0.385196377959536</v>
      </c>
      <c r="AD140" s="0" t="str">
        <f aca="false">IF(AB140="","",IF(AB140&gt;=0.5+Config!$B$6,"OVER",IF(AC140&gt;=0.5+Config!$B$6,"UNDER","—")))</f>
        <v>OVER</v>
      </c>
      <c r="AE140" s="13" t="n">
        <f aca="false">IFERROR(Z140/G140,"")</f>
        <v>1.00552773446594</v>
      </c>
    </row>
    <row r="141" customFormat="false" ht="15" hidden="false" customHeight="false" outlineLevel="0" collapsed="false">
      <c r="A141" s="0" t="s">
        <v>988</v>
      </c>
      <c r="B141" s="0" t="s">
        <v>1047</v>
      </c>
      <c r="C141" s="0" t="s">
        <v>1285</v>
      </c>
      <c r="D141" s="0" t="s">
        <v>1053</v>
      </c>
      <c r="E141" s="0" t="s">
        <v>1111</v>
      </c>
      <c r="F141" s="0" t="n">
        <v>27</v>
      </c>
      <c r="G141" s="11" t="n">
        <f aca="false">IFERROR(INDEX(CHOOSE(MATCH($X141,{"K1","K2","K3","K12","K13","H1","H2","H3","H12","H13"},0),Calc!$V$2:$V$124,Calc!$AC$2:$AC$124,Calc!$AJ$2:$AJ$124,Calc!$AL$2:$AL$124,Calc!$AM$2:$AM$124,Calc!$W$2:$W$124,Calc!$AD$2:$AD$124,Calc!$AK$2:$AK$124,Calc!$AN$2:$AN$124,Calc!$AO$2:$AO$124),MATCH($W141,Calc!$A$2:$A$124,0)),"")</f>
        <v>27.6592613636364</v>
      </c>
      <c r="H141" s="11" t="n">
        <f aca="false">IF(G141="","",IF(LEFT($X141,1)="H",SQRT(G141*(IFERROR(INDEX(Calc!$AP$2:$AP$124,MATCH($W141,Calc!$A$2:$A$124,0)),0.5)*Config!$B$5+1-IFERROR(INDEX(Calc!$AP$2:$AP$124,MATCH($W141,Calc!$A$2:$A$124,0)),0.5))),SQRT(G141*Config!$B$5)))</f>
        <v>6.22277798969969</v>
      </c>
      <c r="I141" s="10" t="n">
        <f aca="false">IF(OR(F141="",G141="",N(H141)&lt;=0),"",1-NORMDIST(FLOOR(F141,1)+0.5,G141,H141,TRUE()))</f>
        <v>0.510209131062908</v>
      </c>
      <c r="J141" s="10" t="n">
        <f aca="false">IF(I141="","",NORMDIST(CEILING(F141,1)-0.5,G141,H141,TRUE()))</f>
        <v>0.426107411108659</v>
      </c>
      <c r="K141" s="10" t="n">
        <f aca="false">IF(I141="","",MAX(0,1-I141-J141))</f>
        <v>0.0636834578284321</v>
      </c>
      <c r="L141" s="0" t="str">
        <f aca="false">IF(I141="","",IF(I141&gt;=0.5+Config!$B$6,"OVER",IF(J141&gt;=0.5+Config!$B$6,"UNDER","—")))</f>
        <v>—</v>
      </c>
      <c r="N141" s="0" t="n">
        <v>24.9</v>
      </c>
      <c r="O141" s="10" t="n">
        <v>0.4</v>
      </c>
      <c r="P141" s="10" t="n">
        <v>0.3</v>
      </c>
      <c r="Q141" s="10" t="n">
        <v>0.47</v>
      </c>
      <c r="R141" s="9" t="s">
        <v>1116</v>
      </c>
      <c r="S141" s="0" t="n">
        <v>-3</v>
      </c>
      <c r="T141" s="0" t="str">
        <f aca="false">INDEX(Calc!$G$2:$G$124,MATCH($W141,Calc!$A$2:$A$124,0))&amp;" / "&amp;INDEX(Calc!$H$2:$H$124,MATCH($W141,Calc!$A$2:$A$124,0))</f>
        <v>Dust2 / Mirage</v>
      </c>
      <c r="U141" s="0" t="str">
        <f aca="false">TEXT(INDEX(Calc!$J$2:$J$124,MATCH($W141,Calc!$A$2:$A$124,0)),"0.0")&amp;" / "&amp;TEXT(INDEX(Calc!$K$2:$K$124,MATCH($W141,Calc!$A$2:$A$124,0)),"0.0")</f>
        <v>21.5 / 21.5</v>
      </c>
      <c r="V141" s="0" t="str">
        <f aca="false">IFERROR(INDEX(Calc!$AQ$2:$AQ$124,MATCH($W141,Calc!$A$2:$A$124,0)),"")</f>
        <v/>
      </c>
      <c r="W141" s="9" t="s">
        <v>1286</v>
      </c>
      <c r="X141" s="9" t="s">
        <v>1112</v>
      </c>
      <c r="Y141" s="0" t="str">
        <f aca="false">W141&amp;"|"&amp;X141</f>
        <v>a5ni4ejys4e3xjq|CS2 · INF vs BRUTE|K12</v>
      </c>
      <c r="Z141" s="11" t="n">
        <f aca="false">IFERROR(INDEX(CHOOSE(MATCH($X141,{"K1","K2","K3","K12","K13","H1","H2","H3","H12","H13"},0),Calc!$BA$2:$BA$124,Calc!$BB$2:$BB$124,Calc!$BC$2:$BC$124,Calc!$BD$2:$BD$124,Calc!$BE$2:$BE$124,Calc!$BF$2:$BF$124,Calc!$BG$2:$BG$124,Calc!$BH$2:$BH$124,Calc!$BI$2:$BI$124,Calc!$BJ$2:$BJ$124),MATCH($W141,Calc!$A$2:$A$124,0)),"")</f>
        <v>27.8115409126022</v>
      </c>
      <c r="AA141" s="11" t="n">
        <f aca="false">IF(Z141="","",IF(LEFT($X141,1)="H",SQRT(Z141*(IFERROR(INDEX(Calc!$AP$2:$AP$124,MATCH($W141,Calc!$A$2:$A$124,0)),0.5)*Config!$B$5+1-IFERROR(INDEX(Calc!$AP$2:$AP$124,MATCH($W141,Calc!$A$2:$A$124,0)),0.5))),SQRT(Z141*Config!$B$5)))</f>
        <v>6.23988439617618</v>
      </c>
      <c r="AB141" s="10" t="n">
        <f aca="false">IF(OR(F141="",Z141="",N(AA141)&lt;=0),"",1-NORMDIST(FLOOR(F141,1)+0.5,Z141,AA141,TRUE()))</f>
        <v>0.519909860137761</v>
      </c>
      <c r="AC141" s="10" t="n">
        <f aca="false">IF(AB141="","",NORMDIST(CEILING(F141,1)-0.5,Z141,AA141,TRUE()))</f>
        <v>0.416760967093315</v>
      </c>
      <c r="AD141" s="0" t="str">
        <f aca="false">IF(AB141="","",IF(AB141&gt;=0.5+Config!$B$6,"OVER",IF(AC141&gt;=0.5+Config!$B$6,"UNDER","—")))</f>
        <v>—</v>
      </c>
      <c r="AE141" s="13" t="n">
        <f aca="false">IFERROR(Z141/G141,"")</f>
        <v>1.00550555370817</v>
      </c>
    </row>
    <row r="142" customFormat="false" ht="15" hidden="false" customHeight="false" outlineLevel="0" collapsed="false">
      <c r="A142" s="0" t="s">
        <v>988</v>
      </c>
      <c r="B142" s="0" t="s">
        <v>1047</v>
      </c>
      <c r="C142" s="0" t="s">
        <v>1287</v>
      </c>
      <c r="D142" s="0" t="s">
        <v>1052</v>
      </c>
      <c r="E142" s="0" t="s">
        <v>1107</v>
      </c>
      <c r="F142" s="0" t="n">
        <v>16</v>
      </c>
      <c r="G142" s="11" t="n">
        <f aca="false">IFERROR(INDEX(CHOOSE(MATCH($X142,{"K1","K2","K3","K12","K13","H1","H2","H3","H12","H13"},0),Calc!$V$2:$V$124,Calc!$AC$2:$AC$124,Calc!$AJ$2:$AJ$124,Calc!$AL$2:$AL$124,Calc!$AM$2:$AM$124,Calc!$W$2:$W$124,Calc!$AD$2:$AD$124,Calc!$AK$2:$AK$124,Calc!$AN$2:$AN$124,Calc!$AO$2:$AO$124),MATCH($W142,Calc!$A$2:$A$124,0)),"")</f>
        <v>16.0755810621365</v>
      </c>
      <c r="H142" s="11" t="n">
        <f aca="false">IF(G142="","",IF(LEFT($X142,1)="H",SQRT(G142*(IFERROR(INDEX(Calc!$AP$2:$AP$124,MATCH($W142,Calc!$A$2:$A$124,0)),0.5)*Config!$B$5+1-IFERROR(INDEX(Calc!$AP$2:$AP$124,MATCH($W142,Calc!$A$2:$A$124,0)),0.5))),SQRT(G142*Config!$B$5)))</f>
        <v>4.43079319001839</v>
      </c>
      <c r="I142" s="10" t="n">
        <f aca="false">IF(OR(F142="",G142="",N(H142)&lt;=0),"",1-NORMDIST(FLOOR(F142,1)+0.5,G142,H142,TRUE()))</f>
        <v>0.461844284084611</v>
      </c>
      <c r="J142" s="10" t="n">
        <f aca="false">IF(I142="","",NORMDIST(CEILING(F142,1)-0.5,G142,H142,TRUE()))</f>
        <v>0.448320894832298</v>
      </c>
      <c r="K142" s="10" t="n">
        <f aca="false">IF(I142="","",MAX(0,1-I142-J142))</f>
        <v>0.0898348210830914</v>
      </c>
      <c r="L142" s="0" t="str">
        <f aca="false">IF(I142="","",IF(I142&gt;=0.5+Config!$B$6,"OVER",IF(J142&gt;=0.5+Config!$B$6,"UNDER","—")))</f>
        <v>—</v>
      </c>
      <c r="N142" s="0" t="n">
        <v>17.3</v>
      </c>
      <c r="O142" s="10" t="n">
        <v>0.6</v>
      </c>
      <c r="P142" s="10" t="n">
        <v>0.7</v>
      </c>
      <c r="Q142" s="10" t="n">
        <v>0.67</v>
      </c>
      <c r="R142" s="9" t="s">
        <v>1124</v>
      </c>
      <c r="S142" s="0" t="n">
        <v>-1</v>
      </c>
      <c r="T142" s="0" t="str">
        <f aca="false">INDEX(Calc!$G$2:$G$124,MATCH($W142,Calc!$A$2:$A$124,0))&amp;" / "&amp;INDEX(Calc!$H$2:$H$124,MATCH($W142,Calc!$A$2:$A$124,0))</f>
        <v>Dust2 / Mirage</v>
      </c>
      <c r="U142" s="0" t="str">
        <f aca="false">TEXT(INDEX(Calc!$J$2:$J$124,MATCH($W142,Calc!$A$2:$A$124,0)),"0.0")&amp;" / "&amp;TEXT(INDEX(Calc!$K$2:$K$124,MATCH($W142,Calc!$A$2:$A$124,0)),"0.0")</f>
        <v>21.5 / 21.5</v>
      </c>
      <c r="V142" s="0" t="str">
        <f aca="false">IFERROR(INDEX(Calc!$AQ$2:$AQ$124,MATCH($W142,Calc!$A$2:$A$124,0)),"")</f>
        <v/>
      </c>
      <c r="W142" s="9" t="s">
        <v>1288</v>
      </c>
      <c r="X142" s="9" t="s">
        <v>1110</v>
      </c>
      <c r="Y142" s="0" t="str">
        <f aca="false">W142&amp;"|"&amp;X142</f>
        <v>80bybpfrkhru947|CS2 · INF vs BRUTE|H12</v>
      </c>
      <c r="Z142" s="11" t="n">
        <f aca="false">IFERROR(INDEX(CHOOSE(MATCH($X142,{"K1","K2","K3","K12","K13","H1","H2","H3","H12","H13"},0),Calc!$BA$2:$BA$124,Calc!$BB$2:$BB$124,Calc!$BC$2:$BC$124,Calc!$BD$2:$BD$124,Calc!$BE$2:$BE$124,Calc!$BF$2:$BF$124,Calc!$BG$2:$BG$124,Calc!$BH$2:$BH$124,Calc!$BI$2:$BI$124,Calc!$BJ$2:$BJ$124),MATCH($W142,Calc!$A$2:$A$124,0)),"")</f>
        <v>16.2740394727173</v>
      </c>
      <c r="AA142" s="11" t="n">
        <f aca="false">IF(Z142="","",IF(LEFT($X142,1)="H",SQRT(Z142*(IFERROR(INDEX(Calc!$AP$2:$AP$124,MATCH($W142,Calc!$A$2:$A$124,0)),0.5)*Config!$B$5+1-IFERROR(INDEX(Calc!$AP$2:$AP$124,MATCH($W142,Calc!$A$2:$A$124,0)),0.5))),SQRT(Z142*Config!$B$5)))</f>
        <v>4.45805910639984</v>
      </c>
      <c r="AB142" s="10" t="n">
        <f aca="false">IF(OR(F142="",Z142="",N(AA142)&lt;=0),"",1-NORMDIST(FLOOR(F142,1)+0.5,Z142,AA142,TRUE()))</f>
        <v>0.479787925026504</v>
      </c>
      <c r="AC142" s="10" t="n">
        <f aca="false">IF(AB142="","",NORMDIST(CEILING(F142,1)-0.5,Z142,AA142,TRUE()))</f>
        <v>0.431079301785427</v>
      </c>
      <c r="AD142" s="0" t="str">
        <f aca="false">IF(AB142="","",IF(AB142&gt;=0.5+Config!$B$6,"OVER",IF(AC142&gt;=0.5+Config!$B$6,"UNDER","—")))</f>
        <v>—</v>
      </c>
      <c r="AE142" s="13" t="n">
        <f aca="false">IFERROR(Z142/G142,"")</f>
        <v>1.01234533357231</v>
      </c>
    </row>
    <row r="143" customFormat="false" ht="15" hidden="false" customHeight="false" outlineLevel="0" collapsed="false">
      <c r="A143" s="0" t="s">
        <v>988</v>
      </c>
      <c r="B143" s="0" t="s">
        <v>1047</v>
      </c>
      <c r="C143" s="0" t="s">
        <v>1287</v>
      </c>
      <c r="D143" s="0" t="s">
        <v>1052</v>
      </c>
      <c r="E143" s="0" t="s">
        <v>1111</v>
      </c>
      <c r="F143" s="0" t="n">
        <v>28.5</v>
      </c>
      <c r="G143" s="11" t="n">
        <f aca="false">IFERROR(INDEX(CHOOSE(MATCH($X143,{"K1","K2","K3","K12","K13","H1","H2","H3","H12","H13"},0),Calc!$V$2:$V$124,Calc!$AC$2:$AC$124,Calc!$AJ$2:$AJ$124,Calc!$AL$2:$AL$124,Calc!$AM$2:$AM$124,Calc!$W$2:$W$124,Calc!$AD$2:$AD$124,Calc!$AK$2:$AK$124,Calc!$AN$2:$AN$124,Calc!$AO$2:$AO$124),MATCH($W143,Calc!$A$2:$A$124,0)),"")</f>
        <v>29.0662626262626</v>
      </c>
      <c r="H143" s="11" t="n">
        <f aca="false">IF(G143="","",IF(LEFT($X143,1)="H",SQRT(G143*(IFERROR(INDEX(Calc!$AP$2:$AP$124,MATCH($W143,Calc!$A$2:$A$124,0)),0.5)*Config!$B$5+1-IFERROR(INDEX(Calc!$AP$2:$AP$124,MATCH($W143,Calc!$A$2:$A$124,0)),0.5))),SQRT(G143*Config!$B$5)))</f>
        <v>6.37908831078295</v>
      </c>
      <c r="I143" s="10" t="n">
        <f aca="false">IF(OR(F143="",G143="",N(H143)&lt;=0),"",1-NORMDIST(FLOOR(F143,1)+0.5,G143,H143,TRUE()))</f>
        <v>0.535367086641819</v>
      </c>
      <c r="J143" s="10" t="n">
        <f aca="false">IF(I143="","",NORMDIST(CEILING(F143,1)-0.5,G143,H143,TRUE()))</f>
        <v>0.464632913358181</v>
      </c>
      <c r="K143" s="10" t="n">
        <f aca="false">IF(I143="","",MAX(0,1-I143-J143))</f>
        <v>0</v>
      </c>
      <c r="L143" s="0" t="str">
        <f aca="false">IF(I143="","",IF(I143&gt;=0.5+Config!$B$6,"OVER",IF(J143&gt;=0.5+Config!$B$6,"UNDER","—")))</f>
        <v>—</v>
      </c>
      <c r="N143" s="0" t="n">
        <v>28.9</v>
      </c>
      <c r="O143" s="10" t="n">
        <v>0.6</v>
      </c>
      <c r="P143" s="10" t="n">
        <v>0.5</v>
      </c>
      <c r="Q143" s="10" t="n">
        <v>0.6</v>
      </c>
      <c r="R143" s="9" t="s">
        <v>1131</v>
      </c>
      <c r="S143" s="0" t="n">
        <v>-1</v>
      </c>
      <c r="T143" s="0" t="str">
        <f aca="false">INDEX(Calc!$G$2:$G$124,MATCH($W143,Calc!$A$2:$A$124,0))&amp;" / "&amp;INDEX(Calc!$H$2:$H$124,MATCH($W143,Calc!$A$2:$A$124,0))</f>
        <v>Dust2 / Mirage</v>
      </c>
      <c r="U143" s="0" t="str">
        <f aca="false">TEXT(INDEX(Calc!$J$2:$J$124,MATCH($W143,Calc!$A$2:$A$124,0)),"0.0")&amp;" / "&amp;TEXT(INDEX(Calc!$K$2:$K$124,MATCH($W143,Calc!$A$2:$A$124,0)),"0.0")</f>
        <v>21.5 / 21.5</v>
      </c>
      <c r="V143" s="0" t="str">
        <f aca="false">IFERROR(INDEX(Calc!$AQ$2:$AQ$124,MATCH($W143,Calc!$A$2:$A$124,0)),"")</f>
        <v/>
      </c>
      <c r="W143" s="9" t="s">
        <v>1288</v>
      </c>
      <c r="X143" s="9" t="s">
        <v>1112</v>
      </c>
      <c r="Y143" s="0" t="str">
        <f aca="false">W143&amp;"|"&amp;X143</f>
        <v>80bybpfrkhru947|CS2 · INF vs BRUTE|K12</v>
      </c>
      <c r="Z143" s="11" t="n">
        <f aca="false">IFERROR(INDEX(CHOOSE(MATCH($X143,{"K1","K2","K3","K12","K13","H1","H2","H3","H12","H13"},0),Calc!$BA$2:$BA$124,Calc!$BB$2:$BB$124,Calc!$BC$2:$BC$124,Calc!$BD$2:$BD$124,Calc!$BE$2:$BE$124,Calc!$BF$2:$BF$124,Calc!$BG$2:$BG$124,Calc!$BH$2:$BH$124,Calc!$BI$2:$BI$124,Calc!$BJ$2:$BJ$124),MATCH($W143,Calc!$A$2:$A$124,0)),"")</f>
        <v>29.4251200917705</v>
      </c>
      <c r="AA143" s="11" t="n">
        <f aca="false">IF(Z143="","",IF(LEFT($X143,1)="H",SQRT(Z143*(IFERROR(INDEX(Calc!$AP$2:$AP$124,MATCH($W143,Calc!$A$2:$A$124,0)),0.5)*Config!$B$5+1-IFERROR(INDEX(Calc!$AP$2:$AP$124,MATCH($W143,Calc!$A$2:$A$124,0)),0.5))),SQRT(Z143*Config!$B$5)))</f>
        <v>6.41834621444487</v>
      </c>
      <c r="AB143" s="10" t="n">
        <f aca="false">IF(OR(F143="",Z143="",N(AA143)&lt;=0),"",1-NORMDIST(FLOOR(F143,1)+0.5,Z143,AA143,TRUE()))</f>
        <v>0.55730378978134</v>
      </c>
      <c r="AC143" s="10" t="n">
        <f aca="false">IF(AB143="","",NORMDIST(CEILING(F143,1)-0.5,Z143,AA143,TRUE()))</f>
        <v>0.44269621021866</v>
      </c>
      <c r="AD143" s="0" t="str">
        <f aca="false">IF(AB143="","",IF(AB143&gt;=0.5+Config!$B$6,"OVER",IF(AC143&gt;=0.5+Config!$B$6,"UNDER","—")))</f>
        <v>OVER</v>
      </c>
      <c r="AE143" s="13" t="n">
        <f aca="false">IFERROR(Z143/G143,"")</f>
        <v>1.01234618533941</v>
      </c>
    </row>
    <row r="144" customFormat="false" ht="15" hidden="false" customHeight="false" outlineLevel="0" collapsed="false">
      <c r="A144" s="0" t="s">
        <v>988</v>
      </c>
      <c r="B144" s="0" t="s">
        <v>1047</v>
      </c>
      <c r="C144" s="0" t="s">
        <v>1289</v>
      </c>
      <c r="D144" s="0" t="s">
        <v>1052</v>
      </c>
      <c r="E144" s="0" t="s">
        <v>1107</v>
      </c>
      <c r="F144" s="0" t="n">
        <v>11.5</v>
      </c>
      <c r="G144" s="11" t="n">
        <f aca="false">IFERROR(INDEX(CHOOSE(MATCH($X144,{"K1","K2","K3","K12","K13","H1","H2","H3","H12","H13"},0),Calc!$V$2:$V$124,Calc!$AC$2:$AC$124,Calc!$AJ$2:$AJ$124,Calc!$AL$2:$AL$124,Calc!$AM$2:$AM$124,Calc!$W$2:$W$124,Calc!$AD$2:$AD$124,Calc!$AK$2:$AK$124,Calc!$AN$2:$AN$124,Calc!$AO$2:$AO$124),MATCH($W144,Calc!$A$2:$A$124,0)),"")</f>
        <v>9.50978743055556</v>
      </c>
      <c r="H144" s="11" t="n">
        <f aca="false">IF(G144="","",IF(LEFT($X144,1)="H",SQRT(G144*(IFERROR(INDEX(Calc!$AP$2:$AP$124,MATCH($W144,Calc!$A$2:$A$124,0)),0.5)*Config!$B$5+1-IFERROR(INDEX(Calc!$AP$2:$AP$124,MATCH($W144,Calc!$A$2:$A$124,0)),0.5))),SQRT(G144*Config!$B$5)))</f>
        <v>3.36926920520443</v>
      </c>
      <c r="I144" s="10" t="n">
        <f aca="false">IF(OR(F144="",G144="",N(H144)&lt;=0),"",1-NORMDIST(FLOOR(F144,1)+0.5,G144,H144,TRUE()))</f>
        <v>0.277362190881573</v>
      </c>
      <c r="J144" s="10" t="n">
        <f aca="false">IF(I144="","",NORMDIST(CEILING(F144,1)-0.5,G144,H144,TRUE()))</f>
        <v>0.722637809118427</v>
      </c>
      <c r="K144" s="10" t="n">
        <f aca="false">IF(I144="","",MAX(0,1-I144-J144))</f>
        <v>0</v>
      </c>
      <c r="L144" s="0" t="str">
        <f aca="false">IF(I144="","",IF(I144&gt;=0.5+Config!$B$6,"OVER",IF(J144&gt;=0.5+Config!$B$6,"UNDER","—")))</f>
        <v>UNDER</v>
      </c>
      <c r="N144" s="0" t="n">
        <v>8.9</v>
      </c>
      <c r="O144" s="10" t="n">
        <v>0.2</v>
      </c>
      <c r="P144" s="10" t="n">
        <v>0.2</v>
      </c>
      <c r="Q144" s="10" t="n">
        <v>0.33</v>
      </c>
      <c r="R144" s="9" t="s">
        <v>1108</v>
      </c>
      <c r="S144" s="0" t="n">
        <v>-1</v>
      </c>
      <c r="T144" s="0" t="str">
        <f aca="false">INDEX(Calc!$G$2:$G$124,MATCH($W144,Calc!$A$2:$A$124,0))&amp;" / "&amp;INDEX(Calc!$H$2:$H$124,MATCH($W144,Calc!$A$2:$A$124,0))</f>
        <v>Dust2 / Mirage</v>
      </c>
      <c r="U144" s="0" t="str">
        <f aca="false">TEXT(INDEX(Calc!$J$2:$J$124,MATCH($W144,Calc!$A$2:$A$124,0)),"0.0")&amp;" / "&amp;TEXT(INDEX(Calc!$K$2:$K$124,MATCH($W144,Calc!$A$2:$A$124,0)),"0.0")</f>
        <v>21.5 / 21.5</v>
      </c>
      <c r="V144" s="0" t="str">
        <f aca="false">IFERROR(INDEX(Calc!$AQ$2:$AQ$124,MATCH($W144,Calc!$A$2:$A$124,0)),"")</f>
        <v/>
      </c>
      <c r="W144" s="9" t="s">
        <v>1290</v>
      </c>
      <c r="X144" s="9" t="s">
        <v>1110</v>
      </c>
      <c r="Y144" s="0" t="str">
        <f aca="false">W144&amp;"|"&amp;X144</f>
        <v>wcfyexekmhuiiin|CS2 · INF vs BRUTE|H12</v>
      </c>
      <c r="Z144" s="11" t="n">
        <f aca="false">IFERROR(INDEX(CHOOSE(MATCH($X144,{"K1","K2","K3","K12","K13","H1","H2","H3","H12","H13"},0),Calc!$BA$2:$BA$124,Calc!$BB$2:$BB$124,Calc!$BC$2:$BC$124,Calc!$BD$2:$BD$124,Calc!$BE$2:$BE$124,Calc!$BF$2:$BF$124,Calc!$BG$2:$BG$124,Calc!$BH$2:$BH$124,Calc!$BI$2:$BI$124,Calc!$BJ$2:$BJ$124),MATCH($W144,Calc!$A$2:$A$124,0)),"")</f>
        <v>9.62811223969074</v>
      </c>
      <c r="AA144" s="11" t="n">
        <f aca="false">IF(Z144="","",IF(LEFT($X144,1)="H",SQRT(Z144*(IFERROR(INDEX(Calc!$AP$2:$AP$124,MATCH($W144,Calc!$A$2:$A$124,0)),0.5)*Config!$B$5+1-IFERROR(INDEX(Calc!$AP$2:$AP$124,MATCH($W144,Calc!$A$2:$A$124,0)),0.5))),SQRT(Z144*Config!$B$5)))</f>
        <v>3.39016534481135</v>
      </c>
      <c r="AB144" s="10" t="n">
        <f aca="false">IF(OR(F144="",Z144="",N(AA144)&lt;=0),"",1-NORMDIST(FLOOR(F144,1)+0.5,Z144,AA144,TRUE()))</f>
        <v>0.290421989051988</v>
      </c>
      <c r="AC144" s="10" t="n">
        <f aca="false">IF(AB144="","",NORMDIST(CEILING(F144,1)-0.5,Z144,AA144,TRUE()))</f>
        <v>0.709578010948012</v>
      </c>
      <c r="AD144" s="0" t="str">
        <f aca="false">IF(AB144="","",IF(AB144&gt;=0.5+Config!$B$6,"OVER",IF(AC144&gt;=0.5+Config!$B$6,"UNDER","—")))</f>
        <v>UNDER</v>
      </c>
      <c r="AE144" s="13" t="n">
        <f aca="false">IFERROR(Z144/G144,"")</f>
        <v>1.01244242418658</v>
      </c>
    </row>
    <row r="145" customFormat="false" ht="15" hidden="false" customHeight="false" outlineLevel="0" collapsed="false">
      <c r="A145" s="0" t="s">
        <v>988</v>
      </c>
      <c r="B145" s="0" t="s">
        <v>1047</v>
      </c>
      <c r="C145" s="0" t="s">
        <v>1289</v>
      </c>
      <c r="D145" s="0" t="s">
        <v>1052</v>
      </c>
      <c r="E145" s="0" t="s">
        <v>1111</v>
      </c>
      <c r="F145" s="0" t="n">
        <v>23.5</v>
      </c>
      <c r="G145" s="11" t="n">
        <f aca="false">IFERROR(INDEX(CHOOSE(MATCH($X145,{"K1","K2","K3","K12","K13","H1","H2","H3","H12","H13"},0),Calc!$V$2:$V$124,Calc!$AC$2:$AC$124,Calc!$AJ$2:$AJ$124,Calc!$AL$2:$AL$124,Calc!$AM$2:$AM$124,Calc!$W$2:$W$124,Calc!$AD$2:$AD$124,Calc!$AK$2:$AK$124,Calc!$AN$2:$AN$124,Calc!$AO$2:$AO$124),MATCH($W145,Calc!$A$2:$A$124,0)),"")</f>
        <v>19.6366666666667</v>
      </c>
      <c r="H145" s="11" t="n">
        <f aca="false">IF(G145="","",IF(LEFT($X145,1)="H",SQRT(G145*(IFERROR(INDEX(Calc!$AP$2:$AP$124,MATCH($W145,Calc!$A$2:$A$124,0)),0.5)*Config!$B$5+1-IFERROR(INDEX(Calc!$AP$2:$AP$124,MATCH($W145,Calc!$A$2:$A$124,0)),0.5))),SQRT(G145*Config!$B$5)))</f>
        <v>5.24321784149136</v>
      </c>
      <c r="I145" s="10" t="n">
        <f aca="false">IF(OR(F145="",G145="",N(H145)&lt;=0),"",1-NORMDIST(FLOOR(F145,1)+0.5,G145,H145,TRUE()))</f>
        <v>0.230614426854378</v>
      </c>
      <c r="J145" s="10" t="n">
        <f aca="false">IF(I145="","",NORMDIST(CEILING(F145,1)-0.5,G145,H145,TRUE()))</f>
        <v>0.769385573145622</v>
      </c>
      <c r="K145" s="10" t="n">
        <f aca="false">IF(I145="","",MAX(0,1-I145-J145))</f>
        <v>0</v>
      </c>
      <c r="L145" s="0" t="str">
        <f aca="false">IF(I145="","",IF(I145&gt;=0.5+Config!$B$6,"OVER",IF(J145&gt;=0.5+Config!$B$6,"UNDER","—")))</f>
        <v>UNDER</v>
      </c>
      <c r="N145" s="0" t="n">
        <v>20</v>
      </c>
      <c r="O145" s="10" t="n">
        <v>0</v>
      </c>
      <c r="P145" s="10" t="n">
        <v>0.3</v>
      </c>
      <c r="Q145" s="10" t="n">
        <v>0.4</v>
      </c>
      <c r="R145" s="9" t="s">
        <v>1108</v>
      </c>
      <c r="S145" s="0" t="n">
        <v>-5</v>
      </c>
      <c r="T145" s="0" t="str">
        <f aca="false">INDEX(Calc!$G$2:$G$124,MATCH($W145,Calc!$A$2:$A$124,0))&amp;" / "&amp;INDEX(Calc!$H$2:$H$124,MATCH($W145,Calc!$A$2:$A$124,0))</f>
        <v>Dust2 / Mirage</v>
      </c>
      <c r="U145" s="0" t="str">
        <f aca="false">TEXT(INDEX(Calc!$J$2:$J$124,MATCH($W145,Calc!$A$2:$A$124,0)),"0.0")&amp;" / "&amp;TEXT(INDEX(Calc!$K$2:$K$124,MATCH($W145,Calc!$A$2:$A$124,0)),"0.0")</f>
        <v>21.5 / 21.5</v>
      </c>
      <c r="V145" s="0" t="str">
        <f aca="false">IFERROR(INDEX(Calc!$AQ$2:$AQ$124,MATCH($W145,Calc!$A$2:$A$124,0)),"")</f>
        <v/>
      </c>
      <c r="W145" s="9" t="s">
        <v>1290</v>
      </c>
      <c r="X145" s="9" t="s">
        <v>1112</v>
      </c>
      <c r="Y145" s="0" t="str">
        <f aca="false">W145&amp;"|"&amp;X145</f>
        <v>wcfyexekmhuiiin|CS2 · INF vs BRUTE|K12</v>
      </c>
      <c r="Z145" s="11" t="n">
        <f aca="false">IFERROR(INDEX(CHOOSE(MATCH($X145,{"K1","K2","K3","K12","K13","H1","H2","H3","H12","H13"},0),Calc!$BA$2:$BA$124,Calc!$BB$2:$BB$124,Calc!$BC$2:$BC$124,Calc!$BD$2:$BD$124,Calc!$BE$2:$BE$124,Calc!$BF$2:$BF$124,Calc!$BG$2:$BG$124,Calc!$BH$2:$BH$124,Calc!$BI$2:$BI$124,Calc!$BJ$2:$BJ$124),MATCH($W145,Calc!$A$2:$A$124,0)),"")</f>
        <v>19.8809662270204</v>
      </c>
      <c r="AA145" s="11" t="n">
        <f aca="false">IF(Z145="","",IF(LEFT($X145,1)="H",SQRT(Z145*(IFERROR(INDEX(Calc!$AP$2:$AP$124,MATCH($W145,Calc!$A$2:$A$124,0)),0.5)*Config!$B$5+1-IFERROR(INDEX(Calc!$AP$2:$AP$124,MATCH($W145,Calc!$A$2:$A$124,0)),0.5))),SQRT(Z145*Config!$B$5)))</f>
        <v>5.27573243425295</v>
      </c>
      <c r="AB145" s="10" t="n">
        <f aca="false">IF(OR(F145="",Z145="",N(AA145)&lt;=0),"",1-NORMDIST(FLOOR(F145,1)+0.5,Z145,AA145,TRUE()))</f>
        <v>0.246363646848308</v>
      </c>
      <c r="AC145" s="10" t="n">
        <f aca="false">IF(AB145="","",NORMDIST(CEILING(F145,1)-0.5,Z145,AA145,TRUE()))</f>
        <v>0.753636353151692</v>
      </c>
      <c r="AD145" s="0" t="str">
        <f aca="false">IF(AB145="","",IF(AB145&gt;=0.5+Config!$B$6,"OVER",IF(AC145&gt;=0.5+Config!$B$6,"UNDER","—")))</f>
        <v>UNDER</v>
      </c>
      <c r="AE145" s="13" t="n">
        <f aca="false">IFERROR(Z145/G145,"")</f>
        <v>1.01244098932373</v>
      </c>
    </row>
    <row r="146" customFormat="false" ht="15" hidden="false" customHeight="false" outlineLevel="0" collapsed="false">
      <c r="A146" s="0" t="s">
        <v>988</v>
      </c>
      <c r="B146" s="0" t="s">
        <v>1047</v>
      </c>
      <c r="C146" s="0" t="s">
        <v>1291</v>
      </c>
      <c r="D146" s="0" t="s">
        <v>1052</v>
      </c>
      <c r="E146" s="0" t="s">
        <v>1107</v>
      </c>
      <c r="F146" s="0" t="n">
        <v>11</v>
      </c>
      <c r="G146" s="11" t="n">
        <f aca="false">IFERROR(INDEX(CHOOSE(MATCH($X146,{"K1","K2","K3","K12","K13","H1","H2","H3","H12","H13"},0),Calc!$V$2:$V$124,Calc!$AC$2:$AC$124,Calc!$AJ$2:$AJ$124,Calc!$AL$2:$AL$124,Calc!$AM$2:$AM$124,Calc!$W$2:$W$124,Calc!$AD$2:$AD$124,Calc!$AK$2:$AK$124,Calc!$AN$2:$AN$124,Calc!$AO$2:$AO$124),MATCH($W146,Calc!$A$2:$A$124,0)),"")</f>
        <v>10.3077539720437</v>
      </c>
      <c r="H146" s="11" t="n">
        <f aca="false">IF(G146="","",IF(LEFT($X146,1)="H",SQRT(G146*(IFERROR(INDEX(Calc!$AP$2:$AP$124,MATCH($W146,Calc!$A$2:$A$124,0)),0.5)*Config!$B$5+1-IFERROR(INDEX(Calc!$AP$2:$AP$124,MATCH($W146,Calc!$A$2:$A$124,0)),0.5))),SQRT(G146*Config!$B$5)))</f>
        <v>3.40381929444887</v>
      </c>
      <c r="I146" s="10" t="n">
        <f aca="false">IF(OR(F146="",G146="",N(H146)&lt;=0),"",1-NORMDIST(FLOOR(F146,1)+0.5,G146,H146,TRUE()))</f>
        <v>0.363069114162915</v>
      </c>
      <c r="J146" s="10" t="n">
        <f aca="false">IF(I146="","",NORMDIST(CEILING(F146,1)-0.5,G146,H146,TRUE()))</f>
        <v>0.522520088844167</v>
      </c>
      <c r="K146" s="10" t="n">
        <f aca="false">IF(I146="","",MAX(0,1-I146-J146))</f>
        <v>0.114410796992918</v>
      </c>
      <c r="L146" s="0" t="str">
        <f aca="false">IF(I146="","",IF(I146&gt;=0.5+Config!$B$6,"OVER",IF(J146&gt;=0.5+Config!$B$6,"UNDER","—")))</f>
        <v>—</v>
      </c>
      <c r="N146" s="0" t="n">
        <v>10.9</v>
      </c>
      <c r="O146" s="10" t="n">
        <v>0.2</v>
      </c>
      <c r="P146" s="10" t="n">
        <v>0.4</v>
      </c>
      <c r="Q146" s="10" t="n">
        <v>0.33</v>
      </c>
      <c r="R146" s="9" t="s">
        <v>1108</v>
      </c>
      <c r="S146" s="0" t="n">
        <v>-3</v>
      </c>
      <c r="T146" s="0" t="str">
        <f aca="false">INDEX(Calc!$G$2:$G$124,MATCH($W146,Calc!$A$2:$A$124,0))&amp;" / "&amp;INDEX(Calc!$H$2:$H$124,MATCH($W146,Calc!$A$2:$A$124,0))</f>
        <v>Dust2 / Mirage</v>
      </c>
      <c r="U146" s="0" t="str">
        <f aca="false">TEXT(INDEX(Calc!$J$2:$J$124,MATCH($W146,Calc!$A$2:$A$124,0)),"0.0")&amp;" / "&amp;TEXT(INDEX(Calc!$K$2:$K$124,MATCH($W146,Calc!$A$2:$A$124,0)),"0.0")</f>
        <v>21.5 / 21.5</v>
      </c>
      <c r="V146" s="0" t="str">
        <f aca="false">IFERROR(INDEX(Calc!$AQ$2:$AQ$124,MATCH($W146,Calc!$A$2:$A$124,0)),"")</f>
        <v/>
      </c>
      <c r="W146" s="9" t="s">
        <v>1292</v>
      </c>
      <c r="X146" s="9" t="s">
        <v>1110</v>
      </c>
      <c r="Y146" s="0" t="str">
        <f aca="false">W146&amp;"|"&amp;X146</f>
        <v>9ycphxjddne0u4w|CS2 · INF vs BRUTE|H12</v>
      </c>
      <c r="Z146" s="11" t="n">
        <f aca="false">IFERROR(INDEX(CHOOSE(MATCH($X146,{"K1","K2","K3","K12","K13","H1","H2","H3","H12","H13"},0),Calc!$BA$2:$BA$124,Calc!$BB$2:$BB$124,Calc!$BC$2:$BC$124,Calc!$BD$2:$BD$124,Calc!$BE$2:$BE$124,Calc!$BF$2:$BF$124,Calc!$BG$2:$BG$124,Calc!$BH$2:$BH$124,Calc!$BI$2:$BI$124,Calc!$BJ$2:$BJ$124),MATCH($W146,Calc!$A$2:$A$124,0)),"")</f>
        <v>10.4370631273713</v>
      </c>
      <c r="AA146" s="11" t="n">
        <f aca="false">IF(Z146="","",IF(LEFT($X146,1)="H",SQRT(Z146*(IFERROR(INDEX(Calc!$AP$2:$AP$124,MATCH($W146,Calc!$A$2:$A$124,0)),0.5)*Config!$B$5+1-IFERROR(INDEX(Calc!$AP$2:$AP$124,MATCH($W146,Calc!$A$2:$A$124,0)),0.5))),SQRT(Z146*Config!$B$5)))</f>
        <v>3.42510294181982</v>
      </c>
      <c r="AB146" s="10" t="n">
        <f aca="false">IF(OR(F146="",Z146="",N(AA146)&lt;=0),"",1-NORMDIST(FLOOR(F146,1)+0.5,Z146,AA146,TRUE()))</f>
        <v>0.378152270783763</v>
      </c>
      <c r="AC146" s="10" t="n">
        <f aca="false">IF(AB146="","",NORMDIST(CEILING(F146,1)-0.5,Z146,AA146,TRUE()))</f>
        <v>0.507330222488223</v>
      </c>
      <c r="AD146" s="0" t="str">
        <f aca="false">IF(AB146="","",IF(AB146&gt;=0.5+Config!$B$6,"OVER",IF(AC146&gt;=0.5+Config!$B$6,"UNDER","—")))</f>
        <v>—</v>
      </c>
      <c r="AE146" s="13" t="n">
        <f aca="false">IFERROR(Z146/G146,"")</f>
        <v>1.01254484300637</v>
      </c>
    </row>
    <row r="147" customFormat="false" ht="15" hidden="false" customHeight="false" outlineLevel="0" collapsed="false">
      <c r="A147" s="0" t="s">
        <v>988</v>
      </c>
      <c r="B147" s="0" t="s">
        <v>1047</v>
      </c>
      <c r="C147" s="0" t="s">
        <v>1291</v>
      </c>
      <c r="D147" s="0" t="s">
        <v>1052</v>
      </c>
      <c r="E147" s="0" t="s">
        <v>1111</v>
      </c>
      <c r="F147" s="0" t="n">
        <v>34.5</v>
      </c>
      <c r="G147" s="11" t="n">
        <f aca="false">IFERROR(INDEX(CHOOSE(MATCH($X147,{"K1","K2","K3","K12","K13","H1","H2","H3","H12","H13"},0),Calc!$V$2:$V$124,Calc!$AC$2:$AC$124,Calc!$AJ$2:$AJ$124,Calc!$AL$2:$AL$124,Calc!$AM$2:$AM$124,Calc!$W$2:$W$124,Calc!$AD$2:$AD$124,Calc!$AK$2:$AK$124,Calc!$AN$2:$AN$124,Calc!$AO$2:$AO$124),MATCH($W147,Calc!$A$2:$A$124,0)),"")</f>
        <v>33.2489898989899</v>
      </c>
      <c r="H147" s="11" t="n">
        <f aca="false">IF(G147="","",IF(LEFT($X147,1)="H",SQRT(G147*(IFERROR(INDEX(Calc!$AP$2:$AP$124,MATCH($W147,Calc!$A$2:$A$124,0)),0.5)*Config!$B$5+1-IFERROR(INDEX(Calc!$AP$2:$AP$124,MATCH($W147,Calc!$A$2:$A$124,0)),0.5))),SQRT(G147*Config!$B$5)))</f>
        <v>6.82265240640221</v>
      </c>
      <c r="I147" s="10" t="n">
        <f aca="false">IF(OR(F147="",G147="",N(H147)&lt;=0),"",1-NORMDIST(FLOOR(F147,1)+0.5,G147,H147,TRUE()))</f>
        <v>0.427257287609472</v>
      </c>
      <c r="J147" s="10" t="n">
        <f aca="false">IF(I147="","",NORMDIST(CEILING(F147,1)-0.5,G147,H147,TRUE()))</f>
        <v>0.572742712390528</v>
      </c>
      <c r="K147" s="10" t="n">
        <f aca="false">IF(I147="","",MAX(0,1-I147-J147))</f>
        <v>0</v>
      </c>
      <c r="L147" s="0" t="str">
        <f aca="false">IF(I147="","",IF(I147&gt;=0.5+Config!$B$6,"OVER",IF(J147&gt;=0.5+Config!$B$6,"UNDER","—")))</f>
        <v>UNDER</v>
      </c>
      <c r="N147" s="0" t="n">
        <v>35.5</v>
      </c>
      <c r="O147" s="10" t="n">
        <v>0.4</v>
      </c>
      <c r="P147" s="10" t="n">
        <v>0.5</v>
      </c>
      <c r="Q147" s="10" t="n">
        <v>0.53</v>
      </c>
      <c r="R147" s="9" t="s">
        <v>1108</v>
      </c>
      <c r="S147" s="0" t="n">
        <v>-3</v>
      </c>
      <c r="T147" s="0" t="str">
        <f aca="false">INDEX(Calc!$G$2:$G$124,MATCH($W147,Calc!$A$2:$A$124,0))&amp;" / "&amp;INDEX(Calc!$H$2:$H$124,MATCH($W147,Calc!$A$2:$A$124,0))</f>
        <v>Dust2 / Mirage</v>
      </c>
      <c r="U147" s="0" t="str">
        <f aca="false">TEXT(INDEX(Calc!$J$2:$J$124,MATCH($W147,Calc!$A$2:$A$124,0)),"0.0")&amp;" / "&amp;TEXT(INDEX(Calc!$K$2:$K$124,MATCH($W147,Calc!$A$2:$A$124,0)),"0.0")</f>
        <v>21.5 / 21.5</v>
      </c>
      <c r="V147" s="0" t="str">
        <f aca="false">IFERROR(INDEX(Calc!$AQ$2:$AQ$124,MATCH($W147,Calc!$A$2:$A$124,0)),"")</f>
        <v/>
      </c>
      <c r="W147" s="9" t="s">
        <v>1292</v>
      </c>
      <c r="X147" s="9" t="s">
        <v>1112</v>
      </c>
      <c r="Y147" s="0" t="str">
        <f aca="false">W147&amp;"|"&amp;X147</f>
        <v>9ycphxjddne0u4w|CS2 · INF vs BRUTE|K12</v>
      </c>
      <c r="Z147" s="11" t="n">
        <f aca="false">IFERROR(INDEX(CHOOSE(MATCH($X147,{"K1","K2","K3","K12","K13","H1","H2","H3","H12","H13"},0),Calc!$BA$2:$BA$124,Calc!$BB$2:$BB$124,Calc!$BC$2:$BC$124,Calc!$BD$2:$BD$124,Calc!$BE$2:$BE$124,Calc!$BF$2:$BF$124,Calc!$BG$2:$BG$124,Calc!$BH$2:$BH$124,Calc!$BI$2:$BI$124,Calc!$BJ$2:$BJ$124),MATCH($W147,Calc!$A$2:$A$124,0)),"")</f>
        <v>33.6622770065597</v>
      </c>
      <c r="AA147" s="11" t="n">
        <f aca="false">IF(Z147="","",IF(LEFT($X147,1)="H",SQRT(Z147*(IFERROR(INDEX(Calc!$AP$2:$AP$124,MATCH($W147,Calc!$A$2:$A$124,0)),0.5)*Config!$B$5+1-IFERROR(INDEX(Calc!$AP$2:$AP$124,MATCH($W147,Calc!$A$2:$A$124,0)),0.5))),SQRT(Z147*Config!$B$5)))</f>
        <v>6.86492445764581</v>
      </c>
      <c r="AB147" s="10" t="n">
        <f aca="false">IF(OR(F147="",Z147="",N(AA147)&lt;=0),"",1-NORMDIST(FLOOR(F147,1)+0.5,Z147,AA147,TRUE()))</f>
        <v>0.451437845248864</v>
      </c>
      <c r="AC147" s="10" t="n">
        <f aca="false">IF(AB147="","",NORMDIST(CEILING(F147,1)-0.5,Z147,AA147,TRUE()))</f>
        <v>0.548562154751136</v>
      </c>
      <c r="AD147" s="0" t="str">
        <f aca="false">IF(AB147="","",IF(AB147&gt;=0.5+Config!$B$6,"OVER",IF(AC147&gt;=0.5+Config!$B$6,"UNDER","—")))</f>
        <v>UNDER</v>
      </c>
      <c r="AE147" s="13" t="n">
        <f aca="false">IFERROR(Z147/G147,"")</f>
        <v>1.01243006505838</v>
      </c>
    </row>
    <row r="148" customFormat="false" ht="15" hidden="false" customHeight="false" outlineLevel="0" collapsed="false">
      <c r="A148" s="0" t="s">
        <v>988</v>
      </c>
      <c r="B148" s="0" t="s">
        <v>1047</v>
      </c>
      <c r="C148" s="0" t="s">
        <v>1293</v>
      </c>
      <c r="D148" s="0" t="s">
        <v>1052</v>
      </c>
      <c r="E148" s="0" t="s">
        <v>1107</v>
      </c>
      <c r="F148" s="0" t="n">
        <v>14.5</v>
      </c>
      <c r="G148" s="11" t="n">
        <f aca="false">IFERROR(INDEX(CHOOSE(MATCH($X148,{"K1","K2","K3","K12","K13","H1","H2","H3","H12","H13"},0),Calc!$V$2:$V$124,Calc!$AC$2:$AC$124,Calc!$AJ$2:$AJ$124,Calc!$AL$2:$AL$124,Calc!$AM$2:$AM$124,Calc!$W$2:$W$124,Calc!$AD$2:$AD$124,Calc!$AK$2:$AK$124,Calc!$AN$2:$AN$124,Calc!$AO$2:$AO$124),MATCH($W148,Calc!$A$2:$A$124,0)),"")</f>
        <v>14.6227511049893</v>
      </c>
      <c r="H148" s="11" t="n">
        <f aca="false">IF(G148="","",IF(LEFT($X148,1)="H",SQRT(G148*(IFERROR(INDEX(Calc!$AP$2:$AP$124,MATCH($W148,Calc!$A$2:$A$124,0)),0.5)*Config!$B$5+1-IFERROR(INDEX(Calc!$AP$2:$AP$124,MATCH($W148,Calc!$A$2:$A$124,0)),0.5))),SQRT(G148*Config!$B$5)))</f>
        <v>4.24166786686104</v>
      </c>
      <c r="I148" s="10" t="n">
        <f aca="false">IF(OR(F148="",G148="",N(H148)&lt;=0),"",1-NORMDIST(FLOOR(F148,1)+0.5,G148,H148,TRUE()))</f>
        <v>0.511543518440488</v>
      </c>
      <c r="J148" s="10" t="n">
        <f aca="false">IF(I148="","",NORMDIST(CEILING(F148,1)-0.5,G148,H148,TRUE()))</f>
        <v>0.488456481559512</v>
      </c>
      <c r="K148" s="10" t="n">
        <f aca="false">IF(I148="","",MAX(0,1-I148-J148))</f>
        <v>0</v>
      </c>
      <c r="L148" s="0" t="str">
        <f aca="false">IF(I148="","",IF(I148&gt;=0.5+Config!$B$6,"OVER",IF(J148&gt;=0.5+Config!$B$6,"UNDER","—")))</f>
        <v>—</v>
      </c>
      <c r="N148" s="0" t="n">
        <v>14.3</v>
      </c>
      <c r="O148" s="10" t="n">
        <v>0.4</v>
      </c>
      <c r="P148" s="10" t="n">
        <v>0.5</v>
      </c>
      <c r="Q148" s="10" t="n">
        <v>0.6</v>
      </c>
      <c r="R148" s="9" t="s">
        <v>1108</v>
      </c>
      <c r="S148" s="0" t="n">
        <v>-1</v>
      </c>
      <c r="T148" s="0" t="str">
        <f aca="false">INDEX(Calc!$G$2:$G$124,MATCH($W148,Calc!$A$2:$A$124,0))&amp;" / "&amp;INDEX(Calc!$H$2:$H$124,MATCH($W148,Calc!$A$2:$A$124,0))</f>
        <v>Dust2 / Mirage</v>
      </c>
      <c r="U148" s="0" t="str">
        <f aca="false">TEXT(INDEX(Calc!$J$2:$J$124,MATCH($W148,Calc!$A$2:$A$124,0)),"0.0")&amp;" / "&amp;TEXT(INDEX(Calc!$K$2:$K$124,MATCH($W148,Calc!$A$2:$A$124,0)),"0.0")</f>
        <v>21.5 / 21.5</v>
      </c>
      <c r="V148" s="0" t="str">
        <f aca="false">IFERROR(INDEX(Calc!$AQ$2:$AQ$124,MATCH($W148,Calc!$A$2:$A$124,0)),"")</f>
        <v/>
      </c>
      <c r="W148" s="9" t="s">
        <v>1294</v>
      </c>
      <c r="X148" s="9" t="s">
        <v>1110</v>
      </c>
      <c r="Y148" s="0" t="str">
        <f aca="false">W148&amp;"|"&amp;X148</f>
        <v>12s4j1y56sietsk|CS2 · INF vs BRUTE|H12</v>
      </c>
      <c r="Z148" s="11" t="n">
        <f aca="false">IFERROR(INDEX(CHOOSE(MATCH($X148,{"K1","K2","K3","K12","K13","H1","H2","H3","H12","H13"},0),Calc!$BA$2:$BA$124,Calc!$BB$2:$BB$124,Calc!$BC$2:$BC$124,Calc!$BD$2:$BD$124,Calc!$BE$2:$BE$124,Calc!$BF$2:$BF$124,Calc!$BG$2:$BG$124,Calc!$BH$2:$BH$124,Calc!$BI$2:$BI$124,Calc!$BJ$2:$BJ$124),MATCH($W148,Calc!$A$2:$A$124,0)),"")</f>
        <v>14.8023998142803</v>
      </c>
      <c r="AA148" s="11" t="n">
        <f aca="false">IF(Z148="","",IF(LEFT($X148,1)="H",SQRT(Z148*(IFERROR(INDEX(Calc!$AP$2:$AP$124,MATCH($W148,Calc!$A$2:$A$124,0)),0.5)*Config!$B$5+1-IFERROR(INDEX(Calc!$AP$2:$AP$124,MATCH($W148,Calc!$A$2:$A$124,0)),0.5))),SQRT(Z148*Config!$B$5)))</f>
        <v>4.26764396358489</v>
      </c>
      <c r="AB148" s="10" t="n">
        <f aca="false">IF(OR(F148="",Z148="",N(AA148)&lt;=0),"",1-NORMDIST(FLOOR(F148,1)+0.5,Z148,AA148,TRUE()))</f>
        <v>0.528244903677237</v>
      </c>
      <c r="AC148" s="10" t="n">
        <f aca="false">IF(AB148="","",NORMDIST(CEILING(F148,1)-0.5,Z148,AA148,TRUE()))</f>
        <v>0.471755096322763</v>
      </c>
      <c r="AD148" s="0" t="str">
        <f aca="false">IF(AB148="","",IF(AB148&gt;=0.5+Config!$B$6,"OVER",IF(AC148&gt;=0.5+Config!$B$6,"UNDER","—")))</f>
        <v>—</v>
      </c>
      <c r="AE148" s="13" t="n">
        <f aca="false">IFERROR(Z148/G148,"")</f>
        <v>1.01228556158832</v>
      </c>
    </row>
    <row r="149" customFormat="false" ht="15" hidden="false" customHeight="false" outlineLevel="0" collapsed="false">
      <c r="A149" s="0" t="s">
        <v>988</v>
      </c>
      <c r="B149" s="0" t="s">
        <v>1047</v>
      </c>
      <c r="C149" s="0" t="s">
        <v>1293</v>
      </c>
      <c r="D149" s="0" t="s">
        <v>1052</v>
      </c>
      <c r="E149" s="0" t="s">
        <v>1111</v>
      </c>
      <c r="F149" s="0" t="n">
        <v>26</v>
      </c>
      <c r="G149" s="11" t="n">
        <f aca="false">IFERROR(INDEX(CHOOSE(MATCH($X149,{"K1","K2","K3","K12","K13","H1","H2","H3","H12","H13"},0),Calc!$V$2:$V$124,Calc!$AC$2:$AC$124,Calc!$AJ$2:$AJ$124,Calc!$AL$2:$AL$124,Calc!$AM$2:$AM$124,Calc!$W$2:$W$124,Calc!$AD$2:$AD$124,Calc!$AK$2:$AK$124,Calc!$AN$2:$AN$124,Calc!$AO$2:$AO$124),MATCH($W149,Calc!$A$2:$A$124,0)),"")</f>
        <v>25.3873737373737</v>
      </c>
      <c r="H149" s="11" t="n">
        <f aca="false">IF(G149="","",IF(LEFT($X149,1)="H",SQRT(G149*(IFERROR(INDEX(Calc!$AP$2:$AP$124,MATCH($W149,Calc!$A$2:$A$124,0)),0.5)*Config!$B$5+1-IFERROR(INDEX(Calc!$AP$2:$AP$124,MATCH($W149,Calc!$A$2:$A$124,0)),0.5))),SQRT(G149*Config!$B$5)))</f>
        <v>5.96173827271235</v>
      </c>
      <c r="I149" s="10" t="n">
        <f aca="false">IF(OR(F149="",G149="",N(H149)&lt;=0),"",1-NORMDIST(FLOOR(F149,1)+0.5,G149,H149,TRUE()))</f>
        <v>0.425976223394682</v>
      </c>
      <c r="J149" s="10" t="n">
        <f aca="false">IF(I149="","",NORMDIST(CEILING(F149,1)-0.5,G149,H149,TRUE()))</f>
        <v>0.507536175448338</v>
      </c>
      <c r="K149" s="10" t="n">
        <f aca="false">IF(I149="","",MAX(0,1-I149-J149))</f>
        <v>0.0664876011569795</v>
      </c>
      <c r="L149" s="0" t="str">
        <f aca="false">IF(I149="","",IF(I149&gt;=0.5+Config!$B$6,"OVER",IF(J149&gt;=0.5+Config!$B$6,"UNDER","—")))</f>
        <v>—</v>
      </c>
      <c r="N149" s="0" t="n">
        <v>26.6</v>
      </c>
      <c r="O149" s="10" t="n">
        <v>0.4</v>
      </c>
      <c r="P149" s="10" t="n">
        <v>0.6</v>
      </c>
      <c r="Q149" s="10" t="n">
        <v>0.6</v>
      </c>
      <c r="R149" s="9" t="s">
        <v>1108</v>
      </c>
      <c r="S149" s="0" t="n">
        <v>-1</v>
      </c>
      <c r="T149" s="0" t="str">
        <f aca="false">INDEX(Calc!$G$2:$G$124,MATCH($W149,Calc!$A$2:$A$124,0))&amp;" / "&amp;INDEX(Calc!$H$2:$H$124,MATCH($W149,Calc!$A$2:$A$124,0))</f>
        <v>Dust2 / Mirage</v>
      </c>
      <c r="U149" s="0" t="str">
        <f aca="false">TEXT(INDEX(Calc!$J$2:$J$124,MATCH($W149,Calc!$A$2:$A$124,0)),"0.0")&amp;" / "&amp;TEXT(INDEX(Calc!$K$2:$K$124,MATCH($W149,Calc!$A$2:$A$124,0)),"0.0")</f>
        <v>21.5 / 21.5</v>
      </c>
      <c r="V149" s="0" t="str">
        <f aca="false">IFERROR(INDEX(Calc!$AQ$2:$AQ$124,MATCH($W149,Calc!$A$2:$A$124,0)),"")</f>
        <v/>
      </c>
      <c r="W149" s="9" t="s">
        <v>1294</v>
      </c>
      <c r="X149" s="9" t="s">
        <v>1112</v>
      </c>
      <c r="Y149" s="0" t="str">
        <f aca="false">W149&amp;"|"&amp;X149</f>
        <v>12s4j1y56sietsk|CS2 · INF vs BRUTE|K12</v>
      </c>
      <c r="Z149" s="11" t="n">
        <f aca="false">IFERROR(INDEX(CHOOSE(MATCH($X149,{"K1","K2","K3","K12","K13","H1","H2","H3","H12","H13"},0),Calc!$BA$2:$BA$124,Calc!$BB$2:$BB$124,Calc!$BC$2:$BC$124,Calc!$BD$2:$BD$124,Calc!$BE$2:$BE$124,Calc!$BF$2:$BF$124,Calc!$BG$2:$BG$124,Calc!$BH$2:$BH$124,Calc!$BI$2:$BI$124,Calc!$BJ$2:$BJ$124),MATCH($W149,Calc!$A$2:$A$124,0)),"")</f>
        <v>25.6999431645718</v>
      </c>
      <c r="AA149" s="11" t="n">
        <f aca="false">IF(Z149="","",IF(LEFT($X149,1)="H",SQRT(Z149*(IFERROR(INDEX(Calc!$AP$2:$AP$124,MATCH($W149,Calc!$A$2:$A$124,0)),0.5)*Config!$B$5+1-IFERROR(INDEX(Calc!$AP$2:$AP$124,MATCH($W149,Calc!$A$2:$A$124,0)),0.5))),SQRT(Z149*Config!$B$5)))</f>
        <v>5.99832646914125</v>
      </c>
      <c r="AB149" s="10" t="n">
        <f aca="false">IF(OR(F149="",Z149="",N(AA149)&lt;=0),"",1-NORMDIST(FLOOR(F149,1)+0.5,Z149,AA149,TRUE()))</f>
        <v>0.446946427521015</v>
      </c>
      <c r="AC149" s="10" t="n">
        <f aca="false">IF(AB149="","",NORMDIST(CEILING(F149,1)-0.5,Z149,AA149,TRUE()))</f>
        <v>0.486704456049372</v>
      </c>
      <c r="AD149" s="0" t="str">
        <f aca="false">IF(AB149="","",IF(AB149&gt;=0.5+Config!$B$6,"OVER",IF(AC149&gt;=0.5+Config!$B$6,"UNDER","—")))</f>
        <v>—</v>
      </c>
      <c r="AE149" s="13" t="n">
        <f aca="false">IFERROR(Z149/G149,"")</f>
        <v>1.01231200321985</v>
      </c>
    </row>
    <row r="150" customFormat="false" ht="15" hidden="false" customHeight="false" outlineLevel="0" collapsed="false">
      <c r="A150" s="0" t="s">
        <v>988</v>
      </c>
      <c r="B150" s="0" t="s">
        <v>1054</v>
      </c>
      <c r="C150" s="0" t="s">
        <v>1295</v>
      </c>
      <c r="D150" s="0" t="s">
        <v>1059</v>
      </c>
      <c r="E150" s="0" t="s">
        <v>1107</v>
      </c>
      <c r="F150" s="0" t="n">
        <v>17</v>
      </c>
      <c r="G150" s="11" t="n">
        <f aca="false">IFERROR(INDEX(CHOOSE(MATCH($X150,{"K1","K2","K3","K12","K13","H1","H2","H3","H12","H13"},0),Calc!$V$2:$V$124,Calc!$AC$2:$AC$124,Calc!$AJ$2:$AJ$124,Calc!$AL$2:$AL$124,Calc!$AM$2:$AM$124,Calc!$W$2:$W$124,Calc!$AD$2:$AD$124,Calc!$AK$2:$AK$124,Calc!$AN$2:$AN$124,Calc!$AO$2:$AO$124),MATCH($W150,Calc!$A$2:$A$124,0)),"")</f>
        <v>18.9821455255102</v>
      </c>
      <c r="H150" s="11" t="n">
        <f aca="false">IF(G150="","",IF(LEFT($X150,1)="H",SQRT(G150*(IFERROR(INDEX(Calc!$AP$2:$AP$124,MATCH($W150,Calc!$A$2:$A$124,0)),0.5)*Config!$B$5+1-IFERROR(INDEX(Calc!$AP$2:$AP$124,MATCH($W150,Calc!$A$2:$A$124,0)),0.5))),SQRT(G150*Config!$B$5)))</f>
        <v>4.81677253937376</v>
      </c>
      <c r="I150" s="10" t="n">
        <f aca="false">IF(OR(F150="",G150="",N(H150)&lt;=0),"",1-NORMDIST(FLOOR(F150,1)+0.5,G150,H150,TRUE()))</f>
        <v>0.620846634586185</v>
      </c>
      <c r="J150" s="10" t="n">
        <f aca="false">IF(I150="","",NORMDIST(CEILING(F150,1)-0.5,G150,H150,TRUE()))</f>
        <v>0.303167156755739</v>
      </c>
      <c r="K150" s="10" t="n">
        <f aca="false">IF(I150="","",MAX(0,1-I150-J150))</f>
        <v>0.0759862086580764</v>
      </c>
      <c r="L150" s="0" t="str">
        <f aca="false">IF(I150="","",IF(I150&gt;=0.5+Config!$B$6,"OVER",IF(J150&gt;=0.5+Config!$B$6,"UNDER","—")))</f>
        <v>OVER</v>
      </c>
      <c r="N150" s="0" t="n">
        <v>19.5</v>
      </c>
      <c r="O150" s="10" t="n">
        <v>0.6</v>
      </c>
      <c r="P150" s="10" t="n">
        <v>0.7</v>
      </c>
      <c r="Q150" s="10" t="n">
        <v>0.73</v>
      </c>
      <c r="R150" s="9" t="s">
        <v>1176</v>
      </c>
      <c r="S150" s="0" t="n">
        <v>-1</v>
      </c>
      <c r="T150" s="0" t="str">
        <f aca="false">INDEX(Calc!$G$2:$G$124,MATCH($W150,Calc!$A$2:$A$124,0))&amp;" / "&amp;INDEX(Calc!$H$2:$H$124,MATCH($W150,Calc!$A$2:$A$124,0))</f>
        <v>Mirage / Ancient</v>
      </c>
      <c r="U150" s="0" t="str">
        <f aca="false">TEXT(INDEX(Calc!$J$2:$J$124,MATCH($W150,Calc!$A$2:$A$124,0)),"0.0")&amp;" / "&amp;TEXT(INDEX(Calc!$K$2:$K$124,MATCH($W150,Calc!$A$2:$A$124,0)),"0.0")</f>
        <v>21.4 / 21.1</v>
      </c>
      <c r="V150" s="0" t="str">
        <f aca="false">IFERROR(INDEX(Calc!$AQ$2:$AQ$124,MATCH($W150,Calc!$A$2:$A$124,0)),"")</f>
        <v/>
      </c>
      <c r="W150" s="9" t="s">
        <v>1296</v>
      </c>
      <c r="X150" s="9" t="s">
        <v>1110</v>
      </c>
      <c r="Y150" s="0" t="str">
        <f aca="false">W150&amp;"|"&amp;X150</f>
        <v>oilrc57yb4vi4v4|CS2 · LGC vs DEN|H12</v>
      </c>
      <c r="Z150" s="11" t="n">
        <f aca="false">IFERROR(INDEX(CHOOSE(MATCH($X150,{"K1","K2","K3","K12","K13","H1","H2","H3","H12","H13"},0),Calc!$BA$2:$BA$124,Calc!$BB$2:$BB$124,Calc!$BC$2:$BC$124,Calc!$BD$2:$BD$124,Calc!$BE$2:$BE$124,Calc!$BF$2:$BF$124,Calc!$BG$2:$BG$124,Calc!$BH$2:$BH$124,Calc!$BI$2:$BI$124,Calc!$BJ$2:$BJ$124),MATCH($W150,Calc!$A$2:$A$124,0)),"")</f>
        <v>18.1253925704699</v>
      </c>
      <c r="AA150" s="11" t="n">
        <f aca="false">IF(Z150="","",IF(LEFT($X150,1)="H",SQRT(Z150*(IFERROR(INDEX(Calc!$AP$2:$AP$124,MATCH($W150,Calc!$A$2:$A$124,0)),0.5)*Config!$B$5+1-IFERROR(INDEX(Calc!$AP$2:$AP$124,MATCH($W150,Calc!$A$2:$A$124,0)),0.5))),SQRT(Z150*Config!$B$5)))</f>
        <v>4.70681576887769</v>
      </c>
      <c r="AB150" s="10" t="n">
        <f aca="false">IF(OR(F150="",Z150="",N(AA150)&lt;=0),"",1-NORMDIST(FLOOR(F150,1)+0.5,Z150,AA150,TRUE()))</f>
        <v>0.552851732034845</v>
      </c>
      <c r="AC150" s="10" t="n">
        <f aca="false">IF(AB150="","",NORMDIST(CEILING(F150,1)-0.5,Z150,AA150,TRUE()))</f>
        <v>0.36492411550431</v>
      </c>
      <c r="AD150" s="0" t="str">
        <f aca="false">IF(AB150="","",IF(AB150&gt;=0.5+Config!$B$6,"OVER",IF(AC150&gt;=0.5+Config!$B$6,"UNDER","—")))</f>
        <v>OVER</v>
      </c>
      <c r="AE150" s="13" t="n">
        <f aca="false">IFERROR(Z150/G150,"")</f>
        <v>0.954865325740503</v>
      </c>
    </row>
    <row r="151" customFormat="false" ht="15" hidden="false" customHeight="false" outlineLevel="0" collapsed="false">
      <c r="A151" s="0" t="s">
        <v>988</v>
      </c>
      <c r="B151" s="0" t="s">
        <v>1054</v>
      </c>
      <c r="C151" s="0" t="s">
        <v>1295</v>
      </c>
      <c r="D151" s="0" t="s">
        <v>1059</v>
      </c>
      <c r="E151" s="0" t="s">
        <v>1111</v>
      </c>
      <c r="F151" s="0" t="n">
        <v>30</v>
      </c>
      <c r="G151" s="11" t="n">
        <f aca="false">IFERROR(INDEX(CHOOSE(MATCH($X151,{"K1","K2","K3","K12","K13","H1","H2","H3","H12","H13"},0),Calc!$V$2:$V$124,Calc!$AC$2:$AC$124,Calc!$AJ$2:$AJ$124,Calc!$AL$2:$AL$124,Calc!$AM$2:$AM$124,Calc!$W$2:$W$124,Calc!$AD$2:$AD$124,Calc!$AK$2:$AK$124,Calc!$AN$2:$AN$124,Calc!$AO$2:$AO$124),MATCH($W151,Calc!$A$2:$A$124,0)),"")</f>
        <v>34.1605928571429</v>
      </c>
      <c r="H151" s="11" t="n">
        <f aca="false">IF(G151="","",IF(LEFT($X151,1)="H",SQRT(G151*(IFERROR(INDEX(Calc!$AP$2:$AP$124,MATCH($W151,Calc!$A$2:$A$124,0)),0.5)*Config!$B$5+1-IFERROR(INDEX(Calc!$AP$2:$AP$124,MATCH($W151,Calc!$A$2:$A$124,0)),0.5))),SQRT(G151*Config!$B$5)))</f>
        <v>6.91554986967775</v>
      </c>
      <c r="I151" s="10" t="n">
        <f aca="false">IF(OR(F151="",G151="",N(H151)&lt;=0),"",1-NORMDIST(FLOOR(F151,1)+0.5,G151,H151,TRUE()))</f>
        <v>0.701710966015552</v>
      </c>
      <c r="J151" s="10" t="n">
        <f aca="false">IF(I151="","",NORMDIST(CEILING(F151,1)-0.5,G151,H151,TRUE()))</f>
        <v>0.250178077616253</v>
      </c>
      <c r="K151" s="10" t="n">
        <f aca="false">IF(I151="","",MAX(0,1-I151-J151))</f>
        <v>0.0481109563681956</v>
      </c>
      <c r="L151" s="0" t="str">
        <f aca="false">IF(I151="","",IF(I151&gt;=0.5+Config!$B$6,"OVER",IF(J151&gt;=0.5+Config!$B$6,"UNDER","—")))</f>
        <v>OVER</v>
      </c>
      <c r="M151" s="0" t="n">
        <v>28.82</v>
      </c>
      <c r="N151" s="0" t="n">
        <v>33.1</v>
      </c>
      <c r="O151" s="10" t="n">
        <v>0.6</v>
      </c>
      <c r="P151" s="10" t="n">
        <v>0.8</v>
      </c>
      <c r="Q151" s="10" t="n">
        <v>0.73</v>
      </c>
      <c r="R151" s="9" t="s">
        <v>1267</v>
      </c>
      <c r="S151" s="0" t="n">
        <v>-1</v>
      </c>
      <c r="T151" s="0" t="str">
        <f aca="false">INDEX(Calc!$G$2:$G$124,MATCH($W151,Calc!$A$2:$A$124,0))&amp;" / "&amp;INDEX(Calc!$H$2:$H$124,MATCH($W151,Calc!$A$2:$A$124,0))</f>
        <v>Mirage / Ancient</v>
      </c>
      <c r="U151" s="0" t="str">
        <f aca="false">TEXT(INDEX(Calc!$J$2:$J$124,MATCH($W151,Calc!$A$2:$A$124,0)),"0.0")&amp;" / "&amp;TEXT(INDEX(Calc!$K$2:$K$124,MATCH($W151,Calc!$A$2:$A$124,0)),"0.0")</f>
        <v>21.4 / 21.1</v>
      </c>
      <c r="V151" s="0" t="str">
        <f aca="false">IFERROR(INDEX(Calc!$AQ$2:$AQ$124,MATCH($W151,Calc!$A$2:$A$124,0)),"")</f>
        <v/>
      </c>
      <c r="W151" s="9" t="s">
        <v>1296</v>
      </c>
      <c r="X151" s="9" t="s">
        <v>1112</v>
      </c>
      <c r="Y151" s="0" t="str">
        <f aca="false">W151&amp;"|"&amp;X151</f>
        <v>oilrc57yb4vi4v4|CS2 · LGC vs DEN|K12</v>
      </c>
      <c r="Z151" s="11" t="n">
        <f aca="false">IFERROR(INDEX(CHOOSE(MATCH($X151,{"K1","K2","K3","K12","K13","H1","H2","H3","H12","H13"},0),Calc!$BA$2:$BA$124,Calc!$BB$2:$BB$124,Calc!$BC$2:$BC$124,Calc!$BD$2:$BD$124,Calc!$BE$2:$BE$124,Calc!$BF$2:$BF$124,Calc!$BG$2:$BG$124,Calc!$BH$2:$BH$124,Calc!$BI$2:$BI$124,Calc!$BJ$2:$BJ$124),MATCH($W151,Calc!$A$2:$A$124,0)),"")</f>
        <v>32.617713016878</v>
      </c>
      <c r="AA151" s="11" t="n">
        <f aca="false">IF(Z151="","",IF(LEFT($X151,1)="H",SQRT(Z151*(IFERROR(INDEX(Calc!$AP$2:$AP$124,MATCH($W151,Calc!$A$2:$A$124,0)),0.5)*Config!$B$5+1-IFERROR(INDEX(Calc!$AP$2:$AP$124,MATCH($W151,Calc!$A$2:$A$124,0)),0.5))),SQRT(Z151*Config!$B$5)))</f>
        <v>6.75757339757617</v>
      </c>
      <c r="AB151" s="10" t="n">
        <f aca="false">IF(OR(F151="",Z151="",N(AA151)&lt;=0),"",1-NORMDIST(FLOOR(F151,1)+0.5,Z151,AA151,TRUE()))</f>
        <v>0.62300539777979</v>
      </c>
      <c r="AC151" s="10" t="n">
        <f aca="false">IF(AB151="","",NORMDIST(CEILING(F151,1)-0.5,Z151,AA151,TRUE()))</f>
        <v>0.322268104715881</v>
      </c>
      <c r="AD151" s="0" t="str">
        <f aca="false">IF(AB151="","",IF(AB151&gt;=0.5+Config!$B$6,"OVER",IF(AC151&gt;=0.5+Config!$B$6,"UNDER","—")))</f>
        <v>OVER</v>
      </c>
      <c r="AE151" s="13" t="n">
        <f aca="false">IFERROR(Z151/G151,"")</f>
        <v>0.954834512190198</v>
      </c>
    </row>
    <row r="152" customFormat="false" ht="15" hidden="false" customHeight="false" outlineLevel="0" collapsed="false">
      <c r="A152" s="0" t="s">
        <v>988</v>
      </c>
      <c r="B152" s="0" t="s">
        <v>1054</v>
      </c>
      <c r="C152" s="0" t="s">
        <v>1297</v>
      </c>
      <c r="D152" s="0" t="s">
        <v>1059</v>
      </c>
      <c r="E152" s="0" t="s">
        <v>1107</v>
      </c>
      <c r="F152" s="0" t="n">
        <v>11</v>
      </c>
      <c r="G152" s="11" t="n">
        <f aca="false">IFERROR(INDEX(CHOOSE(MATCH($X152,{"K1","K2","K3","K12","K13","H1","H2","H3","H12","H13"},0),Calc!$V$2:$V$124,Calc!$AC$2:$AC$124,Calc!$AJ$2:$AJ$124,Calc!$AL$2:$AL$124,Calc!$AM$2:$AM$124,Calc!$W$2:$W$124,Calc!$AD$2:$AD$124,Calc!$AK$2:$AK$124,Calc!$AN$2:$AN$124,Calc!$AO$2:$AO$124),MATCH($W152,Calc!$A$2:$A$124,0)),"")</f>
        <v>11.011607825</v>
      </c>
      <c r="H152" s="11" t="n">
        <f aca="false">IF(G152="","",IF(LEFT($X152,1)="H",SQRT(G152*(IFERROR(INDEX(Calc!$AP$2:$AP$124,MATCH($W152,Calc!$A$2:$A$124,0)),0.5)*Config!$B$5+1-IFERROR(INDEX(Calc!$AP$2:$AP$124,MATCH($W152,Calc!$A$2:$A$124,0)),0.5))),SQRT(G152*Config!$B$5)))</f>
        <v>3.59818979229392</v>
      </c>
      <c r="I152" s="10" t="n">
        <f aca="false">IF(OR(F152="",G152="",N(H152)&lt;=0),"",1-NORMDIST(FLOOR(F152,1)+0.5,G152,H152,TRUE()))</f>
        <v>0.446016280528826</v>
      </c>
      <c r="J152" s="10" t="n">
        <f aca="false">IF(I152="","",NORMDIST(CEILING(F152,1)-0.5,G152,H152,TRUE()))</f>
        <v>0.44346702661475</v>
      </c>
      <c r="K152" s="10" t="n">
        <f aca="false">IF(I152="","",MAX(0,1-I152-J152))</f>
        <v>0.110516692856424</v>
      </c>
      <c r="L152" s="0" t="str">
        <f aca="false">IF(I152="","",IF(I152&gt;=0.5+Config!$B$6,"OVER",IF(J152&gt;=0.5+Config!$B$6,"UNDER","—")))</f>
        <v>—</v>
      </c>
      <c r="N152" s="0" t="n">
        <v>11.4</v>
      </c>
      <c r="O152" s="10" t="n">
        <v>0.4</v>
      </c>
      <c r="P152" s="10" t="n">
        <v>0.4</v>
      </c>
      <c r="Q152" s="10" t="n">
        <v>0.47</v>
      </c>
      <c r="R152" s="9" t="s">
        <v>1298</v>
      </c>
      <c r="S152" s="0" t="n">
        <v>1</v>
      </c>
      <c r="T152" s="0" t="str">
        <f aca="false">INDEX(Calc!$G$2:$G$124,MATCH($W152,Calc!$A$2:$A$124,0))&amp;" / "&amp;INDEX(Calc!$H$2:$H$124,MATCH($W152,Calc!$A$2:$A$124,0))</f>
        <v>Mirage / Ancient</v>
      </c>
      <c r="U152" s="0" t="str">
        <f aca="false">TEXT(INDEX(Calc!$J$2:$J$124,MATCH($W152,Calc!$A$2:$A$124,0)),"0.0")&amp;" / "&amp;TEXT(INDEX(Calc!$K$2:$K$124,MATCH($W152,Calc!$A$2:$A$124,0)),"0.0")</f>
        <v>21.4 / 21.1</v>
      </c>
      <c r="V152" s="0" t="str">
        <f aca="false">IFERROR(INDEX(Calc!$AQ$2:$AQ$124,MATCH($W152,Calc!$A$2:$A$124,0)),"")</f>
        <v/>
      </c>
      <c r="W152" s="9" t="s">
        <v>1299</v>
      </c>
      <c r="X152" s="9" t="s">
        <v>1110</v>
      </c>
      <c r="Y152" s="0" t="str">
        <f aca="false">W152&amp;"|"&amp;X152</f>
        <v>xq939tnpy5hluwa|CS2 · LGC vs DEN|H12</v>
      </c>
      <c r="Z152" s="11" t="n">
        <f aca="false">IFERROR(INDEX(CHOOSE(MATCH($X152,{"K1","K2","K3","K12","K13","H1","H2","H3","H12","H13"},0),Calc!$BA$2:$BA$124,Calc!$BB$2:$BB$124,Calc!$BC$2:$BC$124,Calc!$BD$2:$BD$124,Calc!$BE$2:$BE$124,Calc!$BF$2:$BF$124,Calc!$BG$2:$BG$124,Calc!$BH$2:$BH$124,Calc!$BI$2:$BI$124,Calc!$BJ$2:$BJ$124),MATCH($W152,Calc!$A$2:$A$124,0)),"")</f>
        <v>10.5450990294101</v>
      </c>
      <c r="AA152" s="11" t="n">
        <f aca="false">IF(Z152="","",IF(LEFT($X152,1)="H",SQRT(Z152*(IFERROR(INDEX(Calc!$AP$2:$AP$124,MATCH($W152,Calc!$A$2:$A$124,0)),0.5)*Config!$B$5+1-IFERROR(INDEX(Calc!$AP$2:$AP$124,MATCH($W152,Calc!$A$2:$A$124,0)),0.5))),SQRT(Z152*Config!$B$5)))</f>
        <v>3.5211459810261</v>
      </c>
      <c r="AB152" s="10" t="n">
        <f aca="false">IF(OR(F152="",Z152="",N(AA152)&lt;=0),"",1-NORMDIST(FLOOR(F152,1)+0.5,Z152,AA152,TRUE()))</f>
        <v>0.39312229985483</v>
      </c>
      <c r="AC152" s="10" t="n">
        <f aca="false">IF(AB152="","",NORMDIST(CEILING(F152,1)-0.5,Z152,AA152,TRUE()))</f>
        <v>0.494890465255283</v>
      </c>
      <c r="AD152" s="0" t="str">
        <f aca="false">IF(AB152="","",IF(AB152&gt;=0.5+Config!$B$6,"OVER",IF(AC152&gt;=0.5+Config!$B$6,"UNDER","—")))</f>
        <v>—</v>
      </c>
      <c r="AE152" s="13" t="n">
        <f aca="false">IFERROR(Z152/G152,"")</f>
        <v>0.957634815641473</v>
      </c>
    </row>
    <row r="153" customFormat="false" ht="15" hidden="false" customHeight="false" outlineLevel="0" collapsed="false">
      <c r="A153" s="0" t="s">
        <v>988</v>
      </c>
      <c r="B153" s="0" t="s">
        <v>1054</v>
      </c>
      <c r="C153" s="0" t="s">
        <v>1297</v>
      </c>
      <c r="D153" s="0" t="s">
        <v>1059</v>
      </c>
      <c r="E153" s="0" t="s">
        <v>1111</v>
      </c>
      <c r="F153" s="0" t="n">
        <v>22.5</v>
      </c>
      <c r="G153" s="11" t="n">
        <f aca="false">IFERROR(INDEX(CHOOSE(MATCH($X153,{"K1","K2","K3","K12","K13","H1","H2","H3","H12","H13"},0),Calc!$V$2:$V$124,Calc!$AC$2:$AC$124,Calc!$AJ$2:$AJ$124,Calc!$AL$2:$AL$124,Calc!$AM$2:$AM$124,Calc!$W$2:$W$124,Calc!$AD$2:$AD$124,Calc!$AK$2:$AK$124,Calc!$AN$2:$AN$124,Calc!$AO$2:$AO$124),MATCH($W153,Calc!$A$2:$A$124,0)),"")</f>
        <v>25.06105</v>
      </c>
      <c r="H153" s="11" t="n">
        <f aca="false">IF(G153="","",IF(LEFT($X153,1)="H",SQRT(G153*(IFERROR(INDEX(Calc!$AP$2:$AP$124,MATCH($W153,Calc!$A$2:$A$124,0)),0.5)*Config!$B$5+1-IFERROR(INDEX(Calc!$AP$2:$AP$124,MATCH($W153,Calc!$A$2:$A$124,0)),0.5))),SQRT(G153*Config!$B$5)))</f>
        <v>5.923298911924</v>
      </c>
      <c r="I153" s="10" t="n">
        <f aca="false">IF(OR(F153="",G153="",N(H153)&lt;=0),"",1-NORMDIST(FLOOR(F153,1)+0.5,G153,H153,TRUE()))</f>
        <v>0.667263326660848</v>
      </c>
      <c r="J153" s="10" t="n">
        <f aca="false">IF(I153="","",NORMDIST(CEILING(F153,1)-0.5,G153,H153,TRUE()))</f>
        <v>0.332736673339152</v>
      </c>
      <c r="K153" s="10" t="n">
        <f aca="false">IF(I153="","",MAX(0,1-I153-J153))</f>
        <v>0</v>
      </c>
      <c r="L153" s="0" t="str">
        <f aca="false">IF(I153="","",IF(I153&gt;=0.5+Config!$B$6,"OVER",IF(J153&gt;=0.5+Config!$B$6,"UNDER","—")))</f>
        <v>OVER</v>
      </c>
      <c r="M153" s="0" t="n">
        <v>22.82</v>
      </c>
      <c r="N153" s="0" t="n">
        <v>25.2</v>
      </c>
      <c r="O153" s="10" t="n">
        <v>0.6</v>
      </c>
      <c r="P153" s="10" t="n">
        <v>0.7</v>
      </c>
      <c r="Q153" s="10" t="n">
        <v>0.67</v>
      </c>
      <c r="R153" s="9" t="s">
        <v>1267</v>
      </c>
      <c r="S153" s="0" t="n">
        <v>1</v>
      </c>
      <c r="T153" s="0" t="str">
        <f aca="false">INDEX(Calc!$G$2:$G$124,MATCH($W153,Calc!$A$2:$A$124,0))&amp;" / "&amp;INDEX(Calc!$H$2:$H$124,MATCH($W153,Calc!$A$2:$A$124,0))</f>
        <v>Mirage / Ancient</v>
      </c>
      <c r="U153" s="0" t="str">
        <f aca="false">TEXT(INDEX(Calc!$J$2:$J$124,MATCH($W153,Calc!$A$2:$A$124,0)),"0.0")&amp;" / "&amp;TEXT(INDEX(Calc!$K$2:$K$124,MATCH($W153,Calc!$A$2:$A$124,0)),"0.0")</f>
        <v>21.4 / 21.1</v>
      </c>
      <c r="V153" s="0" t="str">
        <f aca="false">IFERROR(INDEX(Calc!$AQ$2:$AQ$124,MATCH($W153,Calc!$A$2:$A$124,0)),"")</f>
        <v/>
      </c>
      <c r="W153" s="9" t="s">
        <v>1299</v>
      </c>
      <c r="X153" s="9" t="s">
        <v>1112</v>
      </c>
      <c r="Y153" s="0" t="str">
        <f aca="false">W153&amp;"|"&amp;X153</f>
        <v>xq939tnpy5hluwa|CS2 · LGC vs DEN|K12</v>
      </c>
      <c r="Z153" s="11" t="n">
        <f aca="false">IFERROR(INDEX(CHOOSE(MATCH($X153,{"K1","K2","K3","K12","K13","H1","H2","H3","H12","H13"},0),Calc!$BA$2:$BA$124,Calc!$BB$2:$BB$124,Calc!$BC$2:$BC$124,Calc!$BD$2:$BD$124,Calc!$BE$2:$BE$124,Calc!$BF$2:$BF$124,Calc!$BG$2:$BG$124,Calc!$BH$2:$BH$124,Calc!$BI$2:$BI$124,Calc!$BJ$2:$BJ$124),MATCH($W153,Calc!$A$2:$A$124,0)),"")</f>
        <v>23.9822054318099</v>
      </c>
      <c r="AA153" s="11" t="n">
        <f aca="false">IF(Z153="","",IF(LEFT($X153,1)="H",SQRT(Z153*(IFERROR(INDEX(Calc!$AP$2:$AP$124,MATCH($W153,Calc!$A$2:$A$124,0)),0.5)*Config!$B$5+1-IFERROR(INDEX(Calc!$AP$2:$AP$124,MATCH($W153,Calc!$A$2:$A$124,0)),0.5))),SQRT(Z153*Config!$B$5)))</f>
        <v>5.79440140174409</v>
      </c>
      <c r="AB153" s="10" t="n">
        <f aca="false">IF(OR(F153="",Z153="",N(AA153)&lt;=0),"",1-NORMDIST(FLOOR(F153,1)+0.5,Z153,AA153,TRUE()))</f>
        <v>0.600947200010345</v>
      </c>
      <c r="AC153" s="10" t="n">
        <f aca="false">IF(AB153="","",NORMDIST(CEILING(F153,1)-0.5,Z153,AA153,TRUE()))</f>
        <v>0.399052799989655</v>
      </c>
      <c r="AD153" s="0" t="str">
        <f aca="false">IF(AB153="","",IF(AB153&gt;=0.5+Config!$B$6,"OVER",IF(AC153&gt;=0.5+Config!$B$6,"UNDER","—")))</f>
        <v>OVER</v>
      </c>
      <c r="AE153" s="13" t="n">
        <f aca="false">IFERROR(Z153/G153,"")</f>
        <v>0.956951342095001</v>
      </c>
    </row>
    <row r="154" customFormat="false" ht="15" hidden="false" customHeight="false" outlineLevel="0" collapsed="false">
      <c r="A154" s="0" t="s">
        <v>988</v>
      </c>
      <c r="B154" s="0" t="s">
        <v>1054</v>
      </c>
      <c r="C154" s="0" t="s">
        <v>1300</v>
      </c>
      <c r="D154" s="0" t="s">
        <v>1059</v>
      </c>
      <c r="E154" s="0" t="s">
        <v>1107</v>
      </c>
      <c r="F154" s="0" t="n">
        <v>14.5</v>
      </c>
      <c r="G154" s="11" t="n">
        <f aca="false">IFERROR(INDEX(CHOOSE(MATCH($X154,{"K1","K2","K3","K12","K13","H1","H2","H3","H12","H13"},0),Calc!$V$2:$V$124,Calc!$AC$2:$AC$124,Calc!$AJ$2:$AJ$124,Calc!$AL$2:$AL$124,Calc!$AM$2:$AM$124,Calc!$W$2:$W$124,Calc!$AD$2:$AD$124,Calc!$AK$2:$AK$124,Calc!$AN$2:$AN$124,Calc!$AO$2:$AO$124),MATCH($W154,Calc!$A$2:$A$124,0)),"")</f>
        <v>15.6814318928571</v>
      </c>
      <c r="H154" s="11" t="n">
        <f aca="false">IF(G154="","",IF(LEFT($X154,1)="H",SQRT(G154*(IFERROR(INDEX(Calc!$AP$2:$AP$124,MATCH($W154,Calc!$A$2:$A$124,0)),0.5)*Config!$B$5+1-IFERROR(INDEX(Calc!$AP$2:$AP$124,MATCH($W154,Calc!$A$2:$A$124,0)),0.5))),SQRT(G154*Config!$B$5)))</f>
        <v>4.34477047970945</v>
      </c>
      <c r="I154" s="10" t="n">
        <f aca="false">IF(OR(F154="",G154="",N(H154)&lt;=0),"",1-NORMDIST(FLOOR(F154,1)+0.5,G154,H154,TRUE()))</f>
        <v>0.607158402138005</v>
      </c>
      <c r="J154" s="10" t="n">
        <f aca="false">IF(I154="","",NORMDIST(CEILING(F154,1)-0.5,G154,H154,TRUE()))</f>
        <v>0.392841597861995</v>
      </c>
      <c r="K154" s="10" t="n">
        <f aca="false">IF(I154="","",MAX(0,1-I154-J154))</f>
        <v>0</v>
      </c>
      <c r="L154" s="0" t="str">
        <f aca="false">IF(I154="","",IF(I154&gt;=0.5+Config!$B$6,"OVER",IF(J154&gt;=0.5+Config!$B$6,"UNDER","—")))</f>
        <v>OVER</v>
      </c>
      <c r="N154" s="0" t="n">
        <v>16</v>
      </c>
      <c r="O154" s="10" t="n">
        <v>0.4</v>
      </c>
      <c r="P154" s="10" t="n">
        <v>0.6</v>
      </c>
      <c r="Q154" s="10" t="n">
        <v>0.53</v>
      </c>
      <c r="R154" s="9" t="s">
        <v>1188</v>
      </c>
      <c r="S154" s="0" t="n">
        <v>-2</v>
      </c>
      <c r="T154" s="0" t="str">
        <f aca="false">INDEX(Calc!$G$2:$G$124,MATCH($W154,Calc!$A$2:$A$124,0))&amp;" / "&amp;INDEX(Calc!$H$2:$H$124,MATCH($W154,Calc!$A$2:$A$124,0))</f>
        <v>Mirage / Ancient</v>
      </c>
      <c r="U154" s="0" t="str">
        <f aca="false">TEXT(INDEX(Calc!$J$2:$J$124,MATCH($W154,Calc!$A$2:$A$124,0)),"0.0")&amp;" / "&amp;TEXT(INDEX(Calc!$K$2:$K$124,MATCH($W154,Calc!$A$2:$A$124,0)),"0.0")</f>
        <v>21.4 / 21.1</v>
      </c>
      <c r="V154" s="0" t="str">
        <f aca="false">IFERROR(INDEX(Calc!$AQ$2:$AQ$124,MATCH($W154,Calc!$A$2:$A$124,0)),"")</f>
        <v/>
      </c>
      <c r="W154" s="9" t="s">
        <v>1301</v>
      </c>
      <c r="X154" s="9" t="s">
        <v>1110</v>
      </c>
      <c r="Y154" s="0" t="str">
        <f aca="false">W154&amp;"|"&amp;X154</f>
        <v>at2vo8jmt9hrk3m|CS2 · LGC vs DEN|H12</v>
      </c>
      <c r="Z154" s="11" t="n">
        <f aca="false">IFERROR(INDEX(CHOOSE(MATCH($X154,{"K1","K2","K3","K12","K13","H1","H2","H3","H12","H13"},0),Calc!$BA$2:$BA$124,Calc!$BB$2:$BB$124,Calc!$BC$2:$BC$124,Calc!$BD$2:$BD$124,Calc!$BE$2:$BE$124,Calc!$BF$2:$BF$124,Calc!$BG$2:$BG$124,Calc!$BH$2:$BH$124,Calc!$BI$2:$BI$124,Calc!$BJ$2:$BJ$124),MATCH($W154,Calc!$A$2:$A$124,0)),"")</f>
        <v>14.9670022558085</v>
      </c>
      <c r="AA154" s="11" t="n">
        <f aca="false">IF(Z154="","",IF(LEFT($X154,1)="H",SQRT(Z154*(IFERROR(INDEX(Calc!$AP$2:$AP$124,MATCH($W154,Calc!$A$2:$A$124,0)),0.5)*Config!$B$5+1-IFERROR(INDEX(Calc!$AP$2:$AP$124,MATCH($W154,Calc!$A$2:$A$124,0)),0.5))),SQRT(Z154*Config!$B$5)))</f>
        <v>4.2446451857393</v>
      </c>
      <c r="AB154" s="10" t="n">
        <f aca="false">IF(OR(F154="",Z154="",N(AA154)&lt;=0),"",1-NORMDIST(FLOOR(F154,1)+0.5,Z154,AA154,TRUE()))</f>
        <v>0.543803840438248</v>
      </c>
      <c r="AC154" s="10" t="n">
        <f aca="false">IF(AB154="","",NORMDIST(CEILING(F154,1)-0.5,Z154,AA154,TRUE()))</f>
        <v>0.456196159561752</v>
      </c>
      <c r="AD154" s="0" t="str">
        <f aca="false">IF(AB154="","",IF(AB154&gt;=0.5+Config!$B$6,"OVER",IF(AC154&gt;=0.5+Config!$B$6,"UNDER","—")))</f>
        <v>OVER</v>
      </c>
      <c r="AE154" s="13" t="n">
        <f aca="false">IFERROR(Z154/G154,"")</f>
        <v>0.954441045822221</v>
      </c>
    </row>
    <row r="155" customFormat="false" ht="15" hidden="false" customHeight="false" outlineLevel="0" collapsed="false">
      <c r="A155" s="0" t="s">
        <v>988</v>
      </c>
      <c r="B155" s="0" t="s">
        <v>1054</v>
      </c>
      <c r="C155" s="0" t="s">
        <v>1300</v>
      </c>
      <c r="D155" s="0" t="s">
        <v>1059</v>
      </c>
      <c r="E155" s="0" t="s">
        <v>1111</v>
      </c>
      <c r="F155" s="0" t="n">
        <v>27.5</v>
      </c>
      <c r="G155" s="11" t="n">
        <f aca="false">IFERROR(INDEX(CHOOSE(MATCH($X155,{"K1","K2","K3","K12","K13","H1","H2","H3","H12","H13"},0),Calc!$V$2:$V$124,Calc!$AC$2:$AC$124,Calc!$AJ$2:$AJ$124,Calc!$AL$2:$AL$124,Calc!$AM$2:$AM$124,Calc!$W$2:$W$124,Calc!$AD$2:$AD$124,Calc!$AK$2:$AK$124,Calc!$AN$2:$AN$124,Calc!$AO$2:$AO$124),MATCH($W155,Calc!$A$2:$A$124,0)),"")</f>
        <v>30.78075</v>
      </c>
      <c r="H155" s="11" t="n">
        <f aca="false">IF(G155="","",IF(LEFT($X155,1)="H",SQRT(G155*(IFERROR(INDEX(Calc!$AP$2:$AP$124,MATCH($W155,Calc!$A$2:$A$124,0)),0.5)*Config!$B$5+1-IFERROR(INDEX(Calc!$AP$2:$AP$124,MATCH($W155,Calc!$A$2:$A$124,0)),0.5))),SQRT(G155*Config!$B$5)))</f>
        <v>6.56452968612375</v>
      </c>
      <c r="I155" s="10" t="n">
        <f aca="false">IF(OR(F155="",G155="",N(H155)&lt;=0),"",1-NORMDIST(FLOOR(F155,1)+0.5,G155,H155,TRUE()))</f>
        <v>0.691381213338941</v>
      </c>
      <c r="J155" s="10" t="n">
        <f aca="false">IF(I155="","",NORMDIST(CEILING(F155,1)-0.5,G155,H155,TRUE()))</f>
        <v>0.308618786661059</v>
      </c>
      <c r="K155" s="10" t="n">
        <f aca="false">IF(I155="","",MAX(0,1-I155-J155))</f>
        <v>0</v>
      </c>
      <c r="L155" s="0" t="str">
        <f aca="false">IF(I155="","",IF(I155&gt;=0.5+Config!$B$6,"OVER",IF(J155&gt;=0.5+Config!$B$6,"UNDER","—")))</f>
        <v>OVER</v>
      </c>
      <c r="M155" s="0" t="n">
        <v>27.6</v>
      </c>
      <c r="N155" s="0" t="n">
        <v>30.4</v>
      </c>
      <c r="O155" s="10" t="n">
        <v>0.6</v>
      </c>
      <c r="P155" s="10" t="n">
        <v>0.7</v>
      </c>
      <c r="Q155" s="10" t="n">
        <v>0.67</v>
      </c>
      <c r="R155" s="9" t="s">
        <v>1267</v>
      </c>
      <c r="S155" s="0" t="n">
        <v>1</v>
      </c>
      <c r="T155" s="0" t="str">
        <f aca="false">INDEX(Calc!$G$2:$G$124,MATCH($W155,Calc!$A$2:$A$124,0))&amp;" / "&amp;INDEX(Calc!$H$2:$H$124,MATCH($W155,Calc!$A$2:$A$124,0))</f>
        <v>Mirage / Ancient</v>
      </c>
      <c r="U155" s="0" t="str">
        <f aca="false">TEXT(INDEX(Calc!$J$2:$J$124,MATCH($W155,Calc!$A$2:$A$124,0)),"0.0")&amp;" / "&amp;TEXT(INDEX(Calc!$K$2:$K$124,MATCH($W155,Calc!$A$2:$A$124,0)),"0.0")</f>
        <v>21.4 / 21.1</v>
      </c>
      <c r="V155" s="0" t="str">
        <f aca="false">IFERROR(INDEX(Calc!$AQ$2:$AQ$124,MATCH($W155,Calc!$A$2:$A$124,0)),"")</f>
        <v/>
      </c>
      <c r="W155" s="9" t="s">
        <v>1301</v>
      </c>
      <c r="X155" s="9" t="s">
        <v>1112</v>
      </c>
      <c r="Y155" s="0" t="str">
        <f aca="false">W155&amp;"|"&amp;X155</f>
        <v>at2vo8jmt9hrk3m|CS2 · LGC vs DEN|K12</v>
      </c>
      <c r="Z155" s="11" t="n">
        <f aca="false">IFERROR(INDEX(CHOOSE(MATCH($X155,{"K1","K2","K3","K12","K13","H1","H2","H3","H12","H13"},0),Calc!$BA$2:$BA$124,Calc!$BB$2:$BB$124,Calc!$BC$2:$BC$124,Calc!$BD$2:$BD$124,Calc!$BE$2:$BE$124,Calc!$BF$2:$BF$124,Calc!$BG$2:$BG$124,Calc!$BH$2:$BH$124,Calc!$BI$2:$BI$124,Calc!$BJ$2:$BJ$124),MATCH($W155,Calc!$A$2:$A$124,0)),"")</f>
        <v>29.3960117474145</v>
      </c>
      <c r="AA155" s="11" t="n">
        <f aca="false">IF(Z155="","",IF(LEFT($X155,1)="H",SQRT(Z155*(IFERROR(INDEX(Calc!$AP$2:$AP$124,MATCH($W155,Calc!$A$2:$A$124,0)),0.5)*Config!$B$5+1-IFERROR(INDEX(Calc!$AP$2:$AP$124,MATCH($W155,Calc!$A$2:$A$124,0)),0.5))),SQRT(Z155*Config!$B$5)))</f>
        <v>6.41517080414702</v>
      </c>
      <c r="AB155" s="10" t="n">
        <f aca="false">IF(OR(F155="",Z155="",N(AA155)&lt;=0),"",1-NORMDIST(FLOOR(F155,1)+0.5,Z155,AA155,TRUE()))</f>
        <v>0.616213595853229</v>
      </c>
      <c r="AC155" s="10" t="n">
        <f aca="false">IF(AB155="","",NORMDIST(CEILING(F155,1)-0.5,Z155,AA155,TRUE()))</f>
        <v>0.383786404146771</v>
      </c>
      <c r="AD155" s="0" t="str">
        <f aca="false">IF(AB155="","",IF(AB155&gt;=0.5+Config!$B$6,"OVER",IF(AC155&gt;=0.5+Config!$B$6,"UNDER","—")))</f>
        <v>OVER</v>
      </c>
      <c r="AE155" s="13" t="n">
        <f aca="false">IFERROR(Z155/G155,"")</f>
        <v>0.955012848855682</v>
      </c>
    </row>
    <row r="156" customFormat="false" ht="15" hidden="false" customHeight="false" outlineLevel="0" collapsed="false">
      <c r="A156" s="0" t="s">
        <v>988</v>
      </c>
      <c r="B156" s="0" t="s">
        <v>1054</v>
      </c>
      <c r="C156" s="0" t="s">
        <v>1302</v>
      </c>
      <c r="D156" s="0" t="s">
        <v>1059</v>
      </c>
      <c r="E156" s="0" t="s">
        <v>1107</v>
      </c>
      <c r="F156" s="0" t="n">
        <v>8.5</v>
      </c>
      <c r="G156" s="11" t="n">
        <f aca="false">IFERROR(INDEX(CHOOSE(MATCH($X156,{"K1","K2","K3","K12","K13","H1","H2","H3","H12","H13"},0),Calc!$V$2:$V$124,Calc!$AC$2:$AC$124,Calc!$AJ$2:$AJ$124,Calc!$AL$2:$AL$124,Calc!$AM$2:$AM$124,Calc!$W$2:$W$124,Calc!$AD$2:$AD$124,Calc!$AK$2:$AK$124,Calc!$AN$2:$AN$124,Calc!$AO$2:$AO$124),MATCH($W156,Calc!$A$2:$A$124,0)),"")</f>
        <v>7.81796126428571</v>
      </c>
      <c r="H156" s="11" t="n">
        <f aca="false">IF(G156="","",IF(LEFT($X156,1)="H",SQRT(G156*(IFERROR(INDEX(Calc!$AP$2:$AP$124,MATCH($W156,Calc!$A$2:$A$124,0)),0.5)*Config!$B$5+1-IFERROR(INDEX(Calc!$AP$2:$AP$124,MATCH($W156,Calc!$A$2:$A$124,0)),0.5))),SQRT(G156*Config!$B$5)))</f>
        <v>2.94306865720255</v>
      </c>
      <c r="I156" s="10" t="n">
        <f aca="false">IF(OR(F156="",G156="",N(H156)&lt;=0),"",1-NORMDIST(FLOOR(F156,1)+0.5,G156,H156,TRUE()))</f>
        <v>0.408368396505393</v>
      </c>
      <c r="J156" s="10" t="n">
        <f aca="false">IF(I156="","",NORMDIST(CEILING(F156,1)-0.5,G156,H156,TRUE()))</f>
        <v>0.591631603494607</v>
      </c>
      <c r="K156" s="10" t="n">
        <f aca="false">IF(I156="","",MAX(0,1-I156-J156))</f>
        <v>0</v>
      </c>
      <c r="L156" s="0" t="str">
        <f aca="false">IF(I156="","",IF(I156&gt;=0.5+Config!$B$6,"OVER",IF(J156&gt;=0.5+Config!$B$6,"UNDER","—")))</f>
        <v>UNDER</v>
      </c>
      <c r="N156" s="0" t="n">
        <v>8.8</v>
      </c>
      <c r="O156" s="10" t="n">
        <v>0</v>
      </c>
      <c r="P156" s="10" t="n">
        <v>0.5</v>
      </c>
      <c r="Q156" s="10" t="n">
        <v>0.53</v>
      </c>
      <c r="R156" s="9" t="s">
        <v>1118</v>
      </c>
      <c r="S156" s="0" t="n">
        <v>-5</v>
      </c>
      <c r="T156" s="0" t="str">
        <f aca="false">INDEX(Calc!$G$2:$G$124,MATCH($W156,Calc!$A$2:$A$124,0))&amp;" / "&amp;INDEX(Calc!$H$2:$H$124,MATCH($W156,Calc!$A$2:$A$124,0))</f>
        <v>Mirage / Ancient</v>
      </c>
      <c r="U156" s="0" t="str">
        <f aca="false">TEXT(INDEX(Calc!$J$2:$J$124,MATCH($W156,Calc!$A$2:$A$124,0)),"0.0")&amp;" / "&amp;TEXT(INDEX(Calc!$K$2:$K$124,MATCH($W156,Calc!$A$2:$A$124,0)),"0.0")</f>
        <v>21.4 / 21.1</v>
      </c>
      <c r="V156" s="0" t="str">
        <f aca="false">IFERROR(INDEX(Calc!$AQ$2:$AQ$124,MATCH($W156,Calc!$A$2:$A$124,0)),"")</f>
        <v/>
      </c>
      <c r="W156" s="9" t="s">
        <v>1303</v>
      </c>
      <c r="X156" s="9" t="s">
        <v>1110</v>
      </c>
      <c r="Y156" s="0" t="str">
        <f aca="false">W156&amp;"|"&amp;X156</f>
        <v>sir58v1hxyyne29|CS2 · LGC vs DEN|H12</v>
      </c>
      <c r="Z156" s="11" t="n">
        <f aca="false">IFERROR(INDEX(CHOOSE(MATCH($X156,{"K1","K2","K3","K12","K13","H1","H2","H3","H12","H13"},0),Calc!$BA$2:$BA$124,Calc!$BB$2:$BB$124,Calc!$BC$2:$BC$124,Calc!$BD$2:$BD$124,Calc!$BE$2:$BE$124,Calc!$BF$2:$BF$124,Calc!$BG$2:$BG$124,Calc!$BH$2:$BH$124,Calc!$BI$2:$BI$124,Calc!$BJ$2:$BJ$124),MATCH($W156,Calc!$A$2:$A$124,0)),"")</f>
        <v>7.48422106479204</v>
      </c>
      <c r="AA156" s="11" t="n">
        <f aca="false">IF(Z156="","",IF(LEFT($X156,1)="H",SQRT(Z156*(IFERROR(INDEX(Calc!$AP$2:$AP$124,MATCH($W156,Calc!$A$2:$A$124,0)),0.5)*Config!$B$5+1-IFERROR(INDEX(Calc!$AP$2:$AP$124,MATCH($W156,Calc!$A$2:$A$124,0)),0.5))),SQRT(Z156*Config!$B$5)))</f>
        <v>2.87956535620634</v>
      </c>
      <c r="AB156" s="10" t="n">
        <f aca="false">IF(OR(F156="",Z156="",N(AA156)&lt;=0),"",1-NORMDIST(FLOOR(F156,1)+0.5,Z156,AA156,TRUE()))</f>
        <v>0.362136340089671</v>
      </c>
      <c r="AC156" s="10" t="n">
        <f aca="false">IF(AB156="","",NORMDIST(CEILING(F156,1)-0.5,Z156,AA156,TRUE()))</f>
        <v>0.637863659910329</v>
      </c>
      <c r="AD156" s="0" t="str">
        <f aca="false">IF(AB156="","",IF(AB156&gt;=0.5+Config!$B$6,"OVER",IF(AC156&gt;=0.5+Config!$B$6,"UNDER","—")))</f>
        <v>UNDER</v>
      </c>
      <c r="AE156" s="13" t="n">
        <f aca="false">IFERROR(Z156/G156,"")</f>
        <v>0.957311095794465</v>
      </c>
    </row>
    <row r="157" customFormat="false" ht="15" hidden="false" customHeight="false" outlineLevel="0" collapsed="false">
      <c r="A157" s="0" t="s">
        <v>988</v>
      </c>
      <c r="B157" s="0" t="s">
        <v>1054</v>
      </c>
      <c r="C157" s="0" t="s">
        <v>1302</v>
      </c>
      <c r="D157" s="0" t="s">
        <v>1059</v>
      </c>
      <c r="E157" s="0" t="s">
        <v>1111</v>
      </c>
      <c r="F157" s="0" t="n">
        <v>25.5</v>
      </c>
      <c r="G157" s="11" t="n">
        <f aca="false">IFERROR(INDEX(CHOOSE(MATCH($X157,{"K1","K2","K3","K12","K13","H1","H2","H3","H12","H13"},0),Calc!$V$2:$V$124,Calc!$AC$2:$AC$124,Calc!$AJ$2:$AJ$124,Calc!$AL$2:$AL$124,Calc!$AM$2:$AM$124,Calc!$W$2:$W$124,Calc!$AD$2:$AD$124,Calc!$AK$2:$AK$124,Calc!$AN$2:$AN$124,Calc!$AO$2:$AO$124),MATCH($W157,Calc!$A$2:$A$124,0)),"")</f>
        <v>28.97765</v>
      </c>
      <c r="H157" s="11" t="n">
        <f aca="false">IF(G157="","",IF(LEFT($X157,1)="H",SQRT(G157*(IFERROR(INDEX(Calc!$AP$2:$AP$124,MATCH($W157,Calc!$A$2:$A$124,0)),0.5)*Config!$B$5+1-IFERROR(INDEX(Calc!$AP$2:$AP$124,MATCH($W157,Calc!$A$2:$A$124,0)),0.5))),SQRT(G157*Config!$B$5)))</f>
        <v>6.36935711041546</v>
      </c>
      <c r="I157" s="10" t="n">
        <f aca="false">IF(OR(F157="",G157="",N(H157)&lt;=0),"",1-NORMDIST(FLOOR(F157,1)+0.5,G157,H157,TRUE()))</f>
        <v>0.707466007092917</v>
      </c>
      <c r="J157" s="10" t="n">
        <f aca="false">IF(I157="","",NORMDIST(CEILING(F157,1)-0.5,G157,H157,TRUE()))</f>
        <v>0.292533992907083</v>
      </c>
      <c r="K157" s="10" t="n">
        <f aca="false">IF(I157="","",MAX(0,1-I157-J157))</f>
        <v>0</v>
      </c>
      <c r="L157" s="0" t="str">
        <f aca="false">IF(I157="","",IF(I157&gt;=0.5+Config!$B$6,"OVER",IF(J157&gt;=0.5+Config!$B$6,"UNDER","—")))</f>
        <v>OVER</v>
      </c>
      <c r="M157" s="0" t="n">
        <v>25</v>
      </c>
      <c r="N157" s="0" t="n">
        <v>30.1</v>
      </c>
      <c r="O157" s="10" t="n">
        <v>0.4</v>
      </c>
      <c r="P157" s="10" t="n">
        <v>0.7</v>
      </c>
      <c r="Q157" s="10" t="n">
        <v>0.67</v>
      </c>
      <c r="R157" s="9" t="s">
        <v>1118</v>
      </c>
      <c r="S157" s="0" t="n">
        <v>-3</v>
      </c>
      <c r="T157" s="0" t="str">
        <f aca="false">INDEX(Calc!$G$2:$G$124,MATCH($W157,Calc!$A$2:$A$124,0))&amp;" / "&amp;INDEX(Calc!$H$2:$H$124,MATCH($W157,Calc!$A$2:$A$124,0))</f>
        <v>Mirage / Ancient</v>
      </c>
      <c r="U157" s="0" t="str">
        <f aca="false">TEXT(INDEX(Calc!$J$2:$J$124,MATCH($W157,Calc!$A$2:$A$124,0)),"0.0")&amp;" / "&amp;TEXT(INDEX(Calc!$K$2:$K$124,MATCH($W157,Calc!$A$2:$A$124,0)),"0.0")</f>
        <v>21.4 / 21.1</v>
      </c>
      <c r="V157" s="0" t="str">
        <f aca="false">IFERROR(INDEX(Calc!$AQ$2:$AQ$124,MATCH($W157,Calc!$A$2:$A$124,0)),"")</f>
        <v/>
      </c>
      <c r="W157" s="9" t="s">
        <v>1303</v>
      </c>
      <c r="X157" s="9" t="s">
        <v>1112</v>
      </c>
      <c r="Y157" s="0" t="str">
        <f aca="false">W157&amp;"|"&amp;X157</f>
        <v>sir58v1hxyyne29|CS2 · LGC vs DEN|K12</v>
      </c>
      <c r="Z157" s="11" t="n">
        <f aca="false">IFERROR(INDEX(CHOOSE(MATCH($X157,{"K1","K2","K3","K12","K13","H1","H2","H3","H12","H13"},0),Calc!$BA$2:$BA$124,Calc!$BB$2:$BB$124,Calc!$BC$2:$BC$124,Calc!$BD$2:$BD$124,Calc!$BE$2:$BE$124,Calc!$BF$2:$BF$124,Calc!$BG$2:$BG$124,Calc!$BH$2:$BH$124,Calc!$BI$2:$BI$124,Calc!$BJ$2:$BJ$124),MATCH($W157,Calc!$A$2:$A$124,0)),"")</f>
        <v>27.679294802675</v>
      </c>
      <c r="AA157" s="11" t="n">
        <f aca="false">IF(Z157="","",IF(LEFT($X157,1)="H",SQRT(Z157*(IFERROR(INDEX(Calc!$AP$2:$AP$124,MATCH($W157,Calc!$A$2:$A$124,0)),0.5)*Config!$B$5+1-IFERROR(INDEX(Calc!$AP$2:$AP$124,MATCH($W157,Calc!$A$2:$A$124,0)),0.5))),SQRT(Z157*Config!$B$5)))</f>
        <v>6.22503114239157</v>
      </c>
      <c r="AB157" s="10" t="n">
        <f aca="false">IF(OR(F157="",Z157="",N(AA157)&lt;=0),"",1-NORMDIST(FLOOR(F157,1)+0.5,Z157,AA157,TRUE()))</f>
        <v>0.636862833967053</v>
      </c>
      <c r="AC157" s="10" t="n">
        <f aca="false">IF(AB157="","",NORMDIST(CEILING(F157,1)-0.5,Z157,AA157,TRUE()))</f>
        <v>0.363137166032947</v>
      </c>
      <c r="AD157" s="0" t="str">
        <f aca="false">IF(AB157="","",IF(AB157&gt;=0.5+Config!$B$6,"OVER",IF(AC157&gt;=0.5+Config!$B$6,"UNDER","—")))</f>
        <v>OVER</v>
      </c>
      <c r="AE157" s="13" t="n">
        <f aca="false">IFERROR(Z157/G157,"")</f>
        <v>0.9551946000685</v>
      </c>
    </row>
    <row r="158" customFormat="false" ht="15" hidden="false" customHeight="false" outlineLevel="0" collapsed="false">
      <c r="A158" s="0" t="s">
        <v>988</v>
      </c>
      <c r="B158" s="0" t="s">
        <v>1054</v>
      </c>
      <c r="C158" s="0" t="s">
        <v>1304</v>
      </c>
      <c r="D158" s="0" t="s">
        <v>1059</v>
      </c>
      <c r="E158" s="0" t="s">
        <v>1107</v>
      </c>
      <c r="F158" s="0" t="n">
        <v>15.5</v>
      </c>
      <c r="G158" s="11" t="n">
        <f aca="false">IFERROR(INDEX(CHOOSE(MATCH($X158,{"K1","K2","K3","K12","K13","H1","H2","H3","H12","H13"},0),Calc!$V$2:$V$124,Calc!$AC$2:$AC$124,Calc!$AJ$2:$AJ$124,Calc!$AL$2:$AL$124,Calc!$AM$2:$AM$124,Calc!$W$2:$W$124,Calc!$AD$2:$AD$124,Calc!$AK$2:$AK$124,Calc!$AN$2:$AN$124,Calc!$AO$2:$AO$124),MATCH($W158,Calc!$A$2:$A$124,0)),"")</f>
        <v>14.8409079795918</v>
      </c>
      <c r="H158" s="11" t="n">
        <f aca="false">IF(G158="","",IF(LEFT($X158,1)="H",SQRT(G158*(IFERROR(INDEX(Calc!$AP$2:$AP$124,MATCH($W158,Calc!$A$2:$A$124,0)),0.5)*Config!$B$5+1-IFERROR(INDEX(Calc!$AP$2:$AP$124,MATCH($W158,Calc!$A$2:$A$124,0)),0.5))),SQRT(G158*Config!$B$5)))</f>
        <v>4.25628094903695</v>
      </c>
      <c r="I158" s="10" t="n">
        <f aca="false">IF(OR(F158="",G158="",N(H158)&lt;=0),"",1-NORMDIST(FLOOR(F158,1)+0.5,G158,H158,TRUE()))</f>
        <v>0.438469145676265</v>
      </c>
      <c r="J158" s="10" t="n">
        <f aca="false">IF(I158="","",NORMDIST(CEILING(F158,1)-0.5,G158,H158,TRUE()))</f>
        <v>0.561530854323735</v>
      </c>
      <c r="K158" s="10" t="n">
        <f aca="false">IF(I158="","",MAX(0,1-I158-J158))</f>
        <v>0</v>
      </c>
      <c r="L158" s="0" t="str">
        <f aca="false">IF(I158="","",IF(I158&gt;=0.5+Config!$B$6,"OVER",IF(J158&gt;=0.5+Config!$B$6,"UNDER","—")))</f>
        <v>UNDER</v>
      </c>
      <c r="N158" s="0" t="n">
        <v>16.1</v>
      </c>
      <c r="O158" s="10" t="n">
        <v>0.6</v>
      </c>
      <c r="P158" s="10" t="n">
        <v>0.5</v>
      </c>
      <c r="Q158" s="10" t="n">
        <v>0.53</v>
      </c>
      <c r="R158" s="9" t="s">
        <v>1298</v>
      </c>
      <c r="S158" s="0" t="n">
        <v>-2</v>
      </c>
      <c r="T158" s="0" t="str">
        <f aca="false">INDEX(Calc!$G$2:$G$124,MATCH($W158,Calc!$A$2:$A$124,0))&amp;" / "&amp;INDEX(Calc!$H$2:$H$124,MATCH($W158,Calc!$A$2:$A$124,0))</f>
        <v>Mirage / Ancient</v>
      </c>
      <c r="U158" s="0" t="str">
        <f aca="false">TEXT(INDEX(Calc!$J$2:$J$124,MATCH($W158,Calc!$A$2:$A$124,0)),"0.0")&amp;" / "&amp;TEXT(INDEX(Calc!$K$2:$K$124,MATCH($W158,Calc!$A$2:$A$124,0)),"0.0")</f>
        <v>21.4 / 21.1</v>
      </c>
      <c r="V158" s="0" t="str">
        <f aca="false">IFERROR(INDEX(Calc!$AQ$2:$AQ$124,MATCH($W158,Calc!$A$2:$A$124,0)),"")</f>
        <v/>
      </c>
      <c r="W158" s="9" t="s">
        <v>1305</v>
      </c>
      <c r="X158" s="9" t="s">
        <v>1110</v>
      </c>
      <c r="Y158" s="0" t="str">
        <f aca="false">W158&amp;"|"&amp;X158</f>
        <v>a0u1qo22a3z9rh8|CS2 · LGC vs DEN|H12</v>
      </c>
      <c r="Z158" s="11" t="n">
        <f aca="false">IFERROR(INDEX(CHOOSE(MATCH($X158,{"K1","K2","K3","K12","K13","H1","H2","H3","H12","H13"},0),Calc!$BA$2:$BA$124,Calc!$BB$2:$BB$124,Calc!$BC$2:$BC$124,Calc!$BD$2:$BD$124,Calc!$BE$2:$BE$124,Calc!$BF$2:$BF$124,Calc!$BG$2:$BG$124,Calc!$BH$2:$BH$124,Calc!$BI$2:$BI$124,Calc!$BJ$2:$BJ$124),MATCH($W158,Calc!$A$2:$A$124,0)),"")</f>
        <v>14.2078236933225</v>
      </c>
      <c r="AA158" s="11" t="n">
        <f aca="false">IF(Z158="","",IF(LEFT($X158,1)="H",SQRT(Z158*(IFERROR(INDEX(Calc!$AP$2:$AP$124,MATCH($W158,Calc!$A$2:$A$124,0)),0.5)*Config!$B$5+1-IFERROR(INDEX(Calc!$AP$2:$AP$124,MATCH($W158,Calc!$A$2:$A$124,0)),0.5))),SQRT(Z158*Config!$B$5)))</f>
        <v>4.16450924641326</v>
      </c>
      <c r="AB158" s="10" t="n">
        <f aca="false">IF(OR(F158="",Z158="",N(AA158)&lt;=0),"",1-NORMDIST(FLOOR(F158,1)+0.5,Z158,AA158,TRUE()))</f>
        <v>0.378172889415232</v>
      </c>
      <c r="AC158" s="10" t="n">
        <f aca="false">IF(AB158="","",NORMDIST(CEILING(F158,1)-0.5,Z158,AA158,TRUE()))</f>
        <v>0.621827110584768</v>
      </c>
      <c r="AD158" s="0" t="str">
        <f aca="false">IF(AB158="","",IF(AB158&gt;=0.5+Config!$B$6,"OVER",IF(AC158&gt;=0.5+Config!$B$6,"UNDER","—")))</f>
        <v>UNDER</v>
      </c>
      <c r="AE158" s="13" t="n">
        <f aca="false">IFERROR(Z158/G158,"")</f>
        <v>0.957341943825816</v>
      </c>
    </row>
    <row r="159" customFormat="false" ht="15" hidden="false" customHeight="false" outlineLevel="0" collapsed="false">
      <c r="A159" s="0" t="s">
        <v>988</v>
      </c>
      <c r="B159" s="0" t="s">
        <v>1054</v>
      </c>
      <c r="C159" s="0" t="s">
        <v>1304</v>
      </c>
      <c r="D159" s="0" t="s">
        <v>1059</v>
      </c>
      <c r="E159" s="0" t="s">
        <v>1111</v>
      </c>
      <c r="F159" s="0" t="n">
        <v>25.5</v>
      </c>
      <c r="G159" s="11" t="n">
        <f aca="false">IFERROR(INDEX(CHOOSE(MATCH($X159,{"K1","K2","K3","K12","K13","H1","H2","H3","H12","H13"},0),Calc!$V$2:$V$124,Calc!$AC$2:$AC$124,Calc!$AJ$2:$AJ$124,Calc!$AL$2:$AL$124,Calc!$AM$2:$AM$124,Calc!$W$2:$W$124,Calc!$AD$2:$AD$124,Calc!$AK$2:$AK$124,Calc!$AN$2:$AN$124,Calc!$AO$2:$AO$124),MATCH($W159,Calc!$A$2:$A$124,0)),"")</f>
        <v>26.9009142857143</v>
      </c>
      <c r="H159" s="11" t="n">
        <f aca="false">IF(G159="","",IF(LEFT($X159,1)="H",SQRT(G159*(IFERROR(INDEX(Calc!$AP$2:$AP$124,MATCH($W159,Calc!$A$2:$A$124,0)),0.5)*Config!$B$5+1-IFERROR(INDEX(Calc!$AP$2:$AP$124,MATCH($W159,Calc!$A$2:$A$124,0)),0.5))),SQRT(G159*Config!$B$5)))</f>
        <v>6.13687868545566</v>
      </c>
      <c r="I159" s="10" t="n">
        <f aca="false">IF(OR(F159="",G159="",N(H159)&lt;=0),"",1-NORMDIST(FLOOR(F159,1)+0.5,G159,H159,TRUE()))</f>
        <v>0.590284929973103</v>
      </c>
      <c r="J159" s="10" t="n">
        <f aca="false">IF(I159="","",NORMDIST(CEILING(F159,1)-0.5,G159,H159,TRUE()))</f>
        <v>0.409715070026897</v>
      </c>
      <c r="K159" s="10" t="n">
        <f aca="false">IF(I159="","",MAX(0,1-I159-J159))</f>
        <v>0</v>
      </c>
      <c r="L159" s="0" t="str">
        <f aca="false">IF(I159="","",IF(I159&gt;=0.5+Config!$B$6,"OVER",IF(J159&gt;=0.5+Config!$B$6,"UNDER","—")))</f>
        <v>OVER</v>
      </c>
      <c r="M159" s="0" t="n">
        <v>26.06</v>
      </c>
      <c r="N159" s="0" t="n">
        <v>29.4</v>
      </c>
      <c r="O159" s="10" t="n">
        <v>1</v>
      </c>
      <c r="P159" s="10" t="n">
        <v>0.9</v>
      </c>
      <c r="Q159" s="10" t="n">
        <v>0.8</v>
      </c>
      <c r="R159" s="9" t="s">
        <v>1298</v>
      </c>
      <c r="S159" s="0" t="n">
        <v>5</v>
      </c>
      <c r="T159" s="0" t="str">
        <f aca="false">INDEX(Calc!$G$2:$G$124,MATCH($W159,Calc!$A$2:$A$124,0))&amp;" / "&amp;INDEX(Calc!$H$2:$H$124,MATCH($W159,Calc!$A$2:$A$124,0))</f>
        <v>Mirage / Ancient</v>
      </c>
      <c r="U159" s="0" t="str">
        <f aca="false">TEXT(INDEX(Calc!$J$2:$J$124,MATCH($W159,Calc!$A$2:$A$124,0)),"0.0")&amp;" / "&amp;TEXT(INDEX(Calc!$K$2:$K$124,MATCH($W159,Calc!$A$2:$A$124,0)),"0.0")</f>
        <v>21.4 / 21.1</v>
      </c>
      <c r="V159" s="0" t="str">
        <f aca="false">IFERROR(INDEX(Calc!$AQ$2:$AQ$124,MATCH($W159,Calc!$A$2:$A$124,0)),"")</f>
        <v/>
      </c>
      <c r="W159" s="9" t="s">
        <v>1305</v>
      </c>
      <c r="X159" s="9" t="s">
        <v>1112</v>
      </c>
      <c r="Y159" s="0" t="str">
        <f aca="false">W159&amp;"|"&amp;X159</f>
        <v>a0u1qo22a3z9rh8|CS2 · LGC vs DEN|K12</v>
      </c>
      <c r="Z159" s="11" t="n">
        <f aca="false">IFERROR(INDEX(CHOOSE(MATCH($X159,{"K1","K2","K3","K12","K13","H1","H2","H3","H12","H13"},0),Calc!$BA$2:$BA$124,Calc!$BB$2:$BB$124,Calc!$BC$2:$BC$124,Calc!$BD$2:$BD$124,Calc!$BE$2:$BE$124,Calc!$BF$2:$BF$124,Calc!$BG$2:$BG$124,Calc!$BH$2:$BH$124,Calc!$BI$2:$BI$124,Calc!$BJ$2:$BJ$124),MATCH($W159,Calc!$A$2:$A$124,0)),"")</f>
        <v>25.7603437097855</v>
      </c>
      <c r="AA159" s="11" t="n">
        <f aca="false">IF(Z159="","",IF(LEFT($X159,1)="H",SQRT(Z159*(IFERROR(INDEX(Calc!$AP$2:$AP$124,MATCH($W159,Calc!$A$2:$A$124,0)),0.5)*Config!$B$5+1-IFERROR(INDEX(Calc!$AP$2:$AP$124,MATCH($W159,Calc!$A$2:$A$124,0)),0.5))),SQRT(Z159*Config!$B$5)))</f>
        <v>6.00537102881244</v>
      </c>
      <c r="AB159" s="10" t="n">
        <f aca="false">IF(OR(F159="",Z159="",N(AA159)&lt;=0),"",1-NORMDIST(FLOOR(F159,1)+0.5,Z159,AA159,TRUE()))</f>
        <v>0.517289454593169</v>
      </c>
      <c r="AC159" s="10" t="n">
        <f aca="false">IF(AB159="","",NORMDIST(CEILING(F159,1)-0.5,Z159,AA159,TRUE()))</f>
        <v>0.482710545406831</v>
      </c>
      <c r="AD159" s="0" t="str">
        <f aca="false">IF(AB159="","",IF(AB159&gt;=0.5+Config!$B$6,"OVER",IF(AC159&gt;=0.5+Config!$B$6,"UNDER","—")))</f>
        <v>—</v>
      </c>
      <c r="AE159" s="13" t="n">
        <f aca="false">IFERROR(Z159/G159,"")</f>
        <v>0.957601047911801</v>
      </c>
    </row>
    <row r="160" customFormat="false" ht="15" hidden="false" customHeight="false" outlineLevel="0" collapsed="false">
      <c r="A160" s="0" t="s">
        <v>988</v>
      </c>
      <c r="B160" s="0" t="s">
        <v>1054</v>
      </c>
      <c r="C160" s="0" t="s">
        <v>1306</v>
      </c>
      <c r="D160" s="0" t="s">
        <v>1058</v>
      </c>
      <c r="E160" s="0" t="s">
        <v>1107</v>
      </c>
      <c r="F160" s="0" t="n">
        <v>11</v>
      </c>
      <c r="G160" s="11" t="n">
        <f aca="false">IFERROR(INDEX(CHOOSE(MATCH($X160,{"K1","K2","K3","K12","K13","H1","H2","H3","H12","H13"},0),Calc!$V$2:$V$124,Calc!$AC$2:$AC$124,Calc!$AJ$2:$AJ$124,Calc!$AL$2:$AL$124,Calc!$AM$2:$AM$124,Calc!$W$2:$W$124,Calc!$AD$2:$AD$124,Calc!$AK$2:$AK$124,Calc!$AN$2:$AN$124,Calc!$AO$2:$AO$124),MATCH($W160,Calc!$A$2:$A$124,0)),"")</f>
        <v>10.6878909306122</v>
      </c>
      <c r="H160" s="11" t="n">
        <f aca="false">IF(G160="","",IF(LEFT($X160,1)="H",SQRT(G160*(IFERROR(INDEX(Calc!$AP$2:$AP$124,MATCH($W160,Calc!$A$2:$A$124,0)),0.5)*Config!$B$5+1-IFERROR(INDEX(Calc!$AP$2:$AP$124,MATCH($W160,Calc!$A$2:$A$124,0)),0.5))),SQRT(G160*Config!$B$5)))</f>
        <v>3.55445976708683</v>
      </c>
      <c r="I160" s="10" t="n">
        <f aca="false">IF(OR(F160="",G160="",N(H160)&lt;=0),"",1-NORMDIST(FLOOR(F160,1)+0.5,G160,H160,TRUE()))</f>
        <v>0.409638071027881</v>
      </c>
      <c r="J160" s="10" t="n">
        <f aca="false">IF(I160="","",NORMDIST(CEILING(F160,1)-0.5,G160,H160,TRUE()))</f>
        <v>0.478921482438397</v>
      </c>
      <c r="K160" s="10" t="n">
        <f aca="false">IF(I160="","",MAX(0,1-I160-J160))</f>
        <v>0.111440446533722</v>
      </c>
      <c r="L160" s="0" t="str">
        <f aca="false">IF(I160="","",IF(I160&gt;=0.5+Config!$B$6,"OVER",IF(J160&gt;=0.5+Config!$B$6,"UNDER","—")))</f>
        <v>—</v>
      </c>
      <c r="N160" s="0" t="n">
        <v>11.2</v>
      </c>
      <c r="O160" s="10" t="n">
        <v>0.6</v>
      </c>
      <c r="P160" s="10" t="n">
        <v>0.5</v>
      </c>
      <c r="Q160" s="10" t="n">
        <v>0.6</v>
      </c>
      <c r="R160" s="9" t="s">
        <v>1108</v>
      </c>
      <c r="S160" s="0" t="n">
        <v>1</v>
      </c>
      <c r="T160" s="0" t="str">
        <f aca="false">INDEX(Calc!$G$2:$G$124,MATCH($W160,Calc!$A$2:$A$124,0))&amp;" / "&amp;INDEX(Calc!$H$2:$H$124,MATCH($W160,Calc!$A$2:$A$124,0))</f>
        <v>Mirage / Ancient</v>
      </c>
      <c r="U160" s="0" t="str">
        <f aca="false">TEXT(INDEX(Calc!$J$2:$J$124,MATCH($W160,Calc!$A$2:$A$124,0)),"0.0")&amp;" / "&amp;TEXT(INDEX(Calc!$K$2:$K$124,MATCH($W160,Calc!$A$2:$A$124,0)),"0.0")</f>
        <v>21.4 / 21.1</v>
      </c>
      <c r="V160" s="0" t="str">
        <f aca="false">IFERROR(INDEX(Calc!$AQ$2:$AQ$124,MATCH($W160,Calc!$A$2:$A$124,0)),"")</f>
        <v/>
      </c>
      <c r="W160" s="9" t="s">
        <v>1307</v>
      </c>
      <c r="X160" s="9" t="s">
        <v>1110</v>
      </c>
      <c r="Y160" s="0" t="str">
        <f aca="false">W160&amp;"|"&amp;X160</f>
        <v>6ihem6avn05n11t|CS2 · LGC vs DEN|H12</v>
      </c>
      <c r="Z160" s="11" t="n">
        <f aca="false">IFERROR(INDEX(CHOOSE(MATCH($X160,{"K1","K2","K3","K12","K13","H1","H2","H3","H12","H13"},0),Calc!$BA$2:$BA$124,Calc!$BB$2:$BB$124,Calc!$BC$2:$BC$124,Calc!$BD$2:$BD$124,Calc!$BE$2:$BE$124,Calc!$BF$2:$BF$124,Calc!$BG$2:$BG$124,Calc!$BH$2:$BH$124,Calc!$BI$2:$BI$124,Calc!$BJ$2:$BJ$124),MATCH($W160,Calc!$A$2:$A$124,0)),"")</f>
        <v>10.9813157272126</v>
      </c>
      <c r="AA160" s="11" t="n">
        <f aca="false">IF(Z160="","",IF(LEFT($X160,1)="H",SQRT(Z160*(IFERROR(INDEX(Calc!$AP$2:$AP$124,MATCH($W160,Calc!$A$2:$A$124,0)),0.5)*Config!$B$5+1-IFERROR(INDEX(Calc!$AP$2:$AP$124,MATCH($W160,Calc!$A$2:$A$124,0)),0.5))),SQRT(Z160*Config!$B$5)))</f>
        <v>3.60292137947525</v>
      </c>
      <c r="AB160" s="10" t="n">
        <f aca="false">IF(OR(F160="",Z160="",N(AA160)&lt;=0),"",1-NORMDIST(FLOOR(F160,1)+0.5,Z160,AA160,TRUE()))</f>
        <v>0.44276518294312</v>
      </c>
      <c r="AC160" s="10" t="n">
        <f aca="false">IF(AB160="","",NORMDIST(CEILING(F160,1)-0.5,Z160,AA160,TRUE()))</f>
        <v>0.446863235834857</v>
      </c>
      <c r="AD160" s="0" t="str">
        <f aca="false">IF(AB160="","",IF(AB160&gt;=0.5+Config!$B$6,"OVER",IF(AC160&gt;=0.5+Config!$B$6,"UNDER","—")))</f>
        <v>—</v>
      </c>
      <c r="AE160" s="13" t="n">
        <f aca="false">IFERROR(Z160/G160,"")</f>
        <v>1.02745394750988</v>
      </c>
    </row>
    <row r="161" customFormat="false" ht="15" hidden="false" customHeight="false" outlineLevel="0" collapsed="false">
      <c r="A161" s="0" t="s">
        <v>988</v>
      </c>
      <c r="B161" s="0" t="s">
        <v>1054</v>
      </c>
      <c r="C161" s="0" t="s">
        <v>1306</v>
      </c>
      <c r="D161" s="0" t="s">
        <v>1058</v>
      </c>
      <c r="E161" s="0" t="s">
        <v>1111</v>
      </c>
      <c r="F161" s="0" t="n">
        <v>24.5</v>
      </c>
      <c r="G161" s="11" t="n">
        <f aca="false">IFERROR(INDEX(CHOOSE(MATCH($X161,{"K1","K2","K3","K12","K13","H1","H2","H3","H12","H13"},0),Calc!$V$2:$V$124,Calc!$AC$2:$AC$124,Calc!$AJ$2:$AJ$124,Calc!$AL$2:$AL$124,Calc!$AM$2:$AM$124,Calc!$W$2:$W$124,Calc!$AD$2:$AD$124,Calc!$AK$2:$AK$124,Calc!$AN$2:$AN$124,Calc!$AO$2:$AO$124),MATCH($W161,Calc!$A$2:$A$124,0)),"")</f>
        <v>23.4766285714286</v>
      </c>
      <c r="H161" s="11" t="n">
        <f aca="false">IF(G161="","",IF(LEFT($X161,1)="H",SQRT(G161*(IFERROR(INDEX(Calc!$AP$2:$AP$124,MATCH($W161,Calc!$A$2:$A$124,0)),0.5)*Config!$B$5+1-IFERROR(INDEX(Calc!$AP$2:$AP$124,MATCH($W161,Calc!$A$2:$A$124,0)),0.5))),SQRT(G161*Config!$B$5)))</f>
        <v>5.73299921507059</v>
      </c>
      <c r="I161" s="10" t="n">
        <f aca="false">IF(OR(F161="",G161="",N(H161)&lt;=0),"",1-NORMDIST(FLOOR(F161,1)+0.5,G161,H161,TRUE()))</f>
        <v>0.429163032791887</v>
      </c>
      <c r="J161" s="10" t="n">
        <f aca="false">IF(I161="","",NORMDIST(CEILING(F161,1)-0.5,G161,H161,TRUE()))</f>
        <v>0.570836967208113</v>
      </c>
      <c r="K161" s="10" t="n">
        <f aca="false">IF(I161="","",MAX(0,1-I161-J161))</f>
        <v>0</v>
      </c>
      <c r="L161" s="0" t="str">
        <f aca="false">IF(I161="","",IF(I161&gt;=0.5+Config!$B$6,"OVER",IF(J161&gt;=0.5+Config!$B$6,"UNDER","—")))</f>
        <v>UNDER</v>
      </c>
      <c r="M161" s="0" t="n">
        <v>24.6</v>
      </c>
      <c r="N161" s="0" t="n">
        <v>26.2</v>
      </c>
      <c r="O161" s="10" t="n">
        <v>0.6</v>
      </c>
      <c r="P161" s="10" t="n">
        <v>0.7</v>
      </c>
      <c r="Q161" s="10" t="n">
        <v>0.6</v>
      </c>
      <c r="R161" s="9" t="s">
        <v>1108</v>
      </c>
      <c r="S161" s="0" t="n">
        <v>1</v>
      </c>
      <c r="T161" s="0" t="str">
        <f aca="false">INDEX(Calc!$G$2:$G$124,MATCH($W161,Calc!$A$2:$A$124,0))&amp;" / "&amp;INDEX(Calc!$H$2:$H$124,MATCH($W161,Calc!$A$2:$A$124,0))</f>
        <v>Mirage / Ancient</v>
      </c>
      <c r="U161" s="0" t="str">
        <f aca="false">TEXT(INDEX(Calc!$J$2:$J$124,MATCH($W161,Calc!$A$2:$A$124,0)),"0.0")&amp;" / "&amp;TEXT(INDEX(Calc!$K$2:$K$124,MATCH($W161,Calc!$A$2:$A$124,0)),"0.0")</f>
        <v>21.4 / 21.1</v>
      </c>
      <c r="V161" s="0" t="str">
        <f aca="false">IFERROR(INDEX(Calc!$AQ$2:$AQ$124,MATCH($W161,Calc!$A$2:$A$124,0)),"")</f>
        <v/>
      </c>
      <c r="W161" s="9" t="s">
        <v>1307</v>
      </c>
      <c r="X161" s="9" t="s">
        <v>1112</v>
      </c>
      <c r="Y161" s="0" t="str">
        <f aca="false">W161&amp;"|"&amp;X161</f>
        <v>6ihem6avn05n11t|CS2 · LGC vs DEN|K12</v>
      </c>
      <c r="Z161" s="11" t="n">
        <f aca="false">IFERROR(INDEX(CHOOSE(MATCH($X161,{"K1","K2","K3","K12","K13","H1","H2","H3","H12","H13"},0),Calc!$BA$2:$BA$124,Calc!$BB$2:$BB$124,Calc!$BC$2:$BC$124,Calc!$BD$2:$BD$124,Calc!$BE$2:$BE$124,Calc!$BF$2:$BF$124,Calc!$BG$2:$BG$124,Calc!$BH$2:$BH$124,Calc!$BI$2:$BI$124,Calc!$BJ$2:$BJ$124),MATCH($W161,Calc!$A$2:$A$124,0)),"")</f>
        <v>24.1283908021267</v>
      </c>
      <c r="AA161" s="11" t="n">
        <f aca="false">IF(Z161="","",IF(LEFT($X161,1)="H",SQRT(Z161*(IFERROR(INDEX(Calc!$AP$2:$AP$124,MATCH($W161,Calc!$A$2:$A$124,0)),0.5)*Config!$B$5+1-IFERROR(INDEX(Calc!$AP$2:$AP$124,MATCH($W161,Calc!$A$2:$A$124,0)),0.5))),SQRT(Z161*Config!$B$5)))</f>
        <v>5.81203468012514</v>
      </c>
      <c r="AB161" s="10" t="n">
        <f aca="false">IF(OR(F161="",Z161="",N(AA161)&lt;=0),"",1-NORMDIST(FLOOR(F161,1)+0.5,Z161,AA161,TRUE()))</f>
        <v>0.47450984354322</v>
      </c>
      <c r="AC161" s="10" t="n">
        <f aca="false">IF(AB161="","",NORMDIST(CEILING(F161,1)-0.5,Z161,AA161,TRUE()))</f>
        <v>0.52549015645678</v>
      </c>
      <c r="AD161" s="0" t="str">
        <f aca="false">IF(AB161="","",IF(AB161&gt;=0.5+Config!$B$6,"OVER",IF(AC161&gt;=0.5+Config!$B$6,"UNDER","—")))</f>
        <v>—</v>
      </c>
      <c r="AE161" s="13" t="n">
        <f aca="false">IFERROR(Z161/G161,"")</f>
        <v>1.02776217329141</v>
      </c>
    </row>
    <row r="162" customFormat="false" ht="15" hidden="false" customHeight="false" outlineLevel="0" collapsed="false">
      <c r="A162" s="0" t="s">
        <v>988</v>
      </c>
      <c r="B162" s="0" t="s">
        <v>1054</v>
      </c>
      <c r="C162" s="0" t="s">
        <v>1308</v>
      </c>
      <c r="D162" s="0" t="s">
        <v>1058</v>
      </c>
      <c r="E162" s="0" t="s">
        <v>1107</v>
      </c>
      <c r="F162" s="0" t="n">
        <v>15.5</v>
      </c>
      <c r="G162" s="11" t="n">
        <f aca="false">IFERROR(INDEX(CHOOSE(MATCH($X162,{"K1","K2","K3","K12","K13","H1","H2","H3","H12","H13"},0),Calc!$V$2:$V$124,Calc!$AC$2:$AC$124,Calc!$AJ$2:$AJ$124,Calc!$AL$2:$AL$124,Calc!$AM$2:$AM$124,Calc!$W$2:$W$124,Calc!$AD$2:$AD$124,Calc!$AK$2:$AK$124,Calc!$AN$2:$AN$124,Calc!$AO$2:$AO$124),MATCH($W162,Calc!$A$2:$A$124,0)),"")</f>
        <v>14.7198769664694</v>
      </c>
      <c r="H162" s="11" t="n">
        <f aca="false">IF(G162="","",IF(LEFT($X162,1)="H",SQRT(G162*(IFERROR(INDEX(Calc!$AP$2:$AP$124,MATCH($W162,Calc!$A$2:$A$124,0)),0.5)*Config!$B$5+1-IFERROR(INDEX(Calc!$AP$2:$AP$124,MATCH($W162,Calc!$A$2:$A$124,0)),0.5))),SQRT(G162*Config!$B$5)))</f>
        <v>4.19060746534694</v>
      </c>
      <c r="I162" s="10" t="n">
        <f aca="false">IF(OR(F162="",G162="",N(H162)&lt;=0),"",1-NORMDIST(FLOOR(F162,1)+0.5,G162,H162,TRUE()))</f>
        <v>0.426159687794093</v>
      </c>
      <c r="J162" s="10" t="n">
        <f aca="false">IF(I162="","",NORMDIST(CEILING(F162,1)-0.5,G162,H162,TRUE()))</f>
        <v>0.573840312205907</v>
      </c>
      <c r="K162" s="10" t="n">
        <f aca="false">IF(I162="","",MAX(0,1-I162-J162))</f>
        <v>0</v>
      </c>
      <c r="L162" s="0" t="str">
        <f aca="false">IF(I162="","",IF(I162&gt;=0.5+Config!$B$6,"OVER",IF(J162&gt;=0.5+Config!$B$6,"UNDER","—")))</f>
        <v>UNDER</v>
      </c>
      <c r="N162" s="0" t="n">
        <v>15.7</v>
      </c>
      <c r="O162" s="10" t="n">
        <v>0.8</v>
      </c>
      <c r="P162" s="10" t="n">
        <v>0.6</v>
      </c>
      <c r="Q162" s="10" t="n">
        <v>0.6</v>
      </c>
      <c r="R162" s="9" t="s">
        <v>1108</v>
      </c>
      <c r="S162" s="0" t="n">
        <v>4</v>
      </c>
      <c r="T162" s="0" t="str">
        <f aca="false">INDEX(Calc!$G$2:$G$124,MATCH($W162,Calc!$A$2:$A$124,0))&amp;" / "&amp;INDEX(Calc!$H$2:$H$124,MATCH($W162,Calc!$A$2:$A$124,0))</f>
        <v>Mirage / Ancient</v>
      </c>
      <c r="U162" s="0" t="str">
        <f aca="false">TEXT(INDEX(Calc!$J$2:$J$124,MATCH($W162,Calc!$A$2:$A$124,0)),"0.0")&amp;" / "&amp;TEXT(INDEX(Calc!$K$2:$K$124,MATCH($W162,Calc!$A$2:$A$124,0)),"0.0")</f>
        <v>21.4 / 21.1</v>
      </c>
      <c r="V162" s="0" t="str">
        <f aca="false">IFERROR(INDEX(Calc!$AQ$2:$AQ$124,MATCH($W162,Calc!$A$2:$A$124,0)),"")</f>
        <v/>
      </c>
      <c r="W162" s="9" t="s">
        <v>1309</v>
      </c>
      <c r="X162" s="9" t="s">
        <v>1110</v>
      </c>
      <c r="Y162" s="0" t="str">
        <f aca="false">W162&amp;"|"&amp;X162</f>
        <v>fegzpn598j6etni|CS2 · LGC vs DEN|H12</v>
      </c>
      <c r="Z162" s="11" t="n">
        <f aca="false">IFERROR(INDEX(CHOOSE(MATCH($X162,{"K1","K2","K3","K12","K13","H1","H2","H3","H12","H13"},0),Calc!$BA$2:$BA$124,Calc!$BB$2:$BB$124,Calc!$BC$2:$BC$124,Calc!$BD$2:$BD$124,Calc!$BE$2:$BE$124,Calc!$BF$2:$BF$124,Calc!$BG$2:$BG$124,Calc!$BH$2:$BH$124,Calc!$BI$2:$BI$124,Calc!$BJ$2:$BJ$124),MATCH($W162,Calc!$A$2:$A$124,0)),"")</f>
        <v>15.1213500209336</v>
      </c>
      <c r="AA162" s="11" t="n">
        <f aca="false">IF(Z162="","",IF(LEFT($X162,1)="H",SQRT(Z162*(IFERROR(INDEX(Calc!$AP$2:$AP$124,MATCH($W162,Calc!$A$2:$A$124,0)),0.5)*Config!$B$5+1-IFERROR(INDEX(Calc!$AP$2:$AP$124,MATCH($W162,Calc!$A$2:$A$124,0)),0.5))),SQRT(Z162*Config!$B$5)))</f>
        <v>4.24737078488272</v>
      </c>
      <c r="AB162" s="10" t="n">
        <f aca="false">IF(OR(F162="",Z162="",N(AA162)&lt;=0),"",1-NORMDIST(FLOOR(F162,1)+0.5,Z162,AA162,TRUE()))</f>
        <v>0.464481643138445</v>
      </c>
      <c r="AC162" s="10" t="n">
        <f aca="false">IF(AB162="","",NORMDIST(CEILING(F162,1)-0.5,Z162,AA162,TRUE()))</f>
        <v>0.535518356861555</v>
      </c>
      <c r="AD162" s="0" t="str">
        <f aca="false">IF(AB162="","",IF(AB162&gt;=0.5+Config!$B$6,"OVER",IF(AC162&gt;=0.5+Config!$B$6,"UNDER","—")))</f>
        <v>—</v>
      </c>
      <c r="AE162" s="13" t="n">
        <f aca="false">IFERROR(Z162/G162,"")</f>
        <v>1.02727421264313</v>
      </c>
    </row>
    <row r="163" customFormat="false" ht="15" hidden="false" customHeight="false" outlineLevel="0" collapsed="false">
      <c r="A163" s="0" t="s">
        <v>988</v>
      </c>
      <c r="B163" s="0" t="s">
        <v>1054</v>
      </c>
      <c r="C163" s="0" t="s">
        <v>1308</v>
      </c>
      <c r="D163" s="0" t="s">
        <v>1058</v>
      </c>
      <c r="E163" s="0" t="s">
        <v>1111</v>
      </c>
      <c r="F163" s="0" t="n">
        <v>30</v>
      </c>
      <c r="G163" s="11" t="n">
        <f aca="false">IFERROR(INDEX(CHOOSE(MATCH($X163,{"K1","K2","K3","K12","K13","H1","H2","H3","H12","H13"},0),Calc!$V$2:$V$124,Calc!$AC$2:$AC$124,Calc!$AJ$2:$AJ$124,Calc!$AL$2:$AL$124,Calc!$AM$2:$AM$124,Calc!$W$2:$W$124,Calc!$AD$2:$AD$124,Calc!$AK$2:$AK$124,Calc!$AN$2:$AN$124,Calc!$AO$2:$AO$124),MATCH($W163,Calc!$A$2:$A$124,0)),"")</f>
        <v>30.5034615384615</v>
      </c>
      <c r="H163" s="11" t="n">
        <f aca="false">IF(G163="","",IF(LEFT($X163,1)="H",SQRT(G163*(IFERROR(INDEX(Calc!$AP$2:$AP$124,MATCH($W163,Calc!$A$2:$A$124,0)),0.5)*Config!$B$5+1-IFERROR(INDEX(Calc!$AP$2:$AP$124,MATCH($W163,Calc!$A$2:$A$124,0)),0.5))),SQRT(G163*Config!$B$5)))</f>
        <v>6.53489450212061</v>
      </c>
      <c r="I163" s="10" t="n">
        <f aca="false">IF(OR(F163="",G163="",N(H163)&lt;=0),"",1-NORMDIST(FLOOR(F163,1)+0.5,G163,H163,TRUE()))</f>
        <v>0.500211320011749</v>
      </c>
      <c r="J163" s="10" t="n">
        <f aca="false">IF(I163="","",NORMDIST(CEILING(F163,1)-0.5,G163,H163,TRUE()))</f>
        <v>0.43898056300342</v>
      </c>
      <c r="K163" s="10" t="n">
        <f aca="false">IF(I163="","",MAX(0,1-I163-J163))</f>
        <v>0.0608081169848312</v>
      </c>
      <c r="L163" s="0" t="str">
        <f aca="false">IF(I163="","",IF(I163&gt;=0.5+Config!$B$6,"OVER",IF(J163&gt;=0.5+Config!$B$6,"UNDER","—")))</f>
        <v>—</v>
      </c>
      <c r="M163" s="0" t="n">
        <v>31.24</v>
      </c>
      <c r="N163" s="0" t="n">
        <v>32.2</v>
      </c>
      <c r="O163" s="10" t="n">
        <v>1</v>
      </c>
      <c r="P163" s="10" t="n">
        <v>0.8</v>
      </c>
      <c r="Q163" s="10" t="n">
        <v>0.67</v>
      </c>
      <c r="R163" s="9" t="s">
        <v>1108</v>
      </c>
      <c r="S163" s="0" t="n">
        <v>5</v>
      </c>
      <c r="T163" s="0" t="str">
        <f aca="false">INDEX(Calc!$G$2:$G$124,MATCH($W163,Calc!$A$2:$A$124,0))&amp;" / "&amp;INDEX(Calc!$H$2:$H$124,MATCH($W163,Calc!$A$2:$A$124,0))</f>
        <v>Mirage / Ancient</v>
      </c>
      <c r="U163" s="0" t="str">
        <f aca="false">TEXT(INDEX(Calc!$J$2:$J$124,MATCH($W163,Calc!$A$2:$A$124,0)),"0.0")&amp;" / "&amp;TEXT(INDEX(Calc!$K$2:$K$124,MATCH($W163,Calc!$A$2:$A$124,0)),"0.0")</f>
        <v>21.4 / 21.1</v>
      </c>
      <c r="V163" s="0" t="str">
        <f aca="false">IFERROR(INDEX(Calc!$AQ$2:$AQ$124,MATCH($W163,Calc!$A$2:$A$124,0)),"")</f>
        <v/>
      </c>
      <c r="W163" s="9" t="s">
        <v>1309</v>
      </c>
      <c r="X163" s="9" t="s">
        <v>1112</v>
      </c>
      <c r="Y163" s="0" t="str">
        <f aca="false">W163&amp;"|"&amp;X163</f>
        <v>fegzpn598j6etni|CS2 · LGC vs DEN|K12</v>
      </c>
      <c r="Z163" s="11" t="n">
        <f aca="false">IFERROR(INDEX(CHOOSE(MATCH($X163,{"K1","K2","K3","K12","K13","H1","H2","H3","H12","H13"},0),Calc!$BA$2:$BA$124,Calc!$BB$2:$BB$124,Calc!$BC$2:$BC$124,Calc!$BD$2:$BD$124,Calc!$BE$2:$BE$124,Calc!$BF$2:$BF$124,Calc!$BG$2:$BG$124,Calc!$BH$2:$BH$124,Calc!$BI$2:$BI$124,Calc!$BJ$2:$BJ$124),MATCH($W163,Calc!$A$2:$A$124,0)),"")</f>
        <v>31.282897765269</v>
      </c>
      <c r="AA163" s="11" t="n">
        <f aca="false">IF(Z163="","",IF(LEFT($X163,1)="H",SQRT(Z163*(IFERROR(INDEX(Calc!$AP$2:$AP$124,MATCH($W163,Calc!$A$2:$A$124,0)),0.5)*Config!$B$5+1-IFERROR(INDEX(Calc!$AP$2:$AP$124,MATCH($W163,Calc!$A$2:$A$124,0)),0.5))),SQRT(Z163*Config!$B$5)))</f>
        <v>6.61785893407955</v>
      </c>
      <c r="AB163" s="10" t="n">
        <f aca="false">IF(OR(F163="",Z163="",N(AA163)&lt;=0),"",1-NORMDIST(FLOOR(F163,1)+0.5,Z163,AA163,TRUE()))</f>
        <v>0.547085323806255</v>
      </c>
      <c r="AC163" s="10" t="n">
        <f aca="false">IF(AB163="","",NORMDIST(CEILING(F163,1)-0.5,Z163,AA163,TRUE()))</f>
        <v>0.393808235857888</v>
      </c>
      <c r="AD163" s="0" t="str">
        <f aca="false">IF(AB163="","",IF(AB163&gt;=0.5+Config!$B$6,"OVER",IF(AC163&gt;=0.5+Config!$B$6,"UNDER","—")))</f>
        <v>OVER</v>
      </c>
      <c r="AE163" s="13" t="n">
        <f aca="false">IFERROR(Z163/G163,"")</f>
        <v>1.02555238610623</v>
      </c>
    </row>
    <row r="164" customFormat="false" ht="15" hidden="false" customHeight="false" outlineLevel="0" collapsed="false">
      <c r="A164" s="0" t="s">
        <v>988</v>
      </c>
      <c r="B164" s="0" t="s">
        <v>1054</v>
      </c>
      <c r="C164" s="0" t="s">
        <v>1310</v>
      </c>
      <c r="D164" s="0" t="s">
        <v>1058</v>
      </c>
      <c r="E164" s="0" t="s">
        <v>1107</v>
      </c>
      <c r="F164" s="0" t="n">
        <v>17.5</v>
      </c>
      <c r="G164" s="11" t="n">
        <f aca="false">IFERROR(INDEX(CHOOSE(MATCH($X164,{"K1","K2","K3","K12","K13","H1","H2","H3","H12","H13"},0),Calc!$V$2:$V$124,Calc!$AC$2:$AC$124,Calc!$AJ$2:$AJ$124,Calc!$AL$2:$AL$124,Calc!$AM$2:$AM$124,Calc!$W$2:$W$124,Calc!$AD$2:$AD$124,Calc!$AK$2:$AK$124,Calc!$AN$2:$AN$124,Calc!$AO$2:$AO$124),MATCH($W164,Calc!$A$2:$A$124,0)),"")</f>
        <v>17.7348983796844</v>
      </c>
      <c r="H164" s="11" t="n">
        <f aca="false">IF(G164="","",IF(LEFT($X164,1)="H",SQRT(G164*(IFERROR(INDEX(Calc!$AP$2:$AP$124,MATCH($W164,Calc!$A$2:$A$124,0)),0.5)*Config!$B$5+1-IFERROR(INDEX(Calc!$AP$2:$AP$124,MATCH($W164,Calc!$A$2:$A$124,0)),0.5))),SQRT(G164*Config!$B$5)))</f>
        <v>4.65925813784036</v>
      </c>
      <c r="I164" s="10" t="n">
        <f aca="false">IF(OR(F164="",G164="",N(H164)&lt;=0),"",1-NORMDIST(FLOOR(F164,1)+0.5,G164,H164,TRUE()))</f>
        <v>0.520104319167178</v>
      </c>
      <c r="J164" s="10" t="n">
        <f aca="false">IF(I164="","",NORMDIST(CEILING(F164,1)-0.5,G164,H164,TRUE()))</f>
        <v>0.479895680832822</v>
      </c>
      <c r="K164" s="10" t="n">
        <f aca="false">IF(I164="","",MAX(0,1-I164-J164))</f>
        <v>0</v>
      </c>
      <c r="L164" s="0" t="str">
        <f aca="false">IF(I164="","",IF(I164&gt;=0.5+Config!$B$6,"OVER",IF(J164&gt;=0.5+Config!$B$6,"UNDER","—")))</f>
        <v>—</v>
      </c>
      <c r="N164" s="0" t="n">
        <v>18.3</v>
      </c>
      <c r="O164" s="10" t="n">
        <v>0.4</v>
      </c>
      <c r="P164" s="10" t="n">
        <v>0.5</v>
      </c>
      <c r="Q164" s="10" t="n">
        <v>0.53</v>
      </c>
      <c r="R164" s="9" t="s">
        <v>1108</v>
      </c>
      <c r="S164" s="0" t="n">
        <v>2</v>
      </c>
      <c r="T164" s="0" t="str">
        <f aca="false">INDEX(Calc!$G$2:$G$124,MATCH($W164,Calc!$A$2:$A$124,0))&amp;" / "&amp;INDEX(Calc!$H$2:$H$124,MATCH($W164,Calc!$A$2:$A$124,0))</f>
        <v>Mirage / Ancient</v>
      </c>
      <c r="U164" s="0" t="str">
        <f aca="false">TEXT(INDEX(Calc!$J$2:$J$124,MATCH($W164,Calc!$A$2:$A$124,0)),"0.0")&amp;" / "&amp;TEXT(INDEX(Calc!$K$2:$K$124,MATCH($W164,Calc!$A$2:$A$124,0)),"0.0")</f>
        <v>21.4 / 21.1</v>
      </c>
      <c r="V164" s="0" t="str">
        <f aca="false">IFERROR(INDEX(Calc!$AQ$2:$AQ$124,MATCH($W164,Calc!$A$2:$A$124,0)),"")</f>
        <v/>
      </c>
      <c r="W164" s="9" t="s">
        <v>1311</v>
      </c>
      <c r="X164" s="9" t="s">
        <v>1110</v>
      </c>
      <c r="Y164" s="0" t="str">
        <f aca="false">W164&amp;"|"&amp;X164</f>
        <v>1wpbb1hb0wgcwoh|CS2 · LGC vs DEN|H12</v>
      </c>
      <c r="Z164" s="11" t="n">
        <f aca="false">IFERROR(INDEX(CHOOSE(MATCH($X164,{"K1","K2","K3","K12","K13","H1","H2","H3","H12","H13"},0),Calc!$BA$2:$BA$124,Calc!$BB$2:$BB$124,Calc!$BC$2:$BC$124,Calc!$BD$2:$BD$124,Calc!$BE$2:$BE$124,Calc!$BF$2:$BF$124,Calc!$BG$2:$BG$124,Calc!$BH$2:$BH$124,Calc!$BI$2:$BI$124,Calc!$BJ$2:$BJ$124),MATCH($W164,Calc!$A$2:$A$124,0)),"")</f>
        <v>18.2115652486193</v>
      </c>
      <c r="AA164" s="11" t="n">
        <f aca="false">IF(Z164="","",IF(LEFT($X164,1)="H",SQRT(Z164*(IFERROR(INDEX(Calc!$AP$2:$AP$124,MATCH($W164,Calc!$A$2:$A$124,0)),0.5)*Config!$B$5+1-IFERROR(INDEX(Calc!$AP$2:$AP$124,MATCH($W164,Calc!$A$2:$A$124,0)),0.5))),SQRT(Z164*Config!$B$5)))</f>
        <v>4.72145720196769</v>
      </c>
      <c r="AB164" s="10" t="n">
        <f aca="false">IF(OR(F164="",Z164="",N(AA164)&lt;=0),"",1-NORMDIST(FLOOR(F164,1)+0.5,Z164,AA164,TRUE()))</f>
        <v>0.559897292742177</v>
      </c>
      <c r="AC164" s="10" t="n">
        <f aca="false">IF(AB164="","",NORMDIST(CEILING(F164,1)-0.5,Z164,AA164,TRUE()))</f>
        <v>0.440102707257823</v>
      </c>
      <c r="AD164" s="0" t="str">
        <f aca="false">IF(AB164="","",IF(AB164&gt;=0.5+Config!$B$6,"OVER",IF(AC164&gt;=0.5+Config!$B$6,"UNDER","—")))</f>
        <v>OVER</v>
      </c>
      <c r="AE164" s="13" t="n">
        <f aca="false">IFERROR(Z164/G164,"")</f>
        <v>1.02687733860832</v>
      </c>
    </row>
    <row r="165" customFormat="false" ht="15" hidden="false" customHeight="false" outlineLevel="0" collapsed="false">
      <c r="A165" s="0" t="s">
        <v>988</v>
      </c>
      <c r="B165" s="0" t="s">
        <v>1054</v>
      </c>
      <c r="C165" s="0" t="s">
        <v>1310</v>
      </c>
      <c r="D165" s="0" t="s">
        <v>1058</v>
      </c>
      <c r="E165" s="0" t="s">
        <v>1111</v>
      </c>
      <c r="F165" s="0" t="n">
        <v>32.5</v>
      </c>
      <c r="G165" s="11" t="n">
        <f aca="false">IFERROR(INDEX(CHOOSE(MATCH($X165,{"K1","K2","K3","K12","K13","H1","H2","H3","H12","H13"},0),Calc!$V$2:$V$124,Calc!$AC$2:$AC$124,Calc!$AJ$2:$AJ$124,Calc!$AL$2:$AL$124,Calc!$AM$2:$AM$124,Calc!$W$2:$W$124,Calc!$AD$2:$AD$124,Calc!$AK$2:$AK$124,Calc!$AN$2:$AN$124,Calc!$AO$2:$AO$124),MATCH($W165,Calc!$A$2:$A$124,0)),"")</f>
        <v>31.6601307692308</v>
      </c>
      <c r="H165" s="11" t="n">
        <f aca="false">IF(G165="","",IF(LEFT($X165,1)="H",SQRT(G165*(IFERROR(INDEX(Calc!$AP$2:$AP$124,MATCH($W165,Calc!$A$2:$A$124,0)),0.5)*Config!$B$5+1-IFERROR(INDEX(Calc!$AP$2:$AP$124,MATCH($W165,Calc!$A$2:$A$124,0)),0.5))),SQRT(G165*Config!$B$5)))</f>
        <v>6.65764095434134</v>
      </c>
      <c r="I165" s="10" t="n">
        <f aca="false">IF(OR(F165="",G165="",N(H165)&lt;=0),"",1-NORMDIST(FLOOR(F165,1)+0.5,G165,H165,TRUE()))</f>
        <v>0.449806129506887</v>
      </c>
      <c r="J165" s="10" t="n">
        <f aca="false">IF(I165="","",NORMDIST(CEILING(F165,1)-0.5,G165,H165,TRUE()))</f>
        <v>0.550193870493113</v>
      </c>
      <c r="K165" s="10" t="n">
        <f aca="false">IF(I165="","",MAX(0,1-I165-J165))</f>
        <v>0</v>
      </c>
      <c r="L165" s="0" t="str">
        <f aca="false">IF(I165="","",IF(I165&gt;=0.5+Config!$B$6,"OVER",IF(J165&gt;=0.5+Config!$B$6,"UNDER","—")))</f>
        <v>UNDER</v>
      </c>
      <c r="M165" s="0" t="n">
        <v>31.82</v>
      </c>
      <c r="N165" s="0" t="n">
        <v>34.8</v>
      </c>
      <c r="O165" s="10" t="n">
        <v>0.6</v>
      </c>
      <c r="P165" s="10" t="n">
        <v>0.5</v>
      </c>
      <c r="Q165" s="10" t="n">
        <v>0.47</v>
      </c>
      <c r="R165" s="9" t="s">
        <v>1108</v>
      </c>
      <c r="S165" s="0" t="n">
        <v>2</v>
      </c>
      <c r="T165" s="0" t="str">
        <f aca="false">INDEX(Calc!$G$2:$G$124,MATCH($W165,Calc!$A$2:$A$124,0))&amp;" / "&amp;INDEX(Calc!$H$2:$H$124,MATCH($W165,Calc!$A$2:$A$124,0))</f>
        <v>Mirage / Ancient</v>
      </c>
      <c r="U165" s="0" t="str">
        <f aca="false">TEXT(INDEX(Calc!$J$2:$J$124,MATCH($W165,Calc!$A$2:$A$124,0)),"0.0")&amp;" / "&amp;TEXT(INDEX(Calc!$K$2:$K$124,MATCH($W165,Calc!$A$2:$A$124,0)),"0.0")</f>
        <v>21.4 / 21.1</v>
      </c>
      <c r="V165" s="0" t="str">
        <f aca="false">IFERROR(INDEX(Calc!$AQ$2:$AQ$124,MATCH($W165,Calc!$A$2:$A$124,0)),"")</f>
        <v/>
      </c>
      <c r="W165" s="9" t="s">
        <v>1311</v>
      </c>
      <c r="X165" s="9" t="s">
        <v>1112</v>
      </c>
      <c r="Y165" s="0" t="str">
        <f aca="false">W165&amp;"|"&amp;X165</f>
        <v>1wpbb1hb0wgcwoh|CS2 · LGC vs DEN|K12</v>
      </c>
      <c r="Z165" s="11" t="n">
        <f aca="false">IFERROR(INDEX(CHOOSE(MATCH($X165,{"K1","K2","K3","K12","K13","H1","H2","H3","H12","H13"},0),Calc!$BA$2:$BA$124,Calc!$BB$2:$BB$124,Calc!$BC$2:$BC$124,Calc!$BD$2:$BD$124,Calc!$BE$2:$BE$124,Calc!$BF$2:$BF$124,Calc!$BG$2:$BG$124,Calc!$BH$2:$BH$124,Calc!$BI$2:$BI$124,Calc!$BJ$2:$BJ$124),MATCH($W165,Calc!$A$2:$A$124,0)),"")</f>
        <v>32.5510729022518</v>
      </c>
      <c r="AA165" s="11" t="n">
        <f aca="false">IF(Z165="","",IF(LEFT($X165,1)="H",SQRT(Z165*(IFERROR(INDEX(Calc!$AP$2:$AP$124,MATCH($W165,Calc!$A$2:$A$124,0)),0.5)*Config!$B$5+1-IFERROR(INDEX(Calc!$AP$2:$AP$124,MATCH($W165,Calc!$A$2:$A$124,0)),0.5))),SQRT(Z165*Config!$B$5)))</f>
        <v>6.75066678655912</v>
      </c>
      <c r="AB165" s="10" t="n">
        <f aca="false">IF(OR(F165="",Z165="",N(AA165)&lt;=0),"",1-NORMDIST(FLOOR(F165,1)+0.5,Z165,AA165,TRUE()))</f>
        <v>0.503018212328265</v>
      </c>
      <c r="AC165" s="10" t="n">
        <f aca="false">IF(AB165="","",NORMDIST(CEILING(F165,1)-0.5,Z165,AA165,TRUE()))</f>
        <v>0.496981787671736</v>
      </c>
      <c r="AD165" s="0" t="str">
        <f aca="false">IF(AB165="","",IF(AB165&gt;=0.5+Config!$B$6,"OVER",IF(AC165&gt;=0.5+Config!$B$6,"UNDER","—")))</f>
        <v>—</v>
      </c>
      <c r="AE165" s="13" t="n">
        <f aca="false">IFERROR(Z165/G165,"")</f>
        <v>1.02814082290168</v>
      </c>
    </row>
    <row r="166" customFormat="false" ht="15" hidden="false" customHeight="false" outlineLevel="0" collapsed="false">
      <c r="A166" s="0" t="s">
        <v>988</v>
      </c>
      <c r="B166" s="0" t="s">
        <v>1054</v>
      </c>
      <c r="C166" s="0" t="s">
        <v>1312</v>
      </c>
      <c r="D166" s="0" t="s">
        <v>1058</v>
      </c>
      <c r="E166" s="0" t="s">
        <v>1107</v>
      </c>
      <c r="F166" s="0" t="n">
        <v>14.5</v>
      </c>
      <c r="G166" s="11" t="n">
        <f aca="false">IFERROR(INDEX(CHOOSE(MATCH($X166,{"K1","K2","K3","K12","K13","H1","H2","H3","H12","H13"},0),Calc!$V$2:$V$124,Calc!$AC$2:$AC$124,Calc!$AJ$2:$AJ$124,Calc!$AL$2:$AL$124,Calc!$AM$2:$AM$124,Calc!$W$2:$W$124,Calc!$AD$2:$AD$124,Calc!$AK$2:$AK$124,Calc!$AN$2:$AN$124,Calc!$AO$2:$AO$124),MATCH($W166,Calc!$A$2:$A$124,0)),"")</f>
        <v>14.0992657692308</v>
      </c>
      <c r="H166" s="11" t="n">
        <f aca="false">IF(G166="","",IF(LEFT($X166,1)="H",SQRT(G166*(IFERROR(INDEX(Calc!$AP$2:$AP$124,MATCH($W166,Calc!$A$2:$A$124,0)),0.5)*Config!$B$5+1-IFERROR(INDEX(Calc!$AP$2:$AP$124,MATCH($W166,Calc!$A$2:$A$124,0)),0.5))),SQRT(G166*Config!$B$5)))</f>
        <v>4.12105432722233</v>
      </c>
      <c r="I166" s="10" t="n">
        <f aca="false">IF(OR(F166="",G166="",N(H166)&lt;=0),"",1-NORMDIST(FLOOR(F166,1)+0.5,G166,H166,TRUE()))</f>
        <v>0.461267621385218</v>
      </c>
      <c r="J166" s="10" t="n">
        <f aca="false">IF(I166="","",NORMDIST(CEILING(F166,1)-0.5,G166,H166,TRUE()))</f>
        <v>0.538732378614782</v>
      </c>
      <c r="K166" s="10" t="n">
        <f aca="false">IF(I166="","",MAX(0,1-I166-J166))</f>
        <v>0</v>
      </c>
      <c r="L166" s="0" t="str">
        <f aca="false">IF(I166="","",IF(I166&gt;=0.5+Config!$B$6,"OVER",IF(J166&gt;=0.5+Config!$B$6,"UNDER","—")))</f>
        <v>—</v>
      </c>
      <c r="N166" s="0" t="n">
        <v>14.9</v>
      </c>
      <c r="O166" s="10" t="n">
        <v>0.4</v>
      </c>
      <c r="P166" s="10" t="n">
        <v>0.5</v>
      </c>
      <c r="Q166" s="10" t="n">
        <v>0.6</v>
      </c>
      <c r="R166" s="9" t="s">
        <v>1108</v>
      </c>
      <c r="S166" s="0" t="n">
        <v>2</v>
      </c>
      <c r="T166" s="0" t="str">
        <f aca="false">INDEX(Calc!$G$2:$G$124,MATCH($W166,Calc!$A$2:$A$124,0))&amp;" / "&amp;INDEX(Calc!$H$2:$H$124,MATCH($W166,Calc!$A$2:$A$124,0))</f>
        <v>Mirage / Ancient</v>
      </c>
      <c r="U166" s="0" t="str">
        <f aca="false">TEXT(INDEX(Calc!$J$2:$J$124,MATCH($W166,Calc!$A$2:$A$124,0)),"0.0")&amp;" / "&amp;TEXT(INDEX(Calc!$K$2:$K$124,MATCH($W166,Calc!$A$2:$A$124,0)),"0.0")</f>
        <v>21.4 / 21.1</v>
      </c>
      <c r="V166" s="0" t="str">
        <f aca="false">IFERROR(INDEX(Calc!$AQ$2:$AQ$124,MATCH($W166,Calc!$A$2:$A$124,0)),"")</f>
        <v/>
      </c>
      <c r="W166" s="9" t="s">
        <v>1313</v>
      </c>
      <c r="X166" s="9" t="s">
        <v>1110</v>
      </c>
      <c r="Y166" s="0" t="str">
        <f aca="false">W166&amp;"|"&amp;X166</f>
        <v>wgxwl9snnyzsfwq|CS2 · LGC vs DEN|H12</v>
      </c>
      <c r="Z166" s="11" t="n">
        <f aca="false">IFERROR(INDEX(CHOOSE(MATCH($X166,{"K1","K2","K3","K12","K13","H1","H2","H3","H12","H13"},0),Calc!$BA$2:$BA$124,Calc!$BB$2:$BB$124,Calc!$BC$2:$BC$124,Calc!$BD$2:$BD$124,Calc!$BE$2:$BE$124,Calc!$BF$2:$BF$124,Calc!$BG$2:$BG$124,Calc!$BH$2:$BH$124,Calc!$BI$2:$BI$124,Calc!$BJ$2:$BJ$124),MATCH($W166,Calc!$A$2:$A$124,0)),"")</f>
        <v>14.4814393199992</v>
      </c>
      <c r="AA166" s="11" t="n">
        <f aca="false">IF(Z166="","",IF(LEFT($X166,1)="H",SQRT(Z166*(IFERROR(INDEX(Calc!$AP$2:$AP$124,MATCH($W166,Calc!$A$2:$A$124,0)),0.5)*Config!$B$5+1-IFERROR(INDEX(Calc!$AP$2:$AP$124,MATCH($W166,Calc!$A$2:$A$124,0)),0.5))),SQRT(Z166*Config!$B$5)))</f>
        <v>4.17653336994324</v>
      </c>
      <c r="AB166" s="10" t="n">
        <f aca="false">IF(OR(F166="",Z166="",N(AA166)&lt;=0),"",1-NORMDIST(FLOOR(F166,1)+0.5,Z166,AA166,TRUE()))</f>
        <v>0.498227090513466</v>
      </c>
      <c r="AC166" s="10" t="n">
        <f aca="false">IF(AB166="","",NORMDIST(CEILING(F166,1)-0.5,Z166,AA166,TRUE()))</f>
        <v>0.501772909486534</v>
      </c>
      <c r="AD166" s="0" t="str">
        <f aca="false">IF(AB166="","",IF(AB166&gt;=0.5+Config!$B$6,"OVER",IF(AC166&gt;=0.5+Config!$B$6,"UNDER","—")))</f>
        <v>—</v>
      </c>
      <c r="AE166" s="13" t="n">
        <f aca="false">IFERROR(Z166/G166,"")</f>
        <v>1.02710591863603</v>
      </c>
    </row>
    <row r="167" customFormat="false" ht="15" hidden="false" customHeight="false" outlineLevel="0" collapsed="false">
      <c r="A167" s="0" t="s">
        <v>988</v>
      </c>
      <c r="B167" s="0" t="s">
        <v>1054</v>
      </c>
      <c r="C167" s="0" t="s">
        <v>1312</v>
      </c>
      <c r="D167" s="0" t="s">
        <v>1058</v>
      </c>
      <c r="E167" s="0" t="s">
        <v>1111</v>
      </c>
      <c r="F167" s="0" t="n">
        <v>27.5</v>
      </c>
      <c r="G167" s="11" t="n">
        <f aca="false">IFERROR(INDEX(CHOOSE(MATCH($X167,{"K1","K2","K3","K12","K13","H1","H2","H3","H12","H13"},0),Calc!$V$2:$V$124,Calc!$AC$2:$AC$124,Calc!$AJ$2:$AJ$124,Calc!$AL$2:$AL$124,Calc!$AM$2:$AM$124,Calc!$W$2:$W$124,Calc!$AD$2:$AD$124,Calc!$AK$2:$AK$124,Calc!$AN$2:$AN$124,Calc!$AO$2:$AO$124),MATCH($W167,Calc!$A$2:$A$124,0)),"")</f>
        <v>27.5730230769231</v>
      </c>
      <c r="H167" s="11" t="n">
        <f aca="false">IF(G167="","",IF(LEFT($X167,1)="H",SQRT(G167*(IFERROR(INDEX(Calc!$AP$2:$AP$124,MATCH($W167,Calc!$A$2:$A$124,0)),0.5)*Config!$B$5+1-IFERROR(INDEX(Calc!$AP$2:$AP$124,MATCH($W167,Calc!$A$2:$A$124,0)),0.5))),SQRT(G167*Config!$B$5)))</f>
        <v>6.21306947552434</v>
      </c>
      <c r="I167" s="10" t="n">
        <f aca="false">IF(OR(F167="",G167="",N(H167)&lt;=0),"",1-NORMDIST(FLOOR(F167,1)+0.5,G167,H167,TRUE()))</f>
        <v>0.504688716625596</v>
      </c>
      <c r="J167" s="10" t="n">
        <f aca="false">IF(I167="","",NORMDIST(CEILING(F167,1)-0.5,G167,H167,TRUE()))</f>
        <v>0.495311283374404</v>
      </c>
      <c r="K167" s="10" t="n">
        <f aca="false">IF(I167="","",MAX(0,1-I167-J167))</f>
        <v>0</v>
      </c>
      <c r="L167" s="0" t="str">
        <f aca="false">IF(I167="","",IF(I167&gt;=0.5+Config!$B$6,"OVER",IF(J167&gt;=0.5+Config!$B$6,"UNDER","—")))</f>
        <v>—</v>
      </c>
      <c r="M167" s="0" t="n">
        <v>27.54</v>
      </c>
      <c r="N167" s="0" t="n">
        <v>29.9</v>
      </c>
      <c r="O167" s="10" t="n">
        <v>0.8</v>
      </c>
      <c r="P167" s="10" t="n">
        <v>0.7</v>
      </c>
      <c r="Q167" s="10" t="n">
        <v>0.67</v>
      </c>
      <c r="R167" s="9" t="s">
        <v>1108</v>
      </c>
      <c r="S167" s="0" t="n">
        <v>2</v>
      </c>
      <c r="T167" s="0" t="str">
        <f aca="false">INDEX(Calc!$G$2:$G$124,MATCH($W167,Calc!$A$2:$A$124,0))&amp;" / "&amp;INDEX(Calc!$H$2:$H$124,MATCH($W167,Calc!$A$2:$A$124,0))</f>
        <v>Mirage / Ancient</v>
      </c>
      <c r="U167" s="0" t="str">
        <f aca="false">TEXT(INDEX(Calc!$J$2:$J$124,MATCH($W167,Calc!$A$2:$A$124,0)),"0.0")&amp;" / "&amp;TEXT(INDEX(Calc!$K$2:$K$124,MATCH($W167,Calc!$A$2:$A$124,0)),"0.0")</f>
        <v>21.4 / 21.1</v>
      </c>
      <c r="V167" s="0" t="str">
        <f aca="false">IFERROR(INDEX(Calc!$AQ$2:$AQ$124,MATCH($W167,Calc!$A$2:$A$124,0)),"")</f>
        <v/>
      </c>
      <c r="W167" s="9" t="s">
        <v>1313</v>
      </c>
      <c r="X167" s="9" t="s">
        <v>1112</v>
      </c>
      <c r="Y167" s="0" t="str">
        <f aca="false">W167&amp;"|"&amp;X167</f>
        <v>wgxwl9snnyzsfwq|CS2 · LGC vs DEN|K12</v>
      </c>
      <c r="Z167" s="11" t="n">
        <f aca="false">IFERROR(INDEX(CHOOSE(MATCH($X167,{"K1","K2","K3","K12","K13","H1","H2","H3","H12","H13"},0),Calc!$BA$2:$BA$124,Calc!$BB$2:$BB$124,Calc!$BC$2:$BC$124,Calc!$BD$2:$BD$124,Calc!$BE$2:$BE$124,Calc!$BF$2:$BF$124,Calc!$BG$2:$BG$124,Calc!$BH$2:$BH$124,Calc!$BI$2:$BI$124,Calc!$BJ$2:$BJ$124),MATCH($W167,Calc!$A$2:$A$124,0)),"")</f>
        <v>28.3221593662803</v>
      </c>
      <c r="AA167" s="11" t="n">
        <f aca="false">IF(Z167="","",IF(LEFT($X167,1)="H",SQRT(Z167*(IFERROR(INDEX(Calc!$AP$2:$AP$124,MATCH($W167,Calc!$A$2:$A$124,0)),0.5)*Config!$B$5+1-IFERROR(INDEX(Calc!$AP$2:$AP$124,MATCH($W167,Calc!$A$2:$A$124,0)),0.5))),SQRT(Z167*Config!$B$5)))</f>
        <v>6.29690583642414</v>
      </c>
      <c r="AB167" s="10" t="n">
        <f aca="false">IF(OR(F167="",Z167="",N(AA167)&lt;=0),"",1-NORMDIST(FLOOR(F167,1)+0.5,Z167,AA167,TRUE()))</f>
        <v>0.551940526406067</v>
      </c>
      <c r="AC167" s="10" t="n">
        <f aca="false">IF(AB167="","",NORMDIST(CEILING(F167,1)-0.5,Z167,AA167,TRUE()))</f>
        <v>0.448059473593933</v>
      </c>
      <c r="AD167" s="0" t="str">
        <f aca="false">IF(AB167="","",IF(AB167&gt;=0.5+Config!$B$6,"OVER",IF(AC167&gt;=0.5+Config!$B$6,"UNDER","—")))</f>
        <v>OVER</v>
      </c>
      <c r="AE167" s="13" t="n">
        <f aca="false">IFERROR(Z167/G167,"")</f>
        <v>1.02716917500367</v>
      </c>
    </row>
    <row r="168" customFormat="false" ht="15" hidden="false" customHeight="false" outlineLevel="0" collapsed="false">
      <c r="A168" s="0" t="s">
        <v>988</v>
      </c>
      <c r="B168" s="0" t="s">
        <v>1054</v>
      </c>
      <c r="C168" s="0" t="s">
        <v>1314</v>
      </c>
      <c r="D168" s="0" t="s">
        <v>1058</v>
      </c>
      <c r="E168" s="0" t="s">
        <v>1107</v>
      </c>
      <c r="F168" s="0" t="n">
        <v>11</v>
      </c>
      <c r="G168" s="11" t="n">
        <f aca="false">IFERROR(INDEX(CHOOSE(MATCH($X168,{"K1","K2","K3","K12","K13","H1","H2","H3","H12","H13"},0),Calc!$V$2:$V$124,Calc!$AC$2:$AC$124,Calc!$AJ$2:$AJ$124,Calc!$AL$2:$AL$124,Calc!$AM$2:$AM$124,Calc!$W$2:$W$124,Calc!$AD$2:$AD$124,Calc!$AK$2:$AK$124,Calc!$AN$2:$AN$124,Calc!$AO$2:$AO$124),MATCH($W168,Calc!$A$2:$A$124,0)),"")</f>
        <v>9.10226436410256</v>
      </c>
      <c r="H168" s="11" t="n">
        <f aca="false">IF(G168="","",IF(LEFT($X168,1)="H",SQRT(G168*(IFERROR(INDEX(Calc!$AP$2:$AP$124,MATCH($W168,Calc!$A$2:$A$124,0)),0.5)*Config!$B$5+1-IFERROR(INDEX(Calc!$AP$2:$AP$124,MATCH($W168,Calc!$A$2:$A$124,0)),0.5))),SQRT(G168*Config!$B$5)))</f>
        <v>3.20066740903414</v>
      </c>
      <c r="I168" s="10" t="n">
        <f aca="false">IF(OR(F168="",G168="",N(H168)&lt;=0),"",1-NORMDIST(FLOOR(F168,1)+0.5,G168,H168,TRUE()))</f>
        <v>0.226887576494645</v>
      </c>
      <c r="J168" s="10" t="n">
        <f aca="false">IF(I168="","",NORMDIST(CEILING(F168,1)-0.5,G168,H168,TRUE()))</f>
        <v>0.668836008816093</v>
      </c>
      <c r="K168" s="10" t="n">
        <f aca="false">IF(I168="","",MAX(0,1-I168-J168))</f>
        <v>0.104276414689261</v>
      </c>
      <c r="L168" s="0" t="str">
        <f aca="false">IF(I168="","",IF(I168&gt;=0.5+Config!$B$6,"OVER",IF(J168&gt;=0.5+Config!$B$6,"UNDER","—")))</f>
        <v>UNDER</v>
      </c>
      <c r="N168" s="0" t="n">
        <v>10.6</v>
      </c>
      <c r="O168" s="10" t="n">
        <v>0.8</v>
      </c>
      <c r="P168" s="10" t="n">
        <v>0.6</v>
      </c>
      <c r="Q168" s="10" t="n">
        <v>0.53</v>
      </c>
      <c r="R168" s="9" t="s">
        <v>1108</v>
      </c>
      <c r="S168" s="0" t="n">
        <v>2</v>
      </c>
      <c r="T168" s="0" t="str">
        <f aca="false">INDEX(Calc!$G$2:$G$124,MATCH($W168,Calc!$A$2:$A$124,0))&amp;" / "&amp;INDEX(Calc!$H$2:$H$124,MATCH($W168,Calc!$A$2:$A$124,0))</f>
        <v>Mirage / Ancient</v>
      </c>
      <c r="U168" s="0" t="str">
        <f aca="false">TEXT(INDEX(Calc!$J$2:$J$124,MATCH($W168,Calc!$A$2:$A$124,0)),"0.0")&amp;" / "&amp;TEXT(INDEX(Calc!$K$2:$K$124,MATCH($W168,Calc!$A$2:$A$124,0)),"0.0")</f>
        <v>21.4 / 21.1</v>
      </c>
      <c r="V168" s="0" t="str">
        <f aca="false">IFERROR(INDEX(Calc!$AQ$2:$AQ$124,MATCH($W168,Calc!$A$2:$A$124,0)),"")</f>
        <v/>
      </c>
      <c r="W168" s="9" t="s">
        <v>1315</v>
      </c>
      <c r="X168" s="9" t="s">
        <v>1110</v>
      </c>
      <c r="Y168" s="0" t="str">
        <f aca="false">W168&amp;"|"&amp;X168</f>
        <v>qtomd625i03qfpk|CS2 · LGC vs DEN|H12</v>
      </c>
      <c r="Z168" s="11" t="n">
        <f aca="false">IFERROR(INDEX(CHOOSE(MATCH($X168,{"K1","K2","K3","K12","K13","H1","H2","H3","H12","H13"},0),Calc!$BA$2:$BA$124,Calc!$BB$2:$BB$124,Calc!$BC$2:$BC$124,Calc!$BD$2:$BD$124,Calc!$BE$2:$BE$124,Calc!$BF$2:$BF$124,Calc!$BG$2:$BG$124,Calc!$BH$2:$BH$124,Calc!$BI$2:$BI$124,Calc!$BJ$2:$BJ$124),MATCH($W168,Calc!$A$2:$A$124,0)),"")</f>
        <v>9.35548348021796</v>
      </c>
      <c r="AA168" s="11" t="n">
        <f aca="false">IF(Z168="","",IF(LEFT($X168,1)="H",SQRT(Z168*(IFERROR(INDEX(Calc!$AP$2:$AP$124,MATCH($W168,Calc!$A$2:$A$124,0)),0.5)*Config!$B$5+1-IFERROR(INDEX(Calc!$AP$2:$AP$124,MATCH($W168,Calc!$A$2:$A$124,0)),0.5))),SQRT(Z168*Config!$B$5)))</f>
        <v>3.24488226141644</v>
      </c>
      <c r="AB168" s="10" t="n">
        <f aca="false">IF(OR(F168="",Z168="",N(AA168)&lt;=0),"",1-NORMDIST(FLOOR(F168,1)+0.5,Z168,AA168,TRUE()))</f>
        <v>0.254340808957581</v>
      </c>
      <c r="AC168" s="10" t="n">
        <f aca="false">IF(AB168="","",NORMDIST(CEILING(F168,1)-0.5,Z168,AA168,TRUE()))</f>
        <v>0.637848697834015</v>
      </c>
      <c r="AD168" s="0" t="str">
        <f aca="false">IF(AB168="","",IF(AB168&gt;=0.5+Config!$B$6,"OVER",IF(AC168&gt;=0.5+Config!$B$6,"UNDER","—")))</f>
        <v>UNDER</v>
      </c>
      <c r="AE168" s="13" t="n">
        <f aca="false">IFERROR(Z168/G168,"")</f>
        <v>1.02781935417236</v>
      </c>
    </row>
    <row r="169" customFormat="false" ht="15" hidden="false" customHeight="false" outlineLevel="0" collapsed="false">
      <c r="A169" s="0" t="s">
        <v>988</v>
      </c>
      <c r="B169" s="0" t="s">
        <v>1054</v>
      </c>
      <c r="C169" s="0" t="s">
        <v>1314</v>
      </c>
      <c r="D169" s="0" t="s">
        <v>1058</v>
      </c>
      <c r="E169" s="0" t="s">
        <v>1111</v>
      </c>
      <c r="F169" s="0" t="n">
        <v>32</v>
      </c>
      <c r="G169" s="11" t="n">
        <f aca="false">IFERROR(INDEX(CHOOSE(MATCH($X169,{"K1","K2","K3","K12","K13","H1","H2","H3","H12","H13"},0),Calc!$V$2:$V$124,Calc!$AC$2:$AC$124,Calc!$AJ$2:$AJ$124,Calc!$AL$2:$AL$124,Calc!$AM$2:$AM$124,Calc!$W$2:$W$124,Calc!$AD$2:$AD$124,Calc!$AK$2:$AK$124,Calc!$AN$2:$AN$124,Calc!$AO$2:$AO$124),MATCH($W169,Calc!$A$2:$A$124,0)),"")</f>
        <v>29.0195</v>
      </c>
      <c r="H169" s="11" t="n">
        <f aca="false">IF(G169="","",IF(LEFT($X169,1)="H",SQRT(G169*(IFERROR(INDEX(Calc!$AP$2:$AP$124,MATCH($W169,Calc!$A$2:$A$124,0)),0.5)*Config!$B$5+1-IFERROR(INDEX(Calc!$AP$2:$AP$124,MATCH($W169,Calc!$A$2:$A$124,0)),0.5))),SQRT(G169*Config!$B$5)))</f>
        <v>6.37395481628165</v>
      </c>
      <c r="I169" s="10" t="n">
        <f aca="false">IF(OR(F169="",G169="",N(H169)&lt;=0),"",1-NORMDIST(FLOOR(F169,1)+0.5,G169,H169,TRUE()))</f>
        <v>0.292515677656434</v>
      </c>
      <c r="J169" s="10" t="n">
        <f aca="false">IF(I169="","",NORMDIST(CEILING(F169,1)-0.5,G169,H169,TRUE()))</f>
        <v>0.651421785868381</v>
      </c>
      <c r="K169" s="10" t="n">
        <f aca="false">IF(I169="","",MAX(0,1-I169-J169))</f>
        <v>0.0560625364751842</v>
      </c>
      <c r="L169" s="0" t="str">
        <f aca="false">IF(I169="","",IF(I169&gt;=0.5+Config!$B$6,"OVER",IF(J169&gt;=0.5+Config!$B$6,"UNDER","—")))</f>
        <v>UNDER</v>
      </c>
      <c r="M169" s="0" t="n">
        <v>31.24</v>
      </c>
      <c r="N169" s="0" t="n">
        <v>33.6</v>
      </c>
      <c r="O169" s="10" t="n">
        <v>0.6</v>
      </c>
      <c r="P169" s="10" t="n">
        <v>0.4</v>
      </c>
      <c r="Q169" s="10" t="n">
        <v>0.47</v>
      </c>
      <c r="R169" s="9" t="s">
        <v>1108</v>
      </c>
      <c r="S169" s="0" t="n">
        <v>2</v>
      </c>
      <c r="T169" s="0" t="str">
        <f aca="false">INDEX(Calc!$G$2:$G$124,MATCH($W169,Calc!$A$2:$A$124,0))&amp;" / "&amp;INDEX(Calc!$H$2:$H$124,MATCH($W169,Calc!$A$2:$A$124,0))</f>
        <v>Mirage / Ancient</v>
      </c>
      <c r="U169" s="0" t="str">
        <f aca="false">TEXT(INDEX(Calc!$J$2:$J$124,MATCH($W169,Calc!$A$2:$A$124,0)),"0.0")&amp;" / "&amp;TEXT(INDEX(Calc!$K$2:$K$124,MATCH($W169,Calc!$A$2:$A$124,0)),"0.0")</f>
        <v>21.4 / 21.1</v>
      </c>
      <c r="V169" s="0" t="str">
        <f aca="false">IFERROR(INDEX(Calc!$AQ$2:$AQ$124,MATCH($W169,Calc!$A$2:$A$124,0)),"")</f>
        <v/>
      </c>
      <c r="W169" s="9" t="s">
        <v>1315</v>
      </c>
      <c r="X169" s="9" t="s">
        <v>1112</v>
      </c>
      <c r="Y169" s="0" t="str">
        <f aca="false">W169&amp;"|"&amp;X169</f>
        <v>qtomd625i03qfpk|CS2 · LGC vs DEN|K12</v>
      </c>
      <c r="Z169" s="11" t="n">
        <f aca="false">IFERROR(INDEX(CHOOSE(MATCH($X169,{"K1","K2","K3","K12","K13","H1","H2","H3","H12","H13"},0),Calc!$BA$2:$BA$124,Calc!$BB$2:$BB$124,Calc!$BC$2:$BC$124,Calc!$BD$2:$BD$124,Calc!$BE$2:$BE$124,Calc!$BF$2:$BF$124,Calc!$BG$2:$BG$124,Calc!$BH$2:$BH$124,Calc!$BI$2:$BI$124,Calc!$BJ$2:$BJ$124),MATCH($W169,Calc!$A$2:$A$124,0)),"")</f>
        <v>29.8156387062383</v>
      </c>
      <c r="AA169" s="11" t="n">
        <f aca="false">IF(Z169="","",IF(LEFT($X169,1)="H",SQRT(Z169*(IFERROR(INDEX(Calc!$AP$2:$AP$124,MATCH($W169,Calc!$A$2:$A$124,0)),0.5)*Config!$B$5+1-IFERROR(INDEX(Calc!$AP$2:$AP$124,MATCH($W169,Calc!$A$2:$A$124,0)),0.5))),SQRT(Z169*Config!$B$5)))</f>
        <v>6.46079671470428</v>
      </c>
      <c r="AB169" s="10" t="n">
        <f aca="false">IF(OR(F169="",Z169="",N(AA169)&lt;=0),"",1-NORMDIST(FLOOR(F169,1)+0.5,Z169,AA169,TRUE()))</f>
        <v>0.338893607099066</v>
      </c>
      <c r="AC169" s="10" t="n">
        <f aca="false">IF(AB169="","",NORMDIST(CEILING(F169,1)-0.5,Z169,AA169,TRUE()))</f>
        <v>0.602839952435906</v>
      </c>
      <c r="AD169" s="0" t="str">
        <f aca="false">IF(AB169="","",IF(AB169&gt;=0.5+Config!$B$6,"OVER",IF(AC169&gt;=0.5+Config!$B$6,"UNDER","—")))</f>
        <v>UNDER</v>
      </c>
      <c r="AE169" s="13" t="n">
        <f aca="false">IFERROR(Z169/G169,"")</f>
        <v>1.02743461142467</v>
      </c>
    </row>
    <row r="170" customFormat="false" ht="15" hidden="false" customHeight="false" outlineLevel="0" collapsed="false">
      <c r="A170" s="0" t="s">
        <v>988</v>
      </c>
      <c r="B170" s="0" t="s">
        <v>1034</v>
      </c>
      <c r="C170" s="0" t="s">
        <v>1316</v>
      </c>
      <c r="D170" s="0" t="s">
        <v>1040</v>
      </c>
      <c r="E170" s="0" t="s">
        <v>1111</v>
      </c>
      <c r="F170" s="0" t="n">
        <v>29</v>
      </c>
      <c r="G170" s="11" t="n">
        <f aca="false">IFERROR(INDEX(CHOOSE(MATCH($X170,{"K1","K2","K3","K12","K13","H1","H2","H3","H12","H13"},0),Calc!$V$2:$V$124,Calc!$AC$2:$AC$124,Calc!$AJ$2:$AJ$124,Calc!$AL$2:$AL$124,Calc!$AM$2:$AM$124,Calc!$W$2:$W$124,Calc!$AD$2:$AD$124,Calc!$AK$2:$AK$124,Calc!$AN$2:$AN$124,Calc!$AO$2:$AO$124),MATCH($W170,Calc!$A$2:$A$124,0)),"")</f>
        <v>30.5504727272727</v>
      </c>
      <c r="H170" s="11" t="n">
        <f aca="false">IF(G170="","",IF(LEFT($X170,1)="H",SQRT(G170*(IFERROR(INDEX(Calc!$AP$2:$AP$124,MATCH($W170,Calc!$A$2:$A$124,0)),0.5)*Config!$B$5+1-IFERROR(INDEX(Calc!$AP$2:$AP$124,MATCH($W170,Calc!$A$2:$A$124,0)),0.5))),SQRT(G170*Config!$B$5)))</f>
        <v>6.53992827316797</v>
      </c>
      <c r="I170" s="10" t="n">
        <f aca="false">IF(OR(F170="",G170="",N(H170)&lt;=0),"",1-NORMDIST(FLOOR(F170,1)+0.5,G170,H170,TRUE()))</f>
        <v>0.563805422484533</v>
      </c>
      <c r="J170" s="10" t="n">
        <f aca="false">IF(I170="","",NORMDIST(CEILING(F170,1)-0.5,G170,H170,TRUE()))</f>
        <v>0.376938492453151</v>
      </c>
      <c r="K170" s="10" t="n">
        <f aca="false">IF(I170="","",MAX(0,1-I170-J170))</f>
        <v>0.0592560850623159</v>
      </c>
      <c r="L170" s="0" t="str">
        <f aca="false">IF(I170="","",IF(I170&gt;=0.5+Config!$B$6,"OVER",IF(J170&gt;=0.5+Config!$B$6,"UNDER","—")))</f>
        <v>OVER</v>
      </c>
      <c r="M170" s="0" t="n">
        <v>27.69</v>
      </c>
      <c r="N170" s="0" t="n">
        <v>28.9</v>
      </c>
      <c r="O170" s="10" t="n">
        <v>0.4</v>
      </c>
      <c r="P170" s="10" t="n">
        <v>0.5</v>
      </c>
      <c r="Q170" s="10" t="n">
        <v>0.53</v>
      </c>
      <c r="R170" s="9" t="s">
        <v>1173</v>
      </c>
      <c r="S170" s="0" t="n">
        <v>1</v>
      </c>
      <c r="T170" s="0" t="str">
        <f aca="false">INDEX(Calc!$G$2:$G$124,MATCH($W170,Calc!$A$2:$A$124,0))&amp;" / "&amp;INDEX(Calc!$H$2:$H$124,MATCH($W170,Calc!$A$2:$A$124,0))</f>
        <v>Mirage / Dust2</v>
      </c>
      <c r="U170" s="0" t="str">
        <f aca="false">TEXT(INDEX(Calc!$J$2:$J$124,MATCH($W170,Calc!$A$2:$A$124,0)),"0.0")&amp;" / "&amp;TEXT(INDEX(Calc!$K$2:$K$124,MATCH($W170,Calc!$A$2:$A$124,0)),"0.0")</f>
        <v>21.3 / 21.1</v>
      </c>
      <c r="V170" s="0" t="str">
        <f aca="false">IFERROR(INDEX(Calc!$AQ$2:$AQ$124,MATCH($W170,Calc!$A$2:$A$124,0)),"")</f>
        <v/>
      </c>
      <c r="W170" s="9" t="s">
        <v>1317</v>
      </c>
      <c r="X170" s="9" t="s">
        <v>1112</v>
      </c>
      <c r="Y170" s="0" t="str">
        <f aca="false">W170&amp;"|"&amp;X170</f>
        <v>id2uf5ot80ms5oo|CS2 · MOUZ vs 9z|K12</v>
      </c>
      <c r="Z170" s="11" t="n">
        <f aca="false">IFERROR(INDEX(CHOOSE(MATCH($X170,{"K1","K2","K3","K12","K13","H1","H2","H3","H12","H13"},0),Calc!$BA$2:$BA$124,Calc!$BB$2:$BB$124,Calc!$BC$2:$BC$124,Calc!$BD$2:$BD$124,Calc!$BE$2:$BE$124,Calc!$BF$2:$BF$124,Calc!$BG$2:$BG$124,Calc!$BH$2:$BH$124,Calc!$BI$2:$BI$124,Calc!$BJ$2:$BJ$124),MATCH($W170,Calc!$A$2:$A$124,0)),"")</f>
        <v>30.3019278388958</v>
      </c>
      <c r="AA170" s="11" t="n">
        <f aca="false">IF(Z170="","",IF(LEFT($X170,1)="H",SQRT(Z170*(IFERROR(INDEX(Calc!$AP$2:$AP$124,MATCH($W170,Calc!$A$2:$A$124,0)),0.5)*Config!$B$5+1-IFERROR(INDEX(Calc!$AP$2:$AP$124,MATCH($W170,Calc!$A$2:$A$124,0)),0.5))),SQRT(Z170*Config!$B$5)))</f>
        <v>6.51327098886988</v>
      </c>
      <c r="AB170" s="10" t="n">
        <f aca="false">IF(OR(F170="",Z170="",N(AA170)&lt;=0),"",1-NORMDIST(FLOOR(F170,1)+0.5,Z170,AA170,TRUE()))</f>
        <v>0.548994808821967</v>
      </c>
      <c r="AC170" s="10" t="n">
        <f aca="false">IF(AB170="","",NORMDIST(CEILING(F170,1)-0.5,Z170,AA170,TRUE()))</f>
        <v>0.391022581778841</v>
      </c>
      <c r="AD170" s="0" t="str">
        <f aca="false">IF(AB170="","",IF(AB170&gt;=0.5+Config!$B$6,"OVER",IF(AC170&gt;=0.5+Config!$B$6,"UNDER","—")))</f>
        <v>OVER</v>
      </c>
      <c r="AE170" s="13" t="n">
        <f aca="false">IFERROR(Z170/G170,"")</f>
        <v>0.991864450327963</v>
      </c>
    </row>
    <row r="171" customFormat="false" ht="15" hidden="false" customHeight="false" outlineLevel="0" collapsed="false">
      <c r="A171" s="0" t="s">
        <v>988</v>
      </c>
      <c r="B171" s="0" t="s">
        <v>1034</v>
      </c>
      <c r="C171" s="0" t="s">
        <v>1318</v>
      </c>
      <c r="D171" s="0" t="s">
        <v>1040</v>
      </c>
      <c r="E171" s="0" t="s">
        <v>1107</v>
      </c>
      <c r="F171" s="0" t="n">
        <v>17</v>
      </c>
      <c r="G171" s="11" t="n">
        <f aca="false">IFERROR(INDEX(CHOOSE(MATCH($X171,{"K1","K2","K3","K12","K13","H1","H2","H3","H12","H13"},0),Calc!$V$2:$V$124,Calc!$AC$2:$AC$124,Calc!$AJ$2:$AJ$124,Calc!$AL$2:$AL$124,Calc!$AM$2:$AM$124,Calc!$W$2:$W$124,Calc!$AD$2:$AD$124,Calc!$AK$2:$AK$124,Calc!$AN$2:$AN$124,Calc!$AO$2:$AO$124),MATCH($W171,Calc!$A$2:$A$124,0)),"")</f>
        <v>17.9773818743802</v>
      </c>
      <c r="H171" s="11" t="n">
        <f aca="false">IF(G171="","",IF(LEFT($X171,1)="H",SQRT(G171*(IFERROR(INDEX(Calc!$AP$2:$AP$124,MATCH($W171,Calc!$A$2:$A$124,0)),0.5)*Config!$B$5+1-IFERROR(INDEX(Calc!$AP$2:$AP$124,MATCH($W171,Calc!$A$2:$A$124,0)),0.5))),SQRT(G171*Config!$B$5)))</f>
        <v>4.74176078675868</v>
      </c>
      <c r="I171" s="10" t="n">
        <f aca="false">IF(OR(F171="",G171="",N(H171)&lt;=0),"",1-NORMDIST(FLOOR(F171,1)+0.5,G171,H171,TRUE()))</f>
        <v>0.540096198697125</v>
      </c>
      <c r="J171" s="10" t="n">
        <f aca="false">IF(I171="","",NORMDIST(CEILING(F171,1)-0.5,G171,H171,TRUE()))</f>
        <v>0.37768435226775</v>
      </c>
      <c r="K171" s="10" t="n">
        <f aca="false">IF(I171="","",MAX(0,1-I171-J171))</f>
        <v>0.0822194490351248</v>
      </c>
      <c r="L171" s="0" t="str">
        <f aca="false">IF(I171="","",IF(I171&gt;=0.5+Config!$B$6,"OVER",IF(J171&gt;=0.5+Config!$B$6,"UNDER","—")))</f>
        <v>OVER</v>
      </c>
      <c r="N171" s="0" t="n">
        <v>17.6</v>
      </c>
      <c r="O171" s="10" t="n">
        <v>0.4</v>
      </c>
      <c r="P171" s="10" t="n">
        <v>0.5</v>
      </c>
      <c r="Q171" s="10" t="n">
        <v>0.4</v>
      </c>
      <c r="R171" s="9" t="s">
        <v>1224</v>
      </c>
      <c r="S171" s="0" t="n">
        <v>-1</v>
      </c>
      <c r="T171" s="0" t="str">
        <f aca="false">INDEX(Calc!$G$2:$G$124,MATCH($W171,Calc!$A$2:$A$124,0))&amp;" / "&amp;INDEX(Calc!$H$2:$H$124,MATCH($W171,Calc!$A$2:$A$124,0))</f>
        <v>Mirage / Dust2</v>
      </c>
      <c r="U171" s="0" t="str">
        <f aca="false">TEXT(INDEX(Calc!$J$2:$J$124,MATCH($W171,Calc!$A$2:$A$124,0)),"0.0")&amp;" / "&amp;TEXT(INDEX(Calc!$K$2:$K$124,MATCH($W171,Calc!$A$2:$A$124,0)),"0.0")</f>
        <v>21.3 / 21.1</v>
      </c>
      <c r="V171" s="0" t="str">
        <f aca="false">IFERROR(INDEX(Calc!$AQ$2:$AQ$124,MATCH($W171,Calc!$A$2:$A$124,0)),"")</f>
        <v/>
      </c>
      <c r="W171" s="9" t="s">
        <v>1319</v>
      </c>
      <c r="X171" s="9" t="s">
        <v>1110</v>
      </c>
      <c r="Y171" s="0" t="str">
        <f aca="false">W171&amp;"|"&amp;X171</f>
        <v>fg52qcdy7yej5d9|CS2 · MOUZ vs 9z|H12</v>
      </c>
      <c r="Z171" s="11" t="n">
        <f aca="false">IFERROR(INDEX(CHOOSE(MATCH($X171,{"K1","K2","K3","K12","K13","H1","H2","H3","H12","H13"},0),Calc!$BA$2:$BA$124,Calc!$BB$2:$BB$124,Calc!$BC$2:$BC$124,Calc!$BD$2:$BD$124,Calc!$BE$2:$BE$124,Calc!$BF$2:$BF$124,Calc!$BG$2:$BG$124,Calc!$BH$2:$BH$124,Calc!$BI$2:$BI$124,Calc!$BJ$2:$BJ$124),MATCH($W171,Calc!$A$2:$A$124,0)),"")</f>
        <v>17.7546555917401</v>
      </c>
      <c r="AA171" s="11" t="n">
        <f aca="false">IF(Z171="","",IF(LEFT($X171,1)="H",SQRT(Z171*(IFERROR(INDEX(Calc!$AP$2:$AP$124,MATCH($W171,Calc!$A$2:$A$124,0)),0.5)*Config!$B$5+1-IFERROR(INDEX(Calc!$AP$2:$AP$124,MATCH($W171,Calc!$A$2:$A$124,0)),0.5))),SQRT(Z171*Config!$B$5)))</f>
        <v>4.71229580960795</v>
      </c>
      <c r="AB171" s="10" t="n">
        <f aca="false">IF(OR(F171="",Z171="",N(AA171)&lt;=0),"",1-NORMDIST(FLOOR(F171,1)+0.5,Z171,AA171,TRUE()))</f>
        <v>0.521548616579561</v>
      </c>
      <c r="AC171" s="10" t="n">
        <f aca="false">IF(AB171="","",NORMDIST(CEILING(F171,1)-0.5,Z171,AA171,TRUE()))</f>
        <v>0.395022780613578</v>
      </c>
      <c r="AD171" s="0" t="str">
        <f aca="false">IF(AB171="","",IF(AB171&gt;=0.5+Config!$B$6,"OVER",IF(AC171&gt;=0.5+Config!$B$6,"UNDER","—")))</f>
        <v>—</v>
      </c>
      <c r="AE171" s="13" t="n">
        <f aca="false">IFERROR(Z171/G171,"")</f>
        <v>0.987610749763433</v>
      </c>
    </row>
    <row r="172" customFormat="false" ht="15" hidden="false" customHeight="false" outlineLevel="0" collapsed="false">
      <c r="A172" s="0" t="s">
        <v>988</v>
      </c>
      <c r="B172" s="0" t="s">
        <v>1034</v>
      </c>
      <c r="C172" s="0" t="s">
        <v>1318</v>
      </c>
      <c r="D172" s="0" t="s">
        <v>1040</v>
      </c>
      <c r="E172" s="0" t="s">
        <v>1111</v>
      </c>
      <c r="F172" s="0" t="n">
        <v>27.5</v>
      </c>
      <c r="G172" s="11" t="n">
        <f aca="false">IFERROR(INDEX(CHOOSE(MATCH($X172,{"K1","K2","K3","K12","K13","H1","H2","H3","H12","H13"},0),Calc!$V$2:$V$124,Calc!$AC$2:$AC$124,Calc!$AJ$2:$AJ$124,Calc!$AL$2:$AL$124,Calc!$AM$2:$AM$124,Calc!$W$2:$W$124,Calc!$AD$2:$AD$124,Calc!$AK$2:$AK$124,Calc!$AN$2:$AN$124,Calc!$AO$2:$AO$124),MATCH($W172,Calc!$A$2:$A$124,0)),"")</f>
        <v>28.6836</v>
      </c>
      <c r="H172" s="11" t="n">
        <f aca="false">IF(G172="","",IF(LEFT($X172,1)="H",SQRT(G172*(IFERROR(INDEX(Calc!$AP$2:$AP$124,MATCH($W172,Calc!$A$2:$A$124,0)),0.5)*Config!$B$5+1-IFERROR(INDEX(Calc!$AP$2:$AP$124,MATCH($W172,Calc!$A$2:$A$124,0)),0.5))),SQRT(G172*Config!$B$5)))</f>
        <v>6.33695826086933</v>
      </c>
      <c r="I172" s="10" t="n">
        <f aca="false">IF(OR(F172="",G172="",N(H172)&lt;=0),"",1-NORMDIST(FLOOR(F172,1)+0.5,G172,H172,TRUE()))</f>
        <v>0.574082379998464</v>
      </c>
      <c r="J172" s="10" t="n">
        <f aca="false">IF(I172="","",NORMDIST(CEILING(F172,1)-0.5,G172,H172,TRUE()))</f>
        <v>0.425917620001536</v>
      </c>
      <c r="K172" s="10" t="n">
        <f aca="false">IF(I172="","",MAX(0,1-I172-J172))</f>
        <v>0</v>
      </c>
      <c r="L172" s="0" t="str">
        <f aca="false">IF(I172="","",IF(I172&gt;=0.5+Config!$B$6,"OVER",IF(J172&gt;=0.5+Config!$B$6,"UNDER","—")))</f>
        <v>OVER</v>
      </c>
      <c r="M172" s="0" t="n">
        <v>28.14</v>
      </c>
      <c r="N172" s="0" t="n">
        <v>28.6</v>
      </c>
      <c r="O172" s="10" t="n">
        <v>0.8</v>
      </c>
      <c r="P172" s="10" t="n">
        <v>0.8</v>
      </c>
      <c r="Q172" s="10" t="n">
        <v>0.6</v>
      </c>
      <c r="R172" s="9" t="s">
        <v>1224</v>
      </c>
      <c r="S172" s="0" t="n">
        <v>4</v>
      </c>
      <c r="T172" s="0" t="str">
        <f aca="false">INDEX(Calc!$G$2:$G$124,MATCH($W172,Calc!$A$2:$A$124,0))&amp;" / "&amp;INDEX(Calc!$H$2:$H$124,MATCH($W172,Calc!$A$2:$A$124,0))</f>
        <v>Mirage / Dust2</v>
      </c>
      <c r="U172" s="0" t="str">
        <f aca="false">TEXT(INDEX(Calc!$J$2:$J$124,MATCH($W172,Calc!$A$2:$A$124,0)),"0.0")&amp;" / "&amp;TEXT(INDEX(Calc!$K$2:$K$124,MATCH($W172,Calc!$A$2:$A$124,0)),"0.0")</f>
        <v>21.3 / 21.1</v>
      </c>
      <c r="V172" s="0" t="str">
        <f aca="false">IFERROR(INDEX(Calc!$AQ$2:$AQ$124,MATCH($W172,Calc!$A$2:$A$124,0)),"")</f>
        <v/>
      </c>
      <c r="W172" s="9" t="s">
        <v>1319</v>
      </c>
      <c r="X172" s="9" t="s">
        <v>1112</v>
      </c>
      <c r="Y172" s="0" t="str">
        <f aca="false">W172&amp;"|"&amp;X172</f>
        <v>fg52qcdy7yej5d9|CS2 · MOUZ vs 9z|K12</v>
      </c>
      <c r="Z172" s="11" t="n">
        <f aca="false">IFERROR(INDEX(CHOOSE(MATCH($X172,{"K1","K2","K3","K12","K13","H1","H2","H3","H12","H13"},0),Calc!$BA$2:$BA$124,Calc!$BB$2:$BB$124,Calc!$BC$2:$BC$124,Calc!$BD$2:$BD$124,Calc!$BE$2:$BE$124,Calc!$BF$2:$BF$124,Calc!$BG$2:$BG$124,Calc!$BH$2:$BH$124,Calc!$BI$2:$BI$124,Calc!$BJ$2:$BJ$124),MATCH($W172,Calc!$A$2:$A$124,0)),"")</f>
        <v>28.3513806256845</v>
      </c>
      <c r="AA172" s="11" t="n">
        <f aca="false">IF(Z172="","",IF(LEFT($X172,1)="H",SQRT(Z172*(IFERROR(INDEX(Calc!$AP$2:$AP$124,MATCH($W172,Calc!$A$2:$A$124,0)),0.5)*Config!$B$5+1-IFERROR(INDEX(Calc!$AP$2:$AP$124,MATCH($W172,Calc!$A$2:$A$124,0)),0.5))),SQRT(Z172*Config!$B$5)))</f>
        <v>6.30015340098623</v>
      </c>
      <c r="AB172" s="10" t="n">
        <f aca="false">IF(OR(F172="",Z172="",N(AA172)&lt;=0),"",1-NORMDIST(FLOOR(F172,1)+0.5,Z172,AA172,TRUE()))</f>
        <v>0.553748020572858</v>
      </c>
      <c r="AC172" s="10" t="n">
        <f aca="false">IF(AB172="","",NORMDIST(CEILING(F172,1)-0.5,Z172,AA172,TRUE()))</f>
        <v>0.446251979427142</v>
      </c>
      <c r="AD172" s="0" t="str">
        <f aca="false">IF(AB172="","",IF(AB172&gt;=0.5+Config!$B$6,"OVER",IF(AC172&gt;=0.5+Config!$B$6,"UNDER","—")))</f>
        <v>OVER</v>
      </c>
      <c r="AE172" s="13" t="n">
        <f aca="false">IFERROR(Z172/G172,"")</f>
        <v>0.988417793641124</v>
      </c>
    </row>
    <row r="173" customFormat="false" ht="15" hidden="false" customHeight="false" outlineLevel="0" collapsed="false">
      <c r="A173" s="0" t="s">
        <v>988</v>
      </c>
      <c r="B173" s="0" t="s">
        <v>1034</v>
      </c>
      <c r="C173" s="0" t="s">
        <v>1320</v>
      </c>
      <c r="D173" s="0" t="s">
        <v>1040</v>
      </c>
      <c r="E173" s="0" t="s">
        <v>1107</v>
      </c>
      <c r="F173" s="0" t="n">
        <v>16.5</v>
      </c>
      <c r="G173" s="11" t="n">
        <f aca="false">IFERROR(INDEX(CHOOSE(MATCH($X173,{"K1","K2","K3","K12","K13","H1","H2","H3","H12","H13"},0),Calc!$V$2:$V$124,Calc!$AC$2:$AC$124,Calc!$AJ$2:$AJ$124,Calc!$AL$2:$AL$124,Calc!$AM$2:$AM$124,Calc!$W$2:$W$124,Calc!$AD$2:$AD$124,Calc!$AK$2:$AK$124,Calc!$AN$2:$AN$124,Calc!$AO$2:$AO$124),MATCH($W173,Calc!$A$2:$A$124,0)),"")</f>
        <v>16.1629242842975</v>
      </c>
      <c r="H173" s="11" t="n">
        <f aca="false">IF(G173="","",IF(LEFT($X173,1)="H",SQRT(G173*(IFERROR(INDEX(Calc!$AP$2:$AP$124,MATCH($W173,Calc!$A$2:$A$124,0)),0.5)*Config!$B$5+1-IFERROR(INDEX(Calc!$AP$2:$AP$124,MATCH($W173,Calc!$A$2:$A$124,0)),0.5))),SQRT(G173*Config!$B$5)))</f>
        <v>4.46007098231172</v>
      </c>
      <c r="I173" s="10" t="n">
        <f aca="false">IF(OR(F173="",G173="",N(H173)&lt;=0),"",1-NORMDIST(FLOOR(F173,1)+0.5,G173,H173,TRUE()))</f>
        <v>0.469878091454786</v>
      </c>
      <c r="J173" s="10" t="n">
        <f aca="false">IF(I173="","",NORMDIST(CEILING(F173,1)-0.5,G173,H173,TRUE()))</f>
        <v>0.530121908545214</v>
      </c>
      <c r="K173" s="10" t="n">
        <f aca="false">IF(I173="","",MAX(0,1-I173-J173))</f>
        <v>0</v>
      </c>
      <c r="L173" s="0" t="str">
        <f aca="false">IF(I173="","",IF(I173&gt;=0.5+Config!$B$6,"OVER",IF(J173&gt;=0.5+Config!$B$6,"UNDER","—")))</f>
        <v>—</v>
      </c>
      <c r="N173" s="0" t="n">
        <v>17.2</v>
      </c>
      <c r="O173" s="10" t="n">
        <v>0.6</v>
      </c>
      <c r="P173" s="10" t="n">
        <v>0.6</v>
      </c>
      <c r="Q173" s="10" t="n">
        <v>0.47</v>
      </c>
      <c r="R173" s="9" t="s">
        <v>1118</v>
      </c>
      <c r="S173" s="0" t="n">
        <v>1</v>
      </c>
      <c r="T173" s="0" t="str">
        <f aca="false">INDEX(Calc!$G$2:$G$124,MATCH($W173,Calc!$A$2:$A$124,0))&amp;" / "&amp;INDEX(Calc!$H$2:$H$124,MATCH($W173,Calc!$A$2:$A$124,0))</f>
        <v>Mirage / Dust2</v>
      </c>
      <c r="U173" s="0" t="str">
        <f aca="false">TEXT(INDEX(Calc!$J$2:$J$124,MATCH($W173,Calc!$A$2:$A$124,0)),"0.0")&amp;" / "&amp;TEXT(INDEX(Calc!$K$2:$K$124,MATCH($W173,Calc!$A$2:$A$124,0)),"0.0")</f>
        <v>21.3 / 21.1</v>
      </c>
      <c r="V173" s="0" t="str">
        <f aca="false">IFERROR(INDEX(Calc!$AQ$2:$AQ$124,MATCH($W173,Calc!$A$2:$A$124,0)),"")</f>
        <v/>
      </c>
      <c r="W173" s="9" t="s">
        <v>1321</v>
      </c>
      <c r="X173" s="9" t="s">
        <v>1110</v>
      </c>
      <c r="Y173" s="0" t="str">
        <f aca="false">W173&amp;"|"&amp;X173</f>
        <v>uf3pcvx03g3k6xm|CS2 · MOUZ vs 9z|H12</v>
      </c>
      <c r="Z173" s="11" t="n">
        <f aca="false">IFERROR(INDEX(CHOOSE(MATCH($X173,{"K1","K2","K3","K12","K13","H1","H2","H3","H12","H13"},0),Calc!$BA$2:$BA$124,Calc!$BB$2:$BB$124,Calc!$BC$2:$BC$124,Calc!$BD$2:$BD$124,Calc!$BE$2:$BE$124,Calc!$BF$2:$BF$124,Calc!$BG$2:$BG$124,Calc!$BH$2:$BH$124,Calc!$BI$2:$BI$124,Calc!$BJ$2:$BJ$124),MATCH($W173,Calc!$A$2:$A$124,0)),"")</f>
        <v>16.0961618255709</v>
      </c>
      <c r="AA173" s="11" t="n">
        <f aca="false">IF(Z173="","",IF(LEFT($X173,1)="H",SQRT(Z173*(IFERROR(INDEX(Calc!$AP$2:$AP$124,MATCH($W173,Calc!$A$2:$A$124,0)),0.5)*Config!$B$5+1-IFERROR(INDEX(Calc!$AP$2:$AP$124,MATCH($W173,Calc!$A$2:$A$124,0)),0.5))),SQRT(Z173*Config!$B$5)))</f>
        <v>4.45085008196184</v>
      </c>
      <c r="AB173" s="10" t="n">
        <f aca="false">IF(OR(F173="",Z173="",N(AA173)&lt;=0),"",1-NORMDIST(FLOOR(F173,1)+0.5,Z173,AA173,TRUE()))</f>
        <v>0.463852446233229</v>
      </c>
      <c r="AC173" s="10" t="n">
        <f aca="false">IF(AB173="","",NORMDIST(CEILING(F173,1)-0.5,Z173,AA173,TRUE()))</f>
        <v>0.536147553766771</v>
      </c>
      <c r="AD173" s="0" t="str">
        <f aca="false">IF(AB173="","",IF(AB173&gt;=0.5+Config!$B$6,"OVER",IF(AC173&gt;=0.5+Config!$B$6,"UNDER","—")))</f>
        <v>—</v>
      </c>
      <c r="AE173" s="13" t="n">
        <f aca="false">IFERROR(Z173/G173,"")</f>
        <v>0.99586940719685</v>
      </c>
    </row>
    <row r="174" customFormat="false" ht="15" hidden="false" customHeight="false" outlineLevel="0" collapsed="false">
      <c r="A174" s="0" t="s">
        <v>988</v>
      </c>
      <c r="B174" s="0" t="s">
        <v>1034</v>
      </c>
      <c r="C174" s="0" t="s">
        <v>1320</v>
      </c>
      <c r="D174" s="0" t="s">
        <v>1040</v>
      </c>
      <c r="E174" s="0" t="s">
        <v>1111</v>
      </c>
      <c r="F174" s="0" t="n">
        <v>26.5</v>
      </c>
      <c r="G174" s="11" t="n">
        <f aca="false">IFERROR(INDEX(CHOOSE(MATCH($X174,{"K1","K2","K3","K12","K13","H1","H2","H3","H12","H13"},0),Calc!$V$2:$V$124,Calc!$AC$2:$AC$124,Calc!$AJ$2:$AJ$124,Calc!$AL$2:$AL$124,Calc!$AM$2:$AM$124,Calc!$W$2:$W$124,Calc!$AD$2:$AD$124,Calc!$AK$2:$AK$124,Calc!$AN$2:$AN$124,Calc!$AO$2:$AO$124),MATCH($W174,Calc!$A$2:$A$124,0)),"")</f>
        <v>28.0202181818182</v>
      </c>
      <c r="H174" s="11" t="n">
        <f aca="false">IF(G174="","",IF(LEFT($X174,1)="H",SQRT(G174*(IFERROR(INDEX(Calc!$AP$2:$AP$124,MATCH($W174,Calc!$A$2:$A$124,0)),0.5)*Config!$B$5+1-IFERROR(INDEX(Calc!$AP$2:$AP$124,MATCH($W174,Calc!$A$2:$A$124,0)),0.5))),SQRT(G174*Config!$B$5)))</f>
        <v>6.26325039053569</v>
      </c>
      <c r="I174" s="10" t="n">
        <f aca="false">IF(OR(F174="",G174="",N(H174)&lt;=0),"",1-NORMDIST(FLOOR(F174,1)+0.5,G174,H174,TRUE()))</f>
        <v>0.595888970139432</v>
      </c>
      <c r="J174" s="10" t="n">
        <f aca="false">IF(I174="","",NORMDIST(CEILING(F174,1)-0.5,G174,H174,TRUE()))</f>
        <v>0.404111029860568</v>
      </c>
      <c r="K174" s="10" t="n">
        <f aca="false">IF(I174="","",MAX(0,1-I174-J174))</f>
        <v>0</v>
      </c>
      <c r="L174" s="0" t="str">
        <f aca="false">IF(I174="","",IF(I174&gt;=0.5+Config!$B$6,"OVER",IF(J174&gt;=0.5+Config!$B$6,"UNDER","—")))</f>
        <v>OVER</v>
      </c>
      <c r="M174" s="0" t="n">
        <v>27.6</v>
      </c>
      <c r="N174" s="0" t="n">
        <v>28.2</v>
      </c>
      <c r="O174" s="10" t="n">
        <v>0.6</v>
      </c>
      <c r="P174" s="10" t="n">
        <v>0.5</v>
      </c>
      <c r="Q174" s="10" t="n">
        <v>0.4</v>
      </c>
      <c r="R174" s="9" t="s">
        <v>1118</v>
      </c>
      <c r="S174" s="0" t="n">
        <v>1</v>
      </c>
      <c r="T174" s="0" t="str">
        <f aca="false">INDEX(Calc!$G$2:$G$124,MATCH($W174,Calc!$A$2:$A$124,0))&amp;" / "&amp;INDEX(Calc!$H$2:$H$124,MATCH($W174,Calc!$A$2:$A$124,0))</f>
        <v>Mirage / Dust2</v>
      </c>
      <c r="U174" s="0" t="str">
        <f aca="false">TEXT(INDEX(Calc!$J$2:$J$124,MATCH($W174,Calc!$A$2:$A$124,0)),"0.0")&amp;" / "&amp;TEXT(INDEX(Calc!$K$2:$K$124,MATCH($W174,Calc!$A$2:$A$124,0)),"0.0")</f>
        <v>21.3 / 21.1</v>
      </c>
      <c r="V174" s="0" t="str">
        <f aca="false">IFERROR(INDEX(Calc!$AQ$2:$AQ$124,MATCH($W174,Calc!$A$2:$A$124,0)),"")</f>
        <v/>
      </c>
      <c r="W174" s="9" t="s">
        <v>1321</v>
      </c>
      <c r="X174" s="9" t="s">
        <v>1112</v>
      </c>
      <c r="Y174" s="0" t="str">
        <f aca="false">W174&amp;"|"&amp;X174</f>
        <v>uf3pcvx03g3k6xm|CS2 · MOUZ vs 9z|K12</v>
      </c>
      <c r="Z174" s="11" t="n">
        <f aca="false">IFERROR(INDEX(CHOOSE(MATCH($X174,{"K1","K2","K3","K12","K13","H1","H2","H3","H12","H13"},0),Calc!$BA$2:$BA$124,Calc!$BB$2:$BB$124,Calc!$BC$2:$BC$124,Calc!$BD$2:$BD$124,Calc!$BE$2:$BE$124,Calc!$BF$2:$BF$124,Calc!$BG$2:$BG$124,Calc!$BH$2:$BH$124,Calc!$BI$2:$BI$124,Calc!$BJ$2:$BJ$124),MATCH($W174,Calc!$A$2:$A$124,0)),"")</f>
        <v>27.8617032959527</v>
      </c>
      <c r="AA174" s="11" t="n">
        <f aca="false">IF(Z174="","",IF(LEFT($X174,1)="H",SQRT(Z174*(IFERROR(INDEX(Calc!$AP$2:$AP$124,MATCH($W174,Calc!$A$2:$A$124,0)),0.5)*Config!$B$5+1-IFERROR(INDEX(Calc!$AP$2:$AP$124,MATCH($W174,Calc!$A$2:$A$124,0)),0.5))),SQRT(Z174*Config!$B$5)))</f>
        <v>6.24550915573212</v>
      </c>
      <c r="AB174" s="10" t="n">
        <f aca="false">IF(OR(F174="",Z174="",N(AA174)&lt;=0),"",1-NORMDIST(FLOOR(F174,1)+0.5,Z174,AA174,TRUE()))</f>
        <v>0.586296815526596</v>
      </c>
      <c r="AC174" s="10" t="n">
        <f aca="false">IF(AB174="","",NORMDIST(CEILING(F174,1)-0.5,Z174,AA174,TRUE()))</f>
        <v>0.413703184473404</v>
      </c>
      <c r="AD174" s="0" t="str">
        <f aca="false">IF(AB174="","",IF(AB174&gt;=0.5+Config!$B$6,"OVER",IF(AC174&gt;=0.5+Config!$B$6,"UNDER","—")))</f>
        <v>OVER</v>
      </c>
      <c r="AE174" s="13" t="n">
        <f aca="false">IFERROR(Z174/G174,"")</f>
        <v>0.994342838987301</v>
      </c>
    </row>
    <row r="175" customFormat="false" ht="15" hidden="false" customHeight="false" outlineLevel="0" collapsed="false">
      <c r="A175" s="0" t="s">
        <v>988</v>
      </c>
      <c r="B175" s="0" t="s">
        <v>1034</v>
      </c>
      <c r="C175" s="0" t="s">
        <v>1322</v>
      </c>
      <c r="D175" s="0" t="s">
        <v>1040</v>
      </c>
      <c r="E175" s="0" t="s">
        <v>1107</v>
      </c>
      <c r="F175" s="0" t="n">
        <v>11.5</v>
      </c>
      <c r="G175" s="11" t="n">
        <f aca="false">IFERROR(INDEX(CHOOSE(MATCH($X175,{"K1","K2","K3","K12","K13","H1","H2","H3","H12","H13"},0),Calc!$V$2:$V$124,Calc!$AC$2:$AC$124,Calc!$AJ$2:$AJ$124,Calc!$AL$2:$AL$124,Calc!$AM$2:$AM$124,Calc!$W$2:$W$124,Calc!$AD$2:$AD$124,Calc!$AK$2:$AK$124,Calc!$AN$2:$AN$124,Calc!$AO$2:$AO$124),MATCH($W175,Calc!$A$2:$A$124,0)),"")</f>
        <v>10.1219425140496</v>
      </c>
      <c r="H175" s="11" t="n">
        <f aca="false">IF(G175="","",IF(LEFT($X175,1)="H",SQRT(G175*(IFERROR(INDEX(Calc!$AP$2:$AP$124,MATCH($W175,Calc!$A$2:$A$124,0)),0.5)*Config!$B$5+1-IFERROR(INDEX(Calc!$AP$2:$AP$124,MATCH($W175,Calc!$A$2:$A$124,0)),0.5))),SQRT(G175*Config!$B$5)))</f>
        <v>3.47139080010735</v>
      </c>
      <c r="I175" s="10" t="n">
        <f aca="false">IF(OR(F175="",G175="",N(H175)&lt;=0),"",1-NORMDIST(FLOOR(F175,1)+0.5,G175,H175,TRUE()))</f>
        <v>0.345692722612851</v>
      </c>
      <c r="J175" s="10" t="n">
        <f aca="false">IF(I175="","",NORMDIST(CEILING(F175,1)-0.5,G175,H175,TRUE()))</f>
        <v>0.654307277387149</v>
      </c>
      <c r="K175" s="10" t="n">
        <f aca="false">IF(I175="","",MAX(0,1-I175-J175))</f>
        <v>0</v>
      </c>
      <c r="L175" s="0" t="str">
        <f aca="false">IF(I175="","",IF(I175&gt;=0.5+Config!$B$6,"OVER",IF(J175&gt;=0.5+Config!$B$6,"UNDER","—")))</f>
        <v>UNDER</v>
      </c>
      <c r="N175" s="0" t="n">
        <v>8.9</v>
      </c>
      <c r="O175" s="10" t="n">
        <v>0.2</v>
      </c>
      <c r="P175" s="10" t="n">
        <v>0.3</v>
      </c>
      <c r="Q175" s="10" t="n">
        <v>0.4</v>
      </c>
      <c r="R175" s="9" t="s">
        <v>1222</v>
      </c>
      <c r="S175" s="0" t="n">
        <v>-3</v>
      </c>
      <c r="T175" s="0" t="str">
        <f aca="false">INDEX(Calc!$G$2:$G$124,MATCH($W175,Calc!$A$2:$A$124,0))&amp;" / "&amp;INDEX(Calc!$H$2:$H$124,MATCH($W175,Calc!$A$2:$A$124,0))</f>
        <v>Mirage / Dust2</v>
      </c>
      <c r="U175" s="0" t="str">
        <f aca="false">TEXT(INDEX(Calc!$J$2:$J$124,MATCH($W175,Calc!$A$2:$A$124,0)),"0.0")&amp;" / "&amp;TEXT(INDEX(Calc!$K$2:$K$124,MATCH($W175,Calc!$A$2:$A$124,0)),"0.0")</f>
        <v>21.3 / 21.1</v>
      </c>
      <c r="V175" s="0" t="str">
        <f aca="false">IFERROR(INDEX(Calc!$AQ$2:$AQ$124,MATCH($W175,Calc!$A$2:$A$124,0)),"")</f>
        <v/>
      </c>
      <c r="W175" s="9" t="s">
        <v>1323</v>
      </c>
      <c r="X175" s="9" t="s">
        <v>1110</v>
      </c>
      <c r="Y175" s="0" t="str">
        <f aca="false">W175&amp;"|"&amp;X175</f>
        <v>2l8hxj94mm620bg|CS2 · MOUZ vs 9z|H12</v>
      </c>
      <c r="Z175" s="11" t="n">
        <f aca="false">IFERROR(INDEX(CHOOSE(MATCH($X175,{"K1","K2","K3","K12","K13","H1","H2","H3","H12","H13"},0),Calc!$BA$2:$BA$124,Calc!$BB$2:$BB$124,Calc!$BC$2:$BC$124,Calc!$BD$2:$BD$124,Calc!$BE$2:$BE$124,Calc!$BF$2:$BF$124,Calc!$BG$2:$BG$124,Calc!$BH$2:$BH$124,Calc!$BI$2:$BI$124,Calc!$BJ$2:$BJ$124),MATCH($W175,Calc!$A$2:$A$124,0)),"")</f>
        <v>9.98180649452964</v>
      </c>
      <c r="AA175" s="11" t="n">
        <f aca="false">IF(Z175="","",IF(LEFT($X175,1)="H",SQRT(Z175*(IFERROR(INDEX(Calc!$AP$2:$AP$124,MATCH($W175,Calc!$A$2:$A$124,0)),0.5)*Config!$B$5+1-IFERROR(INDEX(Calc!$AP$2:$AP$124,MATCH($W175,Calc!$A$2:$A$124,0)),0.5))),SQRT(Z175*Config!$B$5)))</f>
        <v>3.44727673297577</v>
      </c>
      <c r="AB175" s="10" t="n">
        <f aca="false">IF(OR(F175="",Z175="",N(AA175)&lt;=0),"",1-NORMDIST(FLOOR(F175,1)+0.5,Z175,AA175,TRUE()))</f>
        <v>0.329822364672325</v>
      </c>
      <c r="AC175" s="10" t="n">
        <f aca="false">IF(AB175="","",NORMDIST(CEILING(F175,1)-0.5,Z175,AA175,TRUE()))</f>
        <v>0.670177635327675</v>
      </c>
      <c r="AD175" s="0" t="str">
        <f aca="false">IF(AB175="","",IF(AB175&gt;=0.5+Config!$B$6,"OVER",IF(AC175&gt;=0.5+Config!$B$6,"UNDER","—")))</f>
        <v>UNDER</v>
      </c>
      <c r="AE175" s="13" t="n">
        <f aca="false">IFERROR(Z175/G175,"")</f>
        <v>0.986155224718434</v>
      </c>
    </row>
    <row r="176" customFormat="false" ht="15" hidden="false" customHeight="false" outlineLevel="0" collapsed="false">
      <c r="A176" s="0" t="s">
        <v>988</v>
      </c>
      <c r="B176" s="0" t="s">
        <v>1034</v>
      </c>
      <c r="C176" s="0" t="s">
        <v>1322</v>
      </c>
      <c r="D176" s="0" t="s">
        <v>1040</v>
      </c>
      <c r="E176" s="0" t="s">
        <v>1111</v>
      </c>
      <c r="F176" s="0" t="n">
        <v>22</v>
      </c>
      <c r="G176" s="11" t="n">
        <f aca="false">IFERROR(INDEX(CHOOSE(MATCH($X176,{"K1","K2","K3","K12","K13","H1","H2","H3","H12","H13"},0),Calc!$V$2:$V$124,Calc!$AC$2:$AC$124,Calc!$AJ$2:$AJ$124,Calc!$AL$2:$AL$124,Calc!$AM$2:$AM$124,Calc!$W$2:$W$124,Calc!$AD$2:$AD$124,Calc!$AK$2:$AK$124,Calc!$AN$2:$AN$124,Calc!$AO$2:$AO$124),MATCH($W176,Calc!$A$2:$A$124,0)),"")</f>
        <v>21.2492181818182</v>
      </c>
      <c r="H176" s="11" t="n">
        <f aca="false">IF(G176="","",IF(LEFT($X176,1)="H",SQRT(G176*(IFERROR(INDEX(Calc!$AP$2:$AP$124,MATCH($W176,Calc!$A$2:$A$124,0)),0.5)*Config!$B$5+1-IFERROR(INDEX(Calc!$AP$2:$AP$124,MATCH($W176,Calc!$A$2:$A$124,0)),0.5))),SQRT(G176*Config!$B$5)))</f>
        <v>5.45425571957764</v>
      </c>
      <c r="I176" s="10" t="n">
        <f aca="false">IF(OR(F176="",G176="",N(H176)&lt;=0),"",1-NORMDIST(FLOOR(F176,1)+0.5,G176,H176,TRUE()))</f>
        <v>0.409309257364541</v>
      </c>
      <c r="J176" s="10" t="n">
        <f aca="false">IF(I176="","",NORMDIST(CEILING(F176,1)-0.5,G176,H176,TRUE()))</f>
        <v>0.518336549545781</v>
      </c>
      <c r="K176" s="10" t="n">
        <f aca="false">IF(I176="","",MAX(0,1-I176-J176))</f>
        <v>0.0723541930896783</v>
      </c>
      <c r="L176" s="0" t="str">
        <f aca="false">IF(I176="","",IF(I176&gt;=0.5+Config!$B$6,"OVER",IF(J176&gt;=0.5+Config!$B$6,"UNDER","—")))</f>
        <v>—</v>
      </c>
      <c r="M176" s="0" t="n">
        <v>20.79</v>
      </c>
      <c r="N176" s="0" t="n">
        <v>19.2</v>
      </c>
      <c r="O176" s="10" t="n">
        <v>0.2</v>
      </c>
      <c r="P176" s="10" t="n">
        <v>0.3</v>
      </c>
      <c r="Q176" s="10" t="n">
        <v>0.4</v>
      </c>
      <c r="R176" s="9" t="s">
        <v>1222</v>
      </c>
      <c r="S176" s="0" t="n">
        <v>-3</v>
      </c>
      <c r="T176" s="0" t="str">
        <f aca="false">INDEX(Calc!$G$2:$G$124,MATCH($W176,Calc!$A$2:$A$124,0))&amp;" / "&amp;INDEX(Calc!$H$2:$H$124,MATCH($W176,Calc!$A$2:$A$124,0))</f>
        <v>Mirage / Dust2</v>
      </c>
      <c r="U176" s="0" t="str">
        <f aca="false">TEXT(INDEX(Calc!$J$2:$J$124,MATCH($W176,Calc!$A$2:$A$124,0)),"0.0")&amp;" / "&amp;TEXT(INDEX(Calc!$K$2:$K$124,MATCH($W176,Calc!$A$2:$A$124,0)),"0.0")</f>
        <v>21.3 / 21.1</v>
      </c>
      <c r="V176" s="0" t="str">
        <f aca="false">IFERROR(INDEX(Calc!$AQ$2:$AQ$124,MATCH($W176,Calc!$A$2:$A$124,0)),"")</f>
        <v/>
      </c>
      <c r="W176" s="9" t="s">
        <v>1323</v>
      </c>
      <c r="X176" s="9" t="s">
        <v>1112</v>
      </c>
      <c r="Y176" s="0" t="str">
        <f aca="false">W176&amp;"|"&amp;X176</f>
        <v>2l8hxj94mm620bg|CS2 · MOUZ vs 9z|K12</v>
      </c>
      <c r="Z176" s="11" t="n">
        <f aca="false">IFERROR(INDEX(CHOOSE(MATCH($X176,{"K1","K2","K3","K12","K13","H1","H2","H3","H12","H13"},0),Calc!$BA$2:$BA$124,Calc!$BB$2:$BB$124,Calc!$BC$2:$BC$124,Calc!$BD$2:$BD$124,Calc!$BE$2:$BE$124,Calc!$BF$2:$BF$124,Calc!$BG$2:$BG$124,Calc!$BH$2:$BH$124,Calc!$BI$2:$BI$124,Calc!$BJ$2:$BJ$124),MATCH($W176,Calc!$A$2:$A$124,0)),"")</f>
        <v>20.9829617187132</v>
      </c>
      <c r="AA176" s="11" t="n">
        <f aca="false">IF(Z176="","",IF(LEFT($X176,1)="H",SQRT(Z176*(IFERROR(INDEX(Calc!$AP$2:$AP$124,MATCH($W176,Calc!$A$2:$A$124,0)),0.5)*Config!$B$5+1-IFERROR(INDEX(Calc!$AP$2:$AP$124,MATCH($W176,Calc!$A$2:$A$124,0)),0.5))),SQRT(Z176*Config!$B$5)))</f>
        <v>5.41997660568738</v>
      </c>
      <c r="AB176" s="10" t="n">
        <f aca="false">IF(OR(F176="",Z176="",N(AA176)&lt;=0),"",1-NORMDIST(FLOOR(F176,1)+0.5,Z176,AA176,TRUE()))</f>
        <v>0.389778045807327</v>
      </c>
      <c r="AC176" s="10" t="n">
        <f aca="false">IF(AB176="","",NORMDIST(CEILING(F176,1)-0.5,Z176,AA176,TRUE()))</f>
        <v>0.537999427947761</v>
      </c>
      <c r="AD176" s="0" t="str">
        <f aca="false">IF(AB176="","",IF(AB176&gt;=0.5+Config!$B$6,"OVER",IF(AC176&gt;=0.5+Config!$B$6,"UNDER","—")))</f>
        <v>—</v>
      </c>
      <c r="AE176" s="13" t="n">
        <f aca="false">IFERROR(Z176/G176,"")</f>
        <v>0.987469823085877</v>
      </c>
    </row>
    <row r="177" customFormat="false" ht="15" hidden="false" customHeight="false" outlineLevel="0" collapsed="false">
      <c r="A177" s="0" t="s">
        <v>988</v>
      </c>
      <c r="B177" s="0" t="s">
        <v>1034</v>
      </c>
      <c r="C177" s="0" t="s">
        <v>1324</v>
      </c>
      <c r="D177" s="0" t="s">
        <v>1040</v>
      </c>
      <c r="E177" s="0" t="s">
        <v>1107</v>
      </c>
      <c r="F177" s="0" t="n">
        <v>10.5</v>
      </c>
      <c r="G177" s="11" t="n">
        <f aca="false">IFERROR(INDEX(CHOOSE(MATCH($X177,{"K1","K2","K3","K12","K13","H1","H2","H3","H12","H13"},0),Calc!$V$2:$V$124,Calc!$AC$2:$AC$124,Calc!$AJ$2:$AJ$124,Calc!$AL$2:$AL$124,Calc!$AM$2:$AM$124,Calc!$W$2:$W$124,Calc!$AD$2:$AD$124,Calc!$AK$2:$AK$124,Calc!$AN$2:$AN$124,Calc!$AO$2:$AO$124),MATCH($W177,Calc!$A$2:$A$124,0)),"")</f>
        <v>9.83726938512397</v>
      </c>
      <c r="H177" s="11" t="n">
        <f aca="false">IF(G177="","",IF(LEFT($X177,1)="H",SQRT(G177*(IFERROR(INDEX(Calc!$AP$2:$AP$124,MATCH($W177,Calc!$A$2:$A$124,0)),0.5)*Config!$B$5+1-IFERROR(INDEX(Calc!$AP$2:$AP$124,MATCH($W177,Calc!$A$2:$A$124,0)),0.5))),SQRT(G177*Config!$B$5)))</f>
        <v>3.363532575598</v>
      </c>
      <c r="I177" s="10" t="n">
        <f aca="false">IF(OR(F177="",G177="",N(H177)&lt;=0),"",1-NORMDIST(FLOOR(F177,1)+0.5,G177,H177,TRUE()))</f>
        <v>0.421900426318091</v>
      </c>
      <c r="J177" s="10" t="n">
        <f aca="false">IF(I177="","",NORMDIST(CEILING(F177,1)-0.5,G177,H177,TRUE()))</f>
        <v>0.578099573681909</v>
      </c>
      <c r="K177" s="10" t="n">
        <f aca="false">IF(I177="","",MAX(0,1-I177-J177))</f>
        <v>0</v>
      </c>
      <c r="L177" s="0" t="str">
        <f aca="false">IF(I177="","",IF(I177&gt;=0.5+Config!$B$6,"OVER",IF(J177&gt;=0.5+Config!$B$6,"UNDER","—")))</f>
        <v>UNDER</v>
      </c>
      <c r="N177" s="0" t="n">
        <v>8.7</v>
      </c>
      <c r="O177" s="10" t="n">
        <v>0.4</v>
      </c>
      <c r="P177" s="10" t="n">
        <v>0.3</v>
      </c>
      <c r="Q177" s="10" t="n">
        <v>0.27</v>
      </c>
      <c r="R177" s="9" t="s">
        <v>1224</v>
      </c>
      <c r="S177" s="0" t="n">
        <v>-2</v>
      </c>
      <c r="T177" s="0" t="str">
        <f aca="false">INDEX(Calc!$G$2:$G$124,MATCH($W177,Calc!$A$2:$A$124,0))&amp;" / "&amp;INDEX(Calc!$H$2:$H$124,MATCH($W177,Calc!$A$2:$A$124,0))</f>
        <v>Mirage / Dust2</v>
      </c>
      <c r="U177" s="0" t="str">
        <f aca="false">TEXT(INDEX(Calc!$J$2:$J$124,MATCH($W177,Calc!$A$2:$A$124,0)),"0.0")&amp;" / "&amp;TEXT(INDEX(Calc!$K$2:$K$124,MATCH($W177,Calc!$A$2:$A$124,0)),"0.0")</f>
        <v>21.3 / 21.1</v>
      </c>
      <c r="V177" s="0" t="str">
        <f aca="false">IFERROR(INDEX(Calc!$AQ$2:$AQ$124,MATCH($W177,Calc!$A$2:$A$124,0)),"")</f>
        <v/>
      </c>
      <c r="W177" s="9" t="s">
        <v>1325</v>
      </c>
      <c r="X177" s="9" t="s">
        <v>1110</v>
      </c>
      <c r="Y177" s="0" t="str">
        <f aca="false">W177&amp;"|"&amp;X177</f>
        <v>pumzitjp9bsniic|CS2 · MOUZ vs 9z|H12</v>
      </c>
      <c r="Z177" s="11" t="n">
        <f aca="false">IFERROR(INDEX(CHOOSE(MATCH($X177,{"K1","K2","K3","K12","K13","H1","H2","H3","H12","H13"},0),Calc!$BA$2:$BA$124,Calc!$BB$2:$BB$124,Calc!$BC$2:$BC$124,Calc!$BD$2:$BD$124,Calc!$BE$2:$BE$124,Calc!$BF$2:$BF$124,Calc!$BG$2:$BG$124,Calc!$BH$2:$BH$124,Calc!$BI$2:$BI$124,Calc!$BJ$2:$BJ$124),MATCH($W177,Calc!$A$2:$A$124,0)),"")</f>
        <v>9.75043397578527</v>
      </c>
      <c r="AA177" s="11" t="n">
        <f aca="false">IF(Z177="","",IF(LEFT($X177,1)="H",SQRT(Z177*(IFERROR(INDEX(Calc!$AP$2:$AP$124,MATCH($W177,Calc!$A$2:$A$124,0)),0.5)*Config!$B$5+1-IFERROR(INDEX(Calc!$AP$2:$AP$124,MATCH($W177,Calc!$A$2:$A$124,0)),0.5))),SQRT(Z177*Config!$B$5)))</f>
        <v>3.34865440542551</v>
      </c>
      <c r="AB177" s="10" t="n">
        <f aca="false">IF(OR(F177="",Z177="",N(AA177)&lt;=0),"",1-NORMDIST(FLOOR(F177,1)+0.5,Z177,AA177,TRUE()))</f>
        <v>0.411440527663236</v>
      </c>
      <c r="AC177" s="10" t="n">
        <f aca="false">IF(AB177="","",NORMDIST(CEILING(F177,1)-0.5,Z177,AA177,TRUE()))</f>
        <v>0.588559472336764</v>
      </c>
      <c r="AD177" s="0" t="str">
        <f aca="false">IF(AB177="","",IF(AB177&gt;=0.5+Config!$B$6,"OVER",IF(AC177&gt;=0.5+Config!$B$6,"UNDER","—")))</f>
        <v>UNDER</v>
      </c>
      <c r="AE177" s="13" t="n">
        <f aca="false">IFERROR(Z177/G177,"")</f>
        <v>0.991172813721051</v>
      </c>
    </row>
    <row r="178" customFormat="false" ht="15" hidden="false" customHeight="false" outlineLevel="0" collapsed="false">
      <c r="A178" s="0" t="s">
        <v>988</v>
      </c>
      <c r="B178" s="0" t="s">
        <v>1034</v>
      </c>
      <c r="C178" s="0" t="s">
        <v>1324</v>
      </c>
      <c r="D178" s="0" t="s">
        <v>1040</v>
      </c>
      <c r="E178" s="0" t="s">
        <v>1111</v>
      </c>
      <c r="F178" s="0" t="n">
        <v>25.5</v>
      </c>
      <c r="G178" s="11" t="n">
        <f aca="false">IFERROR(INDEX(CHOOSE(MATCH($X178,{"K1","K2","K3","K12","K13","H1","H2","H3","H12","H13"},0),Calc!$V$2:$V$124,Calc!$AC$2:$AC$124,Calc!$AJ$2:$AJ$124,Calc!$AL$2:$AL$124,Calc!$AM$2:$AM$124,Calc!$W$2:$W$124,Calc!$AD$2:$AD$124,Calc!$AK$2:$AK$124,Calc!$AN$2:$AN$124,Calc!$AO$2:$AO$124),MATCH($W178,Calc!$A$2:$A$124,0)),"")</f>
        <v>26.2239818181818</v>
      </c>
      <c r="H178" s="11" t="n">
        <f aca="false">IF(G178="","",IF(LEFT($X178,1)="H",SQRT(G178*(IFERROR(INDEX(Calc!$AP$2:$AP$124,MATCH($W178,Calc!$A$2:$A$124,0)),0.5)*Config!$B$5+1-IFERROR(INDEX(Calc!$AP$2:$AP$124,MATCH($W178,Calc!$A$2:$A$124,0)),0.5))),SQRT(G178*Config!$B$5)))</f>
        <v>6.0591727608193</v>
      </c>
      <c r="I178" s="10" t="n">
        <f aca="false">IF(OR(F178="",G178="",N(H178)&lt;=0),"",1-NORMDIST(FLOOR(F178,1)+0.5,G178,H178,TRUE()))</f>
        <v>0.54755454045474</v>
      </c>
      <c r="J178" s="10" t="n">
        <f aca="false">IF(I178="","",NORMDIST(CEILING(F178,1)-0.5,G178,H178,TRUE()))</f>
        <v>0.45244545954526</v>
      </c>
      <c r="K178" s="10" t="n">
        <f aca="false">IF(I178="","",MAX(0,1-I178-J178))</f>
        <v>0</v>
      </c>
      <c r="L178" s="0" t="str">
        <f aca="false">IF(I178="","",IF(I178&gt;=0.5+Config!$B$6,"OVER",IF(J178&gt;=0.5+Config!$B$6,"UNDER","—")))</f>
        <v>OVER</v>
      </c>
      <c r="M178" s="0" t="n">
        <v>25.54</v>
      </c>
      <c r="N178" s="0" t="n">
        <v>23.4</v>
      </c>
      <c r="O178" s="10" t="n">
        <v>0.4</v>
      </c>
      <c r="P178" s="10" t="n">
        <v>0.5</v>
      </c>
      <c r="Q178" s="10" t="n">
        <v>0.4</v>
      </c>
      <c r="R178" s="9" t="s">
        <v>1224</v>
      </c>
      <c r="S178" s="0" t="n">
        <v>1</v>
      </c>
      <c r="T178" s="0" t="str">
        <f aca="false">INDEX(Calc!$G$2:$G$124,MATCH($W178,Calc!$A$2:$A$124,0))&amp;" / "&amp;INDEX(Calc!$H$2:$H$124,MATCH($W178,Calc!$A$2:$A$124,0))</f>
        <v>Mirage / Dust2</v>
      </c>
      <c r="U178" s="0" t="str">
        <f aca="false">TEXT(INDEX(Calc!$J$2:$J$124,MATCH($W178,Calc!$A$2:$A$124,0)),"0.0")&amp;" / "&amp;TEXT(INDEX(Calc!$K$2:$K$124,MATCH($W178,Calc!$A$2:$A$124,0)),"0.0")</f>
        <v>21.3 / 21.1</v>
      </c>
      <c r="V178" s="0" t="str">
        <f aca="false">IFERROR(INDEX(Calc!$AQ$2:$AQ$124,MATCH($W178,Calc!$A$2:$A$124,0)),"")</f>
        <v/>
      </c>
      <c r="W178" s="9" t="s">
        <v>1325</v>
      </c>
      <c r="X178" s="9" t="s">
        <v>1112</v>
      </c>
      <c r="Y178" s="0" t="str">
        <f aca="false">W178&amp;"|"&amp;X178</f>
        <v>pumzitjp9bsniic|CS2 · MOUZ vs 9z|K12</v>
      </c>
      <c r="Z178" s="11" t="n">
        <f aca="false">IFERROR(INDEX(CHOOSE(MATCH($X178,{"K1","K2","K3","K12","K13","H1","H2","H3","H12","H13"},0),Calc!$BA$2:$BA$124,Calc!$BB$2:$BB$124,Calc!$BC$2:$BC$124,Calc!$BD$2:$BD$124,Calc!$BE$2:$BE$124,Calc!$BF$2:$BF$124,Calc!$BG$2:$BG$124,Calc!$BH$2:$BH$124,Calc!$BI$2:$BI$124,Calc!$BJ$2:$BJ$124),MATCH($W178,Calc!$A$2:$A$124,0)),"")</f>
        <v>25.9453191845771</v>
      </c>
      <c r="AA178" s="11" t="n">
        <f aca="false">IF(Z178="","",IF(LEFT($X178,1)="H",SQRT(Z178*(IFERROR(INDEX(Calc!$AP$2:$AP$124,MATCH($W178,Calc!$A$2:$A$124,0)),0.5)*Config!$B$5+1-IFERROR(INDEX(Calc!$AP$2:$AP$124,MATCH($W178,Calc!$A$2:$A$124,0)),0.5))),SQRT(Z178*Config!$B$5)))</f>
        <v>6.02689363257789</v>
      </c>
      <c r="AB178" s="10" t="n">
        <f aca="false">IF(OR(F178="",Z178="",N(AA178)&lt;=0),"",1-NORMDIST(FLOOR(F178,1)+0.5,Z178,AA178,TRUE()))</f>
        <v>0.529450516351806</v>
      </c>
      <c r="AC178" s="10" t="n">
        <f aca="false">IF(AB178="","",NORMDIST(CEILING(F178,1)-0.5,Z178,AA178,TRUE()))</f>
        <v>0.470549483648194</v>
      </c>
      <c r="AD178" s="0" t="str">
        <f aca="false">IF(AB178="","",IF(AB178&gt;=0.5+Config!$B$6,"OVER",IF(AC178&gt;=0.5+Config!$B$6,"UNDER","—")))</f>
        <v>—</v>
      </c>
      <c r="AE178" s="13" t="n">
        <f aca="false">IFERROR(Z178/G178,"")</f>
        <v>0.98937374821502</v>
      </c>
    </row>
    <row r="179" customFormat="false" ht="15" hidden="false" customHeight="false" outlineLevel="0" collapsed="false">
      <c r="A179" s="0" t="s">
        <v>988</v>
      </c>
      <c r="B179" s="0" t="s">
        <v>1034</v>
      </c>
      <c r="C179" s="0" t="s">
        <v>1326</v>
      </c>
      <c r="D179" s="0" t="s">
        <v>1039</v>
      </c>
      <c r="E179" s="0" t="s">
        <v>1107</v>
      </c>
      <c r="F179" s="0" t="n">
        <v>14.5</v>
      </c>
      <c r="G179" s="11" t="n">
        <f aca="false">IFERROR(INDEX(CHOOSE(MATCH($X179,{"K1","K2","K3","K12","K13","H1","H2","H3","H12","H13"},0),Calc!$V$2:$V$124,Calc!$AC$2:$AC$124,Calc!$AJ$2:$AJ$124,Calc!$AL$2:$AL$124,Calc!$AM$2:$AM$124,Calc!$W$2:$W$124,Calc!$AD$2:$AD$124,Calc!$AK$2:$AK$124,Calc!$AN$2:$AN$124,Calc!$AO$2:$AO$124),MATCH($W179,Calc!$A$2:$A$124,0)),"")</f>
        <v>13.9459242200184</v>
      </c>
      <c r="H179" s="11" t="n">
        <f aca="false">IF(G179="","",IF(LEFT($X179,1)="H",SQRT(G179*(IFERROR(INDEX(Calc!$AP$2:$AP$124,MATCH($W179,Calc!$A$2:$A$124,0)),0.5)*Config!$B$5+1-IFERROR(INDEX(Calc!$AP$2:$AP$124,MATCH($W179,Calc!$A$2:$A$124,0)),0.5))),SQRT(G179*Config!$B$5)))</f>
        <v>4.11220971476286</v>
      </c>
      <c r="I179" s="10" t="n">
        <f aca="false">IF(OR(F179="",G179="",N(H179)&lt;=0),"",1-NORMDIST(FLOOR(F179,1)+0.5,G179,H179,TRUE()))</f>
        <v>0.446409045792733</v>
      </c>
      <c r="J179" s="10" t="n">
        <f aca="false">IF(I179="","",NORMDIST(CEILING(F179,1)-0.5,G179,H179,TRUE()))</f>
        <v>0.553590954207267</v>
      </c>
      <c r="K179" s="10" t="n">
        <f aca="false">IF(I179="","",MAX(0,1-I179-J179))</f>
        <v>0</v>
      </c>
      <c r="L179" s="0" t="str">
        <f aca="false">IF(I179="","",IF(I179&gt;=0.5+Config!$B$6,"OVER",IF(J179&gt;=0.5+Config!$B$6,"UNDER","—")))</f>
        <v>UNDER</v>
      </c>
      <c r="N179" s="0" t="n">
        <v>13.1</v>
      </c>
      <c r="O179" s="10" t="n">
        <v>0.4</v>
      </c>
      <c r="P179" s="10" t="n">
        <v>0.3</v>
      </c>
      <c r="Q179" s="10" t="n">
        <v>0.33</v>
      </c>
      <c r="R179" s="9" t="s">
        <v>1124</v>
      </c>
      <c r="S179" s="0" t="n">
        <v>1</v>
      </c>
      <c r="T179" s="0" t="str">
        <f aca="false">INDEX(Calc!$G$2:$G$124,MATCH($W179,Calc!$A$2:$A$124,0))&amp;" / "&amp;INDEX(Calc!$H$2:$H$124,MATCH($W179,Calc!$A$2:$A$124,0))</f>
        <v>Mirage / Dust2</v>
      </c>
      <c r="U179" s="0" t="str">
        <f aca="false">TEXT(INDEX(Calc!$J$2:$J$124,MATCH($W179,Calc!$A$2:$A$124,0)),"0.0")&amp;" / "&amp;TEXT(INDEX(Calc!$K$2:$K$124,MATCH($W179,Calc!$A$2:$A$124,0)),"0.0")</f>
        <v>21.3 / 21.1</v>
      </c>
      <c r="V179" s="0" t="str">
        <f aca="false">IFERROR(INDEX(Calc!$AQ$2:$AQ$124,MATCH($W179,Calc!$A$2:$A$124,0)),"")</f>
        <v/>
      </c>
      <c r="W179" s="9" t="s">
        <v>1327</v>
      </c>
      <c r="X179" s="9" t="s">
        <v>1110</v>
      </c>
      <c r="Y179" s="0" t="str">
        <f aca="false">W179&amp;"|"&amp;X179</f>
        <v>pddkiy5mogisq4i|CS2 · MOUZ vs 9z|H12</v>
      </c>
      <c r="Z179" s="11" t="n">
        <f aca="false">IFERROR(INDEX(CHOOSE(MATCH($X179,{"K1","K2","K3","K12","K13","H1","H2","H3","H12","H13"},0),Calc!$BA$2:$BA$124,Calc!$BB$2:$BB$124,Calc!$BC$2:$BC$124,Calc!$BD$2:$BD$124,Calc!$BE$2:$BE$124,Calc!$BF$2:$BF$124,Calc!$BG$2:$BG$124,Calc!$BH$2:$BH$124,Calc!$BI$2:$BI$124,Calc!$BJ$2:$BJ$124),MATCH($W179,Calc!$A$2:$A$124,0)),"")</f>
        <v>14.0718219162366</v>
      </c>
      <c r="AA179" s="11" t="n">
        <f aca="false">IF(Z179="","",IF(LEFT($X179,1)="H",SQRT(Z179*(IFERROR(INDEX(Calc!$AP$2:$AP$124,MATCH($W179,Calc!$A$2:$A$124,0)),0.5)*Config!$B$5+1-IFERROR(INDEX(Calc!$AP$2:$AP$124,MATCH($W179,Calc!$A$2:$A$124,0)),0.5))),SQRT(Z179*Config!$B$5)))</f>
        <v>4.13072962543892</v>
      </c>
      <c r="AB179" s="10" t="n">
        <f aca="false">IF(OR(F179="",Z179="",N(AA179)&lt;=0),"",1-NORMDIST(FLOOR(F179,1)+0.5,Z179,AA179,TRUE()))</f>
        <v>0.458720867827458</v>
      </c>
      <c r="AC179" s="10" t="n">
        <f aca="false">IF(AB179="","",NORMDIST(CEILING(F179,1)-0.5,Z179,AA179,TRUE()))</f>
        <v>0.541279132172542</v>
      </c>
      <c r="AD179" s="0" t="str">
        <f aca="false">IF(AB179="","",IF(AB179&gt;=0.5+Config!$B$6,"OVER",IF(AC179&gt;=0.5+Config!$B$6,"UNDER","—")))</f>
        <v>UNDER</v>
      </c>
      <c r="AE179" s="13" t="n">
        <f aca="false">IFERROR(Z179/G179,"")</f>
        <v>1.00902756204838</v>
      </c>
    </row>
    <row r="180" customFormat="false" ht="15" hidden="false" customHeight="false" outlineLevel="0" collapsed="false">
      <c r="A180" s="0" t="s">
        <v>988</v>
      </c>
      <c r="B180" s="0" t="s">
        <v>1034</v>
      </c>
      <c r="C180" s="0" t="s">
        <v>1326</v>
      </c>
      <c r="D180" s="0" t="s">
        <v>1039</v>
      </c>
      <c r="E180" s="0" t="s">
        <v>1111</v>
      </c>
      <c r="F180" s="0" t="n">
        <v>27.5</v>
      </c>
      <c r="G180" s="11" t="n">
        <f aca="false">IFERROR(INDEX(CHOOSE(MATCH($X180,{"K1","K2","K3","K12","K13","H1","H2","H3","H12","H13"},0),Calc!$V$2:$V$124,Calc!$AC$2:$AC$124,Calc!$AJ$2:$AJ$124,Calc!$AL$2:$AL$124,Calc!$AM$2:$AM$124,Calc!$W$2:$W$124,Calc!$AD$2:$AD$124,Calc!$AK$2:$AK$124,Calc!$AN$2:$AN$124,Calc!$AO$2:$AO$124),MATCH($W180,Calc!$A$2:$A$124,0)),"")</f>
        <v>26.2437515151515</v>
      </c>
      <c r="H180" s="11" t="n">
        <f aca="false">IF(G180="","",IF(LEFT($X180,1)="H",SQRT(G180*(IFERROR(INDEX(Calc!$AP$2:$AP$124,MATCH($W180,Calc!$A$2:$A$124,0)),0.5)*Config!$B$5+1-IFERROR(INDEX(Calc!$AP$2:$AP$124,MATCH($W180,Calc!$A$2:$A$124,0)),0.5))),SQRT(G180*Config!$B$5)))</f>
        <v>6.06145627066732</v>
      </c>
      <c r="I180" s="10" t="n">
        <f aca="false">IF(OR(F180="",G180="",N(H180)&lt;=0),"",1-NORMDIST(FLOOR(F180,1)+0.5,G180,H180,TRUE()))</f>
        <v>0.417906558330564</v>
      </c>
      <c r="J180" s="10" t="n">
        <f aca="false">IF(I180="","",NORMDIST(CEILING(F180,1)-0.5,G180,H180,TRUE()))</f>
        <v>0.582093441669436</v>
      </c>
      <c r="K180" s="10" t="n">
        <f aca="false">IF(I180="","",MAX(0,1-I180-J180))</f>
        <v>0</v>
      </c>
      <c r="L180" s="0" t="str">
        <f aca="false">IF(I180="","",IF(I180&gt;=0.5+Config!$B$6,"OVER",IF(J180&gt;=0.5+Config!$B$6,"UNDER","—")))</f>
        <v>UNDER</v>
      </c>
      <c r="M180" s="0" t="n">
        <v>28.52</v>
      </c>
      <c r="N180" s="0" t="n">
        <v>26.7</v>
      </c>
      <c r="O180" s="10" t="n">
        <v>0.4</v>
      </c>
      <c r="P180" s="10" t="n">
        <v>0.4</v>
      </c>
      <c r="Q180" s="10" t="n">
        <v>0.4</v>
      </c>
      <c r="R180" s="9" t="s">
        <v>1124</v>
      </c>
      <c r="S180" s="0" t="n">
        <v>1</v>
      </c>
      <c r="T180" s="0" t="str">
        <f aca="false">INDEX(Calc!$G$2:$G$124,MATCH($W180,Calc!$A$2:$A$124,0))&amp;" / "&amp;INDEX(Calc!$H$2:$H$124,MATCH($W180,Calc!$A$2:$A$124,0))</f>
        <v>Mirage / Dust2</v>
      </c>
      <c r="U180" s="0" t="str">
        <f aca="false">TEXT(INDEX(Calc!$J$2:$J$124,MATCH($W180,Calc!$A$2:$A$124,0)),"0.0")&amp;" / "&amp;TEXT(INDEX(Calc!$K$2:$K$124,MATCH($W180,Calc!$A$2:$A$124,0)),"0.0")</f>
        <v>21.3 / 21.1</v>
      </c>
      <c r="V180" s="0" t="str">
        <f aca="false">IFERROR(INDEX(Calc!$AQ$2:$AQ$124,MATCH($W180,Calc!$A$2:$A$124,0)),"")</f>
        <v/>
      </c>
      <c r="W180" s="9" t="s">
        <v>1327</v>
      </c>
      <c r="X180" s="9" t="s">
        <v>1112</v>
      </c>
      <c r="Y180" s="0" t="str">
        <f aca="false">W180&amp;"|"&amp;X180</f>
        <v>pddkiy5mogisq4i|CS2 · MOUZ vs 9z|K12</v>
      </c>
      <c r="Z180" s="11" t="n">
        <f aca="false">IFERROR(INDEX(CHOOSE(MATCH($X180,{"K1","K2","K3","K12","K13","H1","H2","H3","H12","H13"},0),Calc!$BA$2:$BA$124,Calc!$BB$2:$BB$124,Calc!$BC$2:$BC$124,Calc!$BD$2:$BD$124,Calc!$BE$2:$BE$124,Calc!$BF$2:$BF$124,Calc!$BG$2:$BG$124,Calc!$BH$2:$BH$124,Calc!$BI$2:$BI$124,Calc!$BJ$2:$BJ$124),MATCH($W180,Calc!$A$2:$A$124,0)),"")</f>
        <v>26.4386903233496</v>
      </c>
      <c r="AA180" s="11" t="n">
        <f aca="false">IF(Z180="","",IF(LEFT($X180,1)="H",SQRT(Z180*(IFERROR(INDEX(Calc!$AP$2:$AP$124,MATCH($W180,Calc!$A$2:$A$124,0)),0.5)*Config!$B$5+1-IFERROR(INDEX(Calc!$AP$2:$AP$124,MATCH($W180,Calc!$A$2:$A$124,0)),0.5))),SQRT(Z180*Config!$B$5)))</f>
        <v>6.08392689409476</v>
      </c>
      <c r="AB180" s="10" t="n">
        <f aca="false">IF(OR(F180="",Z180="",N(AA180)&lt;=0),"",1-NORMDIST(FLOOR(F180,1)+0.5,Z180,AA180,TRUE()))</f>
        <v>0.43075793715471</v>
      </c>
      <c r="AC180" s="10" t="n">
        <f aca="false">IF(AB180="","",NORMDIST(CEILING(F180,1)-0.5,Z180,AA180,TRUE()))</f>
        <v>0.56924206284529</v>
      </c>
      <c r="AD180" s="0" t="str">
        <f aca="false">IF(AB180="","",IF(AB180&gt;=0.5+Config!$B$6,"OVER",IF(AC180&gt;=0.5+Config!$B$6,"UNDER","—")))</f>
        <v>UNDER</v>
      </c>
      <c r="AE180" s="13" t="n">
        <f aca="false">IFERROR(Z180/G180,"")</f>
        <v>1.00742800845701</v>
      </c>
    </row>
    <row r="181" customFormat="false" ht="15" hidden="false" customHeight="false" outlineLevel="0" collapsed="false">
      <c r="A181" s="0" t="s">
        <v>988</v>
      </c>
      <c r="B181" s="0" t="s">
        <v>1034</v>
      </c>
      <c r="C181" s="0" t="s">
        <v>1328</v>
      </c>
      <c r="D181" s="0" t="s">
        <v>1039</v>
      </c>
      <c r="E181" s="0" t="s">
        <v>1107</v>
      </c>
      <c r="F181" s="0" t="n">
        <v>18.5</v>
      </c>
      <c r="G181" s="11" t="n">
        <f aca="false">IFERROR(INDEX(CHOOSE(MATCH($X181,{"K1","K2","K3","K12","K13","H1","H2","H3","H12","H13"},0),Calc!$V$2:$V$124,Calc!$AC$2:$AC$124,Calc!$AJ$2:$AJ$124,Calc!$AL$2:$AL$124,Calc!$AM$2:$AM$124,Calc!$W$2:$W$124,Calc!$AD$2:$AD$124,Calc!$AK$2:$AK$124,Calc!$AN$2:$AN$124,Calc!$AO$2:$AO$124),MATCH($W181,Calc!$A$2:$A$124,0)),"")</f>
        <v>18.3910423943067</v>
      </c>
      <c r="H181" s="11" t="n">
        <f aca="false">IF(G181="","",IF(LEFT($X181,1)="H",SQRT(G181*(IFERROR(INDEX(Calc!$AP$2:$AP$124,MATCH($W181,Calc!$A$2:$A$124,0)),0.5)*Config!$B$5+1-IFERROR(INDEX(Calc!$AP$2:$AP$124,MATCH($W181,Calc!$A$2:$A$124,0)),0.5))),SQRT(G181*Config!$B$5)))</f>
        <v>4.78106782736896</v>
      </c>
      <c r="I181" s="10" t="n">
        <f aca="false">IF(OR(F181="",G181="",N(H181)&lt;=0),"",1-NORMDIST(FLOOR(F181,1)+0.5,G181,H181,TRUE()))</f>
        <v>0.4909091368288</v>
      </c>
      <c r="J181" s="10" t="n">
        <f aca="false">IF(I181="","",NORMDIST(CEILING(F181,1)-0.5,G181,H181,TRUE()))</f>
        <v>0.5090908631712</v>
      </c>
      <c r="K181" s="10" t="n">
        <f aca="false">IF(I181="","",MAX(0,1-I181-J181))</f>
        <v>0</v>
      </c>
      <c r="L181" s="0" t="str">
        <f aca="false">IF(I181="","",IF(I181&gt;=0.5+Config!$B$6,"OVER",IF(J181&gt;=0.5+Config!$B$6,"UNDER","—")))</f>
        <v>—</v>
      </c>
      <c r="N181" s="0" t="n">
        <v>19.1</v>
      </c>
      <c r="O181" s="10" t="n">
        <v>0.6</v>
      </c>
      <c r="P181" s="10" t="n">
        <v>0.6</v>
      </c>
      <c r="Q181" s="10" t="n">
        <v>0.47</v>
      </c>
      <c r="R181" s="9" t="s">
        <v>1173</v>
      </c>
      <c r="S181" s="0" t="n">
        <v>1</v>
      </c>
      <c r="T181" s="0" t="str">
        <f aca="false">INDEX(Calc!$G$2:$G$124,MATCH($W181,Calc!$A$2:$A$124,0))&amp;" / "&amp;INDEX(Calc!$H$2:$H$124,MATCH($W181,Calc!$A$2:$A$124,0))</f>
        <v>Mirage / Dust2</v>
      </c>
      <c r="U181" s="0" t="str">
        <f aca="false">TEXT(INDEX(Calc!$J$2:$J$124,MATCH($W181,Calc!$A$2:$A$124,0)),"0.0")&amp;" / "&amp;TEXT(INDEX(Calc!$K$2:$K$124,MATCH($W181,Calc!$A$2:$A$124,0)),"0.0")</f>
        <v>21.3 / 21.1</v>
      </c>
      <c r="V181" s="0" t="str">
        <f aca="false">IFERROR(INDEX(Calc!$AQ$2:$AQ$124,MATCH($W181,Calc!$A$2:$A$124,0)),"")</f>
        <v/>
      </c>
      <c r="W181" s="9" t="s">
        <v>1329</v>
      </c>
      <c r="X181" s="9" t="s">
        <v>1110</v>
      </c>
      <c r="Y181" s="0" t="str">
        <f aca="false">W181&amp;"|"&amp;X181</f>
        <v>qlzigrqycoim5ix|CS2 · MOUZ vs 9z|H12</v>
      </c>
      <c r="Z181" s="11" t="n">
        <f aca="false">IFERROR(INDEX(CHOOSE(MATCH($X181,{"K1","K2","K3","K12","K13","H1","H2","H3","H12","H13"},0),Calc!$BA$2:$BA$124,Calc!$BB$2:$BB$124,Calc!$BC$2:$BC$124,Calc!$BD$2:$BD$124,Calc!$BE$2:$BE$124,Calc!$BF$2:$BF$124,Calc!$BG$2:$BG$124,Calc!$BH$2:$BH$124,Calc!$BI$2:$BI$124,Calc!$BJ$2:$BJ$124),MATCH($W181,Calc!$A$2:$A$124,0)),"")</f>
        <v>18.5529332952571</v>
      </c>
      <c r="AA181" s="11" t="n">
        <f aca="false">IF(Z181="","",IF(LEFT($X181,1)="H",SQRT(Z181*(IFERROR(INDEX(Calc!$AP$2:$AP$124,MATCH($W181,Calc!$A$2:$A$124,0)),0.5)*Config!$B$5+1-IFERROR(INDEX(Calc!$AP$2:$AP$124,MATCH($W181,Calc!$A$2:$A$124,0)),0.5))),SQRT(Z181*Config!$B$5)))</f>
        <v>4.80206488314515</v>
      </c>
      <c r="AB181" s="10" t="n">
        <f aca="false">IF(OR(F181="",Z181="",N(AA181)&lt;=0),"",1-NORMDIST(FLOOR(F181,1)+0.5,Z181,AA181,TRUE()))</f>
        <v>0.504397462839344</v>
      </c>
      <c r="AC181" s="10" t="n">
        <f aca="false">IF(AB181="","",NORMDIST(CEILING(F181,1)-0.5,Z181,AA181,TRUE()))</f>
        <v>0.495602537160657</v>
      </c>
      <c r="AD181" s="0" t="str">
        <f aca="false">IF(AB181="","",IF(AB181&gt;=0.5+Config!$B$6,"OVER",IF(AC181&gt;=0.5+Config!$B$6,"UNDER","—")))</f>
        <v>—</v>
      </c>
      <c r="AE181" s="13" t="n">
        <f aca="false">IFERROR(Z181/G181,"")</f>
        <v>1.00880270391854</v>
      </c>
    </row>
    <row r="182" customFormat="false" ht="15" hidden="false" customHeight="false" outlineLevel="0" collapsed="false">
      <c r="A182" s="0" t="s">
        <v>988</v>
      </c>
      <c r="B182" s="0" t="s">
        <v>1034</v>
      </c>
      <c r="C182" s="0" t="s">
        <v>1328</v>
      </c>
      <c r="D182" s="0" t="s">
        <v>1039</v>
      </c>
      <c r="E182" s="0" t="s">
        <v>1111</v>
      </c>
      <c r="F182" s="0" t="n">
        <v>30.5</v>
      </c>
      <c r="G182" s="11" t="n">
        <f aca="false">IFERROR(INDEX(CHOOSE(MATCH($X182,{"K1","K2","K3","K12","K13","H1","H2","H3","H12","H13"},0),Calc!$V$2:$V$124,Calc!$AC$2:$AC$124,Calc!$AJ$2:$AJ$124,Calc!$AL$2:$AL$124,Calc!$AM$2:$AM$124,Calc!$W$2:$W$124,Calc!$AD$2:$AD$124,Calc!$AK$2:$AK$124,Calc!$AN$2:$AN$124,Calc!$AO$2:$AO$124),MATCH($W182,Calc!$A$2:$A$124,0)),"")</f>
        <v>30.2831878787879</v>
      </c>
      <c r="H182" s="11" t="n">
        <f aca="false">IF(G182="","",IF(LEFT($X182,1)="H",SQRT(G182*(IFERROR(INDEX(Calc!$AP$2:$AP$124,MATCH($W182,Calc!$A$2:$A$124,0)),0.5)*Config!$B$5+1-IFERROR(INDEX(Calc!$AP$2:$AP$124,MATCH($W182,Calc!$A$2:$A$124,0)),0.5))),SQRT(G182*Config!$B$5)))</f>
        <v>6.51125663987398</v>
      </c>
      <c r="I182" s="10" t="n">
        <f aca="false">IF(OR(F182="",G182="",N(H182)&lt;=0),"",1-NORMDIST(FLOOR(F182,1)+0.5,G182,H182,TRUE()))</f>
        <v>0.486718456098048</v>
      </c>
      <c r="J182" s="10" t="n">
        <f aca="false">IF(I182="","",NORMDIST(CEILING(F182,1)-0.5,G182,H182,TRUE()))</f>
        <v>0.513281543901953</v>
      </c>
      <c r="K182" s="10" t="n">
        <f aca="false">IF(I182="","",MAX(0,1-I182-J182))</f>
        <v>0</v>
      </c>
      <c r="L182" s="0" t="str">
        <f aca="false">IF(I182="","",IF(I182&gt;=0.5+Config!$B$6,"OVER",IF(J182&gt;=0.5+Config!$B$6,"UNDER","—")))</f>
        <v>—</v>
      </c>
      <c r="M182" s="0" t="n">
        <v>30.64</v>
      </c>
      <c r="N182" s="0" t="n">
        <v>31</v>
      </c>
      <c r="O182" s="10" t="n">
        <v>0.4</v>
      </c>
      <c r="P182" s="10" t="n">
        <v>0.4</v>
      </c>
      <c r="Q182" s="10" t="n">
        <v>0.47</v>
      </c>
      <c r="R182" s="9" t="s">
        <v>1194</v>
      </c>
      <c r="S182" s="0" t="n">
        <v>1</v>
      </c>
      <c r="T182" s="0" t="str">
        <f aca="false">INDEX(Calc!$G$2:$G$124,MATCH($W182,Calc!$A$2:$A$124,0))&amp;" / "&amp;INDEX(Calc!$H$2:$H$124,MATCH($W182,Calc!$A$2:$A$124,0))</f>
        <v>Mirage / Dust2</v>
      </c>
      <c r="U182" s="0" t="str">
        <f aca="false">TEXT(INDEX(Calc!$J$2:$J$124,MATCH($W182,Calc!$A$2:$A$124,0)),"0.0")&amp;" / "&amp;TEXT(INDEX(Calc!$K$2:$K$124,MATCH($W182,Calc!$A$2:$A$124,0)),"0.0")</f>
        <v>21.3 / 21.1</v>
      </c>
      <c r="V182" s="0" t="str">
        <f aca="false">IFERROR(INDEX(Calc!$AQ$2:$AQ$124,MATCH($W182,Calc!$A$2:$A$124,0)),"")</f>
        <v/>
      </c>
      <c r="W182" s="9" t="s">
        <v>1329</v>
      </c>
      <c r="X182" s="9" t="s">
        <v>1112</v>
      </c>
      <c r="Y182" s="0" t="str">
        <f aca="false">W182&amp;"|"&amp;X182</f>
        <v>qlzigrqycoim5ix|CS2 · MOUZ vs 9z|K12</v>
      </c>
      <c r="Z182" s="11" t="n">
        <f aca="false">IFERROR(INDEX(CHOOSE(MATCH($X182,{"K1","K2","K3","K12","K13","H1","H2","H3","H12","H13"},0),Calc!$BA$2:$BA$124,Calc!$BB$2:$BB$124,Calc!$BC$2:$BC$124,Calc!$BD$2:$BD$124,Calc!$BE$2:$BE$124,Calc!$BF$2:$BF$124,Calc!$BG$2:$BG$124,Calc!$BH$2:$BH$124,Calc!$BI$2:$BI$124,Calc!$BJ$2:$BJ$124),MATCH($W182,Calc!$A$2:$A$124,0)),"")</f>
        <v>30.5337628883689</v>
      </c>
      <c r="AA182" s="11" t="n">
        <f aca="false">IF(Z182="","",IF(LEFT($X182,1)="H",SQRT(Z182*(IFERROR(INDEX(Calc!$AP$2:$AP$124,MATCH($W182,Calc!$A$2:$A$124,0)),0.5)*Config!$B$5+1-IFERROR(INDEX(Calc!$AP$2:$AP$124,MATCH($W182,Calc!$A$2:$A$124,0)),0.5))),SQRT(Z182*Config!$B$5)))</f>
        <v>6.5381394940546</v>
      </c>
      <c r="AB182" s="10" t="n">
        <f aca="false">IF(OR(F182="",Z182="",N(AA182)&lt;=0),"",1-NORMDIST(FLOOR(F182,1)+0.5,Z182,AA182,TRUE()))</f>
        <v>0.502060124876022</v>
      </c>
      <c r="AC182" s="10" t="n">
        <f aca="false">IF(AB182="","",NORMDIST(CEILING(F182,1)-0.5,Z182,AA182,TRUE()))</f>
        <v>0.497939875123978</v>
      </c>
      <c r="AD182" s="0" t="str">
        <f aca="false">IF(AB182="","",IF(AB182&gt;=0.5+Config!$B$6,"OVER",IF(AC182&gt;=0.5+Config!$B$6,"UNDER","—")))</f>
        <v>—</v>
      </c>
      <c r="AE182" s="13" t="n">
        <f aca="false">IFERROR(Z182/G182,"")</f>
        <v>1.00827439338897</v>
      </c>
    </row>
    <row r="183" customFormat="false" ht="15" hidden="false" customHeight="false" outlineLevel="0" collapsed="false">
      <c r="A183" s="0" t="s">
        <v>988</v>
      </c>
      <c r="B183" s="0" t="s">
        <v>1034</v>
      </c>
      <c r="C183" s="0" t="s">
        <v>1330</v>
      </c>
      <c r="D183" s="0" t="s">
        <v>1039</v>
      </c>
      <c r="E183" s="0" t="s">
        <v>1107</v>
      </c>
      <c r="F183" s="0" t="n">
        <v>10</v>
      </c>
      <c r="G183" s="11" t="n">
        <f aca="false">IFERROR(INDEX(CHOOSE(MATCH($X183,{"K1","K2","K3","K12","K13","H1","H2","H3","H12","H13"},0),Calc!$V$2:$V$124,Calc!$AC$2:$AC$124,Calc!$AJ$2:$AJ$124,Calc!$AL$2:$AL$124,Calc!$AM$2:$AM$124,Calc!$W$2:$W$124,Calc!$AD$2:$AD$124,Calc!$AK$2:$AK$124,Calc!$AN$2:$AN$124,Calc!$AO$2:$AO$124),MATCH($W183,Calc!$A$2:$A$124,0)),"")</f>
        <v>8.2198126949495</v>
      </c>
      <c r="H183" s="11" t="n">
        <f aca="false">IF(G183="","",IF(LEFT($X183,1)="H",SQRT(G183*(IFERROR(INDEX(Calc!$AP$2:$AP$124,MATCH($W183,Calc!$A$2:$A$124,0)),0.5)*Config!$B$5+1-IFERROR(INDEX(Calc!$AP$2:$AP$124,MATCH($W183,Calc!$A$2:$A$124,0)),0.5))),SQRT(G183*Config!$B$5)))</f>
        <v>3.02706819126718</v>
      </c>
      <c r="I183" s="10" t="n">
        <f aca="false">IF(OR(F183="",G183="",N(H183)&lt;=0),"",1-NORMDIST(FLOOR(F183,1)+0.5,G183,H183,TRUE()))</f>
        <v>0.225645066971536</v>
      </c>
      <c r="J183" s="10" t="n">
        <f aca="false">IF(I183="","",NORMDIST(CEILING(F183,1)-0.5,G183,H183,TRUE()))</f>
        <v>0.663820729423122</v>
      </c>
      <c r="K183" s="10" t="n">
        <f aca="false">IF(I183="","",MAX(0,1-I183-J183))</f>
        <v>0.110534203605342</v>
      </c>
      <c r="L183" s="0" t="str">
        <f aca="false">IF(I183="","",IF(I183&gt;=0.5+Config!$B$6,"OVER",IF(J183&gt;=0.5+Config!$B$6,"UNDER","—")))</f>
        <v>UNDER</v>
      </c>
      <c r="N183" s="0" t="n">
        <v>10</v>
      </c>
      <c r="O183" s="10" t="n">
        <v>0.6</v>
      </c>
      <c r="P183" s="10" t="n">
        <v>0.6</v>
      </c>
      <c r="Q183" s="10" t="n">
        <v>0.6</v>
      </c>
      <c r="R183" s="9" t="s">
        <v>1224</v>
      </c>
      <c r="S183" s="0" t="n">
        <v>1</v>
      </c>
      <c r="T183" s="0" t="str">
        <f aca="false">INDEX(Calc!$G$2:$G$124,MATCH($W183,Calc!$A$2:$A$124,0))&amp;" / "&amp;INDEX(Calc!$H$2:$H$124,MATCH($W183,Calc!$A$2:$A$124,0))</f>
        <v>Mirage / Dust2</v>
      </c>
      <c r="U183" s="0" t="str">
        <f aca="false">TEXT(INDEX(Calc!$J$2:$J$124,MATCH($W183,Calc!$A$2:$A$124,0)),"0.0")&amp;" / "&amp;TEXT(INDEX(Calc!$K$2:$K$124,MATCH($W183,Calc!$A$2:$A$124,0)),"0.0")</f>
        <v>21.3 / 21.1</v>
      </c>
      <c r="V183" s="0" t="str">
        <f aca="false">IFERROR(INDEX(Calc!$AQ$2:$AQ$124,MATCH($W183,Calc!$A$2:$A$124,0)),"")</f>
        <v/>
      </c>
      <c r="W183" s="9" t="s">
        <v>1331</v>
      </c>
      <c r="X183" s="9" t="s">
        <v>1110</v>
      </c>
      <c r="Y183" s="0" t="str">
        <f aca="false">W183&amp;"|"&amp;X183</f>
        <v>jk73jbuxys7dhxb|CS2 · MOUZ vs 9z|H12</v>
      </c>
      <c r="Z183" s="11" t="n">
        <f aca="false">IFERROR(INDEX(CHOOSE(MATCH($X183,{"K1","K2","K3","K12","K13","H1","H2","H3","H12","H13"},0),Calc!$BA$2:$BA$124,Calc!$BB$2:$BB$124,Calc!$BC$2:$BC$124,Calc!$BD$2:$BD$124,Calc!$BE$2:$BE$124,Calc!$BF$2:$BF$124,Calc!$BG$2:$BG$124,Calc!$BH$2:$BH$124,Calc!$BI$2:$BI$124,Calc!$BJ$2:$BJ$124),MATCH($W183,Calc!$A$2:$A$124,0)),"")</f>
        <v>8.3342826643527</v>
      </c>
      <c r="AA183" s="11" t="n">
        <f aca="false">IF(Z183="","",IF(LEFT($X183,1)="H",SQRT(Z183*(IFERROR(INDEX(Calc!$AP$2:$AP$124,MATCH($W183,Calc!$A$2:$A$124,0)),0.5)*Config!$B$5+1-IFERROR(INDEX(Calc!$AP$2:$AP$124,MATCH($W183,Calc!$A$2:$A$124,0)),0.5))),SQRT(Z183*Config!$B$5)))</f>
        <v>3.04807294926292</v>
      </c>
      <c r="AB183" s="10" t="n">
        <f aca="false">IF(OR(F183="",Z183="",N(AA183)&lt;=0),"",1-NORMDIST(FLOOR(F183,1)+0.5,Z183,AA183,TRUE()))</f>
        <v>0.238690811218443</v>
      </c>
      <c r="AC183" s="10" t="n">
        <f aca="false">IF(AB183="","",NORMDIST(CEILING(F183,1)-0.5,Z183,AA183,TRUE()))</f>
        <v>0.64893398567508</v>
      </c>
      <c r="AD183" s="0" t="str">
        <f aca="false">IF(AB183="","",IF(AB183&gt;=0.5+Config!$B$6,"OVER",IF(AC183&gt;=0.5+Config!$B$6,"UNDER","—")))</f>
        <v>UNDER</v>
      </c>
      <c r="AE183" s="13" t="n">
        <f aca="false">IFERROR(Z183/G183,"")</f>
        <v>1.01392610435923</v>
      </c>
    </row>
    <row r="184" customFormat="false" ht="15" hidden="false" customHeight="false" outlineLevel="0" collapsed="false">
      <c r="A184" s="0" t="s">
        <v>988</v>
      </c>
      <c r="B184" s="0" t="s">
        <v>1034</v>
      </c>
      <c r="C184" s="0" t="s">
        <v>1330</v>
      </c>
      <c r="D184" s="0" t="s">
        <v>1039</v>
      </c>
      <c r="E184" s="0" t="s">
        <v>1111</v>
      </c>
      <c r="F184" s="0" t="n">
        <v>30.5</v>
      </c>
      <c r="G184" s="11" t="n">
        <f aca="false">IFERROR(INDEX(CHOOSE(MATCH($X184,{"K1","K2","K3","K12","K13","H1","H2","H3","H12","H13"},0),Calc!$V$2:$V$124,Calc!$AC$2:$AC$124,Calc!$AJ$2:$AJ$124,Calc!$AL$2:$AL$124,Calc!$AM$2:$AM$124,Calc!$W$2:$W$124,Calc!$AD$2:$AD$124,Calc!$AK$2:$AK$124,Calc!$AN$2:$AN$124,Calc!$AO$2:$AO$124),MATCH($W184,Calc!$A$2:$A$124,0)),"")</f>
        <v>28.6497333333333</v>
      </c>
      <c r="H184" s="11" t="n">
        <f aca="false">IF(G184="","",IF(LEFT($X184,1)="H",SQRT(G184*(IFERROR(INDEX(Calc!$AP$2:$AP$124,MATCH($W184,Calc!$A$2:$A$124,0)),0.5)*Config!$B$5+1-IFERROR(INDEX(Calc!$AP$2:$AP$124,MATCH($W184,Calc!$A$2:$A$124,0)),0.5))),SQRT(G184*Config!$B$5)))</f>
        <v>6.33321613926658</v>
      </c>
      <c r="I184" s="10" t="n">
        <f aca="false">IF(OR(F184="",G184="",N(H184)&lt;=0),"",1-NORMDIST(FLOOR(F184,1)+0.5,G184,H184,TRUE()))</f>
        <v>0.385084908812771</v>
      </c>
      <c r="J184" s="10" t="n">
        <f aca="false">IF(I184="","",NORMDIST(CEILING(F184,1)-0.5,G184,H184,TRUE()))</f>
        <v>0.614915091187229</v>
      </c>
      <c r="K184" s="10" t="n">
        <f aca="false">IF(I184="","",MAX(0,1-I184-J184))</f>
        <v>0</v>
      </c>
      <c r="L184" s="0" t="str">
        <f aca="false">IF(I184="","",IF(I184&gt;=0.5+Config!$B$6,"OVER",IF(J184&gt;=0.5+Config!$B$6,"UNDER","—")))</f>
        <v>UNDER</v>
      </c>
      <c r="M184" s="0" t="n">
        <v>30</v>
      </c>
      <c r="N184" s="0" t="n">
        <v>30.9</v>
      </c>
      <c r="O184" s="10" t="n">
        <v>0.4</v>
      </c>
      <c r="P184" s="10" t="n">
        <v>0.5</v>
      </c>
      <c r="Q184" s="10" t="n">
        <v>0.4</v>
      </c>
      <c r="R184" s="9" t="s">
        <v>1224</v>
      </c>
      <c r="S184" s="0" t="n">
        <v>1</v>
      </c>
      <c r="T184" s="0" t="str">
        <f aca="false">INDEX(Calc!$G$2:$G$124,MATCH($W184,Calc!$A$2:$A$124,0))&amp;" / "&amp;INDEX(Calc!$H$2:$H$124,MATCH($W184,Calc!$A$2:$A$124,0))</f>
        <v>Mirage / Dust2</v>
      </c>
      <c r="U184" s="0" t="str">
        <f aca="false">TEXT(INDEX(Calc!$J$2:$J$124,MATCH($W184,Calc!$A$2:$A$124,0)),"0.0")&amp;" / "&amp;TEXT(INDEX(Calc!$K$2:$K$124,MATCH($W184,Calc!$A$2:$A$124,0)),"0.0")</f>
        <v>21.3 / 21.1</v>
      </c>
      <c r="V184" s="0" t="str">
        <f aca="false">IFERROR(INDEX(Calc!$AQ$2:$AQ$124,MATCH($W184,Calc!$A$2:$A$124,0)),"")</f>
        <v/>
      </c>
      <c r="W184" s="9" t="s">
        <v>1331</v>
      </c>
      <c r="X184" s="9" t="s">
        <v>1112</v>
      </c>
      <c r="Y184" s="0" t="str">
        <f aca="false">W184&amp;"|"&amp;X184</f>
        <v>jk73jbuxys7dhxb|CS2 · MOUZ vs 9z|K12</v>
      </c>
      <c r="Z184" s="11" t="n">
        <f aca="false">IFERROR(INDEX(CHOOSE(MATCH($X184,{"K1","K2","K3","K12","K13","H1","H2","H3","H12","H13"},0),Calc!$BA$2:$BA$124,Calc!$BB$2:$BB$124,Calc!$BC$2:$BC$124,Calc!$BD$2:$BD$124,Calc!$BE$2:$BE$124,Calc!$BF$2:$BF$124,Calc!$BG$2:$BG$124,Calc!$BH$2:$BH$124,Calc!$BI$2:$BI$124,Calc!$BJ$2:$BJ$124),MATCH($W184,Calc!$A$2:$A$124,0)),"")</f>
        <v>28.9689661452903</v>
      </c>
      <c r="AA184" s="11" t="n">
        <f aca="false">IF(Z184="","",IF(LEFT($X184,1)="H",SQRT(Z184*(IFERROR(INDEX(Calc!$AP$2:$AP$124,MATCH($W184,Calc!$A$2:$A$124,0)),0.5)*Config!$B$5+1-IFERROR(INDEX(Calc!$AP$2:$AP$124,MATCH($W184,Calc!$A$2:$A$124,0)),0.5))),SQRT(Z184*Config!$B$5)))</f>
        <v>6.3684026728377</v>
      </c>
      <c r="AB184" s="10" t="n">
        <f aca="false">IF(OR(F184="",Z184="",N(AA184)&lt;=0),"",1-NORMDIST(FLOOR(F184,1)+0.5,Z184,AA184,TRUE()))</f>
        <v>0.405005837923146</v>
      </c>
      <c r="AC184" s="10" t="n">
        <f aca="false">IF(AB184="","",NORMDIST(CEILING(F184,1)-0.5,Z184,AA184,TRUE()))</f>
        <v>0.594994162076854</v>
      </c>
      <c r="AD184" s="0" t="str">
        <f aca="false">IF(AB184="","",IF(AB184&gt;=0.5+Config!$B$6,"OVER",IF(AC184&gt;=0.5+Config!$B$6,"UNDER","—")))</f>
        <v>UNDER</v>
      </c>
      <c r="AE184" s="13" t="n">
        <f aca="false">IFERROR(Z184/G184,"")</f>
        <v>1.01114261023803</v>
      </c>
    </row>
    <row r="185" customFormat="false" ht="15" hidden="false" customHeight="false" outlineLevel="0" collapsed="false">
      <c r="A185" s="0" t="s">
        <v>988</v>
      </c>
      <c r="B185" s="0" t="s">
        <v>1034</v>
      </c>
      <c r="C185" s="0" t="s">
        <v>1332</v>
      </c>
      <c r="D185" s="0" t="s">
        <v>1039</v>
      </c>
      <c r="E185" s="0" t="s">
        <v>1107</v>
      </c>
      <c r="F185" s="0" t="n">
        <v>19.5</v>
      </c>
      <c r="G185" s="11" t="n">
        <f aca="false">IFERROR(INDEX(CHOOSE(MATCH($X185,{"K1","K2","K3","K12","K13","H1","H2","H3","H12","H13"},0),Calc!$V$2:$V$124,Calc!$AC$2:$AC$124,Calc!$AJ$2:$AJ$124,Calc!$AL$2:$AL$124,Calc!$AM$2:$AM$124,Calc!$W$2:$W$124,Calc!$AD$2:$AD$124,Calc!$AK$2:$AK$124,Calc!$AN$2:$AN$124,Calc!$AO$2:$AO$124),MATCH($W185,Calc!$A$2:$A$124,0)),"")</f>
        <v>18.5284774490358</v>
      </c>
      <c r="H185" s="11" t="n">
        <f aca="false">IF(G185="","",IF(LEFT($X185,1)="H",SQRT(G185*(IFERROR(INDEX(Calc!$AP$2:$AP$124,MATCH($W185,Calc!$A$2:$A$124,0)),0.5)*Config!$B$5+1-IFERROR(INDEX(Calc!$AP$2:$AP$124,MATCH($W185,Calc!$A$2:$A$124,0)),0.5))),SQRT(G185*Config!$B$5)))</f>
        <v>4.8248094800226</v>
      </c>
      <c r="I185" s="10" t="n">
        <f aca="false">IF(OR(F185="",G185="",N(H185)&lt;=0),"",1-NORMDIST(FLOOR(F185,1)+0.5,G185,H185,TRUE()))</f>
        <v>0.420208632970739</v>
      </c>
      <c r="J185" s="10" t="n">
        <f aca="false">IF(I185="","",NORMDIST(CEILING(F185,1)-0.5,G185,H185,TRUE()))</f>
        <v>0.579791367029261</v>
      </c>
      <c r="K185" s="10" t="n">
        <f aca="false">IF(I185="","",MAX(0,1-I185-J185))</f>
        <v>0</v>
      </c>
      <c r="L185" s="0" t="str">
        <f aca="false">IF(I185="","",IF(I185&gt;=0.5+Config!$B$6,"OVER",IF(J185&gt;=0.5+Config!$B$6,"UNDER","—")))</f>
        <v>UNDER</v>
      </c>
      <c r="N185" s="0" t="n">
        <v>20.9</v>
      </c>
      <c r="O185" s="10" t="n">
        <v>0.8</v>
      </c>
      <c r="P185" s="10" t="n">
        <v>0.7</v>
      </c>
      <c r="Q185" s="10" t="n">
        <v>0.53</v>
      </c>
      <c r="R185" s="9" t="s">
        <v>1121</v>
      </c>
      <c r="S185" s="0" t="n">
        <v>1</v>
      </c>
      <c r="T185" s="0" t="str">
        <f aca="false">INDEX(Calc!$G$2:$G$124,MATCH($W185,Calc!$A$2:$A$124,0))&amp;" / "&amp;INDEX(Calc!$H$2:$H$124,MATCH($W185,Calc!$A$2:$A$124,0))</f>
        <v>Mirage / Dust2</v>
      </c>
      <c r="U185" s="0" t="str">
        <f aca="false">TEXT(INDEX(Calc!$J$2:$J$124,MATCH($W185,Calc!$A$2:$A$124,0)),"0.0")&amp;" / "&amp;TEXT(INDEX(Calc!$K$2:$K$124,MATCH($W185,Calc!$A$2:$A$124,0)),"0.0")</f>
        <v>21.3 / 21.1</v>
      </c>
      <c r="V185" s="0" t="str">
        <f aca="false">IFERROR(INDEX(Calc!$AQ$2:$AQ$124,MATCH($W185,Calc!$A$2:$A$124,0)),"")</f>
        <v/>
      </c>
      <c r="W185" s="9" t="s">
        <v>1333</v>
      </c>
      <c r="X185" s="9" t="s">
        <v>1110</v>
      </c>
      <c r="Y185" s="0" t="str">
        <f aca="false">W185&amp;"|"&amp;X185</f>
        <v>zs2lsmobreb35xn|CS2 · MOUZ vs 9z|H12</v>
      </c>
      <c r="Z185" s="11" t="n">
        <f aca="false">IFERROR(INDEX(CHOOSE(MATCH($X185,{"K1","K2","K3","K12","K13","H1","H2","H3","H12","H13"},0),Calc!$BA$2:$BA$124,Calc!$BB$2:$BB$124,Calc!$BC$2:$BC$124,Calc!$BD$2:$BD$124,Calc!$BE$2:$BE$124,Calc!$BF$2:$BF$124,Calc!$BG$2:$BG$124,Calc!$BH$2:$BH$124,Calc!$BI$2:$BI$124,Calc!$BJ$2:$BJ$124),MATCH($W185,Calc!$A$2:$A$124,0)),"")</f>
        <v>18.6575770546691</v>
      </c>
      <c r="AA185" s="11" t="n">
        <f aca="false">IF(Z185="","",IF(LEFT($X185,1)="H",SQRT(Z185*(IFERROR(INDEX(Calc!$AP$2:$AP$124,MATCH($W185,Calc!$A$2:$A$124,0)),0.5)*Config!$B$5+1-IFERROR(INDEX(Calc!$AP$2:$AP$124,MATCH($W185,Calc!$A$2:$A$124,0)),0.5))),SQRT(Z185*Config!$B$5)))</f>
        <v>4.84158904987821</v>
      </c>
      <c r="AB185" s="10" t="n">
        <f aca="false">IF(OR(F185="",Z185="",N(AA185)&lt;=0),"",1-NORMDIST(FLOOR(F185,1)+0.5,Z185,AA185,TRUE()))</f>
        <v>0.430933830795206</v>
      </c>
      <c r="AC185" s="10" t="n">
        <f aca="false">IF(AB185="","",NORMDIST(CEILING(F185,1)-0.5,Z185,AA185,TRUE()))</f>
        <v>0.569066169204794</v>
      </c>
      <c r="AD185" s="0" t="str">
        <f aca="false">IF(AB185="","",IF(AB185&gt;=0.5+Config!$B$6,"OVER",IF(AC185&gt;=0.5+Config!$B$6,"UNDER","—")))</f>
        <v>UNDER</v>
      </c>
      <c r="AE185" s="13" t="n">
        <f aca="false">IFERROR(Z185/G185,"")</f>
        <v>1.0069676316356</v>
      </c>
    </row>
    <row r="186" customFormat="false" ht="15" hidden="false" customHeight="false" outlineLevel="0" collapsed="false">
      <c r="A186" s="0" t="s">
        <v>988</v>
      </c>
      <c r="B186" s="0" t="s">
        <v>1034</v>
      </c>
      <c r="C186" s="0" t="s">
        <v>1332</v>
      </c>
      <c r="D186" s="0" t="s">
        <v>1039</v>
      </c>
      <c r="E186" s="0" t="s">
        <v>1111</v>
      </c>
      <c r="F186" s="0" t="n">
        <v>29.5</v>
      </c>
      <c r="G186" s="11" t="n">
        <f aca="false">IFERROR(INDEX(CHOOSE(MATCH($X186,{"K1","K2","K3","K12","K13","H1","H2","H3","H12","H13"},0),Calc!$V$2:$V$124,Calc!$AC$2:$AC$124,Calc!$AJ$2:$AJ$124,Calc!$AL$2:$AL$124,Calc!$AM$2:$AM$124,Calc!$W$2:$W$124,Calc!$AD$2:$AD$124,Calc!$AK$2:$AK$124,Calc!$AN$2:$AN$124,Calc!$AO$2:$AO$124),MATCH($W186,Calc!$A$2:$A$124,0)),"")</f>
        <v>28.9079696969697</v>
      </c>
      <c r="H186" s="11" t="n">
        <f aca="false">IF(G186="","",IF(LEFT($X186,1)="H",SQRT(G186*(IFERROR(INDEX(Calc!$AP$2:$AP$124,MATCH($W186,Calc!$A$2:$A$124,0)),0.5)*Config!$B$5+1-IFERROR(INDEX(Calc!$AP$2:$AP$124,MATCH($W186,Calc!$A$2:$A$124,0)),0.5))),SQRT(G186*Config!$B$5)))</f>
        <v>6.36169455222094</v>
      </c>
      <c r="I186" s="10" t="n">
        <f aca="false">IF(OR(F186="",G186="",N(H186)&lt;=0),"",1-NORMDIST(FLOOR(F186,1)+0.5,G186,H186,TRUE()))</f>
        <v>0.462927260101815</v>
      </c>
      <c r="J186" s="10" t="n">
        <f aca="false">IF(I186="","",NORMDIST(CEILING(F186,1)-0.5,G186,H186,TRUE()))</f>
        <v>0.537072739898185</v>
      </c>
      <c r="K186" s="10" t="n">
        <f aca="false">IF(I186="","",MAX(0,1-I186-J186))</f>
        <v>0</v>
      </c>
      <c r="L186" s="0" t="str">
        <f aca="false">IF(I186="","",IF(I186&gt;=0.5+Config!$B$6,"OVER",IF(J186&gt;=0.5+Config!$B$6,"UNDER","—")))</f>
        <v>—</v>
      </c>
      <c r="M186" s="0" t="n">
        <v>29.1</v>
      </c>
      <c r="N186" s="0" t="n">
        <v>30.6</v>
      </c>
      <c r="O186" s="10" t="n">
        <v>0.6</v>
      </c>
      <c r="P186" s="10" t="n">
        <v>0.5</v>
      </c>
      <c r="Q186" s="10" t="n">
        <v>0.53</v>
      </c>
      <c r="R186" s="9" t="s">
        <v>1114</v>
      </c>
      <c r="S186" s="0" t="n">
        <v>1</v>
      </c>
      <c r="T186" s="0" t="str">
        <f aca="false">INDEX(Calc!$G$2:$G$124,MATCH($W186,Calc!$A$2:$A$124,0))&amp;" / "&amp;INDEX(Calc!$H$2:$H$124,MATCH($W186,Calc!$A$2:$A$124,0))</f>
        <v>Mirage / Dust2</v>
      </c>
      <c r="U186" s="0" t="str">
        <f aca="false">TEXT(INDEX(Calc!$J$2:$J$124,MATCH($W186,Calc!$A$2:$A$124,0)),"0.0")&amp;" / "&amp;TEXT(INDEX(Calc!$K$2:$K$124,MATCH($W186,Calc!$A$2:$A$124,0)),"0.0")</f>
        <v>21.3 / 21.1</v>
      </c>
      <c r="V186" s="0" t="str">
        <f aca="false">IFERROR(INDEX(Calc!$AQ$2:$AQ$124,MATCH($W186,Calc!$A$2:$A$124,0)),"")</f>
        <v/>
      </c>
      <c r="W186" s="9" t="s">
        <v>1333</v>
      </c>
      <c r="X186" s="9" t="s">
        <v>1112</v>
      </c>
      <c r="Y186" s="0" t="str">
        <f aca="false">W186&amp;"|"&amp;X186</f>
        <v>zs2lsmobreb35xn|CS2 · MOUZ vs 9z|K12</v>
      </c>
      <c r="Z186" s="11" t="n">
        <f aca="false">IFERROR(INDEX(CHOOSE(MATCH($X186,{"K1","K2","K3","K12","K13","H1","H2","H3","H12","H13"},0),Calc!$BA$2:$BA$124,Calc!$BB$2:$BB$124,Calc!$BC$2:$BC$124,Calc!$BD$2:$BD$124,Calc!$BE$2:$BE$124,Calc!$BF$2:$BF$124,Calc!$BG$2:$BG$124,Calc!$BH$2:$BH$124,Calc!$BI$2:$BI$124,Calc!$BJ$2:$BJ$124),MATCH($W186,Calc!$A$2:$A$124,0)),"")</f>
        <v>29.089429483456</v>
      </c>
      <c r="AA186" s="11" t="n">
        <f aca="false">IF(Z186="","",IF(LEFT($X186,1)="H",SQRT(Z186*(IFERROR(INDEX(Calc!$AP$2:$AP$124,MATCH($W186,Calc!$A$2:$A$124,0)),0.5)*Config!$B$5+1-IFERROR(INDEX(Calc!$AP$2:$AP$124,MATCH($W186,Calc!$A$2:$A$124,0)),0.5))),SQRT(Z186*Config!$B$5)))</f>
        <v>6.38162998589219</v>
      </c>
      <c r="AB186" s="10" t="n">
        <f aca="false">IF(OR(F186="",Z186="",N(AA186)&lt;=0),"",1-NORMDIST(FLOOR(F186,1)+0.5,Z186,AA186,TRUE()))</f>
        <v>0.474351221597667</v>
      </c>
      <c r="AC186" s="10" t="n">
        <f aca="false">IF(AB186="","",NORMDIST(CEILING(F186,1)-0.5,Z186,AA186,TRUE()))</f>
        <v>0.525648778402333</v>
      </c>
      <c r="AD186" s="0" t="str">
        <f aca="false">IF(AB186="","",IF(AB186&gt;=0.5+Config!$B$6,"OVER",IF(AC186&gt;=0.5+Config!$B$6,"UNDER","—")))</f>
        <v>—</v>
      </c>
      <c r="AE186" s="13" t="n">
        <f aca="false">IFERROR(Z186/G186,"")</f>
        <v>1.00627715430687</v>
      </c>
    </row>
    <row r="187" customFormat="false" ht="15" hidden="false" customHeight="false" outlineLevel="0" collapsed="false">
      <c r="A187" s="0" t="s">
        <v>988</v>
      </c>
      <c r="B187" s="0" t="s">
        <v>1034</v>
      </c>
      <c r="C187" s="0" t="s">
        <v>1334</v>
      </c>
      <c r="D187" s="0" t="s">
        <v>1039</v>
      </c>
      <c r="E187" s="0" t="s">
        <v>1107</v>
      </c>
      <c r="F187" s="0" t="n">
        <v>15.5</v>
      </c>
      <c r="G187" s="11" t="n">
        <f aca="false">IFERROR(INDEX(CHOOSE(MATCH($X187,{"K1","K2","K3","K12","K13","H1","H2","H3","H12","H13"},0),Calc!$V$2:$V$124,Calc!$AC$2:$AC$124,Calc!$AJ$2:$AJ$124,Calc!$AL$2:$AL$124,Calc!$AM$2:$AM$124,Calc!$W$2:$W$124,Calc!$AD$2:$AD$124,Calc!$AK$2:$AK$124,Calc!$AN$2:$AN$124,Calc!$AO$2:$AO$124),MATCH($W187,Calc!$A$2:$A$124,0)),"")</f>
        <v>16.7432032947658</v>
      </c>
      <c r="H187" s="11" t="n">
        <f aca="false">IF(G187="","",IF(LEFT($X187,1)="H",SQRT(G187*(IFERROR(INDEX(Calc!$AP$2:$AP$124,MATCH($W187,Calc!$A$2:$A$124,0)),0.5)*Config!$B$5+1-IFERROR(INDEX(Calc!$AP$2:$AP$124,MATCH($W187,Calc!$A$2:$A$124,0)),0.5))),SQRT(G187*Config!$B$5)))</f>
        <v>4.51307664571547</v>
      </c>
      <c r="I187" s="10" t="n">
        <f aca="false">IF(OR(F187="",G187="",N(H187)&lt;=0),"",1-NORMDIST(FLOOR(F187,1)+0.5,G187,H187,TRUE()))</f>
        <v>0.60852122903733</v>
      </c>
      <c r="J187" s="10" t="n">
        <f aca="false">IF(I187="","",NORMDIST(CEILING(F187,1)-0.5,G187,H187,TRUE()))</f>
        <v>0.391478770962671</v>
      </c>
      <c r="K187" s="10" t="n">
        <f aca="false">IF(I187="","",MAX(0,1-I187-J187))</f>
        <v>0</v>
      </c>
      <c r="L187" s="0" t="str">
        <f aca="false">IF(I187="","",IF(I187&gt;=0.5+Config!$B$6,"OVER",IF(J187&gt;=0.5+Config!$B$6,"UNDER","—")))</f>
        <v>OVER</v>
      </c>
      <c r="N187" s="0" t="n">
        <v>14.9</v>
      </c>
      <c r="O187" s="10" t="n">
        <v>0.4</v>
      </c>
      <c r="P187" s="10" t="n">
        <v>0.4</v>
      </c>
      <c r="Q187" s="10" t="n">
        <v>0.47</v>
      </c>
      <c r="R187" s="9" t="s">
        <v>1224</v>
      </c>
      <c r="S187" s="0" t="n">
        <v>1</v>
      </c>
      <c r="T187" s="0" t="str">
        <f aca="false">INDEX(Calc!$G$2:$G$124,MATCH($W187,Calc!$A$2:$A$124,0))&amp;" / "&amp;INDEX(Calc!$H$2:$H$124,MATCH($W187,Calc!$A$2:$A$124,0))</f>
        <v>Mirage / Dust2</v>
      </c>
      <c r="U187" s="0" t="str">
        <f aca="false">TEXT(INDEX(Calc!$J$2:$J$124,MATCH($W187,Calc!$A$2:$A$124,0)),"0.0")&amp;" / "&amp;TEXT(INDEX(Calc!$K$2:$K$124,MATCH($W187,Calc!$A$2:$A$124,0)),"0.0")</f>
        <v>21.3 / 21.1</v>
      </c>
      <c r="V187" s="0" t="str">
        <f aca="false">IFERROR(INDEX(Calc!$AQ$2:$AQ$124,MATCH($W187,Calc!$A$2:$A$124,0)),"")</f>
        <v/>
      </c>
      <c r="W187" s="9" t="s">
        <v>1335</v>
      </c>
      <c r="X187" s="9" t="s">
        <v>1110</v>
      </c>
      <c r="Y187" s="0" t="str">
        <f aca="false">W187&amp;"|"&amp;X187</f>
        <v>ih00nznuepxs9r3|CS2 · MOUZ vs 9z|H12</v>
      </c>
      <c r="Z187" s="11" t="n">
        <f aca="false">IFERROR(INDEX(CHOOSE(MATCH($X187,{"K1","K2","K3","K12","K13","H1","H2","H3","H12","H13"},0),Calc!$BA$2:$BA$124,Calc!$BB$2:$BB$124,Calc!$BC$2:$BC$124,Calc!$BD$2:$BD$124,Calc!$BE$2:$BE$124,Calc!$BF$2:$BF$124,Calc!$BG$2:$BG$124,Calc!$BH$2:$BH$124,Calc!$BI$2:$BI$124,Calc!$BJ$2:$BJ$124),MATCH($W187,Calc!$A$2:$A$124,0)),"")</f>
        <v>16.9087671784397</v>
      </c>
      <c r="AA187" s="11" t="n">
        <f aca="false">IF(Z187="","",IF(LEFT($X187,1)="H",SQRT(Z187*(IFERROR(INDEX(Calc!$AP$2:$AP$124,MATCH($W187,Calc!$A$2:$A$124,0)),0.5)*Config!$B$5+1-IFERROR(INDEX(Calc!$AP$2:$AP$124,MATCH($W187,Calc!$A$2:$A$124,0)),0.5))),SQRT(Z187*Config!$B$5)))</f>
        <v>4.53533536158677</v>
      </c>
      <c r="AB187" s="10" t="n">
        <f aca="false">IF(OR(F187="",Z187="",N(AA187)&lt;=0),"",1-NORMDIST(FLOOR(F187,1)+0.5,Z187,AA187,TRUE()))</f>
        <v>0.621955349166133</v>
      </c>
      <c r="AC187" s="10" t="n">
        <f aca="false">IF(AB187="","",NORMDIST(CEILING(F187,1)-0.5,Z187,AA187,TRUE()))</f>
        <v>0.378044650833867</v>
      </c>
      <c r="AD187" s="0" t="str">
        <f aca="false">IF(AB187="","",IF(AB187&gt;=0.5+Config!$B$6,"OVER",IF(AC187&gt;=0.5+Config!$B$6,"UNDER","—")))</f>
        <v>OVER</v>
      </c>
      <c r="AE187" s="13" t="n">
        <f aca="false">IFERROR(Z187/G187,"")</f>
        <v>1.00988842342526</v>
      </c>
    </row>
    <row r="188" customFormat="false" ht="15" hidden="false" customHeight="false" outlineLevel="0" collapsed="false">
      <c r="A188" s="0" t="s">
        <v>988</v>
      </c>
      <c r="B188" s="0" t="s">
        <v>1034</v>
      </c>
      <c r="C188" s="0" t="s">
        <v>1334</v>
      </c>
      <c r="D188" s="0" t="s">
        <v>1039</v>
      </c>
      <c r="E188" s="0" t="s">
        <v>1111</v>
      </c>
      <c r="F188" s="0" t="n">
        <v>30.5</v>
      </c>
      <c r="G188" s="11" t="n">
        <f aca="false">IFERROR(INDEX(CHOOSE(MATCH($X188,{"K1","K2","K3","K12","K13","H1","H2","H3","H12","H13"},0),Calc!$V$2:$V$124,Calc!$AC$2:$AC$124,Calc!$AJ$2:$AJ$124,Calc!$AL$2:$AL$124,Calc!$AM$2:$AM$124,Calc!$W$2:$W$124,Calc!$AD$2:$AD$124,Calc!$AK$2:$AK$124,Calc!$AN$2:$AN$124,Calc!$AO$2:$AO$124),MATCH($W188,Calc!$A$2:$A$124,0)),"")</f>
        <v>30.9364242424242</v>
      </c>
      <c r="H188" s="11" t="n">
        <f aca="false">IF(G188="","",IF(LEFT($X188,1)="H",SQRT(G188*(IFERROR(INDEX(Calc!$AP$2:$AP$124,MATCH($W188,Calc!$A$2:$A$124,0)),0.5)*Config!$B$5+1-IFERROR(INDEX(Calc!$AP$2:$AP$124,MATCH($W188,Calc!$A$2:$A$124,0)),0.5))),SQRT(G188*Config!$B$5)))</f>
        <v>6.58110886852618</v>
      </c>
      <c r="I188" s="10" t="n">
        <f aca="false">IF(OR(F188="",G188="",N(H188)&lt;=0),"",1-NORMDIST(FLOOR(F188,1)+0.5,G188,H188,TRUE()))</f>
        <v>0.526436358880177</v>
      </c>
      <c r="J188" s="10" t="n">
        <f aca="false">IF(I188="","",NORMDIST(CEILING(F188,1)-0.5,G188,H188,TRUE()))</f>
        <v>0.473563641119823</v>
      </c>
      <c r="K188" s="10" t="n">
        <f aca="false">IF(I188="","",MAX(0,1-I188-J188))</f>
        <v>0</v>
      </c>
      <c r="L188" s="0" t="str">
        <f aca="false">IF(I188="","",IF(I188&gt;=0.5+Config!$B$6,"OVER",IF(J188&gt;=0.5+Config!$B$6,"UNDER","—")))</f>
        <v>—</v>
      </c>
      <c r="M188" s="0" t="n">
        <v>30</v>
      </c>
      <c r="N188" s="0" t="n">
        <v>30</v>
      </c>
      <c r="O188" s="10" t="n">
        <v>0.4</v>
      </c>
      <c r="P188" s="10" t="n">
        <v>0.5</v>
      </c>
      <c r="Q188" s="10" t="n">
        <v>0.47</v>
      </c>
      <c r="R188" s="9" t="s">
        <v>1224</v>
      </c>
      <c r="S188" s="0" t="n">
        <v>1</v>
      </c>
      <c r="T188" s="0" t="str">
        <f aca="false">INDEX(Calc!$G$2:$G$124,MATCH($W188,Calc!$A$2:$A$124,0))&amp;" / "&amp;INDEX(Calc!$H$2:$H$124,MATCH($W188,Calc!$A$2:$A$124,0))</f>
        <v>Mirage / Dust2</v>
      </c>
      <c r="U188" s="0" t="str">
        <f aca="false">TEXT(INDEX(Calc!$J$2:$J$124,MATCH($W188,Calc!$A$2:$A$124,0)),"0.0")&amp;" / "&amp;TEXT(INDEX(Calc!$K$2:$K$124,MATCH($W188,Calc!$A$2:$A$124,0)),"0.0")</f>
        <v>21.3 / 21.1</v>
      </c>
      <c r="V188" s="0" t="str">
        <f aca="false">IFERROR(INDEX(Calc!$AQ$2:$AQ$124,MATCH($W188,Calc!$A$2:$A$124,0)),"")</f>
        <v/>
      </c>
      <c r="W188" s="9" t="s">
        <v>1335</v>
      </c>
      <c r="X188" s="9" t="s">
        <v>1112</v>
      </c>
      <c r="Y188" s="0" t="str">
        <f aca="false">W188&amp;"|"&amp;X188</f>
        <v>ih00nznuepxs9r3|CS2 · MOUZ vs 9z|K12</v>
      </c>
      <c r="Z188" s="11" t="n">
        <f aca="false">IFERROR(INDEX(CHOOSE(MATCH($X188,{"K1","K2","K3","K12","K13","H1","H2","H3","H12","H13"},0),Calc!$BA$2:$BA$124,Calc!$BB$2:$BB$124,Calc!$BC$2:$BC$124,Calc!$BD$2:$BD$124,Calc!$BE$2:$BE$124,Calc!$BF$2:$BF$124,Calc!$BG$2:$BG$124,Calc!$BH$2:$BH$124,Calc!$BI$2:$BI$124,Calc!$BJ$2:$BJ$124),MATCH($W188,Calc!$A$2:$A$124,0)),"")</f>
        <v>31.1999541898914</v>
      </c>
      <c r="AA188" s="11" t="n">
        <f aca="false">IF(Z188="","",IF(LEFT($X188,1)="H",SQRT(Z188*(IFERROR(INDEX(Calc!$AP$2:$AP$124,MATCH($W188,Calc!$A$2:$A$124,0)),0.5)*Config!$B$5+1-IFERROR(INDEX(Calc!$AP$2:$AP$124,MATCH($W188,Calc!$A$2:$A$124,0)),0.5))),SQRT(Z188*Config!$B$5)))</f>
        <v>6.60907980477222</v>
      </c>
      <c r="AB188" s="10" t="n">
        <f aca="false">IF(OR(F188="",Z188="",N(AA188)&lt;=0),"",1-NORMDIST(FLOOR(F188,1)+0.5,Z188,AA188,TRUE()))</f>
        <v>0.542172312606049</v>
      </c>
      <c r="AC188" s="10" t="n">
        <f aca="false">IF(AB188="","",NORMDIST(CEILING(F188,1)-0.5,Z188,AA188,TRUE()))</f>
        <v>0.457827687393951</v>
      </c>
      <c r="AD188" s="0" t="str">
        <f aca="false">IF(AB188="","",IF(AB188&gt;=0.5+Config!$B$6,"OVER",IF(AC188&gt;=0.5+Config!$B$6,"UNDER","—")))</f>
        <v>OVER</v>
      </c>
      <c r="AE188" s="13" t="n">
        <f aca="false">IFERROR(Z188/G188,"")</f>
        <v>1.00851843591884</v>
      </c>
    </row>
    <row r="189" customFormat="false" ht="15" hidden="false" customHeight="false" outlineLevel="0" collapsed="false">
      <c r="A189" s="0" t="s">
        <v>988</v>
      </c>
      <c r="B189" s="0" t="s">
        <v>996</v>
      </c>
      <c r="C189" s="0" t="s">
        <v>1336</v>
      </c>
      <c r="D189" s="0" t="s">
        <v>1000</v>
      </c>
      <c r="E189" s="0" t="s">
        <v>1107</v>
      </c>
      <c r="F189" s="0" t="n">
        <v>24</v>
      </c>
      <c r="G189" s="11" t="n">
        <f aca="false">IFERROR(INDEX(CHOOSE(MATCH($X189,{"K1","K2","K3","K12","K13","H1","H2","H3","H12","H13"},0),Calc!$V$2:$V$124,Calc!$AC$2:$AC$124,Calc!$AJ$2:$AJ$124,Calc!$AL$2:$AL$124,Calc!$AM$2:$AM$124,Calc!$W$2:$W$124,Calc!$AD$2:$AD$124,Calc!$AK$2:$AK$124,Calc!$AN$2:$AN$124,Calc!$AO$2:$AO$124),MATCH($W189,Calc!$A$2:$A$124,0)),"")</f>
        <v>21.6225173256944</v>
      </c>
      <c r="H189" s="11" t="n">
        <f aca="false">IF(G189="","",IF(LEFT($X189,1)="H",SQRT(G189*(IFERROR(INDEX(Calc!$AP$2:$AP$124,MATCH($W189,Calc!$A$2:$A$124,0)),0.5)*Config!$B$5+1-IFERROR(INDEX(Calc!$AP$2:$AP$124,MATCH($W189,Calc!$A$2:$A$124,0)),0.5))),SQRT(G189*Config!$B$5)))</f>
        <v>5.19961658957626</v>
      </c>
      <c r="I189" s="10" t="n">
        <f aca="false">IF(OR(F189="",G189="",N(H189)&lt;=0),"",1-NORMDIST(FLOOR(F189,1)+0.5,G189,H189,TRUE()))</f>
        <v>0.289993791620205</v>
      </c>
      <c r="J189" s="10" t="n">
        <f aca="false">IF(I189="","",NORMDIST(CEILING(F189,1)-0.5,G189,H189,TRUE()))</f>
        <v>0.640980545864716</v>
      </c>
      <c r="K189" s="10" t="n">
        <f aca="false">IF(I189="","",MAX(0,1-I189-J189))</f>
        <v>0.0690256625150791</v>
      </c>
      <c r="L189" s="0" t="str">
        <f aca="false">IF(I189="","",IF(I189&gt;=0.5+Config!$B$6,"OVER",IF(J189&gt;=0.5+Config!$B$6,"UNDER","—")))</f>
        <v>UNDER</v>
      </c>
      <c r="N189" s="0" t="n">
        <v>22.7</v>
      </c>
      <c r="O189" s="10" t="n">
        <v>0.2</v>
      </c>
      <c r="P189" s="10" t="n">
        <v>0.4</v>
      </c>
      <c r="Q189" s="10" t="n">
        <v>0.47</v>
      </c>
      <c r="R189" s="9" t="s">
        <v>1131</v>
      </c>
      <c r="S189" s="0" t="n">
        <v>-4</v>
      </c>
      <c r="T189" s="0" t="str">
        <f aca="false">INDEX(Calc!$G$2:$G$124,MATCH($W189,Calc!$A$2:$A$124,0))&amp;" / "&amp;INDEX(Calc!$H$2:$H$124,MATCH($W189,Calc!$A$2:$A$124,0))</f>
        <v>Mirage / Ancient</v>
      </c>
      <c r="U189" s="0" t="str">
        <f aca="false">TEXT(INDEX(Calc!$J$2:$J$124,MATCH($W189,Calc!$A$2:$A$124,0)),"0.0")&amp;" / "&amp;TEXT(INDEX(Calc!$K$2:$K$124,MATCH($W189,Calc!$A$2:$A$124,0)),"0.0")</f>
        <v>20.6 / 20.3</v>
      </c>
      <c r="V189" s="0" t="str">
        <f aca="false">IFERROR(INDEX(Calc!$AQ$2:$AQ$124,MATCH($W189,Calc!$A$2:$A$124,0)),"")</f>
        <v/>
      </c>
      <c r="W189" s="9" t="s">
        <v>1337</v>
      </c>
      <c r="X189" s="9" t="s">
        <v>1110</v>
      </c>
      <c r="Y189" s="0" t="str">
        <f aca="false">W189&amp;"|"&amp;X189</f>
        <v>jm8g7f19qs3a8gx|CS2 · TS vs TYLOO|H12</v>
      </c>
      <c r="Z189" s="11" t="n">
        <f aca="false">IFERROR(INDEX(CHOOSE(MATCH($X189,{"K1","K2","K3","K12","K13","H1","H2","H3","H12","H13"},0),Calc!$BA$2:$BA$124,Calc!$BB$2:$BB$124,Calc!$BC$2:$BC$124,Calc!$BD$2:$BD$124,Calc!$BE$2:$BE$124,Calc!$BF$2:$BF$124,Calc!$BG$2:$BG$124,Calc!$BH$2:$BH$124,Calc!$BI$2:$BI$124,Calc!$BJ$2:$BJ$124),MATCH($W189,Calc!$A$2:$A$124,0)),"")</f>
        <v>22.2385694467355</v>
      </c>
      <c r="AA189" s="11" t="n">
        <f aca="false">IF(Z189="","",IF(LEFT($X189,1)="H",SQRT(Z189*(IFERROR(INDEX(Calc!$AP$2:$AP$124,MATCH($W189,Calc!$A$2:$A$124,0)),0.5)*Config!$B$5+1-IFERROR(INDEX(Calc!$AP$2:$AP$124,MATCH($W189,Calc!$A$2:$A$124,0)),0.5))),SQRT(Z189*Config!$B$5)))</f>
        <v>5.2731681124849</v>
      </c>
      <c r="AB189" s="10" t="n">
        <f aca="false">IF(OR(F189="",Z189="",N(AA189)&lt;=0),"",1-NORMDIST(FLOOR(F189,1)+0.5,Z189,AA189,TRUE()))</f>
        <v>0.334013958139042</v>
      </c>
      <c r="AC189" s="10" t="n">
        <f aca="false">IF(AB189="","",NORMDIST(CEILING(F189,1)-0.5,Z189,AA189,TRUE()))</f>
        <v>0.594531273003236</v>
      </c>
      <c r="AD189" s="0" t="str">
        <f aca="false">IF(AB189="","",IF(AB189&gt;=0.5+Config!$B$6,"OVER",IF(AC189&gt;=0.5+Config!$B$6,"UNDER","—")))</f>
        <v>UNDER</v>
      </c>
      <c r="AE189" s="13" t="n">
        <f aca="false">IFERROR(Z189/G189,"")</f>
        <v>1.02849123031151</v>
      </c>
    </row>
    <row r="190" customFormat="false" ht="15" hidden="false" customHeight="false" outlineLevel="0" collapsed="false">
      <c r="A190" s="0" t="s">
        <v>988</v>
      </c>
      <c r="B190" s="0" t="s">
        <v>996</v>
      </c>
      <c r="C190" s="0" t="s">
        <v>1336</v>
      </c>
      <c r="D190" s="0" t="s">
        <v>1000</v>
      </c>
      <c r="E190" s="0" t="s">
        <v>1111</v>
      </c>
      <c r="F190" s="0" t="n">
        <v>38.5</v>
      </c>
      <c r="G190" s="11" t="n">
        <f aca="false">IFERROR(INDEX(CHOOSE(MATCH($X190,{"K1","K2","K3","K12","K13","H1","H2","H3","H12","H13"},0),Calc!$V$2:$V$124,Calc!$AC$2:$AC$124,Calc!$AJ$2:$AJ$124,Calc!$AL$2:$AL$124,Calc!$AM$2:$AM$124,Calc!$W$2:$W$124,Calc!$AD$2:$AD$124,Calc!$AK$2:$AK$124,Calc!$AN$2:$AN$124,Calc!$AO$2:$AO$124),MATCH($W190,Calc!$A$2:$A$124,0)),"")</f>
        <v>34.5457583333333</v>
      </c>
      <c r="H190" s="11" t="n">
        <f aca="false">IF(G190="","",IF(LEFT($X190,1)="H",SQRT(G190*(IFERROR(INDEX(Calc!$AP$2:$AP$124,MATCH($W190,Calc!$A$2:$A$124,0)),0.5)*Config!$B$5+1-IFERROR(INDEX(Calc!$AP$2:$AP$124,MATCH($W190,Calc!$A$2:$A$124,0)),0.5))),SQRT(G190*Config!$B$5)))</f>
        <v>6.95442748662078</v>
      </c>
      <c r="I190" s="10" t="n">
        <f aca="false">IF(OR(F190="",G190="",N(H190)&lt;=0),"",1-NORMDIST(FLOOR(F190,1)+0.5,G190,H190,TRUE()))</f>
        <v>0.284816047690495</v>
      </c>
      <c r="J190" s="10" t="n">
        <f aca="false">IF(I190="","",NORMDIST(CEILING(F190,1)-0.5,G190,H190,TRUE()))</f>
        <v>0.715183952309505</v>
      </c>
      <c r="K190" s="10" t="n">
        <f aca="false">IF(I190="","",MAX(0,1-I190-J190))</f>
        <v>0</v>
      </c>
      <c r="L190" s="0" t="str">
        <f aca="false">IF(I190="","",IF(I190&gt;=0.5+Config!$B$6,"OVER",IF(J190&gt;=0.5+Config!$B$6,"UNDER","—")))</f>
        <v>UNDER</v>
      </c>
      <c r="M190" s="0" t="n">
        <v>39</v>
      </c>
      <c r="N190" s="0" t="n">
        <v>34</v>
      </c>
      <c r="O190" s="10" t="n">
        <v>0.2</v>
      </c>
      <c r="P190" s="10" t="n">
        <v>0.2</v>
      </c>
      <c r="Q190" s="10" t="n">
        <v>0.33</v>
      </c>
      <c r="R190" s="9" t="s">
        <v>1131</v>
      </c>
      <c r="S190" s="0" t="n">
        <v>-4</v>
      </c>
      <c r="T190" s="0" t="str">
        <f aca="false">INDEX(Calc!$G$2:$G$124,MATCH($W190,Calc!$A$2:$A$124,0))&amp;" / "&amp;INDEX(Calc!$H$2:$H$124,MATCH($W190,Calc!$A$2:$A$124,0))</f>
        <v>Mirage / Ancient</v>
      </c>
      <c r="U190" s="0" t="str">
        <f aca="false">TEXT(INDEX(Calc!$J$2:$J$124,MATCH($W190,Calc!$A$2:$A$124,0)),"0.0")&amp;" / "&amp;TEXT(INDEX(Calc!$K$2:$K$124,MATCH($W190,Calc!$A$2:$A$124,0)),"0.0")</f>
        <v>20.6 / 20.3</v>
      </c>
      <c r="V190" s="0" t="str">
        <f aca="false">IFERROR(INDEX(Calc!$AQ$2:$AQ$124,MATCH($W190,Calc!$A$2:$A$124,0)),"")</f>
        <v/>
      </c>
      <c r="W190" s="9" t="s">
        <v>1337</v>
      </c>
      <c r="X190" s="9" t="s">
        <v>1112</v>
      </c>
      <c r="Y190" s="0" t="str">
        <f aca="false">W190&amp;"|"&amp;X190</f>
        <v>jm8g7f19qs3a8gx|CS2 · TS vs TYLOO|K12</v>
      </c>
      <c r="Z190" s="11" t="n">
        <f aca="false">IFERROR(INDEX(CHOOSE(MATCH($X190,{"K1","K2","K3","K12","K13","H1","H2","H3","H12","H13"},0),Calc!$BA$2:$BA$124,Calc!$BB$2:$BB$124,Calc!$BC$2:$BC$124,Calc!$BD$2:$BD$124,Calc!$BE$2:$BE$124,Calc!$BF$2:$BF$124,Calc!$BG$2:$BG$124,Calc!$BH$2:$BH$124,Calc!$BI$2:$BI$124,Calc!$BJ$2:$BJ$124),MATCH($W190,Calc!$A$2:$A$124,0)),"")</f>
        <v>35.5328584662355</v>
      </c>
      <c r="AA190" s="11" t="n">
        <f aca="false">IF(Z190="","",IF(LEFT($X190,1)="H",SQRT(Z190*(IFERROR(INDEX(Calc!$AP$2:$AP$124,MATCH($W190,Calc!$A$2:$A$124,0)),0.5)*Config!$B$5+1-IFERROR(INDEX(Calc!$AP$2:$AP$124,MATCH($W190,Calc!$A$2:$A$124,0)),0.5))),SQRT(Z190*Config!$B$5)))</f>
        <v>7.05308456299296</v>
      </c>
      <c r="AB190" s="10" t="n">
        <f aca="false">IF(OR(F190="",Z190="",N(AA190)&lt;=0),"",1-NORMDIST(FLOOR(F190,1)+0.5,Z190,AA190,TRUE()))</f>
        <v>0.336991799228419</v>
      </c>
      <c r="AC190" s="10" t="n">
        <f aca="false">IF(AB190="","",NORMDIST(CEILING(F190,1)-0.5,Z190,AA190,TRUE()))</f>
        <v>0.663008200771582</v>
      </c>
      <c r="AD190" s="0" t="str">
        <f aca="false">IF(AB190="","",IF(AB190&gt;=0.5+Config!$B$6,"OVER",IF(AC190&gt;=0.5+Config!$B$6,"UNDER","—")))</f>
        <v>UNDER</v>
      </c>
      <c r="AE190" s="13" t="n">
        <f aca="false">IFERROR(Z190/G190,"")</f>
        <v>1.02857369994248</v>
      </c>
    </row>
    <row r="191" customFormat="false" ht="15" hidden="false" customHeight="false" outlineLevel="0" collapsed="false">
      <c r="A191" s="0" t="s">
        <v>988</v>
      </c>
      <c r="B191" s="0" t="s">
        <v>996</v>
      </c>
      <c r="C191" s="0" t="s">
        <v>1338</v>
      </c>
      <c r="D191" s="0" t="s">
        <v>1000</v>
      </c>
      <c r="E191" s="0" t="s">
        <v>1107</v>
      </c>
      <c r="F191" s="0" t="n">
        <v>13</v>
      </c>
      <c r="G191" s="11" t="n">
        <f aca="false">IFERROR(INDEX(CHOOSE(MATCH($X191,{"K1","K2","K3","K12","K13","H1","H2","H3","H12","H13"},0),Calc!$V$2:$V$124,Calc!$AC$2:$AC$124,Calc!$AJ$2:$AJ$124,Calc!$AL$2:$AL$124,Calc!$AM$2:$AM$124,Calc!$W$2:$W$124,Calc!$AD$2:$AD$124,Calc!$AK$2:$AK$124,Calc!$AN$2:$AN$124,Calc!$AO$2:$AO$124),MATCH($W191,Calc!$A$2:$A$124,0)),"")</f>
        <v>12.1611052548611</v>
      </c>
      <c r="H191" s="11" t="n">
        <f aca="false">IF(G191="","",IF(LEFT($X191,1)="H",SQRT(G191*(IFERROR(INDEX(Calc!$AP$2:$AP$124,MATCH($W191,Calc!$A$2:$A$124,0)),0.5)*Config!$B$5+1-IFERROR(INDEX(Calc!$AP$2:$AP$124,MATCH($W191,Calc!$A$2:$A$124,0)),0.5))),SQRT(G191*Config!$B$5)))</f>
        <v>3.82670790330008</v>
      </c>
      <c r="I191" s="10" t="n">
        <f aca="false">IF(OR(F191="",G191="",N(H191)&lt;=0),"",1-NORMDIST(FLOOR(F191,1)+0.5,G191,H191,TRUE()))</f>
        <v>0.363213772200546</v>
      </c>
      <c r="J191" s="10" t="n">
        <f aca="false">IF(I191="","",NORMDIST(CEILING(F191,1)-0.5,G191,H191,TRUE()))</f>
        <v>0.535284355810523</v>
      </c>
      <c r="K191" s="10" t="n">
        <f aca="false">IF(I191="","",MAX(0,1-I191-J191))</f>
        <v>0.101501871988932</v>
      </c>
      <c r="L191" s="0" t="str">
        <f aca="false">IF(I191="","",IF(I191&gt;=0.5+Config!$B$6,"OVER",IF(J191&gt;=0.5+Config!$B$6,"UNDER","—")))</f>
        <v>—</v>
      </c>
      <c r="N191" s="0" t="n">
        <v>12.3</v>
      </c>
      <c r="O191" s="10" t="n">
        <v>0.4</v>
      </c>
      <c r="P191" s="10" t="n">
        <v>0.3</v>
      </c>
      <c r="Q191" s="10" t="n">
        <v>0.4</v>
      </c>
      <c r="R191" s="9" t="s">
        <v>1131</v>
      </c>
      <c r="S191" s="0" t="n">
        <v>-3</v>
      </c>
      <c r="T191" s="0" t="str">
        <f aca="false">INDEX(Calc!$G$2:$G$124,MATCH($W191,Calc!$A$2:$A$124,0))&amp;" / "&amp;INDEX(Calc!$H$2:$H$124,MATCH($W191,Calc!$A$2:$A$124,0))</f>
        <v>Mirage / Ancient</v>
      </c>
      <c r="U191" s="0" t="str">
        <f aca="false">TEXT(INDEX(Calc!$J$2:$J$124,MATCH($W191,Calc!$A$2:$A$124,0)),"0.0")&amp;" / "&amp;TEXT(INDEX(Calc!$K$2:$K$124,MATCH($W191,Calc!$A$2:$A$124,0)),"0.0")</f>
        <v>20.6 / 20.3</v>
      </c>
      <c r="V191" s="0" t="str">
        <f aca="false">IFERROR(INDEX(Calc!$AQ$2:$AQ$124,MATCH($W191,Calc!$A$2:$A$124,0)),"")</f>
        <v/>
      </c>
      <c r="W191" s="9" t="s">
        <v>1339</v>
      </c>
      <c r="X191" s="9" t="s">
        <v>1110</v>
      </c>
      <c r="Y191" s="0" t="str">
        <f aca="false">W191&amp;"|"&amp;X191</f>
        <v>lfjx2i4g14pwgag|CS2 · TS vs TYLOO|H12</v>
      </c>
      <c r="Z191" s="11" t="n">
        <f aca="false">IFERROR(INDEX(CHOOSE(MATCH($X191,{"K1","K2","K3","K12","K13","H1","H2","H3","H12","H13"},0),Calc!$BA$2:$BA$124,Calc!$BB$2:$BB$124,Calc!$BC$2:$BC$124,Calc!$BD$2:$BD$124,Calc!$BE$2:$BE$124,Calc!$BF$2:$BF$124,Calc!$BG$2:$BG$124,Calc!$BH$2:$BH$124,Calc!$BI$2:$BI$124,Calc!$BJ$2:$BJ$124),MATCH($W191,Calc!$A$2:$A$124,0)),"")</f>
        <v>12.5047575168243</v>
      </c>
      <c r="AA191" s="11" t="n">
        <f aca="false">IF(Z191="","",IF(LEFT($X191,1)="H",SQRT(Z191*(IFERROR(INDEX(Calc!$AP$2:$AP$124,MATCH($W191,Calc!$A$2:$A$124,0)),0.5)*Config!$B$5+1-IFERROR(INDEX(Calc!$AP$2:$AP$124,MATCH($W191,Calc!$A$2:$A$124,0)),0.5))),SQRT(Z191*Config!$B$5)))</f>
        <v>3.88039938405406</v>
      </c>
      <c r="AB191" s="10" t="n">
        <f aca="false">IF(OR(F191="",Z191="",N(AA191)&lt;=0),"",1-NORMDIST(FLOOR(F191,1)+0.5,Z191,AA191,TRUE()))</f>
        <v>0.398790344751642</v>
      </c>
      <c r="AC191" s="10" t="n">
        <f aca="false">IF(AB191="","",NORMDIST(CEILING(F191,1)-0.5,Z191,AA191,TRUE()))</f>
        <v>0.499510881755303</v>
      </c>
      <c r="AD191" s="0" t="str">
        <f aca="false">IF(AB191="","",IF(AB191&gt;=0.5+Config!$B$6,"OVER",IF(AC191&gt;=0.5+Config!$B$6,"UNDER","—")))</f>
        <v>—</v>
      </c>
      <c r="AE191" s="13" t="n">
        <f aca="false">IFERROR(Z191/G191,"")</f>
        <v>1.02825830833311</v>
      </c>
    </row>
    <row r="192" customFormat="false" ht="15" hidden="false" customHeight="false" outlineLevel="0" collapsed="false">
      <c r="A192" s="0" t="s">
        <v>988</v>
      </c>
      <c r="B192" s="0" t="s">
        <v>996</v>
      </c>
      <c r="C192" s="0" t="s">
        <v>1338</v>
      </c>
      <c r="D192" s="0" t="s">
        <v>1000</v>
      </c>
      <c r="E192" s="0" t="s">
        <v>1111</v>
      </c>
      <c r="F192" s="0" t="n">
        <v>25.5</v>
      </c>
      <c r="G192" s="11" t="n">
        <f aca="false">IFERROR(INDEX(CHOOSE(MATCH($X192,{"K1","K2","K3","K12","K13","H1","H2","H3","H12","H13"},0),Calc!$V$2:$V$124,Calc!$AC$2:$AC$124,Calc!$AJ$2:$AJ$124,Calc!$AL$2:$AL$124,Calc!$AM$2:$AM$124,Calc!$W$2:$W$124,Calc!$AD$2:$AD$124,Calc!$AK$2:$AK$124,Calc!$AN$2:$AN$124,Calc!$AO$2:$AO$124),MATCH($W192,Calc!$A$2:$A$124,0)),"")</f>
        <v>23.8287583333333</v>
      </c>
      <c r="H192" s="11" t="n">
        <f aca="false">IF(G192="","",IF(LEFT($X192,1)="H",SQRT(G192*(IFERROR(INDEX(Calc!$AP$2:$AP$124,MATCH($W192,Calc!$A$2:$A$124,0)),0.5)*Config!$B$5+1-IFERROR(INDEX(Calc!$AP$2:$AP$124,MATCH($W192,Calc!$A$2:$A$124,0)),0.5))),SQRT(G192*Config!$B$5)))</f>
        <v>5.77583428317214</v>
      </c>
      <c r="I192" s="10" t="n">
        <f aca="false">IF(OR(F192="",G192="",N(H192)&lt;=0),"",1-NORMDIST(FLOOR(F192,1)+0.5,G192,H192,TRUE()))</f>
        <v>0.386156510618211</v>
      </c>
      <c r="J192" s="10" t="n">
        <f aca="false">IF(I192="","",NORMDIST(CEILING(F192,1)-0.5,G192,H192,TRUE()))</f>
        <v>0.613843489381789</v>
      </c>
      <c r="K192" s="10" t="n">
        <f aca="false">IF(I192="","",MAX(0,1-I192-J192))</f>
        <v>0</v>
      </c>
      <c r="L192" s="0" t="str">
        <f aca="false">IF(I192="","",IF(I192&gt;=0.5+Config!$B$6,"OVER",IF(J192&gt;=0.5+Config!$B$6,"UNDER","—")))</f>
        <v>UNDER</v>
      </c>
      <c r="M192" s="0" t="n">
        <v>25</v>
      </c>
      <c r="N192" s="0" t="n">
        <v>23.6</v>
      </c>
      <c r="O192" s="10" t="n">
        <v>0.4</v>
      </c>
      <c r="P192" s="10" t="n">
        <v>0.3</v>
      </c>
      <c r="Q192" s="10" t="n">
        <v>0.33</v>
      </c>
      <c r="R192" s="9" t="s">
        <v>1124</v>
      </c>
      <c r="S192" s="0" t="n">
        <v>-3</v>
      </c>
      <c r="T192" s="0" t="str">
        <f aca="false">INDEX(Calc!$G$2:$G$124,MATCH($W192,Calc!$A$2:$A$124,0))&amp;" / "&amp;INDEX(Calc!$H$2:$H$124,MATCH($W192,Calc!$A$2:$A$124,0))</f>
        <v>Mirage / Ancient</v>
      </c>
      <c r="U192" s="0" t="str">
        <f aca="false">TEXT(INDEX(Calc!$J$2:$J$124,MATCH($W192,Calc!$A$2:$A$124,0)),"0.0")&amp;" / "&amp;TEXT(INDEX(Calc!$K$2:$K$124,MATCH($W192,Calc!$A$2:$A$124,0)),"0.0")</f>
        <v>20.6 / 20.3</v>
      </c>
      <c r="V192" s="0" t="str">
        <f aca="false">IFERROR(INDEX(Calc!$AQ$2:$AQ$124,MATCH($W192,Calc!$A$2:$A$124,0)),"")</f>
        <v/>
      </c>
      <c r="W192" s="9" t="s">
        <v>1339</v>
      </c>
      <c r="X192" s="9" t="s">
        <v>1112</v>
      </c>
      <c r="Y192" s="0" t="str">
        <f aca="false">W192&amp;"|"&amp;X192</f>
        <v>lfjx2i4g14pwgag|CS2 · TS vs TYLOO|K12</v>
      </c>
      <c r="Z192" s="11" t="n">
        <f aca="false">IFERROR(INDEX(CHOOSE(MATCH($X192,{"K1","K2","K3","K12","K13","H1","H2","H3","H12","H13"},0),Calc!$BA$2:$BA$124,Calc!$BB$2:$BB$124,Calc!$BC$2:$BC$124,Calc!$BD$2:$BD$124,Calc!$BE$2:$BE$124,Calc!$BF$2:$BF$124,Calc!$BG$2:$BG$124,Calc!$BH$2:$BH$124,Calc!$BI$2:$BI$124,Calc!$BJ$2:$BJ$124),MATCH($W192,Calc!$A$2:$A$124,0)),"")</f>
        <v>24.5215775637734</v>
      </c>
      <c r="AA192" s="11" t="n">
        <f aca="false">IF(Z192="","",IF(LEFT($X192,1)="H",SQRT(Z192*(IFERROR(INDEX(Calc!$AP$2:$AP$124,MATCH($W192,Calc!$A$2:$A$124,0)),0.5)*Config!$B$5+1-IFERROR(INDEX(Calc!$AP$2:$AP$124,MATCH($W192,Calc!$A$2:$A$124,0)),0.5))),SQRT(Z192*Config!$B$5)))</f>
        <v>5.85919863029772</v>
      </c>
      <c r="AB192" s="10" t="n">
        <f aca="false">IF(OR(F192="",Z192="",N(AA192)&lt;=0),"",1-NORMDIST(FLOOR(F192,1)+0.5,Z192,AA192,TRUE()))</f>
        <v>0.433689303976226</v>
      </c>
      <c r="AC192" s="10" t="n">
        <f aca="false">IF(AB192="","",NORMDIST(CEILING(F192,1)-0.5,Z192,AA192,TRUE()))</f>
        <v>0.566310696023775</v>
      </c>
      <c r="AD192" s="0" t="str">
        <f aca="false">IF(AB192="","",IF(AB192&gt;=0.5+Config!$B$6,"OVER",IF(AC192&gt;=0.5+Config!$B$6,"UNDER","—")))</f>
        <v>UNDER</v>
      </c>
      <c r="AE192" s="13" t="n">
        <f aca="false">IFERROR(Z192/G192,"")</f>
        <v>1.02907491950476</v>
      </c>
    </row>
    <row r="193" customFormat="false" ht="15" hidden="false" customHeight="false" outlineLevel="0" collapsed="false">
      <c r="A193" s="0" t="s">
        <v>988</v>
      </c>
      <c r="B193" s="0" t="s">
        <v>996</v>
      </c>
      <c r="C193" s="0" t="s">
        <v>1340</v>
      </c>
      <c r="D193" s="0" t="s">
        <v>1000</v>
      </c>
      <c r="E193" s="0" t="s">
        <v>1107</v>
      </c>
      <c r="F193" s="0" t="n">
        <v>10.5</v>
      </c>
      <c r="G193" s="11" t="n">
        <f aca="false">IFERROR(INDEX(CHOOSE(MATCH($X193,{"K1","K2","K3","K12","K13","H1","H2","H3","H12","H13"},0),Calc!$V$2:$V$124,Calc!$AC$2:$AC$124,Calc!$AJ$2:$AJ$124,Calc!$AL$2:$AL$124,Calc!$AM$2:$AM$124,Calc!$W$2:$W$124,Calc!$AD$2:$AD$124,Calc!$AK$2:$AK$124,Calc!$AN$2:$AN$124,Calc!$AO$2:$AO$124),MATCH($W193,Calc!$A$2:$A$124,0)),"")</f>
        <v>9.8023387875</v>
      </c>
      <c r="H193" s="11" t="n">
        <f aca="false">IF(G193="","",IF(LEFT($X193,1)="H",SQRT(G193*(IFERROR(INDEX(Calc!$AP$2:$AP$124,MATCH($W193,Calc!$A$2:$A$124,0)),0.5)*Config!$B$5+1-IFERROR(INDEX(Calc!$AP$2:$AP$124,MATCH($W193,Calc!$A$2:$A$124,0)),0.5))),SQRT(G193*Config!$B$5)))</f>
        <v>3.33772692506396</v>
      </c>
      <c r="I193" s="10" t="n">
        <f aca="false">IF(OR(F193="",G193="",N(H193)&lt;=0),"",1-NORMDIST(FLOOR(F193,1)+0.5,G193,H193,TRUE()))</f>
        <v>0.417215198317604</v>
      </c>
      <c r="J193" s="10" t="n">
        <f aca="false">IF(I193="","",NORMDIST(CEILING(F193,1)-0.5,G193,H193,TRUE()))</f>
        <v>0.582784801682396</v>
      </c>
      <c r="K193" s="10" t="n">
        <f aca="false">IF(I193="","",MAX(0,1-I193-J193))</f>
        <v>0</v>
      </c>
      <c r="L193" s="0" t="str">
        <f aca="false">IF(I193="","",IF(I193&gt;=0.5+Config!$B$6,"OVER",IF(J193&gt;=0.5+Config!$B$6,"UNDER","—")))</f>
        <v>UNDER</v>
      </c>
      <c r="N193" s="0" t="n">
        <v>10.2</v>
      </c>
      <c r="O193" s="10" t="n">
        <v>0.2</v>
      </c>
      <c r="P193" s="10" t="n">
        <v>0.5</v>
      </c>
      <c r="Q193" s="10" t="n">
        <v>0.6</v>
      </c>
      <c r="R193" s="9" t="s">
        <v>1131</v>
      </c>
      <c r="S193" s="0" t="n">
        <v>-1</v>
      </c>
      <c r="T193" s="0" t="str">
        <f aca="false">INDEX(Calc!$G$2:$G$124,MATCH($W193,Calc!$A$2:$A$124,0))&amp;" / "&amp;INDEX(Calc!$H$2:$H$124,MATCH($W193,Calc!$A$2:$A$124,0))</f>
        <v>Mirage / Ancient</v>
      </c>
      <c r="U193" s="0" t="str">
        <f aca="false">TEXT(INDEX(Calc!$J$2:$J$124,MATCH($W193,Calc!$A$2:$A$124,0)),"0.0")&amp;" / "&amp;TEXT(INDEX(Calc!$K$2:$K$124,MATCH($W193,Calc!$A$2:$A$124,0)),"0.0")</f>
        <v>20.6 / 20.3</v>
      </c>
      <c r="V193" s="0" t="str">
        <f aca="false">IFERROR(INDEX(Calc!$AQ$2:$AQ$124,MATCH($W193,Calc!$A$2:$A$124,0)),"")</f>
        <v/>
      </c>
      <c r="W193" s="9" t="s">
        <v>1341</v>
      </c>
      <c r="X193" s="9" t="s">
        <v>1110</v>
      </c>
      <c r="Y193" s="0" t="str">
        <f aca="false">W193&amp;"|"&amp;X193</f>
        <v>4hpvy9eb05vcrre|CS2 · TS vs TYLOO|H12</v>
      </c>
      <c r="Z193" s="11" t="n">
        <f aca="false">IFERROR(INDEX(CHOOSE(MATCH($X193,{"K1","K2","K3","K12","K13","H1","H2","H3","H12","H13"},0),Calc!$BA$2:$BA$124,Calc!$BB$2:$BB$124,Calc!$BC$2:$BC$124,Calc!$BD$2:$BD$124,Calc!$BE$2:$BE$124,Calc!$BF$2:$BF$124,Calc!$BG$2:$BG$124,Calc!$BH$2:$BH$124,Calc!$BI$2:$BI$124,Calc!$BJ$2:$BJ$124),MATCH($W193,Calc!$A$2:$A$124,0)),"")</f>
        <v>10.0912514178597</v>
      </c>
      <c r="AA193" s="11" t="n">
        <f aca="false">IF(Z193="","",IF(LEFT($X193,1)="H",SQRT(Z193*(IFERROR(INDEX(Calc!$AP$2:$AP$124,MATCH($W193,Calc!$A$2:$A$124,0)),0.5)*Config!$B$5+1-IFERROR(INDEX(Calc!$AP$2:$AP$124,MATCH($W193,Calc!$A$2:$A$124,0)),0.5))),SQRT(Z193*Config!$B$5)))</f>
        <v>3.38655755707549</v>
      </c>
      <c r="AB193" s="10" t="n">
        <f aca="false">IF(OR(F193="",Z193="",N(AA193)&lt;=0),"",1-NORMDIST(FLOOR(F193,1)+0.5,Z193,AA193,TRUE()))</f>
        <v>0.451965372078382</v>
      </c>
      <c r="AC193" s="10" t="n">
        <f aca="false">IF(AB193="","",NORMDIST(CEILING(F193,1)-0.5,Z193,AA193,TRUE()))</f>
        <v>0.548034627921618</v>
      </c>
      <c r="AD193" s="0" t="str">
        <f aca="false">IF(AB193="","",IF(AB193&gt;=0.5+Config!$B$6,"OVER",IF(AC193&gt;=0.5+Config!$B$6,"UNDER","—")))</f>
        <v>UNDER</v>
      </c>
      <c r="AE193" s="13" t="n">
        <f aca="false">IFERROR(Z193/G193,"")</f>
        <v>1.02947384666281</v>
      </c>
    </row>
    <row r="194" customFormat="false" ht="15" hidden="false" customHeight="false" outlineLevel="0" collapsed="false">
      <c r="A194" s="0" t="s">
        <v>988</v>
      </c>
      <c r="B194" s="0" t="s">
        <v>996</v>
      </c>
      <c r="C194" s="0" t="s">
        <v>1340</v>
      </c>
      <c r="D194" s="0" t="s">
        <v>1000</v>
      </c>
      <c r="E194" s="0" t="s">
        <v>1111</v>
      </c>
      <c r="F194" s="0" t="n">
        <v>31</v>
      </c>
      <c r="G194" s="11" t="n">
        <f aca="false">IFERROR(INDEX(CHOOSE(MATCH($X194,{"K1","K2","K3","K12","K13","H1","H2","H3","H12","H13"},0),Calc!$V$2:$V$124,Calc!$AC$2:$AC$124,Calc!$AJ$2:$AJ$124,Calc!$AL$2:$AL$124,Calc!$AM$2:$AM$124,Calc!$W$2:$W$124,Calc!$AD$2:$AD$124,Calc!$AK$2:$AK$124,Calc!$AN$2:$AN$124,Calc!$AO$2:$AO$124),MATCH($W194,Calc!$A$2:$A$124,0)),"")</f>
        <v>28.72345</v>
      </c>
      <c r="H194" s="11" t="n">
        <f aca="false">IF(G194="","",IF(LEFT($X194,1)="H",SQRT(G194*(IFERROR(INDEX(Calc!$AP$2:$AP$124,MATCH($W194,Calc!$A$2:$A$124,0)),0.5)*Config!$B$5+1-IFERROR(INDEX(Calc!$AP$2:$AP$124,MATCH($W194,Calc!$A$2:$A$124,0)),0.5))),SQRT(G194*Config!$B$5)))</f>
        <v>6.34135868722153</v>
      </c>
      <c r="I194" s="10" t="n">
        <f aca="false">IF(OR(F194="",G194="",N(H194)&lt;=0),"",1-NORMDIST(FLOOR(F194,1)+0.5,G194,H194,TRUE()))</f>
        <v>0.330748306050068</v>
      </c>
      <c r="J194" s="10" t="n">
        <f aca="false">IF(I194="","",NORMDIST(CEILING(F194,1)-0.5,G194,H194,TRUE()))</f>
        <v>0.610319898119378</v>
      </c>
      <c r="K194" s="10" t="n">
        <f aca="false">IF(I194="","",MAX(0,1-I194-J194))</f>
        <v>0.0589317958305534</v>
      </c>
      <c r="L194" s="0" t="str">
        <f aca="false">IF(I194="","",IF(I194&gt;=0.5+Config!$B$6,"OVER",IF(J194&gt;=0.5+Config!$B$6,"UNDER","—")))</f>
        <v>UNDER</v>
      </c>
      <c r="M194" s="0" t="n">
        <v>31.59</v>
      </c>
      <c r="N194" s="0" t="n">
        <v>31</v>
      </c>
      <c r="O194" s="10" t="n">
        <v>0.2</v>
      </c>
      <c r="P194" s="10" t="n">
        <v>0.4</v>
      </c>
      <c r="Q194" s="10" t="n">
        <v>0.47</v>
      </c>
      <c r="R194" s="9" t="s">
        <v>1131</v>
      </c>
      <c r="S194" s="0" t="n">
        <v>-4</v>
      </c>
      <c r="T194" s="0" t="str">
        <f aca="false">INDEX(Calc!$G$2:$G$124,MATCH($W194,Calc!$A$2:$A$124,0))&amp;" / "&amp;INDEX(Calc!$H$2:$H$124,MATCH($W194,Calc!$A$2:$A$124,0))</f>
        <v>Mirage / Ancient</v>
      </c>
      <c r="U194" s="0" t="str">
        <f aca="false">TEXT(INDEX(Calc!$J$2:$J$124,MATCH($W194,Calc!$A$2:$A$124,0)),"0.0")&amp;" / "&amp;TEXT(INDEX(Calc!$K$2:$K$124,MATCH($W194,Calc!$A$2:$A$124,0)),"0.0")</f>
        <v>20.6 / 20.3</v>
      </c>
      <c r="V194" s="0" t="str">
        <f aca="false">IFERROR(INDEX(Calc!$AQ$2:$AQ$124,MATCH($W194,Calc!$A$2:$A$124,0)),"")</f>
        <v/>
      </c>
      <c r="W194" s="9" t="s">
        <v>1341</v>
      </c>
      <c r="X194" s="9" t="s">
        <v>1112</v>
      </c>
      <c r="Y194" s="0" t="str">
        <f aca="false">W194&amp;"|"&amp;X194</f>
        <v>4hpvy9eb05vcrre|CS2 · TS vs TYLOO|K12</v>
      </c>
      <c r="Z194" s="11" t="n">
        <f aca="false">IFERROR(INDEX(CHOOSE(MATCH($X194,{"K1","K2","K3","K12","K13","H1","H2","H3","H12","H13"},0),Calc!$BA$2:$BA$124,Calc!$BB$2:$BB$124,Calc!$BC$2:$BC$124,Calc!$BD$2:$BD$124,Calc!$BE$2:$BE$124,Calc!$BF$2:$BF$124,Calc!$BG$2:$BG$124,Calc!$BH$2:$BH$124,Calc!$BI$2:$BI$124,Calc!$BJ$2:$BJ$124),MATCH($W194,Calc!$A$2:$A$124,0)),"")</f>
        <v>29.5666051326007</v>
      </c>
      <c r="AA194" s="11" t="n">
        <f aca="false">IF(Z194="","",IF(LEFT($X194,1)="H",SQRT(Z194*(IFERROR(INDEX(Calc!$AP$2:$AP$124,MATCH($W194,Calc!$A$2:$A$124,0)),0.5)*Config!$B$5+1-IFERROR(INDEX(Calc!$AP$2:$AP$124,MATCH($W194,Calc!$A$2:$A$124,0)),0.5))),SQRT(Z194*Config!$B$5)))</f>
        <v>6.43375840280322</v>
      </c>
      <c r="AB194" s="10" t="n">
        <f aca="false">IF(OR(F194="",Z194="",N(AA194)&lt;=0),"",1-NORMDIST(FLOOR(F194,1)+0.5,Z194,AA194,TRUE()))</f>
        <v>0.38189490700251</v>
      </c>
      <c r="AC194" s="10" t="n">
        <f aca="false">IF(AB194="","",NORMDIST(CEILING(F194,1)-0.5,Z194,AA194,TRUE()))</f>
        <v>0.557675237342008</v>
      </c>
      <c r="AD194" s="0" t="str">
        <f aca="false">IF(AB194="","",IF(AB194&gt;=0.5+Config!$B$6,"OVER",IF(AC194&gt;=0.5+Config!$B$6,"UNDER","—")))</f>
        <v>UNDER</v>
      </c>
      <c r="AE194" s="13" t="n">
        <f aca="false">IFERROR(Z194/G194,"")</f>
        <v>1.0293542430523</v>
      </c>
    </row>
    <row r="195" customFormat="false" ht="15" hidden="false" customHeight="false" outlineLevel="0" collapsed="false">
      <c r="A195" s="0" t="s">
        <v>988</v>
      </c>
      <c r="B195" s="0" t="s">
        <v>996</v>
      </c>
      <c r="C195" s="0" t="s">
        <v>1342</v>
      </c>
      <c r="D195" s="0" t="s">
        <v>1000</v>
      </c>
      <c r="E195" s="0" t="s">
        <v>1107</v>
      </c>
      <c r="F195" s="0" t="n">
        <v>16.5</v>
      </c>
      <c r="G195" s="11" t="n">
        <f aca="false">IFERROR(INDEX(CHOOSE(MATCH($X195,{"K1","K2","K3","K12","K13","H1","H2","H3","H12","H13"},0),Calc!$V$2:$V$124,Calc!$AC$2:$AC$124,Calc!$AJ$2:$AJ$124,Calc!$AL$2:$AL$124,Calc!$AM$2:$AM$124,Calc!$W$2:$W$124,Calc!$AD$2:$AD$124,Calc!$AK$2:$AK$124,Calc!$AN$2:$AN$124,Calc!$AO$2:$AO$124),MATCH($W195,Calc!$A$2:$A$124,0)),"")</f>
        <v>15.3005272291667</v>
      </c>
      <c r="H195" s="11" t="n">
        <f aca="false">IF(G195="","",IF(LEFT($X195,1)="H",SQRT(G195*(IFERROR(INDEX(Calc!$AP$2:$AP$124,MATCH($W195,Calc!$A$2:$A$124,0)),0.5)*Config!$B$5+1-IFERROR(INDEX(Calc!$AP$2:$AP$124,MATCH($W195,Calc!$A$2:$A$124,0)),0.5))),SQRT(G195*Config!$B$5)))</f>
        <v>4.33346166444395</v>
      </c>
      <c r="I195" s="10" t="n">
        <f aca="false">IF(OR(F195="",G195="",N(H195)&lt;=0),"",1-NORMDIST(FLOOR(F195,1)+0.5,G195,H195,TRUE()))</f>
        <v>0.39096944703567</v>
      </c>
      <c r="J195" s="10" t="n">
        <f aca="false">IF(I195="","",NORMDIST(CEILING(F195,1)-0.5,G195,H195,TRUE()))</f>
        <v>0.60903055296433</v>
      </c>
      <c r="K195" s="10" t="n">
        <f aca="false">IF(I195="","",MAX(0,1-I195-J195))</f>
        <v>0</v>
      </c>
      <c r="L195" s="0" t="str">
        <f aca="false">IF(I195="","",IF(I195&gt;=0.5+Config!$B$6,"OVER",IF(J195&gt;=0.5+Config!$B$6,"UNDER","—")))</f>
        <v>UNDER</v>
      </c>
      <c r="N195" s="0" t="n">
        <v>15.9</v>
      </c>
      <c r="O195" s="10" t="n">
        <v>0.2</v>
      </c>
      <c r="P195" s="10" t="n">
        <v>0.3</v>
      </c>
      <c r="Q195" s="10" t="n">
        <v>0.47</v>
      </c>
      <c r="R195" s="9" t="s">
        <v>1131</v>
      </c>
      <c r="S195" s="0" t="n">
        <v>-3</v>
      </c>
      <c r="T195" s="0" t="str">
        <f aca="false">INDEX(Calc!$G$2:$G$124,MATCH($W195,Calc!$A$2:$A$124,0))&amp;" / "&amp;INDEX(Calc!$H$2:$H$124,MATCH($W195,Calc!$A$2:$A$124,0))</f>
        <v>Mirage / Ancient</v>
      </c>
      <c r="U195" s="0" t="str">
        <f aca="false">TEXT(INDEX(Calc!$J$2:$J$124,MATCH($W195,Calc!$A$2:$A$124,0)),"0.0")&amp;" / "&amp;TEXT(INDEX(Calc!$K$2:$K$124,MATCH($W195,Calc!$A$2:$A$124,0)),"0.0")</f>
        <v>20.6 / 20.3</v>
      </c>
      <c r="V195" s="0" t="str">
        <f aca="false">IFERROR(INDEX(Calc!$AQ$2:$AQ$124,MATCH($W195,Calc!$A$2:$A$124,0)),"")</f>
        <v/>
      </c>
      <c r="W195" s="9" t="s">
        <v>1343</v>
      </c>
      <c r="X195" s="9" t="s">
        <v>1110</v>
      </c>
      <c r="Y195" s="0" t="str">
        <f aca="false">W195&amp;"|"&amp;X195</f>
        <v>23ihz3d4vuve2an|CS2 · TS vs TYLOO|H12</v>
      </c>
      <c r="Z195" s="11" t="n">
        <f aca="false">IFERROR(INDEX(CHOOSE(MATCH($X195,{"K1","K2","K3","K12","K13","H1","H2","H3","H12","H13"},0),Calc!$BA$2:$BA$124,Calc!$BB$2:$BB$124,Calc!$BC$2:$BC$124,Calc!$BD$2:$BD$124,Calc!$BE$2:$BE$124,Calc!$BF$2:$BF$124,Calc!$BG$2:$BG$124,Calc!$BH$2:$BH$124,Calc!$BI$2:$BI$124,Calc!$BJ$2:$BJ$124),MATCH($W195,Calc!$A$2:$A$124,0)),"")</f>
        <v>15.752871021848</v>
      </c>
      <c r="AA195" s="11" t="n">
        <f aca="false">IF(Z195="","",IF(LEFT($X195,1)="H",SQRT(Z195*(IFERROR(INDEX(Calc!$AP$2:$AP$124,MATCH($W195,Calc!$A$2:$A$124,0)),0.5)*Config!$B$5+1-IFERROR(INDEX(Calc!$AP$2:$AP$124,MATCH($W195,Calc!$A$2:$A$124,0)),0.5))),SQRT(Z195*Config!$B$5)))</f>
        <v>4.39705218080427</v>
      </c>
      <c r="AB195" s="10" t="n">
        <f aca="false">IF(OR(F195="",Z195="",N(AA195)&lt;=0),"",1-NORMDIST(FLOOR(F195,1)+0.5,Z195,AA195,TRUE()))</f>
        <v>0.43253814726775</v>
      </c>
      <c r="AC195" s="10" t="n">
        <f aca="false">IF(AB195="","",NORMDIST(CEILING(F195,1)-0.5,Z195,AA195,TRUE()))</f>
        <v>0.56746185273225</v>
      </c>
      <c r="AD195" s="0" t="str">
        <f aca="false">IF(AB195="","",IF(AB195&gt;=0.5+Config!$B$6,"OVER",IF(AC195&gt;=0.5+Config!$B$6,"UNDER","—")))</f>
        <v>UNDER</v>
      </c>
      <c r="AE195" s="13" t="n">
        <f aca="false">IFERROR(Z195/G195,"")</f>
        <v>1.02956393501389</v>
      </c>
    </row>
    <row r="196" customFormat="false" ht="15" hidden="false" customHeight="false" outlineLevel="0" collapsed="false">
      <c r="A196" s="0" t="s">
        <v>988</v>
      </c>
      <c r="B196" s="0" t="s">
        <v>996</v>
      </c>
      <c r="C196" s="0" t="s">
        <v>1342</v>
      </c>
      <c r="D196" s="0" t="s">
        <v>1000</v>
      </c>
      <c r="E196" s="0" t="s">
        <v>1111</v>
      </c>
      <c r="F196" s="0" t="n">
        <v>28.5</v>
      </c>
      <c r="G196" s="11" t="n">
        <f aca="false">IFERROR(INDEX(CHOOSE(MATCH($X196,{"K1","K2","K3","K12","K13","H1","H2","H3","H12","H13"},0),Calc!$V$2:$V$124,Calc!$AC$2:$AC$124,Calc!$AJ$2:$AJ$124,Calc!$AL$2:$AL$124,Calc!$AM$2:$AM$124,Calc!$W$2:$W$124,Calc!$AD$2:$AD$124,Calc!$AK$2:$AK$124,Calc!$AN$2:$AN$124,Calc!$AO$2:$AO$124),MATCH($W196,Calc!$A$2:$A$124,0)),"")</f>
        <v>26.9214166666667</v>
      </c>
      <c r="H196" s="11" t="n">
        <f aca="false">IF(G196="","",IF(LEFT($X196,1)="H",SQRT(G196*(IFERROR(INDEX(Calc!$AP$2:$AP$124,MATCH($W196,Calc!$A$2:$A$124,0)),0.5)*Config!$B$5+1-IFERROR(INDEX(Calc!$AP$2:$AP$124,MATCH($W196,Calc!$A$2:$A$124,0)),0.5))),SQRT(G196*Config!$B$5)))</f>
        <v>6.13921683387493</v>
      </c>
      <c r="I196" s="10" t="n">
        <f aca="false">IF(OR(F196="",G196="",N(H196)&lt;=0),"",1-NORMDIST(FLOOR(F196,1)+0.5,G196,H196,TRUE()))</f>
        <v>0.398538800431118</v>
      </c>
      <c r="J196" s="10" t="n">
        <f aca="false">IF(I196="","",NORMDIST(CEILING(F196,1)-0.5,G196,H196,TRUE()))</f>
        <v>0.601461199568882</v>
      </c>
      <c r="K196" s="10" t="n">
        <f aca="false">IF(I196="","",MAX(0,1-I196-J196))</f>
        <v>0</v>
      </c>
      <c r="L196" s="0" t="str">
        <f aca="false">IF(I196="","",IF(I196&gt;=0.5+Config!$B$6,"OVER",IF(J196&gt;=0.5+Config!$B$6,"UNDER","—")))</f>
        <v>UNDER</v>
      </c>
      <c r="M196" s="0" t="n">
        <v>29.18</v>
      </c>
      <c r="N196" s="0" t="n">
        <v>28</v>
      </c>
      <c r="O196" s="10" t="n">
        <v>0.2</v>
      </c>
      <c r="P196" s="10" t="n">
        <v>0.4</v>
      </c>
      <c r="Q196" s="10" t="n">
        <v>0.53</v>
      </c>
      <c r="R196" s="9" t="s">
        <v>1131</v>
      </c>
      <c r="S196" s="0" t="n">
        <v>-3</v>
      </c>
      <c r="T196" s="0" t="str">
        <f aca="false">INDEX(Calc!$G$2:$G$124,MATCH($W196,Calc!$A$2:$A$124,0))&amp;" / "&amp;INDEX(Calc!$H$2:$H$124,MATCH($W196,Calc!$A$2:$A$124,0))</f>
        <v>Mirage / Ancient</v>
      </c>
      <c r="U196" s="0" t="str">
        <f aca="false">TEXT(INDEX(Calc!$J$2:$J$124,MATCH($W196,Calc!$A$2:$A$124,0)),"0.0")&amp;" / "&amp;TEXT(INDEX(Calc!$K$2:$K$124,MATCH($W196,Calc!$A$2:$A$124,0)),"0.0")</f>
        <v>20.6 / 20.3</v>
      </c>
      <c r="V196" s="0" t="str">
        <f aca="false">IFERROR(INDEX(Calc!$AQ$2:$AQ$124,MATCH($W196,Calc!$A$2:$A$124,0)),"")</f>
        <v/>
      </c>
      <c r="W196" s="9" t="s">
        <v>1343</v>
      </c>
      <c r="X196" s="9" t="s">
        <v>1112</v>
      </c>
      <c r="Y196" s="0" t="str">
        <f aca="false">W196&amp;"|"&amp;X196</f>
        <v>23ihz3d4vuve2an|CS2 · TS vs TYLOO|K12</v>
      </c>
      <c r="Z196" s="11" t="n">
        <f aca="false">IFERROR(INDEX(CHOOSE(MATCH($X196,{"K1","K2","K3","K12","K13","H1","H2","H3","H12","H13"},0),Calc!$BA$2:$BA$124,Calc!$BB$2:$BB$124,Calc!$BC$2:$BC$124,Calc!$BD$2:$BD$124,Calc!$BE$2:$BE$124,Calc!$BF$2:$BF$124,Calc!$BG$2:$BG$124,Calc!$BH$2:$BH$124,Calc!$BI$2:$BI$124,Calc!$BJ$2:$BJ$124),MATCH($W196,Calc!$A$2:$A$124,0)),"")</f>
        <v>27.7165475688438</v>
      </c>
      <c r="AA196" s="11" t="n">
        <f aca="false">IF(Z196="","",IF(LEFT($X196,1)="H",SQRT(Z196*(IFERROR(INDEX(Calc!$AP$2:$AP$124,MATCH($W196,Calc!$A$2:$A$124,0)),0.5)*Config!$B$5+1-IFERROR(INDEX(Calc!$AP$2:$AP$124,MATCH($W196,Calc!$A$2:$A$124,0)),0.5))),SQRT(Z196*Config!$B$5)))</f>
        <v>6.22921877897874</v>
      </c>
      <c r="AB196" s="10" t="n">
        <f aca="false">IF(OR(F196="",Z196="",N(AA196)&lt;=0),"",1-NORMDIST(FLOOR(F196,1)+0.5,Z196,AA196,TRUE()))</f>
        <v>0.449956767040296</v>
      </c>
      <c r="AC196" s="10" t="n">
        <f aca="false">IF(AB196="","",NORMDIST(CEILING(F196,1)-0.5,Z196,AA196,TRUE()))</f>
        <v>0.550043232959705</v>
      </c>
      <c r="AD196" s="0" t="str">
        <f aca="false">IF(AB196="","",IF(AB196&gt;=0.5+Config!$B$6,"OVER",IF(AC196&gt;=0.5+Config!$B$6,"UNDER","—")))</f>
        <v>UNDER</v>
      </c>
      <c r="AE196" s="13" t="n">
        <f aca="false">IFERROR(Z196/G196,"")</f>
        <v>1.02953525485015</v>
      </c>
    </row>
    <row r="197" customFormat="false" ht="15" hidden="false" customHeight="false" outlineLevel="0" collapsed="false">
      <c r="A197" s="0" t="s">
        <v>988</v>
      </c>
      <c r="B197" s="0" t="s">
        <v>996</v>
      </c>
      <c r="C197" s="0" t="s">
        <v>1344</v>
      </c>
      <c r="D197" s="0" t="s">
        <v>1000</v>
      </c>
      <c r="E197" s="0" t="s">
        <v>1107</v>
      </c>
      <c r="F197" s="0" t="n">
        <v>10.5</v>
      </c>
      <c r="G197" s="11" t="n">
        <f aca="false">IFERROR(INDEX(CHOOSE(MATCH($X197,{"K1","K2","K3","K12","K13","H1","H2","H3","H12","H13"},0),Calc!$V$2:$V$124,Calc!$AC$2:$AC$124,Calc!$AJ$2:$AJ$124,Calc!$AL$2:$AL$124,Calc!$AM$2:$AM$124,Calc!$W$2:$W$124,Calc!$AD$2:$AD$124,Calc!$AK$2:$AK$124,Calc!$AN$2:$AN$124,Calc!$AO$2:$AO$124),MATCH($W197,Calc!$A$2:$A$124,0)),"")</f>
        <v>10.0296283111111</v>
      </c>
      <c r="H197" s="11" t="n">
        <f aca="false">IF(G197="","",IF(LEFT($X197,1)="H",SQRT(G197*(IFERROR(INDEX(Calc!$AP$2:$AP$124,MATCH($W197,Calc!$A$2:$A$124,0)),0.5)*Config!$B$5+1-IFERROR(INDEX(Calc!$AP$2:$AP$124,MATCH($W197,Calc!$A$2:$A$124,0)),0.5))),SQRT(G197*Config!$B$5)))</f>
        <v>3.40712059032635</v>
      </c>
      <c r="I197" s="10" t="n">
        <f aca="false">IF(OR(F197="",G197="",N(H197)&lt;=0),"",1-NORMDIST(FLOOR(F197,1)+0.5,G197,H197,TRUE()))</f>
        <v>0.445098282930258</v>
      </c>
      <c r="J197" s="10" t="n">
        <f aca="false">IF(I197="","",NORMDIST(CEILING(F197,1)-0.5,G197,H197,TRUE()))</f>
        <v>0.554901717069742</v>
      </c>
      <c r="K197" s="10" t="n">
        <f aca="false">IF(I197="","",MAX(0,1-I197-J197))</f>
        <v>0</v>
      </c>
      <c r="L197" s="0" t="str">
        <f aca="false">IF(I197="","",IF(I197&gt;=0.5+Config!$B$6,"OVER",IF(J197&gt;=0.5+Config!$B$6,"UNDER","—")))</f>
        <v>UNDER</v>
      </c>
      <c r="N197" s="0" t="n">
        <v>8.6</v>
      </c>
      <c r="O197" s="10" t="n">
        <v>0</v>
      </c>
      <c r="P197" s="10" t="n">
        <v>0.2</v>
      </c>
      <c r="Q197" s="10" t="n">
        <v>0.4</v>
      </c>
      <c r="R197" s="9" t="s">
        <v>1124</v>
      </c>
      <c r="S197" s="0" t="n">
        <v>-6</v>
      </c>
      <c r="T197" s="0" t="str">
        <f aca="false">INDEX(Calc!$G$2:$G$124,MATCH($W197,Calc!$A$2:$A$124,0))&amp;" / "&amp;INDEX(Calc!$H$2:$H$124,MATCH($W197,Calc!$A$2:$A$124,0))</f>
        <v>Mirage / Ancient</v>
      </c>
      <c r="U197" s="0" t="str">
        <f aca="false">TEXT(INDEX(Calc!$J$2:$J$124,MATCH($W197,Calc!$A$2:$A$124,0)),"0.0")&amp;" / "&amp;TEXT(INDEX(Calc!$K$2:$K$124,MATCH($W197,Calc!$A$2:$A$124,0)),"0.0")</f>
        <v>20.6 / 20.3</v>
      </c>
      <c r="V197" s="0" t="str">
        <f aca="false">IFERROR(INDEX(Calc!$AQ$2:$AQ$124,MATCH($W197,Calc!$A$2:$A$124,0)),"")</f>
        <v/>
      </c>
      <c r="W197" s="9" t="s">
        <v>1345</v>
      </c>
      <c r="X197" s="9" t="s">
        <v>1110</v>
      </c>
      <c r="Y197" s="0" t="str">
        <f aca="false">W197&amp;"|"&amp;X197</f>
        <v>4wgqqpezywhvfib|CS2 · TS vs TYLOO|H12</v>
      </c>
      <c r="Z197" s="11" t="n">
        <f aca="false">IFERROR(INDEX(CHOOSE(MATCH($X197,{"K1","K2","K3","K12","K13","H1","H2","H3","H12","H13"},0),Calc!$BA$2:$BA$124,Calc!$BB$2:$BB$124,Calc!$BC$2:$BC$124,Calc!$BD$2:$BD$124,Calc!$BE$2:$BE$124,Calc!$BF$2:$BF$124,Calc!$BG$2:$BG$124,Calc!$BH$2:$BH$124,Calc!$BI$2:$BI$124,Calc!$BJ$2:$BJ$124),MATCH($W197,Calc!$A$2:$A$124,0)),"")</f>
        <v>10.3208242518758</v>
      </c>
      <c r="AA197" s="11" t="n">
        <f aca="false">IF(Z197="","",IF(LEFT($X197,1)="H",SQRT(Z197*(IFERROR(INDEX(Calc!$AP$2:$AP$124,MATCH($W197,Calc!$A$2:$A$124,0)),0.5)*Config!$B$5+1-IFERROR(INDEX(Calc!$AP$2:$AP$124,MATCH($W197,Calc!$A$2:$A$124,0)),0.5))),SQRT(Z197*Config!$B$5)))</f>
        <v>3.4562271472309</v>
      </c>
      <c r="AB197" s="10" t="n">
        <f aca="false">IF(OR(F197="",Z197="",N(AA197)&lt;=0),"",1-NORMDIST(FLOOR(F197,1)+0.5,Z197,AA197,TRUE()))</f>
        <v>0.479327522881023</v>
      </c>
      <c r="AC197" s="10" t="n">
        <f aca="false">IF(AB197="","",NORMDIST(CEILING(F197,1)-0.5,Z197,AA197,TRUE()))</f>
        <v>0.520672477118978</v>
      </c>
      <c r="AD197" s="0" t="str">
        <f aca="false">IF(AB197="","",IF(AB197&gt;=0.5+Config!$B$6,"OVER",IF(AC197&gt;=0.5+Config!$B$6,"UNDER","—")))</f>
        <v>—</v>
      </c>
      <c r="AE197" s="13" t="n">
        <f aca="false">IFERROR(Z197/G197,"")</f>
        <v>1.02903357250458</v>
      </c>
    </row>
    <row r="198" customFormat="false" ht="15" hidden="false" customHeight="false" outlineLevel="0" collapsed="false">
      <c r="A198" s="0" t="s">
        <v>988</v>
      </c>
      <c r="B198" s="0" t="s">
        <v>996</v>
      </c>
      <c r="C198" s="0" t="s">
        <v>1344</v>
      </c>
      <c r="D198" s="0" t="s">
        <v>1000</v>
      </c>
      <c r="E198" s="0" t="s">
        <v>1111</v>
      </c>
      <c r="F198" s="0" t="n">
        <v>25.5</v>
      </c>
      <c r="G198" s="11" t="n">
        <f aca="false">IFERROR(INDEX(CHOOSE(MATCH($X198,{"K1","K2","K3","K12","K13","H1","H2","H3","H12","H13"},0),Calc!$V$2:$V$124,Calc!$AC$2:$AC$124,Calc!$AJ$2:$AJ$124,Calc!$AL$2:$AL$124,Calc!$AM$2:$AM$124,Calc!$W$2:$W$124,Calc!$AD$2:$AD$124,Calc!$AK$2:$AK$124,Calc!$AN$2:$AN$124,Calc!$AO$2:$AO$124),MATCH($W198,Calc!$A$2:$A$124,0)),"")</f>
        <v>25.4853666666667</v>
      </c>
      <c r="H198" s="11" t="n">
        <f aca="false">IF(G198="","",IF(LEFT($X198,1)="H",SQRT(G198*(IFERROR(INDEX(Calc!$AP$2:$AP$124,MATCH($W198,Calc!$A$2:$A$124,0)),0.5)*Config!$B$5+1-IFERROR(INDEX(Calc!$AP$2:$AP$124,MATCH($W198,Calc!$A$2:$A$124,0)),0.5))),SQRT(G198*Config!$B$5)))</f>
        <v>5.97323307207523</v>
      </c>
      <c r="I198" s="10" t="n">
        <f aca="false">IF(OR(F198="",G198="",N(H198)&lt;=0),"",1-NORMDIST(FLOOR(F198,1)+0.5,G198,H198,TRUE()))</f>
        <v>0.499022665035833</v>
      </c>
      <c r="J198" s="10" t="n">
        <f aca="false">IF(I198="","",NORMDIST(CEILING(F198,1)-0.5,G198,H198,TRUE()))</f>
        <v>0.500977334964167</v>
      </c>
      <c r="K198" s="10" t="n">
        <f aca="false">IF(I198="","",MAX(0,1-I198-J198))</f>
        <v>0</v>
      </c>
      <c r="L198" s="0" t="str">
        <f aca="false">IF(I198="","",IF(I198&gt;=0.5+Config!$B$6,"OVER",IF(J198&gt;=0.5+Config!$B$6,"UNDER","—")))</f>
        <v>—</v>
      </c>
      <c r="M198" s="0" t="n">
        <v>26</v>
      </c>
      <c r="N198" s="0" t="n">
        <v>23.1</v>
      </c>
      <c r="O198" s="10" t="n">
        <v>0.4</v>
      </c>
      <c r="P198" s="10" t="n">
        <v>0.3</v>
      </c>
      <c r="Q198" s="10" t="n">
        <v>0.4</v>
      </c>
      <c r="R198" s="9" t="s">
        <v>1124</v>
      </c>
      <c r="S198" s="0" t="n">
        <v>-2</v>
      </c>
      <c r="T198" s="0" t="str">
        <f aca="false">INDEX(Calc!$G$2:$G$124,MATCH($W198,Calc!$A$2:$A$124,0))&amp;" / "&amp;INDEX(Calc!$H$2:$H$124,MATCH($W198,Calc!$A$2:$A$124,0))</f>
        <v>Mirage / Ancient</v>
      </c>
      <c r="U198" s="0" t="str">
        <f aca="false">TEXT(INDEX(Calc!$J$2:$J$124,MATCH($W198,Calc!$A$2:$A$124,0)),"0.0")&amp;" / "&amp;TEXT(INDEX(Calc!$K$2:$K$124,MATCH($W198,Calc!$A$2:$A$124,0)),"0.0")</f>
        <v>20.6 / 20.3</v>
      </c>
      <c r="V198" s="0" t="str">
        <f aca="false">IFERROR(INDEX(Calc!$AQ$2:$AQ$124,MATCH($W198,Calc!$A$2:$A$124,0)),"")</f>
        <v/>
      </c>
      <c r="W198" s="9" t="s">
        <v>1345</v>
      </c>
      <c r="X198" s="9" t="s">
        <v>1112</v>
      </c>
      <c r="Y198" s="0" t="str">
        <f aca="false">W198&amp;"|"&amp;X198</f>
        <v>4wgqqpezywhvfib|CS2 · TS vs TYLOO|K12</v>
      </c>
      <c r="Z198" s="11" t="n">
        <f aca="false">IFERROR(INDEX(CHOOSE(MATCH($X198,{"K1","K2","K3","K12","K13","H1","H2","H3","H12","H13"},0),Calc!$BA$2:$BA$124,Calc!$BB$2:$BB$124,Calc!$BC$2:$BC$124,Calc!$BD$2:$BD$124,Calc!$BE$2:$BE$124,Calc!$BF$2:$BF$124,Calc!$BG$2:$BG$124,Calc!$BH$2:$BH$124,Calc!$BI$2:$BI$124,Calc!$BJ$2:$BJ$124),MATCH($W198,Calc!$A$2:$A$124,0)),"")</f>
        <v>26.2319965002725</v>
      </c>
      <c r="AA198" s="11" t="n">
        <f aca="false">IF(Z198="","",IF(LEFT($X198,1)="H",SQRT(Z198*(IFERROR(INDEX(Calc!$AP$2:$AP$124,MATCH($W198,Calc!$A$2:$A$124,0)),0.5)*Config!$B$5+1-IFERROR(INDEX(Calc!$AP$2:$AP$124,MATCH($W198,Calc!$A$2:$A$124,0)),0.5))),SQRT(Z198*Config!$B$5)))</f>
        <v>6.06009860483981</v>
      </c>
      <c r="AB198" s="10" t="n">
        <f aca="false">IF(OR(F198="",Z198="",N(AA198)&lt;=0),"",1-NORMDIST(FLOOR(F198,1)+0.5,Z198,AA198,TRUE()))</f>
        <v>0.548071130870228</v>
      </c>
      <c r="AC198" s="10" t="n">
        <f aca="false">IF(AB198="","",NORMDIST(CEILING(F198,1)-0.5,Z198,AA198,TRUE()))</f>
        <v>0.451928869129772</v>
      </c>
      <c r="AD198" s="0" t="str">
        <f aca="false">IF(AB198="","",IF(AB198&gt;=0.5+Config!$B$6,"OVER",IF(AC198&gt;=0.5+Config!$B$6,"UNDER","—")))</f>
        <v>OVER</v>
      </c>
      <c r="AE198" s="13" t="n">
        <f aca="false">IFERROR(Z198/G198,"")</f>
        <v>1.02929641324652</v>
      </c>
    </row>
    <row r="199" customFormat="false" ht="15" hidden="false" customHeight="false" outlineLevel="0" collapsed="false">
      <c r="A199" s="0" t="s">
        <v>988</v>
      </c>
      <c r="B199" s="0" t="s">
        <v>996</v>
      </c>
      <c r="C199" s="0" t="s">
        <v>1346</v>
      </c>
      <c r="D199" s="0" t="s">
        <v>1001</v>
      </c>
      <c r="E199" s="0" t="s">
        <v>1107</v>
      </c>
      <c r="F199" s="0" t="n">
        <v>15</v>
      </c>
      <c r="G199" s="11" t="n">
        <f aca="false">IFERROR(INDEX(CHOOSE(MATCH($X199,{"K1","K2","K3","K12","K13","H1","H2","H3","H12","H13"},0),Calc!$V$2:$V$124,Calc!$AC$2:$AC$124,Calc!$AJ$2:$AJ$124,Calc!$AL$2:$AL$124,Calc!$AM$2:$AM$124,Calc!$W$2:$W$124,Calc!$AD$2:$AD$124,Calc!$AK$2:$AK$124,Calc!$AN$2:$AN$124,Calc!$AO$2:$AO$124),MATCH($W199,Calc!$A$2:$A$124,0)),"")</f>
        <v>18.5981842764314</v>
      </c>
      <c r="H199" s="11" t="n">
        <f aca="false">IF(G199="","",IF(LEFT($X199,1)="H",SQRT(G199*(IFERROR(INDEX(Calc!$AP$2:$AP$124,MATCH($W199,Calc!$A$2:$A$124,0)),0.5)*Config!$B$5+1-IFERROR(INDEX(Calc!$AP$2:$AP$124,MATCH($W199,Calc!$A$2:$A$124,0)),0.5))),SQRT(G199*Config!$B$5)))</f>
        <v>4.80776390249611</v>
      </c>
      <c r="I199" s="10" t="n">
        <f aca="false">IF(OR(F199="",G199="",N(H199)&lt;=0),"",1-NORMDIST(FLOOR(F199,1)+0.5,G199,H199,TRUE()))</f>
        <v>0.740346085076242</v>
      </c>
      <c r="J199" s="10" t="n">
        <f aca="false">IF(I199="","",NORMDIST(CEILING(F199,1)-0.5,G199,H199,TRUE()))</f>
        <v>0.196993386991501</v>
      </c>
      <c r="K199" s="10" t="n">
        <f aca="false">IF(I199="","",MAX(0,1-I199-J199))</f>
        <v>0.0626605279322564</v>
      </c>
      <c r="L199" s="0" t="str">
        <f aca="false">IF(I199="","",IF(I199&gt;=0.5+Config!$B$6,"OVER",IF(J199&gt;=0.5+Config!$B$6,"UNDER","—")))</f>
        <v>OVER</v>
      </c>
      <c r="N199" s="0" t="n">
        <v>17.9</v>
      </c>
      <c r="O199" s="10" t="n">
        <v>0.4</v>
      </c>
      <c r="P199" s="10" t="n">
        <v>0.7</v>
      </c>
      <c r="Q199" s="10" t="n">
        <v>0.67</v>
      </c>
      <c r="R199" s="9" t="s">
        <v>1124</v>
      </c>
      <c r="S199" s="0" t="n">
        <v>-3</v>
      </c>
      <c r="T199" s="0" t="str">
        <f aca="false">INDEX(Calc!$G$2:$G$124,MATCH($W199,Calc!$A$2:$A$124,0))&amp;" / "&amp;INDEX(Calc!$H$2:$H$124,MATCH($W199,Calc!$A$2:$A$124,0))</f>
        <v>Mirage / Ancient</v>
      </c>
      <c r="U199" s="0" t="str">
        <f aca="false">TEXT(INDEX(Calc!$J$2:$J$124,MATCH($W199,Calc!$A$2:$A$124,0)),"0.0")&amp;" / "&amp;TEXT(INDEX(Calc!$K$2:$K$124,MATCH($W199,Calc!$A$2:$A$124,0)),"0.0")</f>
        <v>20.6 / 20.3</v>
      </c>
      <c r="V199" s="0" t="str">
        <f aca="false">IFERROR(INDEX(Calc!$AQ$2:$AQ$124,MATCH($W199,Calc!$A$2:$A$124,0)),"")</f>
        <v/>
      </c>
      <c r="W199" s="9" t="s">
        <v>1347</v>
      </c>
      <c r="X199" s="9" t="s">
        <v>1110</v>
      </c>
      <c r="Y199" s="0" t="str">
        <f aca="false">W199&amp;"|"&amp;X199</f>
        <v>eolw6ia2z9ydnyh|CS2 · TS vs TYLOO|H12</v>
      </c>
      <c r="Z199" s="11" t="n">
        <f aca="false">IFERROR(INDEX(CHOOSE(MATCH($X199,{"K1","K2","K3","K12","K13","H1","H2","H3","H12","H13"},0),Calc!$BA$2:$BA$124,Calc!$BB$2:$BB$124,Calc!$BC$2:$BC$124,Calc!$BD$2:$BD$124,Calc!$BE$2:$BE$124,Calc!$BF$2:$BF$124,Calc!$BG$2:$BG$124,Calc!$BH$2:$BH$124,Calc!$BI$2:$BI$124,Calc!$BJ$2:$BJ$124),MATCH($W199,Calc!$A$2:$A$124,0)),"")</f>
        <v>16.8844936589941</v>
      </c>
      <c r="AA199" s="11" t="n">
        <f aca="false">IF(Z199="","",IF(LEFT($X199,1)="H",SQRT(Z199*(IFERROR(INDEX(Calc!$AP$2:$AP$124,MATCH($W199,Calc!$A$2:$A$124,0)),0.5)*Config!$B$5+1-IFERROR(INDEX(Calc!$AP$2:$AP$124,MATCH($W199,Calc!$A$2:$A$124,0)),0.5))),SQRT(Z199*Config!$B$5)))</f>
        <v>4.58091126992901</v>
      </c>
      <c r="AB199" s="10" t="n">
        <f aca="false">IF(OR(F199="",Z199="",N(AA199)&lt;=0),"",1-NORMDIST(FLOOR(F199,1)+0.5,Z199,AA199,TRUE()))</f>
        <v>0.618762035063219</v>
      </c>
      <c r="AC199" s="10" t="n">
        <f aca="false">IF(AB199="","",NORMDIST(CEILING(F199,1)-0.5,Z199,AA199,TRUE()))</f>
        <v>0.301347726819802</v>
      </c>
      <c r="AD199" s="0" t="str">
        <f aca="false">IF(AB199="","",IF(AB199&gt;=0.5+Config!$B$6,"OVER",IF(AC199&gt;=0.5+Config!$B$6,"UNDER","—")))</f>
        <v>OVER</v>
      </c>
      <c r="AE199" s="13" t="n">
        <f aca="false">IFERROR(Z199/G199,"")</f>
        <v>0.907857100888664</v>
      </c>
    </row>
    <row r="200" customFormat="false" ht="15" hidden="false" customHeight="false" outlineLevel="0" collapsed="false">
      <c r="A200" s="0" t="s">
        <v>988</v>
      </c>
      <c r="B200" s="0" t="s">
        <v>996</v>
      </c>
      <c r="C200" s="0" t="s">
        <v>1346</v>
      </c>
      <c r="D200" s="0" t="s">
        <v>1001</v>
      </c>
      <c r="E200" s="0" t="s">
        <v>1111</v>
      </c>
      <c r="F200" s="0" t="n">
        <v>24.5</v>
      </c>
      <c r="G200" s="11" t="n">
        <f aca="false">IFERROR(INDEX(CHOOSE(MATCH($X200,{"K1","K2","K3","K12","K13","H1","H2","H3","H12","H13"},0),Calc!$V$2:$V$124,Calc!$AC$2:$AC$124,Calc!$AJ$2:$AJ$124,Calc!$AL$2:$AL$124,Calc!$AM$2:$AM$124,Calc!$W$2:$W$124,Calc!$AD$2:$AD$124,Calc!$AK$2:$AK$124,Calc!$AN$2:$AN$124,Calc!$AO$2:$AO$124),MATCH($W200,Calc!$A$2:$A$124,0)),"")</f>
        <v>30.6342869047619</v>
      </c>
      <c r="H200" s="11" t="n">
        <f aca="false">IF(G200="","",IF(LEFT($X200,1)="H",SQRT(G200*(IFERROR(INDEX(Calc!$AP$2:$AP$124,MATCH($W200,Calc!$A$2:$A$124,0)),0.5)*Config!$B$5+1-IFERROR(INDEX(Calc!$AP$2:$AP$124,MATCH($W200,Calc!$A$2:$A$124,0)),0.5))),SQRT(G200*Config!$B$5)))</f>
        <v>6.54889316347936</v>
      </c>
      <c r="I200" s="10" t="n">
        <f aca="false">IF(OR(F200="",G200="",N(H200)&lt;=0),"",1-NORMDIST(FLOOR(F200,1)+0.5,G200,H200,TRUE()))</f>
        <v>0.825541142911065</v>
      </c>
      <c r="J200" s="10" t="n">
        <f aca="false">IF(I200="","",NORMDIST(CEILING(F200,1)-0.5,G200,H200,TRUE()))</f>
        <v>0.174458857088935</v>
      </c>
      <c r="K200" s="10" t="n">
        <f aca="false">IF(I200="","",MAX(0,1-I200-J200))</f>
        <v>0</v>
      </c>
      <c r="L200" s="0" t="str">
        <f aca="false">IF(I200="","",IF(I200&gt;=0.5+Config!$B$6,"OVER",IF(J200&gt;=0.5+Config!$B$6,"UNDER","—")))</f>
        <v>OVER</v>
      </c>
      <c r="M200" s="0" t="n">
        <v>24.82</v>
      </c>
      <c r="N200" s="0" t="n">
        <v>28.7</v>
      </c>
      <c r="O200" s="10" t="n">
        <v>0.6</v>
      </c>
      <c r="P200" s="10" t="n">
        <v>0.7</v>
      </c>
      <c r="Q200" s="10" t="n">
        <v>0.73</v>
      </c>
      <c r="R200" s="9" t="s">
        <v>1124</v>
      </c>
      <c r="S200" s="0" t="n">
        <v>1</v>
      </c>
      <c r="T200" s="0" t="str">
        <f aca="false">INDEX(Calc!$G$2:$G$124,MATCH($W200,Calc!$A$2:$A$124,0))&amp;" / "&amp;INDEX(Calc!$H$2:$H$124,MATCH($W200,Calc!$A$2:$A$124,0))</f>
        <v>Mirage / Ancient</v>
      </c>
      <c r="U200" s="0" t="str">
        <f aca="false">TEXT(INDEX(Calc!$J$2:$J$124,MATCH($W200,Calc!$A$2:$A$124,0)),"0.0")&amp;" / "&amp;TEXT(INDEX(Calc!$K$2:$K$124,MATCH($W200,Calc!$A$2:$A$124,0)),"0.0")</f>
        <v>20.6 / 20.3</v>
      </c>
      <c r="V200" s="0" t="str">
        <f aca="false">IFERROR(INDEX(Calc!$AQ$2:$AQ$124,MATCH($W200,Calc!$A$2:$A$124,0)),"")</f>
        <v/>
      </c>
      <c r="W200" s="9" t="s">
        <v>1347</v>
      </c>
      <c r="X200" s="9" t="s">
        <v>1112</v>
      </c>
      <c r="Y200" s="0" t="str">
        <f aca="false">W200&amp;"|"&amp;X200</f>
        <v>eolw6ia2z9ydnyh|CS2 · TS vs TYLOO|K12</v>
      </c>
      <c r="Z200" s="11" t="n">
        <f aca="false">IFERROR(INDEX(CHOOSE(MATCH($X200,{"K1","K2","K3","K12","K13","H1","H2","H3","H12","H13"},0),Calc!$BA$2:$BA$124,Calc!$BB$2:$BB$124,Calc!$BC$2:$BC$124,Calc!$BD$2:$BD$124,Calc!$BE$2:$BE$124,Calc!$BF$2:$BF$124,Calc!$BG$2:$BG$124,Calc!$BH$2:$BH$124,Calc!$BI$2:$BI$124,Calc!$BJ$2:$BJ$124),MATCH($W200,Calc!$A$2:$A$124,0)),"")</f>
        <v>27.8087680216559</v>
      </c>
      <c r="AA200" s="11" t="n">
        <f aca="false">IF(Z200="","",IF(LEFT($X200,1)="H",SQRT(Z200*(IFERROR(INDEX(Calc!$AP$2:$AP$124,MATCH($W200,Calc!$A$2:$A$124,0)),0.5)*Config!$B$5+1-IFERROR(INDEX(Calc!$AP$2:$AP$124,MATCH($W200,Calc!$A$2:$A$124,0)),0.5))),SQRT(Z200*Config!$B$5)))</f>
        <v>6.23957332117496</v>
      </c>
      <c r="AB200" s="10" t="n">
        <f aca="false">IF(OR(F200="",Z200="",N(AA200)&lt;=0),"",1-NORMDIST(FLOOR(F200,1)+0.5,Z200,AA200,TRUE()))</f>
        <v>0.702043709762884</v>
      </c>
      <c r="AC200" s="10" t="n">
        <f aca="false">IF(AB200="","",NORMDIST(CEILING(F200,1)-0.5,Z200,AA200,TRUE()))</f>
        <v>0.297956290237116</v>
      </c>
      <c r="AD200" s="0" t="str">
        <f aca="false">IF(AB200="","",IF(AB200&gt;=0.5+Config!$B$6,"OVER",IF(AC200&gt;=0.5+Config!$B$6,"UNDER","—")))</f>
        <v>OVER</v>
      </c>
      <c r="AE200" s="13" t="n">
        <f aca="false">IFERROR(Z200/G200,"")</f>
        <v>0.907766128459586</v>
      </c>
    </row>
    <row r="201" customFormat="false" ht="15" hidden="false" customHeight="false" outlineLevel="0" collapsed="false">
      <c r="A201" s="0" t="s">
        <v>988</v>
      </c>
      <c r="B201" s="0" t="s">
        <v>996</v>
      </c>
      <c r="C201" s="0" t="s">
        <v>1348</v>
      </c>
      <c r="D201" s="0" t="s">
        <v>1001</v>
      </c>
      <c r="E201" s="0" t="s">
        <v>1107</v>
      </c>
      <c r="F201" s="0" t="n">
        <v>8.5</v>
      </c>
      <c r="G201" s="11" t="n">
        <f aca="false">IFERROR(INDEX(CHOOSE(MATCH($X201,{"K1","K2","K3","K12","K13","H1","H2","H3","H12","H13"},0),Calc!$V$2:$V$124,Calc!$AC$2:$AC$124,Calc!$AJ$2:$AJ$124,Calc!$AL$2:$AL$124,Calc!$AM$2:$AM$124,Calc!$W$2:$W$124,Calc!$AD$2:$AD$124,Calc!$AK$2:$AK$124,Calc!$AN$2:$AN$124,Calc!$AO$2:$AO$124),MATCH($W201,Calc!$A$2:$A$124,0)),"")</f>
        <v>9.25446027553855</v>
      </c>
      <c r="H201" s="11" t="n">
        <f aca="false">IF(G201="","",IF(LEFT($X201,1)="H",SQRT(G201*(IFERROR(INDEX(Calc!$AP$2:$AP$124,MATCH($W201,Calc!$A$2:$A$124,0)),0.5)*Config!$B$5+1-IFERROR(INDEX(Calc!$AP$2:$AP$124,MATCH($W201,Calc!$A$2:$A$124,0)),0.5))),SQRT(G201*Config!$B$5)))</f>
        <v>3.23701442802791</v>
      </c>
      <c r="I201" s="10" t="n">
        <f aca="false">IF(OR(F201="",G201="",N(H201)&lt;=0),"",1-NORMDIST(FLOOR(F201,1)+0.5,G201,H201,TRUE()))</f>
        <v>0.592147593203856</v>
      </c>
      <c r="J201" s="10" t="n">
        <f aca="false">IF(I201="","",NORMDIST(CEILING(F201,1)-0.5,G201,H201,TRUE()))</f>
        <v>0.407852406796144</v>
      </c>
      <c r="K201" s="10" t="n">
        <f aca="false">IF(I201="","",MAX(0,1-I201-J201))</f>
        <v>0</v>
      </c>
      <c r="L201" s="0" t="str">
        <f aca="false">IF(I201="","",IF(I201&gt;=0.5+Config!$B$6,"OVER",IF(J201&gt;=0.5+Config!$B$6,"UNDER","—")))</f>
        <v>OVER</v>
      </c>
      <c r="N201" s="0" t="n">
        <v>9</v>
      </c>
      <c r="O201" s="10" t="n">
        <v>0.6</v>
      </c>
      <c r="P201" s="10" t="n">
        <v>0.4</v>
      </c>
      <c r="Q201" s="10" t="n">
        <v>0.47</v>
      </c>
      <c r="R201" s="9" t="s">
        <v>1131</v>
      </c>
      <c r="S201" s="0" t="n">
        <v>2</v>
      </c>
      <c r="T201" s="0" t="str">
        <f aca="false">INDEX(Calc!$G$2:$G$124,MATCH($W201,Calc!$A$2:$A$124,0))&amp;" / "&amp;INDEX(Calc!$H$2:$H$124,MATCH($W201,Calc!$A$2:$A$124,0))</f>
        <v>Mirage / Ancient</v>
      </c>
      <c r="U201" s="0" t="str">
        <f aca="false">TEXT(INDEX(Calc!$J$2:$J$124,MATCH($W201,Calc!$A$2:$A$124,0)),"0.0")&amp;" / "&amp;TEXT(INDEX(Calc!$K$2:$K$124,MATCH($W201,Calc!$A$2:$A$124,0)),"0.0")</f>
        <v>20.6 / 20.3</v>
      </c>
      <c r="V201" s="0" t="str">
        <f aca="false">IFERROR(INDEX(Calc!$AQ$2:$AQ$124,MATCH($W201,Calc!$A$2:$A$124,0)),"")</f>
        <v/>
      </c>
      <c r="W201" s="9" t="s">
        <v>1349</v>
      </c>
      <c r="X201" s="9" t="s">
        <v>1110</v>
      </c>
      <c r="Y201" s="0" t="str">
        <f aca="false">W201&amp;"|"&amp;X201</f>
        <v>p3z2zy4su4m4nh0|CS2 · TS vs TYLOO|H12</v>
      </c>
      <c r="Z201" s="11" t="n">
        <f aca="false">IFERROR(INDEX(CHOOSE(MATCH($X201,{"K1","K2","K3","K12","K13","H1","H2","H3","H12","H13"},0),Calc!$BA$2:$BA$124,Calc!$BB$2:$BB$124,Calc!$BC$2:$BC$124,Calc!$BD$2:$BD$124,Calc!$BE$2:$BE$124,Calc!$BF$2:$BF$124,Calc!$BG$2:$BG$124,Calc!$BH$2:$BH$124,Calc!$BI$2:$BI$124,Calc!$BJ$2:$BJ$124),MATCH($W201,Calc!$A$2:$A$124,0)),"")</f>
        <v>8.40756035832465</v>
      </c>
      <c r="AA201" s="11" t="n">
        <f aca="false">IF(Z201="","",IF(LEFT($X201,1)="H",SQRT(Z201*(IFERROR(INDEX(Calc!$AP$2:$AP$124,MATCH($W201,Calc!$A$2:$A$124,0)),0.5)*Config!$B$5+1-IFERROR(INDEX(Calc!$AP$2:$AP$124,MATCH($W201,Calc!$A$2:$A$124,0)),0.5))),SQRT(Z201*Config!$B$5)))</f>
        <v>3.08534749245441</v>
      </c>
      <c r="AB201" s="10" t="n">
        <f aca="false">IF(OR(F201="",Z201="",N(AA201)&lt;=0),"",1-NORMDIST(FLOOR(F201,1)+0.5,Z201,AA201,TRUE()))</f>
        <v>0.488049137091498</v>
      </c>
      <c r="AC201" s="10" t="n">
        <f aca="false">IF(AB201="","",NORMDIST(CEILING(F201,1)-0.5,Z201,AA201,TRUE()))</f>
        <v>0.511950862908502</v>
      </c>
      <c r="AD201" s="0" t="str">
        <f aca="false">IF(AB201="","",IF(AB201&gt;=0.5+Config!$B$6,"OVER",IF(AC201&gt;=0.5+Config!$B$6,"UNDER","—")))</f>
        <v>—</v>
      </c>
      <c r="AE201" s="13" t="n">
        <f aca="false">IFERROR(Z201/G201,"")</f>
        <v>0.908487378842348</v>
      </c>
    </row>
    <row r="202" customFormat="false" ht="15" hidden="false" customHeight="false" outlineLevel="0" collapsed="false">
      <c r="A202" s="0" t="s">
        <v>988</v>
      </c>
      <c r="B202" s="0" t="s">
        <v>996</v>
      </c>
      <c r="C202" s="0" t="s">
        <v>1348</v>
      </c>
      <c r="D202" s="0" t="s">
        <v>1001</v>
      </c>
      <c r="E202" s="0" t="s">
        <v>1111</v>
      </c>
      <c r="F202" s="0" t="n">
        <v>23</v>
      </c>
      <c r="G202" s="11" t="n">
        <f aca="false">IFERROR(INDEX(CHOOSE(MATCH($X202,{"K1","K2","K3","K12","K13","H1","H2","H3","H12","H13"},0),Calc!$V$2:$V$124,Calc!$AC$2:$AC$124,Calc!$AJ$2:$AJ$124,Calc!$AL$2:$AL$124,Calc!$AM$2:$AM$124,Calc!$W$2:$W$124,Calc!$AD$2:$AD$124,Calc!$AK$2:$AK$124,Calc!$AN$2:$AN$124,Calc!$AO$2:$AO$124),MATCH($W202,Calc!$A$2:$A$124,0)),"")</f>
        <v>27.9930988095238</v>
      </c>
      <c r="H202" s="11" t="n">
        <f aca="false">IF(G202="","",IF(LEFT($X202,1)="H",SQRT(G202*(IFERROR(INDEX(Calc!$AP$2:$AP$124,MATCH($W202,Calc!$A$2:$A$124,0)),0.5)*Config!$B$5+1-IFERROR(INDEX(Calc!$AP$2:$AP$124,MATCH($W202,Calc!$A$2:$A$124,0)),0.5))),SQRT(G202*Config!$B$5)))</f>
        <v>6.2602187128992</v>
      </c>
      <c r="I202" s="10" t="n">
        <f aca="false">IF(OR(F202="",G202="",N(H202)&lt;=0),"",1-NORMDIST(FLOOR(F202,1)+0.5,G202,H202,TRUE()))</f>
        <v>0.763535746383054</v>
      </c>
      <c r="J202" s="10" t="n">
        <f aca="false">IF(I202="","",NORMDIST(CEILING(F202,1)-0.5,G202,H202,TRUE()))</f>
        <v>0.190118101541199</v>
      </c>
      <c r="K202" s="10" t="n">
        <f aca="false">IF(I202="","",MAX(0,1-I202-J202))</f>
        <v>0.046346152075747</v>
      </c>
      <c r="L202" s="0" t="str">
        <f aca="false">IF(I202="","",IF(I202&gt;=0.5+Config!$B$6,"OVER",IF(J202&gt;=0.5+Config!$B$6,"UNDER","—")))</f>
        <v>OVER</v>
      </c>
      <c r="M202" s="0" t="n">
        <v>24.58</v>
      </c>
      <c r="N202" s="0" t="n">
        <v>26.5</v>
      </c>
      <c r="O202" s="10" t="n">
        <v>0.4</v>
      </c>
      <c r="P202" s="10" t="n">
        <v>0.7</v>
      </c>
      <c r="Q202" s="10" t="n">
        <v>0.67</v>
      </c>
      <c r="R202" s="9" t="s">
        <v>1131</v>
      </c>
      <c r="S202" s="0" t="n">
        <v>-1</v>
      </c>
      <c r="T202" s="0" t="str">
        <f aca="false">INDEX(Calc!$G$2:$G$124,MATCH($W202,Calc!$A$2:$A$124,0))&amp;" / "&amp;INDEX(Calc!$H$2:$H$124,MATCH($W202,Calc!$A$2:$A$124,0))</f>
        <v>Mirage / Ancient</v>
      </c>
      <c r="U202" s="0" t="str">
        <f aca="false">TEXT(INDEX(Calc!$J$2:$J$124,MATCH($W202,Calc!$A$2:$A$124,0)),"0.0")&amp;" / "&amp;TEXT(INDEX(Calc!$K$2:$K$124,MATCH($W202,Calc!$A$2:$A$124,0)),"0.0")</f>
        <v>20.6 / 20.3</v>
      </c>
      <c r="V202" s="0" t="str">
        <f aca="false">IFERROR(INDEX(Calc!$AQ$2:$AQ$124,MATCH($W202,Calc!$A$2:$A$124,0)),"")</f>
        <v/>
      </c>
      <c r="W202" s="9" t="s">
        <v>1349</v>
      </c>
      <c r="X202" s="9" t="s">
        <v>1112</v>
      </c>
      <c r="Y202" s="0" t="str">
        <f aca="false">W202&amp;"|"&amp;X202</f>
        <v>p3z2zy4su4m4nh0|CS2 · TS vs TYLOO|K12</v>
      </c>
      <c r="Z202" s="11" t="n">
        <f aca="false">IFERROR(INDEX(CHOOSE(MATCH($X202,{"K1","K2","K3","K12","K13","H1","H2","H3","H12","H13"},0),Calc!$BA$2:$BA$124,Calc!$BB$2:$BB$124,Calc!$BC$2:$BC$124,Calc!$BD$2:$BD$124,Calc!$BE$2:$BE$124,Calc!$BF$2:$BF$124,Calc!$BG$2:$BG$124,Calc!$BH$2:$BH$124,Calc!$BI$2:$BI$124,Calc!$BJ$2:$BJ$124),MATCH($W202,Calc!$A$2:$A$124,0)),"")</f>
        <v>25.4219717947332</v>
      </c>
      <c r="AA202" s="11" t="n">
        <f aca="false">IF(Z202="","",IF(LEFT($X202,1)="H",SQRT(Z202*(IFERROR(INDEX(Calc!$AP$2:$AP$124,MATCH($W202,Calc!$A$2:$A$124,0)),0.5)*Config!$B$5+1-IFERROR(INDEX(Calc!$AP$2:$AP$124,MATCH($W202,Calc!$A$2:$A$124,0)),0.5))),SQRT(Z202*Config!$B$5)))</f>
        <v>5.96579923502513</v>
      </c>
      <c r="AB202" s="10" t="n">
        <f aca="false">IF(OR(F202="",Z202="",N(AA202)&lt;=0),"",1-NORMDIST(FLOOR(F202,1)+0.5,Z202,AA202,TRUE()))</f>
        <v>0.626336156325784</v>
      </c>
      <c r="AC202" s="10" t="n">
        <f aca="false">IF(AB202="","",NORMDIST(CEILING(F202,1)-0.5,Z202,AA202,TRUE()))</f>
        <v>0.312142262904054</v>
      </c>
      <c r="AD202" s="0" t="str">
        <f aca="false">IF(AB202="","",IF(AB202&gt;=0.5+Config!$B$6,"OVER",IF(AC202&gt;=0.5+Config!$B$6,"UNDER","—")))</f>
        <v>OVER</v>
      </c>
      <c r="AE202" s="13" t="n">
        <f aca="false">IFERROR(Z202/G202,"")</f>
        <v>0.908151397160936</v>
      </c>
    </row>
    <row r="203" customFormat="false" ht="15" hidden="false" customHeight="false" outlineLevel="0" collapsed="false">
      <c r="A203" s="0" t="s">
        <v>988</v>
      </c>
      <c r="B203" s="0" t="s">
        <v>996</v>
      </c>
      <c r="C203" s="0" t="s">
        <v>1350</v>
      </c>
      <c r="D203" s="0" t="s">
        <v>1001</v>
      </c>
      <c r="E203" s="0" t="s">
        <v>1107</v>
      </c>
      <c r="F203" s="0" t="n">
        <v>13</v>
      </c>
      <c r="G203" s="11" t="n">
        <f aca="false">IFERROR(INDEX(CHOOSE(MATCH($X203,{"K1","K2","K3","K12","K13","H1","H2","H3","H12","H13"},0),Calc!$V$2:$V$124,Calc!$AC$2:$AC$124,Calc!$AJ$2:$AJ$124,Calc!$AL$2:$AL$124,Calc!$AM$2:$AM$124,Calc!$W$2:$W$124,Calc!$AD$2:$AD$124,Calc!$AK$2:$AK$124,Calc!$AN$2:$AN$124,Calc!$AO$2:$AO$124),MATCH($W203,Calc!$A$2:$A$124,0)),"")</f>
        <v>16.6066348360828</v>
      </c>
      <c r="H203" s="11" t="n">
        <f aca="false">IF(G203="","",IF(LEFT($X203,1)="H",SQRT(G203*(IFERROR(INDEX(Calc!$AP$2:$AP$124,MATCH($W203,Calc!$A$2:$A$124,0)),0.5)*Config!$B$5+1-IFERROR(INDEX(Calc!$AP$2:$AP$124,MATCH($W203,Calc!$A$2:$A$124,0)),0.5))),SQRT(G203*Config!$B$5)))</f>
        <v>4.58124069371576</v>
      </c>
      <c r="I203" s="10" t="n">
        <f aca="false">IF(OR(F203="",G203="",N(H203)&lt;=0),"",1-NORMDIST(FLOOR(F203,1)+0.5,G203,H203,TRUE()))</f>
        <v>0.75115246426207</v>
      </c>
      <c r="J203" s="10" t="n">
        <f aca="false">IF(I203="","",NORMDIST(CEILING(F203,1)-0.5,G203,H203,TRUE()))</f>
        <v>0.185018961442953</v>
      </c>
      <c r="K203" s="10" t="n">
        <f aca="false">IF(I203="","",MAX(0,1-I203-J203))</f>
        <v>0.0638285742949767</v>
      </c>
      <c r="L203" s="0" t="str">
        <f aca="false">IF(I203="","",IF(I203&gt;=0.5+Config!$B$6,"OVER",IF(J203&gt;=0.5+Config!$B$6,"UNDER","—")))</f>
        <v>OVER</v>
      </c>
      <c r="N203" s="0" t="n">
        <v>16.9</v>
      </c>
      <c r="O203" s="10" t="n">
        <v>0.6</v>
      </c>
      <c r="P203" s="10" t="n">
        <v>0.8</v>
      </c>
      <c r="Q203" s="10" t="n">
        <v>0.8</v>
      </c>
      <c r="R203" s="9" t="s">
        <v>1131</v>
      </c>
      <c r="S203" s="0" t="n">
        <v>2</v>
      </c>
      <c r="T203" s="0" t="str">
        <f aca="false">INDEX(Calc!$G$2:$G$124,MATCH($W203,Calc!$A$2:$A$124,0))&amp;" / "&amp;INDEX(Calc!$H$2:$H$124,MATCH($W203,Calc!$A$2:$A$124,0))</f>
        <v>Mirage / Ancient</v>
      </c>
      <c r="U203" s="0" t="str">
        <f aca="false">TEXT(INDEX(Calc!$J$2:$J$124,MATCH($W203,Calc!$A$2:$A$124,0)),"0.0")&amp;" / "&amp;TEXT(INDEX(Calc!$K$2:$K$124,MATCH($W203,Calc!$A$2:$A$124,0)),"0.0")</f>
        <v>20.6 / 20.3</v>
      </c>
      <c r="V203" s="0" t="str">
        <f aca="false">IFERROR(INDEX(Calc!$AQ$2:$AQ$124,MATCH($W203,Calc!$A$2:$A$124,0)),"")</f>
        <v/>
      </c>
      <c r="W203" s="9" t="s">
        <v>1351</v>
      </c>
      <c r="X203" s="9" t="s">
        <v>1110</v>
      </c>
      <c r="Y203" s="0" t="str">
        <f aca="false">W203&amp;"|"&amp;X203</f>
        <v>7jjpyjuolf7cdlx|CS2 · TS vs TYLOO|H12</v>
      </c>
      <c r="Z203" s="11" t="n">
        <f aca="false">IFERROR(INDEX(CHOOSE(MATCH($X203,{"K1","K2","K3","K12","K13","H1","H2","H3","H12","H13"},0),Calc!$BA$2:$BA$124,Calc!$BB$2:$BB$124,Calc!$BC$2:$BC$124,Calc!$BD$2:$BD$124,Calc!$BE$2:$BE$124,Calc!$BF$2:$BF$124,Calc!$BG$2:$BG$124,Calc!$BH$2:$BH$124,Calc!$BI$2:$BI$124,Calc!$BJ$2:$BJ$124),MATCH($W203,Calc!$A$2:$A$124,0)),"")</f>
        <v>15.0771424843808</v>
      </c>
      <c r="AA203" s="11" t="n">
        <f aca="false">IF(Z203="","",IF(LEFT($X203,1)="H",SQRT(Z203*(IFERROR(INDEX(Calc!$AP$2:$AP$124,MATCH($W203,Calc!$A$2:$A$124,0)),0.5)*Config!$B$5+1-IFERROR(INDEX(Calc!$AP$2:$AP$124,MATCH($W203,Calc!$A$2:$A$124,0)),0.5))),SQRT(Z203*Config!$B$5)))</f>
        <v>4.36517652791766</v>
      </c>
      <c r="AB203" s="10" t="n">
        <f aca="false">IF(OR(F203="",Z203="",N(AA203)&lt;=0),"",1-NORMDIST(FLOOR(F203,1)+0.5,Z203,AA203,TRUE()))</f>
        <v>0.641062763150275</v>
      </c>
      <c r="AC203" s="10" t="n">
        <f aca="false">IF(AB203="","",NORMDIST(CEILING(F203,1)-0.5,Z203,AA203,TRUE()))</f>
        <v>0.277465688096258</v>
      </c>
      <c r="AD203" s="0" t="str">
        <f aca="false">IF(AB203="","",IF(AB203&gt;=0.5+Config!$B$6,"OVER",IF(AC203&gt;=0.5+Config!$B$6,"UNDER","—")))</f>
        <v>OVER</v>
      </c>
      <c r="AE203" s="13" t="n">
        <f aca="false">IFERROR(Z203/G203,"")</f>
        <v>0.907898718385818</v>
      </c>
    </row>
    <row r="204" customFormat="false" ht="15" hidden="false" customHeight="false" outlineLevel="0" collapsed="false">
      <c r="A204" s="0" t="s">
        <v>988</v>
      </c>
      <c r="B204" s="0" t="s">
        <v>996</v>
      </c>
      <c r="C204" s="0" t="s">
        <v>1350</v>
      </c>
      <c r="D204" s="0" t="s">
        <v>1001</v>
      </c>
      <c r="E204" s="0" t="s">
        <v>1111</v>
      </c>
      <c r="F204" s="0" t="n">
        <v>21</v>
      </c>
      <c r="G204" s="11" t="n">
        <f aca="false">IFERROR(INDEX(CHOOSE(MATCH($X204,{"K1","K2","K3","K12","K13","H1","H2","H3","H12","H13"},0),Calc!$V$2:$V$124,Calc!$AC$2:$AC$124,Calc!$AJ$2:$AJ$124,Calc!$AL$2:$AL$124,Calc!$AM$2:$AM$124,Calc!$W$2:$W$124,Calc!$AD$2:$AD$124,Calc!$AK$2:$AK$124,Calc!$AN$2:$AN$124,Calc!$AO$2:$AO$124),MATCH($W204,Calc!$A$2:$A$124,0)),"")</f>
        <v>25.1789130952381</v>
      </c>
      <c r="H204" s="11" t="n">
        <f aca="false">IF(G204="","",IF(LEFT($X204,1)="H",SQRT(G204*(IFERROR(INDEX(Calc!$AP$2:$AP$124,MATCH($W204,Calc!$A$2:$A$124,0)),0.5)*Config!$B$5+1-IFERROR(INDEX(Calc!$AP$2:$AP$124,MATCH($W204,Calc!$A$2:$A$124,0)),0.5))),SQRT(G204*Config!$B$5)))</f>
        <v>5.93721132631586</v>
      </c>
      <c r="I204" s="10" t="n">
        <f aca="false">IF(OR(F204="",G204="",N(H204)&lt;=0),"",1-NORMDIST(FLOOR(F204,1)+0.5,G204,H204,TRUE()))</f>
        <v>0.732251448501189</v>
      </c>
      <c r="J204" s="10" t="n">
        <f aca="false">IF(I204="","",NORMDIST(CEILING(F204,1)-0.5,G204,H204,TRUE()))</f>
        <v>0.215329114095882</v>
      </c>
      <c r="K204" s="10" t="n">
        <f aca="false">IF(I204="","",MAX(0,1-I204-J204))</f>
        <v>0.0524194374029296</v>
      </c>
      <c r="L204" s="0" t="str">
        <f aca="false">IF(I204="","",IF(I204&gt;=0.5+Config!$B$6,"OVER",IF(J204&gt;=0.5+Config!$B$6,"UNDER","—")))</f>
        <v>OVER</v>
      </c>
      <c r="M204" s="0" t="n">
        <v>21.65</v>
      </c>
      <c r="N204" s="0" t="n">
        <v>25.4</v>
      </c>
      <c r="O204" s="10" t="n">
        <v>0.6</v>
      </c>
      <c r="P204" s="10" t="n">
        <v>0.8</v>
      </c>
      <c r="Q204" s="10" t="n">
        <v>0.73</v>
      </c>
      <c r="R204" s="9" t="s">
        <v>1131</v>
      </c>
      <c r="S204" s="0" t="n">
        <v>2</v>
      </c>
      <c r="T204" s="0" t="str">
        <f aca="false">INDEX(Calc!$G$2:$G$124,MATCH($W204,Calc!$A$2:$A$124,0))&amp;" / "&amp;INDEX(Calc!$H$2:$H$124,MATCH($W204,Calc!$A$2:$A$124,0))</f>
        <v>Mirage / Ancient</v>
      </c>
      <c r="U204" s="0" t="str">
        <f aca="false">TEXT(INDEX(Calc!$J$2:$J$124,MATCH($W204,Calc!$A$2:$A$124,0)),"0.0")&amp;" / "&amp;TEXT(INDEX(Calc!$K$2:$K$124,MATCH($W204,Calc!$A$2:$A$124,0)),"0.0")</f>
        <v>20.6 / 20.3</v>
      </c>
      <c r="V204" s="0" t="str">
        <f aca="false">IFERROR(INDEX(Calc!$AQ$2:$AQ$124,MATCH($W204,Calc!$A$2:$A$124,0)),"")</f>
        <v/>
      </c>
      <c r="W204" s="9" t="s">
        <v>1351</v>
      </c>
      <c r="X204" s="9" t="s">
        <v>1112</v>
      </c>
      <c r="Y204" s="0" t="str">
        <f aca="false">W204&amp;"|"&amp;X204</f>
        <v>7jjpyjuolf7cdlx|CS2 · TS vs TYLOO|K12</v>
      </c>
      <c r="Z204" s="11" t="n">
        <f aca="false">IFERROR(INDEX(CHOOSE(MATCH($X204,{"K1","K2","K3","K12","K13","H1","H2","H3","H12","H13"},0),Calc!$BA$2:$BA$124,Calc!$BB$2:$BB$124,Calc!$BC$2:$BC$124,Calc!$BD$2:$BD$124,Calc!$BE$2:$BE$124,Calc!$BF$2:$BF$124,Calc!$BG$2:$BG$124,Calc!$BH$2:$BH$124,Calc!$BI$2:$BI$124,Calc!$BJ$2:$BJ$124),MATCH($W204,Calc!$A$2:$A$124,0)),"")</f>
        <v>22.8433556188479</v>
      </c>
      <c r="AA204" s="11" t="n">
        <f aca="false">IF(Z204="","",IF(LEFT($X204,1)="H",SQRT(Z204*(IFERROR(INDEX(Calc!$AP$2:$AP$124,MATCH($W204,Calc!$A$2:$A$124,0)),0.5)*Config!$B$5+1-IFERROR(INDEX(Calc!$AP$2:$AP$124,MATCH($W204,Calc!$A$2:$A$124,0)),0.5))),SQRT(Z204*Config!$B$5)))</f>
        <v>5.65514790844476</v>
      </c>
      <c r="AB204" s="10" t="n">
        <f aca="false">IF(OR(F204="",Z204="",N(AA204)&lt;=0),"",1-NORMDIST(FLOOR(F204,1)+0.5,Z204,AA204,TRUE()))</f>
        <v>0.593883234119339</v>
      </c>
      <c r="AC204" s="10" t="n">
        <f aca="false">IF(AB204="","",NORMDIST(CEILING(F204,1)-0.5,Z204,AA204,TRUE()))</f>
        <v>0.339299507619652</v>
      </c>
      <c r="AD204" s="0" t="str">
        <f aca="false">IF(AB204="","",IF(AB204&gt;=0.5+Config!$B$6,"OVER",IF(AC204&gt;=0.5+Config!$B$6,"UNDER","—")))</f>
        <v>OVER</v>
      </c>
      <c r="AE204" s="13" t="n">
        <f aca="false">IFERROR(Z204/G204,"")</f>
        <v>0.90724152914957</v>
      </c>
    </row>
    <row r="205" customFormat="false" ht="15" hidden="false" customHeight="false" outlineLevel="0" collapsed="false">
      <c r="A205" s="0" t="s">
        <v>988</v>
      </c>
      <c r="B205" s="0" t="s">
        <v>996</v>
      </c>
      <c r="C205" s="0" t="s">
        <v>1352</v>
      </c>
      <c r="D205" s="0" t="s">
        <v>1001</v>
      </c>
      <c r="E205" s="0" t="s">
        <v>1107</v>
      </c>
      <c r="F205" s="0" t="n">
        <v>13</v>
      </c>
      <c r="G205" s="11" t="n">
        <f aca="false">IFERROR(INDEX(CHOOSE(MATCH($X205,{"K1","K2","K3","K12","K13","H1","H2","H3","H12","H13"},0),Calc!$V$2:$V$124,Calc!$AC$2:$AC$124,Calc!$AJ$2:$AJ$124,Calc!$AL$2:$AL$124,Calc!$AM$2:$AM$124,Calc!$W$2:$W$124,Calc!$AD$2:$AD$124,Calc!$AK$2:$AK$124,Calc!$AN$2:$AN$124,Calc!$AO$2:$AO$124),MATCH($W205,Calc!$A$2:$A$124,0)),"")</f>
        <v>16.1337424869048</v>
      </c>
      <c r="H205" s="11" t="n">
        <f aca="false">IF(G205="","",IF(LEFT($X205,1)="H",SQRT(G205*(IFERROR(INDEX(Calc!$AP$2:$AP$124,MATCH($W205,Calc!$A$2:$A$124,0)),0.5)*Config!$B$5+1-IFERROR(INDEX(Calc!$AP$2:$AP$124,MATCH($W205,Calc!$A$2:$A$124,0)),0.5))),SQRT(G205*Config!$B$5)))</f>
        <v>4.50886730580941</v>
      </c>
      <c r="I205" s="10" t="n">
        <f aca="false">IF(OR(F205="",G205="",N(H205)&lt;=0),"",1-NORMDIST(FLOOR(F205,1)+0.5,G205,H205,TRUE()))</f>
        <v>0.720431919677974</v>
      </c>
      <c r="J205" s="10" t="n">
        <f aca="false">IF(I205="","",NORMDIST(CEILING(F205,1)-0.5,G205,H205,TRUE()))</f>
        <v>0.210147293350113</v>
      </c>
      <c r="K205" s="10" t="n">
        <f aca="false">IF(I205="","",MAX(0,1-I205-J205))</f>
        <v>0.0694207869719134</v>
      </c>
      <c r="L205" s="0" t="str">
        <f aca="false">IF(I205="","",IF(I205&gt;=0.5+Config!$B$6,"OVER",IF(J205&gt;=0.5+Config!$B$6,"UNDER","—")))</f>
        <v>OVER</v>
      </c>
      <c r="N205" s="0" t="n">
        <v>15.9</v>
      </c>
      <c r="O205" s="10" t="n">
        <v>0.6</v>
      </c>
      <c r="P205" s="10" t="n">
        <v>0.7</v>
      </c>
      <c r="Q205" s="10" t="n">
        <v>0.53</v>
      </c>
      <c r="R205" s="9" t="s">
        <v>1124</v>
      </c>
      <c r="S205" s="0" t="n">
        <v>3</v>
      </c>
      <c r="T205" s="0" t="str">
        <f aca="false">INDEX(Calc!$G$2:$G$124,MATCH($W205,Calc!$A$2:$A$124,0))&amp;" / "&amp;INDEX(Calc!$H$2:$H$124,MATCH($W205,Calc!$A$2:$A$124,0))</f>
        <v>Mirage / Ancient</v>
      </c>
      <c r="U205" s="0" t="str">
        <f aca="false">TEXT(INDEX(Calc!$J$2:$J$124,MATCH($W205,Calc!$A$2:$A$124,0)),"0.0")&amp;" / "&amp;TEXT(INDEX(Calc!$K$2:$K$124,MATCH($W205,Calc!$A$2:$A$124,0)),"0.0")</f>
        <v>20.6 / 20.3</v>
      </c>
      <c r="V205" s="0" t="str">
        <f aca="false">IFERROR(INDEX(Calc!$AQ$2:$AQ$124,MATCH($W205,Calc!$A$2:$A$124,0)),"")</f>
        <v/>
      </c>
      <c r="W205" s="9" t="s">
        <v>1353</v>
      </c>
      <c r="X205" s="9" t="s">
        <v>1110</v>
      </c>
      <c r="Y205" s="0" t="str">
        <f aca="false">W205&amp;"|"&amp;X205</f>
        <v>ypfqlkrrqevp8h4|CS2 · TS vs TYLOO|H12</v>
      </c>
      <c r="Z205" s="11" t="n">
        <f aca="false">IFERROR(INDEX(CHOOSE(MATCH($X205,{"K1","K2","K3","K12","K13","H1","H2","H3","H12","H13"},0),Calc!$BA$2:$BA$124,Calc!$BB$2:$BB$124,Calc!$BC$2:$BC$124,Calc!$BD$2:$BD$124,Calc!$BE$2:$BE$124,Calc!$BF$2:$BF$124,Calc!$BG$2:$BG$124,Calc!$BH$2:$BH$124,Calc!$BI$2:$BI$124,Calc!$BJ$2:$BJ$124),MATCH($W205,Calc!$A$2:$A$124,0)),"")</f>
        <v>14.6552747386902</v>
      </c>
      <c r="AA205" s="11" t="n">
        <f aca="false">IF(Z205="","",IF(LEFT($X205,1)="H",SQRT(Z205*(IFERROR(INDEX(Calc!$AP$2:$AP$124,MATCH($W205,Calc!$A$2:$A$124,0)),0.5)*Config!$B$5+1-IFERROR(INDEX(Calc!$AP$2:$AP$124,MATCH($W205,Calc!$A$2:$A$124,0)),0.5))),SQRT(Z205*Config!$B$5)))</f>
        <v>4.29731190162363</v>
      </c>
      <c r="AB205" s="10" t="n">
        <f aca="false">IF(OR(F205="",Z205="",N(AA205)&lt;=0),"",1-NORMDIST(FLOOR(F205,1)+0.5,Z205,AA205,TRUE()))</f>
        <v>0.605972288069405</v>
      </c>
      <c r="AC205" s="10" t="n">
        <f aca="false">IF(AB205="","",NORMDIST(CEILING(F205,1)-0.5,Z205,AA205,TRUE()))</f>
        <v>0.307995491090238</v>
      </c>
      <c r="AD205" s="0" t="str">
        <f aca="false">IF(AB205="","",IF(AB205&gt;=0.5+Config!$B$6,"OVER",IF(AC205&gt;=0.5+Config!$B$6,"UNDER","—")))</f>
        <v>OVER</v>
      </c>
      <c r="AE205" s="13" t="n">
        <f aca="false">IFERROR(Z205/G205,"")</f>
        <v>0.908361761109392</v>
      </c>
    </row>
    <row r="206" customFormat="false" ht="15" hidden="false" customHeight="false" outlineLevel="0" collapsed="false">
      <c r="A206" s="0" t="s">
        <v>988</v>
      </c>
      <c r="B206" s="0" t="s">
        <v>996</v>
      </c>
      <c r="C206" s="0" t="s">
        <v>1352</v>
      </c>
      <c r="D206" s="0" t="s">
        <v>1001</v>
      </c>
      <c r="E206" s="0" t="s">
        <v>1111</v>
      </c>
      <c r="F206" s="0" t="n">
        <v>21</v>
      </c>
      <c r="G206" s="11" t="n">
        <f aca="false">IFERROR(INDEX(CHOOSE(MATCH($X206,{"K1","K2","K3","K12","K13","H1","H2","H3","H12","H13"},0),Calc!$V$2:$V$124,Calc!$AC$2:$AC$124,Calc!$AJ$2:$AJ$124,Calc!$AL$2:$AL$124,Calc!$AM$2:$AM$124,Calc!$W$2:$W$124,Calc!$AD$2:$AD$124,Calc!$AK$2:$AK$124,Calc!$AN$2:$AN$124,Calc!$AO$2:$AO$124),MATCH($W206,Calc!$A$2:$A$124,0)),"")</f>
        <v>24.8130452380952</v>
      </c>
      <c r="H206" s="11" t="n">
        <f aca="false">IF(G206="","",IF(LEFT($X206,1)="H",SQRT(G206*(IFERROR(INDEX(Calc!$AP$2:$AP$124,MATCH($W206,Calc!$A$2:$A$124,0)),0.5)*Config!$B$5+1-IFERROR(INDEX(Calc!$AP$2:$AP$124,MATCH($W206,Calc!$A$2:$A$124,0)),0.5))),SQRT(G206*Config!$B$5)))</f>
        <v>5.89391748613207</v>
      </c>
      <c r="I206" s="10" t="n">
        <f aca="false">IF(OR(F206="",G206="",N(H206)&lt;=0),"",1-NORMDIST(FLOOR(F206,1)+0.5,G206,H206,TRUE()))</f>
        <v>0.712980345368901</v>
      </c>
      <c r="J206" s="10" t="n">
        <f aca="false">IF(I206="","",NORMDIST(CEILING(F206,1)-0.5,G206,H206,TRUE()))</f>
        <v>0.23215172427556</v>
      </c>
      <c r="K206" s="10" t="n">
        <f aca="false">IF(I206="","",MAX(0,1-I206-J206))</f>
        <v>0.054867930355539</v>
      </c>
      <c r="L206" s="0" t="str">
        <f aca="false">IF(I206="","",IF(I206&gt;=0.5+Config!$B$6,"OVER",IF(J206&gt;=0.5+Config!$B$6,"UNDER","—")))</f>
        <v>OVER</v>
      </c>
      <c r="M206" s="0" t="n">
        <v>23.06</v>
      </c>
      <c r="N206" s="0" t="n">
        <v>24.8</v>
      </c>
      <c r="O206" s="10" t="n">
        <v>1</v>
      </c>
      <c r="P206" s="10" t="n">
        <v>0.8</v>
      </c>
      <c r="Q206" s="10" t="n">
        <v>0.67</v>
      </c>
      <c r="R206" s="9" t="s">
        <v>1131</v>
      </c>
      <c r="S206" s="0" t="n">
        <v>6</v>
      </c>
      <c r="T206" s="0" t="str">
        <f aca="false">INDEX(Calc!$G$2:$G$124,MATCH($W206,Calc!$A$2:$A$124,0))&amp;" / "&amp;INDEX(Calc!$H$2:$H$124,MATCH($W206,Calc!$A$2:$A$124,0))</f>
        <v>Mirage / Ancient</v>
      </c>
      <c r="U206" s="0" t="str">
        <f aca="false">TEXT(INDEX(Calc!$J$2:$J$124,MATCH($W206,Calc!$A$2:$A$124,0)),"0.0")&amp;" / "&amp;TEXT(INDEX(Calc!$K$2:$K$124,MATCH($W206,Calc!$A$2:$A$124,0)),"0.0")</f>
        <v>20.6 / 20.3</v>
      </c>
      <c r="V206" s="0" t="str">
        <f aca="false">IFERROR(INDEX(Calc!$AQ$2:$AQ$124,MATCH($W206,Calc!$A$2:$A$124,0)),"")</f>
        <v/>
      </c>
      <c r="W206" s="9" t="s">
        <v>1353</v>
      </c>
      <c r="X206" s="9" t="s">
        <v>1112</v>
      </c>
      <c r="Y206" s="0" t="str">
        <f aca="false">W206&amp;"|"&amp;X206</f>
        <v>ypfqlkrrqevp8h4|CS2 · TS vs TYLOO|K12</v>
      </c>
      <c r="Z206" s="11" t="n">
        <f aca="false">IFERROR(INDEX(CHOOSE(MATCH($X206,{"K1","K2","K3","K12","K13","H1","H2","H3","H12","H13"},0),Calc!$BA$2:$BA$124,Calc!$BB$2:$BB$124,Calc!$BC$2:$BC$124,Calc!$BD$2:$BD$124,Calc!$BE$2:$BE$124,Calc!$BF$2:$BF$124,Calc!$BG$2:$BG$124,Calc!$BH$2:$BH$124,Calc!$BI$2:$BI$124,Calc!$BJ$2:$BJ$124),MATCH($W206,Calc!$A$2:$A$124,0)),"")</f>
        <v>22.5410502876201</v>
      </c>
      <c r="AA206" s="11" t="n">
        <f aca="false">IF(Z206="","",IF(LEFT($X206,1)="H",SQRT(Z206*(IFERROR(INDEX(Calc!$AP$2:$AP$124,MATCH($W206,Calc!$A$2:$A$124,0)),0.5)*Config!$B$5+1-IFERROR(INDEX(Calc!$AP$2:$AP$124,MATCH($W206,Calc!$A$2:$A$124,0)),0.5))),SQRT(Z206*Config!$B$5)))</f>
        <v>5.61760361743939</v>
      </c>
      <c r="AB206" s="10" t="n">
        <f aca="false">IF(OR(F206="",Z206="",N(AA206)&lt;=0),"",1-NORMDIST(FLOOR(F206,1)+0.5,Z206,AA206,TRUE()))</f>
        <v>0.573510693744138</v>
      </c>
      <c r="AC206" s="10" t="n">
        <f aca="false">IF(AB206="","",NORMDIST(CEILING(F206,1)-0.5,Z206,AA206,TRUE()))</f>
        <v>0.358178769626039</v>
      </c>
      <c r="AD206" s="0" t="str">
        <f aca="false">IF(AB206="","",IF(AB206&gt;=0.5+Config!$B$6,"OVER",IF(AC206&gt;=0.5+Config!$B$6,"UNDER","—")))</f>
        <v>OVER</v>
      </c>
      <c r="AE206" s="13" t="n">
        <f aca="false">IFERROR(Z206/G206,"")</f>
        <v>0.908435464947003</v>
      </c>
    </row>
    <row r="207" customFormat="false" ht="15" hidden="false" customHeight="false" outlineLevel="0" collapsed="false">
      <c r="A207" s="0" t="s">
        <v>988</v>
      </c>
      <c r="B207" s="0" t="s">
        <v>996</v>
      </c>
      <c r="C207" s="0" t="s">
        <v>1354</v>
      </c>
      <c r="D207" s="0" t="s">
        <v>1001</v>
      </c>
      <c r="E207" s="0" t="s">
        <v>1107</v>
      </c>
      <c r="F207" s="0" t="n">
        <v>12.5</v>
      </c>
      <c r="G207" s="11" t="n">
        <f aca="false">IFERROR(INDEX(CHOOSE(MATCH($X207,{"K1","K2","K3","K12","K13","H1","H2","H3","H12","H13"},0),Calc!$V$2:$V$124,Calc!$AC$2:$AC$124,Calc!$AJ$2:$AJ$124,Calc!$AL$2:$AL$124,Calc!$AM$2:$AM$124,Calc!$W$2:$W$124,Calc!$AD$2:$AD$124,Calc!$AK$2:$AK$124,Calc!$AN$2:$AN$124,Calc!$AO$2:$AO$124),MATCH($W207,Calc!$A$2:$A$124,0)),"")</f>
        <v>14.2165648602041</v>
      </c>
      <c r="H207" s="11" t="n">
        <f aca="false">IF(G207="","",IF(LEFT($X207,1)="H",SQRT(G207*(IFERROR(INDEX(Calc!$AP$2:$AP$124,MATCH($W207,Calc!$A$2:$A$124,0)),0.5)*Config!$B$5+1-IFERROR(INDEX(Calc!$AP$2:$AP$124,MATCH($W207,Calc!$A$2:$A$124,0)),0.5))),SQRT(G207*Config!$B$5)))</f>
        <v>4.14727976654437</v>
      </c>
      <c r="I207" s="10" t="n">
        <f aca="false">IF(OR(F207="",G207="",N(H207)&lt;=0),"",1-NORMDIST(FLOOR(F207,1)+0.5,G207,H207,TRUE()))</f>
        <v>0.660526837072971</v>
      </c>
      <c r="J207" s="10" t="n">
        <f aca="false">IF(I207="","",NORMDIST(CEILING(F207,1)-0.5,G207,H207,TRUE()))</f>
        <v>0.339473162927029</v>
      </c>
      <c r="K207" s="10" t="n">
        <f aca="false">IF(I207="","",MAX(0,1-I207-J207))</f>
        <v>0</v>
      </c>
      <c r="L207" s="0" t="str">
        <f aca="false">IF(I207="","",IF(I207&gt;=0.5+Config!$B$6,"OVER",IF(J207&gt;=0.5+Config!$B$6,"UNDER","—")))</f>
        <v>OVER</v>
      </c>
      <c r="N207" s="0" t="n">
        <v>15.1</v>
      </c>
      <c r="O207" s="10" t="n">
        <v>0.8</v>
      </c>
      <c r="P207" s="10" t="n">
        <v>0.7</v>
      </c>
      <c r="Q207" s="10" t="n">
        <v>0.67</v>
      </c>
      <c r="R207" s="9" t="s">
        <v>1108</v>
      </c>
      <c r="S207" s="0" t="n">
        <v>4</v>
      </c>
      <c r="T207" s="0" t="str">
        <f aca="false">INDEX(Calc!$G$2:$G$124,MATCH($W207,Calc!$A$2:$A$124,0))&amp;" / "&amp;INDEX(Calc!$H$2:$H$124,MATCH($W207,Calc!$A$2:$A$124,0))</f>
        <v>Mirage / Ancient</v>
      </c>
      <c r="U207" s="0" t="str">
        <f aca="false">TEXT(INDEX(Calc!$J$2:$J$124,MATCH($W207,Calc!$A$2:$A$124,0)),"0.0")&amp;" / "&amp;TEXT(INDEX(Calc!$K$2:$K$124,MATCH($W207,Calc!$A$2:$A$124,0)),"0.0")</f>
        <v>20.6 / 20.3</v>
      </c>
      <c r="V207" s="0" t="str">
        <f aca="false">IFERROR(INDEX(Calc!$AQ$2:$AQ$124,MATCH($W207,Calc!$A$2:$A$124,0)),"")</f>
        <v/>
      </c>
      <c r="W207" s="9" t="s">
        <v>1355</v>
      </c>
      <c r="X207" s="9" t="s">
        <v>1110</v>
      </c>
      <c r="Y207" s="0" t="str">
        <f aca="false">W207&amp;"|"&amp;X207</f>
        <v>8xh80pn743zwzp0|CS2 · TS vs TYLOO|H12</v>
      </c>
      <c r="Z207" s="11" t="n">
        <f aca="false">IFERROR(INDEX(CHOOSE(MATCH($X207,{"K1","K2","K3","K12","K13","H1","H2","H3","H12","H13"},0),Calc!$BA$2:$BA$124,Calc!$BB$2:$BB$124,Calc!$BC$2:$BC$124,Calc!$BD$2:$BD$124,Calc!$BE$2:$BE$124,Calc!$BF$2:$BF$124,Calc!$BG$2:$BG$124,Calc!$BH$2:$BH$124,Calc!$BI$2:$BI$124,Calc!$BJ$2:$BJ$124),MATCH($W207,Calc!$A$2:$A$124,0)),"")</f>
        <v>12.9130372555471</v>
      </c>
      <c r="AA207" s="11" t="n">
        <f aca="false">IF(Z207="","",IF(LEFT($X207,1)="H",SQRT(Z207*(IFERROR(INDEX(Calc!$AP$2:$AP$124,MATCH($W207,Calc!$A$2:$A$124,0)),0.5)*Config!$B$5+1-IFERROR(INDEX(Calc!$AP$2:$AP$124,MATCH($W207,Calc!$A$2:$A$124,0)),0.5))),SQRT(Z207*Config!$B$5)))</f>
        <v>3.95257572936236</v>
      </c>
      <c r="AB207" s="10" t="n">
        <f aca="false">IF(OR(F207="",Z207="",N(AA207)&lt;=0),"",1-NORMDIST(FLOOR(F207,1)+0.5,Z207,AA207,TRUE()))</f>
        <v>0.541613022399383</v>
      </c>
      <c r="AC207" s="10" t="n">
        <f aca="false">IF(AB207="","",NORMDIST(CEILING(F207,1)-0.5,Z207,AA207,TRUE()))</f>
        <v>0.458386977600617</v>
      </c>
      <c r="AD207" s="0" t="str">
        <f aca="false">IF(AB207="","",IF(AB207&gt;=0.5+Config!$B$6,"OVER",IF(AC207&gt;=0.5+Config!$B$6,"UNDER","—")))</f>
        <v>OVER</v>
      </c>
      <c r="AE207" s="13" t="n">
        <f aca="false">IFERROR(Z207/G207,"")</f>
        <v>0.908309242248393</v>
      </c>
    </row>
    <row r="208" customFormat="false" ht="15" hidden="false" customHeight="false" outlineLevel="0" collapsed="false">
      <c r="A208" s="0" t="s">
        <v>988</v>
      </c>
      <c r="B208" s="0" t="s">
        <v>996</v>
      </c>
      <c r="C208" s="0" t="s">
        <v>1354</v>
      </c>
      <c r="D208" s="0" t="s">
        <v>1001</v>
      </c>
      <c r="E208" s="0" t="s">
        <v>1111</v>
      </c>
      <c r="F208" s="0" t="n">
        <v>22.5</v>
      </c>
      <c r="G208" s="11" t="n">
        <f aca="false">IFERROR(INDEX(CHOOSE(MATCH($X208,{"K1","K2","K3","K12","K13","H1","H2","H3","H12","H13"},0),Calc!$V$2:$V$124,Calc!$AC$2:$AC$124,Calc!$AJ$2:$AJ$124,Calc!$AL$2:$AL$124,Calc!$AM$2:$AM$124,Calc!$W$2:$W$124,Calc!$AD$2:$AD$124,Calc!$AK$2:$AK$124,Calc!$AN$2:$AN$124,Calc!$AO$2:$AO$124),MATCH($W208,Calc!$A$2:$A$124,0)),"")</f>
        <v>27.0983595238095</v>
      </c>
      <c r="H208" s="11" t="n">
        <f aca="false">IF(G208="","",IF(LEFT($X208,1)="H",SQRT(G208*(IFERROR(INDEX(Calc!$AP$2:$AP$124,MATCH($W208,Calc!$A$2:$A$124,0)),0.5)*Config!$B$5+1-IFERROR(INDEX(Calc!$AP$2:$AP$124,MATCH($W208,Calc!$A$2:$A$124,0)),0.5))),SQRT(G208*Config!$B$5)))</f>
        <v>6.15935900344616</v>
      </c>
      <c r="I208" s="10" t="n">
        <f aca="false">IF(OR(F208="",G208="",N(H208)&lt;=0),"",1-NORMDIST(FLOOR(F208,1)+0.5,G208,H208,TRUE()))</f>
        <v>0.772336794752585</v>
      </c>
      <c r="J208" s="10" t="n">
        <f aca="false">IF(I208="","",NORMDIST(CEILING(F208,1)-0.5,G208,H208,TRUE()))</f>
        <v>0.227663205247415</v>
      </c>
      <c r="K208" s="10" t="n">
        <f aca="false">IF(I208="","",MAX(0,1-I208-J208))</f>
        <v>0</v>
      </c>
      <c r="L208" s="0" t="str">
        <f aca="false">IF(I208="","",IF(I208&gt;=0.5+Config!$B$6,"OVER",IF(J208&gt;=0.5+Config!$B$6,"UNDER","—")))</f>
        <v>OVER</v>
      </c>
      <c r="M208" s="0" t="n">
        <v>23.69</v>
      </c>
      <c r="N208" s="0" t="n">
        <v>26.8</v>
      </c>
      <c r="O208" s="10" t="n">
        <v>0.6</v>
      </c>
      <c r="P208" s="10" t="n">
        <v>0.8</v>
      </c>
      <c r="Q208" s="10" t="n">
        <v>0.73</v>
      </c>
      <c r="R208" s="9" t="s">
        <v>1108</v>
      </c>
      <c r="S208" s="0" t="n">
        <v>2</v>
      </c>
      <c r="T208" s="0" t="str">
        <f aca="false">INDEX(Calc!$G$2:$G$124,MATCH($W208,Calc!$A$2:$A$124,0))&amp;" / "&amp;INDEX(Calc!$H$2:$H$124,MATCH($W208,Calc!$A$2:$A$124,0))</f>
        <v>Mirage / Ancient</v>
      </c>
      <c r="U208" s="0" t="str">
        <f aca="false">TEXT(INDEX(Calc!$J$2:$J$124,MATCH($W208,Calc!$A$2:$A$124,0)),"0.0")&amp;" / "&amp;TEXT(INDEX(Calc!$K$2:$K$124,MATCH($W208,Calc!$A$2:$A$124,0)),"0.0")</f>
        <v>20.6 / 20.3</v>
      </c>
      <c r="V208" s="0" t="str">
        <f aca="false">IFERROR(INDEX(Calc!$AQ$2:$AQ$124,MATCH($W208,Calc!$A$2:$A$124,0)),"")</f>
        <v/>
      </c>
      <c r="W208" s="9" t="s">
        <v>1355</v>
      </c>
      <c r="X208" s="9" t="s">
        <v>1112</v>
      </c>
      <c r="Y208" s="0" t="str">
        <f aca="false">W208&amp;"|"&amp;X208</f>
        <v>8xh80pn743zwzp0|CS2 · TS vs TYLOO|K12</v>
      </c>
      <c r="Z208" s="11" t="n">
        <f aca="false">IFERROR(INDEX(CHOOSE(MATCH($X208,{"K1","K2","K3","K12","K13","H1","H2","H3","H12","H13"},0),Calc!$BA$2:$BA$124,Calc!$BB$2:$BB$124,Calc!$BC$2:$BC$124,Calc!$BD$2:$BD$124,Calc!$BE$2:$BE$124,Calc!$BF$2:$BF$124,Calc!$BG$2:$BG$124,Calc!$BH$2:$BH$124,Calc!$BI$2:$BI$124,Calc!$BJ$2:$BJ$124),MATCH($W208,Calc!$A$2:$A$124,0)),"")</f>
        <v>24.6055758495783</v>
      </c>
      <c r="AA208" s="11" t="n">
        <f aca="false">IF(Z208="","",IF(LEFT($X208,1)="H",SQRT(Z208*(IFERROR(INDEX(Calc!$AP$2:$AP$124,MATCH($W208,Calc!$A$2:$A$124,0)),0.5)*Config!$B$5+1-IFERROR(INDEX(Calc!$AP$2:$AP$124,MATCH($W208,Calc!$A$2:$A$124,0)),0.5))),SQRT(Z208*Config!$B$5)))</f>
        <v>5.86922534832406</v>
      </c>
      <c r="AB208" s="10" t="n">
        <f aca="false">IF(OR(F208="",Z208="",N(AA208)&lt;=0),"",1-NORMDIST(FLOOR(F208,1)+0.5,Z208,AA208,TRUE()))</f>
        <v>0.640108382592172</v>
      </c>
      <c r="AC208" s="10" t="n">
        <f aca="false">IF(AB208="","",NORMDIST(CEILING(F208,1)-0.5,Z208,AA208,TRUE()))</f>
        <v>0.359891617407828</v>
      </c>
      <c r="AD208" s="0" t="str">
        <f aca="false">IF(AB208="","",IF(AB208&gt;=0.5+Config!$B$6,"OVER",IF(AC208&gt;=0.5+Config!$B$6,"UNDER","—")))</f>
        <v>OVER</v>
      </c>
      <c r="AE208" s="13" t="n">
        <f aca="false">IFERROR(Z208/G208,"")</f>
        <v>0.908009794023105</v>
      </c>
    </row>
    <row r="209" customFormat="false" ht="15" hidden="false" customHeight="false" outlineLevel="0" collapsed="false">
      <c r="A209" s="0" t="s">
        <v>988</v>
      </c>
      <c r="B209" s="0" t="s">
        <v>1015</v>
      </c>
      <c r="C209" s="0" t="s">
        <v>1356</v>
      </c>
      <c r="D209" s="0" t="s">
        <v>1020</v>
      </c>
      <c r="E209" s="0" t="s">
        <v>1107</v>
      </c>
      <c r="F209" s="0" t="n">
        <v>11</v>
      </c>
      <c r="G209" s="11" t="n">
        <f aca="false">IFERROR(INDEX(CHOOSE(MATCH($X209,{"K1","K2","K3","K12","K13","H1","H2","H3","H12","H13"},0),Calc!$V$2:$V$124,Calc!$AC$2:$AC$124,Calc!$AJ$2:$AJ$124,Calc!$AL$2:$AL$124,Calc!$AM$2:$AM$124,Calc!$W$2:$W$124,Calc!$AD$2:$AD$124,Calc!$AK$2:$AK$124,Calc!$AN$2:$AN$124,Calc!$AO$2:$AO$124),MATCH($W209,Calc!$A$2:$A$124,0)),"")</f>
        <v>14.9743540588757</v>
      </c>
      <c r="H209" s="11" t="n">
        <f aca="false">IF(G209="","",IF(LEFT($X209,1)="H",SQRT(G209*(IFERROR(INDEX(Calc!$AP$2:$AP$124,MATCH($W209,Calc!$A$2:$A$124,0)),0.5)*Config!$B$5+1-IFERROR(INDEX(Calc!$AP$2:$AP$124,MATCH($W209,Calc!$A$2:$A$124,0)),0.5))),SQRT(G209*Config!$B$5)))</f>
        <v>4.18593506194483</v>
      </c>
      <c r="I209" s="10" t="n">
        <f aca="false">IF(OR(F209="",G209="",N(H209)&lt;=0),"",1-NORMDIST(FLOOR(F209,1)+0.5,G209,H209,TRUE()))</f>
        <v>0.796732496256215</v>
      </c>
      <c r="J209" s="10" t="n">
        <f aca="false">IF(I209="","",NORMDIST(CEILING(F209,1)-0.5,G209,H209,TRUE()))</f>
        <v>0.142556931522035</v>
      </c>
      <c r="K209" s="10" t="n">
        <f aca="false">IF(I209="","",MAX(0,1-I209-J209))</f>
        <v>0.0607105722217498</v>
      </c>
      <c r="L209" s="0" t="str">
        <f aca="false">IF(I209="","",IF(I209&gt;=0.5+Config!$B$6,"OVER",IF(J209&gt;=0.5+Config!$B$6,"UNDER","—")))</f>
        <v>OVER</v>
      </c>
      <c r="N209" s="0" t="n">
        <v>13.1</v>
      </c>
      <c r="O209" s="10" t="n">
        <v>0.8</v>
      </c>
      <c r="P209" s="10" t="n">
        <v>0.9</v>
      </c>
      <c r="Q209" s="10" t="n">
        <v>0.87</v>
      </c>
      <c r="R209" s="9" t="s">
        <v>1357</v>
      </c>
      <c r="S209" s="0" t="n">
        <v>2</v>
      </c>
      <c r="T209" s="0" t="str">
        <f aca="false">INDEX(Calc!$G$2:$G$124,MATCH($W209,Calc!$A$2:$A$124,0))&amp;" / "&amp;INDEX(Calc!$H$2:$H$124,MATCH($W209,Calc!$A$2:$A$124,0))</f>
        <v>Dust2 / Mirage</v>
      </c>
      <c r="U209" s="0" t="str">
        <f aca="false">TEXT(INDEX(Calc!$J$2:$J$124,MATCH($W209,Calc!$A$2:$A$124,0)),"0.0")&amp;" / "&amp;TEXT(INDEX(Calc!$K$2:$K$124,MATCH($W209,Calc!$A$2:$A$124,0)),"0.0")</f>
        <v>21.1 / 20.7</v>
      </c>
      <c r="V209" s="0" t="str">
        <f aca="false">IFERROR(INDEX(Calc!$AQ$2:$AQ$124,MATCH($W209,Calc!$A$2:$A$124,0)),"")</f>
        <v/>
      </c>
      <c r="W209" s="9" t="s">
        <v>1358</v>
      </c>
      <c r="X209" s="9" t="s">
        <v>1110</v>
      </c>
      <c r="Y209" s="0" t="str">
        <f aca="false">W209&amp;"|"&amp;X209</f>
        <v>5ttqna5u230tb49|CS2 · VIT vs MGLZ|H12</v>
      </c>
      <c r="Z209" s="11" t="n">
        <f aca="false">IFERROR(INDEX(CHOOSE(MATCH($X209,{"K1","K2","K3","K12","K13","H1","H2","H3","H12","H13"},0),Calc!$BA$2:$BA$124,Calc!$BB$2:$BB$124,Calc!$BC$2:$BC$124,Calc!$BD$2:$BD$124,Calc!$BE$2:$BE$124,Calc!$BF$2:$BF$124,Calc!$BG$2:$BG$124,Calc!$BH$2:$BH$124,Calc!$BI$2:$BI$124,Calc!$BJ$2:$BJ$124),MATCH($W209,Calc!$A$2:$A$124,0)),"")</f>
        <v>13.867288537879</v>
      </c>
      <c r="AA209" s="11" t="n">
        <f aca="false">IF(Z209="","",IF(LEFT($X209,1)="H",SQRT(Z209*(IFERROR(INDEX(Calc!$AP$2:$AP$124,MATCH($W209,Calc!$A$2:$A$124,0)),0.5)*Config!$B$5+1-IFERROR(INDEX(Calc!$AP$2:$AP$124,MATCH($W209,Calc!$A$2:$A$124,0)),0.5))),SQRT(Z209*Config!$B$5)))</f>
        <v>4.02822957721928</v>
      </c>
      <c r="AB209" s="10" t="n">
        <f aca="false">IF(OR(F209="",Z209="",N(AA209)&lt;=0),"",1-NORMDIST(FLOOR(F209,1)+0.5,Z209,AA209,TRUE()))</f>
        <v>0.721624663893357</v>
      </c>
      <c r="AC209" s="10" t="n">
        <f aca="false">IF(AB209="","",NORMDIST(CEILING(F209,1)-0.5,Z209,AA209,TRUE()))</f>
        <v>0.201599196024888</v>
      </c>
      <c r="AD209" s="0" t="str">
        <f aca="false">IF(AB209="","",IF(AB209&gt;=0.5+Config!$B$6,"OVER",IF(AC209&gt;=0.5+Config!$B$6,"UNDER","—")))</f>
        <v>OVER</v>
      </c>
      <c r="AE209" s="13" t="n">
        <f aca="false">IFERROR(Z209/G209,"")</f>
        <v>0.926069230322457</v>
      </c>
    </row>
    <row r="210" customFormat="false" ht="15" hidden="false" customHeight="false" outlineLevel="0" collapsed="false">
      <c r="A210" s="0" t="s">
        <v>988</v>
      </c>
      <c r="B210" s="0" t="s">
        <v>1015</v>
      </c>
      <c r="C210" s="0" t="s">
        <v>1356</v>
      </c>
      <c r="D210" s="0" t="s">
        <v>1020</v>
      </c>
      <c r="E210" s="0" t="s">
        <v>1111</v>
      </c>
      <c r="F210" s="0" t="n">
        <v>27.5</v>
      </c>
      <c r="G210" s="11" t="n">
        <f aca="false">IFERROR(INDEX(CHOOSE(MATCH($X210,{"K1","K2","K3","K12","K13","H1","H2","H3","H12","H13"},0),Calc!$V$2:$V$124,Calc!$AC$2:$AC$124,Calc!$AJ$2:$AJ$124,Calc!$AL$2:$AL$124,Calc!$AM$2:$AM$124,Calc!$W$2:$W$124,Calc!$AD$2:$AD$124,Calc!$AK$2:$AK$124,Calc!$AN$2:$AN$124,Calc!$AO$2:$AO$124),MATCH($W210,Calc!$A$2:$A$124,0)),"")</f>
        <v>35.2053115384615</v>
      </c>
      <c r="H210" s="11" t="n">
        <f aca="false">IF(G210="","",IF(LEFT($X210,1)="H",SQRT(G210*(IFERROR(INDEX(Calc!$AP$2:$AP$124,MATCH($W210,Calc!$A$2:$A$124,0)),0.5)*Config!$B$5+1-IFERROR(INDEX(Calc!$AP$2:$AP$124,MATCH($W210,Calc!$A$2:$A$124,0)),0.5))),SQRT(G210*Config!$B$5)))</f>
        <v>7.02050113267181</v>
      </c>
      <c r="I210" s="10" t="n">
        <f aca="false">IF(OR(F210="",G210="",N(H210)&lt;=0),"",1-NORMDIST(FLOOR(F210,1)+0.5,G210,H210,TRUE()))</f>
        <v>0.86379825350144</v>
      </c>
      <c r="J210" s="10" t="n">
        <f aca="false">IF(I210="","",NORMDIST(CEILING(F210,1)-0.5,G210,H210,TRUE()))</f>
        <v>0.13620174649856</v>
      </c>
      <c r="K210" s="10" t="n">
        <f aca="false">IF(I210="","",MAX(0,1-I210-J210))</f>
        <v>0</v>
      </c>
      <c r="L210" s="0" t="str">
        <f aca="false">IF(I210="","",IF(I210&gt;=0.5+Config!$B$6,"OVER",IF(J210&gt;=0.5+Config!$B$6,"UNDER","—")))</f>
        <v>OVER</v>
      </c>
      <c r="M210" s="0" t="n">
        <v>29.77</v>
      </c>
      <c r="N210" s="0" t="n">
        <v>32.1</v>
      </c>
      <c r="O210" s="10" t="n">
        <v>0.8</v>
      </c>
      <c r="P210" s="10" t="n">
        <v>0.7</v>
      </c>
      <c r="Q210" s="10" t="n">
        <v>0.8</v>
      </c>
      <c r="R210" s="9" t="s">
        <v>1359</v>
      </c>
      <c r="S210" s="0" t="n">
        <v>2</v>
      </c>
      <c r="T210" s="0" t="str">
        <f aca="false">INDEX(Calc!$G$2:$G$124,MATCH($W210,Calc!$A$2:$A$124,0))&amp;" / "&amp;INDEX(Calc!$H$2:$H$124,MATCH($W210,Calc!$A$2:$A$124,0))</f>
        <v>Dust2 / Mirage</v>
      </c>
      <c r="U210" s="0" t="str">
        <f aca="false">TEXT(INDEX(Calc!$J$2:$J$124,MATCH($W210,Calc!$A$2:$A$124,0)),"0.0")&amp;" / "&amp;TEXT(INDEX(Calc!$K$2:$K$124,MATCH($W210,Calc!$A$2:$A$124,0)),"0.0")</f>
        <v>21.1 / 20.7</v>
      </c>
      <c r="V210" s="0" t="str">
        <f aca="false">IFERROR(INDEX(Calc!$AQ$2:$AQ$124,MATCH($W210,Calc!$A$2:$A$124,0)),"")</f>
        <v/>
      </c>
      <c r="W210" s="9" t="s">
        <v>1358</v>
      </c>
      <c r="X210" s="9" t="s">
        <v>1112</v>
      </c>
      <c r="Y210" s="0" t="str">
        <f aca="false">W210&amp;"|"&amp;X210</f>
        <v>5ttqna5u230tb49|CS2 · VIT vs MGLZ|K12</v>
      </c>
      <c r="Z210" s="11" t="n">
        <f aca="false">IFERROR(INDEX(CHOOSE(MATCH($X210,{"K1","K2","K3","K12","K13","H1","H2","H3","H12","H13"},0),Calc!$BA$2:$BA$124,Calc!$BB$2:$BB$124,Calc!$BC$2:$BC$124,Calc!$BD$2:$BD$124,Calc!$BE$2:$BE$124,Calc!$BF$2:$BF$124,Calc!$BG$2:$BG$124,Calc!$BH$2:$BH$124,Calc!$BI$2:$BI$124,Calc!$BJ$2:$BJ$124),MATCH($W210,Calc!$A$2:$A$124,0)),"")</f>
        <v>32.6025695204081</v>
      </c>
      <c r="AA210" s="11" t="n">
        <f aca="false">IF(Z210="","",IF(LEFT($X210,1)="H",SQRT(Z210*(IFERROR(INDEX(Calc!$AP$2:$AP$124,MATCH($W210,Calc!$A$2:$A$124,0)),0.5)*Config!$B$5+1-IFERROR(INDEX(Calc!$AP$2:$AP$124,MATCH($W210,Calc!$A$2:$A$124,0)),0.5))),SQRT(Z210*Config!$B$5)))</f>
        <v>6.75600453882111</v>
      </c>
      <c r="AB210" s="10" t="n">
        <f aca="false">IF(OR(F210="",Z210="",N(AA210)&lt;=0),"",1-NORMDIST(FLOOR(F210,1)+0.5,Z210,AA210,TRUE()))</f>
        <v>0.774954814086289</v>
      </c>
      <c r="AC210" s="10" t="n">
        <f aca="false">IF(AB210="","",NORMDIST(CEILING(F210,1)-0.5,Z210,AA210,TRUE()))</f>
        <v>0.225045185913711</v>
      </c>
      <c r="AD210" s="0" t="str">
        <f aca="false">IF(AB210="","",IF(AB210&gt;=0.5+Config!$B$6,"OVER",IF(AC210&gt;=0.5+Config!$B$6,"UNDER","—")))</f>
        <v>OVER</v>
      </c>
      <c r="AE210" s="13" t="n">
        <f aca="false">IFERROR(Z210/G210,"")</f>
        <v>0.926069621193099</v>
      </c>
    </row>
    <row r="211" customFormat="false" ht="15" hidden="false" customHeight="false" outlineLevel="0" collapsed="false">
      <c r="A211" s="0" t="s">
        <v>988</v>
      </c>
      <c r="B211" s="0" t="s">
        <v>1015</v>
      </c>
      <c r="C211" s="0" t="s">
        <v>1360</v>
      </c>
      <c r="D211" s="0" t="s">
        <v>1020</v>
      </c>
      <c r="E211" s="0" t="s">
        <v>1107</v>
      </c>
      <c r="F211" s="0" t="n">
        <v>11.5</v>
      </c>
      <c r="G211" s="11" t="n">
        <f aca="false">IFERROR(INDEX(CHOOSE(MATCH($X211,{"K1","K2","K3","K12","K13","H1","H2","H3","H12","H13"},0),Calc!$V$2:$V$124,Calc!$AC$2:$AC$124,Calc!$AJ$2:$AJ$124,Calc!$AL$2:$AL$124,Calc!$AM$2:$AM$124,Calc!$W$2:$W$124,Calc!$AD$2:$AD$124,Calc!$AK$2:$AK$124,Calc!$AN$2:$AN$124,Calc!$AO$2:$AO$124),MATCH($W211,Calc!$A$2:$A$124,0)),"")</f>
        <v>14.5524669406805</v>
      </c>
      <c r="H211" s="11" t="n">
        <f aca="false">IF(G211="","",IF(LEFT($X211,1)="H",SQRT(G211*(IFERROR(INDEX(Calc!$AP$2:$AP$124,MATCH($W211,Calc!$A$2:$A$124,0)),0.5)*Config!$B$5+1-IFERROR(INDEX(Calc!$AP$2:$AP$124,MATCH($W211,Calc!$A$2:$A$124,0)),0.5))),SQRT(G211*Config!$B$5)))</f>
        <v>4.16546752092695</v>
      </c>
      <c r="I211" s="10" t="n">
        <f aca="false">IF(OR(F211="",G211="",N(H211)&lt;=0),"",1-NORMDIST(FLOOR(F211,1)+0.5,G211,H211,TRUE()))</f>
        <v>0.768160692994818</v>
      </c>
      <c r="J211" s="10" t="n">
        <f aca="false">IF(I211="","",NORMDIST(CEILING(F211,1)-0.5,G211,H211,TRUE()))</f>
        <v>0.231839307005183</v>
      </c>
      <c r="K211" s="10" t="n">
        <f aca="false">IF(I211="","",MAX(0,1-I211-J211))</f>
        <v>0</v>
      </c>
      <c r="L211" s="0" t="str">
        <f aca="false">IF(I211="","",IF(I211&gt;=0.5+Config!$B$6,"OVER",IF(J211&gt;=0.5+Config!$B$6,"UNDER","—")))</f>
        <v>OVER</v>
      </c>
      <c r="N211" s="0" t="n">
        <v>12.1</v>
      </c>
      <c r="O211" s="10" t="n">
        <v>0.4</v>
      </c>
      <c r="P211" s="10" t="n">
        <v>0.6</v>
      </c>
      <c r="Q211" s="10" t="n">
        <v>0.73</v>
      </c>
      <c r="R211" s="9" t="s">
        <v>1361</v>
      </c>
      <c r="S211" s="0" t="n">
        <v>-1</v>
      </c>
      <c r="T211" s="0" t="str">
        <f aca="false">INDEX(Calc!$G$2:$G$124,MATCH($W211,Calc!$A$2:$A$124,0))&amp;" / "&amp;INDEX(Calc!$H$2:$H$124,MATCH($W211,Calc!$A$2:$A$124,0))</f>
        <v>Dust2 / Mirage</v>
      </c>
      <c r="U211" s="0" t="str">
        <f aca="false">TEXT(INDEX(Calc!$J$2:$J$124,MATCH($W211,Calc!$A$2:$A$124,0)),"0.0")&amp;" / "&amp;TEXT(INDEX(Calc!$K$2:$K$124,MATCH($W211,Calc!$A$2:$A$124,0)),"0.0")</f>
        <v>21.1 / 20.7</v>
      </c>
      <c r="V211" s="0" t="str">
        <f aca="false">IFERROR(INDEX(Calc!$AQ$2:$AQ$124,MATCH($W211,Calc!$A$2:$A$124,0)),"")</f>
        <v/>
      </c>
      <c r="W211" s="9" t="s">
        <v>1362</v>
      </c>
      <c r="X211" s="9" t="s">
        <v>1110</v>
      </c>
      <c r="Y211" s="0" t="str">
        <f aca="false">W211&amp;"|"&amp;X211</f>
        <v>56bqvguml6vhetk|CS2 · VIT vs MGLZ|H12</v>
      </c>
      <c r="Z211" s="11" t="n">
        <f aca="false">IFERROR(INDEX(CHOOSE(MATCH($X211,{"K1","K2","K3","K12","K13","H1","H2","H3","H12","H13"},0),Calc!$BA$2:$BA$124,Calc!$BB$2:$BB$124,Calc!$BC$2:$BC$124,Calc!$BD$2:$BD$124,Calc!$BE$2:$BE$124,Calc!$BF$2:$BF$124,Calc!$BG$2:$BG$124,Calc!$BH$2:$BH$124,Calc!$BI$2:$BI$124,Calc!$BJ$2:$BJ$124),MATCH($W211,Calc!$A$2:$A$124,0)),"")</f>
        <v>13.4765760893085</v>
      </c>
      <c r="AA211" s="11" t="n">
        <f aca="false">IF(Z211="","",IF(LEFT($X211,1)="H",SQRT(Z211*(IFERROR(INDEX(Calc!$AP$2:$AP$124,MATCH($W211,Calc!$A$2:$A$124,0)),0.5)*Config!$B$5+1-IFERROR(INDEX(Calc!$AP$2:$AP$124,MATCH($W211,Calc!$A$2:$A$124,0)),0.5))),SQRT(Z211*Config!$B$5)))</f>
        <v>4.00853080736443</v>
      </c>
      <c r="AB211" s="10" t="n">
        <f aca="false">IF(OR(F211="",Z211="",N(AA211)&lt;=0),"",1-NORMDIST(FLOOR(F211,1)+0.5,Z211,AA211,TRUE()))</f>
        <v>0.689026350828273</v>
      </c>
      <c r="AC211" s="10" t="n">
        <f aca="false">IF(AB211="","",NORMDIST(CEILING(F211,1)-0.5,Z211,AA211,TRUE()))</f>
        <v>0.310973649171727</v>
      </c>
      <c r="AD211" s="0" t="str">
        <f aca="false">IF(AB211="","",IF(AB211&gt;=0.5+Config!$B$6,"OVER",IF(AC211&gt;=0.5+Config!$B$6,"UNDER","—")))</f>
        <v>OVER</v>
      </c>
      <c r="AE211" s="13" t="n">
        <f aca="false">IFERROR(Z211/G211,"")</f>
        <v>0.926068146675229</v>
      </c>
    </row>
    <row r="212" customFormat="false" ht="15" hidden="false" customHeight="false" outlineLevel="0" collapsed="false">
      <c r="A212" s="0" t="s">
        <v>988</v>
      </c>
      <c r="B212" s="0" t="s">
        <v>1015</v>
      </c>
      <c r="C212" s="0" t="s">
        <v>1360</v>
      </c>
      <c r="D212" s="0" t="s">
        <v>1020</v>
      </c>
      <c r="E212" s="0" t="s">
        <v>1111</v>
      </c>
      <c r="F212" s="0" t="n">
        <v>25</v>
      </c>
      <c r="G212" s="11" t="n">
        <f aca="false">IFERROR(INDEX(CHOOSE(MATCH($X212,{"K1","K2","K3","K12","K13","H1","H2","H3","H12","H13"},0),Calc!$V$2:$V$124,Calc!$AC$2:$AC$124,Calc!$AJ$2:$AJ$124,Calc!$AL$2:$AL$124,Calc!$AM$2:$AM$124,Calc!$W$2:$W$124,Calc!$AD$2:$AD$124,Calc!$AK$2:$AK$124,Calc!$AN$2:$AN$124,Calc!$AO$2:$AO$124),MATCH($W212,Calc!$A$2:$A$124,0)),"")</f>
        <v>30.2680346153846</v>
      </c>
      <c r="H212" s="11" t="n">
        <f aca="false">IF(G212="","",IF(LEFT($X212,1)="H",SQRT(G212*(IFERROR(INDEX(Calc!$AP$2:$AP$124,MATCH($W212,Calc!$A$2:$A$124,0)),0.5)*Config!$B$5+1-IFERROR(INDEX(Calc!$AP$2:$AP$124,MATCH($W212,Calc!$A$2:$A$124,0)),0.5))),SQRT(G212*Config!$B$5)))</f>
        <v>6.50962736733359</v>
      </c>
      <c r="I212" s="10" t="n">
        <f aca="false">IF(OR(F212="",G212="",N(H212)&lt;=0),"",1-NORMDIST(FLOOR(F212,1)+0.5,G212,H212,TRUE()))</f>
        <v>0.768055745474124</v>
      </c>
      <c r="J212" s="10" t="n">
        <f aca="false">IF(I212="","",NORMDIST(CEILING(F212,1)-0.5,G212,H212,TRUE()))</f>
        <v>0.187787872033597</v>
      </c>
      <c r="K212" s="10" t="n">
        <f aca="false">IF(I212="","",MAX(0,1-I212-J212))</f>
        <v>0.0441563824922789</v>
      </c>
      <c r="L212" s="0" t="str">
        <f aca="false">IF(I212="","",IF(I212&gt;=0.5+Config!$B$6,"OVER",IF(J212&gt;=0.5+Config!$B$6,"UNDER","—")))</f>
        <v>OVER</v>
      </c>
      <c r="M212" s="0" t="n">
        <v>25.46</v>
      </c>
      <c r="N212" s="0" t="n">
        <v>27.5</v>
      </c>
      <c r="O212" s="10" t="n">
        <v>0.6</v>
      </c>
      <c r="P212" s="10" t="n">
        <v>0.6</v>
      </c>
      <c r="Q212" s="10" t="n">
        <v>0.67</v>
      </c>
      <c r="R212" s="9" t="s">
        <v>1359</v>
      </c>
      <c r="S212" s="0" t="n">
        <v>-1</v>
      </c>
      <c r="T212" s="0" t="str">
        <f aca="false">INDEX(Calc!$G$2:$G$124,MATCH($W212,Calc!$A$2:$A$124,0))&amp;" / "&amp;INDEX(Calc!$H$2:$H$124,MATCH($W212,Calc!$A$2:$A$124,0))</f>
        <v>Dust2 / Mirage</v>
      </c>
      <c r="U212" s="0" t="str">
        <f aca="false">TEXT(INDEX(Calc!$J$2:$J$124,MATCH($W212,Calc!$A$2:$A$124,0)),"0.0")&amp;" / "&amp;TEXT(INDEX(Calc!$K$2:$K$124,MATCH($W212,Calc!$A$2:$A$124,0)),"0.0")</f>
        <v>21.1 / 20.7</v>
      </c>
      <c r="V212" s="0" t="str">
        <f aca="false">IFERROR(INDEX(Calc!$AQ$2:$AQ$124,MATCH($W212,Calc!$A$2:$A$124,0)),"")</f>
        <v/>
      </c>
      <c r="W212" s="9" t="s">
        <v>1362</v>
      </c>
      <c r="X212" s="9" t="s">
        <v>1112</v>
      </c>
      <c r="Y212" s="0" t="str">
        <f aca="false">W212&amp;"|"&amp;X212</f>
        <v>56bqvguml6vhetk|CS2 · VIT vs MGLZ|K12</v>
      </c>
      <c r="Z212" s="11" t="n">
        <f aca="false">IFERROR(INDEX(CHOOSE(MATCH($X212,{"K1","K2","K3","K12","K13","H1","H2","H3","H12","H13"},0),Calc!$BA$2:$BA$124,Calc!$BB$2:$BB$124,Calc!$BC$2:$BC$124,Calc!$BD$2:$BD$124,Calc!$BE$2:$BE$124,Calc!$BF$2:$BF$124,Calc!$BG$2:$BG$124,Calc!$BH$2:$BH$124,Calc!$BI$2:$BI$124,Calc!$BJ$2:$BJ$124),MATCH($W212,Calc!$A$2:$A$124,0)),"")</f>
        <v>28.0302020036822</v>
      </c>
      <c r="AA212" s="11" t="n">
        <f aca="false">IF(Z212="","",IF(LEFT($X212,1)="H",SQRT(Z212*(IFERROR(INDEX(Calc!$AP$2:$AP$124,MATCH($W212,Calc!$A$2:$A$124,0)),0.5)*Config!$B$5+1-IFERROR(INDEX(Calc!$AP$2:$AP$124,MATCH($W212,Calc!$A$2:$A$124,0)),0.5))),SQRT(Z212*Config!$B$5)))</f>
        <v>6.26436611359482</v>
      </c>
      <c r="AB212" s="10" t="n">
        <f aca="false">IF(OR(F212="",Z212="",N(AA212)&lt;=0),"",1-NORMDIST(FLOOR(F212,1)+0.5,Z212,AA212,TRUE()))</f>
        <v>0.656858311660938</v>
      </c>
      <c r="AC212" s="10" t="n">
        <f aca="false">IF(AB212="","",NORMDIST(CEILING(F212,1)-0.5,Z212,AA212,TRUE()))</f>
        <v>0.286534640771051</v>
      </c>
      <c r="AD212" s="0" t="str">
        <f aca="false">IF(AB212="","",IF(AB212&gt;=0.5+Config!$B$6,"OVER",IF(AC212&gt;=0.5+Config!$B$6,"UNDER","—")))</f>
        <v>OVER</v>
      </c>
      <c r="AE212" s="13" t="n">
        <f aca="false">IFERROR(Z212/G212,"")</f>
        <v>0.926066140727718</v>
      </c>
    </row>
    <row r="213" customFormat="false" ht="15" hidden="false" customHeight="false" outlineLevel="0" collapsed="false">
      <c r="A213" s="0" t="s">
        <v>988</v>
      </c>
      <c r="B213" s="0" t="s">
        <v>1015</v>
      </c>
      <c r="C213" s="0" t="s">
        <v>1363</v>
      </c>
      <c r="D213" s="0" t="s">
        <v>1020</v>
      </c>
      <c r="E213" s="0" t="s">
        <v>1107</v>
      </c>
      <c r="F213" s="0" t="n">
        <v>14</v>
      </c>
      <c r="G213" s="11" t="n">
        <f aca="false">IFERROR(INDEX(CHOOSE(MATCH($X213,{"K1","K2","K3","K12","K13","H1","H2","H3","H12","H13"},0),Calc!$V$2:$V$124,Calc!$AC$2:$AC$124,Calc!$AJ$2:$AJ$124,Calc!$AL$2:$AL$124,Calc!$AM$2:$AM$124,Calc!$W$2:$W$124,Calc!$AD$2:$AD$124,Calc!$AK$2:$AK$124,Calc!$AN$2:$AN$124,Calc!$AO$2:$AO$124),MATCH($W213,Calc!$A$2:$A$124,0)),"")</f>
        <v>16.4769196454082</v>
      </c>
      <c r="H213" s="11" t="n">
        <f aca="false">IF(G213="","",IF(LEFT($X213,1)="H",SQRT(G213*(IFERROR(INDEX(Calc!$AP$2:$AP$124,MATCH($W213,Calc!$A$2:$A$124,0)),0.5)*Config!$B$5+1-IFERROR(INDEX(Calc!$AP$2:$AP$124,MATCH($W213,Calc!$A$2:$A$124,0)),0.5))),SQRT(G213*Config!$B$5)))</f>
        <v>4.53309027801151</v>
      </c>
      <c r="I213" s="10" t="n">
        <f aca="false">IF(OR(F213="",G213="",N(H213)&lt;=0),"",1-NORMDIST(FLOOR(F213,1)+0.5,G213,H213,TRUE()))</f>
        <v>0.668621030339968</v>
      </c>
      <c r="J213" s="10" t="n">
        <f aca="false">IF(I213="","",NORMDIST(CEILING(F213,1)-0.5,G213,H213,TRUE()))</f>
        <v>0.255684132276256</v>
      </c>
      <c r="K213" s="10" t="n">
        <f aca="false">IF(I213="","",MAX(0,1-I213-J213))</f>
        <v>0.0756948373837756</v>
      </c>
      <c r="L213" s="0" t="str">
        <f aca="false">IF(I213="","",IF(I213&gt;=0.5+Config!$B$6,"OVER",IF(J213&gt;=0.5+Config!$B$6,"UNDER","—")))</f>
        <v>OVER</v>
      </c>
      <c r="N213" s="0" t="n">
        <v>17.5</v>
      </c>
      <c r="O213" s="10" t="n">
        <v>0.8</v>
      </c>
      <c r="P213" s="10" t="n">
        <v>0.9</v>
      </c>
      <c r="Q213" s="10" t="n">
        <v>0.93</v>
      </c>
      <c r="R213" s="9" t="s">
        <v>1118</v>
      </c>
      <c r="S213" s="0" t="n">
        <v>2</v>
      </c>
      <c r="T213" s="0" t="str">
        <f aca="false">INDEX(Calc!$G$2:$G$124,MATCH($W213,Calc!$A$2:$A$124,0))&amp;" / "&amp;INDEX(Calc!$H$2:$H$124,MATCH($W213,Calc!$A$2:$A$124,0))</f>
        <v>Dust2 / Mirage</v>
      </c>
      <c r="U213" s="0" t="str">
        <f aca="false">TEXT(INDEX(Calc!$J$2:$J$124,MATCH($W213,Calc!$A$2:$A$124,0)),"0.0")&amp;" / "&amp;TEXT(INDEX(Calc!$K$2:$K$124,MATCH($W213,Calc!$A$2:$A$124,0)),"0.0")</f>
        <v>21.1 / 20.7</v>
      </c>
      <c r="V213" s="0" t="str">
        <f aca="false">IFERROR(INDEX(Calc!$AQ$2:$AQ$124,MATCH($W213,Calc!$A$2:$A$124,0)),"")</f>
        <v/>
      </c>
      <c r="W213" s="9" t="s">
        <v>1364</v>
      </c>
      <c r="X213" s="9" t="s">
        <v>1110</v>
      </c>
      <c r="Y213" s="0" t="str">
        <f aca="false">W213&amp;"|"&amp;X213</f>
        <v>01464eymprqfx0w|CS2 · VIT vs MGLZ|H12</v>
      </c>
      <c r="Z213" s="11" t="n">
        <f aca="false">IFERROR(INDEX(CHOOSE(MATCH($X213,{"K1","K2","K3","K12","K13","H1","H2","H3","H12","H13"},0),Calc!$BA$2:$BA$124,Calc!$BB$2:$BB$124,Calc!$BC$2:$BC$124,Calc!$BD$2:$BD$124,Calc!$BE$2:$BE$124,Calc!$BF$2:$BF$124,Calc!$BG$2:$BG$124,Calc!$BH$2:$BH$124,Calc!$BI$2:$BI$124,Calc!$BJ$2:$BJ$124),MATCH($W213,Calc!$A$2:$A$124,0)),"")</f>
        <v>15.2587422353672</v>
      </c>
      <c r="AA213" s="11" t="n">
        <f aca="false">IF(Z213="","",IF(LEFT($X213,1)="H",SQRT(Z213*(IFERROR(INDEX(Calc!$AP$2:$AP$124,MATCH($W213,Calc!$A$2:$A$124,0)),0.5)*Config!$B$5+1-IFERROR(INDEX(Calc!$AP$2:$AP$124,MATCH($W213,Calc!$A$2:$A$124,0)),0.5))),SQRT(Z213*Config!$B$5)))</f>
        <v>4.36230196395259</v>
      </c>
      <c r="AB213" s="10" t="n">
        <f aca="false">IF(OR(F213="",Z213="",N(AA213)&lt;=0),"",1-NORMDIST(FLOOR(F213,1)+0.5,Z213,AA213,TRUE()))</f>
        <v>0.569040397806786</v>
      </c>
      <c r="AC213" s="10" t="n">
        <f aca="false">IF(AB213="","",NORMDIST(CEILING(F213,1)-0.5,Z213,AA213,TRUE()))</f>
        <v>0.343412178023074</v>
      </c>
      <c r="AD213" s="0" t="str">
        <f aca="false">IF(AB213="","",IF(AB213&gt;=0.5+Config!$B$6,"OVER",IF(AC213&gt;=0.5+Config!$B$6,"UNDER","—")))</f>
        <v>OVER</v>
      </c>
      <c r="AE213" s="13" t="n">
        <f aca="false">IFERROR(Z213/G213,"")</f>
        <v>0.926067648792564</v>
      </c>
    </row>
    <row r="214" customFormat="false" ht="15" hidden="false" customHeight="false" outlineLevel="0" collapsed="false">
      <c r="A214" s="0" t="s">
        <v>988</v>
      </c>
      <c r="B214" s="0" t="s">
        <v>1015</v>
      </c>
      <c r="C214" s="0" t="s">
        <v>1363</v>
      </c>
      <c r="D214" s="0" t="s">
        <v>1020</v>
      </c>
      <c r="E214" s="0" t="s">
        <v>1111</v>
      </c>
      <c r="F214" s="0" t="n">
        <v>23.5</v>
      </c>
      <c r="G214" s="11" t="n">
        <f aca="false">IFERROR(INDEX(CHOOSE(MATCH($X214,{"K1","K2","K3","K12","K13","H1","H2","H3","H12","H13"},0),Calc!$V$2:$V$124,Calc!$AC$2:$AC$124,Calc!$AJ$2:$AJ$124,Calc!$AL$2:$AL$124,Calc!$AM$2:$AM$124,Calc!$W$2:$W$124,Calc!$AD$2:$AD$124,Calc!$AK$2:$AK$124,Calc!$AN$2:$AN$124,Calc!$AO$2:$AO$124),MATCH($W214,Calc!$A$2:$A$124,0)),"")</f>
        <v>26.6689285714286</v>
      </c>
      <c r="H214" s="11" t="n">
        <f aca="false">IF(G214="","",IF(LEFT($X214,1)="H",SQRT(G214*(IFERROR(INDEX(Calc!$AP$2:$AP$124,MATCH($W214,Calc!$A$2:$A$124,0)),0.5)*Config!$B$5+1-IFERROR(INDEX(Calc!$AP$2:$AP$124,MATCH($W214,Calc!$A$2:$A$124,0)),0.5))),SQRT(G214*Config!$B$5)))</f>
        <v>6.11036005485765</v>
      </c>
      <c r="I214" s="10" t="n">
        <f aca="false">IF(OR(F214="",G214="",N(H214)&lt;=0),"",1-NORMDIST(FLOOR(F214,1)+0.5,G214,H214,TRUE()))</f>
        <v>0.697985615859389</v>
      </c>
      <c r="J214" s="10" t="n">
        <f aca="false">IF(I214="","",NORMDIST(CEILING(F214,1)-0.5,G214,H214,TRUE()))</f>
        <v>0.302014384140612</v>
      </c>
      <c r="K214" s="10" t="n">
        <f aca="false">IF(I214="","",MAX(0,1-I214-J214))</f>
        <v>0</v>
      </c>
      <c r="L214" s="0" t="str">
        <f aca="false">IF(I214="","",IF(I214&gt;=0.5+Config!$B$6,"OVER",IF(J214&gt;=0.5+Config!$B$6,"UNDER","—")))</f>
        <v>OVER</v>
      </c>
      <c r="M214" s="0" t="n">
        <v>25.6</v>
      </c>
      <c r="N214" s="0" t="n">
        <v>29.2</v>
      </c>
      <c r="O214" s="10" t="n">
        <v>0.6</v>
      </c>
      <c r="P214" s="10" t="n">
        <v>0.7</v>
      </c>
      <c r="Q214" s="10" t="n">
        <v>0.8</v>
      </c>
      <c r="R214" s="9" t="s">
        <v>1191</v>
      </c>
      <c r="S214" s="0" t="n">
        <v>1</v>
      </c>
      <c r="T214" s="0" t="str">
        <f aca="false">INDEX(Calc!$G$2:$G$124,MATCH($W214,Calc!$A$2:$A$124,0))&amp;" / "&amp;INDEX(Calc!$H$2:$H$124,MATCH($W214,Calc!$A$2:$A$124,0))</f>
        <v>Dust2 / Mirage</v>
      </c>
      <c r="U214" s="0" t="str">
        <f aca="false">TEXT(INDEX(Calc!$J$2:$J$124,MATCH($W214,Calc!$A$2:$A$124,0)),"0.0")&amp;" / "&amp;TEXT(INDEX(Calc!$K$2:$K$124,MATCH($W214,Calc!$A$2:$A$124,0)),"0.0")</f>
        <v>21.1 / 20.7</v>
      </c>
      <c r="V214" s="0" t="str">
        <f aca="false">IFERROR(INDEX(Calc!$AQ$2:$AQ$124,MATCH($W214,Calc!$A$2:$A$124,0)),"")</f>
        <v/>
      </c>
      <c r="W214" s="9" t="s">
        <v>1364</v>
      </c>
      <c r="X214" s="9" t="s">
        <v>1112</v>
      </c>
      <c r="Y214" s="0" t="str">
        <f aca="false">W214&amp;"|"&amp;X214</f>
        <v>01464eymprqfx0w|CS2 · VIT vs MGLZ|K12</v>
      </c>
      <c r="Z214" s="11" t="n">
        <f aca="false">IFERROR(INDEX(CHOOSE(MATCH($X214,{"K1","K2","K3","K12","K13","H1","H2","H3","H12","H13"},0),Calc!$BA$2:$BA$124,Calc!$BB$2:$BB$124,Calc!$BC$2:$BC$124,Calc!$BD$2:$BD$124,Calc!$BE$2:$BE$124,Calc!$BF$2:$BF$124,Calc!$BG$2:$BG$124,Calc!$BH$2:$BH$124,Calc!$BI$2:$BI$124,Calc!$BJ$2:$BJ$124),MATCH($W214,Calc!$A$2:$A$124,0)),"")</f>
        <v>24.6971648427275</v>
      </c>
      <c r="AA214" s="11" t="n">
        <f aca="false">IF(Z214="","",IF(LEFT($X214,1)="H",SQRT(Z214*(IFERROR(INDEX(Calc!$AP$2:$AP$124,MATCH($W214,Calc!$A$2:$A$124,0)),0.5)*Config!$B$5+1-IFERROR(INDEX(Calc!$AP$2:$AP$124,MATCH($W214,Calc!$A$2:$A$124,0)),0.5))),SQRT(Z214*Config!$B$5)))</f>
        <v>5.88013867011812</v>
      </c>
      <c r="AB214" s="10" t="n">
        <f aca="false">IF(OR(F214="",Z214="",N(AA214)&lt;=0),"",1-NORMDIST(FLOOR(F214,1)+0.5,Z214,AA214,TRUE()))</f>
        <v>0.580664867402723</v>
      </c>
      <c r="AC214" s="10" t="n">
        <f aca="false">IF(AB214="","",NORMDIST(CEILING(F214,1)-0.5,Z214,AA214,TRUE()))</f>
        <v>0.419335132597277</v>
      </c>
      <c r="AD214" s="0" t="str">
        <f aca="false">IF(AB214="","",IF(AB214&gt;=0.5+Config!$B$6,"OVER",IF(AC214&gt;=0.5+Config!$B$6,"UNDER","—")))</f>
        <v>OVER</v>
      </c>
      <c r="AE214" s="13" t="n">
        <f aca="false">IFERROR(Z214/G214,"")</f>
        <v>0.926065131434883</v>
      </c>
    </row>
    <row r="215" customFormat="false" ht="15" hidden="false" customHeight="false" outlineLevel="0" collapsed="false">
      <c r="A215" s="0" t="s">
        <v>988</v>
      </c>
      <c r="B215" s="0" t="s">
        <v>1015</v>
      </c>
      <c r="C215" s="0" t="s">
        <v>1365</v>
      </c>
      <c r="D215" s="0" t="s">
        <v>1020</v>
      </c>
      <c r="E215" s="0" t="s">
        <v>1107</v>
      </c>
      <c r="F215" s="0" t="n">
        <v>13.5</v>
      </c>
      <c r="G215" s="11" t="n">
        <f aca="false">IFERROR(INDEX(CHOOSE(MATCH($X215,{"K1","K2","K3","K12","K13","H1","H2","H3","H12","H13"},0),Calc!$V$2:$V$124,Calc!$AC$2:$AC$124,Calc!$AJ$2:$AJ$124,Calc!$AL$2:$AL$124,Calc!$AM$2:$AM$124,Calc!$W$2:$W$124,Calc!$AD$2:$AD$124,Calc!$AK$2:$AK$124,Calc!$AN$2:$AN$124,Calc!$AO$2:$AO$124),MATCH($W215,Calc!$A$2:$A$124,0)),"")</f>
        <v>15.8031763534722</v>
      </c>
      <c r="H215" s="11" t="n">
        <f aca="false">IF(G215="","",IF(LEFT($X215,1)="H",SQRT(G215*(IFERROR(INDEX(Calc!$AP$2:$AP$124,MATCH($W215,Calc!$A$2:$A$124,0)),0.5)*Config!$B$5+1-IFERROR(INDEX(Calc!$AP$2:$AP$124,MATCH($W215,Calc!$A$2:$A$124,0)),0.5))),SQRT(G215*Config!$B$5)))</f>
        <v>4.39965275857377</v>
      </c>
      <c r="I215" s="10" t="n">
        <f aca="false">IF(OR(F215="",G215="",N(H215)&lt;=0),"",1-NORMDIST(FLOOR(F215,1)+0.5,G215,H215,TRUE()))</f>
        <v>0.699683514387605</v>
      </c>
      <c r="J215" s="10" t="n">
        <f aca="false">IF(I215="","",NORMDIST(CEILING(F215,1)-0.5,G215,H215,TRUE()))</f>
        <v>0.300316485612395</v>
      </c>
      <c r="K215" s="10" t="n">
        <f aca="false">IF(I215="","",MAX(0,1-I215-J215))</f>
        <v>0</v>
      </c>
      <c r="L215" s="0" t="str">
        <f aca="false">IF(I215="","",IF(I215&gt;=0.5+Config!$B$6,"OVER",IF(J215&gt;=0.5+Config!$B$6,"UNDER","—")))</f>
        <v>OVER</v>
      </c>
      <c r="N215" s="0" t="n">
        <v>15.9</v>
      </c>
      <c r="O215" s="10" t="n">
        <v>0.6</v>
      </c>
      <c r="P215" s="10" t="n">
        <v>0.6</v>
      </c>
      <c r="Q215" s="10" t="n">
        <v>0.6</v>
      </c>
      <c r="R215" s="9" t="s">
        <v>1108</v>
      </c>
      <c r="S215" s="0" t="n">
        <v>2</v>
      </c>
      <c r="T215" s="0" t="str">
        <f aca="false">INDEX(Calc!$G$2:$G$124,MATCH($W215,Calc!$A$2:$A$124,0))&amp;" / "&amp;INDEX(Calc!$H$2:$H$124,MATCH($W215,Calc!$A$2:$A$124,0))</f>
        <v>Dust2 / Mirage</v>
      </c>
      <c r="U215" s="0" t="str">
        <f aca="false">TEXT(INDEX(Calc!$J$2:$J$124,MATCH($W215,Calc!$A$2:$A$124,0)),"0.0")&amp;" / "&amp;TEXT(INDEX(Calc!$K$2:$K$124,MATCH($W215,Calc!$A$2:$A$124,0)),"0.0")</f>
        <v>21.1 / 20.7</v>
      </c>
      <c r="V215" s="0" t="str">
        <f aca="false">IFERROR(INDEX(Calc!$AQ$2:$AQ$124,MATCH($W215,Calc!$A$2:$A$124,0)),"")</f>
        <v/>
      </c>
      <c r="W215" s="9" t="s">
        <v>1366</v>
      </c>
      <c r="X215" s="9" t="s">
        <v>1110</v>
      </c>
      <c r="Y215" s="0" t="str">
        <f aca="false">W215&amp;"|"&amp;X215</f>
        <v>dobeml44vsvpy4d|CS2 · VIT vs MGLZ|H12</v>
      </c>
      <c r="Z215" s="11" t="n">
        <f aca="false">IFERROR(INDEX(CHOOSE(MATCH($X215,{"K1","K2","K3","K12","K13","H1","H2","H3","H12","H13"},0),Calc!$BA$2:$BA$124,Calc!$BB$2:$BB$124,Calc!$BC$2:$BC$124,Calc!$BD$2:$BD$124,Calc!$BE$2:$BE$124,Calc!$BF$2:$BF$124,Calc!$BG$2:$BG$124,Calc!$BH$2:$BH$124,Calc!$BI$2:$BI$124,Calc!$BJ$2:$BJ$124),MATCH($W215,Calc!$A$2:$A$124,0)),"")</f>
        <v>14.6347091832761</v>
      </c>
      <c r="AA215" s="11" t="n">
        <f aca="false">IF(Z215="","",IF(LEFT($X215,1)="H",SQRT(Z215*(IFERROR(INDEX(Calc!$AP$2:$AP$124,MATCH($W215,Calc!$A$2:$A$124,0)),0.5)*Config!$B$5+1-IFERROR(INDEX(Calc!$AP$2:$AP$124,MATCH($W215,Calc!$A$2:$A$124,0)),0.5))),SQRT(Z215*Config!$B$5)))</f>
        <v>4.23387718816315</v>
      </c>
      <c r="AB215" s="10" t="n">
        <f aca="false">IF(OR(F215="",Z215="",N(AA215)&lt;=0),"",1-NORMDIST(FLOOR(F215,1)+0.5,Z215,AA215,TRUE()))</f>
        <v>0.605653076506926</v>
      </c>
      <c r="AC215" s="10" t="n">
        <f aca="false">IF(AB215="","",NORMDIST(CEILING(F215,1)-0.5,Z215,AA215,TRUE()))</f>
        <v>0.394346923493074</v>
      </c>
      <c r="AD215" s="0" t="str">
        <f aca="false">IF(AB215="","",IF(AB215&gt;=0.5+Config!$B$6,"OVER",IF(AC215&gt;=0.5+Config!$B$6,"UNDER","—")))</f>
        <v>OVER</v>
      </c>
      <c r="AE215" s="13" t="n">
        <f aca="false">IFERROR(Z215/G215,"")</f>
        <v>0.926061245912794</v>
      </c>
    </row>
    <row r="216" customFormat="false" ht="15" hidden="false" customHeight="false" outlineLevel="0" collapsed="false">
      <c r="A216" s="0" t="s">
        <v>988</v>
      </c>
      <c r="B216" s="0" t="s">
        <v>1015</v>
      </c>
      <c r="C216" s="0" t="s">
        <v>1365</v>
      </c>
      <c r="D216" s="0" t="s">
        <v>1020</v>
      </c>
      <c r="E216" s="0" t="s">
        <v>1111</v>
      </c>
      <c r="F216" s="0" t="n">
        <v>23.5</v>
      </c>
      <c r="G216" s="11" t="n">
        <f aca="false">IFERROR(INDEX(CHOOSE(MATCH($X216,{"K1","K2","K3","K12","K13","H1","H2","H3","H12","H13"},0),Calc!$V$2:$V$124,Calc!$AC$2:$AC$124,Calc!$AJ$2:$AJ$124,Calc!$AL$2:$AL$124,Calc!$AM$2:$AM$124,Calc!$W$2:$W$124,Calc!$AD$2:$AD$124,Calc!$AK$2:$AK$124,Calc!$AN$2:$AN$124,Calc!$AO$2:$AO$124),MATCH($W216,Calc!$A$2:$A$124,0)),"")</f>
        <v>28.109925</v>
      </c>
      <c r="H216" s="11" t="n">
        <f aca="false">IF(G216="","",IF(LEFT($X216,1)="H",SQRT(G216*(IFERROR(INDEX(Calc!$AP$2:$AP$124,MATCH($W216,Calc!$A$2:$A$124,0)),0.5)*Config!$B$5+1-IFERROR(INDEX(Calc!$AP$2:$AP$124,MATCH($W216,Calc!$A$2:$A$124,0)),0.5))),SQRT(G216*Config!$B$5)))</f>
        <v>6.27326828694581</v>
      </c>
      <c r="I216" s="10" t="n">
        <f aca="false">IF(OR(F216="",G216="",N(H216)&lt;=0),"",1-NORMDIST(FLOOR(F216,1)+0.5,G216,H216,TRUE()))</f>
        <v>0.768785243812553</v>
      </c>
      <c r="J216" s="10" t="n">
        <f aca="false">IF(I216="","",NORMDIST(CEILING(F216,1)-0.5,G216,H216,TRUE()))</f>
        <v>0.231214756187447</v>
      </c>
      <c r="K216" s="10" t="n">
        <f aca="false">IF(I216="","",MAX(0,1-I216-J216))</f>
        <v>0</v>
      </c>
      <c r="L216" s="0" t="str">
        <f aca="false">IF(I216="","",IF(I216&gt;=0.5+Config!$B$6,"OVER",IF(J216&gt;=0.5+Config!$B$6,"UNDER","—")))</f>
        <v>OVER</v>
      </c>
      <c r="M216" s="0" t="n">
        <v>24.54</v>
      </c>
      <c r="N216" s="0" t="n">
        <v>29.2</v>
      </c>
      <c r="O216" s="10" t="n">
        <v>0.8</v>
      </c>
      <c r="P216" s="10" t="n">
        <v>0.7</v>
      </c>
      <c r="Q216" s="10" t="n">
        <v>0.73</v>
      </c>
      <c r="R216" s="9" t="s">
        <v>1108</v>
      </c>
      <c r="S216" s="0" t="n">
        <v>2</v>
      </c>
      <c r="T216" s="0" t="str">
        <f aca="false">INDEX(Calc!$G$2:$G$124,MATCH($W216,Calc!$A$2:$A$124,0))&amp;" / "&amp;INDEX(Calc!$H$2:$H$124,MATCH($W216,Calc!$A$2:$A$124,0))</f>
        <v>Dust2 / Mirage</v>
      </c>
      <c r="U216" s="0" t="str">
        <f aca="false">TEXT(INDEX(Calc!$J$2:$J$124,MATCH($W216,Calc!$A$2:$A$124,0)),"0.0")&amp;" / "&amp;TEXT(INDEX(Calc!$K$2:$K$124,MATCH($W216,Calc!$A$2:$A$124,0)),"0.0")</f>
        <v>21.1 / 20.7</v>
      </c>
      <c r="V216" s="0" t="str">
        <f aca="false">IFERROR(INDEX(Calc!$AQ$2:$AQ$124,MATCH($W216,Calc!$A$2:$A$124,0)),"")</f>
        <v/>
      </c>
      <c r="W216" s="9" t="s">
        <v>1366</v>
      </c>
      <c r="X216" s="9" t="s">
        <v>1112</v>
      </c>
      <c r="Y216" s="0" t="str">
        <f aca="false">W216&amp;"|"&amp;X216</f>
        <v>dobeml44vsvpy4d|CS2 · VIT vs MGLZ|K12</v>
      </c>
      <c r="Z216" s="11" t="n">
        <f aca="false">IFERROR(INDEX(CHOOSE(MATCH($X216,{"K1","K2","K3","K12","K13","H1","H2","H3","H12","H13"},0),Calc!$BA$2:$BA$124,Calc!$BB$2:$BB$124,Calc!$BC$2:$BC$124,Calc!$BD$2:$BD$124,Calc!$BE$2:$BE$124,Calc!$BF$2:$BF$124,Calc!$BG$2:$BG$124,Calc!$BH$2:$BH$124,Calc!$BI$2:$BI$124,Calc!$BJ$2:$BJ$124),MATCH($W216,Calc!$A$2:$A$124,0)),"")</f>
        <v>26.0315376434589</v>
      </c>
      <c r="AA216" s="11" t="n">
        <f aca="false">IF(Z216="","",IF(LEFT($X216,1)="H",SQRT(Z216*(IFERROR(INDEX(Calc!$AP$2:$AP$124,MATCH($W216,Calc!$A$2:$A$124,0)),0.5)*Config!$B$5+1-IFERROR(INDEX(Calc!$AP$2:$AP$124,MATCH($W216,Calc!$A$2:$A$124,0)),0.5))),SQRT(Z216*Config!$B$5)))</f>
        <v>6.03689926210819</v>
      </c>
      <c r="AB216" s="10" t="n">
        <f aca="false">IF(OR(F216="",Z216="",N(AA216)&lt;=0),"",1-NORMDIST(FLOOR(F216,1)+0.5,Z216,AA216,TRUE()))</f>
        <v>0.662517637484135</v>
      </c>
      <c r="AC216" s="10" t="n">
        <f aca="false">IF(AB216="","",NORMDIST(CEILING(F216,1)-0.5,Z216,AA216,TRUE()))</f>
        <v>0.337482362515865</v>
      </c>
      <c r="AD216" s="0" t="str">
        <f aca="false">IF(AB216="","",IF(AB216&gt;=0.5+Config!$B$6,"OVER",IF(AC216&gt;=0.5+Config!$B$6,"UNDER","—")))</f>
        <v>OVER</v>
      </c>
      <c r="AE216" s="13" t="n">
        <f aca="false">IFERROR(Z216/G216,"")</f>
        <v>0.926062152192113</v>
      </c>
    </row>
    <row r="217" customFormat="false" ht="15" hidden="false" customHeight="false" outlineLevel="0" collapsed="false">
      <c r="A217" s="0" t="s">
        <v>988</v>
      </c>
      <c r="B217" s="0" t="s">
        <v>1015</v>
      </c>
      <c r="C217" s="0" t="s">
        <v>1367</v>
      </c>
      <c r="D217" s="0" t="s">
        <v>1020</v>
      </c>
      <c r="E217" s="0" t="s">
        <v>1107</v>
      </c>
      <c r="F217" s="0" t="n">
        <v>14</v>
      </c>
      <c r="G217" s="11" t="n">
        <f aca="false">IFERROR(INDEX(CHOOSE(MATCH($X217,{"K1","K2","K3","K12","K13","H1","H2","H3","H12","H13"},0),Calc!$V$2:$V$124,Calc!$AC$2:$AC$124,Calc!$AJ$2:$AJ$124,Calc!$AL$2:$AL$124,Calc!$AM$2:$AM$124,Calc!$W$2:$W$124,Calc!$AD$2:$AD$124,Calc!$AK$2:$AK$124,Calc!$AN$2:$AN$124,Calc!$AO$2:$AO$124),MATCH($W217,Calc!$A$2:$A$124,0)),"")</f>
        <v>15.4853427272727</v>
      </c>
      <c r="H217" s="11" t="n">
        <f aca="false">IF(G217="","",IF(LEFT($X217,1)="H",SQRT(G217*(IFERROR(INDEX(Calc!$AP$2:$AP$124,MATCH($W217,Calc!$A$2:$A$124,0)),0.5)*Config!$B$5+1-IFERROR(INDEX(Calc!$AP$2:$AP$124,MATCH($W217,Calc!$A$2:$A$124,0)),0.5))),SQRT(G217*Config!$B$5)))</f>
        <v>4.42568857332853</v>
      </c>
      <c r="I217" s="10" t="n">
        <f aca="false">IF(OR(F217="",G217="",N(H217)&lt;=0),"",1-NORMDIST(FLOOR(F217,1)+0.5,G217,H217,TRUE()))</f>
        <v>0.588092801670996</v>
      </c>
      <c r="J217" s="10" t="n">
        <f aca="false">IF(I217="","",NORMDIST(CEILING(F217,1)-0.5,G217,H217,TRUE()))</f>
        <v>0.326861842273811</v>
      </c>
      <c r="K217" s="10" t="n">
        <f aca="false">IF(I217="","",MAX(0,1-I217-J217))</f>
        <v>0.0850453560551936</v>
      </c>
      <c r="L217" s="0" t="str">
        <f aca="false">IF(I217="","",IF(I217&gt;=0.5+Config!$B$6,"OVER",IF(J217&gt;=0.5+Config!$B$6,"UNDER","—")))</f>
        <v>OVER</v>
      </c>
      <c r="N217" s="0" t="n">
        <v>16</v>
      </c>
      <c r="O217" s="10" t="n">
        <v>1</v>
      </c>
      <c r="P217" s="10" t="n">
        <v>0.8</v>
      </c>
      <c r="Q217" s="10" t="n">
        <v>0.6</v>
      </c>
      <c r="R217" s="9" t="s">
        <v>1368</v>
      </c>
      <c r="S217" s="0" t="n">
        <v>5</v>
      </c>
      <c r="T217" s="0" t="str">
        <f aca="false">INDEX(Calc!$G$2:$G$124,MATCH($W217,Calc!$A$2:$A$124,0))&amp;" / "&amp;INDEX(Calc!$H$2:$H$124,MATCH($W217,Calc!$A$2:$A$124,0))</f>
        <v>Dust2 / Mirage</v>
      </c>
      <c r="U217" s="0" t="str">
        <f aca="false">TEXT(INDEX(Calc!$J$2:$J$124,MATCH($W217,Calc!$A$2:$A$124,0)),"0.0")&amp;" / "&amp;TEXT(INDEX(Calc!$K$2:$K$124,MATCH($W217,Calc!$A$2:$A$124,0)),"0.0")</f>
        <v>21.1 / 20.7</v>
      </c>
      <c r="V217" s="0" t="str">
        <f aca="false">IFERROR(INDEX(Calc!$AQ$2:$AQ$124,MATCH($W217,Calc!$A$2:$A$124,0)),"")</f>
        <v/>
      </c>
      <c r="W217" s="9" t="s">
        <v>1369</v>
      </c>
      <c r="X217" s="9" t="s">
        <v>1110</v>
      </c>
      <c r="Y217" s="0" t="str">
        <f aca="false">W217&amp;"|"&amp;X217</f>
        <v>f34szm5kcyom32u|CS2 · VIT vs MGLZ|H12</v>
      </c>
      <c r="Z217" s="11" t="n">
        <f aca="false">IFERROR(INDEX(CHOOSE(MATCH($X217,{"K1","K2","K3","K12","K13","H1","H2","H3","H12","H13"},0),Calc!$BA$2:$BA$124,Calc!$BB$2:$BB$124,Calc!$BC$2:$BC$124,Calc!$BD$2:$BD$124,Calc!$BE$2:$BE$124,Calc!$BF$2:$BF$124,Calc!$BG$2:$BG$124,Calc!$BH$2:$BH$124,Calc!$BI$2:$BI$124,Calc!$BJ$2:$BJ$124),MATCH($W217,Calc!$A$2:$A$124,0)),"")</f>
        <v>14.3403418710838</v>
      </c>
      <c r="AA217" s="11" t="n">
        <f aca="false">IF(Z217="","",IF(LEFT($X217,1)="H",SQRT(Z217*(IFERROR(INDEX(Calc!$AP$2:$AP$124,MATCH($W217,Calc!$A$2:$A$124,0)),0.5)*Config!$B$5+1-IFERROR(INDEX(Calc!$AP$2:$AP$124,MATCH($W217,Calc!$A$2:$A$124,0)),0.5))),SQRT(Z217*Config!$B$5)))</f>
        <v>4.25892695801585</v>
      </c>
      <c r="AB217" s="10" t="n">
        <f aca="false">IF(OR(F217="",Z217="",N(AA217)&lt;=0),"",1-NORMDIST(FLOOR(F217,1)+0.5,Z217,AA217,TRUE()))</f>
        <v>0.485048003150222</v>
      </c>
      <c r="AC217" s="10" t="n">
        <f aca="false">IF(AB217="","",NORMDIST(CEILING(F217,1)-0.5,Z217,AA217,TRUE()))</f>
        <v>0.421791283533902</v>
      </c>
      <c r="AD217" s="0" t="str">
        <f aca="false">IF(AB217="","",IF(AB217&gt;=0.5+Config!$B$6,"OVER",IF(AC217&gt;=0.5+Config!$B$6,"UNDER","—")))</f>
        <v>—</v>
      </c>
      <c r="AE217" s="13" t="n">
        <f aca="false">IFERROR(Z217/G217,"")</f>
        <v>0.926059056208528</v>
      </c>
    </row>
    <row r="218" customFormat="false" ht="15" hidden="false" customHeight="false" outlineLevel="0" collapsed="false">
      <c r="A218" s="0" t="s">
        <v>988</v>
      </c>
      <c r="B218" s="0" t="s">
        <v>1015</v>
      </c>
      <c r="C218" s="0" t="s">
        <v>1367</v>
      </c>
      <c r="D218" s="0" t="s">
        <v>1020</v>
      </c>
      <c r="E218" s="0" t="s">
        <v>1111</v>
      </c>
      <c r="F218" s="0" t="n">
        <v>22.5</v>
      </c>
      <c r="G218" s="11" t="n">
        <f aca="false">IFERROR(INDEX(CHOOSE(MATCH($X218,{"K1","K2","K3","K12","K13","H1","H2","H3","H12","H13"},0),Calc!$V$2:$V$124,Calc!$AC$2:$AC$124,Calc!$AJ$2:$AJ$124,Calc!$AL$2:$AL$124,Calc!$AM$2:$AM$124,Calc!$W$2:$W$124,Calc!$AD$2:$AD$124,Calc!$AK$2:$AK$124,Calc!$AN$2:$AN$124,Calc!$AO$2:$AO$124),MATCH($W218,Calc!$A$2:$A$124,0)),"")</f>
        <v>23.3868636363636</v>
      </c>
      <c r="H218" s="11" t="n">
        <f aca="false">IF(G218="","",IF(LEFT($X218,1)="H",SQRT(G218*(IFERROR(INDEX(Calc!$AP$2:$AP$124,MATCH($W218,Calc!$A$2:$A$124,0)),0.5)*Config!$B$5+1-IFERROR(INDEX(Calc!$AP$2:$AP$124,MATCH($W218,Calc!$A$2:$A$124,0)),0.5))),SQRT(G218*Config!$B$5)))</f>
        <v>5.72202840703444</v>
      </c>
      <c r="I218" s="10" t="n">
        <f aca="false">IF(OR(F218="",G218="",N(H218)&lt;=0),"",1-NORMDIST(FLOOR(F218,1)+0.5,G218,H218,TRUE()))</f>
        <v>0.561585844130458</v>
      </c>
      <c r="J218" s="10" t="n">
        <f aca="false">IF(I218="","",NORMDIST(CEILING(F218,1)-0.5,G218,H218,TRUE()))</f>
        <v>0.438414155869542</v>
      </c>
      <c r="K218" s="10" t="n">
        <f aca="false">IF(I218="","",MAX(0,1-I218-J218))</f>
        <v>0</v>
      </c>
      <c r="L218" s="0" t="str">
        <f aca="false">IF(I218="","",IF(I218&gt;=0.5+Config!$B$6,"OVER",IF(J218&gt;=0.5+Config!$B$6,"UNDER","—")))</f>
        <v>OVER</v>
      </c>
      <c r="M218" s="0" t="n">
        <v>23</v>
      </c>
      <c r="N218" s="0" t="n">
        <v>24.3</v>
      </c>
      <c r="O218" s="10" t="n">
        <v>1</v>
      </c>
      <c r="P218" s="10" t="n">
        <v>0.6</v>
      </c>
      <c r="Q218" s="10" t="n">
        <v>0.47</v>
      </c>
      <c r="R218" s="9" t="s">
        <v>1368</v>
      </c>
      <c r="S218" s="0" t="n">
        <v>5</v>
      </c>
      <c r="T218" s="0" t="str">
        <f aca="false">INDEX(Calc!$G$2:$G$124,MATCH($W218,Calc!$A$2:$A$124,0))&amp;" / "&amp;INDEX(Calc!$H$2:$H$124,MATCH($W218,Calc!$A$2:$A$124,0))</f>
        <v>Dust2 / Mirage</v>
      </c>
      <c r="U218" s="0" t="str">
        <f aca="false">TEXT(INDEX(Calc!$J$2:$J$124,MATCH($W218,Calc!$A$2:$A$124,0)),"0.0")&amp;" / "&amp;TEXT(INDEX(Calc!$K$2:$K$124,MATCH($W218,Calc!$A$2:$A$124,0)),"0.0")</f>
        <v>21.1 / 20.7</v>
      </c>
      <c r="V218" s="0" t="str">
        <f aca="false">IFERROR(INDEX(Calc!$AQ$2:$AQ$124,MATCH($W218,Calc!$A$2:$A$124,0)),"")</f>
        <v/>
      </c>
      <c r="W218" s="9" t="s">
        <v>1369</v>
      </c>
      <c r="X218" s="9" t="s">
        <v>1112</v>
      </c>
      <c r="Y218" s="0" t="str">
        <f aca="false">W218&amp;"|"&amp;X218</f>
        <v>f34szm5kcyom32u|CS2 · VIT vs MGLZ|K12</v>
      </c>
      <c r="Z218" s="11" t="n">
        <f aca="false">IFERROR(INDEX(CHOOSE(MATCH($X218,{"K1","K2","K3","K12","K13","H1","H2","H3","H12","H13"},0),Calc!$BA$2:$BA$124,Calc!$BB$2:$BB$124,Calc!$BC$2:$BC$124,Calc!$BD$2:$BD$124,Calc!$BE$2:$BE$124,Calc!$BF$2:$BF$124,Calc!$BG$2:$BG$124,Calc!$BH$2:$BH$124,Calc!$BI$2:$BI$124,Calc!$BJ$2:$BJ$124),MATCH($W218,Calc!$A$2:$A$124,0)),"")</f>
        <v>21.6575271212333</v>
      </c>
      <c r="AA218" s="11" t="n">
        <f aca="false">IF(Z218="","",IF(LEFT($X218,1)="H",SQRT(Z218*(IFERROR(INDEX(Calc!$AP$2:$AP$124,MATCH($W218,Calc!$A$2:$A$124,0)),0.5)*Config!$B$5+1-IFERROR(INDEX(Calc!$AP$2:$AP$124,MATCH($W218,Calc!$A$2:$A$124,0)),0.5))),SQRT(Z218*Config!$B$5)))</f>
        <v>5.50640880880876</v>
      </c>
      <c r="AB218" s="10" t="n">
        <f aca="false">IF(OR(F218="",Z218="",N(AA218)&lt;=0),"",1-NORMDIST(FLOOR(F218,1)+0.5,Z218,AA218,TRUE()))</f>
        <v>0.4391996868017</v>
      </c>
      <c r="AC218" s="10" t="n">
        <f aca="false">IF(AB218="","",NORMDIST(CEILING(F218,1)-0.5,Z218,AA218,TRUE()))</f>
        <v>0.5608003131983</v>
      </c>
      <c r="AD218" s="0" t="str">
        <f aca="false">IF(AB218="","",IF(AB218&gt;=0.5+Config!$B$6,"OVER",IF(AC218&gt;=0.5+Config!$B$6,"UNDER","—")))</f>
        <v>UNDER</v>
      </c>
      <c r="AE218" s="13" t="n">
        <f aca="false">IFERROR(Z218/G218,"")</f>
        <v>0.92605521877498</v>
      </c>
    </row>
    <row r="219" customFormat="false" ht="15" hidden="false" customHeight="false" outlineLevel="0" collapsed="false">
      <c r="A219" s="0" t="s">
        <v>988</v>
      </c>
      <c r="B219" s="0" t="s">
        <v>1015</v>
      </c>
      <c r="C219" s="0" t="s">
        <v>1370</v>
      </c>
      <c r="D219" s="0" t="s">
        <v>1019</v>
      </c>
      <c r="E219" s="0" t="s">
        <v>1107</v>
      </c>
      <c r="F219" s="0" t="n">
        <v>16</v>
      </c>
      <c r="G219" s="11" t="n">
        <f aca="false">IFERROR(INDEX(CHOOSE(MATCH($X219,{"K1","K2","K3","K12","K13","H1","H2","H3","H12","H13"},0),Calc!$V$2:$V$124,Calc!$AC$2:$AC$124,Calc!$AJ$2:$AJ$124,Calc!$AL$2:$AL$124,Calc!$AM$2:$AM$124,Calc!$W$2:$W$124,Calc!$AD$2:$AD$124,Calc!$AK$2:$AK$124,Calc!$AN$2:$AN$124,Calc!$AO$2:$AO$124),MATCH($W219,Calc!$A$2:$A$124,0)),"")</f>
        <v>16.0494155850743</v>
      </c>
      <c r="H219" s="11" t="n">
        <f aca="false">IF(G219="","",IF(LEFT($X219,1)="H",SQRT(G219*(IFERROR(INDEX(Calc!$AP$2:$AP$124,MATCH($W219,Calc!$A$2:$A$124,0)),0.5)*Config!$B$5+1-IFERROR(INDEX(Calc!$AP$2:$AP$124,MATCH($W219,Calc!$A$2:$A$124,0)),0.5))),SQRT(G219*Config!$B$5)))</f>
        <v>4.4172714438851</v>
      </c>
      <c r="I219" s="10" t="n">
        <f aca="false">IF(OR(F219="",G219="",N(H219)&lt;=0),"",1-NORMDIST(FLOOR(F219,1)+0.5,G219,H219,TRUE()))</f>
        <v>0.459376295563824</v>
      </c>
      <c r="J219" s="10" t="n">
        <f aca="false">IF(I219="","",NORMDIST(CEILING(F219,1)-0.5,G219,H219,TRUE()))</f>
        <v>0.450507619600738</v>
      </c>
      <c r="K219" s="10" t="n">
        <f aca="false">IF(I219="","",MAX(0,1-I219-J219))</f>
        <v>0.0901160848354384</v>
      </c>
      <c r="L219" s="0" t="str">
        <f aca="false">IF(I219="","",IF(I219&gt;=0.5+Config!$B$6,"OVER",IF(J219&gt;=0.5+Config!$B$6,"UNDER","—")))</f>
        <v>—</v>
      </c>
      <c r="N219" s="0" t="n">
        <v>16.2</v>
      </c>
      <c r="O219" s="10" t="n">
        <v>0.6</v>
      </c>
      <c r="P219" s="10" t="n">
        <v>0.6</v>
      </c>
      <c r="Q219" s="10" t="n">
        <v>0.6</v>
      </c>
      <c r="R219" s="9" t="s">
        <v>1361</v>
      </c>
      <c r="S219" s="0" t="n">
        <v>2</v>
      </c>
      <c r="T219" s="0" t="str">
        <f aca="false">INDEX(Calc!$G$2:$G$124,MATCH($W219,Calc!$A$2:$A$124,0))&amp;" / "&amp;INDEX(Calc!$H$2:$H$124,MATCH($W219,Calc!$A$2:$A$124,0))</f>
        <v>Dust2 / Mirage</v>
      </c>
      <c r="U219" s="0" t="str">
        <f aca="false">TEXT(INDEX(Calc!$J$2:$J$124,MATCH($W219,Calc!$A$2:$A$124,0)),"0.0")&amp;" / "&amp;TEXT(INDEX(Calc!$K$2:$K$124,MATCH($W219,Calc!$A$2:$A$124,0)),"0.0")</f>
        <v>21.1 / 20.7</v>
      </c>
      <c r="V219" s="0" t="str">
        <f aca="false">IFERROR(INDEX(Calc!$AQ$2:$AQ$124,MATCH($W219,Calc!$A$2:$A$124,0)),"")</f>
        <v/>
      </c>
      <c r="W219" s="9" t="s">
        <v>1371</v>
      </c>
      <c r="X219" s="9" t="s">
        <v>1110</v>
      </c>
      <c r="Y219" s="0" t="str">
        <f aca="false">W219&amp;"|"&amp;X219</f>
        <v>uiy2ot3l9f0c2i9|CS2 · VIT vs MGLZ|H12</v>
      </c>
      <c r="Z219" s="11" t="n">
        <f aca="false">IFERROR(INDEX(CHOOSE(MATCH($X219,{"K1","K2","K3","K12","K13","H1","H2","H3","H12","H13"},0),Calc!$BA$2:$BA$124,Calc!$BB$2:$BB$124,Calc!$BC$2:$BC$124,Calc!$BD$2:$BD$124,Calc!$BE$2:$BE$124,Calc!$BF$2:$BF$124,Calc!$BG$2:$BG$124,Calc!$BH$2:$BH$124,Calc!$BI$2:$BI$124,Calc!$BJ$2:$BJ$124),MATCH($W219,Calc!$A$2:$A$124,0)),"")</f>
        <v>16.0588247995045</v>
      </c>
      <c r="AA219" s="11" t="n">
        <f aca="false">IF(Z219="","",IF(LEFT($X219,1)="H",SQRT(Z219*(IFERROR(INDEX(Calc!$AP$2:$AP$124,MATCH($W219,Calc!$A$2:$A$124,0)),0.5)*Config!$B$5+1-IFERROR(INDEX(Calc!$AP$2:$AP$124,MATCH($W219,Calc!$A$2:$A$124,0)),0.5))),SQRT(Z219*Config!$B$5)))</f>
        <v>4.41856610050463</v>
      </c>
      <c r="AB219" s="10" t="n">
        <f aca="false">IF(OR(F219="",Z219="",N(AA219)&lt;=0),"",1-NORMDIST(FLOOR(F219,1)+0.5,Z219,AA219,TRUE()))</f>
        <v>0.460233379266336</v>
      </c>
      <c r="AC219" s="10" t="n">
        <f aca="false">IF(AB219="","",NORMDIST(CEILING(F219,1)-0.5,Z219,AA219,TRUE()))</f>
        <v>0.449679164180151</v>
      </c>
      <c r="AD219" s="0" t="str">
        <f aca="false">IF(AB219="","",IF(AB219&gt;=0.5+Config!$B$6,"OVER",IF(AC219&gt;=0.5+Config!$B$6,"UNDER","—")))</f>
        <v>—</v>
      </c>
      <c r="AE219" s="13" t="n">
        <f aca="false">IFERROR(Z219/G219,"")</f>
        <v>1.00058626523691</v>
      </c>
    </row>
    <row r="220" customFormat="false" ht="15" hidden="false" customHeight="false" outlineLevel="0" collapsed="false">
      <c r="A220" s="0" t="s">
        <v>988</v>
      </c>
      <c r="B220" s="0" t="s">
        <v>1015</v>
      </c>
      <c r="C220" s="0" t="s">
        <v>1370</v>
      </c>
      <c r="D220" s="0" t="s">
        <v>1019</v>
      </c>
      <c r="E220" s="0" t="s">
        <v>1111</v>
      </c>
      <c r="F220" s="0" t="n">
        <v>30</v>
      </c>
      <c r="G220" s="11" t="n">
        <f aca="false">IFERROR(INDEX(CHOOSE(MATCH($X220,{"K1","K2","K3","K12","K13","H1","H2","H3","H12","H13"},0),Calc!$V$2:$V$124,Calc!$AC$2:$AC$124,Calc!$AJ$2:$AJ$124,Calc!$AL$2:$AL$124,Calc!$AM$2:$AM$124,Calc!$W$2:$W$124,Calc!$AD$2:$AD$124,Calc!$AK$2:$AK$124,Calc!$AN$2:$AN$124,Calc!$AO$2:$AO$124),MATCH($W220,Calc!$A$2:$A$124,0)),"")</f>
        <v>29.7537747252747</v>
      </c>
      <c r="H220" s="11" t="n">
        <f aca="false">IF(G220="","",IF(LEFT($X220,1)="H",SQRT(G220*(IFERROR(INDEX(Calc!$AP$2:$AP$124,MATCH($W220,Calc!$A$2:$A$124,0)),0.5)*Config!$B$5+1-IFERROR(INDEX(Calc!$AP$2:$AP$124,MATCH($W220,Calc!$A$2:$A$124,0)),0.5))),SQRT(G220*Config!$B$5)))</f>
        <v>6.45409053355967</v>
      </c>
      <c r="I220" s="10" t="n">
        <f aca="false">IF(OR(F220="",G220="",N(H220)&lt;=0),"",1-NORMDIST(FLOOR(F220,1)+0.5,G220,H220,TRUE()))</f>
        <v>0.453976651457484</v>
      </c>
      <c r="J220" s="10" t="n">
        <f aca="false">IF(I220="","",NORMDIST(CEILING(F220,1)-0.5,G220,H220,TRUE()))</f>
        <v>0.484317637697979</v>
      </c>
      <c r="K220" s="10" t="n">
        <f aca="false">IF(I220="","",MAX(0,1-I220-J220))</f>
        <v>0.0617057108445362</v>
      </c>
      <c r="L220" s="0" t="str">
        <f aca="false">IF(I220="","",IF(I220&gt;=0.5+Config!$B$6,"OVER",IF(J220&gt;=0.5+Config!$B$6,"UNDER","—")))</f>
        <v>—</v>
      </c>
      <c r="M220" s="0" t="n">
        <v>30.82</v>
      </c>
      <c r="N220" s="0" t="n">
        <v>29.2</v>
      </c>
      <c r="O220" s="10" t="n">
        <v>0.8</v>
      </c>
      <c r="P220" s="10" t="n">
        <v>0.4</v>
      </c>
      <c r="Q220" s="10" t="n">
        <v>0.27</v>
      </c>
      <c r="R220" s="9" t="s">
        <v>1372</v>
      </c>
      <c r="S220" s="0" t="n">
        <v>2</v>
      </c>
      <c r="T220" s="0" t="str">
        <f aca="false">INDEX(Calc!$G$2:$G$124,MATCH($W220,Calc!$A$2:$A$124,0))&amp;" / "&amp;INDEX(Calc!$H$2:$H$124,MATCH($W220,Calc!$A$2:$A$124,0))</f>
        <v>Dust2 / Mirage</v>
      </c>
      <c r="U220" s="0" t="str">
        <f aca="false">TEXT(INDEX(Calc!$J$2:$J$124,MATCH($W220,Calc!$A$2:$A$124,0)),"0.0")&amp;" / "&amp;TEXT(INDEX(Calc!$K$2:$K$124,MATCH($W220,Calc!$A$2:$A$124,0)),"0.0")</f>
        <v>21.1 / 20.7</v>
      </c>
      <c r="V220" s="0" t="str">
        <f aca="false">IFERROR(INDEX(Calc!$AQ$2:$AQ$124,MATCH($W220,Calc!$A$2:$A$124,0)),"")</f>
        <v/>
      </c>
      <c r="W220" s="9" t="s">
        <v>1371</v>
      </c>
      <c r="X220" s="9" t="s">
        <v>1112</v>
      </c>
      <c r="Y220" s="0" t="str">
        <f aca="false">W220&amp;"|"&amp;X220</f>
        <v>uiy2ot3l9f0c2i9|CS2 · VIT vs MGLZ|K12</v>
      </c>
      <c r="Z220" s="11" t="n">
        <f aca="false">IFERROR(INDEX(CHOOSE(MATCH($X220,{"K1","K2","K3","K12","K13","H1","H2","H3","H12","H13"},0),Calc!$BA$2:$BA$124,Calc!$BB$2:$BB$124,Calc!$BC$2:$BC$124,Calc!$BD$2:$BD$124,Calc!$BE$2:$BE$124,Calc!$BF$2:$BF$124,Calc!$BG$2:$BG$124,Calc!$BH$2:$BH$124,Calc!$BI$2:$BI$124,Calc!$BJ$2:$BJ$124),MATCH($W220,Calc!$A$2:$A$124,0)),"")</f>
        <v>29.7710859740031</v>
      </c>
      <c r="AA220" s="11" t="n">
        <f aca="false">IF(Z220="","",IF(LEFT($X220,1)="H",SQRT(Z220*(IFERROR(INDEX(Calc!$AP$2:$AP$124,MATCH($W220,Calc!$A$2:$A$124,0)),0.5)*Config!$B$5+1-IFERROR(INDEX(Calc!$AP$2:$AP$124,MATCH($W220,Calc!$A$2:$A$124,0)),0.5))),SQRT(Z220*Config!$B$5)))</f>
        <v>6.45596780998823</v>
      </c>
      <c r="AB220" s="10" t="n">
        <f aca="false">IF(OR(F220="",Z220="",N(AA220)&lt;=0),"",1-NORMDIST(FLOOR(F220,1)+0.5,Z220,AA220,TRUE()))</f>
        <v>0.455052753124919</v>
      </c>
      <c r="AC220" s="10" t="n">
        <f aca="false">IF(AB220="","",NORMDIST(CEILING(F220,1)-0.5,Z220,AA220,TRUE()))</f>
        <v>0.483253342024994</v>
      </c>
      <c r="AD220" s="0" t="str">
        <f aca="false">IF(AB220="","",IF(AB220&gt;=0.5+Config!$B$6,"OVER",IF(AC220&gt;=0.5+Config!$B$6,"UNDER","—")))</f>
        <v>—</v>
      </c>
      <c r="AE220" s="13" t="n">
        <f aca="false">IFERROR(Z220/G220,"")</f>
        <v>1.00058181689174</v>
      </c>
    </row>
    <row r="221" customFormat="false" ht="15" hidden="false" customHeight="false" outlineLevel="0" collapsed="false">
      <c r="A221" s="0" t="s">
        <v>988</v>
      </c>
      <c r="B221" s="0" t="s">
        <v>1015</v>
      </c>
      <c r="C221" s="0" t="s">
        <v>1373</v>
      </c>
      <c r="D221" s="0" t="s">
        <v>1019</v>
      </c>
      <c r="E221" s="0" t="s">
        <v>1107</v>
      </c>
      <c r="F221" s="0" t="n">
        <v>14</v>
      </c>
      <c r="G221" s="11" t="n">
        <f aca="false">IFERROR(INDEX(CHOOSE(MATCH($X221,{"K1","K2","K3","K12","K13","H1","H2","H3","H12","H13"},0),Calc!$V$2:$V$124,Calc!$AC$2:$AC$124,Calc!$AJ$2:$AJ$124,Calc!$AL$2:$AL$124,Calc!$AM$2:$AM$124,Calc!$W$2:$W$124,Calc!$AD$2:$AD$124,Calc!$AK$2:$AK$124,Calc!$AN$2:$AN$124,Calc!$AO$2:$AO$124),MATCH($W221,Calc!$A$2:$A$124,0)),"")</f>
        <v>16.2082309129247</v>
      </c>
      <c r="H221" s="11" t="n">
        <f aca="false">IF(G221="","",IF(LEFT($X221,1)="H",SQRT(G221*(IFERROR(INDEX(Calc!$AP$2:$AP$124,MATCH($W221,Calc!$A$2:$A$124,0)),0.5)*Config!$B$5+1-IFERROR(INDEX(Calc!$AP$2:$AP$124,MATCH($W221,Calc!$A$2:$A$124,0)),0.5))),SQRT(G221*Config!$B$5)))</f>
        <v>4.45941059535168</v>
      </c>
      <c r="I221" s="10" t="n">
        <f aca="false">IF(OR(F221="",G221="",N(H221)&lt;=0),"",1-NORMDIST(FLOOR(F221,1)+0.5,G221,H221,TRUE()))</f>
        <v>0.649163117160267</v>
      </c>
      <c r="J221" s="10" t="n">
        <f aca="false">IF(I221="","",NORMDIST(CEILING(F221,1)-0.5,G221,H221,TRUE()))</f>
        <v>0.271823623461015</v>
      </c>
      <c r="K221" s="10" t="n">
        <f aca="false">IF(I221="","",MAX(0,1-I221-J221))</f>
        <v>0.0790132593787172</v>
      </c>
      <c r="L221" s="0" t="str">
        <f aca="false">IF(I221="","",IF(I221&gt;=0.5+Config!$B$6,"OVER",IF(J221&gt;=0.5+Config!$B$6,"UNDER","—")))</f>
        <v>OVER</v>
      </c>
      <c r="N221" s="0" t="n">
        <v>15.4</v>
      </c>
      <c r="O221" s="10" t="n">
        <v>0.6</v>
      </c>
      <c r="P221" s="10" t="n">
        <v>0.6</v>
      </c>
      <c r="Q221" s="10" t="n">
        <v>0.6</v>
      </c>
      <c r="R221" s="9" t="s">
        <v>1173</v>
      </c>
      <c r="S221" s="0" t="n">
        <v>-2</v>
      </c>
      <c r="T221" s="0" t="str">
        <f aca="false">INDEX(Calc!$G$2:$G$124,MATCH($W221,Calc!$A$2:$A$124,0))&amp;" / "&amp;INDEX(Calc!$H$2:$H$124,MATCH($W221,Calc!$A$2:$A$124,0))</f>
        <v>Dust2 / Mirage</v>
      </c>
      <c r="U221" s="0" t="str">
        <f aca="false">TEXT(INDEX(Calc!$J$2:$J$124,MATCH($W221,Calc!$A$2:$A$124,0)),"0.0")&amp;" / "&amp;TEXT(INDEX(Calc!$K$2:$K$124,MATCH($W221,Calc!$A$2:$A$124,0)),"0.0")</f>
        <v>21.1 / 20.7</v>
      </c>
      <c r="V221" s="0" t="str">
        <f aca="false">IFERROR(INDEX(Calc!$AQ$2:$AQ$124,MATCH($W221,Calc!$A$2:$A$124,0)),"")</f>
        <v/>
      </c>
      <c r="W221" s="9" t="s">
        <v>1374</v>
      </c>
      <c r="X221" s="9" t="s">
        <v>1110</v>
      </c>
      <c r="Y221" s="0" t="str">
        <f aca="false">W221&amp;"|"&amp;X221</f>
        <v>frzabcozzj3obrl|CS2 · VIT vs MGLZ|H12</v>
      </c>
      <c r="Z221" s="11" t="n">
        <f aca="false">IFERROR(INDEX(CHOOSE(MATCH($X221,{"K1","K2","K3","K12","K13","H1","H2","H3","H12","H13"},0),Calc!$BA$2:$BA$124,Calc!$BB$2:$BB$124,Calc!$BC$2:$BC$124,Calc!$BD$2:$BD$124,Calc!$BE$2:$BE$124,Calc!$BF$2:$BF$124,Calc!$BG$2:$BG$124,Calc!$BH$2:$BH$124,Calc!$BI$2:$BI$124,Calc!$BJ$2:$BJ$124),MATCH($W221,Calc!$A$2:$A$124,0)),"")</f>
        <v>16.2176705330489</v>
      </c>
      <c r="AA221" s="11" t="n">
        <f aca="false">IF(Z221="","",IF(LEFT($X221,1)="H",SQRT(Z221*(IFERROR(INDEX(Calc!$AP$2:$AP$124,MATCH($W221,Calc!$A$2:$A$124,0)),0.5)*Config!$B$5+1-IFERROR(INDEX(Calc!$AP$2:$AP$124,MATCH($W221,Calc!$A$2:$A$124,0)),0.5))),SQRT(Z221*Config!$B$5)))</f>
        <v>4.46070897933296</v>
      </c>
      <c r="AB221" s="10" t="n">
        <f aca="false">IF(OR(F221="",Z221="",N(AA221)&lt;=0),"",1-NORMDIST(FLOOR(F221,1)+0.5,Z221,AA221,TRUE()))</f>
        <v>0.649906004460226</v>
      </c>
      <c r="AC221" s="10" t="n">
        <f aca="false">IF(AB221="","",NORMDIST(CEILING(F221,1)-0.5,Z221,AA221,TRUE()))</f>
        <v>0.271180590823393</v>
      </c>
      <c r="AD221" s="0" t="str">
        <f aca="false">IF(AB221="","",IF(AB221&gt;=0.5+Config!$B$6,"OVER",IF(AC221&gt;=0.5+Config!$B$6,"UNDER","—")))</f>
        <v>OVER</v>
      </c>
      <c r="AE221" s="13" t="n">
        <f aca="false">IFERROR(Z221/G221,"")</f>
        <v>1.00058239669554</v>
      </c>
    </row>
    <row r="222" customFormat="false" ht="15" hidden="false" customHeight="false" outlineLevel="0" collapsed="false">
      <c r="A222" s="0" t="s">
        <v>988</v>
      </c>
      <c r="B222" s="0" t="s">
        <v>1015</v>
      </c>
      <c r="C222" s="0" t="s">
        <v>1373</v>
      </c>
      <c r="D222" s="0" t="s">
        <v>1019</v>
      </c>
      <c r="E222" s="0" t="s">
        <v>1111</v>
      </c>
      <c r="F222" s="0" t="n">
        <v>27</v>
      </c>
      <c r="G222" s="11" t="n">
        <f aca="false">IFERROR(INDEX(CHOOSE(MATCH($X222,{"K1","K2","K3","K12","K13","H1","H2","H3","H12","H13"},0),Calc!$V$2:$V$124,Calc!$AC$2:$AC$124,Calc!$AJ$2:$AJ$124,Calc!$AL$2:$AL$124,Calc!$AM$2:$AM$124,Calc!$W$2:$W$124,Calc!$AD$2:$AD$124,Calc!$AK$2:$AK$124,Calc!$AN$2:$AN$124,Calc!$AO$2:$AO$124),MATCH($W222,Calc!$A$2:$A$124,0)),"")</f>
        <v>28.5697393939394</v>
      </c>
      <c r="H222" s="11" t="n">
        <f aca="false">IF(G222="","",IF(LEFT($X222,1)="H",SQRT(G222*(IFERROR(INDEX(Calc!$AP$2:$AP$124,MATCH($W222,Calc!$A$2:$A$124,0)),0.5)*Config!$B$5+1-IFERROR(INDEX(Calc!$AP$2:$AP$124,MATCH($W222,Calc!$A$2:$A$124,0)),0.5))),SQRT(G222*Config!$B$5)))</f>
        <v>6.32436835988505</v>
      </c>
      <c r="I222" s="10" t="n">
        <f aca="false">IF(OR(F222="",G222="",N(H222)&lt;=0),"",1-NORMDIST(FLOOR(F222,1)+0.5,G222,H222,TRUE()))</f>
        <v>0.567158960458407</v>
      </c>
      <c r="J222" s="10" t="n">
        <f aca="false">IF(I222="","",NORMDIST(CEILING(F222,1)-0.5,G222,H222,TRUE()))</f>
        <v>0.371734031049511</v>
      </c>
      <c r="K222" s="10" t="n">
        <f aca="false">IF(I222="","",MAX(0,1-I222-J222))</f>
        <v>0.0611070084920811</v>
      </c>
      <c r="L222" s="0" t="str">
        <f aca="false">IF(I222="","",IF(I222&gt;=0.5+Config!$B$6,"OVER",IF(J222&gt;=0.5+Config!$B$6,"UNDER","—")))</f>
        <v>OVER</v>
      </c>
      <c r="M222" s="0" t="n">
        <v>29</v>
      </c>
      <c r="N222" s="0" t="n">
        <v>28.4</v>
      </c>
      <c r="O222" s="10" t="n">
        <v>0.4</v>
      </c>
      <c r="P222" s="10" t="n">
        <v>0.7</v>
      </c>
      <c r="Q222" s="10" t="n">
        <v>0.67</v>
      </c>
      <c r="R222" s="9" t="s">
        <v>1173</v>
      </c>
      <c r="S222" s="0" t="n">
        <v>-3</v>
      </c>
      <c r="T222" s="0" t="str">
        <f aca="false">INDEX(Calc!$G$2:$G$124,MATCH($W222,Calc!$A$2:$A$124,0))&amp;" / "&amp;INDEX(Calc!$H$2:$H$124,MATCH($W222,Calc!$A$2:$A$124,0))</f>
        <v>Dust2 / Mirage</v>
      </c>
      <c r="U222" s="0" t="str">
        <f aca="false">TEXT(INDEX(Calc!$J$2:$J$124,MATCH($W222,Calc!$A$2:$A$124,0)),"0.0")&amp;" / "&amp;TEXT(INDEX(Calc!$K$2:$K$124,MATCH($W222,Calc!$A$2:$A$124,0)),"0.0")</f>
        <v>21.1 / 20.7</v>
      </c>
      <c r="V222" s="0" t="str">
        <f aca="false">IFERROR(INDEX(Calc!$AQ$2:$AQ$124,MATCH($W222,Calc!$A$2:$A$124,0)),"")</f>
        <v/>
      </c>
      <c r="W222" s="9" t="s">
        <v>1374</v>
      </c>
      <c r="X222" s="9" t="s">
        <v>1112</v>
      </c>
      <c r="Y222" s="0" t="str">
        <f aca="false">W222&amp;"|"&amp;X222</f>
        <v>frzabcozzj3obrl|CS2 · VIT vs MGLZ|K12</v>
      </c>
      <c r="Z222" s="11" t="n">
        <f aca="false">IFERROR(INDEX(CHOOSE(MATCH($X222,{"K1","K2","K3","K12","K13","H1","H2","H3","H12","H13"},0),Calc!$BA$2:$BA$124,Calc!$BB$2:$BB$124,Calc!$BC$2:$BC$124,Calc!$BD$2:$BD$124,Calc!$BE$2:$BE$124,Calc!$BF$2:$BF$124,Calc!$BG$2:$BG$124,Calc!$BH$2:$BH$124,Calc!$BI$2:$BI$124,Calc!$BJ$2:$BJ$124),MATCH($W222,Calc!$A$2:$A$124,0)),"")</f>
        <v>28.5862450353306</v>
      </c>
      <c r="AA222" s="11" t="n">
        <f aca="false">IF(Z222="","",IF(LEFT($X222,1)="H",SQRT(Z222*(IFERROR(INDEX(Calc!$AP$2:$AP$124,MATCH($W222,Calc!$A$2:$A$124,0)),0.5)*Config!$B$5+1-IFERROR(INDEX(Calc!$AP$2:$AP$124,MATCH($W222,Calc!$A$2:$A$124,0)),0.5))),SQRT(Z222*Config!$B$5)))</f>
        <v>6.3261949898389</v>
      </c>
      <c r="AB222" s="10" t="n">
        <f aca="false">IF(OR(F222="",Z222="",N(AA222)&lt;=0),"",1-NORMDIST(FLOOR(F222,1)+0.5,Z222,AA222,TRUE()))</f>
        <v>0.568165628338189</v>
      </c>
      <c r="AC222" s="10" t="n">
        <f aca="false">IF(AB222="","",NORMDIST(CEILING(F222,1)-0.5,Z222,AA222,TRUE()))</f>
        <v>0.370783551049431</v>
      </c>
      <c r="AD222" s="0" t="str">
        <f aca="false">IF(AB222="","",IF(AB222&gt;=0.5+Config!$B$6,"OVER",IF(AC222&gt;=0.5+Config!$B$6,"UNDER","—")))</f>
        <v>OVER</v>
      </c>
      <c r="AE222" s="13" t="n">
        <f aca="false">IFERROR(Z222/G222,"")</f>
        <v>1.00057773160489</v>
      </c>
    </row>
    <row r="223" customFormat="false" ht="15" hidden="false" customHeight="false" outlineLevel="0" collapsed="false">
      <c r="A223" s="0" t="s">
        <v>988</v>
      </c>
      <c r="B223" s="0" t="s">
        <v>1015</v>
      </c>
      <c r="C223" s="0" t="s">
        <v>1375</v>
      </c>
      <c r="D223" s="0" t="s">
        <v>1019</v>
      </c>
      <c r="E223" s="0" t="s">
        <v>1107</v>
      </c>
      <c r="F223" s="0" t="n">
        <v>15.5</v>
      </c>
      <c r="G223" s="11" t="n">
        <f aca="false">IFERROR(INDEX(CHOOSE(MATCH($X223,{"K1","K2","K3","K12","K13","H1","H2","H3","H12","H13"},0),Calc!$V$2:$V$124,Calc!$AC$2:$AC$124,Calc!$AJ$2:$AJ$124,Calc!$AL$2:$AL$124,Calc!$AM$2:$AM$124,Calc!$W$2:$W$124,Calc!$AD$2:$AD$124,Calc!$AK$2:$AK$124,Calc!$AN$2:$AN$124,Calc!$AO$2:$AO$124),MATCH($W223,Calc!$A$2:$A$124,0)),"")</f>
        <v>16.9182142106509</v>
      </c>
      <c r="H223" s="11" t="n">
        <f aca="false">IF(G223="","",IF(LEFT($X223,1)="H",SQRT(G223*(IFERROR(INDEX(Calc!$AP$2:$AP$124,MATCH($W223,Calc!$A$2:$A$124,0)),0.5)*Config!$B$5+1-IFERROR(INDEX(Calc!$AP$2:$AP$124,MATCH($W223,Calc!$A$2:$A$124,0)),0.5))),SQRT(G223*Config!$B$5)))</f>
        <v>4.58330943243408</v>
      </c>
      <c r="I223" s="10" t="n">
        <f aca="false">IF(OR(F223="",G223="",N(H223)&lt;=0),"",1-NORMDIST(FLOOR(F223,1)+0.5,G223,H223,TRUE()))</f>
        <v>0.621502837798713</v>
      </c>
      <c r="J223" s="10" t="n">
        <f aca="false">IF(I223="","",NORMDIST(CEILING(F223,1)-0.5,G223,H223,TRUE()))</f>
        <v>0.378497162201287</v>
      </c>
      <c r="K223" s="10" t="n">
        <f aca="false">IF(I223="","",MAX(0,1-I223-J223))</f>
        <v>0</v>
      </c>
      <c r="L223" s="0" t="str">
        <f aca="false">IF(I223="","",IF(I223&gt;=0.5+Config!$B$6,"OVER",IF(J223&gt;=0.5+Config!$B$6,"UNDER","—")))</f>
        <v>OVER</v>
      </c>
      <c r="N223" s="0" t="n">
        <v>12.6</v>
      </c>
      <c r="O223" s="10" t="n">
        <v>0.2</v>
      </c>
      <c r="P223" s="10" t="n">
        <v>0.2</v>
      </c>
      <c r="Q223" s="10" t="n">
        <v>0.4</v>
      </c>
      <c r="R223" s="9" t="s">
        <v>1368</v>
      </c>
      <c r="S223" s="0" t="n">
        <v>-3</v>
      </c>
      <c r="T223" s="0" t="str">
        <f aca="false">INDEX(Calc!$G$2:$G$124,MATCH($W223,Calc!$A$2:$A$124,0))&amp;" / "&amp;INDEX(Calc!$H$2:$H$124,MATCH($W223,Calc!$A$2:$A$124,0))</f>
        <v>Dust2 / Mirage</v>
      </c>
      <c r="U223" s="0" t="str">
        <f aca="false">TEXT(INDEX(Calc!$J$2:$J$124,MATCH($W223,Calc!$A$2:$A$124,0)),"0.0")&amp;" / "&amp;TEXT(INDEX(Calc!$K$2:$K$124,MATCH($W223,Calc!$A$2:$A$124,0)),"0.0")</f>
        <v>21.1 / 20.7</v>
      </c>
      <c r="V223" s="0" t="str">
        <f aca="false">IFERROR(INDEX(Calc!$AQ$2:$AQ$124,MATCH($W223,Calc!$A$2:$A$124,0)),"")</f>
        <v/>
      </c>
      <c r="W223" s="9" t="s">
        <v>1376</v>
      </c>
      <c r="X223" s="9" t="s">
        <v>1110</v>
      </c>
      <c r="Y223" s="0" t="str">
        <f aca="false">W223&amp;"|"&amp;X223</f>
        <v>w4swyv4mqy1ob42|CS2 · VIT vs MGLZ|H12</v>
      </c>
      <c r="Z223" s="11" t="n">
        <f aca="false">IFERROR(INDEX(CHOOSE(MATCH($X223,{"K1","K2","K3","K12","K13","H1","H2","H3","H12","H13"},0),Calc!$BA$2:$BA$124,Calc!$BB$2:$BB$124,Calc!$BC$2:$BC$124,Calc!$BD$2:$BD$124,Calc!$BE$2:$BE$124,Calc!$BF$2:$BF$124,Calc!$BG$2:$BG$124,Calc!$BH$2:$BH$124,Calc!$BI$2:$BI$124,Calc!$BJ$2:$BJ$124),MATCH($W223,Calc!$A$2:$A$124,0)),"")</f>
        <v>16.9279415854358</v>
      </c>
      <c r="AA223" s="11" t="n">
        <f aca="false">IF(Z223="","",IF(LEFT($X223,1)="H",SQRT(Z223*(IFERROR(INDEX(Calc!$AP$2:$AP$124,MATCH($W223,Calc!$A$2:$A$124,0)),0.5)*Config!$B$5+1-IFERROR(INDEX(Calc!$AP$2:$AP$124,MATCH($W223,Calc!$A$2:$A$124,0)),0.5))),SQRT(Z223*Config!$B$5)))</f>
        <v>4.58462686349973</v>
      </c>
      <c r="AB223" s="10" t="n">
        <f aca="false">IF(OR(F223="",Z223="",N(AA223)&lt;=0),"",1-NORMDIST(FLOOR(F223,1)+0.5,Z223,AA223,TRUE()))</f>
        <v>0.622275662400078</v>
      </c>
      <c r="AC223" s="10" t="n">
        <f aca="false">IF(AB223="","",NORMDIST(CEILING(F223,1)-0.5,Z223,AA223,TRUE()))</f>
        <v>0.377724337599922</v>
      </c>
      <c r="AD223" s="0" t="str">
        <f aca="false">IF(AB223="","",IF(AB223&gt;=0.5+Config!$B$6,"OVER",IF(AC223&gt;=0.5+Config!$B$6,"UNDER","—")))</f>
        <v>OVER</v>
      </c>
      <c r="AE223" s="13" t="n">
        <f aca="false">IFERROR(Z223/G223,"")</f>
        <v>1.00057496463065</v>
      </c>
    </row>
    <row r="224" customFormat="false" ht="15" hidden="false" customHeight="false" outlineLevel="0" collapsed="false">
      <c r="A224" s="0" t="s">
        <v>988</v>
      </c>
      <c r="B224" s="0" t="s">
        <v>1015</v>
      </c>
      <c r="C224" s="0" t="s">
        <v>1375</v>
      </c>
      <c r="D224" s="0" t="s">
        <v>1019</v>
      </c>
      <c r="E224" s="0" t="s">
        <v>1111</v>
      </c>
      <c r="F224" s="0" t="n">
        <v>26.5</v>
      </c>
      <c r="G224" s="11" t="n">
        <f aca="false">IFERROR(INDEX(CHOOSE(MATCH($X224,{"K1","K2","K3","K12","K13","H1","H2","H3","H12","H13"},0),Calc!$V$2:$V$124,Calc!$AC$2:$AC$124,Calc!$AJ$2:$AJ$124,Calc!$AL$2:$AL$124,Calc!$AM$2:$AM$124,Calc!$W$2:$W$124,Calc!$AD$2:$AD$124,Calc!$AK$2:$AK$124,Calc!$AN$2:$AN$124,Calc!$AO$2:$AO$124),MATCH($W224,Calc!$A$2:$A$124,0)),"")</f>
        <v>28.0029538461539</v>
      </c>
      <c r="H224" s="11" t="n">
        <f aca="false">IF(G224="","",IF(LEFT($X224,1)="H",SQRT(G224*(IFERROR(INDEX(Calc!$AP$2:$AP$124,MATCH($W224,Calc!$A$2:$A$124,0)),0.5)*Config!$B$5+1-IFERROR(INDEX(Calc!$AP$2:$AP$124,MATCH($W224,Calc!$A$2:$A$124,0)),0.5))),SQRT(G224*Config!$B$5)))</f>
        <v>6.26132057832973</v>
      </c>
      <c r="I224" s="10" t="n">
        <f aca="false">IF(OR(F224="",G224="",N(H224)&lt;=0),"",1-NORMDIST(FLOOR(F224,1)+0.5,G224,H224,TRUE()))</f>
        <v>0.594849537742893</v>
      </c>
      <c r="J224" s="10" t="n">
        <f aca="false">IF(I224="","",NORMDIST(CEILING(F224,1)-0.5,G224,H224,TRUE()))</f>
        <v>0.405150462257107</v>
      </c>
      <c r="K224" s="10" t="n">
        <f aca="false">IF(I224="","",MAX(0,1-I224-J224))</f>
        <v>0</v>
      </c>
      <c r="L224" s="0" t="str">
        <f aca="false">IF(I224="","",IF(I224&gt;=0.5+Config!$B$6,"OVER",IF(J224&gt;=0.5+Config!$B$6,"UNDER","—")))</f>
        <v>OVER</v>
      </c>
      <c r="M224" s="0" t="n">
        <v>26.2</v>
      </c>
      <c r="N224" s="0" t="n">
        <v>23.2</v>
      </c>
      <c r="O224" s="10" t="n">
        <v>0.2</v>
      </c>
      <c r="P224" s="10" t="n">
        <v>0.2</v>
      </c>
      <c r="Q224" s="10" t="n">
        <v>0.4</v>
      </c>
      <c r="R224" s="9" t="s">
        <v>1368</v>
      </c>
      <c r="S224" s="0" t="n">
        <v>-3</v>
      </c>
      <c r="T224" s="0" t="str">
        <f aca="false">INDEX(Calc!$G$2:$G$124,MATCH($W224,Calc!$A$2:$A$124,0))&amp;" / "&amp;INDEX(Calc!$H$2:$H$124,MATCH($W224,Calc!$A$2:$A$124,0))</f>
        <v>Dust2 / Mirage</v>
      </c>
      <c r="U224" s="0" t="str">
        <f aca="false">TEXT(INDEX(Calc!$J$2:$J$124,MATCH($W224,Calc!$A$2:$A$124,0)),"0.0")&amp;" / "&amp;TEXT(INDEX(Calc!$K$2:$K$124,MATCH($W224,Calc!$A$2:$A$124,0)),"0.0")</f>
        <v>21.1 / 20.7</v>
      </c>
      <c r="V224" s="0" t="str">
        <f aca="false">IFERROR(INDEX(Calc!$AQ$2:$AQ$124,MATCH($W224,Calc!$A$2:$A$124,0)),"")</f>
        <v/>
      </c>
      <c r="W224" s="9" t="s">
        <v>1376</v>
      </c>
      <c r="X224" s="9" t="s">
        <v>1112</v>
      </c>
      <c r="Y224" s="0" t="str">
        <f aca="false">W224&amp;"|"&amp;X224</f>
        <v>w4swyv4mqy1ob42|CS2 · VIT vs MGLZ|K12</v>
      </c>
      <c r="Z224" s="11" t="n">
        <f aca="false">IFERROR(INDEX(CHOOSE(MATCH($X224,{"K1","K2","K3","K12","K13","H1","H2","H3","H12","H13"},0),Calc!$BA$2:$BA$124,Calc!$BB$2:$BB$124,Calc!$BC$2:$BC$124,Calc!$BD$2:$BD$124,Calc!$BE$2:$BE$124,Calc!$BF$2:$BF$124,Calc!$BG$2:$BG$124,Calc!$BH$2:$BH$124,Calc!$BI$2:$BI$124,Calc!$BJ$2:$BJ$124),MATCH($W224,Calc!$A$2:$A$124,0)),"")</f>
        <v>28.019080170262</v>
      </c>
      <c r="AA224" s="11" t="n">
        <f aca="false">IF(Z224="","",IF(LEFT($X224,1)="H",SQRT(Z224*(IFERROR(INDEX(Calc!$AP$2:$AP$124,MATCH($W224,Calc!$A$2:$A$124,0)),0.5)*Config!$B$5+1-IFERROR(INDEX(Calc!$AP$2:$AP$124,MATCH($W224,Calc!$A$2:$A$124,0)),0.5))),SQRT(Z224*Config!$B$5)))</f>
        <v>6.26312320159573</v>
      </c>
      <c r="AB224" s="10" t="n">
        <f aca="false">IF(OR(F224="",Z224="",N(AA224)&lt;=0),"",1-NORMDIST(FLOOR(F224,1)+0.5,Z224,AA224,TRUE()))</f>
        <v>0.595820494164802</v>
      </c>
      <c r="AC224" s="10" t="n">
        <f aca="false">IF(AB224="","",NORMDIST(CEILING(F224,1)-0.5,Z224,AA224,TRUE()))</f>
        <v>0.404179505835198</v>
      </c>
      <c r="AD224" s="0" t="str">
        <f aca="false">IF(AB224="","",IF(AB224&gt;=0.5+Config!$B$6,"OVER",IF(AC224&gt;=0.5+Config!$B$6,"UNDER","—")))</f>
        <v>OVER</v>
      </c>
      <c r="AE224" s="13" t="n">
        <f aca="false">IFERROR(Z224/G224,"")</f>
        <v>1.00057587939461</v>
      </c>
    </row>
    <row r="225" customFormat="false" ht="15" hidden="false" customHeight="false" outlineLevel="0" collapsed="false">
      <c r="A225" s="0" t="s">
        <v>988</v>
      </c>
      <c r="B225" s="0" t="s">
        <v>1015</v>
      </c>
      <c r="C225" s="0" t="s">
        <v>1377</v>
      </c>
      <c r="D225" s="0" t="s">
        <v>1019</v>
      </c>
      <c r="E225" s="0" t="s">
        <v>1107</v>
      </c>
      <c r="F225" s="0" t="n">
        <v>15.5</v>
      </c>
      <c r="G225" s="11" t="n">
        <f aca="false">IFERROR(INDEX(CHOOSE(MATCH($X225,{"K1","K2","K3","K12","K13","H1","H2","H3","H12","H13"},0),Calc!$V$2:$V$124,Calc!$AC$2:$AC$124,Calc!$AJ$2:$AJ$124,Calc!$AL$2:$AL$124,Calc!$AM$2:$AM$124,Calc!$W$2:$W$124,Calc!$AD$2:$AD$124,Calc!$AK$2:$AK$124,Calc!$AN$2:$AN$124,Calc!$AO$2:$AO$124),MATCH($W225,Calc!$A$2:$A$124,0)),"")</f>
        <v>16.9864991205712</v>
      </c>
      <c r="H225" s="11" t="n">
        <f aca="false">IF(G225="","",IF(LEFT($X225,1)="H",SQRT(G225*(IFERROR(INDEX(Calc!$AP$2:$AP$124,MATCH($W225,Calc!$A$2:$A$124,0)),0.5)*Config!$B$5+1-IFERROR(INDEX(Calc!$AP$2:$AP$124,MATCH($W225,Calc!$A$2:$A$124,0)),0.5))),SQRT(G225*Config!$B$5)))</f>
        <v>4.54576318750981</v>
      </c>
      <c r="I225" s="10" t="n">
        <f aca="false">IF(OR(F225="",G225="",N(H225)&lt;=0),"",1-NORMDIST(FLOOR(F225,1)+0.5,G225,H225,TRUE()))</f>
        <v>0.628168932375646</v>
      </c>
      <c r="J225" s="10" t="n">
        <f aca="false">IF(I225="","",NORMDIST(CEILING(F225,1)-0.5,G225,H225,TRUE()))</f>
        <v>0.371831067624354</v>
      </c>
      <c r="K225" s="10" t="n">
        <f aca="false">IF(I225="","",MAX(0,1-I225-J225))</f>
        <v>0</v>
      </c>
      <c r="L225" s="0" t="str">
        <f aca="false">IF(I225="","",IF(I225&gt;=0.5+Config!$B$6,"OVER",IF(J225&gt;=0.5+Config!$B$6,"UNDER","—")))</f>
        <v>OVER</v>
      </c>
      <c r="N225" s="0" t="n">
        <v>15.8</v>
      </c>
      <c r="O225" s="10" t="n">
        <v>0.8</v>
      </c>
      <c r="P225" s="10" t="n">
        <v>0.7</v>
      </c>
      <c r="Q225" s="10" t="n">
        <v>0.6</v>
      </c>
      <c r="R225" s="9" t="s">
        <v>1378</v>
      </c>
      <c r="S225" s="0" t="n">
        <v>1</v>
      </c>
      <c r="T225" s="0" t="str">
        <f aca="false">INDEX(Calc!$G$2:$G$124,MATCH($W225,Calc!$A$2:$A$124,0))&amp;" / "&amp;INDEX(Calc!$H$2:$H$124,MATCH($W225,Calc!$A$2:$A$124,0))</f>
        <v>Dust2 / Mirage</v>
      </c>
      <c r="U225" s="0" t="str">
        <f aca="false">TEXT(INDEX(Calc!$J$2:$J$124,MATCH($W225,Calc!$A$2:$A$124,0)),"0.0")&amp;" / "&amp;TEXT(INDEX(Calc!$K$2:$K$124,MATCH($W225,Calc!$A$2:$A$124,0)),"0.0")</f>
        <v>21.1 / 20.7</v>
      </c>
      <c r="V225" s="0" t="str">
        <f aca="false">IFERROR(INDEX(Calc!$AQ$2:$AQ$124,MATCH($W225,Calc!$A$2:$A$124,0)),"")</f>
        <v/>
      </c>
      <c r="W225" s="9" t="s">
        <v>1379</v>
      </c>
      <c r="X225" s="9" t="s">
        <v>1110</v>
      </c>
      <c r="Y225" s="0" t="str">
        <f aca="false">W225&amp;"|"&amp;X225</f>
        <v>jbs33yc6r5ra8l4|CS2 · VIT vs MGLZ|H12</v>
      </c>
      <c r="Z225" s="11" t="n">
        <f aca="false">IFERROR(INDEX(CHOOSE(MATCH($X225,{"K1","K2","K3","K12","K13","H1","H2","H3","H12","H13"},0),Calc!$BA$2:$BA$124,Calc!$BB$2:$BB$124,Calc!$BC$2:$BC$124,Calc!$BD$2:$BD$124,Calc!$BE$2:$BE$124,Calc!$BF$2:$BF$124,Calc!$BG$2:$BG$124,Calc!$BH$2:$BH$124,Calc!$BI$2:$BI$124,Calc!$BJ$2:$BJ$124),MATCH($W225,Calc!$A$2:$A$124,0)),"")</f>
        <v>16.9962730410372</v>
      </c>
      <c r="AA225" s="11" t="n">
        <f aca="false">IF(Z225="","",IF(LEFT($X225,1)="H",SQRT(Z225*(IFERROR(INDEX(Calc!$AP$2:$AP$124,MATCH($W225,Calc!$A$2:$A$124,0)),0.5)*Config!$B$5+1-IFERROR(INDEX(Calc!$AP$2:$AP$124,MATCH($W225,Calc!$A$2:$A$124,0)),0.5))),SQRT(Z225*Config!$B$5)))</f>
        <v>4.5470708006384</v>
      </c>
      <c r="AB225" s="10" t="n">
        <f aca="false">IF(OR(F225="",Z225="",N(AA225)&lt;=0),"",1-NORMDIST(FLOOR(F225,1)+0.5,Z225,AA225,TRUE()))</f>
        <v>0.62894598847438</v>
      </c>
      <c r="AC225" s="10" t="n">
        <f aca="false">IF(AB225="","",NORMDIST(CEILING(F225,1)-0.5,Z225,AA225,TRUE()))</f>
        <v>0.37105401152562</v>
      </c>
      <c r="AD225" s="0" t="str">
        <f aca="false">IF(AB225="","",IF(AB225&gt;=0.5+Config!$B$6,"OVER",IF(AC225&gt;=0.5+Config!$B$6,"UNDER","—")))</f>
        <v>OVER</v>
      </c>
      <c r="AE225" s="13" t="n">
        <f aca="false">IFERROR(Z225/G225,"")</f>
        <v>1.00057539345787</v>
      </c>
    </row>
    <row r="226" customFormat="false" ht="15" hidden="false" customHeight="false" outlineLevel="0" collapsed="false">
      <c r="A226" s="0" t="s">
        <v>988</v>
      </c>
      <c r="B226" s="0" t="s">
        <v>1015</v>
      </c>
      <c r="C226" s="0" t="s">
        <v>1377</v>
      </c>
      <c r="D226" s="0" t="s">
        <v>1019</v>
      </c>
      <c r="E226" s="0" t="s">
        <v>1111</v>
      </c>
      <c r="F226" s="0" t="n">
        <v>30.5</v>
      </c>
      <c r="G226" s="11" t="n">
        <f aca="false">IFERROR(INDEX(CHOOSE(MATCH($X226,{"K1","K2","K3","K12","K13","H1","H2","H3","H12","H13"},0),Calc!$V$2:$V$124,Calc!$AC$2:$AC$124,Calc!$AJ$2:$AJ$124,Calc!$AL$2:$AL$124,Calc!$AM$2:$AM$124,Calc!$W$2:$W$124,Calc!$AD$2:$AD$124,Calc!$AK$2:$AK$124,Calc!$AN$2:$AN$124,Calc!$AO$2:$AO$124),MATCH($W226,Calc!$A$2:$A$124,0)),"")</f>
        <v>31.3847983516484</v>
      </c>
      <c r="H226" s="11" t="n">
        <f aca="false">IF(G226="","",IF(LEFT($X226,1)="H",SQRT(G226*(IFERROR(INDEX(Calc!$AP$2:$AP$124,MATCH($W226,Calc!$A$2:$A$124,0)),0.5)*Config!$B$5+1-IFERROR(INDEX(Calc!$AP$2:$AP$124,MATCH($W226,Calc!$A$2:$A$124,0)),0.5))),SQRT(G226*Config!$B$5)))</f>
        <v>6.62862864341545</v>
      </c>
      <c r="I226" s="10" t="n">
        <f aca="false">IF(OR(F226="",G226="",N(H226)&lt;=0),"",1-NORMDIST(FLOOR(F226,1)+0.5,G226,H226,TRUE()))</f>
        <v>0.553093646671074</v>
      </c>
      <c r="J226" s="10" t="n">
        <f aca="false">IF(I226="","",NORMDIST(CEILING(F226,1)-0.5,G226,H226,TRUE()))</f>
        <v>0.446906353328926</v>
      </c>
      <c r="K226" s="10" t="n">
        <f aca="false">IF(I226="","",MAX(0,1-I226-J226))</f>
        <v>0</v>
      </c>
      <c r="L226" s="0" t="str">
        <f aca="false">IF(I226="","",IF(I226&gt;=0.5+Config!$B$6,"OVER",IF(J226&gt;=0.5+Config!$B$6,"UNDER","—")))</f>
        <v>OVER</v>
      </c>
      <c r="M226" s="0" t="n">
        <v>31.08</v>
      </c>
      <c r="N226" s="0" t="n">
        <v>28.6</v>
      </c>
      <c r="O226" s="10" t="n">
        <v>0</v>
      </c>
      <c r="P226" s="10" t="n">
        <v>0.2</v>
      </c>
      <c r="Q226" s="10" t="n">
        <v>0.33</v>
      </c>
      <c r="R226" s="9" t="s">
        <v>1380</v>
      </c>
      <c r="S226" s="0" t="n">
        <v>-7</v>
      </c>
      <c r="T226" s="0" t="str">
        <f aca="false">INDEX(Calc!$G$2:$G$124,MATCH($W226,Calc!$A$2:$A$124,0))&amp;" / "&amp;INDEX(Calc!$H$2:$H$124,MATCH($W226,Calc!$A$2:$A$124,0))</f>
        <v>Dust2 / Mirage</v>
      </c>
      <c r="U226" s="0" t="str">
        <f aca="false">TEXT(INDEX(Calc!$J$2:$J$124,MATCH($W226,Calc!$A$2:$A$124,0)),"0.0")&amp;" / "&amp;TEXT(INDEX(Calc!$K$2:$K$124,MATCH($W226,Calc!$A$2:$A$124,0)),"0.0")</f>
        <v>21.1 / 20.7</v>
      </c>
      <c r="V226" s="0" t="str">
        <f aca="false">IFERROR(INDEX(Calc!$AQ$2:$AQ$124,MATCH($W226,Calc!$A$2:$A$124,0)),"")</f>
        <v/>
      </c>
      <c r="W226" s="9" t="s">
        <v>1379</v>
      </c>
      <c r="X226" s="9" t="s">
        <v>1112</v>
      </c>
      <c r="Y226" s="0" t="str">
        <f aca="false">W226&amp;"|"&amp;X226</f>
        <v>jbs33yc6r5ra8l4|CS2 · VIT vs MGLZ|K12</v>
      </c>
      <c r="Z226" s="11" t="n">
        <f aca="false">IFERROR(INDEX(CHOOSE(MATCH($X226,{"K1","K2","K3","K12","K13","H1","H2","H3","H12","H13"},0),Calc!$BA$2:$BA$124,Calc!$BB$2:$BB$124,Calc!$BC$2:$BC$124,Calc!$BD$2:$BD$124,Calc!$BE$2:$BE$124,Calc!$BF$2:$BF$124,Calc!$BG$2:$BG$124,Calc!$BH$2:$BH$124,Calc!$BI$2:$BI$124,Calc!$BJ$2:$BJ$124),MATCH($W226,Calc!$A$2:$A$124,0)),"")</f>
        <v>31.4029236741976</v>
      </c>
      <c r="AA226" s="11" t="n">
        <f aca="false">IF(Z226="","",IF(LEFT($X226,1)="H",SQRT(Z226*(IFERROR(INDEX(Calc!$AP$2:$AP$124,MATCH($W226,Calc!$A$2:$A$124,0)),0.5)*Config!$B$5+1-IFERROR(INDEX(Calc!$AP$2:$AP$124,MATCH($W226,Calc!$A$2:$A$124,0)),0.5))),SQRT(Z226*Config!$B$5)))</f>
        <v>6.63054244718157</v>
      </c>
      <c r="AB226" s="10" t="n">
        <f aca="false">IF(OR(F226="",Z226="",N(AA226)&lt;=0),"",1-NORMDIST(FLOOR(F226,1)+0.5,Z226,AA226,TRUE()))</f>
        <v>0.554159100601346</v>
      </c>
      <c r="AC226" s="10" t="n">
        <f aca="false">IF(AB226="","",NORMDIST(CEILING(F226,1)-0.5,Z226,AA226,TRUE()))</f>
        <v>0.445840899398654</v>
      </c>
      <c r="AD226" s="0" t="str">
        <f aca="false">IF(AB226="","",IF(AB226&gt;=0.5+Config!$B$6,"OVER",IF(AC226&gt;=0.5+Config!$B$6,"UNDER","—")))</f>
        <v>OVER</v>
      </c>
      <c r="AE226" s="13" t="n">
        <f aca="false">IFERROR(Z226/G226,"")</f>
        <v>1.00057751916537</v>
      </c>
    </row>
    <row r="227" customFormat="false" ht="15" hidden="false" customHeight="false" outlineLevel="0" collapsed="false">
      <c r="A227" s="0" t="s">
        <v>988</v>
      </c>
      <c r="B227" s="0" t="s">
        <v>1015</v>
      </c>
      <c r="C227" s="0" t="s">
        <v>1381</v>
      </c>
      <c r="D227" s="0" t="s">
        <v>1019</v>
      </c>
      <c r="E227" s="0" t="s">
        <v>1107</v>
      </c>
      <c r="F227" s="0" t="n">
        <v>14.5</v>
      </c>
      <c r="G227" s="11" t="n">
        <f aca="false">IFERROR(INDEX(CHOOSE(MATCH($X227,{"K1","K2","K3","K12","K13","H1","H2","H3","H12","H13"},0),Calc!$V$2:$V$124,Calc!$AC$2:$AC$124,Calc!$AJ$2:$AJ$124,Calc!$AL$2:$AL$124,Calc!$AM$2:$AM$124,Calc!$W$2:$W$124,Calc!$AD$2:$AD$124,Calc!$AK$2:$AK$124,Calc!$AN$2:$AN$124,Calc!$AO$2:$AO$124),MATCH($W227,Calc!$A$2:$A$124,0)),"")</f>
        <v>13.8432929370909</v>
      </c>
      <c r="H227" s="11" t="n">
        <f aca="false">IF(G227="","",IF(LEFT($X227,1)="H",SQRT(G227*(IFERROR(INDEX(Calc!$AP$2:$AP$124,MATCH($W227,Calc!$A$2:$A$124,0)),0.5)*Config!$B$5+1-IFERROR(INDEX(Calc!$AP$2:$AP$124,MATCH($W227,Calc!$A$2:$A$124,0)),0.5))),SQRT(G227*Config!$B$5)))</f>
        <v>3.99258274461516</v>
      </c>
      <c r="I227" s="10" t="n">
        <f aca="false">IF(OR(F227="",G227="",N(H227)&lt;=0),"",1-NORMDIST(FLOOR(F227,1)+0.5,G227,H227,TRUE()))</f>
        <v>0.434675949724273</v>
      </c>
      <c r="J227" s="10" t="n">
        <f aca="false">IF(I227="","",NORMDIST(CEILING(F227,1)-0.5,G227,H227,TRUE()))</f>
        <v>0.565324050275727</v>
      </c>
      <c r="K227" s="10" t="n">
        <f aca="false">IF(I227="","",MAX(0,1-I227-J227))</f>
        <v>0</v>
      </c>
      <c r="L227" s="0" t="str">
        <f aca="false">IF(I227="","",IF(I227&gt;=0.5+Config!$B$6,"OVER",IF(J227&gt;=0.5+Config!$B$6,"UNDER","—")))</f>
        <v>UNDER</v>
      </c>
      <c r="N227" s="0" t="n">
        <v>16</v>
      </c>
      <c r="O227" s="10" t="n">
        <v>0.4</v>
      </c>
      <c r="P227" s="10" t="n">
        <v>0.6</v>
      </c>
      <c r="Q227" s="10" t="n">
        <v>0.53</v>
      </c>
      <c r="R227" s="9" t="s">
        <v>1372</v>
      </c>
      <c r="S227" s="0" t="n">
        <v>-1</v>
      </c>
      <c r="T227" s="0" t="str">
        <f aca="false">INDEX(Calc!$G$2:$G$124,MATCH($W227,Calc!$A$2:$A$124,0))&amp;" / "&amp;INDEX(Calc!$H$2:$H$124,MATCH($W227,Calc!$A$2:$A$124,0))</f>
        <v>Dust2 / Mirage</v>
      </c>
      <c r="U227" s="0" t="str">
        <f aca="false">TEXT(INDEX(Calc!$J$2:$J$124,MATCH($W227,Calc!$A$2:$A$124,0)),"0.0")&amp;" / "&amp;TEXT(INDEX(Calc!$K$2:$K$124,MATCH($W227,Calc!$A$2:$A$124,0)),"0.0")</f>
        <v>21.1 / 20.7</v>
      </c>
      <c r="V227" s="0" t="str">
        <f aca="false">IFERROR(INDEX(Calc!$AQ$2:$AQ$124,MATCH($W227,Calc!$A$2:$A$124,0)),"")</f>
        <v/>
      </c>
      <c r="W227" s="9" t="s">
        <v>1382</v>
      </c>
      <c r="X227" s="9" t="s">
        <v>1110</v>
      </c>
      <c r="Y227" s="0" t="str">
        <f aca="false">W227&amp;"|"&amp;X227</f>
        <v>6vanqemhsqez4mc|CS2 · VIT vs MGLZ|H12</v>
      </c>
      <c r="Z227" s="11" t="n">
        <f aca="false">IFERROR(INDEX(CHOOSE(MATCH($X227,{"K1","K2","K3","K12","K13","H1","H2","H3","H12","H13"},0),Calc!$BA$2:$BA$124,Calc!$BB$2:$BB$124,Calc!$BC$2:$BC$124,Calc!$BD$2:$BD$124,Calc!$BE$2:$BE$124,Calc!$BF$2:$BF$124,Calc!$BG$2:$BG$124,Calc!$BH$2:$BH$124,Calc!$BI$2:$BI$124,Calc!$BJ$2:$BJ$124),MATCH($W227,Calc!$A$2:$A$124,0)),"")</f>
        <v>13.8512924442883</v>
      </c>
      <c r="AA227" s="11" t="n">
        <f aca="false">IF(Z227="","",IF(LEFT($X227,1)="H",SQRT(Z227*(IFERROR(INDEX(Calc!$AP$2:$AP$124,MATCH($W227,Calc!$A$2:$A$124,0)),0.5)*Config!$B$5+1-IFERROR(INDEX(Calc!$AP$2:$AP$124,MATCH($W227,Calc!$A$2:$A$124,0)),0.5))),SQRT(Z227*Config!$B$5)))</f>
        <v>3.99373615810729</v>
      </c>
      <c r="AB227" s="10" t="n">
        <f aca="false">IF(OR(F227="",Z227="",N(AA227)&lt;=0),"",1-NORMDIST(FLOOR(F227,1)+0.5,Z227,AA227,TRUE()))</f>
        <v>0.435483131886304</v>
      </c>
      <c r="AC227" s="10" t="n">
        <f aca="false">IF(AB227="","",NORMDIST(CEILING(F227,1)-0.5,Z227,AA227,TRUE()))</f>
        <v>0.564516868113697</v>
      </c>
      <c r="AD227" s="0" t="str">
        <f aca="false">IF(AB227="","",IF(AB227&gt;=0.5+Config!$B$6,"OVER",IF(AC227&gt;=0.5+Config!$B$6,"UNDER","—")))</f>
        <v>UNDER</v>
      </c>
      <c r="AE227" s="13" t="n">
        <f aca="false">IFERROR(Z227/G227,"")</f>
        <v>1.00057786158494</v>
      </c>
    </row>
    <row r="228" customFormat="false" ht="15" hidden="false" customHeight="false" outlineLevel="0" collapsed="false">
      <c r="A228" s="0" t="s">
        <v>988</v>
      </c>
      <c r="B228" s="0" t="s">
        <v>1015</v>
      </c>
      <c r="C228" s="0" t="s">
        <v>1381</v>
      </c>
      <c r="D228" s="0" t="s">
        <v>1019</v>
      </c>
      <c r="E228" s="0" t="s">
        <v>1111</v>
      </c>
      <c r="F228" s="0" t="n">
        <v>35.5</v>
      </c>
      <c r="G228" s="11" t="n">
        <f aca="false">IFERROR(INDEX(CHOOSE(MATCH($X228,{"K1","K2","K3","K12","K13","H1","H2","H3","H12","H13"},0),Calc!$V$2:$V$124,Calc!$AC$2:$AC$124,Calc!$AJ$2:$AJ$124,Calc!$AL$2:$AL$124,Calc!$AM$2:$AM$124,Calc!$W$2:$W$124,Calc!$AD$2:$AD$124,Calc!$AK$2:$AK$124,Calc!$AN$2:$AN$124,Calc!$AO$2:$AO$124),MATCH($W228,Calc!$A$2:$A$124,0)),"")</f>
        <v>36.5470703296703</v>
      </c>
      <c r="H228" s="11" t="n">
        <f aca="false">IF(G228="","",IF(LEFT($X228,1)="H",SQRT(G228*(IFERROR(INDEX(Calc!$AP$2:$AP$124,MATCH($W228,Calc!$A$2:$A$124,0)),0.5)*Config!$B$5+1-IFERROR(INDEX(Calc!$AP$2:$AP$124,MATCH($W228,Calc!$A$2:$A$124,0)),0.5))),SQRT(G228*Config!$B$5)))</f>
        <v>7.15303421364238</v>
      </c>
      <c r="I228" s="10" t="n">
        <f aca="false">IF(OR(F228="",G228="",N(H228)&lt;=0),"",1-NORMDIST(FLOOR(F228,1)+0.5,G228,H228,TRUE()))</f>
        <v>0.55818979915284</v>
      </c>
      <c r="J228" s="10" t="n">
        <f aca="false">IF(I228="","",NORMDIST(CEILING(F228,1)-0.5,G228,H228,TRUE()))</f>
        <v>0.44181020084716</v>
      </c>
      <c r="K228" s="10" t="n">
        <f aca="false">IF(I228="","",MAX(0,1-I228-J228))</f>
        <v>0</v>
      </c>
      <c r="L228" s="0" t="str">
        <f aca="false">IF(I228="","",IF(I228&gt;=0.5+Config!$B$6,"OVER",IF(J228&gt;=0.5+Config!$B$6,"UNDER","—")))</f>
        <v>OVER</v>
      </c>
      <c r="M228" s="0" t="n">
        <v>37</v>
      </c>
      <c r="N228" s="0" t="n">
        <v>33.5</v>
      </c>
      <c r="O228" s="10" t="n">
        <v>0.2</v>
      </c>
      <c r="P228" s="10" t="n">
        <v>0.4</v>
      </c>
      <c r="Q228" s="10" t="n">
        <v>0.4</v>
      </c>
      <c r="R228" s="9" t="s">
        <v>1383</v>
      </c>
      <c r="S228" s="0" t="n">
        <v>-1</v>
      </c>
      <c r="T228" s="0" t="str">
        <f aca="false">INDEX(Calc!$G$2:$G$124,MATCH($W228,Calc!$A$2:$A$124,0))&amp;" / "&amp;INDEX(Calc!$H$2:$H$124,MATCH($W228,Calc!$A$2:$A$124,0))</f>
        <v>Dust2 / Mirage</v>
      </c>
      <c r="U228" s="0" t="str">
        <f aca="false">TEXT(INDEX(Calc!$J$2:$J$124,MATCH($W228,Calc!$A$2:$A$124,0)),"0.0")&amp;" / "&amp;TEXT(INDEX(Calc!$K$2:$K$124,MATCH($W228,Calc!$A$2:$A$124,0)),"0.0")</f>
        <v>21.1 / 20.7</v>
      </c>
      <c r="V228" s="0" t="str">
        <f aca="false">IFERROR(INDEX(Calc!$AQ$2:$AQ$124,MATCH($W228,Calc!$A$2:$A$124,0)),"")</f>
        <v/>
      </c>
      <c r="W228" s="9" t="s">
        <v>1382</v>
      </c>
      <c r="X228" s="9" t="s">
        <v>1112</v>
      </c>
      <c r="Y228" s="0" t="str">
        <f aca="false">W228&amp;"|"&amp;X228</f>
        <v>6vanqemhsqez4mc|CS2 · VIT vs MGLZ|K12</v>
      </c>
      <c r="Z228" s="11" t="n">
        <f aca="false">IFERROR(INDEX(CHOOSE(MATCH($X228,{"K1","K2","K3","K12","K13","H1","H2","H3","H12","H13"},0),Calc!$BA$2:$BA$124,Calc!$BB$2:$BB$124,Calc!$BC$2:$BC$124,Calc!$BD$2:$BD$124,Calc!$BE$2:$BE$124,Calc!$BF$2:$BF$124,Calc!$BG$2:$BG$124,Calc!$BH$2:$BH$124,Calc!$BI$2:$BI$124,Calc!$BJ$2:$BJ$124),MATCH($W228,Calc!$A$2:$A$124,0)),"")</f>
        <v>36.568253297129</v>
      </c>
      <c r="AA228" s="11" t="n">
        <f aca="false">IF(Z228="","",IF(LEFT($X228,1)="H",SQRT(Z228*(IFERROR(INDEX(Calc!$AP$2:$AP$124,MATCH($W228,Calc!$A$2:$A$124,0)),0.5)*Config!$B$5+1-IFERROR(INDEX(Calc!$AP$2:$AP$124,MATCH($W228,Calc!$A$2:$A$124,0)),0.5))),SQRT(Z228*Config!$B$5)))</f>
        <v>7.15510689060482</v>
      </c>
      <c r="AB228" s="10" t="n">
        <f aca="false">IF(OR(F228="",Z228="",N(AA228)&lt;=0),"",1-NORMDIST(FLOOR(F228,1)+0.5,Z228,AA228,TRUE()))</f>
        <v>0.559341312897731</v>
      </c>
      <c r="AC228" s="10" t="n">
        <f aca="false">IF(AB228="","",NORMDIST(CEILING(F228,1)-0.5,Z228,AA228,TRUE()))</f>
        <v>0.440658687102269</v>
      </c>
      <c r="AD228" s="0" t="str">
        <f aca="false">IF(AB228="","",IF(AB228&gt;=0.5+Config!$B$6,"OVER",IF(AC228&gt;=0.5+Config!$B$6,"UNDER","—")))</f>
        <v>OVER</v>
      </c>
      <c r="AE228" s="13" t="n">
        <f aca="false">IFERROR(Z228/G228,"")</f>
        <v>1.00057960781172</v>
      </c>
    </row>
    <row r="229" customFormat="false" ht="15" hidden="false" customHeight="false" outlineLevel="0" collapsed="false">
      <c r="A229" s="0" t="s">
        <v>988</v>
      </c>
      <c r="B229" s="0" t="s">
        <v>1066</v>
      </c>
      <c r="C229" s="0" t="s">
        <v>1384</v>
      </c>
      <c r="D229" s="0" t="s">
        <v>1071</v>
      </c>
      <c r="E229" s="0" t="s">
        <v>1107</v>
      </c>
      <c r="F229" s="0" t="n">
        <v>14.5</v>
      </c>
      <c r="G229" s="11" t="n">
        <f aca="false">IFERROR(INDEX(CHOOSE(MATCH($X229,{"K1","K2","K3","K12","K13","H1","H2","H3","H12","H13"},0),Calc!$V$2:$V$124,Calc!$AC$2:$AC$124,Calc!$AJ$2:$AJ$124,Calc!$AL$2:$AL$124,Calc!$AM$2:$AM$124,Calc!$W$2:$W$124,Calc!$AD$2:$AD$124,Calc!$AK$2:$AK$124,Calc!$AN$2:$AN$124,Calc!$AO$2:$AO$124),MATCH($W229,Calc!$A$2:$A$124,0)),"")</f>
        <v>13.9067733333333</v>
      </c>
      <c r="H229" s="11" t="n">
        <f aca="false">IF(G229="","",IF(LEFT($X229,1)="H",SQRT(G229*(IFERROR(INDEX(Calc!$AP$2:$AP$124,MATCH($W229,Calc!$A$2:$A$124,0)),0.5)*Config!$B$5+1-IFERROR(INDEX(Calc!$AP$2:$AP$124,MATCH($W229,Calc!$A$2:$A$124,0)),0.5))),SQRT(G229*Config!$B$5)))</f>
        <v>4.08784716276168</v>
      </c>
      <c r="I229" s="10" t="n">
        <f aca="false">IF(OR(F229="",G229="",N(H229)&lt;=0),"",1-NORMDIST(FLOOR(F229,1)+0.5,G229,H229,TRUE()))</f>
        <v>0.442308229345072</v>
      </c>
      <c r="J229" s="10" t="n">
        <f aca="false">IF(I229="","",NORMDIST(CEILING(F229,1)-0.5,G229,H229,TRUE()))</f>
        <v>0.557691770654928</v>
      </c>
      <c r="K229" s="10" t="n">
        <f aca="false">IF(I229="","",MAX(0,1-I229-J229))</f>
        <v>0</v>
      </c>
      <c r="L229" s="0" t="str">
        <f aca="false">IF(I229="","",IF(I229&gt;=0.5+Config!$B$6,"OVER",IF(J229&gt;=0.5+Config!$B$6,"UNDER","—")))</f>
        <v>UNDER</v>
      </c>
      <c r="N229" s="0" t="n">
        <v>14.6</v>
      </c>
      <c r="O229" s="10" t="n">
        <v>0.6</v>
      </c>
      <c r="P229" s="10" t="n">
        <v>0.5</v>
      </c>
      <c r="Q229" s="10" t="n">
        <v>0.33</v>
      </c>
      <c r="R229" s="9" t="s">
        <v>1188</v>
      </c>
      <c r="S229" s="0" t="n">
        <v>1</v>
      </c>
      <c r="T229" s="0" t="str">
        <f aca="false">INDEX(Calc!$G$2:$G$124,MATCH($W229,Calc!$A$2:$A$124,0))&amp;" / "&amp;INDEX(Calc!$H$2:$H$124,MATCH($W229,Calc!$A$2:$A$124,0))</f>
        <v>Dust2 / Mirage</v>
      </c>
      <c r="U229" s="0" t="str">
        <f aca="false">TEXT(INDEX(Calc!$J$2:$J$124,MATCH($W229,Calc!$A$2:$A$124,0)),"0.0")&amp;" / "&amp;TEXT(INDEX(Calc!$K$2:$K$124,MATCH($W229,Calc!$A$2:$A$124,0)),"0.0")</f>
        <v>21.5 / 21.5</v>
      </c>
      <c r="V229" s="0" t="str">
        <f aca="false">IFERROR(INDEX(Calc!$AQ$2:$AQ$124,MATCH($W229,Calc!$A$2:$A$124,0)),"")</f>
        <v/>
      </c>
      <c r="W229" s="9" t="s">
        <v>1385</v>
      </c>
      <c r="X229" s="9" t="s">
        <v>1110</v>
      </c>
      <c r="Y229" s="0" t="str">
        <f aca="false">W229&amp;"|"&amp;X229</f>
        <v>x1hr6fp37qryd4d|CS2 · paiN vs BST|H12</v>
      </c>
      <c r="Z229" s="11" t="n">
        <f aca="false">IFERROR(INDEX(CHOOSE(MATCH($X229,{"K1","K2","K3","K12","K13","H1","H2","H3","H12","H13"},0),Calc!$BA$2:$BA$124,Calc!$BB$2:$BB$124,Calc!$BC$2:$BC$124,Calc!$BD$2:$BD$124,Calc!$BE$2:$BE$124,Calc!$BF$2:$BF$124,Calc!$BG$2:$BG$124,Calc!$BH$2:$BH$124,Calc!$BI$2:$BI$124,Calc!$BJ$2:$BJ$124),MATCH($W229,Calc!$A$2:$A$124,0)),"")</f>
        <v>13.9089555688598</v>
      </c>
      <c r="AA229" s="11" t="n">
        <f aca="false">IF(Z229="","",IF(LEFT($X229,1)="H",SQRT(Z229*(IFERROR(INDEX(Calc!$AP$2:$AP$124,MATCH($W229,Calc!$A$2:$A$124,0)),0.5)*Config!$B$5+1-IFERROR(INDEX(Calc!$AP$2:$AP$124,MATCH($W229,Calc!$A$2:$A$124,0)),0.5))),SQRT(Z229*Config!$B$5)))</f>
        <v>4.0881678804136</v>
      </c>
      <c r="AB229" s="10" t="n">
        <f aca="false">IF(OR(F229="",Z229="",N(AA229)&lt;=0),"",1-NORMDIST(FLOOR(F229,1)+0.5,Z229,AA229,TRUE()))</f>
        <v>0.442523454113088</v>
      </c>
      <c r="AC229" s="10" t="n">
        <f aca="false">IF(AB229="","",NORMDIST(CEILING(F229,1)-0.5,Z229,AA229,TRUE()))</f>
        <v>0.557476545886912</v>
      </c>
      <c r="AD229" s="0" t="str">
        <f aca="false">IF(AB229="","",IF(AB229&gt;=0.5+Config!$B$6,"OVER",IF(AC229&gt;=0.5+Config!$B$6,"UNDER","—")))</f>
        <v>UNDER</v>
      </c>
      <c r="AE229" s="13" t="n">
        <f aca="false">IFERROR(Z229/G229,"")</f>
        <v>1.00015691889658</v>
      </c>
    </row>
    <row r="230" customFormat="false" ht="15" hidden="false" customHeight="false" outlineLevel="0" collapsed="false">
      <c r="A230" s="0" t="s">
        <v>988</v>
      </c>
      <c r="B230" s="0" t="s">
        <v>1066</v>
      </c>
      <c r="C230" s="0" t="s">
        <v>1384</v>
      </c>
      <c r="D230" s="0" t="s">
        <v>1071</v>
      </c>
      <c r="E230" s="0" t="s">
        <v>1111</v>
      </c>
      <c r="F230" s="0" t="n">
        <v>29</v>
      </c>
      <c r="G230" s="11" t="n">
        <f aca="false">IFERROR(INDEX(CHOOSE(MATCH($X230,{"K1","K2","K3","K12","K13","H1","H2","H3","H12","H13"},0),Calc!$V$2:$V$124,Calc!$AC$2:$AC$124,Calc!$AJ$2:$AJ$124,Calc!$AL$2:$AL$124,Calc!$AM$2:$AM$124,Calc!$W$2:$W$124,Calc!$AD$2:$AD$124,Calc!$AK$2:$AK$124,Calc!$AN$2:$AN$124,Calc!$AO$2:$AO$124),MATCH($W230,Calc!$A$2:$A$124,0)),"")</f>
        <v>27.5916666666667</v>
      </c>
      <c r="H230" s="11" t="n">
        <f aca="false">IF(G230="","",IF(LEFT($X230,1)="H",SQRT(G230*(IFERROR(INDEX(Calc!$AP$2:$AP$124,MATCH($W230,Calc!$A$2:$A$124,0)),0.5)*Config!$B$5+1-IFERROR(INDEX(Calc!$AP$2:$AP$124,MATCH($W230,Calc!$A$2:$A$124,0)),0.5))),SQRT(G230*Config!$B$5)))</f>
        <v>6.2151696142047</v>
      </c>
      <c r="I230" s="10" t="n">
        <f aca="false">IF(OR(F230="",G230="",N(H230)&lt;=0),"",1-NORMDIST(FLOOR(F230,1)+0.5,G230,H230,TRUE()))</f>
        <v>0.379404769669159</v>
      </c>
      <c r="J230" s="10" t="n">
        <f aca="false">IF(I230="","",NORMDIST(CEILING(F230,1)-0.5,G230,H230,TRUE()))</f>
        <v>0.558097641669844</v>
      </c>
      <c r="K230" s="10" t="n">
        <f aca="false">IF(I230="","",MAX(0,1-I230-J230))</f>
        <v>0.0624975886609975</v>
      </c>
      <c r="L230" s="0" t="str">
        <f aca="false">IF(I230="","",IF(I230&gt;=0.5+Config!$B$6,"OVER",IF(J230&gt;=0.5+Config!$B$6,"UNDER","—")))</f>
        <v>UNDER</v>
      </c>
      <c r="N230" s="0" t="n">
        <v>30.1</v>
      </c>
      <c r="O230" s="10" t="n">
        <v>0.6</v>
      </c>
      <c r="P230" s="10" t="n">
        <v>0.5</v>
      </c>
      <c r="Q230" s="10" t="n">
        <v>0.47</v>
      </c>
      <c r="R230" s="9" t="s">
        <v>1188</v>
      </c>
      <c r="S230" s="0" t="n">
        <v>1</v>
      </c>
      <c r="T230" s="0" t="str">
        <f aca="false">INDEX(Calc!$G$2:$G$124,MATCH($W230,Calc!$A$2:$A$124,0))&amp;" / "&amp;INDEX(Calc!$H$2:$H$124,MATCH($W230,Calc!$A$2:$A$124,0))</f>
        <v>Dust2 / Mirage</v>
      </c>
      <c r="U230" s="0" t="str">
        <f aca="false">TEXT(INDEX(Calc!$J$2:$J$124,MATCH($W230,Calc!$A$2:$A$124,0)),"0.0")&amp;" / "&amp;TEXT(INDEX(Calc!$K$2:$K$124,MATCH($W230,Calc!$A$2:$A$124,0)),"0.0")</f>
        <v>21.5 / 21.5</v>
      </c>
      <c r="V230" s="0" t="str">
        <f aca="false">IFERROR(INDEX(Calc!$AQ$2:$AQ$124,MATCH($W230,Calc!$A$2:$A$124,0)),"")</f>
        <v/>
      </c>
      <c r="W230" s="9" t="s">
        <v>1385</v>
      </c>
      <c r="X230" s="9" t="s">
        <v>1112</v>
      </c>
      <c r="Y230" s="0" t="str">
        <f aca="false">W230&amp;"|"&amp;X230</f>
        <v>x1hr6fp37qryd4d|CS2 · paiN vs BST|K12</v>
      </c>
      <c r="Z230" s="11" t="n">
        <f aca="false">IFERROR(INDEX(CHOOSE(MATCH($X230,{"K1","K2","K3","K12","K13","H1","H2","H3","H12","H13"},0),Calc!$BA$2:$BA$124,Calc!$BB$2:$BB$124,Calc!$BC$2:$BC$124,Calc!$BD$2:$BD$124,Calc!$BE$2:$BE$124,Calc!$BF$2:$BF$124,Calc!$BG$2:$BG$124,Calc!$BH$2:$BH$124,Calc!$BI$2:$BI$124,Calc!$BJ$2:$BJ$124),MATCH($W230,Calc!$A$2:$A$124,0)),"")</f>
        <v>27.6014983629522</v>
      </c>
      <c r="AA230" s="11" t="n">
        <f aca="false">IF(Z230="","",IF(LEFT($X230,1)="H",SQRT(Z230*(IFERROR(INDEX(Calc!$AP$2:$AP$124,MATCH($W230,Calc!$A$2:$A$124,0)),0.5)*Config!$B$5+1-IFERROR(INDEX(Calc!$AP$2:$AP$124,MATCH($W230,Calc!$A$2:$A$124,0)),0.5))),SQRT(Z230*Config!$B$5)))</f>
        <v>6.21627683651018</v>
      </c>
      <c r="AB230" s="10" t="n">
        <f aca="false">IF(OR(F230="",Z230="",N(AA230)&lt;=0),"",1-NORMDIST(FLOOR(F230,1)+0.5,Z230,AA230,TRUE()))</f>
        <v>0.380027655917138</v>
      </c>
      <c r="AC230" s="10" t="n">
        <f aca="false">IF(AB230="","",NORMDIST(CEILING(F230,1)-0.5,Z230,AA230,TRUE()))</f>
        <v>0.557463026123068</v>
      </c>
      <c r="AD230" s="0" t="str">
        <f aca="false">IF(AB230="","",IF(AB230&gt;=0.5+Config!$B$6,"OVER",IF(AC230&gt;=0.5+Config!$B$6,"UNDER","—")))</f>
        <v>UNDER</v>
      </c>
      <c r="AE230" s="13" t="n">
        <f aca="false">IFERROR(Z230/G230,"")</f>
        <v>1.00035632846701</v>
      </c>
    </row>
    <row r="231" customFormat="false" ht="15" hidden="false" customHeight="false" outlineLevel="0" collapsed="false">
      <c r="A231" s="0" t="s">
        <v>988</v>
      </c>
      <c r="B231" s="0" t="s">
        <v>1066</v>
      </c>
      <c r="C231" s="0" t="s">
        <v>1386</v>
      </c>
      <c r="D231" s="0" t="s">
        <v>1071</v>
      </c>
      <c r="E231" s="0" t="s">
        <v>1107</v>
      </c>
      <c r="F231" s="0" t="n">
        <v>9.5</v>
      </c>
      <c r="G231" s="11" t="n">
        <f aca="false">IFERROR(INDEX(CHOOSE(MATCH($X231,{"K1","K2","K3","K12","K13","H1","H2","H3","H12","H13"},0),Calc!$V$2:$V$124,Calc!$AC$2:$AC$124,Calc!$AJ$2:$AJ$124,Calc!$AL$2:$AL$124,Calc!$AM$2:$AM$124,Calc!$W$2:$W$124,Calc!$AD$2:$AD$124,Calc!$AK$2:$AK$124,Calc!$AN$2:$AN$124,Calc!$AO$2:$AO$124),MATCH($W231,Calc!$A$2:$A$124,0)),"")</f>
        <v>10.22196</v>
      </c>
      <c r="H231" s="11" t="n">
        <f aca="false">IF(G231="","",IF(LEFT($X231,1)="H",SQRT(G231*(IFERROR(INDEX(Calc!$AP$2:$AP$124,MATCH($W231,Calc!$A$2:$A$124,0)),0.5)*Config!$B$5+1-IFERROR(INDEX(Calc!$AP$2:$AP$124,MATCH($W231,Calc!$A$2:$A$124,0)),0.5))),SQRT(G231*Config!$B$5)))</f>
        <v>3.43178338068824</v>
      </c>
      <c r="I231" s="10" t="n">
        <f aca="false">IF(OR(F231="",G231="",N(H231)&lt;=0),"",1-NORMDIST(FLOOR(F231,1)+0.5,G231,H231,TRUE()))</f>
        <v>0.58331233596927</v>
      </c>
      <c r="J231" s="10" t="n">
        <f aca="false">IF(I231="","",NORMDIST(CEILING(F231,1)-0.5,G231,H231,TRUE()))</f>
        <v>0.41668766403073</v>
      </c>
      <c r="K231" s="10" t="n">
        <f aca="false">IF(I231="","",MAX(0,1-I231-J231))</f>
        <v>0</v>
      </c>
      <c r="L231" s="0" t="str">
        <f aca="false">IF(I231="","",IF(I231&gt;=0.5+Config!$B$6,"OVER",IF(J231&gt;=0.5+Config!$B$6,"UNDER","—")))</f>
        <v>OVER</v>
      </c>
      <c r="N231" s="0" t="n">
        <v>11.2</v>
      </c>
      <c r="O231" s="10" t="n">
        <v>0.4</v>
      </c>
      <c r="P231" s="10" t="n">
        <v>0.5</v>
      </c>
      <c r="Q231" s="10" t="n">
        <v>0.53</v>
      </c>
      <c r="R231" s="9" t="s">
        <v>1116</v>
      </c>
      <c r="S231" s="0" t="n">
        <v>2</v>
      </c>
      <c r="T231" s="0" t="str">
        <f aca="false">INDEX(Calc!$G$2:$G$124,MATCH($W231,Calc!$A$2:$A$124,0))&amp;" / "&amp;INDEX(Calc!$H$2:$H$124,MATCH($W231,Calc!$A$2:$A$124,0))</f>
        <v>Dust2 / Mirage</v>
      </c>
      <c r="U231" s="0" t="str">
        <f aca="false">TEXT(INDEX(Calc!$J$2:$J$124,MATCH($W231,Calc!$A$2:$A$124,0)),"0.0")&amp;" / "&amp;TEXT(INDEX(Calc!$K$2:$K$124,MATCH($W231,Calc!$A$2:$A$124,0)),"0.0")</f>
        <v>21.5 / 21.5</v>
      </c>
      <c r="V231" s="0" t="str">
        <f aca="false">IFERROR(INDEX(Calc!$AQ$2:$AQ$124,MATCH($W231,Calc!$A$2:$A$124,0)),"")</f>
        <v/>
      </c>
      <c r="W231" s="9" t="s">
        <v>1387</v>
      </c>
      <c r="X231" s="9" t="s">
        <v>1110</v>
      </c>
      <c r="Y231" s="0" t="str">
        <f aca="false">W231&amp;"|"&amp;X231</f>
        <v>px5zu5wf6psxdo7|CS2 · paiN vs BST|H12</v>
      </c>
      <c r="Z231" s="11" t="n">
        <f aca="false">IFERROR(INDEX(CHOOSE(MATCH($X231,{"K1","K2","K3","K12","K13","H1","H2","H3","H12","H13"},0),Calc!$BA$2:$BA$124,Calc!$BB$2:$BB$124,Calc!$BC$2:$BC$124,Calc!$BD$2:$BD$124,Calc!$BE$2:$BE$124,Calc!$BF$2:$BF$124,Calc!$BG$2:$BG$124,Calc!$BH$2:$BH$124,Calc!$BI$2:$BI$124,Calc!$BJ$2:$BJ$124),MATCH($W231,Calc!$A$2:$A$124,0)),"")</f>
        <v>10.2241207797619</v>
      </c>
      <c r="AA231" s="11" t="n">
        <f aca="false">IF(Z231="","",IF(LEFT($X231,1)="H",SQRT(Z231*(IFERROR(INDEX(Calc!$AP$2:$AP$124,MATCH($W231,Calc!$A$2:$A$124,0)),0.5)*Config!$B$5+1-IFERROR(INDEX(Calc!$AP$2:$AP$124,MATCH($W231,Calc!$A$2:$A$124,0)),0.5))),SQRT(Z231*Config!$B$5)))</f>
        <v>3.43214607709106</v>
      </c>
      <c r="AB231" s="10" t="n">
        <f aca="false">IF(OR(F231="",Z231="",N(AA231)&lt;=0),"",1-NORMDIST(FLOOR(F231,1)+0.5,Z231,AA231,TRUE()))</f>
        <v>0.583549311436889</v>
      </c>
      <c r="AC231" s="10" t="n">
        <f aca="false">IF(AB231="","",NORMDIST(CEILING(F231,1)-0.5,Z231,AA231,TRUE()))</f>
        <v>0.416450688563111</v>
      </c>
      <c r="AD231" s="0" t="str">
        <f aca="false">IF(AB231="","",IF(AB231&gt;=0.5+Config!$B$6,"OVER",IF(AC231&gt;=0.5+Config!$B$6,"UNDER","—")))</f>
        <v>OVER</v>
      </c>
      <c r="AE231" s="13" t="n">
        <f aca="false">IFERROR(Z231/G231,"")</f>
        <v>1.0002113860514</v>
      </c>
    </row>
    <row r="232" customFormat="false" ht="15" hidden="false" customHeight="false" outlineLevel="0" collapsed="false">
      <c r="A232" s="0" t="s">
        <v>988</v>
      </c>
      <c r="B232" s="0" t="s">
        <v>1066</v>
      </c>
      <c r="C232" s="0" t="s">
        <v>1386</v>
      </c>
      <c r="D232" s="0" t="s">
        <v>1071</v>
      </c>
      <c r="E232" s="0" t="s">
        <v>1111</v>
      </c>
      <c r="F232" s="0" t="n">
        <v>27</v>
      </c>
      <c r="G232" s="11" t="n">
        <f aca="false">IFERROR(INDEX(CHOOSE(MATCH($X232,{"K1","K2","K3","K12","K13","H1","H2","H3","H12","H13"},0),Calc!$V$2:$V$124,Calc!$AC$2:$AC$124,Calc!$AJ$2:$AJ$124,Calc!$AL$2:$AL$124,Calc!$AM$2:$AM$124,Calc!$W$2:$W$124,Calc!$AD$2:$AD$124,Calc!$AK$2:$AK$124,Calc!$AN$2:$AN$124,Calc!$AO$2:$AO$124),MATCH($W232,Calc!$A$2:$A$124,0)),"")</f>
        <v>26.875</v>
      </c>
      <c r="H232" s="11" t="n">
        <f aca="false">IF(G232="","",IF(LEFT($X232,1)="H",SQRT(G232*(IFERROR(INDEX(Calc!$AP$2:$AP$124,MATCH($W232,Calc!$A$2:$A$124,0)),0.5)*Config!$B$5+1-IFERROR(INDEX(Calc!$AP$2:$AP$124,MATCH($W232,Calc!$A$2:$A$124,0)),0.5))),SQRT(G232*Config!$B$5)))</f>
        <v>6.13392207319265</v>
      </c>
      <c r="I232" s="10" t="n">
        <f aca="false">IF(OR(F232="",G232="",N(H232)&lt;=0),"",1-NORMDIST(FLOOR(F232,1)+0.5,G232,H232,TRUE()))</f>
        <v>0.459421043925752</v>
      </c>
      <c r="J232" s="10" t="n">
        <f aca="false">IF(I232="","",NORMDIST(CEILING(F232,1)-0.5,G232,H232,TRUE()))</f>
        <v>0.475625674058042</v>
      </c>
      <c r="K232" s="10" t="n">
        <f aca="false">IF(I232="","",MAX(0,1-I232-J232))</f>
        <v>0.0649532820162056</v>
      </c>
      <c r="L232" s="0" t="str">
        <f aca="false">IF(I232="","",IF(I232&gt;=0.5+Config!$B$6,"OVER",IF(J232&gt;=0.5+Config!$B$6,"UNDER","—")))</f>
        <v>—</v>
      </c>
      <c r="N232" s="0" t="n">
        <v>29.2</v>
      </c>
      <c r="O232" s="10" t="n">
        <v>0.4</v>
      </c>
      <c r="P232" s="10" t="n">
        <v>0.5</v>
      </c>
      <c r="Q232" s="10" t="n">
        <v>0.4</v>
      </c>
      <c r="R232" s="9" t="s">
        <v>1114</v>
      </c>
      <c r="S232" s="0" t="n">
        <v>2</v>
      </c>
      <c r="T232" s="0" t="str">
        <f aca="false">INDEX(Calc!$G$2:$G$124,MATCH($W232,Calc!$A$2:$A$124,0))&amp;" / "&amp;INDEX(Calc!$H$2:$H$124,MATCH($W232,Calc!$A$2:$A$124,0))</f>
        <v>Dust2 / Mirage</v>
      </c>
      <c r="U232" s="0" t="str">
        <f aca="false">TEXT(INDEX(Calc!$J$2:$J$124,MATCH($W232,Calc!$A$2:$A$124,0)),"0.0")&amp;" / "&amp;TEXT(INDEX(Calc!$K$2:$K$124,MATCH($W232,Calc!$A$2:$A$124,0)),"0.0")</f>
        <v>21.5 / 21.5</v>
      </c>
      <c r="V232" s="0" t="str">
        <f aca="false">IFERROR(INDEX(Calc!$AQ$2:$AQ$124,MATCH($W232,Calc!$A$2:$A$124,0)),"")</f>
        <v/>
      </c>
      <c r="W232" s="9" t="s">
        <v>1387</v>
      </c>
      <c r="X232" s="9" t="s">
        <v>1112</v>
      </c>
      <c r="Y232" s="0" t="str">
        <f aca="false">W232&amp;"|"&amp;X232</f>
        <v>px5zu5wf6psxdo7|CS2 · paiN vs BST|K12</v>
      </c>
      <c r="Z232" s="11" t="n">
        <f aca="false">IFERROR(INDEX(CHOOSE(MATCH($X232,{"K1","K2","K3","K12","K13","H1","H2","H3","H12","H13"},0),Calc!$BA$2:$BA$124,Calc!$BB$2:$BB$124,Calc!$BC$2:$BC$124,Calc!$BD$2:$BD$124,Calc!$BE$2:$BE$124,Calc!$BF$2:$BF$124,Calc!$BG$2:$BG$124,Calc!$BH$2:$BH$124,Calc!$BI$2:$BI$124,Calc!$BJ$2:$BJ$124),MATCH($W232,Calc!$A$2:$A$124,0)),"")</f>
        <v>26.8827521863159</v>
      </c>
      <c r="AA232" s="11" t="n">
        <f aca="false">IF(Z232="","",IF(LEFT($X232,1)="H",SQRT(Z232*(IFERROR(INDEX(Calc!$AP$2:$AP$124,MATCH($W232,Calc!$A$2:$A$124,0)),0.5)*Config!$B$5+1-IFERROR(INDEX(Calc!$AP$2:$AP$124,MATCH($W232,Calc!$A$2:$A$124,0)),0.5))),SQRT(Z232*Config!$B$5)))</f>
        <v>6.13480668487951</v>
      </c>
      <c r="AB232" s="10" t="n">
        <f aca="false">IF(OR(F232="",Z232="",N(AA232)&lt;=0),"",1-NORMDIST(FLOOR(F232,1)+0.5,Z232,AA232,TRUE()))</f>
        <v>0.459928417165299</v>
      </c>
      <c r="AC232" s="10" t="n">
        <f aca="false">IF(AB232="","",NORMDIST(CEILING(F232,1)-0.5,Z232,AA232,TRUE()))</f>
        <v>0.475126025479579</v>
      </c>
      <c r="AD232" s="0" t="str">
        <f aca="false">IF(AB232="","",IF(AB232&gt;=0.5+Config!$B$6,"OVER",IF(AC232&gt;=0.5+Config!$B$6,"UNDER","—")))</f>
        <v>—</v>
      </c>
      <c r="AE232" s="13" t="n">
        <f aca="false">IFERROR(Z232/G232,"")</f>
        <v>1.00028845344431</v>
      </c>
    </row>
    <row r="233" customFormat="false" ht="15" hidden="false" customHeight="false" outlineLevel="0" collapsed="false">
      <c r="A233" s="0" t="s">
        <v>988</v>
      </c>
      <c r="B233" s="0" t="s">
        <v>1066</v>
      </c>
      <c r="C233" s="0" t="s">
        <v>1388</v>
      </c>
      <c r="D233" s="0" t="s">
        <v>1071</v>
      </c>
      <c r="E233" s="0" t="s">
        <v>1107</v>
      </c>
      <c r="F233" s="0" t="n">
        <v>18.5</v>
      </c>
      <c r="G233" s="11" t="n">
        <f aca="false">IFERROR(INDEX(CHOOSE(MATCH($X233,{"K1","K2","K3","K12","K13","H1","H2","H3","H12","H13"},0),Calc!$V$2:$V$124,Calc!$AC$2:$AC$124,Calc!$AJ$2:$AJ$124,Calc!$AL$2:$AL$124,Calc!$AM$2:$AM$124,Calc!$W$2:$W$124,Calc!$AD$2:$AD$124,Calc!$AK$2:$AK$124,Calc!$AN$2:$AN$124,Calc!$AO$2:$AO$124),MATCH($W233,Calc!$A$2:$A$124,0)),"")</f>
        <v>17.1487463888889</v>
      </c>
      <c r="H233" s="11" t="n">
        <f aca="false">IF(G233="","",IF(LEFT($X233,1)="H",SQRT(G233*(IFERROR(INDEX(Calc!$AP$2:$AP$124,MATCH($W233,Calc!$A$2:$A$124,0)),0.5)*Config!$B$5+1-IFERROR(INDEX(Calc!$AP$2:$AP$124,MATCH($W233,Calc!$A$2:$A$124,0)),0.5))),SQRT(G233*Config!$B$5)))</f>
        <v>4.6150699023246</v>
      </c>
      <c r="I233" s="10" t="n">
        <f aca="false">IF(OR(F233="",G233="",N(H233)&lt;=0),"",1-NORMDIST(FLOOR(F233,1)+0.5,G233,H233,TRUE()))</f>
        <v>0.384840732061384</v>
      </c>
      <c r="J233" s="10" t="n">
        <f aca="false">IF(I233="","",NORMDIST(CEILING(F233,1)-0.5,G233,H233,TRUE()))</f>
        <v>0.615159267938616</v>
      </c>
      <c r="K233" s="10" t="n">
        <f aca="false">IF(I233="","",MAX(0,1-I233-J233))</f>
        <v>0</v>
      </c>
      <c r="L233" s="0" t="str">
        <f aca="false">IF(I233="","",IF(I233&gt;=0.5+Config!$B$6,"OVER",IF(J233&gt;=0.5+Config!$B$6,"UNDER","—")))</f>
        <v>UNDER</v>
      </c>
      <c r="N233" s="0" t="n">
        <v>20.2</v>
      </c>
      <c r="O233" s="10" t="n">
        <v>0.4</v>
      </c>
      <c r="P233" s="10" t="n">
        <v>0.5</v>
      </c>
      <c r="Q233" s="10" t="n">
        <v>0.4</v>
      </c>
      <c r="R233" s="9" t="s">
        <v>1389</v>
      </c>
      <c r="S233" s="0" t="n">
        <v>-2</v>
      </c>
      <c r="T233" s="0" t="str">
        <f aca="false">INDEX(Calc!$G$2:$G$124,MATCH($W233,Calc!$A$2:$A$124,0))&amp;" / "&amp;INDEX(Calc!$H$2:$H$124,MATCH($W233,Calc!$A$2:$A$124,0))</f>
        <v>Dust2 / Mirage</v>
      </c>
      <c r="U233" s="0" t="str">
        <f aca="false">TEXT(INDEX(Calc!$J$2:$J$124,MATCH($W233,Calc!$A$2:$A$124,0)),"0.0")&amp;" / "&amp;TEXT(INDEX(Calc!$K$2:$K$124,MATCH($W233,Calc!$A$2:$A$124,0)),"0.0")</f>
        <v>21.5 / 21.5</v>
      </c>
      <c r="V233" s="0" t="str">
        <f aca="false">IFERROR(INDEX(Calc!$AQ$2:$AQ$124,MATCH($W233,Calc!$A$2:$A$124,0)),"")</f>
        <v/>
      </c>
      <c r="W233" s="9" t="s">
        <v>1390</v>
      </c>
      <c r="X233" s="9" t="s">
        <v>1110</v>
      </c>
      <c r="Y233" s="0" t="str">
        <f aca="false">W233&amp;"|"&amp;X233</f>
        <v>w2pkqdsxhev22e4|CS2 · paiN vs BST|H12</v>
      </c>
      <c r="Z233" s="11" t="n">
        <f aca="false">IFERROR(INDEX(CHOOSE(MATCH($X233,{"K1","K2","K3","K12","K13","H1","H2","H3","H12","H13"},0),Calc!$BA$2:$BA$124,Calc!$BB$2:$BB$124,Calc!$BC$2:$BC$124,Calc!$BD$2:$BD$124,Calc!$BE$2:$BE$124,Calc!$BF$2:$BF$124,Calc!$BG$2:$BG$124,Calc!$BH$2:$BH$124,Calc!$BI$2:$BI$124,Calc!$BJ$2:$BJ$124),MATCH($W233,Calc!$A$2:$A$124,0)),"")</f>
        <v>17.1342326475999</v>
      </c>
      <c r="AA233" s="11" t="n">
        <f aca="false">IF(Z233="","",IF(LEFT($X233,1)="H",SQRT(Z233*(IFERROR(INDEX(Calc!$AP$2:$AP$124,MATCH($W233,Calc!$A$2:$A$124,0)),0.5)*Config!$B$5+1-IFERROR(INDEX(Calc!$AP$2:$AP$124,MATCH($W233,Calc!$A$2:$A$124,0)),0.5))),SQRT(Z233*Config!$B$5)))</f>
        <v>4.61311652020804</v>
      </c>
      <c r="AB233" s="10" t="n">
        <f aca="false">IF(OR(F233="",Z233="",N(AA233)&lt;=0),"",1-NORMDIST(FLOOR(F233,1)+0.5,Z233,AA233,TRUE()))</f>
        <v>0.383591461922098</v>
      </c>
      <c r="AC233" s="10" t="n">
        <f aca="false">IF(AB233="","",NORMDIST(CEILING(F233,1)-0.5,Z233,AA233,TRUE()))</f>
        <v>0.616408538077902</v>
      </c>
      <c r="AD233" s="0" t="str">
        <f aca="false">IF(AB233="","",IF(AB233&gt;=0.5+Config!$B$6,"OVER",IF(AC233&gt;=0.5+Config!$B$6,"UNDER","—")))</f>
        <v>UNDER</v>
      </c>
      <c r="AE233" s="13" t="n">
        <f aca="false">IFERROR(Z233/G233,"")</f>
        <v>0.999153655843999</v>
      </c>
    </row>
    <row r="234" customFormat="false" ht="15" hidden="false" customHeight="false" outlineLevel="0" collapsed="false">
      <c r="A234" s="0" t="s">
        <v>988</v>
      </c>
      <c r="B234" s="0" t="s">
        <v>1066</v>
      </c>
      <c r="C234" s="0" t="s">
        <v>1388</v>
      </c>
      <c r="D234" s="0" t="s">
        <v>1071</v>
      </c>
      <c r="E234" s="0" t="s">
        <v>1111</v>
      </c>
      <c r="F234" s="0" t="n">
        <v>30.5</v>
      </c>
      <c r="G234" s="11" t="n">
        <f aca="false">IFERROR(INDEX(CHOOSE(MATCH($X234,{"K1","K2","K3","K12","K13","H1","H2","H3","H12","H13"},0),Calc!$V$2:$V$124,Calc!$AC$2:$AC$124,Calc!$AJ$2:$AJ$124,Calc!$AL$2:$AL$124,Calc!$AM$2:$AM$124,Calc!$W$2:$W$124,Calc!$AD$2:$AD$124,Calc!$AK$2:$AK$124,Calc!$AN$2:$AN$124,Calc!$AO$2:$AO$124),MATCH($W234,Calc!$A$2:$A$124,0)),"")</f>
        <v>28.3441666666667</v>
      </c>
      <c r="H234" s="11" t="n">
        <f aca="false">IF(G234="","",IF(LEFT($X234,1)="H",SQRT(G234*(IFERROR(INDEX(Calc!$AP$2:$AP$124,MATCH($W234,Calc!$A$2:$A$124,0)),0.5)*Config!$B$5+1-IFERROR(INDEX(Calc!$AP$2:$AP$124,MATCH($W234,Calc!$A$2:$A$124,0)),0.5))),SQRT(G234*Config!$B$5)))</f>
        <v>6.29935181850747</v>
      </c>
      <c r="I234" s="10" t="n">
        <f aca="false">IF(OR(F234="",G234="",N(H234)&lt;=0),"",1-NORMDIST(FLOOR(F234,1)+0.5,G234,H234,TRUE()))</f>
        <v>0.366088537073566</v>
      </c>
      <c r="J234" s="10" t="n">
        <f aca="false">IF(I234="","",NORMDIST(CEILING(F234,1)-0.5,G234,H234,TRUE()))</f>
        <v>0.633911462926435</v>
      </c>
      <c r="K234" s="10" t="n">
        <f aca="false">IF(I234="","",MAX(0,1-I234-J234))</f>
        <v>0</v>
      </c>
      <c r="L234" s="0" t="str">
        <f aca="false">IF(I234="","",IF(I234&gt;=0.5+Config!$B$6,"OVER",IF(J234&gt;=0.5+Config!$B$6,"UNDER","—")))</f>
        <v>UNDER</v>
      </c>
      <c r="N234" s="0" t="n">
        <v>32.5</v>
      </c>
      <c r="O234" s="10" t="n">
        <v>0.8</v>
      </c>
      <c r="P234" s="10" t="n">
        <v>0.6</v>
      </c>
      <c r="Q234" s="10" t="n">
        <v>0.47</v>
      </c>
      <c r="R234" s="9" t="s">
        <v>1389</v>
      </c>
      <c r="S234" s="0" t="n">
        <v>3</v>
      </c>
      <c r="T234" s="0" t="str">
        <f aca="false">INDEX(Calc!$G$2:$G$124,MATCH($W234,Calc!$A$2:$A$124,0))&amp;" / "&amp;INDEX(Calc!$H$2:$H$124,MATCH($W234,Calc!$A$2:$A$124,0))</f>
        <v>Dust2 / Mirage</v>
      </c>
      <c r="U234" s="0" t="str">
        <f aca="false">TEXT(INDEX(Calc!$J$2:$J$124,MATCH($W234,Calc!$A$2:$A$124,0)),"0.0")&amp;" / "&amp;TEXT(INDEX(Calc!$K$2:$K$124,MATCH($W234,Calc!$A$2:$A$124,0)),"0.0")</f>
        <v>21.5 / 21.5</v>
      </c>
      <c r="V234" s="0" t="str">
        <f aca="false">IFERROR(INDEX(Calc!$AQ$2:$AQ$124,MATCH($W234,Calc!$A$2:$A$124,0)),"")</f>
        <v/>
      </c>
      <c r="W234" s="9" t="s">
        <v>1390</v>
      </c>
      <c r="X234" s="9" t="s">
        <v>1112</v>
      </c>
      <c r="Y234" s="0" t="str">
        <f aca="false">W234&amp;"|"&amp;X234</f>
        <v>w2pkqdsxhev22e4|CS2 · paiN vs BST|K12</v>
      </c>
      <c r="Z234" s="11" t="n">
        <f aca="false">IFERROR(INDEX(CHOOSE(MATCH($X234,{"K1","K2","K3","K12","K13","H1","H2","H3","H12","H13"},0),Calc!$BA$2:$BA$124,Calc!$BB$2:$BB$124,Calc!$BC$2:$BC$124,Calc!$BD$2:$BD$124,Calc!$BE$2:$BE$124,Calc!$BF$2:$BF$124,Calc!$BG$2:$BG$124,Calc!$BH$2:$BH$124,Calc!$BI$2:$BI$124,Calc!$BJ$2:$BJ$124),MATCH($W234,Calc!$A$2:$A$124,0)),"")</f>
        <v>28.3529404897644</v>
      </c>
      <c r="AA234" s="11" t="n">
        <f aca="false">IF(Z234="","",IF(LEFT($X234,1)="H",SQRT(Z234*(IFERROR(INDEX(Calc!$AP$2:$AP$124,MATCH($W234,Calc!$A$2:$A$124,0)),0.5)*Config!$B$5+1-IFERROR(INDEX(Calc!$AP$2:$AP$124,MATCH($W234,Calc!$A$2:$A$124,0)),0.5))),SQRT(Z234*Config!$B$5)))</f>
        <v>6.30032671261342</v>
      </c>
      <c r="AB234" s="10" t="n">
        <f aca="false">IF(OR(F234="",Z234="",N(AA234)&lt;=0),"",1-NORMDIST(FLOOR(F234,1)+0.5,Z234,AA234,TRUE()))</f>
        <v>0.366632562146748</v>
      </c>
      <c r="AC234" s="10" t="n">
        <f aca="false">IF(AB234="","",NORMDIST(CEILING(F234,1)-0.5,Z234,AA234,TRUE()))</f>
        <v>0.633367437853252</v>
      </c>
      <c r="AD234" s="0" t="str">
        <f aca="false">IF(AB234="","",IF(AB234&gt;=0.5+Config!$B$6,"OVER",IF(AC234&gt;=0.5+Config!$B$6,"UNDER","—")))</f>
        <v>UNDER</v>
      </c>
      <c r="AE234" s="13" t="n">
        <f aca="false">IFERROR(Z234/G234,"")</f>
        <v>1.00030954598881</v>
      </c>
    </row>
    <row r="235" customFormat="false" ht="15" hidden="false" customHeight="false" outlineLevel="0" collapsed="false">
      <c r="A235" s="0" t="s">
        <v>988</v>
      </c>
      <c r="B235" s="0" t="s">
        <v>1066</v>
      </c>
      <c r="C235" s="0" t="s">
        <v>1391</v>
      </c>
      <c r="D235" s="0" t="s">
        <v>1071</v>
      </c>
      <c r="E235" s="0" t="s">
        <v>1107</v>
      </c>
      <c r="F235" s="0" t="n">
        <v>16</v>
      </c>
      <c r="G235" s="11" t="n">
        <f aca="false">IFERROR(INDEX(CHOOSE(MATCH($X235,{"K1","K2","K3","K12","K13","H1","H2","H3","H12","H13"},0),Calc!$V$2:$V$124,Calc!$AC$2:$AC$124,Calc!$AJ$2:$AJ$124,Calc!$AL$2:$AL$124,Calc!$AM$2:$AM$124,Calc!$W$2:$W$124,Calc!$AD$2:$AD$124,Calc!$AK$2:$AK$124,Calc!$AN$2:$AN$124,Calc!$AO$2:$AO$124),MATCH($W235,Calc!$A$2:$A$124,0)),"")</f>
        <v>16.6384319444444</v>
      </c>
      <c r="H235" s="11" t="n">
        <f aca="false">IF(G235="","",IF(LEFT($X235,1)="H",SQRT(G235*(IFERROR(INDEX(Calc!$AP$2:$AP$124,MATCH($W235,Calc!$A$2:$A$124,0)),0.5)*Config!$B$5+1-IFERROR(INDEX(Calc!$AP$2:$AP$124,MATCH($W235,Calc!$A$2:$A$124,0)),0.5))),SQRT(G235*Config!$B$5)))</f>
        <v>4.53323024317443</v>
      </c>
      <c r="I235" s="10" t="n">
        <f aca="false">IF(OR(F235="",G235="",N(H235)&lt;=0),"",1-NORMDIST(FLOOR(F235,1)+0.5,G235,H235,TRUE()))</f>
        <v>0.512180668215932</v>
      </c>
      <c r="J235" s="10" t="n">
        <f aca="false">IF(I235="","",NORMDIST(CEILING(F235,1)-0.5,G235,H235,TRUE()))</f>
        <v>0.400856644804726</v>
      </c>
      <c r="K235" s="10" t="n">
        <f aca="false">IF(I235="","",MAX(0,1-I235-J235))</f>
        <v>0.0869626869793413</v>
      </c>
      <c r="L235" s="0" t="str">
        <f aca="false">IF(I235="","",IF(I235&gt;=0.5+Config!$B$6,"OVER",IF(J235&gt;=0.5+Config!$B$6,"UNDER","—")))</f>
        <v>—</v>
      </c>
      <c r="N235" s="0" t="n">
        <v>18</v>
      </c>
      <c r="O235" s="10" t="n">
        <v>0.6</v>
      </c>
      <c r="P235" s="10" t="n">
        <v>0.6</v>
      </c>
      <c r="Q235" s="10" t="n">
        <v>0.53</v>
      </c>
      <c r="R235" s="9" t="s">
        <v>1108</v>
      </c>
      <c r="S235" s="0" t="n">
        <v>3</v>
      </c>
      <c r="T235" s="0" t="str">
        <f aca="false">INDEX(Calc!$G$2:$G$124,MATCH($W235,Calc!$A$2:$A$124,0))&amp;" / "&amp;INDEX(Calc!$H$2:$H$124,MATCH($W235,Calc!$A$2:$A$124,0))</f>
        <v>Dust2 / Mirage</v>
      </c>
      <c r="U235" s="0" t="str">
        <f aca="false">TEXT(INDEX(Calc!$J$2:$J$124,MATCH($W235,Calc!$A$2:$A$124,0)),"0.0")&amp;" / "&amp;TEXT(INDEX(Calc!$K$2:$K$124,MATCH($W235,Calc!$A$2:$A$124,0)),"0.0")</f>
        <v>21.5 / 21.5</v>
      </c>
      <c r="V235" s="0" t="str">
        <f aca="false">IFERROR(INDEX(Calc!$AQ$2:$AQ$124,MATCH($W235,Calc!$A$2:$A$124,0)),"")</f>
        <v/>
      </c>
      <c r="W235" s="9" t="s">
        <v>1392</v>
      </c>
      <c r="X235" s="9" t="s">
        <v>1110</v>
      </c>
      <c r="Y235" s="0" t="str">
        <f aca="false">W235&amp;"|"&amp;X235</f>
        <v>h7nuz2cmw8wvh2s|CS2 · paiN vs BST|H12</v>
      </c>
      <c r="Z235" s="11" t="n">
        <f aca="false">IFERROR(INDEX(CHOOSE(MATCH($X235,{"K1","K2","K3","K12","K13","H1","H2","H3","H12","H13"},0),Calc!$BA$2:$BA$124,Calc!$BB$2:$BB$124,Calc!$BC$2:$BC$124,Calc!$BD$2:$BD$124,Calc!$BE$2:$BE$124,Calc!$BF$2:$BF$124,Calc!$BG$2:$BG$124,Calc!$BH$2:$BH$124,Calc!$BI$2:$BI$124,Calc!$BJ$2:$BJ$124),MATCH($W235,Calc!$A$2:$A$124,0)),"")</f>
        <v>16.6139944344266</v>
      </c>
      <c r="AA235" s="11" t="n">
        <f aca="false">IF(Z235="","",IF(LEFT($X235,1)="H",SQRT(Z235*(IFERROR(INDEX(Calc!$AP$2:$AP$124,MATCH($W235,Calc!$A$2:$A$124,0)),0.5)*Config!$B$5+1-IFERROR(INDEX(Calc!$AP$2:$AP$124,MATCH($W235,Calc!$A$2:$A$124,0)),0.5))),SQRT(Z235*Config!$B$5)))</f>
        <v>4.52989995439524</v>
      </c>
      <c r="AB235" s="10" t="n">
        <f aca="false">IF(OR(F235="",Z235="",N(AA235)&lt;=0),"",1-NORMDIST(FLOOR(F235,1)+0.5,Z235,AA235,TRUE()))</f>
        <v>0.51003827913046</v>
      </c>
      <c r="AC235" s="10" t="n">
        <f aca="false">IF(AB235="","",NORMDIST(CEILING(F235,1)-0.5,Z235,AA235,TRUE()))</f>
        <v>0.402871957866036</v>
      </c>
      <c r="AD235" s="0" t="str">
        <f aca="false">IF(AB235="","",IF(AB235&gt;=0.5+Config!$B$6,"OVER",IF(AC235&gt;=0.5+Config!$B$6,"UNDER","—")))</f>
        <v>—</v>
      </c>
      <c r="AE235" s="13" t="n">
        <f aca="false">IFERROR(Z235/G235,"")</f>
        <v>0.998531261233065</v>
      </c>
    </row>
    <row r="236" customFormat="false" ht="15" hidden="false" customHeight="false" outlineLevel="0" collapsed="false">
      <c r="A236" s="0" t="s">
        <v>988</v>
      </c>
      <c r="B236" s="0" t="s">
        <v>1066</v>
      </c>
      <c r="C236" s="0" t="s">
        <v>1391</v>
      </c>
      <c r="D236" s="0" t="s">
        <v>1071</v>
      </c>
      <c r="E236" s="0" t="s">
        <v>1111</v>
      </c>
      <c r="F236" s="0" t="n">
        <v>28.5</v>
      </c>
      <c r="G236" s="11" t="n">
        <f aca="false">IFERROR(INDEX(CHOOSE(MATCH($X236,{"K1","K2","K3","K12","K13","H1","H2","H3","H12","H13"},0),Calc!$V$2:$V$124,Calc!$AC$2:$AC$124,Calc!$AJ$2:$AJ$124,Calc!$AL$2:$AL$124,Calc!$AM$2:$AM$124,Calc!$W$2:$W$124,Calc!$AD$2:$AD$124,Calc!$AK$2:$AK$124,Calc!$AN$2:$AN$124,Calc!$AO$2:$AO$124),MATCH($W236,Calc!$A$2:$A$124,0)),"")</f>
        <v>28.3083333333333</v>
      </c>
      <c r="H236" s="11" t="n">
        <f aca="false">IF(G236="","",IF(LEFT($X236,1)="H",SQRT(G236*(IFERROR(INDEX(Calc!$AP$2:$AP$124,MATCH($W236,Calc!$A$2:$A$124,0)),0.5)*Config!$B$5+1-IFERROR(INDEX(Calc!$AP$2:$AP$124,MATCH($W236,Calc!$A$2:$A$124,0)),0.5))),SQRT(G236*Config!$B$5)))</f>
        <v>6.29536866805008</v>
      </c>
      <c r="I236" s="10" t="n">
        <f aca="false">IF(OR(F236="",G236="",N(H236)&lt;=0),"",1-NORMDIST(FLOOR(F236,1)+0.5,G236,H236,TRUE()))</f>
        <v>0.487855814352094</v>
      </c>
      <c r="J236" s="10" t="n">
        <f aca="false">IF(I236="","",NORMDIST(CEILING(F236,1)-0.5,G236,H236,TRUE()))</f>
        <v>0.512144185647906</v>
      </c>
      <c r="K236" s="10" t="n">
        <f aca="false">IF(I236="","",MAX(0,1-I236-J236))</f>
        <v>0</v>
      </c>
      <c r="L236" s="0" t="str">
        <f aca="false">IF(I236="","",IF(I236&gt;=0.5+Config!$B$6,"OVER",IF(J236&gt;=0.5+Config!$B$6,"UNDER","—")))</f>
        <v>—</v>
      </c>
      <c r="N236" s="0" t="n">
        <v>31.1</v>
      </c>
      <c r="O236" s="10" t="n">
        <v>0.6</v>
      </c>
      <c r="P236" s="10" t="n">
        <v>0.5</v>
      </c>
      <c r="Q236" s="10" t="n">
        <v>0.47</v>
      </c>
      <c r="R236" s="9" t="s">
        <v>1108</v>
      </c>
      <c r="S236" s="0" t="n">
        <v>-1</v>
      </c>
      <c r="T236" s="0" t="str">
        <f aca="false">INDEX(Calc!$G$2:$G$124,MATCH($W236,Calc!$A$2:$A$124,0))&amp;" / "&amp;INDEX(Calc!$H$2:$H$124,MATCH($W236,Calc!$A$2:$A$124,0))</f>
        <v>Dust2 / Mirage</v>
      </c>
      <c r="U236" s="0" t="str">
        <f aca="false">TEXT(INDEX(Calc!$J$2:$J$124,MATCH($W236,Calc!$A$2:$A$124,0)),"0.0")&amp;" / "&amp;TEXT(INDEX(Calc!$K$2:$K$124,MATCH($W236,Calc!$A$2:$A$124,0)),"0.0")</f>
        <v>21.5 / 21.5</v>
      </c>
      <c r="V236" s="0" t="str">
        <f aca="false">IFERROR(INDEX(Calc!$AQ$2:$AQ$124,MATCH($W236,Calc!$A$2:$A$124,0)),"")</f>
        <v/>
      </c>
      <c r="W236" s="9" t="s">
        <v>1392</v>
      </c>
      <c r="X236" s="9" t="s">
        <v>1112</v>
      </c>
      <c r="Y236" s="0" t="str">
        <f aca="false">W236&amp;"|"&amp;X236</f>
        <v>h7nuz2cmw8wvh2s|CS2 · paiN vs BST|K12</v>
      </c>
      <c r="Z236" s="11" t="n">
        <f aca="false">IFERROR(INDEX(CHOOSE(MATCH($X236,{"K1","K2","K3","K12","K13","H1","H2","H3","H12","H13"},0),Calc!$BA$2:$BA$124,Calc!$BB$2:$BB$124,Calc!$BC$2:$BC$124,Calc!$BD$2:$BD$124,Calc!$BE$2:$BE$124,Calc!$BF$2:$BF$124,Calc!$BG$2:$BG$124,Calc!$BH$2:$BH$124,Calc!$BI$2:$BI$124,Calc!$BJ$2:$BJ$124),MATCH($W236,Calc!$A$2:$A$124,0)),"")</f>
        <v>28.2608196308983</v>
      </c>
      <c r="AA236" s="11" t="n">
        <f aca="false">IF(Z236="","",IF(LEFT($X236,1)="H",SQRT(Z236*(IFERROR(INDEX(Calc!$AP$2:$AP$124,MATCH($W236,Calc!$A$2:$A$124,0)),0.5)*Config!$B$5+1-IFERROR(INDEX(Calc!$AP$2:$AP$124,MATCH($W236,Calc!$A$2:$A$124,0)),0.5))),SQRT(Z236*Config!$B$5)))</f>
        <v>6.29008326520863</v>
      </c>
      <c r="AB236" s="10" t="n">
        <f aca="false">IF(OR(F236="",Z236="",N(AA236)&lt;=0),"",1-NORMDIST(FLOOR(F236,1)+0.5,Z236,AA236,TRUE()))</f>
        <v>0.484833877643236</v>
      </c>
      <c r="AC236" s="10" t="n">
        <f aca="false">IF(AB236="","",NORMDIST(CEILING(F236,1)-0.5,Z236,AA236,TRUE()))</f>
        <v>0.515166122356764</v>
      </c>
      <c r="AD236" s="0" t="str">
        <f aca="false">IF(AB236="","",IF(AB236&gt;=0.5+Config!$B$6,"OVER",IF(AC236&gt;=0.5+Config!$B$6,"UNDER","—")))</f>
        <v>—</v>
      </c>
      <c r="AE236" s="13" t="n">
        <f aca="false">IFERROR(Z236/G236,"")</f>
        <v>0.998321564824197</v>
      </c>
    </row>
    <row r="237" customFormat="false" ht="15" hidden="false" customHeight="false" outlineLevel="0" collapsed="false">
      <c r="A237" s="0" t="s">
        <v>988</v>
      </c>
      <c r="B237" s="0" t="s">
        <v>1066</v>
      </c>
      <c r="C237" s="0" t="s">
        <v>1393</v>
      </c>
      <c r="D237" s="0" t="s">
        <v>1071</v>
      </c>
      <c r="E237" s="0" t="s">
        <v>1107</v>
      </c>
      <c r="F237" s="0" t="n">
        <v>17</v>
      </c>
      <c r="G237" s="11" t="n">
        <f aca="false">IFERROR(INDEX(CHOOSE(MATCH($X237,{"K1","K2","K3","K12","K13","H1","H2","H3","H12","H13"},0),Calc!$V$2:$V$124,Calc!$AC$2:$AC$124,Calc!$AJ$2:$AJ$124,Calc!$AL$2:$AL$124,Calc!$AM$2:$AM$124,Calc!$W$2:$W$124,Calc!$AD$2:$AD$124,Calc!$AK$2:$AK$124,Calc!$AN$2:$AN$124,Calc!$AO$2:$AO$124),MATCH($W237,Calc!$A$2:$A$124,0)),"")</f>
        <v>16.245185</v>
      </c>
      <c r="H237" s="11" t="n">
        <f aca="false">IF(G237="","",IF(LEFT($X237,1)="H",SQRT(G237*(IFERROR(INDEX(Calc!$AP$2:$AP$124,MATCH($W237,Calc!$A$2:$A$124,0)),0.5)*Config!$B$5+1-IFERROR(INDEX(Calc!$AP$2:$AP$124,MATCH($W237,Calc!$A$2:$A$124,0)),0.5))),SQRT(G237*Config!$B$5)))</f>
        <v>4.48455483123776</v>
      </c>
      <c r="I237" s="10" t="n">
        <f aca="false">IF(OR(F237="",G237="",N(H237)&lt;=0),"",1-NORMDIST(FLOOR(F237,1)+0.5,G237,H237,TRUE()))</f>
        <v>0.389812348509359</v>
      </c>
      <c r="J237" s="10" t="n">
        <f aca="false">IF(I237="","",NORMDIST(CEILING(F237,1)-0.5,G237,H237,TRUE()))</f>
        <v>0.522655939442072</v>
      </c>
      <c r="K237" s="10" t="n">
        <f aca="false">IF(I237="","",MAX(0,1-I237-J237))</f>
        <v>0.0875317120485694</v>
      </c>
      <c r="L237" s="0" t="str">
        <f aca="false">IF(I237="","",IF(I237&gt;=0.5+Config!$B$6,"OVER",IF(J237&gt;=0.5+Config!$B$6,"UNDER","—")))</f>
        <v>—</v>
      </c>
      <c r="N237" s="0" t="n">
        <v>19.7</v>
      </c>
      <c r="O237" s="10" t="n">
        <v>0.8</v>
      </c>
      <c r="P237" s="10" t="n">
        <v>0.8</v>
      </c>
      <c r="Q237" s="10" t="n">
        <v>0.6</v>
      </c>
      <c r="R237" s="9" t="s">
        <v>1108</v>
      </c>
      <c r="S237" s="0" t="n">
        <v>2</v>
      </c>
      <c r="T237" s="0" t="str">
        <f aca="false">INDEX(Calc!$G$2:$G$124,MATCH($W237,Calc!$A$2:$A$124,0))&amp;" / "&amp;INDEX(Calc!$H$2:$H$124,MATCH($W237,Calc!$A$2:$A$124,0))</f>
        <v>Dust2 / Mirage</v>
      </c>
      <c r="U237" s="0" t="str">
        <f aca="false">TEXT(INDEX(Calc!$J$2:$J$124,MATCH($W237,Calc!$A$2:$A$124,0)),"0.0")&amp;" / "&amp;TEXT(INDEX(Calc!$K$2:$K$124,MATCH($W237,Calc!$A$2:$A$124,0)),"0.0")</f>
        <v>21.5 / 21.5</v>
      </c>
      <c r="V237" s="0" t="str">
        <f aca="false">IFERROR(INDEX(Calc!$AQ$2:$AQ$124,MATCH($W237,Calc!$A$2:$A$124,0)),"")</f>
        <v/>
      </c>
      <c r="W237" s="9" t="s">
        <v>1394</v>
      </c>
      <c r="X237" s="9" t="s">
        <v>1110</v>
      </c>
      <c r="Y237" s="0" t="str">
        <f aca="false">W237&amp;"|"&amp;X237</f>
        <v>coz7ncv7hdezsk9|CS2 · paiN vs BST|H12</v>
      </c>
      <c r="Z237" s="11" t="n">
        <f aca="false">IFERROR(INDEX(CHOOSE(MATCH($X237,{"K1","K2","K3","K12","K13","H1","H2","H3","H12","H13"},0),Calc!$BA$2:$BA$124,Calc!$BB$2:$BB$124,Calc!$BC$2:$BC$124,Calc!$BD$2:$BD$124,Calc!$BE$2:$BE$124,Calc!$BF$2:$BF$124,Calc!$BG$2:$BG$124,Calc!$BH$2:$BH$124,Calc!$BI$2:$BI$124,Calc!$BJ$2:$BJ$124),MATCH($W237,Calc!$A$2:$A$124,0)),"")</f>
        <v>16.2519548274376</v>
      </c>
      <c r="AA237" s="11" t="n">
        <f aca="false">IF(Z237="","",IF(LEFT($X237,1)="H",SQRT(Z237*(IFERROR(INDEX(Calc!$AP$2:$AP$124,MATCH($W237,Calc!$A$2:$A$124,0)),0.5)*Config!$B$5+1-IFERROR(INDEX(Calc!$AP$2:$AP$124,MATCH($W237,Calc!$A$2:$A$124,0)),0.5))),SQRT(Z237*Config!$B$5)))</f>
        <v>4.48548915424081</v>
      </c>
      <c r="AB237" s="10" t="n">
        <f aca="false">IF(OR(F237="",Z237="",N(AA237)&lt;=0),"",1-NORMDIST(FLOOR(F237,1)+0.5,Z237,AA237,TRUE()))</f>
        <v>0.390413837073861</v>
      </c>
      <c r="AC237" s="10" t="n">
        <f aca="false">IF(AB237="","",NORMDIST(CEILING(F237,1)-0.5,Z237,AA237,TRUE()))</f>
        <v>0.522050057767901</v>
      </c>
      <c r="AD237" s="0" t="str">
        <f aca="false">IF(AB237="","",IF(AB237&gt;=0.5+Config!$B$6,"OVER",IF(AC237&gt;=0.5+Config!$B$6,"UNDER","—")))</f>
        <v>—</v>
      </c>
      <c r="AE237" s="13" t="n">
        <f aca="false">IFERROR(Z237/G237,"")</f>
        <v>1.00041672824517</v>
      </c>
    </row>
    <row r="238" customFormat="false" ht="15" hidden="false" customHeight="false" outlineLevel="0" collapsed="false">
      <c r="A238" s="0" t="s">
        <v>988</v>
      </c>
      <c r="B238" s="0" t="s">
        <v>1066</v>
      </c>
      <c r="C238" s="0" t="s">
        <v>1393</v>
      </c>
      <c r="D238" s="0" t="s">
        <v>1071</v>
      </c>
      <c r="E238" s="0" t="s">
        <v>1111</v>
      </c>
      <c r="F238" s="0" t="n">
        <v>30</v>
      </c>
      <c r="G238" s="11" t="n">
        <f aca="false">IFERROR(INDEX(CHOOSE(MATCH($X238,{"K1","K2","K3","K12","K13","H1","H2","H3","H12","H13"},0),Calc!$V$2:$V$124,Calc!$AC$2:$AC$124,Calc!$AJ$2:$AJ$124,Calc!$AL$2:$AL$124,Calc!$AM$2:$AM$124,Calc!$W$2:$W$124,Calc!$AD$2:$AD$124,Calc!$AK$2:$AK$124,Calc!$AN$2:$AN$124,Calc!$AO$2:$AO$124),MATCH($W238,Calc!$A$2:$A$124,0)),"")</f>
        <v>27.305</v>
      </c>
      <c r="H238" s="11" t="n">
        <f aca="false">IF(G238="","",IF(LEFT($X238,1)="H",SQRT(G238*(IFERROR(INDEX(Calc!$AP$2:$AP$124,MATCH($W238,Calc!$A$2:$A$124,0)),0.5)*Config!$B$5+1-IFERROR(INDEX(Calc!$AP$2:$AP$124,MATCH($W238,Calc!$A$2:$A$124,0)),0.5))),SQRT(G238*Config!$B$5)))</f>
        <v>6.18279871902685</v>
      </c>
      <c r="I238" s="10" t="n">
        <f aca="false">IF(OR(F238="",G238="",N(H238)&lt;=0),"",1-NORMDIST(FLOOR(F238,1)+0.5,G238,H238,TRUE()))</f>
        <v>0.302663155312601</v>
      </c>
      <c r="J238" s="10" t="n">
        <f aca="false">IF(I238="","",NORMDIST(CEILING(F238,1)-0.5,G238,H238,TRUE()))</f>
        <v>0.638711653833612</v>
      </c>
      <c r="K238" s="10" t="n">
        <f aca="false">IF(I238="","",MAX(0,1-I238-J238))</f>
        <v>0.0586251908537877</v>
      </c>
      <c r="L238" s="0" t="str">
        <f aca="false">IF(I238="","",IF(I238&gt;=0.5+Config!$B$6,"OVER",IF(J238&gt;=0.5+Config!$B$6,"UNDER","—")))</f>
        <v>UNDER</v>
      </c>
      <c r="N238" s="0" t="n">
        <v>32.4</v>
      </c>
      <c r="O238" s="10" t="n">
        <v>0.4</v>
      </c>
      <c r="P238" s="10" t="n">
        <v>0.5</v>
      </c>
      <c r="Q238" s="10" t="n">
        <v>0.4</v>
      </c>
      <c r="R238" s="9" t="s">
        <v>1108</v>
      </c>
      <c r="S238" s="0" t="n">
        <v>-1</v>
      </c>
      <c r="T238" s="0" t="str">
        <f aca="false">INDEX(Calc!$G$2:$G$124,MATCH($W238,Calc!$A$2:$A$124,0))&amp;" / "&amp;INDEX(Calc!$H$2:$H$124,MATCH($W238,Calc!$A$2:$A$124,0))</f>
        <v>Dust2 / Mirage</v>
      </c>
      <c r="U238" s="0" t="str">
        <f aca="false">TEXT(INDEX(Calc!$J$2:$J$124,MATCH($W238,Calc!$A$2:$A$124,0)),"0.0")&amp;" / "&amp;TEXT(INDEX(Calc!$K$2:$K$124,MATCH($W238,Calc!$A$2:$A$124,0)),"0.0")</f>
        <v>21.5 / 21.5</v>
      </c>
      <c r="V238" s="0" t="str">
        <f aca="false">IFERROR(INDEX(Calc!$AQ$2:$AQ$124,MATCH($W238,Calc!$A$2:$A$124,0)),"")</f>
        <v/>
      </c>
      <c r="W238" s="9" t="s">
        <v>1394</v>
      </c>
      <c r="X238" s="9" t="s">
        <v>1112</v>
      </c>
      <c r="Y238" s="0" t="str">
        <f aca="false">W238&amp;"|"&amp;X238</f>
        <v>coz7ncv7hdezsk9|CS2 · paiN vs BST|K12</v>
      </c>
      <c r="Z238" s="11" t="n">
        <f aca="false">IFERROR(INDEX(CHOOSE(MATCH($X238,{"K1","K2","K3","K12","K13","H1","H2","H3","H12","H13"},0),Calc!$BA$2:$BA$124,Calc!$BB$2:$BB$124,Calc!$BC$2:$BC$124,Calc!$BD$2:$BD$124,Calc!$BE$2:$BE$124,Calc!$BF$2:$BF$124,Calc!$BG$2:$BG$124,Calc!$BH$2:$BH$124,Calc!$BI$2:$BI$124,Calc!$BJ$2:$BJ$124),MATCH($W238,Calc!$A$2:$A$124,0)),"")</f>
        <v>27.3129194394124</v>
      </c>
      <c r="AA238" s="11" t="n">
        <f aca="false">IF(Z238="","",IF(LEFT($X238,1)="H",SQRT(Z238*(IFERROR(INDEX(Calc!$AP$2:$AP$124,MATCH($W238,Calc!$A$2:$A$124,0)),0.5)*Config!$B$5+1-IFERROR(INDEX(Calc!$AP$2:$AP$124,MATCH($W238,Calc!$A$2:$A$124,0)),0.5))),SQRT(Z238*Config!$B$5)))</f>
        <v>6.18369527185625</v>
      </c>
      <c r="AB238" s="10" t="n">
        <f aca="false">IF(OR(F238="",Z238="",N(AA238)&lt;=0),"",1-NORMDIST(FLOOR(F238,1)+0.5,Z238,AA238,TRUE()))</f>
        <v>0.303136539286866</v>
      </c>
      <c r="AC238" s="10" t="n">
        <f aca="false">IF(AB238="","",NORMDIST(CEILING(F238,1)-0.5,Z238,AA238,TRUE()))</f>
        <v>0.638212535484769</v>
      </c>
      <c r="AD238" s="0" t="str">
        <f aca="false">IF(AB238="","",IF(AB238&gt;=0.5+Config!$B$6,"OVER",IF(AC238&gt;=0.5+Config!$B$6,"UNDER","—")))</f>
        <v>UNDER</v>
      </c>
      <c r="AE238" s="13" t="n">
        <f aca="false">IFERROR(Z238/G238,"")</f>
        <v>1.00029003623558</v>
      </c>
    </row>
    <row r="239" customFormat="false" ht="15" hidden="false" customHeight="false" outlineLevel="0" collapsed="false">
      <c r="A239" s="0" t="s">
        <v>988</v>
      </c>
      <c r="B239" s="0" t="s">
        <v>1066</v>
      </c>
      <c r="C239" s="0" t="s">
        <v>1395</v>
      </c>
      <c r="D239" s="0" t="s">
        <v>1070</v>
      </c>
      <c r="E239" s="0" t="s">
        <v>1107</v>
      </c>
      <c r="F239" s="0" t="n">
        <v>16.5</v>
      </c>
      <c r="G239" s="11" t="n">
        <f aca="false">IFERROR(INDEX(CHOOSE(MATCH($X239,{"K1","K2","K3","K12","K13","H1","H2","H3","H12","H13"},0),Calc!$V$2:$V$124,Calc!$AC$2:$AC$124,Calc!$AJ$2:$AJ$124,Calc!$AL$2:$AL$124,Calc!$AM$2:$AM$124,Calc!$W$2:$W$124,Calc!$AD$2:$AD$124,Calc!$AK$2:$AK$124,Calc!$AN$2:$AN$124,Calc!$AO$2:$AO$124),MATCH($W239,Calc!$A$2:$A$124,0)),"")</f>
        <v>16.0861572820894</v>
      </c>
      <c r="H239" s="11" t="n">
        <f aca="false">IF(G239="","",IF(LEFT($X239,1)="H",SQRT(G239*(IFERROR(INDEX(Calc!$AP$2:$AP$124,MATCH($W239,Calc!$A$2:$A$124,0)),0.5)*Config!$B$5+1-IFERROR(INDEX(Calc!$AP$2:$AP$124,MATCH($W239,Calc!$A$2:$A$124,0)),0.5))),SQRT(G239*Config!$B$5)))</f>
        <v>4.42894543456481</v>
      </c>
      <c r="I239" s="10" t="n">
        <f aca="false">IF(OR(F239="",G239="",N(H239)&lt;=0),"",1-NORMDIST(FLOOR(F239,1)+0.5,G239,H239,TRUE()))</f>
        <v>0.462776822615267</v>
      </c>
      <c r="J239" s="10" t="n">
        <f aca="false">IF(I239="","",NORMDIST(CEILING(F239,1)-0.5,G239,H239,TRUE()))</f>
        <v>0.537223177384733</v>
      </c>
      <c r="K239" s="10" t="n">
        <f aca="false">IF(I239="","",MAX(0,1-I239-J239))</f>
        <v>0</v>
      </c>
      <c r="L239" s="0" t="str">
        <f aca="false">IF(I239="","",IF(I239&gt;=0.5+Config!$B$6,"OVER",IF(J239&gt;=0.5+Config!$B$6,"UNDER","—")))</f>
        <v>—</v>
      </c>
      <c r="N239" s="0" t="n">
        <v>16.2</v>
      </c>
      <c r="O239" s="10" t="n">
        <v>0.6</v>
      </c>
      <c r="P239" s="10" t="n">
        <v>0.4</v>
      </c>
      <c r="Q239" s="10" t="n">
        <v>0.33</v>
      </c>
      <c r="R239" s="9" t="s">
        <v>1118</v>
      </c>
      <c r="S239" s="0" t="n">
        <v>1</v>
      </c>
      <c r="T239" s="0" t="str">
        <f aca="false">INDEX(Calc!$G$2:$G$124,MATCH($W239,Calc!$A$2:$A$124,0))&amp;" / "&amp;INDEX(Calc!$H$2:$H$124,MATCH($W239,Calc!$A$2:$A$124,0))</f>
        <v>Dust2 / Mirage</v>
      </c>
      <c r="U239" s="0" t="str">
        <f aca="false">TEXT(INDEX(Calc!$J$2:$J$124,MATCH($W239,Calc!$A$2:$A$124,0)),"0.0")&amp;" / "&amp;TEXT(INDEX(Calc!$K$2:$K$124,MATCH($W239,Calc!$A$2:$A$124,0)),"0.0")</f>
        <v>21.5 / 21.5</v>
      </c>
      <c r="V239" s="0" t="str">
        <f aca="false">IFERROR(INDEX(Calc!$AQ$2:$AQ$124,MATCH($W239,Calc!$A$2:$A$124,0)),"")</f>
        <v/>
      </c>
      <c r="W239" s="9" t="s">
        <v>1396</v>
      </c>
      <c r="X239" s="9" t="s">
        <v>1110</v>
      </c>
      <c r="Y239" s="0" t="str">
        <f aca="false">W239&amp;"|"&amp;X239</f>
        <v>3cunzce5pb15xlw|CS2 · paiN vs BST|H12</v>
      </c>
      <c r="Z239" s="11" t="n">
        <f aca="false">IFERROR(INDEX(CHOOSE(MATCH($X239,{"K1","K2","K3","K12","K13","H1","H2","H3","H12","H13"},0),Calc!$BA$2:$BA$124,Calc!$BB$2:$BB$124,Calc!$BC$2:$BC$124,Calc!$BD$2:$BD$124,Calc!$BE$2:$BE$124,Calc!$BF$2:$BF$124,Calc!$BG$2:$BG$124,Calc!$BH$2:$BH$124,Calc!$BI$2:$BI$124,Calc!$BJ$2:$BJ$124),MATCH($W239,Calc!$A$2:$A$124,0)),"")</f>
        <v>16.2657682528957</v>
      </c>
      <c r="AA239" s="11" t="n">
        <f aca="false">IF(Z239="","",IF(LEFT($X239,1)="H",SQRT(Z239*(IFERROR(INDEX(Calc!$AP$2:$AP$124,MATCH($W239,Calc!$A$2:$A$124,0)),0.5)*Config!$B$5+1-IFERROR(INDEX(Calc!$AP$2:$AP$124,MATCH($W239,Calc!$A$2:$A$124,0)),0.5))),SQRT(Z239*Config!$B$5)))</f>
        <v>4.45360262804054</v>
      </c>
      <c r="AB239" s="10" t="n">
        <f aca="false">IF(OR(F239="",Z239="",N(AA239)&lt;=0),"",1-NORMDIST(FLOOR(F239,1)+0.5,Z239,AA239,TRUE()))</f>
        <v>0.479027790924995</v>
      </c>
      <c r="AC239" s="10" t="n">
        <f aca="false">IF(AB239="","",NORMDIST(CEILING(F239,1)-0.5,Z239,AA239,TRUE()))</f>
        <v>0.520972209075005</v>
      </c>
      <c r="AD239" s="0" t="str">
        <f aca="false">IF(AB239="","",IF(AB239&gt;=0.5+Config!$B$6,"OVER",IF(AC239&gt;=0.5+Config!$B$6,"UNDER","—")))</f>
        <v>—</v>
      </c>
      <c r="AE239" s="13" t="n">
        <f aca="false">IFERROR(Z239/G239,"")</f>
        <v>1.01116556102596</v>
      </c>
    </row>
    <row r="240" customFormat="false" ht="15" hidden="false" customHeight="false" outlineLevel="0" collapsed="false">
      <c r="A240" s="0" t="s">
        <v>988</v>
      </c>
      <c r="B240" s="0" t="s">
        <v>1066</v>
      </c>
      <c r="C240" s="0" t="s">
        <v>1395</v>
      </c>
      <c r="D240" s="0" t="s">
        <v>1070</v>
      </c>
      <c r="E240" s="0" t="s">
        <v>1111</v>
      </c>
      <c r="F240" s="0" t="n">
        <v>30.5</v>
      </c>
      <c r="G240" s="11" t="n">
        <f aca="false">IFERROR(INDEX(CHOOSE(MATCH($X240,{"K1","K2","K3","K12","K13","H1","H2","H3","H12","H13"},0),Calc!$V$2:$V$124,Calc!$AC$2:$AC$124,Calc!$AJ$2:$AJ$124,Calc!$AL$2:$AL$124,Calc!$AM$2:$AM$124,Calc!$W$2:$W$124,Calc!$AD$2:$AD$124,Calc!$AK$2:$AK$124,Calc!$AN$2:$AN$124,Calc!$AO$2:$AO$124),MATCH($W240,Calc!$A$2:$A$124,0)),"")</f>
        <v>29.3267329545455</v>
      </c>
      <c r="H240" s="11" t="n">
        <f aca="false">IF(G240="","",IF(LEFT($X240,1)="H",SQRT(G240*(IFERROR(INDEX(Calc!$AP$2:$AP$124,MATCH($W240,Calc!$A$2:$A$124,0)),0.5)*Config!$B$5+1-IFERROR(INDEX(Calc!$AP$2:$AP$124,MATCH($W240,Calc!$A$2:$A$124,0)),0.5))),SQRT(G240*Config!$B$5)))</f>
        <v>6.40760689621044</v>
      </c>
      <c r="I240" s="10" t="n">
        <f aca="false">IF(OR(F240="",G240="",N(H240)&lt;=0),"",1-NORMDIST(FLOOR(F240,1)+0.5,G240,H240,TRUE()))</f>
        <v>0.427357682573434</v>
      </c>
      <c r="J240" s="10" t="n">
        <f aca="false">IF(I240="","",NORMDIST(CEILING(F240,1)-0.5,G240,H240,TRUE()))</f>
        <v>0.572642317426567</v>
      </c>
      <c r="K240" s="10" t="n">
        <f aca="false">IF(I240="","",MAX(0,1-I240-J240))</f>
        <v>0</v>
      </c>
      <c r="L240" s="0" t="str">
        <f aca="false">IF(I240="","",IF(I240&gt;=0.5+Config!$B$6,"OVER",IF(J240&gt;=0.5+Config!$B$6,"UNDER","—")))</f>
        <v>UNDER</v>
      </c>
      <c r="N240" s="0" t="n">
        <v>30</v>
      </c>
      <c r="O240" s="10" t="n">
        <v>0.4</v>
      </c>
      <c r="P240" s="10" t="n">
        <v>0.3</v>
      </c>
      <c r="Q240" s="10" t="n">
        <v>0.33</v>
      </c>
      <c r="R240" s="9" t="s">
        <v>1191</v>
      </c>
      <c r="S240" s="0" t="n">
        <v>1</v>
      </c>
      <c r="T240" s="0" t="str">
        <f aca="false">INDEX(Calc!$G$2:$G$124,MATCH($W240,Calc!$A$2:$A$124,0))&amp;" / "&amp;INDEX(Calc!$H$2:$H$124,MATCH($W240,Calc!$A$2:$A$124,0))</f>
        <v>Dust2 / Mirage</v>
      </c>
      <c r="U240" s="0" t="str">
        <f aca="false">TEXT(INDEX(Calc!$J$2:$J$124,MATCH($W240,Calc!$A$2:$A$124,0)),"0.0")&amp;" / "&amp;TEXT(INDEX(Calc!$K$2:$K$124,MATCH($W240,Calc!$A$2:$A$124,0)),"0.0")</f>
        <v>21.5 / 21.5</v>
      </c>
      <c r="V240" s="0" t="str">
        <f aca="false">IFERROR(INDEX(Calc!$AQ$2:$AQ$124,MATCH($W240,Calc!$A$2:$A$124,0)),"")</f>
        <v/>
      </c>
      <c r="W240" s="9" t="s">
        <v>1396</v>
      </c>
      <c r="X240" s="9" t="s">
        <v>1112</v>
      </c>
      <c r="Y240" s="0" t="str">
        <f aca="false">W240&amp;"|"&amp;X240</f>
        <v>3cunzce5pb15xlw|CS2 · paiN vs BST|K12</v>
      </c>
      <c r="Z240" s="11" t="n">
        <f aca="false">IFERROR(INDEX(CHOOSE(MATCH($X240,{"K1","K2","K3","K12","K13","H1","H2","H3","H12","H13"},0),Calc!$BA$2:$BA$124,Calc!$BB$2:$BB$124,Calc!$BC$2:$BC$124,Calc!$BD$2:$BD$124,Calc!$BE$2:$BE$124,Calc!$BF$2:$BF$124,Calc!$BG$2:$BG$124,Calc!$BH$2:$BH$124,Calc!$BI$2:$BI$124,Calc!$BJ$2:$BJ$124),MATCH($W240,Calc!$A$2:$A$124,0)),"")</f>
        <v>29.6607397684124</v>
      </c>
      <c r="AA240" s="11" t="n">
        <f aca="false">IF(Z240="","",IF(LEFT($X240,1)="H",SQRT(Z240*(IFERROR(INDEX(Calc!$AP$2:$AP$124,MATCH($W240,Calc!$A$2:$A$124,0)),0.5)*Config!$B$5+1-IFERROR(INDEX(Calc!$AP$2:$AP$124,MATCH($W240,Calc!$A$2:$A$124,0)),0.5))),SQRT(Z240*Config!$B$5)))</f>
        <v>6.44399221568255</v>
      </c>
      <c r="AB240" s="10" t="n">
        <f aca="false">IF(OR(F240="",Z240="",N(AA240)&lt;=0),"",1-NORMDIST(FLOOR(F240,1)+0.5,Z240,AA240,TRUE()))</f>
        <v>0.448188600569189</v>
      </c>
      <c r="AC240" s="10" t="n">
        <f aca="false">IF(AB240="","",NORMDIST(CEILING(F240,1)-0.5,Z240,AA240,TRUE()))</f>
        <v>0.551811399430811</v>
      </c>
      <c r="AD240" s="0" t="str">
        <f aca="false">IF(AB240="","",IF(AB240&gt;=0.5+Config!$B$6,"OVER",IF(AC240&gt;=0.5+Config!$B$6,"UNDER","—")))</f>
        <v>UNDER</v>
      </c>
      <c r="AE240" s="13" t="n">
        <f aca="false">IFERROR(Z240/G240,"")</f>
        <v>1.01138915863504</v>
      </c>
    </row>
    <row r="241" customFormat="false" ht="15" hidden="false" customHeight="false" outlineLevel="0" collapsed="false">
      <c r="A241" s="0" t="s">
        <v>988</v>
      </c>
      <c r="B241" s="0" t="s">
        <v>1066</v>
      </c>
      <c r="C241" s="0" t="s">
        <v>1397</v>
      </c>
      <c r="D241" s="0" t="s">
        <v>1070</v>
      </c>
      <c r="E241" s="0" t="s">
        <v>1107</v>
      </c>
      <c r="F241" s="0" t="n">
        <v>17.5</v>
      </c>
      <c r="G241" s="11" t="n">
        <f aca="false">IFERROR(INDEX(CHOOSE(MATCH($X241,{"K1","K2","K3","K12","K13","H1","H2","H3","H12","H13"},0),Calc!$V$2:$V$124,Calc!$AC$2:$AC$124,Calc!$AJ$2:$AJ$124,Calc!$AL$2:$AL$124,Calc!$AM$2:$AM$124,Calc!$W$2:$W$124,Calc!$AD$2:$AD$124,Calc!$AK$2:$AK$124,Calc!$AN$2:$AN$124,Calc!$AO$2:$AO$124),MATCH($W241,Calc!$A$2:$A$124,0)),"")</f>
        <v>17.3532825114146</v>
      </c>
      <c r="H241" s="11" t="n">
        <f aca="false">IF(G241="","",IF(LEFT($X241,1)="H",SQRT(G241*(IFERROR(INDEX(Calc!$AP$2:$AP$124,MATCH($W241,Calc!$A$2:$A$124,0)),0.5)*Config!$B$5+1-IFERROR(INDEX(Calc!$AP$2:$AP$124,MATCH($W241,Calc!$A$2:$A$124,0)),0.5))),SQRT(G241*Config!$B$5)))</f>
        <v>4.62809088628794</v>
      </c>
      <c r="I241" s="10" t="n">
        <f aca="false">IF(OR(F241="",G241="",N(H241)&lt;=0),"",1-NORMDIST(FLOOR(F241,1)+0.5,G241,H241,TRUE()))</f>
        <v>0.487355043700485</v>
      </c>
      <c r="J241" s="10" t="n">
        <f aca="false">IF(I241="","",NORMDIST(CEILING(F241,1)-0.5,G241,H241,TRUE()))</f>
        <v>0.512644956299515</v>
      </c>
      <c r="K241" s="10" t="n">
        <f aca="false">IF(I241="","",MAX(0,1-I241-J241))</f>
        <v>0</v>
      </c>
      <c r="L241" s="0" t="str">
        <f aca="false">IF(I241="","",IF(I241&gt;=0.5+Config!$B$6,"OVER",IF(J241&gt;=0.5+Config!$B$6,"UNDER","—")))</f>
        <v>—</v>
      </c>
      <c r="N241" s="0" t="n">
        <v>18.3</v>
      </c>
      <c r="O241" s="10" t="n">
        <v>0.4</v>
      </c>
      <c r="P241" s="10" t="n">
        <v>0.5</v>
      </c>
      <c r="Q241" s="10" t="n">
        <v>0.6</v>
      </c>
      <c r="R241" s="9" t="s">
        <v>1108</v>
      </c>
      <c r="S241" s="0" t="n">
        <v>1</v>
      </c>
      <c r="T241" s="0" t="str">
        <f aca="false">INDEX(Calc!$G$2:$G$124,MATCH($W241,Calc!$A$2:$A$124,0))&amp;" / "&amp;INDEX(Calc!$H$2:$H$124,MATCH($W241,Calc!$A$2:$A$124,0))</f>
        <v>Dust2 / Mirage</v>
      </c>
      <c r="U241" s="0" t="str">
        <f aca="false">TEXT(INDEX(Calc!$J$2:$J$124,MATCH($W241,Calc!$A$2:$A$124,0)),"0.0")&amp;" / "&amp;TEXT(INDEX(Calc!$K$2:$K$124,MATCH($W241,Calc!$A$2:$A$124,0)),"0.0")</f>
        <v>21.5 / 21.5</v>
      </c>
      <c r="V241" s="0" t="str">
        <f aca="false">IFERROR(INDEX(Calc!$AQ$2:$AQ$124,MATCH($W241,Calc!$A$2:$A$124,0)),"")</f>
        <v/>
      </c>
      <c r="W241" s="9" t="s">
        <v>1398</v>
      </c>
      <c r="X241" s="9" t="s">
        <v>1110</v>
      </c>
      <c r="Y241" s="0" t="str">
        <f aca="false">W241&amp;"|"&amp;X241</f>
        <v>1p3p5e3dcd3rbvt|CS2 · paiN vs BST|H12</v>
      </c>
      <c r="Z241" s="11" t="n">
        <f aca="false">IFERROR(INDEX(CHOOSE(MATCH($X241,{"K1","K2","K3","K12","K13","H1","H2","H3","H12","H13"},0),Calc!$BA$2:$BA$124,Calc!$BB$2:$BB$124,Calc!$BC$2:$BC$124,Calc!$BD$2:$BD$124,Calc!$BE$2:$BE$124,Calc!$BF$2:$BF$124,Calc!$BG$2:$BG$124,Calc!$BH$2:$BH$124,Calc!$BI$2:$BI$124,Calc!$BJ$2:$BJ$124),MATCH($W241,Calc!$A$2:$A$124,0)),"")</f>
        <v>17.5131953715242</v>
      </c>
      <c r="AA241" s="11" t="n">
        <f aca="false">IF(Z241="","",IF(LEFT($X241,1)="H",SQRT(Z241*(IFERROR(INDEX(Calc!$AP$2:$AP$124,MATCH($W241,Calc!$A$2:$A$124,0)),0.5)*Config!$B$5+1-IFERROR(INDEX(Calc!$AP$2:$AP$124,MATCH($W241,Calc!$A$2:$A$124,0)),0.5))),SQRT(Z241*Config!$B$5)))</f>
        <v>4.6493662285923</v>
      </c>
      <c r="AB241" s="10" t="n">
        <f aca="false">IF(OR(F241="",Z241="",N(AA241)&lt;=0),"",1-NORMDIST(FLOOR(F241,1)+0.5,Z241,AA241,TRUE()))</f>
        <v>0.501132237014852</v>
      </c>
      <c r="AC241" s="10" t="n">
        <f aca="false">IF(AB241="","",NORMDIST(CEILING(F241,1)-0.5,Z241,AA241,TRUE()))</f>
        <v>0.498867762985148</v>
      </c>
      <c r="AD241" s="0" t="str">
        <f aca="false">IF(AB241="","",IF(AB241&gt;=0.5+Config!$B$6,"OVER",IF(AC241&gt;=0.5+Config!$B$6,"UNDER","—")))</f>
        <v>—</v>
      </c>
      <c r="AE241" s="13" t="n">
        <f aca="false">IFERROR(Z241/G241,"")</f>
        <v>1.00921513609915</v>
      </c>
    </row>
    <row r="242" customFormat="false" ht="15" hidden="false" customHeight="false" outlineLevel="0" collapsed="false">
      <c r="A242" s="0" t="s">
        <v>988</v>
      </c>
      <c r="B242" s="0" t="s">
        <v>1066</v>
      </c>
      <c r="C242" s="0" t="s">
        <v>1397</v>
      </c>
      <c r="D242" s="0" t="s">
        <v>1070</v>
      </c>
      <c r="E242" s="0" t="s">
        <v>1111</v>
      </c>
      <c r="F242" s="0" t="n">
        <v>29.5</v>
      </c>
      <c r="G242" s="11" t="n">
        <f aca="false">IFERROR(INDEX(CHOOSE(MATCH($X242,{"K1","K2","K3","K12","K13","H1","H2","H3","H12","H13"},0),Calc!$V$2:$V$124,Calc!$AC$2:$AC$124,Calc!$AJ$2:$AJ$124,Calc!$AL$2:$AL$124,Calc!$AM$2:$AM$124,Calc!$W$2:$W$124,Calc!$AD$2:$AD$124,Calc!$AK$2:$AK$124,Calc!$AN$2:$AN$124,Calc!$AO$2:$AO$124),MATCH($W242,Calc!$A$2:$A$124,0)),"")</f>
        <v>29.6252488687783</v>
      </c>
      <c r="H242" s="11" t="n">
        <f aca="false">IF(G242="","",IF(LEFT($X242,1)="H",SQRT(G242*(IFERROR(INDEX(Calc!$AP$2:$AP$124,MATCH($W242,Calc!$A$2:$A$124,0)),0.5)*Config!$B$5+1-IFERROR(INDEX(Calc!$AP$2:$AP$124,MATCH($W242,Calc!$A$2:$A$124,0)),0.5))),SQRT(G242*Config!$B$5)))</f>
        <v>6.44013574517569</v>
      </c>
      <c r="I242" s="10" t="n">
        <f aca="false">IF(OR(F242="",G242="",N(H242)&lt;=0),"",1-NORMDIST(FLOOR(F242,1)+0.5,G242,H242,TRUE()))</f>
        <v>0.507758209086167</v>
      </c>
      <c r="J242" s="10" t="n">
        <f aca="false">IF(I242="","",NORMDIST(CEILING(F242,1)-0.5,G242,H242,TRUE()))</f>
        <v>0.492241790913833</v>
      </c>
      <c r="K242" s="10" t="n">
        <f aca="false">IF(I242="","",MAX(0,1-I242-J242))</f>
        <v>0</v>
      </c>
      <c r="L242" s="0" t="str">
        <f aca="false">IF(I242="","",IF(I242&gt;=0.5+Config!$B$6,"OVER",IF(J242&gt;=0.5+Config!$B$6,"UNDER","—")))</f>
        <v>—</v>
      </c>
      <c r="N242" s="0" t="n">
        <v>30.2</v>
      </c>
      <c r="O242" s="10" t="n">
        <v>0.4</v>
      </c>
      <c r="P242" s="10" t="n">
        <v>0.6</v>
      </c>
      <c r="Q242" s="10" t="n">
        <v>0.67</v>
      </c>
      <c r="R242" s="9" t="s">
        <v>1108</v>
      </c>
      <c r="S242" s="0" t="n">
        <v>1</v>
      </c>
      <c r="T242" s="0" t="str">
        <f aca="false">INDEX(Calc!$G$2:$G$124,MATCH($W242,Calc!$A$2:$A$124,0))&amp;" / "&amp;INDEX(Calc!$H$2:$H$124,MATCH($W242,Calc!$A$2:$A$124,0))</f>
        <v>Dust2 / Mirage</v>
      </c>
      <c r="U242" s="0" t="str">
        <f aca="false">TEXT(INDEX(Calc!$J$2:$J$124,MATCH($W242,Calc!$A$2:$A$124,0)),"0.0")&amp;" / "&amp;TEXT(INDEX(Calc!$K$2:$K$124,MATCH($W242,Calc!$A$2:$A$124,0)),"0.0")</f>
        <v>21.5 / 21.5</v>
      </c>
      <c r="V242" s="0" t="str">
        <f aca="false">IFERROR(INDEX(Calc!$AQ$2:$AQ$124,MATCH($W242,Calc!$A$2:$A$124,0)),"")</f>
        <v/>
      </c>
      <c r="W242" s="9" t="s">
        <v>1398</v>
      </c>
      <c r="X242" s="9" t="s">
        <v>1112</v>
      </c>
      <c r="Y242" s="0" t="str">
        <f aca="false">W242&amp;"|"&amp;X242</f>
        <v>1p3p5e3dcd3rbvt|CS2 · paiN vs BST|K12</v>
      </c>
      <c r="Z242" s="11" t="n">
        <f aca="false">IFERROR(INDEX(CHOOSE(MATCH($X242,{"K1","K2","K3","K12","K13","H1","H2","H3","H12","H13"},0),Calc!$BA$2:$BA$124,Calc!$BB$2:$BB$124,Calc!$BC$2:$BC$124,Calc!$BD$2:$BD$124,Calc!$BE$2:$BE$124,Calc!$BF$2:$BF$124,Calc!$BG$2:$BG$124,Calc!$BH$2:$BH$124,Calc!$BI$2:$BI$124,Calc!$BJ$2:$BJ$124),MATCH($W242,Calc!$A$2:$A$124,0)),"")</f>
        <v>29.912911697985</v>
      </c>
      <c r="AA242" s="11" t="n">
        <f aca="false">IF(Z242="","",IF(LEFT($X242,1)="H",SQRT(Z242*(IFERROR(INDEX(Calc!$AP$2:$AP$124,MATCH($W242,Calc!$A$2:$A$124,0)),0.5)*Config!$B$5+1-IFERROR(INDEX(Calc!$AP$2:$AP$124,MATCH($W242,Calc!$A$2:$A$124,0)),0.5))),SQRT(Z242*Config!$B$5)))</f>
        <v>6.47132725004531</v>
      </c>
      <c r="AB242" s="10" t="n">
        <f aca="false">IF(OR(F242="",Z242="",N(AA242)&lt;=0),"",1-NORMDIST(FLOOR(F242,1)+0.5,Z242,AA242,TRUE()))</f>
        <v>0.525437784480478</v>
      </c>
      <c r="AC242" s="10" t="n">
        <f aca="false">IF(AB242="","",NORMDIST(CEILING(F242,1)-0.5,Z242,AA242,TRUE()))</f>
        <v>0.474562215519522</v>
      </c>
      <c r="AD242" s="0" t="str">
        <f aca="false">IF(AB242="","",IF(AB242&gt;=0.5+Config!$B$6,"OVER",IF(AC242&gt;=0.5+Config!$B$6,"UNDER","—")))</f>
        <v>—</v>
      </c>
      <c r="AE242" s="13" t="n">
        <f aca="false">IFERROR(Z242/G242,"")</f>
        <v>1.00971005612412</v>
      </c>
    </row>
    <row r="243" customFormat="false" ht="15" hidden="false" customHeight="false" outlineLevel="0" collapsed="false">
      <c r="A243" s="0" t="s">
        <v>988</v>
      </c>
      <c r="B243" s="0" t="s">
        <v>1066</v>
      </c>
      <c r="C243" s="0" t="s">
        <v>1399</v>
      </c>
      <c r="D243" s="0" t="s">
        <v>1070</v>
      </c>
      <c r="E243" s="0" t="s">
        <v>1107</v>
      </c>
      <c r="F243" s="0" t="n">
        <v>8.5</v>
      </c>
      <c r="G243" s="11" t="n">
        <f aca="false">IFERROR(INDEX(CHOOSE(MATCH($X243,{"K1","K2","K3","K12","K13","H1","H2","H3","H12","H13"},0),Calc!$V$2:$V$124,Calc!$AC$2:$AC$124,Calc!$AJ$2:$AJ$124,Calc!$AL$2:$AL$124,Calc!$AM$2:$AM$124,Calc!$W$2:$W$124,Calc!$AD$2:$AD$124,Calc!$AK$2:$AK$124,Calc!$AN$2:$AN$124,Calc!$AO$2:$AO$124),MATCH($W243,Calc!$A$2:$A$124,0)),"")</f>
        <v>7.53712001420455</v>
      </c>
      <c r="H243" s="11" t="n">
        <f aca="false">IF(G243="","",IF(LEFT($X243,1)="H",SQRT(G243*(IFERROR(INDEX(Calc!$AP$2:$AP$124,MATCH($W243,Calc!$A$2:$A$124,0)),0.5)*Config!$B$5+1-IFERROR(INDEX(Calc!$AP$2:$AP$124,MATCH($W243,Calc!$A$2:$A$124,0)),0.5))),SQRT(G243*Config!$B$5)))</f>
        <v>2.88974306199124</v>
      </c>
      <c r="I243" s="10" t="n">
        <f aca="false">IF(OR(F243="",G243="",N(H243)&lt;=0),"",1-NORMDIST(FLOOR(F243,1)+0.5,G243,H243,TRUE()))</f>
        <v>0.369489360829827</v>
      </c>
      <c r="J243" s="10" t="n">
        <f aca="false">IF(I243="","",NORMDIST(CEILING(F243,1)-0.5,G243,H243,TRUE()))</f>
        <v>0.630510639170173</v>
      </c>
      <c r="K243" s="10" t="n">
        <f aca="false">IF(I243="","",MAX(0,1-I243-J243))</f>
        <v>0</v>
      </c>
      <c r="L243" s="0" t="str">
        <f aca="false">IF(I243="","",IF(I243&gt;=0.5+Config!$B$6,"OVER",IF(J243&gt;=0.5+Config!$B$6,"UNDER","—")))</f>
        <v>UNDER</v>
      </c>
      <c r="N243" s="0" t="n">
        <v>7.4</v>
      </c>
      <c r="O243" s="10" t="n">
        <v>0.2</v>
      </c>
      <c r="P243" s="10" t="n">
        <v>0.3</v>
      </c>
      <c r="Q243" s="10" t="n">
        <v>0.27</v>
      </c>
      <c r="R243" s="9" t="s">
        <v>1173</v>
      </c>
      <c r="S243" s="0" t="n">
        <v>-4</v>
      </c>
      <c r="T243" s="0" t="str">
        <f aca="false">INDEX(Calc!$G$2:$G$124,MATCH($W243,Calc!$A$2:$A$124,0))&amp;" / "&amp;INDEX(Calc!$H$2:$H$124,MATCH($W243,Calc!$A$2:$A$124,0))</f>
        <v>Dust2 / Mirage</v>
      </c>
      <c r="U243" s="0" t="str">
        <f aca="false">TEXT(INDEX(Calc!$J$2:$J$124,MATCH($W243,Calc!$A$2:$A$124,0)),"0.0")&amp;" / "&amp;TEXT(INDEX(Calc!$K$2:$K$124,MATCH($W243,Calc!$A$2:$A$124,0)),"0.0")</f>
        <v>21.5 / 21.5</v>
      </c>
      <c r="V243" s="0" t="str">
        <f aca="false">IFERROR(INDEX(Calc!$AQ$2:$AQ$124,MATCH($W243,Calc!$A$2:$A$124,0)),"")</f>
        <v/>
      </c>
      <c r="W243" s="9" t="s">
        <v>1400</v>
      </c>
      <c r="X243" s="9" t="s">
        <v>1110</v>
      </c>
      <c r="Y243" s="0" t="str">
        <f aca="false">W243&amp;"|"&amp;X243</f>
        <v>d1hn3as545n029p|CS2 · paiN vs BST|H12</v>
      </c>
      <c r="Z243" s="11" t="n">
        <f aca="false">IFERROR(INDEX(CHOOSE(MATCH($X243,{"K1","K2","K3","K12","K13","H1","H2","H3","H12","H13"},0),Calc!$BA$2:$BA$124,Calc!$BB$2:$BB$124,Calc!$BC$2:$BC$124,Calc!$BD$2:$BD$124,Calc!$BE$2:$BE$124,Calc!$BF$2:$BF$124,Calc!$BG$2:$BG$124,Calc!$BH$2:$BH$124,Calc!$BI$2:$BI$124,Calc!$BJ$2:$BJ$124),MATCH($W243,Calc!$A$2:$A$124,0)),"")</f>
        <v>7.62362467058346</v>
      </c>
      <c r="AA243" s="11" t="n">
        <f aca="false">IF(Z243="","",IF(LEFT($X243,1)="H",SQRT(Z243*(IFERROR(INDEX(Calc!$AP$2:$AP$124,MATCH($W243,Calc!$A$2:$A$124,0)),0.5)*Config!$B$5+1-IFERROR(INDEX(Calc!$AP$2:$AP$124,MATCH($W243,Calc!$A$2:$A$124,0)),0.5))),SQRT(Z243*Config!$B$5)))</f>
        <v>2.90627875886128</v>
      </c>
      <c r="AB243" s="10" t="n">
        <f aca="false">IF(OR(F243="",Z243="",N(AA243)&lt;=0),"",1-NORMDIST(FLOOR(F243,1)+0.5,Z243,AA243,TRUE()))</f>
        <v>0.381499273513735</v>
      </c>
      <c r="AC243" s="10" t="n">
        <f aca="false">IF(AB243="","",NORMDIST(CEILING(F243,1)-0.5,Z243,AA243,TRUE()))</f>
        <v>0.618500726486265</v>
      </c>
      <c r="AD243" s="0" t="str">
        <f aca="false">IF(AB243="","",IF(AB243&gt;=0.5+Config!$B$6,"OVER",IF(AC243&gt;=0.5+Config!$B$6,"UNDER","—")))</f>
        <v>UNDER</v>
      </c>
      <c r="AE243" s="13" t="n">
        <f aca="false">IFERROR(Z243/G243,"")</f>
        <v>1.01147714992144</v>
      </c>
    </row>
    <row r="244" customFormat="false" ht="15" hidden="false" customHeight="false" outlineLevel="0" collapsed="false">
      <c r="A244" s="0" t="s">
        <v>988</v>
      </c>
      <c r="B244" s="0" t="s">
        <v>1066</v>
      </c>
      <c r="C244" s="0" t="s">
        <v>1399</v>
      </c>
      <c r="D244" s="0" t="s">
        <v>1070</v>
      </c>
      <c r="E244" s="0" t="s">
        <v>1111</v>
      </c>
      <c r="F244" s="0" t="n">
        <v>29.5</v>
      </c>
      <c r="G244" s="11" t="n">
        <f aca="false">IFERROR(INDEX(CHOOSE(MATCH($X244,{"K1","K2","K3","K12","K13","H1","H2","H3","H12","H13"},0),Calc!$V$2:$V$124,Calc!$AC$2:$AC$124,Calc!$AJ$2:$AJ$124,Calc!$AL$2:$AL$124,Calc!$AM$2:$AM$124,Calc!$W$2:$W$124,Calc!$AD$2:$AD$124,Calc!$AK$2:$AK$124,Calc!$AN$2:$AN$124,Calc!$AO$2:$AO$124),MATCH($W244,Calc!$A$2:$A$124,0)),"")</f>
        <v>27.9328977272727</v>
      </c>
      <c r="H244" s="11" t="n">
        <f aca="false">IF(G244="","",IF(LEFT($X244,1)="H",SQRT(G244*(IFERROR(INDEX(Calc!$AP$2:$AP$124,MATCH($W244,Calc!$A$2:$A$124,0)),0.5)*Config!$B$5+1-IFERROR(INDEX(Calc!$AP$2:$AP$124,MATCH($W244,Calc!$A$2:$A$124,0)),0.5))),SQRT(G244*Config!$B$5)))</f>
        <v>6.25348357463117</v>
      </c>
      <c r="I244" s="10" t="n">
        <f aca="false">IF(OR(F244="",G244="",N(H244)&lt;=0),"",1-NORMDIST(FLOOR(F244,1)+0.5,G244,H244,TRUE()))</f>
        <v>0.401062971284549</v>
      </c>
      <c r="J244" s="10" t="n">
        <f aca="false">IF(I244="","",NORMDIST(CEILING(F244,1)-0.5,G244,H244,TRUE()))</f>
        <v>0.598937028715451</v>
      </c>
      <c r="K244" s="10" t="n">
        <f aca="false">IF(I244="","",MAX(0,1-I244-J244))</f>
        <v>0</v>
      </c>
      <c r="L244" s="0" t="str">
        <f aca="false">IF(I244="","",IF(I244&gt;=0.5+Config!$B$6,"OVER",IF(J244&gt;=0.5+Config!$B$6,"UNDER","—")))</f>
        <v>UNDER</v>
      </c>
      <c r="N244" s="0" t="n">
        <v>28.5</v>
      </c>
      <c r="O244" s="10" t="n">
        <v>0.4</v>
      </c>
      <c r="P244" s="10" t="n">
        <v>0.5</v>
      </c>
      <c r="Q244" s="10" t="n">
        <v>0.4</v>
      </c>
      <c r="R244" s="9" t="s">
        <v>1207</v>
      </c>
      <c r="S244" s="0" t="n">
        <v>1</v>
      </c>
      <c r="T244" s="0" t="str">
        <f aca="false">INDEX(Calc!$G$2:$G$124,MATCH($W244,Calc!$A$2:$A$124,0))&amp;" / "&amp;INDEX(Calc!$H$2:$H$124,MATCH($W244,Calc!$A$2:$A$124,0))</f>
        <v>Dust2 / Mirage</v>
      </c>
      <c r="U244" s="0" t="str">
        <f aca="false">TEXT(INDEX(Calc!$J$2:$J$124,MATCH($W244,Calc!$A$2:$A$124,0)),"0.0")&amp;" / "&amp;TEXT(INDEX(Calc!$K$2:$K$124,MATCH($W244,Calc!$A$2:$A$124,0)),"0.0")</f>
        <v>21.5 / 21.5</v>
      </c>
      <c r="V244" s="0" t="str">
        <f aca="false">IFERROR(INDEX(Calc!$AQ$2:$AQ$124,MATCH($W244,Calc!$A$2:$A$124,0)),"")</f>
        <v/>
      </c>
      <c r="W244" s="9" t="s">
        <v>1400</v>
      </c>
      <c r="X244" s="9" t="s">
        <v>1112</v>
      </c>
      <c r="Y244" s="0" t="str">
        <f aca="false">W244&amp;"|"&amp;X244</f>
        <v>d1hn3as545n029p|CS2 · paiN vs BST|K12</v>
      </c>
      <c r="Z244" s="11" t="n">
        <f aca="false">IFERROR(INDEX(CHOOSE(MATCH($X244,{"K1","K2","K3","K12","K13","H1","H2","H3","H12","H13"},0),Calc!$BA$2:$BA$124,Calc!$BB$2:$BB$124,Calc!$BC$2:$BC$124,Calc!$BD$2:$BD$124,Calc!$BE$2:$BE$124,Calc!$BF$2:$BF$124,Calc!$BG$2:$BG$124,Calc!$BH$2:$BH$124,Calc!$BI$2:$BI$124,Calc!$BJ$2:$BJ$124),MATCH($W244,Calc!$A$2:$A$124,0)),"")</f>
        <v>28.2441921564604</v>
      </c>
      <c r="AA244" s="11" t="n">
        <f aca="false">IF(Z244="","",IF(LEFT($X244,1)="H",SQRT(Z244*(IFERROR(INDEX(Calc!$AP$2:$AP$124,MATCH($W244,Calc!$A$2:$A$124,0)),0.5)*Config!$B$5+1-IFERROR(INDEX(Calc!$AP$2:$AP$124,MATCH($W244,Calc!$A$2:$A$124,0)),0.5))),SQRT(Z244*Config!$B$5)))</f>
        <v>6.28823258309078</v>
      </c>
      <c r="AB244" s="10" t="n">
        <f aca="false">IF(OR(F244="",Z244="",N(AA244)&lt;=0),"",1-NORMDIST(FLOOR(F244,1)+0.5,Z244,AA244,TRUE()))</f>
        <v>0.420854634405231</v>
      </c>
      <c r="AC244" s="10" t="n">
        <f aca="false">IF(AB244="","",NORMDIST(CEILING(F244,1)-0.5,Z244,AA244,TRUE()))</f>
        <v>0.579145365594769</v>
      </c>
      <c r="AD244" s="0" t="str">
        <f aca="false">IF(AB244="","",IF(AB244&gt;=0.5+Config!$B$6,"OVER",IF(AC244&gt;=0.5+Config!$B$6,"UNDER","—")))</f>
        <v>UNDER</v>
      </c>
      <c r="AE244" s="13" t="n">
        <f aca="false">IFERROR(Z244/G244,"")</f>
        <v>1.01114436576638</v>
      </c>
    </row>
    <row r="245" customFormat="false" ht="15" hidden="false" customHeight="false" outlineLevel="0" collapsed="false">
      <c r="A245" s="0" t="s">
        <v>988</v>
      </c>
      <c r="B245" s="0" t="s">
        <v>1066</v>
      </c>
      <c r="C245" s="0" t="s">
        <v>1401</v>
      </c>
      <c r="D245" s="0" t="s">
        <v>1070</v>
      </c>
      <c r="E245" s="0" t="s">
        <v>1107</v>
      </c>
      <c r="F245" s="0" t="n">
        <v>16</v>
      </c>
      <c r="G245" s="11" t="n">
        <f aca="false">IFERROR(INDEX(CHOOSE(MATCH($X245,{"K1","K2","K3","K12","K13","H1","H2","H3","H12","H13"},0),Calc!$V$2:$V$124,Calc!$AC$2:$AC$124,Calc!$AJ$2:$AJ$124,Calc!$AL$2:$AL$124,Calc!$AM$2:$AM$124,Calc!$W$2:$W$124,Calc!$AD$2:$AD$124,Calc!$AK$2:$AK$124,Calc!$AN$2:$AN$124,Calc!$AO$2:$AO$124),MATCH($W245,Calc!$A$2:$A$124,0)),"")</f>
        <v>18.5135732142857</v>
      </c>
      <c r="H245" s="11" t="n">
        <f aca="false">IF(G245="","",IF(LEFT($X245,1)="H",SQRT(G245*(IFERROR(INDEX(Calc!$AP$2:$AP$124,MATCH($W245,Calc!$A$2:$A$124,0)),0.5)*Config!$B$5+1-IFERROR(INDEX(Calc!$AP$2:$AP$124,MATCH($W245,Calc!$A$2:$A$124,0)),0.5))),SQRT(G245*Config!$B$5)))</f>
        <v>4.84153404496143</v>
      </c>
      <c r="I245" s="10" t="n">
        <f aca="false">IF(OR(F245="",G245="",N(H245)&lt;=0),"",1-NORMDIST(FLOOR(F245,1)+0.5,G245,H245,TRUE()))</f>
        <v>0.661256838698505</v>
      </c>
      <c r="J245" s="10" t="n">
        <f aca="false">IF(I245="","",NORMDIST(CEILING(F245,1)-0.5,G245,H245,TRUE()))</f>
        <v>0.266825697710461</v>
      </c>
      <c r="K245" s="10" t="n">
        <f aca="false">IF(I245="","",MAX(0,1-I245-J245))</f>
        <v>0.0719174635910344</v>
      </c>
      <c r="L245" s="0" t="str">
        <f aca="false">IF(I245="","",IF(I245&gt;=0.5+Config!$B$6,"OVER",IF(J245&gt;=0.5+Config!$B$6,"UNDER","—")))</f>
        <v>OVER</v>
      </c>
      <c r="N245" s="0" t="n">
        <v>16.1</v>
      </c>
      <c r="O245" s="10" t="n">
        <v>0.4</v>
      </c>
      <c r="P245" s="10" t="n">
        <v>0.4</v>
      </c>
      <c r="Q245" s="10" t="n">
        <v>0.47</v>
      </c>
      <c r="R245" s="9" t="s">
        <v>1131</v>
      </c>
      <c r="S245" s="0" t="n">
        <v>2</v>
      </c>
      <c r="T245" s="0" t="str">
        <f aca="false">INDEX(Calc!$G$2:$G$124,MATCH($W245,Calc!$A$2:$A$124,0))&amp;" / "&amp;INDEX(Calc!$H$2:$H$124,MATCH($W245,Calc!$A$2:$A$124,0))</f>
        <v>Dust2 / Mirage</v>
      </c>
      <c r="U245" s="0" t="str">
        <f aca="false">TEXT(INDEX(Calc!$J$2:$J$124,MATCH($W245,Calc!$A$2:$A$124,0)),"0.0")&amp;" / "&amp;TEXT(INDEX(Calc!$K$2:$K$124,MATCH($W245,Calc!$A$2:$A$124,0)),"0.0")</f>
        <v>21.5 / 21.5</v>
      </c>
      <c r="V245" s="0" t="str">
        <f aca="false">IFERROR(INDEX(Calc!$AQ$2:$AQ$124,MATCH($W245,Calc!$A$2:$A$124,0)),"")</f>
        <v/>
      </c>
      <c r="W245" s="9" t="s">
        <v>1402</v>
      </c>
      <c r="X245" s="9" t="s">
        <v>1110</v>
      </c>
      <c r="Y245" s="0" t="str">
        <f aca="false">W245&amp;"|"&amp;X245</f>
        <v>tkkenn22b7r5gfa|CS2 · paiN vs BST|H12</v>
      </c>
      <c r="Z245" s="11" t="n">
        <f aca="false">IFERROR(INDEX(CHOOSE(MATCH($X245,{"K1","K2","K3","K12","K13","H1","H2","H3","H12","H13"},0),Calc!$BA$2:$BA$124,Calc!$BB$2:$BB$124,Calc!$BC$2:$BC$124,Calc!$BD$2:$BD$124,Calc!$BE$2:$BE$124,Calc!$BF$2:$BF$124,Calc!$BG$2:$BG$124,Calc!$BH$2:$BH$124,Calc!$BI$2:$BI$124,Calc!$BJ$2:$BJ$124),MATCH($W245,Calc!$A$2:$A$124,0)),"")</f>
        <v>18.6939927793109</v>
      </c>
      <c r="AA245" s="11" t="n">
        <f aca="false">IF(Z245="","",IF(LEFT($X245,1)="H",SQRT(Z245*(IFERROR(INDEX(Calc!$AP$2:$AP$124,MATCH($W245,Calc!$A$2:$A$124,0)),0.5)*Config!$B$5+1-IFERROR(INDEX(Calc!$AP$2:$AP$124,MATCH($W245,Calc!$A$2:$A$124,0)),0.5))),SQRT(Z245*Config!$B$5)))</f>
        <v>4.86506784970428</v>
      </c>
      <c r="AB245" s="10" t="n">
        <f aca="false">IF(OR(F245="",Z245="",N(AA245)&lt;=0),"",1-NORMDIST(FLOOR(F245,1)+0.5,Z245,AA245,TRUE()))</f>
        <v>0.67399390570051</v>
      </c>
      <c r="AC245" s="10" t="n">
        <f aca="false">IF(AB245="","",NORMDIST(CEILING(F245,1)-0.5,Z245,AA245,TRUE()))</f>
        <v>0.255746227299782</v>
      </c>
      <c r="AD245" s="0" t="str">
        <f aca="false">IF(AB245="","",IF(AB245&gt;=0.5+Config!$B$6,"OVER",IF(AC245&gt;=0.5+Config!$B$6,"UNDER","—")))</f>
        <v>OVER</v>
      </c>
      <c r="AE245" s="13" t="n">
        <f aca="false">IFERROR(Z245/G245,"")</f>
        <v>1.00974525894796</v>
      </c>
    </row>
    <row r="246" customFormat="false" ht="15" hidden="false" customHeight="false" outlineLevel="0" collapsed="false">
      <c r="A246" s="0" t="s">
        <v>988</v>
      </c>
      <c r="B246" s="0" t="s">
        <v>1066</v>
      </c>
      <c r="C246" s="0" t="s">
        <v>1401</v>
      </c>
      <c r="D246" s="0" t="s">
        <v>1070</v>
      </c>
      <c r="E246" s="0" t="s">
        <v>1111</v>
      </c>
      <c r="F246" s="0" t="n">
        <v>26</v>
      </c>
      <c r="G246" s="11" t="n">
        <f aca="false">IFERROR(INDEX(CHOOSE(MATCH($X246,{"K1","K2","K3","K12","K13","H1","H2","H3","H12","H13"},0),Calc!$V$2:$V$124,Calc!$AC$2:$AC$124,Calc!$AJ$2:$AJ$124,Calc!$AL$2:$AL$124,Calc!$AM$2:$AM$124,Calc!$W$2:$W$124,Calc!$AD$2:$AD$124,Calc!$AK$2:$AK$124,Calc!$AN$2:$AN$124,Calc!$AO$2:$AO$124),MATCH($W246,Calc!$A$2:$A$124,0)),"")</f>
        <v>27.8271428571429</v>
      </c>
      <c r="H246" s="11" t="n">
        <f aca="false">IF(G246="","",IF(LEFT($X246,1)="H",SQRT(G246*(IFERROR(INDEX(Calc!$AP$2:$AP$124,MATCH($W246,Calc!$A$2:$A$124,0)),0.5)*Config!$B$5+1-IFERROR(INDEX(Calc!$AP$2:$AP$124,MATCH($W246,Calc!$A$2:$A$124,0)),0.5))),SQRT(G246*Config!$B$5)))</f>
        <v>6.24163440134073</v>
      </c>
      <c r="I246" s="10" t="n">
        <f aca="false">IF(OR(F246="",G246="",N(H246)&lt;=0),"",1-NORMDIST(FLOOR(F246,1)+0.5,G246,H246,TRUE()))</f>
        <v>0.584191223662016</v>
      </c>
      <c r="J246" s="10" t="n">
        <f aca="false">IF(I246="","",NORMDIST(CEILING(F246,1)-0.5,G246,H246,TRUE()))</f>
        <v>0.354633056336425</v>
      </c>
      <c r="K246" s="10" t="n">
        <f aca="false">IF(I246="","",MAX(0,1-I246-J246))</f>
        <v>0.061175720001559</v>
      </c>
      <c r="L246" s="0" t="str">
        <f aca="false">IF(I246="","",IF(I246&gt;=0.5+Config!$B$6,"OVER",IF(J246&gt;=0.5+Config!$B$6,"UNDER","—")))</f>
        <v>OVER</v>
      </c>
      <c r="N246" s="0" t="n">
        <v>25</v>
      </c>
      <c r="O246" s="10" t="n">
        <v>0.4</v>
      </c>
      <c r="P246" s="10" t="n">
        <v>0.5</v>
      </c>
      <c r="Q246" s="10" t="n">
        <v>0.6</v>
      </c>
      <c r="R246" s="9" t="s">
        <v>1131</v>
      </c>
      <c r="S246" s="0" t="n">
        <v>2</v>
      </c>
      <c r="T246" s="0" t="str">
        <f aca="false">INDEX(Calc!$G$2:$G$124,MATCH($W246,Calc!$A$2:$A$124,0))&amp;" / "&amp;INDEX(Calc!$H$2:$H$124,MATCH($W246,Calc!$A$2:$A$124,0))</f>
        <v>Dust2 / Mirage</v>
      </c>
      <c r="U246" s="0" t="str">
        <f aca="false">TEXT(INDEX(Calc!$J$2:$J$124,MATCH($W246,Calc!$A$2:$A$124,0)),"0.0")&amp;" / "&amp;TEXT(INDEX(Calc!$K$2:$K$124,MATCH($W246,Calc!$A$2:$A$124,0)),"0.0")</f>
        <v>21.5 / 21.5</v>
      </c>
      <c r="V246" s="0" t="str">
        <f aca="false">IFERROR(INDEX(Calc!$AQ$2:$AQ$124,MATCH($W246,Calc!$A$2:$A$124,0)),"")</f>
        <v/>
      </c>
      <c r="W246" s="9" t="s">
        <v>1402</v>
      </c>
      <c r="X246" s="9" t="s">
        <v>1112</v>
      </c>
      <c r="Y246" s="0" t="str">
        <f aca="false">W246&amp;"|"&amp;X246</f>
        <v>tkkenn22b7r5gfa|CS2 · paiN vs BST|K12</v>
      </c>
      <c r="Z246" s="11" t="n">
        <f aca="false">IFERROR(INDEX(CHOOSE(MATCH($X246,{"K1","K2","K3","K12","K13","H1","H2","H3","H12","H13"},0),Calc!$BA$2:$BA$124,Calc!$BB$2:$BB$124,Calc!$BC$2:$BC$124,Calc!$BD$2:$BD$124,Calc!$BE$2:$BE$124,Calc!$BF$2:$BF$124,Calc!$BG$2:$BG$124,Calc!$BH$2:$BH$124,Calc!$BI$2:$BI$124,Calc!$BJ$2:$BJ$124),MATCH($W246,Calc!$A$2:$A$124,0)),"")</f>
        <v>28.1255623660657</v>
      </c>
      <c r="AA246" s="11" t="n">
        <f aca="false">IF(Z246="","",IF(LEFT($X246,1)="H",SQRT(Z246*(IFERROR(INDEX(Calc!$AP$2:$AP$124,MATCH($W246,Calc!$A$2:$A$124,0)),0.5)*Config!$B$5+1-IFERROR(INDEX(Calc!$AP$2:$AP$124,MATCH($W246,Calc!$A$2:$A$124,0)),0.5))),SQRT(Z246*Config!$B$5)))</f>
        <v>6.27501293325296</v>
      </c>
      <c r="AB246" s="10" t="n">
        <f aca="false">IF(OR(F246="",Z246="",N(AA246)&lt;=0),"",1-NORMDIST(FLOOR(F246,1)+0.5,Z246,AA246,TRUE()))</f>
        <v>0.602202914707124</v>
      </c>
      <c r="AC246" s="10" t="n">
        <f aca="false">IF(AB246="","",NORMDIST(CEILING(F246,1)-0.5,Z246,AA246,TRUE()))</f>
        <v>0.337821695867453</v>
      </c>
      <c r="AD246" s="0" t="str">
        <f aca="false">IF(AB246="","",IF(AB246&gt;=0.5+Config!$B$6,"OVER",IF(AC246&gt;=0.5+Config!$B$6,"UNDER","—")))</f>
        <v>OVER</v>
      </c>
      <c r="AE246" s="13" t="n">
        <f aca="false">IFERROR(Z246/G246,"")</f>
        <v>1.01072404416274</v>
      </c>
    </row>
  </sheetData>
  <autoFilter ref="A1:AE246"/>
  <conditionalFormatting sqref="AB2:AB246">
    <cfRule type="colorScale" priority="2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conditionalFormatting sqref="I2:I246">
    <cfRule type="colorScale" priority="3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42" min="7" style="0" width="9"/>
    <col collapsed="false" customWidth="true" hidden="false" outlineLevel="0" max="43" min="43" style="0" width="40"/>
    <col collapsed="false" customWidth="true" hidden="false" outlineLevel="0" max="63" min="44" style="0" width="9"/>
  </cols>
  <sheetData>
    <row r="1" customFormat="false" ht="28.35" hidden="false" customHeight="false" outlineLevel="0" collapsed="false">
      <c r="A1" s="12" t="s">
        <v>1403</v>
      </c>
      <c r="B1" s="12" t="s">
        <v>951</v>
      </c>
      <c r="C1" s="12" t="s">
        <v>950</v>
      </c>
      <c r="D1" s="12" t="s">
        <v>925</v>
      </c>
      <c r="E1" s="12" t="s">
        <v>926</v>
      </c>
      <c r="F1" s="12" t="s">
        <v>1404</v>
      </c>
      <c r="G1" s="12" t="s">
        <v>958</v>
      </c>
      <c r="H1" s="12" t="s">
        <v>959</v>
      </c>
      <c r="I1" s="12" t="s">
        <v>960</v>
      </c>
      <c r="J1" s="12" t="s">
        <v>1405</v>
      </c>
      <c r="K1" s="12" t="s">
        <v>1406</v>
      </c>
      <c r="L1" s="12" t="s">
        <v>1407</v>
      </c>
      <c r="M1" s="12" t="s">
        <v>1408</v>
      </c>
      <c r="N1" s="12" t="s">
        <v>1409</v>
      </c>
      <c r="O1" s="12" t="s">
        <v>1410</v>
      </c>
      <c r="P1" s="12" t="s">
        <v>1411</v>
      </c>
      <c r="Q1" s="12" t="s">
        <v>1412</v>
      </c>
      <c r="R1" s="12" t="s">
        <v>1413</v>
      </c>
      <c r="S1" s="12" t="s">
        <v>1414</v>
      </c>
      <c r="T1" s="12" t="s">
        <v>1415</v>
      </c>
      <c r="U1" s="12" t="s">
        <v>1416</v>
      </c>
      <c r="V1" s="12" t="s">
        <v>1417</v>
      </c>
      <c r="W1" s="12" t="s">
        <v>1418</v>
      </c>
      <c r="X1" s="12" t="s">
        <v>1419</v>
      </c>
      <c r="Y1" s="12" t="s">
        <v>1420</v>
      </c>
      <c r="Z1" s="12" t="s">
        <v>1421</v>
      </c>
      <c r="AA1" s="12" t="s">
        <v>1422</v>
      </c>
      <c r="AB1" s="12" t="s">
        <v>1423</v>
      </c>
      <c r="AC1" s="12" t="s">
        <v>1424</v>
      </c>
      <c r="AD1" s="12" t="s">
        <v>1425</v>
      </c>
      <c r="AE1" s="12" t="s">
        <v>1426</v>
      </c>
      <c r="AF1" s="12" t="s">
        <v>1427</v>
      </c>
      <c r="AG1" s="12" t="s">
        <v>1428</v>
      </c>
      <c r="AH1" s="12" t="s">
        <v>1429</v>
      </c>
      <c r="AI1" s="12" t="s">
        <v>1430</v>
      </c>
      <c r="AJ1" s="12" t="s">
        <v>1431</v>
      </c>
      <c r="AK1" s="12" t="s">
        <v>1432</v>
      </c>
      <c r="AL1" s="12" t="s">
        <v>931</v>
      </c>
      <c r="AM1" s="12" t="s">
        <v>1433</v>
      </c>
      <c r="AN1" s="12" t="s">
        <v>940</v>
      </c>
      <c r="AO1" s="12" t="s">
        <v>1434</v>
      </c>
      <c r="AP1" s="12" t="s">
        <v>939</v>
      </c>
      <c r="AQ1" s="12" t="s">
        <v>944</v>
      </c>
      <c r="AR1" s="12" t="s">
        <v>1435</v>
      </c>
      <c r="AS1" s="12" t="s">
        <v>1436</v>
      </c>
      <c r="AT1" s="12" t="s">
        <v>1437</v>
      </c>
      <c r="AU1" s="12" t="s">
        <v>1438</v>
      </c>
      <c r="AV1" s="12" t="s">
        <v>1439</v>
      </c>
      <c r="AW1" s="12" t="s">
        <v>1440</v>
      </c>
      <c r="AX1" s="12" t="s">
        <v>1441</v>
      </c>
      <c r="AY1" s="12" t="s">
        <v>1442</v>
      </c>
      <c r="AZ1" s="12" t="s">
        <v>1443</v>
      </c>
      <c r="BA1" s="12" t="s">
        <v>1444</v>
      </c>
      <c r="BB1" s="12" t="s">
        <v>1445</v>
      </c>
      <c r="BC1" s="12" t="s">
        <v>1446</v>
      </c>
      <c r="BD1" s="12" t="s">
        <v>1447</v>
      </c>
      <c r="BE1" s="12" t="s">
        <v>1448</v>
      </c>
      <c r="BF1" s="12" t="s">
        <v>1449</v>
      </c>
      <c r="BG1" s="12" t="s">
        <v>1450</v>
      </c>
      <c r="BH1" s="12" t="s">
        <v>1451</v>
      </c>
      <c r="BI1" s="12" t="s">
        <v>1452</v>
      </c>
      <c r="BJ1" s="12" t="s">
        <v>1453</v>
      </c>
      <c r="BK1" s="12" t="s">
        <v>1454</v>
      </c>
    </row>
    <row r="2" customFormat="false" ht="15" hidden="false" customHeight="false" outlineLevel="0" collapsed="false">
      <c r="A2" s="0" t="s">
        <v>1109</v>
      </c>
      <c r="B2" s="0" t="s">
        <v>988</v>
      </c>
      <c r="C2" s="0" t="s">
        <v>1021</v>
      </c>
      <c r="D2" s="0" t="s">
        <v>1026</v>
      </c>
      <c r="E2" s="0" t="s">
        <v>1106</v>
      </c>
      <c r="F2" s="0" t="s">
        <v>1455</v>
      </c>
      <c r="G2" s="0" t="str">
        <f aca="false">IFERROR(IF(INDEX(Matches!$W$5:$W$19,MATCH($C2,Matches!$A$5:$A$19,0))="","",INDEX(Matches!$W$5:$W$19,MATCH($C2,Matches!$A$5:$A$19,0))),"")</f>
        <v>Dust2</v>
      </c>
      <c r="H2" s="0" t="str">
        <f aca="false">IFERROR(IF(INDEX(Matches!$X$5:$X$19,MATCH($C2,Matches!$A$5:$A$19,0))="","",INDEX(Matches!$X$5:$X$19,MATCH($C2,Matches!$A$5:$A$19,0))),"")</f>
        <v>Ancient</v>
      </c>
      <c r="I2" s="0" t="str">
        <f aca="false">IFERROR(IF(INDEX(Matches!$Y$5:$Y$19,MATCH($C2,Matches!$A$5:$A$19,0))="","",INDEX(Matches!$Y$5:$Y$19,MATCH($C2,Matches!$A$5:$A$19,0))),"")</f>
        <v>Inferno</v>
      </c>
      <c r="J2" s="11" t="n">
        <f aca="false">IFERROR(IF(INDEX(Matches!$Z$5:$Z$19,MATCH($C2,Matches!$A$5:$A$19,0))="","",INDEX(Matches!$Z$5:$Z$19,MATCH($C2,Matches!$A$5:$A$19,0))),"")</f>
        <v>21.5</v>
      </c>
      <c r="K2" s="11" t="n">
        <f aca="false">IFERROR(IF(INDEX(Matches!$AA$5:$AA$19,MATCH($C2,Matches!$A$5:$A$19,0))="","",INDEX(Matches!$AA$5:$AA$19,MATCH($C2,Matches!$A$5:$A$19,0))),"")</f>
        <v>21.5</v>
      </c>
      <c r="L2" s="11" t="n">
        <f aca="false">IFERROR(IF(INDEX(Matches!$AB$5:$AB$19,MATCH($C2,Matches!$A$5:$A$19,0))="","",INDEX(Matches!$AB$5:$AB$19,MATCH($C2,Matches!$A$5:$A$19,0))),"")</f>
        <v>21.5</v>
      </c>
      <c r="M2" s="10" t="n">
        <f aca="false">IFERROR(IF(INDEX(Matches!$AC$5:$AC$19,MATCH($C2,Matches!$A$5:$A$19,0))="","",INDEX(Matches!$AC$5:$AC$19,MATCH($C2,Matches!$A$5:$A$19,0))),"")</f>
        <v>0</v>
      </c>
      <c r="N2" s="9" t="n">
        <f aca="false">IFERROR(INDEX(Players!$F$2:$F$124,MATCH($F2,Players!$A$2:$A$124,0)),0)</f>
        <v>36</v>
      </c>
      <c r="O2" s="13" t="n">
        <f aca="false">IFERROR(1/(1/INDEX(Players!$H$2:$H$124,MATCH($F2,Players!$A$2:$A$124,0))),"")</f>
        <v>0.72</v>
      </c>
      <c r="P2" s="10" t="n">
        <f aca="false">IFERROR(1/(1/INDEX(Players!$I$2:$I$124,MATCH($F2,Players!$A$2:$A$124,0))),"")</f>
        <v>0.315</v>
      </c>
      <c r="Q2" s="9" t="n">
        <f aca="false">IF($G2="",0,SUMIFS(Map_Stats!$F$2:$F$779,Map_Stats!$A$2:$A$779,$F2&amp;"|"&amp;$G2))</f>
        <v>13</v>
      </c>
      <c r="R2" s="13" t="n">
        <f aca="false">IF($G2="","",IFERROR(1/(1/INDEX(Map_Stats!$K$2:$K$779,MATCH($F2&amp;"|"&amp;$G2,Map_Stats!$A$2:$A$779,0))),$O2))</f>
        <v>0.76</v>
      </c>
      <c r="S2" s="10" t="n">
        <f aca="false">IF(OR($G2="",$P2=""),"",IFERROR(1/(1/INDEX(Map_Stats!$I$2:$I$779,MATCH($F2&amp;"|"&amp;$G2,Map_Stats!$A$2:$A$779,0))),$P2))</f>
        <v>0.326</v>
      </c>
      <c r="T2" s="13" t="n">
        <f aca="false">IF(OR($G2="",R2=""),"",IF($O2="",R2,(Q2*R2+Config!$B$4*$O2)/(Q2+Config!$B$4)))</f>
        <v>0.748888888888889</v>
      </c>
      <c r="U2" s="10" t="n">
        <f aca="false">IF(S2="","",(Q2*S2+Config!$B$4*$P2)/(Q2+Config!$B$4))</f>
        <v>0.322944444444445</v>
      </c>
      <c r="V2" s="17" t="n">
        <f aca="false">IF(OR(T2="",$J2=""),"",T2*$J2*($J2/Config!$B$10)^Config!$B$9)</f>
        <v>16.1011111111111</v>
      </c>
      <c r="W2" s="17" t="n">
        <f aca="false">IF(OR(V2="",U2=""),"",V2*U2)</f>
        <v>5.19976438271605</v>
      </c>
      <c r="X2" s="9" t="n">
        <f aca="false">IF($H2="",0,SUMIFS(Map_Stats!$F$2:$F$779,Map_Stats!$A$2:$A$779,$F2&amp;"|"&amp;$H2))</f>
        <v>3</v>
      </c>
      <c r="Y2" s="13" t="n">
        <f aca="false">IF($H2="","",IFERROR(1/(1/INDEX(Map_Stats!$K$2:$K$779,MATCH($F2&amp;"|"&amp;$H2,Map_Stats!$A$2:$A$779,0))),$O2))</f>
        <v>0.65</v>
      </c>
      <c r="Z2" s="10" t="n">
        <f aca="false">IF(OR($H2="",$P2=""),"",IFERROR(1/(1/INDEX(Map_Stats!$I$2:$I$779,MATCH($F2&amp;"|"&amp;$H2,Map_Stats!$A$2:$A$779,0))),$P2))</f>
        <v>0.294</v>
      </c>
      <c r="AA2" s="13" t="n">
        <f aca="false">IF(OR($H2="",Y2=""),"",IF($O2="",Y2,(X2*Y2+Config!$B$4*$O2)/(X2+Config!$B$4)))</f>
        <v>0.69375</v>
      </c>
      <c r="AB2" s="10" t="n">
        <f aca="false">IF(Z2="","",(X2*Z2+Config!$B$4*$P2)/(X2+Config!$B$4))</f>
        <v>0.307125</v>
      </c>
      <c r="AC2" s="17" t="n">
        <f aca="false">IF(OR(AA2="",$K2=""),"",AA2*$K2*($K2/Config!$B$10)^Config!$B$9)</f>
        <v>14.915625</v>
      </c>
      <c r="AD2" s="17" t="n">
        <f aca="false">IF(OR(AC2="",AB2=""),"",AC2*AB2)</f>
        <v>4.580961328125</v>
      </c>
      <c r="AE2" s="9" t="n">
        <f aca="false">IF($I2="",0,SUMIFS(Map_Stats!$F$2:$F$779,Map_Stats!$A$2:$A$779,$F2&amp;"|"&amp;$I2))</f>
        <v>4</v>
      </c>
      <c r="AF2" s="13" t="n">
        <f aca="false">IF($I2="","",IFERROR(1/(1/INDEX(Map_Stats!$K$2:$K$779,MATCH($F2&amp;"|"&amp;$I2,Map_Stats!$A$2:$A$779,0))),$O2))</f>
        <v>0.66</v>
      </c>
      <c r="AG2" s="10" t="n">
        <f aca="false">IF(OR($I2="",$P2=""),"",IFERROR(1/(1/INDEX(Map_Stats!$I$2:$I$779,MATCH($F2&amp;"|"&amp;$I2,Map_Stats!$A$2:$A$779,0))),$P2))</f>
        <v>0.364</v>
      </c>
      <c r="AH2" s="13" t="n">
        <f aca="false">IF(OR($I2="",AF2=""),"",IF($O2="",AF2,(AE2*AF2+Config!$B$4*$O2)/(AE2+Config!$B$4)))</f>
        <v>0.693333333333333</v>
      </c>
      <c r="AI2" s="10" t="n">
        <f aca="false">IF(AG2="","",(AE2*AG2+Config!$B$4*$P2)/(AE2+Config!$B$4))</f>
        <v>0.336777777777778</v>
      </c>
      <c r="AJ2" s="17" t="n">
        <f aca="false">IF(OR(AH2="",$L2=""),"",AH2*$L2*($L2/Config!$B$10)^Config!$B$9)</f>
        <v>14.9066666666667</v>
      </c>
      <c r="AK2" s="17" t="n">
        <f aca="false">IF(OR(AJ2="",AI2=""),"",AJ2*AI2)</f>
        <v>5.02023407407407</v>
      </c>
      <c r="AL2" s="17" t="n">
        <f aca="false">N(V2)+N(AC2)</f>
        <v>31.0167361111111</v>
      </c>
      <c r="AM2" s="17" t="n">
        <f aca="false">AL2+N($M2)*N(AJ2)</f>
        <v>31.0167361111111</v>
      </c>
      <c r="AN2" s="17" t="n">
        <f aca="false">IF(W2="","",N(W2)+N(AD2))</f>
        <v>9.78072571084105</v>
      </c>
      <c r="AO2" s="17" t="n">
        <f aca="false">IF(AN2="","",AN2+N($M2)*N(AK2))</f>
        <v>9.78072571084105</v>
      </c>
      <c r="AP2" s="10" t="n">
        <f aca="false">IFERROR(AN2/AL2,"")</f>
        <v>0.315337038552464</v>
      </c>
      <c r="AQ2" s="0" t="str">
        <f aca="false">TRIM(IF($N2&lt;Config!$B$12,"thin sample ("&amp;$N2&amp;" maps) · ","")&amp;IF(AND($G2&lt;&gt;"",Q2=0),"M1 unplayed→overall KPR · ","")&amp;IF(AND($H2&lt;&gt;"",X2=0),"M2 unplayed→overall KPR · ","")&amp;IF($O2="","no PickFinder stats",""))</f>
        <v/>
      </c>
      <c r="AR2" s="0" t="str">
        <f aca="false">IF($C2=Board!$B$2,COUNTIFS($C$2:$C$124,Board!$B$2,$AL$2:$AL$124,"&gt;"&amp;$AL2)+COUNTIFS($C$1:$C1,Board!$B$2,$AL$1:$AL1,$AL2)+1,"")</f>
        <v/>
      </c>
      <c r="AS2" s="0" t="str">
        <f aca="false">IFERROR(IF($D2=INDEX(Matches!$AD$5:$AD$19,MATCH($C2,Matches!$A$5:$A$19,0)),"A",IF($D2=INDEX(Matches!$AE$5:$AE$19,MATCH($C2,Matches!$A$5:$A$19,0)),"B","")),"")</f>
        <v>B</v>
      </c>
      <c r="AT2" s="10" t="n">
        <f aca="false">IF($AS2="","",IFERROR(IF($AS2="A",INDEX(Matches!$AI$5:$AI$19,MATCH($C2,Matches!$A$5:$A$19,0)),INDEX(Matches!$AJ$5:$AJ$19,MATCH($C2,Matches!$A$5:$A$19,0))),""))</f>
        <v>0</v>
      </c>
      <c r="AU2" s="10" t="str">
        <f aca="false">IF($AS2="","",IFERROR(IF(INDEX(Matches!$AP$5:$AP$19,MATCH($C2,Matches!$A$5:$A$19,0))="","",IF($AS2="A",INDEX(Matches!$AP$5:$AP$19,MATCH($C2,Matches!$A$5:$A$19,0)),1-INDEX(Matches!$AP$5:$AP$19,MATCH($C2,Matches!$A$5:$A$19,0)))),""))</f>
        <v/>
      </c>
      <c r="AV2" s="13" t="n">
        <f aca="false">IF(OR($AU2="",$AT2=""),1,((Config!$B$14*$AU2+Config!$B$15*(1-$AU2))/(Config!$B$14*$AT2+Config!$B$15*(1-$AT2)))^Config!$B$13)</f>
        <v>1</v>
      </c>
      <c r="AW2" s="10" t="str">
        <f aca="false">IF($AS2="","",IFERROR(IF(INDEX(Matches!$AV$5:$AV$19,MATCH($C2,Matches!$A$5:$A$19,0))="","",IF($AS2="A",INDEX(Matches!$AV$5:$AV$19,MATCH($C2,Matches!$A$5:$A$19,0)),1-INDEX(Matches!$AV$5:$AV$19,MATCH($C2,Matches!$A$5:$A$19,0)))),""))</f>
        <v/>
      </c>
      <c r="AX2" s="13" t="n">
        <f aca="false">IF(OR($AW2="",$AT2=""),1,((Config!$B$14*$AW2+Config!$B$15*(1-$AW2))/(Config!$B$14*$AT2+Config!$B$15*(1-$AT2)))^Config!$B$13)</f>
        <v>1</v>
      </c>
      <c r="AY2" s="10" t="str">
        <f aca="false">IF($AS2="","",IFERROR(IF(INDEX(Matches!$BB$5:$BB$19,MATCH($C2,Matches!$A$5:$A$19,0))="","",IF($AS2="A",INDEX(Matches!$BB$5:$BB$19,MATCH($C2,Matches!$A$5:$A$19,0)),1-INDEX(Matches!$BB$5:$BB$19,MATCH($C2,Matches!$A$5:$A$19,0)))),""))</f>
        <v/>
      </c>
      <c r="AZ2" s="13" t="n">
        <f aca="false">IF(OR($AY2="",$AT2=""),1,((Config!$B$14*$AY2+Config!$B$15*(1-$AY2))/(Config!$B$14*$AT2+Config!$B$15*(1-$AT2)))^Config!$B$13)</f>
        <v>1</v>
      </c>
      <c r="BA2" s="17" t="n">
        <f aca="false">IF(V2="","",V2*$AV2)</f>
        <v>16.1011111111111</v>
      </c>
      <c r="BB2" s="17" t="n">
        <f aca="false">IF(AC2="","",AC2*$AX2)</f>
        <v>14.915625</v>
      </c>
      <c r="BC2" s="17" t="n">
        <f aca="false">IF(AJ2="","",AJ2*$AZ2)</f>
        <v>14.9066666666667</v>
      </c>
      <c r="BD2" s="17" t="n">
        <f aca="false">N(BA2)+N(BB2)</f>
        <v>31.0167361111111</v>
      </c>
      <c r="BE2" s="17" t="n">
        <f aca="false">BD2+N($M2)*N(BC2)</f>
        <v>31.0167361111111</v>
      </c>
      <c r="BF2" s="17" t="n">
        <f aca="false">IF(W2="","",W2*$AV2)</f>
        <v>5.19976438271605</v>
      </c>
      <c r="BG2" s="17" t="n">
        <f aca="false">IF(AD2="","",AD2*$AX2)</f>
        <v>4.580961328125</v>
      </c>
      <c r="BH2" s="17" t="n">
        <f aca="false">IF(AK2="","",AK2*$AZ2)</f>
        <v>5.02023407407407</v>
      </c>
      <c r="BI2" s="17" t="n">
        <f aca="false">IF(BF2="","",N(BF2)+N(BG2))</f>
        <v>9.78072571084105</v>
      </c>
      <c r="BJ2" s="17" t="n">
        <f aca="false">IF(BI2="","",BI2+N($M2)*N(BH2))</f>
        <v>9.78072571084105</v>
      </c>
      <c r="BK2" s="13" t="n">
        <f aca="false">IFERROR(BD2/AL2,1)</f>
        <v>1</v>
      </c>
    </row>
    <row r="3" customFormat="false" ht="15" hidden="false" customHeight="false" outlineLevel="0" collapsed="false">
      <c r="A3" s="0" t="s">
        <v>1115</v>
      </c>
      <c r="B3" s="0" t="s">
        <v>988</v>
      </c>
      <c r="C3" s="0" t="s">
        <v>1021</v>
      </c>
      <c r="D3" s="0" t="s">
        <v>1026</v>
      </c>
      <c r="E3" s="0" t="s">
        <v>1113</v>
      </c>
      <c r="F3" s="0" t="s">
        <v>1456</v>
      </c>
      <c r="G3" s="0" t="str">
        <f aca="false">IFERROR(IF(INDEX(Matches!$W$5:$W$19,MATCH($C3,Matches!$A$5:$A$19,0))="","",INDEX(Matches!$W$5:$W$19,MATCH($C3,Matches!$A$5:$A$19,0))),"")</f>
        <v>Dust2</v>
      </c>
      <c r="H3" s="0" t="str">
        <f aca="false">IFERROR(IF(INDEX(Matches!$X$5:$X$19,MATCH($C3,Matches!$A$5:$A$19,0))="","",INDEX(Matches!$X$5:$X$19,MATCH($C3,Matches!$A$5:$A$19,0))),"")</f>
        <v>Ancient</v>
      </c>
      <c r="I3" s="0" t="str">
        <f aca="false">IFERROR(IF(INDEX(Matches!$Y$5:$Y$19,MATCH($C3,Matches!$A$5:$A$19,0))="","",INDEX(Matches!$Y$5:$Y$19,MATCH($C3,Matches!$A$5:$A$19,0))),"")</f>
        <v>Inferno</v>
      </c>
      <c r="J3" s="11" t="n">
        <f aca="false">IFERROR(IF(INDEX(Matches!$Z$5:$Z$19,MATCH($C3,Matches!$A$5:$A$19,0))="","",INDEX(Matches!$Z$5:$Z$19,MATCH($C3,Matches!$A$5:$A$19,0))),"")</f>
        <v>21.5</v>
      </c>
      <c r="K3" s="11" t="n">
        <f aca="false">IFERROR(IF(INDEX(Matches!$AA$5:$AA$19,MATCH($C3,Matches!$A$5:$A$19,0))="","",INDEX(Matches!$AA$5:$AA$19,MATCH($C3,Matches!$A$5:$A$19,0))),"")</f>
        <v>21.5</v>
      </c>
      <c r="L3" s="11" t="n">
        <f aca="false">IFERROR(IF(INDEX(Matches!$AB$5:$AB$19,MATCH($C3,Matches!$A$5:$A$19,0))="","",INDEX(Matches!$AB$5:$AB$19,MATCH($C3,Matches!$A$5:$A$19,0))),"")</f>
        <v>21.5</v>
      </c>
      <c r="M3" s="10" t="n">
        <f aca="false">IFERROR(IF(INDEX(Matches!$AC$5:$AC$19,MATCH($C3,Matches!$A$5:$A$19,0))="","",INDEX(Matches!$AC$5:$AC$19,MATCH($C3,Matches!$A$5:$A$19,0))),"")</f>
        <v>0</v>
      </c>
      <c r="N3" s="9" t="n">
        <f aca="false">IFERROR(INDEX(Players!$F$2:$F$124,MATCH($F3,Players!$A$2:$A$124,0)),0)</f>
        <v>35</v>
      </c>
      <c r="O3" s="13" t="n">
        <f aca="false">IFERROR(1/(1/INDEX(Players!$H$2:$H$124,MATCH($F3,Players!$A$2:$A$124,0))),"")</f>
        <v>0.64</v>
      </c>
      <c r="P3" s="10" t="n">
        <f aca="false">IFERROR(1/(1/INDEX(Players!$I$2:$I$124,MATCH($F3,Players!$A$2:$A$124,0))),"")</f>
        <v>0.529</v>
      </c>
      <c r="Q3" s="9" t="n">
        <f aca="false">IF($G3="",0,SUMIFS(Map_Stats!$F$2:$F$779,Map_Stats!$A$2:$A$779,$F3&amp;"|"&amp;$G3))</f>
        <v>7</v>
      </c>
      <c r="R3" s="13" t="n">
        <f aca="false">IF($G3="","",IFERROR(1/(1/INDEX(Map_Stats!$K$2:$K$779,MATCH($F3&amp;"|"&amp;$G3,Map_Stats!$A$2:$A$779,0))),$O3))</f>
        <v>0.61</v>
      </c>
      <c r="S3" s="10" t="n">
        <f aca="false">IF(OR($G3="",$P3=""),"",IFERROR(1/(1/INDEX(Map_Stats!$I$2:$I$779,MATCH($F3&amp;"|"&amp;$G3,Map_Stats!$A$2:$A$779,0))),$P3))</f>
        <v>0.495</v>
      </c>
      <c r="T3" s="13" t="n">
        <f aca="false">IF(OR($G3="",R3=""),"",IF($O3="",R3,(Q3*R3+Config!$B$4*$O3)/(Q3+Config!$B$4)))</f>
        <v>0.6225</v>
      </c>
      <c r="U3" s="10" t="n">
        <f aca="false">IF(S3="","",(Q3*S3+Config!$B$4*$P3)/(Q3+Config!$B$4))</f>
        <v>0.509166666666667</v>
      </c>
      <c r="V3" s="17" t="n">
        <f aca="false">IF(OR(T3="",$J3=""),"",T3*$J3*($J3/Config!$B$10)^Config!$B$9)</f>
        <v>13.38375</v>
      </c>
      <c r="W3" s="17" t="n">
        <f aca="false">IF(OR(V3="",U3=""),"",V3*U3)</f>
        <v>6.814559375</v>
      </c>
      <c r="X3" s="9" t="n">
        <f aca="false">IF($H3="",0,SUMIFS(Map_Stats!$F$2:$F$779,Map_Stats!$A$2:$A$779,$F3&amp;"|"&amp;$H3))</f>
        <v>8</v>
      </c>
      <c r="Y3" s="13" t="n">
        <f aca="false">IF($H3="","",IFERROR(1/(1/INDEX(Map_Stats!$K$2:$K$779,MATCH($F3&amp;"|"&amp;$H3,Map_Stats!$A$2:$A$779,0))),$O3))</f>
        <v>0.78</v>
      </c>
      <c r="Z3" s="10" t="n">
        <f aca="false">IF(OR($H3="",$P3=""),"",IFERROR(1/(1/INDEX(Map_Stats!$I$2:$I$779,MATCH($F3&amp;"|"&amp;$H3,Map_Stats!$A$2:$A$779,0))),$P3))</f>
        <v>0.519</v>
      </c>
      <c r="AA3" s="13" t="n">
        <f aca="false">IF(OR($H3="",Y3=""),"",IF($O3="",Y3,(X3*Y3+Config!$B$4*$O3)/(X3+Config!$B$4)))</f>
        <v>0.726153846153846</v>
      </c>
      <c r="AB3" s="10" t="n">
        <f aca="false">IF(Z3="","",(X3*Z3+Config!$B$4*$P3)/(X3+Config!$B$4))</f>
        <v>0.522846153846154</v>
      </c>
      <c r="AC3" s="17" t="n">
        <f aca="false">IF(OR(AA3="",$K3=""),"",AA3*$K3*($K3/Config!$B$10)^Config!$B$9)</f>
        <v>15.6123076923077</v>
      </c>
      <c r="AD3" s="17" t="n">
        <f aca="false">IF(OR(AC3="",AB3=""),"",AC3*AB3)</f>
        <v>8.1628350295858</v>
      </c>
      <c r="AE3" s="9" t="n">
        <f aca="false">IF($I3="",0,SUMIFS(Map_Stats!$F$2:$F$779,Map_Stats!$A$2:$A$779,$F3&amp;"|"&amp;$I3))</f>
        <v>7</v>
      </c>
      <c r="AF3" s="13" t="n">
        <f aca="false">IF($I3="","",IFERROR(1/(1/INDEX(Map_Stats!$K$2:$K$779,MATCH($F3&amp;"|"&amp;$I3,Map_Stats!$A$2:$A$779,0))),$O3))</f>
        <v>0.63</v>
      </c>
      <c r="AG3" s="10" t="n">
        <f aca="false">IF(OR($I3="",$P3=""),"",IFERROR(1/(1/INDEX(Map_Stats!$I$2:$I$779,MATCH($F3&amp;"|"&amp;$I3,Map_Stats!$A$2:$A$779,0))),$P3))</f>
        <v>0.49</v>
      </c>
      <c r="AH3" s="13" t="n">
        <f aca="false">IF(OR($I3="",AF3=""),"",IF($O3="",AF3,(AE3*AF3+Config!$B$4*$O3)/(AE3+Config!$B$4)))</f>
        <v>0.634166666666667</v>
      </c>
      <c r="AI3" s="10" t="n">
        <f aca="false">IF(AG3="","",(AE3*AG3+Config!$B$4*$P3)/(AE3+Config!$B$4))</f>
        <v>0.50625</v>
      </c>
      <c r="AJ3" s="17" t="n">
        <f aca="false">IF(OR(AH3="",$L3=""),"",AH3*$L3*($L3/Config!$B$10)^Config!$B$9)</f>
        <v>13.6345833333333</v>
      </c>
      <c r="AK3" s="17" t="n">
        <f aca="false">IF(OR(AJ3="",AI3=""),"",AJ3*AI3)</f>
        <v>6.9025078125</v>
      </c>
      <c r="AL3" s="17" t="n">
        <f aca="false">N(V3)+N(AC3)</f>
        <v>28.9960576923077</v>
      </c>
      <c r="AM3" s="17" t="n">
        <f aca="false">AL3+N($M3)*N(AJ3)</f>
        <v>28.9960576923077</v>
      </c>
      <c r="AN3" s="17" t="n">
        <f aca="false">IF(W3="","",N(W3)+N(AD3))</f>
        <v>14.9773944045858</v>
      </c>
      <c r="AO3" s="17" t="n">
        <f aca="false">IF(AN3="","",AN3+N($M3)*N(AK3))</f>
        <v>14.9773944045858</v>
      </c>
      <c r="AP3" s="10" t="n">
        <f aca="false">IFERROR(AN3/AL3,"")</f>
        <v>0.51653209424256</v>
      </c>
      <c r="AQ3" s="0" t="str">
        <f aca="false">TRIM(IF($N3&lt;Config!$B$12,"thin sample ("&amp;$N3&amp;" maps) · ","")&amp;IF(AND($G3&lt;&gt;"",Q3=0),"M1 unplayed→overall KPR · ","")&amp;IF(AND($H3&lt;&gt;"",X3=0),"M2 unplayed→overall KPR · ","")&amp;IF($O3="","no PickFinder stats",""))</f>
        <v/>
      </c>
      <c r="AR3" s="0" t="str">
        <f aca="false">IF($C3=Board!$B$2,COUNTIFS($C$2:$C$124,Board!$B$2,$AL$2:$AL$124,"&gt;"&amp;$AL3)+COUNTIFS($C$1:$C2,Board!$B$2,$AL$1:$AL2,$AL3)+1,"")</f>
        <v/>
      </c>
      <c r="AS3" s="0" t="str">
        <f aca="false">IFERROR(IF($D3=INDEX(Matches!$AD$5:$AD$19,MATCH($C3,Matches!$A$5:$A$19,0)),"A",IF($D3=INDEX(Matches!$AE$5:$AE$19,MATCH($C3,Matches!$A$5:$A$19,0)),"B","")),"")</f>
        <v>B</v>
      </c>
      <c r="AT3" s="10" t="n">
        <f aca="false">IF($AS3="","",IFERROR(IF($AS3="A",INDEX(Matches!$AI$5:$AI$19,MATCH($C3,Matches!$A$5:$A$19,0)),INDEX(Matches!$AJ$5:$AJ$19,MATCH($C3,Matches!$A$5:$A$19,0))),""))</f>
        <v>0</v>
      </c>
      <c r="AU3" s="10" t="str">
        <f aca="false">IF($AS3="","",IFERROR(IF(INDEX(Matches!$AP$5:$AP$19,MATCH($C3,Matches!$A$5:$A$19,0))="","",IF($AS3="A",INDEX(Matches!$AP$5:$AP$19,MATCH($C3,Matches!$A$5:$A$19,0)),1-INDEX(Matches!$AP$5:$AP$19,MATCH($C3,Matches!$A$5:$A$19,0)))),""))</f>
        <v/>
      </c>
      <c r="AV3" s="13" t="n">
        <f aca="false">IF(OR($AU3="",$AT3=""),1,((Config!$B$14*$AU3+Config!$B$15*(1-$AU3))/(Config!$B$14*$AT3+Config!$B$15*(1-$AT3)))^Config!$B$13)</f>
        <v>1</v>
      </c>
      <c r="AW3" s="10" t="str">
        <f aca="false">IF($AS3="","",IFERROR(IF(INDEX(Matches!$AV$5:$AV$19,MATCH($C3,Matches!$A$5:$A$19,0))="","",IF($AS3="A",INDEX(Matches!$AV$5:$AV$19,MATCH($C3,Matches!$A$5:$A$19,0)),1-INDEX(Matches!$AV$5:$AV$19,MATCH($C3,Matches!$A$5:$A$19,0)))),""))</f>
        <v/>
      </c>
      <c r="AX3" s="13" t="n">
        <f aca="false">IF(OR($AW3="",$AT3=""),1,((Config!$B$14*$AW3+Config!$B$15*(1-$AW3))/(Config!$B$14*$AT3+Config!$B$15*(1-$AT3)))^Config!$B$13)</f>
        <v>1</v>
      </c>
      <c r="AY3" s="10" t="str">
        <f aca="false">IF($AS3="","",IFERROR(IF(INDEX(Matches!$BB$5:$BB$19,MATCH($C3,Matches!$A$5:$A$19,0))="","",IF($AS3="A",INDEX(Matches!$BB$5:$BB$19,MATCH($C3,Matches!$A$5:$A$19,0)),1-INDEX(Matches!$BB$5:$BB$19,MATCH($C3,Matches!$A$5:$A$19,0)))),""))</f>
        <v/>
      </c>
      <c r="AZ3" s="13" t="n">
        <f aca="false">IF(OR($AY3="",$AT3=""),1,((Config!$B$14*$AY3+Config!$B$15*(1-$AY3))/(Config!$B$14*$AT3+Config!$B$15*(1-$AT3)))^Config!$B$13)</f>
        <v>1</v>
      </c>
      <c r="BA3" s="17" t="n">
        <f aca="false">IF(V3="","",V3*$AV3)</f>
        <v>13.38375</v>
      </c>
      <c r="BB3" s="17" t="n">
        <f aca="false">IF(AC3="","",AC3*$AX3)</f>
        <v>15.6123076923077</v>
      </c>
      <c r="BC3" s="17" t="n">
        <f aca="false">IF(AJ3="","",AJ3*$AZ3)</f>
        <v>13.6345833333333</v>
      </c>
      <c r="BD3" s="17" t="n">
        <f aca="false">N(BA3)+N(BB3)</f>
        <v>28.9960576923077</v>
      </c>
      <c r="BE3" s="17" t="n">
        <f aca="false">BD3+N($M3)*N(BC3)</f>
        <v>28.9960576923077</v>
      </c>
      <c r="BF3" s="17" t="n">
        <f aca="false">IF(W3="","",W3*$AV3)</f>
        <v>6.814559375</v>
      </c>
      <c r="BG3" s="17" t="n">
        <f aca="false">IF(AD3="","",AD3*$AX3)</f>
        <v>8.1628350295858</v>
      </c>
      <c r="BH3" s="17" t="n">
        <f aca="false">IF(AK3="","",AK3*$AZ3)</f>
        <v>6.9025078125</v>
      </c>
      <c r="BI3" s="17" t="n">
        <f aca="false">IF(BF3="","",N(BF3)+N(BG3))</f>
        <v>14.9773944045858</v>
      </c>
      <c r="BJ3" s="17" t="n">
        <f aca="false">IF(BI3="","",BI3+N($M3)*N(BH3))</f>
        <v>14.9773944045858</v>
      </c>
      <c r="BK3" s="13" t="n">
        <f aca="false">IFERROR(BD3/AL3,1)</f>
        <v>1</v>
      </c>
    </row>
    <row r="4" customFormat="false" ht="15" hidden="false" customHeight="false" outlineLevel="0" collapsed="false">
      <c r="A4" s="0" t="s">
        <v>1119</v>
      </c>
      <c r="B4" s="0" t="s">
        <v>988</v>
      </c>
      <c r="C4" s="0" t="s">
        <v>1021</v>
      </c>
      <c r="D4" s="0" t="s">
        <v>1026</v>
      </c>
      <c r="E4" s="0" t="s">
        <v>1117</v>
      </c>
      <c r="F4" s="0" t="s">
        <v>1457</v>
      </c>
      <c r="G4" s="0" t="str">
        <f aca="false">IFERROR(IF(INDEX(Matches!$W$5:$W$19,MATCH($C4,Matches!$A$5:$A$19,0))="","",INDEX(Matches!$W$5:$W$19,MATCH($C4,Matches!$A$5:$A$19,0))),"")</f>
        <v>Dust2</v>
      </c>
      <c r="H4" s="0" t="str">
        <f aca="false">IFERROR(IF(INDEX(Matches!$X$5:$X$19,MATCH($C4,Matches!$A$5:$A$19,0))="","",INDEX(Matches!$X$5:$X$19,MATCH($C4,Matches!$A$5:$A$19,0))),"")</f>
        <v>Ancient</v>
      </c>
      <c r="I4" s="0" t="str">
        <f aca="false">IFERROR(IF(INDEX(Matches!$Y$5:$Y$19,MATCH($C4,Matches!$A$5:$A$19,0))="","",INDEX(Matches!$Y$5:$Y$19,MATCH($C4,Matches!$A$5:$A$19,0))),"")</f>
        <v>Inferno</v>
      </c>
      <c r="J4" s="11" t="n">
        <f aca="false">IFERROR(IF(INDEX(Matches!$Z$5:$Z$19,MATCH($C4,Matches!$A$5:$A$19,0))="","",INDEX(Matches!$Z$5:$Z$19,MATCH($C4,Matches!$A$5:$A$19,0))),"")</f>
        <v>21.5</v>
      </c>
      <c r="K4" s="11" t="n">
        <f aca="false">IFERROR(IF(INDEX(Matches!$AA$5:$AA$19,MATCH($C4,Matches!$A$5:$A$19,0))="","",INDEX(Matches!$AA$5:$AA$19,MATCH($C4,Matches!$A$5:$A$19,0))),"")</f>
        <v>21.5</v>
      </c>
      <c r="L4" s="11" t="n">
        <f aca="false">IFERROR(IF(INDEX(Matches!$AB$5:$AB$19,MATCH($C4,Matches!$A$5:$A$19,0))="","",INDEX(Matches!$AB$5:$AB$19,MATCH($C4,Matches!$A$5:$A$19,0))),"")</f>
        <v>21.5</v>
      </c>
      <c r="M4" s="10" t="n">
        <f aca="false">IFERROR(IF(INDEX(Matches!$AC$5:$AC$19,MATCH($C4,Matches!$A$5:$A$19,0))="","",INDEX(Matches!$AC$5:$AC$19,MATCH($C4,Matches!$A$5:$A$19,0))),"")</f>
        <v>0</v>
      </c>
      <c r="N4" s="9" t="n">
        <f aca="false">IFERROR(INDEX(Players!$F$2:$F$124,MATCH($F4,Players!$A$2:$A$124,0)),0)</f>
        <v>35</v>
      </c>
      <c r="O4" s="13" t="n">
        <f aca="false">IFERROR(1/(1/INDEX(Players!$H$2:$H$124,MATCH($F4,Players!$A$2:$A$124,0))),"")</f>
        <v>0.67</v>
      </c>
      <c r="P4" s="10" t="n">
        <f aca="false">IFERROR(1/(1/INDEX(Players!$I$2:$I$124,MATCH($F4,Players!$A$2:$A$124,0))),"")</f>
        <v>0.525</v>
      </c>
      <c r="Q4" s="9" t="n">
        <f aca="false">IF($G4="",0,SUMIFS(Map_Stats!$F$2:$F$779,Map_Stats!$A$2:$A$779,$F4&amp;"|"&amp;$G4))</f>
        <v>7</v>
      </c>
      <c r="R4" s="13" t="n">
        <f aca="false">IF($G4="","",IFERROR(1/(1/INDEX(Map_Stats!$K$2:$K$779,MATCH($F4&amp;"|"&amp;$G4,Map_Stats!$A$2:$A$779,0))),$O4))</f>
        <v>0.8</v>
      </c>
      <c r="S4" s="10" t="n">
        <f aca="false">IF(OR($G4="",$P4=""),"",IFERROR(1/(1/INDEX(Map_Stats!$I$2:$I$779,MATCH($F4&amp;"|"&amp;$G4,Map_Stats!$A$2:$A$779,0))),$P4))</f>
        <v>0.586</v>
      </c>
      <c r="T4" s="13" t="n">
        <f aca="false">IF(OR($G4="",R4=""),"",IF($O4="",R4,(Q4*R4+Config!$B$4*$O4)/(Q4+Config!$B$4)))</f>
        <v>0.745833333333334</v>
      </c>
      <c r="U4" s="10" t="n">
        <f aca="false">IF(S4="","",(Q4*S4+Config!$B$4*$P4)/(Q4+Config!$B$4))</f>
        <v>0.560583333333333</v>
      </c>
      <c r="V4" s="17" t="n">
        <f aca="false">IF(OR(T4="",$J4=""),"",T4*$J4*($J4/Config!$B$10)^Config!$B$9)</f>
        <v>16.0354166666667</v>
      </c>
      <c r="W4" s="17" t="n">
        <f aca="false">IF(OR(V4="",U4=""),"",V4*U4)</f>
        <v>8.98918732638889</v>
      </c>
      <c r="X4" s="9" t="n">
        <f aca="false">IF($H4="",0,SUMIFS(Map_Stats!$F$2:$F$779,Map_Stats!$A$2:$A$779,$F4&amp;"|"&amp;$H4))</f>
        <v>8</v>
      </c>
      <c r="Y4" s="13" t="n">
        <f aca="false">IF($H4="","",IFERROR(1/(1/INDEX(Map_Stats!$K$2:$K$779,MATCH($F4&amp;"|"&amp;$H4,Map_Stats!$A$2:$A$779,0))),$O4))</f>
        <v>0.66</v>
      </c>
      <c r="Z4" s="10" t="n">
        <f aca="false">IF(OR($H4="",$P4=""),"",IFERROR(1/(1/INDEX(Map_Stats!$I$2:$I$779,MATCH($F4&amp;"|"&amp;$H4,Map_Stats!$A$2:$A$779,0))),$P4))</f>
        <v>0.482</v>
      </c>
      <c r="AA4" s="13" t="n">
        <f aca="false">IF(OR($H4="",Y4=""),"",IF($O4="",Y4,(X4*Y4+Config!$B$4*$O4)/(X4+Config!$B$4)))</f>
        <v>0.663846153846154</v>
      </c>
      <c r="AB4" s="10" t="n">
        <f aca="false">IF(Z4="","",(X4*Z4+Config!$B$4*$P4)/(X4+Config!$B$4))</f>
        <v>0.498538461538462</v>
      </c>
      <c r="AC4" s="17" t="n">
        <f aca="false">IF(OR(AA4="",$K4=""),"",AA4*$K4*($K4/Config!$B$10)^Config!$B$9)</f>
        <v>14.2726923076923</v>
      </c>
      <c r="AD4" s="17" t="n">
        <f aca="false">IF(OR(AC4="",AB4=""),"",AC4*AB4)</f>
        <v>7.11548606508876</v>
      </c>
      <c r="AE4" s="9" t="n">
        <f aca="false">IF($I4="",0,SUMIFS(Map_Stats!$F$2:$F$779,Map_Stats!$A$2:$A$779,$F4&amp;"|"&amp;$I4))</f>
        <v>7</v>
      </c>
      <c r="AF4" s="13" t="n">
        <f aca="false">IF($I4="","",IFERROR(1/(1/INDEX(Map_Stats!$K$2:$K$779,MATCH($F4&amp;"|"&amp;$I4,Map_Stats!$A$2:$A$779,0))),$O4))</f>
        <v>0.67</v>
      </c>
      <c r="AG4" s="10" t="n">
        <f aca="false">IF(OR($I4="",$P4=""),"",IFERROR(1/(1/INDEX(Map_Stats!$I$2:$I$779,MATCH($F4&amp;"|"&amp;$I4,Map_Stats!$A$2:$A$779,0))),$P4))</f>
        <v>0.476</v>
      </c>
      <c r="AH4" s="13" t="n">
        <f aca="false">IF(OR($I4="",AF4=""),"",IF($O4="",AF4,(AE4*AF4+Config!$B$4*$O4)/(AE4+Config!$B$4)))</f>
        <v>0.67</v>
      </c>
      <c r="AI4" s="10" t="n">
        <f aca="false">IF(AG4="","",(AE4*AG4+Config!$B$4*$P4)/(AE4+Config!$B$4))</f>
        <v>0.496416666666667</v>
      </c>
      <c r="AJ4" s="17" t="n">
        <f aca="false">IF(OR(AH4="",$L4=""),"",AH4*$L4*($L4/Config!$B$10)^Config!$B$9)</f>
        <v>14.405</v>
      </c>
      <c r="AK4" s="17" t="n">
        <f aca="false">IF(OR(AJ4="",AI4=""),"",AJ4*AI4)</f>
        <v>7.15088208333333</v>
      </c>
      <c r="AL4" s="17" t="n">
        <f aca="false">N(V4)+N(AC4)</f>
        <v>30.308108974359</v>
      </c>
      <c r="AM4" s="17" t="n">
        <f aca="false">AL4+N($M4)*N(AJ4)</f>
        <v>30.308108974359</v>
      </c>
      <c r="AN4" s="17" t="n">
        <f aca="false">IF(W4="","",N(W4)+N(AD4))</f>
        <v>16.1046733914776</v>
      </c>
      <c r="AO4" s="17" t="n">
        <f aca="false">IF(AN4="","",AN4+N($M4)*N(AK4))</f>
        <v>16.1046733914776</v>
      </c>
      <c r="AP4" s="10" t="n">
        <f aca="false">IFERROR(AN4/AL4,"")</f>
        <v>0.531365167160458</v>
      </c>
      <c r="AQ4" s="0" t="str">
        <f aca="false">TRIM(IF($N4&lt;Config!$B$12,"thin sample ("&amp;$N4&amp;" maps) · ","")&amp;IF(AND($G4&lt;&gt;"",Q4=0),"M1 unplayed→overall KPR · ","")&amp;IF(AND($H4&lt;&gt;"",X4=0),"M2 unplayed→overall KPR · ","")&amp;IF($O4="","no PickFinder stats",""))</f>
        <v/>
      </c>
      <c r="AR4" s="0" t="str">
        <f aca="false">IF($C4=Board!$B$2,COUNTIFS($C$2:$C$124,Board!$B$2,$AL$2:$AL$124,"&gt;"&amp;$AL4)+COUNTIFS($C$1:$C3,Board!$B$2,$AL$1:$AL3,$AL4)+1,"")</f>
        <v/>
      </c>
      <c r="AS4" s="0" t="str">
        <f aca="false">IFERROR(IF($D4=INDEX(Matches!$AD$5:$AD$19,MATCH($C4,Matches!$A$5:$A$19,0)),"A",IF($D4=INDEX(Matches!$AE$5:$AE$19,MATCH($C4,Matches!$A$5:$A$19,0)),"B","")),"")</f>
        <v>B</v>
      </c>
      <c r="AT4" s="10" t="n">
        <f aca="false">IF($AS4="","",IFERROR(IF($AS4="A",INDEX(Matches!$AI$5:$AI$19,MATCH($C4,Matches!$A$5:$A$19,0)),INDEX(Matches!$AJ$5:$AJ$19,MATCH($C4,Matches!$A$5:$A$19,0))),""))</f>
        <v>0</v>
      </c>
      <c r="AU4" s="10" t="str">
        <f aca="false">IF($AS4="","",IFERROR(IF(INDEX(Matches!$AP$5:$AP$19,MATCH($C4,Matches!$A$5:$A$19,0))="","",IF($AS4="A",INDEX(Matches!$AP$5:$AP$19,MATCH($C4,Matches!$A$5:$A$19,0)),1-INDEX(Matches!$AP$5:$AP$19,MATCH($C4,Matches!$A$5:$A$19,0)))),""))</f>
        <v/>
      </c>
      <c r="AV4" s="13" t="n">
        <f aca="false">IF(OR($AU4="",$AT4=""),1,((Config!$B$14*$AU4+Config!$B$15*(1-$AU4))/(Config!$B$14*$AT4+Config!$B$15*(1-$AT4)))^Config!$B$13)</f>
        <v>1</v>
      </c>
      <c r="AW4" s="10" t="str">
        <f aca="false">IF($AS4="","",IFERROR(IF(INDEX(Matches!$AV$5:$AV$19,MATCH($C4,Matches!$A$5:$A$19,0))="","",IF($AS4="A",INDEX(Matches!$AV$5:$AV$19,MATCH($C4,Matches!$A$5:$A$19,0)),1-INDEX(Matches!$AV$5:$AV$19,MATCH($C4,Matches!$A$5:$A$19,0)))),""))</f>
        <v/>
      </c>
      <c r="AX4" s="13" t="n">
        <f aca="false">IF(OR($AW4="",$AT4=""),1,((Config!$B$14*$AW4+Config!$B$15*(1-$AW4))/(Config!$B$14*$AT4+Config!$B$15*(1-$AT4)))^Config!$B$13)</f>
        <v>1</v>
      </c>
      <c r="AY4" s="10" t="str">
        <f aca="false">IF($AS4="","",IFERROR(IF(INDEX(Matches!$BB$5:$BB$19,MATCH($C4,Matches!$A$5:$A$19,0))="","",IF($AS4="A",INDEX(Matches!$BB$5:$BB$19,MATCH($C4,Matches!$A$5:$A$19,0)),1-INDEX(Matches!$BB$5:$BB$19,MATCH($C4,Matches!$A$5:$A$19,0)))),""))</f>
        <v/>
      </c>
      <c r="AZ4" s="13" t="n">
        <f aca="false">IF(OR($AY4="",$AT4=""),1,((Config!$B$14*$AY4+Config!$B$15*(1-$AY4))/(Config!$B$14*$AT4+Config!$B$15*(1-$AT4)))^Config!$B$13)</f>
        <v>1</v>
      </c>
      <c r="BA4" s="17" t="n">
        <f aca="false">IF(V4="","",V4*$AV4)</f>
        <v>16.0354166666667</v>
      </c>
      <c r="BB4" s="17" t="n">
        <f aca="false">IF(AC4="","",AC4*$AX4)</f>
        <v>14.2726923076923</v>
      </c>
      <c r="BC4" s="17" t="n">
        <f aca="false">IF(AJ4="","",AJ4*$AZ4)</f>
        <v>14.405</v>
      </c>
      <c r="BD4" s="17" t="n">
        <f aca="false">N(BA4)+N(BB4)</f>
        <v>30.308108974359</v>
      </c>
      <c r="BE4" s="17" t="n">
        <f aca="false">BD4+N($M4)*N(BC4)</f>
        <v>30.308108974359</v>
      </c>
      <c r="BF4" s="17" t="n">
        <f aca="false">IF(W4="","",W4*$AV4)</f>
        <v>8.98918732638889</v>
      </c>
      <c r="BG4" s="17" t="n">
        <f aca="false">IF(AD4="","",AD4*$AX4)</f>
        <v>7.11548606508876</v>
      </c>
      <c r="BH4" s="17" t="n">
        <f aca="false">IF(AK4="","",AK4*$AZ4)</f>
        <v>7.15088208333333</v>
      </c>
      <c r="BI4" s="17" t="n">
        <f aca="false">IF(BF4="","",N(BF4)+N(BG4))</f>
        <v>16.1046733914776</v>
      </c>
      <c r="BJ4" s="17" t="n">
        <f aca="false">IF(BI4="","",BI4+N($M4)*N(BH4))</f>
        <v>16.1046733914776</v>
      </c>
      <c r="BK4" s="13" t="n">
        <f aca="false">IFERROR(BD4/AL4,1)</f>
        <v>1</v>
      </c>
    </row>
    <row r="5" customFormat="false" ht="15" hidden="false" customHeight="false" outlineLevel="0" collapsed="false">
      <c r="A5" s="0" t="s">
        <v>1122</v>
      </c>
      <c r="B5" s="0" t="s">
        <v>988</v>
      </c>
      <c r="C5" s="0" t="s">
        <v>1021</v>
      </c>
      <c r="D5" s="0" t="s">
        <v>1026</v>
      </c>
      <c r="E5" s="0" t="s">
        <v>1120</v>
      </c>
      <c r="F5" s="0" t="s">
        <v>1458</v>
      </c>
      <c r="G5" s="0" t="str">
        <f aca="false">IFERROR(IF(INDEX(Matches!$W$5:$W$19,MATCH($C5,Matches!$A$5:$A$19,0))="","",INDEX(Matches!$W$5:$W$19,MATCH($C5,Matches!$A$5:$A$19,0))),"")</f>
        <v>Dust2</v>
      </c>
      <c r="H5" s="0" t="str">
        <f aca="false">IFERROR(IF(INDEX(Matches!$X$5:$X$19,MATCH($C5,Matches!$A$5:$A$19,0))="","",INDEX(Matches!$X$5:$X$19,MATCH($C5,Matches!$A$5:$A$19,0))),"")</f>
        <v>Ancient</v>
      </c>
      <c r="I5" s="0" t="str">
        <f aca="false">IFERROR(IF(INDEX(Matches!$Y$5:$Y$19,MATCH($C5,Matches!$A$5:$A$19,0))="","",INDEX(Matches!$Y$5:$Y$19,MATCH($C5,Matches!$A$5:$A$19,0))),"")</f>
        <v>Inferno</v>
      </c>
      <c r="J5" s="11" t="n">
        <f aca="false">IFERROR(IF(INDEX(Matches!$Z$5:$Z$19,MATCH($C5,Matches!$A$5:$A$19,0))="","",INDEX(Matches!$Z$5:$Z$19,MATCH($C5,Matches!$A$5:$A$19,0))),"")</f>
        <v>21.5</v>
      </c>
      <c r="K5" s="11" t="n">
        <f aca="false">IFERROR(IF(INDEX(Matches!$AA$5:$AA$19,MATCH($C5,Matches!$A$5:$A$19,0))="","",INDEX(Matches!$AA$5:$AA$19,MATCH($C5,Matches!$A$5:$A$19,0))),"")</f>
        <v>21.5</v>
      </c>
      <c r="L5" s="11" t="n">
        <f aca="false">IFERROR(IF(INDEX(Matches!$AB$5:$AB$19,MATCH($C5,Matches!$A$5:$A$19,0))="","",INDEX(Matches!$AB$5:$AB$19,MATCH($C5,Matches!$A$5:$A$19,0))),"")</f>
        <v>21.5</v>
      </c>
      <c r="M5" s="10" t="n">
        <f aca="false">IFERROR(IF(INDEX(Matches!$AC$5:$AC$19,MATCH($C5,Matches!$A$5:$A$19,0))="","",INDEX(Matches!$AC$5:$AC$19,MATCH($C5,Matches!$A$5:$A$19,0))),"")</f>
        <v>0</v>
      </c>
      <c r="N5" s="9" t="n">
        <f aca="false">IFERROR(INDEX(Players!$F$2:$F$124,MATCH($F5,Players!$A$2:$A$124,0)),0)</f>
        <v>35</v>
      </c>
      <c r="O5" s="13" t="n">
        <f aca="false">IFERROR(1/(1/INDEX(Players!$H$2:$H$124,MATCH($F5,Players!$A$2:$A$124,0))),"")</f>
        <v>0.63</v>
      </c>
      <c r="P5" s="10" t="n">
        <f aca="false">IFERROR(1/(1/INDEX(Players!$I$2:$I$124,MATCH($F5,Players!$A$2:$A$124,0))),"")</f>
        <v>0.496</v>
      </c>
      <c r="Q5" s="9" t="n">
        <f aca="false">IF($G5="",0,SUMIFS(Map_Stats!$F$2:$F$779,Map_Stats!$A$2:$A$779,$F5&amp;"|"&amp;$G5))</f>
        <v>7</v>
      </c>
      <c r="R5" s="13" t="n">
        <f aca="false">IF($G5="","",IFERROR(1/(1/INDEX(Map_Stats!$K$2:$K$779,MATCH($F5&amp;"|"&amp;$G5,Map_Stats!$A$2:$A$779,0))),$O5))</f>
        <v>0.57</v>
      </c>
      <c r="S5" s="10" t="n">
        <f aca="false">IF(OR($G5="",$P5=""),"",IFERROR(1/(1/INDEX(Map_Stats!$I$2:$I$779,MATCH($F5&amp;"|"&amp;$G5,Map_Stats!$A$2:$A$779,0))),$P5))</f>
        <v>0.516</v>
      </c>
      <c r="T5" s="13" t="n">
        <f aca="false">IF(OR($G5="",R5=""),"",IF($O5="",R5,(Q5*R5+Config!$B$4*$O5)/(Q5+Config!$B$4)))</f>
        <v>0.595</v>
      </c>
      <c r="U5" s="10" t="n">
        <f aca="false">IF(S5="","",(Q5*S5+Config!$B$4*$P5)/(Q5+Config!$B$4))</f>
        <v>0.507666666666667</v>
      </c>
      <c r="V5" s="17" t="n">
        <f aca="false">IF(OR(T5="",$J5=""),"",T5*$J5*($J5/Config!$B$10)^Config!$B$9)</f>
        <v>12.7925</v>
      </c>
      <c r="W5" s="17" t="n">
        <f aca="false">IF(OR(V5="",U5=""),"",V5*U5)</f>
        <v>6.49432583333333</v>
      </c>
      <c r="X5" s="9" t="n">
        <f aca="false">IF($H5="",0,SUMIFS(Map_Stats!$F$2:$F$779,Map_Stats!$A$2:$A$779,$F5&amp;"|"&amp;$H5))</f>
        <v>8</v>
      </c>
      <c r="Y5" s="13" t="n">
        <f aca="false">IF($H5="","",IFERROR(1/(1/INDEX(Map_Stats!$K$2:$K$779,MATCH($F5&amp;"|"&amp;$H5,Map_Stats!$A$2:$A$779,0))),$O5))</f>
        <v>0.69</v>
      </c>
      <c r="Z5" s="10" t="n">
        <f aca="false">IF(OR($H5="",$P5=""),"",IFERROR(1/(1/INDEX(Map_Stats!$I$2:$I$779,MATCH($F5&amp;"|"&amp;$H5,Map_Stats!$A$2:$A$779,0))),$P5))</f>
        <v>0.517</v>
      </c>
      <c r="AA5" s="13" t="n">
        <f aca="false">IF(OR($H5="",Y5=""),"",IF($O5="",Y5,(X5*Y5+Config!$B$4*$O5)/(X5+Config!$B$4)))</f>
        <v>0.666923076923077</v>
      </c>
      <c r="AB5" s="10" t="n">
        <f aca="false">IF(Z5="","",(X5*Z5+Config!$B$4*$P5)/(X5+Config!$B$4))</f>
        <v>0.508923076923077</v>
      </c>
      <c r="AC5" s="17" t="n">
        <f aca="false">IF(OR(AA5="",$K5=""),"",AA5*$K5*($K5/Config!$B$10)^Config!$B$9)</f>
        <v>14.3388461538462</v>
      </c>
      <c r="AD5" s="17" t="n">
        <f aca="false">IF(OR(AC5="",AB5=""),"",AC5*AB5)</f>
        <v>7.29736970414201</v>
      </c>
      <c r="AE5" s="9" t="n">
        <f aca="false">IF($I5="",0,SUMIFS(Map_Stats!$F$2:$F$779,Map_Stats!$A$2:$A$779,$F5&amp;"|"&amp;$I5))</f>
        <v>7</v>
      </c>
      <c r="AF5" s="13" t="n">
        <f aca="false">IF($I5="","",IFERROR(1/(1/INDEX(Map_Stats!$K$2:$K$779,MATCH($F5&amp;"|"&amp;$I5,Map_Stats!$A$2:$A$779,0))),$O5))</f>
        <v>0.59</v>
      </c>
      <c r="AG5" s="10" t="n">
        <f aca="false">IF(OR($I5="",$P5=""),"",IFERROR(1/(1/INDEX(Map_Stats!$I$2:$I$779,MATCH($F5&amp;"|"&amp;$I5,Map_Stats!$A$2:$A$779,0))),$P5))</f>
        <v>0.522</v>
      </c>
      <c r="AH5" s="13" t="n">
        <f aca="false">IF(OR($I5="",AF5=""),"",IF($O5="",AF5,(AE5*AF5+Config!$B$4*$O5)/(AE5+Config!$B$4)))</f>
        <v>0.606666666666667</v>
      </c>
      <c r="AI5" s="10" t="n">
        <f aca="false">IF(AG5="","",(AE5*AG5+Config!$B$4*$P5)/(AE5+Config!$B$4))</f>
        <v>0.511166666666667</v>
      </c>
      <c r="AJ5" s="17" t="n">
        <f aca="false">IF(OR(AH5="",$L5=""),"",AH5*$L5*($L5/Config!$B$10)^Config!$B$9)</f>
        <v>13.0433333333333</v>
      </c>
      <c r="AK5" s="17" t="n">
        <f aca="false">IF(OR(AJ5="",AI5=""),"",AJ5*AI5)</f>
        <v>6.66731722222222</v>
      </c>
      <c r="AL5" s="17" t="n">
        <f aca="false">N(V5)+N(AC5)</f>
        <v>27.1313461538462</v>
      </c>
      <c r="AM5" s="17" t="n">
        <f aca="false">AL5+N($M5)*N(AJ5)</f>
        <v>27.1313461538462</v>
      </c>
      <c r="AN5" s="17" t="n">
        <f aca="false">IF(W5="","",N(W5)+N(AD5))</f>
        <v>13.7916955374753</v>
      </c>
      <c r="AO5" s="17" t="n">
        <f aca="false">IF(AN5="","",AN5+N($M5)*N(AK5))</f>
        <v>13.7916955374753</v>
      </c>
      <c r="AP5" s="10" t="n">
        <f aca="false">IFERROR(AN5/AL5,"")</f>
        <v>0.508330676232231</v>
      </c>
      <c r="AQ5" s="0" t="str">
        <f aca="false">TRIM(IF($N5&lt;Config!$B$12,"thin sample ("&amp;$N5&amp;" maps) · ","")&amp;IF(AND($G5&lt;&gt;"",Q5=0),"M1 unplayed→overall KPR · ","")&amp;IF(AND($H5&lt;&gt;"",X5=0),"M2 unplayed→overall KPR · ","")&amp;IF($O5="","no PickFinder stats",""))</f>
        <v/>
      </c>
      <c r="AR5" s="0" t="str">
        <f aca="false">IF($C5=Board!$B$2,COUNTIFS($C$2:$C$124,Board!$B$2,$AL$2:$AL$124,"&gt;"&amp;$AL5)+COUNTIFS($C$1:$C4,Board!$B$2,$AL$1:$AL4,$AL5)+1,"")</f>
        <v/>
      </c>
      <c r="AS5" s="0" t="str">
        <f aca="false">IFERROR(IF($D5=INDEX(Matches!$AD$5:$AD$19,MATCH($C5,Matches!$A$5:$A$19,0)),"A",IF($D5=INDEX(Matches!$AE$5:$AE$19,MATCH($C5,Matches!$A$5:$A$19,0)),"B","")),"")</f>
        <v>B</v>
      </c>
      <c r="AT5" s="10" t="n">
        <f aca="false">IF($AS5="","",IFERROR(IF($AS5="A",INDEX(Matches!$AI$5:$AI$19,MATCH($C5,Matches!$A$5:$A$19,0)),INDEX(Matches!$AJ$5:$AJ$19,MATCH($C5,Matches!$A$5:$A$19,0))),""))</f>
        <v>0</v>
      </c>
      <c r="AU5" s="10" t="str">
        <f aca="false">IF($AS5="","",IFERROR(IF(INDEX(Matches!$AP$5:$AP$19,MATCH($C5,Matches!$A$5:$A$19,0))="","",IF($AS5="A",INDEX(Matches!$AP$5:$AP$19,MATCH($C5,Matches!$A$5:$A$19,0)),1-INDEX(Matches!$AP$5:$AP$19,MATCH($C5,Matches!$A$5:$A$19,0)))),""))</f>
        <v/>
      </c>
      <c r="AV5" s="13" t="n">
        <f aca="false">IF(OR($AU5="",$AT5=""),1,((Config!$B$14*$AU5+Config!$B$15*(1-$AU5))/(Config!$B$14*$AT5+Config!$B$15*(1-$AT5)))^Config!$B$13)</f>
        <v>1</v>
      </c>
      <c r="AW5" s="10" t="str">
        <f aca="false">IF($AS5="","",IFERROR(IF(INDEX(Matches!$AV$5:$AV$19,MATCH($C5,Matches!$A$5:$A$19,0))="","",IF($AS5="A",INDEX(Matches!$AV$5:$AV$19,MATCH($C5,Matches!$A$5:$A$19,0)),1-INDEX(Matches!$AV$5:$AV$19,MATCH($C5,Matches!$A$5:$A$19,0)))),""))</f>
        <v/>
      </c>
      <c r="AX5" s="13" t="n">
        <f aca="false">IF(OR($AW5="",$AT5=""),1,((Config!$B$14*$AW5+Config!$B$15*(1-$AW5))/(Config!$B$14*$AT5+Config!$B$15*(1-$AT5)))^Config!$B$13)</f>
        <v>1</v>
      </c>
      <c r="AY5" s="10" t="str">
        <f aca="false">IF($AS5="","",IFERROR(IF(INDEX(Matches!$BB$5:$BB$19,MATCH($C5,Matches!$A$5:$A$19,0))="","",IF($AS5="A",INDEX(Matches!$BB$5:$BB$19,MATCH($C5,Matches!$A$5:$A$19,0)),1-INDEX(Matches!$BB$5:$BB$19,MATCH($C5,Matches!$A$5:$A$19,0)))),""))</f>
        <v/>
      </c>
      <c r="AZ5" s="13" t="n">
        <f aca="false">IF(OR($AY5="",$AT5=""),1,((Config!$B$14*$AY5+Config!$B$15*(1-$AY5))/(Config!$B$14*$AT5+Config!$B$15*(1-$AT5)))^Config!$B$13)</f>
        <v>1</v>
      </c>
      <c r="BA5" s="17" t="n">
        <f aca="false">IF(V5="","",V5*$AV5)</f>
        <v>12.7925</v>
      </c>
      <c r="BB5" s="17" t="n">
        <f aca="false">IF(AC5="","",AC5*$AX5)</f>
        <v>14.3388461538462</v>
      </c>
      <c r="BC5" s="17" t="n">
        <f aca="false">IF(AJ5="","",AJ5*$AZ5)</f>
        <v>13.0433333333333</v>
      </c>
      <c r="BD5" s="17" t="n">
        <f aca="false">N(BA5)+N(BB5)</f>
        <v>27.1313461538462</v>
      </c>
      <c r="BE5" s="17" t="n">
        <f aca="false">BD5+N($M5)*N(BC5)</f>
        <v>27.1313461538462</v>
      </c>
      <c r="BF5" s="17" t="n">
        <f aca="false">IF(W5="","",W5*$AV5)</f>
        <v>6.49432583333333</v>
      </c>
      <c r="BG5" s="17" t="n">
        <f aca="false">IF(AD5="","",AD5*$AX5)</f>
        <v>7.29736970414201</v>
      </c>
      <c r="BH5" s="17" t="n">
        <f aca="false">IF(AK5="","",AK5*$AZ5)</f>
        <v>6.66731722222222</v>
      </c>
      <c r="BI5" s="17" t="n">
        <f aca="false">IF(BF5="","",N(BF5)+N(BG5))</f>
        <v>13.7916955374753</v>
      </c>
      <c r="BJ5" s="17" t="n">
        <f aca="false">IF(BI5="","",BI5+N($M5)*N(BH5))</f>
        <v>13.7916955374753</v>
      </c>
      <c r="BK5" s="13" t="n">
        <f aca="false">IFERROR(BD5/AL5,1)</f>
        <v>1</v>
      </c>
    </row>
    <row r="6" customFormat="false" ht="15" hidden="false" customHeight="false" outlineLevel="0" collapsed="false">
      <c r="A6" s="0" t="s">
        <v>1125</v>
      </c>
      <c r="B6" s="0" t="s">
        <v>988</v>
      </c>
      <c r="C6" s="0" t="s">
        <v>1021</v>
      </c>
      <c r="D6" s="0" t="s">
        <v>1026</v>
      </c>
      <c r="E6" s="0" t="s">
        <v>1123</v>
      </c>
      <c r="F6" s="0" t="s">
        <v>1459</v>
      </c>
      <c r="G6" s="0" t="str">
        <f aca="false">IFERROR(IF(INDEX(Matches!$W$5:$W$19,MATCH($C6,Matches!$A$5:$A$19,0))="","",INDEX(Matches!$W$5:$W$19,MATCH($C6,Matches!$A$5:$A$19,0))),"")</f>
        <v>Dust2</v>
      </c>
      <c r="H6" s="0" t="str">
        <f aca="false">IFERROR(IF(INDEX(Matches!$X$5:$X$19,MATCH($C6,Matches!$A$5:$A$19,0))="","",INDEX(Matches!$X$5:$X$19,MATCH($C6,Matches!$A$5:$A$19,0))),"")</f>
        <v>Ancient</v>
      </c>
      <c r="I6" s="0" t="str">
        <f aca="false">IFERROR(IF(INDEX(Matches!$Y$5:$Y$19,MATCH($C6,Matches!$A$5:$A$19,0))="","",INDEX(Matches!$Y$5:$Y$19,MATCH($C6,Matches!$A$5:$A$19,0))),"")</f>
        <v>Inferno</v>
      </c>
      <c r="J6" s="11" t="n">
        <f aca="false">IFERROR(IF(INDEX(Matches!$Z$5:$Z$19,MATCH($C6,Matches!$A$5:$A$19,0))="","",INDEX(Matches!$Z$5:$Z$19,MATCH($C6,Matches!$A$5:$A$19,0))),"")</f>
        <v>21.5</v>
      </c>
      <c r="K6" s="11" t="n">
        <f aca="false">IFERROR(IF(INDEX(Matches!$AA$5:$AA$19,MATCH($C6,Matches!$A$5:$A$19,0))="","",INDEX(Matches!$AA$5:$AA$19,MATCH($C6,Matches!$A$5:$A$19,0))),"")</f>
        <v>21.5</v>
      </c>
      <c r="L6" s="11" t="n">
        <f aca="false">IFERROR(IF(INDEX(Matches!$AB$5:$AB$19,MATCH($C6,Matches!$A$5:$A$19,0))="","",INDEX(Matches!$AB$5:$AB$19,MATCH($C6,Matches!$A$5:$A$19,0))),"")</f>
        <v>21.5</v>
      </c>
      <c r="M6" s="10" t="n">
        <f aca="false">IFERROR(IF(INDEX(Matches!$AC$5:$AC$19,MATCH($C6,Matches!$A$5:$A$19,0))="","",INDEX(Matches!$AC$5:$AC$19,MATCH($C6,Matches!$A$5:$A$19,0))),"")</f>
        <v>0</v>
      </c>
      <c r="N6" s="9" t="n">
        <f aca="false">IFERROR(INDEX(Players!$F$2:$F$124,MATCH($F6,Players!$A$2:$A$124,0)),0)</f>
        <v>39</v>
      </c>
      <c r="O6" s="13" t="n">
        <f aca="false">IFERROR(1/(1/INDEX(Players!$H$2:$H$124,MATCH($F6,Players!$A$2:$A$124,0))),"")</f>
        <v>0.61</v>
      </c>
      <c r="P6" s="10" t="n">
        <f aca="false">IFERROR(1/(1/INDEX(Players!$I$2:$I$124,MATCH($F6,Players!$A$2:$A$124,0))),"")</f>
        <v>0.514</v>
      </c>
      <c r="Q6" s="9" t="n">
        <f aca="false">IF($G6="",0,SUMIFS(Map_Stats!$F$2:$F$779,Map_Stats!$A$2:$A$779,$F6&amp;"|"&amp;$G6))</f>
        <v>13</v>
      </c>
      <c r="R6" s="13" t="n">
        <f aca="false">IF($G6="","",IFERROR(1/(1/INDEX(Map_Stats!$K$2:$K$779,MATCH($F6&amp;"|"&amp;$G6,Map_Stats!$A$2:$A$779,0))),$O6))</f>
        <v>0.49</v>
      </c>
      <c r="S6" s="10" t="n">
        <f aca="false">IF(OR($G6="",$P6=""),"",IFERROR(1/(1/INDEX(Map_Stats!$I$2:$I$779,MATCH($F6&amp;"|"&amp;$G6,Map_Stats!$A$2:$A$779,0))),$P6))</f>
        <v>0.534</v>
      </c>
      <c r="T6" s="13" t="n">
        <f aca="false">IF(OR($G6="",R6=""),"",IF($O6="",R6,(Q6*R6+Config!$B$4*$O6)/(Q6+Config!$B$4)))</f>
        <v>0.523333333333333</v>
      </c>
      <c r="U6" s="10" t="n">
        <f aca="false">IF(S6="","",(Q6*S6+Config!$B$4*$P6)/(Q6+Config!$B$4))</f>
        <v>0.528444444444445</v>
      </c>
      <c r="V6" s="17" t="n">
        <f aca="false">IF(OR(T6="",$J6=""),"",T6*$J6*($J6/Config!$B$10)^Config!$B$9)</f>
        <v>11.2516666666667</v>
      </c>
      <c r="W6" s="17" t="n">
        <f aca="false">IF(OR(V6="",U6=""),"",V6*U6)</f>
        <v>5.94588074074074</v>
      </c>
      <c r="X6" s="9" t="n">
        <f aca="false">IF($H6="",0,SUMIFS(Map_Stats!$F$2:$F$779,Map_Stats!$A$2:$A$779,$F6&amp;"|"&amp;$H6))</f>
        <v>7</v>
      </c>
      <c r="Y6" s="13" t="n">
        <f aca="false">IF($H6="","",IFERROR(1/(1/INDEX(Map_Stats!$K$2:$K$779,MATCH($F6&amp;"|"&amp;$H6,Map_Stats!$A$2:$A$779,0))),$O6))</f>
        <v>0.63</v>
      </c>
      <c r="Z6" s="10" t="n">
        <f aca="false">IF(OR($H6="",$P6=""),"",IFERROR(1/(1/INDEX(Map_Stats!$I$2:$I$779,MATCH($F6&amp;"|"&amp;$H6,Map_Stats!$A$2:$A$779,0))),$P6))</f>
        <v>0.473</v>
      </c>
      <c r="AA6" s="13" t="n">
        <f aca="false">IF(OR($H6="",Y6=""),"",IF($O6="",Y6,(X6*Y6+Config!$B$4*$O6)/(X6+Config!$B$4)))</f>
        <v>0.621666666666667</v>
      </c>
      <c r="AB6" s="10" t="n">
        <f aca="false">IF(Z6="","",(X6*Z6+Config!$B$4*$P6)/(X6+Config!$B$4))</f>
        <v>0.490083333333333</v>
      </c>
      <c r="AC6" s="17" t="n">
        <f aca="false">IF(OR(AA6="",$K6=""),"",AA6*$K6*($K6/Config!$B$10)^Config!$B$9)</f>
        <v>13.3658333333333</v>
      </c>
      <c r="AD6" s="17" t="n">
        <f aca="false">IF(OR(AC6="",AB6=""),"",AC6*AB6)</f>
        <v>6.55037215277778</v>
      </c>
      <c r="AE6" s="9" t="n">
        <f aca="false">IF($I6="",0,SUMIFS(Map_Stats!$F$2:$F$779,Map_Stats!$A$2:$A$779,$F6&amp;"|"&amp;$I6))</f>
        <v>8</v>
      </c>
      <c r="AF6" s="13" t="n">
        <f aca="false">IF($I6="","",IFERROR(1/(1/INDEX(Map_Stats!$K$2:$K$779,MATCH($F6&amp;"|"&amp;$I6,Map_Stats!$A$2:$A$779,0))),$O6))</f>
        <v>0.77</v>
      </c>
      <c r="AG6" s="10" t="n">
        <f aca="false">IF(OR($I6="",$P6=""),"",IFERROR(1/(1/INDEX(Map_Stats!$I$2:$I$779,MATCH($F6&amp;"|"&amp;$I6,Map_Stats!$A$2:$A$779,0))),$P6))</f>
        <v>0.504</v>
      </c>
      <c r="AH6" s="13" t="n">
        <f aca="false">IF(OR($I6="",AF6=""),"",IF($O6="",AF6,(AE6*AF6+Config!$B$4*$O6)/(AE6+Config!$B$4)))</f>
        <v>0.708461538461539</v>
      </c>
      <c r="AI6" s="10" t="n">
        <f aca="false">IF(AG6="","",(AE6*AG6+Config!$B$4*$P6)/(AE6+Config!$B$4))</f>
        <v>0.507846153846154</v>
      </c>
      <c r="AJ6" s="17" t="n">
        <f aca="false">IF(OR(AH6="",$L6=""),"",AH6*$L6*($L6/Config!$B$10)^Config!$B$9)</f>
        <v>15.2319230769231</v>
      </c>
      <c r="AK6" s="17" t="n">
        <f aca="false">IF(OR(AJ6="",AI6=""),"",AJ6*AI6)</f>
        <v>7.73547355029586</v>
      </c>
      <c r="AL6" s="17" t="n">
        <f aca="false">N(V6)+N(AC6)</f>
        <v>24.6175</v>
      </c>
      <c r="AM6" s="17" t="n">
        <f aca="false">AL6+N($M6)*N(AJ6)</f>
        <v>24.6175</v>
      </c>
      <c r="AN6" s="17" t="n">
        <f aca="false">IF(W6="","",N(W6)+N(AD6))</f>
        <v>12.4962528935185</v>
      </c>
      <c r="AO6" s="17" t="n">
        <f aca="false">IF(AN6="","",AN6+N($M6)*N(AK6))</f>
        <v>12.4962528935185</v>
      </c>
      <c r="AP6" s="10" t="n">
        <f aca="false">IFERROR(AN6/AL6,"")</f>
        <v>0.507616650493288</v>
      </c>
      <c r="AQ6" s="0" t="str">
        <f aca="false">TRIM(IF($N6&lt;Config!$B$12,"thin sample ("&amp;$N6&amp;" maps) · ","")&amp;IF(AND($G6&lt;&gt;"",Q6=0),"M1 unplayed→overall KPR · ","")&amp;IF(AND($H6&lt;&gt;"",X6=0),"M2 unplayed→overall KPR · ","")&amp;IF($O6="","no PickFinder stats",""))</f>
        <v/>
      </c>
      <c r="AR6" s="0" t="str">
        <f aca="false">IF($C6=Board!$B$2,COUNTIFS($C$2:$C$124,Board!$B$2,$AL$2:$AL$124,"&gt;"&amp;$AL6)+COUNTIFS($C$1:$C5,Board!$B$2,$AL$1:$AL5,$AL6)+1,"")</f>
        <v/>
      </c>
      <c r="AS6" s="0" t="str">
        <f aca="false">IFERROR(IF($D6=INDEX(Matches!$AD$5:$AD$19,MATCH($C6,Matches!$A$5:$A$19,0)),"A",IF($D6=INDEX(Matches!$AE$5:$AE$19,MATCH($C6,Matches!$A$5:$A$19,0)),"B","")),"")</f>
        <v>B</v>
      </c>
      <c r="AT6" s="10" t="n">
        <f aca="false">IF($AS6="","",IFERROR(IF($AS6="A",INDEX(Matches!$AI$5:$AI$19,MATCH($C6,Matches!$A$5:$A$19,0)),INDEX(Matches!$AJ$5:$AJ$19,MATCH($C6,Matches!$A$5:$A$19,0))),""))</f>
        <v>0</v>
      </c>
      <c r="AU6" s="10" t="str">
        <f aca="false">IF($AS6="","",IFERROR(IF(INDEX(Matches!$AP$5:$AP$19,MATCH($C6,Matches!$A$5:$A$19,0))="","",IF($AS6="A",INDEX(Matches!$AP$5:$AP$19,MATCH($C6,Matches!$A$5:$A$19,0)),1-INDEX(Matches!$AP$5:$AP$19,MATCH($C6,Matches!$A$5:$A$19,0)))),""))</f>
        <v/>
      </c>
      <c r="AV6" s="13" t="n">
        <f aca="false">IF(OR($AU6="",$AT6=""),1,((Config!$B$14*$AU6+Config!$B$15*(1-$AU6))/(Config!$B$14*$AT6+Config!$B$15*(1-$AT6)))^Config!$B$13)</f>
        <v>1</v>
      </c>
      <c r="AW6" s="10" t="str">
        <f aca="false">IF($AS6="","",IFERROR(IF(INDEX(Matches!$AV$5:$AV$19,MATCH($C6,Matches!$A$5:$A$19,0))="","",IF($AS6="A",INDEX(Matches!$AV$5:$AV$19,MATCH($C6,Matches!$A$5:$A$19,0)),1-INDEX(Matches!$AV$5:$AV$19,MATCH($C6,Matches!$A$5:$A$19,0)))),""))</f>
        <v/>
      </c>
      <c r="AX6" s="13" t="n">
        <f aca="false">IF(OR($AW6="",$AT6=""),1,((Config!$B$14*$AW6+Config!$B$15*(1-$AW6))/(Config!$B$14*$AT6+Config!$B$15*(1-$AT6)))^Config!$B$13)</f>
        <v>1</v>
      </c>
      <c r="AY6" s="10" t="str">
        <f aca="false">IF($AS6="","",IFERROR(IF(INDEX(Matches!$BB$5:$BB$19,MATCH($C6,Matches!$A$5:$A$19,0))="","",IF($AS6="A",INDEX(Matches!$BB$5:$BB$19,MATCH($C6,Matches!$A$5:$A$19,0)),1-INDEX(Matches!$BB$5:$BB$19,MATCH($C6,Matches!$A$5:$A$19,0)))),""))</f>
        <v/>
      </c>
      <c r="AZ6" s="13" t="n">
        <f aca="false">IF(OR($AY6="",$AT6=""),1,((Config!$B$14*$AY6+Config!$B$15*(1-$AY6))/(Config!$B$14*$AT6+Config!$B$15*(1-$AT6)))^Config!$B$13)</f>
        <v>1</v>
      </c>
      <c r="BA6" s="17" t="n">
        <f aca="false">IF(V6="","",V6*$AV6)</f>
        <v>11.2516666666667</v>
      </c>
      <c r="BB6" s="17" t="n">
        <f aca="false">IF(AC6="","",AC6*$AX6)</f>
        <v>13.3658333333333</v>
      </c>
      <c r="BC6" s="17" t="n">
        <f aca="false">IF(AJ6="","",AJ6*$AZ6)</f>
        <v>15.2319230769231</v>
      </c>
      <c r="BD6" s="17" t="n">
        <f aca="false">N(BA6)+N(BB6)</f>
        <v>24.6175</v>
      </c>
      <c r="BE6" s="17" t="n">
        <f aca="false">BD6+N($M6)*N(BC6)</f>
        <v>24.6175</v>
      </c>
      <c r="BF6" s="17" t="n">
        <f aca="false">IF(W6="","",W6*$AV6)</f>
        <v>5.94588074074074</v>
      </c>
      <c r="BG6" s="17" t="n">
        <f aca="false">IF(AD6="","",AD6*$AX6)</f>
        <v>6.55037215277778</v>
      </c>
      <c r="BH6" s="17" t="n">
        <f aca="false">IF(AK6="","",AK6*$AZ6)</f>
        <v>7.73547355029586</v>
      </c>
      <c r="BI6" s="17" t="n">
        <f aca="false">IF(BF6="","",N(BF6)+N(BG6))</f>
        <v>12.4962528935185</v>
      </c>
      <c r="BJ6" s="17" t="n">
        <f aca="false">IF(BI6="","",BI6+N($M6)*N(BH6))</f>
        <v>12.4962528935185</v>
      </c>
      <c r="BK6" s="13" t="n">
        <f aca="false">IFERROR(BD6/AL6,1)</f>
        <v>1</v>
      </c>
    </row>
    <row r="7" customFormat="false" ht="15" hidden="false" customHeight="false" outlineLevel="0" collapsed="false">
      <c r="A7" s="0" t="s">
        <v>1127</v>
      </c>
      <c r="B7" s="0" t="s">
        <v>988</v>
      </c>
      <c r="C7" s="0" t="s">
        <v>1002</v>
      </c>
      <c r="D7" s="0" t="s">
        <v>1007</v>
      </c>
      <c r="E7" s="0" t="s">
        <v>1126</v>
      </c>
      <c r="F7" s="0" t="s">
        <v>1460</v>
      </c>
      <c r="G7" s="0" t="str">
        <f aca="false">IFERROR(IF(INDEX(Matches!$W$5:$W$19,MATCH($C7,Matches!$A$5:$A$19,0))="","",INDEX(Matches!$W$5:$W$19,MATCH($C7,Matches!$A$5:$A$19,0))),"")</f>
        <v>Inferno</v>
      </c>
      <c r="H7" s="0" t="str">
        <f aca="false">IFERROR(IF(INDEX(Matches!$X$5:$X$19,MATCH($C7,Matches!$A$5:$A$19,0))="","",INDEX(Matches!$X$5:$X$19,MATCH($C7,Matches!$A$5:$A$19,0))),"")</f>
        <v>Dust2</v>
      </c>
      <c r="I7" s="0" t="str">
        <f aca="false">IFERROR(IF(INDEX(Matches!$Y$5:$Y$19,MATCH($C7,Matches!$A$5:$A$19,0))="","",INDEX(Matches!$Y$5:$Y$19,MATCH($C7,Matches!$A$5:$A$19,0))),"")</f>
        <v>Ancient</v>
      </c>
      <c r="J7" s="11" t="n">
        <f aca="false">IFERROR(IF(INDEX(Matches!$Z$5:$Z$19,MATCH($C7,Matches!$A$5:$A$19,0))="","",INDEX(Matches!$Z$5:$Z$19,MATCH($C7,Matches!$A$5:$A$19,0))),"")</f>
        <v>21.5</v>
      </c>
      <c r="K7" s="11" t="n">
        <f aca="false">IFERROR(IF(INDEX(Matches!$AA$5:$AA$19,MATCH($C7,Matches!$A$5:$A$19,0))="","",INDEX(Matches!$AA$5:$AA$19,MATCH($C7,Matches!$A$5:$A$19,0))),"")</f>
        <v>21.5</v>
      </c>
      <c r="L7" s="11" t="n">
        <f aca="false">IFERROR(IF(INDEX(Matches!$AB$5:$AB$19,MATCH($C7,Matches!$A$5:$A$19,0))="","",INDEX(Matches!$AB$5:$AB$19,MATCH($C7,Matches!$A$5:$A$19,0))),"")</f>
        <v>21.5</v>
      </c>
      <c r="M7" s="10" t="n">
        <f aca="false">IFERROR(IF(INDEX(Matches!$AC$5:$AC$19,MATCH($C7,Matches!$A$5:$A$19,0))="","",INDEX(Matches!$AC$5:$AC$19,MATCH($C7,Matches!$A$5:$A$19,0))),"")</f>
        <v>0</v>
      </c>
      <c r="N7" s="9" t="n">
        <f aca="false">IFERROR(INDEX(Players!$F$2:$F$124,MATCH($F7,Players!$A$2:$A$124,0)),0)</f>
        <v>36</v>
      </c>
      <c r="O7" s="13" t="n">
        <f aca="false">IFERROR(1/(1/INDEX(Players!$H$2:$H$124,MATCH($F7,Players!$A$2:$A$124,0))),"")</f>
        <v>0.62</v>
      </c>
      <c r="P7" s="10" t="n">
        <f aca="false">IFERROR(1/(1/INDEX(Players!$I$2:$I$124,MATCH($F7,Players!$A$2:$A$124,0))),"")</f>
        <v>0.489</v>
      </c>
      <c r="Q7" s="9" t="n">
        <f aca="false">IF($G7="",0,SUMIFS(Map_Stats!$F$2:$F$779,Map_Stats!$A$2:$A$779,$F7&amp;"|"&amp;$G7))</f>
        <v>5</v>
      </c>
      <c r="R7" s="13" t="n">
        <f aca="false">IF($G7="","",IFERROR(1/(1/INDEX(Map_Stats!$K$2:$K$779,MATCH($F7&amp;"|"&amp;$G7,Map_Stats!$A$2:$A$779,0))),$O7))</f>
        <v>0.68</v>
      </c>
      <c r="S7" s="10" t="n">
        <f aca="false">IF(OR($G7="",$P7=""),"",IFERROR(1/(1/INDEX(Map_Stats!$I$2:$I$779,MATCH($F7&amp;"|"&amp;$G7,Map_Stats!$A$2:$A$779,0))),$P7))</f>
        <v>0.435</v>
      </c>
      <c r="T7" s="13" t="n">
        <f aca="false">IF(OR($G7="",R7=""),"",IF($O7="",R7,(Q7*R7+Config!$B$4*$O7)/(Q7+Config!$B$4)))</f>
        <v>0.65</v>
      </c>
      <c r="U7" s="10" t="n">
        <f aca="false">IF(S7="","",(Q7*S7+Config!$B$4*$P7)/(Q7+Config!$B$4))</f>
        <v>0.462</v>
      </c>
      <c r="V7" s="17" t="n">
        <f aca="false">IF(OR(T7="",$J7=""),"",T7*$J7*($J7/Config!$B$10)^Config!$B$9)</f>
        <v>13.975</v>
      </c>
      <c r="W7" s="17" t="n">
        <f aca="false">IF(OR(V7="",U7=""),"",V7*U7)</f>
        <v>6.45645</v>
      </c>
      <c r="X7" s="9" t="n">
        <f aca="false">IF($H7="",0,SUMIFS(Map_Stats!$F$2:$F$779,Map_Stats!$A$2:$A$779,$F7&amp;"|"&amp;$H7))</f>
        <v>8</v>
      </c>
      <c r="Y7" s="13" t="n">
        <f aca="false">IF($H7="","",IFERROR(1/(1/INDEX(Map_Stats!$K$2:$K$779,MATCH($F7&amp;"|"&amp;$H7,Map_Stats!$A$2:$A$779,0))),$O7))</f>
        <v>0.59</v>
      </c>
      <c r="Z7" s="10" t="n">
        <f aca="false">IF(OR($H7="",$P7=""),"",IFERROR(1/(1/INDEX(Map_Stats!$I$2:$I$779,MATCH($F7&amp;"|"&amp;$H7,Map_Stats!$A$2:$A$779,0))),$P7))</f>
        <v>0.459</v>
      </c>
      <c r="AA7" s="13" t="n">
        <f aca="false">IF(OR($H7="",Y7=""),"",IF($O7="",Y7,(X7*Y7+Config!$B$4*$O7)/(X7+Config!$B$4)))</f>
        <v>0.601538461538462</v>
      </c>
      <c r="AB7" s="10" t="n">
        <f aca="false">IF(Z7="","",(X7*Z7+Config!$B$4*$P7)/(X7+Config!$B$4))</f>
        <v>0.470538461538462</v>
      </c>
      <c r="AC7" s="17" t="n">
        <f aca="false">IF(OR(AA7="",$K7=""),"",AA7*$K7*($K7/Config!$B$10)^Config!$B$9)</f>
        <v>12.9330769230769</v>
      </c>
      <c r="AD7" s="17" t="n">
        <f aca="false">IF(OR(AC7="",AB7=""),"",AC7*AB7)</f>
        <v>6.0855101183432</v>
      </c>
      <c r="AE7" s="9" t="n">
        <f aca="false">IF($I7="",0,SUMIFS(Map_Stats!$F$2:$F$779,Map_Stats!$A$2:$A$779,$F7&amp;"|"&amp;$I7))</f>
        <v>6</v>
      </c>
      <c r="AF7" s="13" t="n">
        <f aca="false">IF($I7="","",IFERROR(1/(1/INDEX(Map_Stats!$K$2:$K$779,MATCH($F7&amp;"|"&amp;$I7,Map_Stats!$A$2:$A$779,0))),$O7))</f>
        <v>0.55</v>
      </c>
      <c r="AG7" s="10" t="n">
        <f aca="false">IF(OR($I7="",$P7=""),"",IFERROR(1/(1/INDEX(Map_Stats!$I$2:$I$779,MATCH($F7&amp;"|"&amp;$I7,Map_Stats!$A$2:$A$779,0))),$P7))</f>
        <v>0.482</v>
      </c>
      <c r="AH7" s="13" t="n">
        <f aca="false">IF(OR($I7="",AF7=""),"",IF($O7="",AF7,(AE7*AF7+Config!$B$4*$O7)/(AE7+Config!$B$4)))</f>
        <v>0.581818181818182</v>
      </c>
      <c r="AI7" s="10" t="n">
        <f aca="false">IF(AG7="","",(AE7*AG7+Config!$B$4*$P7)/(AE7+Config!$B$4))</f>
        <v>0.485181818181818</v>
      </c>
      <c r="AJ7" s="17" t="n">
        <f aca="false">IF(OR(AH7="",$L7=""),"",AH7*$L7*($L7/Config!$B$10)^Config!$B$9)</f>
        <v>12.5090909090909</v>
      </c>
      <c r="AK7" s="17" t="n">
        <f aca="false">IF(OR(AJ7="",AI7=""),"",AJ7*AI7)</f>
        <v>6.06918347107438</v>
      </c>
      <c r="AL7" s="17" t="n">
        <f aca="false">N(V7)+N(AC7)</f>
        <v>26.9080769230769</v>
      </c>
      <c r="AM7" s="17" t="n">
        <f aca="false">AL7+N($M7)*N(AJ7)</f>
        <v>26.9080769230769</v>
      </c>
      <c r="AN7" s="17" t="n">
        <f aca="false">IF(W7="","",N(W7)+N(AD7))</f>
        <v>12.5419601183432</v>
      </c>
      <c r="AO7" s="17" t="n">
        <f aca="false">IF(AN7="","",AN7+N($M7)*N(AK7))</f>
        <v>12.5419601183432</v>
      </c>
      <c r="AP7" s="10" t="n">
        <f aca="false">IFERROR(AN7/AL7,"")</f>
        <v>0.466103919436433</v>
      </c>
      <c r="AQ7" s="0" t="str">
        <f aca="false">TRIM(IF($N7&lt;Config!$B$12,"thin sample ("&amp;$N7&amp;" maps) · ","")&amp;IF(AND($G7&lt;&gt;"",Q7=0),"M1 unplayed→overall KPR · ","")&amp;IF(AND($H7&lt;&gt;"",X7=0),"M2 unplayed→overall KPR · ","")&amp;IF($O7="","no PickFinder stats",""))</f>
        <v/>
      </c>
      <c r="AR7" s="0" t="str">
        <f aca="false">IF($C7=Board!$B$2,COUNTIFS($C$2:$C$124,Board!$B$2,$AL$2:$AL$124,"&gt;"&amp;$AL7)+COUNTIFS($C$1:$C6,Board!$B$2,$AL$1:$AL6,$AL7)+1,"")</f>
        <v/>
      </c>
      <c r="AS7" s="0" t="str">
        <f aca="false">IFERROR(IF($D7=INDEX(Matches!$AD$5:$AD$19,MATCH($C7,Matches!$A$5:$A$19,0)),"A",IF($D7=INDEX(Matches!$AE$5:$AE$19,MATCH($C7,Matches!$A$5:$A$19,0)),"B","")),"")</f>
        <v>B</v>
      </c>
      <c r="AT7" s="10" t="n">
        <f aca="false">IF($AS7="","",IFERROR(IF($AS7="A",INDEX(Matches!$AI$5:$AI$19,MATCH($C7,Matches!$A$5:$A$19,0)),INDEX(Matches!$AJ$5:$AJ$19,MATCH($C7,Matches!$A$5:$A$19,0))),""))</f>
        <v>0.532721889718159</v>
      </c>
      <c r="AU7" s="10" t="str">
        <f aca="false">IF($AS7="","",IFERROR(IF(INDEX(Matches!$AP$5:$AP$19,MATCH($C7,Matches!$A$5:$A$19,0))="","",IF($AS7="A",INDEX(Matches!$AP$5:$AP$19,MATCH($C7,Matches!$A$5:$A$19,0)),1-INDEX(Matches!$AP$5:$AP$19,MATCH($C7,Matches!$A$5:$A$19,0)))),""))</f>
        <v/>
      </c>
      <c r="AV7" s="13" t="n">
        <f aca="false">IF(OR($AU7="",$AT7=""),1,((Config!$B$14*$AU7+Config!$B$15*(1-$AU7))/(Config!$B$14*$AT7+Config!$B$15*(1-$AT7)))^Config!$B$13)</f>
        <v>1</v>
      </c>
      <c r="AW7" s="10" t="str">
        <f aca="false">IF($AS7="","",IFERROR(IF(INDEX(Matches!$AV$5:$AV$19,MATCH($C7,Matches!$A$5:$A$19,0))="","",IF($AS7="A",INDEX(Matches!$AV$5:$AV$19,MATCH($C7,Matches!$A$5:$A$19,0)),1-INDEX(Matches!$AV$5:$AV$19,MATCH($C7,Matches!$A$5:$A$19,0)))),""))</f>
        <v/>
      </c>
      <c r="AX7" s="13" t="n">
        <f aca="false">IF(OR($AW7="",$AT7=""),1,((Config!$B$14*$AW7+Config!$B$15*(1-$AW7))/(Config!$B$14*$AT7+Config!$B$15*(1-$AT7)))^Config!$B$13)</f>
        <v>1</v>
      </c>
      <c r="AY7" s="10" t="str">
        <f aca="false">IF($AS7="","",IFERROR(IF(INDEX(Matches!$BB$5:$BB$19,MATCH($C7,Matches!$A$5:$A$19,0))="","",IF($AS7="A",INDEX(Matches!$BB$5:$BB$19,MATCH($C7,Matches!$A$5:$A$19,0)),1-INDEX(Matches!$BB$5:$BB$19,MATCH($C7,Matches!$A$5:$A$19,0)))),""))</f>
        <v/>
      </c>
      <c r="AZ7" s="13" t="n">
        <f aca="false">IF(OR($AY7="",$AT7=""),1,((Config!$B$14*$AY7+Config!$B$15*(1-$AY7))/(Config!$B$14*$AT7+Config!$B$15*(1-$AT7)))^Config!$B$13)</f>
        <v>1</v>
      </c>
      <c r="BA7" s="17" t="n">
        <f aca="false">IF(V7="","",V7*$AV7)</f>
        <v>13.975</v>
      </c>
      <c r="BB7" s="17" t="n">
        <f aca="false">IF(AC7="","",AC7*$AX7)</f>
        <v>12.9330769230769</v>
      </c>
      <c r="BC7" s="17" t="n">
        <f aca="false">IF(AJ7="","",AJ7*$AZ7)</f>
        <v>12.5090909090909</v>
      </c>
      <c r="BD7" s="17" t="n">
        <f aca="false">N(BA7)+N(BB7)</f>
        <v>26.9080769230769</v>
      </c>
      <c r="BE7" s="17" t="n">
        <f aca="false">BD7+N($M7)*N(BC7)</f>
        <v>26.9080769230769</v>
      </c>
      <c r="BF7" s="17" t="n">
        <f aca="false">IF(W7="","",W7*$AV7)</f>
        <v>6.45645</v>
      </c>
      <c r="BG7" s="17" t="n">
        <f aca="false">IF(AD7="","",AD7*$AX7)</f>
        <v>6.0855101183432</v>
      </c>
      <c r="BH7" s="17" t="n">
        <f aca="false">IF(AK7="","",AK7*$AZ7)</f>
        <v>6.06918347107438</v>
      </c>
      <c r="BI7" s="17" t="n">
        <f aca="false">IF(BF7="","",N(BF7)+N(BG7))</f>
        <v>12.5419601183432</v>
      </c>
      <c r="BJ7" s="17" t="n">
        <f aca="false">IF(BI7="","",BI7+N($M7)*N(BH7))</f>
        <v>12.5419601183432</v>
      </c>
      <c r="BK7" s="13" t="n">
        <f aca="false">IFERROR(BD7/AL7,1)</f>
        <v>1</v>
      </c>
    </row>
    <row r="8" customFormat="false" ht="15" hidden="false" customHeight="false" outlineLevel="0" collapsed="false">
      <c r="A8" s="0" t="s">
        <v>1129</v>
      </c>
      <c r="B8" s="0" t="s">
        <v>988</v>
      </c>
      <c r="C8" s="0" t="s">
        <v>1002</v>
      </c>
      <c r="D8" s="0" t="s">
        <v>1007</v>
      </c>
      <c r="E8" s="0" t="s">
        <v>1128</v>
      </c>
      <c r="F8" s="0" t="s">
        <v>1461</v>
      </c>
      <c r="G8" s="0" t="str">
        <f aca="false">IFERROR(IF(INDEX(Matches!$W$5:$W$19,MATCH($C8,Matches!$A$5:$A$19,0))="","",INDEX(Matches!$W$5:$W$19,MATCH($C8,Matches!$A$5:$A$19,0))),"")</f>
        <v>Inferno</v>
      </c>
      <c r="H8" s="0" t="str">
        <f aca="false">IFERROR(IF(INDEX(Matches!$X$5:$X$19,MATCH($C8,Matches!$A$5:$A$19,0))="","",INDEX(Matches!$X$5:$X$19,MATCH($C8,Matches!$A$5:$A$19,0))),"")</f>
        <v>Dust2</v>
      </c>
      <c r="I8" s="0" t="str">
        <f aca="false">IFERROR(IF(INDEX(Matches!$Y$5:$Y$19,MATCH($C8,Matches!$A$5:$A$19,0))="","",INDEX(Matches!$Y$5:$Y$19,MATCH($C8,Matches!$A$5:$A$19,0))),"")</f>
        <v>Ancient</v>
      </c>
      <c r="J8" s="11" t="n">
        <f aca="false">IFERROR(IF(INDEX(Matches!$Z$5:$Z$19,MATCH($C8,Matches!$A$5:$A$19,0))="","",INDEX(Matches!$Z$5:$Z$19,MATCH($C8,Matches!$A$5:$A$19,0))),"")</f>
        <v>21.5</v>
      </c>
      <c r="K8" s="11" t="n">
        <f aca="false">IFERROR(IF(INDEX(Matches!$AA$5:$AA$19,MATCH($C8,Matches!$A$5:$A$19,0))="","",INDEX(Matches!$AA$5:$AA$19,MATCH($C8,Matches!$A$5:$A$19,0))),"")</f>
        <v>21.5</v>
      </c>
      <c r="L8" s="11" t="n">
        <f aca="false">IFERROR(IF(INDEX(Matches!$AB$5:$AB$19,MATCH($C8,Matches!$A$5:$A$19,0))="","",INDEX(Matches!$AB$5:$AB$19,MATCH($C8,Matches!$A$5:$A$19,0))),"")</f>
        <v>21.5</v>
      </c>
      <c r="M8" s="10" t="n">
        <f aca="false">IFERROR(IF(INDEX(Matches!$AC$5:$AC$19,MATCH($C8,Matches!$A$5:$A$19,0))="","",INDEX(Matches!$AC$5:$AC$19,MATCH($C8,Matches!$A$5:$A$19,0))),"")</f>
        <v>0</v>
      </c>
      <c r="N8" s="9" t="n">
        <f aca="false">IFERROR(INDEX(Players!$F$2:$F$124,MATCH($F8,Players!$A$2:$A$124,0)),0)</f>
        <v>37</v>
      </c>
      <c r="O8" s="13" t="n">
        <f aca="false">IFERROR(1/(1/INDEX(Players!$H$2:$H$124,MATCH($F8,Players!$A$2:$A$124,0))),"")</f>
        <v>0.69</v>
      </c>
      <c r="P8" s="10" t="n">
        <f aca="false">IFERROR(1/(1/INDEX(Players!$I$2:$I$124,MATCH($F8,Players!$A$2:$A$124,0))),"")</f>
        <v>0.515</v>
      </c>
      <c r="Q8" s="9" t="n">
        <f aca="false">IF($G8="",0,SUMIFS(Map_Stats!$F$2:$F$779,Map_Stats!$A$2:$A$779,$F8&amp;"|"&amp;$G8))</f>
        <v>5</v>
      </c>
      <c r="R8" s="13" t="n">
        <f aca="false">IF($G8="","",IFERROR(1/(1/INDEX(Map_Stats!$K$2:$K$779,MATCH($F8&amp;"|"&amp;$G8,Map_Stats!$A$2:$A$779,0))),$O8))</f>
        <v>0.78</v>
      </c>
      <c r="S8" s="10" t="n">
        <f aca="false">IF(OR($G8="",$P8=""),"",IFERROR(1/(1/INDEX(Map_Stats!$I$2:$I$779,MATCH($F8&amp;"|"&amp;$G8,Map_Stats!$A$2:$A$779,0))),$P8))</f>
        <v>0.514</v>
      </c>
      <c r="T8" s="13" t="n">
        <f aca="false">IF(OR($G8="",R8=""),"",IF($O8="",R8,(Q8*R8+Config!$B$4*$O8)/(Q8+Config!$B$4)))</f>
        <v>0.735</v>
      </c>
      <c r="U8" s="10" t="n">
        <f aca="false">IF(S8="","",(Q8*S8+Config!$B$4*$P8)/(Q8+Config!$B$4))</f>
        <v>0.5145</v>
      </c>
      <c r="V8" s="17" t="n">
        <f aca="false">IF(OR(T8="",$J8=""),"",T8*$J8*($J8/Config!$B$10)^Config!$B$9)</f>
        <v>15.8025</v>
      </c>
      <c r="W8" s="17" t="n">
        <f aca="false">IF(OR(V8="",U8=""),"",V8*U8)</f>
        <v>8.13038625</v>
      </c>
      <c r="X8" s="9" t="n">
        <f aca="false">IF($H8="",0,SUMIFS(Map_Stats!$F$2:$F$779,Map_Stats!$A$2:$A$779,$F8&amp;"|"&amp;$H8))</f>
        <v>7</v>
      </c>
      <c r="Y8" s="13" t="n">
        <f aca="false">IF($H8="","",IFERROR(1/(1/INDEX(Map_Stats!$K$2:$K$779,MATCH($F8&amp;"|"&amp;$H8,Map_Stats!$A$2:$A$779,0))),$O8))</f>
        <v>0.7</v>
      </c>
      <c r="Z8" s="10" t="n">
        <f aca="false">IF(OR($H8="",$P8=""),"",IFERROR(1/(1/INDEX(Map_Stats!$I$2:$I$779,MATCH($F8&amp;"|"&amp;$H8,Map_Stats!$A$2:$A$779,0))),$P8))</f>
        <v>0.552</v>
      </c>
      <c r="AA8" s="13" t="n">
        <f aca="false">IF(OR($H8="",Y8=""),"",IF($O8="",Y8,(X8*Y8+Config!$B$4*$O8)/(X8+Config!$B$4)))</f>
        <v>0.695833333333333</v>
      </c>
      <c r="AB8" s="10" t="n">
        <f aca="false">IF(Z8="","",(X8*Z8+Config!$B$4*$P8)/(X8+Config!$B$4))</f>
        <v>0.536583333333333</v>
      </c>
      <c r="AC8" s="17" t="n">
        <f aca="false">IF(OR(AA8="",$K8=""),"",AA8*$K8*($K8/Config!$B$10)^Config!$B$9)</f>
        <v>14.9604166666667</v>
      </c>
      <c r="AD8" s="17" t="n">
        <f aca="false">IF(OR(AC8="",AB8=""),"",AC8*AB8)</f>
        <v>8.02751024305555</v>
      </c>
      <c r="AE8" s="9" t="n">
        <f aca="false">IF($I8="",0,SUMIFS(Map_Stats!$F$2:$F$779,Map_Stats!$A$2:$A$779,$F8&amp;"|"&amp;$I8))</f>
        <v>7</v>
      </c>
      <c r="AF8" s="13" t="n">
        <f aca="false">IF($I8="","",IFERROR(1/(1/INDEX(Map_Stats!$K$2:$K$779,MATCH($F8&amp;"|"&amp;$I8,Map_Stats!$A$2:$A$779,0))),$O8))</f>
        <v>0.76</v>
      </c>
      <c r="AG8" s="10" t="n">
        <f aca="false">IF(OR($I8="",$P8=""),"",IFERROR(1/(1/INDEX(Map_Stats!$I$2:$I$779,MATCH($F8&amp;"|"&amp;$I8,Map_Stats!$A$2:$A$779,0))),$P8))</f>
        <v>0.496</v>
      </c>
      <c r="AH8" s="13" t="n">
        <f aca="false">IF(OR($I8="",AF8=""),"",IF($O8="",AF8,(AE8*AF8+Config!$B$4*$O8)/(AE8+Config!$B$4)))</f>
        <v>0.730833333333333</v>
      </c>
      <c r="AI8" s="10" t="n">
        <f aca="false">IF(AG8="","",(AE8*AG8+Config!$B$4*$P8)/(AE8+Config!$B$4))</f>
        <v>0.503916666666667</v>
      </c>
      <c r="AJ8" s="17" t="n">
        <f aca="false">IF(OR(AH8="",$L8=""),"",AH8*$L8*($L8/Config!$B$10)^Config!$B$9)</f>
        <v>15.7129166666667</v>
      </c>
      <c r="AK8" s="17" t="n">
        <f aca="false">IF(OR(AJ8="",AI8=""),"",AJ8*AI8)</f>
        <v>7.91800059027778</v>
      </c>
      <c r="AL8" s="17" t="n">
        <f aca="false">N(V8)+N(AC8)</f>
        <v>30.7629166666667</v>
      </c>
      <c r="AM8" s="17" t="n">
        <f aca="false">AL8+N($M8)*N(AJ8)</f>
        <v>30.7629166666667</v>
      </c>
      <c r="AN8" s="17" t="n">
        <f aca="false">IF(W8="","",N(W8)+N(AD8))</f>
        <v>16.1578964930556</v>
      </c>
      <c r="AO8" s="17" t="n">
        <f aca="false">IF(AN8="","",AN8+N($M8)*N(AK8))</f>
        <v>16.1578964930556</v>
      </c>
      <c r="AP8" s="10" t="n">
        <f aca="false">IFERROR(AN8/AL8,"")</f>
        <v>0.525239419530188</v>
      </c>
      <c r="AQ8" s="0" t="str">
        <f aca="false">TRIM(IF($N8&lt;Config!$B$12,"thin sample ("&amp;$N8&amp;" maps) · ","")&amp;IF(AND($G8&lt;&gt;"",Q8=0),"M1 unplayed→overall KPR · ","")&amp;IF(AND($H8&lt;&gt;"",X8=0),"M2 unplayed→overall KPR · ","")&amp;IF($O8="","no PickFinder stats",""))</f>
        <v/>
      </c>
      <c r="AR8" s="0" t="str">
        <f aca="false">IF($C8=Board!$B$2,COUNTIFS($C$2:$C$124,Board!$B$2,$AL$2:$AL$124,"&gt;"&amp;$AL8)+COUNTIFS($C$1:$C7,Board!$B$2,$AL$1:$AL7,$AL8)+1,"")</f>
        <v/>
      </c>
      <c r="AS8" s="0" t="str">
        <f aca="false">IFERROR(IF($D8=INDEX(Matches!$AD$5:$AD$19,MATCH($C8,Matches!$A$5:$A$19,0)),"A",IF($D8=INDEX(Matches!$AE$5:$AE$19,MATCH($C8,Matches!$A$5:$A$19,0)),"B","")),"")</f>
        <v>B</v>
      </c>
      <c r="AT8" s="10" t="n">
        <f aca="false">IF($AS8="","",IFERROR(IF($AS8="A",INDEX(Matches!$AI$5:$AI$19,MATCH($C8,Matches!$A$5:$A$19,0)),INDEX(Matches!$AJ$5:$AJ$19,MATCH($C8,Matches!$A$5:$A$19,0))),""))</f>
        <v>0.532721889718159</v>
      </c>
      <c r="AU8" s="10" t="str">
        <f aca="false">IF($AS8="","",IFERROR(IF(INDEX(Matches!$AP$5:$AP$19,MATCH($C8,Matches!$A$5:$A$19,0))="","",IF($AS8="A",INDEX(Matches!$AP$5:$AP$19,MATCH($C8,Matches!$A$5:$A$19,0)),1-INDEX(Matches!$AP$5:$AP$19,MATCH($C8,Matches!$A$5:$A$19,0)))),""))</f>
        <v/>
      </c>
      <c r="AV8" s="13" t="n">
        <f aca="false">IF(OR($AU8="",$AT8=""),1,((Config!$B$14*$AU8+Config!$B$15*(1-$AU8))/(Config!$B$14*$AT8+Config!$B$15*(1-$AT8)))^Config!$B$13)</f>
        <v>1</v>
      </c>
      <c r="AW8" s="10" t="str">
        <f aca="false">IF($AS8="","",IFERROR(IF(INDEX(Matches!$AV$5:$AV$19,MATCH($C8,Matches!$A$5:$A$19,0))="","",IF($AS8="A",INDEX(Matches!$AV$5:$AV$19,MATCH($C8,Matches!$A$5:$A$19,0)),1-INDEX(Matches!$AV$5:$AV$19,MATCH($C8,Matches!$A$5:$A$19,0)))),""))</f>
        <v/>
      </c>
      <c r="AX8" s="13" t="n">
        <f aca="false">IF(OR($AW8="",$AT8=""),1,((Config!$B$14*$AW8+Config!$B$15*(1-$AW8))/(Config!$B$14*$AT8+Config!$B$15*(1-$AT8)))^Config!$B$13)</f>
        <v>1</v>
      </c>
      <c r="AY8" s="10" t="str">
        <f aca="false">IF($AS8="","",IFERROR(IF(INDEX(Matches!$BB$5:$BB$19,MATCH($C8,Matches!$A$5:$A$19,0))="","",IF($AS8="A",INDEX(Matches!$BB$5:$BB$19,MATCH($C8,Matches!$A$5:$A$19,0)),1-INDEX(Matches!$BB$5:$BB$19,MATCH($C8,Matches!$A$5:$A$19,0)))),""))</f>
        <v/>
      </c>
      <c r="AZ8" s="13" t="n">
        <f aca="false">IF(OR($AY8="",$AT8=""),1,((Config!$B$14*$AY8+Config!$B$15*(1-$AY8))/(Config!$B$14*$AT8+Config!$B$15*(1-$AT8)))^Config!$B$13)</f>
        <v>1</v>
      </c>
      <c r="BA8" s="17" t="n">
        <f aca="false">IF(V8="","",V8*$AV8)</f>
        <v>15.8025</v>
      </c>
      <c r="BB8" s="17" t="n">
        <f aca="false">IF(AC8="","",AC8*$AX8)</f>
        <v>14.9604166666667</v>
      </c>
      <c r="BC8" s="17" t="n">
        <f aca="false">IF(AJ8="","",AJ8*$AZ8)</f>
        <v>15.7129166666667</v>
      </c>
      <c r="BD8" s="17" t="n">
        <f aca="false">N(BA8)+N(BB8)</f>
        <v>30.7629166666667</v>
      </c>
      <c r="BE8" s="17" t="n">
        <f aca="false">BD8+N($M8)*N(BC8)</f>
        <v>30.7629166666667</v>
      </c>
      <c r="BF8" s="17" t="n">
        <f aca="false">IF(W8="","",W8*$AV8)</f>
        <v>8.13038625</v>
      </c>
      <c r="BG8" s="17" t="n">
        <f aca="false">IF(AD8="","",AD8*$AX8)</f>
        <v>8.02751024305555</v>
      </c>
      <c r="BH8" s="17" t="n">
        <f aca="false">IF(AK8="","",AK8*$AZ8)</f>
        <v>7.91800059027778</v>
      </c>
      <c r="BI8" s="17" t="n">
        <f aca="false">IF(BF8="","",N(BF8)+N(BG8))</f>
        <v>16.1578964930556</v>
      </c>
      <c r="BJ8" s="17" t="n">
        <f aca="false">IF(BI8="","",BI8+N($M8)*N(BH8))</f>
        <v>16.1578964930556</v>
      </c>
      <c r="BK8" s="13" t="n">
        <f aca="false">IFERROR(BD8/AL8,1)</f>
        <v>1</v>
      </c>
    </row>
    <row r="9" customFormat="false" ht="15" hidden="false" customHeight="false" outlineLevel="0" collapsed="false">
      <c r="A9" s="0" t="s">
        <v>1132</v>
      </c>
      <c r="B9" s="0" t="s">
        <v>988</v>
      </c>
      <c r="C9" s="0" t="s">
        <v>1002</v>
      </c>
      <c r="D9" s="0" t="s">
        <v>1007</v>
      </c>
      <c r="E9" s="0" t="s">
        <v>1130</v>
      </c>
      <c r="F9" s="0" t="s">
        <v>1462</v>
      </c>
      <c r="G9" s="0" t="str">
        <f aca="false">IFERROR(IF(INDEX(Matches!$W$5:$W$19,MATCH($C9,Matches!$A$5:$A$19,0))="","",INDEX(Matches!$W$5:$W$19,MATCH($C9,Matches!$A$5:$A$19,0))),"")</f>
        <v>Inferno</v>
      </c>
      <c r="H9" s="0" t="str">
        <f aca="false">IFERROR(IF(INDEX(Matches!$X$5:$X$19,MATCH($C9,Matches!$A$5:$A$19,0))="","",INDEX(Matches!$X$5:$X$19,MATCH($C9,Matches!$A$5:$A$19,0))),"")</f>
        <v>Dust2</v>
      </c>
      <c r="I9" s="0" t="str">
        <f aca="false">IFERROR(IF(INDEX(Matches!$Y$5:$Y$19,MATCH($C9,Matches!$A$5:$A$19,0))="","",INDEX(Matches!$Y$5:$Y$19,MATCH($C9,Matches!$A$5:$A$19,0))),"")</f>
        <v>Ancient</v>
      </c>
      <c r="J9" s="11" t="n">
        <f aca="false">IFERROR(IF(INDEX(Matches!$Z$5:$Z$19,MATCH($C9,Matches!$A$5:$A$19,0))="","",INDEX(Matches!$Z$5:$Z$19,MATCH($C9,Matches!$A$5:$A$19,0))),"")</f>
        <v>21.5</v>
      </c>
      <c r="K9" s="11" t="n">
        <f aca="false">IFERROR(IF(INDEX(Matches!$AA$5:$AA$19,MATCH($C9,Matches!$A$5:$A$19,0))="","",INDEX(Matches!$AA$5:$AA$19,MATCH($C9,Matches!$A$5:$A$19,0))),"")</f>
        <v>21.5</v>
      </c>
      <c r="L9" s="11" t="n">
        <f aca="false">IFERROR(IF(INDEX(Matches!$AB$5:$AB$19,MATCH($C9,Matches!$A$5:$A$19,0))="","",INDEX(Matches!$AB$5:$AB$19,MATCH($C9,Matches!$A$5:$A$19,0))),"")</f>
        <v>21.5</v>
      </c>
      <c r="M9" s="10" t="n">
        <f aca="false">IFERROR(IF(INDEX(Matches!$AC$5:$AC$19,MATCH($C9,Matches!$A$5:$A$19,0))="","",INDEX(Matches!$AC$5:$AC$19,MATCH($C9,Matches!$A$5:$A$19,0))),"")</f>
        <v>0</v>
      </c>
      <c r="N9" s="9" t="n">
        <f aca="false">IFERROR(INDEX(Players!$F$2:$F$124,MATCH($F9,Players!$A$2:$A$124,0)),0)</f>
        <v>36</v>
      </c>
      <c r="O9" s="13" t="n">
        <f aca="false">IFERROR(1/(1/INDEX(Players!$H$2:$H$124,MATCH($F9,Players!$A$2:$A$124,0))),"")</f>
        <v>0.73</v>
      </c>
      <c r="P9" s="10" t="n">
        <f aca="false">IFERROR(1/(1/INDEX(Players!$I$2:$I$124,MATCH($F9,Players!$A$2:$A$124,0))),"")</f>
        <v>0.677</v>
      </c>
      <c r="Q9" s="9" t="n">
        <f aca="false">IF($G9="",0,SUMIFS(Map_Stats!$F$2:$F$779,Map_Stats!$A$2:$A$779,$F9&amp;"|"&amp;$G9))</f>
        <v>5</v>
      </c>
      <c r="R9" s="13" t="n">
        <f aca="false">IF($G9="","",IFERROR(1/(1/INDEX(Map_Stats!$K$2:$K$779,MATCH($F9&amp;"|"&amp;$G9,Map_Stats!$A$2:$A$779,0))),$O9))</f>
        <v>0.64</v>
      </c>
      <c r="S9" s="10" t="n">
        <f aca="false">IF(OR($G9="",$P9=""),"",IFERROR(1/(1/INDEX(Map_Stats!$I$2:$I$779,MATCH($F9&amp;"|"&amp;$G9,Map_Stats!$A$2:$A$779,0))),$P9))</f>
        <v>0.631</v>
      </c>
      <c r="T9" s="13" t="n">
        <f aca="false">IF(OR($G9="",R9=""),"",IF($O9="",R9,(Q9*R9+Config!$B$4*$O9)/(Q9+Config!$B$4)))</f>
        <v>0.685</v>
      </c>
      <c r="U9" s="10" t="n">
        <f aca="false">IF(S9="","",(Q9*S9+Config!$B$4*$P9)/(Q9+Config!$B$4))</f>
        <v>0.654</v>
      </c>
      <c r="V9" s="17" t="n">
        <f aca="false">IF(OR(T9="",$J9=""),"",T9*$J9*($J9/Config!$B$10)^Config!$B$9)</f>
        <v>14.7275</v>
      </c>
      <c r="W9" s="17" t="n">
        <f aca="false">IF(OR(V9="",U9=""),"",V9*U9)</f>
        <v>9.631785</v>
      </c>
      <c r="X9" s="9" t="n">
        <f aca="false">IF($H9="",0,SUMIFS(Map_Stats!$F$2:$F$779,Map_Stats!$A$2:$A$779,$F9&amp;"|"&amp;$H9))</f>
        <v>8</v>
      </c>
      <c r="Y9" s="13" t="n">
        <f aca="false">IF($H9="","",IFERROR(1/(1/INDEX(Map_Stats!$K$2:$K$779,MATCH($F9&amp;"|"&amp;$H9,Map_Stats!$A$2:$A$779,0))),$O9))</f>
        <v>0.81</v>
      </c>
      <c r="Z9" s="10" t="n">
        <f aca="false">IF(OR($H9="",$P9=""),"",IFERROR(1/(1/INDEX(Map_Stats!$I$2:$I$779,MATCH($F9&amp;"|"&amp;$H9,Map_Stats!$A$2:$A$779,0))),$P9))</f>
        <v>0.739</v>
      </c>
      <c r="AA9" s="13" t="n">
        <f aca="false">IF(OR($H9="",Y9=""),"",IF($O9="",Y9,(X9*Y9+Config!$B$4*$O9)/(X9+Config!$B$4)))</f>
        <v>0.779230769230769</v>
      </c>
      <c r="AB9" s="10" t="n">
        <f aca="false">IF(Z9="","",(X9*Z9+Config!$B$4*$P9)/(X9+Config!$B$4))</f>
        <v>0.715153846153846</v>
      </c>
      <c r="AC9" s="17" t="n">
        <f aca="false">IF(OR(AA9="",$K9=""),"",AA9*$K9*($K9/Config!$B$10)^Config!$B$9)</f>
        <v>16.7534615384615</v>
      </c>
      <c r="AD9" s="17" t="n">
        <f aca="false">IF(OR(AC9="",AB9=""),"",AC9*AB9)</f>
        <v>11.9813024556213</v>
      </c>
      <c r="AE9" s="9" t="n">
        <f aca="false">IF($I9="",0,SUMIFS(Map_Stats!$F$2:$F$779,Map_Stats!$A$2:$A$779,$F9&amp;"|"&amp;$I9))</f>
        <v>6</v>
      </c>
      <c r="AF9" s="13" t="n">
        <f aca="false">IF($I9="","",IFERROR(1/(1/INDEX(Map_Stats!$K$2:$K$779,MATCH($F9&amp;"|"&amp;$I9,Map_Stats!$A$2:$A$779,0))),$O9))</f>
        <v>0.76</v>
      </c>
      <c r="AG9" s="10" t="n">
        <f aca="false">IF(OR($I9="",$P9=""),"",IFERROR(1/(1/INDEX(Map_Stats!$I$2:$I$779,MATCH($F9&amp;"|"&amp;$I9,Map_Stats!$A$2:$A$779,0))),$P9))</f>
        <v>0.698</v>
      </c>
      <c r="AH9" s="13" t="n">
        <f aca="false">IF(OR($I9="",AF9=""),"",IF($O9="",AF9,(AE9*AF9+Config!$B$4*$O9)/(AE9+Config!$B$4)))</f>
        <v>0.746363636363637</v>
      </c>
      <c r="AI9" s="10" t="n">
        <f aca="false">IF(AG9="","",(AE9*AG9+Config!$B$4*$P9)/(AE9+Config!$B$4))</f>
        <v>0.688454545454546</v>
      </c>
      <c r="AJ9" s="17" t="n">
        <f aca="false">IF(OR(AH9="",$L9=""),"",AH9*$L9*($L9/Config!$B$10)^Config!$B$9)</f>
        <v>16.0468181818182</v>
      </c>
      <c r="AK9" s="17" t="n">
        <f aca="false">IF(OR(AJ9="",AI9=""),"",AJ9*AI9)</f>
        <v>11.0475049173554</v>
      </c>
      <c r="AL9" s="17" t="n">
        <f aca="false">N(V9)+N(AC9)</f>
        <v>31.4809615384615</v>
      </c>
      <c r="AM9" s="17" t="n">
        <f aca="false">AL9+N($M9)*N(AJ9)</f>
        <v>31.4809615384615</v>
      </c>
      <c r="AN9" s="17" t="n">
        <f aca="false">IF(W9="","",N(W9)+N(AD9))</f>
        <v>21.6130874556213</v>
      </c>
      <c r="AO9" s="17" t="n">
        <f aca="false">IF(AN9="","",AN9+N($M9)*N(AK9))</f>
        <v>21.6130874556213</v>
      </c>
      <c r="AP9" s="10" t="n">
        <f aca="false">IFERROR(AN9/AL9,"")</f>
        <v>0.686544705097897</v>
      </c>
      <c r="AQ9" s="0" t="str">
        <f aca="false">TRIM(IF($N9&lt;Config!$B$12,"thin sample ("&amp;$N9&amp;" maps) · ","")&amp;IF(AND($G9&lt;&gt;"",Q9=0),"M1 unplayed→overall KPR · ","")&amp;IF(AND($H9&lt;&gt;"",X9=0),"M2 unplayed→overall KPR · ","")&amp;IF($O9="","no PickFinder stats",""))</f>
        <v/>
      </c>
      <c r="AR9" s="0" t="str">
        <f aca="false">IF($C9=Board!$B$2,COUNTIFS($C$2:$C$124,Board!$B$2,$AL$2:$AL$124,"&gt;"&amp;$AL9)+COUNTIFS($C$1:$C8,Board!$B$2,$AL$1:$AL8,$AL9)+1,"")</f>
        <v/>
      </c>
      <c r="AS9" s="0" t="str">
        <f aca="false">IFERROR(IF($D9=INDEX(Matches!$AD$5:$AD$19,MATCH($C9,Matches!$A$5:$A$19,0)),"A",IF($D9=INDEX(Matches!$AE$5:$AE$19,MATCH($C9,Matches!$A$5:$A$19,0)),"B","")),"")</f>
        <v>B</v>
      </c>
      <c r="AT9" s="10" t="n">
        <f aca="false">IF($AS9="","",IFERROR(IF($AS9="A",INDEX(Matches!$AI$5:$AI$19,MATCH($C9,Matches!$A$5:$A$19,0)),INDEX(Matches!$AJ$5:$AJ$19,MATCH($C9,Matches!$A$5:$A$19,0))),""))</f>
        <v>0.532721889718159</v>
      </c>
      <c r="AU9" s="10" t="str">
        <f aca="false">IF($AS9="","",IFERROR(IF(INDEX(Matches!$AP$5:$AP$19,MATCH($C9,Matches!$A$5:$A$19,0))="","",IF($AS9="A",INDEX(Matches!$AP$5:$AP$19,MATCH($C9,Matches!$A$5:$A$19,0)),1-INDEX(Matches!$AP$5:$AP$19,MATCH($C9,Matches!$A$5:$A$19,0)))),""))</f>
        <v/>
      </c>
      <c r="AV9" s="13" t="n">
        <f aca="false">IF(OR($AU9="",$AT9=""),1,((Config!$B$14*$AU9+Config!$B$15*(1-$AU9))/(Config!$B$14*$AT9+Config!$B$15*(1-$AT9)))^Config!$B$13)</f>
        <v>1</v>
      </c>
      <c r="AW9" s="10" t="str">
        <f aca="false">IF($AS9="","",IFERROR(IF(INDEX(Matches!$AV$5:$AV$19,MATCH($C9,Matches!$A$5:$A$19,0))="","",IF($AS9="A",INDEX(Matches!$AV$5:$AV$19,MATCH($C9,Matches!$A$5:$A$19,0)),1-INDEX(Matches!$AV$5:$AV$19,MATCH($C9,Matches!$A$5:$A$19,0)))),""))</f>
        <v/>
      </c>
      <c r="AX9" s="13" t="n">
        <f aca="false">IF(OR($AW9="",$AT9=""),1,((Config!$B$14*$AW9+Config!$B$15*(1-$AW9))/(Config!$B$14*$AT9+Config!$B$15*(1-$AT9)))^Config!$B$13)</f>
        <v>1</v>
      </c>
      <c r="AY9" s="10" t="str">
        <f aca="false">IF($AS9="","",IFERROR(IF(INDEX(Matches!$BB$5:$BB$19,MATCH($C9,Matches!$A$5:$A$19,0))="","",IF($AS9="A",INDEX(Matches!$BB$5:$BB$19,MATCH($C9,Matches!$A$5:$A$19,0)),1-INDEX(Matches!$BB$5:$BB$19,MATCH($C9,Matches!$A$5:$A$19,0)))),""))</f>
        <v/>
      </c>
      <c r="AZ9" s="13" t="n">
        <f aca="false">IF(OR($AY9="",$AT9=""),1,((Config!$B$14*$AY9+Config!$B$15*(1-$AY9))/(Config!$B$14*$AT9+Config!$B$15*(1-$AT9)))^Config!$B$13)</f>
        <v>1</v>
      </c>
      <c r="BA9" s="17" t="n">
        <f aca="false">IF(V9="","",V9*$AV9)</f>
        <v>14.7275</v>
      </c>
      <c r="BB9" s="17" t="n">
        <f aca="false">IF(AC9="","",AC9*$AX9)</f>
        <v>16.7534615384615</v>
      </c>
      <c r="BC9" s="17" t="n">
        <f aca="false">IF(AJ9="","",AJ9*$AZ9)</f>
        <v>16.0468181818182</v>
      </c>
      <c r="BD9" s="17" t="n">
        <f aca="false">N(BA9)+N(BB9)</f>
        <v>31.4809615384615</v>
      </c>
      <c r="BE9" s="17" t="n">
        <f aca="false">BD9+N($M9)*N(BC9)</f>
        <v>31.4809615384615</v>
      </c>
      <c r="BF9" s="17" t="n">
        <f aca="false">IF(W9="","",W9*$AV9)</f>
        <v>9.631785</v>
      </c>
      <c r="BG9" s="17" t="n">
        <f aca="false">IF(AD9="","",AD9*$AX9)</f>
        <v>11.9813024556213</v>
      </c>
      <c r="BH9" s="17" t="n">
        <f aca="false">IF(AK9="","",AK9*$AZ9)</f>
        <v>11.0475049173554</v>
      </c>
      <c r="BI9" s="17" t="n">
        <f aca="false">IF(BF9="","",N(BF9)+N(BG9))</f>
        <v>21.6130874556213</v>
      </c>
      <c r="BJ9" s="17" t="n">
        <f aca="false">IF(BI9="","",BI9+N($M9)*N(BH9))</f>
        <v>21.6130874556213</v>
      </c>
      <c r="BK9" s="13" t="n">
        <f aca="false">IFERROR(BD9/AL9,1)</f>
        <v>1</v>
      </c>
    </row>
    <row r="10" customFormat="false" ht="15" hidden="false" customHeight="false" outlineLevel="0" collapsed="false">
      <c r="A10" s="0" t="s">
        <v>1134</v>
      </c>
      <c r="B10" s="0" t="s">
        <v>988</v>
      </c>
      <c r="C10" s="0" t="s">
        <v>1002</v>
      </c>
      <c r="D10" s="0" t="s">
        <v>1007</v>
      </c>
      <c r="E10" s="0" t="s">
        <v>1133</v>
      </c>
      <c r="F10" s="0" t="s">
        <v>1463</v>
      </c>
      <c r="G10" s="0" t="str">
        <f aca="false">IFERROR(IF(INDEX(Matches!$W$5:$W$19,MATCH($C10,Matches!$A$5:$A$19,0))="","",INDEX(Matches!$W$5:$W$19,MATCH($C10,Matches!$A$5:$A$19,0))),"")</f>
        <v>Inferno</v>
      </c>
      <c r="H10" s="0" t="str">
        <f aca="false">IFERROR(IF(INDEX(Matches!$X$5:$X$19,MATCH($C10,Matches!$A$5:$A$19,0))="","",INDEX(Matches!$X$5:$X$19,MATCH($C10,Matches!$A$5:$A$19,0))),"")</f>
        <v>Dust2</v>
      </c>
      <c r="I10" s="0" t="str">
        <f aca="false">IFERROR(IF(INDEX(Matches!$Y$5:$Y$19,MATCH($C10,Matches!$A$5:$A$19,0))="","",INDEX(Matches!$Y$5:$Y$19,MATCH($C10,Matches!$A$5:$A$19,0))),"")</f>
        <v>Ancient</v>
      </c>
      <c r="J10" s="11" t="n">
        <f aca="false">IFERROR(IF(INDEX(Matches!$Z$5:$Z$19,MATCH($C10,Matches!$A$5:$A$19,0))="","",INDEX(Matches!$Z$5:$Z$19,MATCH($C10,Matches!$A$5:$A$19,0))),"")</f>
        <v>21.5</v>
      </c>
      <c r="K10" s="11" t="n">
        <f aca="false">IFERROR(IF(INDEX(Matches!$AA$5:$AA$19,MATCH($C10,Matches!$A$5:$A$19,0))="","",INDEX(Matches!$AA$5:$AA$19,MATCH($C10,Matches!$A$5:$A$19,0))),"")</f>
        <v>21.5</v>
      </c>
      <c r="L10" s="11" t="n">
        <f aca="false">IFERROR(IF(INDEX(Matches!$AB$5:$AB$19,MATCH($C10,Matches!$A$5:$A$19,0))="","",INDEX(Matches!$AB$5:$AB$19,MATCH($C10,Matches!$A$5:$A$19,0))),"")</f>
        <v>21.5</v>
      </c>
      <c r="M10" s="10" t="n">
        <f aca="false">IFERROR(IF(INDEX(Matches!$AC$5:$AC$19,MATCH($C10,Matches!$A$5:$A$19,0))="","",INDEX(Matches!$AC$5:$AC$19,MATCH($C10,Matches!$A$5:$A$19,0))),"")</f>
        <v>0</v>
      </c>
      <c r="N10" s="9" t="n">
        <f aca="false">IFERROR(INDEX(Players!$F$2:$F$124,MATCH($F10,Players!$A$2:$A$124,0)),0)</f>
        <v>36</v>
      </c>
      <c r="O10" s="13" t="n">
        <f aca="false">IFERROR(1/(1/INDEX(Players!$H$2:$H$124,MATCH($F10,Players!$A$2:$A$124,0))),"")</f>
        <v>0.74</v>
      </c>
      <c r="P10" s="10" t="n">
        <f aca="false">IFERROR(1/(1/INDEX(Players!$I$2:$I$124,MATCH($F10,Players!$A$2:$A$124,0))),"")</f>
        <v>0.502</v>
      </c>
      <c r="Q10" s="9" t="n">
        <f aca="false">IF($G10="",0,SUMIFS(Map_Stats!$F$2:$F$779,Map_Stats!$A$2:$A$779,$F10&amp;"|"&amp;$G10))</f>
        <v>5</v>
      </c>
      <c r="R10" s="13" t="n">
        <f aca="false">IF($G10="","",IFERROR(1/(1/INDEX(Map_Stats!$K$2:$K$779,MATCH($F10&amp;"|"&amp;$G10,Map_Stats!$A$2:$A$779,0))),$O10))</f>
        <v>0.78</v>
      </c>
      <c r="S10" s="10" t="n">
        <f aca="false">IF(OR($G10="",$P10=""),"",IFERROR(1/(1/INDEX(Map_Stats!$I$2:$I$779,MATCH($F10&amp;"|"&amp;$G10,Map_Stats!$A$2:$A$779,0))),$P10))</f>
        <v>0.544</v>
      </c>
      <c r="T10" s="13" t="n">
        <f aca="false">IF(OR($G10="",R10=""),"",IF($O10="",R10,(Q10*R10+Config!$B$4*$O10)/(Q10+Config!$B$4)))</f>
        <v>0.76</v>
      </c>
      <c r="U10" s="10" t="n">
        <f aca="false">IF(S10="","",(Q10*S10+Config!$B$4*$P10)/(Q10+Config!$B$4))</f>
        <v>0.523</v>
      </c>
      <c r="V10" s="17" t="n">
        <f aca="false">IF(OR(T10="",$J10=""),"",T10*$J10*($J10/Config!$B$10)^Config!$B$9)</f>
        <v>16.34</v>
      </c>
      <c r="W10" s="17" t="n">
        <f aca="false">IF(OR(V10="",U10=""),"",V10*U10)</f>
        <v>8.54582</v>
      </c>
      <c r="X10" s="9" t="n">
        <f aca="false">IF($H10="",0,SUMIFS(Map_Stats!$F$2:$F$779,Map_Stats!$A$2:$A$779,$F10&amp;"|"&amp;$H10))</f>
        <v>8</v>
      </c>
      <c r="Y10" s="13" t="n">
        <f aca="false">IF($H10="","",IFERROR(1/(1/INDEX(Map_Stats!$K$2:$K$779,MATCH($F10&amp;"|"&amp;$H10,Map_Stats!$A$2:$A$779,0))),$O10))</f>
        <v>0.78</v>
      </c>
      <c r="Z10" s="10" t="n">
        <f aca="false">IF(OR($H10="",$P10=""),"",IFERROR(1/(1/INDEX(Map_Stats!$I$2:$I$779,MATCH($F10&amp;"|"&amp;$H10,Map_Stats!$A$2:$A$779,0))),$P10))</f>
        <v>0.488</v>
      </c>
      <c r="AA10" s="13" t="n">
        <f aca="false">IF(OR($H10="",Y10=""),"",IF($O10="",Y10,(X10*Y10+Config!$B$4*$O10)/(X10+Config!$B$4)))</f>
        <v>0.764615384615385</v>
      </c>
      <c r="AB10" s="10" t="n">
        <f aca="false">IF(Z10="","",(X10*Z10+Config!$B$4*$P10)/(X10+Config!$B$4))</f>
        <v>0.493384615384615</v>
      </c>
      <c r="AC10" s="17" t="n">
        <f aca="false">IF(OR(AA10="",$K10=""),"",AA10*$K10*($K10/Config!$B$10)^Config!$B$9)</f>
        <v>16.4392307692308</v>
      </c>
      <c r="AD10" s="17" t="n">
        <f aca="false">IF(OR(AC10="",AB10=""),"",AC10*AB10)</f>
        <v>8.11086355029586</v>
      </c>
      <c r="AE10" s="9" t="n">
        <f aca="false">IF($I10="",0,SUMIFS(Map_Stats!$F$2:$F$779,Map_Stats!$A$2:$A$779,$F10&amp;"|"&amp;$I10))</f>
        <v>6</v>
      </c>
      <c r="AF10" s="13" t="n">
        <f aca="false">IF($I10="","",IFERROR(1/(1/INDEX(Map_Stats!$K$2:$K$779,MATCH($F10&amp;"|"&amp;$I10,Map_Stats!$A$2:$A$779,0))),$O10))</f>
        <v>0.7</v>
      </c>
      <c r="AG10" s="10" t="n">
        <f aca="false">IF(OR($I10="",$P10=""),"",IFERROR(1/(1/INDEX(Map_Stats!$I$2:$I$779,MATCH($F10&amp;"|"&amp;$I10,Map_Stats!$A$2:$A$779,0))),$P10))</f>
        <v>0.607</v>
      </c>
      <c r="AH10" s="13" t="n">
        <f aca="false">IF(OR($I10="",AF10=""),"",IF($O10="",AF10,(AE10*AF10+Config!$B$4*$O10)/(AE10+Config!$B$4)))</f>
        <v>0.718181818181818</v>
      </c>
      <c r="AI10" s="10" t="n">
        <f aca="false">IF(AG10="","",(AE10*AG10+Config!$B$4*$P10)/(AE10+Config!$B$4))</f>
        <v>0.559272727272727</v>
      </c>
      <c r="AJ10" s="17" t="n">
        <f aca="false">IF(OR(AH10="",$L10=""),"",AH10*$L10*($L10/Config!$B$10)^Config!$B$9)</f>
        <v>15.4409090909091</v>
      </c>
      <c r="AK10" s="17" t="n">
        <f aca="false">IF(OR(AJ10="",AI10=""),"",AJ10*AI10)</f>
        <v>8.63567933884298</v>
      </c>
      <c r="AL10" s="17" t="n">
        <f aca="false">N(V10)+N(AC10)</f>
        <v>32.7792307692308</v>
      </c>
      <c r="AM10" s="17" t="n">
        <f aca="false">AL10+N($M10)*N(AJ10)</f>
        <v>32.7792307692308</v>
      </c>
      <c r="AN10" s="17" t="n">
        <f aca="false">IF(W10="","",N(W10)+N(AD10))</f>
        <v>16.6566835502959</v>
      </c>
      <c r="AO10" s="17" t="n">
        <f aca="false">IF(AN10="","",AN10+N($M10)*N(AK10))</f>
        <v>16.6566835502959</v>
      </c>
      <c r="AP10" s="10" t="n">
        <f aca="false">IFERROR(AN10/AL10,"")</f>
        <v>0.508147481176745</v>
      </c>
      <c r="AQ10" s="0" t="str">
        <f aca="false">TRIM(IF($N10&lt;Config!$B$12,"thin sample ("&amp;$N10&amp;" maps) · ","")&amp;IF(AND($G10&lt;&gt;"",Q10=0),"M1 unplayed→overall KPR · ","")&amp;IF(AND($H10&lt;&gt;"",X10=0),"M2 unplayed→overall KPR · ","")&amp;IF($O10="","no PickFinder stats",""))</f>
        <v/>
      </c>
      <c r="AR10" s="0" t="str">
        <f aca="false">IF($C10=Board!$B$2,COUNTIFS($C$2:$C$124,Board!$B$2,$AL$2:$AL$124,"&gt;"&amp;$AL10)+COUNTIFS($C$1:$C9,Board!$B$2,$AL$1:$AL9,$AL10)+1,"")</f>
        <v/>
      </c>
      <c r="AS10" s="0" t="str">
        <f aca="false">IFERROR(IF($D10=INDEX(Matches!$AD$5:$AD$19,MATCH($C10,Matches!$A$5:$A$19,0)),"A",IF($D10=INDEX(Matches!$AE$5:$AE$19,MATCH($C10,Matches!$A$5:$A$19,0)),"B","")),"")</f>
        <v>B</v>
      </c>
      <c r="AT10" s="10" t="n">
        <f aca="false">IF($AS10="","",IFERROR(IF($AS10="A",INDEX(Matches!$AI$5:$AI$19,MATCH($C10,Matches!$A$5:$A$19,0)),INDEX(Matches!$AJ$5:$AJ$19,MATCH($C10,Matches!$A$5:$A$19,0))),""))</f>
        <v>0.532721889718159</v>
      </c>
      <c r="AU10" s="10" t="str">
        <f aca="false">IF($AS10="","",IFERROR(IF(INDEX(Matches!$AP$5:$AP$19,MATCH($C10,Matches!$A$5:$A$19,0))="","",IF($AS10="A",INDEX(Matches!$AP$5:$AP$19,MATCH($C10,Matches!$A$5:$A$19,0)),1-INDEX(Matches!$AP$5:$AP$19,MATCH($C10,Matches!$A$5:$A$19,0)))),""))</f>
        <v/>
      </c>
      <c r="AV10" s="13" t="n">
        <f aca="false">IF(OR($AU10="",$AT10=""),1,((Config!$B$14*$AU10+Config!$B$15*(1-$AU10))/(Config!$B$14*$AT10+Config!$B$15*(1-$AT10)))^Config!$B$13)</f>
        <v>1</v>
      </c>
      <c r="AW10" s="10" t="str">
        <f aca="false">IF($AS10="","",IFERROR(IF(INDEX(Matches!$AV$5:$AV$19,MATCH($C10,Matches!$A$5:$A$19,0))="","",IF($AS10="A",INDEX(Matches!$AV$5:$AV$19,MATCH($C10,Matches!$A$5:$A$19,0)),1-INDEX(Matches!$AV$5:$AV$19,MATCH($C10,Matches!$A$5:$A$19,0)))),""))</f>
        <v/>
      </c>
      <c r="AX10" s="13" t="n">
        <f aca="false">IF(OR($AW10="",$AT10=""),1,((Config!$B$14*$AW10+Config!$B$15*(1-$AW10))/(Config!$B$14*$AT10+Config!$B$15*(1-$AT10)))^Config!$B$13)</f>
        <v>1</v>
      </c>
      <c r="AY10" s="10" t="str">
        <f aca="false">IF($AS10="","",IFERROR(IF(INDEX(Matches!$BB$5:$BB$19,MATCH($C10,Matches!$A$5:$A$19,0))="","",IF($AS10="A",INDEX(Matches!$BB$5:$BB$19,MATCH($C10,Matches!$A$5:$A$19,0)),1-INDEX(Matches!$BB$5:$BB$19,MATCH($C10,Matches!$A$5:$A$19,0)))),""))</f>
        <v/>
      </c>
      <c r="AZ10" s="13" t="n">
        <f aca="false">IF(OR($AY10="",$AT10=""),1,((Config!$B$14*$AY10+Config!$B$15*(1-$AY10))/(Config!$B$14*$AT10+Config!$B$15*(1-$AT10)))^Config!$B$13)</f>
        <v>1</v>
      </c>
      <c r="BA10" s="17" t="n">
        <f aca="false">IF(V10="","",V10*$AV10)</f>
        <v>16.34</v>
      </c>
      <c r="BB10" s="17" t="n">
        <f aca="false">IF(AC10="","",AC10*$AX10)</f>
        <v>16.4392307692308</v>
      </c>
      <c r="BC10" s="17" t="n">
        <f aca="false">IF(AJ10="","",AJ10*$AZ10)</f>
        <v>15.4409090909091</v>
      </c>
      <c r="BD10" s="17" t="n">
        <f aca="false">N(BA10)+N(BB10)</f>
        <v>32.7792307692308</v>
      </c>
      <c r="BE10" s="17" t="n">
        <f aca="false">BD10+N($M10)*N(BC10)</f>
        <v>32.7792307692308</v>
      </c>
      <c r="BF10" s="17" t="n">
        <f aca="false">IF(W10="","",W10*$AV10)</f>
        <v>8.54582</v>
      </c>
      <c r="BG10" s="17" t="n">
        <f aca="false">IF(AD10="","",AD10*$AX10)</f>
        <v>8.11086355029586</v>
      </c>
      <c r="BH10" s="17" t="n">
        <f aca="false">IF(AK10="","",AK10*$AZ10)</f>
        <v>8.63567933884298</v>
      </c>
      <c r="BI10" s="17" t="n">
        <f aca="false">IF(BF10="","",N(BF10)+N(BG10))</f>
        <v>16.6566835502959</v>
      </c>
      <c r="BJ10" s="17" t="n">
        <f aca="false">IF(BI10="","",BI10+N($M10)*N(BH10))</f>
        <v>16.6566835502959</v>
      </c>
      <c r="BK10" s="13" t="n">
        <f aca="false">IFERROR(BD10/AL10,1)</f>
        <v>1</v>
      </c>
    </row>
    <row r="11" customFormat="false" ht="15" hidden="false" customHeight="false" outlineLevel="0" collapsed="false">
      <c r="A11" s="0" t="s">
        <v>1136</v>
      </c>
      <c r="B11" s="0" t="s">
        <v>988</v>
      </c>
      <c r="C11" s="0" t="s">
        <v>1002</v>
      </c>
      <c r="D11" s="0" t="s">
        <v>1007</v>
      </c>
      <c r="E11" s="0" t="s">
        <v>1135</v>
      </c>
      <c r="F11" s="0" t="s">
        <v>1464</v>
      </c>
      <c r="G11" s="0" t="str">
        <f aca="false">IFERROR(IF(INDEX(Matches!$W$5:$W$19,MATCH($C11,Matches!$A$5:$A$19,0))="","",INDEX(Matches!$W$5:$W$19,MATCH($C11,Matches!$A$5:$A$19,0))),"")</f>
        <v>Inferno</v>
      </c>
      <c r="H11" s="0" t="str">
        <f aca="false">IFERROR(IF(INDEX(Matches!$X$5:$X$19,MATCH($C11,Matches!$A$5:$A$19,0))="","",INDEX(Matches!$X$5:$X$19,MATCH($C11,Matches!$A$5:$A$19,0))),"")</f>
        <v>Dust2</v>
      </c>
      <c r="I11" s="0" t="str">
        <f aca="false">IFERROR(IF(INDEX(Matches!$Y$5:$Y$19,MATCH($C11,Matches!$A$5:$A$19,0))="","",INDEX(Matches!$Y$5:$Y$19,MATCH($C11,Matches!$A$5:$A$19,0))),"")</f>
        <v>Ancient</v>
      </c>
      <c r="J11" s="11" t="n">
        <f aca="false">IFERROR(IF(INDEX(Matches!$Z$5:$Z$19,MATCH($C11,Matches!$A$5:$A$19,0))="","",INDEX(Matches!$Z$5:$Z$19,MATCH($C11,Matches!$A$5:$A$19,0))),"")</f>
        <v>21.5</v>
      </c>
      <c r="K11" s="11" t="n">
        <f aca="false">IFERROR(IF(INDEX(Matches!$AA$5:$AA$19,MATCH($C11,Matches!$A$5:$A$19,0))="","",INDEX(Matches!$AA$5:$AA$19,MATCH($C11,Matches!$A$5:$A$19,0))),"")</f>
        <v>21.5</v>
      </c>
      <c r="L11" s="11" t="n">
        <f aca="false">IFERROR(IF(INDEX(Matches!$AB$5:$AB$19,MATCH($C11,Matches!$A$5:$A$19,0))="","",INDEX(Matches!$AB$5:$AB$19,MATCH($C11,Matches!$A$5:$A$19,0))),"")</f>
        <v>21.5</v>
      </c>
      <c r="M11" s="10" t="n">
        <f aca="false">IFERROR(IF(INDEX(Matches!$AC$5:$AC$19,MATCH($C11,Matches!$A$5:$A$19,0))="","",INDEX(Matches!$AC$5:$AC$19,MATCH($C11,Matches!$A$5:$A$19,0))),"")</f>
        <v>0</v>
      </c>
      <c r="N11" s="9" t="n">
        <f aca="false">IFERROR(INDEX(Players!$F$2:$F$124,MATCH($F11,Players!$A$2:$A$124,0)),0)</f>
        <v>36</v>
      </c>
      <c r="O11" s="13" t="n">
        <f aca="false">IFERROR(1/(1/INDEX(Players!$H$2:$H$124,MATCH($F11,Players!$A$2:$A$124,0))),"")</f>
        <v>0.69</v>
      </c>
      <c r="P11" s="10" t="n">
        <f aca="false">IFERROR(1/(1/INDEX(Players!$I$2:$I$124,MATCH($F11,Players!$A$2:$A$124,0))),"")</f>
        <v>0.356</v>
      </c>
      <c r="Q11" s="9" t="n">
        <f aca="false">IF($G11="",0,SUMIFS(Map_Stats!$F$2:$F$779,Map_Stats!$A$2:$A$779,$F11&amp;"|"&amp;$G11))</f>
        <v>5</v>
      </c>
      <c r="R11" s="13" t="n">
        <f aca="false">IF($G11="","",IFERROR(1/(1/INDEX(Map_Stats!$K$2:$K$779,MATCH($F11&amp;"|"&amp;$G11,Map_Stats!$A$2:$A$779,0))),$O11))</f>
        <v>0.73</v>
      </c>
      <c r="S11" s="10" t="n">
        <f aca="false">IF(OR($G11="",$P11=""),"",IFERROR(1/(1/INDEX(Map_Stats!$I$2:$I$779,MATCH($F11&amp;"|"&amp;$G11,Map_Stats!$A$2:$A$779,0))),$P11))</f>
        <v>0.459</v>
      </c>
      <c r="T11" s="13" t="n">
        <f aca="false">IF(OR($G11="",R11=""),"",IF($O11="",R11,(Q11*R11+Config!$B$4*$O11)/(Q11+Config!$B$4)))</f>
        <v>0.71</v>
      </c>
      <c r="U11" s="10" t="n">
        <f aca="false">IF(S11="","",(Q11*S11+Config!$B$4*$P11)/(Q11+Config!$B$4))</f>
        <v>0.4075</v>
      </c>
      <c r="V11" s="17" t="n">
        <f aca="false">IF(OR(T11="",$J11=""),"",T11*$J11*($J11/Config!$B$10)^Config!$B$9)</f>
        <v>15.265</v>
      </c>
      <c r="W11" s="17" t="n">
        <f aca="false">IF(OR(V11="",U11=""),"",V11*U11)</f>
        <v>6.2204875</v>
      </c>
      <c r="X11" s="9" t="n">
        <f aca="false">IF($H11="",0,SUMIFS(Map_Stats!$F$2:$F$779,Map_Stats!$A$2:$A$779,$F11&amp;"|"&amp;$H11))</f>
        <v>8</v>
      </c>
      <c r="Y11" s="13" t="n">
        <f aca="false">IF($H11="","",IFERROR(1/(1/INDEX(Map_Stats!$K$2:$K$779,MATCH($F11&amp;"|"&amp;$H11,Map_Stats!$A$2:$A$779,0))),$O11))</f>
        <v>0.66</v>
      </c>
      <c r="Z11" s="10" t="n">
        <f aca="false">IF(OR($H11="",$P11=""),"",IFERROR(1/(1/INDEX(Map_Stats!$I$2:$I$779,MATCH($F11&amp;"|"&amp;$H11,Map_Stats!$A$2:$A$779,0))),$P11))</f>
        <v>0.312</v>
      </c>
      <c r="AA11" s="13" t="n">
        <f aca="false">IF(OR($H11="",Y11=""),"",IF($O11="",Y11,(X11*Y11+Config!$B$4*$O11)/(X11+Config!$B$4)))</f>
        <v>0.671538461538462</v>
      </c>
      <c r="AB11" s="10" t="n">
        <f aca="false">IF(Z11="","",(X11*Z11+Config!$B$4*$P11)/(X11+Config!$B$4))</f>
        <v>0.328923076923077</v>
      </c>
      <c r="AC11" s="17" t="n">
        <f aca="false">IF(OR(AA11="",$K11=""),"",AA11*$K11*($K11/Config!$B$10)^Config!$B$9)</f>
        <v>14.4380769230769</v>
      </c>
      <c r="AD11" s="17" t="n">
        <f aca="false">IF(OR(AC11="",AB11=""),"",AC11*AB11)</f>
        <v>4.74901668639053</v>
      </c>
      <c r="AE11" s="9" t="n">
        <f aca="false">IF($I11="",0,SUMIFS(Map_Stats!$F$2:$F$779,Map_Stats!$A$2:$A$779,$F11&amp;"|"&amp;$I11))</f>
        <v>6</v>
      </c>
      <c r="AF11" s="13" t="n">
        <f aca="false">IF($I11="","",IFERROR(1/(1/INDEX(Map_Stats!$K$2:$K$779,MATCH($F11&amp;"|"&amp;$I11,Map_Stats!$A$2:$A$779,0))),$O11))</f>
        <v>0.71</v>
      </c>
      <c r="AG11" s="10" t="n">
        <f aca="false">IF(OR($I11="",$P11=""),"",IFERROR(1/(1/INDEX(Map_Stats!$I$2:$I$779,MATCH($F11&amp;"|"&amp;$I11,Map_Stats!$A$2:$A$779,0))),$P11))</f>
        <v>0.333</v>
      </c>
      <c r="AH11" s="13" t="n">
        <f aca="false">IF(OR($I11="",AF11=""),"",IF($O11="",AF11,(AE11*AF11+Config!$B$4*$O11)/(AE11+Config!$B$4)))</f>
        <v>0.700909090909091</v>
      </c>
      <c r="AI11" s="10" t="n">
        <f aca="false">IF(AG11="","",(AE11*AG11+Config!$B$4*$P11)/(AE11+Config!$B$4))</f>
        <v>0.343454545454545</v>
      </c>
      <c r="AJ11" s="17" t="n">
        <f aca="false">IF(OR(AH11="",$L11=""),"",AH11*$L11*($L11/Config!$B$10)^Config!$B$9)</f>
        <v>15.0695454545455</v>
      </c>
      <c r="AK11" s="17" t="n">
        <f aca="false">IF(OR(AJ11="",AI11=""),"",AJ11*AI11)</f>
        <v>5.17570388429752</v>
      </c>
      <c r="AL11" s="17" t="n">
        <f aca="false">N(V11)+N(AC11)</f>
        <v>29.7030769230769</v>
      </c>
      <c r="AM11" s="17" t="n">
        <f aca="false">AL11+N($M11)*N(AJ11)</f>
        <v>29.7030769230769</v>
      </c>
      <c r="AN11" s="17" t="n">
        <f aca="false">IF(W11="","",N(W11)+N(AD11))</f>
        <v>10.9695041863905</v>
      </c>
      <c r="AO11" s="17" t="n">
        <f aca="false">IF(AN11="","",AN11+N($M11)*N(AK11))</f>
        <v>10.9695041863905</v>
      </c>
      <c r="AP11" s="10" t="n">
        <f aca="false">IFERROR(AN11/AL11,"")</f>
        <v>0.369305315230427</v>
      </c>
      <c r="AQ11" s="0" t="str">
        <f aca="false">TRIM(IF($N11&lt;Config!$B$12,"thin sample ("&amp;$N11&amp;" maps) · ","")&amp;IF(AND($G11&lt;&gt;"",Q11=0),"M1 unplayed→overall KPR · ","")&amp;IF(AND($H11&lt;&gt;"",X11=0),"M2 unplayed→overall KPR · ","")&amp;IF($O11="","no PickFinder stats",""))</f>
        <v/>
      </c>
      <c r="AR11" s="0" t="str">
        <f aca="false">IF($C11=Board!$B$2,COUNTIFS($C$2:$C$124,Board!$B$2,$AL$2:$AL$124,"&gt;"&amp;$AL11)+COUNTIFS($C$1:$C10,Board!$B$2,$AL$1:$AL10,$AL11)+1,"")</f>
        <v/>
      </c>
      <c r="AS11" s="0" t="str">
        <f aca="false">IFERROR(IF($D11=INDEX(Matches!$AD$5:$AD$19,MATCH($C11,Matches!$A$5:$A$19,0)),"A",IF($D11=INDEX(Matches!$AE$5:$AE$19,MATCH($C11,Matches!$A$5:$A$19,0)),"B","")),"")</f>
        <v>B</v>
      </c>
      <c r="AT11" s="10" t="n">
        <f aca="false">IF($AS11="","",IFERROR(IF($AS11="A",INDEX(Matches!$AI$5:$AI$19,MATCH($C11,Matches!$A$5:$A$19,0)),INDEX(Matches!$AJ$5:$AJ$19,MATCH($C11,Matches!$A$5:$A$19,0))),""))</f>
        <v>0.532721889718159</v>
      </c>
      <c r="AU11" s="10" t="str">
        <f aca="false">IF($AS11="","",IFERROR(IF(INDEX(Matches!$AP$5:$AP$19,MATCH($C11,Matches!$A$5:$A$19,0))="","",IF($AS11="A",INDEX(Matches!$AP$5:$AP$19,MATCH($C11,Matches!$A$5:$A$19,0)),1-INDEX(Matches!$AP$5:$AP$19,MATCH($C11,Matches!$A$5:$A$19,0)))),""))</f>
        <v/>
      </c>
      <c r="AV11" s="13" t="n">
        <f aca="false">IF(OR($AU11="",$AT11=""),1,((Config!$B$14*$AU11+Config!$B$15*(1-$AU11))/(Config!$B$14*$AT11+Config!$B$15*(1-$AT11)))^Config!$B$13)</f>
        <v>1</v>
      </c>
      <c r="AW11" s="10" t="str">
        <f aca="false">IF($AS11="","",IFERROR(IF(INDEX(Matches!$AV$5:$AV$19,MATCH($C11,Matches!$A$5:$A$19,0))="","",IF($AS11="A",INDEX(Matches!$AV$5:$AV$19,MATCH($C11,Matches!$A$5:$A$19,0)),1-INDEX(Matches!$AV$5:$AV$19,MATCH($C11,Matches!$A$5:$A$19,0)))),""))</f>
        <v/>
      </c>
      <c r="AX11" s="13" t="n">
        <f aca="false">IF(OR($AW11="",$AT11=""),1,((Config!$B$14*$AW11+Config!$B$15*(1-$AW11))/(Config!$B$14*$AT11+Config!$B$15*(1-$AT11)))^Config!$B$13)</f>
        <v>1</v>
      </c>
      <c r="AY11" s="10" t="str">
        <f aca="false">IF($AS11="","",IFERROR(IF(INDEX(Matches!$BB$5:$BB$19,MATCH($C11,Matches!$A$5:$A$19,0))="","",IF($AS11="A",INDEX(Matches!$BB$5:$BB$19,MATCH($C11,Matches!$A$5:$A$19,0)),1-INDEX(Matches!$BB$5:$BB$19,MATCH($C11,Matches!$A$5:$A$19,0)))),""))</f>
        <v/>
      </c>
      <c r="AZ11" s="13" t="n">
        <f aca="false">IF(OR($AY11="",$AT11=""),1,((Config!$B$14*$AY11+Config!$B$15*(1-$AY11))/(Config!$B$14*$AT11+Config!$B$15*(1-$AT11)))^Config!$B$13)</f>
        <v>1</v>
      </c>
      <c r="BA11" s="17" t="n">
        <f aca="false">IF(V11="","",V11*$AV11)</f>
        <v>15.265</v>
      </c>
      <c r="BB11" s="17" t="n">
        <f aca="false">IF(AC11="","",AC11*$AX11)</f>
        <v>14.4380769230769</v>
      </c>
      <c r="BC11" s="17" t="n">
        <f aca="false">IF(AJ11="","",AJ11*$AZ11)</f>
        <v>15.0695454545455</v>
      </c>
      <c r="BD11" s="17" t="n">
        <f aca="false">N(BA11)+N(BB11)</f>
        <v>29.7030769230769</v>
      </c>
      <c r="BE11" s="17" t="n">
        <f aca="false">BD11+N($M11)*N(BC11)</f>
        <v>29.7030769230769</v>
      </c>
      <c r="BF11" s="17" t="n">
        <f aca="false">IF(W11="","",W11*$AV11)</f>
        <v>6.2204875</v>
      </c>
      <c r="BG11" s="17" t="n">
        <f aca="false">IF(AD11="","",AD11*$AX11)</f>
        <v>4.74901668639053</v>
      </c>
      <c r="BH11" s="17" t="n">
        <f aca="false">IF(AK11="","",AK11*$AZ11)</f>
        <v>5.17570388429752</v>
      </c>
      <c r="BI11" s="17" t="n">
        <f aca="false">IF(BF11="","",N(BF11)+N(BG11))</f>
        <v>10.9695041863905</v>
      </c>
      <c r="BJ11" s="17" t="n">
        <f aca="false">IF(BI11="","",BI11+N($M11)*N(BH11))</f>
        <v>10.9695041863905</v>
      </c>
      <c r="BK11" s="13" t="n">
        <f aca="false">IFERROR(BD11/AL11,1)</f>
        <v>1</v>
      </c>
    </row>
    <row r="12" customFormat="false" ht="15" hidden="false" customHeight="false" outlineLevel="0" collapsed="false">
      <c r="A12" s="0" t="s">
        <v>1138</v>
      </c>
      <c r="B12" s="0" t="s">
        <v>988</v>
      </c>
      <c r="C12" s="0" t="s">
        <v>1027</v>
      </c>
      <c r="D12" s="0" t="s">
        <v>1033</v>
      </c>
      <c r="E12" s="0" t="s">
        <v>1137</v>
      </c>
      <c r="F12" s="0" t="s">
        <v>1465</v>
      </c>
      <c r="G12" s="0" t="str">
        <f aca="false">IFERROR(IF(INDEX(Matches!$W$5:$W$19,MATCH($C12,Matches!$A$5:$A$19,0))="","",INDEX(Matches!$W$5:$W$19,MATCH($C12,Matches!$A$5:$A$19,0))),"")</f>
        <v>Cache</v>
      </c>
      <c r="H12" s="0" t="str">
        <f aca="false">IFERROR(IF(INDEX(Matches!$X$5:$X$19,MATCH($C12,Matches!$A$5:$A$19,0))="","",INDEX(Matches!$X$5:$X$19,MATCH($C12,Matches!$A$5:$A$19,0))),"")</f>
        <v>Nuke</v>
      </c>
      <c r="I12" s="0" t="str">
        <f aca="false">IFERROR(IF(INDEX(Matches!$Y$5:$Y$19,MATCH($C12,Matches!$A$5:$A$19,0))="","",INDEX(Matches!$Y$5:$Y$19,MATCH($C12,Matches!$A$5:$A$19,0))),"")</f>
        <v>Mirage</v>
      </c>
      <c r="J12" s="11" t="n">
        <f aca="false">IFERROR(IF(INDEX(Matches!$Z$5:$Z$19,MATCH($C12,Matches!$A$5:$A$19,0))="","",INDEX(Matches!$Z$5:$Z$19,MATCH($C12,Matches!$A$5:$A$19,0))),"")</f>
        <v>21.5</v>
      </c>
      <c r="K12" s="11" t="n">
        <f aca="false">IFERROR(IF(INDEX(Matches!$AA$5:$AA$19,MATCH($C12,Matches!$A$5:$A$19,0))="","",INDEX(Matches!$AA$5:$AA$19,MATCH($C12,Matches!$A$5:$A$19,0))),"")</f>
        <v>21.5</v>
      </c>
      <c r="L12" s="11" t="n">
        <f aca="false">IFERROR(IF(INDEX(Matches!$AB$5:$AB$19,MATCH($C12,Matches!$A$5:$A$19,0))="","",INDEX(Matches!$AB$5:$AB$19,MATCH($C12,Matches!$A$5:$A$19,0))),"")</f>
        <v>21.5</v>
      </c>
      <c r="M12" s="10" t="n">
        <f aca="false">IFERROR(IF(INDEX(Matches!$AC$5:$AC$19,MATCH($C12,Matches!$A$5:$A$19,0))="","",INDEX(Matches!$AC$5:$AC$19,MATCH($C12,Matches!$A$5:$A$19,0))),"")</f>
        <v>0</v>
      </c>
      <c r="N12" s="9" t="n">
        <f aca="false">IFERROR(INDEX(Players!$F$2:$F$124,MATCH($F12,Players!$A$2:$A$124,0)),0)</f>
        <v>31</v>
      </c>
      <c r="O12" s="13" t="n">
        <f aca="false">IFERROR(1/(1/INDEX(Players!$H$2:$H$124,MATCH($F12,Players!$A$2:$A$124,0))),"")</f>
        <v>0.66</v>
      </c>
      <c r="P12" s="10" t="n">
        <f aca="false">IFERROR(1/(1/INDEX(Players!$I$2:$I$124,MATCH($F12,Players!$A$2:$A$124,0))),"")</f>
        <v>0.589</v>
      </c>
      <c r="Q12" s="9" t="n">
        <f aca="false">IF($G12="",0,SUMIFS(Map_Stats!$F$2:$F$779,Map_Stats!$A$2:$A$779,$F12&amp;"|"&amp;$G12))</f>
        <v>5</v>
      </c>
      <c r="R12" s="13" t="n">
        <f aca="false">IF($G12="","",IFERROR(1/(1/INDEX(Map_Stats!$K$2:$K$779,MATCH($F12&amp;"|"&amp;$G12,Map_Stats!$A$2:$A$779,0))),$O12))</f>
        <v>0.69</v>
      </c>
      <c r="S12" s="10" t="n">
        <f aca="false">IF(OR($G12="",$P12=""),"",IFERROR(1/(1/INDEX(Map_Stats!$I$2:$I$779,MATCH($F12&amp;"|"&amp;$G12,Map_Stats!$A$2:$A$779,0))),$P12))</f>
        <v>0.639</v>
      </c>
      <c r="T12" s="13" t="n">
        <f aca="false">IF(OR($G12="",R12=""),"",IF($O12="",R12,(Q12*R12+Config!$B$4*$O12)/(Q12+Config!$B$4)))</f>
        <v>0.675</v>
      </c>
      <c r="U12" s="10" t="n">
        <f aca="false">IF(S12="","",(Q12*S12+Config!$B$4*$P12)/(Q12+Config!$B$4))</f>
        <v>0.614</v>
      </c>
      <c r="V12" s="17" t="n">
        <f aca="false">IF(OR(T12="",$J12=""),"",T12*$J12*($J12/Config!$B$10)^Config!$B$9)</f>
        <v>14.5125</v>
      </c>
      <c r="W12" s="17" t="n">
        <f aca="false">IF(OR(V12="",U12=""),"",V12*U12)</f>
        <v>8.910675</v>
      </c>
      <c r="X12" s="9" t="n">
        <f aca="false">IF($H12="",0,SUMIFS(Map_Stats!$F$2:$F$779,Map_Stats!$A$2:$A$779,$F12&amp;"|"&amp;$H12))</f>
        <v>11</v>
      </c>
      <c r="Y12" s="13" t="n">
        <f aca="false">IF($H12="","",IFERROR(1/(1/INDEX(Map_Stats!$K$2:$K$779,MATCH($F12&amp;"|"&amp;$H12,Map_Stats!$A$2:$A$779,0))),$O12))</f>
        <v>0.69</v>
      </c>
      <c r="Z12" s="10" t="n">
        <f aca="false">IF(OR($H12="",$P12=""),"",IFERROR(1/(1/INDEX(Map_Stats!$I$2:$I$779,MATCH($F12&amp;"|"&amp;$H12,Map_Stats!$A$2:$A$779,0))),$P12))</f>
        <v>0.572</v>
      </c>
      <c r="AA12" s="13" t="n">
        <f aca="false">IF(OR($H12="",Y12=""),"",IF($O12="",Y12,(X12*Y12+Config!$B$4*$O12)/(X12+Config!$B$4)))</f>
        <v>0.680625</v>
      </c>
      <c r="AB12" s="10" t="n">
        <f aca="false">IF(Z12="","",(X12*Z12+Config!$B$4*$P12)/(X12+Config!$B$4))</f>
        <v>0.5773125</v>
      </c>
      <c r="AC12" s="17" t="n">
        <f aca="false">IF(OR(AA12="",$K12=""),"",AA12*$K12*($K12/Config!$B$10)^Config!$B$9)</f>
        <v>14.6334375</v>
      </c>
      <c r="AD12" s="17" t="n">
        <f aca="false">IF(OR(AC12="",AB12=""),"",AC12*AB12)</f>
        <v>8.44806638671875</v>
      </c>
      <c r="AE12" s="9" t="n">
        <f aca="false">IF($I12="",0,SUMIFS(Map_Stats!$F$2:$F$779,Map_Stats!$A$2:$A$779,$F12&amp;"|"&amp;$I12))</f>
        <v>7</v>
      </c>
      <c r="AF12" s="13" t="n">
        <f aca="false">IF($I12="","",IFERROR(1/(1/INDEX(Map_Stats!$K$2:$K$779,MATCH($F12&amp;"|"&amp;$I12,Map_Stats!$A$2:$A$779,0))),$O12))</f>
        <v>0.66</v>
      </c>
      <c r="AG12" s="10" t="n">
        <f aca="false">IF(OR($I12="",$P12=""),"",IFERROR(1/(1/INDEX(Map_Stats!$I$2:$I$779,MATCH($F12&amp;"|"&amp;$I12,Map_Stats!$A$2:$A$779,0))),$P12))</f>
        <v>0.578</v>
      </c>
      <c r="AH12" s="13" t="n">
        <f aca="false">IF(OR($I12="",AF12=""),"",IF($O12="",AF12,(AE12*AF12+Config!$B$4*$O12)/(AE12+Config!$B$4)))</f>
        <v>0.66</v>
      </c>
      <c r="AI12" s="10" t="n">
        <f aca="false">IF(AG12="","",(AE12*AG12+Config!$B$4*$P12)/(AE12+Config!$B$4))</f>
        <v>0.582583333333333</v>
      </c>
      <c r="AJ12" s="17" t="n">
        <f aca="false">IF(OR(AH12="",$L12=""),"",AH12*$L12*($L12/Config!$B$10)^Config!$B$9)</f>
        <v>14.19</v>
      </c>
      <c r="AK12" s="17" t="n">
        <f aca="false">IF(OR(AJ12="",AI12=""),"",AJ12*AI12)</f>
        <v>8.2668575</v>
      </c>
      <c r="AL12" s="17" t="n">
        <f aca="false">N(V12)+N(AC12)</f>
        <v>29.1459375</v>
      </c>
      <c r="AM12" s="17" t="n">
        <f aca="false">AL12+N($M12)*N(AJ12)</f>
        <v>29.1459375</v>
      </c>
      <c r="AN12" s="17" t="n">
        <f aca="false">IF(W12="","",N(W12)+N(AD12))</f>
        <v>17.3587413867188</v>
      </c>
      <c r="AO12" s="17" t="n">
        <f aca="false">IF(AN12="","",AN12+N($M12)*N(AK12))</f>
        <v>17.3587413867188</v>
      </c>
      <c r="AP12" s="10" t="n">
        <f aca="false">IFERROR(AN12/AL12,"")</f>
        <v>0.595580134854772</v>
      </c>
      <c r="AQ12" s="0" t="str">
        <f aca="false">TRIM(IF($N12&lt;Config!$B$12,"thin sample ("&amp;$N12&amp;" maps) · ","")&amp;IF(AND($G12&lt;&gt;"",Q12=0),"M1 unplayed→overall KPR · ","")&amp;IF(AND($H12&lt;&gt;"",X12=0),"M2 unplayed→overall KPR · ","")&amp;IF($O12="","no PickFinder stats",""))</f>
        <v/>
      </c>
      <c r="AR12" s="0" t="str">
        <f aca="false">IF($C12=Board!$B$2,COUNTIFS($C$2:$C$124,Board!$B$2,$AL$2:$AL$124,"&gt;"&amp;$AL12)+COUNTIFS($C$1:$C11,Board!$B$2,$AL$1:$AL11,$AL12)+1,"")</f>
        <v/>
      </c>
      <c r="AS12" s="0" t="str">
        <f aca="false">IFERROR(IF($D12=INDEX(Matches!$AD$5:$AD$19,MATCH($C12,Matches!$A$5:$A$19,0)),"A",IF($D12=INDEX(Matches!$AE$5:$AE$19,MATCH($C12,Matches!$A$5:$A$19,0)),"B","")),"")</f>
        <v>B</v>
      </c>
      <c r="AT12" s="10" t="n">
        <f aca="false">IF($AS12="","",IFERROR(IF($AS12="A",INDEX(Matches!$AI$5:$AI$19,MATCH($C12,Matches!$A$5:$A$19,0)),INDEX(Matches!$AJ$5:$AJ$19,MATCH($C12,Matches!$A$5:$A$19,0))),""))</f>
        <v>0.528901831100431</v>
      </c>
      <c r="AU12" s="10" t="str">
        <f aca="false">IF($AS12="","",IFERROR(IF(INDEX(Matches!$AP$5:$AP$19,MATCH($C12,Matches!$A$5:$A$19,0))="","",IF($AS12="A",INDEX(Matches!$AP$5:$AP$19,MATCH($C12,Matches!$A$5:$A$19,0)),1-INDEX(Matches!$AP$5:$AP$19,MATCH($C12,Matches!$A$5:$A$19,0)))),""))</f>
        <v/>
      </c>
      <c r="AV12" s="13" t="n">
        <f aca="false">IF(OR($AU12="",$AT12=""),1,((Config!$B$14*$AU12+Config!$B$15*(1-$AU12))/(Config!$B$14*$AT12+Config!$B$15*(1-$AT12)))^Config!$B$13)</f>
        <v>1</v>
      </c>
      <c r="AW12" s="10" t="str">
        <f aca="false">IF($AS12="","",IFERROR(IF(INDEX(Matches!$AV$5:$AV$19,MATCH($C12,Matches!$A$5:$A$19,0))="","",IF($AS12="A",INDEX(Matches!$AV$5:$AV$19,MATCH($C12,Matches!$A$5:$A$19,0)),1-INDEX(Matches!$AV$5:$AV$19,MATCH($C12,Matches!$A$5:$A$19,0)))),""))</f>
        <v/>
      </c>
      <c r="AX12" s="13" t="n">
        <f aca="false">IF(OR($AW12="",$AT12=""),1,((Config!$B$14*$AW12+Config!$B$15*(1-$AW12))/(Config!$B$14*$AT12+Config!$B$15*(1-$AT12)))^Config!$B$13)</f>
        <v>1</v>
      </c>
      <c r="AY12" s="10" t="str">
        <f aca="false">IF($AS12="","",IFERROR(IF(INDEX(Matches!$BB$5:$BB$19,MATCH($C12,Matches!$A$5:$A$19,0))="","",IF($AS12="A",INDEX(Matches!$BB$5:$BB$19,MATCH($C12,Matches!$A$5:$A$19,0)),1-INDEX(Matches!$BB$5:$BB$19,MATCH($C12,Matches!$A$5:$A$19,0)))),""))</f>
        <v/>
      </c>
      <c r="AZ12" s="13" t="n">
        <f aca="false">IF(OR($AY12="",$AT12=""),1,((Config!$B$14*$AY12+Config!$B$15*(1-$AY12))/(Config!$B$14*$AT12+Config!$B$15*(1-$AT12)))^Config!$B$13)</f>
        <v>1</v>
      </c>
      <c r="BA12" s="17" t="n">
        <f aca="false">IF(V12="","",V12*$AV12)</f>
        <v>14.5125</v>
      </c>
      <c r="BB12" s="17" t="n">
        <f aca="false">IF(AC12="","",AC12*$AX12)</f>
        <v>14.6334375</v>
      </c>
      <c r="BC12" s="17" t="n">
        <f aca="false">IF(AJ12="","",AJ12*$AZ12)</f>
        <v>14.19</v>
      </c>
      <c r="BD12" s="17" t="n">
        <f aca="false">N(BA12)+N(BB12)</f>
        <v>29.1459375</v>
      </c>
      <c r="BE12" s="17" t="n">
        <f aca="false">BD12+N($M12)*N(BC12)</f>
        <v>29.1459375</v>
      </c>
      <c r="BF12" s="17" t="n">
        <f aca="false">IF(W12="","",W12*$AV12)</f>
        <v>8.910675</v>
      </c>
      <c r="BG12" s="17" t="n">
        <f aca="false">IF(AD12="","",AD12*$AX12)</f>
        <v>8.44806638671875</v>
      </c>
      <c r="BH12" s="17" t="n">
        <f aca="false">IF(AK12="","",AK12*$AZ12)</f>
        <v>8.2668575</v>
      </c>
      <c r="BI12" s="17" t="n">
        <f aca="false">IF(BF12="","",N(BF12)+N(BG12))</f>
        <v>17.3587413867188</v>
      </c>
      <c r="BJ12" s="17" t="n">
        <f aca="false">IF(BI12="","",BI12+N($M12)*N(BH12))</f>
        <v>17.3587413867188</v>
      </c>
      <c r="BK12" s="13" t="n">
        <f aca="false">IFERROR(BD12/AL12,1)</f>
        <v>1</v>
      </c>
    </row>
    <row r="13" customFormat="false" ht="15" hidden="false" customHeight="false" outlineLevel="0" collapsed="false">
      <c r="A13" s="0" t="s">
        <v>1140</v>
      </c>
      <c r="B13" s="0" t="s">
        <v>988</v>
      </c>
      <c r="C13" s="0" t="s">
        <v>1027</v>
      </c>
      <c r="D13" s="0" t="s">
        <v>1033</v>
      </c>
      <c r="E13" s="0" t="s">
        <v>1139</v>
      </c>
      <c r="F13" s="0" t="s">
        <v>1466</v>
      </c>
      <c r="G13" s="0" t="str">
        <f aca="false">IFERROR(IF(INDEX(Matches!$W$5:$W$19,MATCH($C13,Matches!$A$5:$A$19,0))="","",INDEX(Matches!$W$5:$W$19,MATCH($C13,Matches!$A$5:$A$19,0))),"")</f>
        <v>Cache</v>
      </c>
      <c r="H13" s="0" t="str">
        <f aca="false">IFERROR(IF(INDEX(Matches!$X$5:$X$19,MATCH($C13,Matches!$A$5:$A$19,0))="","",INDEX(Matches!$X$5:$X$19,MATCH($C13,Matches!$A$5:$A$19,0))),"")</f>
        <v>Nuke</v>
      </c>
      <c r="I13" s="0" t="str">
        <f aca="false">IFERROR(IF(INDEX(Matches!$Y$5:$Y$19,MATCH($C13,Matches!$A$5:$A$19,0))="","",INDEX(Matches!$Y$5:$Y$19,MATCH($C13,Matches!$A$5:$A$19,0))),"")</f>
        <v>Mirage</v>
      </c>
      <c r="J13" s="11" t="n">
        <f aca="false">IFERROR(IF(INDEX(Matches!$Z$5:$Z$19,MATCH($C13,Matches!$A$5:$A$19,0))="","",INDEX(Matches!$Z$5:$Z$19,MATCH($C13,Matches!$A$5:$A$19,0))),"")</f>
        <v>21.5</v>
      </c>
      <c r="K13" s="11" t="n">
        <f aca="false">IFERROR(IF(INDEX(Matches!$AA$5:$AA$19,MATCH($C13,Matches!$A$5:$A$19,0))="","",INDEX(Matches!$AA$5:$AA$19,MATCH($C13,Matches!$A$5:$A$19,0))),"")</f>
        <v>21.5</v>
      </c>
      <c r="L13" s="11" t="n">
        <f aca="false">IFERROR(IF(INDEX(Matches!$AB$5:$AB$19,MATCH($C13,Matches!$A$5:$A$19,0))="","",INDEX(Matches!$AB$5:$AB$19,MATCH($C13,Matches!$A$5:$A$19,0))),"")</f>
        <v>21.5</v>
      </c>
      <c r="M13" s="10" t="n">
        <f aca="false">IFERROR(IF(INDEX(Matches!$AC$5:$AC$19,MATCH($C13,Matches!$A$5:$A$19,0))="","",INDEX(Matches!$AC$5:$AC$19,MATCH($C13,Matches!$A$5:$A$19,0))),"")</f>
        <v>0</v>
      </c>
      <c r="N13" s="9" t="n">
        <f aca="false">IFERROR(INDEX(Players!$F$2:$F$124,MATCH($F13,Players!$A$2:$A$124,0)),0)</f>
        <v>31</v>
      </c>
      <c r="O13" s="13" t="n">
        <f aca="false">IFERROR(1/(1/INDEX(Players!$H$2:$H$124,MATCH($F13,Players!$A$2:$A$124,0))),"")</f>
        <v>0.72</v>
      </c>
      <c r="P13" s="10" t="n">
        <f aca="false">IFERROR(1/(1/INDEX(Players!$I$2:$I$124,MATCH($F13,Players!$A$2:$A$124,0))),"")</f>
        <v>0.367</v>
      </c>
      <c r="Q13" s="9" t="n">
        <f aca="false">IF($G13="",0,SUMIFS(Map_Stats!$F$2:$F$779,Map_Stats!$A$2:$A$779,$F13&amp;"|"&amp;$G13))</f>
        <v>5</v>
      </c>
      <c r="R13" s="13" t="n">
        <f aca="false">IF($G13="","",IFERROR(1/(1/INDEX(Map_Stats!$K$2:$K$779,MATCH($F13&amp;"|"&amp;$G13,Map_Stats!$A$2:$A$779,0))),$O13))</f>
        <v>0.74</v>
      </c>
      <c r="S13" s="10" t="n">
        <f aca="false">IF(OR($G13="",$P13=""),"",IFERROR(1/(1/INDEX(Map_Stats!$I$2:$I$779,MATCH($F13&amp;"|"&amp;$G13,Map_Stats!$A$2:$A$779,0))),$P13))</f>
        <v>0.346</v>
      </c>
      <c r="T13" s="13" t="n">
        <f aca="false">IF(OR($G13="",R13=""),"",IF($O13="",R13,(Q13*R13+Config!$B$4*$O13)/(Q13+Config!$B$4)))</f>
        <v>0.73</v>
      </c>
      <c r="U13" s="10" t="n">
        <f aca="false">IF(S13="","",(Q13*S13+Config!$B$4*$P13)/(Q13+Config!$B$4))</f>
        <v>0.3565</v>
      </c>
      <c r="V13" s="17" t="n">
        <f aca="false">IF(OR(T13="",$J13=""),"",T13*$J13*($J13/Config!$B$10)^Config!$B$9)</f>
        <v>15.695</v>
      </c>
      <c r="W13" s="17" t="n">
        <f aca="false">IF(OR(V13="",U13=""),"",V13*U13)</f>
        <v>5.5952675</v>
      </c>
      <c r="X13" s="9" t="n">
        <f aca="false">IF($H13="",0,SUMIFS(Map_Stats!$F$2:$F$779,Map_Stats!$A$2:$A$779,$F13&amp;"|"&amp;$H13))</f>
        <v>11</v>
      </c>
      <c r="Y13" s="13" t="n">
        <f aca="false">IF($H13="","",IFERROR(1/(1/INDEX(Map_Stats!$K$2:$K$779,MATCH($F13&amp;"|"&amp;$H13,Map_Stats!$A$2:$A$779,0))),$O13))</f>
        <v>0.66</v>
      </c>
      <c r="Z13" s="10" t="n">
        <f aca="false">IF(OR($H13="",$P13=""),"",IFERROR(1/(1/INDEX(Map_Stats!$I$2:$I$779,MATCH($F13&amp;"|"&amp;$H13,Map_Stats!$A$2:$A$779,0))),$P13))</f>
        <v>0.37</v>
      </c>
      <c r="AA13" s="13" t="n">
        <f aca="false">IF(OR($H13="",Y13=""),"",IF($O13="",Y13,(X13*Y13+Config!$B$4*$O13)/(X13+Config!$B$4)))</f>
        <v>0.67875</v>
      </c>
      <c r="AB13" s="10" t="n">
        <f aca="false">IF(Z13="","",(X13*Z13+Config!$B$4*$P13)/(X13+Config!$B$4))</f>
        <v>0.3690625</v>
      </c>
      <c r="AC13" s="17" t="n">
        <f aca="false">IF(OR(AA13="",$K13=""),"",AA13*$K13*($K13/Config!$B$10)^Config!$B$9)</f>
        <v>14.593125</v>
      </c>
      <c r="AD13" s="17" t="n">
        <f aca="false">IF(OR(AC13="",AB13=""),"",AC13*AB13)</f>
        <v>5.3857751953125</v>
      </c>
      <c r="AE13" s="9" t="n">
        <f aca="false">IF($I13="",0,SUMIFS(Map_Stats!$F$2:$F$779,Map_Stats!$A$2:$A$779,$F13&amp;"|"&amp;$I13))</f>
        <v>7</v>
      </c>
      <c r="AF13" s="13" t="n">
        <f aca="false">IF($I13="","",IFERROR(1/(1/INDEX(Map_Stats!$K$2:$K$779,MATCH($F13&amp;"|"&amp;$I13,Map_Stats!$A$2:$A$779,0))),$O13))</f>
        <v>0.87</v>
      </c>
      <c r="AG13" s="10" t="n">
        <f aca="false">IF(OR($I13="",$P13=""),"",IFERROR(1/(1/INDEX(Map_Stats!$I$2:$I$779,MATCH($F13&amp;"|"&amp;$I13,Map_Stats!$A$2:$A$779,0))),$P13))</f>
        <v>0.321</v>
      </c>
      <c r="AH13" s="13" t="n">
        <f aca="false">IF(OR($I13="",AF13=""),"",IF($O13="",AF13,(AE13*AF13+Config!$B$4*$O13)/(AE13+Config!$B$4)))</f>
        <v>0.8075</v>
      </c>
      <c r="AI13" s="10" t="n">
        <f aca="false">IF(AG13="","",(AE13*AG13+Config!$B$4*$P13)/(AE13+Config!$B$4))</f>
        <v>0.340166666666667</v>
      </c>
      <c r="AJ13" s="17" t="n">
        <f aca="false">IF(OR(AH13="",$L13=""),"",AH13*$L13*($L13/Config!$B$10)^Config!$B$9)</f>
        <v>17.36125</v>
      </c>
      <c r="AK13" s="17" t="n">
        <f aca="false">IF(OR(AJ13="",AI13=""),"",AJ13*AI13)</f>
        <v>5.90571854166667</v>
      </c>
      <c r="AL13" s="17" t="n">
        <f aca="false">N(V13)+N(AC13)</f>
        <v>30.288125</v>
      </c>
      <c r="AM13" s="17" t="n">
        <f aca="false">AL13+N($M13)*N(AJ13)</f>
        <v>30.288125</v>
      </c>
      <c r="AN13" s="17" t="n">
        <f aca="false">IF(W13="","",N(W13)+N(AD13))</f>
        <v>10.9810426953125</v>
      </c>
      <c r="AO13" s="17" t="n">
        <f aca="false">IF(AN13="","",AN13+N($M13)*N(AK13))</f>
        <v>10.9810426953125</v>
      </c>
      <c r="AP13" s="10" t="n">
        <f aca="false">IFERROR(AN13/AL13,"")</f>
        <v>0.36255273957409</v>
      </c>
      <c r="AQ13" s="0" t="str">
        <f aca="false">TRIM(IF($N13&lt;Config!$B$12,"thin sample ("&amp;$N13&amp;" maps) · ","")&amp;IF(AND($G13&lt;&gt;"",Q13=0),"M1 unplayed→overall KPR · ","")&amp;IF(AND($H13&lt;&gt;"",X13=0),"M2 unplayed→overall KPR · ","")&amp;IF($O13="","no PickFinder stats",""))</f>
        <v/>
      </c>
      <c r="AR13" s="0" t="str">
        <f aca="false">IF($C13=Board!$B$2,COUNTIFS($C$2:$C$124,Board!$B$2,$AL$2:$AL$124,"&gt;"&amp;$AL13)+COUNTIFS($C$1:$C12,Board!$B$2,$AL$1:$AL12,$AL13)+1,"")</f>
        <v/>
      </c>
      <c r="AS13" s="0" t="str">
        <f aca="false">IFERROR(IF($D13=INDEX(Matches!$AD$5:$AD$19,MATCH($C13,Matches!$A$5:$A$19,0)),"A",IF($D13=INDEX(Matches!$AE$5:$AE$19,MATCH($C13,Matches!$A$5:$A$19,0)),"B","")),"")</f>
        <v>B</v>
      </c>
      <c r="AT13" s="10" t="n">
        <f aca="false">IF($AS13="","",IFERROR(IF($AS13="A",INDEX(Matches!$AI$5:$AI$19,MATCH($C13,Matches!$A$5:$A$19,0)),INDEX(Matches!$AJ$5:$AJ$19,MATCH($C13,Matches!$A$5:$A$19,0))),""))</f>
        <v>0.528901831100431</v>
      </c>
      <c r="AU13" s="10" t="str">
        <f aca="false">IF($AS13="","",IFERROR(IF(INDEX(Matches!$AP$5:$AP$19,MATCH($C13,Matches!$A$5:$A$19,0))="","",IF($AS13="A",INDEX(Matches!$AP$5:$AP$19,MATCH($C13,Matches!$A$5:$A$19,0)),1-INDEX(Matches!$AP$5:$AP$19,MATCH($C13,Matches!$A$5:$A$19,0)))),""))</f>
        <v/>
      </c>
      <c r="AV13" s="13" t="n">
        <f aca="false">IF(OR($AU13="",$AT13=""),1,((Config!$B$14*$AU13+Config!$B$15*(1-$AU13))/(Config!$B$14*$AT13+Config!$B$15*(1-$AT13)))^Config!$B$13)</f>
        <v>1</v>
      </c>
      <c r="AW13" s="10" t="str">
        <f aca="false">IF($AS13="","",IFERROR(IF(INDEX(Matches!$AV$5:$AV$19,MATCH($C13,Matches!$A$5:$A$19,0))="","",IF($AS13="A",INDEX(Matches!$AV$5:$AV$19,MATCH($C13,Matches!$A$5:$A$19,0)),1-INDEX(Matches!$AV$5:$AV$19,MATCH($C13,Matches!$A$5:$A$19,0)))),""))</f>
        <v/>
      </c>
      <c r="AX13" s="13" t="n">
        <f aca="false">IF(OR($AW13="",$AT13=""),1,((Config!$B$14*$AW13+Config!$B$15*(1-$AW13))/(Config!$B$14*$AT13+Config!$B$15*(1-$AT13)))^Config!$B$13)</f>
        <v>1</v>
      </c>
      <c r="AY13" s="10" t="str">
        <f aca="false">IF($AS13="","",IFERROR(IF(INDEX(Matches!$BB$5:$BB$19,MATCH($C13,Matches!$A$5:$A$19,0))="","",IF($AS13="A",INDEX(Matches!$BB$5:$BB$19,MATCH($C13,Matches!$A$5:$A$19,0)),1-INDEX(Matches!$BB$5:$BB$19,MATCH($C13,Matches!$A$5:$A$19,0)))),""))</f>
        <v/>
      </c>
      <c r="AZ13" s="13" t="n">
        <f aca="false">IF(OR($AY13="",$AT13=""),1,((Config!$B$14*$AY13+Config!$B$15*(1-$AY13))/(Config!$B$14*$AT13+Config!$B$15*(1-$AT13)))^Config!$B$13)</f>
        <v>1</v>
      </c>
      <c r="BA13" s="17" t="n">
        <f aca="false">IF(V13="","",V13*$AV13)</f>
        <v>15.695</v>
      </c>
      <c r="BB13" s="17" t="n">
        <f aca="false">IF(AC13="","",AC13*$AX13)</f>
        <v>14.593125</v>
      </c>
      <c r="BC13" s="17" t="n">
        <f aca="false">IF(AJ13="","",AJ13*$AZ13)</f>
        <v>17.36125</v>
      </c>
      <c r="BD13" s="17" t="n">
        <f aca="false">N(BA13)+N(BB13)</f>
        <v>30.288125</v>
      </c>
      <c r="BE13" s="17" t="n">
        <f aca="false">BD13+N($M13)*N(BC13)</f>
        <v>30.288125</v>
      </c>
      <c r="BF13" s="17" t="n">
        <f aca="false">IF(W13="","",W13*$AV13)</f>
        <v>5.5952675</v>
      </c>
      <c r="BG13" s="17" t="n">
        <f aca="false">IF(AD13="","",AD13*$AX13)</f>
        <v>5.3857751953125</v>
      </c>
      <c r="BH13" s="17" t="n">
        <f aca="false">IF(AK13="","",AK13*$AZ13)</f>
        <v>5.90571854166667</v>
      </c>
      <c r="BI13" s="17" t="n">
        <f aca="false">IF(BF13="","",N(BF13)+N(BG13))</f>
        <v>10.9810426953125</v>
      </c>
      <c r="BJ13" s="17" t="n">
        <f aca="false">IF(BI13="","",BI13+N($M13)*N(BH13))</f>
        <v>10.9810426953125</v>
      </c>
      <c r="BK13" s="13" t="n">
        <f aca="false">IFERROR(BD13/AL13,1)</f>
        <v>1</v>
      </c>
    </row>
    <row r="14" customFormat="false" ht="15" hidden="false" customHeight="false" outlineLevel="0" collapsed="false">
      <c r="A14" s="0" t="s">
        <v>1142</v>
      </c>
      <c r="B14" s="0" t="s">
        <v>988</v>
      </c>
      <c r="C14" s="0" t="s">
        <v>1027</v>
      </c>
      <c r="D14" s="0" t="s">
        <v>1033</v>
      </c>
      <c r="E14" s="0" t="s">
        <v>1141</v>
      </c>
      <c r="F14" s="0" t="s">
        <v>1467</v>
      </c>
      <c r="G14" s="0" t="str">
        <f aca="false">IFERROR(IF(INDEX(Matches!$W$5:$W$19,MATCH($C14,Matches!$A$5:$A$19,0))="","",INDEX(Matches!$W$5:$W$19,MATCH($C14,Matches!$A$5:$A$19,0))),"")</f>
        <v>Cache</v>
      </c>
      <c r="H14" s="0" t="str">
        <f aca="false">IFERROR(IF(INDEX(Matches!$X$5:$X$19,MATCH($C14,Matches!$A$5:$A$19,0))="","",INDEX(Matches!$X$5:$X$19,MATCH($C14,Matches!$A$5:$A$19,0))),"")</f>
        <v>Nuke</v>
      </c>
      <c r="I14" s="0" t="str">
        <f aca="false">IFERROR(IF(INDEX(Matches!$Y$5:$Y$19,MATCH($C14,Matches!$A$5:$A$19,0))="","",INDEX(Matches!$Y$5:$Y$19,MATCH($C14,Matches!$A$5:$A$19,0))),"")</f>
        <v>Mirage</v>
      </c>
      <c r="J14" s="11" t="n">
        <f aca="false">IFERROR(IF(INDEX(Matches!$Z$5:$Z$19,MATCH($C14,Matches!$A$5:$A$19,0))="","",INDEX(Matches!$Z$5:$Z$19,MATCH($C14,Matches!$A$5:$A$19,0))),"")</f>
        <v>21.5</v>
      </c>
      <c r="K14" s="11" t="n">
        <f aca="false">IFERROR(IF(INDEX(Matches!$AA$5:$AA$19,MATCH($C14,Matches!$A$5:$A$19,0))="","",INDEX(Matches!$AA$5:$AA$19,MATCH($C14,Matches!$A$5:$A$19,0))),"")</f>
        <v>21.5</v>
      </c>
      <c r="L14" s="11" t="n">
        <f aca="false">IFERROR(IF(INDEX(Matches!$AB$5:$AB$19,MATCH($C14,Matches!$A$5:$A$19,0))="","",INDEX(Matches!$AB$5:$AB$19,MATCH($C14,Matches!$A$5:$A$19,0))),"")</f>
        <v>21.5</v>
      </c>
      <c r="M14" s="10" t="n">
        <f aca="false">IFERROR(IF(INDEX(Matches!$AC$5:$AC$19,MATCH($C14,Matches!$A$5:$A$19,0))="","",INDEX(Matches!$AC$5:$AC$19,MATCH($C14,Matches!$A$5:$A$19,0))),"")</f>
        <v>0</v>
      </c>
      <c r="N14" s="9" t="n">
        <f aca="false">IFERROR(INDEX(Players!$F$2:$F$124,MATCH($F14,Players!$A$2:$A$124,0)),0)</f>
        <v>31</v>
      </c>
      <c r="O14" s="13" t="n">
        <f aca="false">IFERROR(1/(1/INDEX(Players!$H$2:$H$124,MATCH($F14,Players!$A$2:$A$124,0))),"")</f>
        <v>0.71</v>
      </c>
      <c r="P14" s="10" t="n">
        <f aca="false">IFERROR(1/(1/INDEX(Players!$I$2:$I$124,MATCH($F14,Players!$A$2:$A$124,0))),"")</f>
        <v>0.672</v>
      </c>
      <c r="Q14" s="9" t="n">
        <f aca="false">IF($G14="",0,SUMIFS(Map_Stats!$F$2:$F$779,Map_Stats!$A$2:$A$779,$F14&amp;"|"&amp;$G14))</f>
        <v>5</v>
      </c>
      <c r="R14" s="13" t="n">
        <f aca="false">IF($G14="","",IFERROR(1/(1/INDEX(Map_Stats!$K$2:$K$779,MATCH($F14&amp;"|"&amp;$G14,Map_Stats!$A$2:$A$779,0))),$O14))</f>
        <v>0.7</v>
      </c>
      <c r="S14" s="10" t="n">
        <f aca="false">IF(OR($G14="",$P14=""),"",IFERROR(1/(1/INDEX(Map_Stats!$I$2:$I$779,MATCH($F14&amp;"|"&amp;$G14,Map_Stats!$A$2:$A$779,0))),$P14))</f>
        <v>0.521</v>
      </c>
      <c r="T14" s="13" t="n">
        <f aca="false">IF(OR($G14="",R14=""),"",IF($O14="",R14,(Q14*R14+Config!$B$4*$O14)/(Q14+Config!$B$4)))</f>
        <v>0.705</v>
      </c>
      <c r="U14" s="10" t="n">
        <f aca="false">IF(S14="","",(Q14*S14+Config!$B$4*$P14)/(Q14+Config!$B$4))</f>
        <v>0.5965</v>
      </c>
      <c r="V14" s="17" t="n">
        <f aca="false">IF(OR(T14="",$J14=""),"",T14*$J14*($J14/Config!$B$10)^Config!$B$9)</f>
        <v>15.1575</v>
      </c>
      <c r="W14" s="17" t="n">
        <f aca="false">IF(OR(V14="",U14=""),"",V14*U14)</f>
        <v>9.04144875</v>
      </c>
      <c r="X14" s="9" t="n">
        <f aca="false">IF($H14="",0,SUMIFS(Map_Stats!$F$2:$F$779,Map_Stats!$A$2:$A$779,$F14&amp;"|"&amp;$H14))</f>
        <v>11</v>
      </c>
      <c r="Y14" s="13" t="n">
        <f aca="false">IF($H14="","",IFERROR(1/(1/INDEX(Map_Stats!$K$2:$K$779,MATCH($F14&amp;"|"&amp;$H14,Map_Stats!$A$2:$A$779,0))),$O14))</f>
        <v>0.71</v>
      </c>
      <c r="Z14" s="10" t="n">
        <f aca="false">IF(OR($H14="",$P14=""),"",IFERROR(1/(1/INDEX(Map_Stats!$I$2:$I$779,MATCH($F14&amp;"|"&amp;$H14,Map_Stats!$A$2:$A$779,0))),$P14))</f>
        <v>0.687</v>
      </c>
      <c r="AA14" s="13" t="n">
        <f aca="false">IF(OR($H14="",Y14=""),"",IF($O14="",Y14,(X14*Y14+Config!$B$4*$O14)/(X14+Config!$B$4)))</f>
        <v>0.71</v>
      </c>
      <c r="AB14" s="10" t="n">
        <f aca="false">IF(Z14="","",(X14*Z14+Config!$B$4*$P14)/(X14+Config!$B$4))</f>
        <v>0.6823125</v>
      </c>
      <c r="AC14" s="17" t="n">
        <f aca="false">IF(OR(AA14="",$K14=""),"",AA14*$K14*($K14/Config!$B$10)^Config!$B$9)</f>
        <v>15.265</v>
      </c>
      <c r="AD14" s="17" t="n">
        <f aca="false">IF(OR(AC14="",AB14=""),"",AC14*AB14)</f>
        <v>10.4155003125</v>
      </c>
      <c r="AE14" s="9" t="n">
        <f aca="false">IF($I14="",0,SUMIFS(Map_Stats!$F$2:$F$779,Map_Stats!$A$2:$A$779,$F14&amp;"|"&amp;$I14))</f>
        <v>7</v>
      </c>
      <c r="AF14" s="13" t="n">
        <f aca="false">IF($I14="","",IFERROR(1/(1/INDEX(Map_Stats!$K$2:$K$779,MATCH($F14&amp;"|"&amp;$I14,Map_Stats!$A$2:$A$779,0))),$O14))</f>
        <v>0.71</v>
      </c>
      <c r="AG14" s="10" t="n">
        <f aca="false">IF(OR($I14="",$P14=""),"",IFERROR(1/(1/INDEX(Map_Stats!$I$2:$I$779,MATCH($F14&amp;"|"&amp;$I14,Map_Stats!$A$2:$A$779,0))),$P14))</f>
        <v>0.682</v>
      </c>
      <c r="AH14" s="13" t="n">
        <f aca="false">IF(OR($I14="",AF14=""),"",IF($O14="",AF14,(AE14*AF14+Config!$B$4*$O14)/(AE14+Config!$B$4)))</f>
        <v>0.71</v>
      </c>
      <c r="AI14" s="10" t="n">
        <f aca="false">IF(AG14="","",(AE14*AG14+Config!$B$4*$P14)/(AE14+Config!$B$4))</f>
        <v>0.677833333333333</v>
      </c>
      <c r="AJ14" s="17" t="n">
        <f aca="false">IF(OR(AH14="",$L14=""),"",AH14*$L14*($L14/Config!$B$10)^Config!$B$9)</f>
        <v>15.265</v>
      </c>
      <c r="AK14" s="17" t="n">
        <f aca="false">IF(OR(AJ14="",AI14=""),"",AJ14*AI14)</f>
        <v>10.3471258333333</v>
      </c>
      <c r="AL14" s="17" t="n">
        <f aca="false">N(V14)+N(AC14)</f>
        <v>30.4225</v>
      </c>
      <c r="AM14" s="17" t="n">
        <f aca="false">AL14+N($M14)*N(AJ14)</f>
        <v>30.4225</v>
      </c>
      <c r="AN14" s="17" t="n">
        <f aca="false">IF(W14="","",N(W14)+N(AD14))</f>
        <v>19.4569490625</v>
      </c>
      <c r="AO14" s="17" t="n">
        <f aca="false">IF(AN14="","",AN14+N($M14)*N(AK14))</f>
        <v>19.4569490625</v>
      </c>
      <c r="AP14" s="10" t="n">
        <f aca="false">IFERROR(AN14/AL14,"")</f>
        <v>0.639557862190813</v>
      </c>
      <c r="AQ14" s="0" t="str">
        <f aca="false">TRIM(IF($N14&lt;Config!$B$12,"thin sample ("&amp;$N14&amp;" maps) · ","")&amp;IF(AND($G14&lt;&gt;"",Q14=0),"M1 unplayed→overall KPR · ","")&amp;IF(AND($H14&lt;&gt;"",X14=0),"M2 unplayed→overall KPR · ","")&amp;IF($O14="","no PickFinder stats",""))</f>
        <v/>
      </c>
      <c r="AR14" s="0" t="str">
        <f aca="false">IF($C14=Board!$B$2,COUNTIFS($C$2:$C$124,Board!$B$2,$AL$2:$AL$124,"&gt;"&amp;$AL14)+COUNTIFS($C$1:$C13,Board!$B$2,$AL$1:$AL13,$AL14)+1,"")</f>
        <v/>
      </c>
      <c r="AS14" s="0" t="str">
        <f aca="false">IFERROR(IF($D14=INDEX(Matches!$AD$5:$AD$19,MATCH($C14,Matches!$A$5:$A$19,0)),"A",IF($D14=INDEX(Matches!$AE$5:$AE$19,MATCH($C14,Matches!$A$5:$A$19,0)),"B","")),"")</f>
        <v>B</v>
      </c>
      <c r="AT14" s="10" t="n">
        <f aca="false">IF($AS14="","",IFERROR(IF($AS14="A",INDEX(Matches!$AI$5:$AI$19,MATCH($C14,Matches!$A$5:$A$19,0)),INDEX(Matches!$AJ$5:$AJ$19,MATCH($C14,Matches!$A$5:$A$19,0))),""))</f>
        <v>0.528901831100431</v>
      </c>
      <c r="AU14" s="10" t="str">
        <f aca="false">IF($AS14="","",IFERROR(IF(INDEX(Matches!$AP$5:$AP$19,MATCH($C14,Matches!$A$5:$A$19,0))="","",IF($AS14="A",INDEX(Matches!$AP$5:$AP$19,MATCH($C14,Matches!$A$5:$A$19,0)),1-INDEX(Matches!$AP$5:$AP$19,MATCH($C14,Matches!$A$5:$A$19,0)))),""))</f>
        <v/>
      </c>
      <c r="AV14" s="13" t="n">
        <f aca="false">IF(OR($AU14="",$AT14=""),1,((Config!$B$14*$AU14+Config!$B$15*(1-$AU14))/(Config!$B$14*$AT14+Config!$B$15*(1-$AT14)))^Config!$B$13)</f>
        <v>1</v>
      </c>
      <c r="AW14" s="10" t="str">
        <f aca="false">IF($AS14="","",IFERROR(IF(INDEX(Matches!$AV$5:$AV$19,MATCH($C14,Matches!$A$5:$A$19,0))="","",IF($AS14="A",INDEX(Matches!$AV$5:$AV$19,MATCH($C14,Matches!$A$5:$A$19,0)),1-INDEX(Matches!$AV$5:$AV$19,MATCH($C14,Matches!$A$5:$A$19,0)))),""))</f>
        <v/>
      </c>
      <c r="AX14" s="13" t="n">
        <f aca="false">IF(OR($AW14="",$AT14=""),1,((Config!$B$14*$AW14+Config!$B$15*(1-$AW14))/(Config!$B$14*$AT14+Config!$B$15*(1-$AT14)))^Config!$B$13)</f>
        <v>1</v>
      </c>
      <c r="AY14" s="10" t="str">
        <f aca="false">IF($AS14="","",IFERROR(IF(INDEX(Matches!$BB$5:$BB$19,MATCH($C14,Matches!$A$5:$A$19,0))="","",IF($AS14="A",INDEX(Matches!$BB$5:$BB$19,MATCH($C14,Matches!$A$5:$A$19,0)),1-INDEX(Matches!$BB$5:$BB$19,MATCH($C14,Matches!$A$5:$A$19,0)))),""))</f>
        <v/>
      </c>
      <c r="AZ14" s="13" t="n">
        <f aca="false">IF(OR($AY14="",$AT14=""),1,((Config!$B$14*$AY14+Config!$B$15*(1-$AY14))/(Config!$B$14*$AT14+Config!$B$15*(1-$AT14)))^Config!$B$13)</f>
        <v>1</v>
      </c>
      <c r="BA14" s="17" t="n">
        <f aca="false">IF(V14="","",V14*$AV14)</f>
        <v>15.1575</v>
      </c>
      <c r="BB14" s="17" t="n">
        <f aca="false">IF(AC14="","",AC14*$AX14)</f>
        <v>15.265</v>
      </c>
      <c r="BC14" s="17" t="n">
        <f aca="false">IF(AJ14="","",AJ14*$AZ14)</f>
        <v>15.265</v>
      </c>
      <c r="BD14" s="17" t="n">
        <f aca="false">N(BA14)+N(BB14)</f>
        <v>30.4225</v>
      </c>
      <c r="BE14" s="17" t="n">
        <f aca="false">BD14+N($M14)*N(BC14)</f>
        <v>30.4225</v>
      </c>
      <c r="BF14" s="17" t="n">
        <f aca="false">IF(W14="","",W14*$AV14)</f>
        <v>9.04144875</v>
      </c>
      <c r="BG14" s="17" t="n">
        <f aca="false">IF(AD14="","",AD14*$AX14)</f>
        <v>10.4155003125</v>
      </c>
      <c r="BH14" s="17" t="n">
        <f aca="false">IF(AK14="","",AK14*$AZ14)</f>
        <v>10.3471258333333</v>
      </c>
      <c r="BI14" s="17" t="n">
        <f aca="false">IF(BF14="","",N(BF14)+N(BG14))</f>
        <v>19.4569490625</v>
      </c>
      <c r="BJ14" s="17" t="n">
        <f aca="false">IF(BI14="","",BI14+N($M14)*N(BH14))</f>
        <v>19.4569490625</v>
      </c>
      <c r="BK14" s="13" t="n">
        <f aca="false">IFERROR(BD14/AL14,1)</f>
        <v>1</v>
      </c>
    </row>
    <row r="15" customFormat="false" ht="15" hidden="false" customHeight="false" outlineLevel="0" collapsed="false">
      <c r="A15" s="0" t="s">
        <v>1144</v>
      </c>
      <c r="B15" s="0" t="s">
        <v>988</v>
      </c>
      <c r="C15" s="0" t="s">
        <v>1027</v>
      </c>
      <c r="D15" s="0" t="s">
        <v>1033</v>
      </c>
      <c r="E15" s="0" t="s">
        <v>1143</v>
      </c>
      <c r="F15" s="0" t="s">
        <v>1468</v>
      </c>
      <c r="G15" s="0" t="str">
        <f aca="false">IFERROR(IF(INDEX(Matches!$W$5:$W$19,MATCH($C15,Matches!$A$5:$A$19,0))="","",INDEX(Matches!$W$5:$W$19,MATCH($C15,Matches!$A$5:$A$19,0))),"")</f>
        <v>Cache</v>
      </c>
      <c r="H15" s="0" t="str">
        <f aca="false">IFERROR(IF(INDEX(Matches!$X$5:$X$19,MATCH($C15,Matches!$A$5:$A$19,0))="","",INDEX(Matches!$X$5:$X$19,MATCH($C15,Matches!$A$5:$A$19,0))),"")</f>
        <v>Nuke</v>
      </c>
      <c r="I15" s="0" t="str">
        <f aca="false">IFERROR(IF(INDEX(Matches!$Y$5:$Y$19,MATCH($C15,Matches!$A$5:$A$19,0))="","",INDEX(Matches!$Y$5:$Y$19,MATCH($C15,Matches!$A$5:$A$19,0))),"")</f>
        <v>Mirage</v>
      </c>
      <c r="J15" s="11" t="n">
        <f aca="false">IFERROR(IF(INDEX(Matches!$Z$5:$Z$19,MATCH($C15,Matches!$A$5:$A$19,0))="","",INDEX(Matches!$Z$5:$Z$19,MATCH($C15,Matches!$A$5:$A$19,0))),"")</f>
        <v>21.5</v>
      </c>
      <c r="K15" s="11" t="n">
        <f aca="false">IFERROR(IF(INDEX(Matches!$AA$5:$AA$19,MATCH($C15,Matches!$A$5:$A$19,0))="","",INDEX(Matches!$AA$5:$AA$19,MATCH($C15,Matches!$A$5:$A$19,0))),"")</f>
        <v>21.5</v>
      </c>
      <c r="L15" s="11" t="n">
        <f aca="false">IFERROR(IF(INDEX(Matches!$AB$5:$AB$19,MATCH($C15,Matches!$A$5:$A$19,0))="","",INDEX(Matches!$AB$5:$AB$19,MATCH($C15,Matches!$A$5:$A$19,0))),"")</f>
        <v>21.5</v>
      </c>
      <c r="M15" s="10" t="n">
        <f aca="false">IFERROR(IF(INDEX(Matches!$AC$5:$AC$19,MATCH($C15,Matches!$A$5:$A$19,0))="","",INDEX(Matches!$AC$5:$AC$19,MATCH($C15,Matches!$A$5:$A$19,0))),"")</f>
        <v>0</v>
      </c>
      <c r="N15" s="9" t="n">
        <f aca="false">IFERROR(INDEX(Players!$F$2:$F$124,MATCH($F15,Players!$A$2:$A$124,0)),0)</f>
        <v>31</v>
      </c>
      <c r="O15" s="13" t="n">
        <f aca="false">IFERROR(1/(1/INDEX(Players!$H$2:$H$124,MATCH($F15,Players!$A$2:$A$124,0))),"")</f>
        <v>0.7</v>
      </c>
      <c r="P15" s="10" t="n">
        <f aca="false">IFERROR(1/(1/INDEX(Players!$I$2:$I$124,MATCH($F15,Players!$A$2:$A$124,0))),"")</f>
        <v>0.509</v>
      </c>
      <c r="Q15" s="9" t="n">
        <f aca="false">IF($G15="",0,SUMIFS(Map_Stats!$F$2:$F$779,Map_Stats!$A$2:$A$779,$F15&amp;"|"&amp;$G15))</f>
        <v>5</v>
      </c>
      <c r="R15" s="13" t="n">
        <f aca="false">IF($G15="","",IFERROR(1/(1/INDEX(Map_Stats!$K$2:$K$779,MATCH($F15&amp;"|"&amp;$G15,Map_Stats!$A$2:$A$779,0))),$O15))</f>
        <v>0.7</v>
      </c>
      <c r="S15" s="10" t="n">
        <f aca="false">IF(OR($G15="",$P15=""),"",IFERROR(1/(1/INDEX(Map_Stats!$I$2:$I$779,MATCH($F15&amp;"|"&amp;$G15,Map_Stats!$A$2:$A$779,0))),$P15))</f>
        <v>0.479</v>
      </c>
      <c r="T15" s="13" t="n">
        <f aca="false">IF(OR($G15="",R15=""),"",IF($O15="",R15,(Q15*R15+Config!$B$4*$O15)/(Q15+Config!$B$4)))</f>
        <v>0.7</v>
      </c>
      <c r="U15" s="10" t="n">
        <f aca="false">IF(S15="","",(Q15*S15+Config!$B$4*$P15)/(Q15+Config!$B$4))</f>
        <v>0.494</v>
      </c>
      <c r="V15" s="17" t="n">
        <f aca="false">IF(OR(T15="",$J15=""),"",T15*$J15*($J15/Config!$B$10)^Config!$B$9)</f>
        <v>15.05</v>
      </c>
      <c r="W15" s="17" t="n">
        <f aca="false">IF(OR(V15="",U15=""),"",V15*U15)</f>
        <v>7.4347</v>
      </c>
      <c r="X15" s="9" t="n">
        <f aca="false">IF($H15="",0,SUMIFS(Map_Stats!$F$2:$F$779,Map_Stats!$A$2:$A$779,$F15&amp;"|"&amp;$H15))</f>
        <v>11</v>
      </c>
      <c r="Y15" s="13" t="n">
        <f aca="false">IF($H15="","",IFERROR(1/(1/INDEX(Map_Stats!$K$2:$K$779,MATCH($F15&amp;"|"&amp;$H15,Map_Stats!$A$2:$A$779,0))),$O15))</f>
        <v>0.71</v>
      </c>
      <c r="Z15" s="10" t="n">
        <f aca="false">IF(OR($H15="",$P15=""),"",IFERROR(1/(1/INDEX(Map_Stats!$I$2:$I$779,MATCH($F15&amp;"|"&amp;$H15,Map_Stats!$A$2:$A$779,0))),$P15))</f>
        <v>0.542</v>
      </c>
      <c r="AA15" s="13" t="n">
        <f aca="false">IF(OR($H15="",Y15=""),"",IF($O15="",Y15,(X15*Y15+Config!$B$4*$O15)/(X15+Config!$B$4)))</f>
        <v>0.706875</v>
      </c>
      <c r="AB15" s="10" t="n">
        <f aca="false">IF(Z15="","",(X15*Z15+Config!$B$4*$P15)/(X15+Config!$B$4))</f>
        <v>0.5316875</v>
      </c>
      <c r="AC15" s="17" t="n">
        <f aca="false">IF(OR(AA15="",$K15=""),"",AA15*$K15*($K15/Config!$B$10)^Config!$B$9)</f>
        <v>15.1978125</v>
      </c>
      <c r="AD15" s="17" t="n">
        <f aca="false">IF(OR(AC15="",AB15=""),"",AC15*AB15)</f>
        <v>8.08048693359375</v>
      </c>
      <c r="AE15" s="9" t="n">
        <f aca="false">IF($I15="",0,SUMIFS(Map_Stats!$F$2:$F$779,Map_Stats!$A$2:$A$779,$F15&amp;"|"&amp;$I15))</f>
        <v>7</v>
      </c>
      <c r="AF15" s="13" t="n">
        <f aca="false">IF($I15="","",IFERROR(1/(1/INDEX(Map_Stats!$K$2:$K$779,MATCH($F15&amp;"|"&amp;$I15,Map_Stats!$A$2:$A$779,0))),$O15))</f>
        <v>0.69</v>
      </c>
      <c r="AG15" s="10" t="n">
        <f aca="false">IF(OR($I15="",$P15=""),"",IFERROR(1/(1/INDEX(Map_Stats!$I$2:$I$779,MATCH($F15&amp;"|"&amp;$I15,Map_Stats!$A$2:$A$779,0))),$P15))</f>
        <v>0.486</v>
      </c>
      <c r="AH15" s="13" t="n">
        <f aca="false">IF(OR($I15="",AF15=""),"",IF($O15="",AF15,(AE15*AF15+Config!$B$4*$O15)/(AE15+Config!$B$4)))</f>
        <v>0.694166666666667</v>
      </c>
      <c r="AI15" s="10" t="n">
        <f aca="false">IF(AG15="","",(AE15*AG15+Config!$B$4*$P15)/(AE15+Config!$B$4))</f>
        <v>0.495583333333333</v>
      </c>
      <c r="AJ15" s="17" t="n">
        <f aca="false">IF(OR(AH15="",$L15=""),"",AH15*$L15*($L15/Config!$B$10)^Config!$B$9)</f>
        <v>14.9245833333333</v>
      </c>
      <c r="AK15" s="17" t="n">
        <f aca="false">IF(OR(AJ15="",AI15=""),"",AJ15*AI15)</f>
        <v>7.39637475694445</v>
      </c>
      <c r="AL15" s="17" t="n">
        <f aca="false">N(V15)+N(AC15)</f>
        <v>30.2478125</v>
      </c>
      <c r="AM15" s="17" t="n">
        <f aca="false">AL15+N($M15)*N(AJ15)</f>
        <v>30.2478125</v>
      </c>
      <c r="AN15" s="17" t="n">
        <f aca="false">IF(W15="","",N(W15)+N(AD15))</f>
        <v>15.5151869335938</v>
      </c>
      <c r="AO15" s="17" t="n">
        <f aca="false">IF(AN15="","",AN15+N($M15)*N(AK15))</f>
        <v>15.5151869335938</v>
      </c>
      <c r="AP15" s="10" t="n">
        <f aca="false">IFERROR(AN15/AL15,"")</f>
        <v>0.512935834073745</v>
      </c>
      <c r="AQ15" s="0" t="str">
        <f aca="false">TRIM(IF($N15&lt;Config!$B$12,"thin sample ("&amp;$N15&amp;" maps) · ","")&amp;IF(AND($G15&lt;&gt;"",Q15=0),"M1 unplayed→overall KPR · ","")&amp;IF(AND($H15&lt;&gt;"",X15=0),"M2 unplayed→overall KPR · ","")&amp;IF($O15="","no PickFinder stats",""))</f>
        <v/>
      </c>
      <c r="AR15" s="0" t="str">
        <f aca="false">IF($C15=Board!$B$2,COUNTIFS($C$2:$C$124,Board!$B$2,$AL$2:$AL$124,"&gt;"&amp;$AL15)+COUNTIFS($C$1:$C14,Board!$B$2,$AL$1:$AL14,$AL15)+1,"")</f>
        <v/>
      </c>
      <c r="AS15" s="0" t="str">
        <f aca="false">IFERROR(IF($D15=INDEX(Matches!$AD$5:$AD$19,MATCH($C15,Matches!$A$5:$A$19,0)),"A",IF($D15=INDEX(Matches!$AE$5:$AE$19,MATCH($C15,Matches!$A$5:$A$19,0)),"B","")),"")</f>
        <v>B</v>
      </c>
      <c r="AT15" s="10" t="n">
        <f aca="false">IF($AS15="","",IFERROR(IF($AS15="A",INDEX(Matches!$AI$5:$AI$19,MATCH($C15,Matches!$A$5:$A$19,0)),INDEX(Matches!$AJ$5:$AJ$19,MATCH($C15,Matches!$A$5:$A$19,0))),""))</f>
        <v>0.528901831100431</v>
      </c>
      <c r="AU15" s="10" t="str">
        <f aca="false">IF($AS15="","",IFERROR(IF(INDEX(Matches!$AP$5:$AP$19,MATCH($C15,Matches!$A$5:$A$19,0))="","",IF($AS15="A",INDEX(Matches!$AP$5:$AP$19,MATCH($C15,Matches!$A$5:$A$19,0)),1-INDEX(Matches!$AP$5:$AP$19,MATCH($C15,Matches!$A$5:$A$19,0)))),""))</f>
        <v/>
      </c>
      <c r="AV15" s="13" t="n">
        <f aca="false">IF(OR($AU15="",$AT15=""),1,((Config!$B$14*$AU15+Config!$B$15*(1-$AU15))/(Config!$B$14*$AT15+Config!$B$15*(1-$AT15)))^Config!$B$13)</f>
        <v>1</v>
      </c>
      <c r="AW15" s="10" t="str">
        <f aca="false">IF($AS15="","",IFERROR(IF(INDEX(Matches!$AV$5:$AV$19,MATCH($C15,Matches!$A$5:$A$19,0))="","",IF($AS15="A",INDEX(Matches!$AV$5:$AV$19,MATCH($C15,Matches!$A$5:$A$19,0)),1-INDEX(Matches!$AV$5:$AV$19,MATCH($C15,Matches!$A$5:$A$19,0)))),""))</f>
        <v/>
      </c>
      <c r="AX15" s="13" t="n">
        <f aca="false">IF(OR($AW15="",$AT15=""),1,((Config!$B$14*$AW15+Config!$B$15*(1-$AW15))/(Config!$B$14*$AT15+Config!$B$15*(1-$AT15)))^Config!$B$13)</f>
        <v>1</v>
      </c>
      <c r="AY15" s="10" t="str">
        <f aca="false">IF($AS15="","",IFERROR(IF(INDEX(Matches!$BB$5:$BB$19,MATCH($C15,Matches!$A$5:$A$19,0))="","",IF($AS15="A",INDEX(Matches!$BB$5:$BB$19,MATCH($C15,Matches!$A$5:$A$19,0)),1-INDEX(Matches!$BB$5:$BB$19,MATCH($C15,Matches!$A$5:$A$19,0)))),""))</f>
        <v/>
      </c>
      <c r="AZ15" s="13" t="n">
        <f aca="false">IF(OR($AY15="",$AT15=""),1,((Config!$B$14*$AY15+Config!$B$15*(1-$AY15))/(Config!$B$14*$AT15+Config!$B$15*(1-$AT15)))^Config!$B$13)</f>
        <v>1</v>
      </c>
      <c r="BA15" s="17" t="n">
        <f aca="false">IF(V15="","",V15*$AV15)</f>
        <v>15.05</v>
      </c>
      <c r="BB15" s="17" t="n">
        <f aca="false">IF(AC15="","",AC15*$AX15)</f>
        <v>15.1978125</v>
      </c>
      <c r="BC15" s="17" t="n">
        <f aca="false">IF(AJ15="","",AJ15*$AZ15)</f>
        <v>14.9245833333333</v>
      </c>
      <c r="BD15" s="17" t="n">
        <f aca="false">N(BA15)+N(BB15)</f>
        <v>30.2478125</v>
      </c>
      <c r="BE15" s="17" t="n">
        <f aca="false">BD15+N($M15)*N(BC15)</f>
        <v>30.2478125</v>
      </c>
      <c r="BF15" s="17" t="n">
        <f aca="false">IF(W15="","",W15*$AV15)</f>
        <v>7.4347</v>
      </c>
      <c r="BG15" s="17" t="n">
        <f aca="false">IF(AD15="","",AD15*$AX15)</f>
        <v>8.08048693359375</v>
      </c>
      <c r="BH15" s="17" t="n">
        <f aca="false">IF(AK15="","",AK15*$AZ15)</f>
        <v>7.39637475694445</v>
      </c>
      <c r="BI15" s="17" t="n">
        <f aca="false">IF(BF15="","",N(BF15)+N(BG15))</f>
        <v>15.5151869335938</v>
      </c>
      <c r="BJ15" s="17" t="n">
        <f aca="false">IF(BI15="","",BI15+N($M15)*N(BH15))</f>
        <v>15.5151869335938</v>
      </c>
      <c r="BK15" s="13" t="n">
        <f aca="false">IFERROR(BD15/AL15,1)</f>
        <v>1</v>
      </c>
    </row>
    <row r="16" customFormat="false" ht="15" hidden="false" customHeight="false" outlineLevel="0" collapsed="false">
      <c r="A16" s="0" t="s">
        <v>1146</v>
      </c>
      <c r="B16" s="0" t="s">
        <v>988</v>
      </c>
      <c r="C16" s="0" t="s">
        <v>1027</v>
      </c>
      <c r="D16" s="0" t="s">
        <v>1033</v>
      </c>
      <c r="E16" s="0" t="s">
        <v>1145</v>
      </c>
      <c r="F16" s="0" t="s">
        <v>1469</v>
      </c>
      <c r="G16" s="0" t="str">
        <f aca="false">IFERROR(IF(INDEX(Matches!$W$5:$W$19,MATCH($C16,Matches!$A$5:$A$19,0))="","",INDEX(Matches!$W$5:$W$19,MATCH($C16,Matches!$A$5:$A$19,0))),"")</f>
        <v>Cache</v>
      </c>
      <c r="H16" s="0" t="str">
        <f aca="false">IFERROR(IF(INDEX(Matches!$X$5:$X$19,MATCH($C16,Matches!$A$5:$A$19,0))="","",INDEX(Matches!$X$5:$X$19,MATCH($C16,Matches!$A$5:$A$19,0))),"")</f>
        <v>Nuke</v>
      </c>
      <c r="I16" s="0" t="str">
        <f aca="false">IFERROR(IF(INDEX(Matches!$Y$5:$Y$19,MATCH($C16,Matches!$A$5:$A$19,0))="","",INDEX(Matches!$Y$5:$Y$19,MATCH($C16,Matches!$A$5:$A$19,0))),"")</f>
        <v>Mirage</v>
      </c>
      <c r="J16" s="11" t="n">
        <f aca="false">IFERROR(IF(INDEX(Matches!$Z$5:$Z$19,MATCH($C16,Matches!$A$5:$A$19,0))="","",INDEX(Matches!$Z$5:$Z$19,MATCH($C16,Matches!$A$5:$A$19,0))),"")</f>
        <v>21.5</v>
      </c>
      <c r="K16" s="11" t="n">
        <f aca="false">IFERROR(IF(INDEX(Matches!$AA$5:$AA$19,MATCH($C16,Matches!$A$5:$A$19,0))="","",INDEX(Matches!$AA$5:$AA$19,MATCH($C16,Matches!$A$5:$A$19,0))),"")</f>
        <v>21.5</v>
      </c>
      <c r="L16" s="11" t="n">
        <f aca="false">IFERROR(IF(INDEX(Matches!$AB$5:$AB$19,MATCH($C16,Matches!$A$5:$A$19,0))="","",INDEX(Matches!$AB$5:$AB$19,MATCH($C16,Matches!$A$5:$A$19,0))),"")</f>
        <v>21.5</v>
      </c>
      <c r="M16" s="10" t="n">
        <f aca="false">IFERROR(IF(INDEX(Matches!$AC$5:$AC$19,MATCH($C16,Matches!$A$5:$A$19,0))="","",INDEX(Matches!$AC$5:$AC$19,MATCH($C16,Matches!$A$5:$A$19,0))),"")</f>
        <v>0</v>
      </c>
      <c r="N16" s="9" t="n">
        <f aca="false">IFERROR(INDEX(Players!$F$2:$F$124,MATCH($F16,Players!$A$2:$A$124,0)),0)</f>
        <v>31</v>
      </c>
      <c r="O16" s="13" t="n">
        <f aca="false">IFERROR(1/(1/INDEX(Players!$H$2:$H$124,MATCH($F16,Players!$A$2:$A$124,0))),"")</f>
        <v>0.54</v>
      </c>
      <c r="P16" s="10" t="n">
        <f aca="false">IFERROR(1/(1/INDEX(Players!$I$2:$I$124,MATCH($F16,Players!$A$2:$A$124,0))),"")</f>
        <v>0.54</v>
      </c>
      <c r="Q16" s="9" t="n">
        <f aca="false">IF($G16="",0,SUMIFS(Map_Stats!$F$2:$F$779,Map_Stats!$A$2:$A$779,$F16&amp;"|"&amp;$G16))</f>
        <v>5</v>
      </c>
      <c r="R16" s="13" t="n">
        <f aca="false">IF($G16="","",IFERROR(1/(1/INDEX(Map_Stats!$K$2:$K$779,MATCH($F16&amp;"|"&amp;$G16,Map_Stats!$A$2:$A$779,0))),$O16))</f>
        <v>0.59</v>
      </c>
      <c r="S16" s="10" t="n">
        <f aca="false">IF(OR($G16="",$P16=""),"",IFERROR(1/(1/INDEX(Map_Stats!$I$2:$I$779,MATCH($F16&amp;"|"&amp;$G16,Map_Stats!$A$2:$A$779,0))),$P16))</f>
        <v>0.548</v>
      </c>
      <c r="T16" s="13" t="n">
        <f aca="false">IF(OR($G16="",R16=""),"",IF($O16="",R16,(Q16*R16+Config!$B$4*$O16)/(Q16+Config!$B$4)))</f>
        <v>0.565</v>
      </c>
      <c r="U16" s="10" t="n">
        <f aca="false">IF(S16="","",(Q16*S16+Config!$B$4*$P16)/(Q16+Config!$B$4))</f>
        <v>0.544</v>
      </c>
      <c r="V16" s="17" t="n">
        <f aca="false">IF(OR(T16="",$J16=""),"",T16*$J16*($J16/Config!$B$10)^Config!$B$9)</f>
        <v>12.1475</v>
      </c>
      <c r="W16" s="17" t="n">
        <f aca="false">IF(OR(V16="",U16=""),"",V16*U16)</f>
        <v>6.60824</v>
      </c>
      <c r="X16" s="9" t="n">
        <f aca="false">IF($H16="",0,SUMIFS(Map_Stats!$F$2:$F$779,Map_Stats!$A$2:$A$779,$F16&amp;"|"&amp;$H16))</f>
        <v>11</v>
      </c>
      <c r="Y16" s="13" t="n">
        <f aca="false">IF($H16="","",IFERROR(1/(1/INDEX(Map_Stats!$K$2:$K$779,MATCH($F16&amp;"|"&amp;$H16,Map_Stats!$A$2:$A$779,0))),$O16))</f>
        <v>0.55</v>
      </c>
      <c r="Z16" s="10" t="n">
        <f aca="false">IF(OR($H16="",$P16=""),"",IFERROR(1/(1/INDEX(Map_Stats!$I$2:$I$779,MATCH($F16&amp;"|"&amp;$H16,Map_Stats!$A$2:$A$779,0))),$P16))</f>
        <v>0.5</v>
      </c>
      <c r="AA16" s="13" t="n">
        <f aca="false">IF(OR($H16="",Y16=""),"",IF($O16="",Y16,(X16*Y16+Config!$B$4*$O16)/(X16+Config!$B$4)))</f>
        <v>0.546875</v>
      </c>
      <c r="AB16" s="10" t="n">
        <f aca="false">IF(Z16="","",(X16*Z16+Config!$B$4*$P16)/(X16+Config!$B$4))</f>
        <v>0.5125</v>
      </c>
      <c r="AC16" s="17" t="n">
        <f aca="false">IF(OR(AA16="",$K16=""),"",AA16*$K16*($K16/Config!$B$10)^Config!$B$9)</f>
        <v>11.7578125</v>
      </c>
      <c r="AD16" s="17" t="n">
        <f aca="false">IF(OR(AC16="",AB16=""),"",AC16*AB16)</f>
        <v>6.02587890625</v>
      </c>
      <c r="AE16" s="9" t="n">
        <f aca="false">IF($I16="",0,SUMIFS(Map_Stats!$F$2:$F$779,Map_Stats!$A$2:$A$779,$F16&amp;"|"&amp;$I16))</f>
        <v>7</v>
      </c>
      <c r="AF16" s="13" t="n">
        <f aca="false">IF($I16="","",IFERROR(1/(1/INDEX(Map_Stats!$K$2:$K$779,MATCH($F16&amp;"|"&amp;$I16,Map_Stats!$A$2:$A$779,0))),$O16))</f>
        <v>0.49</v>
      </c>
      <c r="AG16" s="10" t="n">
        <f aca="false">IF(OR($I16="",$P16=""),"",IFERROR(1/(1/INDEX(Map_Stats!$I$2:$I$779,MATCH($F16&amp;"|"&amp;$I16,Map_Stats!$A$2:$A$779,0))),$P16))</f>
        <v>0.539</v>
      </c>
      <c r="AH16" s="13" t="n">
        <f aca="false">IF(OR($I16="",AF16=""),"",IF($O16="",AF16,(AE16*AF16+Config!$B$4*$O16)/(AE16+Config!$B$4)))</f>
        <v>0.510833333333333</v>
      </c>
      <c r="AI16" s="10" t="n">
        <f aca="false">IF(AG16="","",(AE16*AG16+Config!$B$4*$P16)/(AE16+Config!$B$4))</f>
        <v>0.539416666666667</v>
      </c>
      <c r="AJ16" s="17" t="n">
        <f aca="false">IF(OR(AH16="",$L16=""),"",AH16*$L16*($L16/Config!$B$10)^Config!$B$9)</f>
        <v>10.9829166666667</v>
      </c>
      <c r="AK16" s="17" t="n">
        <f aca="false">IF(OR(AJ16="",AI16=""),"",AJ16*AI16)</f>
        <v>5.92436829861111</v>
      </c>
      <c r="AL16" s="17" t="n">
        <f aca="false">N(V16)+N(AC16)</f>
        <v>23.9053125</v>
      </c>
      <c r="AM16" s="17" t="n">
        <f aca="false">AL16+N($M16)*N(AJ16)</f>
        <v>23.9053125</v>
      </c>
      <c r="AN16" s="17" t="n">
        <f aca="false">IF(W16="","",N(W16)+N(AD16))</f>
        <v>12.63411890625</v>
      </c>
      <c r="AO16" s="17" t="n">
        <f aca="false">IF(AN16="","",AN16+N($M16)*N(AK16))</f>
        <v>12.63411890625</v>
      </c>
      <c r="AP16" s="10" t="n">
        <f aca="false">IFERROR(AN16/AL16,"")</f>
        <v>0.528506745362563</v>
      </c>
      <c r="AQ16" s="0" t="str">
        <f aca="false">TRIM(IF($N16&lt;Config!$B$12,"thin sample ("&amp;$N16&amp;" maps) · ","")&amp;IF(AND($G16&lt;&gt;"",Q16=0),"M1 unplayed→overall KPR · ","")&amp;IF(AND($H16&lt;&gt;"",X16=0),"M2 unplayed→overall KPR · ","")&amp;IF($O16="","no PickFinder stats",""))</f>
        <v/>
      </c>
      <c r="AR16" s="0" t="str">
        <f aca="false">IF($C16=Board!$B$2,COUNTIFS($C$2:$C$124,Board!$B$2,$AL$2:$AL$124,"&gt;"&amp;$AL16)+COUNTIFS($C$1:$C15,Board!$B$2,$AL$1:$AL15,$AL16)+1,"")</f>
        <v/>
      </c>
      <c r="AS16" s="0" t="str">
        <f aca="false">IFERROR(IF($D16=INDEX(Matches!$AD$5:$AD$19,MATCH($C16,Matches!$A$5:$A$19,0)),"A",IF($D16=INDEX(Matches!$AE$5:$AE$19,MATCH($C16,Matches!$A$5:$A$19,0)),"B","")),"")</f>
        <v>B</v>
      </c>
      <c r="AT16" s="10" t="n">
        <f aca="false">IF($AS16="","",IFERROR(IF($AS16="A",INDEX(Matches!$AI$5:$AI$19,MATCH($C16,Matches!$A$5:$A$19,0)),INDEX(Matches!$AJ$5:$AJ$19,MATCH($C16,Matches!$A$5:$A$19,0))),""))</f>
        <v>0.528901831100431</v>
      </c>
      <c r="AU16" s="10" t="str">
        <f aca="false">IF($AS16="","",IFERROR(IF(INDEX(Matches!$AP$5:$AP$19,MATCH($C16,Matches!$A$5:$A$19,0))="","",IF($AS16="A",INDEX(Matches!$AP$5:$AP$19,MATCH($C16,Matches!$A$5:$A$19,0)),1-INDEX(Matches!$AP$5:$AP$19,MATCH($C16,Matches!$A$5:$A$19,0)))),""))</f>
        <v/>
      </c>
      <c r="AV16" s="13" t="n">
        <f aca="false">IF(OR($AU16="",$AT16=""),1,((Config!$B$14*$AU16+Config!$B$15*(1-$AU16))/(Config!$B$14*$AT16+Config!$B$15*(1-$AT16)))^Config!$B$13)</f>
        <v>1</v>
      </c>
      <c r="AW16" s="10" t="str">
        <f aca="false">IF($AS16="","",IFERROR(IF(INDEX(Matches!$AV$5:$AV$19,MATCH($C16,Matches!$A$5:$A$19,0))="","",IF($AS16="A",INDEX(Matches!$AV$5:$AV$19,MATCH($C16,Matches!$A$5:$A$19,0)),1-INDEX(Matches!$AV$5:$AV$19,MATCH($C16,Matches!$A$5:$A$19,0)))),""))</f>
        <v/>
      </c>
      <c r="AX16" s="13" t="n">
        <f aca="false">IF(OR($AW16="",$AT16=""),1,((Config!$B$14*$AW16+Config!$B$15*(1-$AW16))/(Config!$B$14*$AT16+Config!$B$15*(1-$AT16)))^Config!$B$13)</f>
        <v>1</v>
      </c>
      <c r="AY16" s="10" t="str">
        <f aca="false">IF($AS16="","",IFERROR(IF(INDEX(Matches!$BB$5:$BB$19,MATCH($C16,Matches!$A$5:$A$19,0))="","",IF($AS16="A",INDEX(Matches!$BB$5:$BB$19,MATCH($C16,Matches!$A$5:$A$19,0)),1-INDEX(Matches!$BB$5:$BB$19,MATCH($C16,Matches!$A$5:$A$19,0)))),""))</f>
        <v/>
      </c>
      <c r="AZ16" s="13" t="n">
        <f aca="false">IF(OR($AY16="",$AT16=""),1,((Config!$B$14*$AY16+Config!$B$15*(1-$AY16))/(Config!$B$14*$AT16+Config!$B$15*(1-$AT16)))^Config!$B$13)</f>
        <v>1</v>
      </c>
      <c r="BA16" s="17" t="n">
        <f aca="false">IF(V16="","",V16*$AV16)</f>
        <v>12.1475</v>
      </c>
      <c r="BB16" s="17" t="n">
        <f aca="false">IF(AC16="","",AC16*$AX16)</f>
        <v>11.7578125</v>
      </c>
      <c r="BC16" s="17" t="n">
        <f aca="false">IF(AJ16="","",AJ16*$AZ16)</f>
        <v>10.9829166666667</v>
      </c>
      <c r="BD16" s="17" t="n">
        <f aca="false">N(BA16)+N(BB16)</f>
        <v>23.9053125</v>
      </c>
      <c r="BE16" s="17" t="n">
        <f aca="false">BD16+N($M16)*N(BC16)</f>
        <v>23.9053125</v>
      </c>
      <c r="BF16" s="17" t="n">
        <f aca="false">IF(W16="","",W16*$AV16)</f>
        <v>6.60824</v>
      </c>
      <c r="BG16" s="17" t="n">
        <f aca="false">IF(AD16="","",AD16*$AX16)</f>
        <v>6.02587890625</v>
      </c>
      <c r="BH16" s="17" t="n">
        <f aca="false">IF(AK16="","",AK16*$AZ16)</f>
        <v>5.92436829861111</v>
      </c>
      <c r="BI16" s="17" t="n">
        <f aca="false">IF(BF16="","",N(BF16)+N(BG16))</f>
        <v>12.63411890625</v>
      </c>
      <c r="BJ16" s="17" t="n">
        <f aca="false">IF(BI16="","",BI16+N($M16)*N(BH16))</f>
        <v>12.63411890625</v>
      </c>
      <c r="BK16" s="13" t="n">
        <f aca="false">IFERROR(BD16/AL16,1)</f>
        <v>1</v>
      </c>
    </row>
    <row r="17" customFormat="false" ht="15" hidden="false" customHeight="false" outlineLevel="0" collapsed="false">
      <c r="A17" s="0" t="s">
        <v>1148</v>
      </c>
      <c r="B17" s="0" t="s">
        <v>988</v>
      </c>
      <c r="C17" s="0" t="s">
        <v>1078</v>
      </c>
      <c r="D17" s="0" t="s">
        <v>1081</v>
      </c>
      <c r="E17" s="0" t="s">
        <v>1147</v>
      </c>
      <c r="F17" s="0" t="s">
        <v>1470</v>
      </c>
      <c r="G17" s="0" t="str">
        <f aca="false">IFERROR(IF(INDEX(Matches!$W$5:$W$19,MATCH($C17,Matches!$A$5:$A$19,0))="","",INDEX(Matches!$W$5:$W$19,MATCH($C17,Matches!$A$5:$A$19,0))),"")</f>
        <v>Dust2</v>
      </c>
      <c r="H17" s="0" t="str">
        <f aca="false">IFERROR(IF(INDEX(Matches!$X$5:$X$19,MATCH($C17,Matches!$A$5:$A$19,0))="","",INDEX(Matches!$X$5:$X$19,MATCH($C17,Matches!$A$5:$A$19,0))),"")</f>
        <v>Cache</v>
      </c>
      <c r="I17" s="0" t="str">
        <f aca="false">IFERROR(IF(INDEX(Matches!$Y$5:$Y$19,MATCH($C17,Matches!$A$5:$A$19,0))="","",INDEX(Matches!$Y$5:$Y$19,MATCH($C17,Matches!$A$5:$A$19,0))),"")</f>
        <v>Mirage</v>
      </c>
      <c r="J17" s="11" t="n">
        <f aca="false">IFERROR(IF(INDEX(Matches!$Z$5:$Z$19,MATCH($C17,Matches!$A$5:$A$19,0))="","",INDEX(Matches!$Z$5:$Z$19,MATCH($C17,Matches!$A$5:$A$19,0))),"")</f>
        <v>21.5</v>
      </c>
      <c r="K17" s="11" t="n">
        <f aca="false">IFERROR(IF(INDEX(Matches!$AA$5:$AA$19,MATCH($C17,Matches!$A$5:$A$19,0))="","",INDEX(Matches!$AA$5:$AA$19,MATCH($C17,Matches!$A$5:$A$19,0))),"")</f>
        <v>21.5</v>
      </c>
      <c r="L17" s="11" t="n">
        <f aca="false">IFERROR(IF(INDEX(Matches!$AB$5:$AB$19,MATCH($C17,Matches!$A$5:$A$19,0))="","",INDEX(Matches!$AB$5:$AB$19,MATCH($C17,Matches!$A$5:$A$19,0))),"")</f>
        <v>21.5</v>
      </c>
      <c r="M17" s="10" t="n">
        <f aca="false">IFERROR(IF(INDEX(Matches!$AC$5:$AC$19,MATCH($C17,Matches!$A$5:$A$19,0))="","",INDEX(Matches!$AC$5:$AC$19,MATCH($C17,Matches!$A$5:$A$19,0))),"")</f>
        <v>0</v>
      </c>
      <c r="N17" s="9" t="n">
        <f aca="false">IFERROR(INDEX(Players!$F$2:$F$124,MATCH($F17,Players!$A$2:$A$124,0)),0)</f>
        <v>37</v>
      </c>
      <c r="O17" s="13" t="n">
        <f aca="false">IFERROR(1/(1/INDEX(Players!$H$2:$H$124,MATCH($F17,Players!$A$2:$A$124,0))),"")</f>
        <v>0.71</v>
      </c>
      <c r="P17" s="10" t="n">
        <f aca="false">IFERROR(1/(1/INDEX(Players!$I$2:$I$124,MATCH($F17,Players!$A$2:$A$124,0))),"")</f>
        <v>0.63</v>
      </c>
      <c r="Q17" s="9" t="n">
        <f aca="false">IF($G17="",0,SUMIFS(Map_Stats!$F$2:$F$779,Map_Stats!$A$2:$A$779,$F17&amp;"|"&amp;$G17))</f>
        <v>13</v>
      </c>
      <c r="R17" s="13" t="n">
        <f aca="false">IF($G17="","",IFERROR(1/(1/INDEX(Map_Stats!$K$2:$K$779,MATCH($F17&amp;"|"&amp;$G17,Map_Stats!$A$2:$A$779,0))),$O17))</f>
        <v>0.65</v>
      </c>
      <c r="S17" s="10" t="n">
        <f aca="false">IF(OR($G17="",$P17=""),"",IFERROR(1/(1/INDEX(Map_Stats!$I$2:$I$779,MATCH($F17&amp;"|"&amp;$G17,Map_Stats!$A$2:$A$779,0))),$P17))</f>
        <v>0.688</v>
      </c>
      <c r="T17" s="13" t="n">
        <f aca="false">IF(OR($G17="",R17=""),"",IF($O17="",R17,(Q17*R17+Config!$B$4*$O17)/(Q17+Config!$B$4)))</f>
        <v>0.666666666666667</v>
      </c>
      <c r="U17" s="10" t="n">
        <f aca="false">IF(S17="","",(Q17*S17+Config!$B$4*$P17)/(Q17+Config!$B$4))</f>
        <v>0.671888888888889</v>
      </c>
      <c r="V17" s="17" t="n">
        <f aca="false">IF(OR(T17="",$J17=""),"",T17*$J17*($J17/Config!$B$10)^Config!$B$9)</f>
        <v>14.3333333333333</v>
      </c>
      <c r="W17" s="17" t="n">
        <f aca="false">IF(OR(V17="",U17=""),"",V17*U17)</f>
        <v>9.63040740740741</v>
      </c>
      <c r="X17" s="9" t="n">
        <f aca="false">IF($H17="",0,SUMIFS(Map_Stats!$F$2:$F$779,Map_Stats!$A$2:$A$779,$F17&amp;"|"&amp;$H17))</f>
        <v>4</v>
      </c>
      <c r="Y17" s="13" t="n">
        <f aca="false">IF($H17="","",IFERROR(1/(1/INDEX(Map_Stats!$K$2:$K$779,MATCH($F17&amp;"|"&amp;$H17,Map_Stats!$A$2:$A$779,0))),$O17))</f>
        <v>0.71</v>
      </c>
      <c r="Z17" s="10" t="n">
        <f aca="false">IF(OR($H17="",$P17=""),"",IFERROR(1/(1/INDEX(Map_Stats!$I$2:$I$779,MATCH($F17&amp;"|"&amp;$H17,Map_Stats!$A$2:$A$779,0))),$P17))</f>
        <v>0.596</v>
      </c>
      <c r="AA17" s="13" t="n">
        <f aca="false">IF(OR($H17="",Y17=""),"",IF($O17="",Y17,(X17*Y17+Config!$B$4*$O17)/(X17+Config!$B$4)))</f>
        <v>0.71</v>
      </c>
      <c r="AB17" s="10" t="n">
        <f aca="false">IF(Z17="","",(X17*Z17+Config!$B$4*$P17)/(X17+Config!$B$4))</f>
        <v>0.614888888888889</v>
      </c>
      <c r="AC17" s="17" t="n">
        <f aca="false">IF(OR(AA17="",$K17=""),"",AA17*$K17*($K17/Config!$B$10)^Config!$B$9)</f>
        <v>15.265</v>
      </c>
      <c r="AD17" s="17" t="n">
        <f aca="false">IF(OR(AC17="",AB17=""),"",AC17*AB17)</f>
        <v>9.38627888888889</v>
      </c>
      <c r="AE17" s="9" t="n">
        <f aca="false">IF($I17="",0,SUMIFS(Map_Stats!$F$2:$F$779,Map_Stats!$A$2:$A$779,$F17&amp;"|"&amp;$I17))</f>
        <v>7</v>
      </c>
      <c r="AF17" s="13" t="n">
        <f aca="false">IF($I17="","",IFERROR(1/(1/INDEX(Map_Stats!$K$2:$K$779,MATCH($F17&amp;"|"&amp;$I17,Map_Stats!$A$2:$A$779,0))),$O17))</f>
        <v>0.7</v>
      </c>
      <c r="AG17" s="10" t="n">
        <f aca="false">IF(OR($I17="",$P17=""),"",IFERROR(1/(1/INDEX(Map_Stats!$I$2:$I$779,MATCH($F17&amp;"|"&amp;$I17,Map_Stats!$A$2:$A$779,0))),$P17))</f>
        <v>0.605</v>
      </c>
      <c r="AH17" s="13" t="n">
        <f aca="false">IF(OR($I17="",AF17=""),"",IF($O17="",AF17,(AE17*AF17+Config!$B$4*$O17)/(AE17+Config!$B$4)))</f>
        <v>0.704166666666667</v>
      </c>
      <c r="AI17" s="10" t="n">
        <f aca="false">IF(AG17="","",(AE17*AG17+Config!$B$4*$P17)/(AE17+Config!$B$4))</f>
        <v>0.615416666666667</v>
      </c>
      <c r="AJ17" s="17" t="n">
        <f aca="false">IF(OR(AH17="",$L17=""),"",AH17*$L17*($L17/Config!$B$10)^Config!$B$9)</f>
        <v>15.1395833333333</v>
      </c>
      <c r="AK17" s="17" t="n">
        <f aca="false">IF(OR(AJ17="",AI17=""),"",AJ17*AI17)</f>
        <v>9.31715190972222</v>
      </c>
      <c r="AL17" s="17" t="n">
        <f aca="false">N(V17)+N(AC17)</f>
        <v>29.5983333333333</v>
      </c>
      <c r="AM17" s="17" t="n">
        <f aca="false">AL17+N($M17)*N(AJ17)</f>
        <v>29.5983333333333</v>
      </c>
      <c r="AN17" s="17" t="n">
        <f aca="false">IF(W17="","",N(W17)+N(AD17))</f>
        <v>19.0166862962963</v>
      </c>
      <c r="AO17" s="17" t="n">
        <f aca="false">IF(AN17="","",AN17+N($M17)*N(AK17))</f>
        <v>19.0166862962963</v>
      </c>
      <c r="AP17" s="10" t="n">
        <f aca="false">IFERROR(AN17/AL17,"")</f>
        <v>0.642491794457896</v>
      </c>
      <c r="AQ17" s="0" t="str">
        <f aca="false">TRIM(IF($N17&lt;Config!$B$12,"thin sample ("&amp;$N17&amp;" maps) · ","")&amp;IF(AND($G17&lt;&gt;"",Q17=0),"M1 unplayed→overall KPR · ","")&amp;IF(AND($H17&lt;&gt;"",X17=0),"M2 unplayed→overall KPR · ","")&amp;IF($O17="","no PickFinder stats",""))</f>
        <v/>
      </c>
      <c r="AR17" s="0" t="str">
        <f aca="false">IF($C17=Board!$B$2,COUNTIFS($C$2:$C$124,Board!$B$2,$AL$2:$AL$124,"&gt;"&amp;$AL17)+COUNTIFS($C$1:$C16,Board!$B$2,$AL$1:$AL16,$AL17)+1,"")</f>
        <v/>
      </c>
      <c r="AS17" s="0" t="str">
        <f aca="false">IFERROR(IF($D17=INDEX(Matches!$AD$5:$AD$19,MATCH($C17,Matches!$A$5:$A$19,0)),"A",IF($D17=INDEX(Matches!$AE$5:$AE$19,MATCH($C17,Matches!$A$5:$A$19,0)),"B","")),"")</f>
        <v>A</v>
      </c>
      <c r="AT17" s="10" t="n">
        <f aca="false">IF($AS17="","",IFERROR(IF($AS17="A",INDEX(Matches!$AI$5:$AI$19,MATCH($C17,Matches!$A$5:$A$19,0)),INDEX(Matches!$AJ$5:$AJ$19,MATCH($C17,Matches!$A$5:$A$19,0))),""))</f>
        <v>0.535025749152271</v>
      </c>
      <c r="AU17" s="10" t="str">
        <f aca="false">IF($AS17="","",IFERROR(IF(INDEX(Matches!$AP$5:$AP$19,MATCH($C17,Matches!$A$5:$A$19,0))="","",IF($AS17="A",INDEX(Matches!$AP$5:$AP$19,MATCH($C17,Matches!$A$5:$A$19,0)),1-INDEX(Matches!$AP$5:$AP$19,MATCH($C17,Matches!$A$5:$A$19,0)))),""))</f>
        <v/>
      </c>
      <c r="AV17" s="13" t="n">
        <f aca="false">IF(OR($AU17="",$AT17=""),1,((Config!$B$14*$AU17+Config!$B$15*(1-$AU17))/(Config!$B$14*$AT17+Config!$B$15*(1-$AT17)))^Config!$B$13)</f>
        <v>1</v>
      </c>
      <c r="AW17" s="10" t="str">
        <f aca="false">IF($AS17="","",IFERROR(IF(INDEX(Matches!$AV$5:$AV$19,MATCH($C17,Matches!$A$5:$A$19,0))="","",IF($AS17="A",INDEX(Matches!$AV$5:$AV$19,MATCH($C17,Matches!$A$5:$A$19,0)),1-INDEX(Matches!$AV$5:$AV$19,MATCH($C17,Matches!$A$5:$A$19,0)))),""))</f>
        <v/>
      </c>
      <c r="AX17" s="13" t="n">
        <f aca="false">IF(OR($AW17="",$AT17=""),1,((Config!$B$14*$AW17+Config!$B$15*(1-$AW17))/(Config!$B$14*$AT17+Config!$B$15*(1-$AT17)))^Config!$B$13)</f>
        <v>1</v>
      </c>
      <c r="AY17" s="10" t="str">
        <f aca="false">IF($AS17="","",IFERROR(IF(INDEX(Matches!$BB$5:$BB$19,MATCH($C17,Matches!$A$5:$A$19,0))="","",IF($AS17="A",INDEX(Matches!$BB$5:$BB$19,MATCH($C17,Matches!$A$5:$A$19,0)),1-INDEX(Matches!$BB$5:$BB$19,MATCH($C17,Matches!$A$5:$A$19,0)))),""))</f>
        <v/>
      </c>
      <c r="AZ17" s="13" t="n">
        <f aca="false">IF(OR($AY17="",$AT17=""),1,((Config!$B$14*$AY17+Config!$B$15*(1-$AY17))/(Config!$B$14*$AT17+Config!$B$15*(1-$AT17)))^Config!$B$13)</f>
        <v>1</v>
      </c>
      <c r="BA17" s="17" t="n">
        <f aca="false">IF(V17="","",V17*$AV17)</f>
        <v>14.3333333333333</v>
      </c>
      <c r="BB17" s="17" t="n">
        <f aca="false">IF(AC17="","",AC17*$AX17)</f>
        <v>15.265</v>
      </c>
      <c r="BC17" s="17" t="n">
        <f aca="false">IF(AJ17="","",AJ17*$AZ17)</f>
        <v>15.1395833333333</v>
      </c>
      <c r="BD17" s="17" t="n">
        <f aca="false">N(BA17)+N(BB17)</f>
        <v>29.5983333333333</v>
      </c>
      <c r="BE17" s="17" t="n">
        <f aca="false">BD17+N($M17)*N(BC17)</f>
        <v>29.5983333333333</v>
      </c>
      <c r="BF17" s="17" t="n">
        <f aca="false">IF(W17="","",W17*$AV17)</f>
        <v>9.63040740740741</v>
      </c>
      <c r="BG17" s="17" t="n">
        <f aca="false">IF(AD17="","",AD17*$AX17)</f>
        <v>9.38627888888889</v>
      </c>
      <c r="BH17" s="17" t="n">
        <f aca="false">IF(AK17="","",AK17*$AZ17)</f>
        <v>9.31715190972222</v>
      </c>
      <c r="BI17" s="17" t="n">
        <f aca="false">IF(BF17="","",N(BF17)+N(BG17))</f>
        <v>19.0166862962963</v>
      </c>
      <c r="BJ17" s="17" t="n">
        <f aca="false">IF(BI17="","",BI17+N($M17)*N(BH17))</f>
        <v>19.0166862962963</v>
      </c>
      <c r="BK17" s="13" t="n">
        <f aca="false">IFERROR(BD17/AL17,1)</f>
        <v>1</v>
      </c>
    </row>
    <row r="18" customFormat="false" ht="15" hidden="false" customHeight="false" outlineLevel="0" collapsed="false">
      <c r="A18" s="0" t="s">
        <v>1150</v>
      </c>
      <c r="B18" s="0" t="s">
        <v>988</v>
      </c>
      <c r="C18" s="0" t="s">
        <v>1078</v>
      </c>
      <c r="D18" s="0" t="s">
        <v>1081</v>
      </c>
      <c r="E18" s="0" t="s">
        <v>1149</v>
      </c>
      <c r="F18" s="0" t="s">
        <v>1471</v>
      </c>
      <c r="G18" s="0" t="str">
        <f aca="false">IFERROR(IF(INDEX(Matches!$W$5:$W$19,MATCH($C18,Matches!$A$5:$A$19,0))="","",INDEX(Matches!$W$5:$W$19,MATCH($C18,Matches!$A$5:$A$19,0))),"")</f>
        <v>Dust2</v>
      </c>
      <c r="H18" s="0" t="str">
        <f aca="false">IFERROR(IF(INDEX(Matches!$X$5:$X$19,MATCH($C18,Matches!$A$5:$A$19,0))="","",INDEX(Matches!$X$5:$X$19,MATCH($C18,Matches!$A$5:$A$19,0))),"")</f>
        <v>Cache</v>
      </c>
      <c r="I18" s="0" t="str">
        <f aca="false">IFERROR(IF(INDEX(Matches!$Y$5:$Y$19,MATCH($C18,Matches!$A$5:$A$19,0))="","",INDEX(Matches!$Y$5:$Y$19,MATCH($C18,Matches!$A$5:$A$19,0))),"")</f>
        <v>Mirage</v>
      </c>
      <c r="J18" s="11" t="n">
        <f aca="false">IFERROR(IF(INDEX(Matches!$Z$5:$Z$19,MATCH($C18,Matches!$A$5:$A$19,0))="","",INDEX(Matches!$Z$5:$Z$19,MATCH($C18,Matches!$A$5:$A$19,0))),"")</f>
        <v>21.5</v>
      </c>
      <c r="K18" s="11" t="n">
        <f aca="false">IFERROR(IF(INDEX(Matches!$AA$5:$AA$19,MATCH($C18,Matches!$A$5:$A$19,0))="","",INDEX(Matches!$AA$5:$AA$19,MATCH($C18,Matches!$A$5:$A$19,0))),"")</f>
        <v>21.5</v>
      </c>
      <c r="L18" s="11" t="n">
        <f aca="false">IFERROR(IF(INDEX(Matches!$AB$5:$AB$19,MATCH($C18,Matches!$A$5:$A$19,0))="","",INDEX(Matches!$AB$5:$AB$19,MATCH($C18,Matches!$A$5:$A$19,0))),"")</f>
        <v>21.5</v>
      </c>
      <c r="M18" s="10" t="n">
        <f aca="false">IFERROR(IF(INDEX(Matches!$AC$5:$AC$19,MATCH($C18,Matches!$A$5:$A$19,0))="","",INDEX(Matches!$AC$5:$AC$19,MATCH($C18,Matches!$A$5:$A$19,0))),"")</f>
        <v>0</v>
      </c>
      <c r="N18" s="9" t="n">
        <f aca="false">IFERROR(INDEX(Players!$F$2:$F$124,MATCH($F18,Players!$A$2:$A$124,0)),0)</f>
        <v>37</v>
      </c>
      <c r="O18" s="13" t="n">
        <f aca="false">IFERROR(1/(1/INDEX(Players!$H$2:$H$124,MATCH($F18,Players!$A$2:$A$124,0))),"")</f>
        <v>0.72</v>
      </c>
      <c r="P18" s="10" t="n">
        <f aca="false">IFERROR(1/(1/INDEX(Players!$I$2:$I$124,MATCH($F18,Players!$A$2:$A$124,0))),"")</f>
        <v>0.63</v>
      </c>
      <c r="Q18" s="9" t="n">
        <f aca="false">IF($G18="",0,SUMIFS(Map_Stats!$F$2:$F$779,Map_Stats!$A$2:$A$779,$F18&amp;"|"&amp;$G18))</f>
        <v>13</v>
      </c>
      <c r="R18" s="13" t="n">
        <f aca="false">IF($G18="","",IFERROR(1/(1/INDEX(Map_Stats!$K$2:$K$779,MATCH($F18&amp;"|"&amp;$G18,Map_Stats!$A$2:$A$779,0))),$O18))</f>
        <v>0.68</v>
      </c>
      <c r="S18" s="10" t="n">
        <f aca="false">IF(OR($G18="",$P18=""),"",IFERROR(1/(1/INDEX(Map_Stats!$I$2:$I$779,MATCH($F18&amp;"|"&amp;$G18,Map_Stats!$A$2:$A$779,0))),$P18))</f>
        <v>0.625</v>
      </c>
      <c r="T18" s="13" t="n">
        <f aca="false">IF(OR($G18="",R18=""),"",IF($O18="",R18,(Q18*R18+Config!$B$4*$O18)/(Q18+Config!$B$4)))</f>
        <v>0.691111111111111</v>
      </c>
      <c r="U18" s="10" t="n">
        <f aca="false">IF(S18="","",(Q18*S18+Config!$B$4*$P18)/(Q18+Config!$B$4))</f>
        <v>0.626388888888889</v>
      </c>
      <c r="V18" s="17" t="n">
        <f aca="false">IF(OR(T18="",$J18=""),"",T18*$J18*($J18/Config!$B$10)^Config!$B$9)</f>
        <v>14.8588888888889</v>
      </c>
      <c r="W18" s="17" t="n">
        <f aca="false">IF(OR(V18="",U18=""),"",V18*U18)</f>
        <v>9.30744290123457</v>
      </c>
      <c r="X18" s="9" t="n">
        <f aca="false">IF($H18="",0,SUMIFS(Map_Stats!$F$2:$F$779,Map_Stats!$A$2:$A$779,$F18&amp;"|"&amp;$H18))</f>
        <v>4</v>
      </c>
      <c r="Y18" s="13" t="n">
        <f aca="false">IF($H18="","",IFERROR(1/(1/INDEX(Map_Stats!$K$2:$K$779,MATCH($F18&amp;"|"&amp;$H18,Map_Stats!$A$2:$A$779,0))),$O18))</f>
        <v>0.6</v>
      </c>
      <c r="Z18" s="10" t="n">
        <f aca="false">IF(OR($H18="",$P18=""),"",IFERROR(1/(1/INDEX(Map_Stats!$I$2:$I$779,MATCH($F18&amp;"|"&amp;$H18,Map_Stats!$A$2:$A$779,0))),$P18))</f>
        <v>0.604</v>
      </c>
      <c r="AA18" s="13" t="n">
        <f aca="false">IF(OR($H18="",Y18=""),"",IF($O18="",Y18,(X18*Y18+Config!$B$4*$O18)/(X18+Config!$B$4)))</f>
        <v>0.666666666666667</v>
      </c>
      <c r="AB18" s="10" t="n">
        <f aca="false">IF(Z18="","",(X18*Z18+Config!$B$4*$P18)/(X18+Config!$B$4))</f>
        <v>0.618444444444445</v>
      </c>
      <c r="AC18" s="17" t="n">
        <f aca="false">IF(OR(AA18="",$K18=""),"",AA18*$K18*($K18/Config!$B$10)^Config!$B$9)</f>
        <v>14.3333333333333</v>
      </c>
      <c r="AD18" s="17" t="n">
        <f aca="false">IF(OR(AC18="",AB18=""),"",AC18*AB18)</f>
        <v>8.86437037037037</v>
      </c>
      <c r="AE18" s="9" t="n">
        <f aca="false">IF($I18="",0,SUMIFS(Map_Stats!$F$2:$F$779,Map_Stats!$A$2:$A$779,$F18&amp;"|"&amp;$I18))</f>
        <v>7</v>
      </c>
      <c r="AF18" s="13" t="n">
        <f aca="false">IF($I18="","",IFERROR(1/(1/INDEX(Map_Stats!$K$2:$K$779,MATCH($F18&amp;"|"&amp;$I18,Map_Stats!$A$2:$A$779,0))),$O18))</f>
        <v>0.73</v>
      </c>
      <c r="AG18" s="10" t="n">
        <f aca="false">IF(OR($I18="",$P18=""),"",IFERROR(1/(1/INDEX(Map_Stats!$I$2:$I$779,MATCH($F18&amp;"|"&amp;$I18,Map_Stats!$A$2:$A$779,0))),$P18))</f>
        <v>0.621</v>
      </c>
      <c r="AH18" s="13" t="n">
        <f aca="false">IF(OR($I18="",AF18=""),"",IF($O18="",AF18,(AE18*AF18+Config!$B$4*$O18)/(AE18+Config!$B$4)))</f>
        <v>0.725833333333333</v>
      </c>
      <c r="AI18" s="10" t="n">
        <f aca="false">IF(AG18="","",(AE18*AG18+Config!$B$4*$P18)/(AE18+Config!$B$4))</f>
        <v>0.62475</v>
      </c>
      <c r="AJ18" s="17" t="n">
        <f aca="false">IF(OR(AH18="",$L18=""),"",AH18*$L18*($L18/Config!$B$10)^Config!$B$9)</f>
        <v>15.6054166666667</v>
      </c>
      <c r="AK18" s="17" t="n">
        <f aca="false">IF(OR(AJ18="",AI18=""),"",AJ18*AI18)</f>
        <v>9.7494840625</v>
      </c>
      <c r="AL18" s="17" t="n">
        <f aca="false">N(V18)+N(AC18)</f>
        <v>29.1922222222222</v>
      </c>
      <c r="AM18" s="17" t="n">
        <f aca="false">AL18+N($M18)*N(AJ18)</f>
        <v>29.1922222222222</v>
      </c>
      <c r="AN18" s="17" t="n">
        <f aca="false">IF(W18="","",N(W18)+N(AD18))</f>
        <v>18.1718132716049</v>
      </c>
      <c r="AO18" s="17" t="n">
        <f aca="false">IF(AN18="","",AN18+N($M18)*N(AK18))</f>
        <v>18.1718132716049</v>
      </c>
      <c r="AP18" s="10" t="n">
        <f aca="false">IFERROR(AN18/AL18,"")</f>
        <v>0.622488179669031</v>
      </c>
      <c r="AQ18" s="0" t="str">
        <f aca="false">TRIM(IF($N18&lt;Config!$B$12,"thin sample ("&amp;$N18&amp;" maps) · ","")&amp;IF(AND($G18&lt;&gt;"",Q18=0),"M1 unplayed→overall KPR · ","")&amp;IF(AND($H18&lt;&gt;"",X18=0),"M2 unplayed→overall KPR · ","")&amp;IF($O18="","no PickFinder stats",""))</f>
        <v/>
      </c>
      <c r="AR18" s="0" t="str">
        <f aca="false">IF($C18=Board!$B$2,COUNTIFS($C$2:$C$124,Board!$B$2,$AL$2:$AL$124,"&gt;"&amp;$AL18)+COUNTIFS($C$1:$C17,Board!$B$2,$AL$1:$AL17,$AL18)+1,"")</f>
        <v/>
      </c>
      <c r="AS18" s="0" t="str">
        <f aca="false">IFERROR(IF($D18=INDEX(Matches!$AD$5:$AD$19,MATCH($C18,Matches!$A$5:$A$19,0)),"A",IF($D18=INDEX(Matches!$AE$5:$AE$19,MATCH($C18,Matches!$A$5:$A$19,0)),"B","")),"")</f>
        <v>A</v>
      </c>
      <c r="AT18" s="10" t="n">
        <f aca="false">IF($AS18="","",IFERROR(IF($AS18="A",INDEX(Matches!$AI$5:$AI$19,MATCH($C18,Matches!$A$5:$A$19,0)),INDEX(Matches!$AJ$5:$AJ$19,MATCH($C18,Matches!$A$5:$A$19,0))),""))</f>
        <v>0.535025749152271</v>
      </c>
      <c r="AU18" s="10" t="str">
        <f aca="false">IF($AS18="","",IFERROR(IF(INDEX(Matches!$AP$5:$AP$19,MATCH($C18,Matches!$A$5:$A$19,0))="","",IF($AS18="A",INDEX(Matches!$AP$5:$AP$19,MATCH($C18,Matches!$A$5:$A$19,0)),1-INDEX(Matches!$AP$5:$AP$19,MATCH($C18,Matches!$A$5:$A$19,0)))),""))</f>
        <v/>
      </c>
      <c r="AV18" s="13" t="n">
        <f aca="false">IF(OR($AU18="",$AT18=""),1,((Config!$B$14*$AU18+Config!$B$15*(1-$AU18))/(Config!$B$14*$AT18+Config!$B$15*(1-$AT18)))^Config!$B$13)</f>
        <v>1</v>
      </c>
      <c r="AW18" s="10" t="str">
        <f aca="false">IF($AS18="","",IFERROR(IF(INDEX(Matches!$AV$5:$AV$19,MATCH($C18,Matches!$A$5:$A$19,0))="","",IF($AS18="A",INDEX(Matches!$AV$5:$AV$19,MATCH($C18,Matches!$A$5:$A$19,0)),1-INDEX(Matches!$AV$5:$AV$19,MATCH($C18,Matches!$A$5:$A$19,0)))),""))</f>
        <v/>
      </c>
      <c r="AX18" s="13" t="n">
        <f aca="false">IF(OR($AW18="",$AT18=""),1,((Config!$B$14*$AW18+Config!$B$15*(1-$AW18))/(Config!$B$14*$AT18+Config!$B$15*(1-$AT18)))^Config!$B$13)</f>
        <v>1</v>
      </c>
      <c r="AY18" s="10" t="str">
        <f aca="false">IF($AS18="","",IFERROR(IF(INDEX(Matches!$BB$5:$BB$19,MATCH($C18,Matches!$A$5:$A$19,0))="","",IF($AS18="A",INDEX(Matches!$BB$5:$BB$19,MATCH($C18,Matches!$A$5:$A$19,0)),1-INDEX(Matches!$BB$5:$BB$19,MATCH($C18,Matches!$A$5:$A$19,0)))),""))</f>
        <v/>
      </c>
      <c r="AZ18" s="13" t="n">
        <f aca="false">IF(OR($AY18="",$AT18=""),1,((Config!$B$14*$AY18+Config!$B$15*(1-$AY18))/(Config!$B$14*$AT18+Config!$B$15*(1-$AT18)))^Config!$B$13)</f>
        <v>1</v>
      </c>
      <c r="BA18" s="17" t="n">
        <f aca="false">IF(V18="","",V18*$AV18)</f>
        <v>14.8588888888889</v>
      </c>
      <c r="BB18" s="17" t="n">
        <f aca="false">IF(AC18="","",AC18*$AX18)</f>
        <v>14.3333333333333</v>
      </c>
      <c r="BC18" s="17" t="n">
        <f aca="false">IF(AJ18="","",AJ18*$AZ18)</f>
        <v>15.6054166666667</v>
      </c>
      <c r="BD18" s="17" t="n">
        <f aca="false">N(BA18)+N(BB18)</f>
        <v>29.1922222222222</v>
      </c>
      <c r="BE18" s="17" t="n">
        <f aca="false">BD18+N($M18)*N(BC18)</f>
        <v>29.1922222222222</v>
      </c>
      <c r="BF18" s="17" t="n">
        <f aca="false">IF(W18="","",W18*$AV18)</f>
        <v>9.30744290123457</v>
      </c>
      <c r="BG18" s="17" t="n">
        <f aca="false">IF(AD18="","",AD18*$AX18)</f>
        <v>8.86437037037037</v>
      </c>
      <c r="BH18" s="17" t="n">
        <f aca="false">IF(AK18="","",AK18*$AZ18)</f>
        <v>9.7494840625</v>
      </c>
      <c r="BI18" s="17" t="n">
        <f aca="false">IF(BF18="","",N(BF18)+N(BG18))</f>
        <v>18.1718132716049</v>
      </c>
      <c r="BJ18" s="17" t="n">
        <f aca="false">IF(BI18="","",BI18+N($M18)*N(BH18))</f>
        <v>18.1718132716049</v>
      </c>
      <c r="BK18" s="13" t="n">
        <f aca="false">IFERROR(BD18/AL18,1)</f>
        <v>1</v>
      </c>
    </row>
    <row r="19" customFormat="false" ht="15" hidden="false" customHeight="false" outlineLevel="0" collapsed="false">
      <c r="A19" s="0" t="s">
        <v>1153</v>
      </c>
      <c r="B19" s="0" t="s">
        <v>988</v>
      </c>
      <c r="C19" s="0" t="s">
        <v>1041</v>
      </c>
      <c r="D19" s="0" t="s">
        <v>1045</v>
      </c>
      <c r="E19" s="0" t="s">
        <v>1151</v>
      </c>
      <c r="F19" s="0" t="s">
        <v>1472</v>
      </c>
      <c r="G19" s="0" t="str">
        <f aca="false">IFERROR(IF(INDEX(Matches!$W$5:$W$19,MATCH($C19,Matches!$A$5:$A$19,0))="","",INDEX(Matches!$W$5:$W$19,MATCH($C19,Matches!$A$5:$A$19,0))),"")</f>
        <v>Mirage</v>
      </c>
      <c r="H19" s="0" t="str">
        <f aca="false">IFERROR(IF(INDEX(Matches!$X$5:$X$19,MATCH($C19,Matches!$A$5:$A$19,0))="","",INDEX(Matches!$X$5:$X$19,MATCH($C19,Matches!$A$5:$A$19,0))),"")</f>
        <v>Inferno</v>
      </c>
      <c r="I19" s="0" t="str">
        <f aca="false">IFERROR(IF(INDEX(Matches!$Y$5:$Y$19,MATCH($C19,Matches!$A$5:$A$19,0))="","",INDEX(Matches!$Y$5:$Y$19,MATCH($C19,Matches!$A$5:$A$19,0))),"")</f>
        <v>Dust2</v>
      </c>
      <c r="J19" s="11" t="n">
        <f aca="false">IFERROR(IF(INDEX(Matches!$Z$5:$Z$19,MATCH($C19,Matches!$A$5:$A$19,0))="","",INDEX(Matches!$Z$5:$Z$19,MATCH($C19,Matches!$A$5:$A$19,0))),"")</f>
        <v>21.42</v>
      </c>
      <c r="K19" s="11" t="n">
        <f aca="false">IFERROR(IF(INDEX(Matches!$AA$5:$AA$19,MATCH($C19,Matches!$A$5:$A$19,0))="","",INDEX(Matches!$AA$5:$AA$19,MATCH($C19,Matches!$A$5:$A$19,0))),"")</f>
        <v>21.5</v>
      </c>
      <c r="L19" s="11" t="n">
        <f aca="false">IFERROR(IF(INDEX(Matches!$AB$5:$AB$19,MATCH($C19,Matches!$A$5:$A$19,0))="","",INDEX(Matches!$AB$5:$AB$19,MATCH($C19,Matches!$A$5:$A$19,0))),"")</f>
        <v>21.5</v>
      </c>
      <c r="M19" s="10" t="n">
        <f aca="false">IFERROR(IF(INDEX(Matches!$AC$5:$AC$19,MATCH($C19,Matches!$A$5:$A$19,0))="","",INDEX(Matches!$AC$5:$AC$19,MATCH($C19,Matches!$A$5:$A$19,0))),"")</f>
        <v>0.5006</v>
      </c>
      <c r="N19" s="9" t="n">
        <f aca="false">IFERROR(INDEX(Players!$F$2:$F$124,MATCH($F19,Players!$A$2:$A$124,0)),0)</f>
        <v>38</v>
      </c>
      <c r="O19" s="13" t="n">
        <f aca="false">IFERROR(1/(1/INDEX(Players!$H$2:$H$124,MATCH($F19,Players!$A$2:$A$124,0))),"")</f>
        <v>0.68</v>
      </c>
      <c r="P19" s="10" t="n">
        <f aca="false">IFERROR(1/(1/INDEX(Players!$I$2:$I$124,MATCH($F19,Players!$A$2:$A$124,0))),"")</f>
        <v>0.576</v>
      </c>
      <c r="Q19" s="9" t="n">
        <f aca="false">IF($G19="",0,SUMIFS(Map_Stats!$F$2:$F$779,Map_Stats!$A$2:$A$779,$F19&amp;"|"&amp;$G19))</f>
        <v>7</v>
      </c>
      <c r="R19" s="13" t="n">
        <f aca="false">IF($G19="","",IFERROR(1/(1/INDEX(Map_Stats!$K$2:$K$779,MATCH($F19&amp;"|"&amp;$G19,Map_Stats!$A$2:$A$779,0))),$O19))</f>
        <v>0.56</v>
      </c>
      <c r="S19" s="10" t="n">
        <f aca="false">IF(OR($G19="",$P19=""),"",IFERROR(1/(1/INDEX(Map_Stats!$I$2:$I$779,MATCH($F19&amp;"|"&amp;$G19,Map_Stats!$A$2:$A$779,0))),$P19))</f>
        <v>0.519</v>
      </c>
      <c r="T19" s="13" t="n">
        <f aca="false">IF(OR($G19="",R19=""),"",IF($O19="",R19,(Q19*R19+Config!$B$4*$O19)/(Q19+Config!$B$4)))</f>
        <v>0.61</v>
      </c>
      <c r="U19" s="10" t="n">
        <f aca="false">IF(S19="","",(Q19*S19+Config!$B$4*$P19)/(Q19+Config!$B$4))</f>
        <v>0.54275</v>
      </c>
      <c r="V19" s="17" t="n">
        <f aca="false">IF(OR(T19="",$J19=""),"",T19*$J19*($J19/Config!$B$10)^Config!$B$9)</f>
        <v>13.0662</v>
      </c>
      <c r="W19" s="17" t="n">
        <f aca="false">IF(OR(V19="",U19=""),"",V19*U19)</f>
        <v>7.09168005</v>
      </c>
      <c r="X19" s="9" t="n">
        <f aca="false">IF($H19="",0,SUMIFS(Map_Stats!$F$2:$F$779,Map_Stats!$A$2:$A$779,$F19&amp;"|"&amp;$H19))</f>
        <v>6</v>
      </c>
      <c r="Y19" s="13" t="n">
        <f aca="false">IF($H19="","",IFERROR(1/(1/INDEX(Map_Stats!$K$2:$K$779,MATCH($F19&amp;"|"&amp;$H19,Map_Stats!$A$2:$A$779,0))),$O19))</f>
        <v>0.7</v>
      </c>
      <c r="Z19" s="10" t="n">
        <f aca="false">IF(OR($H19="",$P19=""),"",IFERROR(1/(1/INDEX(Map_Stats!$I$2:$I$779,MATCH($F19&amp;"|"&amp;$H19,Map_Stats!$A$2:$A$779,0))),$P19))</f>
        <v>0.571</v>
      </c>
      <c r="AA19" s="13" t="n">
        <f aca="false">IF(OR($H19="",Y19=""),"",IF($O19="",Y19,(X19*Y19+Config!$B$4*$O19)/(X19+Config!$B$4)))</f>
        <v>0.690909090909091</v>
      </c>
      <c r="AB19" s="10" t="n">
        <f aca="false">IF(Z19="","",(X19*Z19+Config!$B$4*$P19)/(X19+Config!$B$4))</f>
        <v>0.573272727272727</v>
      </c>
      <c r="AC19" s="17" t="n">
        <f aca="false">IF(OR(AA19="",$K19=""),"",AA19*$K19*($K19/Config!$B$10)^Config!$B$9)</f>
        <v>14.8545454545455</v>
      </c>
      <c r="AD19" s="17" t="n">
        <f aca="false">IF(OR(AC19="",AB19=""),"",AC19*AB19)</f>
        <v>8.51570578512397</v>
      </c>
      <c r="AE19" s="9" t="n">
        <f aca="false">IF($I19="",0,SUMIFS(Map_Stats!$F$2:$F$779,Map_Stats!$A$2:$A$779,$F19&amp;"|"&amp;$I19))</f>
        <v>8</v>
      </c>
      <c r="AF19" s="13" t="n">
        <f aca="false">IF($I19="","",IFERROR(1/(1/INDEX(Map_Stats!$K$2:$K$779,MATCH($F19&amp;"|"&amp;$I19,Map_Stats!$A$2:$A$779,0))),$O19))</f>
        <v>0.73</v>
      </c>
      <c r="AG19" s="10" t="n">
        <f aca="false">IF(OR($I19="",$P19=""),"",IFERROR(1/(1/INDEX(Map_Stats!$I$2:$I$779,MATCH($F19&amp;"|"&amp;$I19,Map_Stats!$A$2:$A$779,0))),$P19))</f>
        <v>0.606</v>
      </c>
      <c r="AH19" s="13" t="n">
        <f aca="false">IF(OR($I19="",AF19=""),"",IF($O19="",AF19,(AE19*AF19+Config!$B$4*$O19)/(AE19+Config!$B$4)))</f>
        <v>0.710769230769231</v>
      </c>
      <c r="AI19" s="10" t="n">
        <f aca="false">IF(AG19="","",(AE19*AG19+Config!$B$4*$P19)/(AE19+Config!$B$4))</f>
        <v>0.594461538461539</v>
      </c>
      <c r="AJ19" s="17" t="n">
        <f aca="false">IF(OR(AH19="",$L19=""),"",AH19*$L19*($L19/Config!$B$10)^Config!$B$9)</f>
        <v>15.2815384615385</v>
      </c>
      <c r="AK19" s="17" t="n">
        <f aca="false">IF(OR(AJ19="",AI19=""),"",AJ19*AI19)</f>
        <v>9.08428686390533</v>
      </c>
      <c r="AL19" s="17" t="n">
        <f aca="false">N(V19)+N(AC19)</f>
        <v>27.9207454545455</v>
      </c>
      <c r="AM19" s="17" t="n">
        <f aca="false">AL19+N($M19)*N(AJ19)</f>
        <v>35.5706836083916</v>
      </c>
      <c r="AN19" s="17" t="n">
        <f aca="false">IF(W19="","",N(W19)+N(AD19))</f>
        <v>15.607385835124</v>
      </c>
      <c r="AO19" s="17" t="n">
        <f aca="false">IF(AN19="","",AN19+N($M19)*N(AK19))</f>
        <v>20.154979839195</v>
      </c>
      <c r="AP19" s="10" t="n">
        <f aca="false">IFERROR(AN19/AL19,"")</f>
        <v>0.558988865842875</v>
      </c>
      <c r="AQ19" s="0" t="str">
        <f aca="false">TRIM(IF($N19&lt;Config!$B$12,"thin sample ("&amp;$N19&amp;" maps) · ","")&amp;IF(AND($G19&lt;&gt;"",Q19=0),"M1 unplayed→overall KPR · ","")&amp;IF(AND($H19&lt;&gt;"",X19=0),"M2 unplayed→overall KPR · ","")&amp;IF($O19="","no PickFinder stats",""))</f>
        <v/>
      </c>
      <c r="AR19" s="0" t="str">
        <f aca="false">IF($C19=Board!$B$2,COUNTIFS($C$2:$C$124,Board!$B$2,$AL$2:$AL$124,"&gt;"&amp;$AL19)+COUNTIFS($C$1:$C18,Board!$B$2,$AL$1:$AL18,$AL19)+1,"")</f>
        <v/>
      </c>
      <c r="AS19" s="0" t="str">
        <f aca="false">IFERROR(IF($D19=INDEX(Matches!$AD$5:$AD$19,MATCH($C19,Matches!$A$5:$A$19,0)),"A",IF($D19=INDEX(Matches!$AE$5:$AE$19,MATCH($C19,Matches!$A$5:$A$19,0)),"B","")),"")</f>
        <v>A</v>
      </c>
      <c r="AT19" s="10" t="n">
        <f aca="false">IF($AS19="","",IFERROR(IF($AS19="A",INDEX(Matches!$AI$5:$AI$19,MATCH($C19,Matches!$A$5:$A$19,0)),INDEX(Matches!$AJ$5:$AJ$19,MATCH($C19,Matches!$A$5:$A$19,0))),""))</f>
        <v>0.528713473214357</v>
      </c>
      <c r="AU19" s="10" t="n">
        <f aca="false">IF($AS19="","",IFERROR(IF(INDEX(Matches!$AP$5:$AP$19,MATCH($C19,Matches!$A$5:$A$19,0))="","",IF($AS19="A",INDEX(Matches!$AP$5:$AP$19,MATCH($C19,Matches!$A$5:$A$19,0)),1-INDEX(Matches!$AP$5:$AP$19,MATCH($C19,Matches!$A$5:$A$19,0)))),""))</f>
        <v>0.51306167203038</v>
      </c>
      <c r="AV19" s="13" t="n">
        <f aca="false">IF(OR($AU19="",$AT19=""),1,((Config!$B$14*$AU19+Config!$B$15*(1-$AU19))/(Config!$B$14*$AT19+Config!$B$15*(1-$AT19)))^Config!$B$13)</f>
        <v>0.986363188916667</v>
      </c>
      <c r="AW19" s="10" t="n">
        <f aca="false">IF($AS19="","",IFERROR(IF(INDEX(Matches!$AV$5:$AV$19,MATCH($C19,Matches!$A$5:$A$19,0))="","",IF($AS19="A",INDEX(Matches!$AV$5:$AV$19,MATCH($C19,Matches!$A$5:$A$19,0)),1-INDEX(Matches!$AV$5:$AV$19,MATCH($C19,Matches!$A$5:$A$19,0)))),""))</f>
        <v>0.529882747427962</v>
      </c>
      <c r="AX19" s="13" t="n">
        <f aca="false">IF(OR($AW19="",$AT19=""),1,((Config!$B$14*$AW19+Config!$B$15*(1-$AW19))/(Config!$B$14*$AT19+Config!$B$15*(1-$AT19)))^Config!$B$13)</f>
        <v>1.00101874355342</v>
      </c>
      <c r="AY19" s="10" t="n">
        <f aca="false">IF($AS19="","",IFERROR(IF(INDEX(Matches!$BB$5:$BB$19,MATCH($C19,Matches!$A$5:$A$19,0))="","",IF($AS19="A",INDEX(Matches!$BB$5:$BB$19,MATCH($C19,Matches!$A$5:$A$19,0)),1-INDEX(Matches!$BB$5:$BB$19,MATCH($C19,Matches!$A$5:$A$19,0)))),""))</f>
        <v>0.48920009494422</v>
      </c>
      <c r="AZ19" s="13" t="n">
        <f aca="false">IF(OR($AY19="",$AT19=""),1,((Config!$B$14*$AY19+Config!$B$15*(1-$AY19))/(Config!$B$14*$AT19+Config!$B$15*(1-$AT19)))^Config!$B$13)</f>
        <v>0.965573516530113</v>
      </c>
      <c r="BA19" s="17" t="n">
        <f aca="false">IF(V19="","",V19*$AV19)</f>
        <v>12.888018699023</v>
      </c>
      <c r="BB19" s="17" t="n">
        <f aca="false">IF(AC19="","",AC19*$AX19)</f>
        <v>14.8696784269662</v>
      </c>
      <c r="BC19" s="17" t="n">
        <f aca="false">IF(AJ19="","",AJ19*$AZ19)</f>
        <v>14.7554488302979</v>
      </c>
      <c r="BD19" s="17" t="n">
        <f aca="false">N(BA19)+N(BB19)</f>
        <v>27.7576971259892</v>
      </c>
      <c r="BE19" s="17" t="n">
        <f aca="false">BD19+N($M19)*N(BC19)</f>
        <v>35.1442748104363</v>
      </c>
      <c r="BF19" s="17" t="n">
        <f aca="false">IF(W19="","",W19*$AV19)</f>
        <v>6.99497214889471</v>
      </c>
      <c r="BG19" s="17" t="n">
        <f aca="false">IF(AD19="","",AD19*$AX19)</f>
        <v>8.52438110549536</v>
      </c>
      <c r="BH19" s="17" t="n">
        <f aca="false">IF(AK19="","",AK19*$AZ19)</f>
        <v>8.77154681234938</v>
      </c>
      <c r="BI19" s="17" t="n">
        <f aca="false">IF(BF19="","",N(BF19)+N(BG19))</f>
        <v>15.5193532543901</v>
      </c>
      <c r="BJ19" s="17" t="n">
        <f aca="false">IF(BI19="","",BI19+N($M19)*N(BH19))</f>
        <v>19.9103895886522</v>
      </c>
      <c r="BK19" s="13" t="n">
        <f aca="false">IFERROR(BD19/AL19,1)</f>
        <v>0.994160316069579</v>
      </c>
    </row>
    <row r="20" customFormat="false" ht="15" hidden="false" customHeight="false" outlineLevel="0" collapsed="false">
      <c r="A20" s="0" t="s">
        <v>1157</v>
      </c>
      <c r="B20" s="0" t="s">
        <v>988</v>
      </c>
      <c r="C20" s="0" t="s">
        <v>1041</v>
      </c>
      <c r="D20" s="0" t="s">
        <v>1045</v>
      </c>
      <c r="E20" s="0" t="s">
        <v>1155</v>
      </c>
      <c r="F20" s="0" t="s">
        <v>1473</v>
      </c>
      <c r="G20" s="0" t="str">
        <f aca="false">IFERROR(IF(INDEX(Matches!$W$5:$W$19,MATCH($C20,Matches!$A$5:$A$19,0))="","",INDEX(Matches!$W$5:$W$19,MATCH($C20,Matches!$A$5:$A$19,0))),"")</f>
        <v>Mirage</v>
      </c>
      <c r="H20" s="0" t="str">
        <f aca="false">IFERROR(IF(INDEX(Matches!$X$5:$X$19,MATCH($C20,Matches!$A$5:$A$19,0))="","",INDEX(Matches!$X$5:$X$19,MATCH($C20,Matches!$A$5:$A$19,0))),"")</f>
        <v>Inferno</v>
      </c>
      <c r="I20" s="0" t="str">
        <f aca="false">IFERROR(IF(INDEX(Matches!$Y$5:$Y$19,MATCH($C20,Matches!$A$5:$A$19,0))="","",INDEX(Matches!$Y$5:$Y$19,MATCH($C20,Matches!$A$5:$A$19,0))),"")</f>
        <v>Dust2</v>
      </c>
      <c r="J20" s="11" t="n">
        <f aca="false">IFERROR(IF(INDEX(Matches!$Z$5:$Z$19,MATCH($C20,Matches!$A$5:$A$19,0))="","",INDEX(Matches!$Z$5:$Z$19,MATCH($C20,Matches!$A$5:$A$19,0))),"")</f>
        <v>21.42</v>
      </c>
      <c r="K20" s="11" t="n">
        <f aca="false">IFERROR(IF(INDEX(Matches!$AA$5:$AA$19,MATCH($C20,Matches!$A$5:$A$19,0))="","",INDEX(Matches!$AA$5:$AA$19,MATCH($C20,Matches!$A$5:$A$19,0))),"")</f>
        <v>21.5</v>
      </c>
      <c r="L20" s="11" t="n">
        <f aca="false">IFERROR(IF(INDEX(Matches!$AB$5:$AB$19,MATCH($C20,Matches!$A$5:$A$19,0))="","",INDEX(Matches!$AB$5:$AB$19,MATCH($C20,Matches!$A$5:$A$19,0))),"")</f>
        <v>21.5</v>
      </c>
      <c r="M20" s="10" t="n">
        <f aca="false">IFERROR(IF(INDEX(Matches!$AC$5:$AC$19,MATCH($C20,Matches!$A$5:$A$19,0))="","",INDEX(Matches!$AC$5:$AC$19,MATCH($C20,Matches!$A$5:$A$19,0))),"")</f>
        <v>0.5006</v>
      </c>
      <c r="N20" s="9" t="n">
        <f aca="false">IFERROR(INDEX(Players!$F$2:$F$124,MATCH($F20,Players!$A$2:$A$124,0)),0)</f>
        <v>38</v>
      </c>
      <c r="O20" s="13" t="n">
        <f aca="false">IFERROR(1/(1/INDEX(Players!$H$2:$H$124,MATCH($F20,Players!$A$2:$A$124,0))),"")</f>
        <v>0.51</v>
      </c>
      <c r="P20" s="10" t="n">
        <f aca="false">IFERROR(1/(1/INDEX(Players!$I$2:$I$124,MATCH($F20,Players!$A$2:$A$124,0))),"")</f>
        <v>0.576</v>
      </c>
      <c r="Q20" s="9" t="n">
        <f aca="false">IF($G20="",0,SUMIFS(Map_Stats!$F$2:$F$779,Map_Stats!$A$2:$A$779,$F20&amp;"|"&amp;$G20))</f>
        <v>7</v>
      </c>
      <c r="R20" s="13" t="n">
        <f aca="false">IF($G20="","",IFERROR(1/(1/INDEX(Map_Stats!$K$2:$K$779,MATCH($F20&amp;"|"&amp;$G20,Map_Stats!$A$2:$A$779,0))),$O20))</f>
        <v>0.56</v>
      </c>
      <c r="S20" s="10" t="n">
        <f aca="false">IF(OR($G20="",$P20=""),"",IFERROR(1/(1/INDEX(Map_Stats!$I$2:$I$779,MATCH($F20&amp;"|"&amp;$G20,Map_Stats!$A$2:$A$779,0))),$P20))</f>
        <v>0.577</v>
      </c>
      <c r="T20" s="13" t="n">
        <f aca="false">IF(OR($G20="",R20=""),"",IF($O20="",R20,(Q20*R20+Config!$B$4*$O20)/(Q20+Config!$B$4)))</f>
        <v>0.539166666666667</v>
      </c>
      <c r="U20" s="10" t="n">
        <f aca="false">IF(S20="","",(Q20*S20+Config!$B$4*$P20)/(Q20+Config!$B$4))</f>
        <v>0.576583333333333</v>
      </c>
      <c r="V20" s="17" t="n">
        <f aca="false">IF(OR(T20="",$J20=""),"",T20*$J20*($J20/Config!$B$10)^Config!$B$9)</f>
        <v>11.54895</v>
      </c>
      <c r="W20" s="17" t="n">
        <f aca="false">IF(OR(V20="",U20=""),"",V20*U20)</f>
        <v>6.6589320875</v>
      </c>
      <c r="X20" s="9" t="n">
        <f aca="false">IF($H20="",0,SUMIFS(Map_Stats!$F$2:$F$779,Map_Stats!$A$2:$A$779,$F20&amp;"|"&amp;$H20))</f>
        <v>6</v>
      </c>
      <c r="Y20" s="13" t="n">
        <f aca="false">IF($H20="","",IFERROR(1/(1/INDEX(Map_Stats!$K$2:$K$779,MATCH($F20&amp;"|"&amp;$H20,Map_Stats!$A$2:$A$779,0))),$O20))</f>
        <v>0.49</v>
      </c>
      <c r="Z20" s="10" t="n">
        <f aca="false">IF(OR($H20="",$P20=""),"",IFERROR(1/(1/INDEX(Map_Stats!$I$2:$I$779,MATCH($F20&amp;"|"&amp;$H20,Map_Stats!$A$2:$A$779,0))),$P20))</f>
        <v>0.618</v>
      </c>
      <c r="AA20" s="13" t="n">
        <f aca="false">IF(OR($H20="",Y20=""),"",IF($O20="",Y20,(X20*Y20+Config!$B$4*$O20)/(X20+Config!$B$4)))</f>
        <v>0.499090909090909</v>
      </c>
      <c r="AB20" s="10" t="n">
        <f aca="false">IF(Z20="","",(X20*Z20+Config!$B$4*$P20)/(X20+Config!$B$4))</f>
        <v>0.598909090909091</v>
      </c>
      <c r="AC20" s="17" t="n">
        <f aca="false">IF(OR(AA20="",$K20=""),"",AA20*$K20*($K20/Config!$B$10)^Config!$B$9)</f>
        <v>10.7304545454545</v>
      </c>
      <c r="AD20" s="17" t="n">
        <f aca="false">IF(OR(AC20="",AB20=""),"",AC20*AB20)</f>
        <v>6.42656677685951</v>
      </c>
      <c r="AE20" s="9" t="n">
        <f aca="false">IF($I20="",0,SUMIFS(Map_Stats!$F$2:$F$779,Map_Stats!$A$2:$A$779,$F20&amp;"|"&amp;$I20))</f>
        <v>8</v>
      </c>
      <c r="AF20" s="13" t="n">
        <f aca="false">IF($I20="","",IFERROR(1/(1/INDEX(Map_Stats!$K$2:$K$779,MATCH($F20&amp;"|"&amp;$I20,Map_Stats!$A$2:$A$779,0))),$O20))</f>
        <v>0.48</v>
      </c>
      <c r="AG20" s="10" t="n">
        <f aca="false">IF(OR($I20="",$P20=""),"",IFERROR(1/(1/INDEX(Map_Stats!$I$2:$I$779,MATCH($F20&amp;"|"&amp;$I20,Map_Stats!$A$2:$A$779,0))),$P20))</f>
        <v>0.529</v>
      </c>
      <c r="AH20" s="13" t="n">
        <f aca="false">IF(OR($I20="",AF20=""),"",IF($O20="",AF20,(AE20*AF20+Config!$B$4*$O20)/(AE20+Config!$B$4)))</f>
        <v>0.491538461538462</v>
      </c>
      <c r="AI20" s="10" t="n">
        <f aca="false">IF(AG20="","",(AE20*AG20+Config!$B$4*$P20)/(AE20+Config!$B$4))</f>
        <v>0.547076923076923</v>
      </c>
      <c r="AJ20" s="17" t="n">
        <f aca="false">IF(OR(AH20="",$L20=""),"",AH20*$L20*($L20/Config!$B$10)^Config!$B$9)</f>
        <v>10.5680769230769</v>
      </c>
      <c r="AK20" s="17" t="n">
        <f aca="false">IF(OR(AJ20="",AI20=""),"",AJ20*AI20)</f>
        <v>5.78155100591716</v>
      </c>
      <c r="AL20" s="17" t="n">
        <f aca="false">N(V20)+N(AC20)</f>
        <v>22.2794045454545</v>
      </c>
      <c r="AM20" s="17" t="n">
        <f aca="false">AL20+N($M20)*N(AJ20)</f>
        <v>27.5697838531469</v>
      </c>
      <c r="AN20" s="17" t="n">
        <f aca="false">IF(W20="","",N(W20)+N(AD20))</f>
        <v>13.0854988643595</v>
      </c>
      <c r="AO20" s="17" t="n">
        <f aca="false">IF(AN20="","",AN20+N($M20)*N(AK20))</f>
        <v>15.9797432979216</v>
      </c>
      <c r="AP20" s="10" t="n">
        <f aca="false">IFERROR(AN20/AL20,"")</f>
        <v>0.587336112940649</v>
      </c>
      <c r="AQ20" s="0" t="str">
        <f aca="false">TRIM(IF($N20&lt;Config!$B$12,"thin sample ("&amp;$N20&amp;" maps) · ","")&amp;IF(AND($G20&lt;&gt;"",Q20=0),"M1 unplayed→overall KPR · ","")&amp;IF(AND($H20&lt;&gt;"",X20=0),"M2 unplayed→overall KPR · ","")&amp;IF($O20="","no PickFinder stats",""))</f>
        <v/>
      </c>
      <c r="AR20" s="0" t="str">
        <f aca="false">IF($C20=Board!$B$2,COUNTIFS($C$2:$C$124,Board!$B$2,$AL$2:$AL$124,"&gt;"&amp;$AL20)+COUNTIFS($C$1:$C19,Board!$B$2,$AL$1:$AL19,$AL20)+1,"")</f>
        <v/>
      </c>
      <c r="AS20" s="0" t="str">
        <f aca="false">IFERROR(IF($D20=INDEX(Matches!$AD$5:$AD$19,MATCH($C20,Matches!$A$5:$A$19,0)),"A",IF($D20=INDEX(Matches!$AE$5:$AE$19,MATCH($C20,Matches!$A$5:$A$19,0)),"B","")),"")</f>
        <v>A</v>
      </c>
      <c r="AT20" s="10" t="n">
        <f aca="false">IF($AS20="","",IFERROR(IF($AS20="A",INDEX(Matches!$AI$5:$AI$19,MATCH($C20,Matches!$A$5:$A$19,0)),INDEX(Matches!$AJ$5:$AJ$19,MATCH($C20,Matches!$A$5:$A$19,0))),""))</f>
        <v>0.528713473214357</v>
      </c>
      <c r="AU20" s="10" t="n">
        <f aca="false">IF($AS20="","",IFERROR(IF(INDEX(Matches!$AP$5:$AP$19,MATCH($C20,Matches!$A$5:$A$19,0))="","",IF($AS20="A",INDEX(Matches!$AP$5:$AP$19,MATCH($C20,Matches!$A$5:$A$19,0)),1-INDEX(Matches!$AP$5:$AP$19,MATCH($C20,Matches!$A$5:$A$19,0)))),""))</f>
        <v>0.51306167203038</v>
      </c>
      <c r="AV20" s="13" t="n">
        <f aca="false">IF(OR($AU20="",$AT20=""),1,((Config!$B$14*$AU20+Config!$B$15*(1-$AU20))/(Config!$B$14*$AT20+Config!$B$15*(1-$AT20)))^Config!$B$13)</f>
        <v>0.986363188916667</v>
      </c>
      <c r="AW20" s="10" t="n">
        <f aca="false">IF($AS20="","",IFERROR(IF(INDEX(Matches!$AV$5:$AV$19,MATCH($C20,Matches!$A$5:$A$19,0))="","",IF($AS20="A",INDEX(Matches!$AV$5:$AV$19,MATCH($C20,Matches!$A$5:$A$19,0)),1-INDEX(Matches!$AV$5:$AV$19,MATCH($C20,Matches!$A$5:$A$19,0)))),""))</f>
        <v>0.529882747427962</v>
      </c>
      <c r="AX20" s="13" t="n">
        <f aca="false">IF(OR($AW20="",$AT20=""),1,((Config!$B$14*$AW20+Config!$B$15*(1-$AW20))/(Config!$B$14*$AT20+Config!$B$15*(1-$AT20)))^Config!$B$13)</f>
        <v>1.00101874355342</v>
      </c>
      <c r="AY20" s="10" t="n">
        <f aca="false">IF($AS20="","",IFERROR(IF(INDEX(Matches!$BB$5:$BB$19,MATCH($C20,Matches!$A$5:$A$19,0))="","",IF($AS20="A",INDEX(Matches!$BB$5:$BB$19,MATCH($C20,Matches!$A$5:$A$19,0)),1-INDEX(Matches!$BB$5:$BB$19,MATCH($C20,Matches!$A$5:$A$19,0)))),""))</f>
        <v>0.48920009494422</v>
      </c>
      <c r="AZ20" s="13" t="n">
        <f aca="false">IF(OR($AY20="",$AT20=""),1,((Config!$B$14*$AY20+Config!$B$15*(1-$AY20))/(Config!$B$14*$AT20+Config!$B$15*(1-$AT20)))^Config!$B$13)</f>
        <v>0.965573516530113</v>
      </c>
      <c r="BA20" s="17" t="n">
        <f aca="false">IF(V20="","",V20*$AV20)</f>
        <v>11.3914591506391</v>
      </c>
      <c r="BB20" s="17" t="n">
        <f aca="false">IF(AC20="","",AC20*$AX20)</f>
        <v>10.741386126848</v>
      </c>
      <c r="BC20" s="17" t="n">
        <f aca="false">IF(AJ20="","",AJ20*$AZ20)</f>
        <v>10.2042551975761</v>
      </c>
      <c r="BD20" s="17" t="n">
        <f aca="false">N(BA20)+N(BB20)</f>
        <v>22.1328452774871</v>
      </c>
      <c r="BE20" s="17" t="n">
        <f aca="false">BD20+N($M20)*N(BC20)</f>
        <v>27.2410954293937</v>
      </c>
      <c r="BF20" s="17" t="n">
        <f aca="false">IF(W20="","",W20*$AV20)</f>
        <v>6.56812548860602</v>
      </c>
      <c r="BG20" s="17" t="n">
        <f aca="false">IF(AD20="","",AD20*$AX20)</f>
        <v>6.43311380033404</v>
      </c>
      <c r="BH20" s="17" t="n">
        <f aca="false">IF(AK20="","",AK20*$AZ20)</f>
        <v>5.58251253578164</v>
      </c>
      <c r="BI20" s="17" t="n">
        <f aca="false">IF(BF20="","",N(BF20)+N(BG20))</f>
        <v>13.0012392889401</v>
      </c>
      <c r="BJ20" s="17" t="n">
        <f aca="false">IF(BI20="","",BI20+N($M20)*N(BH20))</f>
        <v>15.7958450643523</v>
      </c>
      <c r="BK20" s="13" t="n">
        <f aca="false">IFERROR(BD20/AL20,1)</f>
        <v>0.993421760098281</v>
      </c>
    </row>
    <row r="21" customFormat="false" ht="15" hidden="false" customHeight="false" outlineLevel="0" collapsed="false">
      <c r="A21" s="0" t="s">
        <v>1161</v>
      </c>
      <c r="B21" s="0" t="s">
        <v>988</v>
      </c>
      <c r="C21" s="0" t="s">
        <v>1041</v>
      </c>
      <c r="D21" s="0" t="s">
        <v>1045</v>
      </c>
      <c r="E21" s="0" t="s">
        <v>1159</v>
      </c>
      <c r="F21" s="0" t="s">
        <v>1474</v>
      </c>
      <c r="G21" s="0" t="str">
        <f aca="false">IFERROR(IF(INDEX(Matches!$W$5:$W$19,MATCH($C21,Matches!$A$5:$A$19,0))="","",INDEX(Matches!$W$5:$W$19,MATCH($C21,Matches!$A$5:$A$19,0))),"")</f>
        <v>Mirage</v>
      </c>
      <c r="H21" s="0" t="str">
        <f aca="false">IFERROR(IF(INDEX(Matches!$X$5:$X$19,MATCH($C21,Matches!$A$5:$A$19,0))="","",INDEX(Matches!$X$5:$X$19,MATCH($C21,Matches!$A$5:$A$19,0))),"")</f>
        <v>Inferno</v>
      </c>
      <c r="I21" s="0" t="str">
        <f aca="false">IFERROR(IF(INDEX(Matches!$Y$5:$Y$19,MATCH($C21,Matches!$A$5:$A$19,0))="","",INDEX(Matches!$Y$5:$Y$19,MATCH($C21,Matches!$A$5:$A$19,0))),"")</f>
        <v>Dust2</v>
      </c>
      <c r="J21" s="11" t="n">
        <f aca="false">IFERROR(IF(INDEX(Matches!$Z$5:$Z$19,MATCH($C21,Matches!$A$5:$A$19,0))="","",INDEX(Matches!$Z$5:$Z$19,MATCH($C21,Matches!$A$5:$A$19,0))),"")</f>
        <v>21.42</v>
      </c>
      <c r="K21" s="11" t="n">
        <f aca="false">IFERROR(IF(INDEX(Matches!$AA$5:$AA$19,MATCH($C21,Matches!$A$5:$A$19,0))="","",INDEX(Matches!$AA$5:$AA$19,MATCH($C21,Matches!$A$5:$A$19,0))),"")</f>
        <v>21.5</v>
      </c>
      <c r="L21" s="11" t="n">
        <f aca="false">IFERROR(IF(INDEX(Matches!$AB$5:$AB$19,MATCH($C21,Matches!$A$5:$A$19,0))="","",INDEX(Matches!$AB$5:$AB$19,MATCH($C21,Matches!$A$5:$A$19,0))),"")</f>
        <v>21.5</v>
      </c>
      <c r="M21" s="10" t="n">
        <f aca="false">IFERROR(IF(INDEX(Matches!$AC$5:$AC$19,MATCH($C21,Matches!$A$5:$A$19,0))="","",INDEX(Matches!$AC$5:$AC$19,MATCH($C21,Matches!$A$5:$A$19,0))),"")</f>
        <v>0.5006</v>
      </c>
      <c r="N21" s="9" t="n">
        <f aca="false">IFERROR(INDEX(Players!$F$2:$F$124,MATCH($F21,Players!$A$2:$A$124,0)),0)</f>
        <v>38</v>
      </c>
      <c r="O21" s="13" t="n">
        <f aca="false">IFERROR(1/(1/INDEX(Players!$H$2:$H$124,MATCH($F21,Players!$A$2:$A$124,0))),"")</f>
        <v>0.78</v>
      </c>
      <c r="P21" s="10" t="n">
        <f aca="false">IFERROR(1/(1/INDEX(Players!$I$2:$I$124,MATCH($F21,Players!$A$2:$A$124,0))),"")</f>
        <v>0.548</v>
      </c>
      <c r="Q21" s="9" t="n">
        <f aca="false">IF($G21="",0,SUMIFS(Map_Stats!$F$2:$F$779,Map_Stats!$A$2:$A$779,$F21&amp;"|"&amp;$G21))</f>
        <v>7</v>
      </c>
      <c r="R21" s="13" t="n">
        <f aca="false">IF($G21="","",IFERROR(1/(1/INDEX(Map_Stats!$K$2:$K$779,MATCH($F21&amp;"|"&amp;$G21,Map_Stats!$A$2:$A$779,0))),$O21))</f>
        <v>0.87</v>
      </c>
      <c r="S21" s="10" t="n">
        <f aca="false">IF(OR($G21="",$P21=""),"",IFERROR(1/(1/INDEX(Map_Stats!$I$2:$I$779,MATCH($F21&amp;"|"&amp;$G21,Map_Stats!$A$2:$A$779,0))),$P21))</f>
        <v>0.516</v>
      </c>
      <c r="T21" s="13" t="n">
        <f aca="false">IF(OR($G21="",R21=""),"",IF($O21="",R21,(Q21*R21+Config!$B$4*$O21)/(Q21+Config!$B$4)))</f>
        <v>0.8325</v>
      </c>
      <c r="U21" s="10" t="n">
        <f aca="false">IF(S21="","",(Q21*S21+Config!$B$4*$P21)/(Q21+Config!$B$4))</f>
        <v>0.529333333333333</v>
      </c>
      <c r="V21" s="17" t="n">
        <f aca="false">IF(OR(T21="",$J21=""),"",T21*$J21*($J21/Config!$B$10)^Config!$B$9)</f>
        <v>17.83215</v>
      </c>
      <c r="W21" s="17" t="n">
        <f aca="false">IF(OR(V21="",U21=""),"",V21*U21)</f>
        <v>9.4391514</v>
      </c>
      <c r="X21" s="9" t="n">
        <f aca="false">IF($H21="",0,SUMIFS(Map_Stats!$F$2:$F$779,Map_Stats!$A$2:$A$779,$F21&amp;"|"&amp;$H21))</f>
        <v>6</v>
      </c>
      <c r="Y21" s="13" t="n">
        <f aca="false">IF($H21="","",IFERROR(1/(1/INDEX(Map_Stats!$K$2:$K$779,MATCH($F21&amp;"|"&amp;$H21,Map_Stats!$A$2:$A$779,0))),$O21))</f>
        <v>0.83</v>
      </c>
      <c r="Z21" s="10" t="n">
        <f aca="false">IF(OR($H21="",$P21=""),"",IFERROR(1/(1/INDEX(Map_Stats!$I$2:$I$779,MATCH($F21&amp;"|"&amp;$H21,Map_Stats!$A$2:$A$779,0))),$P21))</f>
        <v>0.603</v>
      </c>
      <c r="AA21" s="13" t="n">
        <f aca="false">IF(OR($H21="",Y21=""),"",IF($O21="",Y21,(X21*Y21+Config!$B$4*$O21)/(X21+Config!$B$4)))</f>
        <v>0.807272727272727</v>
      </c>
      <c r="AB21" s="10" t="n">
        <f aca="false">IF(Z21="","",(X21*Z21+Config!$B$4*$P21)/(X21+Config!$B$4))</f>
        <v>0.578</v>
      </c>
      <c r="AC21" s="17" t="n">
        <f aca="false">IF(OR(AA21="",$K21=""),"",AA21*$K21*($K21/Config!$B$10)^Config!$B$9)</f>
        <v>17.3563636363636</v>
      </c>
      <c r="AD21" s="17" t="n">
        <f aca="false">IF(OR(AC21="",AB21=""),"",AC21*AB21)</f>
        <v>10.0319781818182</v>
      </c>
      <c r="AE21" s="9" t="n">
        <f aca="false">IF($I21="",0,SUMIFS(Map_Stats!$F$2:$F$779,Map_Stats!$A$2:$A$779,$F21&amp;"|"&amp;$I21))</f>
        <v>8</v>
      </c>
      <c r="AF21" s="13" t="n">
        <f aca="false">IF($I21="","",IFERROR(1/(1/INDEX(Map_Stats!$K$2:$K$779,MATCH($F21&amp;"|"&amp;$I21,Map_Stats!$A$2:$A$779,0))),$O21))</f>
        <v>0.72</v>
      </c>
      <c r="AG21" s="10" t="n">
        <f aca="false">IF(OR($I21="",$P21=""),"",IFERROR(1/(1/INDEX(Map_Stats!$I$2:$I$779,MATCH($F21&amp;"|"&amp;$I21,Map_Stats!$A$2:$A$779,0))),$P21))</f>
        <v>0.477</v>
      </c>
      <c r="AH21" s="13" t="n">
        <f aca="false">IF(OR($I21="",AF21=""),"",IF($O21="",AF21,(AE21*AF21+Config!$B$4*$O21)/(AE21+Config!$B$4)))</f>
        <v>0.743076923076923</v>
      </c>
      <c r="AI21" s="10" t="n">
        <f aca="false">IF(AG21="","",(AE21*AG21+Config!$B$4*$P21)/(AE21+Config!$B$4))</f>
        <v>0.504307692307692</v>
      </c>
      <c r="AJ21" s="17" t="n">
        <f aca="false">IF(OR(AH21="",$L21=""),"",AH21*$L21*($L21/Config!$B$10)^Config!$B$9)</f>
        <v>15.9761538461538</v>
      </c>
      <c r="AK21" s="17" t="n">
        <f aca="false">IF(OR(AJ21="",AI21=""),"",AJ21*AI21)</f>
        <v>8.05689727810651</v>
      </c>
      <c r="AL21" s="17" t="n">
        <f aca="false">N(V21)+N(AC21)</f>
        <v>35.1885136363636</v>
      </c>
      <c r="AM21" s="17" t="n">
        <f aca="false">AL21+N($M21)*N(AJ21)</f>
        <v>43.1861762517483</v>
      </c>
      <c r="AN21" s="17" t="n">
        <f aca="false">IF(W21="","",N(W21)+N(AD21))</f>
        <v>19.4711295818182</v>
      </c>
      <c r="AO21" s="17" t="n">
        <f aca="false">IF(AN21="","",AN21+N($M21)*N(AK21))</f>
        <v>23.5044123592383</v>
      </c>
      <c r="AP21" s="10" t="n">
        <f aca="false">IFERROR(AN21/AL21,"")</f>
        <v>0.553337653958103</v>
      </c>
      <c r="AQ21" s="0" t="str">
        <f aca="false">TRIM(IF($N21&lt;Config!$B$12,"thin sample ("&amp;$N21&amp;" maps) · ","")&amp;IF(AND($G21&lt;&gt;"",Q21=0),"M1 unplayed→overall KPR · ","")&amp;IF(AND($H21&lt;&gt;"",X21=0),"M2 unplayed→overall KPR · ","")&amp;IF($O21="","no PickFinder stats",""))</f>
        <v/>
      </c>
      <c r="AR21" s="0" t="str">
        <f aca="false">IF($C21=Board!$B$2,COUNTIFS($C$2:$C$124,Board!$B$2,$AL$2:$AL$124,"&gt;"&amp;$AL21)+COUNTIFS($C$1:$C20,Board!$B$2,$AL$1:$AL20,$AL21)+1,"")</f>
        <v/>
      </c>
      <c r="AS21" s="0" t="str">
        <f aca="false">IFERROR(IF($D21=INDEX(Matches!$AD$5:$AD$19,MATCH($C21,Matches!$A$5:$A$19,0)),"A",IF($D21=INDEX(Matches!$AE$5:$AE$19,MATCH($C21,Matches!$A$5:$A$19,0)),"B","")),"")</f>
        <v>A</v>
      </c>
      <c r="AT21" s="10" t="n">
        <f aca="false">IF($AS21="","",IFERROR(IF($AS21="A",INDEX(Matches!$AI$5:$AI$19,MATCH($C21,Matches!$A$5:$A$19,0)),INDEX(Matches!$AJ$5:$AJ$19,MATCH($C21,Matches!$A$5:$A$19,0))),""))</f>
        <v>0.528713473214357</v>
      </c>
      <c r="AU21" s="10" t="n">
        <f aca="false">IF($AS21="","",IFERROR(IF(INDEX(Matches!$AP$5:$AP$19,MATCH($C21,Matches!$A$5:$A$19,0))="","",IF($AS21="A",INDEX(Matches!$AP$5:$AP$19,MATCH($C21,Matches!$A$5:$A$19,0)),1-INDEX(Matches!$AP$5:$AP$19,MATCH($C21,Matches!$A$5:$A$19,0)))),""))</f>
        <v>0.51306167203038</v>
      </c>
      <c r="AV21" s="13" t="n">
        <f aca="false">IF(OR($AU21="",$AT21=""),1,((Config!$B$14*$AU21+Config!$B$15*(1-$AU21))/(Config!$B$14*$AT21+Config!$B$15*(1-$AT21)))^Config!$B$13)</f>
        <v>0.986363188916667</v>
      </c>
      <c r="AW21" s="10" t="n">
        <f aca="false">IF($AS21="","",IFERROR(IF(INDEX(Matches!$AV$5:$AV$19,MATCH($C21,Matches!$A$5:$A$19,0))="","",IF($AS21="A",INDEX(Matches!$AV$5:$AV$19,MATCH($C21,Matches!$A$5:$A$19,0)),1-INDEX(Matches!$AV$5:$AV$19,MATCH($C21,Matches!$A$5:$A$19,0)))),""))</f>
        <v>0.529882747427962</v>
      </c>
      <c r="AX21" s="13" t="n">
        <f aca="false">IF(OR($AW21="",$AT21=""),1,((Config!$B$14*$AW21+Config!$B$15*(1-$AW21))/(Config!$B$14*$AT21+Config!$B$15*(1-$AT21)))^Config!$B$13)</f>
        <v>1.00101874355342</v>
      </c>
      <c r="AY21" s="10" t="n">
        <f aca="false">IF($AS21="","",IFERROR(IF(INDEX(Matches!$BB$5:$BB$19,MATCH($C21,Matches!$A$5:$A$19,0))="","",IF($AS21="A",INDEX(Matches!$BB$5:$BB$19,MATCH($C21,Matches!$A$5:$A$19,0)),1-INDEX(Matches!$BB$5:$BB$19,MATCH($C21,Matches!$A$5:$A$19,0)))),""))</f>
        <v>0.48920009494422</v>
      </c>
      <c r="AZ21" s="13" t="n">
        <f aca="false">IF(OR($AY21="",$AT21=""),1,((Config!$B$14*$AY21+Config!$B$15*(1-$AY21))/(Config!$B$14*$AT21+Config!$B$15*(1-$AT21)))^Config!$B$13)</f>
        <v>0.965573516530113</v>
      </c>
      <c r="BA21" s="17" t="n">
        <f aca="false">IF(V21="","",V21*$AV21)</f>
        <v>17.5889763392403</v>
      </c>
      <c r="BB21" s="17" t="n">
        <f aca="false">IF(AC21="","",AC21*$AX21)</f>
        <v>17.3740453199289</v>
      </c>
      <c r="BC21" s="17" t="n">
        <f aca="false">IF(AJ21="","",AJ21*$AZ21)</f>
        <v>15.4261510498569</v>
      </c>
      <c r="BD21" s="17" t="n">
        <f aca="false">N(BA21)+N(BB21)</f>
        <v>34.9630216591693</v>
      </c>
      <c r="BE21" s="17" t="n">
        <f aca="false">BD21+N($M21)*N(BC21)</f>
        <v>42.6853528747276</v>
      </c>
      <c r="BF21" s="17" t="n">
        <f aca="false">IF(W21="","",W21*$AV21)</f>
        <v>9.31043147557122</v>
      </c>
      <c r="BG21" s="17" t="n">
        <f aca="false">IF(AD21="","",AD21*$AX21)</f>
        <v>10.0421981949189</v>
      </c>
      <c r="BH21" s="17" t="n">
        <f aca="false">IF(AK21="","",AK21*$AZ21)</f>
        <v>7.77952663714319</v>
      </c>
      <c r="BI21" s="17" t="n">
        <f aca="false">IF(BF21="","",N(BF21)+N(BG21))</f>
        <v>19.3526296704902</v>
      </c>
      <c r="BJ21" s="17" t="n">
        <f aca="false">IF(BI21="","",BI21+N($M21)*N(BH21))</f>
        <v>23.247060705044</v>
      </c>
      <c r="BK21" s="13" t="n">
        <f aca="false">IFERROR(BD21/AL21,1)</f>
        <v>0.993591886843401</v>
      </c>
    </row>
    <row r="22" customFormat="false" ht="15" hidden="false" customHeight="false" outlineLevel="0" collapsed="false">
      <c r="A22" s="0" t="s">
        <v>1165</v>
      </c>
      <c r="B22" s="0" t="s">
        <v>988</v>
      </c>
      <c r="C22" s="0" t="s">
        <v>1041</v>
      </c>
      <c r="D22" s="0" t="s">
        <v>1045</v>
      </c>
      <c r="E22" s="0" t="s">
        <v>1163</v>
      </c>
      <c r="F22" s="0" t="s">
        <v>1475</v>
      </c>
      <c r="G22" s="0" t="str">
        <f aca="false">IFERROR(IF(INDEX(Matches!$W$5:$W$19,MATCH($C22,Matches!$A$5:$A$19,0))="","",INDEX(Matches!$W$5:$W$19,MATCH($C22,Matches!$A$5:$A$19,0))),"")</f>
        <v>Mirage</v>
      </c>
      <c r="H22" s="0" t="str">
        <f aca="false">IFERROR(IF(INDEX(Matches!$X$5:$X$19,MATCH($C22,Matches!$A$5:$A$19,0))="","",INDEX(Matches!$X$5:$X$19,MATCH($C22,Matches!$A$5:$A$19,0))),"")</f>
        <v>Inferno</v>
      </c>
      <c r="I22" s="0" t="str">
        <f aca="false">IFERROR(IF(INDEX(Matches!$Y$5:$Y$19,MATCH($C22,Matches!$A$5:$A$19,0))="","",INDEX(Matches!$Y$5:$Y$19,MATCH($C22,Matches!$A$5:$A$19,0))),"")</f>
        <v>Dust2</v>
      </c>
      <c r="J22" s="11" t="n">
        <f aca="false">IFERROR(IF(INDEX(Matches!$Z$5:$Z$19,MATCH($C22,Matches!$A$5:$A$19,0))="","",INDEX(Matches!$Z$5:$Z$19,MATCH($C22,Matches!$A$5:$A$19,0))),"")</f>
        <v>21.42</v>
      </c>
      <c r="K22" s="11" t="n">
        <f aca="false">IFERROR(IF(INDEX(Matches!$AA$5:$AA$19,MATCH($C22,Matches!$A$5:$A$19,0))="","",INDEX(Matches!$AA$5:$AA$19,MATCH($C22,Matches!$A$5:$A$19,0))),"")</f>
        <v>21.5</v>
      </c>
      <c r="L22" s="11" t="n">
        <f aca="false">IFERROR(IF(INDEX(Matches!$AB$5:$AB$19,MATCH($C22,Matches!$A$5:$A$19,0))="","",INDEX(Matches!$AB$5:$AB$19,MATCH($C22,Matches!$A$5:$A$19,0))),"")</f>
        <v>21.5</v>
      </c>
      <c r="M22" s="10" t="n">
        <f aca="false">IFERROR(IF(INDEX(Matches!$AC$5:$AC$19,MATCH($C22,Matches!$A$5:$A$19,0))="","",INDEX(Matches!$AC$5:$AC$19,MATCH($C22,Matches!$A$5:$A$19,0))),"")</f>
        <v>0.5006</v>
      </c>
      <c r="N22" s="9" t="n">
        <f aca="false">IFERROR(INDEX(Players!$F$2:$F$124,MATCH($F22,Players!$A$2:$A$124,0)),0)</f>
        <v>38</v>
      </c>
      <c r="O22" s="13" t="n">
        <f aca="false">IFERROR(1/(1/INDEX(Players!$H$2:$H$124,MATCH($F22,Players!$A$2:$A$124,0))),"")</f>
        <v>0.67</v>
      </c>
      <c r="P22" s="10" t="n">
        <f aca="false">IFERROR(1/(1/INDEX(Players!$I$2:$I$124,MATCH($F22,Players!$A$2:$A$124,0))),"")</f>
        <v>0.34</v>
      </c>
      <c r="Q22" s="9" t="n">
        <f aca="false">IF($G22="",0,SUMIFS(Map_Stats!$F$2:$F$779,Map_Stats!$A$2:$A$779,$F22&amp;"|"&amp;$G22))</f>
        <v>7</v>
      </c>
      <c r="R22" s="13" t="n">
        <f aca="false">IF($G22="","",IFERROR(1/(1/INDEX(Map_Stats!$K$2:$K$779,MATCH($F22&amp;"|"&amp;$G22,Map_Stats!$A$2:$A$779,0))),$O22))</f>
        <v>0.61</v>
      </c>
      <c r="S22" s="10" t="n">
        <f aca="false">IF(OR($G22="",$P22=""),"",IFERROR(1/(1/INDEX(Map_Stats!$I$2:$I$779,MATCH($F22&amp;"|"&amp;$G22,Map_Stats!$A$2:$A$779,0))),$P22))</f>
        <v>0.302</v>
      </c>
      <c r="T22" s="13" t="n">
        <f aca="false">IF(OR($G22="",R22=""),"",IF($O22="",R22,(Q22*R22+Config!$B$4*$O22)/(Q22+Config!$B$4)))</f>
        <v>0.635</v>
      </c>
      <c r="U22" s="10" t="n">
        <f aca="false">IF(S22="","",(Q22*S22+Config!$B$4*$P22)/(Q22+Config!$B$4))</f>
        <v>0.317833333333333</v>
      </c>
      <c r="V22" s="17" t="n">
        <f aca="false">IF(OR(T22="",$J22=""),"",T22*$J22*($J22/Config!$B$10)^Config!$B$9)</f>
        <v>13.6017</v>
      </c>
      <c r="W22" s="17" t="n">
        <f aca="false">IF(OR(V22="",U22=""),"",V22*U22)</f>
        <v>4.32307365</v>
      </c>
      <c r="X22" s="9" t="n">
        <f aca="false">IF($H22="",0,SUMIFS(Map_Stats!$F$2:$F$779,Map_Stats!$A$2:$A$779,$F22&amp;"|"&amp;$H22))</f>
        <v>6</v>
      </c>
      <c r="Y22" s="13" t="n">
        <f aca="false">IF($H22="","",IFERROR(1/(1/INDEX(Map_Stats!$K$2:$K$779,MATCH($F22&amp;"|"&amp;$H22,Map_Stats!$A$2:$A$779,0))),$O22))</f>
        <v>0.67</v>
      </c>
      <c r="Z22" s="10" t="n">
        <f aca="false">IF(OR($H22="",$P22=""),"",IFERROR(1/(1/INDEX(Map_Stats!$I$2:$I$779,MATCH($F22&amp;"|"&amp;$H22,Map_Stats!$A$2:$A$779,0))),$P22))</f>
        <v>0.33</v>
      </c>
      <c r="AA22" s="13" t="n">
        <f aca="false">IF(OR($H22="",Y22=""),"",IF($O22="",Y22,(X22*Y22+Config!$B$4*$O22)/(X22+Config!$B$4)))</f>
        <v>0.67</v>
      </c>
      <c r="AB22" s="10" t="n">
        <f aca="false">IF(Z22="","",(X22*Z22+Config!$B$4*$P22)/(X22+Config!$B$4))</f>
        <v>0.334545454545455</v>
      </c>
      <c r="AC22" s="17" t="n">
        <f aca="false">IF(OR(AA22="",$K22=""),"",AA22*$K22*($K22/Config!$B$10)^Config!$B$9)</f>
        <v>14.405</v>
      </c>
      <c r="AD22" s="17" t="n">
        <f aca="false">IF(OR(AC22="",AB22=""),"",AC22*AB22)</f>
        <v>4.81912727272727</v>
      </c>
      <c r="AE22" s="9" t="n">
        <f aca="false">IF($I22="",0,SUMIFS(Map_Stats!$F$2:$F$779,Map_Stats!$A$2:$A$779,$F22&amp;"|"&amp;$I22))</f>
        <v>8</v>
      </c>
      <c r="AF22" s="13" t="n">
        <f aca="false">IF($I22="","",IFERROR(1/(1/INDEX(Map_Stats!$K$2:$K$779,MATCH($F22&amp;"|"&amp;$I22,Map_Stats!$A$2:$A$779,0))),$O22))</f>
        <v>0.72</v>
      </c>
      <c r="AG22" s="10" t="n">
        <f aca="false">IF(OR($I22="",$P22=""),"",IFERROR(1/(1/INDEX(Map_Stats!$I$2:$I$779,MATCH($F22&amp;"|"&amp;$I22,Map_Stats!$A$2:$A$779,0))),$P22))</f>
        <v>0.354</v>
      </c>
      <c r="AH22" s="13" t="n">
        <f aca="false">IF(OR($I22="",AF22=""),"",IF($O22="",AF22,(AE22*AF22+Config!$B$4*$O22)/(AE22+Config!$B$4)))</f>
        <v>0.700769230769231</v>
      </c>
      <c r="AI22" s="10" t="n">
        <f aca="false">IF(AG22="","",(AE22*AG22+Config!$B$4*$P22)/(AE22+Config!$B$4))</f>
        <v>0.348615384615385</v>
      </c>
      <c r="AJ22" s="17" t="n">
        <f aca="false">IF(OR(AH22="",$L22=""),"",AH22*$L22*($L22/Config!$B$10)^Config!$B$9)</f>
        <v>15.0665384615385</v>
      </c>
      <c r="AK22" s="17" t="n">
        <f aca="false">IF(OR(AJ22="",AI22=""),"",AJ22*AI22)</f>
        <v>5.25242710059172</v>
      </c>
      <c r="AL22" s="17" t="n">
        <f aca="false">N(V22)+N(AC22)</f>
        <v>28.0067</v>
      </c>
      <c r="AM22" s="17" t="n">
        <f aca="false">AL22+N($M22)*N(AJ22)</f>
        <v>35.5490091538462</v>
      </c>
      <c r="AN22" s="17" t="n">
        <f aca="false">IF(W22="","",N(W22)+N(AD22))</f>
        <v>9.14220092272727</v>
      </c>
      <c r="AO22" s="17" t="n">
        <f aca="false">IF(AN22="","",AN22+N($M22)*N(AK22))</f>
        <v>11.7715659292835</v>
      </c>
      <c r="AP22" s="10" t="n">
        <f aca="false">IFERROR(AN22/AL22,"")</f>
        <v>0.326429065999467</v>
      </c>
      <c r="AQ22" s="0" t="str">
        <f aca="false">TRIM(IF($N22&lt;Config!$B$12,"thin sample ("&amp;$N22&amp;" maps) · ","")&amp;IF(AND($G22&lt;&gt;"",Q22=0),"M1 unplayed→overall KPR · ","")&amp;IF(AND($H22&lt;&gt;"",X22=0),"M2 unplayed→overall KPR · ","")&amp;IF($O22="","no PickFinder stats",""))</f>
        <v/>
      </c>
      <c r="AR22" s="0" t="str">
        <f aca="false">IF($C22=Board!$B$2,COUNTIFS($C$2:$C$124,Board!$B$2,$AL$2:$AL$124,"&gt;"&amp;$AL22)+COUNTIFS($C$1:$C21,Board!$B$2,$AL$1:$AL21,$AL22)+1,"")</f>
        <v/>
      </c>
      <c r="AS22" s="0" t="str">
        <f aca="false">IFERROR(IF($D22=INDEX(Matches!$AD$5:$AD$19,MATCH($C22,Matches!$A$5:$A$19,0)),"A",IF($D22=INDEX(Matches!$AE$5:$AE$19,MATCH($C22,Matches!$A$5:$A$19,0)),"B","")),"")</f>
        <v>A</v>
      </c>
      <c r="AT22" s="10" t="n">
        <f aca="false">IF($AS22="","",IFERROR(IF($AS22="A",INDEX(Matches!$AI$5:$AI$19,MATCH($C22,Matches!$A$5:$A$19,0)),INDEX(Matches!$AJ$5:$AJ$19,MATCH($C22,Matches!$A$5:$A$19,0))),""))</f>
        <v>0.528713473214357</v>
      </c>
      <c r="AU22" s="10" t="n">
        <f aca="false">IF($AS22="","",IFERROR(IF(INDEX(Matches!$AP$5:$AP$19,MATCH($C22,Matches!$A$5:$A$19,0))="","",IF($AS22="A",INDEX(Matches!$AP$5:$AP$19,MATCH($C22,Matches!$A$5:$A$19,0)),1-INDEX(Matches!$AP$5:$AP$19,MATCH($C22,Matches!$A$5:$A$19,0)))),""))</f>
        <v>0.51306167203038</v>
      </c>
      <c r="AV22" s="13" t="n">
        <f aca="false">IF(OR($AU22="",$AT22=""),1,((Config!$B$14*$AU22+Config!$B$15*(1-$AU22))/(Config!$B$14*$AT22+Config!$B$15*(1-$AT22)))^Config!$B$13)</f>
        <v>0.986363188916667</v>
      </c>
      <c r="AW22" s="10" t="n">
        <f aca="false">IF($AS22="","",IFERROR(IF(INDEX(Matches!$AV$5:$AV$19,MATCH($C22,Matches!$A$5:$A$19,0))="","",IF($AS22="A",INDEX(Matches!$AV$5:$AV$19,MATCH($C22,Matches!$A$5:$A$19,0)),1-INDEX(Matches!$AV$5:$AV$19,MATCH($C22,Matches!$A$5:$A$19,0)))),""))</f>
        <v>0.529882747427962</v>
      </c>
      <c r="AX22" s="13" t="n">
        <f aca="false">IF(OR($AW22="",$AT22=""),1,((Config!$B$14*$AW22+Config!$B$15*(1-$AW22))/(Config!$B$14*$AT22+Config!$B$15*(1-$AT22)))^Config!$B$13)</f>
        <v>1.00101874355342</v>
      </c>
      <c r="AY22" s="10" t="n">
        <f aca="false">IF($AS22="","",IFERROR(IF(INDEX(Matches!$BB$5:$BB$19,MATCH($C22,Matches!$A$5:$A$19,0))="","",IF($AS22="A",INDEX(Matches!$BB$5:$BB$19,MATCH($C22,Matches!$A$5:$A$19,0)),1-INDEX(Matches!$BB$5:$BB$19,MATCH($C22,Matches!$A$5:$A$19,0)))),""))</f>
        <v>0.48920009494422</v>
      </c>
      <c r="AZ22" s="13" t="n">
        <f aca="false">IF(OR($AY22="",$AT22=""),1,((Config!$B$14*$AY22+Config!$B$15*(1-$AY22))/(Config!$B$14*$AT22+Config!$B$15*(1-$AT22)))^Config!$B$13)</f>
        <v>0.965573516530113</v>
      </c>
      <c r="BA22" s="17" t="n">
        <f aca="false">IF(V22="","",V22*$AV22)</f>
        <v>13.4162161866878</v>
      </c>
      <c r="BB22" s="17" t="n">
        <f aca="false">IF(AC22="","",AC22*$AX22)</f>
        <v>14.419675000887</v>
      </c>
      <c r="BC22" s="17" t="n">
        <f aca="false">IF(AJ22="","",AJ22*$AZ22)</f>
        <v>14.5478505242439</v>
      </c>
      <c r="BD22" s="17" t="n">
        <f aca="false">N(BA22)+N(BB22)</f>
        <v>27.8358911875748</v>
      </c>
      <c r="BE22" s="17" t="n">
        <f aca="false">BD22+N($M22)*N(BC22)</f>
        <v>35.1185451600113</v>
      </c>
      <c r="BF22" s="17" t="n">
        <f aca="false">IF(W22="","",W22*$AV22)</f>
        <v>4.26412071133561</v>
      </c>
      <c r="BG22" s="17" t="n">
        <f aca="false">IF(AD22="","",AD22*$AX22)</f>
        <v>4.82403672756946</v>
      </c>
      <c r="BH22" s="17" t="n">
        <f aca="false">IF(AK22="","",AK22*$AZ22)</f>
        <v>5.07160450583641</v>
      </c>
      <c r="BI22" s="17" t="n">
        <f aca="false">IF(BF22="","",N(BF22)+N(BG22))</f>
        <v>9.08815743890508</v>
      </c>
      <c r="BJ22" s="17" t="n">
        <f aca="false">IF(BI22="","",BI22+N($M22)*N(BH22))</f>
        <v>11.6270026545268</v>
      </c>
      <c r="BK22" s="13" t="n">
        <f aca="false">IFERROR(BD22/AL22,1)</f>
        <v>0.99390114463949</v>
      </c>
    </row>
    <row r="23" customFormat="false" ht="15" hidden="false" customHeight="false" outlineLevel="0" collapsed="false">
      <c r="A23" s="0" t="s">
        <v>1168</v>
      </c>
      <c r="B23" s="0" t="s">
        <v>988</v>
      </c>
      <c r="C23" s="0" t="s">
        <v>1041</v>
      </c>
      <c r="D23" s="0" t="s">
        <v>1045</v>
      </c>
      <c r="E23" s="0" t="s">
        <v>1166</v>
      </c>
      <c r="F23" s="0" t="s">
        <v>1476</v>
      </c>
      <c r="G23" s="0" t="str">
        <f aca="false">IFERROR(IF(INDEX(Matches!$W$5:$W$19,MATCH($C23,Matches!$A$5:$A$19,0))="","",INDEX(Matches!$W$5:$W$19,MATCH($C23,Matches!$A$5:$A$19,0))),"")</f>
        <v>Mirage</v>
      </c>
      <c r="H23" s="0" t="str">
        <f aca="false">IFERROR(IF(INDEX(Matches!$X$5:$X$19,MATCH($C23,Matches!$A$5:$A$19,0))="","",INDEX(Matches!$X$5:$X$19,MATCH($C23,Matches!$A$5:$A$19,0))),"")</f>
        <v>Inferno</v>
      </c>
      <c r="I23" s="0" t="str">
        <f aca="false">IFERROR(IF(INDEX(Matches!$Y$5:$Y$19,MATCH($C23,Matches!$A$5:$A$19,0))="","",INDEX(Matches!$Y$5:$Y$19,MATCH($C23,Matches!$A$5:$A$19,0))),"")</f>
        <v>Dust2</v>
      </c>
      <c r="J23" s="11" t="n">
        <f aca="false">IFERROR(IF(INDEX(Matches!$Z$5:$Z$19,MATCH($C23,Matches!$A$5:$A$19,0))="","",INDEX(Matches!$Z$5:$Z$19,MATCH($C23,Matches!$A$5:$A$19,0))),"")</f>
        <v>21.42</v>
      </c>
      <c r="K23" s="11" t="n">
        <f aca="false">IFERROR(IF(INDEX(Matches!$AA$5:$AA$19,MATCH($C23,Matches!$A$5:$A$19,0))="","",INDEX(Matches!$AA$5:$AA$19,MATCH($C23,Matches!$A$5:$A$19,0))),"")</f>
        <v>21.5</v>
      </c>
      <c r="L23" s="11" t="n">
        <f aca="false">IFERROR(IF(INDEX(Matches!$AB$5:$AB$19,MATCH($C23,Matches!$A$5:$A$19,0))="","",INDEX(Matches!$AB$5:$AB$19,MATCH($C23,Matches!$A$5:$A$19,0))),"")</f>
        <v>21.5</v>
      </c>
      <c r="M23" s="10" t="n">
        <f aca="false">IFERROR(IF(INDEX(Matches!$AC$5:$AC$19,MATCH($C23,Matches!$A$5:$A$19,0))="","",INDEX(Matches!$AC$5:$AC$19,MATCH($C23,Matches!$A$5:$A$19,0))),"")</f>
        <v>0.5006</v>
      </c>
      <c r="N23" s="9" t="n">
        <f aca="false">IFERROR(INDEX(Players!$F$2:$F$124,MATCH($F23,Players!$A$2:$A$124,0)),0)</f>
        <v>38</v>
      </c>
      <c r="O23" s="13" t="n">
        <f aca="false">IFERROR(1/(1/INDEX(Players!$H$2:$H$124,MATCH($F23,Players!$A$2:$A$124,0))),"")</f>
        <v>0.62</v>
      </c>
      <c r="P23" s="10" t="n">
        <f aca="false">IFERROR(1/(1/INDEX(Players!$I$2:$I$124,MATCH($F23,Players!$A$2:$A$124,0))),"")</f>
        <v>0.541</v>
      </c>
      <c r="Q23" s="9" t="n">
        <f aca="false">IF($G23="",0,SUMIFS(Map_Stats!$F$2:$F$779,Map_Stats!$A$2:$A$779,$F23&amp;"|"&amp;$G23))</f>
        <v>7</v>
      </c>
      <c r="R23" s="13" t="n">
        <f aca="false">IF($G23="","",IFERROR(1/(1/INDEX(Map_Stats!$K$2:$K$779,MATCH($F23&amp;"|"&amp;$G23,Map_Stats!$A$2:$A$779,0))),$O23))</f>
        <v>0.6</v>
      </c>
      <c r="S23" s="10" t="n">
        <f aca="false">IF(OR($G23="",$P23=""),"",IFERROR(1/(1/INDEX(Map_Stats!$I$2:$I$779,MATCH($F23&amp;"|"&amp;$G23,Map_Stats!$A$2:$A$779,0))),$P23))</f>
        <v>0.56</v>
      </c>
      <c r="T23" s="13" t="n">
        <f aca="false">IF(OR($G23="",R23=""),"",IF($O23="",R23,(Q23*R23+Config!$B$4*$O23)/(Q23+Config!$B$4)))</f>
        <v>0.608333333333333</v>
      </c>
      <c r="U23" s="10" t="n">
        <f aca="false">IF(S23="","",(Q23*S23+Config!$B$4*$P23)/(Q23+Config!$B$4))</f>
        <v>0.552083333333333</v>
      </c>
      <c r="V23" s="17" t="n">
        <f aca="false">IF(OR(T23="",$J23=""),"",T23*$J23*($J23/Config!$B$10)^Config!$B$9)</f>
        <v>13.0305</v>
      </c>
      <c r="W23" s="17" t="n">
        <f aca="false">IF(OR(V23="",U23=""),"",V23*U23)</f>
        <v>7.193921875</v>
      </c>
      <c r="X23" s="9" t="n">
        <f aca="false">IF($H23="",0,SUMIFS(Map_Stats!$F$2:$F$779,Map_Stats!$A$2:$A$779,$F23&amp;"|"&amp;$H23))</f>
        <v>6</v>
      </c>
      <c r="Y23" s="13" t="n">
        <f aca="false">IF($H23="","",IFERROR(1/(1/INDEX(Map_Stats!$K$2:$K$779,MATCH($F23&amp;"|"&amp;$H23,Map_Stats!$A$2:$A$779,0))),$O23))</f>
        <v>0.61</v>
      </c>
      <c r="Z23" s="10" t="n">
        <f aca="false">IF(OR($H23="",$P23=""),"",IFERROR(1/(1/INDEX(Map_Stats!$I$2:$I$779,MATCH($F23&amp;"|"&amp;$H23,Map_Stats!$A$2:$A$779,0))),$P23))</f>
        <v>0.541</v>
      </c>
      <c r="AA23" s="13" t="n">
        <f aca="false">IF(OR($H23="",Y23=""),"",IF($O23="",Y23,(X23*Y23+Config!$B$4*$O23)/(X23+Config!$B$4)))</f>
        <v>0.614545454545455</v>
      </c>
      <c r="AB23" s="10" t="n">
        <f aca="false">IF(Z23="","",(X23*Z23+Config!$B$4*$P23)/(X23+Config!$B$4))</f>
        <v>0.541</v>
      </c>
      <c r="AC23" s="17" t="n">
        <f aca="false">IF(OR(AA23="",$K23=""),"",AA23*$K23*($K23/Config!$B$10)^Config!$B$9)</f>
        <v>13.2127272727273</v>
      </c>
      <c r="AD23" s="17" t="n">
        <f aca="false">IF(OR(AC23="",AB23=""),"",AC23*AB23)</f>
        <v>7.14808545454545</v>
      </c>
      <c r="AE23" s="9" t="n">
        <f aca="false">IF($I23="",0,SUMIFS(Map_Stats!$F$2:$F$779,Map_Stats!$A$2:$A$779,$F23&amp;"|"&amp;$I23))</f>
        <v>8</v>
      </c>
      <c r="AF23" s="13" t="n">
        <f aca="false">IF($I23="","",IFERROR(1/(1/INDEX(Map_Stats!$K$2:$K$779,MATCH($F23&amp;"|"&amp;$I23,Map_Stats!$A$2:$A$779,0))),$O23))</f>
        <v>0.66</v>
      </c>
      <c r="AG23" s="10" t="n">
        <f aca="false">IF(OR($I23="",$P23=""),"",IFERROR(1/(1/INDEX(Map_Stats!$I$2:$I$779,MATCH($F23&amp;"|"&amp;$I23,Map_Stats!$A$2:$A$779,0))),$P23))</f>
        <v>0.475</v>
      </c>
      <c r="AH23" s="13" t="n">
        <f aca="false">IF(OR($I23="",AF23=""),"",IF($O23="",AF23,(AE23*AF23+Config!$B$4*$O23)/(AE23+Config!$B$4)))</f>
        <v>0.644615384615385</v>
      </c>
      <c r="AI23" s="10" t="n">
        <f aca="false">IF(AG23="","",(AE23*AG23+Config!$B$4*$P23)/(AE23+Config!$B$4))</f>
        <v>0.500384615384615</v>
      </c>
      <c r="AJ23" s="17" t="n">
        <f aca="false">IF(OR(AH23="",$L23=""),"",AH23*$L23*($L23/Config!$B$10)^Config!$B$9)</f>
        <v>13.8592307692308</v>
      </c>
      <c r="AK23" s="17" t="n">
        <f aca="false">IF(OR(AJ23="",AI23=""),"",AJ23*AI23)</f>
        <v>6.93494585798817</v>
      </c>
      <c r="AL23" s="17" t="n">
        <f aca="false">N(V23)+N(AC23)</f>
        <v>26.2432272727273</v>
      </c>
      <c r="AM23" s="17" t="n">
        <f aca="false">AL23+N($M23)*N(AJ23)</f>
        <v>33.1811581958042</v>
      </c>
      <c r="AN23" s="17" t="n">
        <f aca="false">IF(W23="","",N(W23)+N(AD23))</f>
        <v>14.3420073295455</v>
      </c>
      <c r="AO23" s="17" t="n">
        <f aca="false">IF(AN23="","",AN23+N($M23)*N(AK23))</f>
        <v>17.8136412260543</v>
      </c>
      <c r="AP23" s="10" t="n">
        <f aca="false">IFERROR(AN23/AL23,"")</f>
        <v>0.54650318653644</v>
      </c>
      <c r="AQ23" s="0" t="str">
        <f aca="false">TRIM(IF($N23&lt;Config!$B$12,"thin sample ("&amp;$N23&amp;" maps) · ","")&amp;IF(AND($G23&lt;&gt;"",Q23=0),"M1 unplayed→overall KPR · ","")&amp;IF(AND($H23&lt;&gt;"",X23=0),"M2 unplayed→overall KPR · ","")&amp;IF($O23="","no PickFinder stats",""))</f>
        <v/>
      </c>
      <c r="AR23" s="0" t="str">
        <f aca="false">IF($C23=Board!$B$2,COUNTIFS($C$2:$C$124,Board!$B$2,$AL$2:$AL$124,"&gt;"&amp;$AL23)+COUNTIFS($C$1:$C22,Board!$B$2,$AL$1:$AL22,$AL23)+1,"")</f>
        <v/>
      </c>
      <c r="AS23" s="0" t="str">
        <f aca="false">IFERROR(IF($D23=INDEX(Matches!$AD$5:$AD$19,MATCH($C23,Matches!$A$5:$A$19,0)),"A",IF($D23=INDEX(Matches!$AE$5:$AE$19,MATCH($C23,Matches!$A$5:$A$19,0)),"B","")),"")</f>
        <v>A</v>
      </c>
      <c r="AT23" s="10" t="n">
        <f aca="false">IF($AS23="","",IFERROR(IF($AS23="A",INDEX(Matches!$AI$5:$AI$19,MATCH($C23,Matches!$A$5:$A$19,0)),INDEX(Matches!$AJ$5:$AJ$19,MATCH($C23,Matches!$A$5:$A$19,0))),""))</f>
        <v>0.528713473214357</v>
      </c>
      <c r="AU23" s="10" t="n">
        <f aca="false">IF($AS23="","",IFERROR(IF(INDEX(Matches!$AP$5:$AP$19,MATCH($C23,Matches!$A$5:$A$19,0))="","",IF($AS23="A",INDEX(Matches!$AP$5:$AP$19,MATCH($C23,Matches!$A$5:$A$19,0)),1-INDEX(Matches!$AP$5:$AP$19,MATCH($C23,Matches!$A$5:$A$19,0)))),""))</f>
        <v>0.51306167203038</v>
      </c>
      <c r="AV23" s="13" t="n">
        <f aca="false">IF(OR($AU23="",$AT23=""),1,((Config!$B$14*$AU23+Config!$B$15*(1-$AU23))/(Config!$B$14*$AT23+Config!$B$15*(1-$AT23)))^Config!$B$13)</f>
        <v>0.986363188916667</v>
      </c>
      <c r="AW23" s="10" t="n">
        <f aca="false">IF($AS23="","",IFERROR(IF(INDEX(Matches!$AV$5:$AV$19,MATCH($C23,Matches!$A$5:$A$19,0))="","",IF($AS23="A",INDEX(Matches!$AV$5:$AV$19,MATCH($C23,Matches!$A$5:$A$19,0)),1-INDEX(Matches!$AV$5:$AV$19,MATCH($C23,Matches!$A$5:$A$19,0)))),""))</f>
        <v>0.529882747427962</v>
      </c>
      <c r="AX23" s="13" t="n">
        <f aca="false">IF(OR($AW23="",$AT23=""),1,((Config!$B$14*$AW23+Config!$B$15*(1-$AW23))/(Config!$B$14*$AT23+Config!$B$15*(1-$AT23)))^Config!$B$13)</f>
        <v>1.00101874355342</v>
      </c>
      <c r="AY23" s="10" t="n">
        <f aca="false">IF($AS23="","",IFERROR(IF(INDEX(Matches!$BB$5:$BB$19,MATCH($C23,Matches!$A$5:$A$19,0))="","",IF($AS23="A",INDEX(Matches!$BB$5:$BB$19,MATCH($C23,Matches!$A$5:$A$19,0)),1-INDEX(Matches!$BB$5:$BB$19,MATCH($C23,Matches!$A$5:$A$19,0)))),""))</f>
        <v>0.48920009494422</v>
      </c>
      <c r="AZ23" s="13" t="n">
        <f aca="false">IF(OR($AY23="",$AT23=""),1,((Config!$B$14*$AY23+Config!$B$15*(1-$AY23))/(Config!$B$14*$AT23+Config!$B$15*(1-$AT23)))^Config!$B$13)</f>
        <v>0.965573516530113</v>
      </c>
      <c r="BA23" s="17" t="n">
        <f aca="false">IF(V23="","",V23*$AV23)</f>
        <v>12.8528055331786</v>
      </c>
      <c r="BB23" s="17" t="n">
        <f aca="false">IF(AC23="","",AC23*$AX23)</f>
        <v>13.2261876534594</v>
      </c>
      <c r="BC23" s="17" t="n">
        <f aca="false">IF(AJ23="","",AJ23*$AZ23)</f>
        <v>13.3821061902485</v>
      </c>
      <c r="BD23" s="17" t="n">
        <f aca="false">N(BA23)+N(BB23)</f>
        <v>26.0789931866381</v>
      </c>
      <c r="BE23" s="17" t="n">
        <f aca="false">BD23+N($M23)*N(BC23)</f>
        <v>32.7780755454765</v>
      </c>
      <c r="BF23" s="17" t="n">
        <f aca="false">IF(W23="","",W23*$AV23)</f>
        <v>7.09581972144237</v>
      </c>
      <c r="BG23" s="17" t="n">
        <f aca="false">IF(AD23="","",AD23*$AX23)</f>
        <v>7.15536752052155</v>
      </c>
      <c r="BH23" s="17" t="n">
        <f aca="false">IF(AK23="","",AK23*$AZ23)</f>
        <v>6.69620005904358</v>
      </c>
      <c r="BI23" s="17" t="n">
        <f aca="false">IF(BF23="","",N(BF23)+N(BG23))</f>
        <v>14.2511872419639</v>
      </c>
      <c r="BJ23" s="17" t="n">
        <f aca="false">IF(BI23="","",BI23+N($M23)*N(BH23))</f>
        <v>17.6033049915211</v>
      </c>
      <c r="BK23" s="13" t="n">
        <f aca="false">IFERROR(BD23/AL23,1)</f>
        <v>0.993741848729866</v>
      </c>
    </row>
    <row r="24" customFormat="false" ht="15" hidden="false" customHeight="false" outlineLevel="0" collapsed="false">
      <c r="A24" s="0" t="s">
        <v>1171</v>
      </c>
      <c r="B24" s="0" t="s">
        <v>988</v>
      </c>
      <c r="C24" s="0" t="s">
        <v>1041</v>
      </c>
      <c r="D24" s="0" t="s">
        <v>1046</v>
      </c>
      <c r="E24" s="0" t="s">
        <v>1169</v>
      </c>
      <c r="F24" s="0" t="s">
        <v>1477</v>
      </c>
      <c r="G24" s="0" t="str">
        <f aca="false">IFERROR(IF(INDEX(Matches!$W$5:$W$19,MATCH($C24,Matches!$A$5:$A$19,0))="","",INDEX(Matches!$W$5:$W$19,MATCH($C24,Matches!$A$5:$A$19,0))),"")</f>
        <v>Mirage</v>
      </c>
      <c r="H24" s="0" t="str">
        <f aca="false">IFERROR(IF(INDEX(Matches!$X$5:$X$19,MATCH($C24,Matches!$A$5:$A$19,0))="","",INDEX(Matches!$X$5:$X$19,MATCH($C24,Matches!$A$5:$A$19,0))),"")</f>
        <v>Inferno</v>
      </c>
      <c r="I24" s="0" t="str">
        <f aca="false">IFERROR(IF(INDEX(Matches!$Y$5:$Y$19,MATCH($C24,Matches!$A$5:$A$19,0))="","",INDEX(Matches!$Y$5:$Y$19,MATCH($C24,Matches!$A$5:$A$19,0))),"")</f>
        <v>Dust2</v>
      </c>
      <c r="J24" s="11" t="n">
        <f aca="false">IFERROR(IF(INDEX(Matches!$Z$5:$Z$19,MATCH($C24,Matches!$A$5:$A$19,0))="","",INDEX(Matches!$Z$5:$Z$19,MATCH($C24,Matches!$A$5:$A$19,0))),"")</f>
        <v>21.42</v>
      </c>
      <c r="K24" s="11" t="n">
        <f aca="false">IFERROR(IF(INDEX(Matches!$AA$5:$AA$19,MATCH($C24,Matches!$A$5:$A$19,0))="","",INDEX(Matches!$AA$5:$AA$19,MATCH($C24,Matches!$A$5:$A$19,0))),"")</f>
        <v>21.5</v>
      </c>
      <c r="L24" s="11" t="n">
        <f aca="false">IFERROR(IF(INDEX(Matches!$AB$5:$AB$19,MATCH($C24,Matches!$A$5:$A$19,0))="","",INDEX(Matches!$AB$5:$AB$19,MATCH($C24,Matches!$A$5:$A$19,0))),"")</f>
        <v>21.5</v>
      </c>
      <c r="M24" s="10" t="n">
        <f aca="false">IFERROR(IF(INDEX(Matches!$AC$5:$AC$19,MATCH($C24,Matches!$A$5:$A$19,0))="","",INDEX(Matches!$AC$5:$AC$19,MATCH($C24,Matches!$A$5:$A$19,0))),"")</f>
        <v>0.5006</v>
      </c>
      <c r="N24" s="9" t="n">
        <f aca="false">IFERROR(INDEX(Players!$F$2:$F$124,MATCH($F24,Players!$A$2:$A$124,0)),0)</f>
        <v>38</v>
      </c>
      <c r="O24" s="13" t="n">
        <f aca="false">IFERROR(1/(1/INDEX(Players!$H$2:$H$124,MATCH($F24,Players!$A$2:$A$124,0))),"")</f>
        <v>0.68</v>
      </c>
      <c r="P24" s="10" t="n">
        <f aca="false">IFERROR(1/(1/INDEX(Players!$I$2:$I$124,MATCH($F24,Players!$A$2:$A$124,0))),"")</f>
        <v>0.593</v>
      </c>
      <c r="Q24" s="9" t="n">
        <f aca="false">IF($G24="",0,SUMIFS(Map_Stats!$F$2:$F$779,Map_Stats!$A$2:$A$779,$F24&amp;"|"&amp;$G24))</f>
        <v>6</v>
      </c>
      <c r="R24" s="13" t="n">
        <f aca="false">IF($G24="","",IFERROR(1/(1/INDEX(Map_Stats!$K$2:$K$779,MATCH($F24&amp;"|"&amp;$G24,Map_Stats!$A$2:$A$779,0))),$O24))</f>
        <v>0.59</v>
      </c>
      <c r="S24" s="10" t="n">
        <f aca="false">IF(OR($G24="",$P24=""),"",IFERROR(1/(1/INDEX(Map_Stats!$I$2:$I$779,MATCH($F24&amp;"|"&amp;$G24,Map_Stats!$A$2:$A$779,0))),$P24))</f>
        <v>0.506</v>
      </c>
      <c r="T24" s="13" t="n">
        <f aca="false">IF(OR($G24="",R24=""),"",IF($O24="",R24,(Q24*R24+Config!$B$4*$O24)/(Q24+Config!$B$4)))</f>
        <v>0.630909090909091</v>
      </c>
      <c r="U24" s="10" t="n">
        <f aca="false">IF(S24="","",(Q24*S24+Config!$B$4*$P24)/(Q24+Config!$B$4))</f>
        <v>0.545545454545454</v>
      </c>
      <c r="V24" s="17" t="n">
        <f aca="false">IF(OR(T24="",$J24=""),"",T24*$J24*($J24/Config!$B$10)^Config!$B$9)</f>
        <v>13.5140727272727</v>
      </c>
      <c r="W24" s="17" t="n">
        <f aca="false">IF(OR(V24="",U24=""),"",V24*U24)</f>
        <v>7.37254094876033</v>
      </c>
      <c r="X24" s="9" t="n">
        <f aca="false">IF($H24="",0,SUMIFS(Map_Stats!$F$2:$F$779,Map_Stats!$A$2:$A$779,$F24&amp;"|"&amp;$H24))</f>
        <v>8</v>
      </c>
      <c r="Y24" s="13" t="n">
        <f aca="false">IF($H24="","",IFERROR(1/(1/INDEX(Map_Stats!$K$2:$K$779,MATCH($F24&amp;"|"&amp;$H24,Map_Stats!$A$2:$A$779,0))),$O24))</f>
        <v>0.64</v>
      </c>
      <c r="Z24" s="10" t="n">
        <f aca="false">IF(OR($H24="",$P24=""),"",IFERROR(1/(1/INDEX(Map_Stats!$I$2:$I$779,MATCH($F24&amp;"|"&amp;$H24,Map_Stats!$A$2:$A$779,0))),$P24))</f>
        <v>0.638</v>
      </c>
      <c r="AA24" s="13" t="n">
        <f aca="false">IF(OR($H24="",Y24=""),"",IF($O24="",Y24,(X24*Y24+Config!$B$4*$O24)/(X24+Config!$B$4)))</f>
        <v>0.655384615384615</v>
      </c>
      <c r="AB24" s="10" t="n">
        <f aca="false">IF(Z24="","",(X24*Z24+Config!$B$4*$P24)/(X24+Config!$B$4))</f>
        <v>0.620692307692308</v>
      </c>
      <c r="AC24" s="17" t="n">
        <f aca="false">IF(OR(AA24="",$K24=""),"",AA24*$K24*($K24/Config!$B$10)^Config!$B$9)</f>
        <v>14.0907692307692</v>
      </c>
      <c r="AD24" s="17" t="n">
        <f aca="false">IF(OR(AC24="",AB24=""),"",AC24*AB24)</f>
        <v>8.74603207100592</v>
      </c>
      <c r="AE24" s="9" t="n">
        <f aca="false">IF($I24="",0,SUMIFS(Map_Stats!$F$2:$F$779,Map_Stats!$A$2:$A$779,$F24&amp;"|"&amp;$I24))</f>
        <v>7</v>
      </c>
      <c r="AF24" s="13" t="n">
        <f aca="false">IF($I24="","",IFERROR(1/(1/INDEX(Map_Stats!$K$2:$K$779,MATCH($F24&amp;"|"&amp;$I24,Map_Stats!$A$2:$A$779,0))),$O24))</f>
        <v>0.72</v>
      </c>
      <c r="AG24" s="10" t="n">
        <f aca="false">IF(OR($I24="",$P24=""),"",IFERROR(1/(1/INDEX(Map_Stats!$I$2:$I$779,MATCH($F24&amp;"|"&amp;$I24,Map_Stats!$A$2:$A$779,0))),$P24))</f>
        <v>0.619</v>
      </c>
      <c r="AH24" s="13" t="n">
        <f aca="false">IF(OR($I24="",AF24=""),"",IF($O24="",AF24,(AE24*AF24+Config!$B$4*$O24)/(AE24+Config!$B$4)))</f>
        <v>0.703333333333334</v>
      </c>
      <c r="AI24" s="10" t="n">
        <f aca="false">IF(AG24="","",(AE24*AG24+Config!$B$4*$P24)/(AE24+Config!$B$4))</f>
        <v>0.608166666666667</v>
      </c>
      <c r="AJ24" s="17" t="n">
        <f aca="false">IF(OR(AH24="",$L24=""),"",AH24*$L24*($L24/Config!$B$10)^Config!$B$9)</f>
        <v>15.1216666666667</v>
      </c>
      <c r="AK24" s="17" t="n">
        <f aca="false">IF(OR(AJ24="",AI24=""),"",AJ24*AI24)</f>
        <v>9.19649361111111</v>
      </c>
      <c r="AL24" s="17" t="n">
        <f aca="false">N(V24)+N(AC24)</f>
        <v>27.604841958042</v>
      </c>
      <c r="AM24" s="17" t="n">
        <f aca="false">AL24+N($M24)*N(AJ24)</f>
        <v>35.1747482913753</v>
      </c>
      <c r="AN24" s="17" t="n">
        <f aca="false">IF(W24="","",N(W24)+N(AD24))</f>
        <v>16.1185730197662</v>
      </c>
      <c r="AO24" s="17" t="n">
        <f aca="false">IF(AN24="","",AN24+N($M24)*N(AK24))</f>
        <v>20.7223377214885</v>
      </c>
      <c r="AP24" s="10" t="n">
        <f aca="false">IFERROR(AN24/AL24,"")</f>
        <v>0.583903832677822</v>
      </c>
      <c r="AQ24" s="0" t="str">
        <f aca="false">TRIM(IF($N24&lt;Config!$B$12,"thin sample ("&amp;$N24&amp;" maps) · ","")&amp;IF(AND($G24&lt;&gt;"",Q24=0),"M1 unplayed→overall KPR · ","")&amp;IF(AND($H24&lt;&gt;"",X24=0),"M2 unplayed→overall KPR · ","")&amp;IF($O24="","no PickFinder stats",""))</f>
        <v/>
      </c>
      <c r="AR24" s="0" t="str">
        <f aca="false">IF($C24=Board!$B$2,COUNTIFS($C$2:$C$124,Board!$B$2,$AL$2:$AL$124,"&gt;"&amp;$AL24)+COUNTIFS($C$1:$C23,Board!$B$2,$AL$1:$AL23,$AL24)+1,"")</f>
        <v/>
      </c>
      <c r="AS24" s="0" t="str">
        <f aca="false">IFERROR(IF($D24=INDEX(Matches!$AD$5:$AD$19,MATCH($C24,Matches!$A$5:$A$19,0)),"A",IF($D24=INDEX(Matches!$AE$5:$AE$19,MATCH($C24,Matches!$A$5:$A$19,0)),"B","")),"")</f>
        <v>B</v>
      </c>
      <c r="AT24" s="10" t="n">
        <f aca="false">IF($AS24="","",IFERROR(IF($AS24="A",INDEX(Matches!$AI$5:$AI$19,MATCH($C24,Matches!$A$5:$A$19,0)),INDEX(Matches!$AJ$5:$AJ$19,MATCH($C24,Matches!$A$5:$A$19,0))),""))</f>
        <v>0.509174752617927</v>
      </c>
      <c r="AU24" s="10" t="n">
        <f aca="false">IF($AS24="","",IFERROR(IF(INDEX(Matches!$AP$5:$AP$19,MATCH($C24,Matches!$A$5:$A$19,0))="","",IF($AS24="A",INDEX(Matches!$AP$5:$AP$19,MATCH($C24,Matches!$A$5:$A$19,0)),1-INDEX(Matches!$AP$5:$AP$19,MATCH($C24,Matches!$A$5:$A$19,0)))),""))</f>
        <v>0.48693832796962</v>
      </c>
      <c r="AV24" s="13" t="n">
        <f aca="false">IF(OR($AU24="",$AT24=""),1,((Config!$B$14*$AU24+Config!$B$15*(1-$AU24))/(Config!$B$14*$AT24+Config!$B$15*(1-$AT24)))^Config!$B$13)</f>
        <v>0.980290743024817</v>
      </c>
      <c r="AW24" s="10" t="n">
        <f aca="false">IF($AS24="","",IFERROR(IF(INDEX(Matches!$AV$5:$AV$19,MATCH($C24,Matches!$A$5:$A$19,0))="","",IF($AS24="A",INDEX(Matches!$AV$5:$AV$19,MATCH($C24,Matches!$A$5:$A$19,0)),1-INDEX(Matches!$AV$5:$AV$19,MATCH($C24,Matches!$A$5:$A$19,0)))),""))</f>
        <v>0.470117252572038</v>
      </c>
      <c r="AX24" s="13" t="n">
        <f aca="false">IF(OR($AW24="",$AT24=""),1,((Config!$B$14*$AW24+Config!$B$15*(1-$AW24))/(Config!$B$14*$AT24+Config!$B$15*(1-$AT24)))^Config!$B$13)</f>
        <v>0.965381381342199</v>
      </c>
      <c r="AY24" s="10" t="n">
        <f aca="false">IF($AS24="","",IFERROR(IF(INDEX(Matches!$BB$5:$BB$19,MATCH($C24,Matches!$A$5:$A$19,0))="","",IF($AS24="A",INDEX(Matches!$BB$5:$BB$19,MATCH($C24,Matches!$A$5:$A$19,0)),1-INDEX(Matches!$BB$5:$BB$19,MATCH($C24,Matches!$A$5:$A$19,0)))),""))</f>
        <v>0.51079990505578</v>
      </c>
      <c r="AZ24" s="13" t="n">
        <f aca="false">IF(OR($AY24="",$AT24=""),1,((Config!$B$14*$AY24+Config!$B$15*(1-$AY24))/(Config!$B$14*$AT24+Config!$B$15*(1-$AT24)))^Config!$B$13)</f>
        <v>1.0014404540086</v>
      </c>
      <c r="BA24" s="17" t="n">
        <f aca="false">IF(V24="","",V24*$AV24)</f>
        <v>13.2477203951096</v>
      </c>
      <c r="BB24" s="17" t="n">
        <f aca="false">IF(AC24="","",AC24*$AX24)</f>
        <v>13.6029662641742</v>
      </c>
      <c r="BC24" s="17" t="n">
        <f aca="false">IF(AJ24="","",AJ24*$AZ24)</f>
        <v>15.1434487320333</v>
      </c>
      <c r="BD24" s="17" t="n">
        <f aca="false">N(BA24)+N(BB24)</f>
        <v>26.8506866592838</v>
      </c>
      <c r="BE24" s="17" t="n">
        <f aca="false">BD24+N($M24)*N(BC24)</f>
        <v>34.4314970945396</v>
      </c>
      <c r="BF24" s="17" t="n">
        <f aca="false">IF(W24="","",W24*$AV24)</f>
        <v>7.22723364464115</v>
      </c>
      <c r="BG24" s="17" t="n">
        <f aca="false">IF(AD24="","",AD24*$AX24)</f>
        <v>8.44325652197087</v>
      </c>
      <c r="BH24" s="17" t="n">
        <f aca="false">IF(AK24="","",AK24*$AZ24)</f>
        <v>9.20974073719826</v>
      </c>
      <c r="BI24" s="17" t="n">
        <f aca="false">IF(BF24="","",N(BF24)+N(BG24))</f>
        <v>15.670490166612</v>
      </c>
      <c r="BJ24" s="17" t="n">
        <f aca="false">IF(BI24="","",BI24+N($M24)*N(BH24))</f>
        <v>20.2808863796535</v>
      </c>
      <c r="BK24" s="13" t="n">
        <f aca="false">IFERROR(BD24/AL24,1)</f>
        <v>0.972680325433325</v>
      </c>
    </row>
    <row r="25" customFormat="false" ht="15" hidden="false" customHeight="false" outlineLevel="0" collapsed="false">
      <c r="A25" s="0" t="s">
        <v>1174</v>
      </c>
      <c r="B25" s="0" t="s">
        <v>988</v>
      </c>
      <c r="C25" s="0" t="s">
        <v>1041</v>
      </c>
      <c r="D25" s="0" t="s">
        <v>1046</v>
      </c>
      <c r="E25" s="0" t="s">
        <v>1172</v>
      </c>
      <c r="F25" s="0" t="s">
        <v>1478</v>
      </c>
      <c r="G25" s="0" t="str">
        <f aca="false">IFERROR(IF(INDEX(Matches!$W$5:$W$19,MATCH($C25,Matches!$A$5:$A$19,0))="","",INDEX(Matches!$W$5:$W$19,MATCH($C25,Matches!$A$5:$A$19,0))),"")</f>
        <v>Mirage</v>
      </c>
      <c r="H25" s="0" t="str">
        <f aca="false">IFERROR(IF(INDEX(Matches!$X$5:$X$19,MATCH($C25,Matches!$A$5:$A$19,0))="","",INDEX(Matches!$X$5:$X$19,MATCH($C25,Matches!$A$5:$A$19,0))),"")</f>
        <v>Inferno</v>
      </c>
      <c r="I25" s="0" t="str">
        <f aca="false">IFERROR(IF(INDEX(Matches!$Y$5:$Y$19,MATCH($C25,Matches!$A$5:$A$19,0))="","",INDEX(Matches!$Y$5:$Y$19,MATCH($C25,Matches!$A$5:$A$19,0))),"")</f>
        <v>Dust2</v>
      </c>
      <c r="J25" s="11" t="n">
        <f aca="false">IFERROR(IF(INDEX(Matches!$Z$5:$Z$19,MATCH($C25,Matches!$A$5:$A$19,0))="","",INDEX(Matches!$Z$5:$Z$19,MATCH($C25,Matches!$A$5:$A$19,0))),"")</f>
        <v>21.42</v>
      </c>
      <c r="K25" s="11" t="n">
        <f aca="false">IFERROR(IF(INDEX(Matches!$AA$5:$AA$19,MATCH($C25,Matches!$A$5:$A$19,0))="","",INDEX(Matches!$AA$5:$AA$19,MATCH($C25,Matches!$A$5:$A$19,0))),"")</f>
        <v>21.5</v>
      </c>
      <c r="L25" s="11" t="n">
        <f aca="false">IFERROR(IF(INDEX(Matches!$AB$5:$AB$19,MATCH($C25,Matches!$A$5:$A$19,0))="","",INDEX(Matches!$AB$5:$AB$19,MATCH($C25,Matches!$A$5:$A$19,0))),"")</f>
        <v>21.5</v>
      </c>
      <c r="M25" s="10" t="n">
        <f aca="false">IFERROR(IF(INDEX(Matches!$AC$5:$AC$19,MATCH($C25,Matches!$A$5:$A$19,0))="","",INDEX(Matches!$AC$5:$AC$19,MATCH($C25,Matches!$A$5:$A$19,0))),"")</f>
        <v>0.5006</v>
      </c>
      <c r="N25" s="9" t="n">
        <f aca="false">IFERROR(INDEX(Players!$F$2:$F$124,MATCH($F25,Players!$A$2:$A$124,0)),0)</f>
        <v>38</v>
      </c>
      <c r="O25" s="13" t="n">
        <f aca="false">IFERROR(1/(1/INDEX(Players!$H$2:$H$124,MATCH($F25,Players!$A$2:$A$124,0))),"")</f>
        <v>0.63</v>
      </c>
      <c r="P25" s="10" t="n">
        <f aca="false">IFERROR(1/(1/INDEX(Players!$I$2:$I$124,MATCH($F25,Players!$A$2:$A$124,0))),"")</f>
        <v>0.597</v>
      </c>
      <c r="Q25" s="9" t="n">
        <f aca="false">IF($G25="",0,SUMIFS(Map_Stats!$F$2:$F$779,Map_Stats!$A$2:$A$779,$F25&amp;"|"&amp;$G25))</f>
        <v>6</v>
      </c>
      <c r="R25" s="13" t="n">
        <f aca="false">IF($G25="","",IFERROR(1/(1/INDEX(Map_Stats!$K$2:$K$779,MATCH($F25&amp;"|"&amp;$G25,Map_Stats!$A$2:$A$779,0))),$O25))</f>
        <v>0.64</v>
      </c>
      <c r="S25" s="10" t="n">
        <f aca="false">IF(OR($G25="",$P25=""),"",IFERROR(1/(1/INDEX(Map_Stats!$I$2:$I$779,MATCH($F25&amp;"|"&amp;$G25,Map_Stats!$A$2:$A$779,0))),$P25))</f>
        <v>0.628</v>
      </c>
      <c r="T25" s="13" t="n">
        <f aca="false">IF(OR($G25="",R25=""),"",IF($O25="",R25,(Q25*R25+Config!$B$4*$O25)/(Q25+Config!$B$4)))</f>
        <v>0.635454545454546</v>
      </c>
      <c r="U25" s="10" t="n">
        <f aca="false">IF(S25="","",(Q25*S25+Config!$B$4*$P25)/(Q25+Config!$B$4))</f>
        <v>0.613909090909091</v>
      </c>
      <c r="V25" s="17" t="n">
        <f aca="false">IF(OR(T25="",$J25=""),"",T25*$J25*($J25/Config!$B$10)^Config!$B$9)</f>
        <v>13.6114363636364</v>
      </c>
      <c r="W25" s="17" t="n">
        <f aca="false">IF(OR(V25="",U25=""),"",V25*U25)</f>
        <v>8.35618452396694</v>
      </c>
      <c r="X25" s="9" t="n">
        <f aca="false">IF($H25="",0,SUMIFS(Map_Stats!$F$2:$F$779,Map_Stats!$A$2:$A$779,$F25&amp;"|"&amp;$H25))</f>
        <v>8</v>
      </c>
      <c r="Y25" s="13" t="n">
        <f aca="false">IF($H25="","",IFERROR(1/(1/INDEX(Map_Stats!$K$2:$K$779,MATCH($F25&amp;"|"&amp;$H25,Map_Stats!$A$2:$A$779,0))),$O25))</f>
        <v>0.59</v>
      </c>
      <c r="Z25" s="10" t="n">
        <f aca="false">IF(OR($H25="",$P25=""),"",IFERROR(1/(1/INDEX(Map_Stats!$I$2:$I$779,MATCH($F25&amp;"|"&amp;$H25,Map_Stats!$A$2:$A$779,0))),$P25))</f>
        <v>0.57</v>
      </c>
      <c r="AA25" s="13" t="n">
        <f aca="false">IF(OR($H25="",Y25=""),"",IF($O25="",Y25,(X25*Y25+Config!$B$4*$O25)/(X25+Config!$B$4)))</f>
        <v>0.605384615384615</v>
      </c>
      <c r="AB25" s="10" t="n">
        <f aca="false">IF(Z25="","",(X25*Z25+Config!$B$4*$P25)/(X25+Config!$B$4))</f>
        <v>0.580384615384615</v>
      </c>
      <c r="AC25" s="17" t="n">
        <f aca="false">IF(OR(AA25="",$K25=""),"",AA25*$K25*($K25/Config!$B$10)^Config!$B$9)</f>
        <v>13.0157692307692</v>
      </c>
      <c r="AD25" s="17" t="n">
        <f aca="false">IF(OR(AC25="",AB25=""),"",AC25*AB25)</f>
        <v>7.55415221893491</v>
      </c>
      <c r="AE25" s="9" t="n">
        <f aca="false">IF($I25="",0,SUMIFS(Map_Stats!$F$2:$F$779,Map_Stats!$A$2:$A$779,$F25&amp;"|"&amp;$I25))</f>
        <v>7</v>
      </c>
      <c r="AF25" s="13" t="n">
        <f aca="false">IF($I25="","",IFERROR(1/(1/INDEX(Map_Stats!$K$2:$K$779,MATCH($F25&amp;"|"&amp;$I25,Map_Stats!$A$2:$A$779,0))),$O25))</f>
        <v>0.74</v>
      </c>
      <c r="AG25" s="10" t="n">
        <f aca="false">IF(OR($I25="",$P25=""),"",IFERROR(1/(1/INDEX(Map_Stats!$I$2:$I$779,MATCH($F25&amp;"|"&amp;$I25,Map_Stats!$A$2:$A$779,0))),$P25))</f>
        <v>0.562</v>
      </c>
      <c r="AH25" s="13" t="n">
        <f aca="false">IF(OR($I25="",AF25=""),"",IF($O25="",AF25,(AE25*AF25+Config!$B$4*$O25)/(AE25+Config!$B$4)))</f>
        <v>0.694166666666667</v>
      </c>
      <c r="AI25" s="10" t="n">
        <f aca="false">IF(AG25="","",(AE25*AG25+Config!$B$4*$P25)/(AE25+Config!$B$4))</f>
        <v>0.576583333333333</v>
      </c>
      <c r="AJ25" s="17" t="n">
        <f aca="false">IF(OR(AH25="",$L25=""),"",AH25*$L25*($L25/Config!$B$10)^Config!$B$9)</f>
        <v>14.9245833333333</v>
      </c>
      <c r="AK25" s="17" t="n">
        <f aca="false">IF(OR(AJ25="",AI25=""),"",AJ25*AI25)</f>
        <v>8.60526600694445</v>
      </c>
      <c r="AL25" s="17" t="n">
        <f aca="false">N(V25)+N(AC25)</f>
        <v>26.6272055944056</v>
      </c>
      <c r="AM25" s="17" t="n">
        <f aca="false">AL25+N($M25)*N(AJ25)</f>
        <v>34.0984520110723</v>
      </c>
      <c r="AN25" s="17" t="n">
        <f aca="false">IF(W25="","",N(W25)+N(AD25))</f>
        <v>15.9103367429019</v>
      </c>
      <c r="AO25" s="17" t="n">
        <f aca="false">IF(AN25="","",AN25+N($M25)*N(AK25))</f>
        <v>20.2181329059782</v>
      </c>
      <c r="AP25" s="10" t="n">
        <f aca="false">IFERROR(AN25/AL25,"")</f>
        <v>0.597521834820122</v>
      </c>
      <c r="AQ25" s="0" t="str">
        <f aca="false">TRIM(IF($N25&lt;Config!$B$12,"thin sample ("&amp;$N25&amp;" maps) · ","")&amp;IF(AND($G25&lt;&gt;"",Q25=0),"M1 unplayed→overall KPR · ","")&amp;IF(AND($H25&lt;&gt;"",X25=0),"M2 unplayed→overall KPR · ","")&amp;IF($O25="","no PickFinder stats",""))</f>
        <v/>
      </c>
      <c r="AR25" s="0" t="str">
        <f aca="false">IF($C25=Board!$B$2,COUNTIFS($C$2:$C$124,Board!$B$2,$AL$2:$AL$124,"&gt;"&amp;$AL25)+COUNTIFS($C$1:$C24,Board!$B$2,$AL$1:$AL24,$AL25)+1,"")</f>
        <v/>
      </c>
      <c r="AS25" s="0" t="str">
        <f aca="false">IFERROR(IF($D25=INDEX(Matches!$AD$5:$AD$19,MATCH($C25,Matches!$A$5:$A$19,0)),"A",IF($D25=INDEX(Matches!$AE$5:$AE$19,MATCH($C25,Matches!$A$5:$A$19,0)),"B","")),"")</f>
        <v>B</v>
      </c>
      <c r="AT25" s="10" t="n">
        <f aca="false">IF($AS25="","",IFERROR(IF($AS25="A",INDEX(Matches!$AI$5:$AI$19,MATCH($C25,Matches!$A$5:$A$19,0)),INDEX(Matches!$AJ$5:$AJ$19,MATCH($C25,Matches!$A$5:$A$19,0))),""))</f>
        <v>0.509174752617927</v>
      </c>
      <c r="AU25" s="10" t="n">
        <f aca="false">IF($AS25="","",IFERROR(IF(INDEX(Matches!$AP$5:$AP$19,MATCH($C25,Matches!$A$5:$A$19,0))="","",IF($AS25="A",INDEX(Matches!$AP$5:$AP$19,MATCH($C25,Matches!$A$5:$A$19,0)),1-INDEX(Matches!$AP$5:$AP$19,MATCH($C25,Matches!$A$5:$A$19,0)))),""))</f>
        <v>0.48693832796962</v>
      </c>
      <c r="AV25" s="13" t="n">
        <f aca="false">IF(OR($AU25="",$AT25=""),1,((Config!$B$14*$AU25+Config!$B$15*(1-$AU25))/(Config!$B$14*$AT25+Config!$B$15*(1-$AT25)))^Config!$B$13)</f>
        <v>0.980290743024817</v>
      </c>
      <c r="AW25" s="10" t="n">
        <f aca="false">IF($AS25="","",IFERROR(IF(INDEX(Matches!$AV$5:$AV$19,MATCH($C25,Matches!$A$5:$A$19,0))="","",IF($AS25="A",INDEX(Matches!$AV$5:$AV$19,MATCH($C25,Matches!$A$5:$A$19,0)),1-INDEX(Matches!$AV$5:$AV$19,MATCH($C25,Matches!$A$5:$A$19,0)))),""))</f>
        <v>0.470117252572038</v>
      </c>
      <c r="AX25" s="13" t="n">
        <f aca="false">IF(OR($AW25="",$AT25=""),1,((Config!$B$14*$AW25+Config!$B$15*(1-$AW25))/(Config!$B$14*$AT25+Config!$B$15*(1-$AT25)))^Config!$B$13)</f>
        <v>0.965381381342199</v>
      </c>
      <c r="AY25" s="10" t="n">
        <f aca="false">IF($AS25="","",IFERROR(IF(INDEX(Matches!$BB$5:$BB$19,MATCH($C25,Matches!$A$5:$A$19,0))="","",IF($AS25="A",INDEX(Matches!$BB$5:$BB$19,MATCH($C25,Matches!$A$5:$A$19,0)),1-INDEX(Matches!$BB$5:$BB$19,MATCH($C25,Matches!$A$5:$A$19,0)))),""))</f>
        <v>0.51079990505578</v>
      </c>
      <c r="AZ25" s="13" t="n">
        <f aca="false">IF(OR($AY25="",$AT25=""),1,((Config!$B$14*$AY25+Config!$B$15*(1-$AY25))/(Config!$B$14*$AT25+Config!$B$15*(1-$AT25)))^Config!$B$13)</f>
        <v>1.0014404540086</v>
      </c>
      <c r="BA25" s="17" t="n">
        <f aca="false">IF(V25="","",V25*$AV25)</f>
        <v>13.3431650665441</v>
      </c>
      <c r="BB25" s="17" t="n">
        <f aca="false">IF(AC25="","",AC25*$AX25)</f>
        <v>12.5651812792313</v>
      </c>
      <c r="BC25" s="17" t="n">
        <f aca="false">IF(AJ25="","",AJ25*$AZ25)</f>
        <v>14.9460815092224</v>
      </c>
      <c r="BD25" s="17" t="n">
        <f aca="false">N(BA25)+N(BB25)</f>
        <v>25.9083463457754</v>
      </c>
      <c r="BE25" s="17" t="n">
        <f aca="false">BD25+N($M25)*N(BC25)</f>
        <v>33.3903547492922</v>
      </c>
      <c r="BF25" s="17" t="n">
        <f aca="false">IF(W25="","",W25*$AV25)</f>
        <v>8.19149033585203</v>
      </c>
      <c r="BG25" s="17" t="n">
        <f aca="false">IF(AD25="","",AD25*$AX25)</f>
        <v>7.29263790398462</v>
      </c>
      <c r="BH25" s="17" t="n">
        <f aca="false">IF(AK25="","",AK25*$AZ25)</f>
        <v>8.61766149685918</v>
      </c>
      <c r="BI25" s="17" t="n">
        <f aca="false">IF(BF25="","",N(BF25)+N(BG25))</f>
        <v>15.4841282398367</v>
      </c>
      <c r="BJ25" s="17" t="n">
        <f aca="false">IF(BI25="","",BI25+N($M25)*N(BH25))</f>
        <v>19.7981295851644</v>
      </c>
      <c r="BK25" s="13" t="n">
        <f aca="false">IFERROR(BD25/AL25,1)</f>
        <v>0.973002828025588</v>
      </c>
    </row>
    <row r="26" customFormat="false" ht="15" hidden="false" customHeight="false" outlineLevel="0" collapsed="false">
      <c r="A26" s="0" t="s">
        <v>1177</v>
      </c>
      <c r="B26" s="0" t="s">
        <v>988</v>
      </c>
      <c r="C26" s="0" t="s">
        <v>1041</v>
      </c>
      <c r="D26" s="0" t="s">
        <v>1046</v>
      </c>
      <c r="E26" s="0" t="s">
        <v>1175</v>
      </c>
      <c r="F26" s="0" t="s">
        <v>1479</v>
      </c>
      <c r="G26" s="0" t="str">
        <f aca="false">IFERROR(IF(INDEX(Matches!$W$5:$W$19,MATCH($C26,Matches!$A$5:$A$19,0))="","",INDEX(Matches!$W$5:$W$19,MATCH($C26,Matches!$A$5:$A$19,0))),"")</f>
        <v>Mirage</v>
      </c>
      <c r="H26" s="0" t="str">
        <f aca="false">IFERROR(IF(INDEX(Matches!$X$5:$X$19,MATCH($C26,Matches!$A$5:$A$19,0))="","",INDEX(Matches!$X$5:$X$19,MATCH($C26,Matches!$A$5:$A$19,0))),"")</f>
        <v>Inferno</v>
      </c>
      <c r="I26" s="0" t="str">
        <f aca="false">IFERROR(IF(INDEX(Matches!$Y$5:$Y$19,MATCH($C26,Matches!$A$5:$A$19,0))="","",INDEX(Matches!$Y$5:$Y$19,MATCH($C26,Matches!$A$5:$A$19,0))),"")</f>
        <v>Dust2</v>
      </c>
      <c r="J26" s="11" t="n">
        <f aca="false">IFERROR(IF(INDEX(Matches!$Z$5:$Z$19,MATCH($C26,Matches!$A$5:$A$19,0))="","",INDEX(Matches!$Z$5:$Z$19,MATCH($C26,Matches!$A$5:$A$19,0))),"")</f>
        <v>21.42</v>
      </c>
      <c r="K26" s="11" t="n">
        <f aca="false">IFERROR(IF(INDEX(Matches!$AA$5:$AA$19,MATCH($C26,Matches!$A$5:$A$19,0))="","",INDEX(Matches!$AA$5:$AA$19,MATCH($C26,Matches!$A$5:$A$19,0))),"")</f>
        <v>21.5</v>
      </c>
      <c r="L26" s="11" t="n">
        <f aca="false">IFERROR(IF(INDEX(Matches!$AB$5:$AB$19,MATCH($C26,Matches!$A$5:$A$19,0))="","",INDEX(Matches!$AB$5:$AB$19,MATCH($C26,Matches!$A$5:$A$19,0))),"")</f>
        <v>21.5</v>
      </c>
      <c r="M26" s="10" t="n">
        <f aca="false">IFERROR(IF(INDEX(Matches!$AC$5:$AC$19,MATCH($C26,Matches!$A$5:$A$19,0))="","",INDEX(Matches!$AC$5:$AC$19,MATCH($C26,Matches!$A$5:$A$19,0))),"")</f>
        <v>0.5006</v>
      </c>
      <c r="N26" s="9" t="n">
        <f aca="false">IFERROR(INDEX(Players!$F$2:$F$124,MATCH($F26,Players!$A$2:$A$124,0)),0)</f>
        <v>38</v>
      </c>
      <c r="O26" s="13" t="n">
        <f aca="false">IFERROR(1/(1/INDEX(Players!$H$2:$H$124,MATCH($F26,Players!$A$2:$A$124,0))),"")</f>
        <v>0.64</v>
      </c>
      <c r="P26" s="10" t="n">
        <f aca="false">IFERROR(1/(1/INDEX(Players!$I$2:$I$124,MATCH($F26,Players!$A$2:$A$124,0))),"")</f>
        <v>0.662</v>
      </c>
      <c r="Q26" s="9" t="n">
        <f aca="false">IF($G26="",0,SUMIFS(Map_Stats!$F$2:$F$779,Map_Stats!$A$2:$A$779,$F26&amp;"|"&amp;$G26))</f>
        <v>6</v>
      </c>
      <c r="R26" s="13" t="n">
        <f aca="false">IF($G26="","",IFERROR(1/(1/INDEX(Map_Stats!$K$2:$K$779,MATCH($F26&amp;"|"&amp;$G26,Map_Stats!$A$2:$A$779,0))),$O26))</f>
        <v>0.72</v>
      </c>
      <c r="S26" s="10" t="n">
        <f aca="false">IF(OR($G26="",$P26=""),"",IFERROR(1/(1/INDEX(Map_Stats!$I$2:$I$779,MATCH($F26&amp;"|"&amp;$G26,Map_Stats!$A$2:$A$779,0))),$P26))</f>
        <v>0.608</v>
      </c>
      <c r="T26" s="13" t="n">
        <f aca="false">IF(OR($G26="",R26=""),"",IF($O26="",R26,(Q26*R26+Config!$B$4*$O26)/(Q26+Config!$B$4)))</f>
        <v>0.683636363636364</v>
      </c>
      <c r="U26" s="10" t="n">
        <f aca="false">IF(S26="","",(Q26*S26+Config!$B$4*$P26)/(Q26+Config!$B$4))</f>
        <v>0.632545454545455</v>
      </c>
      <c r="V26" s="17" t="n">
        <f aca="false">IF(OR(T26="",$J26=""),"",T26*$J26*($J26/Config!$B$10)^Config!$B$9)</f>
        <v>14.6434909090909</v>
      </c>
      <c r="W26" s="17" t="n">
        <f aca="false">IF(OR(V26="",U26=""),"",V26*U26)</f>
        <v>9.26267361322314</v>
      </c>
      <c r="X26" s="9" t="n">
        <f aca="false">IF($H26="",0,SUMIFS(Map_Stats!$F$2:$F$779,Map_Stats!$A$2:$A$779,$F26&amp;"|"&amp;$H26))</f>
        <v>8</v>
      </c>
      <c r="Y26" s="13" t="n">
        <f aca="false">IF($H26="","",IFERROR(1/(1/INDEX(Map_Stats!$K$2:$K$779,MATCH($F26&amp;"|"&amp;$H26,Map_Stats!$A$2:$A$779,0))),$O26))</f>
        <v>0.74</v>
      </c>
      <c r="Z26" s="10" t="n">
        <f aca="false">IF(OR($H26="",$P26=""),"",IFERROR(1/(1/INDEX(Map_Stats!$I$2:$I$779,MATCH($F26&amp;"|"&amp;$H26,Map_Stats!$A$2:$A$779,0))),$P26))</f>
        <v>0.709</v>
      </c>
      <c r="AA26" s="13" t="n">
        <f aca="false">IF(OR($H26="",Y26=""),"",IF($O26="",Y26,(X26*Y26+Config!$B$4*$O26)/(X26+Config!$B$4)))</f>
        <v>0.701538461538462</v>
      </c>
      <c r="AB26" s="10" t="n">
        <f aca="false">IF(Z26="","",(X26*Z26+Config!$B$4*$P26)/(X26+Config!$B$4))</f>
        <v>0.690923076923077</v>
      </c>
      <c r="AC26" s="17" t="n">
        <f aca="false">IF(OR(AA26="",$K26=""),"",AA26*$K26*($K26/Config!$B$10)^Config!$B$9)</f>
        <v>15.0830769230769</v>
      </c>
      <c r="AD26" s="17" t="n">
        <f aca="false">IF(OR(AC26="",AB26=""),"",AC26*AB26)</f>
        <v>10.4212459171598</v>
      </c>
      <c r="AE26" s="9" t="n">
        <f aca="false">IF($I26="",0,SUMIFS(Map_Stats!$F$2:$F$779,Map_Stats!$A$2:$A$779,$F26&amp;"|"&amp;$I26))</f>
        <v>7</v>
      </c>
      <c r="AF26" s="13" t="n">
        <f aca="false">IF($I26="","",IFERROR(1/(1/INDEX(Map_Stats!$K$2:$K$779,MATCH($F26&amp;"|"&amp;$I26,Map_Stats!$A$2:$A$779,0))),$O26))</f>
        <v>0.52</v>
      </c>
      <c r="AG26" s="10" t="n">
        <f aca="false">IF(OR($I26="",$P26=""),"",IFERROR(1/(1/INDEX(Map_Stats!$I$2:$I$779,MATCH($F26&amp;"|"&amp;$I26,Map_Stats!$A$2:$A$779,0))),$P26))</f>
        <v>0.679</v>
      </c>
      <c r="AH26" s="13" t="n">
        <f aca="false">IF(OR($I26="",AF26=""),"",IF($O26="",AF26,(AE26*AF26+Config!$B$4*$O26)/(AE26+Config!$B$4)))</f>
        <v>0.57</v>
      </c>
      <c r="AI26" s="10" t="n">
        <f aca="false">IF(AG26="","",(AE26*AG26+Config!$B$4*$P26)/(AE26+Config!$B$4))</f>
        <v>0.671916666666667</v>
      </c>
      <c r="AJ26" s="17" t="n">
        <f aca="false">IF(OR(AH26="",$L26=""),"",AH26*$L26*($L26/Config!$B$10)^Config!$B$9)</f>
        <v>12.255</v>
      </c>
      <c r="AK26" s="17" t="n">
        <f aca="false">IF(OR(AJ26="",AI26=""),"",AJ26*AI26)</f>
        <v>8.23433875</v>
      </c>
      <c r="AL26" s="17" t="n">
        <f aca="false">N(V26)+N(AC26)</f>
        <v>29.7265678321678</v>
      </c>
      <c r="AM26" s="17" t="n">
        <f aca="false">AL26+N($M26)*N(AJ26)</f>
        <v>35.8614208321678</v>
      </c>
      <c r="AN26" s="17" t="n">
        <f aca="false">IF(W26="","",N(W26)+N(AD26))</f>
        <v>19.6839195303829</v>
      </c>
      <c r="AO26" s="17" t="n">
        <f aca="false">IF(AN26="","",AN26+N($M26)*N(AK26))</f>
        <v>23.8060295086329</v>
      </c>
      <c r="AP26" s="10" t="n">
        <f aca="false">IFERROR(AN26/AL26,"")</f>
        <v>0.662165899592433</v>
      </c>
      <c r="AQ26" s="0" t="str">
        <f aca="false">TRIM(IF($N26&lt;Config!$B$12,"thin sample ("&amp;$N26&amp;" maps) · ","")&amp;IF(AND($G26&lt;&gt;"",Q26=0),"M1 unplayed→overall KPR · ","")&amp;IF(AND($H26&lt;&gt;"",X26=0),"M2 unplayed→overall KPR · ","")&amp;IF($O26="","no PickFinder stats",""))</f>
        <v/>
      </c>
      <c r="AR26" s="0" t="str">
        <f aca="false">IF($C26=Board!$B$2,COUNTIFS($C$2:$C$124,Board!$B$2,$AL$2:$AL$124,"&gt;"&amp;$AL26)+COUNTIFS($C$1:$C25,Board!$B$2,$AL$1:$AL25,$AL26)+1,"")</f>
        <v/>
      </c>
      <c r="AS26" s="0" t="str">
        <f aca="false">IFERROR(IF($D26=INDEX(Matches!$AD$5:$AD$19,MATCH($C26,Matches!$A$5:$A$19,0)),"A",IF($D26=INDEX(Matches!$AE$5:$AE$19,MATCH($C26,Matches!$A$5:$A$19,0)),"B","")),"")</f>
        <v>B</v>
      </c>
      <c r="AT26" s="10" t="n">
        <f aca="false">IF($AS26="","",IFERROR(IF($AS26="A",INDEX(Matches!$AI$5:$AI$19,MATCH($C26,Matches!$A$5:$A$19,0)),INDEX(Matches!$AJ$5:$AJ$19,MATCH($C26,Matches!$A$5:$A$19,0))),""))</f>
        <v>0.509174752617927</v>
      </c>
      <c r="AU26" s="10" t="n">
        <f aca="false">IF($AS26="","",IFERROR(IF(INDEX(Matches!$AP$5:$AP$19,MATCH($C26,Matches!$A$5:$A$19,0))="","",IF($AS26="A",INDEX(Matches!$AP$5:$AP$19,MATCH($C26,Matches!$A$5:$A$19,0)),1-INDEX(Matches!$AP$5:$AP$19,MATCH($C26,Matches!$A$5:$A$19,0)))),""))</f>
        <v>0.48693832796962</v>
      </c>
      <c r="AV26" s="13" t="n">
        <f aca="false">IF(OR($AU26="",$AT26=""),1,((Config!$B$14*$AU26+Config!$B$15*(1-$AU26))/(Config!$B$14*$AT26+Config!$B$15*(1-$AT26)))^Config!$B$13)</f>
        <v>0.980290743024817</v>
      </c>
      <c r="AW26" s="10" t="n">
        <f aca="false">IF($AS26="","",IFERROR(IF(INDEX(Matches!$AV$5:$AV$19,MATCH($C26,Matches!$A$5:$A$19,0))="","",IF($AS26="A",INDEX(Matches!$AV$5:$AV$19,MATCH($C26,Matches!$A$5:$A$19,0)),1-INDEX(Matches!$AV$5:$AV$19,MATCH($C26,Matches!$A$5:$A$19,0)))),""))</f>
        <v>0.470117252572038</v>
      </c>
      <c r="AX26" s="13" t="n">
        <f aca="false">IF(OR($AW26="",$AT26=""),1,((Config!$B$14*$AW26+Config!$B$15*(1-$AW26))/(Config!$B$14*$AT26+Config!$B$15*(1-$AT26)))^Config!$B$13)</f>
        <v>0.965381381342199</v>
      </c>
      <c r="AY26" s="10" t="n">
        <f aca="false">IF($AS26="","",IFERROR(IF(INDEX(Matches!$BB$5:$BB$19,MATCH($C26,Matches!$A$5:$A$19,0))="","",IF($AS26="A",INDEX(Matches!$BB$5:$BB$19,MATCH($C26,Matches!$A$5:$A$19,0)),1-INDEX(Matches!$BB$5:$BB$19,MATCH($C26,Matches!$A$5:$A$19,0)))),""))</f>
        <v>0.51079990505578</v>
      </c>
      <c r="AZ26" s="13" t="n">
        <f aca="false">IF(OR($AY26="",$AT26=""),1,((Config!$B$14*$AY26+Config!$B$15*(1-$AY26))/(Config!$B$14*$AT26+Config!$B$15*(1-$AT26)))^Config!$B$13)</f>
        <v>1.0014404540086</v>
      </c>
      <c r="BA26" s="17" t="n">
        <f aca="false">IF(V26="","",V26*$AV26)</f>
        <v>14.3548785837499</v>
      </c>
      <c r="BB26" s="17" t="n">
        <f aca="false">IF(AC26="","",AC26*$AX26)</f>
        <v>14.5609216348907</v>
      </c>
      <c r="BC26" s="17" t="n">
        <f aca="false">IF(AJ26="","",AJ26*$AZ26)</f>
        <v>12.2726527638753</v>
      </c>
      <c r="BD26" s="17" t="n">
        <f aca="false">N(BA26)+N(BB26)</f>
        <v>28.9158002186405</v>
      </c>
      <c r="BE26" s="17" t="n">
        <f aca="false">BD26+N($M26)*N(BC26)</f>
        <v>35.0594901922365</v>
      </c>
      <c r="BF26" s="17" t="n">
        <f aca="false">IF(W26="","",W26*$AV26)</f>
        <v>9.08011319870288</v>
      </c>
      <c r="BG26" s="17" t="n">
        <f aca="false">IF(AD26="","",AD26*$AX26)</f>
        <v>10.0604767788144</v>
      </c>
      <c r="BH26" s="17" t="n">
        <f aca="false">IF(AK26="","",AK26*$AZ26)</f>
        <v>8.24619993626057</v>
      </c>
      <c r="BI26" s="17" t="n">
        <f aca="false">IF(BF26="","",N(BF26)+N(BG26))</f>
        <v>19.1405899775173</v>
      </c>
      <c r="BJ26" s="17" t="n">
        <f aca="false">IF(BI26="","",BI26+N($M26)*N(BH26))</f>
        <v>23.2686376656094</v>
      </c>
      <c r="BK26" s="13" t="n">
        <f aca="false">IFERROR(BD26/AL26,1)</f>
        <v>0.972725824989121</v>
      </c>
    </row>
    <row r="27" customFormat="false" ht="15" hidden="false" customHeight="false" outlineLevel="0" collapsed="false">
      <c r="A27" s="0" t="s">
        <v>1180</v>
      </c>
      <c r="B27" s="0" t="s">
        <v>988</v>
      </c>
      <c r="C27" s="0" t="s">
        <v>1041</v>
      </c>
      <c r="D27" s="0" t="s">
        <v>1046</v>
      </c>
      <c r="E27" s="0" t="s">
        <v>1178</v>
      </c>
      <c r="F27" s="0" t="s">
        <v>1480</v>
      </c>
      <c r="G27" s="0" t="str">
        <f aca="false">IFERROR(IF(INDEX(Matches!$W$5:$W$19,MATCH($C27,Matches!$A$5:$A$19,0))="","",INDEX(Matches!$W$5:$W$19,MATCH($C27,Matches!$A$5:$A$19,0))),"")</f>
        <v>Mirage</v>
      </c>
      <c r="H27" s="0" t="str">
        <f aca="false">IFERROR(IF(INDEX(Matches!$X$5:$X$19,MATCH($C27,Matches!$A$5:$A$19,0))="","",INDEX(Matches!$X$5:$X$19,MATCH($C27,Matches!$A$5:$A$19,0))),"")</f>
        <v>Inferno</v>
      </c>
      <c r="I27" s="0" t="str">
        <f aca="false">IFERROR(IF(INDEX(Matches!$Y$5:$Y$19,MATCH($C27,Matches!$A$5:$A$19,0))="","",INDEX(Matches!$Y$5:$Y$19,MATCH($C27,Matches!$A$5:$A$19,0))),"")</f>
        <v>Dust2</v>
      </c>
      <c r="J27" s="11" t="n">
        <f aca="false">IFERROR(IF(INDEX(Matches!$Z$5:$Z$19,MATCH($C27,Matches!$A$5:$A$19,0))="","",INDEX(Matches!$Z$5:$Z$19,MATCH($C27,Matches!$A$5:$A$19,0))),"")</f>
        <v>21.42</v>
      </c>
      <c r="K27" s="11" t="n">
        <f aca="false">IFERROR(IF(INDEX(Matches!$AA$5:$AA$19,MATCH($C27,Matches!$A$5:$A$19,0))="","",INDEX(Matches!$AA$5:$AA$19,MATCH($C27,Matches!$A$5:$A$19,0))),"")</f>
        <v>21.5</v>
      </c>
      <c r="L27" s="11" t="n">
        <f aca="false">IFERROR(IF(INDEX(Matches!$AB$5:$AB$19,MATCH($C27,Matches!$A$5:$A$19,0))="","",INDEX(Matches!$AB$5:$AB$19,MATCH($C27,Matches!$A$5:$A$19,0))),"")</f>
        <v>21.5</v>
      </c>
      <c r="M27" s="10" t="n">
        <f aca="false">IFERROR(IF(INDEX(Matches!$AC$5:$AC$19,MATCH($C27,Matches!$A$5:$A$19,0))="","",INDEX(Matches!$AC$5:$AC$19,MATCH($C27,Matches!$A$5:$A$19,0))),"")</f>
        <v>0.5006</v>
      </c>
      <c r="N27" s="9" t="n">
        <f aca="false">IFERROR(INDEX(Players!$F$2:$F$124,MATCH($F27,Players!$A$2:$A$124,0)),0)</f>
        <v>38</v>
      </c>
      <c r="O27" s="13" t="n">
        <f aca="false">IFERROR(1/(1/INDEX(Players!$H$2:$H$124,MATCH($F27,Players!$A$2:$A$124,0))),"")</f>
        <v>0.73</v>
      </c>
      <c r="P27" s="10" t="n">
        <f aca="false">IFERROR(1/(1/INDEX(Players!$I$2:$I$124,MATCH($F27,Players!$A$2:$A$124,0))),"")</f>
        <v>0.54</v>
      </c>
      <c r="Q27" s="9" t="n">
        <f aca="false">IF($G27="",0,SUMIFS(Map_Stats!$F$2:$F$779,Map_Stats!$A$2:$A$779,$F27&amp;"|"&amp;$G27))</f>
        <v>6</v>
      </c>
      <c r="R27" s="13" t="n">
        <f aca="false">IF($G27="","",IFERROR(1/(1/INDEX(Map_Stats!$K$2:$K$779,MATCH($F27&amp;"|"&amp;$G27,Map_Stats!$A$2:$A$779,0))),$O27))</f>
        <v>0.73</v>
      </c>
      <c r="S27" s="10" t="n">
        <f aca="false">IF(OR($G27="",$P27=""),"",IFERROR(1/(1/INDEX(Map_Stats!$I$2:$I$779,MATCH($F27&amp;"|"&amp;$G27,Map_Stats!$A$2:$A$779,0))),$P27))</f>
        <v>0.469</v>
      </c>
      <c r="T27" s="13" t="n">
        <f aca="false">IF(OR($G27="",R27=""),"",IF($O27="",R27,(Q27*R27+Config!$B$4*$O27)/(Q27+Config!$B$4)))</f>
        <v>0.73</v>
      </c>
      <c r="U27" s="10" t="n">
        <f aca="false">IF(S27="","",(Q27*S27+Config!$B$4*$P27)/(Q27+Config!$B$4))</f>
        <v>0.501272727272727</v>
      </c>
      <c r="V27" s="17" t="n">
        <f aca="false">IF(OR(T27="",$J27=""),"",T27*$J27*($J27/Config!$B$10)^Config!$B$9)</f>
        <v>15.6366</v>
      </c>
      <c r="W27" s="17" t="n">
        <f aca="false">IF(OR(V27="",U27=""),"",V27*U27)</f>
        <v>7.83820112727273</v>
      </c>
      <c r="X27" s="9" t="n">
        <f aca="false">IF($H27="",0,SUMIFS(Map_Stats!$F$2:$F$779,Map_Stats!$A$2:$A$779,$F27&amp;"|"&amp;$H27))</f>
        <v>8</v>
      </c>
      <c r="Y27" s="13" t="n">
        <f aca="false">IF($H27="","",IFERROR(1/(1/INDEX(Map_Stats!$K$2:$K$779,MATCH($F27&amp;"|"&amp;$H27,Map_Stats!$A$2:$A$779,0))),$O27))</f>
        <v>0.6</v>
      </c>
      <c r="Z27" s="10" t="n">
        <f aca="false">IF(OR($H27="",$P27=""),"",IFERROR(1/(1/INDEX(Map_Stats!$I$2:$I$779,MATCH($F27&amp;"|"&amp;$H27,Map_Stats!$A$2:$A$779,0))),$P27))</f>
        <v>0.514</v>
      </c>
      <c r="AA27" s="13" t="n">
        <f aca="false">IF(OR($H27="",Y27=""),"",IF($O27="",Y27,(X27*Y27+Config!$B$4*$O27)/(X27+Config!$B$4)))</f>
        <v>0.65</v>
      </c>
      <c r="AB27" s="10" t="n">
        <f aca="false">IF(Z27="","",(X27*Z27+Config!$B$4*$P27)/(X27+Config!$B$4))</f>
        <v>0.524</v>
      </c>
      <c r="AC27" s="17" t="n">
        <f aca="false">IF(OR(AA27="",$K27=""),"",AA27*$K27*($K27/Config!$B$10)^Config!$B$9)</f>
        <v>13.975</v>
      </c>
      <c r="AD27" s="17" t="n">
        <f aca="false">IF(OR(AC27="",AB27=""),"",AC27*AB27)</f>
        <v>7.3229</v>
      </c>
      <c r="AE27" s="9" t="n">
        <f aca="false">IF($I27="",0,SUMIFS(Map_Stats!$F$2:$F$779,Map_Stats!$A$2:$A$779,$F27&amp;"|"&amp;$I27))</f>
        <v>7</v>
      </c>
      <c r="AF27" s="13" t="n">
        <f aca="false">IF($I27="","",IFERROR(1/(1/INDEX(Map_Stats!$K$2:$K$779,MATCH($F27&amp;"|"&amp;$I27,Map_Stats!$A$2:$A$779,0))),$O27))</f>
        <v>0.74</v>
      </c>
      <c r="AG27" s="10" t="n">
        <f aca="false">IF(OR($I27="",$P27=""),"",IFERROR(1/(1/INDEX(Map_Stats!$I$2:$I$779,MATCH($F27&amp;"|"&amp;$I27,Map_Stats!$A$2:$A$779,0))),$P27))</f>
        <v>0.567</v>
      </c>
      <c r="AH27" s="13" t="n">
        <f aca="false">IF(OR($I27="",AF27=""),"",IF($O27="",AF27,(AE27*AF27+Config!$B$4*$O27)/(AE27+Config!$B$4)))</f>
        <v>0.735833333333333</v>
      </c>
      <c r="AI27" s="10" t="n">
        <f aca="false">IF(AG27="","",(AE27*AG27+Config!$B$4*$P27)/(AE27+Config!$B$4))</f>
        <v>0.55575</v>
      </c>
      <c r="AJ27" s="17" t="n">
        <f aca="false">IF(OR(AH27="",$L27=""),"",AH27*$L27*($L27/Config!$B$10)^Config!$B$9)</f>
        <v>15.8204166666667</v>
      </c>
      <c r="AK27" s="17" t="n">
        <f aca="false">IF(OR(AJ27="",AI27=""),"",AJ27*AI27)</f>
        <v>8.7921965625</v>
      </c>
      <c r="AL27" s="17" t="n">
        <f aca="false">N(V27)+N(AC27)</f>
        <v>29.6116</v>
      </c>
      <c r="AM27" s="17" t="n">
        <f aca="false">AL27+N($M27)*N(AJ27)</f>
        <v>37.5313005833333</v>
      </c>
      <c r="AN27" s="17" t="n">
        <f aca="false">IF(W27="","",N(W27)+N(AD27))</f>
        <v>15.1611011272727</v>
      </c>
      <c r="AO27" s="17" t="n">
        <f aca="false">IF(AN27="","",AN27+N($M27)*N(AK27))</f>
        <v>19.5624747264602</v>
      </c>
      <c r="AP27" s="10" t="n">
        <f aca="false">IFERROR(AN27/AL27,"")</f>
        <v>0.511998714263084</v>
      </c>
      <c r="AQ27" s="0" t="str">
        <f aca="false">TRIM(IF($N27&lt;Config!$B$12,"thin sample ("&amp;$N27&amp;" maps) · ","")&amp;IF(AND($G27&lt;&gt;"",Q27=0),"M1 unplayed→overall KPR · ","")&amp;IF(AND($H27&lt;&gt;"",X27=0),"M2 unplayed→overall KPR · ","")&amp;IF($O27="","no PickFinder stats",""))</f>
        <v/>
      </c>
      <c r="AR27" s="0" t="str">
        <f aca="false">IF($C27=Board!$B$2,COUNTIFS($C$2:$C$124,Board!$B$2,$AL$2:$AL$124,"&gt;"&amp;$AL27)+COUNTIFS($C$1:$C26,Board!$B$2,$AL$1:$AL26,$AL27)+1,"")</f>
        <v/>
      </c>
      <c r="AS27" s="0" t="str">
        <f aca="false">IFERROR(IF($D27=INDEX(Matches!$AD$5:$AD$19,MATCH($C27,Matches!$A$5:$A$19,0)),"A",IF($D27=INDEX(Matches!$AE$5:$AE$19,MATCH($C27,Matches!$A$5:$A$19,0)),"B","")),"")</f>
        <v>B</v>
      </c>
      <c r="AT27" s="10" t="n">
        <f aca="false">IF($AS27="","",IFERROR(IF($AS27="A",INDEX(Matches!$AI$5:$AI$19,MATCH($C27,Matches!$A$5:$A$19,0)),INDEX(Matches!$AJ$5:$AJ$19,MATCH($C27,Matches!$A$5:$A$19,0))),""))</f>
        <v>0.509174752617927</v>
      </c>
      <c r="AU27" s="10" t="n">
        <f aca="false">IF($AS27="","",IFERROR(IF(INDEX(Matches!$AP$5:$AP$19,MATCH($C27,Matches!$A$5:$A$19,0))="","",IF($AS27="A",INDEX(Matches!$AP$5:$AP$19,MATCH($C27,Matches!$A$5:$A$19,0)),1-INDEX(Matches!$AP$5:$AP$19,MATCH($C27,Matches!$A$5:$A$19,0)))),""))</f>
        <v>0.48693832796962</v>
      </c>
      <c r="AV27" s="13" t="n">
        <f aca="false">IF(OR($AU27="",$AT27=""),1,((Config!$B$14*$AU27+Config!$B$15*(1-$AU27))/(Config!$B$14*$AT27+Config!$B$15*(1-$AT27)))^Config!$B$13)</f>
        <v>0.980290743024817</v>
      </c>
      <c r="AW27" s="10" t="n">
        <f aca="false">IF($AS27="","",IFERROR(IF(INDEX(Matches!$AV$5:$AV$19,MATCH($C27,Matches!$A$5:$A$19,0))="","",IF($AS27="A",INDEX(Matches!$AV$5:$AV$19,MATCH($C27,Matches!$A$5:$A$19,0)),1-INDEX(Matches!$AV$5:$AV$19,MATCH($C27,Matches!$A$5:$A$19,0)))),""))</f>
        <v>0.470117252572038</v>
      </c>
      <c r="AX27" s="13" t="n">
        <f aca="false">IF(OR($AW27="",$AT27=""),1,((Config!$B$14*$AW27+Config!$B$15*(1-$AW27))/(Config!$B$14*$AT27+Config!$B$15*(1-$AT27)))^Config!$B$13)</f>
        <v>0.965381381342199</v>
      </c>
      <c r="AY27" s="10" t="n">
        <f aca="false">IF($AS27="","",IFERROR(IF(INDEX(Matches!$BB$5:$BB$19,MATCH($C27,Matches!$A$5:$A$19,0))="","",IF($AS27="A",INDEX(Matches!$BB$5:$BB$19,MATCH($C27,Matches!$A$5:$A$19,0)),1-INDEX(Matches!$BB$5:$BB$19,MATCH($C27,Matches!$A$5:$A$19,0)))),""))</f>
        <v>0.51079990505578</v>
      </c>
      <c r="AZ27" s="13" t="n">
        <f aca="false">IF(OR($AY27="",$AT27=""),1,((Config!$B$14*$AY27+Config!$B$15*(1-$AY27))/(Config!$B$14*$AT27+Config!$B$15*(1-$AT27)))^Config!$B$13)</f>
        <v>1.0014404540086</v>
      </c>
      <c r="BA27" s="17" t="n">
        <f aca="false">IF(V27="","",V27*$AV27)</f>
        <v>15.3284142323819</v>
      </c>
      <c r="BB27" s="17" t="n">
        <f aca="false">IF(AC27="","",AC27*$AX27)</f>
        <v>13.4912048042572</v>
      </c>
      <c r="BC27" s="17" t="n">
        <f aca="false">IF(AJ27="","",AJ27*$AZ27)</f>
        <v>15.8432052492718</v>
      </c>
      <c r="BD27" s="17" t="n">
        <f aca="false">N(BA27)+N(BB27)</f>
        <v>28.8196190366391</v>
      </c>
      <c r="BE27" s="17" t="n">
        <f aca="false">BD27+N($M27)*N(BC27)</f>
        <v>36.7507275844246</v>
      </c>
      <c r="BF27" s="17" t="n">
        <f aca="false">IF(W27="","",W27*$AV27)</f>
        <v>7.68371600703214</v>
      </c>
      <c r="BG27" s="17" t="n">
        <f aca="false">IF(AD27="","",AD27*$AX27)</f>
        <v>7.06939131743079</v>
      </c>
      <c r="BH27" s="17" t="n">
        <f aca="false">IF(AK27="","",AK27*$AZ27)</f>
        <v>8.80486131728281</v>
      </c>
      <c r="BI27" s="17" t="n">
        <f aca="false">IF(BF27="","",N(BF27)+N(BG27))</f>
        <v>14.7531073244629</v>
      </c>
      <c r="BJ27" s="17" t="n">
        <f aca="false">IF(BI27="","",BI27+N($M27)*N(BH27))</f>
        <v>19.1608208998947</v>
      </c>
      <c r="BK27" s="13" t="n">
        <f aca="false">IFERROR(BD27/AL27,1)</f>
        <v>0.973254367769357</v>
      </c>
    </row>
    <row r="28" customFormat="false" ht="15" hidden="false" customHeight="false" outlineLevel="0" collapsed="false">
      <c r="A28" s="0" t="s">
        <v>1183</v>
      </c>
      <c r="B28" s="0" t="s">
        <v>988</v>
      </c>
      <c r="C28" s="0" t="s">
        <v>1041</v>
      </c>
      <c r="D28" s="0" t="s">
        <v>1046</v>
      </c>
      <c r="E28" s="0" t="s">
        <v>1181</v>
      </c>
      <c r="F28" s="0" t="s">
        <v>1481</v>
      </c>
      <c r="G28" s="0" t="str">
        <f aca="false">IFERROR(IF(INDEX(Matches!$W$5:$W$19,MATCH($C28,Matches!$A$5:$A$19,0))="","",INDEX(Matches!$W$5:$W$19,MATCH($C28,Matches!$A$5:$A$19,0))),"")</f>
        <v>Mirage</v>
      </c>
      <c r="H28" s="0" t="str">
        <f aca="false">IFERROR(IF(INDEX(Matches!$X$5:$X$19,MATCH($C28,Matches!$A$5:$A$19,0))="","",INDEX(Matches!$X$5:$X$19,MATCH($C28,Matches!$A$5:$A$19,0))),"")</f>
        <v>Inferno</v>
      </c>
      <c r="I28" s="0" t="str">
        <f aca="false">IFERROR(IF(INDEX(Matches!$Y$5:$Y$19,MATCH($C28,Matches!$A$5:$A$19,0))="","",INDEX(Matches!$Y$5:$Y$19,MATCH($C28,Matches!$A$5:$A$19,0))),"")</f>
        <v>Dust2</v>
      </c>
      <c r="J28" s="11" t="n">
        <f aca="false">IFERROR(IF(INDEX(Matches!$Z$5:$Z$19,MATCH($C28,Matches!$A$5:$A$19,0))="","",INDEX(Matches!$Z$5:$Z$19,MATCH($C28,Matches!$A$5:$A$19,0))),"")</f>
        <v>21.42</v>
      </c>
      <c r="K28" s="11" t="n">
        <f aca="false">IFERROR(IF(INDEX(Matches!$AA$5:$AA$19,MATCH($C28,Matches!$A$5:$A$19,0))="","",INDEX(Matches!$AA$5:$AA$19,MATCH($C28,Matches!$A$5:$A$19,0))),"")</f>
        <v>21.5</v>
      </c>
      <c r="L28" s="11" t="n">
        <f aca="false">IFERROR(IF(INDEX(Matches!$AB$5:$AB$19,MATCH($C28,Matches!$A$5:$A$19,0))="","",INDEX(Matches!$AB$5:$AB$19,MATCH($C28,Matches!$A$5:$A$19,0))),"")</f>
        <v>21.5</v>
      </c>
      <c r="M28" s="10" t="n">
        <f aca="false">IFERROR(IF(INDEX(Matches!$AC$5:$AC$19,MATCH($C28,Matches!$A$5:$A$19,0))="","",INDEX(Matches!$AC$5:$AC$19,MATCH($C28,Matches!$A$5:$A$19,0))),"")</f>
        <v>0.5006</v>
      </c>
      <c r="N28" s="9" t="n">
        <f aca="false">IFERROR(INDEX(Players!$F$2:$F$124,MATCH($F28,Players!$A$2:$A$124,0)),0)</f>
        <v>38</v>
      </c>
      <c r="O28" s="13" t="n">
        <f aca="false">IFERROR(1/(1/INDEX(Players!$H$2:$H$124,MATCH($F28,Players!$A$2:$A$124,0))),"")</f>
        <v>0.59</v>
      </c>
      <c r="P28" s="10" t="n">
        <f aca="false">IFERROR(1/(1/INDEX(Players!$I$2:$I$124,MATCH($F28,Players!$A$2:$A$124,0))),"")</f>
        <v>0.304</v>
      </c>
      <c r="Q28" s="9" t="n">
        <f aca="false">IF($G28="",0,SUMIFS(Map_Stats!$F$2:$F$779,Map_Stats!$A$2:$A$779,$F28&amp;"|"&amp;$G28))</f>
        <v>6</v>
      </c>
      <c r="R28" s="13" t="n">
        <f aca="false">IF($G28="","",IFERROR(1/(1/INDEX(Map_Stats!$K$2:$K$779,MATCH($F28&amp;"|"&amp;$G28,Map_Stats!$A$2:$A$779,0))),$O28))</f>
        <v>0.69</v>
      </c>
      <c r="S28" s="10" t="n">
        <f aca="false">IF(OR($G28="",$P28=""),"",IFERROR(1/(1/INDEX(Map_Stats!$I$2:$I$779,MATCH($F28&amp;"|"&amp;$G28,Map_Stats!$A$2:$A$779,0))),$P28))</f>
        <v>0.215</v>
      </c>
      <c r="T28" s="13" t="n">
        <f aca="false">IF(OR($G28="",R28=""),"",IF($O28="",R28,(Q28*R28+Config!$B$4*$O28)/(Q28+Config!$B$4)))</f>
        <v>0.644545454545455</v>
      </c>
      <c r="U28" s="10" t="n">
        <f aca="false">IF(S28="","",(Q28*S28+Config!$B$4*$P28)/(Q28+Config!$B$4))</f>
        <v>0.255454545454545</v>
      </c>
      <c r="V28" s="17" t="n">
        <f aca="false">IF(OR(T28="",$J28=""),"",T28*$J28*($J28/Config!$B$10)^Config!$B$9)</f>
        <v>13.8061636363636</v>
      </c>
      <c r="W28" s="17" t="n">
        <f aca="false">IF(OR(V28="",U28=""),"",V28*U28)</f>
        <v>3.52684725619835</v>
      </c>
      <c r="X28" s="9" t="n">
        <f aca="false">IF($H28="",0,SUMIFS(Map_Stats!$F$2:$F$779,Map_Stats!$A$2:$A$779,$F28&amp;"|"&amp;$H28))</f>
        <v>8</v>
      </c>
      <c r="Y28" s="13" t="n">
        <f aca="false">IF($H28="","",IFERROR(1/(1/INDEX(Map_Stats!$K$2:$K$779,MATCH($F28&amp;"|"&amp;$H28,Map_Stats!$A$2:$A$779,0))),$O28))</f>
        <v>0.51</v>
      </c>
      <c r="Z28" s="10" t="n">
        <f aca="false">IF(OR($H28="",$P28=""),"",IFERROR(1/(1/INDEX(Map_Stats!$I$2:$I$779,MATCH($F28&amp;"|"&amp;$H28,Map_Stats!$A$2:$A$779,0))),$P28))</f>
        <v>0.348</v>
      </c>
      <c r="AA28" s="13" t="n">
        <f aca="false">IF(OR($H28="",Y28=""),"",IF($O28="",Y28,(X28*Y28+Config!$B$4*$O28)/(X28+Config!$B$4)))</f>
        <v>0.540769230769231</v>
      </c>
      <c r="AB28" s="10" t="n">
        <f aca="false">IF(Z28="","",(X28*Z28+Config!$B$4*$P28)/(X28+Config!$B$4))</f>
        <v>0.331076923076923</v>
      </c>
      <c r="AC28" s="17" t="n">
        <f aca="false">IF(OR(AA28="",$K28=""),"",AA28*$K28*($K28/Config!$B$10)^Config!$B$9)</f>
        <v>11.6265384615385</v>
      </c>
      <c r="AD28" s="17" t="n">
        <f aca="false">IF(OR(AC28="",AB28=""),"",AC28*AB28)</f>
        <v>3.84927857988166</v>
      </c>
      <c r="AE28" s="9" t="n">
        <f aca="false">IF($I28="",0,SUMIFS(Map_Stats!$F$2:$F$779,Map_Stats!$A$2:$A$779,$F28&amp;"|"&amp;$I28))</f>
        <v>7</v>
      </c>
      <c r="AF28" s="13" t="n">
        <f aca="false">IF($I28="","",IFERROR(1/(1/INDEX(Map_Stats!$K$2:$K$779,MATCH($F28&amp;"|"&amp;$I28,Map_Stats!$A$2:$A$779,0))),$O28))</f>
        <v>0.6</v>
      </c>
      <c r="AG28" s="10" t="n">
        <f aca="false">IF(OR($I28="",$P28=""),"",IFERROR(1/(1/INDEX(Map_Stats!$I$2:$I$779,MATCH($F28&amp;"|"&amp;$I28,Map_Stats!$A$2:$A$779,0))),$P28))</f>
        <v>0.33</v>
      </c>
      <c r="AH28" s="13" t="n">
        <f aca="false">IF(OR($I28="",AF28=""),"",IF($O28="",AF28,(AE28*AF28+Config!$B$4*$O28)/(AE28+Config!$B$4)))</f>
        <v>0.595833333333333</v>
      </c>
      <c r="AI28" s="10" t="n">
        <f aca="false">IF(AG28="","",(AE28*AG28+Config!$B$4*$P28)/(AE28+Config!$B$4))</f>
        <v>0.319166666666667</v>
      </c>
      <c r="AJ28" s="17" t="n">
        <f aca="false">IF(OR(AH28="",$L28=""),"",AH28*$L28*($L28/Config!$B$10)^Config!$B$9)</f>
        <v>12.8104166666667</v>
      </c>
      <c r="AK28" s="17" t="n">
        <f aca="false">IF(OR(AJ28="",AI28=""),"",AJ28*AI28)</f>
        <v>4.08865798611111</v>
      </c>
      <c r="AL28" s="17" t="n">
        <f aca="false">N(V28)+N(AC28)</f>
        <v>25.4327020979021</v>
      </c>
      <c r="AM28" s="17" t="n">
        <f aca="false">AL28+N($M28)*N(AJ28)</f>
        <v>31.8455966812354</v>
      </c>
      <c r="AN28" s="17" t="n">
        <f aca="false">IF(W28="","",N(W28)+N(AD28))</f>
        <v>7.37612583608</v>
      </c>
      <c r="AO28" s="17" t="n">
        <f aca="false">IF(AN28="","",AN28+N($M28)*N(AK28))</f>
        <v>9.42290802392723</v>
      </c>
      <c r="AP28" s="10" t="n">
        <f aca="false">IFERROR(AN28/AL28,"")</f>
        <v>0.290025252043056</v>
      </c>
      <c r="AQ28" s="0" t="str">
        <f aca="false">TRIM(IF($N28&lt;Config!$B$12,"thin sample ("&amp;$N28&amp;" maps) · ","")&amp;IF(AND($G28&lt;&gt;"",Q28=0),"M1 unplayed→overall KPR · ","")&amp;IF(AND($H28&lt;&gt;"",X28=0),"M2 unplayed→overall KPR · ","")&amp;IF($O28="","no PickFinder stats",""))</f>
        <v/>
      </c>
      <c r="AR28" s="0" t="str">
        <f aca="false">IF($C28=Board!$B$2,COUNTIFS($C$2:$C$124,Board!$B$2,$AL$2:$AL$124,"&gt;"&amp;$AL28)+COUNTIFS($C$1:$C27,Board!$B$2,$AL$1:$AL27,$AL28)+1,"")</f>
        <v/>
      </c>
      <c r="AS28" s="0" t="str">
        <f aca="false">IFERROR(IF($D28=INDEX(Matches!$AD$5:$AD$19,MATCH($C28,Matches!$A$5:$A$19,0)),"A",IF($D28=INDEX(Matches!$AE$5:$AE$19,MATCH($C28,Matches!$A$5:$A$19,0)),"B","")),"")</f>
        <v>B</v>
      </c>
      <c r="AT28" s="10" t="n">
        <f aca="false">IF($AS28="","",IFERROR(IF($AS28="A",INDEX(Matches!$AI$5:$AI$19,MATCH($C28,Matches!$A$5:$A$19,0)),INDEX(Matches!$AJ$5:$AJ$19,MATCH($C28,Matches!$A$5:$A$19,0))),""))</f>
        <v>0.509174752617927</v>
      </c>
      <c r="AU28" s="10" t="n">
        <f aca="false">IF($AS28="","",IFERROR(IF(INDEX(Matches!$AP$5:$AP$19,MATCH($C28,Matches!$A$5:$A$19,0))="","",IF($AS28="A",INDEX(Matches!$AP$5:$AP$19,MATCH($C28,Matches!$A$5:$A$19,0)),1-INDEX(Matches!$AP$5:$AP$19,MATCH($C28,Matches!$A$5:$A$19,0)))),""))</f>
        <v>0.48693832796962</v>
      </c>
      <c r="AV28" s="13" t="n">
        <f aca="false">IF(OR($AU28="",$AT28=""),1,((Config!$B$14*$AU28+Config!$B$15*(1-$AU28))/(Config!$B$14*$AT28+Config!$B$15*(1-$AT28)))^Config!$B$13)</f>
        <v>0.980290743024817</v>
      </c>
      <c r="AW28" s="10" t="n">
        <f aca="false">IF($AS28="","",IFERROR(IF(INDEX(Matches!$AV$5:$AV$19,MATCH($C28,Matches!$A$5:$A$19,0))="","",IF($AS28="A",INDEX(Matches!$AV$5:$AV$19,MATCH($C28,Matches!$A$5:$A$19,0)),1-INDEX(Matches!$AV$5:$AV$19,MATCH($C28,Matches!$A$5:$A$19,0)))),""))</f>
        <v>0.470117252572038</v>
      </c>
      <c r="AX28" s="13" t="n">
        <f aca="false">IF(OR($AW28="",$AT28=""),1,((Config!$B$14*$AW28+Config!$B$15*(1-$AW28))/(Config!$B$14*$AT28+Config!$B$15*(1-$AT28)))^Config!$B$13)</f>
        <v>0.965381381342199</v>
      </c>
      <c r="AY28" s="10" t="n">
        <f aca="false">IF($AS28="","",IFERROR(IF(INDEX(Matches!$BB$5:$BB$19,MATCH($C28,Matches!$A$5:$A$19,0))="","",IF($AS28="A",INDEX(Matches!$BB$5:$BB$19,MATCH($C28,Matches!$A$5:$A$19,0)),1-INDEX(Matches!$BB$5:$BB$19,MATCH($C28,Matches!$A$5:$A$19,0)))),""))</f>
        <v>0.51079990505578</v>
      </c>
      <c r="AZ28" s="13" t="n">
        <f aca="false">IF(OR($AY28="",$AT28=""),1,((Config!$B$14*$AY28+Config!$B$15*(1-$AY28))/(Config!$B$14*$AT28+Config!$B$15*(1-$AT28)))^Config!$B$13)</f>
        <v>1.0014404540086</v>
      </c>
      <c r="BA28" s="17" t="n">
        <f aca="false">IF(V28="","",V28*$AV28)</f>
        <v>13.5340544094131</v>
      </c>
      <c r="BB28" s="17" t="n">
        <f aca="false">IF(AC28="","",AC28*$AX28)</f>
        <v>11.2240437602282</v>
      </c>
      <c r="BC28" s="17" t="n">
        <f aca="false">IF(AJ28="","",AJ28*$AZ28)</f>
        <v>12.8288694827059</v>
      </c>
      <c r="BD28" s="17" t="n">
        <f aca="false">N(BA28)+N(BB28)</f>
        <v>24.7580981696413</v>
      </c>
      <c r="BE28" s="17" t="n">
        <f aca="false">BD28+N($M28)*N(BC28)</f>
        <v>31.1802302326839</v>
      </c>
      <c r="BF28" s="17" t="n">
        <f aca="false">IF(W28="","",W28*$AV28)</f>
        <v>3.45733571731371</v>
      </c>
      <c r="BG28" s="17" t="n">
        <f aca="false">IF(AD28="","",AD28*$AX28)</f>
        <v>3.71602187261709</v>
      </c>
      <c r="BH28" s="17" t="n">
        <f aca="false">IF(AK28="","",AK28*$AZ28)</f>
        <v>4.09454750989698</v>
      </c>
      <c r="BI28" s="17" t="n">
        <f aca="false">IF(BF28="","",N(BF28)+N(BG28))</f>
        <v>7.17335758993081</v>
      </c>
      <c r="BJ28" s="17" t="n">
        <f aca="false">IF(BI28="","",BI28+N($M28)*N(BH28))</f>
        <v>9.22308807338524</v>
      </c>
      <c r="BK28" s="13" t="n">
        <f aca="false">IFERROR(BD28/AL28,1)</f>
        <v>0.97347494081974</v>
      </c>
    </row>
    <row r="29" customFormat="false" ht="15" hidden="false" customHeight="false" outlineLevel="0" collapsed="false">
      <c r="A29" s="0" t="s">
        <v>1186</v>
      </c>
      <c r="B29" s="0" t="s">
        <v>988</v>
      </c>
      <c r="C29" s="0" t="s">
        <v>1008</v>
      </c>
      <c r="D29" s="0" t="s">
        <v>1013</v>
      </c>
      <c r="E29" s="0" t="s">
        <v>1185</v>
      </c>
      <c r="F29" s="0" t="s">
        <v>1482</v>
      </c>
      <c r="G29" s="0" t="str">
        <f aca="false">IFERROR(IF(INDEX(Matches!$W$5:$W$19,MATCH($C29,Matches!$A$5:$A$19,0))="","",INDEX(Matches!$W$5:$W$19,MATCH($C29,Matches!$A$5:$A$19,0))),"")</f>
        <v>Ancient</v>
      </c>
      <c r="H29" s="0" t="str">
        <f aca="false">IFERROR(IF(INDEX(Matches!$X$5:$X$19,MATCH($C29,Matches!$A$5:$A$19,0))="","",INDEX(Matches!$X$5:$X$19,MATCH($C29,Matches!$A$5:$A$19,0))),"")</f>
        <v>Mirage</v>
      </c>
      <c r="I29" s="0" t="str">
        <f aca="false">IFERROR(IF(INDEX(Matches!$Y$5:$Y$19,MATCH($C29,Matches!$A$5:$A$19,0))="","",INDEX(Matches!$Y$5:$Y$19,MATCH($C29,Matches!$A$5:$A$19,0))),"")</f>
        <v>Dust2</v>
      </c>
      <c r="J29" s="11" t="n">
        <f aca="false">IFERROR(IF(INDEX(Matches!$Z$5:$Z$19,MATCH($C29,Matches!$A$5:$A$19,0))="","",INDEX(Matches!$Z$5:$Z$19,MATCH($C29,Matches!$A$5:$A$19,0))),"")</f>
        <v>21.5</v>
      </c>
      <c r="K29" s="11" t="n">
        <f aca="false">IFERROR(IF(INDEX(Matches!$AA$5:$AA$19,MATCH($C29,Matches!$A$5:$A$19,0))="","",INDEX(Matches!$AA$5:$AA$19,MATCH($C29,Matches!$A$5:$A$19,0))),"")</f>
        <v>21.36</v>
      </c>
      <c r="L29" s="11" t="n">
        <f aca="false">IFERROR(IF(INDEX(Matches!$AB$5:$AB$19,MATCH($C29,Matches!$A$5:$A$19,0))="","",INDEX(Matches!$AB$5:$AB$19,MATCH($C29,Matches!$A$5:$A$19,0))),"")</f>
        <v>21.5</v>
      </c>
      <c r="M29" s="10" t="n">
        <f aca="false">IFERROR(IF(INDEX(Matches!$AC$5:$AC$19,MATCH($C29,Matches!$A$5:$A$19,0))="","",INDEX(Matches!$AC$5:$AC$19,MATCH($C29,Matches!$A$5:$A$19,0))),"")</f>
        <v>0.4847</v>
      </c>
      <c r="N29" s="9" t="n">
        <f aca="false">IFERROR(INDEX(Players!$F$2:$F$124,MATCH($F29,Players!$A$2:$A$124,0)),0)</f>
        <v>39</v>
      </c>
      <c r="O29" s="13" t="n">
        <f aca="false">IFERROR(1/(1/INDEX(Players!$H$2:$H$124,MATCH($F29,Players!$A$2:$A$124,0))),"")</f>
        <v>0.55</v>
      </c>
      <c r="P29" s="10" t="n">
        <f aca="false">IFERROR(1/(1/INDEX(Players!$I$2:$I$124,MATCH($F29,Players!$A$2:$A$124,0))),"")</f>
        <v>0.452</v>
      </c>
      <c r="Q29" s="9" t="n">
        <f aca="false">IF($G29="",0,SUMIFS(Map_Stats!$F$2:$F$779,Map_Stats!$A$2:$A$779,$F29&amp;"|"&amp;$G29))</f>
        <v>6</v>
      </c>
      <c r="R29" s="13" t="n">
        <f aca="false">IF($G29="","",IFERROR(1/(1/INDEX(Map_Stats!$K$2:$K$779,MATCH($F29&amp;"|"&amp;$G29,Map_Stats!$A$2:$A$779,0))),$O29))</f>
        <v>0.49</v>
      </c>
      <c r="S29" s="10" t="n">
        <f aca="false">IF(OR($G29="",$P29=""),"",IFERROR(1/(1/INDEX(Map_Stats!$I$2:$I$779,MATCH($F29&amp;"|"&amp;$G29,Map_Stats!$A$2:$A$779,0))),$P29))</f>
        <v>0.444</v>
      </c>
      <c r="T29" s="13" t="n">
        <f aca="false">IF(OR($G29="",R29=""),"",IF($O29="",R29,(Q29*R29+Config!$B$4*$O29)/(Q29+Config!$B$4)))</f>
        <v>0.517272727272727</v>
      </c>
      <c r="U29" s="10" t="n">
        <f aca="false">IF(S29="","",(Q29*S29+Config!$B$4*$P29)/(Q29+Config!$B$4))</f>
        <v>0.447636363636364</v>
      </c>
      <c r="V29" s="17" t="n">
        <f aca="false">IF(OR(T29="",$J29=""),"",T29*$J29*($J29/Config!$B$10)^Config!$B$9)</f>
        <v>11.1213636363636</v>
      </c>
      <c r="W29" s="17" t="n">
        <f aca="false">IF(OR(V29="",U29=""),"",V29*U29)</f>
        <v>4.9783267768595</v>
      </c>
      <c r="X29" s="9" t="n">
        <f aca="false">IF($H29="",0,SUMIFS(Map_Stats!$F$2:$F$779,Map_Stats!$A$2:$A$779,$F29&amp;"|"&amp;$H29))</f>
        <v>11</v>
      </c>
      <c r="Y29" s="13" t="n">
        <f aca="false">IF($H29="","",IFERROR(1/(1/INDEX(Map_Stats!$K$2:$K$779,MATCH($F29&amp;"|"&amp;$H29,Map_Stats!$A$2:$A$779,0))),$O29))</f>
        <v>0.51</v>
      </c>
      <c r="Z29" s="10" t="n">
        <f aca="false">IF(OR($H29="",$P29=""),"",IFERROR(1/(1/INDEX(Map_Stats!$I$2:$I$779,MATCH($F29&amp;"|"&amp;$H29,Map_Stats!$A$2:$A$779,0))),$P29))</f>
        <v>0.43</v>
      </c>
      <c r="AA29" s="13" t="n">
        <f aca="false">IF(OR($H29="",Y29=""),"",IF($O29="",Y29,(X29*Y29+Config!$B$4*$O29)/(X29+Config!$B$4)))</f>
        <v>0.5225</v>
      </c>
      <c r="AB29" s="10" t="n">
        <f aca="false">IF(Z29="","",(X29*Z29+Config!$B$4*$P29)/(X29+Config!$B$4))</f>
        <v>0.436875</v>
      </c>
      <c r="AC29" s="17" t="n">
        <f aca="false">IF(OR(AA29="",$K29=""),"",AA29*$K29*($K29/Config!$B$10)^Config!$B$9)</f>
        <v>11.1606</v>
      </c>
      <c r="AD29" s="17" t="n">
        <f aca="false">IF(OR(AC29="",AB29=""),"",AC29*AB29)</f>
        <v>4.875787125</v>
      </c>
      <c r="AE29" s="9" t="n">
        <f aca="false">IF($I29="",0,SUMIFS(Map_Stats!$F$2:$F$779,Map_Stats!$A$2:$A$779,$F29&amp;"|"&amp;$I29))</f>
        <v>4</v>
      </c>
      <c r="AF29" s="13" t="n">
        <f aca="false">IF($I29="","",IFERROR(1/(1/INDEX(Map_Stats!$K$2:$K$779,MATCH($F29&amp;"|"&amp;$I29,Map_Stats!$A$2:$A$779,0))),$O29))</f>
        <v>0.52</v>
      </c>
      <c r="AG29" s="10" t="n">
        <f aca="false">IF(OR($I29="",$P29=""),"",IFERROR(1/(1/INDEX(Map_Stats!$I$2:$I$779,MATCH($F29&amp;"|"&amp;$I29,Map_Stats!$A$2:$A$779,0))),$P29))</f>
        <v>0.469</v>
      </c>
      <c r="AH29" s="13" t="n">
        <f aca="false">IF(OR($I29="",AF29=""),"",IF($O29="",AF29,(AE29*AF29+Config!$B$4*$O29)/(AE29+Config!$B$4)))</f>
        <v>0.536666666666667</v>
      </c>
      <c r="AI29" s="10" t="n">
        <f aca="false">IF(AG29="","",(AE29*AG29+Config!$B$4*$P29)/(AE29+Config!$B$4))</f>
        <v>0.459555555555556</v>
      </c>
      <c r="AJ29" s="17" t="n">
        <f aca="false">IF(OR(AH29="",$L29=""),"",AH29*$L29*($L29/Config!$B$10)^Config!$B$9)</f>
        <v>11.5383333333333</v>
      </c>
      <c r="AK29" s="17" t="n">
        <f aca="false">IF(OR(AJ29="",AI29=""),"",AJ29*AI29)</f>
        <v>5.30250518518518</v>
      </c>
      <c r="AL29" s="17" t="n">
        <f aca="false">N(V29)+N(AC29)</f>
        <v>22.2819636363636</v>
      </c>
      <c r="AM29" s="17" t="n">
        <f aca="false">AL29+N($M29)*N(AJ29)</f>
        <v>27.8745938030303</v>
      </c>
      <c r="AN29" s="17" t="n">
        <f aca="false">IF(W29="","",N(W29)+N(AD29))</f>
        <v>9.8541139018595</v>
      </c>
      <c r="AO29" s="17" t="n">
        <f aca="false">IF(AN29="","",AN29+N($M29)*N(AK29))</f>
        <v>12.4242381651188</v>
      </c>
      <c r="AP29" s="10" t="n">
        <f aca="false">IFERROR(AN29/AL29,"")</f>
        <v>0.44224620696256</v>
      </c>
      <c r="AQ29" s="0" t="str">
        <f aca="false">TRIM(IF($N29&lt;Config!$B$12,"thin sample ("&amp;$N29&amp;" maps) · ","")&amp;IF(AND($G29&lt;&gt;"",Q29=0),"M1 unplayed→overall KPR · ","")&amp;IF(AND($H29&lt;&gt;"",X29=0),"M2 unplayed→overall KPR · ","")&amp;IF($O29="","no PickFinder stats",""))</f>
        <v/>
      </c>
      <c r="AR29" s="0" t="str">
        <f aca="false">IF($C29=Board!$B$2,COUNTIFS($C$2:$C$124,Board!$B$2,$AL$2:$AL$124,"&gt;"&amp;$AL29)+COUNTIFS($C$1:$C28,Board!$B$2,$AL$1:$AL28,$AL29)+1,"")</f>
        <v/>
      </c>
      <c r="AS29" s="0" t="str">
        <f aca="false">IFERROR(IF($D29=INDEX(Matches!$AD$5:$AD$19,MATCH($C29,Matches!$A$5:$A$19,0)),"A",IF($D29=INDEX(Matches!$AE$5:$AE$19,MATCH($C29,Matches!$A$5:$A$19,0)),"B","")),"")</f>
        <v>A</v>
      </c>
      <c r="AT29" s="10" t="n">
        <f aca="false">IF($AS29="","",IFERROR(IF($AS29="A",INDEX(Matches!$AI$5:$AI$19,MATCH($C29,Matches!$A$5:$A$19,0)),INDEX(Matches!$AJ$5:$AJ$19,MATCH($C29,Matches!$A$5:$A$19,0))),""))</f>
        <v>0.492629677830602</v>
      </c>
      <c r="AU29" s="10" t="n">
        <f aca="false">IF($AS29="","",IFERROR(IF(INDEX(Matches!$AP$5:$AP$19,MATCH($C29,Matches!$A$5:$A$19,0))="","",IF($AS29="A",INDEX(Matches!$AP$5:$AP$19,MATCH($C29,Matches!$A$5:$A$19,0)),1-INDEX(Matches!$AP$5:$AP$19,MATCH($C29,Matches!$A$5:$A$19,0)))),""))</f>
        <v>0.505785800548098</v>
      </c>
      <c r="AV29" s="13" t="n">
        <f aca="false">IF(OR($AU29="",$AT29=""),1,((Config!$B$14*$AU29+Config!$B$15*(1-$AU29))/(Config!$B$14*$AT29+Config!$B$15*(1-$AT29)))^Config!$B$13)</f>
        <v>1.01183447998303</v>
      </c>
      <c r="AW29" s="10" t="n">
        <f aca="false">IF($AS29="","",IFERROR(IF(INDEX(Matches!$AV$5:$AV$19,MATCH($C29,Matches!$A$5:$A$19,0))="","",IF($AS29="A",INDEX(Matches!$AV$5:$AV$19,MATCH($C29,Matches!$A$5:$A$19,0)),1-INDEX(Matches!$AV$5:$AV$19,MATCH($C29,Matches!$A$5:$A$19,0)))),""))</f>
        <v>0.507534147830329</v>
      </c>
      <c r="AX29" s="13" t="n">
        <f aca="false">IF(OR($AW29="",$AT29=""),1,((Config!$B$14*$AW29+Config!$B$15*(1-$AW29))/(Config!$B$14*$AT29+Config!$B$15*(1-$AT29)))^Config!$B$13)</f>
        <v>1.01340719113504</v>
      </c>
      <c r="AY29" s="10" t="n">
        <f aca="false">IF($AS29="","",IFERROR(IF(INDEX(Matches!$BB$5:$BB$19,MATCH($C29,Matches!$A$5:$A$19,0))="","",IF($AS29="A",INDEX(Matches!$BB$5:$BB$19,MATCH($C29,Matches!$A$5:$A$19,0)),1-INDEX(Matches!$BB$5:$BB$19,MATCH($C29,Matches!$A$5:$A$19,0)))),""))</f>
        <v>0.480112302827941</v>
      </c>
      <c r="AZ29" s="13" t="n">
        <f aca="false">IF(OR($AY29="",$AT29=""),1,((Config!$B$14*$AY29+Config!$B$15*(1-$AY29))/(Config!$B$14*$AT29+Config!$B$15*(1-$AT29)))^Config!$B$13)</f>
        <v>0.988740100173124</v>
      </c>
      <c r="BA29" s="17" t="n">
        <f aca="false">IF(V29="","",V29*$AV29)</f>
        <v>11.2529791917022</v>
      </c>
      <c r="BB29" s="17" t="n">
        <f aca="false">IF(AC29="","",AC29*$AX29)</f>
        <v>11.3102322973817</v>
      </c>
      <c r="BC29" s="17" t="n">
        <f aca="false">IF(AJ29="","",AJ29*$AZ29)</f>
        <v>11.4084128558309</v>
      </c>
      <c r="BD29" s="17" t="n">
        <f aca="false">N(BA29)+N(BB29)</f>
        <v>22.5632114890839</v>
      </c>
      <c r="BE29" s="17" t="n">
        <f aca="false">BD29+N($M29)*N(BC29)</f>
        <v>28.0928692003051</v>
      </c>
      <c r="BF29" s="17" t="n">
        <f aca="false">IF(W29="","",W29*$AV29)</f>
        <v>5.03724268544924</v>
      </c>
      <c r="BG29" s="17" t="n">
        <f aca="false">IF(AD29="","",AD29*$AX29)</f>
        <v>4.94115773491863</v>
      </c>
      <c r="BH29" s="17" t="n">
        <f aca="false">IF(AK29="","",AK29*$AZ29)</f>
        <v>5.24279950796851</v>
      </c>
      <c r="BI29" s="17" t="n">
        <f aca="false">IF(BF29="","",N(BF29)+N(BG29))</f>
        <v>9.97840042036786</v>
      </c>
      <c r="BJ29" s="17" t="n">
        <f aca="false">IF(BI29="","",BI29+N($M29)*N(BH29))</f>
        <v>12.5195853418802</v>
      </c>
      <c r="BK29" s="13" t="n">
        <f aca="false">IFERROR(BD29/AL29,1)</f>
        <v>1.01262222025447</v>
      </c>
    </row>
    <row r="30" customFormat="false" ht="15" hidden="false" customHeight="false" outlineLevel="0" collapsed="false">
      <c r="A30" s="0" t="s">
        <v>1189</v>
      </c>
      <c r="B30" s="0" t="s">
        <v>988</v>
      </c>
      <c r="C30" s="0" t="s">
        <v>1008</v>
      </c>
      <c r="D30" s="0" t="s">
        <v>1013</v>
      </c>
      <c r="E30" s="0" t="s">
        <v>1187</v>
      </c>
      <c r="F30" s="0" t="s">
        <v>1483</v>
      </c>
      <c r="G30" s="0" t="str">
        <f aca="false">IFERROR(IF(INDEX(Matches!$W$5:$W$19,MATCH($C30,Matches!$A$5:$A$19,0))="","",INDEX(Matches!$W$5:$W$19,MATCH($C30,Matches!$A$5:$A$19,0))),"")</f>
        <v>Ancient</v>
      </c>
      <c r="H30" s="0" t="str">
        <f aca="false">IFERROR(IF(INDEX(Matches!$X$5:$X$19,MATCH($C30,Matches!$A$5:$A$19,0))="","",INDEX(Matches!$X$5:$X$19,MATCH($C30,Matches!$A$5:$A$19,0))),"")</f>
        <v>Mirage</v>
      </c>
      <c r="I30" s="0" t="str">
        <f aca="false">IFERROR(IF(INDEX(Matches!$Y$5:$Y$19,MATCH($C30,Matches!$A$5:$A$19,0))="","",INDEX(Matches!$Y$5:$Y$19,MATCH($C30,Matches!$A$5:$A$19,0))),"")</f>
        <v>Dust2</v>
      </c>
      <c r="J30" s="11" t="n">
        <f aca="false">IFERROR(IF(INDEX(Matches!$Z$5:$Z$19,MATCH($C30,Matches!$A$5:$A$19,0))="","",INDEX(Matches!$Z$5:$Z$19,MATCH($C30,Matches!$A$5:$A$19,0))),"")</f>
        <v>21.5</v>
      </c>
      <c r="K30" s="11" t="n">
        <f aca="false">IFERROR(IF(INDEX(Matches!$AA$5:$AA$19,MATCH($C30,Matches!$A$5:$A$19,0))="","",INDEX(Matches!$AA$5:$AA$19,MATCH($C30,Matches!$A$5:$A$19,0))),"")</f>
        <v>21.36</v>
      </c>
      <c r="L30" s="11" t="n">
        <f aca="false">IFERROR(IF(INDEX(Matches!$AB$5:$AB$19,MATCH($C30,Matches!$A$5:$A$19,0))="","",INDEX(Matches!$AB$5:$AB$19,MATCH($C30,Matches!$A$5:$A$19,0))),"")</f>
        <v>21.5</v>
      </c>
      <c r="M30" s="10" t="n">
        <f aca="false">IFERROR(IF(INDEX(Matches!$AC$5:$AC$19,MATCH($C30,Matches!$A$5:$A$19,0))="","",INDEX(Matches!$AC$5:$AC$19,MATCH($C30,Matches!$A$5:$A$19,0))),"")</f>
        <v>0.4847</v>
      </c>
      <c r="N30" s="9" t="n">
        <f aca="false">IFERROR(INDEX(Players!$F$2:$F$124,MATCH($F30,Players!$A$2:$A$124,0)),0)</f>
        <v>39</v>
      </c>
      <c r="O30" s="13" t="n">
        <f aca="false">IFERROR(1/(1/INDEX(Players!$H$2:$H$124,MATCH($F30,Players!$A$2:$A$124,0))),"")</f>
        <v>0.67</v>
      </c>
      <c r="P30" s="10" t="n">
        <f aca="false">IFERROR(1/(1/INDEX(Players!$I$2:$I$124,MATCH($F30,Players!$A$2:$A$124,0))),"")</f>
        <v>0.584</v>
      </c>
      <c r="Q30" s="9" t="n">
        <f aca="false">IF($G30="",0,SUMIFS(Map_Stats!$F$2:$F$779,Map_Stats!$A$2:$A$779,$F30&amp;"|"&amp;$G30))</f>
        <v>6</v>
      </c>
      <c r="R30" s="13" t="n">
        <f aca="false">IF($G30="","",IFERROR(1/(1/INDEX(Map_Stats!$K$2:$K$779,MATCH($F30&amp;"|"&amp;$G30,Map_Stats!$A$2:$A$779,0))),$O30))</f>
        <v>0.73</v>
      </c>
      <c r="S30" s="10" t="n">
        <f aca="false">IF(OR($G30="",$P30=""),"",IFERROR(1/(1/INDEX(Map_Stats!$I$2:$I$779,MATCH($F30&amp;"|"&amp;$G30,Map_Stats!$A$2:$A$779,0))),$P30))</f>
        <v>0.533</v>
      </c>
      <c r="T30" s="13" t="n">
        <f aca="false">IF(OR($G30="",R30=""),"",IF($O30="",R30,(Q30*R30+Config!$B$4*$O30)/(Q30+Config!$B$4)))</f>
        <v>0.702727272727273</v>
      </c>
      <c r="U30" s="10" t="n">
        <f aca="false">IF(S30="","",(Q30*S30+Config!$B$4*$P30)/(Q30+Config!$B$4))</f>
        <v>0.556181818181818</v>
      </c>
      <c r="V30" s="17" t="n">
        <f aca="false">IF(OR(T30="",$J30=""),"",T30*$J30*($J30/Config!$B$10)^Config!$B$9)</f>
        <v>15.1086363636364</v>
      </c>
      <c r="W30" s="17" t="n">
        <f aca="false">IF(OR(V30="",U30=""),"",V30*U30)</f>
        <v>8.40314884297521</v>
      </c>
      <c r="X30" s="9" t="n">
        <f aca="false">IF($H30="",0,SUMIFS(Map_Stats!$F$2:$F$779,Map_Stats!$A$2:$A$779,$F30&amp;"|"&amp;$H30))</f>
        <v>11</v>
      </c>
      <c r="Y30" s="13" t="n">
        <f aca="false">IF($H30="","",IFERROR(1/(1/INDEX(Map_Stats!$K$2:$K$779,MATCH($F30&amp;"|"&amp;$H30,Map_Stats!$A$2:$A$779,0))),$O30))</f>
        <v>0.64</v>
      </c>
      <c r="Z30" s="10" t="n">
        <f aca="false">IF(OR($H30="",$P30=""),"",IFERROR(1/(1/INDEX(Map_Stats!$I$2:$I$779,MATCH($F30&amp;"|"&amp;$H30,Map_Stats!$A$2:$A$779,0))),$P30))</f>
        <v>0.545</v>
      </c>
      <c r="AA30" s="13" t="n">
        <f aca="false">IF(OR($H30="",Y30=""),"",IF($O30="",Y30,(X30*Y30+Config!$B$4*$O30)/(X30+Config!$B$4)))</f>
        <v>0.649375</v>
      </c>
      <c r="AB30" s="10" t="n">
        <f aca="false">IF(Z30="","",(X30*Z30+Config!$B$4*$P30)/(X30+Config!$B$4))</f>
        <v>0.5571875</v>
      </c>
      <c r="AC30" s="17" t="n">
        <f aca="false">IF(OR(AA30="",$K30=""),"",AA30*$K30*($K30/Config!$B$10)^Config!$B$9)</f>
        <v>13.87065</v>
      </c>
      <c r="AD30" s="17" t="n">
        <f aca="false">IF(OR(AC30="",AB30=""),"",AC30*AB30)</f>
        <v>7.728552796875</v>
      </c>
      <c r="AE30" s="9" t="n">
        <f aca="false">IF($I30="",0,SUMIFS(Map_Stats!$F$2:$F$779,Map_Stats!$A$2:$A$779,$F30&amp;"|"&amp;$I30))</f>
        <v>4</v>
      </c>
      <c r="AF30" s="13" t="n">
        <f aca="false">IF($I30="","",IFERROR(1/(1/INDEX(Map_Stats!$K$2:$K$779,MATCH($F30&amp;"|"&amp;$I30,Map_Stats!$A$2:$A$779,0))),$O30))</f>
        <v>0.67</v>
      </c>
      <c r="AG30" s="10" t="n">
        <f aca="false">IF(OR($I30="",$P30=""),"",IFERROR(1/(1/INDEX(Map_Stats!$I$2:$I$779,MATCH($F30&amp;"|"&amp;$I30,Map_Stats!$A$2:$A$779,0))),$P30))</f>
        <v>0.556</v>
      </c>
      <c r="AH30" s="13" t="n">
        <f aca="false">IF(OR($I30="",AF30=""),"",IF($O30="",AF30,(AE30*AF30+Config!$B$4*$O30)/(AE30+Config!$B$4)))</f>
        <v>0.67</v>
      </c>
      <c r="AI30" s="10" t="n">
        <f aca="false">IF(AG30="","",(AE30*AG30+Config!$B$4*$P30)/(AE30+Config!$B$4))</f>
        <v>0.571555555555556</v>
      </c>
      <c r="AJ30" s="17" t="n">
        <f aca="false">IF(OR(AH30="",$L30=""),"",AH30*$L30*($L30/Config!$B$10)^Config!$B$9)</f>
        <v>14.405</v>
      </c>
      <c r="AK30" s="17" t="n">
        <f aca="false">IF(OR(AJ30="",AI30=""),"",AJ30*AI30)</f>
        <v>8.23325777777778</v>
      </c>
      <c r="AL30" s="17" t="n">
        <f aca="false">N(V30)+N(AC30)</f>
        <v>28.9792863636364</v>
      </c>
      <c r="AM30" s="17" t="n">
        <f aca="false">AL30+N($M30)*N(AJ30)</f>
        <v>35.9613898636364</v>
      </c>
      <c r="AN30" s="17" t="n">
        <f aca="false">IF(W30="","",N(W30)+N(AD30))</f>
        <v>16.1317016398502</v>
      </c>
      <c r="AO30" s="17" t="n">
        <f aca="false">IF(AN30="","",AN30+N($M30)*N(AK30))</f>
        <v>20.1223616847391</v>
      </c>
      <c r="AP30" s="10" t="n">
        <f aca="false">IFERROR(AN30/AL30,"")</f>
        <v>0.556663177879097</v>
      </c>
      <c r="AQ30" s="0" t="str">
        <f aca="false">TRIM(IF($N30&lt;Config!$B$12,"thin sample ("&amp;$N30&amp;" maps) · ","")&amp;IF(AND($G30&lt;&gt;"",Q30=0),"M1 unplayed→overall KPR · ","")&amp;IF(AND($H30&lt;&gt;"",X30=0),"M2 unplayed→overall KPR · ","")&amp;IF($O30="","no PickFinder stats",""))</f>
        <v/>
      </c>
      <c r="AR30" s="0" t="str">
        <f aca="false">IF($C30=Board!$B$2,COUNTIFS($C$2:$C$124,Board!$B$2,$AL$2:$AL$124,"&gt;"&amp;$AL30)+COUNTIFS($C$1:$C29,Board!$B$2,$AL$1:$AL29,$AL30)+1,"")</f>
        <v/>
      </c>
      <c r="AS30" s="0" t="str">
        <f aca="false">IFERROR(IF($D30=INDEX(Matches!$AD$5:$AD$19,MATCH($C30,Matches!$A$5:$A$19,0)),"A",IF($D30=INDEX(Matches!$AE$5:$AE$19,MATCH($C30,Matches!$A$5:$A$19,0)),"B","")),"")</f>
        <v>A</v>
      </c>
      <c r="AT30" s="10" t="n">
        <f aca="false">IF($AS30="","",IFERROR(IF($AS30="A",INDEX(Matches!$AI$5:$AI$19,MATCH($C30,Matches!$A$5:$A$19,0)),INDEX(Matches!$AJ$5:$AJ$19,MATCH($C30,Matches!$A$5:$A$19,0))),""))</f>
        <v>0.492629677830602</v>
      </c>
      <c r="AU30" s="10" t="n">
        <f aca="false">IF($AS30="","",IFERROR(IF(INDEX(Matches!$AP$5:$AP$19,MATCH($C30,Matches!$A$5:$A$19,0))="","",IF($AS30="A",INDEX(Matches!$AP$5:$AP$19,MATCH($C30,Matches!$A$5:$A$19,0)),1-INDEX(Matches!$AP$5:$AP$19,MATCH($C30,Matches!$A$5:$A$19,0)))),""))</f>
        <v>0.505785800548098</v>
      </c>
      <c r="AV30" s="13" t="n">
        <f aca="false">IF(OR($AU30="",$AT30=""),1,((Config!$B$14*$AU30+Config!$B$15*(1-$AU30))/(Config!$B$14*$AT30+Config!$B$15*(1-$AT30)))^Config!$B$13)</f>
        <v>1.01183447998303</v>
      </c>
      <c r="AW30" s="10" t="n">
        <f aca="false">IF($AS30="","",IFERROR(IF(INDEX(Matches!$AV$5:$AV$19,MATCH($C30,Matches!$A$5:$A$19,0))="","",IF($AS30="A",INDEX(Matches!$AV$5:$AV$19,MATCH($C30,Matches!$A$5:$A$19,0)),1-INDEX(Matches!$AV$5:$AV$19,MATCH($C30,Matches!$A$5:$A$19,0)))),""))</f>
        <v>0.507534147830329</v>
      </c>
      <c r="AX30" s="13" t="n">
        <f aca="false">IF(OR($AW30="",$AT30=""),1,((Config!$B$14*$AW30+Config!$B$15*(1-$AW30))/(Config!$B$14*$AT30+Config!$B$15*(1-$AT30)))^Config!$B$13)</f>
        <v>1.01340719113504</v>
      </c>
      <c r="AY30" s="10" t="n">
        <f aca="false">IF($AS30="","",IFERROR(IF(INDEX(Matches!$BB$5:$BB$19,MATCH($C30,Matches!$A$5:$A$19,0))="","",IF($AS30="A",INDEX(Matches!$BB$5:$BB$19,MATCH($C30,Matches!$A$5:$A$19,0)),1-INDEX(Matches!$BB$5:$BB$19,MATCH($C30,Matches!$A$5:$A$19,0)))),""))</f>
        <v>0.480112302827941</v>
      </c>
      <c r="AZ30" s="13" t="n">
        <f aca="false">IF(OR($AY30="",$AT30=""),1,((Config!$B$14*$AY30+Config!$B$15*(1-$AY30))/(Config!$B$14*$AT30+Config!$B$15*(1-$AT30)))^Config!$B$13)</f>
        <v>0.988740100173124</v>
      </c>
      <c r="BA30" s="17" t="n">
        <f aca="false">IF(V30="","",V30*$AV30)</f>
        <v>15.2874392182527</v>
      </c>
      <c r="BB30" s="17" t="n">
        <f aca="false">IF(AC30="","",AC30*$AX30)</f>
        <v>14.0566164557172</v>
      </c>
      <c r="BC30" s="17" t="n">
        <f aca="false">IF(AJ30="","",AJ30*$AZ30)</f>
        <v>14.2428011429939</v>
      </c>
      <c r="BD30" s="17" t="n">
        <f aca="false">N(BA30)+N(BB30)</f>
        <v>29.3440556739699</v>
      </c>
      <c r="BE30" s="17" t="n">
        <f aca="false">BD30+N($M30)*N(BC30)</f>
        <v>36.247541387979</v>
      </c>
      <c r="BF30" s="17" t="n">
        <f aca="false">IF(W30="","",W30*$AV30)</f>
        <v>8.50259573975183</v>
      </c>
      <c r="BG30" s="17" t="n">
        <f aca="false">IF(AD30="","",AD30*$AX30)</f>
        <v>7.83217098141993</v>
      </c>
      <c r="BH30" s="17" t="n">
        <f aca="false">IF(AK30="","",AK30*$AZ30)</f>
        <v>8.14055211995115</v>
      </c>
      <c r="BI30" s="17" t="n">
        <f aca="false">IF(BF30="","",N(BF30)+N(BG30))</f>
        <v>16.3347667211718</v>
      </c>
      <c r="BJ30" s="17" t="n">
        <f aca="false">IF(BI30="","",BI30+N($M30)*N(BH30))</f>
        <v>20.2804923337121</v>
      </c>
      <c r="BK30" s="13" t="n">
        <f aca="false">IFERROR(BD30/AL30,1)</f>
        <v>1.01258724268625</v>
      </c>
    </row>
    <row r="31" customFormat="false" ht="15" hidden="false" customHeight="false" outlineLevel="0" collapsed="false">
      <c r="A31" s="0" t="s">
        <v>1192</v>
      </c>
      <c r="B31" s="0" t="s">
        <v>988</v>
      </c>
      <c r="C31" s="0" t="s">
        <v>1008</v>
      </c>
      <c r="D31" s="0" t="s">
        <v>1013</v>
      </c>
      <c r="E31" s="0" t="s">
        <v>1190</v>
      </c>
      <c r="F31" s="0" t="s">
        <v>1484</v>
      </c>
      <c r="G31" s="0" t="str">
        <f aca="false">IFERROR(IF(INDEX(Matches!$W$5:$W$19,MATCH($C31,Matches!$A$5:$A$19,0))="","",INDEX(Matches!$W$5:$W$19,MATCH($C31,Matches!$A$5:$A$19,0))),"")</f>
        <v>Ancient</v>
      </c>
      <c r="H31" s="0" t="str">
        <f aca="false">IFERROR(IF(INDEX(Matches!$X$5:$X$19,MATCH($C31,Matches!$A$5:$A$19,0))="","",INDEX(Matches!$X$5:$X$19,MATCH($C31,Matches!$A$5:$A$19,0))),"")</f>
        <v>Mirage</v>
      </c>
      <c r="I31" s="0" t="str">
        <f aca="false">IFERROR(IF(INDEX(Matches!$Y$5:$Y$19,MATCH($C31,Matches!$A$5:$A$19,0))="","",INDEX(Matches!$Y$5:$Y$19,MATCH($C31,Matches!$A$5:$A$19,0))),"")</f>
        <v>Dust2</v>
      </c>
      <c r="J31" s="11" t="n">
        <f aca="false">IFERROR(IF(INDEX(Matches!$Z$5:$Z$19,MATCH($C31,Matches!$A$5:$A$19,0))="","",INDEX(Matches!$Z$5:$Z$19,MATCH($C31,Matches!$A$5:$A$19,0))),"")</f>
        <v>21.5</v>
      </c>
      <c r="K31" s="11" t="n">
        <f aca="false">IFERROR(IF(INDEX(Matches!$AA$5:$AA$19,MATCH($C31,Matches!$A$5:$A$19,0))="","",INDEX(Matches!$AA$5:$AA$19,MATCH($C31,Matches!$A$5:$A$19,0))),"")</f>
        <v>21.36</v>
      </c>
      <c r="L31" s="11" t="n">
        <f aca="false">IFERROR(IF(INDEX(Matches!$AB$5:$AB$19,MATCH($C31,Matches!$A$5:$A$19,0))="","",INDEX(Matches!$AB$5:$AB$19,MATCH($C31,Matches!$A$5:$A$19,0))),"")</f>
        <v>21.5</v>
      </c>
      <c r="M31" s="10" t="n">
        <f aca="false">IFERROR(IF(INDEX(Matches!$AC$5:$AC$19,MATCH($C31,Matches!$A$5:$A$19,0))="","",INDEX(Matches!$AC$5:$AC$19,MATCH($C31,Matches!$A$5:$A$19,0))),"")</f>
        <v>0.4847</v>
      </c>
      <c r="N31" s="9" t="n">
        <f aca="false">IFERROR(INDEX(Players!$F$2:$F$124,MATCH($F31,Players!$A$2:$A$124,0)),0)</f>
        <v>39</v>
      </c>
      <c r="O31" s="13" t="n">
        <f aca="false">IFERROR(1/(1/INDEX(Players!$H$2:$H$124,MATCH($F31,Players!$A$2:$A$124,0))),"")</f>
        <v>0.72</v>
      </c>
      <c r="P31" s="10" t="n">
        <f aca="false">IFERROR(1/(1/INDEX(Players!$I$2:$I$124,MATCH($F31,Players!$A$2:$A$124,0))),"")</f>
        <v>0.53</v>
      </c>
      <c r="Q31" s="9" t="n">
        <f aca="false">IF($G31="",0,SUMIFS(Map_Stats!$F$2:$F$779,Map_Stats!$A$2:$A$779,$F31&amp;"|"&amp;$G31))</f>
        <v>6</v>
      </c>
      <c r="R31" s="13" t="n">
        <f aca="false">IF($G31="","",IFERROR(1/(1/INDEX(Map_Stats!$K$2:$K$779,MATCH($F31&amp;"|"&amp;$G31,Map_Stats!$A$2:$A$779,0))),$O31))</f>
        <v>0.67</v>
      </c>
      <c r="S31" s="10" t="n">
        <f aca="false">IF(OR($G31="",$P31=""),"",IFERROR(1/(1/INDEX(Map_Stats!$I$2:$I$779,MATCH($F31&amp;"|"&amp;$G31,Map_Stats!$A$2:$A$779,0))),$P31))</f>
        <v>0.606</v>
      </c>
      <c r="T31" s="13" t="n">
        <f aca="false">IF(OR($G31="",R31=""),"",IF($O31="",R31,(Q31*R31+Config!$B$4*$O31)/(Q31+Config!$B$4)))</f>
        <v>0.692727272727273</v>
      </c>
      <c r="U31" s="10" t="n">
        <f aca="false">IF(S31="","",(Q31*S31+Config!$B$4*$P31)/(Q31+Config!$B$4))</f>
        <v>0.571454545454546</v>
      </c>
      <c r="V31" s="17" t="n">
        <f aca="false">IF(OR(T31="",$J31=""),"",T31*$J31*($J31/Config!$B$10)^Config!$B$9)</f>
        <v>14.8936363636364</v>
      </c>
      <c r="W31" s="17" t="n">
        <f aca="false">IF(OR(V31="",U31=""),"",V31*U31)</f>
        <v>8.51103619834711</v>
      </c>
      <c r="X31" s="9" t="n">
        <f aca="false">IF($H31="",0,SUMIFS(Map_Stats!$F$2:$F$779,Map_Stats!$A$2:$A$779,$F31&amp;"|"&amp;$H31))</f>
        <v>11</v>
      </c>
      <c r="Y31" s="13" t="n">
        <f aca="false">IF($H31="","",IFERROR(1/(1/INDEX(Map_Stats!$K$2:$K$779,MATCH($F31&amp;"|"&amp;$H31,Map_Stats!$A$2:$A$779,0))),$O31))</f>
        <v>0.85</v>
      </c>
      <c r="Z31" s="10" t="n">
        <f aca="false">IF(OR($H31="",$P31=""),"",IFERROR(1/(1/INDEX(Map_Stats!$I$2:$I$779,MATCH($F31&amp;"|"&amp;$H31,Map_Stats!$A$2:$A$779,0))),$P31))</f>
        <v>0.51</v>
      </c>
      <c r="AA31" s="13" t="n">
        <f aca="false">IF(OR($H31="",Y31=""),"",IF($O31="",Y31,(X31*Y31+Config!$B$4*$O31)/(X31+Config!$B$4)))</f>
        <v>0.809375</v>
      </c>
      <c r="AB31" s="10" t="n">
        <f aca="false">IF(Z31="","",(X31*Z31+Config!$B$4*$P31)/(X31+Config!$B$4))</f>
        <v>0.51625</v>
      </c>
      <c r="AC31" s="17" t="n">
        <f aca="false">IF(OR(AA31="",$K31=""),"",AA31*$K31*($K31/Config!$B$10)^Config!$B$9)</f>
        <v>17.28825</v>
      </c>
      <c r="AD31" s="17" t="n">
        <f aca="false">IF(OR(AC31="",AB31=""),"",AC31*AB31)</f>
        <v>8.9250590625</v>
      </c>
      <c r="AE31" s="9" t="n">
        <f aca="false">IF($I31="",0,SUMIFS(Map_Stats!$F$2:$F$779,Map_Stats!$A$2:$A$779,$F31&amp;"|"&amp;$I31))</f>
        <v>4</v>
      </c>
      <c r="AF31" s="13" t="n">
        <f aca="false">IF($I31="","",IFERROR(1/(1/INDEX(Map_Stats!$K$2:$K$779,MATCH($F31&amp;"|"&amp;$I31,Map_Stats!$A$2:$A$779,0))),$O31))</f>
        <v>0.59</v>
      </c>
      <c r="AG31" s="10" t="n">
        <f aca="false">IF(OR($I31="",$P31=""),"",IFERROR(1/(1/INDEX(Map_Stats!$I$2:$I$779,MATCH($F31&amp;"|"&amp;$I31,Map_Stats!$A$2:$A$779,0))),$P31))</f>
        <v>0.527</v>
      </c>
      <c r="AH31" s="13" t="n">
        <f aca="false">IF(OR($I31="",AF31=""),"",IF($O31="",AF31,(AE31*AF31+Config!$B$4*$O31)/(AE31+Config!$B$4)))</f>
        <v>0.662222222222222</v>
      </c>
      <c r="AI31" s="10" t="n">
        <f aca="false">IF(AG31="","",(AE31*AG31+Config!$B$4*$P31)/(AE31+Config!$B$4))</f>
        <v>0.528666666666667</v>
      </c>
      <c r="AJ31" s="17" t="n">
        <f aca="false">IF(OR(AH31="",$L31=""),"",AH31*$L31*($L31/Config!$B$10)^Config!$B$9)</f>
        <v>14.2377777777778</v>
      </c>
      <c r="AK31" s="17" t="n">
        <f aca="false">IF(OR(AJ31="",AI31=""),"",AJ31*AI31)</f>
        <v>7.52703851851852</v>
      </c>
      <c r="AL31" s="17" t="n">
        <f aca="false">N(V31)+N(AC31)</f>
        <v>32.1818863636364</v>
      </c>
      <c r="AM31" s="17" t="n">
        <f aca="false">AL31+N($M31)*N(AJ31)</f>
        <v>39.0829372525253</v>
      </c>
      <c r="AN31" s="17" t="n">
        <f aca="false">IF(W31="","",N(W31)+N(AD31))</f>
        <v>17.4360952608471</v>
      </c>
      <c r="AO31" s="17" t="n">
        <f aca="false">IF(AN31="","",AN31+N($M31)*N(AK31))</f>
        <v>21.084450830773</v>
      </c>
      <c r="AP31" s="10" t="n">
        <f aca="false">IFERROR(AN31/AL31,"")</f>
        <v>0.541798422374298</v>
      </c>
      <c r="AQ31" s="0" t="str">
        <f aca="false">TRIM(IF($N31&lt;Config!$B$12,"thin sample ("&amp;$N31&amp;" maps) · ","")&amp;IF(AND($G31&lt;&gt;"",Q31=0),"M1 unplayed→overall KPR · ","")&amp;IF(AND($H31&lt;&gt;"",X31=0),"M2 unplayed→overall KPR · ","")&amp;IF($O31="","no PickFinder stats",""))</f>
        <v/>
      </c>
      <c r="AR31" s="0" t="str">
        <f aca="false">IF($C31=Board!$B$2,COUNTIFS($C$2:$C$124,Board!$B$2,$AL$2:$AL$124,"&gt;"&amp;$AL31)+COUNTIFS($C$1:$C30,Board!$B$2,$AL$1:$AL30,$AL31)+1,"")</f>
        <v/>
      </c>
      <c r="AS31" s="0" t="str">
        <f aca="false">IFERROR(IF($D31=INDEX(Matches!$AD$5:$AD$19,MATCH($C31,Matches!$A$5:$A$19,0)),"A",IF($D31=INDEX(Matches!$AE$5:$AE$19,MATCH($C31,Matches!$A$5:$A$19,0)),"B","")),"")</f>
        <v>A</v>
      </c>
      <c r="AT31" s="10" t="n">
        <f aca="false">IF($AS31="","",IFERROR(IF($AS31="A",INDEX(Matches!$AI$5:$AI$19,MATCH($C31,Matches!$A$5:$A$19,0)),INDEX(Matches!$AJ$5:$AJ$19,MATCH($C31,Matches!$A$5:$A$19,0))),""))</f>
        <v>0.492629677830602</v>
      </c>
      <c r="AU31" s="10" t="n">
        <f aca="false">IF($AS31="","",IFERROR(IF(INDEX(Matches!$AP$5:$AP$19,MATCH($C31,Matches!$A$5:$A$19,0))="","",IF($AS31="A",INDEX(Matches!$AP$5:$AP$19,MATCH($C31,Matches!$A$5:$A$19,0)),1-INDEX(Matches!$AP$5:$AP$19,MATCH($C31,Matches!$A$5:$A$19,0)))),""))</f>
        <v>0.505785800548098</v>
      </c>
      <c r="AV31" s="13" t="n">
        <f aca="false">IF(OR($AU31="",$AT31=""),1,((Config!$B$14*$AU31+Config!$B$15*(1-$AU31))/(Config!$B$14*$AT31+Config!$B$15*(1-$AT31)))^Config!$B$13)</f>
        <v>1.01183447998303</v>
      </c>
      <c r="AW31" s="10" t="n">
        <f aca="false">IF($AS31="","",IFERROR(IF(INDEX(Matches!$AV$5:$AV$19,MATCH($C31,Matches!$A$5:$A$19,0))="","",IF($AS31="A",INDEX(Matches!$AV$5:$AV$19,MATCH($C31,Matches!$A$5:$A$19,0)),1-INDEX(Matches!$AV$5:$AV$19,MATCH($C31,Matches!$A$5:$A$19,0)))),""))</f>
        <v>0.507534147830329</v>
      </c>
      <c r="AX31" s="13" t="n">
        <f aca="false">IF(OR($AW31="",$AT31=""),1,((Config!$B$14*$AW31+Config!$B$15*(1-$AW31))/(Config!$B$14*$AT31+Config!$B$15*(1-$AT31)))^Config!$B$13)</f>
        <v>1.01340719113504</v>
      </c>
      <c r="AY31" s="10" t="n">
        <f aca="false">IF($AS31="","",IFERROR(IF(INDEX(Matches!$BB$5:$BB$19,MATCH($C31,Matches!$A$5:$A$19,0))="","",IF($AS31="A",INDEX(Matches!$BB$5:$BB$19,MATCH($C31,Matches!$A$5:$A$19,0)),1-INDEX(Matches!$BB$5:$BB$19,MATCH($C31,Matches!$A$5:$A$19,0)))),""))</f>
        <v>0.480112302827941</v>
      </c>
      <c r="AZ31" s="13" t="n">
        <f aca="false">IF(OR($AY31="",$AT31=""),1,((Config!$B$14*$AY31+Config!$B$15*(1-$AY31))/(Config!$B$14*$AT31+Config!$B$15*(1-$AT31)))^Config!$B$13)</f>
        <v>0.988740100173124</v>
      </c>
      <c r="BA31" s="17" t="n">
        <f aca="false">IF(V31="","",V31*$AV31)</f>
        <v>15.0698948050564</v>
      </c>
      <c r="BB31" s="17" t="n">
        <f aca="false">IF(AC31="","",AC31*$AX31)</f>
        <v>17.5200368721403</v>
      </c>
      <c r="BC31" s="17" t="n">
        <f aca="false">IF(AJ31="","",AJ31*$AZ31)</f>
        <v>14.0774618262427</v>
      </c>
      <c r="BD31" s="17" t="n">
        <f aca="false">N(BA31)+N(BB31)</f>
        <v>32.5899316771967</v>
      </c>
      <c r="BE31" s="17" t="n">
        <f aca="false">BD31+N($M31)*N(BC31)</f>
        <v>39.4132774243765</v>
      </c>
      <c r="BF31" s="17" t="n">
        <f aca="false">IF(W31="","",W31*$AV31)</f>
        <v>8.6117598858713</v>
      </c>
      <c r="BG31" s="17" t="n">
        <f aca="false">IF(AD31="","",AD31*$AX31)</f>
        <v>9.04471903524243</v>
      </c>
      <c r="BH31" s="17" t="n">
        <f aca="false">IF(AK31="","",AK31*$AZ31)</f>
        <v>7.44228481880696</v>
      </c>
      <c r="BI31" s="17" t="n">
        <f aca="false">IF(BF31="","",N(BF31)+N(BG31))</f>
        <v>17.6564789211137</v>
      </c>
      <c r="BJ31" s="17" t="n">
        <f aca="false">IF(BI31="","",BI31+N($M31)*N(BH31))</f>
        <v>21.2637543727895</v>
      </c>
      <c r="BK31" s="13" t="n">
        <f aca="false">IFERROR(BD31/AL31,1)</f>
        <v>1.01267934728715</v>
      </c>
    </row>
    <row r="32" customFormat="false" ht="15" hidden="false" customHeight="false" outlineLevel="0" collapsed="false">
      <c r="A32" s="0" t="s">
        <v>1195</v>
      </c>
      <c r="B32" s="0" t="s">
        <v>988</v>
      </c>
      <c r="C32" s="0" t="s">
        <v>1008</v>
      </c>
      <c r="D32" s="0" t="s">
        <v>1013</v>
      </c>
      <c r="E32" s="0" t="s">
        <v>1193</v>
      </c>
      <c r="F32" s="0" t="s">
        <v>1485</v>
      </c>
      <c r="G32" s="0" t="str">
        <f aca="false">IFERROR(IF(INDEX(Matches!$W$5:$W$19,MATCH($C32,Matches!$A$5:$A$19,0))="","",INDEX(Matches!$W$5:$W$19,MATCH($C32,Matches!$A$5:$A$19,0))),"")</f>
        <v>Ancient</v>
      </c>
      <c r="H32" s="0" t="str">
        <f aca="false">IFERROR(IF(INDEX(Matches!$X$5:$X$19,MATCH($C32,Matches!$A$5:$A$19,0))="","",INDEX(Matches!$X$5:$X$19,MATCH($C32,Matches!$A$5:$A$19,0))),"")</f>
        <v>Mirage</v>
      </c>
      <c r="I32" s="0" t="str">
        <f aca="false">IFERROR(IF(INDEX(Matches!$Y$5:$Y$19,MATCH($C32,Matches!$A$5:$A$19,0))="","",INDEX(Matches!$Y$5:$Y$19,MATCH($C32,Matches!$A$5:$A$19,0))),"")</f>
        <v>Dust2</v>
      </c>
      <c r="J32" s="11" t="n">
        <f aca="false">IFERROR(IF(INDEX(Matches!$Z$5:$Z$19,MATCH($C32,Matches!$A$5:$A$19,0))="","",INDEX(Matches!$Z$5:$Z$19,MATCH($C32,Matches!$A$5:$A$19,0))),"")</f>
        <v>21.5</v>
      </c>
      <c r="K32" s="11" t="n">
        <f aca="false">IFERROR(IF(INDEX(Matches!$AA$5:$AA$19,MATCH($C32,Matches!$A$5:$A$19,0))="","",INDEX(Matches!$AA$5:$AA$19,MATCH($C32,Matches!$A$5:$A$19,0))),"")</f>
        <v>21.36</v>
      </c>
      <c r="L32" s="11" t="n">
        <f aca="false">IFERROR(IF(INDEX(Matches!$AB$5:$AB$19,MATCH($C32,Matches!$A$5:$A$19,0))="","",INDEX(Matches!$AB$5:$AB$19,MATCH($C32,Matches!$A$5:$A$19,0))),"")</f>
        <v>21.5</v>
      </c>
      <c r="M32" s="10" t="n">
        <f aca="false">IFERROR(IF(INDEX(Matches!$AC$5:$AC$19,MATCH($C32,Matches!$A$5:$A$19,0))="","",INDEX(Matches!$AC$5:$AC$19,MATCH($C32,Matches!$A$5:$A$19,0))),"")</f>
        <v>0.4847</v>
      </c>
      <c r="N32" s="9" t="n">
        <f aca="false">IFERROR(INDEX(Players!$F$2:$F$124,MATCH($F32,Players!$A$2:$A$124,0)),0)</f>
        <v>39</v>
      </c>
      <c r="O32" s="13" t="n">
        <f aca="false">IFERROR(1/(1/INDEX(Players!$H$2:$H$124,MATCH($F32,Players!$A$2:$A$124,0))),"")</f>
        <v>0.67</v>
      </c>
      <c r="P32" s="10" t="n">
        <f aca="false">IFERROR(1/(1/INDEX(Players!$I$2:$I$124,MATCH($F32,Players!$A$2:$A$124,0))),"")</f>
        <v>0.576</v>
      </c>
      <c r="Q32" s="9" t="n">
        <f aca="false">IF($G32="",0,SUMIFS(Map_Stats!$F$2:$F$779,Map_Stats!$A$2:$A$779,$F32&amp;"|"&amp;$G32))</f>
        <v>6</v>
      </c>
      <c r="R32" s="13" t="n">
        <f aca="false">IF($G32="","",IFERROR(1/(1/INDEX(Map_Stats!$K$2:$K$779,MATCH($F32&amp;"|"&amp;$G32,Map_Stats!$A$2:$A$779,0))),$O32))</f>
        <v>0.76</v>
      </c>
      <c r="S32" s="10" t="n">
        <f aca="false">IF(OR($G32="",$P32=""),"",IFERROR(1/(1/INDEX(Map_Stats!$I$2:$I$779,MATCH($F32&amp;"|"&amp;$G32,Map_Stats!$A$2:$A$779,0))),$P32))</f>
        <v>0.518</v>
      </c>
      <c r="T32" s="13" t="n">
        <f aca="false">IF(OR($G32="",R32=""),"",IF($O32="",R32,(Q32*R32+Config!$B$4*$O32)/(Q32+Config!$B$4)))</f>
        <v>0.719090909090909</v>
      </c>
      <c r="U32" s="10" t="n">
        <f aca="false">IF(S32="","",(Q32*S32+Config!$B$4*$P32)/(Q32+Config!$B$4))</f>
        <v>0.544363636363636</v>
      </c>
      <c r="V32" s="17" t="n">
        <f aca="false">IF(OR(T32="",$J32=""),"",T32*$J32*($J32/Config!$B$10)^Config!$B$9)</f>
        <v>15.4604545454545</v>
      </c>
      <c r="W32" s="17" t="n">
        <f aca="false">IF(OR(V32="",U32=""),"",V32*U32)</f>
        <v>8.41610925619835</v>
      </c>
      <c r="X32" s="9" t="n">
        <f aca="false">IF($H32="",0,SUMIFS(Map_Stats!$F$2:$F$779,Map_Stats!$A$2:$A$779,$F32&amp;"|"&amp;$H32))</f>
        <v>12</v>
      </c>
      <c r="Y32" s="13" t="n">
        <f aca="false">IF($H32="","",IFERROR(1/(1/INDEX(Map_Stats!$K$2:$K$779,MATCH($F32&amp;"|"&amp;$H32,Map_Stats!$A$2:$A$779,0))),$O32))</f>
        <v>0.62</v>
      </c>
      <c r="Z32" s="10" t="n">
        <f aca="false">IF(OR($H32="",$P32=""),"",IFERROR(1/(1/INDEX(Map_Stats!$I$2:$I$779,MATCH($F32&amp;"|"&amp;$H32,Map_Stats!$A$2:$A$779,0))),$P32))</f>
        <v>0.591</v>
      </c>
      <c r="AA32" s="13" t="n">
        <f aca="false">IF(OR($H32="",Y32=""),"",IF($O32="",Y32,(X32*Y32+Config!$B$4*$O32)/(X32+Config!$B$4)))</f>
        <v>0.634705882352941</v>
      </c>
      <c r="AB32" s="10" t="n">
        <f aca="false">IF(Z32="","",(X32*Z32+Config!$B$4*$P32)/(X32+Config!$B$4))</f>
        <v>0.586588235294118</v>
      </c>
      <c r="AC32" s="17" t="n">
        <f aca="false">IF(OR(AA32="",$K32=""),"",AA32*$K32*($K32/Config!$B$10)^Config!$B$9)</f>
        <v>13.5573176470588</v>
      </c>
      <c r="AD32" s="17" t="n">
        <f aca="false">IF(OR(AC32="",AB32=""),"",AC32*AB32)</f>
        <v>7.95256303391003</v>
      </c>
      <c r="AE32" s="9" t="n">
        <f aca="false">IF($I32="",0,SUMIFS(Map_Stats!$F$2:$F$779,Map_Stats!$A$2:$A$779,$F32&amp;"|"&amp;$I32))</f>
        <v>5</v>
      </c>
      <c r="AF32" s="13" t="n">
        <f aca="false">IF($I32="","",IFERROR(1/(1/INDEX(Map_Stats!$K$2:$K$779,MATCH($F32&amp;"|"&amp;$I32,Map_Stats!$A$2:$A$779,0))),$O32))</f>
        <v>0.69</v>
      </c>
      <c r="AG32" s="10" t="n">
        <f aca="false">IF(OR($I32="",$P32=""),"",IFERROR(1/(1/INDEX(Map_Stats!$I$2:$I$779,MATCH($F32&amp;"|"&amp;$I32,Map_Stats!$A$2:$A$779,0))),$P32))</f>
        <v>0.62</v>
      </c>
      <c r="AH32" s="13" t="n">
        <f aca="false">IF(OR($I32="",AF32=""),"",IF($O32="",AF32,(AE32*AF32+Config!$B$4*$O32)/(AE32+Config!$B$4)))</f>
        <v>0.68</v>
      </c>
      <c r="AI32" s="10" t="n">
        <f aca="false">IF(AG32="","",(AE32*AG32+Config!$B$4*$P32)/(AE32+Config!$B$4))</f>
        <v>0.598</v>
      </c>
      <c r="AJ32" s="17" t="n">
        <f aca="false">IF(OR(AH32="",$L32=""),"",AH32*$L32*($L32/Config!$B$10)^Config!$B$9)</f>
        <v>14.62</v>
      </c>
      <c r="AK32" s="17" t="n">
        <f aca="false">IF(OR(AJ32="",AI32=""),"",AJ32*AI32)</f>
        <v>8.74276</v>
      </c>
      <c r="AL32" s="17" t="n">
        <f aca="false">N(V32)+N(AC32)</f>
        <v>29.0177721925134</v>
      </c>
      <c r="AM32" s="17" t="n">
        <f aca="false">AL32+N($M32)*N(AJ32)</f>
        <v>36.1040861925134</v>
      </c>
      <c r="AN32" s="17" t="n">
        <f aca="false">IF(W32="","",N(W32)+N(AD32))</f>
        <v>16.3686722901084</v>
      </c>
      <c r="AO32" s="17" t="n">
        <f aca="false">IF(AN32="","",AN32+N($M32)*N(AK32))</f>
        <v>20.6062880621084</v>
      </c>
      <c r="AP32" s="10" t="n">
        <f aca="false">IFERROR(AN32/AL32,"")</f>
        <v>0.564091281078136</v>
      </c>
      <c r="AQ32" s="0" t="str">
        <f aca="false">TRIM(IF($N32&lt;Config!$B$12,"thin sample ("&amp;$N32&amp;" maps) · ","")&amp;IF(AND($G32&lt;&gt;"",Q32=0),"M1 unplayed→overall KPR · ","")&amp;IF(AND($H32&lt;&gt;"",X32=0),"M2 unplayed→overall KPR · ","")&amp;IF($O32="","no PickFinder stats",""))</f>
        <v/>
      </c>
      <c r="AR32" s="0" t="str">
        <f aca="false">IF($C32=Board!$B$2,COUNTIFS($C$2:$C$124,Board!$B$2,$AL$2:$AL$124,"&gt;"&amp;$AL32)+COUNTIFS($C$1:$C31,Board!$B$2,$AL$1:$AL31,$AL32)+1,"")</f>
        <v/>
      </c>
      <c r="AS32" s="0" t="str">
        <f aca="false">IFERROR(IF($D32=INDEX(Matches!$AD$5:$AD$19,MATCH($C32,Matches!$A$5:$A$19,0)),"A",IF($D32=INDEX(Matches!$AE$5:$AE$19,MATCH($C32,Matches!$A$5:$A$19,0)),"B","")),"")</f>
        <v>A</v>
      </c>
      <c r="AT32" s="10" t="n">
        <f aca="false">IF($AS32="","",IFERROR(IF($AS32="A",INDEX(Matches!$AI$5:$AI$19,MATCH($C32,Matches!$A$5:$A$19,0)),INDEX(Matches!$AJ$5:$AJ$19,MATCH($C32,Matches!$A$5:$A$19,0))),""))</f>
        <v>0.492629677830602</v>
      </c>
      <c r="AU32" s="10" t="n">
        <f aca="false">IF($AS32="","",IFERROR(IF(INDEX(Matches!$AP$5:$AP$19,MATCH($C32,Matches!$A$5:$A$19,0))="","",IF($AS32="A",INDEX(Matches!$AP$5:$AP$19,MATCH($C32,Matches!$A$5:$A$19,0)),1-INDEX(Matches!$AP$5:$AP$19,MATCH($C32,Matches!$A$5:$A$19,0)))),""))</f>
        <v>0.505785800548098</v>
      </c>
      <c r="AV32" s="13" t="n">
        <f aca="false">IF(OR($AU32="",$AT32=""),1,((Config!$B$14*$AU32+Config!$B$15*(1-$AU32))/(Config!$B$14*$AT32+Config!$B$15*(1-$AT32)))^Config!$B$13)</f>
        <v>1.01183447998303</v>
      </c>
      <c r="AW32" s="10" t="n">
        <f aca="false">IF($AS32="","",IFERROR(IF(INDEX(Matches!$AV$5:$AV$19,MATCH($C32,Matches!$A$5:$A$19,0))="","",IF($AS32="A",INDEX(Matches!$AV$5:$AV$19,MATCH($C32,Matches!$A$5:$A$19,0)),1-INDEX(Matches!$AV$5:$AV$19,MATCH($C32,Matches!$A$5:$A$19,0)))),""))</f>
        <v>0.507534147830329</v>
      </c>
      <c r="AX32" s="13" t="n">
        <f aca="false">IF(OR($AW32="",$AT32=""),1,((Config!$B$14*$AW32+Config!$B$15*(1-$AW32))/(Config!$B$14*$AT32+Config!$B$15*(1-$AT32)))^Config!$B$13)</f>
        <v>1.01340719113504</v>
      </c>
      <c r="AY32" s="10" t="n">
        <f aca="false">IF($AS32="","",IFERROR(IF(INDEX(Matches!$BB$5:$BB$19,MATCH($C32,Matches!$A$5:$A$19,0))="","",IF($AS32="A",INDEX(Matches!$BB$5:$BB$19,MATCH($C32,Matches!$A$5:$A$19,0)),1-INDEX(Matches!$BB$5:$BB$19,MATCH($C32,Matches!$A$5:$A$19,0)))),""))</f>
        <v>0.480112302827941</v>
      </c>
      <c r="AZ32" s="13" t="n">
        <f aca="false">IF(OR($AY32="",$AT32=""),1,((Config!$B$14*$AY32+Config!$B$15*(1-$AY32))/(Config!$B$14*$AT32+Config!$B$15*(1-$AT32)))^Config!$B$13)</f>
        <v>0.988740100173124</v>
      </c>
      <c r="BA32" s="17" t="n">
        <f aca="false">IF(V32="","",V32*$AV32)</f>
        <v>15.6434209853013</v>
      </c>
      <c r="BB32" s="17" t="n">
        <f aca="false">IF(AC32="","",AC32*$AX32)</f>
        <v>13.7390831960313</v>
      </c>
      <c r="BC32" s="17" t="n">
        <f aca="false">IF(AJ32="","",AJ32*$AZ32)</f>
        <v>14.4553802645311</v>
      </c>
      <c r="BD32" s="17" t="n">
        <f aca="false">N(BA32)+N(BB32)</f>
        <v>29.3825041813326</v>
      </c>
      <c r="BE32" s="17" t="n">
        <f aca="false">BD32+N($M32)*N(BC32)</f>
        <v>36.3890269955509</v>
      </c>
      <c r="BF32" s="17" t="n">
        <f aca="false">IF(W32="","",W32*$AV32)</f>
        <v>8.51570953272583</v>
      </c>
      <c r="BG32" s="17" t="n">
        <f aca="false">IF(AD32="","",AD32*$AX32)</f>
        <v>8.05918456651909</v>
      </c>
      <c r="BH32" s="17" t="n">
        <f aca="false">IF(AK32="","",AK32*$AZ32)</f>
        <v>8.64431739818958</v>
      </c>
      <c r="BI32" s="17" t="n">
        <f aca="false">IF(BF32="","",N(BF32)+N(BG32))</f>
        <v>16.5748940992449</v>
      </c>
      <c r="BJ32" s="17" t="n">
        <f aca="false">IF(BI32="","",BI32+N($M32)*N(BH32))</f>
        <v>20.7647947421474</v>
      </c>
      <c r="BK32" s="13" t="n">
        <f aca="false">IFERROR(BD32/AL32,1)</f>
        <v>1.01256926225761</v>
      </c>
    </row>
    <row r="33" customFormat="false" ht="15" hidden="false" customHeight="false" outlineLevel="0" collapsed="false">
      <c r="A33" s="0" t="s">
        <v>1197</v>
      </c>
      <c r="B33" s="0" t="s">
        <v>988</v>
      </c>
      <c r="C33" s="0" t="s">
        <v>1008</v>
      </c>
      <c r="D33" s="0" t="s">
        <v>1013</v>
      </c>
      <c r="E33" s="0" t="s">
        <v>1196</v>
      </c>
      <c r="F33" s="0" t="s">
        <v>1486</v>
      </c>
      <c r="G33" s="0" t="str">
        <f aca="false">IFERROR(IF(INDEX(Matches!$W$5:$W$19,MATCH($C33,Matches!$A$5:$A$19,0))="","",INDEX(Matches!$W$5:$W$19,MATCH($C33,Matches!$A$5:$A$19,0))),"")</f>
        <v>Ancient</v>
      </c>
      <c r="H33" s="0" t="str">
        <f aca="false">IFERROR(IF(INDEX(Matches!$X$5:$X$19,MATCH($C33,Matches!$A$5:$A$19,0))="","",INDEX(Matches!$X$5:$X$19,MATCH($C33,Matches!$A$5:$A$19,0))),"")</f>
        <v>Mirage</v>
      </c>
      <c r="I33" s="0" t="str">
        <f aca="false">IFERROR(IF(INDEX(Matches!$Y$5:$Y$19,MATCH($C33,Matches!$A$5:$A$19,0))="","",INDEX(Matches!$Y$5:$Y$19,MATCH($C33,Matches!$A$5:$A$19,0))),"")</f>
        <v>Dust2</v>
      </c>
      <c r="J33" s="11" t="n">
        <f aca="false">IFERROR(IF(INDEX(Matches!$Z$5:$Z$19,MATCH($C33,Matches!$A$5:$A$19,0))="","",INDEX(Matches!$Z$5:$Z$19,MATCH($C33,Matches!$A$5:$A$19,0))),"")</f>
        <v>21.5</v>
      </c>
      <c r="K33" s="11" t="n">
        <f aca="false">IFERROR(IF(INDEX(Matches!$AA$5:$AA$19,MATCH($C33,Matches!$A$5:$A$19,0))="","",INDEX(Matches!$AA$5:$AA$19,MATCH($C33,Matches!$A$5:$A$19,0))),"")</f>
        <v>21.36</v>
      </c>
      <c r="L33" s="11" t="n">
        <f aca="false">IFERROR(IF(INDEX(Matches!$AB$5:$AB$19,MATCH($C33,Matches!$A$5:$A$19,0))="","",INDEX(Matches!$AB$5:$AB$19,MATCH($C33,Matches!$A$5:$A$19,0))),"")</f>
        <v>21.5</v>
      </c>
      <c r="M33" s="10" t="n">
        <f aca="false">IFERROR(IF(INDEX(Matches!$AC$5:$AC$19,MATCH($C33,Matches!$A$5:$A$19,0))="","",INDEX(Matches!$AC$5:$AC$19,MATCH($C33,Matches!$A$5:$A$19,0))),"")</f>
        <v>0.4847</v>
      </c>
      <c r="N33" s="9" t="n">
        <f aca="false">IFERROR(INDEX(Players!$F$2:$F$124,MATCH($F33,Players!$A$2:$A$124,0)),0)</f>
        <v>39</v>
      </c>
      <c r="O33" s="13" t="n">
        <f aca="false">IFERROR(1/(1/INDEX(Players!$H$2:$H$124,MATCH($F33,Players!$A$2:$A$124,0))),"")</f>
        <v>0.69</v>
      </c>
      <c r="P33" s="10" t="n">
        <f aca="false">IFERROR(1/(1/INDEX(Players!$I$2:$I$124,MATCH($F33,Players!$A$2:$A$124,0))),"")</f>
        <v>0.311</v>
      </c>
      <c r="Q33" s="9" t="n">
        <f aca="false">IF($G33="",0,SUMIFS(Map_Stats!$F$2:$F$779,Map_Stats!$A$2:$A$779,$F33&amp;"|"&amp;$G33))</f>
        <v>6</v>
      </c>
      <c r="R33" s="13" t="n">
        <f aca="false">IF($G33="","",IFERROR(1/(1/INDEX(Map_Stats!$K$2:$K$779,MATCH($F33&amp;"|"&amp;$G33,Map_Stats!$A$2:$A$779,0))),$O33))</f>
        <v>0.69</v>
      </c>
      <c r="S33" s="10" t="n">
        <f aca="false">IF(OR($G33="",$P33=""),"",IFERROR(1/(1/INDEX(Map_Stats!$I$2:$I$779,MATCH($F33&amp;"|"&amp;$G33,Map_Stats!$A$2:$A$779,0))),$P33))</f>
        <v>0.255</v>
      </c>
      <c r="T33" s="13" t="n">
        <f aca="false">IF(OR($G33="",R33=""),"",IF($O33="",R33,(Q33*R33+Config!$B$4*$O33)/(Q33+Config!$B$4)))</f>
        <v>0.69</v>
      </c>
      <c r="U33" s="10" t="n">
        <f aca="false">IF(S33="","",(Q33*S33+Config!$B$4*$P33)/(Q33+Config!$B$4))</f>
        <v>0.280454545454545</v>
      </c>
      <c r="V33" s="17" t="n">
        <f aca="false">IF(OR(T33="",$J33=""),"",T33*$J33*($J33/Config!$B$10)^Config!$B$9)</f>
        <v>14.835</v>
      </c>
      <c r="W33" s="17" t="n">
        <f aca="false">IF(OR(V33="",U33=""),"",V33*U33)</f>
        <v>4.16054318181818</v>
      </c>
      <c r="X33" s="9" t="n">
        <f aca="false">IF($H33="",0,SUMIFS(Map_Stats!$F$2:$F$779,Map_Stats!$A$2:$A$779,$F33&amp;"|"&amp;$H33))</f>
        <v>11</v>
      </c>
      <c r="Y33" s="13" t="n">
        <f aca="false">IF($H33="","",IFERROR(1/(1/INDEX(Map_Stats!$K$2:$K$779,MATCH($F33&amp;"|"&amp;$H33,Map_Stats!$A$2:$A$779,0))),$O33))</f>
        <v>0.71</v>
      </c>
      <c r="Z33" s="10" t="n">
        <f aca="false">IF(OR($H33="",$P33=""),"",IFERROR(1/(1/INDEX(Map_Stats!$I$2:$I$779,MATCH($F33&amp;"|"&amp;$H33,Map_Stats!$A$2:$A$779,0))),$P33))</f>
        <v>0.278</v>
      </c>
      <c r="AA33" s="13" t="n">
        <f aca="false">IF(OR($H33="",Y33=""),"",IF($O33="",Y33,(X33*Y33+Config!$B$4*$O33)/(X33+Config!$B$4)))</f>
        <v>0.70375</v>
      </c>
      <c r="AB33" s="10" t="n">
        <f aca="false">IF(Z33="","",(X33*Z33+Config!$B$4*$P33)/(X33+Config!$B$4))</f>
        <v>0.2883125</v>
      </c>
      <c r="AC33" s="17" t="n">
        <f aca="false">IF(OR(AA33="",$K33=""),"",AA33*$K33*($K33/Config!$B$10)^Config!$B$9)</f>
        <v>15.0321</v>
      </c>
      <c r="AD33" s="17" t="n">
        <f aca="false">IF(OR(AC33="",AB33=""),"",AC33*AB33)</f>
        <v>4.33394233125</v>
      </c>
      <c r="AE33" s="9" t="n">
        <f aca="false">IF($I33="",0,SUMIFS(Map_Stats!$F$2:$F$779,Map_Stats!$A$2:$A$779,$F33&amp;"|"&amp;$I33))</f>
        <v>4</v>
      </c>
      <c r="AF33" s="13" t="n">
        <f aca="false">IF($I33="","",IFERROR(1/(1/INDEX(Map_Stats!$K$2:$K$779,MATCH($F33&amp;"|"&amp;$I33,Map_Stats!$A$2:$A$779,0))),$O33))</f>
        <v>0.66</v>
      </c>
      <c r="AG33" s="10" t="n">
        <f aca="false">IF(OR($I33="",$P33=""),"",IFERROR(1/(1/INDEX(Map_Stats!$I$2:$I$779,MATCH($F33&amp;"|"&amp;$I33,Map_Stats!$A$2:$A$779,0))),$P33))</f>
        <v>0.435</v>
      </c>
      <c r="AH33" s="13" t="n">
        <f aca="false">IF(OR($I33="",AF33=""),"",IF($O33="",AF33,(AE33*AF33+Config!$B$4*$O33)/(AE33+Config!$B$4)))</f>
        <v>0.676666666666667</v>
      </c>
      <c r="AI33" s="10" t="n">
        <f aca="false">IF(AG33="","",(AE33*AG33+Config!$B$4*$P33)/(AE33+Config!$B$4))</f>
        <v>0.366111111111111</v>
      </c>
      <c r="AJ33" s="17" t="n">
        <f aca="false">IF(OR(AH33="",$L33=""),"",AH33*$L33*($L33/Config!$B$10)^Config!$B$9)</f>
        <v>14.5483333333333</v>
      </c>
      <c r="AK33" s="17" t="n">
        <f aca="false">IF(OR(AJ33="",AI33=""),"",AJ33*AI33)</f>
        <v>5.32630648148148</v>
      </c>
      <c r="AL33" s="17" t="n">
        <f aca="false">N(V33)+N(AC33)</f>
        <v>29.8671</v>
      </c>
      <c r="AM33" s="17" t="n">
        <f aca="false">AL33+N($M33)*N(AJ33)</f>
        <v>36.9186771666667</v>
      </c>
      <c r="AN33" s="17" t="n">
        <f aca="false">IF(W33="","",N(W33)+N(AD33))</f>
        <v>8.49448551306818</v>
      </c>
      <c r="AO33" s="17" t="n">
        <f aca="false">IF(AN33="","",AN33+N($M33)*N(AK33))</f>
        <v>11.0761462646423</v>
      </c>
      <c r="AP33" s="10" t="n">
        <f aca="false">IFERROR(AN33/AL33,"")</f>
        <v>0.28440945097007</v>
      </c>
      <c r="AQ33" s="0" t="str">
        <f aca="false">TRIM(IF($N33&lt;Config!$B$12,"thin sample ("&amp;$N33&amp;" maps) · ","")&amp;IF(AND($G33&lt;&gt;"",Q33=0),"M1 unplayed→overall KPR · ","")&amp;IF(AND($H33&lt;&gt;"",X33=0),"M2 unplayed→overall KPR · ","")&amp;IF($O33="","no PickFinder stats",""))</f>
        <v/>
      </c>
      <c r="AR33" s="0" t="str">
        <f aca="false">IF($C33=Board!$B$2,COUNTIFS($C$2:$C$124,Board!$B$2,$AL$2:$AL$124,"&gt;"&amp;$AL33)+COUNTIFS($C$1:$C32,Board!$B$2,$AL$1:$AL32,$AL33)+1,"")</f>
        <v/>
      </c>
      <c r="AS33" s="0" t="str">
        <f aca="false">IFERROR(IF($D33=INDEX(Matches!$AD$5:$AD$19,MATCH($C33,Matches!$A$5:$A$19,0)),"A",IF($D33=INDEX(Matches!$AE$5:$AE$19,MATCH($C33,Matches!$A$5:$A$19,0)),"B","")),"")</f>
        <v>A</v>
      </c>
      <c r="AT33" s="10" t="n">
        <f aca="false">IF($AS33="","",IFERROR(IF($AS33="A",INDEX(Matches!$AI$5:$AI$19,MATCH($C33,Matches!$A$5:$A$19,0)),INDEX(Matches!$AJ$5:$AJ$19,MATCH($C33,Matches!$A$5:$A$19,0))),""))</f>
        <v>0.492629677830602</v>
      </c>
      <c r="AU33" s="10" t="n">
        <f aca="false">IF($AS33="","",IFERROR(IF(INDEX(Matches!$AP$5:$AP$19,MATCH($C33,Matches!$A$5:$A$19,0))="","",IF($AS33="A",INDEX(Matches!$AP$5:$AP$19,MATCH($C33,Matches!$A$5:$A$19,0)),1-INDEX(Matches!$AP$5:$AP$19,MATCH($C33,Matches!$A$5:$A$19,0)))),""))</f>
        <v>0.505785800548098</v>
      </c>
      <c r="AV33" s="13" t="n">
        <f aca="false">IF(OR($AU33="",$AT33=""),1,((Config!$B$14*$AU33+Config!$B$15*(1-$AU33))/(Config!$B$14*$AT33+Config!$B$15*(1-$AT33)))^Config!$B$13)</f>
        <v>1.01183447998303</v>
      </c>
      <c r="AW33" s="10" t="n">
        <f aca="false">IF($AS33="","",IFERROR(IF(INDEX(Matches!$AV$5:$AV$19,MATCH($C33,Matches!$A$5:$A$19,0))="","",IF($AS33="A",INDEX(Matches!$AV$5:$AV$19,MATCH($C33,Matches!$A$5:$A$19,0)),1-INDEX(Matches!$AV$5:$AV$19,MATCH($C33,Matches!$A$5:$A$19,0)))),""))</f>
        <v>0.507534147830329</v>
      </c>
      <c r="AX33" s="13" t="n">
        <f aca="false">IF(OR($AW33="",$AT33=""),1,((Config!$B$14*$AW33+Config!$B$15*(1-$AW33))/(Config!$B$14*$AT33+Config!$B$15*(1-$AT33)))^Config!$B$13)</f>
        <v>1.01340719113504</v>
      </c>
      <c r="AY33" s="10" t="n">
        <f aca="false">IF($AS33="","",IFERROR(IF(INDEX(Matches!$BB$5:$BB$19,MATCH($C33,Matches!$A$5:$A$19,0))="","",IF($AS33="A",INDEX(Matches!$BB$5:$BB$19,MATCH($C33,Matches!$A$5:$A$19,0)),1-INDEX(Matches!$BB$5:$BB$19,MATCH($C33,Matches!$A$5:$A$19,0)))),""))</f>
        <v>0.480112302827941</v>
      </c>
      <c r="AZ33" s="13" t="n">
        <f aca="false">IF(OR($AY33="",$AT33=""),1,((Config!$B$14*$AY33+Config!$B$15*(1-$AY33))/(Config!$B$14*$AT33+Config!$B$15*(1-$AT33)))^Config!$B$13)</f>
        <v>0.988740100173124</v>
      </c>
      <c r="BA33" s="17" t="n">
        <f aca="false">IF(V33="","",V33*$AV33)</f>
        <v>15.0105645105483</v>
      </c>
      <c r="BB33" s="17" t="n">
        <f aca="false">IF(AC33="","",AC33*$AX33)</f>
        <v>15.233638237861</v>
      </c>
      <c r="BC33" s="17" t="n">
        <f aca="false">IF(AJ33="","",AJ33*$AZ33)</f>
        <v>14.384520557352</v>
      </c>
      <c r="BD33" s="17" t="n">
        <f aca="false">N(BA33)+N(BB33)</f>
        <v>30.2442027484093</v>
      </c>
      <c r="BE33" s="17" t="n">
        <f aca="false">BD33+N($M33)*N(BC33)</f>
        <v>37.2163798625578</v>
      </c>
      <c r="BF33" s="17" t="n">
        <f aca="false">IF(W33="","",W33*$AV33)</f>
        <v>4.20978104682195</v>
      </c>
      <c r="BG33" s="17" t="n">
        <f aca="false">IF(AD33="","",AD33*$AX33)</f>
        <v>4.3920483244533</v>
      </c>
      <c r="BH33" s="17" t="n">
        <f aca="false">IF(AK33="","",AK33*$AZ33)</f>
        <v>5.26633280405276</v>
      </c>
      <c r="BI33" s="17" t="n">
        <f aca="false">IF(BF33="","",N(BF33)+N(BG33))</f>
        <v>8.60182937127524</v>
      </c>
      <c r="BJ33" s="17" t="n">
        <f aca="false">IF(BI33="","",BI33+N($M33)*N(BH33))</f>
        <v>11.1544208813996</v>
      </c>
      <c r="BK33" s="13" t="n">
        <f aca="false">IFERROR(BD33/AL33,1)</f>
        <v>1.01262602490397</v>
      </c>
    </row>
    <row r="34" customFormat="false" ht="15" hidden="false" customHeight="false" outlineLevel="0" collapsed="false">
      <c r="A34" s="0" t="s">
        <v>1199</v>
      </c>
      <c r="B34" s="0" t="s">
        <v>988</v>
      </c>
      <c r="C34" s="0" t="s">
        <v>1008</v>
      </c>
      <c r="D34" s="0" t="s">
        <v>1014</v>
      </c>
      <c r="E34" s="0" t="s">
        <v>1198</v>
      </c>
      <c r="F34" s="0" t="s">
        <v>1487</v>
      </c>
      <c r="G34" s="0" t="str">
        <f aca="false">IFERROR(IF(INDEX(Matches!$W$5:$W$19,MATCH($C34,Matches!$A$5:$A$19,0))="","",INDEX(Matches!$W$5:$W$19,MATCH($C34,Matches!$A$5:$A$19,0))),"")</f>
        <v>Ancient</v>
      </c>
      <c r="H34" s="0" t="str">
        <f aca="false">IFERROR(IF(INDEX(Matches!$X$5:$X$19,MATCH($C34,Matches!$A$5:$A$19,0))="","",INDEX(Matches!$X$5:$X$19,MATCH($C34,Matches!$A$5:$A$19,0))),"")</f>
        <v>Mirage</v>
      </c>
      <c r="I34" s="0" t="str">
        <f aca="false">IFERROR(IF(INDEX(Matches!$Y$5:$Y$19,MATCH($C34,Matches!$A$5:$A$19,0))="","",INDEX(Matches!$Y$5:$Y$19,MATCH($C34,Matches!$A$5:$A$19,0))),"")</f>
        <v>Dust2</v>
      </c>
      <c r="J34" s="11" t="n">
        <f aca="false">IFERROR(IF(INDEX(Matches!$Z$5:$Z$19,MATCH($C34,Matches!$A$5:$A$19,0))="","",INDEX(Matches!$Z$5:$Z$19,MATCH($C34,Matches!$A$5:$A$19,0))),"")</f>
        <v>21.5</v>
      </c>
      <c r="K34" s="11" t="n">
        <f aca="false">IFERROR(IF(INDEX(Matches!$AA$5:$AA$19,MATCH($C34,Matches!$A$5:$A$19,0))="","",INDEX(Matches!$AA$5:$AA$19,MATCH($C34,Matches!$A$5:$A$19,0))),"")</f>
        <v>21.36</v>
      </c>
      <c r="L34" s="11" t="n">
        <f aca="false">IFERROR(IF(INDEX(Matches!$AB$5:$AB$19,MATCH($C34,Matches!$A$5:$A$19,0))="","",INDEX(Matches!$AB$5:$AB$19,MATCH($C34,Matches!$A$5:$A$19,0))),"")</f>
        <v>21.5</v>
      </c>
      <c r="M34" s="10" t="n">
        <f aca="false">IFERROR(IF(INDEX(Matches!$AC$5:$AC$19,MATCH($C34,Matches!$A$5:$A$19,0))="","",INDEX(Matches!$AC$5:$AC$19,MATCH($C34,Matches!$A$5:$A$19,0))),"")</f>
        <v>0.4847</v>
      </c>
      <c r="N34" s="9" t="n">
        <f aca="false">IFERROR(INDEX(Players!$F$2:$F$124,MATCH($F34,Players!$A$2:$A$124,0)),0)</f>
        <v>37</v>
      </c>
      <c r="O34" s="13" t="n">
        <f aca="false">IFERROR(1/(1/INDEX(Players!$H$2:$H$124,MATCH($F34,Players!$A$2:$A$124,0))),"")</f>
        <v>0.74</v>
      </c>
      <c r="P34" s="10" t="n">
        <f aca="false">IFERROR(1/(1/INDEX(Players!$I$2:$I$124,MATCH($F34,Players!$A$2:$A$124,0))),"")</f>
        <v>0.622</v>
      </c>
      <c r="Q34" s="9" t="n">
        <f aca="false">IF($G34="",0,SUMIFS(Map_Stats!$F$2:$F$779,Map_Stats!$A$2:$A$779,$F34&amp;"|"&amp;$G34))</f>
        <v>8</v>
      </c>
      <c r="R34" s="13" t="n">
        <f aca="false">IF($G34="","",IFERROR(1/(1/INDEX(Map_Stats!$K$2:$K$779,MATCH($F34&amp;"|"&amp;$G34,Map_Stats!$A$2:$A$779,0))),$O34))</f>
        <v>0.77</v>
      </c>
      <c r="S34" s="10" t="n">
        <f aca="false">IF(OR($G34="",$P34=""),"",IFERROR(1/(1/INDEX(Map_Stats!$I$2:$I$779,MATCH($F34&amp;"|"&amp;$G34,Map_Stats!$A$2:$A$779,0))),$P34))</f>
        <v>0.572</v>
      </c>
      <c r="T34" s="13" t="n">
        <f aca="false">IF(OR($G34="",R34=""),"",IF($O34="",R34,(Q34*R34+Config!$B$4*$O34)/(Q34+Config!$B$4)))</f>
        <v>0.758461538461538</v>
      </c>
      <c r="U34" s="10" t="n">
        <f aca="false">IF(S34="","",(Q34*S34+Config!$B$4*$P34)/(Q34+Config!$B$4))</f>
        <v>0.591230769230769</v>
      </c>
      <c r="V34" s="17" t="n">
        <f aca="false">IF(OR(T34="",$J34=""),"",T34*$J34*($J34/Config!$B$10)^Config!$B$9)</f>
        <v>16.3069230769231</v>
      </c>
      <c r="W34" s="17" t="n">
        <f aca="false">IF(OR(V34="",U34=""),"",V34*U34)</f>
        <v>9.64115467455621</v>
      </c>
      <c r="X34" s="9" t="n">
        <f aca="false">IF($H34="",0,SUMIFS(Map_Stats!$F$2:$F$779,Map_Stats!$A$2:$A$779,$F34&amp;"|"&amp;$H34))</f>
        <v>7</v>
      </c>
      <c r="Y34" s="13" t="n">
        <f aca="false">IF($H34="","",IFERROR(1/(1/INDEX(Map_Stats!$K$2:$K$779,MATCH($F34&amp;"|"&amp;$H34,Map_Stats!$A$2:$A$779,0))),$O34))</f>
        <v>0.82</v>
      </c>
      <c r="Z34" s="10" t="n">
        <f aca="false">IF(OR($H34="",$P34=""),"",IFERROR(1/(1/INDEX(Map_Stats!$I$2:$I$779,MATCH($F34&amp;"|"&amp;$H34,Map_Stats!$A$2:$A$779,0))),$P34))</f>
        <v>0.608</v>
      </c>
      <c r="AA34" s="13" t="n">
        <f aca="false">IF(OR($H34="",Y34=""),"",IF($O34="",Y34,(X34*Y34+Config!$B$4*$O34)/(X34+Config!$B$4)))</f>
        <v>0.786666666666667</v>
      </c>
      <c r="AB34" s="10" t="n">
        <f aca="false">IF(Z34="","",(X34*Z34+Config!$B$4*$P34)/(X34+Config!$B$4))</f>
        <v>0.613833333333333</v>
      </c>
      <c r="AC34" s="17" t="n">
        <f aca="false">IF(OR(AA34="",$K34=""),"",AA34*$K34*($K34/Config!$B$10)^Config!$B$9)</f>
        <v>16.8032</v>
      </c>
      <c r="AD34" s="17" t="n">
        <f aca="false">IF(OR(AC34="",AB34=""),"",AC34*AB34)</f>
        <v>10.3143642666667</v>
      </c>
      <c r="AE34" s="9" t="n">
        <f aca="false">IF($I34="",0,SUMIFS(Map_Stats!$F$2:$F$779,Map_Stats!$A$2:$A$779,$F34&amp;"|"&amp;$I34))</f>
        <v>7</v>
      </c>
      <c r="AF34" s="13" t="n">
        <f aca="false">IF($I34="","",IFERROR(1/(1/INDEX(Map_Stats!$K$2:$K$779,MATCH($F34&amp;"|"&amp;$I34,Map_Stats!$A$2:$A$779,0))),$O34))</f>
        <v>0.77</v>
      </c>
      <c r="AG34" s="10" t="n">
        <f aca="false">IF(OR($I34="",$P34=""),"",IFERROR(1/(1/INDEX(Map_Stats!$I$2:$I$779,MATCH($F34&amp;"|"&amp;$I34,Map_Stats!$A$2:$A$779,0))),$P34))</f>
        <v>0.648</v>
      </c>
      <c r="AH34" s="13" t="n">
        <f aca="false">IF(OR($I34="",AF34=""),"",IF($O34="",AF34,(AE34*AF34+Config!$B$4*$O34)/(AE34+Config!$B$4)))</f>
        <v>0.7575</v>
      </c>
      <c r="AI34" s="10" t="n">
        <f aca="false">IF(AG34="","",(AE34*AG34+Config!$B$4*$P34)/(AE34+Config!$B$4))</f>
        <v>0.637166666666667</v>
      </c>
      <c r="AJ34" s="17" t="n">
        <f aca="false">IF(OR(AH34="",$L34=""),"",AH34*$L34*($L34/Config!$B$10)^Config!$B$9)</f>
        <v>16.28625</v>
      </c>
      <c r="AK34" s="17" t="n">
        <f aca="false">IF(OR(AJ34="",AI34=""),"",AJ34*AI34)</f>
        <v>10.377055625</v>
      </c>
      <c r="AL34" s="17" t="n">
        <f aca="false">N(V34)+N(AC34)</f>
        <v>33.1101230769231</v>
      </c>
      <c r="AM34" s="17" t="n">
        <f aca="false">AL34+N($M34)*N(AJ34)</f>
        <v>41.0040684519231</v>
      </c>
      <c r="AN34" s="17" t="n">
        <f aca="false">IF(W34="","",N(W34)+N(AD34))</f>
        <v>19.9555189412229</v>
      </c>
      <c r="AO34" s="17" t="n">
        <f aca="false">IF(AN34="","",AN34+N($M34)*N(AK34))</f>
        <v>24.9852778026604</v>
      </c>
      <c r="AP34" s="10" t="n">
        <f aca="false">IFERROR(AN34/AL34,"")</f>
        <v>0.602701442542549</v>
      </c>
      <c r="AQ34" s="0" t="str">
        <f aca="false">TRIM(IF($N34&lt;Config!$B$12,"thin sample ("&amp;$N34&amp;" maps) · ","")&amp;IF(AND($G34&lt;&gt;"",Q34=0),"M1 unplayed→overall KPR · ","")&amp;IF(AND($H34&lt;&gt;"",X34=0),"M2 unplayed→overall KPR · ","")&amp;IF($O34="","no PickFinder stats",""))</f>
        <v/>
      </c>
      <c r="AR34" s="0" t="str">
        <f aca="false">IF($C34=Board!$B$2,COUNTIFS($C$2:$C$124,Board!$B$2,$AL$2:$AL$124,"&gt;"&amp;$AL34)+COUNTIFS($C$1:$C33,Board!$B$2,$AL$1:$AL33,$AL34)+1,"")</f>
        <v/>
      </c>
      <c r="AS34" s="0" t="str">
        <f aca="false">IFERROR(IF($D34=INDEX(Matches!$AD$5:$AD$19,MATCH($C34,Matches!$A$5:$A$19,0)),"A",IF($D34=INDEX(Matches!$AE$5:$AE$19,MATCH($C34,Matches!$A$5:$A$19,0)),"B","")),"")</f>
        <v>B</v>
      </c>
      <c r="AT34" s="10" t="n">
        <f aca="false">IF($AS34="","",IFERROR(IF($AS34="A",INDEX(Matches!$AI$5:$AI$19,MATCH($C34,Matches!$A$5:$A$19,0)),INDEX(Matches!$AJ$5:$AJ$19,MATCH($C34,Matches!$A$5:$A$19,0))),""))</f>
        <v>0.541627652537527</v>
      </c>
      <c r="AU34" s="10" t="n">
        <f aca="false">IF($AS34="","",IFERROR(IF(INDEX(Matches!$AP$5:$AP$19,MATCH($C34,Matches!$A$5:$A$19,0))="","",IF($AS34="A",INDEX(Matches!$AP$5:$AP$19,MATCH($C34,Matches!$A$5:$A$19,0)),1-INDEX(Matches!$AP$5:$AP$19,MATCH($C34,Matches!$A$5:$A$19,0)))),""))</f>
        <v>0.494214199451902</v>
      </c>
      <c r="AV34" s="13" t="n">
        <f aca="false">IF(OR($AU34="",$AT34=""),1,((Config!$B$14*$AU34+Config!$B$15*(1-$AU34))/(Config!$B$14*$AT34+Config!$B$15*(1-$AT34)))^Config!$B$13)</f>
        <v>0.959150113518942</v>
      </c>
      <c r="AW34" s="10" t="n">
        <f aca="false">IF($AS34="","",IFERROR(IF(INDEX(Matches!$AV$5:$AV$19,MATCH($C34,Matches!$A$5:$A$19,0))="","",IF($AS34="A",INDEX(Matches!$AV$5:$AV$19,MATCH($C34,Matches!$A$5:$A$19,0)),1-INDEX(Matches!$AV$5:$AV$19,MATCH($C34,Matches!$A$5:$A$19,0)))),""))</f>
        <v>0.492465852169671</v>
      </c>
      <c r="AX34" s="13" t="n">
        <f aca="false">IF(OR($AW34="",$AT34=""),1,((Config!$B$14*$AW34+Config!$B$15*(1-$AW34))/(Config!$B$14*$AT34+Config!$B$15*(1-$AT34)))^Config!$B$13)</f>
        <v>0.957643794460517</v>
      </c>
      <c r="AY34" s="10" t="n">
        <f aca="false">IF($AS34="","",IFERROR(IF(INDEX(Matches!$BB$5:$BB$19,MATCH($C34,Matches!$A$5:$A$19,0))="","",IF($AS34="A",INDEX(Matches!$BB$5:$BB$19,MATCH($C34,Matches!$A$5:$A$19,0)),1-INDEX(Matches!$BB$5:$BB$19,MATCH($C34,Matches!$A$5:$A$19,0)))),""))</f>
        <v>0.519887697172059</v>
      </c>
      <c r="AZ34" s="13" t="n">
        <f aca="false">IF(OR($AY34="",$AT34=""),1,((Config!$B$14*$AY34+Config!$B$15*(1-$AY34))/(Config!$B$14*$AT34+Config!$B$15*(1-$AT34)))^Config!$B$13)</f>
        <v>0.981269562729826</v>
      </c>
      <c r="BA34" s="17" t="n">
        <f aca="false">IF(V34="","",V34*$AV34)</f>
        <v>15.6407871203754</v>
      </c>
      <c r="BB34" s="17" t="n">
        <f aca="false">IF(AC34="","",AC34*$AX34)</f>
        <v>16.091480207079</v>
      </c>
      <c r="BC34" s="17" t="n">
        <f aca="false">IF(AJ34="","",AJ34*$AZ34)</f>
        <v>15.9812014160086</v>
      </c>
      <c r="BD34" s="17" t="n">
        <f aca="false">N(BA34)+N(BB34)</f>
        <v>31.7322673274544</v>
      </c>
      <c r="BE34" s="17" t="n">
        <f aca="false">BD34+N($M34)*N(BC34)</f>
        <v>39.4783556537938</v>
      </c>
      <c r="BF34" s="17" t="n">
        <f aca="false">IF(W34="","",W34*$AV34)</f>
        <v>9.24731460055427</v>
      </c>
      <c r="BG34" s="17" t="n">
        <f aca="false">IF(AD34="","",AD34*$AX34)</f>
        <v>9.87748693377863</v>
      </c>
      <c r="BH34" s="17" t="n">
        <f aca="false">IF(AK34="","",AK34*$AZ34)</f>
        <v>10.1826888355668</v>
      </c>
      <c r="BI34" s="17" t="n">
        <f aca="false">IF(BF34="","",N(BF34)+N(BG34))</f>
        <v>19.1248015343329</v>
      </c>
      <c r="BJ34" s="17" t="n">
        <f aca="false">IF(BI34="","",BI34+N($M34)*N(BH34))</f>
        <v>24.0603508129321</v>
      </c>
      <c r="BK34" s="13" t="n">
        <f aca="false">IFERROR(BD34/AL34,1)</f>
        <v>0.958385665125207</v>
      </c>
    </row>
    <row r="35" customFormat="false" ht="15" hidden="false" customHeight="false" outlineLevel="0" collapsed="false">
      <c r="A35" s="0" t="s">
        <v>1201</v>
      </c>
      <c r="B35" s="0" t="s">
        <v>988</v>
      </c>
      <c r="C35" s="0" t="s">
        <v>1008</v>
      </c>
      <c r="D35" s="0" t="s">
        <v>1014</v>
      </c>
      <c r="E35" s="0" t="s">
        <v>1200</v>
      </c>
      <c r="F35" s="0" t="s">
        <v>1488</v>
      </c>
      <c r="G35" s="0" t="str">
        <f aca="false">IFERROR(IF(INDEX(Matches!$W$5:$W$19,MATCH($C35,Matches!$A$5:$A$19,0))="","",INDEX(Matches!$W$5:$W$19,MATCH($C35,Matches!$A$5:$A$19,0))),"")</f>
        <v>Ancient</v>
      </c>
      <c r="H35" s="0" t="str">
        <f aca="false">IFERROR(IF(INDEX(Matches!$X$5:$X$19,MATCH($C35,Matches!$A$5:$A$19,0))="","",INDEX(Matches!$X$5:$X$19,MATCH($C35,Matches!$A$5:$A$19,0))),"")</f>
        <v>Mirage</v>
      </c>
      <c r="I35" s="0" t="str">
        <f aca="false">IFERROR(IF(INDEX(Matches!$Y$5:$Y$19,MATCH($C35,Matches!$A$5:$A$19,0))="","",INDEX(Matches!$Y$5:$Y$19,MATCH($C35,Matches!$A$5:$A$19,0))),"")</f>
        <v>Dust2</v>
      </c>
      <c r="J35" s="11" t="n">
        <f aca="false">IFERROR(IF(INDEX(Matches!$Z$5:$Z$19,MATCH($C35,Matches!$A$5:$A$19,0))="","",INDEX(Matches!$Z$5:$Z$19,MATCH($C35,Matches!$A$5:$A$19,0))),"")</f>
        <v>21.5</v>
      </c>
      <c r="K35" s="11" t="n">
        <f aca="false">IFERROR(IF(INDEX(Matches!$AA$5:$AA$19,MATCH($C35,Matches!$A$5:$A$19,0))="","",INDEX(Matches!$AA$5:$AA$19,MATCH($C35,Matches!$A$5:$A$19,0))),"")</f>
        <v>21.36</v>
      </c>
      <c r="L35" s="11" t="n">
        <f aca="false">IFERROR(IF(INDEX(Matches!$AB$5:$AB$19,MATCH($C35,Matches!$A$5:$A$19,0))="","",INDEX(Matches!$AB$5:$AB$19,MATCH($C35,Matches!$A$5:$A$19,0))),"")</f>
        <v>21.5</v>
      </c>
      <c r="M35" s="10" t="n">
        <f aca="false">IFERROR(IF(INDEX(Matches!$AC$5:$AC$19,MATCH($C35,Matches!$A$5:$A$19,0))="","",INDEX(Matches!$AC$5:$AC$19,MATCH($C35,Matches!$A$5:$A$19,0))),"")</f>
        <v>0.4847</v>
      </c>
      <c r="N35" s="9" t="n">
        <f aca="false">IFERROR(INDEX(Players!$F$2:$F$124,MATCH($F35,Players!$A$2:$A$124,0)),0)</f>
        <v>37</v>
      </c>
      <c r="O35" s="13" t="n">
        <f aca="false">IFERROR(1/(1/INDEX(Players!$H$2:$H$124,MATCH($F35,Players!$A$2:$A$124,0))),"")</f>
        <v>0.69</v>
      </c>
      <c r="P35" s="10" t="n">
        <f aca="false">IFERROR(1/(1/INDEX(Players!$I$2:$I$124,MATCH($F35,Players!$A$2:$A$124,0))),"")</f>
        <v>0.313</v>
      </c>
      <c r="Q35" s="9" t="n">
        <f aca="false">IF($G35="",0,SUMIFS(Map_Stats!$F$2:$F$779,Map_Stats!$A$2:$A$779,$F35&amp;"|"&amp;$G35))</f>
        <v>8</v>
      </c>
      <c r="R35" s="13" t="n">
        <f aca="false">IF($G35="","",IFERROR(1/(1/INDEX(Map_Stats!$K$2:$K$779,MATCH($F35&amp;"|"&amp;$G35,Map_Stats!$A$2:$A$779,0))),$O35))</f>
        <v>0.61</v>
      </c>
      <c r="S35" s="10" t="n">
        <f aca="false">IF(OR($G35="",$P35=""),"",IFERROR(1/(1/INDEX(Map_Stats!$I$2:$I$779,MATCH($F35&amp;"|"&amp;$G35,Map_Stats!$A$2:$A$779,0))),$P35))</f>
        <v>0.317</v>
      </c>
      <c r="T35" s="13" t="n">
        <f aca="false">IF(OR($G35="",R35=""),"",IF($O35="",R35,(Q35*R35+Config!$B$4*$O35)/(Q35+Config!$B$4)))</f>
        <v>0.640769230769231</v>
      </c>
      <c r="U35" s="10" t="n">
        <f aca="false">IF(S35="","",(Q35*S35+Config!$B$4*$P35)/(Q35+Config!$B$4))</f>
        <v>0.315461538461538</v>
      </c>
      <c r="V35" s="17" t="n">
        <f aca="false">IF(OR(T35="",$J35=""),"",T35*$J35*($J35/Config!$B$10)^Config!$B$9)</f>
        <v>13.7765384615385</v>
      </c>
      <c r="W35" s="17" t="n">
        <f aca="false">IF(OR(V35="",U35=""),"",V35*U35)</f>
        <v>4.34596801775148</v>
      </c>
      <c r="X35" s="9" t="n">
        <f aca="false">IF($H35="",0,SUMIFS(Map_Stats!$F$2:$F$779,Map_Stats!$A$2:$A$779,$F35&amp;"|"&amp;$H35))</f>
        <v>7</v>
      </c>
      <c r="Y35" s="13" t="n">
        <f aca="false">IF($H35="","",IFERROR(1/(1/INDEX(Map_Stats!$K$2:$K$779,MATCH($F35&amp;"|"&amp;$H35,Map_Stats!$A$2:$A$779,0))),$O35))</f>
        <v>0.69</v>
      </c>
      <c r="Z35" s="10" t="n">
        <f aca="false">IF(OR($H35="",$P35=""),"",IFERROR(1/(1/INDEX(Map_Stats!$I$2:$I$779,MATCH($F35&amp;"|"&amp;$H35,Map_Stats!$A$2:$A$779,0))),$P35))</f>
        <v>0.225</v>
      </c>
      <c r="AA35" s="13" t="n">
        <f aca="false">IF(OR($H35="",Y35=""),"",IF($O35="",Y35,(X35*Y35+Config!$B$4*$O35)/(X35+Config!$B$4)))</f>
        <v>0.69</v>
      </c>
      <c r="AB35" s="10" t="n">
        <f aca="false">IF(Z35="","",(X35*Z35+Config!$B$4*$P35)/(X35+Config!$B$4))</f>
        <v>0.261666666666667</v>
      </c>
      <c r="AC35" s="17" t="n">
        <f aca="false">IF(OR(AA35="",$K35=""),"",AA35*$K35*($K35/Config!$B$10)^Config!$B$9)</f>
        <v>14.7384</v>
      </c>
      <c r="AD35" s="17" t="n">
        <f aca="false">IF(OR(AC35="",AB35=""),"",AC35*AB35)</f>
        <v>3.856548</v>
      </c>
      <c r="AE35" s="9" t="n">
        <f aca="false">IF($I35="",0,SUMIFS(Map_Stats!$F$2:$F$779,Map_Stats!$A$2:$A$779,$F35&amp;"|"&amp;$I35))</f>
        <v>7</v>
      </c>
      <c r="AF35" s="13" t="n">
        <f aca="false">IF($I35="","",IFERROR(1/(1/INDEX(Map_Stats!$K$2:$K$779,MATCH($F35&amp;"|"&amp;$I35,Map_Stats!$A$2:$A$779,0))),$O35))</f>
        <v>0.8</v>
      </c>
      <c r="AG35" s="10" t="n">
        <f aca="false">IF(OR($I35="",$P35=""),"",IFERROR(1/(1/INDEX(Map_Stats!$I$2:$I$779,MATCH($F35&amp;"|"&amp;$I35,Map_Stats!$A$2:$A$779,0))),$P35))</f>
        <v>0.331</v>
      </c>
      <c r="AH35" s="13" t="n">
        <f aca="false">IF(OR($I35="",AF35=""),"",IF($O35="",AF35,(AE35*AF35+Config!$B$4*$O35)/(AE35+Config!$B$4)))</f>
        <v>0.754166666666667</v>
      </c>
      <c r="AI35" s="10" t="n">
        <f aca="false">IF(AG35="","",(AE35*AG35+Config!$B$4*$P35)/(AE35+Config!$B$4))</f>
        <v>0.3235</v>
      </c>
      <c r="AJ35" s="17" t="n">
        <f aca="false">IF(OR(AH35="",$L35=""),"",AH35*$L35*($L35/Config!$B$10)^Config!$B$9)</f>
        <v>16.2145833333333</v>
      </c>
      <c r="AK35" s="17" t="n">
        <f aca="false">IF(OR(AJ35="",AI35=""),"",AJ35*AI35)</f>
        <v>5.24541770833334</v>
      </c>
      <c r="AL35" s="17" t="n">
        <f aca="false">N(V35)+N(AC35)</f>
        <v>28.5149384615385</v>
      </c>
      <c r="AM35" s="17" t="n">
        <f aca="false">AL35+N($M35)*N(AJ35)</f>
        <v>36.3741470032051</v>
      </c>
      <c r="AN35" s="17" t="n">
        <f aca="false">IF(W35="","",N(W35)+N(AD35))</f>
        <v>8.20251601775148</v>
      </c>
      <c r="AO35" s="17" t="n">
        <f aca="false">IF(AN35="","",AN35+N($M35)*N(AK35))</f>
        <v>10.7449699809806</v>
      </c>
      <c r="AP35" s="10" t="n">
        <f aca="false">IFERROR(AN35/AL35,"")</f>
        <v>0.287656802374489</v>
      </c>
      <c r="AQ35" s="0" t="str">
        <f aca="false">TRIM(IF($N35&lt;Config!$B$12,"thin sample ("&amp;$N35&amp;" maps) · ","")&amp;IF(AND($G35&lt;&gt;"",Q35=0),"M1 unplayed→overall KPR · ","")&amp;IF(AND($H35&lt;&gt;"",X35=0),"M2 unplayed→overall KPR · ","")&amp;IF($O35="","no PickFinder stats",""))</f>
        <v/>
      </c>
      <c r="AR35" s="0" t="str">
        <f aca="false">IF($C35=Board!$B$2,COUNTIFS($C$2:$C$124,Board!$B$2,$AL$2:$AL$124,"&gt;"&amp;$AL35)+COUNTIFS($C$1:$C34,Board!$B$2,$AL$1:$AL34,$AL35)+1,"")</f>
        <v/>
      </c>
      <c r="AS35" s="0" t="str">
        <f aca="false">IFERROR(IF($D35=INDEX(Matches!$AD$5:$AD$19,MATCH($C35,Matches!$A$5:$A$19,0)),"A",IF($D35=INDEX(Matches!$AE$5:$AE$19,MATCH($C35,Matches!$A$5:$A$19,0)),"B","")),"")</f>
        <v>B</v>
      </c>
      <c r="AT35" s="10" t="n">
        <f aca="false">IF($AS35="","",IFERROR(IF($AS35="A",INDEX(Matches!$AI$5:$AI$19,MATCH($C35,Matches!$A$5:$A$19,0)),INDEX(Matches!$AJ$5:$AJ$19,MATCH($C35,Matches!$A$5:$A$19,0))),""))</f>
        <v>0.541627652537527</v>
      </c>
      <c r="AU35" s="10" t="n">
        <f aca="false">IF($AS35="","",IFERROR(IF(INDEX(Matches!$AP$5:$AP$19,MATCH($C35,Matches!$A$5:$A$19,0))="","",IF($AS35="A",INDEX(Matches!$AP$5:$AP$19,MATCH($C35,Matches!$A$5:$A$19,0)),1-INDEX(Matches!$AP$5:$AP$19,MATCH($C35,Matches!$A$5:$A$19,0)))),""))</f>
        <v>0.494214199451902</v>
      </c>
      <c r="AV35" s="13" t="n">
        <f aca="false">IF(OR($AU35="",$AT35=""),1,((Config!$B$14*$AU35+Config!$B$15*(1-$AU35))/(Config!$B$14*$AT35+Config!$B$15*(1-$AT35)))^Config!$B$13)</f>
        <v>0.959150113518942</v>
      </c>
      <c r="AW35" s="10" t="n">
        <f aca="false">IF($AS35="","",IFERROR(IF(INDEX(Matches!$AV$5:$AV$19,MATCH($C35,Matches!$A$5:$A$19,0))="","",IF($AS35="A",INDEX(Matches!$AV$5:$AV$19,MATCH($C35,Matches!$A$5:$A$19,0)),1-INDEX(Matches!$AV$5:$AV$19,MATCH($C35,Matches!$A$5:$A$19,0)))),""))</f>
        <v>0.492465852169671</v>
      </c>
      <c r="AX35" s="13" t="n">
        <f aca="false">IF(OR($AW35="",$AT35=""),1,((Config!$B$14*$AW35+Config!$B$15*(1-$AW35))/(Config!$B$14*$AT35+Config!$B$15*(1-$AT35)))^Config!$B$13)</f>
        <v>0.957643794460517</v>
      </c>
      <c r="AY35" s="10" t="n">
        <f aca="false">IF($AS35="","",IFERROR(IF(INDEX(Matches!$BB$5:$BB$19,MATCH($C35,Matches!$A$5:$A$19,0))="","",IF($AS35="A",INDEX(Matches!$BB$5:$BB$19,MATCH($C35,Matches!$A$5:$A$19,0)),1-INDEX(Matches!$BB$5:$BB$19,MATCH($C35,Matches!$A$5:$A$19,0)))),""))</f>
        <v>0.519887697172059</v>
      </c>
      <c r="AZ35" s="13" t="n">
        <f aca="false">IF(OR($AY35="",$AT35=""),1,((Config!$B$14*$AY35+Config!$B$15*(1-$AY35))/(Config!$B$14*$AT35+Config!$B$15*(1-$AT35)))^Config!$B$13)</f>
        <v>0.981269562729826</v>
      </c>
      <c r="BA35" s="17" t="n">
        <f aca="false">IF(V35="","",V35*$AV35)</f>
        <v>13.2137684292827</v>
      </c>
      <c r="BB35" s="17" t="n">
        <f aca="false">IF(AC35="","",AC35*$AX35)</f>
        <v>14.1141373002769</v>
      </c>
      <c r="BC35" s="17" t="n">
        <f aca="false">IF(AJ35="","",AJ35*$AZ35)</f>
        <v>15.9108770973463</v>
      </c>
      <c r="BD35" s="17" t="n">
        <f aca="false">N(BA35)+N(BB35)</f>
        <v>27.3279057295596</v>
      </c>
      <c r="BE35" s="17" t="n">
        <f aca="false">BD35+N($M35)*N(BC35)</f>
        <v>35.0399078586433</v>
      </c>
      <c r="BF35" s="17" t="n">
        <f aca="false">IF(W35="","",W35*$AV35)</f>
        <v>4.16843571757602</v>
      </c>
      <c r="BG35" s="17" t="n">
        <f aca="false">IF(AD35="","",AD35*$AX35)</f>
        <v>3.69319926023912</v>
      </c>
      <c r="BH35" s="17" t="n">
        <f aca="false">IF(AK35="","",AK35*$AZ35)</f>
        <v>5.14716874099154</v>
      </c>
      <c r="BI35" s="17" t="n">
        <f aca="false">IF(BF35="","",N(BF35)+N(BG35))</f>
        <v>7.86163497781514</v>
      </c>
      <c r="BJ35" s="17" t="n">
        <f aca="false">IF(BI35="","",BI35+N($M35)*N(BH35))</f>
        <v>10.3564676665737</v>
      </c>
      <c r="BK35" s="13" t="n">
        <f aca="false">IFERROR(BD35/AL35,1)</f>
        <v>0.958371548527801</v>
      </c>
    </row>
    <row r="36" customFormat="false" ht="15" hidden="false" customHeight="false" outlineLevel="0" collapsed="false">
      <c r="A36" s="0" t="s">
        <v>1203</v>
      </c>
      <c r="B36" s="0" t="s">
        <v>988</v>
      </c>
      <c r="C36" s="0" t="s">
        <v>1008</v>
      </c>
      <c r="D36" s="0" t="s">
        <v>1014</v>
      </c>
      <c r="E36" s="0" t="s">
        <v>1202</v>
      </c>
      <c r="F36" s="0" t="s">
        <v>1489</v>
      </c>
      <c r="G36" s="0" t="str">
        <f aca="false">IFERROR(IF(INDEX(Matches!$W$5:$W$19,MATCH($C36,Matches!$A$5:$A$19,0))="","",INDEX(Matches!$W$5:$W$19,MATCH($C36,Matches!$A$5:$A$19,0))),"")</f>
        <v>Ancient</v>
      </c>
      <c r="H36" s="0" t="str">
        <f aca="false">IFERROR(IF(INDEX(Matches!$X$5:$X$19,MATCH($C36,Matches!$A$5:$A$19,0))="","",INDEX(Matches!$X$5:$X$19,MATCH($C36,Matches!$A$5:$A$19,0))),"")</f>
        <v>Mirage</v>
      </c>
      <c r="I36" s="0" t="str">
        <f aca="false">IFERROR(IF(INDEX(Matches!$Y$5:$Y$19,MATCH($C36,Matches!$A$5:$A$19,0))="","",INDEX(Matches!$Y$5:$Y$19,MATCH($C36,Matches!$A$5:$A$19,0))),"")</f>
        <v>Dust2</v>
      </c>
      <c r="J36" s="11" t="n">
        <f aca="false">IFERROR(IF(INDEX(Matches!$Z$5:$Z$19,MATCH($C36,Matches!$A$5:$A$19,0))="","",INDEX(Matches!$Z$5:$Z$19,MATCH($C36,Matches!$A$5:$A$19,0))),"")</f>
        <v>21.5</v>
      </c>
      <c r="K36" s="11" t="n">
        <f aca="false">IFERROR(IF(INDEX(Matches!$AA$5:$AA$19,MATCH($C36,Matches!$A$5:$A$19,0))="","",INDEX(Matches!$AA$5:$AA$19,MATCH($C36,Matches!$A$5:$A$19,0))),"")</f>
        <v>21.36</v>
      </c>
      <c r="L36" s="11" t="n">
        <f aca="false">IFERROR(IF(INDEX(Matches!$AB$5:$AB$19,MATCH($C36,Matches!$A$5:$A$19,0))="","",INDEX(Matches!$AB$5:$AB$19,MATCH($C36,Matches!$A$5:$A$19,0))),"")</f>
        <v>21.5</v>
      </c>
      <c r="M36" s="10" t="n">
        <f aca="false">IFERROR(IF(INDEX(Matches!$AC$5:$AC$19,MATCH($C36,Matches!$A$5:$A$19,0))="","",INDEX(Matches!$AC$5:$AC$19,MATCH($C36,Matches!$A$5:$A$19,0))),"")</f>
        <v>0.4847</v>
      </c>
      <c r="N36" s="9" t="n">
        <f aca="false">IFERROR(INDEX(Players!$F$2:$F$124,MATCH($F36,Players!$A$2:$A$124,0)),0)</f>
        <v>37</v>
      </c>
      <c r="O36" s="13" t="n">
        <f aca="false">IFERROR(1/(1/INDEX(Players!$H$2:$H$124,MATCH($F36,Players!$A$2:$A$124,0))),"")</f>
        <v>0.66</v>
      </c>
      <c r="P36" s="10" t="n">
        <f aca="false">IFERROR(1/(1/INDEX(Players!$I$2:$I$124,MATCH($F36,Players!$A$2:$A$124,0))),"")</f>
        <v>0.526</v>
      </c>
      <c r="Q36" s="9" t="n">
        <f aca="false">IF($G36="",0,SUMIFS(Map_Stats!$F$2:$F$779,Map_Stats!$A$2:$A$779,$F36&amp;"|"&amp;$G36))</f>
        <v>8</v>
      </c>
      <c r="R36" s="13" t="n">
        <f aca="false">IF($G36="","",IFERROR(1/(1/INDEX(Map_Stats!$K$2:$K$779,MATCH($F36&amp;"|"&amp;$G36,Map_Stats!$A$2:$A$779,0))),$O36))</f>
        <v>0.66</v>
      </c>
      <c r="S36" s="10" t="n">
        <f aca="false">IF(OR($G36="",$P36=""),"",IFERROR(1/(1/INDEX(Map_Stats!$I$2:$I$779,MATCH($F36&amp;"|"&amp;$G36,Map_Stats!$A$2:$A$779,0))),$P36))</f>
        <v>0.566</v>
      </c>
      <c r="T36" s="13" t="n">
        <f aca="false">IF(OR($G36="",R36=""),"",IF($O36="",R36,(Q36*R36+Config!$B$4*$O36)/(Q36+Config!$B$4)))</f>
        <v>0.66</v>
      </c>
      <c r="U36" s="10" t="n">
        <f aca="false">IF(S36="","",(Q36*S36+Config!$B$4*$P36)/(Q36+Config!$B$4))</f>
        <v>0.550615384615385</v>
      </c>
      <c r="V36" s="17" t="n">
        <f aca="false">IF(OR(T36="",$J36=""),"",T36*$J36*($J36/Config!$B$10)^Config!$B$9)</f>
        <v>14.19</v>
      </c>
      <c r="W36" s="17" t="n">
        <f aca="false">IF(OR(V36="",U36=""),"",V36*U36)</f>
        <v>7.81323230769231</v>
      </c>
      <c r="X36" s="9" t="n">
        <f aca="false">IF($H36="",0,SUMIFS(Map_Stats!$F$2:$F$779,Map_Stats!$A$2:$A$779,$F36&amp;"|"&amp;$H36))</f>
        <v>7</v>
      </c>
      <c r="Y36" s="13" t="n">
        <f aca="false">IF($H36="","",IFERROR(1/(1/INDEX(Map_Stats!$K$2:$K$779,MATCH($F36&amp;"|"&amp;$H36,Map_Stats!$A$2:$A$779,0))),$O36))</f>
        <v>0.62</v>
      </c>
      <c r="Z36" s="10" t="n">
        <f aca="false">IF(OR($H36="",$P36=""),"",IFERROR(1/(1/INDEX(Map_Stats!$I$2:$I$779,MATCH($F36&amp;"|"&amp;$H36,Map_Stats!$A$2:$A$779,0))),$P36))</f>
        <v>0.546</v>
      </c>
      <c r="AA36" s="13" t="n">
        <f aca="false">IF(OR($H36="",Y36=""),"",IF($O36="",Y36,(X36*Y36+Config!$B$4*$O36)/(X36+Config!$B$4)))</f>
        <v>0.636666666666667</v>
      </c>
      <c r="AB36" s="10" t="n">
        <f aca="false">IF(Z36="","",(X36*Z36+Config!$B$4*$P36)/(X36+Config!$B$4))</f>
        <v>0.537666666666667</v>
      </c>
      <c r="AC36" s="17" t="n">
        <f aca="false">IF(OR(AA36="",$K36=""),"",AA36*$K36*($K36/Config!$B$10)^Config!$B$9)</f>
        <v>13.5992</v>
      </c>
      <c r="AD36" s="17" t="n">
        <f aca="false">IF(OR(AC36="",AB36=""),"",AC36*AB36)</f>
        <v>7.31183653333333</v>
      </c>
      <c r="AE36" s="9" t="n">
        <f aca="false">IF($I36="",0,SUMIFS(Map_Stats!$F$2:$F$779,Map_Stats!$A$2:$A$779,$F36&amp;"|"&amp;$I36))</f>
        <v>7</v>
      </c>
      <c r="AF36" s="13" t="n">
        <f aca="false">IF($I36="","",IFERROR(1/(1/INDEX(Map_Stats!$K$2:$K$779,MATCH($F36&amp;"|"&amp;$I36,Map_Stats!$A$2:$A$779,0))),$O36))</f>
        <v>0.69</v>
      </c>
      <c r="AG36" s="10" t="n">
        <f aca="false">IF(OR($I36="",$P36=""),"",IFERROR(1/(1/INDEX(Map_Stats!$I$2:$I$779,MATCH($F36&amp;"|"&amp;$I36,Map_Stats!$A$2:$A$779,0))),$P36))</f>
        <v>0.518</v>
      </c>
      <c r="AH36" s="13" t="n">
        <f aca="false">IF(OR($I36="",AF36=""),"",IF($O36="",AF36,(AE36*AF36+Config!$B$4*$O36)/(AE36+Config!$B$4)))</f>
        <v>0.6775</v>
      </c>
      <c r="AI36" s="10" t="n">
        <f aca="false">IF(AG36="","",(AE36*AG36+Config!$B$4*$P36)/(AE36+Config!$B$4))</f>
        <v>0.521333333333333</v>
      </c>
      <c r="AJ36" s="17" t="n">
        <f aca="false">IF(OR(AH36="",$L36=""),"",AH36*$L36*($L36/Config!$B$10)^Config!$B$9)</f>
        <v>14.56625</v>
      </c>
      <c r="AK36" s="17" t="n">
        <f aca="false">IF(OR(AJ36="",AI36=""),"",AJ36*AI36)</f>
        <v>7.59387166666667</v>
      </c>
      <c r="AL36" s="17" t="n">
        <f aca="false">N(V36)+N(AC36)</f>
        <v>27.7892</v>
      </c>
      <c r="AM36" s="17" t="n">
        <f aca="false">AL36+N($M36)*N(AJ36)</f>
        <v>34.849461375</v>
      </c>
      <c r="AN36" s="17" t="n">
        <f aca="false">IF(W36="","",N(W36)+N(AD36))</f>
        <v>15.1250688410256</v>
      </c>
      <c r="AO36" s="17" t="n">
        <f aca="false">IF(AN36="","",AN36+N($M36)*N(AK36))</f>
        <v>18.805818437859</v>
      </c>
      <c r="AP36" s="10" t="n">
        <f aca="false">IFERROR(AN36/AL36,"")</f>
        <v>0.544278670887454</v>
      </c>
      <c r="AQ36" s="0" t="str">
        <f aca="false">TRIM(IF($N36&lt;Config!$B$12,"thin sample ("&amp;$N36&amp;" maps) · ","")&amp;IF(AND($G36&lt;&gt;"",Q36=0),"M1 unplayed→overall KPR · ","")&amp;IF(AND($H36&lt;&gt;"",X36=0),"M2 unplayed→overall KPR · ","")&amp;IF($O36="","no PickFinder stats",""))</f>
        <v/>
      </c>
      <c r="AR36" s="0" t="str">
        <f aca="false">IF($C36=Board!$B$2,COUNTIFS($C$2:$C$124,Board!$B$2,$AL$2:$AL$124,"&gt;"&amp;$AL36)+COUNTIFS($C$1:$C35,Board!$B$2,$AL$1:$AL35,$AL36)+1,"")</f>
        <v/>
      </c>
      <c r="AS36" s="0" t="str">
        <f aca="false">IFERROR(IF($D36=INDEX(Matches!$AD$5:$AD$19,MATCH($C36,Matches!$A$5:$A$19,0)),"A",IF($D36=INDEX(Matches!$AE$5:$AE$19,MATCH($C36,Matches!$A$5:$A$19,0)),"B","")),"")</f>
        <v>B</v>
      </c>
      <c r="AT36" s="10" t="n">
        <f aca="false">IF($AS36="","",IFERROR(IF($AS36="A",INDEX(Matches!$AI$5:$AI$19,MATCH($C36,Matches!$A$5:$A$19,0)),INDEX(Matches!$AJ$5:$AJ$19,MATCH($C36,Matches!$A$5:$A$19,0))),""))</f>
        <v>0.541627652537527</v>
      </c>
      <c r="AU36" s="10" t="n">
        <f aca="false">IF($AS36="","",IFERROR(IF(INDEX(Matches!$AP$5:$AP$19,MATCH($C36,Matches!$A$5:$A$19,0))="","",IF($AS36="A",INDEX(Matches!$AP$5:$AP$19,MATCH($C36,Matches!$A$5:$A$19,0)),1-INDEX(Matches!$AP$5:$AP$19,MATCH($C36,Matches!$A$5:$A$19,0)))),""))</f>
        <v>0.494214199451902</v>
      </c>
      <c r="AV36" s="13" t="n">
        <f aca="false">IF(OR($AU36="",$AT36=""),1,((Config!$B$14*$AU36+Config!$B$15*(1-$AU36))/(Config!$B$14*$AT36+Config!$B$15*(1-$AT36)))^Config!$B$13)</f>
        <v>0.959150113518942</v>
      </c>
      <c r="AW36" s="10" t="n">
        <f aca="false">IF($AS36="","",IFERROR(IF(INDEX(Matches!$AV$5:$AV$19,MATCH($C36,Matches!$A$5:$A$19,0))="","",IF($AS36="A",INDEX(Matches!$AV$5:$AV$19,MATCH($C36,Matches!$A$5:$A$19,0)),1-INDEX(Matches!$AV$5:$AV$19,MATCH($C36,Matches!$A$5:$A$19,0)))),""))</f>
        <v>0.492465852169671</v>
      </c>
      <c r="AX36" s="13" t="n">
        <f aca="false">IF(OR($AW36="",$AT36=""),1,((Config!$B$14*$AW36+Config!$B$15*(1-$AW36))/(Config!$B$14*$AT36+Config!$B$15*(1-$AT36)))^Config!$B$13)</f>
        <v>0.957643794460517</v>
      </c>
      <c r="AY36" s="10" t="n">
        <f aca="false">IF($AS36="","",IFERROR(IF(INDEX(Matches!$BB$5:$BB$19,MATCH($C36,Matches!$A$5:$A$19,0))="","",IF($AS36="A",INDEX(Matches!$BB$5:$BB$19,MATCH($C36,Matches!$A$5:$A$19,0)),1-INDEX(Matches!$BB$5:$BB$19,MATCH($C36,Matches!$A$5:$A$19,0)))),""))</f>
        <v>0.519887697172059</v>
      </c>
      <c r="AZ36" s="13" t="n">
        <f aca="false">IF(OR($AY36="",$AT36=""),1,((Config!$B$14*$AY36+Config!$B$15*(1-$AY36))/(Config!$B$14*$AT36+Config!$B$15*(1-$AT36)))^Config!$B$13)</f>
        <v>0.981269562729826</v>
      </c>
      <c r="BA36" s="17" t="n">
        <f aca="false">IF(V36="","",V36*$AV36)</f>
        <v>13.6103401108338</v>
      </c>
      <c r="BB36" s="17" t="n">
        <f aca="false">IF(AC36="","",AC36*$AX36)</f>
        <v>13.0231894896275</v>
      </c>
      <c r="BC36" s="17" t="n">
        <f aca="false">IF(AJ36="","",AJ36*$AZ36)</f>
        <v>14.2934177681133</v>
      </c>
      <c r="BD36" s="17" t="n">
        <f aca="false">N(BA36)+N(BB36)</f>
        <v>26.6335296004612</v>
      </c>
      <c r="BE36" s="17" t="n">
        <f aca="false">BD36+N($M36)*N(BC36)</f>
        <v>33.5615491926658</v>
      </c>
      <c r="BF36" s="17" t="n">
        <f aca="false">IF(W36="","",W36*$AV36)</f>
        <v>7.49406265487294</v>
      </c>
      <c r="BG36" s="17" t="n">
        <f aca="false">IF(AD36="","",AD36*$AX36)</f>
        <v>7.00213488225636</v>
      </c>
      <c r="BH36" s="17" t="n">
        <f aca="false">IF(AK36="","",AK36*$AZ36)</f>
        <v>7.45163512977642</v>
      </c>
      <c r="BI36" s="17" t="n">
        <f aca="false">IF(BF36="","",N(BF36)+N(BG36))</f>
        <v>14.4961975371293</v>
      </c>
      <c r="BJ36" s="17" t="n">
        <f aca="false">IF(BI36="","",BI36+N($M36)*N(BH36))</f>
        <v>18.1080050845319</v>
      </c>
      <c r="BK36" s="13" t="n">
        <f aca="false">IFERROR(BD36/AL36,1)</f>
        <v>0.958412966204901</v>
      </c>
    </row>
    <row r="37" customFormat="false" ht="15" hidden="false" customHeight="false" outlineLevel="0" collapsed="false">
      <c r="A37" s="0" t="s">
        <v>1205</v>
      </c>
      <c r="B37" s="0" t="s">
        <v>988</v>
      </c>
      <c r="C37" s="0" t="s">
        <v>1008</v>
      </c>
      <c r="D37" s="0" t="s">
        <v>1014</v>
      </c>
      <c r="E37" s="0" t="s">
        <v>1204</v>
      </c>
      <c r="F37" s="0" t="s">
        <v>1490</v>
      </c>
      <c r="G37" s="0" t="str">
        <f aca="false">IFERROR(IF(INDEX(Matches!$W$5:$W$19,MATCH($C37,Matches!$A$5:$A$19,0))="","",INDEX(Matches!$W$5:$W$19,MATCH($C37,Matches!$A$5:$A$19,0))),"")</f>
        <v>Ancient</v>
      </c>
      <c r="H37" s="0" t="str">
        <f aca="false">IFERROR(IF(INDEX(Matches!$X$5:$X$19,MATCH($C37,Matches!$A$5:$A$19,0))="","",INDEX(Matches!$X$5:$X$19,MATCH($C37,Matches!$A$5:$A$19,0))),"")</f>
        <v>Mirage</v>
      </c>
      <c r="I37" s="0" t="str">
        <f aca="false">IFERROR(IF(INDEX(Matches!$Y$5:$Y$19,MATCH($C37,Matches!$A$5:$A$19,0))="","",INDEX(Matches!$Y$5:$Y$19,MATCH($C37,Matches!$A$5:$A$19,0))),"")</f>
        <v>Dust2</v>
      </c>
      <c r="J37" s="11" t="n">
        <f aca="false">IFERROR(IF(INDEX(Matches!$Z$5:$Z$19,MATCH($C37,Matches!$A$5:$A$19,0))="","",INDEX(Matches!$Z$5:$Z$19,MATCH($C37,Matches!$A$5:$A$19,0))),"")</f>
        <v>21.5</v>
      </c>
      <c r="K37" s="11" t="n">
        <f aca="false">IFERROR(IF(INDEX(Matches!$AA$5:$AA$19,MATCH($C37,Matches!$A$5:$A$19,0))="","",INDEX(Matches!$AA$5:$AA$19,MATCH($C37,Matches!$A$5:$A$19,0))),"")</f>
        <v>21.36</v>
      </c>
      <c r="L37" s="11" t="n">
        <f aca="false">IFERROR(IF(INDEX(Matches!$AB$5:$AB$19,MATCH($C37,Matches!$A$5:$A$19,0))="","",INDEX(Matches!$AB$5:$AB$19,MATCH($C37,Matches!$A$5:$A$19,0))),"")</f>
        <v>21.5</v>
      </c>
      <c r="M37" s="10" t="n">
        <f aca="false">IFERROR(IF(INDEX(Matches!$AC$5:$AC$19,MATCH($C37,Matches!$A$5:$A$19,0))="","",INDEX(Matches!$AC$5:$AC$19,MATCH($C37,Matches!$A$5:$A$19,0))),"")</f>
        <v>0.4847</v>
      </c>
      <c r="N37" s="9" t="n">
        <f aca="false">IFERROR(INDEX(Players!$F$2:$F$124,MATCH($F37,Players!$A$2:$A$124,0)),0)</f>
        <v>37</v>
      </c>
      <c r="O37" s="13" t="n">
        <f aca="false">IFERROR(1/(1/INDEX(Players!$H$2:$H$124,MATCH($F37,Players!$A$2:$A$124,0))),"")</f>
        <v>0.73</v>
      </c>
      <c r="P37" s="10" t="n">
        <f aca="false">IFERROR(1/(1/INDEX(Players!$I$2:$I$124,MATCH($F37,Players!$A$2:$A$124,0))),"")</f>
        <v>0.535</v>
      </c>
      <c r="Q37" s="9" t="n">
        <f aca="false">IF($G37="",0,SUMIFS(Map_Stats!$F$2:$F$779,Map_Stats!$A$2:$A$779,$F37&amp;"|"&amp;$G37))</f>
        <v>8</v>
      </c>
      <c r="R37" s="13" t="n">
        <f aca="false">IF($G37="","",IFERROR(1/(1/INDEX(Map_Stats!$K$2:$K$779,MATCH($F37&amp;"|"&amp;$G37,Map_Stats!$A$2:$A$779,0))),$O37))</f>
        <v>0.78</v>
      </c>
      <c r="S37" s="10" t="n">
        <f aca="false">IF(OR($G37="",$P37=""),"",IFERROR(1/(1/INDEX(Map_Stats!$I$2:$I$779,MATCH($F37&amp;"|"&amp;$G37,Map_Stats!$A$2:$A$779,0))),$P37))</f>
        <v>0.615</v>
      </c>
      <c r="T37" s="13" t="n">
        <f aca="false">IF(OR($G37="",R37=""),"",IF($O37="",R37,(Q37*R37+Config!$B$4*$O37)/(Q37+Config!$B$4)))</f>
        <v>0.760769230769231</v>
      </c>
      <c r="U37" s="10" t="n">
        <f aca="false">IF(S37="","",(Q37*S37+Config!$B$4*$P37)/(Q37+Config!$B$4))</f>
        <v>0.584230769230769</v>
      </c>
      <c r="V37" s="17" t="n">
        <f aca="false">IF(OR(T37="",$J37=""),"",T37*$J37*($J37/Config!$B$10)^Config!$B$9)</f>
        <v>16.3565384615385</v>
      </c>
      <c r="W37" s="17" t="n">
        <f aca="false">IF(OR(V37="",U37=""),"",V37*U37)</f>
        <v>9.55599304733728</v>
      </c>
      <c r="X37" s="9" t="n">
        <f aca="false">IF($H37="",0,SUMIFS(Map_Stats!$F$2:$F$779,Map_Stats!$A$2:$A$779,$F37&amp;"|"&amp;$H37))</f>
        <v>7</v>
      </c>
      <c r="Y37" s="13" t="n">
        <f aca="false">IF($H37="","",IFERROR(1/(1/INDEX(Map_Stats!$K$2:$K$779,MATCH($F37&amp;"|"&amp;$H37,Map_Stats!$A$2:$A$779,0))),$O37))</f>
        <v>0.73</v>
      </c>
      <c r="Z37" s="10" t="n">
        <f aca="false">IF(OR($H37="",$P37=""),"",IFERROR(1/(1/INDEX(Map_Stats!$I$2:$I$779,MATCH($F37&amp;"|"&amp;$H37,Map_Stats!$A$2:$A$779,0))),$P37))</f>
        <v>0.469</v>
      </c>
      <c r="AA37" s="13" t="n">
        <f aca="false">IF(OR($H37="",Y37=""),"",IF($O37="",Y37,(X37*Y37+Config!$B$4*$O37)/(X37+Config!$B$4)))</f>
        <v>0.73</v>
      </c>
      <c r="AB37" s="10" t="n">
        <f aca="false">IF(Z37="","",(X37*Z37+Config!$B$4*$P37)/(X37+Config!$B$4))</f>
        <v>0.4965</v>
      </c>
      <c r="AC37" s="17" t="n">
        <f aca="false">IF(OR(AA37="",$K37=""),"",AA37*$K37*($K37/Config!$B$10)^Config!$B$9)</f>
        <v>15.5928</v>
      </c>
      <c r="AD37" s="17" t="n">
        <f aca="false">IF(OR(AC37="",AB37=""),"",AC37*AB37)</f>
        <v>7.7418252</v>
      </c>
      <c r="AE37" s="9" t="n">
        <f aca="false">IF($I37="",0,SUMIFS(Map_Stats!$F$2:$F$779,Map_Stats!$A$2:$A$779,$F37&amp;"|"&amp;$I37))</f>
        <v>7</v>
      </c>
      <c r="AF37" s="13" t="n">
        <f aca="false">IF($I37="","",IFERROR(1/(1/INDEX(Map_Stats!$K$2:$K$779,MATCH($F37&amp;"|"&amp;$I37,Map_Stats!$A$2:$A$779,0))),$O37))</f>
        <v>0.64</v>
      </c>
      <c r="AG37" s="10" t="n">
        <f aca="false">IF(OR($I37="",$P37=""),"",IFERROR(1/(1/INDEX(Map_Stats!$I$2:$I$779,MATCH($F37&amp;"|"&amp;$I37,Map_Stats!$A$2:$A$779,0))),$P37))</f>
        <v>0.523</v>
      </c>
      <c r="AH37" s="13" t="n">
        <f aca="false">IF(OR($I37="",AF37=""),"",IF($O37="",AF37,(AE37*AF37+Config!$B$4*$O37)/(AE37+Config!$B$4)))</f>
        <v>0.6775</v>
      </c>
      <c r="AI37" s="10" t="n">
        <f aca="false">IF(AG37="","",(AE37*AG37+Config!$B$4*$P37)/(AE37+Config!$B$4))</f>
        <v>0.528</v>
      </c>
      <c r="AJ37" s="17" t="n">
        <f aca="false">IF(OR(AH37="",$L37=""),"",AH37*$L37*($L37/Config!$B$10)^Config!$B$9)</f>
        <v>14.56625</v>
      </c>
      <c r="AK37" s="17" t="n">
        <f aca="false">IF(OR(AJ37="",AI37=""),"",AJ37*AI37)</f>
        <v>7.69098</v>
      </c>
      <c r="AL37" s="17" t="n">
        <f aca="false">N(V37)+N(AC37)</f>
        <v>31.9493384615385</v>
      </c>
      <c r="AM37" s="17" t="n">
        <f aca="false">AL37+N($M37)*N(AJ37)</f>
        <v>39.0095998365385</v>
      </c>
      <c r="AN37" s="17" t="n">
        <f aca="false">IF(W37="","",N(W37)+N(AD37))</f>
        <v>17.2978182473373</v>
      </c>
      <c r="AO37" s="17" t="n">
        <f aca="false">IF(AN37="","",AN37+N($M37)*N(AK37))</f>
        <v>21.0256362533373</v>
      </c>
      <c r="AP37" s="10" t="n">
        <f aca="false">IFERROR(AN37/AL37,"")</f>
        <v>0.541413972253632</v>
      </c>
      <c r="AQ37" s="0" t="str">
        <f aca="false">TRIM(IF($N37&lt;Config!$B$12,"thin sample ("&amp;$N37&amp;" maps) · ","")&amp;IF(AND($G37&lt;&gt;"",Q37=0),"M1 unplayed→overall KPR · ","")&amp;IF(AND($H37&lt;&gt;"",X37=0),"M2 unplayed→overall KPR · ","")&amp;IF($O37="","no PickFinder stats",""))</f>
        <v/>
      </c>
      <c r="AR37" s="0" t="str">
        <f aca="false">IF($C37=Board!$B$2,COUNTIFS($C$2:$C$124,Board!$B$2,$AL$2:$AL$124,"&gt;"&amp;$AL37)+COUNTIFS($C$1:$C36,Board!$B$2,$AL$1:$AL36,$AL37)+1,"")</f>
        <v/>
      </c>
      <c r="AS37" s="0" t="str">
        <f aca="false">IFERROR(IF($D37=INDEX(Matches!$AD$5:$AD$19,MATCH($C37,Matches!$A$5:$A$19,0)),"A",IF($D37=INDEX(Matches!$AE$5:$AE$19,MATCH($C37,Matches!$A$5:$A$19,0)),"B","")),"")</f>
        <v>B</v>
      </c>
      <c r="AT37" s="10" t="n">
        <f aca="false">IF($AS37="","",IFERROR(IF($AS37="A",INDEX(Matches!$AI$5:$AI$19,MATCH($C37,Matches!$A$5:$A$19,0)),INDEX(Matches!$AJ$5:$AJ$19,MATCH($C37,Matches!$A$5:$A$19,0))),""))</f>
        <v>0.541627652537527</v>
      </c>
      <c r="AU37" s="10" t="n">
        <f aca="false">IF($AS37="","",IFERROR(IF(INDEX(Matches!$AP$5:$AP$19,MATCH($C37,Matches!$A$5:$A$19,0))="","",IF($AS37="A",INDEX(Matches!$AP$5:$AP$19,MATCH($C37,Matches!$A$5:$A$19,0)),1-INDEX(Matches!$AP$5:$AP$19,MATCH($C37,Matches!$A$5:$A$19,0)))),""))</f>
        <v>0.494214199451902</v>
      </c>
      <c r="AV37" s="13" t="n">
        <f aca="false">IF(OR($AU37="",$AT37=""),1,((Config!$B$14*$AU37+Config!$B$15*(1-$AU37))/(Config!$B$14*$AT37+Config!$B$15*(1-$AT37)))^Config!$B$13)</f>
        <v>0.959150113518942</v>
      </c>
      <c r="AW37" s="10" t="n">
        <f aca="false">IF($AS37="","",IFERROR(IF(INDEX(Matches!$AV$5:$AV$19,MATCH($C37,Matches!$A$5:$A$19,0))="","",IF($AS37="A",INDEX(Matches!$AV$5:$AV$19,MATCH($C37,Matches!$A$5:$A$19,0)),1-INDEX(Matches!$AV$5:$AV$19,MATCH($C37,Matches!$A$5:$A$19,0)))),""))</f>
        <v>0.492465852169671</v>
      </c>
      <c r="AX37" s="13" t="n">
        <f aca="false">IF(OR($AW37="",$AT37=""),1,((Config!$B$14*$AW37+Config!$B$15*(1-$AW37))/(Config!$B$14*$AT37+Config!$B$15*(1-$AT37)))^Config!$B$13)</f>
        <v>0.957643794460517</v>
      </c>
      <c r="AY37" s="10" t="n">
        <f aca="false">IF($AS37="","",IFERROR(IF(INDEX(Matches!$BB$5:$BB$19,MATCH($C37,Matches!$A$5:$A$19,0))="","",IF($AS37="A",INDEX(Matches!$BB$5:$BB$19,MATCH($C37,Matches!$A$5:$A$19,0)),1-INDEX(Matches!$BB$5:$BB$19,MATCH($C37,Matches!$A$5:$A$19,0)))),""))</f>
        <v>0.519887697172059</v>
      </c>
      <c r="AZ37" s="13" t="n">
        <f aca="false">IF(OR($AY37="",$AT37=""),1,((Config!$B$14*$AY37+Config!$B$15*(1-$AY37))/(Config!$B$14*$AT37+Config!$B$15*(1-$AT37)))^Config!$B$13)</f>
        <v>0.981269562729826</v>
      </c>
      <c r="BA37" s="17" t="n">
        <f aca="false">IF(V37="","",V37*$AV37)</f>
        <v>15.6883757221616</v>
      </c>
      <c r="BB37" s="17" t="n">
        <f aca="false">IF(AC37="","",AC37*$AX37)</f>
        <v>14.9323481582639</v>
      </c>
      <c r="BC37" s="17" t="n">
        <f aca="false">IF(AJ37="","",AJ37*$AZ37)</f>
        <v>14.2934177681133</v>
      </c>
      <c r="BD37" s="17" t="n">
        <f aca="false">N(BA37)+N(BB37)</f>
        <v>30.6207238804255</v>
      </c>
      <c r="BE37" s="17" t="n">
        <f aca="false">BD37+N($M37)*N(BC37)</f>
        <v>37.54874347263</v>
      </c>
      <c r="BF37" s="17" t="n">
        <f aca="false">IF(W37="","",W37*$AV37)</f>
        <v>9.16563181613977</v>
      </c>
      <c r="BG37" s="17" t="n">
        <f aca="false">IF(AD37="","",AD37*$AX37)</f>
        <v>7.41391086057805</v>
      </c>
      <c r="BH37" s="17" t="n">
        <f aca="false">IF(AK37="","",AK37*$AZ37)</f>
        <v>7.54692458156384</v>
      </c>
      <c r="BI37" s="17" t="n">
        <f aca="false">IF(BF37="","",N(BF37)+N(BG37))</f>
        <v>16.5795426767178</v>
      </c>
      <c r="BJ37" s="17" t="n">
        <f aca="false">IF(BI37="","",BI37+N($M37)*N(BH37))</f>
        <v>20.2375370214018</v>
      </c>
      <c r="BK37" s="13" t="n">
        <f aca="false">IFERROR(BD37/AL37,1)</f>
        <v>0.958414958021357</v>
      </c>
    </row>
    <row r="38" customFormat="false" ht="15" hidden="false" customHeight="false" outlineLevel="0" collapsed="false">
      <c r="A38" s="0" t="s">
        <v>1208</v>
      </c>
      <c r="B38" s="0" t="s">
        <v>988</v>
      </c>
      <c r="C38" s="0" t="s">
        <v>1008</v>
      </c>
      <c r="D38" s="0" t="s">
        <v>1014</v>
      </c>
      <c r="E38" s="0" t="s">
        <v>1206</v>
      </c>
      <c r="F38" s="0" t="s">
        <v>1491</v>
      </c>
      <c r="G38" s="0" t="str">
        <f aca="false">IFERROR(IF(INDEX(Matches!$W$5:$W$19,MATCH($C38,Matches!$A$5:$A$19,0))="","",INDEX(Matches!$W$5:$W$19,MATCH($C38,Matches!$A$5:$A$19,0))),"")</f>
        <v>Ancient</v>
      </c>
      <c r="H38" s="0" t="str">
        <f aca="false">IFERROR(IF(INDEX(Matches!$X$5:$X$19,MATCH($C38,Matches!$A$5:$A$19,0))="","",INDEX(Matches!$X$5:$X$19,MATCH($C38,Matches!$A$5:$A$19,0))),"")</f>
        <v>Mirage</v>
      </c>
      <c r="I38" s="0" t="str">
        <f aca="false">IFERROR(IF(INDEX(Matches!$Y$5:$Y$19,MATCH($C38,Matches!$A$5:$A$19,0))="","",INDEX(Matches!$Y$5:$Y$19,MATCH($C38,Matches!$A$5:$A$19,0))),"")</f>
        <v>Dust2</v>
      </c>
      <c r="J38" s="11" t="n">
        <f aca="false">IFERROR(IF(INDEX(Matches!$Z$5:$Z$19,MATCH($C38,Matches!$A$5:$A$19,0))="","",INDEX(Matches!$Z$5:$Z$19,MATCH($C38,Matches!$A$5:$A$19,0))),"")</f>
        <v>21.5</v>
      </c>
      <c r="K38" s="11" t="n">
        <f aca="false">IFERROR(IF(INDEX(Matches!$AA$5:$AA$19,MATCH($C38,Matches!$A$5:$A$19,0))="","",INDEX(Matches!$AA$5:$AA$19,MATCH($C38,Matches!$A$5:$A$19,0))),"")</f>
        <v>21.36</v>
      </c>
      <c r="L38" s="11" t="n">
        <f aca="false">IFERROR(IF(INDEX(Matches!$AB$5:$AB$19,MATCH($C38,Matches!$A$5:$A$19,0))="","",INDEX(Matches!$AB$5:$AB$19,MATCH($C38,Matches!$A$5:$A$19,0))),"")</f>
        <v>21.5</v>
      </c>
      <c r="M38" s="10" t="n">
        <f aca="false">IFERROR(IF(INDEX(Matches!$AC$5:$AC$19,MATCH($C38,Matches!$A$5:$A$19,0))="","",INDEX(Matches!$AC$5:$AC$19,MATCH($C38,Matches!$A$5:$A$19,0))),"")</f>
        <v>0.4847</v>
      </c>
      <c r="N38" s="9" t="n">
        <f aca="false">IFERROR(INDEX(Players!$F$2:$F$124,MATCH($F38,Players!$A$2:$A$124,0)),0)</f>
        <v>37</v>
      </c>
      <c r="O38" s="13" t="n">
        <f aca="false">IFERROR(1/(1/INDEX(Players!$H$2:$H$124,MATCH($F38,Players!$A$2:$A$124,0))),"")</f>
        <v>0.73</v>
      </c>
      <c r="P38" s="10" t="n">
        <f aca="false">IFERROR(1/(1/INDEX(Players!$I$2:$I$124,MATCH($F38,Players!$A$2:$A$124,0))),"")</f>
        <v>0.546</v>
      </c>
      <c r="Q38" s="9" t="n">
        <f aca="false">IF($G38="",0,SUMIFS(Map_Stats!$F$2:$F$779,Map_Stats!$A$2:$A$779,$F38&amp;"|"&amp;$G38))</f>
        <v>8</v>
      </c>
      <c r="R38" s="13" t="n">
        <f aca="false">IF($G38="","",IFERROR(1/(1/INDEX(Map_Stats!$K$2:$K$779,MATCH($F38&amp;"|"&amp;$G38,Map_Stats!$A$2:$A$779,0))),$O38))</f>
        <v>0.78</v>
      </c>
      <c r="S38" s="10" t="n">
        <f aca="false">IF(OR($G38="",$P38=""),"",IFERROR(1/(1/INDEX(Map_Stats!$I$2:$I$779,MATCH($F38&amp;"|"&amp;$G38,Map_Stats!$A$2:$A$779,0))),$P38))</f>
        <v>0.534</v>
      </c>
      <c r="T38" s="13" t="n">
        <f aca="false">IF(OR($G38="",R38=""),"",IF($O38="",R38,(Q38*R38+Config!$B$4*$O38)/(Q38+Config!$B$4)))</f>
        <v>0.760769230769231</v>
      </c>
      <c r="U38" s="10" t="n">
        <f aca="false">IF(S38="","",(Q38*S38+Config!$B$4*$P38)/(Q38+Config!$B$4))</f>
        <v>0.538615384615385</v>
      </c>
      <c r="V38" s="17" t="n">
        <f aca="false">IF(OR(T38="",$J38=""),"",T38*$J38*($J38/Config!$B$10)^Config!$B$9)</f>
        <v>16.3565384615385</v>
      </c>
      <c r="W38" s="17" t="n">
        <f aca="false">IF(OR(V38="",U38=""),"",V38*U38)</f>
        <v>8.80988325443787</v>
      </c>
      <c r="X38" s="9" t="n">
        <f aca="false">IF($H38="",0,SUMIFS(Map_Stats!$F$2:$F$779,Map_Stats!$A$2:$A$779,$F38&amp;"|"&amp;$H38))</f>
        <v>7</v>
      </c>
      <c r="Y38" s="13" t="n">
        <f aca="false">IF($H38="","",IFERROR(1/(1/INDEX(Map_Stats!$K$2:$K$779,MATCH($F38&amp;"|"&amp;$H38,Map_Stats!$A$2:$A$779,0))),$O38))</f>
        <v>0.64</v>
      </c>
      <c r="Z38" s="10" t="n">
        <f aca="false">IF(OR($H38="",$P38=""),"",IFERROR(1/(1/INDEX(Map_Stats!$I$2:$I$779,MATCH($F38&amp;"|"&amp;$H38,Map_Stats!$A$2:$A$779,0))),$P38))</f>
        <v>0.634</v>
      </c>
      <c r="AA38" s="13" t="n">
        <f aca="false">IF(OR($H38="",Y38=""),"",IF($O38="",Y38,(X38*Y38+Config!$B$4*$O38)/(X38+Config!$B$4)))</f>
        <v>0.6775</v>
      </c>
      <c r="AB38" s="10" t="n">
        <f aca="false">IF(Z38="","",(X38*Z38+Config!$B$4*$P38)/(X38+Config!$B$4))</f>
        <v>0.597333333333333</v>
      </c>
      <c r="AC38" s="17" t="n">
        <f aca="false">IF(OR(AA38="",$K38=""),"",AA38*$K38*($K38/Config!$B$10)^Config!$B$9)</f>
        <v>14.4714</v>
      </c>
      <c r="AD38" s="17" t="n">
        <f aca="false">IF(OR(AC38="",AB38=""),"",AC38*AB38)</f>
        <v>8.6442496</v>
      </c>
      <c r="AE38" s="9" t="n">
        <f aca="false">IF($I38="",0,SUMIFS(Map_Stats!$F$2:$F$779,Map_Stats!$A$2:$A$779,$F38&amp;"|"&amp;$I38))</f>
        <v>7</v>
      </c>
      <c r="AF38" s="13" t="n">
        <f aca="false">IF($I38="","",IFERROR(1/(1/INDEX(Map_Stats!$K$2:$K$779,MATCH($F38&amp;"|"&amp;$I38,Map_Stats!$A$2:$A$779,0))),$O38))</f>
        <v>0.73</v>
      </c>
      <c r="AG38" s="10" t="n">
        <f aca="false">IF(OR($I38="",$P38=""),"",IFERROR(1/(1/INDEX(Map_Stats!$I$2:$I$779,MATCH($F38&amp;"|"&amp;$I38,Map_Stats!$A$2:$A$779,0))),$P38))</f>
        <v>0.541</v>
      </c>
      <c r="AH38" s="13" t="n">
        <f aca="false">IF(OR($I38="",AF38=""),"",IF($O38="",AF38,(AE38*AF38+Config!$B$4*$O38)/(AE38+Config!$B$4)))</f>
        <v>0.73</v>
      </c>
      <c r="AI38" s="10" t="n">
        <f aca="false">IF(AG38="","",(AE38*AG38+Config!$B$4*$P38)/(AE38+Config!$B$4))</f>
        <v>0.543083333333334</v>
      </c>
      <c r="AJ38" s="17" t="n">
        <f aca="false">IF(OR(AH38="",$L38=""),"",AH38*$L38*($L38/Config!$B$10)^Config!$B$9)</f>
        <v>15.695</v>
      </c>
      <c r="AK38" s="17" t="n">
        <f aca="false">IF(OR(AJ38="",AI38=""),"",AJ38*AI38)</f>
        <v>8.52369291666667</v>
      </c>
      <c r="AL38" s="17" t="n">
        <f aca="false">N(V38)+N(AC38)</f>
        <v>30.8279384615385</v>
      </c>
      <c r="AM38" s="17" t="n">
        <f aca="false">AL38+N($M38)*N(AJ38)</f>
        <v>38.4353049615385</v>
      </c>
      <c r="AN38" s="17" t="n">
        <f aca="false">IF(W38="","",N(W38)+N(AD38))</f>
        <v>17.4541328544379</v>
      </c>
      <c r="AO38" s="17" t="n">
        <f aca="false">IF(AN38="","",AN38+N($M38)*N(AK38))</f>
        <v>21.5855668111462</v>
      </c>
      <c r="AP38" s="10" t="n">
        <f aca="false">IFERROR(AN38/AL38,"")</f>
        <v>0.56617904814537</v>
      </c>
      <c r="AQ38" s="0" t="str">
        <f aca="false">TRIM(IF($N38&lt;Config!$B$12,"thin sample ("&amp;$N38&amp;" maps) · ","")&amp;IF(AND($G38&lt;&gt;"",Q38=0),"M1 unplayed→overall KPR · ","")&amp;IF(AND($H38&lt;&gt;"",X38=0),"M2 unplayed→overall KPR · ","")&amp;IF($O38="","no PickFinder stats",""))</f>
        <v/>
      </c>
      <c r="AR38" s="0" t="str">
        <f aca="false">IF($C38=Board!$B$2,COUNTIFS($C$2:$C$124,Board!$B$2,$AL$2:$AL$124,"&gt;"&amp;$AL38)+COUNTIFS($C$1:$C37,Board!$B$2,$AL$1:$AL37,$AL38)+1,"")</f>
        <v/>
      </c>
      <c r="AS38" s="0" t="str">
        <f aca="false">IFERROR(IF($D38=INDEX(Matches!$AD$5:$AD$19,MATCH($C38,Matches!$A$5:$A$19,0)),"A",IF($D38=INDEX(Matches!$AE$5:$AE$19,MATCH($C38,Matches!$A$5:$A$19,0)),"B","")),"")</f>
        <v>B</v>
      </c>
      <c r="AT38" s="10" t="n">
        <f aca="false">IF($AS38="","",IFERROR(IF($AS38="A",INDEX(Matches!$AI$5:$AI$19,MATCH($C38,Matches!$A$5:$A$19,0)),INDEX(Matches!$AJ$5:$AJ$19,MATCH($C38,Matches!$A$5:$A$19,0))),""))</f>
        <v>0.541627652537527</v>
      </c>
      <c r="AU38" s="10" t="n">
        <f aca="false">IF($AS38="","",IFERROR(IF(INDEX(Matches!$AP$5:$AP$19,MATCH($C38,Matches!$A$5:$A$19,0))="","",IF($AS38="A",INDEX(Matches!$AP$5:$AP$19,MATCH($C38,Matches!$A$5:$A$19,0)),1-INDEX(Matches!$AP$5:$AP$19,MATCH($C38,Matches!$A$5:$A$19,0)))),""))</f>
        <v>0.494214199451902</v>
      </c>
      <c r="AV38" s="13" t="n">
        <f aca="false">IF(OR($AU38="",$AT38=""),1,((Config!$B$14*$AU38+Config!$B$15*(1-$AU38))/(Config!$B$14*$AT38+Config!$B$15*(1-$AT38)))^Config!$B$13)</f>
        <v>0.959150113518942</v>
      </c>
      <c r="AW38" s="10" t="n">
        <f aca="false">IF($AS38="","",IFERROR(IF(INDEX(Matches!$AV$5:$AV$19,MATCH($C38,Matches!$A$5:$A$19,0))="","",IF($AS38="A",INDEX(Matches!$AV$5:$AV$19,MATCH($C38,Matches!$A$5:$A$19,0)),1-INDEX(Matches!$AV$5:$AV$19,MATCH($C38,Matches!$A$5:$A$19,0)))),""))</f>
        <v>0.492465852169671</v>
      </c>
      <c r="AX38" s="13" t="n">
        <f aca="false">IF(OR($AW38="",$AT38=""),1,((Config!$B$14*$AW38+Config!$B$15*(1-$AW38))/(Config!$B$14*$AT38+Config!$B$15*(1-$AT38)))^Config!$B$13)</f>
        <v>0.957643794460517</v>
      </c>
      <c r="AY38" s="10" t="n">
        <f aca="false">IF($AS38="","",IFERROR(IF(INDEX(Matches!$BB$5:$BB$19,MATCH($C38,Matches!$A$5:$A$19,0))="","",IF($AS38="A",INDEX(Matches!$BB$5:$BB$19,MATCH($C38,Matches!$A$5:$A$19,0)),1-INDEX(Matches!$BB$5:$BB$19,MATCH($C38,Matches!$A$5:$A$19,0)))),""))</f>
        <v>0.519887697172059</v>
      </c>
      <c r="AZ38" s="13" t="n">
        <f aca="false">IF(OR($AY38="",$AT38=""),1,((Config!$B$14*$AY38+Config!$B$15*(1-$AY38))/(Config!$B$14*$AT38+Config!$B$15*(1-$AT38)))^Config!$B$13)</f>
        <v>0.981269562729826</v>
      </c>
      <c r="BA38" s="17" t="n">
        <f aca="false">IF(V38="","",V38*$AV38)</f>
        <v>15.6883757221616</v>
      </c>
      <c r="BB38" s="17" t="n">
        <f aca="false">IF(AC38="","",AC38*$AX38)</f>
        <v>13.8584464071559</v>
      </c>
      <c r="BC38" s="17" t="n">
        <f aca="false">IF(AJ38="","",AJ38*$AZ38)</f>
        <v>15.4010257870446</v>
      </c>
      <c r="BD38" s="17" t="n">
        <f aca="false">N(BA38)+N(BB38)</f>
        <v>29.5468221293175</v>
      </c>
      <c r="BE38" s="17" t="n">
        <f aca="false">BD38+N($M38)*N(BC38)</f>
        <v>37.011699328298</v>
      </c>
      <c r="BF38" s="17" t="n">
        <f aca="false">IF(W38="","",W38*$AV38)</f>
        <v>8.45000052358271</v>
      </c>
      <c r="BG38" s="17" t="n">
        <f aca="false">IF(AD38="","",AD38*$AX38)</f>
        <v>8.2781119872078</v>
      </c>
      <c r="BH38" s="17" t="n">
        <f aca="false">IF(AK38="","",AK38*$AZ38)</f>
        <v>8.36404042118082</v>
      </c>
      <c r="BI38" s="17" t="n">
        <f aca="false">IF(BF38="","",N(BF38)+N(BG38))</f>
        <v>16.7281125107905</v>
      </c>
      <c r="BJ38" s="17" t="n">
        <f aca="false">IF(BI38="","",BI38+N($M38)*N(BH38))</f>
        <v>20.7821629029369</v>
      </c>
      <c r="BK38" s="13" t="n">
        <f aca="false">IFERROR(BD38/AL38,1)</f>
        <v>0.958443009939853</v>
      </c>
    </row>
    <row r="39" customFormat="false" ht="15" hidden="false" customHeight="false" outlineLevel="0" collapsed="false">
      <c r="A39" s="0" t="s">
        <v>1210</v>
      </c>
      <c r="B39" s="0" t="s">
        <v>988</v>
      </c>
      <c r="C39" s="0" t="s">
        <v>1072</v>
      </c>
      <c r="D39" s="0" t="s">
        <v>1076</v>
      </c>
      <c r="E39" s="0" t="s">
        <v>1209</v>
      </c>
      <c r="F39" s="0" t="s">
        <v>1492</v>
      </c>
      <c r="G39" s="0" t="str">
        <f aca="false">IFERROR(IF(INDEX(Matches!$W$5:$W$19,MATCH($C39,Matches!$A$5:$A$19,0))="","",INDEX(Matches!$W$5:$W$19,MATCH($C39,Matches!$A$5:$A$19,0))),"")</f>
        <v>Dust2</v>
      </c>
      <c r="H39" s="0" t="str">
        <f aca="false">IFERROR(IF(INDEX(Matches!$X$5:$X$19,MATCH($C39,Matches!$A$5:$A$19,0))="","",INDEX(Matches!$X$5:$X$19,MATCH($C39,Matches!$A$5:$A$19,0))),"")</f>
        <v>Nuke</v>
      </c>
      <c r="I39" s="0" t="str">
        <f aca="false">IFERROR(IF(INDEX(Matches!$Y$5:$Y$19,MATCH($C39,Matches!$A$5:$A$19,0))="","",INDEX(Matches!$Y$5:$Y$19,MATCH($C39,Matches!$A$5:$A$19,0))),"")</f>
        <v>Anubis</v>
      </c>
      <c r="J39" s="11" t="n">
        <f aca="false">IFERROR(IF(INDEX(Matches!$Z$5:$Z$19,MATCH($C39,Matches!$A$5:$A$19,0))="","",INDEX(Matches!$Z$5:$Z$19,MATCH($C39,Matches!$A$5:$A$19,0))),"")</f>
        <v>21.5</v>
      </c>
      <c r="K39" s="11" t="n">
        <f aca="false">IFERROR(IF(INDEX(Matches!$AA$5:$AA$19,MATCH($C39,Matches!$A$5:$A$19,0))="","",INDEX(Matches!$AA$5:$AA$19,MATCH($C39,Matches!$A$5:$A$19,0))),"")</f>
        <v>21.5</v>
      </c>
      <c r="L39" s="11" t="n">
        <f aca="false">IFERROR(IF(INDEX(Matches!$AB$5:$AB$19,MATCH($C39,Matches!$A$5:$A$19,0))="","",INDEX(Matches!$AB$5:$AB$19,MATCH($C39,Matches!$A$5:$A$19,0))),"")</f>
        <v>21.5</v>
      </c>
      <c r="M39" s="10" t="n">
        <f aca="false">IFERROR(IF(INDEX(Matches!$AC$5:$AC$19,MATCH($C39,Matches!$A$5:$A$19,0))="","",INDEX(Matches!$AC$5:$AC$19,MATCH($C39,Matches!$A$5:$A$19,0))),"")</f>
        <v>0</v>
      </c>
      <c r="N39" s="9" t="n">
        <f aca="false">IFERROR(INDEX(Players!$F$2:$F$124,MATCH($F39,Players!$A$2:$A$124,0)),0)</f>
        <v>33</v>
      </c>
      <c r="O39" s="13" t="n">
        <f aca="false">IFERROR(1/(1/INDEX(Players!$H$2:$H$124,MATCH($F39,Players!$A$2:$A$124,0))),"")</f>
        <v>0.73</v>
      </c>
      <c r="P39" s="10" t="n">
        <f aca="false">IFERROR(1/(1/INDEX(Players!$I$2:$I$124,MATCH($F39,Players!$A$2:$A$124,0))),"")</f>
        <v>0.655</v>
      </c>
      <c r="Q39" s="9" t="n">
        <f aca="false">IF($G39="",0,SUMIFS(Map_Stats!$F$2:$F$779,Map_Stats!$A$2:$A$779,$F39&amp;"|"&amp;$G39))</f>
        <v>9</v>
      </c>
      <c r="R39" s="13" t="n">
        <f aca="false">IF($G39="","",IFERROR(1/(1/INDEX(Map_Stats!$K$2:$K$779,MATCH($F39&amp;"|"&amp;$G39,Map_Stats!$A$2:$A$779,0))),$O39))</f>
        <v>0.57</v>
      </c>
      <c r="S39" s="10" t="n">
        <f aca="false">IF(OR($G39="",$P39=""),"",IFERROR(1/(1/INDEX(Map_Stats!$I$2:$I$779,MATCH($F39&amp;"|"&amp;$G39,Map_Stats!$A$2:$A$779,0))),$P39))</f>
        <v>0.611</v>
      </c>
      <c r="T39" s="13" t="n">
        <f aca="false">IF(OR($G39="",R39=""),"",IF($O39="",R39,(Q39*R39+Config!$B$4*$O39)/(Q39+Config!$B$4)))</f>
        <v>0.627142857142857</v>
      </c>
      <c r="U39" s="10" t="n">
        <f aca="false">IF(S39="","",(Q39*S39+Config!$B$4*$P39)/(Q39+Config!$B$4))</f>
        <v>0.626714285714286</v>
      </c>
      <c r="V39" s="17" t="n">
        <f aca="false">IF(OR(T39="",$J39=""),"",T39*$J39*($J39/Config!$B$10)^Config!$B$9)</f>
        <v>13.4835714285714</v>
      </c>
      <c r="W39" s="17" t="n">
        <f aca="false">IF(OR(V39="",U39=""),"",V39*U39)</f>
        <v>8.4503468367347</v>
      </c>
      <c r="X39" s="9" t="n">
        <f aca="false">IF($H39="",0,SUMIFS(Map_Stats!$F$2:$F$779,Map_Stats!$A$2:$A$779,$F39&amp;"|"&amp;$H39))</f>
        <v>4</v>
      </c>
      <c r="Y39" s="13" t="n">
        <f aca="false">IF($H39="","",IFERROR(1/(1/INDEX(Map_Stats!$K$2:$K$779,MATCH($F39&amp;"|"&amp;$H39,Map_Stats!$A$2:$A$779,0))),$O39))</f>
        <v>0.74</v>
      </c>
      <c r="Z39" s="10" t="n">
        <f aca="false">IF(OR($H39="",$P39=""),"",IFERROR(1/(1/INDEX(Map_Stats!$I$2:$I$779,MATCH($F39&amp;"|"&amp;$H39,Map_Stats!$A$2:$A$779,0))),$P39))</f>
        <v>0.655</v>
      </c>
      <c r="AA39" s="13" t="n">
        <f aca="false">IF(OR($H39="",Y39=""),"",IF($O39="",Y39,(X39*Y39+Config!$B$4*$O39)/(X39+Config!$B$4)))</f>
        <v>0.734444444444445</v>
      </c>
      <c r="AB39" s="10" t="n">
        <f aca="false">IF(Z39="","",(X39*Z39+Config!$B$4*$P39)/(X39+Config!$B$4))</f>
        <v>0.655</v>
      </c>
      <c r="AC39" s="17" t="n">
        <f aca="false">IF(OR(AA39="",$K39=""),"",AA39*$K39*($K39/Config!$B$10)^Config!$B$9)</f>
        <v>15.7905555555556</v>
      </c>
      <c r="AD39" s="17" t="n">
        <f aca="false">IF(OR(AC39="",AB39=""),"",AC39*AB39)</f>
        <v>10.3428138888889</v>
      </c>
      <c r="AE39" s="9" t="n">
        <f aca="false">IF($I39="",0,SUMIFS(Map_Stats!$F$2:$F$779,Map_Stats!$A$2:$A$779,$F39&amp;"|"&amp;$I39))</f>
        <v>5</v>
      </c>
      <c r="AF39" s="13" t="n">
        <f aca="false">IF($I39="","",IFERROR(1/(1/INDEX(Map_Stats!$K$2:$K$779,MATCH($F39&amp;"|"&amp;$I39,Map_Stats!$A$2:$A$779,0))),$O39))</f>
        <v>0.76</v>
      </c>
      <c r="AG39" s="10" t="n">
        <f aca="false">IF(OR($I39="",$P39=""),"",IFERROR(1/(1/INDEX(Map_Stats!$I$2:$I$779,MATCH($F39&amp;"|"&amp;$I39,Map_Stats!$A$2:$A$779,0))),$P39))</f>
        <v>0.704</v>
      </c>
      <c r="AH39" s="13" t="n">
        <f aca="false">IF(OR($I39="",AF39=""),"",IF($O39="",AF39,(AE39*AF39+Config!$B$4*$O39)/(AE39+Config!$B$4)))</f>
        <v>0.745</v>
      </c>
      <c r="AI39" s="10" t="n">
        <f aca="false">IF(AG39="","",(AE39*AG39+Config!$B$4*$P39)/(AE39+Config!$B$4))</f>
        <v>0.6795</v>
      </c>
      <c r="AJ39" s="17" t="n">
        <f aca="false">IF(OR(AH39="",$L39=""),"",AH39*$L39*($L39/Config!$B$10)^Config!$B$9)</f>
        <v>16.0175</v>
      </c>
      <c r="AK39" s="17" t="n">
        <f aca="false">IF(OR(AJ39="",AI39=""),"",AJ39*AI39)</f>
        <v>10.88389125</v>
      </c>
      <c r="AL39" s="17" t="n">
        <f aca="false">N(V39)+N(AC39)</f>
        <v>29.274126984127</v>
      </c>
      <c r="AM39" s="17" t="n">
        <f aca="false">AL39+N($M39)*N(AJ39)</f>
        <v>29.274126984127</v>
      </c>
      <c r="AN39" s="17" t="n">
        <f aca="false">IF(W39="","",N(W39)+N(AD39))</f>
        <v>18.7931607256236</v>
      </c>
      <c r="AO39" s="17" t="n">
        <f aca="false">IF(AN39="","",AN39+N($M39)*N(AK39))</f>
        <v>18.7931607256236</v>
      </c>
      <c r="AP39" s="10" t="n">
        <f aca="false">IFERROR(AN39/AL39,"")</f>
        <v>0.641971688372248</v>
      </c>
      <c r="AQ39" s="0" t="str">
        <f aca="false">TRIM(IF($N39&lt;Config!$B$12,"thin sample ("&amp;$N39&amp;" maps) · ","")&amp;IF(AND($G39&lt;&gt;"",Q39=0),"M1 unplayed→overall KPR · ","")&amp;IF(AND($H39&lt;&gt;"",X39=0),"M2 unplayed→overall KPR · ","")&amp;IF($O39="","no PickFinder stats",""))</f>
        <v/>
      </c>
      <c r="AR39" s="0" t="str">
        <f aca="false">IF($C39=Board!$B$2,COUNTIFS($C$2:$C$124,Board!$B$2,$AL$2:$AL$124,"&gt;"&amp;$AL39)+COUNTIFS($C$1:$C38,Board!$B$2,$AL$1:$AL38,$AL39)+1,"")</f>
        <v/>
      </c>
      <c r="AS39" s="0" t="str">
        <f aca="false">IFERROR(IF($D39=INDEX(Matches!$AD$5:$AD$19,MATCH($C39,Matches!$A$5:$A$19,0)),"A",IF($D39=INDEX(Matches!$AE$5:$AE$19,MATCH($C39,Matches!$A$5:$A$19,0)),"B","")),"")</f>
        <v>A</v>
      </c>
      <c r="AT39" s="10" t="n">
        <f aca="false">IF($AS39="","",IFERROR(IF($AS39="A",INDEX(Matches!$AI$5:$AI$19,MATCH($C39,Matches!$A$5:$A$19,0)),INDEX(Matches!$AJ$5:$AJ$19,MATCH($C39,Matches!$A$5:$A$19,0))),""))</f>
        <v>0.558100830010278</v>
      </c>
      <c r="AU39" s="10" t="n">
        <f aca="false">IF($AS39="","",IFERROR(IF(INDEX(Matches!$AP$5:$AP$19,MATCH($C39,Matches!$A$5:$A$19,0))="","",IF($AS39="A",INDEX(Matches!$AP$5:$AP$19,MATCH($C39,Matches!$A$5:$A$19,0)),1-INDEX(Matches!$AP$5:$AP$19,MATCH($C39,Matches!$A$5:$A$19,0)))),""))</f>
        <v>0.513696994336097</v>
      </c>
      <c r="AV39" s="13" t="n">
        <f aca="false">IF(OR($AU39="",$AT39=""),1,((Config!$B$14*$AU39+Config!$B$15*(1-$AU39))/(Config!$B$14*$AT39+Config!$B$15*(1-$AT39)))^Config!$B$13)</f>
        <v>0.962278474129819</v>
      </c>
      <c r="AW39" s="10" t="n">
        <f aca="false">IF($AS39="","",IFERROR(IF(INDEX(Matches!$AV$5:$AV$19,MATCH($C39,Matches!$A$5:$A$19,0))="","",IF($AS39="A",INDEX(Matches!$AV$5:$AV$19,MATCH($C39,Matches!$A$5:$A$19,0)),1-INDEX(Matches!$AV$5:$AV$19,MATCH($C39,Matches!$A$5:$A$19,0)))),""))</f>
        <v>0.555600374155031</v>
      </c>
      <c r="AX39" s="13" t="n">
        <f aca="false">IF(OR($AW39="",$AT39=""),1,((Config!$B$14*$AW39+Config!$B$15*(1-$AW39))/(Config!$B$14*$AT39+Config!$B$15*(1-$AT39)))^Config!$B$13)</f>
        <v>0.997875836427216</v>
      </c>
      <c r="AY39" s="10" t="n">
        <f aca="false">IF($AS39="","",IFERROR(IF(INDEX(Matches!$BB$5:$BB$19,MATCH($C39,Matches!$A$5:$A$19,0))="","",IF($AS39="A",INDEX(Matches!$BB$5:$BB$19,MATCH($C39,Matches!$A$5:$A$19,0)),1-INDEX(Matches!$BB$5:$BB$19,MATCH($C39,Matches!$A$5:$A$19,0)))),""))</f>
        <v>0.506889659261275</v>
      </c>
      <c r="AZ39" s="13" t="n">
        <f aca="false">IF(OR($AY39="",$AT39=""),1,((Config!$B$14*$AY39+Config!$B$15*(1-$AY39))/(Config!$B$14*$AT39+Config!$B$15*(1-$AT39)))^Config!$B$13)</f>
        <v>0.956495571318988</v>
      </c>
      <c r="BA39" s="17" t="n">
        <f aca="false">IF(V39="","",V39*$AV39)</f>
        <v>12.9749505401061</v>
      </c>
      <c r="BB39" s="17" t="n">
        <f aca="false">IF(AC39="","",AC39*$AX39)</f>
        <v>15.7570138326504</v>
      </c>
      <c r="BC39" s="17" t="n">
        <f aca="false">IF(AJ39="","",AJ39*$AZ39)</f>
        <v>15.3206678136019</v>
      </c>
      <c r="BD39" s="17" t="n">
        <f aca="false">N(BA39)+N(BB39)</f>
        <v>28.7319643727566</v>
      </c>
      <c r="BE39" s="17" t="n">
        <f aca="false">BD39+N($M39)*N(BC39)</f>
        <v>28.7319643727566</v>
      </c>
      <c r="BF39" s="17" t="n">
        <f aca="false">IF(W39="","",W39*$AV39)</f>
        <v>8.13158685992081</v>
      </c>
      <c r="BG39" s="17" t="n">
        <f aca="false">IF(AD39="","",AD39*$AX39)</f>
        <v>10.320844060386</v>
      </c>
      <c r="BH39" s="17" t="n">
        <f aca="false">IF(AK39="","",AK39*$AZ39)</f>
        <v>10.4103937793425</v>
      </c>
      <c r="BI39" s="17" t="n">
        <f aca="false">IF(BF39="","",N(BF39)+N(BG39))</f>
        <v>18.4524309203068</v>
      </c>
      <c r="BJ39" s="17" t="n">
        <f aca="false">IF(BI39="","",BI39+N($M39)*N(BH39))</f>
        <v>18.4524309203068</v>
      </c>
      <c r="BK39" s="13" t="n">
        <f aca="false">IFERROR(BD39/AL39,1)</f>
        <v>0.981479802568856</v>
      </c>
    </row>
    <row r="40" customFormat="false" ht="15" hidden="false" customHeight="false" outlineLevel="0" collapsed="false">
      <c r="A40" s="0" t="s">
        <v>1212</v>
      </c>
      <c r="B40" s="0" t="s">
        <v>988</v>
      </c>
      <c r="C40" s="0" t="s">
        <v>1072</v>
      </c>
      <c r="D40" s="0" t="s">
        <v>1076</v>
      </c>
      <c r="E40" s="0" t="s">
        <v>1211</v>
      </c>
      <c r="F40" s="0" t="s">
        <v>1493</v>
      </c>
      <c r="G40" s="0" t="str">
        <f aca="false">IFERROR(IF(INDEX(Matches!$W$5:$W$19,MATCH($C40,Matches!$A$5:$A$19,0))="","",INDEX(Matches!$W$5:$W$19,MATCH($C40,Matches!$A$5:$A$19,0))),"")</f>
        <v>Dust2</v>
      </c>
      <c r="H40" s="0" t="str">
        <f aca="false">IFERROR(IF(INDEX(Matches!$X$5:$X$19,MATCH($C40,Matches!$A$5:$A$19,0))="","",INDEX(Matches!$X$5:$X$19,MATCH($C40,Matches!$A$5:$A$19,0))),"")</f>
        <v>Nuke</v>
      </c>
      <c r="I40" s="0" t="str">
        <f aca="false">IFERROR(IF(INDEX(Matches!$Y$5:$Y$19,MATCH($C40,Matches!$A$5:$A$19,0))="","",INDEX(Matches!$Y$5:$Y$19,MATCH($C40,Matches!$A$5:$A$19,0))),"")</f>
        <v>Anubis</v>
      </c>
      <c r="J40" s="11" t="n">
        <f aca="false">IFERROR(IF(INDEX(Matches!$Z$5:$Z$19,MATCH($C40,Matches!$A$5:$A$19,0))="","",INDEX(Matches!$Z$5:$Z$19,MATCH($C40,Matches!$A$5:$A$19,0))),"")</f>
        <v>21.5</v>
      </c>
      <c r="K40" s="11" t="n">
        <f aca="false">IFERROR(IF(INDEX(Matches!$AA$5:$AA$19,MATCH($C40,Matches!$A$5:$A$19,0))="","",INDEX(Matches!$AA$5:$AA$19,MATCH($C40,Matches!$A$5:$A$19,0))),"")</f>
        <v>21.5</v>
      </c>
      <c r="L40" s="11" t="n">
        <f aca="false">IFERROR(IF(INDEX(Matches!$AB$5:$AB$19,MATCH($C40,Matches!$A$5:$A$19,0))="","",INDEX(Matches!$AB$5:$AB$19,MATCH($C40,Matches!$A$5:$A$19,0))),"")</f>
        <v>21.5</v>
      </c>
      <c r="M40" s="10" t="n">
        <f aca="false">IFERROR(IF(INDEX(Matches!$AC$5:$AC$19,MATCH($C40,Matches!$A$5:$A$19,0))="","",INDEX(Matches!$AC$5:$AC$19,MATCH($C40,Matches!$A$5:$A$19,0))),"")</f>
        <v>0</v>
      </c>
      <c r="N40" s="9" t="n">
        <f aca="false">IFERROR(INDEX(Players!$F$2:$F$124,MATCH($F40,Players!$A$2:$A$124,0)),0)</f>
        <v>33</v>
      </c>
      <c r="O40" s="13" t="n">
        <f aca="false">IFERROR(1/(1/INDEX(Players!$H$2:$H$124,MATCH($F40,Players!$A$2:$A$124,0))),"")</f>
        <v>0.68</v>
      </c>
      <c r="P40" s="10" t="n">
        <f aca="false">IFERROR(1/(1/INDEX(Players!$I$2:$I$124,MATCH($F40,Players!$A$2:$A$124,0))),"")</f>
        <v>0.529</v>
      </c>
      <c r="Q40" s="9" t="n">
        <f aca="false">IF($G40="",0,SUMIFS(Map_Stats!$F$2:$F$779,Map_Stats!$A$2:$A$779,$F40&amp;"|"&amp;$G40))</f>
        <v>9</v>
      </c>
      <c r="R40" s="13" t="n">
        <f aca="false">IF($G40="","",IFERROR(1/(1/INDEX(Map_Stats!$K$2:$K$779,MATCH($F40&amp;"|"&amp;$G40,Map_Stats!$A$2:$A$779,0))),$O40))</f>
        <v>0.62</v>
      </c>
      <c r="S40" s="10" t="n">
        <f aca="false">IF(OR($G40="",$P40=""),"",IFERROR(1/(1/INDEX(Map_Stats!$I$2:$I$779,MATCH($F40&amp;"|"&amp;$G40,Map_Stats!$A$2:$A$779,0))),$P40))</f>
        <v>0.487</v>
      </c>
      <c r="T40" s="13" t="n">
        <f aca="false">IF(OR($G40="",R40=""),"",IF($O40="",R40,(Q40*R40+Config!$B$4*$O40)/(Q40+Config!$B$4)))</f>
        <v>0.641428571428572</v>
      </c>
      <c r="U40" s="10" t="n">
        <f aca="false">IF(S40="","",(Q40*S40+Config!$B$4*$P40)/(Q40+Config!$B$4))</f>
        <v>0.502</v>
      </c>
      <c r="V40" s="17" t="n">
        <f aca="false">IF(OR(T40="",$J40=""),"",T40*$J40*($J40/Config!$B$10)^Config!$B$9)</f>
        <v>13.7907142857143</v>
      </c>
      <c r="W40" s="17" t="n">
        <f aca="false">IF(OR(V40="",U40=""),"",V40*U40)</f>
        <v>6.92293857142857</v>
      </c>
      <c r="X40" s="9" t="n">
        <f aca="false">IF($H40="",0,SUMIFS(Map_Stats!$F$2:$F$779,Map_Stats!$A$2:$A$779,$F40&amp;"|"&amp;$H40))</f>
        <v>4</v>
      </c>
      <c r="Y40" s="13" t="n">
        <f aca="false">IF($H40="","",IFERROR(1/(1/INDEX(Map_Stats!$K$2:$K$779,MATCH($F40&amp;"|"&amp;$H40,Map_Stats!$A$2:$A$779,0))),$O40))</f>
        <v>0.7</v>
      </c>
      <c r="Z40" s="10" t="n">
        <f aca="false">IF(OR($H40="",$P40=""),"",IFERROR(1/(1/INDEX(Map_Stats!$I$2:$I$779,MATCH($F40&amp;"|"&amp;$H40,Map_Stats!$A$2:$A$779,0))),$P40))</f>
        <v>0.506</v>
      </c>
      <c r="AA40" s="13" t="n">
        <f aca="false">IF(OR($H40="",Y40=""),"",IF($O40="",Y40,(X40*Y40+Config!$B$4*$O40)/(X40+Config!$B$4)))</f>
        <v>0.688888888888889</v>
      </c>
      <c r="AB40" s="10" t="n">
        <f aca="false">IF(Z40="","",(X40*Z40+Config!$B$4*$P40)/(X40+Config!$B$4))</f>
        <v>0.518777777777778</v>
      </c>
      <c r="AC40" s="17" t="n">
        <f aca="false">IF(OR(AA40="",$K40=""),"",AA40*$K40*($K40/Config!$B$10)^Config!$B$9)</f>
        <v>14.8111111111111</v>
      </c>
      <c r="AD40" s="17" t="n">
        <f aca="false">IF(OR(AC40="",AB40=""),"",AC40*AB40)</f>
        <v>7.68367530864198</v>
      </c>
      <c r="AE40" s="9" t="n">
        <f aca="false">IF($I40="",0,SUMIFS(Map_Stats!$F$2:$F$779,Map_Stats!$A$2:$A$779,$F40&amp;"|"&amp;$I40))</f>
        <v>5</v>
      </c>
      <c r="AF40" s="13" t="n">
        <f aca="false">IF($I40="","",IFERROR(1/(1/INDEX(Map_Stats!$K$2:$K$779,MATCH($F40&amp;"|"&amp;$I40,Map_Stats!$A$2:$A$779,0))),$O40))</f>
        <v>0.6</v>
      </c>
      <c r="AG40" s="10" t="n">
        <f aca="false">IF(OR($I40="",$P40=""),"",IFERROR(1/(1/INDEX(Map_Stats!$I$2:$I$779,MATCH($F40&amp;"|"&amp;$I40,Map_Stats!$A$2:$A$779,0))),$P40))</f>
        <v>0.594</v>
      </c>
      <c r="AH40" s="13" t="n">
        <f aca="false">IF(OR($I40="",AF40=""),"",IF($O40="",AF40,(AE40*AF40+Config!$B$4*$O40)/(AE40+Config!$B$4)))</f>
        <v>0.64</v>
      </c>
      <c r="AI40" s="10" t="n">
        <f aca="false">IF(AG40="","",(AE40*AG40+Config!$B$4*$P40)/(AE40+Config!$B$4))</f>
        <v>0.5615</v>
      </c>
      <c r="AJ40" s="17" t="n">
        <f aca="false">IF(OR(AH40="",$L40=""),"",AH40*$L40*($L40/Config!$B$10)^Config!$B$9)</f>
        <v>13.76</v>
      </c>
      <c r="AK40" s="17" t="n">
        <f aca="false">IF(OR(AJ40="",AI40=""),"",AJ40*AI40)</f>
        <v>7.72624</v>
      </c>
      <c r="AL40" s="17" t="n">
        <f aca="false">N(V40)+N(AC40)</f>
        <v>28.6018253968254</v>
      </c>
      <c r="AM40" s="17" t="n">
        <f aca="false">AL40+N($M40)*N(AJ40)</f>
        <v>28.6018253968254</v>
      </c>
      <c r="AN40" s="17" t="n">
        <f aca="false">IF(W40="","",N(W40)+N(AD40))</f>
        <v>14.6066138800705</v>
      </c>
      <c r="AO40" s="17" t="n">
        <f aca="false">IF(AN40="","",AN40+N($M40)*N(AK40))</f>
        <v>14.6066138800705</v>
      </c>
      <c r="AP40" s="10" t="n">
        <f aca="false">IFERROR(AN40/AL40,"")</f>
        <v>0.510688170332366</v>
      </c>
      <c r="AQ40" s="0" t="str">
        <f aca="false">TRIM(IF($N40&lt;Config!$B$12,"thin sample ("&amp;$N40&amp;" maps) · ","")&amp;IF(AND($G40&lt;&gt;"",Q40=0),"M1 unplayed→overall KPR · ","")&amp;IF(AND($H40&lt;&gt;"",X40=0),"M2 unplayed→overall KPR · ","")&amp;IF($O40="","no PickFinder stats",""))</f>
        <v/>
      </c>
      <c r="AR40" s="0" t="str">
        <f aca="false">IF($C40=Board!$B$2,COUNTIFS($C$2:$C$124,Board!$B$2,$AL$2:$AL$124,"&gt;"&amp;$AL40)+COUNTIFS($C$1:$C39,Board!$B$2,$AL$1:$AL39,$AL40)+1,"")</f>
        <v/>
      </c>
      <c r="AS40" s="0" t="str">
        <f aca="false">IFERROR(IF($D40=INDEX(Matches!$AD$5:$AD$19,MATCH($C40,Matches!$A$5:$A$19,0)),"A",IF($D40=INDEX(Matches!$AE$5:$AE$19,MATCH($C40,Matches!$A$5:$A$19,0)),"B","")),"")</f>
        <v>A</v>
      </c>
      <c r="AT40" s="10" t="n">
        <f aca="false">IF($AS40="","",IFERROR(IF($AS40="A",INDEX(Matches!$AI$5:$AI$19,MATCH($C40,Matches!$A$5:$A$19,0)),INDEX(Matches!$AJ$5:$AJ$19,MATCH($C40,Matches!$A$5:$A$19,0))),""))</f>
        <v>0.558100830010278</v>
      </c>
      <c r="AU40" s="10" t="n">
        <f aca="false">IF($AS40="","",IFERROR(IF(INDEX(Matches!$AP$5:$AP$19,MATCH($C40,Matches!$A$5:$A$19,0))="","",IF($AS40="A",INDEX(Matches!$AP$5:$AP$19,MATCH($C40,Matches!$A$5:$A$19,0)),1-INDEX(Matches!$AP$5:$AP$19,MATCH($C40,Matches!$A$5:$A$19,0)))),""))</f>
        <v>0.513696994336097</v>
      </c>
      <c r="AV40" s="13" t="n">
        <f aca="false">IF(OR($AU40="",$AT40=""),1,((Config!$B$14*$AU40+Config!$B$15*(1-$AU40))/(Config!$B$14*$AT40+Config!$B$15*(1-$AT40)))^Config!$B$13)</f>
        <v>0.962278474129819</v>
      </c>
      <c r="AW40" s="10" t="n">
        <f aca="false">IF($AS40="","",IFERROR(IF(INDEX(Matches!$AV$5:$AV$19,MATCH($C40,Matches!$A$5:$A$19,0))="","",IF($AS40="A",INDEX(Matches!$AV$5:$AV$19,MATCH($C40,Matches!$A$5:$A$19,0)),1-INDEX(Matches!$AV$5:$AV$19,MATCH($C40,Matches!$A$5:$A$19,0)))),""))</f>
        <v>0.555600374155031</v>
      </c>
      <c r="AX40" s="13" t="n">
        <f aca="false">IF(OR($AW40="",$AT40=""),1,((Config!$B$14*$AW40+Config!$B$15*(1-$AW40))/(Config!$B$14*$AT40+Config!$B$15*(1-$AT40)))^Config!$B$13)</f>
        <v>0.997875836427216</v>
      </c>
      <c r="AY40" s="10" t="n">
        <f aca="false">IF($AS40="","",IFERROR(IF(INDEX(Matches!$BB$5:$BB$19,MATCH($C40,Matches!$A$5:$A$19,0))="","",IF($AS40="A",INDEX(Matches!$BB$5:$BB$19,MATCH($C40,Matches!$A$5:$A$19,0)),1-INDEX(Matches!$BB$5:$BB$19,MATCH($C40,Matches!$A$5:$A$19,0)))),""))</f>
        <v>0.506889659261275</v>
      </c>
      <c r="AZ40" s="13" t="n">
        <f aca="false">IF(OR($AY40="",$AT40=""),1,((Config!$B$14*$AY40+Config!$B$15*(1-$AY40))/(Config!$B$14*$AT40+Config!$B$15*(1-$AT40)))^Config!$B$13)</f>
        <v>0.956495571318988</v>
      </c>
      <c r="BA40" s="17" t="n">
        <f aca="false">IF(V40="","",V40*$AV40)</f>
        <v>13.2705075000174</v>
      </c>
      <c r="BB40" s="17" t="n">
        <f aca="false">IF(AC40="","",AC40*$AX40)</f>
        <v>14.7796498884164</v>
      </c>
      <c r="BC40" s="17" t="n">
        <f aca="false">IF(AJ40="","",AJ40*$AZ40)</f>
        <v>13.1613790613493</v>
      </c>
      <c r="BD40" s="17" t="n">
        <f aca="false">N(BA40)+N(BB40)</f>
        <v>28.0501573884339</v>
      </c>
      <c r="BE40" s="17" t="n">
        <f aca="false">BD40+N($M40)*N(BC40)</f>
        <v>28.0501573884339</v>
      </c>
      <c r="BF40" s="17" t="n">
        <f aca="false">IF(W40="","",W40*$AV40)</f>
        <v>6.66179476500876</v>
      </c>
      <c r="BG40" s="17" t="n">
        <f aca="false">IF(AD40="","",AD40*$AX40)</f>
        <v>7.66735392544626</v>
      </c>
      <c r="BH40" s="17" t="n">
        <f aca="false">IF(AK40="","",AK40*$AZ40)</f>
        <v>7.39011434294762</v>
      </c>
      <c r="BI40" s="17" t="n">
        <f aca="false">IF(BF40="","",N(BF40)+N(BG40))</f>
        <v>14.329148690455</v>
      </c>
      <c r="BJ40" s="17" t="n">
        <f aca="false">IF(BI40="","",BI40+N($M40)*N(BH40))</f>
        <v>14.329148690455</v>
      </c>
      <c r="BK40" s="13" t="n">
        <f aca="false">IFERROR(BD40/AL40,1)</f>
        <v>0.980712139846405</v>
      </c>
    </row>
    <row r="41" customFormat="false" ht="15" hidden="false" customHeight="false" outlineLevel="0" collapsed="false">
      <c r="A41" s="0" t="s">
        <v>1214</v>
      </c>
      <c r="B41" s="0" t="s">
        <v>988</v>
      </c>
      <c r="C41" s="0" t="s">
        <v>1072</v>
      </c>
      <c r="D41" s="0" t="s">
        <v>1076</v>
      </c>
      <c r="E41" s="0" t="s">
        <v>1213</v>
      </c>
      <c r="F41" s="0" t="s">
        <v>1494</v>
      </c>
      <c r="G41" s="0" t="str">
        <f aca="false">IFERROR(IF(INDEX(Matches!$W$5:$W$19,MATCH($C41,Matches!$A$5:$A$19,0))="","",INDEX(Matches!$W$5:$W$19,MATCH($C41,Matches!$A$5:$A$19,0))),"")</f>
        <v>Dust2</v>
      </c>
      <c r="H41" s="0" t="str">
        <f aca="false">IFERROR(IF(INDEX(Matches!$X$5:$X$19,MATCH($C41,Matches!$A$5:$A$19,0))="","",INDEX(Matches!$X$5:$X$19,MATCH($C41,Matches!$A$5:$A$19,0))),"")</f>
        <v>Nuke</v>
      </c>
      <c r="I41" s="0" t="str">
        <f aca="false">IFERROR(IF(INDEX(Matches!$Y$5:$Y$19,MATCH($C41,Matches!$A$5:$A$19,0))="","",INDEX(Matches!$Y$5:$Y$19,MATCH($C41,Matches!$A$5:$A$19,0))),"")</f>
        <v>Anubis</v>
      </c>
      <c r="J41" s="11" t="n">
        <f aca="false">IFERROR(IF(INDEX(Matches!$Z$5:$Z$19,MATCH($C41,Matches!$A$5:$A$19,0))="","",INDEX(Matches!$Z$5:$Z$19,MATCH($C41,Matches!$A$5:$A$19,0))),"")</f>
        <v>21.5</v>
      </c>
      <c r="K41" s="11" t="n">
        <f aca="false">IFERROR(IF(INDEX(Matches!$AA$5:$AA$19,MATCH($C41,Matches!$A$5:$A$19,0))="","",INDEX(Matches!$AA$5:$AA$19,MATCH($C41,Matches!$A$5:$A$19,0))),"")</f>
        <v>21.5</v>
      </c>
      <c r="L41" s="11" t="n">
        <f aca="false">IFERROR(IF(INDEX(Matches!$AB$5:$AB$19,MATCH($C41,Matches!$A$5:$A$19,0))="","",INDEX(Matches!$AB$5:$AB$19,MATCH($C41,Matches!$A$5:$A$19,0))),"")</f>
        <v>21.5</v>
      </c>
      <c r="M41" s="10" t="n">
        <f aca="false">IFERROR(IF(INDEX(Matches!$AC$5:$AC$19,MATCH($C41,Matches!$A$5:$A$19,0))="","",INDEX(Matches!$AC$5:$AC$19,MATCH($C41,Matches!$A$5:$A$19,0))),"")</f>
        <v>0</v>
      </c>
      <c r="N41" s="9" t="n">
        <f aca="false">IFERROR(INDEX(Players!$F$2:$F$124,MATCH($F41,Players!$A$2:$A$124,0)),0)</f>
        <v>33</v>
      </c>
      <c r="O41" s="13" t="n">
        <f aca="false">IFERROR(1/(1/INDEX(Players!$H$2:$H$124,MATCH($F41,Players!$A$2:$A$124,0))),"")</f>
        <v>0.66</v>
      </c>
      <c r="P41" s="10" t="n">
        <f aca="false">IFERROR(1/(1/INDEX(Players!$I$2:$I$124,MATCH($F41,Players!$A$2:$A$124,0))),"")</f>
        <v>0.555</v>
      </c>
      <c r="Q41" s="9" t="n">
        <f aca="false">IF($G41="",0,SUMIFS(Map_Stats!$F$2:$F$779,Map_Stats!$A$2:$A$779,$F41&amp;"|"&amp;$G41))</f>
        <v>9</v>
      </c>
      <c r="R41" s="13" t="n">
        <f aca="false">IF($G41="","",IFERROR(1/(1/INDEX(Map_Stats!$K$2:$K$779,MATCH($F41&amp;"|"&amp;$G41,Map_Stats!$A$2:$A$779,0))),$O41))</f>
        <v>0.64</v>
      </c>
      <c r="S41" s="10" t="n">
        <f aca="false">IF(OR($G41="",$P41=""),"",IFERROR(1/(1/INDEX(Map_Stats!$I$2:$I$779,MATCH($F41&amp;"|"&amp;$G41,Map_Stats!$A$2:$A$779,0))),$P41))</f>
        <v>0.542</v>
      </c>
      <c r="T41" s="13" t="n">
        <f aca="false">IF(OR($G41="",R41=""),"",IF($O41="",R41,(Q41*R41+Config!$B$4*$O41)/(Q41+Config!$B$4)))</f>
        <v>0.647142857142857</v>
      </c>
      <c r="U41" s="10" t="n">
        <f aca="false">IF(S41="","",(Q41*S41+Config!$B$4*$P41)/(Q41+Config!$B$4))</f>
        <v>0.546642857142857</v>
      </c>
      <c r="V41" s="17" t="n">
        <f aca="false">IF(OR(T41="",$J41=""),"",T41*$J41*($J41/Config!$B$10)^Config!$B$9)</f>
        <v>13.9135714285714</v>
      </c>
      <c r="W41" s="17" t="n">
        <f aca="false">IF(OR(V41="",U41=""),"",V41*U41)</f>
        <v>7.60575443877551</v>
      </c>
      <c r="X41" s="9" t="n">
        <f aca="false">IF($H41="",0,SUMIFS(Map_Stats!$F$2:$F$779,Map_Stats!$A$2:$A$779,$F41&amp;"|"&amp;$H41))</f>
        <v>4</v>
      </c>
      <c r="Y41" s="13" t="n">
        <f aca="false">IF($H41="","",IFERROR(1/(1/INDEX(Map_Stats!$K$2:$K$779,MATCH($F41&amp;"|"&amp;$H41,Map_Stats!$A$2:$A$779,0))),$O41))</f>
        <v>0.81</v>
      </c>
      <c r="Z41" s="10" t="n">
        <f aca="false">IF(OR($H41="",$P41=""),"",IFERROR(1/(1/INDEX(Map_Stats!$I$2:$I$779,MATCH($F41&amp;"|"&amp;$H41,Map_Stats!$A$2:$A$779,0))),$P41))</f>
        <v>0.594</v>
      </c>
      <c r="AA41" s="13" t="n">
        <f aca="false">IF(OR($H41="",Y41=""),"",IF($O41="",Y41,(X41*Y41+Config!$B$4*$O41)/(X41+Config!$B$4)))</f>
        <v>0.726666666666667</v>
      </c>
      <c r="AB41" s="10" t="n">
        <f aca="false">IF(Z41="","",(X41*Z41+Config!$B$4*$P41)/(X41+Config!$B$4))</f>
        <v>0.572333333333333</v>
      </c>
      <c r="AC41" s="17" t="n">
        <f aca="false">IF(OR(AA41="",$K41=""),"",AA41*$K41*($K41/Config!$B$10)^Config!$B$9)</f>
        <v>15.6233333333333</v>
      </c>
      <c r="AD41" s="17" t="n">
        <f aca="false">IF(OR(AC41="",AB41=""),"",AC41*AB41)</f>
        <v>8.94175444444445</v>
      </c>
      <c r="AE41" s="9" t="n">
        <f aca="false">IF($I41="",0,SUMIFS(Map_Stats!$F$2:$F$779,Map_Stats!$A$2:$A$779,$F41&amp;"|"&amp;$I41))</f>
        <v>5</v>
      </c>
      <c r="AF41" s="13" t="n">
        <f aca="false">IF($I41="","",IFERROR(1/(1/INDEX(Map_Stats!$K$2:$K$779,MATCH($F41&amp;"|"&amp;$I41,Map_Stats!$A$2:$A$779,0))),$O41))</f>
        <v>0.55</v>
      </c>
      <c r="AG41" s="10" t="n">
        <f aca="false">IF(OR($I41="",$P41=""),"",IFERROR(1/(1/INDEX(Map_Stats!$I$2:$I$779,MATCH($F41&amp;"|"&amp;$I41,Map_Stats!$A$2:$A$779,0))),$P41))</f>
        <v>0.475</v>
      </c>
      <c r="AH41" s="13" t="n">
        <f aca="false">IF(OR($I41="",AF41=""),"",IF($O41="",AF41,(AE41*AF41+Config!$B$4*$O41)/(AE41+Config!$B$4)))</f>
        <v>0.605</v>
      </c>
      <c r="AI41" s="10" t="n">
        <f aca="false">IF(AG41="","",(AE41*AG41+Config!$B$4*$P41)/(AE41+Config!$B$4))</f>
        <v>0.515</v>
      </c>
      <c r="AJ41" s="17" t="n">
        <f aca="false">IF(OR(AH41="",$L41=""),"",AH41*$L41*($L41/Config!$B$10)^Config!$B$9)</f>
        <v>13.0075</v>
      </c>
      <c r="AK41" s="17" t="n">
        <f aca="false">IF(OR(AJ41="",AI41=""),"",AJ41*AI41)</f>
        <v>6.6988625</v>
      </c>
      <c r="AL41" s="17" t="n">
        <f aca="false">N(V41)+N(AC41)</f>
        <v>29.5369047619048</v>
      </c>
      <c r="AM41" s="17" t="n">
        <f aca="false">AL41+N($M41)*N(AJ41)</f>
        <v>29.5369047619048</v>
      </c>
      <c r="AN41" s="17" t="n">
        <f aca="false">IF(W41="","",N(W41)+N(AD41))</f>
        <v>16.54750888322</v>
      </c>
      <c r="AO41" s="17" t="n">
        <f aca="false">IF(AN41="","",AN41+N($M41)*N(AK41))</f>
        <v>16.54750888322</v>
      </c>
      <c r="AP41" s="10" t="n">
        <f aca="false">IFERROR(AN41/AL41,"")</f>
        <v>0.560231649748288</v>
      </c>
      <c r="AQ41" s="0" t="str">
        <f aca="false">TRIM(IF($N41&lt;Config!$B$12,"thin sample ("&amp;$N41&amp;" maps) · ","")&amp;IF(AND($G41&lt;&gt;"",Q41=0),"M1 unplayed→overall KPR · ","")&amp;IF(AND($H41&lt;&gt;"",X41=0),"M2 unplayed→overall KPR · ","")&amp;IF($O41="","no PickFinder stats",""))</f>
        <v/>
      </c>
      <c r="AR41" s="0" t="str">
        <f aca="false">IF($C41=Board!$B$2,COUNTIFS($C$2:$C$124,Board!$B$2,$AL$2:$AL$124,"&gt;"&amp;$AL41)+COUNTIFS($C$1:$C40,Board!$B$2,$AL$1:$AL40,$AL41)+1,"")</f>
        <v/>
      </c>
      <c r="AS41" s="0" t="str">
        <f aca="false">IFERROR(IF($D41=INDEX(Matches!$AD$5:$AD$19,MATCH($C41,Matches!$A$5:$A$19,0)),"A",IF($D41=INDEX(Matches!$AE$5:$AE$19,MATCH($C41,Matches!$A$5:$A$19,0)),"B","")),"")</f>
        <v>A</v>
      </c>
      <c r="AT41" s="10" t="n">
        <f aca="false">IF($AS41="","",IFERROR(IF($AS41="A",INDEX(Matches!$AI$5:$AI$19,MATCH($C41,Matches!$A$5:$A$19,0)),INDEX(Matches!$AJ$5:$AJ$19,MATCH($C41,Matches!$A$5:$A$19,0))),""))</f>
        <v>0.558100830010278</v>
      </c>
      <c r="AU41" s="10" t="n">
        <f aca="false">IF($AS41="","",IFERROR(IF(INDEX(Matches!$AP$5:$AP$19,MATCH($C41,Matches!$A$5:$A$19,0))="","",IF($AS41="A",INDEX(Matches!$AP$5:$AP$19,MATCH($C41,Matches!$A$5:$A$19,0)),1-INDEX(Matches!$AP$5:$AP$19,MATCH($C41,Matches!$A$5:$A$19,0)))),""))</f>
        <v>0.513696994336097</v>
      </c>
      <c r="AV41" s="13" t="n">
        <f aca="false">IF(OR($AU41="",$AT41=""),1,((Config!$B$14*$AU41+Config!$B$15*(1-$AU41))/(Config!$B$14*$AT41+Config!$B$15*(1-$AT41)))^Config!$B$13)</f>
        <v>0.962278474129819</v>
      </c>
      <c r="AW41" s="10" t="n">
        <f aca="false">IF($AS41="","",IFERROR(IF(INDEX(Matches!$AV$5:$AV$19,MATCH($C41,Matches!$A$5:$A$19,0))="","",IF($AS41="A",INDEX(Matches!$AV$5:$AV$19,MATCH($C41,Matches!$A$5:$A$19,0)),1-INDEX(Matches!$AV$5:$AV$19,MATCH($C41,Matches!$A$5:$A$19,0)))),""))</f>
        <v>0.555600374155031</v>
      </c>
      <c r="AX41" s="13" t="n">
        <f aca="false">IF(OR($AW41="",$AT41=""),1,((Config!$B$14*$AW41+Config!$B$15*(1-$AW41))/(Config!$B$14*$AT41+Config!$B$15*(1-$AT41)))^Config!$B$13)</f>
        <v>0.997875836427216</v>
      </c>
      <c r="AY41" s="10" t="n">
        <f aca="false">IF($AS41="","",IFERROR(IF(INDEX(Matches!$BB$5:$BB$19,MATCH($C41,Matches!$A$5:$A$19,0))="","",IF($AS41="A",INDEX(Matches!$BB$5:$BB$19,MATCH($C41,Matches!$A$5:$A$19,0)),1-INDEX(Matches!$BB$5:$BB$19,MATCH($C41,Matches!$A$5:$A$19,0)))),""))</f>
        <v>0.506889659261275</v>
      </c>
      <c r="AZ41" s="13" t="n">
        <f aca="false">IF(OR($AY41="",$AT41=""),1,((Config!$B$14*$AY41+Config!$B$15*(1-$AY41))/(Config!$B$14*$AT41+Config!$B$15*(1-$AT41)))^Config!$B$13)</f>
        <v>0.956495571318988</v>
      </c>
      <c r="BA41" s="17" t="n">
        <f aca="false">IF(V41="","",V41*$AV41)</f>
        <v>13.388730283982</v>
      </c>
      <c r="BB41" s="17" t="n">
        <f aca="false">IF(AC41="","",AC41*$AX41)</f>
        <v>15.5901468177812</v>
      </c>
      <c r="BC41" s="17" t="n">
        <f aca="false">IF(AJ41="","",AJ41*$AZ41)</f>
        <v>12.4416161439317</v>
      </c>
      <c r="BD41" s="17" t="n">
        <f aca="false">N(BA41)+N(BB41)</f>
        <v>28.9788771017632</v>
      </c>
      <c r="BE41" s="17" t="n">
        <f aca="false">BD41+N($M41)*N(BC41)</f>
        <v>28.9788771017632</v>
      </c>
      <c r="BF41" s="17" t="n">
        <f aca="false">IF(W41="","",W41*$AV41)</f>
        <v>7.318853775951</v>
      </c>
      <c r="BG41" s="17" t="n">
        <f aca="false">IF(AD41="","",AD41*$AX41)</f>
        <v>8.92276069537678</v>
      </c>
      <c r="BH41" s="17" t="n">
        <f aca="false">IF(AK41="","",AK41*$AZ41)</f>
        <v>6.40743231412485</v>
      </c>
      <c r="BI41" s="17" t="n">
        <f aca="false">IF(BF41="","",N(BF41)+N(BG41))</f>
        <v>16.2416144713278</v>
      </c>
      <c r="BJ41" s="17" t="n">
        <f aca="false">IF(BI41="","",BI41+N($M41)*N(BH41))</f>
        <v>16.2416144713278</v>
      </c>
      <c r="BK41" s="13" t="n">
        <f aca="false">IFERROR(BD41/AL41,1)</f>
        <v>0.981107442887472</v>
      </c>
    </row>
    <row r="42" customFormat="false" ht="15" hidden="false" customHeight="false" outlineLevel="0" collapsed="false">
      <c r="A42" s="0" t="s">
        <v>1216</v>
      </c>
      <c r="B42" s="0" t="s">
        <v>988</v>
      </c>
      <c r="C42" s="0" t="s">
        <v>1072</v>
      </c>
      <c r="D42" s="0" t="s">
        <v>1076</v>
      </c>
      <c r="E42" s="0" t="s">
        <v>1215</v>
      </c>
      <c r="F42" s="0" t="s">
        <v>1495</v>
      </c>
      <c r="G42" s="0" t="str">
        <f aca="false">IFERROR(IF(INDEX(Matches!$W$5:$W$19,MATCH($C42,Matches!$A$5:$A$19,0))="","",INDEX(Matches!$W$5:$W$19,MATCH($C42,Matches!$A$5:$A$19,0))),"")</f>
        <v>Dust2</v>
      </c>
      <c r="H42" s="0" t="str">
        <f aca="false">IFERROR(IF(INDEX(Matches!$X$5:$X$19,MATCH($C42,Matches!$A$5:$A$19,0))="","",INDEX(Matches!$X$5:$X$19,MATCH($C42,Matches!$A$5:$A$19,0))),"")</f>
        <v>Nuke</v>
      </c>
      <c r="I42" s="0" t="str">
        <f aca="false">IFERROR(IF(INDEX(Matches!$Y$5:$Y$19,MATCH($C42,Matches!$A$5:$A$19,0))="","",INDEX(Matches!$Y$5:$Y$19,MATCH($C42,Matches!$A$5:$A$19,0))),"")</f>
        <v>Anubis</v>
      </c>
      <c r="J42" s="11" t="n">
        <f aca="false">IFERROR(IF(INDEX(Matches!$Z$5:$Z$19,MATCH($C42,Matches!$A$5:$A$19,0))="","",INDEX(Matches!$Z$5:$Z$19,MATCH($C42,Matches!$A$5:$A$19,0))),"")</f>
        <v>21.5</v>
      </c>
      <c r="K42" s="11" t="n">
        <f aca="false">IFERROR(IF(INDEX(Matches!$AA$5:$AA$19,MATCH($C42,Matches!$A$5:$A$19,0))="","",INDEX(Matches!$AA$5:$AA$19,MATCH($C42,Matches!$A$5:$A$19,0))),"")</f>
        <v>21.5</v>
      </c>
      <c r="L42" s="11" t="n">
        <f aca="false">IFERROR(IF(INDEX(Matches!$AB$5:$AB$19,MATCH($C42,Matches!$A$5:$A$19,0))="","",INDEX(Matches!$AB$5:$AB$19,MATCH($C42,Matches!$A$5:$A$19,0))),"")</f>
        <v>21.5</v>
      </c>
      <c r="M42" s="10" t="n">
        <f aca="false">IFERROR(IF(INDEX(Matches!$AC$5:$AC$19,MATCH($C42,Matches!$A$5:$A$19,0))="","",INDEX(Matches!$AC$5:$AC$19,MATCH($C42,Matches!$A$5:$A$19,0))),"")</f>
        <v>0</v>
      </c>
      <c r="N42" s="9" t="n">
        <f aca="false">IFERROR(INDEX(Players!$F$2:$F$124,MATCH($F42,Players!$A$2:$A$124,0)),0)</f>
        <v>35</v>
      </c>
      <c r="O42" s="13" t="n">
        <f aca="false">IFERROR(1/(1/INDEX(Players!$H$2:$H$124,MATCH($F42,Players!$A$2:$A$124,0))),"")</f>
        <v>0.59</v>
      </c>
      <c r="P42" s="10" t="n">
        <f aca="false">IFERROR(1/(1/INDEX(Players!$I$2:$I$124,MATCH($F42,Players!$A$2:$A$124,0))),"")</f>
        <v>0.457</v>
      </c>
      <c r="Q42" s="9" t="n">
        <f aca="false">IF($G42="",0,SUMIFS(Map_Stats!$F$2:$F$779,Map_Stats!$A$2:$A$779,$F42&amp;"|"&amp;$G42))</f>
        <v>14</v>
      </c>
      <c r="R42" s="13" t="n">
        <f aca="false">IF($G42="","",IFERROR(1/(1/INDEX(Map_Stats!$K$2:$K$779,MATCH($F42&amp;"|"&amp;$G42,Map_Stats!$A$2:$A$779,0))),$O42))</f>
        <v>0.61</v>
      </c>
      <c r="S42" s="10" t="n">
        <f aca="false">IF(OR($G42="",$P42=""),"",IFERROR(1/(1/INDEX(Map_Stats!$I$2:$I$779,MATCH($F42&amp;"|"&amp;$G42,Map_Stats!$A$2:$A$779,0))),$P42))</f>
        <v>0.497</v>
      </c>
      <c r="T42" s="13" t="n">
        <f aca="false">IF(OR($G42="",R42=""),"",IF($O42="",R42,(Q42*R42+Config!$B$4*$O42)/(Q42+Config!$B$4)))</f>
        <v>0.604736842105263</v>
      </c>
      <c r="U42" s="10" t="n">
        <f aca="false">IF(S42="","",(Q42*S42+Config!$B$4*$P42)/(Q42+Config!$B$4))</f>
        <v>0.486473684210526</v>
      </c>
      <c r="V42" s="17" t="n">
        <f aca="false">IF(OR(T42="",$J42=""),"",T42*$J42*($J42/Config!$B$10)^Config!$B$9)</f>
        <v>13.0018421052632</v>
      </c>
      <c r="W42" s="17" t="n">
        <f aca="false">IF(OR(V42="",U42=""),"",V42*U42)</f>
        <v>6.32505403047092</v>
      </c>
      <c r="X42" s="9" t="n">
        <f aca="false">IF($H42="",0,SUMIFS(Map_Stats!$F$2:$F$779,Map_Stats!$A$2:$A$779,$F42&amp;"|"&amp;$H42))</f>
        <v>3</v>
      </c>
      <c r="Y42" s="13" t="n">
        <f aca="false">IF($H42="","",IFERROR(1/(1/INDEX(Map_Stats!$K$2:$K$779,MATCH($F42&amp;"|"&amp;$H42,Map_Stats!$A$2:$A$779,0))),$O42))</f>
        <v>0.3</v>
      </c>
      <c r="Z42" s="10" t="n">
        <f aca="false">IF(OR($H42="",$P42=""),"",IFERROR(1/(1/INDEX(Map_Stats!$I$2:$I$779,MATCH($F42&amp;"|"&amp;$H42,Map_Stats!$A$2:$A$779,0))),$P42))</f>
        <v>0.5</v>
      </c>
      <c r="AA42" s="13" t="n">
        <f aca="false">IF(OR($H42="",Y42=""),"",IF($O42="",Y42,(X42*Y42+Config!$B$4*$O42)/(X42+Config!$B$4)))</f>
        <v>0.48125</v>
      </c>
      <c r="AB42" s="10" t="n">
        <f aca="false">IF(Z42="","",(X42*Z42+Config!$B$4*$P42)/(X42+Config!$B$4))</f>
        <v>0.473125</v>
      </c>
      <c r="AC42" s="17" t="n">
        <f aca="false">IF(OR(AA42="",$K42=""),"",AA42*$K42*($K42/Config!$B$10)^Config!$B$9)</f>
        <v>10.346875</v>
      </c>
      <c r="AD42" s="17" t="n">
        <f aca="false">IF(OR(AC42="",AB42=""),"",AC42*AB42)</f>
        <v>4.895365234375</v>
      </c>
      <c r="AE42" s="9" t="n">
        <f aca="false">IF($I42="",0,SUMIFS(Map_Stats!$F$2:$F$779,Map_Stats!$A$2:$A$779,$F42&amp;"|"&amp;$I42))</f>
        <v>1</v>
      </c>
      <c r="AF42" s="13" t="n">
        <f aca="false">IF($I42="","",IFERROR(1/(1/INDEX(Map_Stats!$K$2:$K$779,MATCH($F42&amp;"|"&amp;$I42,Map_Stats!$A$2:$A$779,0))),$O42))</f>
        <v>0.47</v>
      </c>
      <c r="AG42" s="10" t="n">
        <f aca="false">IF(OR($I42="",$P42=""),"",IFERROR(1/(1/INDEX(Map_Stats!$I$2:$I$779,MATCH($F42&amp;"|"&amp;$I42,Map_Stats!$A$2:$A$779,0))),$P42))</f>
        <v>0.25</v>
      </c>
      <c r="AH42" s="13" t="n">
        <f aca="false">IF(OR($I42="",AF42=""),"",IF($O42="",AF42,(AE42*AF42+Config!$B$4*$O42)/(AE42+Config!$B$4)))</f>
        <v>0.57</v>
      </c>
      <c r="AI42" s="10" t="n">
        <f aca="false">IF(AG42="","",(AE42*AG42+Config!$B$4*$P42)/(AE42+Config!$B$4))</f>
        <v>0.4225</v>
      </c>
      <c r="AJ42" s="17" t="n">
        <f aca="false">IF(OR(AH42="",$L42=""),"",AH42*$L42*($L42/Config!$B$10)^Config!$B$9)</f>
        <v>12.255</v>
      </c>
      <c r="AK42" s="17" t="n">
        <f aca="false">IF(OR(AJ42="",AI42=""),"",AJ42*AI42)</f>
        <v>5.1777375</v>
      </c>
      <c r="AL42" s="17" t="n">
        <f aca="false">N(V42)+N(AC42)</f>
        <v>23.3487171052632</v>
      </c>
      <c r="AM42" s="17" t="n">
        <f aca="false">AL42+N($M42)*N(AJ42)</f>
        <v>23.3487171052632</v>
      </c>
      <c r="AN42" s="17" t="n">
        <f aca="false">IF(W42="","",N(W42)+N(AD42))</f>
        <v>11.2204192648459</v>
      </c>
      <c r="AO42" s="17" t="n">
        <f aca="false">IF(AN42="","",AN42+N($M42)*N(AK42))</f>
        <v>11.2204192648459</v>
      </c>
      <c r="AP42" s="10" t="n">
        <f aca="false">IFERROR(AN42/AL42,"")</f>
        <v>0.480558277110508</v>
      </c>
      <c r="AQ42" s="0" t="str">
        <f aca="false">TRIM(IF($N42&lt;Config!$B$12,"thin sample ("&amp;$N42&amp;" maps) · ","")&amp;IF(AND($G42&lt;&gt;"",Q42=0),"M1 unplayed→overall KPR · ","")&amp;IF(AND($H42&lt;&gt;"",X42=0),"M2 unplayed→overall KPR · ","")&amp;IF($O42="","no PickFinder stats",""))</f>
        <v/>
      </c>
      <c r="AR42" s="0" t="str">
        <f aca="false">IF($C42=Board!$B$2,COUNTIFS($C$2:$C$124,Board!$B$2,$AL$2:$AL$124,"&gt;"&amp;$AL42)+COUNTIFS($C$1:$C41,Board!$B$2,$AL$1:$AL41,$AL42)+1,"")</f>
        <v/>
      </c>
      <c r="AS42" s="0" t="str">
        <f aca="false">IFERROR(IF($D42=INDEX(Matches!$AD$5:$AD$19,MATCH($C42,Matches!$A$5:$A$19,0)),"A",IF($D42=INDEX(Matches!$AE$5:$AE$19,MATCH($C42,Matches!$A$5:$A$19,0)),"B","")),"")</f>
        <v>A</v>
      </c>
      <c r="AT42" s="10" t="n">
        <f aca="false">IF($AS42="","",IFERROR(IF($AS42="A",INDEX(Matches!$AI$5:$AI$19,MATCH($C42,Matches!$A$5:$A$19,0)),INDEX(Matches!$AJ$5:$AJ$19,MATCH($C42,Matches!$A$5:$A$19,0))),""))</f>
        <v>0.558100830010278</v>
      </c>
      <c r="AU42" s="10" t="n">
        <f aca="false">IF($AS42="","",IFERROR(IF(INDEX(Matches!$AP$5:$AP$19,MATCH($C42,Matches!$A$5:$A$19,0))="","",IF($AS42="A",INDEX(Matches!$AP$5:$AP$19,MATCH($C42,Matches!$A$5:$A$19,0)),1-INDEX(Matches!$AP$5:$AP$19,MATCH($C42,Matches!$A$5:$A$19,0)))),""))</f>
        <v>0.513696994336097</v>
      </c>
      <c r="AV42" s="13" t="n">
        <f aca="false">IF(OR($AU42="",$AT42=""),1,((Config!$B$14*$AU42+Config!$B$15*(1-$AU42))/(Config!$B$14*$AT42+Config!$B$15*(1-$AT42)))^Config!$B$13)</f>
        <v>0.962278474129819</v>
      </c>
      <c r="AW42" s="10" t="n">
        <f aca="false">IF($AS42="","",IFERROR(IF(INDEX(Matches!$AV$5:$AV$19,MATCH($C42,Matches!$A$5:$A$19,0))="","",IF($AS42="A",INDEX(Matches!$AV$5:$AV$19,MATCH($C42,Matches!$A$5:$A$19,0)),1-INDEX(Matches!$AV$5:$AV$19,MATCH($C42,Matches!$A$5:$A$19,0)))),""))</f>
        <v>0.555600374155031</v>
      </c>
      <c r="AX42" s="13" t="n">
        <f aca="false">IF(OR($AW42="",$AT42=""),1,((Config!$B$14*$AW42+Config!$B$15*(1-$AW42))/(Config!$B$14*$AT42+Config!$B$15*(1-$AT42)))^Config!$B$13)</f>
        <v>0.997875836427216</v>
      </c>
      <c r="AY42" s="10" t="n">
        <f aca="false">IF($AS42="","",IFERROR(IF(INDEX(Matches!$BB$5:$BB$19,MATCH($C42,Matches!$A$5:$A$19,0))="","",IF($AS42="A",INDEX(Matches!$BB$5:$BB$19,MATCH($C42,Matches!$A$5:$A$19,0)),1-INDEX(Matches!$BB$5:$BB$19,MATCH($C42,Matches!$A$5:$A$19,0)))),""))</f>
        <v>0.506889659261275</v>
      </c>
      <c r="AZ42" s="13" t="n">
        <f aca="false">IF(OR($AY42="",$AT42=""),1,((Config!$B$14*$AY42+Config!$B$15*(1-$AY42))/(Config!$B$14*$AT42+Config!$B$15*(1-$AT42)))^Config!$B$13)</f>
        <v>0.956495571318988</v>
      </c>
      <c r="BA42" s="17" t="n">
        <f aca="false">IF(V42="","",V42*$AV42)</f>
        <v>12.5113927819295</v>
      </c>
      <c r="BB42" s="17" t="n">
        <f aca="false">IF(AC42="","",AC42*$AX42)</f>
        <v>10.3248965450329</v>
      </c>
      <c r="BC42" s="17" t="n">
        <f aca="false">IF(AJ42="","",AJ42*$AZ42)</f>
        <v>11.7218532265142</v>
      </c>
      <c r="BD42" s="17" t="n">
        <f aca="false">N(BA42)+N(BB42)</f>
        <v>22.8362893269623</v>
      </c>
      <c r="BE42" s="17" t="n">
        <f aca="false">BD42+N($M42)*N(BC42)</f>
        <v>22.8362893269623</v>
      </c>
      <c r="BF42" s="17" t="n">
        <f aca="false">IF(W42="","",W42*$AV42)</f>
        <v>6.08646334123022</v>
      </c>
      <c r="BG42" s="17" t="n">
        <f aca="false">IF(AD42="","",AD42*$AX42)</f>
        <v>4.88496667786867</v>
      </c>
      <c r="BH42" s="17" t="n">
        <f aca="false">IF(AK42="","",AK42*$AZ42)</f>
        <v>4.95248298820225</v>
      </c>
      <c r="BI42" s="17" t="n">
        <f aca="false">IF(BF42="","",N(BF42)+N(BG42))</f>
        <v>10.9714300190989</v>
      </c>
      <c r="BJ42" s="17" t="n">
        <f aca="false">IF(BI42="","",BI42+N($M42)*N(BH42))</f>
        <v>10.9714300190989</v>
      </c>
      <c r="BK42" s="13" t="n">
        <f aca="false">IFERROR(BD42/AL42,1)</f>
        <v>0.978053279073507</v>
      </c>
    </row>
    <row r="43" customFormat="false" ht="15" hidden="false" customHeight="false" outlineLevel="0" collapsed="false">
      <c r="A43" s="0" t="s">
        <v>1218</v>
      </c>
      <c r="B43" s="0" t="s">
        <v>988</v>
      </c>
      <c r="C43" s="0" t="s">
        <v>1072</v>
      </c>
      <c r="D43" s="0" t="s">
        <v>1076</v>
      </c>
      <c r="E43" s="0" t="s">
        <v>1217</v>
      </c>
      <c r="F43" s="0" t="s">
        <v>1496</v>
      </c>
      <c r="G43" s="0" t="str">
        <f aca="false">IFERROR(IF(INDEX(Matches!$W$5:$W$19,MATCH($C43,Matches!$A$5:$A$19,0))="","",INDEX(Matches!$W$5:$W$19,MATCH($C43,Matches!$A$5:$A$19,0))),"")</f>
        <v>Dust2</v>
      </c>
      <c r="H43" s="0" t="str">
        <f aca="false">IFERROR(IF(INDEX(Matches!$X$5:$X$19,MATCH($C43,Matches!$A$5:$A$19,0))="","",INDEX(Matches!$X$5:$X$19,MATCH($C43,Matches!$A$5:$A$19,0))),"")</f>
        <v>Nuke</v>
      </c>
      <c r="I43" s="0" t="str">
        <f aca="false">IFERROR(IF(INDEX(Matches!$Y$5:$Y$19,MATCH($C43,Matches!$A$5:$A$19,0))="","",INDEX(Matches!$Y$5:$Y$19,MATCH($C43,Matches!$A$5:$A$19,0))),"")</f>
        <v>Anubis</v>
      </c>
      <c r="J43" s="11" t="n">
        <f aca="false">IFERROR(IF(INDEX(Matches!$Z$5:$Z$19,MATCH($C43,Matches!$A$5:$A$19,0))="","",INDEX(Matches!$Z$5:$Z$19,MATCH($C43,Matches!$A$5:$A$19,0))),"")</f>
        <v>21.5</v>
      </c>
      <c r="K43" s="11" t="n">
        <f aca="false">IFERROR(IF(INDEX(Matches!$AA$5:$AA$19,MATCH($C43,Matches!$A$5:$A$19,0))="","",INDEX(Matches!$AA$5:$AA$19,MATCH($C43,Matches!$A$5:$A$19,0))),"")</f>
        <v>21.5</v>
      </c>
      <c r="L43" s="11" t="n">
        <f aca="false">IFERROR(IF(INDEX(Matches!$AB$5:$AB$19,MATCH($C43,Matches!$A$5:$A$19,0))="","",INDEX(Matches!$AB$5:$AB$19,MATCH($C43,Matches!$A$5:$A$19,0))),"")</f>
        <v>21.5</v>
      </c>
      <c r="M43" s="10" t="n">
        <f aca="false">IFERROR(IF(INDEX(Matches!$AC$5:$AC$19,MATCH($C43,Matches!$A$5:$A$19,0))="","",INDEX(Matches!$AC$5:$AC$19,MATCH($C43,Matches!$A$5:$A$19,0))),"")</f>
        <v>0</v>
      </c>
      <c r="N43" s="9" t="n">
        <f aca="false">IFERROR(INDEX(Players!$F$2:$F$124,MATCH($F43,Players!$A$2:$A$124,0)),0)</f>
        <v>33</v>
      </c>
      <c r="O43" s="13" t="n">
        <f aca="false">IFERROR(1/(1/INDEX(Players!$H$2:$H$124,MATCH($F43,Players!$A$2:$A$124,0))),"")</f>
        <v>0.74</v>
      </c>
      <c r="P43" s="10" t="n">
        <f aca="false">IFERROR(1/(1/INDEX(Players!$I$2:$I$124,MATCH($F43,Players!$A$2:$A$124,0))),"")</f>
        <v>0.282</v>
      </c>
      <c r="Q43" s="9" t="n">
        <f aca="false">IF($G43="",0,SUMIFS(Map_Stats!$F$2:$F$779,Map_Stats!$A$2:$A$779,$F43&amp;"|"&amp;$G43))</f>
        <v>9</v>
      </c>
      <c r="R43" s="13" t="n">
        <f aca="false">IF($G43="","",IFERROR(1/(1/INDEX(Map_Stats!$K$2:$K$779,MATCH($F43&amp;"|"&amp;$G43,Map_Stats!$A$2:$A$779,0))),$O43))</f>
        <v>0.83</v>
      </c>
      <c r="S43" s="10" t="n">
        <f aca="false">IF(OR($G43="",$P43=""),"",IFERROR(1/(1/INDEX(Map_Stats!$I$2:$I$779,MATCH($F43&amp;"|"&amp;$G43,Map_Stats!$A$2:$A$779,0))),$P43))</f>
        <v>0.301</v>
      </c>
      <c r="T43" s="13" t="n">
        <f aca="false">IF(OR($G43="",R43=""),"",IF($O43="",R43,(Q43*R43+Config!$B$4*$O43)/(Q43+Config!$B$4)))</f>
        <v>0.797857142857143</v>
      </c>
      <c r="U43" s="10" t="n">
        <f aca="false">IF(S43="","",(Q43*S43+Config!$B$4*$P43)/(Q43+Config!$B$4))</f>
        <v>0.294214285714286</v>
      </c>
      <c r="V43" s="17" t="n">
        <f aca="false">IF(OR(T43="",$J43=""),"",T43*$J43*($J43/Config!$B$10)^Config!$B$9)</f>
        <v>17.1539285714286</v>
      </c>
      <c r="W43" s="17" t="n">
        <f aca="false">IF(OR(V43="",U43=""),"",V43*U43)</f>
        <v>5.04693084183673</v>
      </c>
      <c r="X43" s="9" t="n">
        <f aca="false">IF($H43="",0,SUMIFS(Map_Stats!$F$2:$F$779,Map_Stats!$A$2:$A$779,$F43&amp;"|"&amp;$H43))</f>
        <v>4</v>
      </c>
      <c r="Y43" s="13" t="n">
        <f aca="false">IF($H43="","",IFERROR(1/(1/INDEX(Map_Stats!$K$2:$K$779,MATCH($F43&amp;"|"&amp;$H43,Map_Stats!$A$2:$A$779,0))),$O43))</f>
        <v>0.8</v>
      </c>
      <c r="Z43" s="10" t="n">
        <f aca="false">IF(OR($H43="",$P43=""),"",IFERROR(1/(1/INDEX(Map_Stats!$I$2:$I$779,MATCH($F43&amp;"|"&amp;$H43,Map_Stats!$A$2:$A$779,0))),$P43))</f>
        <v>0.255</v>
      </c>
      <c r="AA43" s="13" t="n">
        <f aca="false">IF(OR($H43="",Y43=""),"",IF($O43="",Y43,(X43*Y43+Config!$B$4*$O43)/(X43+Config!$B$4)))</f>
        <v>0.766666666666667</v>
      </c>
      <c r="AB43" s="10" t="n">
        <f aca="false">IF(Z43="","",(X43*Z43+Config!$B$4*$P43)/(X43+Config!$B$4))</f>
        <v>0.27</v>
      </c>
      <c r="AC43" s="17" t="n">
        <f aca="false">IF(OR(AA43="",$K43=""),"",AA43*$K43*($K43/Config!$B$10)^Config!$B$9)</f>
        <v>16.4833333333333</v>
      </c>
      <c r="AD43" s="17" t="n">
        <f aca="false">IF(OR(AC43="",AB43=""),"",AC43*AB43)</f>
        <v>4.4505</v>
      </c>
      <c r="AE43" s="9" t="n">
        <f aca="false">IF($I43="",0,SUMIFS(Map_Stats!$F$2:$F$779,Map_Stats!$A$2:$A$779,$F43&amp;"|"&amp;$I43))</f>
        <v>5</v>
      </c>
      <c r="AF43" s="13" t="n">
        <f aca="false">IF($I43="","",IFERROR(1/(1/INDEX(Map_Stats!$K$2:$K$779,MATCH($F43&amp;"|"&amp;$I43,Map_Stats!$A$2:$A$779,0))),$O43))</f>
        <v>0.54</v>
      </c>
      <c r="AG43" s="10" t="n">
        <f aca="false">IF(OR($I43="",$P43=""),"",IFERROR(1/(1/INDEX(Map_Stats!$I$2:$I$779,MATCH($F43&amp;"|"&amp;$I43,Map_Stats!$A$2:$A$779,0))),$P43))</f>
        <v>0.31</v>
      </c>
      <c r="AH43" s="13" t="n">
        <f aca="false">IF(OR($I43="",AF43=""),"",IF($O43="",AF43,(AE43*AF43+Config!$B$4*$O43)/(AE43+Config!$B$4)))</f>
        <v>0.64</v>
      </c>
      <c r="AI43" s="10" t="n">
        <f aca="false">IF(AG43="","",(AE43*AG43+Config!$B$4*$P43)/(AE43+Config!$B$4))</f>
        <v>0.296</v>
      </c>
      <c r="AJ43" s="17" t="n">
        <f aca="false">IF(OR(AH43="",$L43=""),"",AH43*$L43*($L43/Config!$B$10)^Config!$B$9)</f>
        <v>13.76</v>
      </c>
      <c r="AK43" s="17" t="n">
        <f aca="false">IF(OR(AJ43="",AI43=""),"",AJ43*AI43)</f>
        <v>4.07296</v>
      </c>
      <c r="AL43" s="17" t="n">
        <f aca="false">N(V43)+N(AC43)</f>
        <v>33.6372619047619</v>
      </c>
      <c r="AM43" s="17" t="n">
        <f aca="false">AL43+N($M43)*N(AJ43)</f>
        <v>33.6372619047619</v>
      </c>
      <c r="AN43" s="17" t="n">
        <f aca="false">IF(W43="","",N(W43)+N(AD43))</f>
        <v>9.49743084183674</v>
      </c>
      <c r="AO43" s="17" t="n">
        <f aca="false">IF(AN43="","",AN43+N($M43)*N(AK43))</f>
        <v>9.49743084183674</v>
      </c>
      <c r="AP43" s="10" t="n">
        <f aca="false">IFERROR(AN43/AL43,"")</f>
        <v>0.282348511859469</v>
      </c>
      <c r="AQ43" s="0" t="str">
        <f aca="false">TRIM(IF($N43&lt;Config!$B$12,"thin sample ("&amp;$N43&amp;" maps) · ","")&amp;IF(AND($G43&lt;&gt;"",Q43=0),"M1 unplayed→overall KPR · ","")&amp;IF(AND($H43&lt;&gt;"",X43=0),"M2 unplayed→overall KPR · ","")&amp;IF($O43="","no PickFinder stats",""))</f>
        <v/>
      </c>
      <c r="AR43" s="0" t="str">
        <f aca="false">IF($C43=Board!$B$2,COUNTIFS($C$2:$C$124,Board!$B$2,$AL$2:$AL$124,"&gt;"&amp;$AL43)+COUNTIFS($C$1:$C42,Board!$B$2,$AL$1:$AL42,$AL43)+1,"")</f>
        <v/>
      </c>
      <c r="AS43" s="0" t="str">
        <f aca="false">IFERROR(IF($D43=INDEX(Matches!$AD$5:$AD$19,MATCH($C43,Matches!$A$5:$A$19,0)),"A",IF($D43=INDEX(Matches!$AE$5:$AE$19,MATCH($C43,Matches!$A$5:$A$19,0)),"B","")),"")</f>
        <v>A</v>
      </c>
      <c r="AT43" s="10" t="n">
        <f aca="false">IF($AS43="","",IFERROR(IF($AS43="A",INDEX(Matches!$AI$5:$AI$19,MATCH($C43,Matches!$A$5:$A$19,0)),INDEX(Matches!$AJ$5:$AJ$19,MATCH($C43,Matches!$A$5:$A$19,0))),""))</f>
        <v>0.558100830010278</v>
      </c>
      <c r="AU43" s="10" t="n">
        <f aca="false">IF($AS43="","",IFERROR(IF(INDEX(Matches!$AP$5:$AP$19,MATCH($C43,Matches!$A$5:$A$19,0))="","",IF($AS43="A",INDEX(Matches!$AP$5:$AP$19,MATCH($C43,Matches!$A$5:$A$19,0)),1-INDEX(Matches!$AP$5:$AP$19,MATCH($C43,Matches!$A$5:$A$19,0)))),""))</f>
        <v>0.513696994336097</v>
      </c>
      <c r="AV43" s="13" t="n">
        <f aca="false">IF(OR($AU43="",$AT43=""),1,((Config!$B$14*$AU43+Config!$B$15*(1-$AU43))/(Config!$B$14*$AT43+Config!$B$15*(1-$AT43)))^Config!$B$13)</f>
        <v>0.962278474129819</v>
      </c>
      <c r="AW43" s="10" t="n">
        <f aca="false">IF($AS43="","",IFERROR(IF(INDEX(Matches!$AV$5:$AV$19,MATCH($C43,Matches!$A$5:$A$19,0))="","",IF($AS43="A",INDEX(Matches!$AV$5:$AV$19,MATCH($C43,Matches!$A$5:$A$19,0)),1-INDEX(Matches!$AV$5:$AV$19,MATCH($C43,Matches!$A$5:$A$19,0)))),""))</f>
        <v>0.555600374155031</v>
      </c>
      <c r="AX43" s="13" t="n">
        <f aca="false">IF(OR($AW43="",$AT43=""),1,((Config!$B$14*$AW43+Config!$B$15*(1-$AW43))/(Config!$B$14*$AT43+Config!$B$15*(1-$AT43)))^Config!$B$13)</f>
        <v>0.997875836427216</v>
      </c>
      <c r="AY43" s="10" t="n">
        <f aca="false">IF($AS43="","",IFERROR(IF(INDEX(Matches!$BB$5:$BB$19,MATCH($C43,Matches!$A$5:$A$19,0))="","",IF($AS43="A",INDEX(Matches!$BB$5:$BB$19,MATCH($C43,Matches!$A$5:$A$19,0)),1-INDEX(Matches!$BB$5:$BB$19,MATCH($C43,Matches!$A$5:$A$19,0)))),""))</f>
        <v>0.506889659261275</v>
      </c>
      <c r="AZ43" s="13" t="n">
        <f aca="false">IF(OR($AY43="",$AT43=""),1,((Config!$B$14*$AY43+Config!$B$15*(1-$AY43))/(Config!$B$14*$AT43+Config!$B$15*(1-$AT43)))^Config!$B$13)</f>
        <v>0.956495571318988</v>
      </c>
      <c r="BA43" s="17" t="n">
        <f aca="false">IF(V43="","",V43*$AV43)</f>
        <v>16.5068562110462</v>
      </c>
      <c r="BB43" s="17" t="n">
        <f aca="false">IF(AC43="","",AC43*$AX43)</f>
        <v>16.4483200371086</v>
      </c>
      <c r="BC43" s="17" t="n">
        <f aca="false">IF(AJ43="","",AJ43*$AZ43)</f>
        <v>13.1613790613493</v>
      </c>
      <c r="BD43" s="17" t="n">
        <f aca="false">N(BA43)+N(BB43)</f>
        <v>32.9551762481548</v>
      </c>
      <c r="BE43" s="17" t="n">
        <f aca="false">BD43+N($M43)*N(BC43)</f>
        <v>32.9551762481548</v>
      </c>
      <c r="BF43" s="17" t="n">
        <f aca="false">IF(W43="","",W43*$AV43)</f>
        <v>4.85655290952138</v>
      </c>
      <c r="BG43" s="17" t="n">
        <f aca="false">IF(AD43="","",AD43*$AX43)</f>
        <v>4.44104641001933</v>
      </c>
      <c r="BH43" s="17" t="n">
        <f aca="false">IF(AK43="","",AK43*$AZ43)</f>
        <v>3.89576820215939</v>
      </c>
      <c r="BI43" s="17" t="n">
        <f aca="false">IF(BF43="","",N(BF43)+N(BG43))</f>
        <v>9.2975993195407</v>
      </c>
      <c r="BJ43" s="17" t="n">
        <f aca="false">IF(BI43="","",BI43+N($M43)*N(BH43))</f>
        <v>9.2975993195407</v>
      </c>
      <c r="BK43" s="13" t="n">
        <f aca="false">IFERROR(BD43/AL43,1)</f>
        <v>0.97972231929762</v>
      </c>
    </row>
    <row r="44" customFormat="false" ht="15" hidden="false" customHeight="false" outlineLevel="0" collapsed="false">
      <c r="A44" s="0" t="s">
        <v>1220</v>
      </c>
      <c r="B44" s="0" t="s">
        <v>988</v>
      </c>
      <c r="C44" s="0" t="s">
        <v>1072</v>
      </c>
      <c r="D44" s="0" t="s">
        <v>1077</v>
      </c>
      <c r="E44" s="0" t="s">
        <v>1219</v>
      </c>
      <c r="F44" s="0" t="s">
        <v>1497</v>
      </c>
      <c r="G44" s="0" t="str">
        <f aca="false">IFERROR(IF(INDEX(Matches!$W$5:$W$19,MATCH($C44,Matches!$A$5:$A$19,0))="","",INDEX(Matches!$W$5:$W$19,MATCH($C44,Matches!$A$5:$A$19,0))),"")</f>
        <v>Dust2</v>
      </c>
      <c r="H44" s="0" t="str">
        <f aca="false">IFERROR(IF(INDEX(Matches!$X$5:$X$19,MATCH($C44,Matches!$A$5:$A$19,0))="","",INDEX(Matches!$X$5:$X$19,MATCH($C44,Matches!$A$5:$A$19,0))),"")</f>
        <v>Nuke</v>
      </c>
      <c r="I44" s="0" t="str">
        <f aca="false">IFERROR(IF(INDEX(Matches!$Y$5:$Y$19,MATCH($C44,Matches!$A$5:$A$19,0))="","",INDEX(Matches!$Y$5:$Y$19,MATCH($C44,Matches!$A$5:$A$19,0))),"")</f>
        <v>Anubis</v>
      </c>
      <c r="J44" s="11" t="n">
        <f aca="false">IFERROR(IF(INDEX(Matches!$Z$5:$Z$19,MATCH($C44,Matches!$A$5:$A$19,0))="","",INDEX(Matches!$Z$5:$Z$19,MATCH($C44,Matches!$A$5:$A$19,0))),"")</f>
        <v>21.5</v>
      </c>
      <c r="K44" s="11" t="n">
        <f aca="false">IFERROR(IF(INDEX(Matches!$AA$5:$AA$19,MATCH($C44,Matches!$A$5:$A$19,0))="","",INDEX(Matches!$AA$5:$AA$19,MATCH($C44,Matches!$A$5:$A$19,0))),"")</f>
        <v>21.5</v>
      </c>
      <c r="L44" s="11" t="n">
        <f aca="false">IFERROR(IF(INDEX(Matches!$AB$5:$AB$19,MATCH($C44,Matches!$A$5:$A$19,0))="","",INDEX(Matches!$AB$5:$AB$19,MATCH($C44,Matches!$A$5:$A$19,0))),"")</f>
        <v>21.5</v>
      </c>
      <c r="M44" s="10" t="n">
        <f aca="false">IFERROR(IF(INDEX(Matches!$AC$5:$AC$19,MATCH($C44,Matches!$A$5:$A$19,0))="","",INDEX(Matches!$AC$5:$AC$19,MATCH($C44,Matches!$A$5:$A$19,0))),"")</f>
        <v>0</v>
      </c>
      <c r="N44" s="9" t="n">
        <f aca="false">IFERROR(INDEX(Players!$F$2:$F$124,MATCH($F44,Players!$A$2:$A$124,0)),0)</f>
        <v>36</v>
      </c>
      <c r="O44" s="13" t="n">
        <f aca="false">IFERROR(1/(1/INDEX(Players!$H$2:$H$124,MATCH($F44,Players!$A$2:$A$124,0))),"")</f>
        <v>0.7</v>
      </c>
      <c r="P44" s="10" t="n">
        <f aca="false">IFERROR(1/(1/INDEX(Players!$I$2:$I$124,MATCH($F44,Players!$A$2:$A$124,0))),"")</f>
        <v>0.665</v>
      </c>
      <c r="Q44" s="9" t="n">
        <f aca="false">IF($G44="",0,SUMIFS(Map_Stats!$F$2:$F$779,Map_Stats!$A$2:$A$779,$F44&amp;"|"&amp;$G44))</f>
        <v>6</v>
      </c>
      <c r="R44" s="13" t="n">
        <f aca="false">IF($G44="","",IFERROR(1/(1/INDEX(Map_Stats!$K$2:$K$779,MATCH($F44&amp;"|"&amp;$G44,Map_Stats!$A$2:$A$779,0))),$O44))</f>
        <v>0.49</v>
      </c>
      <c r="S44" s="10" t="n">
        <f aca="false">IF(OR($G44="",$P44=""),"",IFERROR(1/(1/INDEX(Map_Stats!$I$2:$I$779,MATCH($F44&amp;"|"&amp;$G44,Map_Stats!$A$2:$A$779,0))),$P44))</f>
        <v>0.548</v>
      </c>
      <c r="T44" s="13" t="n">
        <f aca="false">IF(OR($G44="",R44=""),"",IF($O44="",R44,(Q44*R44+Config!$B$4*$O44)/(Q44+Config!$B$4)))</f>
        <v>0.585454545454545</v>
      </c>
      <c r="U44" s="10" t="n">
        <f aca="false">IF(S44="","",(Q44*S44+Config!$B$4*$P44)/(Q44+Config!$B$4))</f>
        <v>0.601181818181818</v>
      </c>
      <c r="V44" s="17" t="n">
        <f aca="false">IF(OR(T44="",$J44=""),"",T44*$J44*($J44/Config!$B$10)^Config!$B$9)</f>
        <v>12.5872727272727</v>
      </c>
      <c r="W44" s="17" t="n">
        <f aca="false">IF(OR(V44="",U44=""),"",V44*U44)</f>
        <v>7.56723950413223</v>
      </c>
      <c r="X44" s="9" t="n">
        <f aca="false">IF($H44="",0,SUMIFS(Map_Stats!$F$2:$F$779,Map_Stats!$A$2:$A$779,$F44&amp;"|"&amp;$H44))</f>
        <v>10</v>
      </c>
      <c r="Y44" s="13" t="n">
        <f aca="false">IF($H44="","",IFERROR(1/(1/INDEX(Map_Stats!$K$2:$K$779,MATCH($F44&amp;"|"&amp;$H44,Map_Stats!$A$2:$A$779,0))),$O44))</f>
        <v>0.67</v>
      </c>
      <c r="Z44" s="10" t="n">
        <f aca="false">IF(OR($H44="",$P44=""),"",IFERROR(1/(1/INDEX(Map_Stats!$I$2:$I$779,MATCH($F44&amp;"|"&amp;$H44,Map_Stats!$A$2:$A$779,0))),$P44))</f>
        <v>0.667</v>
      </c>
      <c r="AA44" s="13" t="n">
        <f aca="false">IF(OR($H44="",Y44=""),"",IF($O44="",Y44,(X44*Y44+Config!$B$4*$O44)/(X44+Config!$B$4)))</f>
        <v>0.68</v>
      </c>
      <c r="AB44" s="10" t="n">
        <f aca="false">IF(Z44="","",(X44*Z44+Config!$B$4*$P44)/(X44+Config!$B$4))</f>
        <v>0.666333333333333</v>
      </c>
      <c r="AC44" s="17" t="n">
        <f aca="false">IF(OR(AA44="",$K44=""),"",AA44*$K44*($K44/Config!$B$10)^Config!$B$9)</f>
        <v>14.62</v>
      </c>
      <c r="AD44" s="17" t="n">
        <f aca="false">IF(OR(AC44="",AB44=""),"",AC44*AB44)</f>
        <v>9.74179333333333</v>
      </c>
      <c r="AE44" s="9" t="n">
        <f aca="false">IF($I44="",0,SUMIFS(Map_Stats!$F$2:$F$779,Map_Stats!$A$2:$A$779,$F44&amp;"|"&amp;$I44))</f>
        <v>8</v>
      </c>
      <c r="AF44" s="13" t="n">
        <f aca="false">IF($I44="","",IFERROR(1/(1/INDEX(Map_Stats!$K$2:$K$779,MATCH($F44&amp;"|"&amp;$I44,Map_Stats!$A$2:$A$779,0))),$O44))</f>
        <v>0.81</v>
      </c>
      <c r="AG44" s="10" t="n">
        <f aca="false">IF(OR($I44="",$P44=""),"",IFERROR(1/(1/INDEX(Map_Stats!$I$2:$I$779,MATCH($F44&amp;"|"&amp;$I44,Map_Stats!$A$2:$A$779,0))),$P44))</f>
        <v>0.646</v>
      </c>
      <c r="AH44" s="13" t="n">
        <f aca="false">IF(OR($I44="",AF44=""),"",IF($O44="",AF44,(AE44*AF44+Config!$B$4*$O44)/(AE44+Config!$B$4)))</f>
        <v>0.767692307692308</v>
      </c>
      <c r="AI44" s="10" t="n">
        <f aca="false">IF(AG44="","",(AE44*AG44+Config!$B$4*$P44)/(AE44+Config!$B$4))</f>
        <v>0.653307692307692</v>
      </c>
      <c r="AJ44" s="17" t="n">
        <f aca="false">IF(OR(AH44="",$L44=""),"",AH44*$L44*($L44/Config!$B$10)^Config!$B$9)</f>
        <v>16.5053846153846</v>
      </c>
      <c r="AK44" s="17" t="n">
        <f aca="false">IF(OR(AJ44="",AI44=""),"",AJ44*AI44)</f>
        <v>10.7830947337278</v>
      </c>
      <c r="AL44" s="17" t="n">
        <f aca="false">N(V44)+N(AC44)</f>
        <v>27.2072727272727</v>
      </c>
      <c r="AM44" s="17" t="n">
        <f aca="false">AL44+N($M44)*N(AJ44)</f>
        <v>27.2072727272727</v>
      </c>
      <c r="AN44" s="17" t="n">
        <f aca="false">IF(W44="","",N(W44)+N(AD44))</f>
        <v>17.3090328374656</v>
      </c>
      <c r="AO44" s="17" t="n">
        <f aca="false">IF(AN44="","",AN44+N($M44)*N(AK44))</f>
        <v>17.3090328374656</v>
      </c>
      <c r="AP44" s="10" t="n">
        <f aca="false">IFERROR(AN44/AL44,"")</f>
        <v>0.63619139672588</v>
      </c>
      <c r="AQ44" s="0" t="str">
        <f aca="false">TRIM(IF($N44&lt;Config!$B$12,"thin sample ("&amp;$N44&amp;" maps) · ","")&amp;IF(AND($G44&lt;&gt;"",Q44=0),"M1 unplayed→overall KPR · ","")&amp;IF(AND($H44&lt;&gt;"",X44=0),"M2 unplayed→overall KPR · ","")&amp;IF($O44="","no PickFinder stats",""))</f>
        <v/>
      </c>
      <c r="AR44" s="0" t="str">
        <f aca="false">IF($C44=Board!$B$2,COUNTIFS($C$2:$C$124,Board!$B$2,$AL$2:$AL$124,"&gt;"&amp;$AL44)+COUNTIFS($C$1:$C43,Board!$B$2,$AL$1:$AL43,$AL44)+1,"")</f>
        <v/>
      </c>
      <c r="AS44" s="0" t="str">
        <f aca="false">IFERROR(IF($D44=INDEX(Matches!$AD$5:$AD$19,MATCH($C44,Matches!$A$5:$A$19,0)),"A",IF($D44=INDEX(Matches!$AE$5:$AE$19,MATCH($C44,Matches!$A$5:$A$19,0)),"B","")),"")</f>
        <v>B</v>
      </c>
      <c r="AT44" s="10" t="n">
        <f aca="false">IF($AS44="","",IFERROR(IF($AS44="A",INDEX(Matches!$AI$5:$AI$19,MATCH($C44,Matches!$A$5:$A$19,0)),INDEX(Matches!$AJ$5:$AJ$19,MATCH($C44,Matches!$A$5:$A$19,0))),""))</f>
        <v>0.519824047227715</v>
      </c>
      <c r="AU44" s="10" t="n">
        <f aca="false">IF($AS44="","",IFERROR(IF(INDEX(Matches!$AP$5:$AP$19,MATCH($C44,Matches!$A$5:$A$19,0))="","",IF($AS44="A",INDEX(Matches!$AP$5:$AP$19,MATCH($C44,Matches!$A$5:$A$19,0)),1-INDEX(Matches!$AP$5:$AP$19,MATCH($C44,Matches!$A$5:$A$19,0)))),""))</f>
        <v>0.486303005663903</v>
      </c>
      <c r="AV44" s="13" t="n">
        <f aca="false">IF(OR($AU44="",$AT44=""),1,((Config!$B$14*$AU44+Config!$B$15*(1-$AU44))/(Config!$B$14*$AT44+Config!$B$15*(1-$AT44)))^Config!$B$13)</f>
        <v>0.970566445231321</v>
      </c>
      <c r="AW44" s="10" t="n">
        <f aca="false">IF($AS44="","",IFERROR(IF(INDEX(Matches!$AV$5:$AV$19,MATCH($C44,Matches!$A$5:$A$19,0))="","",IF($AS44="A",INDEX(Matches!$AV$5:$AV$19,MATCH($C44,Matches!$A$5:$A$19,0)),1-INDEX(Matches!$AV$5:$AV$19,MATCH($C44,Matches!$A$5:$A$19,0)))),""))</f>
        <v>0.444399625844969</v>
      </c>
      <c r="AX44" s="13" t="n">
        <f aca="false">IF(OR($AW44="",$AT44=""),1,((Config!$B$14*$AW44+Config!$B$15*(1-$AW44))/(Config!$B$14*$AT44+Config!$B$15*(1-$AT44)))^Config!$B$13)</f>
        <v>0.933772677276782</v>
      </c>
      <c r="AY44" s="10" t="n">
        <f aca="false">IF($AS44="","",IFERROR(IF(INDEX(Matches!$BB$5:$BB$19,MATCH($C44,Matches!$A$5:$A$19,0))="","",IF($AS44="A",INDEX(Matches!$BB$5:$BB$19,MATCH($C44,Matches!$A$5:$A$19,0)),1-INDEX(Matches!$BB$5:$BB$19,MATCH($C44,Matches!$A$5:$A$19,0)))),""))</f>
        <v>0.493110340738725</v>
      </c>
      <c r="AZ44" s="13" t="n">
        <f aca="false">IF(OR($AY44="",$AT44=""),1,((Config!$B$14*$AY44+Config!$B$15*(1-$AY44))/(Config!$B$14*$AT44+Config!$B$15*(1-$AT44)))^Config!$B$13)</f>
        <v>0.976543707882068</v>
      </c>
      <c r="BA44" s="17" t="n">
        <f aca="false">IF(V44="","",V44*$AV44)</f>
        <v>12.2167845460662</v>
      </c>
      <c r="BB44" s="17" t="n">
        <f aca="false">IF(AC44="","",AC44*$AX44)</f>
        <v>13.6517565417866</v>
      </c>
      <c r="BC44" s="17" t="n">
        <f aca="false">IF(AJ44="","",AJ44*$AZ44)</f>
        <v>16.1182294923273</v>
      </c>
      <c r="BD44" s="17" t="n">
        <f aca="false">N(BA44)+N(BB44)</f>
        <v>25.8685410878528</v>
      </c>
      <c r="BE44" s="17" t="n">
        <f aca="false">BD44+N($M44)*N(BC44)</f>
        <v>25.8685410878528</v>
      </c>
      <c r="BF44" s="17" t="n">
        <f aca="false">IF(W44="","",W44*$AV44)</f>
        <v>7.34450874573964</v>
      </c>
      <c r="BG44" s="17" t="n">
        <f aca="false">IF(AD44="","",AD44*$AX44)</f>
        <v>9.09662044234378</v>
      </c>
      <c r="BH44" s="17" t="n">
        <f aca="false">IF(AK44="","",AK44*$AZ44)</f>
        <v>10.5301633137182</v>
      </c>
      <c r="BI44" s="17" t="n">
        <f aca="false">IF(BF44="","",N(BF44)+N(BG44))</f>
        <v>16.4411291880834</v>
      </c>
      <c r="BJ44" s="17" t="n">
        <f aca="false">IF(BI44="","",BI44+N($M44)*N(BH44))</f>
        <v>16.4411291880834</v>
      </c>
      <c r="BK44" s="13" t="n">
        <f aca="false">IFERROR(BD44/AL44,1)</f>
        <v>0.950795081416669</v>
      </c>
    </row>
    <row r="45" customFormat="false" ht="15" hidden="false" customHeight="false" outlineLevel="0" collapsed="false">
      <c r="A45" s="0" t="s">
        <v>1223</v>
      </c>
      <c r="B45" s="0" t="s">
        <v>988</v>
      </c>
      <c r="C45" s="0" t="s">
        <v>1072</v>
      </c>
      <c r="D45" s="0" t="s">
        <v>1077</v>
      </c>
      <c r="E45" s="0" t="s">
        <v>1221</v>
      </c>
      <c r="F45" s="0" t="s">
        <v>1498</v>
      </c>
      <c r="G45" s="0" t="str">
        <f aca="false">IFERROR(IF(INDEX(Matches!$W$5:$W$19,MATCH($C45,Matches!$A$5:$A$19,0))="","",INDEX(Matches!$W$5:$W$19,MATCH($C45,Matches!$A$5:$A$19,0))),"")</f>
        <v>Dust2</v>
      </c>
      <c r="H45" s="0" t="str">
        <f aca="false">IFERROR(IF(INDEX(Matches!$X$5:$X$19,MATCH($C45,Matches!$A$5:$A$19,0))="","",INDEX(Matches!$X$5:$X$19,MATCH($C45,Matches!$A$5:$A$19,0))),"")</f>
        <v>Nuke</v>
      </c>
      <c r="I45" s="0" t="str">
        <f aca="false">IFERROR(IF(INDEX(Matches!$Y$5:$Y$19,MATCH($C45,Matches!$A$5:$A$19,0))="","",INDEX(Matches!$Y$5:$Y$19,MATCH($C45,Matches!$A$5:$A$19,0))),"")</f>
        <v>Anubis</v>
      </c>
      <c r="J45" s="11" t="n">
        <f aca="false">IFERROR(IF(INDEX(Matches!$Z$5:$Z$19,MATCH($C45,Matches!$A$5:$A$19,0))="","",INDEX(Matches!$Z$5:$Z$19,MATCH($C45,Matches!$A$5:$A$19,0))),"")</f>
        <v>21.5</v>
      </c>
      <c r="K45" s="11" t="n">
        <f aca="false">IFERROR(IF(INDEX(Matches!$AA$5:$AA$19,MATCH($C45,Matches!$A$5:$A$19,0))="","",INDEX(Matches!$AA$5:$AA$19,MATCH($C45,Matches!$A$5:$A$19,0))),"")</f>
        <v>21.5</v>
      </c>
      <c r="L45" s="11" t="n">
        <f aca="false">IFERROR(IF(INDEX(Matches!$AB$5:$AB$19,MATCH($C45,Matches!$A$5:$A$19,0))="","",INDEX(Matches!$AB$5:$AB$19,MATCH($C45,Matches!$A$5:$A$19,0))),"")</f>
        <v>21.5</v>
      </c>
      <c r="M45" s="10" t="n">
        <f aca="false">IFERROR(IF(INDEX(Matches!$AC$5:$AC$19,MATCH($C45,Matches!$A$5:$A$19,0))="","",INDEX(Matches!$AC$5:$AC$19,MATCH($C45,Matches!$A$5:$A$19,0))),"")</f>
        <v>0</v>
      </c>
      <c r="N45" s="9" t="n">
        <f aca="false">IFERROR(INDEX(Players!$F$2:$F$124,MATCH($F45,Players!$A$2:$A$124,0)),0)</f>
        <v>35</v>
      </c>
      <c r="O45" s="13" t="n">
        <f aca="false">IFERROR(1/(1/INDEX(Players!$H$2:$H$124,MATCH($F45,Players!$A$2:$A$124,0))),"")</f>
        <v>0.59</v>
      </c>
      <c r="P45" s="10" t="n">
        <f aca="false">IFERROR(1/(1/INDEX(Players!$I$2:$I$124,MATCH($F45,Players!$A$2:$A$124,0))),"")</f>
        <v>0.584</v>
      </c>
      <c r="Q45" s="9" t="n">
        <f aca="false">IF($G45="",0,SUMIFS(Map_Stats!$F$2:$F$779,Map_Stats!$A$2:$A$779,$F45&amp;"|"&amp;$G45))</f>
        <v>4</v>
      </c>
      <c r="R45" s="13" t="n">
        <f aca="false">IF($G45="","",IFERROR(1/(1/INDEX(Map_Stats!$K$2:$K$779,MATCH($F45&amp;"|"&amp;$G45,Map_Stats!$A$2:$A$779,0))),$O45))</f>
        <v>0.5</v>
      </c>
      <c r="S45" s="10" t="n">
        <f aca="false">IF(OR($G45="",$P45=""),"",IFERROR(1/(1/INDEX(Map_Stats!$I$2:$I$779,MATCH($F45&amp;"|"&amp;$G45,Map_Stats!$A$2:$A$779,0))),$P45))</f>
        <v>0.568</v>
      </c>
      <c r="T45" s="13" t="n">
        <f aca="false">IF(OR($G45="",R45=""),"",IF($O45="",R45,(Q45*R45+Config!$B$4*$O45)/(Q45+Config!$B$4)))</f>
        <v>0.55</v>
      </c>
      <c r="U45" s="10" t="n">
        <f aca="false">IF(S45="","",(Q45*S45+Config!$B$4*$P45)/(Q45+Config!$B$4))</f>
        <v>0.576888888888889</v>
      </c>
      <c r="V45" s="17" t="n">
        <f aca="false">IF(OR(T45="",$J45=""),"",T45*$J45*($J45/Config!$B$10)^Config!$B$9)</f>
        <v>11.825</v>
      </c>
      <c r="W45" s="17" t="n">
        <f aca="false">IF(OR(V45="",U45=""),"",V45*U45)</f>
        <v>6.82171111111111</v>
      </c>
      <c r="X45" s="9" t="n">
        <f aca="false">IF($H45="",0,SUMIFS(Map_Stats!$F$2:$F$779,Map_Stats!$A$2:$A$779,$F45&amp;"|"&amp;$H45))</f>
        <v>10</v>
      </c>
      <c r="Y45" s="13" t="n">
        <f aca="false">IF($H45="","",IFERROR(1/(1/INDEX(Map_Stats!$K$2:$K$779,MATCH($F45&amp;"|"&amp;$H45,Map_Stats!$A$2:$A$779,0))),$O45))</f>
        <v>0.57</v>
      </c>
      <c r="Z45" s="10" t="n">
        <f aca="false">IF(OR($H45="",$P45=""),"",IFERROR(1/(1/INDEX(Map_Stats!$I$2:$I$779,MATCH($F45&amp;"|"&amp;$H45,Map_Stats!$A$2:$A$779,0))),$P45))</f>
        <v>0.6</v>
      </c>
      <c r="AA45" s="13" t="n">
        <f aca="false">IF(OR($H45="",Y45=""),"",IF($O45="",Y45,(X45*Y45+Config!$B$4*$O45)/(X45+Config!$B$4)))</f>
        <v>0.576666666666667</v>
      </c>
      <c r="AB45" s="10" t="n">
        <f aca="false">IF(Z45="","",(X45*Z45+Config!$B$4*$P45)/(X45+Config!$B$4))</f>
        <v>0.594666666666667</v>
      </c>
      <c r="AC45" s="17" t="n">
        <f aca="false">IF(OR(AA45="",$K45=""),"",AA45*$K45*($K45/Config!$B$10)^Config!$B$9)</f>
        <v>12.3983333333333</v>
      </c>
      <c r="AD45" s="17" t="n">
        <f aca="false">IF(OR(AC45="",AB45=""),"",AC45*AB45)</f>
        <v>7.37287555555556</v>
      </c>
      <c r="AE45" s="9" t="n">
        <f aca="false">IF($I45="",0,SUMIFS(Map_Stats!$F$2:$F$779,Map_Stats!$A$2:$A$779,$F45&amp;"|"&amp;$I45))</f>
        <v>8</v>
      </c>
      <c r="AF45" s="13" t="n">
        <f aca="false">IF($I45="","",IFERROR(1/(1/INDEX(Map_Stats!$K$2:$K$779,MATCH($F45&amp;"|"&amp;$I45,Map_Stats!$A$2:$A$779,0))),$O45))</f>
        <v>0.67</v>
      </c>
      <c r="AG45" s="10" t="n">
        <f aca="false">IF(OR($I45="",$P45=""),"",IFERROR(1/(1/INDEX(Map_Stats!$I$2:$I$779,MATCH($F45&amp;"|"&amp;$I45,Map_Stats!$A$2:$A$779,0))),$P45))</f>
        <v>0.65</v>
      </c>
      <c r="AH45" s="13" t="n">
        <f aca="false">IF(OR($I45="",AF45=""),"",IF($O45="",AF45,(AE45*AF45+Config!$B$4*$O45)/(AE45+Config!$B$4)))</f>
        <v>0.639230769230769</v>
      </c>
      <c r="AI45" s="10" t="n">
        <f aca="false">IF(AG45="","",(AE45*AG45+Config!$B$4*$P45)/(AE45+Config!$B$4))</f>
        <v>0.624615384615385</v>
      </c>
      <c r="AJ45" s="17" t="n">
        <f aca="false">IF(OR(AH45="",$L45=""),"",AH45*$L45*($L45/Config!$B$10)^Config!$B$9)</f>
        <v>13.7434615384615</v>
      </c>
      <c r="AK45" s="17" t="n">
        <f aca="false">IF(OR(AJ45="",AI45=""),"",AJ45*AI45)</f>
        <v>8.5843775147929</v>
      </c>
      <c r="AL45" s="17" t="n">
        <f aca="false">N(V45)+N(AC45)</f>
        <v>24.2233333333333</v>
      </c>
      <c r="AM45" s="17" t="n">
        <f aca="false">AL45+N($M45)*N(AJ45)</f>
        <v>24.2233333333333</v>
      </c>
      <c r="AN45" s="17" t="n">
        <f aca="false">IF(W45="","",N(W45)+N(AD45))</f>
        <v>14.1945866666667</v>
      </c>
      <c r="AO45" s="17" t="n">
        <f aca="false">IF(AN45="","",AN45+N($M45)*N(AK45))</f>
        <v>14.1945866666667</v>
      </c>
      <c r="AP45" s="10" t="n">
        <f aca="false">IFERROR(AN45/AL45,"")</f>
        <v>0.585988165680473</v>
      </c>
      <c r="AQ45" s="0" t="str">
        <f aca="false">TRIM(IF($N45&lt;Config!$B$12,"thin sample ("&amp;$N45&amp;" maps) · ","")&amp;IF(AND($G45&lt;&gt;"",Q45=0),"M1 unplayed→overall KPR · ","")&amp;IF(AND($H45&lt;&gt;"",X45=0),"M2 unplayed→overall KPR · ","")&amp;IF($O45="","no PickFinder stats",""))</f>
        <v/>
      </c>
      <c r="AR45" s="0" t="str">
        <f aca="false">IF($C45=Board!$B$2,COUNTIFS($C$2:$C$124,Board!$B$2,$AL$2:$AL$124,"&gt;"&amp;$AL45)+COUNTIFS($C$1:$C44,Board!$B$2,$AL$1:$AL44,$AL45)+1,"")</f>
        <v/>
      </c>
      <c r="AS45" s="0" t="str">
        <f aca="false">IFERROR(IF($D45=INDEX(Matches!$AD$5:$AD$19,MATCH($C45,Matches!$A$5:$A$19,0)),"A",IF($D45=INDEX(Matches!$AE$5:$AE$19,MATCH($C45,Matches!$A$5:$A$19,0)),"B","")),"")</f>
        <v>B</v>
      </c>
      <c r="AT45" s="10" t="n">
        <f aca="false">IF($AS45="","",IFERROR(IF($AS45="A",INDEX(Matches!$AI$5:$AI$19,MATCH($C45,Matches!$A$5:$A$19,0)),INDEX(Matches!$AJ$5:$AJ$19,MATCH($C45,Matches!$A$5:$A$19,0))),""))</f>
        <v>0.519824047227715</v>
      </c>
      <c r="AU45" s="10" t="n">
        <f aca="false">IF($AS45="","",IFERROR(IF(INDEX(Matches!$AP$5:$AP$19,MATCH($C45,Matches!$A$5:$A$19,0))="","",IF($AS45="A",INDEX(Matches!$AP$5:$AP$19,MATCH($C45,Matches!$A$5:$A$19,0)),1-INDEX(Matches!$AP$5:$AP$19,MATCH($C45,Matches!$A$5:$A$19,0)))),""))</f>
        <v>0.486303005663903</v>
      </c>
      <c r="AV45" s="13" t="n">
        <f aca="false">IF(OR($AU45="",$AT45=""),1,((Config!$B$14*$AU45+Config!$B$15*(1-$AU45))/(Config!$B$14*$AT45+Config!$B$15*(1-$AT45)))^Config!$B$13)</f>
        <v>0.970566445231321</v>
      </c>
      <c r="AW45" s="10" t="n">
        <f aca="false">IF($AS45="","",IFERROR(IF(INDEX(Matches!$AV$5:$AV$19,MATCH($C45,Matches!$A$5:$A$19,0))="","",IF($AS45="A",INDEX(Matches!$AV$5:$AV$19,MATCH($C45,Matches!$A$5:$A$19,0)),1-INDEX(Matches!$AV$5:$AV$19,MATCH($C45,Matches!$A$5:$A$19,0)))),""))</f>
        <v>0.444399625844969</v>
      </c>
      <c r="AX45" s="13" t="n">
        <f aca="false">IF(OR($AW45="",$AT45=""),1,((Config!$B$14*$AW45+Config!$B$15*(1-$AW45))/(Config!$B$14*$AT45+Config!$B$15*(1-$AT45)))^Config!$B$13)</f>
        <v>0.933772677276782</v>
      </c>
      <c r="AY45" s="10" t="n">
        <f aca="false">IF($AS45="","",IFERROR(IF(INDEX(Matches!$BB$5:$BB$19,MATCH($C45,Matches!$A$5:$A$19,0))="","",IF($AS45="A",INDEX(Matches!$BB$5:$BB$19,MATCH($C45,Matches!$A$5:$A$19,0)),1-INDEX(Matches!$BB$5:$BB$19,MATCH($C45,Matches!$A$5:$A$19,0)))),""))</f>
        <v>0.493110340738725</v>
      </c>
      <c r="AZ45" s="13" t="n">
        <f aca="false">IF(OR($AY45="",$AT45=""),1,((Config!$B$14*$AY45+Config!$B$15*(1-$AY45))/(Config!$B$14*$AT45+Config!$B$15*(1-$AT45)))^Config!$B$13)</f>
        <v>0.976543707882068</v>
      </c>
      <c r="BA45" s="17" t="n">
        <f aca="false">IF(V45="","",V45*$AV45)</f>
        <v>11.4769482148604</v>
      </c>
      <c r="BB45" s="17" t="n">
        <f aca="false">IF(AC45="","",AC45*$AX45)</f>
        <v>11.5772249104366</v>
      </c>
      <c r="BC45" s="17" t="n">
        <f aca="false">IF(AJ45="","",AJ45*$AZ45)</f>
        <v>13.4210908899038</v>
      </c>
      <c r="BD45" s="17" t="n">
        <f aca="false">N(BA45)+N(BB45)</f>
        <v>23.054173125297</v>
      </c>
      <c r="BE45" s="17" t="n">
        <f aca="false">BD45+N($M45)*N(BC45)</f>
        <v>23.054173125297</v>
      </c>
      <c r="BF45" s="17" t="n">
        <f aca="false">IF(W45="","",W45*$AV45)</f>
        <v>6.62092390350612</v>
      </c>
      <c r="BG45" s="17" t="n">
        <f aca="false">IF(AD45="","",AD45*$AX45)</f>
        <v>6.88458974673965</v>
      </c>
      <c r="BH45" s="17" t="n">
        <f aca="false">IF(AK45="","",AK45*$AZ45)</f>
        <v>8.38301984815531</v>
      </c>
      <c r="BI45" s="17" t="n">
        <f aca="false">IF(BF45="","",N(BF45)+N(BG45))</f>
        <v>13.5055136502458</v>
      </c>
      <c r="BJ45" s="17" t="n">
        <f aca="false">IF(BI45="","",BI45+N($M45)*N(BH45))</f>
        <v>13.5055136502458</v>
      </c>
      <c r="BK45" s="13" t="n">
        <f aca="false">IFERROR(BD45/AL45,1)</f>
        <v>0.951734132047489</v>
      </c>
    </row>
    <row r="46" customFormat="false" ht="15" hidden="false" customHeight="false" outlineLevel="0" collapsed="false">
      <c r="A46" s="0" t="s">
        <v>1226</v>
      </c>
      <c r="B46" s="0" t="s">
        <v>988</v>
      </c>
      <c r="C46" s="0" t="s">
        <v>1072</v>
      </c>
      <c r="D46" s="0" t="s">
        <v>1077</v>
      </c>
      <c r="E46" s="0" t="s">
        <v>1225</v>
      </c>
      <c r="F46" s="0" t="s">
        <v>1499</v>
      </c>
      <c r="G46" s="0" t="str">
        <f aca="false">IFERROR(IF(INDEX(Matches!$W$5:$W$19,MATCH($C46,Matches!$A$5:$A$19,0))="","",INDEX(Matches!$W$5:$W$19,MATCH($C46,Matches!$A$5:$A$19,0))),"")</f>
        <v>Dust2</v>
      </c>
      <c r="H46" s="0" t="str">
        <f aca="false">IFERROR(IF(INDEX(Matches!$X$5:$X$19,MATCH($C46,Matches!$A$5:$A$19,0))="","",INDEX(Matches!$X$5:$X$19,MATCH($C46,Matches!$A$5:$A$19,0))),"")</f>
        <v>Nuke</v>
      </c>
      <c r="I46" s="0" t="str">
        <f aca="false">IFERROR(IF(INDEX(Matches!$Y$5:$Y$19,MATCH($C46,Matches!$A$5:$A$19,0))="","",INDEX(Matches!$Y$5:$Y$19,MATCH($C46,Matches!$A$5:$A$19,0))),"")</f>
        <v>Anubis</v>
      </c>
      <c r="J46" s="11" t="n">
        <f aca="false">IFERROR(IF(INDEX(Matches!$Z$5:$Z$19,MATCH($C46,Matches!$A$5:$A$19,0))="","",INDEX(Matches!$Z$5:$Z$19,MATCH($C46,Matches!$A$5:$A$19,0))),"")</f>
        <v>21.5</v>
      </c>
      <c r="K46" s="11" t="n">
        <f aca="false">IFERROR(IF(INDEX(Matches!$AA$5:$AA$19,MATCH($C46,Matches!$A$5:$A$19,0))="","",INDEX(Matches!$AA$5:$AA$19,MATCH($C46,Matches!$A$5:$A$19,0))),"")</f>
        <v>21.5</v>
      </c>
      <c r="L46" s="11" t="n">
        <f aca="false">IFERROR(IF(INDEX(Matches!$AB$5:$AB$19,MATCH($C46,Matches!$A$5:$A$19,0))="","",INDEX(Matches!$AB$5:$AB$19,MATCH($C46,Matches!$A$5:$A$19,0))),"")</f>
        <v>21.5</v>
      </c>
      <c r="M46" s="10" t="n">
        <f aca="false">IFERROR(IF(INDEX(Matches!$AC$5:$AC$19,MATCH($C46,Matches!$A$5:$A$19,0))="","",INDEX(Matches!$AC$5:$AC$19,MATCH($C46,Matches!$A$5:$A$19,0))),"")</f>
        <v>0</v>
      </c>
      <c r="N46" s="9" t="n">
        <f aca="false">IFERROR(INDEX(Players!$F$2:$F$124,MATCH($F46,Players!$A$2:$A$124,0)),0)</f>
        <v>34</v>
      </c>
      <c r="O46" s="13" t="n">
        <f aca="false">IFERROR(1/(1/INDEX(Players!$H$2:$H$124,MATCH($F46,Players!$A$2:$A$124,0))),"")</f>
        <v>0.61</v>
      </c>
      <c r="P46" s="10" t="n">
        <f aca="false">IFERROR(1/(1/INDEX(Players!$I$2:$I$124,MATCH($F46,Players!$A$2:$A$124,0))),"")</f>
        <v>0.544</v>
      </c>
      <c r="Q46" s="9" t="n">
        <f aca="false">IF($G46="",0,SUMIFS(Map_Stats!$F$2:$F$779,Map_Stats!$A$2:$A$779,$F46&amp;"|"&amp;$G46))</f>
        <v>7</v>
      </c>
      <c r="R46" s="13" t="n">
        <f aca="false">IF($G46="","",IFERROR(1/(1/INDEX(Map_Stats!$K$2:$K$779,MATCH($F46&amp;"|"&amp;$G46,Map_Stats!$A$2:$A$779,0))),$O46))</f>
        <v>0.44</v>
      </c>
      <c r="S46" s="10" t="n">
        <f aca="false">IF(OR($G46="",$P46=""),"",IFERROR(1/(1/INDEX(Map_Stats!$I$2:$I$779,MATCH($F46&amp;"|"&amp;$G46,Map_Stats!$A$2:$A$779,0))),$P46))</f>
        <v>0.484</v>
      </c>
      <c r="T46" s="13" t="n">
        <f aca="false">IF(OR($G46="",R46=""),"",IF($O46="",R46,(Q46*R46+Config!$B$4*$O46)/(Q46+Config!$B$4)))</f>
        <v>0.510833333333333</v>
      </c>
      <c r="U46" s="10" t="n">
        <f aca="false">IF(S46="","",(Q46*S46+Config!$B$4*$P46)/(Q46+Config!$B$4))</f>
        <v>0.509</v>
      </c>
      <c r="V46" s="17" t="n">
        <f aca="false">IF(OR(T46="",$J46=""),"",T46*$J46*($J46/Config!$B$10)^Config!$B$9)</f>
        <v>10.9829166666667</v>
      </c>
      <c r="W46" s="17" t="n">
        <f aca="false">IF(OR(V46="",U46=""),"",V46*U46)</f>
        <v>5.59030458333333</v>
      </c>
      <c r="X46" s="9" t="n">
        <f aca="false">IF($H46="",0,SUMIFS(Map_Stats!$F$2:$F$779,Map_Stats!$A$2:$A$779,$F46&amp;"|"&amp;$H46))</f>
        <v>6</v>
      </c>
      <c r="Y46" s="13" t="n">
        <f aca="false">IF($H46="","",IFERROR(1/(1/INDEX(Map_Stats!$K$2:$K$779,MATCH($F46&amp;"|"&amp;$H46,Map_Stats!$A$2:$A$779,0))),$O46))</f>
        <v>0.69</v>
      </c>
      <c r="Z46" s="10" t="n">
        <f aca="false">IF(OR($H46="",$P46=""),"",IFERROR(1/(1/INDEX(Map_Stats!$I$2:$I$779,MATCH($F46&amp;"|"&amp;$H46,Map_Stats!$A$2:$A$779,0))),$P46))</f>
        <v>0.57</v>
      </c>
      <c r="AA46" s="13" t="n">
        <f aca="false">IF(OR($H46="",Y46=""),"",IF($O46="",Y46,(X46*Y46+Config!$B$4*$O46)/(X46+Config!$B$4)))</f>
        <v>0.653636363636364</v>
      </c>
      <c r="AB46" s="10" t="n">
        <f aca="false">IF(Z46="","",(X46*Z46+Config!$B$4*$P46)/(X46+Config!$B$4))</f>
        <v>0.558181818181818</v>
      </c>
      <c r="AC46" s="17" t="n">
        <f aca="false">IF(OR(AA46="",$K46=""),"",AA46*$K46*($K46/Config!$B$10)^Config!$B$9)</f>
        <v>14.0531818181818</v>
      </c>
      <c r="AD46" s="17" t="n">
        <f aca="false">IF(OR(AC46="",AB46=""),"",AC46*AB46)</f>
        <v>7.8442305785124</v>
      </c>
      <c r="AE46" s="9" t="n">
        <f aca="false">IF($I46="",0,SUMIFS(Map_Stats!$F$2:$F$779,Map_Stats!$A$2:$A$779,$F46&amp;"|"&amp;$I46))</f>
        <v>1</v>
      </c>
      <c r="AF46" s="13" t="n">
        <f aca="false">IF($I46="","",IFERROR(1/(1/INDEX(Map_Stats!$K$2:$K$779,MATCH($F46&amp;"|"&amp;$I46,Map_Stats!$A$2:$A$779,0))),$O46))</f>
        <v>0.5</v>
      </c>
      <c r="AG46" s="10" t="n">
        <f aca="false">IF(OR($I46="",$P46=""),"",IFERROR(1/(1/INDEX(Map_Stats!$I$2:$I$779,MATCH($F46&amp;"|"&amp;$I46,Map_Stats!$A$2:$A$779,0))),$P46))</f>
        <v>0.4</v>
      </c>
      <c r="AH46" s="13" t="n">
        <f aca="false">IF(OR($I46="",AF46=""),"",IF($O46="",AF46,(AE46*AF46+Config!$B$4*$O46)/(AE46+Config!$B$4)))</f>
        <v>0.591666666666667</v>
      </c>
      <c r="AI46" s="10" t="n">
        <f aca="false">IF(AG46="","",(AE46*AG46+Config!$B$4*$P46)/(AE46+Config!$B$4))</f>
        <v>0.52</v>
      </c>
      <c r="AJ46" s="17" t="n">
        <f aca="false">IF(OR(AH46="",$L46=""),"",AH46*$L46*($L46/Config!$B$10)^Config!$B$9)</f>
        <v>12.7208333333333</v>
      </c>
      <c r="AK46" s="17" t="n">
        <f aca="false">IF(OR(AJ46="",AI46=""),"",AJ46*AI46)</f>
        <v>6.61483333333333</v>
      </c>
      <c r="AL46" s="17" t="n">
        <f aca="false">N(V46)+N(AC46)</f>
        <v>25.0360984848485</v>
      </c>
      <c r="AM46" s="17" t="n">
        <f aca="false">AL46+N($M46)*N(AJ46)</f>
        <v>25.0360984848485</v>
      </c>
      <c r="AN46" s="17" t="n">
        <f aca="false">IF(W46="","",N(W46)+N(AD46))</f>
        <v>13.4345351618457</v>
      </c>
      <c r="AO46" s="17" t="n">
        <f aca="false">IF(AN46="","",AN46+N($M46)*N(AK46))</f>
        <v>13.4345351618457</v>
      </c>
      <c r="AP46" s="10" t="n">
        <f aca="false">IFERROR(AN46/AL46,"")</f>
        <v>0.536606579095227</v>
      </c>
      <c r="AQ46" s="0" t="str">
        <f aca="false">TRIM(IF($N46&lt;Config!$B$12,"thin sample ("&amp;$N46&amp;" maps) · ","")&amp;IF(AND($G46&lt;&gt;"",Q46=0),"M1 unplayed→overall KPR · ","")&amp;IF(AND($H46&lt;&gt;"",X46=0),"M2 unplayed→overall KPR · ","")&amp;IF($O46="","no PickFinder stats",""))</f>
        <v/>
      </c>
      <c r="AR46" s="0" t="str">
        <f aca="false">IF($C46=Board!$B$2,COUNTIFS($C$2:$C$124,Board!$B$2,$AL$2:$AL$124,"&gt;"&amp;$AL46)+COUNTIFS($C$1:$C45,Board!$B$2,$AL$1:$AL45,$AL46)+1,"")</f>
        <v/>
      </c>
      <c r="AS46" s="0" t="str">
        <f aca="false">IFERROR(IF($D46=INDEX(Matches!$AD$5:$AD$19,MATCH($C46,Matches!$A$5:$A$19,0)),"A",IF($D46=INDEX(Matches!$AE$5:$AE$19,MATCH($C46,Matches!$A$5:$A$19,0)),"B","")),"")</f>
        <v>B</v>
      </c>
      <c r="AT46" s="10" t="n">
        <f aca="false">IF($AS46="","",IFERROR(IF($AS46="A",INDEX(Matches!$AI$5:$AI$19,MATCH($C46,Matches!$A$5:$A$19,0)),INDEX(Matches!$AJ$5:$AJ$19,MATCH($C46,Matches!$A$5:$A$19,0))),""))</f>
        <v>0.519824047227715</v>
      </c>
      <c r="AU46" s="10" t="n">
        <f aca="false">IF($AS46="","",IFERROR(IF(INDEX(Matches!$AP$5:$AP$19,MATCH($C46,Matches!$A$5:$A$19,0))="","",IF($AS46="A",INDEX(Matches!$AP$5:$AP$19,MATCH($C46,Matches!$A$5:$A$19,0)),1-INDEX(Matches!$AP$5:$AP$19,MATCH($C46,Matches!$A$5:$A$19,0)))),""))</f>
        <v>0.486303005663903</v>
      </c>
      <c r="AV46" s="13" t="n">
        <f aca="false">IF(OR($AU46="",$AT46=""),1,((Config!$B$14*$AU46+Config!$B$15*(1-$AU46))/(Config!$B$14*$AT46+Config!$B$15*(1-$AT46)))^Config!$B$13)</f>
        <v>0.970566445231321</v>
      </c>
      <c r="AW46" s="10" t="n">
        <f aca="false">IF($AS46="","",IFERROR(IF(INDEX(Matches!$AV$5:$AV$19,MATCH($C46,Matches!$A$5:$A$19,0))="","",IF($AS46="A",INDEX(Matches!$AV$5:$AV$19,MATCH($C46,Matches!$A$5:$A$19,0)),1-INDEX(Matches!$AV$5:$AV$19,MATCH($C46,Matches!$A$5:$A$19,0)))),""))</f>
        <v>0.444399625844969</v>
      </c>
      <c r="AX46" s="13" t="n">
        <f aca="false">IF(OR($AW46="",$AT46=""),1,((Config!$B$14*$AW46+Config!$B$15*(1-$AW46))/(Config!$B$14*$AT46+Config!$B$15*(1-$AT46)))^Config!$B$13)</f>
        <v>0.933772677276782</v>
      </c>
      <c r="AY46" s="10" t="n">
        <f aca="false">IF($AS46="","",IFERROR(IF(INDEX(Matches!$BB$5:$BB$19,MATCH($C46,Matches!$A$5:$A$19,0))="","",IF($AS46="A",INDEX(Matches!$BB$5:$BB$19,MATCH($C46,Matches!$A$5:$A$19,0)),1-INDEX(Matches!$BB$5:$BB$19,MATCH($C46,Matches!$A$5:$A$19,0)))),""))</f>
        <v>0.493110340738725</v>
      </c>
      <c r="AZ46" s="13" t="n">
        <f aca="false">IF(OR($AY46="",$AT46=""),1,((Config!$B$14*$AY46+Config!$B$15*(1-$AY46))/(Config!$B$14*$AT46+Config!$B$15*(1-$AT46)))^Config!$B$13)</f>
        <v>0.976543707882068</v>
      </c>
      <c r="BA46" s="17" t="n">
        <f aca="false">IF(V46="","",V46*$AV46)</f>
        <v>10.6596503874385</v>
      </c>
      <c r="BB46" s="17" t="n">
        <f aca="false">IF(AC46="","",AC46*$AX46)</f>
        <v>13.122477210621</v>
      </c>
      <c r="BC46" s="17" t="n">
        <f aca="false">IF(AJ46="","",AJ46*$AZ46)</f>
        <v>12.4224497506831</v>
      </c>
      <c r="BD46" s="17" t="n">
        <f aca="false">N(BA46)+N(BB46)</f>
        <v>23.7821275980595</v>
      </c>
      <c r="BE46" s="17" t="n">
        <f aca="false">BD46+N($M46)*N(BC46)</f>
        <v>23.7821275980595</v>
      </c>
      <c r="BF46" s="17" t="n">
        <f aca="false">IF(W46="","",W46*$AV46)</f>
        <v>5.42576204720619</v>
      </c>
      <c r="BG46" s="17" t="n">
        <f aca="false">IF(AD46="","",AD46*$AX46)</f>
        <v>7.32472818847392</v>
      </c>
      <c r="BH46" s="17" t="n">
        <f aca="false">IF(AK46="","",AK46*$AZ46)</f>
        <v>6.45967387035523</v>
      </c>
      <c r="BI46" s="17" t="n">
        <f aca="false">IF(BF46="","",N(BF46)+N(BG46))</f>
        <v>12.7504902356801</v>
      </c>
      <c r="BJ46" s="17" t="n">
        <f aca="false">IF(BI46="","",BI46+N($M46)*N(BH46))</f>
        <v>12.7504902356801</v>
      </c>
      <c r="BK46" s="13" t="n">
        <f aca="false">IFERROR(BD46/AL46,1)</f>
        <v>0.949913486418507</v>
      </c>
    </row>
    <row r="47" customFormat="false" ht="15" hidden="false" customHeight="false" outlineLevel="0" collapsed="false">
      <c r="A47" s="0" t="s">
        <v>1228</v>
      </c>
      <c r="B47" s="0" t="s">
        <v>988</v>
      </c>
      <c r="C47" s="0" t="s">
        <v>1072</v>
      </c>
      <c r="D47" s="0" t="s">
        <v>1077</v>
      </c>
      <c r="E47" s="0" t="s">
        <v>1227</v>
      </c>
      <c r="F47" s="0" t="s">
        <v>1500</v>
      </c>
      <c r="G47" s="0" t="str">
        <f aca="false">IFERROR(IF(INDEX(Matches!$W$5:$W$19,MATCH($C47,Matches!$A$5:$A$19,0))="","",INDEX(Matches!$W$5:$W$19,MATCH($C47,Matches!$A$5:$A$19,0))),"")</f>
        <v>Dust2</v>
      </c>
      <c r="H47" s="0" t="str">
        <f aca="false">IFERROR(IF(INDEX(Matches!$X$5:$X$19,MATCH($C47,Matches!$A$5:$A$19,0))="","",INDEX(Matches!$X$5:$X$19,MATCH($C47,Matches!$A$5:$A$19,0))),"")</f>
        <v>Nuke</v>
      </c>
      <c r="I47" s="0" t="str">
        <f aca="false">IFERROR(IF(INDEX(Matches!$Y$5:$Y$19,MATCH($C47,Matches!$A$5:$A$19,0))="","",INDEX(Matches!$Y$5:$Y$19,MATCH($C47,Matches!$A$5:$A$19,0))),"")</f>
        <v>Anubis</v>
      </c>
      <c r="J47" s="11" t="n">
        <f aca="false">IFERROR(IF(INDEX(Matches!$Z$5:$Z$19,MATCH($C47,Matches!$A$5:$A$19,0))="","",INDEX(Matches!$Z$5:$Z$19,MATCH($C47,Matches!$A$5:$A$19,0))),"")</f>
        <v>21.5</v>
      </c>
      <c r="K47" s="11" t="n">
        <f aca="false">IFERROR(IF(INDEX(Matches!$AA$5:$AA$19,MATCH($C47,Matches!$A$5:$A$19,0))="","",INDEX(Matches!$AA$5:$AA$19,MATCH($C47,Matches!$A$5:$A$19,0))),"")</f>
        <v>21.5</v>
      </c>
      <c r="L47" s="11" t="n">
        <f aca="false">IFERROR(IF(INDEX(Matches!$AB$5:$AB$19,MATCH($C47,Matches!$A$5:$A$19,0))="","",INDEX(Matches!$AB$5:$AB$19,MATCH($C47,Matches!$A$5:$A$19,0))),"")</f>
        <v>21.5</v>
      </c>
      <c r="M47" s="10" t="n">
        <f aca="false">IFERROR(IF(INDEX(Matches!$AC$5:$AC$19,MATCH($C47,Matches!$A$5:$A$19,0))="","",INDEX(Matches!$AC$5:$AC$19,MATCH($C47,Matches!$A$5:$A$19,0))),"")</f>
        <v>0</v>
      </c>
      <c r="N47" s="9" t="n">
        <f aca="false">IFERROR(INDEX(Players!$F$2:$F$124,MATCH($F47,Players!$A$2:$A$124,0)),0)</f>
        <v>35</v>
      </c>
      <c r="O47" s="13" t="n">
        <f aca="false">IFERROR(1/(1/INDEX(Players!$H$2:$H$124,MATCH($F47,Players!$A$2:$A$124,0))),"")</f>
        <v>0.78</v>
      </c>
      <c r="P47" s="10" t="n">
        <f aca="false">IFERROR(1/(1/INDEX(Players!$I$2:$I$124,MATCH($F47,Players!$A$2:$A$124,0))),"")</f>
        <v>0.656</v>
      </c>
      <c r="Q47" s="9" t="n">
        <f aca="false">IF($G47="",0,SUMIFS(Map_Stats!$F$2:$F$779,Map_Stats!$A$2:$A$779,$F47&amp;"|"&amp;$G47))</f>
        <v>9</v>
      </c>
      <c r="R47" s="13" t="n">
        <f aca="false">IF($G47="","",IFERROR(1/(1/INDEX(Map_Stats!$K$2:$K$779,MATCH($F47&amp;"|"&amp;$G47,Map_Stats!$A$2:$A$779,0))),$O47))</f>
        <v>0.73</v>
      </c>
      <c r="S47" s="10" t="n">
        <f aca="false">IF(OR($G47="",$P47=""),"",IFERROR(1/(1/INDEX(Map_Stats!$I$2:$I$779,MATCH($F47&amp;"|"&amp;$G47,Map_Stats!$A$2:$A$779,0))),$P47))</f>
        <v>0.594</v>
      </c>
      <c r="T47" s="13" t="n">
        <f aca="false">IF(OR($G47="",R47=""),"",IF($O47="",R47,(Q47*R47+Config!$B$4*$O47)/(Q47+Config!$B$4)))</f>
        <v>0.747857142857143</v>
      </c>
      <c r="U47" s="10" t="n">
        <f aca="false">IF(S47="","",(Q47*S47+Config!$B$4*$P47)/(Q47+Config!$B$4))</f>
        <v>0.616142857142857</v>
      </c>
      <c r="V47" s="17" t="n">
        <f aca="false">IF(OR(T47="",$J47=""),"",T47*$J47*($J47/Config!$B$10)^Config!$B$9)</f>
        <v>16.0789285714286</v>
      </c>
      <c r="W47" s="17" t="n">
        <f aca="false">IF(OR(V47="",U47=""),"",V47*U47)</f>
        <v>9.90691698979592</v>
      </c>
      <c r="X47" s="9" t="n">
        <f aca="false">IF($H47="",0,SUMIFS(Map_Stats!$F$2:$F$779,Map_Stats!$A$2:$A$779,$F47&amp;"|"&amp;$H47))</f>
        <v>6</v>
      </c>
      <c r="Y47" s="13" t="n">
        <f aca="false">IF($H47="","",IFERROR(1/(1/INDEX(Map_Stats!$K$2:$K$779,MATCH($F47&amp;"|"&amp;$H47,Map_Stats!$A$2:$A$779,0))),$O47))</f>
        <v>0.78</v>
      </c>
      <c r="Z47" s="10" t="n">
        <f aca="false">IF(OR($H47="",$P47=""),"",IFERROR(1/(1/INDEX(Map_Stats!$I$2:$I$779,MATCH($F47&amp;"|"&amp;$H47,Map_Stats!$A$2:$A$779,0))),$P47))</f>
        <v>0.69</v>
      </c>
      <c r="AA47" s="13" t="n">
        <f aca="false">IF(OR($H47="",Y47=""),"",IF($O47="",Y47,(X47*Y47+Config!$B$4*$O47)/(X47+Config!$B$4)))</f>
        <v>0.78</v>
      </c>
      <c r="AB47" s="10" t="n">
        <f aca="false">IF(Z47="","",(X47*Z47+Config!$B$4*$P47)/(X47+Config!$B$4))</f>
        <v>0.674545454545454</v>
      </c>
      <c r="AC47" s="17" t="n">
        <f aca="false">IF(OR(AA47="",$K47=""),"",AA47*$K47*($K47/Config!$B$10)^Config!$B$9)</f>
        <v>16.77</v>
      </c>
      <c r="AD47" s="17" t="n">
        <f aca="false">IF(OR(AC47="",AB47=""),"",AC47*AB47)</f>
        <v>11.3121272727273</v>
      </c>
      <c r="AE47" s="9" t="n">
        <f aca="false">IF($I47="",0,SUMIFS(Map_Stats!$F$2:$F$779,Map_Stats!$A$2:$A$779,$F47&amp;"|"&amp;$I47))</f>
        <v>7</v>
      </c>
      <c r="AF47" s="13" t="n">
        <f aca="false">IF($I47="","",IFERROR(1/(1/INDEX(Map_Stats!$K$2:$K$779,MATCH($F47&amp;"|"&amp;$I47,Map_Stats!$A$2:$A$779,0))),$O47))</f>
        <v>0.66</v>
      </c>
      <c r="AG47" s="10" t="n">
        <f aca="false">IF(OR($I47="",$P47=""),"",IFERROR(1/(1/INDEX(Map_Stats!$I$2:$I$779,MATCH($F47&amp;"|"&amp;$I47,Map_Stats!$A$2:$A$779,0))),$P47))</f>
        <v>0.659</v>
      </c>
      <c r="AH47" s="13" t="n">
        <f aca="false">IF(OR($I47="",AF47=""),"",IF($O47="",AF47,(AE47*AF47+Config!$B$4*$O47)/(AE47+Config!$B$4)))</f>
        <v>0.71</v>
      </c>
      <c r="AI47" s="10" t="n">
        <f aca="false">IF(AG47="","",(AE47*AG47+Config!$B$4*$P47)/(AE47+Config!$B$4))</f>
        <v>0.65775</v>
      </c>
      <c r="AJ47" s="17" t="n">
        <f aca="false">IF(OR(AH47="",$L47=""),"",AH47*$L47*($L47/Config!$B$10)^Config!$B$9)</f>
        <v>15.265</v>
      </c>
      <c r="AK47" s="17" t="n">
        <f aca="false">IF(OR(AJ47="",AI47=""),"",AJ47*AI47)</f>
        <v>10.04055375</v>
      </c>
      <c r="AL47" s="17" t="n">
        <f aca="false">N(V47)+N(AC47)</f>
        <v>32.8489285714286</v>
      </c>
      <c r="AM47" s="17" t="n">
        <f aca="false">AL47+N($M47)*N(AJ47)</f>
        <v>32.8489285714286</v>
      </c>
      <c r="AN47" s="17" t="n">
        <f aca="false">IF(W47="","",N(W47)+N(AD47))</f>
        <v>21.2190442625232</v>
      </c>
      <c r="AO47" s="17" t="n">
        <f aca="false">IF(AN47="","",AN47+N($M47)*N(AK47))</f>
        <v>21.2190442625232</v>
      </c>
      <c r="AP47" s="10" t="n">
        <f aca="false">IFERROR(AN47/AL47,"")</f>
        <v>0.645958488916413</v>
      </c>
      <c r="AQ47" s="0" t="str">
        <f aca="false">TRIM(IF($N47&lt;Config!$B$12,"thin sample ("&amp;$N47&amp;" maps) · ","")&amp;IF(AND($G47&lt;&gt;"",Q47=0),"M1 unplayed→overall KPR · ","")&amp;IF(AND($H47&lt;&gt;"",X47=0),"M2 unplayed→overall KPR · ","")&amp;IF($O47="","no PickFinder stats",""))</f>
        <v/>
      </c>
      <c r="AR47" s="0" t="str">
        <f aca="false">IF($C47=Board!$B$2,COUNTIFS($C$2:$C$124,Board!$B$2,$AL$2:$AL$124,"&gt;"&amp;$AL47)+COUNTIFS($C$1:$C46,Board!$B$2,$AL$1:$AL46,$AL47)+1,"")</f>
        <v/>
      </c>
      <c r="AS47" s="0" t="str">
        <f aca="false">IFERROR(IF($D47=INDEX(Matches!$AD$5:$AD$19,MATCH($C47,Matches!$A$5:$A$19,0)),"A",IF($D47=INDEX(Matches!$AE$5:$AE$19,MATCH($C47,Matches!$A$5:$A$19,0)),"B","")),"")</f>
        <v>B</v>
      </c>
      <c r="AT47" s="10" t="n">
        <f aca="false">IF($AS47="","",IFERROR(IF($AS47="A",INDEX(Matches!$AI$5:$AI$19,MATCH($C47,Matches!$A$5:$A$19,0)),INDEX(Matches!$AJ$5:$AJ$19,MATCH($C47,Matches!$A$5:$A$19,0))),""))</f>
        <v>0.519824047227715</v>
      </c>
      <c r="AU47" s="10" t="n">
        <f aca="false">IF($AS47="","",IFERROR(IF(INDEX(Matches!$AP$5:$AP$19,MATCH($C47,Matches!$A$5:$A$19,0))="","",IF($AS47="A",INDEX(Matches!$AP$5:$AP$19,MATCH($C47,Matches!$A$5:$A$19,0)),1-INDEX(Matches!$AP$5:$AP$19,MATCH($C47,Matches!$A$5:$A$19,0)))),""))</f>
        <v>0.486303005663903</v>
      </c>
      <c r="AV47" s="13" t="n">
        <f aca="false">IF(OR($AU47="",$AT47=""),1,((Config!$B$14*$AU47+Config!$B$15*(1-$AU47))/(Config!$B$14*$AT47+Config!$B$15*(1-$AT47)))^Config!$B$13)</f>
        <v>0.970566445231321</v>
      </c>
      <c r="AW47" s="10" t="n">
        <f aca="false">IF($AS47="","",IFERROR(IF(INDEX(Matches!$AV$5:$AV$19,MATCH($C47,Matches!$A$5:$A$19,0))="","",IF($AS47="A",INDEX(Matches!$AV$5:$AV$19,MATCH($C47,Matches!$A$5:$A$19,0)),1-INDEX(Matches!$AV$5:$AV$19,MATCH($C47,Matches!$A$5:$A$19,0)))),""))</f>
        <v>0.444399625844969</v>
      </c>
      <c r="AX47" s="13" t="n">
        <f aca="false">IF(OR($AW47="",$AT47=""),1,((Config!$B$14*$AW47+Config!$B$15*(1-$AW47))/(Config!$B$14*$AT47+Config!$B$15*(1-$AT47)))^Config!$B$13)</f>
        <v>0.933772677276782</v>
      </c>
      <c r="AY47" s="10" t="n">
        <f aca="false">IF($AS47="","",IFERROR(IF(INDEX(Matches!$BB$5:$BB$19,MATCH($C47,Matches!$A$5:$A$19,0))="","",IF($AS47="A",INDEX(Matches!$BB$5:$BB$19,MATCH($C47,Matches!$A$5:$A$19,0)),1-INDEX(Matches!$BB$5:$BB$19,MATCH($C47,Matches!$A$5:$A$19,0)))),""))</f>
        <v>0.493110340738725</v>
      </c>
      <c r="AZ47" s="13" t="n">
        <f aca="false">IF(OR($AY47="",$AT47=""),1,((Config!$B$14*$AY47+Config!$B$15*(1-$AY47))/(Config!$B$14*$AT47+Config!$B$15*(1-$AT47)))^Config!$B$13)</f>
        <v>0.976543707882068</v>
      </c>
      <c r="BA47" s="17" t="n">
        <f aca="false">IF(V47="","",V47*$AV47)</f>
        <v>15.6056685466997</v>
      </c>
      <c r="BB47" s="17" t="n">
        <f aca="false">IF(AC47="","",AC47*$AX47)</f>
        <v>15.6593677979316</v>
      </c>
      <c r="BC47" s="17" t="n">
        <f aca="false">IF(AJ47="","",AJ47*$AZ47)</f>
        <v>14.9069397008198</v>
      </c>
      <c r="BD47" s="17" t="n">
        <f aca="false">N(BA47)+N(BB47)</f>
        <v>31.2650363446314</v>
      </c>
      <c r="BE47" s="17" t="n">
        <f aca="false">BD47+N($M47)*N(BC47)</f>
        <v>31.2650363446314</v>
      </c>
      <c r="BF47" s="17" t="n">
        <f aca="false">IF(W47="","",W47*$AV47)</f>
        <v>9.615321205988</v>
      </c>
      <c r="BG47" s="17" t="n">
        <f aca="false">IF(AD47="","",AD47*$AX47)</f>
        <v>10.5629553691502</v>
      </c>
      <c r="BH47" s="17" t="n">
        <f aca="false">IF(AK47="","",AK47*$AZ47)</f>
        <v>9.8050395882142</v>
      </c>
      <c r="BI47" s="17" t="n">
        <f aca="false">IF(BF47="","",N(BF47)+N(BG47))</f>
        <v>20.1782765751383</v>
      </c>
      <c r="BJ47" s="17" t="n">
        <f aca="false">IF(BI47="","",BI47+N($M47)*N(BH47))</f>
        <v>20.1782765751383</v>
      </c>
      <c r="BK47" s="13" t="n">
        <f aca="false">IFERROR(BD47/AL47,1)</f>
        <v>0.951782530034333</v>
      </c>
    </row>
    <row r="48" customFormat="false" ht="15" hidden="false" customHeight="false" outlineLevel="0" collapsed="false">
      <c r="A48" s="0" t="s">
        <v>1230</v>
      </c>
      <c r="B48" s="0" t="s">
        <v>988</v>
      </c>
      <c r="C48" s="0" t="s">
        <v>1072</v>
      </c>
      <c r="D48" s="0" t="s">
        <v>1077</v>
      </c>
      <c r="E48" s="0" t="s">
        <v>1229</v>
      </c>
      <c r="F48" s="0" t="s">
        <v>1501</v>
      </c>
      <c r="G48" s="0" t="str">
        <f aca="false">IFERROR(IF(INDEX(Matches!$W$5:$W$19,MATCH($C48,Matches!$A$5:$A$19,0))="","",INDEX(Matches!$W$5:$W$19,MATCH($C48,Matches!$A$5:$A$19,0))),"")</f>
        <v>Dust2</v>
      </c>
      <c r="H48" s="0" t="str">
        <f aca="false">IFERROR(IF(INDEX(Matches!$X$5:$X$19,MATCH($C48,Matches!$A$5:$A$19,0))="","",INDEX(Matches!$X$5:$X$19,MATCH($C48,Matches!$A$5:$A$19,0))),"")</f>
        <v>Nuke</v>
      </c>
      <c r="I48" s="0" t="str">
        <f aca="false">IFERROR(IF(INDEX(Matches!$Y$5:$Y$19,MATCH($C48,Matches!$A$5:$A$19,0))="","",INDEX(Matches!$Y$5:$Y$19,MATCH($C48,Matches!$A$5:$A$19,0))),"")</f>
        <v>Anubis</v>
      </c>
      <c r="J48" s="11" t="n">
        <f aca="false">IFERROR(IF(INDEX(Matches!$Z$5:$Z$19,MATCH($C48,Matches!$A$5:$A$19,0))="","",INDEX(Matches!$Z$5:$Z$19,MATCH($C48,Matches!$A$5:$A$19,0))),"")</f>
        <v>21.5</v>
      </c>
      <c r="K48" s="11" t="n">
        <f aca="false">IFERROR(IF(INDEX(Matches!$AA$5:$AA$19,MATCH($C48,Matches!$A$5:$A$19,0))="","",INDEX(Matches!$AA$5:$AA$19,MATCH($C48,Matches!$A$5:$A$19,0))),"")</f>
        <v>21.5</v>
      </c>
      <c r="L48" s="11" t="n">
        <f aca="false">IFERROR(IF(INDEX(Matches!$AB$5:$AB$19,MATCH($C48,Matches!$A$5:$A$19,0))="","",INDEX(Matches!$AB$5:$AB$19,MATCH($C48,Matches!$A$5:$A$19,0))),"")</f>
        <v>21.5</v>
      </c>
      <c r="M48" s="10" t="n">
        <f aca="false">IFERROR(IF(INDEX(Matches!$AC$5:$AC$19,MATCH($C48,Matches!$A$5:$A$19,0))="","",INDEX(Matches!$AC$5:$AC$19,MATCH($C48,Matches!$A$5:$A$19,0))),"")</f>
        <v>0</v>
      </c>
      <c r="N48" s="9" t="n">
        <f aca="false">IFERROR(INDEX(Players!$F$2:$F$124,MATCH($F48,Players!$A$2:$A$124,0)),0)</f>
        <v>35</v>
      </c>
      <c r="O48" s="13" t="n">
        <f aca="false">IFERROR(1/(1/INDEX(Players!$H$2:$H$124,MATCH($F48,Players!$A$2:$A$124,0))),"")</f>
        <v>0.7</v>
      </c>
      <c r="P48" s="10" t="n">
        <f aca="false">IFERROR(1/(1/INDEX(Players!$I$2:$I$124,MATCH($F48,Players!$A$2:$A$124,0))),"")</f>
        <v>0.397</v>
      </c>
      <c r="Q48" s="9" t="n">
        <f aca="false">IF($G48="",0,SUMIFS(Map_Stats!$F$2:$F$779,Map_Stats!$A$2:$A$779,$F48&amp;"|"&amp;$G48))</f>
        <v>4</v>
      </c>
      <c r="R48" s="13" t="n">
        <f aca="false">IF($G48="","",IFERROR(1/(1/INDEX(Map_Stats!$K$2:$K$779,MATCH($F48&amp;"|"&amp;$G48,Map_Stats!$A$2:$A$779,0))),$O48))</f>
        <v>0.74</v>
      </c>
      <c r="S48" s="10" t="n">
        <f aca="false">IF(OR($G48="",$P48=""),"",IFERROR(1/(1/INDEX(Map_Stats!$I$2:$I$779,MATCH($F48&amp;"|"&amp;$G48,Map_Stats!$A$2:$A$779,0))),$P48))</f>
        <v>0.415</v>
      </c>
      <c r="T48" s="13" t="n">
        <f aca="false">IF(OR($G48="",R48=""),"",IF($O48="",R48,(Q48*R48+Config!$B$4*$O48)/(Q48+Config!$B$4)))</f>
        <v>0.717777777777778</v>
      </c>
      <c r="U48" s="10" t="n">
        <f aca="false">IF(S48="","",(Q48*S48+Config!$B$4*$P48)/(Q48+Config!$B$4))</f>
        <v>0.405</v>
      </c>
      <c r="V48" s="17" t="n">
        <f aca="false">IF(OR(T48="",$J48=""),"",T48*$J48*($J48/Config!$B$10)^Config!$B$9)</f>
        <v>15.4322222222222</v>
      </c>
      <c r="W48" s="17" t="n">
        <f aca="false">IF(OR(V48="",U48=""),"",V48*U48)</f>
        <v>6.25005</v>
      </c>
      <c r="X48" s="9" t="n">
        <f aca="false">IF($H48="",0,SUMIFS(Map_Stats!$F$2:$F$779,Map_Stats!$A$2:$A$779,$F48&amp;"|"&amp;$H48))</f>
        <v>10</v>
      </c>
      <c r="Y48" s="13" t="n">
        <f aca="false">IF($H48="","",IFERROR(1/(1/INDEX(Map_Stats!$K$2:$K$779,MATCH($F48&amp;"|"&amp;$H48,Map_Stats!$A$2:$A$779,0))),$O48))</f>
        <v>0.67</v>
      </c>
      <c r="Z48" s="10" t="n">
        <f aca="false">IF(OR($H48="",$P48=""),"",IFERROR(1/(1/INDEX(Map_Stats!$I$2:$I$779,MATCH($F48&amp;"|"&amp;$H48,Map_Stats!$A$2:$A$779,0))),$P48))</f>
        <v>0.467</v>
      </c>
      <c r="AA48" s="13" t="n">
        <f aca="false">IF(OR($H48="",Y48=""),"",IF($O48="",Y48,(X48*Y48+Config!$B$4*$O48)/(X48+Config!$B$4)))</f>
        <v>0.68</v>
      </c>
      <c r="AB48" s="10" t="n">
        <f aca="false">IF(Z48="","",(X48*Z48+Config!$B$4*$P48)/(X48+Config!$B$4))</f>
        <v>0.443666666666667</v>
      </c>
      <c r="AC48" s="17" t="n">
        <f aca="false">IF(OR(AA48="",$K48=""),"",AA48*$K48*($K48/Config!$B$10)^Config!$B$9)</f>
        <v>14.62</v>
      </c>
      <c r="AD48" s="17" t="n">
        <f aca="false">IF(OR(AC48="",AB48=""),"",AC48*AB48)</f>
        <v>6.48640666666667</v>
      </c>
      <c r="AE48" s="9" t="n">
        <f aca="false">IF($I48="",0,SUMIFS(Map_Stats!$F$2:$F$779,Map_Stats!$A$2:$A$779,$F48&amp;"|"&amp;$I48))</f>
        <v>8</v>
      </c>
      <c r="AF48" s="13" t="n">
        <f aca="false">IF($I48="","",IFERROR(1/(1/INDEX(Map_Stats!$K$2:$K$779,MATCH($F48&amp;"|"&amp;$I48,Map_Stats!$A$2:$A$779,0))),$O48))</f>
        <v>0.87</v>
      </c>
      <c r="AG48" s="10" t="n">
        <f aca="false">IF(OR($I48="",$P48=""),"",IFERROR(1/(1/INDEX(Map_Stats!$I$2:$I$779,MATCH($F48&amp;"|"&amp;$I48,Map_Stats!$A$2:$A$779,0))),$P48))</f>
        <v>0.354</v>
      </c>
      <c r="AH48" s="13" t="n">
        <f aca="false">IF(OR($I48="",AF48=""),"",IF($O48="",AF48,(AE48*AF48+Config!$B$4*$O48)/(AE48+Config!$B$4)))</f>
        <v>0.804615384615385</v>
      </c>
      <c r="AI48" s="10" t="n">
        <f aca="false">IF(AG48="","",(AE48*AG48+Config!$B$4*$P48)/(AE48+Config!$B$4))</f>
        <v>0.370538461538462</v>
      </c>
      <c r="AJ48" s="17" t="n">
        <f aca="false">IF(OR(AH48="",$L48=""),"",AH48*$L48*($L48/Config!$B$10)^Config!$B$9)</f>
        <v>17.2992307692308</v>
      </c>
      <c r="AK48" s="17" t="n">
        <f aca="false">IF(OR(AJ48="",AI48=""),"",AJ48*AI48)</f>
        <v>6.41003035502959</v>
      </c>
      <c r="AL48" s="17" t="n">
        <f aca="false">N(V48)+N(AC48)</f>
        <v>30.0522222222222</v>
      </c>
      <c r="AM48" s="17" t="n">
        <f aca="false">AL48+N($M48)*N(AJ48)</f>
        <v>30.0522222222222</v>
      </c>
      <c r="AN48" s="17" t="n">
        <f aca="false">IF(W48="","",N(W48)+N(AD48))</f>
        <v>12.7364566666667</v>
      </c>
      <c r="AO48" s="17" t="n">
        <f aca="false">IF(AN48="","",AN48+N($M48)*N(AK48))</f>
        <v>12.7364566666667</v>
      </c>
      <c r="AP48" s="10" t="n">
        <f aca="false">IFERROR(AN48/AL48,"")</f>
        <v>0.423810810810811</v>
      </c>
      <c r="AQ48" s="0" t="str">
        <f aca="false">TRIM(IF($N48&lt;Config!$B$12,"thin sample ("&amp;$N48&amp;" maps) · ","")&amp;IF(AND($G48&lt;&gt;"",Q48=0),"M1 unplayed→overall KPR · ","")&amp;IF(AND($H48&lt;&gt;"",X48=0),"M2 unplayed→overall KPR · ","")&amp;IF($O48="","no PickFinder stats",""))</f>
        <v/>
      </c>
      <c r="AR48" s="0" t="str">
        <f aca="false">IF($C48=Board!$B$2,COUNTIFS($C$2:$C$124,Board!$B$2,$AL$2:$AL$124,"&gt;"&amp;$AL48)+COUNTIFS($C$1:$C47,Board!$B$2,$AL$1:$AL47,$AL48)+1,"")</f>
        <v/>
      </c>
      <c r="AS48" s="0" t="str">
        <f aca="false">IFERROR(IF($D48=INDEX(Matches!$AD$5:$AD$19,MATCH($C48,Matches!$A$5:$A$19,0)),"A",IF($D48=INDEX(Matches!$AE$5:$AE$19,MATCH($C48,Matches!$A$5:$A$19,0)),"B","")),"")</f>
        <v>B</v>
      </c>
      <c r="AT48" s="10" t="n">
        <f aca="false">IF($AS48="","",IFERROR(IF($AS48="A",INDEX(Matches!$AI$5:$AI$19,MATCH($C48,Matches!$A$5:$A$19,0)),INDEX(Matches!$AJ$5:$AJ$19,MATCH($C48,Matches!$A$5:$A$19,0))),""))</f>
        <v>0.519824047227715</v>
      </c>
      <c r="AU48" s="10" t="n">
        <f aca="false">IF($AS48="","",IFERROR(IF(INDEX(Matches!$AP$5:$AP$19,MATCH($C48,Matches!$A$5:$A$19,0))="","",IF($AS48="A",INDEX(Matches!$AP$5:$AP$19,MATCH($C48,Matches!$A$5:$A$19,0)),1-INDEX(Matches!$AP$5:$AP$19,MATCH($C48,Matches!$A$5:$A$19,0)))),""))</f>
        <v>0.486303005663903</v>
      </c>
      <c r="AV48" s="13" t="n">
        <f aca="false">IF(OR($AU48="",$AT48=""),1,((Config!$B$14*$AU48+Config!$B$15*(1-$AU48))/(Config!$B$14*$AT48+Config!$B$15*(1-$AT48)))^Config!$B$13)</f>
        <v>0.970566445231321</v>
      </c>
      <c r="AW48" s="10" t="n">
        <f aca="false">IF($AS48="","",IFERROR(IF(INDEX(Matches!$AV$5:$AV$19,MATCH($C48,Matches!$A$5:$A$19,0))="","",IF($AS48="A",INDEX(Matches!$AV$5:$AV$19,MATCH($C48,Matches!$A$5:$A$19,0)),1-INDEX(Matches!$AV$5:$AV$19,MATCH($C48,Matches!$A$5:$A$19,0)))),""))</f>
        <v>0.444399625844969</v>
      </c>
      <c r="AX48" s="13" t="n">
        <f aca="false">IF(OR($AW48="",$AT48=""),1,((Config!$B$14*$AW48+Config!$B$15*(1-$AW48))/(Config!$B$14*$AT48+Config!$B$15*(1-$AT48)))^Config!$B$13)</f>
        <v>0.933772677276782</v>
      </c>
      <c r="AY48" s="10" t="n">
        <f aca="false">IF($AS48="","",IFERROR(IF(INDEX(Matches!$BB$5:$BB$19,MATCH($C48,Matches!$A$5:$A$19,0))="","",IF($AS48="A",INDEX(Matches!$BB$5:$BB$19,MATCH($C48,Matches!$A$5:$A$19,0)),1-INDEX(Matches!$BB$5:$BB$19,MATCH($C48,Matches!$A$5:$A$19,0)))),""))</f>
        <v>0.493110340738725</v>
      </c>
      <c r="AZ48" s="13" t="n">
        <f aca="false">IF(OR($AY48="",$AT48=""),1,((Config!$B$14*$AY48+Config!$B$15*(1-$AY48))/(Config!$B$14*$AT48+Config!$B$15*(1-$AT48)))^Config!$B$13)</f>
        <v>0.976543707882068</v>
      </c>
      <c r="BA48" s="17" t="n">
        <f aca="false">IF(V48="","",V48*$AV48)</f>
        <v>14.977997064242</v>
      </c>
      <c r="BB48" s="17" t="n">
        <f aca="false">IF(AC48="","",AC48*$AX48)</f>
        <v>13.6517565417866</v>
      </c>
      <c r="BC48" s="17" t="n">
        <f aca="false">IF(AJ48="","",AJ48*$AZ48)</f>
        <v>16.8934549588922</v>
      </c>
      <c r="BD48" s="17" t="n">
        <f aca="false">N(BA48)+N(BB48)</f>
        <v>28.6297536060286</v>
      </c>
      <c r="BE48" s="17" t="n">
        <f aca="false">BD48+N($M48)*N(BC48)</f>
        <v>28.6297536060286</v>
      </c>
      <c r="BF48" s="17" t="n">
        <f aca="false">IF(W48="","",W48*$AV48)</f>
        <v>6.06608881101802</v>
      </c>
      <c r="BG48" s="17" t="n">
        <f aca="false">IF(AD48="","",AD48*$AX48)</f>
        <v>6.0568293190393</v>
      </c>
      <c r="BH48" s="17" t="n">
        <f aca="false">IF(AK48="","",AK48*$AZ48)</f>
        <v>6.2596748105372</v>
      </c>
      <c r="BI48" s="17" t="n">
        <f aca="false">IF(BF48="","",N(BF48)+N(BG48))</f>
        <v>12.1229181300573</v>
      </c>
      <c r="BJ48" s="17" t="n">
        <f aca="false">IF(BI48="","",BI48+N($M48)*N(BH48))</f>
        <v>12.1229181300573</v>
      </c>
      <c r="BK48" s="13" t="n">
        <f aca="false">IFERROR(BD48/AL48,1)</f>
        <v>0.952666774334518</v>
      </c>
    </row>
    <row r="49" customFormat="false" ht="15" hidden="false" customHeight="false" outlineLevel="0" collapsed="false">
      <c r="A49" s="0" t="s">
        <v>1233</v>
      </c>
      <c r="B49" s="0" t="s">
        <v>988</v>
      </c>
      <c r="C49" s="0" t="s">
        <v>1060</v>
      </c>
      <c r="D49" s="0" t="s">
        <v>1064</v>
      </c>
      <c r="E49" s="0" t="s">
        <v>1231</v>
      </c>
      <c r="F49" s="0" t="s">
        <v>1502</v>
      </c>
      <c r="G49" s="0" t="str">
        <f aca="false">IFERROR(IF(INDEX(Matches!$W$5:$W$19,MATCH($C49,Matches!$A$5:$A$19,0))="","",INDEX(Matches!$W$5:$W$19,MATCH($C49,Matches!$A$5:$A$19,0))),"")</f>
        <v>Mirage</v>
      </c>
      <c r="H49" s="0" t="str">
        <f aca="false">IFERROR(IF(INDEX(Matches!$X$5:$X$19,MATCH($C49,Matches!$A$5:$A$19,0))="","",INDEX(Matches!$X$5:$X$19,MATCH($C49,Matches!$A$5:$A$19,0))),"")</f>
        <v>Inferno</v>
      </c>
      <c r="I49" s="0" t="str">
        <f aca="false">IFERROR(IF(INDEX(Matches!$Y$5:$Y$19,MATCH($C49,Matches!$A$5:$A$19,0))="","",INDEX(Matches!$Y$5:$Y$19,MATCH($C49,Matches!$A$5:$A$19,0))),"")</f>
        <v>Nuke</v>
      </c>
      <c r="J49" s="11" t="n">
        <f aca="false">IFERROR(IF(INDEX(Matches!$Z$5:$Z$19,MATCH($C49,Matches!$A$5:$A$19,0))="","",INDEX(Matches!$Z$5:$Z$19,MATCH($C49,Matches!$A$5:$A$19,0))),"")</f>
        <v>21.5</v>
      </c>
      <c r="K49" s="11" t="n">
        <f aca="false">IFERROR(IF(INDEX(Matches!$AA$5:$AA$19,MATCH($C49,Matches!$A$5:$A$19,0))="","",INDEX(Matches!$AA$5:$AA$19,MATCH($C49,Matches!$A$5:$A$19,0))),"")</f>
        <v>21.42</v>
      </c>
      <c r="L49" s="11" t="n">
        <f aca="false">IFERROR(IF(INDEX(Matches!$AB$5:$AB$19,MATCH($C49,Matches!$A$5:$A$19,0))="","",INDEX(Matches!$AB$5:$AB$19,MATCH($C49,Matches!$A$5:$A$19,0))),"")</f>
        <v>21.5</v>
      </c>
      <c r="M49" s="10" t="n">
        <f aca="false">IFERROR(IF(INDEX(Matches!$AC$5:$AC$19,MATCH($C49,Matches!$A$5:$A$19,0))="","",INDEX(Matches!$AC$5:$AC$19,MATCH($C49,Matches!$A$5:$A$19,0))),"")</f>
        <v>0.4962</v>
      </c>
      <c r="N49" s="9" t="n">
        <f aca="false">IFERROR(INDEX(Players!$F$2:$F$124,MATCH($F49,Players!$A$2:$A$124,0)),0)</f>
        <v>37</v>
      </c>
      <c r="O49" s="13" t="n">
        <f aca="false">IFERROR(1/(1/INDEX(Players!$H$2:$H$124,MATCH($F49,Players!$A$2:$A$124,0))),"")</f>
        <v>0.54</v>
      </c>
      <c r="P49" s="10" t="n">
        <f aca="false">IFERROR(1/(1/INDEX(Players!$I$2:$I$124,MATCH($F49,Players!$A$2:$A$124,0))),"")</f>
        <v>0.512</v>
      </c>
      <c r="Q49" s="9" t="n">
        <f aca="false">IF($G49="",0,SUMIFS(Map_Stats!$F$2:$F$779,Map_Stats!$A$2:$A$779,$F49&amp;"|"&amp;$G49))</f>
        <v>10</v>
      </c>
      <c r="R49" s="13" t="n">
        <f aca="false">IF($G49="","",IFERROR(1/(1/INDEX(Map_Stats!$K$2:$K$779,MATCH($F49&amp;"|"&amp;$G49,Map_Stats!$A$2:$A$779,0))),$O49))</f>
        <v>0.55</v>
      </c>
      <c r="S49" s="10" t="n">
        <f aca="false">IF(OR($G49="",$P49=""),"",IFERROR(1/(1/INDEX(Map_Stats!$I$2:$I$779,MATCH($F49&amp;"|"&amp;$G49,Map_Stats!$A$2:$A$779,0))),$P49))</f>
        <v>0.479</v>
      </c>
      <c r="T49" s="13" t="n">
        <f aca="false">IF(OR($G49="",R49=""),"",IF($O49="",R49,(Q49*R49+Config!$B$4*$O49)/(Q49+Config!$B$4)))</f>
        <v>0.546666666666667</v>
      </c>
      <c r="U49" s="10" t="n">
        <f aca="false">IF(S49="","",(Q49*S49+Config!$B$4*$P49)/(Q49+Config!$B$4))</f>
        <v>0.49</v>
      </c>
      <c r="V49" s="17" t="n">
        <f aca="false">IF(OR(T49="",$J49=""),"",T49*$J49*($J49/Config!$B$10)^Config!$B$9)</f>
        <v>11.7533333333333</v>
      </c>
      <c r="W49" s="17" t="n">
        <f aca="false">IF(OR(V49="",U49=""),"",V49*U49)</f>
        <v>5.75913333333333</v>
      </c>
      <c r="X49" s="9" t="n">
        <f aca="false">IF($H49="",0,SUMIFS(Map_Stats!$F$2:$F$779,Map_Stats!$A$2:$A$779,$F49&amp;"|"&amp;$H49))</f>
        <v>6</v>
      </c>
      <c r="Y49" s="13" t="n">
        <f aca="false">IF($H49="","",IFERROR(1/(1/INDEX(Map_Stats!$K$2:$K$779,MATCH($F49&amp;"|"&amp;$H49,Map_Stats!$A$2:$A$779,0))),$O49))</f>
        <v>0.63</v>
      </c>
      <c r="Z49" s="10" t="n">
        <f aca="false">IF(OR($H49="",$P49=""),"",IFERROR(1/(1/INDEX(Map_Stats!$I$2:$I$779,MATCH($F49&amp;"|"&amp;$H49,Map_Stats!$A$2:$A$779,0))),$P49))</f>
        <v>0.526</v>
      </c>
      <c r="AA49" s="13" t="n">
        <f aca="false">IF(OR($H49="",Y49=""),"",IF($O49="",Y49,(X49*Y49+Config!$B$4*$O49)/(X49+Config!$B$4)))</f>
        <v>0.589090909090909</v>
      </c>
      <c r="AB49" s="10" t="n">
        <f aca="false">IF(Z49="","",(X49*Z49+Config!$B$4*$P49)/(X49+Config!$B$4))</f>
        <v>0.519636363636364</v>
      </c>
      <c r="AC49" s="17" t="n">
        <f aca="false">IF(OR(AA49="",$K49=""),"",AA49*$K49*($K49/Config!$B$10)^Config!$B$9)</f>
        <v>12.6183272727273</v>
      </c>
      <c r="AD49" s="17" t="n">
        <f aca="false">IF(OR(AC49="",AB49=""),"",AC49*AB49)</f>
        <v>6.55694169917356</v>
      </c>
      <c r="AE49" s="9" t="n">
        <f aca="false">IF($I49="",0,SUMIFS(Map_Stats!$F$2:$F$779,Map_Stats!$A$2:$A$779,$F49&amp;"|"&amp;$I49))</f>
        <v>6</v>
      </c>
      <c r="AF49" s="13" t="n">
        <f aca="false">IF($I49="","",IFERROR(1/(1/INDEX(Map_Stats!$K$2:$K$779,MATCH($F49&amp;"|"&amp;$I49,Map_Stats!$A$2:$A$779,0))),$O49))</f>
        <v>0.59</v>
      </c>
      <c r="AG49" s="10" t="n">
        <f aca="false">IF(OR($I49="",$P49=""),"",IFERROR(1/(1/INDEX(Map_Stats!$I$2:$I$779,MATCH($F49&amp;"|"&amp;$I49,Map_Stats!$A$2:$A$779,0))),$P49))</f>
        <v>0.442</v>
      </c>
      <c r="AH49" s="13" t="n">
        <f aca="false">IF(OR($I49="",AF49=""),"",IF($O49="",AF49,(AE49*AF49+Config!$B$4*$O49)/(AE49+Config!$B$4)))</f>
        <v>0.567272727272727</v>
      </c>
      <c r="AI49" s="10" t="n">
        <f aca="false">IF(AG49="","",(AE49*AG49+Config!$B$4*$P49)/(AE49+Config!$B$4))</f>
        <v>0.473818181818182</v>
      </c>
      <c r="AJ49" s="17" t="n">
        <f aca="false">IF(OR(AH49="",$L49=""),"",AH49*$L49*($L49/Config!$B$10)^Config!$B$9)</f>
        <v>12.1963636363636</v>
      </c>
      <c r="AK49" s="17" t="n">
        <f aca="false">IF(OR(AJ49="",AI49=""),"",AJ49*AI49)</f>
        <v>5.77885884297521</v>
      </c>
      <c r="AL49" s="17" t="n">
        <f aca="false">N(V49)+N(AC49)</f>
        <v>24.3716606060606</v>
      </c>
      <c r="AM49" s="17" t="n">
        <f aca="false">AL49+N($M49)*N(AJ49)</f>
        <v>30.4234962424242</v>
      </c>
      <c r="AN49" s="17" t="n">
        <f aca="false">IF(W49="","",N(W49)+N(AD49))</f>
        <v>12.3160750325069</v>
      </c>
      <c r="AO49" s="17" t="n">
        <f aca="false">IF(AN49="","",AN49+N($M49)*N(AK49))</f>
        <v>15.1835447903912</v>
      </c>
      <c r="AP49" s="10" t="n">
        <f aca="false">IFERROR(AN49/AL49,"")</f>
        <v>0.505344105663616</v>
      </c>
      <c r="AQ49" s="0" t="str">
        <f aca="false">TRIM(IF($N49&lt;Config!$B$12,"thin sample ("&amp;$N49&amp;" maps) · ","")&amp;IF(AND($G49&lt;&gt;"",Q49=0),"M1 unplayed→overall KPR · ","")&amp;IF(AND($H49&lt;&gt;"",X49=0),"M2 unplayed→overall KPR · ","")&amp;IF($O49="","no PickFinder stats",""))</f>
        <v/>
      </c>
      <c r="AR49" s="0" t="str">
        <f aca="false">IF($C49=Board!$B$2,COUNTIFS($C$2:$C$124,Board!$B$2,$AL$2:$AL$124,"&gt;"&amp;$AL49)+COUNTIFS($C$1:$C48,Board!$B$2,$AL$1:$AL48,$AL49)+1,"")</f>
        <v/>
      </c>
      <c r="AS49" s="0" t="str">
        <f aca="false">IFERROR(IF($D49=INDEX(Matches!$AD$5:$AD$19,MATCH($C49,Matches!$A$5:$A$19,0)),"A",IF($D49=INDEX(Matches!$AE$5:$AE$19,MATCH($C49,Matches!$A$5:$A$19,0)),"B","")),"")</f>
        <v>A</v>
      </c>
      <c r="AT49" s="10" t="n">
        <f aca="false">IF($AS49="","",IFERROR(IF($AS49="A",INDEX(Matches!$AI$5:$AI$19,MATCH($C49,Matches!$A$5:$A$19,0)),INDEX(Matches!$AJ$5:$AJ$19,MATCH($C49,Matches!$A$5:$A$19,0))),""))</f>
        <v>0.53076856540748</v>
      </c>
      <c r="AU49" s="10" t="n">
        <f aca="false">IF($AS49="","",IFERROR(IF(INDEX(Matches!$AP$5:$AP$19,MATCH($C49,Matches!$A$5:$A$19,0))="","",IF($AS49="A",INDEX(Matches!$AP$5:$AP$19,MATCH($C49,Matches!$A$5:$A$19,0)),1-INDEX(Matches!$AP$5:$AP$19,MATCH($C49,Matches!$A$5:$A$19,0)))),""))</f>
        <v>0.531863517383607</v>
      </c>
      <c r="AV49" s="13" t="n">
        <f aca="false">IF(OR($AU49="",$AT49=""),1,((Config!$B$14*$AU49+Config!$B$15*(1-$AU49))/(Config!$B$14*$AT49+Config!$B$15*(1-$AT49)))^Config!$B$13)</f>
        <v>1.00095228436591</v>
      </c>
      <c r="AW49" s="10" t="n">
        <f aca="false">IF($AS49="","",IFERROR(IF(INDEX(Matches!$AV$5:$AV$19,MATCH($C49,Matches!$A$5:$A$19,0))="","",IF($AS49="A",INDEX(Matches!$AV$5:$AV$19,MATCH($C49,Matches!$A$5:$A$19,0)),1-INDEX(Matches!$AV$5:$AV$19,MATCH($C49,Matches!$A$5:$A$19,0)))),""))</f>
        <v>0.506819354739319</v>
      </c>
      <c r="AX49" s="13" t="n">
        <f aca="false">IF(OR($AW49="",$AT49=""),1,((Config!$B$14*$AW49+Config!$B$15*(1-$AW49))/(Config!$B$14*$AT49+Config!$B$15*(1-$AT49)))^Config!$B$13)</f>
        <v>0.979171270163057</v>
      </c>
      <c r="AY49" s="10" t="n">
        <f aca="false">IF($AS49="","",IFERROR(IF(INDEX(Matches!$BB$5:$BB$19,MATCH($C49,Matches!$A$5:$A$19,0))="","",IF($AS49="A",INDEX(Matches!$BB$5:$BB$19,MATCH($C49,Matches!$A$5:$A$19,0)),1-INDEX(Matches!$BB$5:$BB$19,MATCH($C49,Matches!$A$5:$A$19,0)))),""))</f>
        <v>0.532289166242504</v>
      </c>
      <c r="AZ49" s="13" t="n">
        <f aca="false">IF(OR($AY49="",$AT49=""),1,((Config!$B$14*$AY49+Config!$B$15*(1-$AY49))/(Config!$B$14*$AT49+Config!$B$15*(1-$AT49)))^Config!$B$13)</f>
        <v>1.00132247297923</v>
      </c>
      <c r="BA49" s="17" t="n">
        <f aca="false">IF(V49="","",V49*$AV49)</f>
        <v>11.764525848914</v>
      </c>
      <c r="BB49" s="17" t="n">
        <f aca="false">IF(AC49="","",AC49*$AX49)</f>
        <v>12.3555035429695</v>
      </c>
      <c r="BC49" s="17" t="n">
        <f aca="false">IF(AJ49="","",AJ49*$AZ49)</f>
        <v>12.2124929977176</v>
      </c>
      <c r="BD49" s="17" t="n">
        <f aca="false">N(BA49)+N(BB49)</f>
        <v>24.1200293918835</v>
      </c>
      <c r="BE49" s="17" t="n">
        <f aca="false">BD49+N($M49)*N(BC49)</f>
        <v>30.179868417351</v>
      </c>
      <c r="BF49" s="17" t="n">
        <f aca="false">IF(W49="","",W49*$AV49)</f>
        <v>5.76461766596786</v>
      </c>
      <c r="BG49" s="17" t="n">
        <f aca="false">IF(AD49="","",AD49*$AX49)</f>
        <v>6.42036893196488</v>
      </c>
      <c r="BH49" s="17" t="n">
        <f aca="false">IF(AK49="","",AK49*$AZ49)</f>
        <v>5.78650122764583</v>
      </c>
      <c r="BI49" s="17" t="n">
        <f aca="false">IF(BF49="","",N(BF49)+N(BG49))</f>
        <v>12.1849865979327</v>
      </c>
      <c r="BJ49" s="17" t="n">
        <f aca="false">IF(BI49="","",BI49+N($M49)*N(BH49))</f>
        <v>15.0562485070906</v>
      </c>
      <c r="BK49" s="13" t="n">
        <f aca="false">IFERROR(BD49/AL49,1)</f>
        <v>0.98967525363805</v>
      </c>
    </row>
    <row r="50" customFormat="false" ht="15" hidden="false" customHeight="false" outlineLevel="0" collapsed="false">
      <c r="A50" s="0" t="s">
        <v>1237</v>
      </c>
      <c r="B50" s="0" t="s">
        <v>988</v>
      </c>
      <c r="C50" s="0" t="s">
        <v>1060</v>
      </c>
      <c r="D50" s="0" t="s">
        <v>1064</v>
      </c>
      <c r="E50" s="0" t="s">
        <v>1235</v>
      </c>
      <c r="F50" s="0" t="s">
        <v>1503</v>
      </c>
      <c r="G50" s="0" t="str">
        <f aca="false">IFERROR(IF(INDEX(Matches!$W$5:$W$19,MATCH($C50,Matches!$A$5:$A$19,0))="","",INDEX(Matches!$W$5:$W$19,MATCH($C50,Matches!$A$5:$A$19,0))),"")</f>
        <v>Mirage</v>
      </c>
      <c r="H50" s="0" t="str">
        <f aca="false">IFERROR(IF(INDEX(Matches!$X$5:$X$19,MATCH($C50,Matches!$A$5:$A$19,0))="","",INDEX(Matches!$X$5:$X$19,MATCH($C50,Matches!$A$5:$A$19,0))),"")</f>
        <v>Inferno</v>
      </c>
      <c r="I50" s="0" t="str">
        <f aca="false">IFERROR(IF(INDEX(Matches!$Y$5:$Y$19,MATCH($C50,Matches!$A$5:$A$19,0))="","",INDEX(Matches!$Y$5:$Y$19,MATCH($C50,Matches!$A$5:$A$19,0))),"")</f>
        <v>Nuke</v>
      </c>
      <c r="J50" s="11" t="n">
        <f aca="false">IFERROR(IF(INDEX(Matches!$Z$5:$Z$19,MATCH($C50,Matches!$A$5:$A$19,0))="","",INDEX(Matches!$Z$5:$Z$19,MATCH($C50,Matches!$A$5:$A$19,0))),"")</f>
        <v>21.5</v>
      </c>
      <c r="K50" s="11" t="n">
        <f aca="false">IFERROR(IF(INDEX(Matches!$AA$5:$AA$19,MATCH($C50,Matches!$A$5:$A$19,0))="","",INDEX(Matches!$AA$5:$AA$19,MATCH($C50,Matches!$A$5:$A$19,0))),"")</f>
        <v>21.42</v>
      </c>
      <c r="L50" s="11" t="n">
        <f aca="false">IFERROR(IF(INDEX(Matches!$AB$5:$AB$19,MATCH($C50,Matches!$A$5:$A$19,0))="","",INDEX(Matches!$AB$5:$AB$19,MATCH($C50,Matches!$A$5:$A$19,0))),"")</f>
        <v>21.5</v>
      </c>
      <c r="M50" s="10" t="n">
        <f aca="false">IFERROR(IF(INDEX(Matches!$AC$5:$AC$19,MATCH($C50,Matches!$A$5:$A$19,0))="","",INDEX(Matches!$AC$5:$AC$19,MATCH($C50,Matches!$A$5:$A$19,0))),"")</f>
        <v>0.4962</v>
      </c>
      <c r="N50" s="9" t="n">
        <f aca="false">IFERROR(INDEX(Players!$F$2:$F$124,MATCH($F50,Players!$A$2:$A$124,0)),0)</f>
        <v>37</v>
      </c>
      <c r="O50" s="13" t="n">
        <f aca="false">IFERROR(1/(1/INDEX(Players!$H$2:$H$124,MATCH($F50,Players!$A$2:$A$124,0))),"")</f>
        <v>0.73</v>
      </c>
      <c r="P50" s="10" t="n">
        <f aca="false">IFERROR(1/(1/INDEX(Players!$I$2:$I$124,MATCH($F50,Players!$A$2:$A$124,0))),"")</f>
        <v>0.504</v>
      </c>
      <c r="Q50" s="9" t="n">
        <f aca="false">IF($G50="",0,SUMIFS(Map_Stats!$F$2:$F$779,Map_Stats!$A$2:$A$779,$F50&amp;"|"&amp;$G50))</f>
        <v>10</v>
      </c>
      <c r="R50" s="13" t="n">
        <f aca="false">IF($G50="","",IFERROR(1/(1/INDEX(Map_Stats!$K$2:$K$779,MATCH($F50&amp;"|"&amp;$G50,Map_Stats!$A$2:$A$779,0))),$O50))</f>
        <v>0.78</v>
      </c>
      <c r="S50" s="10" t="n">
        <f aca="false">IF(OR($G50="",$P50=""),"",IFERROR(1/(1/INDEX(Map_Stats!$I$2:$I$779,MATCH($F50&amp;"|"&amp;$G50,Map_Stats!$A$2:$A$779,0))),$P50))</f>
        <v>0.489</v>
      </c>
      <c r="T50" s="13" t="n">
        <f aca="false">IF(OR($G50="",R50=""),"",IF($O50="",R50,(Q50*R50+Config!$B$4*$O50)/(Q50+Config!$B$4)))</f>
        <v>0.763333333333333</v>
      </c>
      <c r="U50" s="10" t="n">
        <f aca="false">IF(S50="","",(Q50*S50+Config!$B$4*$P50)/(Q50+Config!$B$4))</f>
        <v>0.494</v>
      </c>
      <c r="V50" s="17" t="n">
        <f aca="false">IF(OR(T50="",$J50=""),"",T50*$J50*($J50/Config!$B$10)^Config!$B$9)</f>
        <v>16.4116666666667</v>
      </c>
      <c r="W50" s="17" t="n">
        <f aca="false">IF(OR(V50="",U50=""),"",V50*U50)</f>
        <v>8.10736333333333</v>
      </c>
      <c r="X50" s="9" t="n">
        <f aca="false">IF($H50="",0,SUMIFS(Map_Stats!$F$2:$F$779,Map_Stats!$A$2:$A$779,$F50&amp;"|"&amp;$H50))</f>
        <v>6</v>
      </c>
      <c r="Y50" s="13" t="n">
        <f aca="false">IF($H50="","",IFERROR(1/(1/INDEX(Map_Stats!$K$2:$K$779,MATCH($F50&amp;"|"&amp;$H50,Map_Stats!$A$2:$A$779,0))),$O50))</f>
        <v>0.7</v>
      </c>
      <c r="Z50" s="10" t="n">
        <f aca="false">IF(OR($H50="",$P50=""),"",IFERROR(1/(1/INDEX(Map_Stats!$I$2:$I$779,MATCH($F50&amp;"|"&amp;$H50,Map_Stats!$A$2:$A$779,0))),$P50))</f>
        <v>0.512</v>
      </c>
      <c r="AA50" s="13" t="n">
        <f aca="false">IF(OR($H50="",Y50=""),"",IF($O50="",Y50,(X50*Y50+Config!$B$4*$O50)/(X50+Config!$B$4)))</f>
        <v>0.713636363636364</v>
      </c>
      <c r="AB50" s="10" t="n">
        <f aca="false">IF(Z50="","",(X50*Z50+Config!$B$4*$P50)/(X50+Config!$B$4))</f>
        <v>0.508363636363637</v>
      </c>
      <c r="AC50" s="17" t="n">
        <f aca="false">IF(OR(AA50="",$K50=""),"",AA50*$K50*($K50/Config!$B$10)^Config!$B$9)</f>
        <v>15.2860909090909</v>
      </c>
      <c r="AD50" s="17" t="n">
        <f aca="false">IF(OR(AC50="",AB50=""),"",AC50*AB50)</f>
        <v>7.77089276033058</v>
      </c>
      <c r="AE50" s="9" t="n">
        <f aca="false">IF($I50="",0,SUMIFS(Map_Stats!$F$2:$F$779,Map_Stats!$A$2:$A$779,$F50&amp;"|"&amp;$I50))</f>
        <v>6</v>
      </c>
      <c r="AF50" s="13" t="n">
        <f aca="false">IF($I50="","",IFERROR(1/(1/INDEX(Map_Stats!$K$2:$K$779,MATCH($F50&amp;"|"&amp;$I50,Map_Stats!$A$2:$A$779,0))),$O50))</f>
        <v>0.7</v>
      </c>
      <c r="AG50" s="10" t="n">
        <f aca="false">IF(OR($I50="",$P50=""),"",IFERROR(1/(1/INDEX(Map_Stats!$I$2:$I$779,MATCH($F50&amp;"|"&amp;$I50,Map_Stats!$A$2:$A$779,0))),$P50))</f>
        <v>0.522</v>
      </c>
      <c r="AH50" s="13" t="n">
        <f aca="false">IF(OR($I50="",AF50=""),"",IF($O50="",AF50,(AE50*AF50+Config!$B$4*$O50)/(AE50+Config!$B$4)))</f>
        <v>0.713636363636364</v>
      </c>
      <c r="AI50" s="10" t="n">
        <f aca="false">IF(AG50="","",(AE50*AG50+Config!$B$4*$P50)/(AE50+Config!$B$4))</f>
        <v>0.513818181818182</v>
      </c>
      <c r="AJ50" s="17" t="n">
        <f aca="false">IF(OR(AH50="",$L50=""),"",AH50*$L50*($L50/Config!$B$10)^Config!$B$9)</f>
        <v>15.3431818181818</v>
      </c>
      <c r="AK50" s="17" t="n">
        <f aca="false">IF(OR(AJ50="",AI50=""),"",AJ50*AI50)</f>
        <v>7.88360578512397</v>
      </c>
      <c r="AL50" s="17" t="n">
        <f aca="false">N(V50)+N(AC50)</f>
        <v>31.6977575757576</v>
      </c>
      <c r="AM50" s="17" t="n">
        <f aca="false">AL50+N($M50)*N(AJ50)</f>
        <v>39.3110443939394</v>
      </c>
      <c r="AN50" s="17" t="n">
        <f aca="false">IF(W50="","",N(W50)+N(AD50))</f>
        <v>15.8782560936639</v>
      </c>
      <c r="AO50" s="17" t="n">
        <f aca="false">IF(AN50="","",AN50+N($M50)*N(AK50))</f>
        <v>19.7901012842424</v>
      </c>
      <c r="AP50" s="10" t="n">
        <f aca="false">IFERROR(AN50/AL50,"")</f>
        <v>0.500926794449573</v>
      </c>
      <c r="AQ50" s="0" t="str">
        <f aca="false">TRIM(IF($N50&lt;Config!$B$12,"thin sample ("&amp;$N50&amp;" maps) · ","")&amp;IF(AND($G50&lt;&gt;"",Q50=0),"M1 unplayed→overall KPR · ","")&amp;IF(AND($H50&lt;&gt;"",X50=0),"M2 unplayed→overall KPR · ","")&amp;IF($O50="","no PickFinder stats",""))</f>
        <v/>
      </c>
      <c r="AR50" s="0" t="str">
        <f aca="false">IF($C50=Board!$B$2,COUNTIFS($C$2:$C$124,Board!$B$2,$AL$2:$AL$124,"&gt;"&amp;$AL50)+COUNTIFS($C$1:$C49,Board!$B$2,$AL$1:$AL49,$AL50)+1,"")</f>
        <v/>
      </c>
      <c r="AS50" s="0" t="str">
        <f aca="false">IFERROR(IF($D50=INDEX(Matches!$AD$5:$AD$19,MATCH($C50,Matches!$A$5:$A$19,0)),"A",IF($D50=INDEX(Matches!$AE$5:$AE$19,MATCH($C50,Matches!$A$5:$A$19,0)),"B","")),"")</f>
        <v>A</v>
      </c>
      <c r="AT50" s="10" t="n">
        <f aca="false">IF($AS50="","",IFERROR(IF($AS50="A",INDEX(Matches!$AI$5:$AI$19,MATCH($C50,Matches!$A$5:$A$19,0)),INDEX(Matches!$AJ$5:$AJ$19,MATCH($C50,Matches!$A$5:$A$19,0))),""))</f>
        <v>0.53076856540748</v>
      </c>
      <c r="AU50" s="10" t="n">
        <f aca="false">IF($AS50="","",IFERROR(IF(INDEX(Matches!$AP$5:$AP$19,MATCH($C50,Matches!$A$5:$A$19,0))="","",IF($AS50="A",INDEX(Matches!$AP$5:$AP$19,MATCH($C50,Matches!$A$5:$A$19,0)),1-INDEX(Matches!$AP$5:$AP$19,MATCH($C50,Matches!$A$5:$A$19,0)))),""))</f>
        <v>0.531863517383607</v>
      </c>
      <c r="AV50" s="13" t="n">
        <f aca="false">IF(OR($AU50="",$AT50=""),1,((Config!$B$14*$AU50+Config!$B$15*(1-$AU50))/(Config!$B$14*$AT50+Config!$B$15*(1-$AT50)))^Config!$B$13)</f>
        <v>1.00095228436591</v>
      </c>
      <c r="AW50" s="10" t="n">
        <f aca="false">IF($AS50="","",IFERROR(IF(INDEX(Matches!$AV$5:$AV$19,MATCH($C50,Matches!$A$5:$A$19,0))="","",IF($AS50="A",INDEX(Matches!$AV$5:$AV$19,MATCH($C50,Matches!$A$5:$A$19,0)),1-INDEX(Matches!$AV$5:$AV$19,MATCH($C50,Matches!$A$5:$A$19,0)))),""))</f>
        <v>0.506819354739319</v>
      </c>
      <c r="AX50" s="13" t="n">
        <f aca="false">IF(OR($AW50="",$AT50=""),1,((Config!$B$14*$AW50+Config!$B$15*(1-$AW50))/(Config!$B$14*$AT50+Config!$B$15*(1-$AT50)))^Config!$B$13)</f>
        <v>0.979171270163057</v>
      </c>
      <c r="AY50" s="10" t="n">
        <f aca="false">IF($AS50="","",IFERROR(IF(INDEX(Matches!$BB$5:$BB$19,MATCH($C50,Matches!$A$5:$A$19,0))="","",IF($AS50="A",INDEX(Matches!$BB$5:$BB$19,MATCH($C50,Matches!$A$5:$A$19,0)),1-INDEX(Matches!$BB$5:$BB$19,MATCH($C50,Matches!$A$5:$A$19,0)))),""))</f>
        <v>0.532289166242504</v>
      </c>
      <c r="AZ50" s="13" t="n">
        <f aca="false">IF(OR($AY50="",$AT50=""),1,((Config!$B$14*$AY50+Config!$B$15*(1-$AY50))/(Config!$B$14*$AT50+Config!$B$15*(1-$AT50)))^Config!$B$13)</f>
        <v>1.00132247297923</v>
      </c>
      <c r="BA50" s="17" t="n">
        <f aca="false">IF(V50="","",V50*$AV50)</f>
        <v>16.4272952402519</v>
      </c>
      <c r="BB50" s="17" t="n">
        <f aca="false">IF(AC50="","",AC50*$AX50)</f>
        <v>14.9677010512825</v>
      </c>
      <c r="BC50" s="17" t="n">
        <f aca="false">IF(AJ50="","",AJ50*$AZ50)</f>
        <v>15.3634727615518</v>
      </c>
      <c r="BD50" s="17" t="n">
        <f aca="false">N(BA50)+N(BB50)</f>
        <v>31.3949962915344</v>
      </c>
      <c r="BE50" s="17" t="n">
        <f aca="false">BD50+N($M50)*N(BC50)</f>
        <v>39.0183514758164</v>
      </c>
      <c r="BF50" s="17" t="n">
        <f aca="false">IF(W50="","",W50*$AV50)</f>
        <v>8.11508384868442</v>
      </c>
      <c r="BG50" s="17" t="n">
        <f aca="false">IF(AD50="","",AD50*$AX50)</f>
        <v>7.6090349344338</v>
      </c>
      <c r="BH50" s="17" t="n">
        <f aca="false">IF(AK50="","",AK50*$AZ50)</f>
        <v>7.89403164075371</v>
      </c>
      <c r="BI50" s="17" t="n">
        <f aca="false">IF(BF50="","",N(BF50)+N(BG50))</f>
        <v>15.7241187831182</v>
      </c>
      <c r="BJ50" s="17" t="n">
        <f aca="false">IF(BI50="","",BI50+N($M50)*N(BH50))</f>
        <v>19.6411372832602</v>
      </c>
      <c r="BK50" s="13" t="n">
        <f aca="false">IFERROR(BD50/AL50,1)</f>
        <v>0.990448495181414</v>
      </c>
    </row>
    <row r="51" customFormat="false" ht="15" hidden="false" customHeight="false" outlineLevel="0" collapsed="false">
      <c r="A51" s="0" t="s">
        <v>1240</v>
      </c>
      <c r="B51" s="0" t="s">
        <v>988</v>
      </c>
      <c r="C51" s="0" t="s">
        <v>1060</v>
      </c>
      <c r="D51" s="0" t="s">
        <v>1064</v>
      </c>
      <c r="E51" s="0" t="s">
        <v>1238</v>
      </c>
      <c r="F51" s="0" t="s">
        <v>1504</v>
      </c>
      <c r="G51" s="0" t="str">
        <f aca="false">IFERROR(IF(INDEX(Matches!$W$5:$W$19,MATCH($C51,Matches!$A$5:$A$19,0))="","",INDEX(Matches!$W$5:$W$19,MATCH($C51,Matches!$A$5:$A$19,0))),"")</f>
        <v>Mirage</v>
      </c>
      <c r="H51" s="0" t="str">
        <f aca="false">IFERROR(IF(INDEX(Matches!$X$5:$X$19,MATCH($C51,Matches!$A$5:$A$19,0))="","",INDEX(Matches!$X$5:$X$19,MATCH($C51,Matches!$A$5:$A$19,0))),"")</f>
        <v>Inferno</v>
      </c>
      <c r="I51" s="0" t="str">
        <f aca="false">IFERROR(IF(INDEX(Matches!$Y$5:$Y$19,MATCH($C51,Matches!$A$5:$A$19,0))="","",INDEX(Matches!$Y$5:$Y$19,MATCH($C51,Matches!$A$5:$A$19,0))),"")</f>
        <v>Nuke</v>
      </c>
      <c r="J51" s="11" t="n">
        <f aca="false">IFERROR(IF(INDEX(Matches!$Z$5:$Z$19,MATCH($C51,Matches!$A$5:$A$19,0))="","",INDEX(Matches!$Z$5:$Z$19,MATCH($C51,Matches!$A$5:$A$19,0))),"")</f>
        <v>21.5</v>
      </c>
      <c r="K51" s="11" t="n">
        <f aca="false">IFERROR(IF(INDEX(Matches!$AA$5:$AA$19,MATCH($C51,Matches!$A$5:$A$19,0))="","",INDEX(Matches!$AA$5:$AA$19,MATCH($C51,Matches!$A$5:$A$19,0))),"")</f>
        <v>21.42</v>
      </c>
      <c r="L51" s="11" t="n">
        <f aca="false">IFERROR(IF(INDEX(Matches!$AB$5:$AB$19,MATCH($C51,Matches!$A$5:$A$19,0))="","",INDEX(Matches!$AB$5:$AB$19,MATCH($C51,Matches!$A$5:$A$19,0))),"")</f>
        <v>21.5</v>
      </c>
      <c r="M51" s="10" t="n">
        <f aca="false">IFERROR(IF(INDEX(Matches!$AC$5:$AC$19,MATCH($C51,Matches!$A$5:$A$19,0))="","",INDEX(Matches!$AC$5:$AC$19,MATCH($C51,Matches!$A$5:$A$19,0))),"")</f>
        <v>0.4962</v>
      </c>
      <c r="N51" s="9" t="n">
        <f aca="false">IFERROR(INDEX(Players!$F$2:$F$124,MATCH($F51,Players!$A$2:$A$124,0)),0)</f>
        <v>37</v>
      </c>
      <c r="O51" s="13" t="n">
        <f aca="false">IFERROR(1/(1/INDEX(Players!$H$2:$H$124,MATCH($F51,Players!$A$2:$A$124,0))),"")</f>
        <v>0.73</v>
      </c>
      <c r="P51" s="10" t="n">
        <f aca="false">IFERROR(1/(1/INDEX(Players!$I$2:$I$124,MATCH($F51,Players!$A$2:$A$124,0))),"")</f>
        <v>0.375</v>
      </c>
      <c r="Q51" s="9" t="n">
        <f aca="false">IF($G51="",0,SUMIFS(Map_Stats!$F$2:$F$779,Map_Stats!$A$2:$A$779,$F51&amp;"|"&amp;$G51))</f>
        <v>10</v>
      </c>
      <c r="R51" s="13" t="n">
        <f aca="false">IF($G51="","",IFERROR(1/(1/INDEX(Map_Stats!$K$2:$K$779,MATCH($F51&amp;"|"&amp;$G51,Map_Stats!$A$2:$A$779,0))),$O51))</f>
        <v>0.76</v>
      </c>
      <c r="S51" s="10" t="n">
        <f aca="false">IF(OR($G51="",$P51=""),"",IFERROR(1/(1/INDEX(Map_Stats!$I$2:$I$779,MATCH($F51&amp;"|"&amp;$G51,Map_Stats!$A$2:$A$779,0))),$P51))</f>
        <v>0.345</v>
      </c>
      <c r="T51" s="13" t="n">
        <f aca="false">IF(OR($G51="",R51=""),"",IF($O51="",R51,(Q51*R51+Config!$B$4*$O51)/(Q51+Config!$B$4)))</f>
        <v>0.75</v>
      </c>
      <c r="U51" s="10" t="n">
        <f aca="false">IF(S51="","",(Q51*S51+Config!$B$4*$P51)/(Q51+Config!$B$4))</f>
        <v>0.355</v>
      </c>
      <c r="V51" s="17" t="n">
        <f aca="false">IF(OR(T51="",$J51=""),"",T51*$J51*($J51/Config!$B$10)^Config!$B$9)</f>
        <v>16.125</v>
      </c>
      <c r="W51" s="17" t="n">
        <f aca="false">IF(OR(V51="",U51=""),"",V51*U51)</f>
        <v>5.724375</v>
      </c>
      <c r="X51" s="9" t="n">
        <f aca="false">IF($H51="",0,SUMIFS(Map_Stats!$F$2:$F$779,Map_Stats!$A$2:$A$779,$F51&amp;"|"&amp;$H51))</f>
        <v>6</v>
      </c>
      <c r="Y51" s="13" t="n">
        <f aca="false">IF($H51="","",IFERROR(1/(1/INDEX(Map_Stats!$K$2:$K$779,MATCH($F51&amp;"|"&amp;$H51,Map_Stats!$A$2:$A$779,0))),$O51))</f>
        <v>0.75</v>
      </c>
      <c r="Z51" s="10" t="n">
        <f aca="false">IF(OR($H51="",$P51=""),"",IFERROR(1/(1/INDEX(Map_Stats!$I$2:$I$779,MATCH($F51&amp;"|"&amp;$H51,Map_Stats!$A$2:$A$779,0))),$P51))</f>
        <v>0.413</v>
      </c>
      <c r="AA51" s="13" t="n">
        <f aca="false">IF(OR($H51="",Y51=""),"",IF($O51="",Y51,(X51*Y51+Config!$B$4*$O51)/(X51+Config!$B$4)))</f>
        <v>0.740909090909091</v>
      </c>
      <c r="AB51" s="10" t="n">
        <f aca="false">IF(Z51="","",(X51*Z51+Config!$B$4*$P51)/(X51+Config!$B$4))</f>
        <v>0.395727272727273</v>
      </c>
      <c r="AC51" s="17" t="n">
        <f aca="false">IF(OR(AA51="",$K51=""),"",AA51*$K51*($K51/Config!$B$10)^Config!$B$9)</f>
        <v>15.8702727272727</v>
      </c>
      <c r="AD51" s="17" t="n">
        <f aca="false">IF(OR(AC51="",AB51=""),"",AC51*AB51)</f>
        <v>6.28029974380165</v>
      </c>
      <c r="AE51" s="9" t="n">
        <f aca="false">IF($I51="",0,SUMIFS(Map_Stats!$F$2:$F$779,Map_Stats!$A$2:$A$779,$F51&amp;"|"&amp;$I51))</f>
        <v>6</v>
      </c>
      <c r="AF51" s="13" t="n">
        <f aca="false">IF($I51="","",IFERROR(1/(1/INDEX(Map_Stats!$K$2:$K$779,MATCH($F51&amp;"|"&amp;$I51,Map_Stats!$A$2:$A$779,0))),$O51))</f>
        <v>0.71</v>
      </c>
      <c r="AG51" s="10" t="n">
        <f aca="false">IF(OR($I51="",$P51=""),"",IFERROR(1/(1/INDEX(Map_Stats!$I$2:$I$779,MATCH($F51&amp;"|"&amp;$I51,Map_Stats!$A$2:$A$779,0))),$P51))</f>
        <v>0.409</v>
      </c>
      <c r="AH51" s="13" t="n">
        <f aca="false">IF(OR($I51="",AF51=""),"",IF($O51="",AF51,(AE51*AF51+Config!$B$4*$O51)/(AE51+Config!$B$4)))</f>
        <v>0.719090909090909</v>
      </c>
      <c r="AI51" s="10" t="n">
        <f aca="false">IF(AG51="","",(AE51*AG51+Config!$B$4*$P51)/(AE51+Config!$B$4))</f>
        <v>0.393545454545455</v>
      </c>
      <c r="AJ51" s="17" t="n">
        <f aca="false">IF(OR(AH51="",$L51=""),"",AH51*$L51*($L51/Config!$B$10)^Config!$B$9)</f>
        <v>15.4604545454545</v>
      </c>
      <c r="AK51" s="17" t="n">
        <f aca="false">IF(OR(AJ51="",AI51=""),"",AJ51*AI51)</f>
        <v>6.08439161157025</v>
      </c>
      <c r="AL51" s="17" t="n">
        <f aca="false">N(V51)+N(AC51)</f>
        <v>31.9952727272727</v>
      </c>
      <c r="AM51" s="17" t="n">
        <f aca="false">AL51+N($M51)*N(AJ51)</f>
        <v>39.6667502727273</v>
      </c>
      <c r="AN51" s="17" t="n">
        <f aca="false">IF(W51="","",N(W51)+N(AD51))</f>
        <v>12.0046747438017</v>
      </c>
      <c r="AO51" s="17" t="n">
        <f aca="false">IF(AN51="","",AN51+N($M51)*N(AK51))</f>
        <v>15.0237498614628</v>
      </c>
      <c r="AP51" s="10" t="n">
        <f aca="false">IFERROR(AN51/AL51,"")</f>
        <v>0.375201513240076</v>
      </c>
      <c r="AQ51" s="0" t="str">
        <f aca="false">TRIM(IF($N51&lt;Config!$B$12,"thin sample ("&amp;$N51&amp;" maps) · ","")&amp;IF(AND($G51&lt;&gt;"",Q51=0),"M1 unplayed→overall KPR · ","")&amp;IF(AND($H51&lt;&gt;"",X51=0),"M2 unplayed→overall KPR · ","")&amp;IF($O51="","no PickFinder stats",""))</f>
        <v/>
      </c>
      <c r="AR51" s="0" t="str">
        <f aca="false">IF($C51=Board!$B$2,COUNTIFS($C$2:$C$124,Board!$B$2,$AL$2:$AL$124,"&gt;"&amp;$AL51)+COUNTIFS($C$1:$C50,Board!$B$2,$AL$1:$AL50,$AL51)+1,"")</f>
        <v/>
      </c>
      <c r="AS51" s="0" t="str">
        <f aca="false">IFERROR(IF($D51=INDEX(Matches!$AD$5:$AD$19,MATCH($C51,Matches!$A$5:$A$19,0)),"A",IF($D51=INDEX(Matches!$AE$5:$AE$19,MATCH($C51,Matches!$A$5:$A$19,0)),"B","")),"")</f>
        <v>A</v>
      </c>
      <c r="AT51" s="10" t="n">
        <f aca="false">IF($AS51="","",IFERROR(IF($AS51="A",INDEX(Matches!$AI$5:$AI$19,MATCH($C51,Matches!$A$5:$A$19,0)),INDEX(Matches!$AJ$5:$AJ$19,MATCH($C51,Matches!$A$5:$A$19,0))),""))</f>
        <v>0.53076856540748</v>
      </c>
      <c r="AU51" s="10" t="n">
        <f aca="false">IF($AS51="","",IFERROR(IF(INDEX(Matches!$AP$5:$AP$19,MATCH($C51,Matches!$A$5:$A$19,0))="","",IF($AS51="A",INDEX(Matches!$AP$5:$AP$19,MATCH($C51,Matches!$A$5:$A$19,0)),1-INDEX(Matches!$AP$5:$AP$19,MATCH($C51,Matches!$A$5:$A$19,0)))),""))</f>
        <v>0.531863517383607</v>
      </c>
      <c r="AV51" s="13" t="n">
        <f aca="false">IF(OR($AU51="",$AT51=""),1,((Config!$B$14*$AU51+Config!$B$15*(1-$AU51))/(Config!$B$14*$AT51+Config!$B$15*(1-$AT51)))^Config!$B$13)</f>
        <v>1.00095228436591</v>
      </c>
      <c r="AW51" s="10" t="n">
        <f aca="false">IF($AS51="","",IFERROR(IF(INDEX(Matches!$AV$5:$AV$19,MATCH($C51,Matches!$A$5:$A$19,0))="","",IF($AS51="A",INDEX(Matches!$AV$5:$AV$19,MATCH($C51,Matches!$A$5:$A$19,0)),1-INDEX(Matches!$AV$5:$AV$19,MATCH($C51,Matches!$A$5:$A$19,0)))),""))</f>
        <v>0.506819354739319</v>
      </c>
      <c r="AX51" s="13" t="n">
        <f aca="false">IF(OR($AW51="",$AT51=""),1,((Config!$B$14*$AW51+Config!$B$15*(1-$AW51))/(Config!$B$14*$AT51+Config!$B$15*(1-$AT51)))^Config!$B$13)</f>
        <v>0.979171270163057</v>
      </c>
      <c r="AY51" s="10" t="n">
        <f aca="false">IF($AS51="","",IFERROR(IF(INDEX(Matches!$BB$5:$BB$19,MATCH($C51,Matches!$A$5:$A$19,0))="","",IF($AS51="A",INDEX(Matches!$BB$5:$BB$19,MATCH($C51,Matches!$A$5:$A$19,0)),1-INDEX(Matches!$BB$5:$BB$19,MATCH($C51,Matches!$A$5:$A$19,0)))),""))</f>
        <v>0.532289166242504</v>
      </c>
      <c r="AZ51" s="13" t="n">
        <f aca="false">IF(OR($AY51="",$AT51=""),1,((Config!$B$14*$AY51+Config!$B$15*(1-$AY51))/(Config!$B$14*$AT51+Config!$B$15*(1-$AT51)))^Config!$B$13)</f>
        <v>1.00132247297923</v>
      </c>
      <c r="BA51" s="17" t="n">
        <f aca="false">IF(V51="","",V51*$AV51)</f>
        <v>16.1403555854003</v>
      </c>
      <c r="BB51" s="17" t="n">
        <f aca="false">IF(AC51="","",AC51*$AX51)</f>
        <v>15.5397151041978</v>
      </c>
      <c r="BC51" s="17" t="n">
        <f aca="false">IF(AJ51="","",AJ51*$AZ51)</f>
        <v>15.4809005788375</v>
      </c>
      <c r="BD51" s="17" t="n">
        <f aca="false">N(BA51)+N(BB51)</f>
        <v>31.6800706895981</v>
      </c>
      <c r="BE51" s="17" t="n">
        <f aca="false">BD51+N($M51)*N(BC51)</f>
        <v>39.3616935568172</v>
      </c>
      <c r="BF51" s="17" t="n">
        <f aca="false">IF(W51="","",W51*$AV51)</f>
        <v>5.7298262328171</v>
      </c>
      <c r="BG51" s="17" t="n">
        <f aca="false">IF(AD51="","",AD51*$AX51)</f>
        <v>6.14948907714298</v>
      </c>
      <c r="BH51" s="17" t="n">
        <f aca="false">IF(AK51="","",AK51*$AZ51)</f>
        <v>6.09243805507161</v>
      </c>
      <c r="BI51" s="17" t="n">
        <f aca="false">IF(BF51="","",N(BF51)+N(BG51))</f>
        <v>11.8793153099601</v>
      </c>
      <c r="BJ51" s="17" t="n">
        <f aca="false">IF(BI51="","",BI51+N($M51)*N(BH51))</f>
        <v>14.9023830728866</v>
      </c>
      <c r="BK51" s="13" t="n">
        <f aca="false">IFERROR(BD51/AL51,1)</f>
        <v>0.99014848098463</v>
      </c>
    </row>
    <row r="52" customFormat="false" ht="15" hidden="false" customHeight="false" outlineLevel="0" collapsed="false">
      <c r="A52" s="0" t="s">
        <v>1243</v>
      </c>
      <c r="B52" s="0" t="s">
        <v>988</v>
      </c>
      <c r="C52" s="0" t="s">
        <v>1060</v>
      </c>
      <c r="D52" s="0" t="s">
        <v>1064</v>
      </c>
      <c r="E52" s="0" t="s">
        <v>1241</v>
      </c>
      <c r="F52" s="0" t="s">
        <v>1505</v>
      </c>
      <c r="G52" s="0" t="str">
        <f aca="false">IFERROR(IF(INDEX(Matches!$W$5:$W$19,MATCH($C52,Matches!$A$5:$A$19,0))="","",INDEX(Matches!$W$5:$W$19,MATCH($C52,Matches!$A$5:$A$19,0))),"")</f>
        <v>Mirage</v>
      </c>
      <c r="H52" s="0" t="str">
        <f aca="false">IFERROR(IF(INDEX(Matches!$X$5:$X$19,MATCH($C52,Matches!$A$5:$A$19,0))="","",INDEX(Matches!$X$5:$X$19,MATCH($C52,Matches!$A$5:$A$19,0))),"")</f>
        <v>Inferno</v>
      </c>
      <c r="I52" s="0" t="str">
        <f aca="false">IFERROR(IF(INDEX(Matches!$Y$5:$Y$19,MATCH($C52,Matches!$A$5:$A$19,0))="","",INDEX(Matches!$Y$5:$Y$19,MATCH($C52,Matches!$A$5:$A$19,0))),"")</f>
        <v>Nuke</v>
      </c>
      <c r="J52" s="11" t="n">
        <f aca="false">IFERROR(IF(INDEX(Matches!$Z$5:$Z$19,MATCH($C52,Matches!$A$5:$A$19,0))="","",INDEX(Matches!$Z$5:$Z$19,MATCH($C52,Matches!$A$5:$A$19,0))),"")</f>
        <v>21.5</v>
      </c>
      <c r="K52" s="11" t="n">
        <f aca="false">IFERROR(IF(INDEX(Matches!$AA$5:$AA$19,MATCH($C52,Matches!$A$5:$A$19,0))="","",INDEX(Matches!$AA$5:$AA$19,MATCH($C52,Matches!$A$5:$A$19,0))),"")</f>
        <v>21.42</v>
      </c>
      <c r="L52" s="11" t="n">
        <f aca="false">IFERROR(IF(INDEX(Matches!$AB$5:$AB$19,MATCH($C52,Matches!$A$5:$A$19,0))="","",INDEX(Matches!$AB$5:$AB$19,MATCH($C52,Matches!$A$5:$A$19,0))),"")</f>
        <v>21.5</v>
      </c>
      <c r="M52" s="10" t="n">
        <f aca="false">IFERROR(IF(INDEX(Matches!$AC$5:$AC$19,MATCH($C52,Matches!$A$5:$A$19,0))="","",INDEX(Matches!$AC$5:$AC$19,MATCH($C52,Matches!$A$5:$A$19,0))),"")</f>
        <v>0.4962</v>
      </c>
      <c r="N52" s="9" t="n">
        <f aca="false">IFERROR(INDEX(Players!$F$2:$F$124,MATCH($F52,Players!$A$2:$A$124,0)),0)</f>
        <v>37</v>
      </c>
      <c r="O52" s="13" t="n">
        <f aca="false">IFERROR(1/(1/INDEX(Players!$H$2:$H$124,MATCH($F52,Players!$A$2:$A$124,0))),"")</f>
        <v>0.69</v>
      </c>
      <c r="P52" s="10" t="n">
        <f aca="false">IFERROR(1/(1/INDEX(Players!$I$2:$I$124,MATCH($F52,Players!$A$2:$A$124,0))),"")</f>
        <v>0.591</v>
      </c>
      <c r="Q52" s="9" t="n">
        <f aca="false">IF($G52="",0,SUMIFS(Map_Stats!$F$2:$F$779,Map_Stats!$A$2:$A$779,$F52&amp;"|"&amp;$G52))</f>
        <v>10</v>
      </c>
      <c r="R52" s="13" t="n">
        <f aca="false">IF($G52="","",IFERROR(1/(1/INDEX(Map_Stats!$K$2:$K$779,MATCH($F52&amp;"|"&amp;$G52,Map_Stats!$A$2:$A$779,0))),$O52))</f>
        <v>0.64</v>
      </c>
      <c r="S52" s="10" t="n">
        <f aca="false">IF(OR($G52="",$P52=""),"",IFERROR(1/(1/INDEX(Map_Stats!$I$2:$I$779,MATCH($F52&amp;"|"&amp;$G52,Map_Stats!$A$2:$A$779,0))),$P52))</f>
        <v>0.624</v>
      </c>
      <c r="T52" s="13" t="n">
        <f aca="false">IF(OR($G52="",R52=""),"",IF($O52="",R52,(Q52*R52+Config!$B$4*$O52)/(Q52+Config!$B$4)))</f>
        <v>0.656666666666667</v>
      </c>
      <c r="U52" s="10" t="n">
        <f aca="false">IF(S52="","",(Q52*S52+Config!$B$4*$P52)/(Q52+Config!$B$4))</f>
        <v>0.613</v>
      </c>
      <c r="V52" s="17" t="n">
        <f aca="false">IF(OR(T52="",$J52=""),"",T52*$J52*($J52/Config!$B$10)^Config!$B$9)</f>
        <v>14.1183333333333</v>
      </c>
      <c r="W52" s="17" t="n">
        <f aca="false">IF(OR(V52="",U52=""),"",V52*U52)</f>
        <v>8.65453833333333</v>
      </c>
      <c r="X52" s="9" t="n">
        <f aca="false">IF($H52="",0,SUMIFS(Map_Stats!$F$2:$F$779,Map_Stats!$A$2:$A$779,$F52&amp;"|"&amp;$H52))</f>
        <v>6</v>
      </c>
      <c r="Y52" s="13" t="n">
        <f aca="false">IF($H52="","",IFERROR(1/(1/INDEX(Map_Stats!$K$2:$K$779,MATCH($F52&amp;"|"&amp;$H52,Map_Stats!$A$2:$A$779,0))),$O52))</f>
        <v>0.72</v>
      </c>
      <c r="Z52" s="10" t="n">
        <f aca="false">IF(OR($H52="",$P52=""),"",IFERROR(1/(1/INDEX(Map_Stats!$I$2:$I$779,MATCH($F52&amp;"|"&amp;$H52,Map_Stats!$A$2:$A$779,0))),$P52))</f>
        <v>0.483</v>
      </c>
      <c r="AA52" s="13" t="n">
        <f aca="false">IF(OR($H52="",Y52=""),"",IF($O52="",Y52,(X52*Y52+Config!$B$4*$O52)/(X52+Config!$B$4)))</f>
        <v>0.706363636363636</v>
      </c>
      <c r="AB52" s="10" t="n">
        <f aca="false">IF(Z52="","",(X52*Z52+Config!$B$4*$P52)/(X52+Config!$B$4))</f>
        <v>0.532090909090909</v>
      </c>
      <c r="AC52" s="17" t="n">
        <f aca="false">IF(OR(AA52="",$K52=""),"",AA52*$K52*($K52/Config!$B$10)^Config!$B$9)</f>
        <v>15.1303090909091</v>
      </c>
      <c r="AD52" s="17" t="n">
        <f aca="false">IF(OR(AC52="",AB52=""),"",AC52*AB52)</f>
        <v>8.05069991900826</v>
      </c>
      <c r="AE52" s="9" t="n">
        <f aca="false">IF($I52="",0,SUMIFS(Map_Stats!$F$2:$F$779,Map_Stats!$A$2:$A$779,$F52&amp;"|"&amp;$I52))</f>
        <v>6</v>
      </c>
      <c r="AF52" s="13" t="n">
        <f aca="false">IF($I52="","",IFERROR(1/(1/INDEX(Map_Stats!$K$2:$K$779,MATCH($F52&amp;"|"&amp;$I52,Map_Stats!$A$2:$A$779,0))),$O52))</f>
        <v>0.71</v>
      </c>
      <c r="AG52" s="10" t="n">
        <f aca="false">IF(OR($I52="",$P52=""),"",IFERROR(1/(1/INDEX(Map_Stats!$I$2:$I$779,MATCH($F52&amp;"|"&amp;$I52,Map_Stats!$A$2:$A$779,0))),$P52))</f>
        <v>0.602</v>
      </c>
      <c r="AH52" s="13" t="n">
        <f aca="false">IF(OR($I52="",AF52=""),"",IF($O52="",AF52,(AE52*AF52+Config!$B$4*$O52)/(AE52+Config!$B$4)))</f>
        <v>0.700909090909091</v>
      </c>
      <c r="AI52" s="10" t="n">
        <f aca="false">IF(AG52="","",(AE52*AG52+Config!$B$4*$P52)/(AE52+Config!$B$4))</f>
        <v>0.597</v>
      </c>
      <c r="AJ52" s="17" t="n">
        <f aca="false">IF(OR(AH52="",$L52=""),"",AH52*$L52*($L52/Config!$B$10)^Config!$B$9)</f>
        <v>15.0695454545455</v>
      </c>
      <c r="AK52" s="17" t="n">
        <f aca="false">IF(OR(AJ52="",AI52=""),"",AJ52*AI52)</f>
        <v>8.99651863636363</v>
      </c>
      <c r="AL52" s="17" t="n">
        <f aca="false">N(V52)+N(AC52)</f>
        <v>29.2486424242424</v>
      </c>
      <c r="AM52" s="17" t="n">
        <f aca="false">AL52+N($M52)*N(AJ52)</f>
        <v>36.7261508787879</v>
      </c>
      <c r="AN52" s="17" t="n">
        <f aca="false">IF(W52="","",N(W52)+N(AD52))</f>
        <v>16.7052382523416</v>
      </c>
      <c r="AO52" s="17" t="n">
        <f aca="false">IF(AN52="","",AN52+N($M52)*N(AK52))</f>
        <v>21.1693107997052</v>
      </c>
      <c r="AP52" s="10" t="n">
        <f aca="false">IFERROR(AN52/AL52,"")</f>
        <v>0.571145764990981</v>
      </c>
      <c r="AQ52" s="0" t="str">
        <f aca="false">TRIM(IF($N52&lt;Config!$B$12,"thin sample ("&amp;$N52&amp;" maps) · ","")&amp;IF(AND($G52&lt;&gt;"",Q52=0),"M1 unplayed→overall KPR · ","")&amp;IF(AND($H52&lt;&gt;"",X52=0),"M2 unplayed→overall KPR · ","")&amp;IF($O52="","no PickFinder stats",""))</f>
        <v/>
      </c>
      <c r="AR52" s="0" t="str">
        <f aca="false">IF($C52=Board!$B$2,COUNTIFS($C$2:$C$124,Board!$B$2,$AL$2:$AL$124,"&gt;"&amp;$AL52)+COUNTIFS($C$1:$C51,Board!$B$2,$AL$1:$AL51,$AL52)+1,"")</f>
        <v/>
      </c>
      <c r="AS52" s="0" t="str">
        <f aca="false">IFERROR(IF($D52=INDEX(Matches!$AD$5:$AD$19,MATCH($C52,Matches!$A$5:$A$19,0)),"A",IF($D52=INDEX(Matches!$AE$5:$AE$19,MATCH($C52,Matches!$A$5:$A$19,0)),"B","")),"")</f>
        <v>A</v>
      </c>
      <c r="AT52" s="10" t="n">
        <f aca="false">IF($AS52="","",IFERROR(IF($AS52="A",INDEX(Matches!$AI$5:$AI$19,MATCH($C52,Matches!$A$5:$A$19,0)),INDEX(Matches!$AJ$5:$AJ$19,MATCH($C52,Matches!$A$5:$A$19,0))),""))</f>
        <v>0.53076856540748</v>
      </c>
      <c r="AU52" s="10" t="n">
        <f aca="false">IF($AS52="","",IFERROR(IF(INDEX(Matches!$AP$5:$AP$19,MATCH($C52,Matches!$A$5:$A$19,0))="","",IF($AS52="A",INDEX(Matches!$AP$5:$AP$19,MATCH($C52,Matches!$A$5:$A$19,0)),1-INDEX(Matches!$AP$5:$AP$19,MATCH($C52,Matches!$A$5:$A$19,0)))),""))</f>
        <v>0.531863517383607</v>
      </c>
      <c r="AV52" s="13" t="n">
        <f aca="false">IF(OR($AU52="",$AT52=""),1,((Config!$B$14*$AU52+Config!$B$15*(1-$AU52))/(Config!$B$14*$AT52+Config!$B$15*(1-$AT52)))^Config!$B$13)</f>
        <v>1.00095228436591</v>
      </c>
      <c r="AW52" s="10" t="n">
        <f aca="false">IF($AS52="","",IFERROR(IF(INDEX(Matches!$AV$5:$AV$19,MATCH($C52,Matches!$A$5:$A$19,0))="","",IF($AS52="A",INDEX(Matches!$AV$5:$AV$19,MATCH($C52,Matches!$A$5:$A$19,0)),1-INDEX(Matches!$AV$5:$AV$19,MATCH($C52,Matches!$A$5:$A$19,0)))),""))</f>
        <v>0.506819354739319</v>
      </c>
      <c r="AX52" s="13" t="n">
        <f aca="false">IF(OR($AW52="",$AT52=""),1,((Config!$B$14*$AW52+Config!$B$15*(1-$AW52))/(Config!$B$14*$AT52+Config!$B$15*(1-$AT52)))^Config!$B$13)</f>
        <v>0.979171270163057</v>
      </c>
      <c r="AY52" s="10" t="n">
        <f aca="false">IF($AS52="","",IFERROR(IF(INDEX(Matches!$BB$5:$BB$19,MATCH($C52,Matches!$A$5:$A$19,0))="","",IF($AS52="A",INDEX(Matches!$BB$5:$BB$19,MATCH($C52,Matches!$A$5:$A$19,0)),1-INDEX(Matches!$BB$5:$BB$19,MATCH($C52,Matches!$A$5:$A$19,0)))),""))</f>
        <v>0.532289166242504</v>
      </c>
      <c r="AZ52" s="13" t="n">
        <f aca="false">IF(OR($AY52="",$AT52=""),1,((Config!$B$14*$AY52+Config!$B$15*(1-$AY52))/(Config!$B$14*$AT52+Config!$B$15*(1-$AT52)))^Config!$B$13)</f>
        <v>1.00132247297923</v>
      </c>
      <c r="BA52" s="17" t="n">
        <f aca="false">IF(V52="","",V52*$AV52)</f>
        <v>14.1317780014394</v>
      </c>
      <c r="BB52" s="17" t="n">
        <f aca="false">IF(AC52="","",AC52*$AX52)</f>
        <v>14.8151639705051</v>
      </c>
      <c r="BC52" s="17" t="n">
        <f aca="false">IF(AJ52="","",AJ52*$AZ52)</f>
        <v>15.0894745212184</v>
      </c>
      <c r="BD52" s="17" t="n">
        <f aca="false">N(BA52)+N(BB52)</f>
        <v>28.9469419719445</v>
      </c>
      <c r="BE52" s="17" t="n">
        <f aca="false">BD52+N($M52)*N(BC52)</f>
        <v>36.434339229373</v>
      </c>
      <c r="BF52" s="17" t="n">
        <f aca="false">IF(W52="","",W52*$AV52)</f>
        <v>8.66277991488234</v>
      </c>
      <c r="BG52" s="17" t="n">
        <f aca="false">IF(AD52="","",AD52*$AX52)</f>
        <v>7.88301406539694</v>
      </c>
      <c r="BH52" s="17" t="n">
        <f aca="false">IF(AK52="","",AK52*$AZ52)</f>
        <v>9.00841628916738</v>
      </c>
      <c r="BI52" s="17" t="n">
        <f aca="false">IF(BF52="","",N(BF52)+N(BG52))</f>
        <v>16.5457939802793</v>
      </c>
      <c r="BJ52" s="17" t="n">
        <f aca="false">IF(BI52="","",BI52+N($M52)*N(BH52))</f>
        <v>21.0157701429641</v>
      </c>
      <c r="BK52" s="13" t="n">
        <f aca="false">IFERROR(BD52/AL52,1)</f>
        <v>0.989684975872662</v>
      </c>
    </row>
    <row r="53" customFormat="false" ht="15" hidden="false" customHeight="false" outlineLevel="0" collapsed="false">
      <c r="A53" s="0" t="s">
        <v>1245</v>
      </c>
      <c r="B53" s="0" t="s">
        <v>988</v>
      </c>
      <c r="C53" s="0" t="s">
        <v>1060</v>
      </c>
      <c r="D53" s="0" t="s">
        <v>1064</v>
      </c>
      <c r="E53" s="0" t="s">
        <v>1244</v>
      </c>
      <c r="F53" s="0" t="s">
        <v>1506</v>
      </c>
      <c r="G53" s="0" t="str">
        <f aca="false">IFERROR(IF(INDEX(Matches!$W$5:$W$19,MATCH($C53,Matches!$A$5:$A$19,0))="","",INDEX(Matches!$W$5:$W$19,MATCH($C53,Matches!$A$5:$A$19,0))),"")</f>
        <v>Mirage</v>
      </c>
      <c r="H53" s="0" t="str">
        <f aca="false">IFERROR(IF(INDEX(Matches!$X$5:$X$19,MATCH($C53,Matches!$A$5:$A$19,0))="","",INDEX(Matches!$X$5:$X$19,MATCH($C53,Matches!$A$5:$A$19,0))),"")</f>
        <v>Inferno</v>
      </c>
      <c r="I53" s="0" t="str">
        <f aca="false">IFERROR(IF(INDEX(Matches!$Y$5:$Y$19,MATCH($C53,Matches!$A$5:$A$19,0))="","",INDEX(Matches!$Y$5:$Y$19,MATCH($C53,Matches!$A$5:$A$19,0))),"")</f>
        <v>Nuke</v>
      </c>
      <c r="J53" s="11" t="n">
        <f aca="false">IFERROR(IF(INDEX(Matches!$Z$5:$Z$19,MATCH($C53,Matches!$A$5:$A$19,0))="","",INDEX(Matches!$Z$5:$Z$19,MATCH($C53,Matches!$A$5:$A$19,0))),"")</f>
        <v>21.5</v>
      </c>
      <c r="K53" s="11" t="n">
        <f aca="false">IFERROR(IF(INDEX(Matches!$AA$5:$AA$19,MATCH($C53,Matches!$A$5:$A$19,0))="","",INDEX(Matches!$AA$5:$AA$19,MATCH($C53,Matches!$A$5:$A$19,0))),"")</f>
        <v>21.42</v>
      </c>
      <c r="L53" s="11" t="n">
        <f aca="false">IFERROR(IF(INDEX(Matches!$AB$5:$AB$19,MATCH($C53,Matches!$A$5:$A$19,0))="","",INDEX(Matches!$AB$5:$AB$19,MATCH($C53,Matches!$A$5:$A$19,0))),"")</f>
        <v>21.5</v>
      </c>
      <c r="M53" s="10" t="n">
        <f aca="false">IFERROR(IF(INDEX(Matches!$AC$5:$AC$19,MATCH($C53,Matches!$A$5:$A$19,0))="","",INDEX(Matches!$AC$5:$AC$19,MATCH($C53,Matches!$A$5:$A$19,0))),"")</f>
        <v>0.4962</v>
      </c>
      <c r="N53" s="9" t="n">
        <f aca="false">IFERROR(INDEX(Players!$F$2:$F$124,MATCH($F53,Players!$A$2:$A$124,0)),0)</f>
        <v>37</v>
      </c>
      <c r="O53" s="13" t="n">
        <f aca="false">IFERROR(1/(1/INDEX(Players!$H$2:$H$124,MATCH($F53,Players!$A$2:$A$124,0))),"")</f>
        <v>0.58</v>
      </c>
      <c r="P53" s="10" t="n">
        <f aca="false">IFERROR(1/(1/INDEX(Players!$I$2:$I$124,MATCH($F53,Players!$A$2:$A$124,0))),"")</f>
        <v>0.466</v>
      </c>
      <c r="Q53" s="9" t="n">
        <f aca="false">IF($G53="",0,SUMIFS(Map_Stats!$F$2:$F$779,Map_Stats!$A$2:$A$779,$F53&amp;"|"&amp;$G53))</f>
        <v>10</v>
      </c>
      <c r="R53" s="13" t="n">
        <f aca="false">IF($G53="","",IFERROR(1/(1/INDEX(Map_Stats!$K$2:$K$779,MATCH($F53&amp;"|"&amp;$G53,Map_Stats!$A$2:$A$779,0))),$O53))</f>
        <v>0.54</v>
      </c>
      <c r="S53" s="10" t="n">
        <f aca="false">IF(OR($G53="",$P53=""),"",IFERROR(1/(1/INDEX(Map_Stats!$I$2:$I$779,MATCH($F53&amp;"|"&amp;$G53,Map_Stats!$A$2:$A$779,0))),$P53))</f>
        <v>0.467</v>
      </c>
      <c r="T53" s="13" t="n">
        <f aca="false">IF(OR($G53="",R53=""),"",IF($O53="",R53,(Q53*R53+Config!$B$4*$O53)/(Q53+Config!$B$4)))</f>
        <v>0.553333333333333</v>
      </c>
      <c r="U53" s="10" t="n">
        <f aca="false">IF(S53="","",(Q53*S53+Config!$B$4*$P53)/(Q53+Config!$B$4))</f>
        <v>0.466666666666667</v>
      </c>
      <c r="V53" s="17" t="n">
        <f aca="false">IF(OR(T53="",$J53=""),"",T53*$J53*($J53/Config!$B$10)^Config!$B$9)</f>
        <v>11.8966666666667</v>
      </c>
      <c r="W53" s="17" t="n">
        <f aca="false">IF(OR(V53="",U53=""),"",V53*U53)</f>
        <v>5.55177777777778</v>
      </c>
      <c r="X53" s="9" t="n">
        <f aca="false">IF($H53="",0,SUMIFS(Map_Stats!$F$2:$F$779,Map_Stats!$A$2:$A$779,$F53&amp;"|"&amp;$H53))</f>
        <v>6</v>
      </c>
      <c r="Y53" s="13" t="n">
        <f aca="false">IF($H53="","",IFERROR(1/(1/INDEX(Map_Stats!$K$2:$K$779,MATCH($F53&amp;"|"&amp;$H53,Map_Stats!$A$2:$A$779,0))),$O53))</f>
        <v>0.58</v>
      </c>
      <c r="Z53" s="10" t="n">
        <f aca="false">IF(OR($H53="",$P53=""),"",IFERROR(1/(1/INDEX(Map_Stats!$I$2:$I$779,MATCH($F53&amp;"|"&amp;$H53,Map_Stats!$A$2:$A$779,0))),$P53))</f>
        <v>0.479</v>
      </c>
      <c r="AA53" s="13" t="n">
        <f aca="false">IF(OR($H53="",Y53=""),"",IF($O53="",Y53,(X53*Y53+Config!$B$4*$O53)/(X53+Config!$B$4)))</f>
        <v>0.58</v>
      </c>
      <c r="AB53" s="10" t="n">
        <f aca="false">IF(Z53="","",(X53*Z53+Config!$B$4*$P53)/(X53+Config!$B$4))</f>
        <v>0.473090909090909</v>
      </c>
      <c r="AC53" s="17" t="n">
        <f aca="false">IF(OR(AA53="",$K53=""),"",AA53*$K53*($K53/Config!$B$10)^Config!$B$9)</f>
        <v>12.4236</v>
      </c>
      <c r="AD53" s="17" t="n">
        <f aca="false">IF(OR(AC53="",AB53=""),"",AC53*AB53)</f>
        <v>5.87749221818182</v>
      </c>
      <c r="AE53" s="9" t="n">
        <f aca="false">IF($I53="",0,SUMIFS(Map_Stats!$F$2:$F$779,Map_Stats!$A$2:$A$779,$F53&amp;"|"&amp;$I53))</f>
        <v>6</v>
      </c>
      <c r="AF53" s="13" t="n">
        <f aca="false">IF($I53="","",IFERROR(1/(1/INDEX(Map_Stats!$K$2:$K$779,MATCH($F53&amp;"|"&amp;$I53,Map_Stats!$A$2:$A$779,0))),$O53))</f>
        <v>0.6</v>
      </c>
      <c r="AG53" s="10" t="n">
        <f aca="false">IF(OR($I53="",$P53=""),"",IFERROR(1/(1/INDEX(Map_Stats!$I$2:$I$779,MATCH($F53&amp;"|"&amp;$I53,Map_Stats!$A$2:$A$779,0))),$P53))</f>
        <v>0.487</v>
      </c>
      <c r="AH53" s="13" t="n">
        <f aca="false">IF(OR($I53="",AF53=""),"",IF($O53="",AF53,(AE53*AF53+Config!$B$4*$O53)/(AE53+Config!$B$4)))</f>
        <v>0.590909090909091</v>
      </c>
      <c r="AI53" s="10" t="n">
        <f aca="false">IF(AG53="","",(AE53*AG53+Config!$B$4*$P53)/(AE53+Config!$B$4))</f>
        <v>0.477454545454545</v>
      </c>
      <c r="AJ53" s="17" t="n">
        <f aca="false">IF(OR(AH53="",$L53=""),"",AH53*$L53*($L53/Config!$B$10)^Config!$B$9)</f>
        <v>12.7045454545455</v>
      </c>
      <c r="AK53" s="17" t="n">
        <f aca="false">IF(OR(AJ53="",AI53=""),"",AJ53*AI53)</f>
        <v>6.06584297520661</v>
      </c>
      <c r="AL53" s="17" t="n">
        <f aca="false">N(V53)+N(AC53)</f>
        <v>24.3202666666667</v>
      </c>
      <c r="AM53" s="17" t="n">
        <f aca="false">AL53+N($M53)*N(AJ53)</f>
        <v>30.6242621212121</v>
      </c>
      <c r="AN53" s="17" t="n">
        <f aca="false">IF(W53="","",N(W53)+N(AD53))</f>
        <v>11.4292699959596</v>
      </c>
      <c r="AO53" s="17" t="n">
        <f aca="false">IF(AN53="","",AN53+N($M53)*N(AK53))</f>
        <v>14.4391412802571</v>
      </c>
      <c r="AP53" s="10" t="n">
        <f aca="false">IFERROR(AN53/AL53,"")</f>
        <v>0.469948383075279</v>
      </c>
      <c r="AQ53" s="0" t="str">
        <f aca="false">TRIM(IF($N53&lt;Config!$B$12,"thin sample ("&amp;$N53&amp;" maps) · ","")&amp;IF(AND($G53&lt;&gt;"",Q53=0),"M1 unplayed→overall KPR · ","")&amp;IF(AND($H53&lt;&gt;"",X53=0),"M2 unplayed→overall KPR · ","")&amp;IF($O53="","no PickFinder stats",""))</f>
        <v/>
      </c>
      <c r="AR53" s="0" t="str">
        <f aca="false">IF($C53=Board!$B$2,COUNTIFS($C$2:$C$124,Board!$B$2,$AL$2:$AL$124,"&gt;"&amp;$AL53)+COUNTIFS($C$1:$C52,Board!$B$2,$AL$1:$AL52,$AL53)+1,"")</f>
        <v/>
      </c>
      <c r="AS53" s="0" t="str">
        <f aca="false">IFERROR(IF($D53=INDEX(Matches!$AD$5:$AD$19,MATCH($C53,Matches!$A$5:$A$19,0)),"A",IF($D53=INDEX(Matches!$AE$5:$AE$19,MATCH($C53,Matches!$A$5:$A$19,0)),"B","")),"")</f>
        <v>A</v>
      </c>
      <c r="AT53" s="10" t="n">
        <f aca="false">IF($AS53="","",IFERROR(IF($AS53="A",INDEX(Matches!$AI$5:$AI$19,MATCH($C53,Matches!$A$5:$A$19,0)),INDEX(Matches!$AJ$5:$AJ$19,MATCH($C53,Matches!$A$5:$A$19,0))),""))</f>
        <v>0.53076856540748</v>
      </c>
      <c r="AU53" s="10" t="n">
        <f aca="false">IF($AS53="","",IFERROR(IF(INDEX(Matches!$AP$5:$AP$19,MATCH($C53,Matches!$A$5:$A$19,0))="","",IF($AS53="A",INDEX(Matches!$AP$5:$AP$19,MATCH($C53,Matches!$A$5:$A$19,0)),1-INDEX(Matches!$AP$5:$AP$19,MATCH($C53,Matches!$A$5:$A$19,0)))),""))</f>
        <v>0.531863517383607</v>
      </c>
      <c r="AV53" s="13" t="n">
        <f aca="false">IF(OR($AU53="",$AT53=""),1,((Config!$B$14*$AU53+Config!$B$15*(1-$AU53))/(Config!$B$14*$AT53+Config!$B$15*(1-$AT53)))^Config!$B$13)</f>
        <v>1.00095228436591</v>
      </c>
      <c r="AW53" s="10" t="n">
        <f aca="false">IF($AS53="","",IFERROR(IF(INDEX(Matches!$AV$5:$AV$19,MATCH($C53,Matches!$A$5:$A$19,0))="","",IF($AS53="A",INDEX(Matches!$AV$5:$AV$19,MATCH($C53,Matches!$A$5:$A$19,0)),1-INDEX(Matches!$AV$5:$AV$19,MATCH($C53,Matches!$A$5:$A$19,0)))),""))</f>
        <v>0.506819354739319</v>
      </c>
      <c r="AX53" s="13" t="n">
        <f aca="false">IF(OR($AW53="",$AT53=""),1,((Config!$B$14*$AW53+Config!$B$15*(1-$AW53))/(Config!$B$14*$AT53+Config!$B$15*(1-$AT53)))^Config!$B$13)</f>
        <v>0.979171270163057</v>
      </c>
      <c r="AY53" s="10" t="n">
        <f aca="false">IF($AS53="","",IFERROR(IF(INDEX(Matches!$BB$5:$BB$19,MATCH($C53,Matches!$A$5:$A$19,0))="","",IF($AS53="A",INDEX(Matches!$BB$5:$BB$19,MATCH($C53,Matches!$A$5:$A$19,0)),1-INDEX(Matches!$BB$5:$BB$19,MATCH($C53,Matches!$A$5:$A$19,0)))),""))</f>
        <v>0.532289166242504</v>
      </c>
      <c r="AZ53" s="13" t="n">
        <f aca="false">IF(OR($AY53="",$AT53=""),1,((Config!$B$14*$AY53+Config!$B$15*(1-$AY53))/(Config!$B$14*$AT53+Config!$B$15*(1-$AT53)))^Config!$B$13)</f>
        <v>1.00132247297923</v>
      </c>
      <c r="BA53" s="17" t="n">
        <f aca="false">IF(V53="","",V53*$AV53)</f>
        <v>11.9079956763398</v>
      </c>
      <c r="BB53" s="17" t="n">
        <f aca="false">IF(AC53="","",AC53*$AX53)</f>
        <v>12.1648321919978</v>
      </c>
      <c r="BC53" s="17" t="n">
        <f aca="false">IF(AJ53="","",AJ53*$AZ53)</f>
        <v>12.7213468726225</v>
      </c>
      <c r="BD53" s="17" t="n">
        <f aca="false">N(BA53)+N(BB53)</f>
        <v>24.0728278683375</v>
      </c>
      <c r="BE53" s="17" t="n">
        <f aca="false">BD53+N($M53)*N(BC53)</f>
        <v>30.3851601865328</v>
      </c>
      <c r="BF53" s="17" t="n">
        <f aca="false">IF(W53="","",W53*$AV53)</f>
        <v>5.55706464895856</v>
      </c>
      <c r="BG53" s="17" t="n">
        <f aca="false">IF(AD53="","",AD53*$AX53)</f>
        <v>5.75507152065057</v>
      </c>
      <c r="BH53" s="17" t="n">
        <f aca="false">IF(AK53="","",AK53*$AZ53)</f>
        <v>6.07386488863758</v>
      </c>
      <c r="BI53" s="17" t="n">
        <f aca="false">IF(BF53="","",N(BF53)+N(BG53))</f>
        <v>11.3121361696091</v>
      </c>
      <c r="BJ53" s="17" t="n">
        <f aca="false">IF(BI53="","",BI53+N($M53)*N(BH53))</f>
        <v>14.3259879273511</v>
      </c>
      <c r="BK53" s="13" t="n">
        <f aca="false">IFERROR(BD53/AL53,1)</f>
        <v>0.989825818864549</v>
      </c>
    </row>
    <row r="54" customFormat="false" ht="15" hidden="false" customHeight="false" outlineLevel="0" collapsed="false">
      <c r="A54" s="0" t="s">
        <v>1249</v>
      </c>
      <c r="B54" s="0" t="s">
        <v>988</v>
      </c>
      <c r="C54" s="0" t="s">
        <v>1060</v>
      </c>
      <c r="D54" s="0" t="s">
        <v>1065</v>
      </c>
      <c r="E54" s="0" t="s">
        <v>1247</v>
      </c>
      <c r="F54" s="0" t="s">
        <v>1507</v>
      </c>
      <c r="G54" s="0" t="str">
        <f aca="false">IFERROR(IF(INDEX(Matches!$W$5:$W$19,MATCH($C54,Matches!$A$5:$A$19,0))="","",INDEX(Matches!$W$5:$W$19,MATCH($C54,Matches!$A$5:$A$19,0))),"")</f>
        <v>Mirage</v>
      </c>
      <c r="H54" s="0" t="str">
        <f aca="false">IFERROR(IF(INDEX(Matches!$X$5:$X$19,MATCH($C54,Matches!$A$5:$A$19,0))="","",INDEX(Matches!$X$5:$X$19,MATCH($C54,Matches!$A$5:$A$19,0))),"")</f>
        <v>Inferno</v>
      </c>
      <c r="I54" s="0" t="str">
        <f aca="false">IFERROR(IF(INDEX(Matches!$Y$5:$Y$19,MATCH($C54,Matches!$A$5:$A$19,0))="","",INDEX(Matches!$Y$5:$Y$19,MATCH($C54,Matches!$A$5:$A$19,0))),"")</f>
        <v>Nuke</v>
      </c>
      <c r="J54" s="11" t="n">
        <f aca="false">IFERROR(IF(INDEX(Matches!$Z$5:$Z$19,MATCH($C54,Matches!$A$5:$A$19,0))="","",INDEX(Matches!$Z$5:$Z$19,MATCH($C54,Matches!$A$5:$A$19,0))),"")</f>
        <v>21.5</v>
      </c>
      <c r="K54" s="11" t="n">
        <f aca="false">IFERROR(IF(INDEX(Matches!$AA$5:$AA$19,MATCH($C54,Matches!$A$5:$A$19,0))="","",INDEX(Matches!$AA$5:$AA$19,MATCH($C54,Matches!$A$5:$A$19,0))),"")</f>
        <v>21.42</v>
      </c>
      <c r="L54" s="11" t="n">
        <f aca="false">IFERROR(IF(INDEX(Matches!$AB$5:$AB$19,MATCH($C54,Matches!$A$5:$A$19,0))="","",INDEX(Matches!$AB$5:$AB$19,MATCH($C54,Matches!$A$5:$A$19,0))),"")</f>
        <v>21.5</v>
      </c>
      <c r="M54" s="10" t="n">
        <f aca="false">IFERROR(IF(INDEX(Matches!$AC$5:$AC$19,MATCH($C54,Matches!$A$5:$A$19,0))="","",INDEX(Matches!$AC$5:$AC$19,MATCH($C54,Matches!$A$5:$A$19,0))),"")</f>
        <v>0.4962</v>
      </c>
      <c r="N54" s="9" t="n">
        <f aca="false">IFERROR(INDEX(Players!$F$2:$F$124,MATCH($F54,Players!$A$2:$A$124,0)),0)</f>
        <v>36</v>
      </c>
      <c r="O54" s="13" t="n">
        <f aca="false">IFERROR(1/(1/INDEX(Players!$H$2:$H$124,MATCH($F54,Players!$A$2:$A$124,0))),"")</f>
        <v>0.5</v>
      </c>
      <c r="P54" s="10" t="n">
        <f aca="false">IFERROR(1/(1/INDEX(Players!$I$2:$I$124,MATCH($F54,Players!$A$2:$A$124,0))),"")</f>
        <v>0.532</v>
      </c>
      <c r="Q54" s="9" t="n">
        <f aca="false">IF($G54="",0,SUMIFS(Map_Stats!$F$2:$F$779,Map_Stats!$A$2:$A$779,$F54&amp;"|"&amp;$G54))</f>
        <v>9</v>
      </c>
      <c r="R54" s="13" t="n">
        <f aca="false">IF($G54="","",IFERROR(1/(1/INDEX(Map_Stats!$K$2:$K$779,MATCH($F54&amp;"|"&amp;$G54,Map_Stats!$A$2:$A$779,0))),$O54))</f>
        <v>0.46</v>
      </c>
      <c r="S54" s="10" t="n">
        <f aca="false">IF(OR($G54="",$P54=""),"",IFERROR(1/(1/INDEX(Map_Stats!$I$2:$I$779,MATCH($F54&amp;"|"&amp;$G54,Map_Stats!$A$2:$A$779,0))),$P54))</f>
        <v>0.5</v>
      </c>
      <c r="T54" s="13" t="n">
        <f aca="false">IF(OR($G54="",R54=""),"",IF($O54="",R54,(Q54*R54+Config!$B$4*$O54)/(Q54+Config!$B$4)))</f>
        <v>0.474285714285714</v>
      </c>
      <c r="U54" s="10" t="n">
        <f aca="false">IF(S54="","",(Q54*S54+Config!$B$4*$P54)/(Q54+Config!$B$4))</f>
        <v>0.511428571428572</v>
      </c>
      <c r="V54" s="17" t="n">
        <f aca="false">IF(OR(T54="",$J54=""),"",T54*$J54*($J54/Config!$B$10)^Config!$B$9)</f>
        <v>10.1971428571429</v>
      </c>
      <c r="W54" s="17" t="n">
        <f aca="false">IF(OR(V54="",U54=""),"",V54*U54)</f>
        <v>5.21511020408163</v>
      </c>
      <c r="X54" s="9" t="n">
        <f aca="false">IF($H54="",0,SUMIFS(Map_Stats!$F$2:$F$779,Map_Stats!$A$2:$A$779,$F54&amp;"|"&amp;$H54))</f>
        <v>10</v>
      </c>
      <c r="Y54" s="13" t="n">
        <f aca="false">IF($H54="","",IFERROR(1/(1/INDEX(Map_Stats!$K$2:$K$779,MATCH($F54&amp;"|"&amp;$H54,Map_Stats!$A$2:$A$779,0))),$O54))</f>
        <v>0.52</v>
      </c>
      <c r="Z54" s="10" t="n">
        <f aca="false">IF(OR($H54="",$P54=""),"",IFERROR(1/(1/INDEX(Map_Stats!$I$2:$I$779,MATCH($F54&amp;"|"&amp;$H54,Map_Stats!$A$2:$A$779,0))),$P54))</f>
        <v>0.55</v>
      </c>
      <c r="AA54" s="13" t="n">
        <f aca="false">IF(OR($H54="",Y54=""),"",IF($O54="",Y54,(X54*Y54+Config!$B$4*$O54)/(X54+Config!$B$4)))</f>
        <v>0.513333333333333</v>
      </c>
      <c r="AB54" s="10" t="n">
        <f aca="false">IF(Z54="","",(X54*Z54+Config!$B$4*$P54)/(X54+Config!$B$4))</f>
        <v>0.544</v>
      </c>
      <c r="AC54" s="17" t="n">
        <f aca="false">IF(OR(AA54="",$K54=""),"",AA54*$K54*($K54/Config!$B$10)^Config!$B$9)</f>
        <v>10.9956</v>
      </c>
      <c r="AD54" s="17" t="n">
        <f aca="false">IF(OR(AC54="",AB54=""),"",AC54*AB54)</f>
        <v>5.9816064</v>
      </c>
      <c r="AE54" s="9" t="n">
        <f aca="false">IF($I54="",0,SUMIFS(Map_Stats!$F$2:$F$779,Map_Stats!$A$2:$A$779,$F54&amp;"|"&amp;$I54))</f>
        <v>5</v>
      </c>
      <c r="AF54" s="13" t="n">
        <f aca="false">IF($I54="","",IFERROR(1/(1/INDEX(Map_Stats!$K$2:$K$779,MATCH($F54&amp;"|"&amp;$I54,Map_Stats!$A$2:$A$779,0))),$O54))</f>
        <v>0.54</v>
      </c>
      <c r="AG54" s="10" t="n">
        <f aca="false">IF(OR($I54="",$P54=""),"",IFERROR(1/(1/INDEX(Map_Stats!$I$2:$I$779,MATCH($F54&amp;"|"&amp;$I54,Map_Stats!$A$2:$A$779,0))),$P54))</f>
        <v>0.696</v>
      </c>
      <c r="AH54" s="13" t="n">
        <f aca="false">IF(OR($I54="",AF54=""),"",IF($O54="",AF54,(AE54*AF54+Config!$B$4*$O54)/(AE54+Config!$B$4)))</f>
        <v>0.52</v>
      </c>
      <c r="AI54" s="10" t="n">
        <f aca="false">IF(AG54="","",(AE54*AG54+Config!$B$4*$P54)/(AE54+Config!$B$4))</f>
        <v>0.614</v>
      </c>
      <c r="AJ54" s="17" t="n">
        <f aca="false">IF(OR(AH54="",$L54=""),"",AH54*$L54*($L54/Config!$B$10)^Config!$B$9)</f>
        <v>11.18</v>
      </c>
      <c r="AK54" s="17" t="n">
        <f aca="false">IF(OR(AJ54="",AI54=""),"",AJ54*AI54)</f>
        <v>6.86452</v>
      </c>
      <c r="AL54" s="17" t="n">
        <f aca="false">N(V54)+N(AC54)</f>
        <v>21.1927428571429</v>
      </c>
      <c r="AM54" s="17" t="n">
        <f aca="false">AL54+N($M54)*N(AJ54)</f>
        <v>26.7402588571429</v>
      </c>
      <c r="AN54" s="17" t="n">
        <f aca="false">IF(W54="","",N(W54)+N(AD54))</f>
        <v>11.1967166040816</v>
      </c>
      <c r="AO54" s="17" t="n">
        <f aca="false">IF(AN54="","",AN54+N($M54)*N(AK54))</f>
        <v>14.6028914280816</v>
      </c>
      <c r="AP54" s="10" t="n">
        <f aca="false">IFERROR(AN54/AL54,"")</f>
        <v>0.528327865796185</v>
      </c>
      <c r="AQ54" s="0" t="str">
        <f aca="false">TRIM(IF($N54&lt;Config!$B$12,"thin sample ("&amp;$N54&amp;" maps) · ","")&amp;IF(AND($G54&lt;&gt;"",Q54=0),"M1 unplayed→overall KPR · ","")&amp;IF(AND($H54&lt;&gt;"",X54=0),"M2 unplayed→overall KPR · ","")&amp;IF($O54="","no PickFinder stats",""))</f>
        <v/>
      </c>
      <c r="AR54" s="0" t="str">
        <f aca="false">IF($C54=Board!$B$2,COUNTIFS($C$2:$C$124,Board!$B$2,$AL$2:$AL$124,"&gt;"&amp;$AL54)+COUNTIFS($C$1:$C53,Board!$B$2,$AL$1:$AL53,$AL54)+1,"")</f>
        <v/>
      </c>
      <c r="AS54" s="0" t="str">
        <f aca="false">IFERROR(IF($D54=INDEX(Matches!$AD$5:$AD$19,MATCH($C54,Matches!$A$5:$A$19,0)),"A",IF($D54=INDEX(Matches!$AE$5:$AE$19,MATCH($C54,Matches!$A$5:$A$19,0)),"B","")),"")</f>
        <v>B</v>
      </c>
      <c r="AT54" s="10" t="n">
        <f aca="false">IF($AS54="","",IFERROR(IF($AS54="A",INDEX(Matches!$AI$5:$AI$19,MATCH($C54,Matches!$A$5:$A$19,0)),INDEX(Matches!$AJ$5:$AJ$19,MATCH($C54,Matches!$A$5:$A$19,0))),""))</f>
        <v>0.478322619225594</v>
      </c>
      <c r="AU54" s="10" t="n">
        <f aca="false">IF($AS54="","",IFERROR(IF(INDEX(Matches!$AP$5:$AP$19,MATCH($C54,Matches!$A$5:$A$19,0))="","",IF($AS54="A",INDEX(Matches!$AP$5:$AP$19,MATCH($C54,Matches!$A$5:$A$19,0)),1-INDEX(Matches!$AP$5:$AP$19,MATCH($C54,Matches!$A$5:$A$19,0)))),""))</f>
        <v>0.468136482616394</v>
      </c>
      <c r="AV54" s="13" t="n">
        <f aca="false">IF(OR($AU54="",$AT54=""),1,((Config!$B$14*$AU54+Config!$B$15*(1-$AU54))/(Config!$B$14*$AT54+Config!$B$15*(1-$AT54)))^Config!$B$13)</f>
        <v>0.990717684648319</v>
      </c>
      <c r="AW54" s="10" t="n">
        <f aca="false">IF($AS54="","",IFERROR(IF(INDEX(Matches!$AV$5:$AV$19,MATCH($C54,Matches!$A$5:$A$19,0))="","",IF($AS54="A",INDEX(Matches!$AV$5:$AV$19,MATCH($C54,Matches!$A$5:$A$19,0)),1-INDEX(Matches!$AV$5:$AV$19,MATCH($C54,Matches!$A$5:$A$19,0)))),""))</f>
        <v>0.493180645260681</v>
      </c>
      <c r="AX54" s="13" t="n">
        <f aca="false">IF(OR($AW54="",$AT54=""),1,((Config!$B$14*$AW54+Config!$B$15*(1-$AW54))/(Config!$B$14*$AT54+Config!$B$15*(1-$AT54)))^Config!$B$13)</f>
        <v>1.01353966557218</v>
      </c>
      <c r="AY54" s="10" t="n">
        <f aca="false">IF($AS54="","",IFERROR(IF(INDEX(Matches!$BB$5:$BB$19,MATCH($C54,Matches!$A$5:$A$19,0))="","",IF($AS54="A",INDEX(Matches!$BB$5:$BB$19,MATCH($C54,Matches!$A$5:$A$19,0)),1-INDEX(Matches!$BB$5:$BB$19,MATCH($C54,Matches!$A$5:$A$19,0)))),""))</f>
        <v>0.467710833757496</v>
      </c>
      <c r="AZ54" s="13" t="n">
        <f aca="false">IF(OR($AY54="",$AT54=""),1,((Config!$B$14*$AY54+Config!$B$15*(1-$AY54))/(Config!$B$14*$AT54+Config!$B$15*(1-$AT54)))^Config!$B$13)</f>
        <v>0.990329803836491</v>
      </c>
      <c r="BA54" s="17" t="n">
        <f aca="false">IF(V54="","",V54*$AV54)</f>
        <v>10.1024897614567</v>
      </c>
      <c r="BB54" s="17" t="n">
        <f aca="false">IF(AC54="","",AC54*$AX54)</f>
        <v>11.1444767467655</v>
      </c>
      <c r="BC54" s="17" t="n">
        <f aca="false">IF(AJ54="","",AJ54*$AZ54)</f>
        <v>11.071887206892</v>
      </c>
      <c r="BD54" s="17" t="n">
        <f aca="false">N(BA54)+N(BB54)</f>
        <v>21.2469665082222</v>
      </c>
      <c r="BE54" s="17" t="n">
        <f aca="false">BD54+N($M54)*N(BC54)</f>
        <v>26.740836940282</v>
      </c>
      <c r="BF54" s="17" t="n">
        <f aca="false">IF(W54="","",W54*$AV54)</f>
        <v>5.16670190657358</v>
      </c>
      <c r="BG54" s="17" t="n">
        <f aca="false">IF(AD54="","",AD54*$AX54)</f>
        <v>6.06259535024043</v>
      </c>
      <c r="BH54" s="17" t="n">
        <f aca="false">IF(AK54="","",AK54*$AZ54)</f>
        <v>6.79813874503167</v>
      </c>
      <c r="BI54" s="17" t="n">
        <f aca="false">IF(BF54="","",N(BF54)+N(BG54))</f>
        <v>11.229297256814</v>
      </c>
      <c r="BJ54" s="17" t="n">
        <f aca="false">IF(BI54="","",BI54+N($M54)*N(BH54))</f>
        <v>14.6025337020987</v>
      </c>
      <c r="BK54" s="13" t="n">
        <f aca="false">IFERROR(BD54/AL54,1)</f>
        <v>1.00255859524389</v>
      </c>
    </row>
    <row r="55" customFormat="false" ht="15" hidden="false" customHeight="false" outlineLevel="0" collapsed="false">
      <c r="A55" s="0" t="s">
        <v>1252</v>
      </c>
      <c r="B55" s="0" t="s">
        <v>988</v>
      </c>
      <c r="C55" s="0" t="s">
        <v>1060</v>
      </c>
      <c r="D55" s="0" t="s">
        <v>1065</v>
      </c>
      <c r="E55" s="0" t="s">
        <v>1251</v>
      </c>
      <c r="F55" s="0" t="s">
        <v>1508</v>
      </c>
      <c r="G55" s="0" t="str">
        <f aca="false">IFERROR(IF(INDEX(Matches!$W$5:$W$19,MATCH($C55,Matches!$A$5:$A$19,0))="","",INDEX(Matches!$W$5:$W$19,MATCH($C55,Matches!$A$5:$A$19,0))),"")</f>
        <v>Mirage</v>
      </c>
      <c r="H55" s="0" t="str">
        <f aca="false">IFERROR(IF(INDEX(Matches!$X$5:$X$19,MATCH($C55,Matches!$A$5:$A$19,0))="","",INDEX(Matches!$X$5:$X$19,MATCH($C55,Matches!$A$5:$A$19,0))),"")</f>
        <v>Inferno</v>
      </c>
      <c r="I55" s="0" t="str">
        <f aca="false">IFERROR(IF(INDEX(Matches!$Y$5:$Y$19,MATCH($C55,Matches!$A$5:$A$19,0))="","",INDEX(Matches!$Y$5:$Y$19,MATCH($C55,Matches!$A$5:$A$19,0))),"")</f>
        <v>Nuke</v>
      </c>
      <c r="J55" s="11" t="n">
        <f aca="false">IFERROR(IF(INDEX(Matches!$Z$5:$Z$19,MATCH($C55,Matches!$A$5:$A$19,0))="","",INDEX(Matches!$Z$5:$Z$19,MATCH($C55,Matches!$A$5:$A$19,0))),"")</f>
        <v>21.5</v>
      </c>
      <c r="K55" s="11" t="n">
        <f aca="false">IFERROR(IF(INDEX(Matches!$AA$5:$AA$19,MATCH($C55,Matches!$A$5:$A$19,0))="","",INDEX(Matches!$AA$5:$AA$19,MATCH($C55,Matches!$A$5:$A$19,0))),"")</f>
        <v>21.42</v>
      </c>
      <c r="L55" s="11" t="n">
        <f aca="false">IFERROR(IF(INDEX(Matches!$AB$5:$AB$19,MATCH($C55,Matches!$A$5:$A$19,0))="","",INDEX(Matches!$AB$5:$AB$19,MATCH($C55,Matches!$A$5:$A$19,0))),"")</f>
        <v>21.5</v>
      </c>
      <c r="M55" s="10" t="n">
        <f aca="false">IFERROR(IF(INDEX(Matches!$AC$5:$AC$19,MATCH($C55,Matches!$A$5:$A$19,0))="","",INDEX(Matches!$AC$5:$AC$19,MATCH($C55,Matches!$A$5:$A$19,0))),"")</f>
        <v>0.4962</v>
      </c>
      <c r="N55" s="9" t="n">
        <f aca="false">IFERROR(INDEX(Players!$F$2:$F$124,MATCH($F55,Players!$A$2:$A$124,0)),0)</f>
        <v>36</v>
      </c>
      <c r="O55" s="13" t="n">
        <f aca="false">IFERROR(1/(1/INDEX(Players!$H$2:$H$124,MATCH($F55,Players!$A$2:$A$124,0))),"")</f>
        <v>0.66</v>
      </c>
      <c r="P55" s="10" t="n">
        <f aca="false">IFERROR(1/(1/INDEX(Players!$I$2:$I$124,MATCH($F55,Players!$A$2:$A$124,0))),"")</f>
        <v>0.628</v>
      </c>
      <c r="Q55" s="9" t="n">
        <f aca="false">IF($G55="",0,SUMIFS(Map_Stats!$F$2:$F$779,Map_Stats!$A$2:$A$779,$F55&amp;"|"&amp;$G55))</f>
        <v>9</v>
      </c>
      <c r="R55" s="13" t="n">
        <f aca="false">IF($G55="","",IFERROR(1/(1/INDEX(Map_Stats!$K$2:$K$779,MATCH($F55&amp;"|"&amp;$G55,Map_Stats!$A$2:$A$779,0))),$O55))</f>
        <v>0.61</v>
      </c>
      <c r="S55" s="10" t="n">
        <f aca="false">IF(OR($G55="",$P55=""),"",IFERROR(1/(1/INDEX(Map_Stats!$I$2:$I$779,MATCH($F55&amp;"|"&amp;$G55,Map_Stats!$A$2:$A$779,0))),$P55))</f>
        <v>0.603</v>
      </c>
      <c r="T55" s="13" t="n">
        <f aca="false">IF(OR($G55="",R55=""),"",IF($O55="",R55,(Q55*R55+Config!$B$4*$O55)/(Q55+Config!$B$4)))</f>
        <v>0.627857142857143</v>
      </c>
      <c r="U55" s="10" t="n">
        <f aca="false">IF(S55="","",(Q55*S55+Config!$B$4*$P55)/(Q55+Config!$B$4))</f>
        <v>0.611928571428572</v>
      </c>
      <c r="V55" s="17" t="n">
        <f aca="false">IF(OR(T55="",$J55=""),"",T55*$J55*($J55/Config!$B$10)^Config!$B$9)</f>
        <v>13.4989285714286</v>
      </c>
      <c r="W55" s="17" t="n">
        <f aca="false">IF(OR(V55="",U55=""),"",V55*U55)</f>
        <v>8.26038007653061</v>
      </c>
      <c r="X55" s="9" t="n">
        <f aca="false">IF($H55="",0,SUMIFS(Map_Stats!$F$2:$F$779,Map_Stats!$A$2:$A$779,$F55&amp;"|"&amp;$H55))</f>
        <v>10</v>
      </c>
      <c r="Y55" s="13" t="n">
        <f aca="false">IF($H55="","",IFERROR(1/(1/INDEX(Map_Stats!$K$2:$K$779,MATCH($F55&amp;"|"&amp;$H55,Map_Stats!$A$2:$A$779,0))),$O55))</f>
        <v>0.65</v>
      </c>
      <c r="Z55" s="10" t="n">
        <f aca="false">IF(OR($H55="",$P55=""),"",IFERROR(1/(1/INDEX(Map_Stats!$I$2:$I$779,MATCH($F55&amp;"|"&amp;$H55,Map_Stats!$A$2:$A$779,0))),$P55))</f>
        <v>0.629</v>
      </c>
      <c r="AA55" s="13" t="n">
        <f aca="false">IF(OR($H55="",Y55=""),"",IF($O55="",Y55,(X55*Y55+Config!$B$4*$O55)/(X55+Config!$B$4)))</f>
        <v>0.653333333333333</v>
      </c>
      <c r="AB55" s="10" t="n">
        <f aca="false">IF(Z55="","",(X55*Z55+Config!$B$4*$P55)/(X55+Config!$B$4))</f>
        <v>0.628666666666667</v>
      </c>
      <c r="AC55" s="17" t="n">
        <f aca="false">IF(OR(AA55="",$K55=""),"",AA55*$K55*($K55/Config!$B$10)^Config!$B$9)</f>
        <v>13.9944</v>
      </c>
      <c r="AD55" s="17" t="n">
        <f aca="false">IF(OR(AC55="",AB55=""),"",AC55*AB55)</f>
        <v>8.7978128</v>
      </c>
      <c r="AE55" s="9" t="n">
        <f aca="false">IF($I55="",0,SUMIFS(Map_Stats!$F$2:$F$779,Map_Stats!$A$2:$A$779,$F55&amp;"|"&amp;$I55))</f>
        <v>5</v>
      </c>
      <c r="AF55" s="13" t="n">
        <f aca="false">IF($I55="","",IFERROR(1/(1/INDEX(Map_Stats!$K$2:$K$779,MATCH($F55&amp;"|"&amp;$I55,Map_Stats!$A$2:$A$779,0))),$O55))</f>
        <v>0.87</v>
      </c>
      <c r="AG55" s="10" t="n">
        <f aca="false">IF(OR($I55="",$P55=""),"",IFERROR(1/(1/INDEX(Map_Stats!$I$2:$I$779,MATCH($F55&amp;"|"&amp;$I55,Map_Stats!$A$2:$A$779,0))),$P55))</f>
        <v>0.622</v>
      </c>
      <c r="AH55" s="13" t="n">
        <f aca="false">IF(OR($I55="",AF55=""),"",IF($O55="",AF55,(AE55*AF55+Config!$B$4*$O55)/(AE55+Config!$B$4)))</f>
        <v>0.765</v>
      </c>
      <c r="AI55" s="10" t="n">
        <f aca="false">IF(AG55="","",(AE55*AG55+Config!$B$4*$P55)/(AE55+Config!$B$4))</f>
        <v>0.625</v>
      </c>
      <c r="AJ55" s="17" t="n">
        <f aca="false">IF(OR(AH55="",$L55=""),"",AH55*$L55*($L55/Config!$B$10)^Config!$B$9)</f>
        <v>16.4475</v>
      </c>
      <c r="AK55" s="17" t="n">
        <f aca="false">IF(OR(AJ55="",AI55=""),"",AJ55*AI55)</f>
        <v>10.2796875</v>
      </c>
      <c r="AL55" s="17" t="n">
        <f aca="false">N(V55)+N(AC55)</f>
        <v>27.4933285714286</v>
      </c>
      <c r="AM55" s="17" t="n">
        <f aca="false">AL55+N($M55)*N(AJ55)</f>
        <v>35.6545780714286</v>
      </c>
      <c r="AN55" s="17" t="n">
        <f aca="false">IF(W55="","",N(W55)+N(AD55))</f>
        <v>17.0581928765306</v>
      </c>
      <c r="AO55" s="17" t="n">
        <f aca="false">IF(AN55="","",AN55+N($M55)*N(AK55))</f>
        <v>22.1589738140306</v>
      </c>
      <c r="AP55" s="10" t="n">
        <f aca="false">IFERROR(AN55/AL55,"")</f>
        <v>0.620448441963397</v>
      </c>
      <c r="AQ55" s="0" t="str">
        <f aca="false">TRIM(IF($N55&lt;Config!$B$12,"thin sample ("&amp;$N55&amp;" maps) · ","")&amp;IF(AND($G55&lt;&gt;"",Q55=0),"M1 unplayed→overall KPR · ","")&amp;IF(AND($H55&lt;&gt;"",X55=0),"M2 unplayed→overall KPR · ","")&amp;IF($O55="","no PickFinder stats",""))</f>
        <v/>
      </c>
      <c r="AR55" s="0" t="str">
        <f aca="false">IF($C55=Board!$B$2,COUNTIFS($C$2:$C$124,Board!$B$2,$AL$2:$AL$124,"&gt;"&amp;$AL55)+COUNTIFS($C$1:$C54,Board!$B$2,$AL$1:$AL54,$AL55)+1,"")</f>
        <v/>
      </c>
      <c r="AS55" s="0" t="str">
        <f aca="false">IFERROR(IF($D55=INDEX(Matches!$AD$5:$AD$19,MATCH($C55,Matches!$A$5:$A$19,0)),"A",IF($D55=INDEX(Matches!$AE$5:$AE$19,MATCH($C55,Matches!$A$5:$A$19,0)),"B","")),"")</f>
        <v>B</v>
      </c>
      <c r="AT55" s="10" t="n">
        <f aca="false">IF($AS55="","",IFERROR(IF($AS55="A",INDEX(Matches!$AI$5:$AI$19,MATCH($C55,Matches!$A$5:$A$19,0)),INDEX(Matches!$AJ$5:$AJ$19,MATCH($C55,Matches!$A$5:$A$19,0))),""))</f>
        <v>0.478322619225594</v>
      </c>
      <c r="AU55" s="10" t="n">
        <f aca="false">IF($AS55="","",IFERROR(IF(INDEX(Matches!$AP$5:$AP$19,MATCH($C55,Matches!$A$5:$A$19,0))="","",IF($AS55="A",INDEX(Matches!$AP$5:$AP$19,MATCH($C55,Matches!$A$5:$A$19,0)),1-INDEX(Matches!$AP$5:$AP$19,MATCH($C55,Matches!$A$5:$A$19,0)))),""))</f>
        <v>0.468136482616394</v>
      </c>
      <c r="AV55" s="13" t="n">
        <f aca="false">IF(OR($AU55="",$AT55=""),1,((Config!$B$14*$AU55+Config!$B$15*(1-$AU55))/(Config!$B$14*$AT55+Config!$B$15*(1-$AT55)))^Config!$B$13)</f>
        <v>0.990717684648319</v>
      </c>
      <c r="AW55" s="10" t="n">
        <f aca="false">IF($AS55="","",IFERROR(IF(INDEX(Matches!$AV$5:$AV$19,MATCH($C55,Matches!$A$5:$A$19,0))="","",IF($AS55="A",INDEX(Matches!$AV$5:$AV$19,MATCH($C55,Matches!$A$5:$A$19,0)),1-INDEX(Matches!$AV$5:$AV$19,MATCH($C55,Matches!$A$5:$A$19,0)))),""))</f>
        <v>0.493180645260681</v>
      </c>
      <c r="AX55" s="13" t="n">
        <f aca="false">IF(OR($AW55="",$AT55=""),1,((Config!$B$14*$AW55+Config!$B$15*(1-$AW55))/(Config!$B$14*$AT55+Config!$B$15*(1-$AT55)))^Config!$B$13)</f>
        <v>1.01353966557218</v>
      </c>
      <c r="AY55" s="10" t="n">
        <f aca="false">IF($AS55="","",IFERROR(IF(INDEX(Matches!$BB$5:$BB$19,MATCH($C55,Matches!$A$5:$A$19,0))="","",IF($AS55="A",INDEX(Matches!$BB$5:$BB$19,MATCH($C55,Matches!$A$5:$A$19,0)),1-INDEX(Matches!$BB$5:$BB$19,MATCH($C55,Matches!$A$5:$A$19,0)))),""))</f>
        <v>0.467710833757496</v>
      </c>
      <c r="AZ55" s="13" t="n">
        <f aca="false">IF(OR($AY55="",$AT55=""),1,((Config!$B$14*$AY55+Config!$B$15*(1-$AY55))/(Config!$B$14*$AT55+Config!$B$15*(1-$AT55)))^Config!$B$13)</f>
        <v>0.990329803836491</v>
      </c>
      <c r="BA55" s="17" t="n">
        <f aca="false">IF(V55="","",V55*$AV55)</f>
        <v>13.3736272595188</v>
      </c>
      <c r="BB55" s="17" t="n">
        <f aca="false">IF(AC55="","",AC55*$AX55)</f>
        <v>14.1838794958834</v>
      </c>
      <c r="BC55" s="17" t="n">
        <f aca="false">IF(AJ55="","",AJ55*$AZ55)</f>
        <v>16.2884494486007</v>
      </c>
      <c r="BD55" s="17" t="n">
        <f aca="false">N(BA55)+N(BB55)</f>
        <v>27.5575067554021</v>
      </c>
      <c r="BE55" s="17" t="n">
        <f aca="false">BD55+N($M55)*N(BC55)</f>
        <v>35.6398353717978</v>
      </c>
      <c r="BF55" s="17" t="n">
        <f aca="false">IF(W55="","",W55*$AV55)</f>
        <v>8.18370462373552</v>
      </c>
      <c r="BG55" s="17" t="n">
        <f aca="false">IF(AD55="","",AD55*$AX55)</f>
        <v>8.91693224307868</v>
      </c>
      <c r="BH55" s="17" t="n">
        <f aca="false">IF(AK55="","",AK55*$AZ55)</f>
        <v>10.1802809053754</v>
      </c>
      <c r="BI55" s="17" t="n">
        <f aca="false">IF(BF55="","",N(BF55)+N(BG55))</f>
        <v>17.1006368668142</v>
      </c>
      <c r="BJ55" s="17" t="n">
        <f aca="false">IF(BI55="","",BI55+N($M55)*N(BH55))</f>
        <v>22.1520922520615</v>
      </c>
      <c r="BK55" s="13" t="n">
        <f aca="false">IFERROR(BD55/AL55,1)</f>
        <v>1.00233431844408</v>
      </c>
    </row>
    <row r="56" customFormat="false" ht="15" hidden="false" customHeight="false" outlineLevel="0" collapsed="false">
      <c r="A56" s="0" t="s">
        <v>1255</v>
      </c>
      <c r="B56" s="0" t="s">
        <v>988</v>
      </c>
      <c r="C56" s="0" t="s">
        <v>1060</v>
      </c>
      <c r="D56" s="0" t="s">
        <v>1065</v>
      </c>
      <c r="E56" s="0" t="s">
        <v>1253</v>
      </c>
      <c r="F56" s="0" t="s">
        <v>1509</v>
      </c>
      <c r="G56" s="0" t="str">
        <f aca="false">IFERROR(IF(INDEX(Matches!$W$5:$W$19,MATCH($C56,Matches!$A$5:$A$19,0))="","",INDEX(Matches!$W$5:$W$19,MATCH($C56,Matches!$A$5:$A$19,0))),"")</f>
        <v>Mirage</v>
      </c>
      <c r="H56" s="0" t="str">
        <f aca="false">IFERROR(IF(INDEX(Matches!$X$5:$X$19,MATCH($C56,Matches!$A$5:$A$19,0))="","",INDEX(Matches!$X$5:$X$19,MATCH($C56,Matches!$A$5:$A$19,0))),"")</f>
        <v>Inferno</v>
      </c>
      <c r="I56" s="0" t="str">
        <f aca="false">IFERROR(IF(INDEX(Matches!$Y$5:$Y$19,MATCH($C56,Matches!$A$5:$A$19,0))="","",INDEX(Matches!$Y$5:$Y$19,MATCH($C56,Matches!$A$5:$A$19,0))),"")</f>
        <v>Nuke</v>
      </c>
      <c r="J56" s="11" t="n">
        <f aca="false">IFERROR(IF(INDEX(Matches!$Z$5:$Z$19,MATCH($C56,Matches!$A$5:$A$19,0))="","",INDEX(Matches!$Z$5:$Z$19,MATCH($C56,Matches!$A$5:$A$19,0))),"")</f>
        <v>21.5</v>
      </c>
      <c r="K56" s="11" t="n">
        <f aca="false">IFERROR(IF(INDEX(Matches!$AA$5:$AA$19,MATCH($C56,Matches!$A$5:$A$19,0))="","",INDEX(Matches!$AA$5:$AA$19,MATCH($C56,Matches!$A$5:$A$19,0))),"")</f>
        <v>21.42</v>
      </c>
      <c r="L56" s="11" t="n">
        <f aca="false">IFERROR(IF(INDEX(Matches!$AB$5:$AB$19,MATCH($C56,Matches!$A$5:$A$19,0))="","",INDEX(Matches!$AB$5:$AB$19,MATCH($C56,Matches!$A$5:$A$19,0))),"")</f>
        <v>21.5</v>
      </c>
      <c r="M56" s="10" t="n">
        <f aca="false">IFERROR(IF(INDEX(Matches!$AC$5:$AC$19,MATCH($C56,Matches!$A$5:$A$19,0))="","",INDEX(Matches!$AC$5:$AC$19,MATCH($C56,Matches!$A$5:$A$19,0))),"")</f>
        <v>0.4962</v>
      </c>
      <c r="N56" s="9" t="n">
        <f aca="false">IFERROR(INDEX(Players!$F$2:$F$124,MATCH($F56,Players!$A$2:$A$124,0)),0)</f>
        <v>36</v>
      </c>
      <c r="O56" s="13" t="n">
        <f aca="false">IFERROR(1/(1/INDEX(Players!$H$2:$H$124,MATCH($F56,Players!$A$2:$A$124,0))),"")</f>
        <v>0.65</v>
      </c>
      <c r="P56" s="10" t="n">
        <f aca="false">IFERROR(1/(1/INDEX(Players!$I$2:$I$124,MATCH($F56,Players!$A$2:$A$124,0))),"")</f>
        <v>0.469</v>
      </c>
      <c r="Q56" s="9" t="n">
        <f aca="false">IF($G56="",0,SUMIFS(Map_Stats!$F$2:$F$779,Map_Stats!$A$2:$A$779,$F56&amp;"|"&amp;$G56))</f>
        <v>9</v>
      </c>
      <c r="R56" s="13" t="n">
        <f aca="false">IF($G56="","",IFERROR(1/(1/INDEX(Map_Stats!$K$2:$K$779,MATCH($F56&amp;"|"&amp;$G56,Map_Stats!$A$2:$A$779,0))),$O56))</f>
        <v>0.62</v>
      </c>
      <c r="S56" s="10" t="n">
        <f aca="false">IF(OR($G56="",$P56=""),"",IFERROR(1/(1/INDEX(Map_Stats!$I$2:$I$779,MATCH($F56&amp;"|"&amp;$G56,Map_Stats!$A$2:$A$779,0))),$P56))</f>
        <v>0.444</v>
      </c>
      <c r="T56" s="13" t="n">
        <f aca="false">IF(OR($G56="",R56=""),"",IF($O56="",R56,(Q56*R56+Config!$B$4*$O56)/(Q56+Config!$B$4)))</f>
        <v>0.630714285714286</v>
      </c>
      <c r="U56" s="10" t="n">
        <f aca="false">IF(S56="","",(Q56*S56+Config!$B$4*$P56)/(Q56+Config!$B$4))</f>
        <v>0.452928571428571</v>
      </c>
      <c r="V56" s="17" t="n">
        <f aca="false">IF(OR(T56="",$J56=""),"",T56*$J56*($J56/Config!$B$10)^Config!$B$9)</f>
        <v>13.5603571428571</v>
      </c>
      <c r="W56" s="17" t="n">
        <f aca="false">IF(OR(V56="",U56=""),"",V56*U56)</f>
        <v>6.14187318877551</v>
      </c>
      <c r="X56" s="9" t="n">
        <f aca="false">IF($H56="",0,SUMIFS(Map_Stats!$F$2:$F$779,Map_Stats!$A$2:$A$779,$F56&amp;"|"&amp;$H56))</f>
        <v>10</v>
      </c>
      <c r="Y56" s="13" t="n">
        <f aca="false">IF($H56="","",IFERROR(1/(1/INDEX(Map_Stats!$K$2:$K$779,MATCH($F56&amp;"|"&amp;$H56,Map_Stats!$A$2:$A$779,0))),$O56))</f>
        <v>0.72</v>
      </c>
      <c r="Z56" s="10" t="n">
        <f aca="false">IF(OR($H56="",$P56=""),"",IFERROR(1/(1/INDEX(Map_Stats!$I$2:$I$779,MATCH($F56&amp;"|"&amp;$H56,Map_Stats!$A$2:$A$779,0))),$P56))</f>
        <v>0.503</v>
      </c>
      <c r="AA56" s="13" t="n">
        <f aca="false">IF(OR($H56="",Y56=""),"",IF($O56="",Y56,(X56*Y56+Config!$B$4*$O56)/(X56+Config!$B$4)))</f>
        <v>0.696666666666667</v>
      </c>
      <c r="AB56" s="10" t="n">
        <f aca="false">IF(Z56="","",(X56*Z56+Config!$B$4*$P56)/(X56+Config!$B$4))</f>
        <v>0.491666666666667</v>
      </c>
      <c r="AC56" s="17" t="n">
        <f aca="false">IF(OR(AA56="",$K56=""),"",AA56*$K56*($K56/Config!$B$10)^Config!$B$9)</f>
        <v>14.9226</v>
      </c>
      <c r="AD56" s="17" t="n">
        <f aca="false">IF(OR(AC56="",AB56=""),"",AC56*AB56)</f>
        <v>7.336945</v>
      </c>
      <c r="AE56" s="9" t="n">
        <f aca="false">IF($I56="",0,SUMIFS(Map_Stats!$F$2:$F$779,Map_Stats!$A$2:$A$779,$F56&amp;"|"&amp;$I56))</f>
        <v>5</v>
      </c>
      <c r="AF56" s="13" t="n">
        <f aca="false">IF($I56="","",IFERROR(1/(1/INDEX(Map_Stats!$K$2:$K$779,MATCH($F56&amp;"|"&amp;$I56,Map_Stats!$A$2:$A$779,0))),$O56))</f>
        <v>0.63</v>
      </c>
      <c r="AG56" s="10" t="n">
        <f aca="false">IF(OR($I56="",$P56=""),"",IFERROR(1/(1/INDEX(Map_Stats!$I$2:$I$779,MATCH($F56&amp;"|"&amp;$I56,Map_Stats!$A$2:$A$779,0))),$P56))</f>
        <v>0.523</v>
      </c>
      <c r="AH56" s="13" t="n">
        <f aca="false">IF(OR($I56="",AF56=""),"",IF($O56="",AF56,(AE56*AF56+Config!$B$4*$O56)/(AE56+Config!$B$4)))</f>
        <v>0.64</v>
      </c>
      <c r="AI56" s="10" t="n">
        <f aca="false">IF(AG56="","",(AE56*AG56+Config!$B$4*$P56)/(AE56+Config!$B$4))</f>
        <v>0.496</v>
      </c>
      <c r="AJ56" s="17" t="n">
        <f aca="false">IF(OR(AH56="",$L56=""),"",AH56*$L56*($L56/Config!$B$10)^Config!$B$9)</f>
        <v>13.76</v>
      </c>
      <c r="AK56" s="17" t="n">
        <f aca="false">IF(OR(AJ56="",AI56=""),"",AJ56*AI56)</f>
        <v>6.82496</v>
      </c>
      <c r="AL56" s="17" t="n">
        <f aca="false">N(V56)+N(AC56)</f>
        <v>28.4829571428571</v>
      </c>
      <c r="AM56" s="17" t="n">
        <f aca="false">AL56+N($M56)*N(AJ56)</f>
        <v>35.3106691428571</v>
      </c>
      <c r="AN56" s="17" t="n">
        <f aca="false">IF(W56="","",N(W56)+N(AD56))</f>
        <v>13.4788181887755</v>
      </c>
      <c r="AO56" s="17" t="n">
        <f aca="false">IF(AN56="","",AN56+N($M56)*N(AK56))</f>
        <v>16.8653633407755</v>
      </c>
      <c r="AP56" s="10" t="n">
        <f aca="false">IFERROR(AN56/AL56,"")</f>
        <v>0.47322397464463</v>
      </c>
      <c r="AQ56" s="0" t="str">
        <f aca="false">TRIM(IF($N56&lt;Config!$B$12,"thin sample ("&amp;$N56&amp;" maps) · ","")&amp;IF(AND($G56&lt;&gt;"",Q56=0),"M1 unplayed→overall KPR · ","")&amp;IF(AND($H56&lt;&gt;"",X56=0),"M2 unplayed→overall KPR · ","")&amp;IF($O56="","no PickFinder stats",""))</f>
        <v/>
      </c>
      <c r="AR56" s="0" t="str">
        <f aca="false">IF($C56=Board!$B$2,COUNTIFS($C$2:$C$124,Board!$B$2,$AL$2:$AL$124,"&gt;"&amp;$AL56)+COUNTIFS($C$1:$C55,Board!$B$2,$AL$1:$AL55,$AL56)+1,"")</f>
        <v/>
      </c>
      <c r="AS56" s="0" t="str">
        <f aca="false">IFERROR(IF($D56=INDEX(Matches!$AD$5:$AD$19,MATCH($C56,Matches!$A$5:$A$19,0)),"A",IF($D56=INDEX(Matches!$AE$5:$AE$19,MATCH($C56,Matches!$A$5:$A$19,0)),"B","")),"")</f>
        <v>B</v>
      </c>
      <c r="AT56" s="10" t="n">
        <f aca="false">IF($AS56="","",IFERROR(IF($AS56="A",INDEX(Matches!$AI$5:$AI$19,MATCH($C56,Matches!$A$5:$A$19,0)),INDEX(Matches!$AJ$5:$AJ$19,MATCH($C56,Matches!$A$5:$A$19,0))),""))</f>
        <v>0.478322619225594</v>
      </c>
      <c r="AU56" s="10" t="n">
        <f aca="false">IF($AS56="","",IFERROR(IF(INDEX(Matches!$AP$5:$AP$19,MATCH($C56,Matches!$A$5:$A$19,0))="","",IF($AS56="A",INDEX(Matches!$AP$5:$AP$19,MATCH($C56,Matches!$A$5:$A$19,0)),1-INDEX(Matches!$AP$5:$AP$19,MATCH($C56,Matches!$A$5:$A$19,0)))),""))</f>
        <v>0.468136482616394</v>
      </c>
      <c r="AV56" s="13" t="n">
        <f aca="false">IF(OR($AU56="",$AT56=""),1,((Config!$B$14*$AU56+Config!$B$15*(1-$AU56))/(Config!$B$14*$AT56+Config!$B$15*(1-$AT56)))^Config!$B$13)</f>
        <v>0.990717684648319</v>
      </c>
      <c r="AW56" s="10" t="n">
        <f aca="false">IF($AS56="","",IFERROR(IF(INDEX(Matches!$AV$5:$AV$19,MATCH($C56,Matches!$A$5:$A$19,0))="","",IF($AS56="A",INDEX(Matches!$AV$5:$AV$19,MATCH($C56,Matches!$A$5:$A$19,0)),1-INDEX(Matches!$AV$5:$AV$19,MATCH($C56,Matches!$A$5:$A$19,0)))),""))</f>
        <v>0.493180645260681</v>
      </c>
      <c r="AX56" s="13" t="n">
        <f aca="false">IF(OR($AW56="",$AT56=""),1,((Config!$B$14*$AW56+Config!$B$15*(1-$AW56))/(Config!$B$14*$AT56+Config!$B$15*(1-$AT56)))^Config!$B$13)</f>
        <v>1.01353966557218</v>
      </c>
      <c r="AY56" s="10" t="n">
        <f aca="false">IF($AS56="","",IFERROR(IF(INDEX(Matches!$BB$5:$BB$19,MATCH($C56,Matches!$A$5:$A$19,0))="","",IF($AS56="A",INDEX(Matches!$BB$5:$BB$19,MATCH($C56,Matches!$A$5:$A$19,0)),1-INDEX(Matches!$BB$5:$BB$19,MATCH($C56,Matches!$A$5:$A$19,0)))),""))</f>
        <v>0.467710833757496</v>
      </c>
      <c r="AZ56" s="13" t="n">
        <f aca="false">IF(OR($AY56="",$AT56=""),1,((Config!$B$14*$AY56+Config!$B$15*(1-$AY56))/(Config!$B$14*$AT56+Config!$B$15*(1-$AT56)))^Config!$B$13)</f>
        <v>0.990329803836491</v>
      </c>
      <c r="BA56" s="17" t="n">
        <f aca="false">IF(V56="","",V56*$AV56)</f>
        <v>13.4344856315757</v>
      </c>
      <c r="BB56" s="17" t="n">
        <f aca="false">IF(AC56="","",AC56*$AX56)</f>
        <v>15.1246470134675</v>
      </c>
      <c r="BC56" s="17" t="n">
        <f aca="false">IF(AJ56="","",AJ56*$AZ56)</f>
        <v>13.6269381007901</v>
      </c>
      <c r="BD56" s="17" t="n">
        <f aca="false">N(BA56)+N(BB56)</f>
        <v>28.5591326450432</v>
      </c>
      <c r="BE56" s="17" t="n">
        <f aca="false">BD56+N($M56)*N(BC56)</f>
        <v>35.3208193306553</v>
      </c>
      <c r="BF56" s="17" t="n">
        <f aca="false">IF(W56="","",W56*$AV56)</f>
        <v>6.08486238498726</v>
      </c>
      <c r="BG56" s="17" t="n">
        <f aca="false">IF(AD56="","",AD56*$AX56)</f>
        <v>7.4362847816215</v>
      </c>
      <c r="BH56" s="17" t="n">
        <f aca="false">IF(AK56="","",AK56*$AZ56)</f>
        <v>6.7589612979919</v>
      </c>
      <c r="BI56" s="17" t="n">
        <f aca="false">IF(BF56="","",N(BF56)+N(BG56))</f>
        <v>13.5211471666088</v>
      </c>
      <c r="BJ56" s="17" t="n">
        <f aca="false">IF(BI56="","",BI56+N($M56)*N(BH56))</f>
        <v>16.8749437626723</v>
      </c>
      <c r="BK56" s="13" t="n">
        <f aca="false">IFERROR(BD56/AL56,1)</f>
        <v>1.00267442393021</v>
      </c>
    </row>
    <row r="57" customFormat="false" ht="15" hidden="false" customHeight="false" outlineLevel="0" collapsed="false">
      <c r="A57" s="0" t="s">
        <v>1257</v>
      </c>
      <c r="B57" s="0" t="s">
        <v>988</v>
      </c>
      <c r="C57" s="0" t="s">
        <v>1060</v>
      </c>
      <c r="D57" s="0" t="s">
        <v>1065</v>
      </c>
      <c r="E57" s="0" t="s">
        <v>1256</v>
      </c>
      <c r="F57" s="0" t="s">
        <v>1510</v>
      </c>
      <c r="G57" s="0" t="str">
        <f aca="false">IFERROR(IF(INDEX(Matches!$W$5:$W$19,MATCH($C57,Matches!$A$5:$A$19,0))="","",INDEX(Matches!$W$5:$W$19,MATCH($C57,Matches!$A$5:$A$19,0))),"")</f>
        <v>Mirage</v>
      </c>
      <c r="H57" s="0" t="str">
        <f aca="false">IFERROR(IF(INDEX(Matches!$X$5:$X$19,MATCH($C57,Matches!$A$5:$A$19,0))="","",INDEX(Matches!$X$5:$X$19,MATCH($C57,Matches!$A$5:$A$19,0))),"")</f>
        <v>Inferno</v>
      </c>
      <c r="I57" s="0" t="str">
        <f aca="false">IFERROR(IF(INDEX(Matches!$Y$5:$Y$19,MATCH($C57,Matches!$A$5:$A$19,0))="","",INDEX(Matches!$Y$5:$Y$19,MATCH($C57,Matches!$A$5:$A$19,0))),"")</f>
        <v>Nuke</v>
      </c>
      <c r="J57" s="11" t="n">
        <f aca="false">IFERROR(IF(INDEX(Matches!$Z$5:$Z$19,MATCH($C57,Matches!$A$5:$A$19,0))="","",INDEX(Matches!$Z$5:$Z$19,MATCH($C57,Matches!$A$5:$A$19,0))),"")</f>
        <v>21.5</v>
      </c>
      <c r="K57" s="11" t="n">
        <f aca="false">IFERROR(IF(INDEX(Matches!$AA$5:$AA$19,MATCH($C57,Matches!$A$5:$A$19,0))="","",INDEX(Matches!$AA$5:$AA$19,MATCH($C57,Matches!$A$5:$A$19,0))),"")</f>
        <v>21.42</v>
      </c>
      <c r="L57" s="11" t="n">
        <f aca="false">IFERROR(IF(INDEX(Matches!$AB$5:$AB$19,MATCH($C57,Matches!$A$5:$A$19,0))="","",INDEX(Matches!$AB$5:$AB$19,MATCH($C57,Matches!$A$5:$A$19,0))),"")</f>
        <v>21.5</v>
      </c>
      <c r="M57" s="10" t="n">
        <f aca="false">IFERROR(IF(INDEX(Matches!$AC$5:$AC$19,MATCH($C57,Matches!$A$5:$A$19,0))="","",INDEX(Matches!$AC$5:$AC$19,MATCH($C57,Matches!$A$5:$A$19,0))),"")</f>
        <v>0.4962</v>
      </c>
      <c r="N57" s="9" t="n">
        <f aca="false">IFERROR(INDEX(Players!$F$2:$F$124,MATCH($F57,Players!$A$2:$A$124,0)),0)</f>
        <v>36</v>
      </c>
      <c r="O57" s="13" t="n">
        <f aca="false">IFERROR(1/(1/INDEX(Players!$H$2:$H$124,MATCH($F57,Players!$A$2:$A$124,0))),"")</f>
        <v>0.67</v>
      </c>
      <c r="P57" s="10" t="n">
        <f aca="false">IFERROR(1/(1/INDEX(Players!$I$2:$I$124,MATCH($F57,Players!$A$2:$A$124,0))),"")</f>
        <v>0.536</v>
      </c>
      <c r="Q57" s="9" t="n">
        <f aca="false">IF($G57="",0,SUMIFS(Map_Stats!$F$2:$F$779,Map_Stats!$A$2:$A$779,$F57&amp;"|"&amp;$G57))</f>
        <v>9</v>
      </c>
      <c r="R57" s="13" t="n">
        <f aca="false">IF($G57="","",IFERROR(1/(1/INDEX(Map_Stats!$K$2:$K$779,MATCH($F57&amp;"|"&amp;$G57,Map_Stats!$A$2:$A$779,0))),$O57))</f>
        <v>0.71</v>
      </c>
      <c r="S57" s="10" t="n">
        <f aca="false">IF(OR($G57="",$P57=""),"",IFERROR(1/(1/INDEX(Map_Stats!$I$2:$I$779,MATCH($F57&amp;"|"&amp;$G57,Map_Stats!$A$2:$A$779,0))),$P57))</f>
        <v>0.53</v>
      </c>
      <c r="T57" s="13" t="n">
        <f aca="false">IF(OR($G57="",R57=""),"",IF($O57="",R57,(Q57*R57+Config!$B$4*$O57)/(Q57+Config!$B$4)))</f>
        <v>0.695714285714286</v>
      </c>
      <c r="U57" s="10" t="n">
        <f aca="false">IF(S57="","",(Q57*S57+Config!$B$4*$P57)/(Q57+Config!$B$4))</f>
        <v>0.532142857142857</v>
      </c>
      <c r="V57" s="17" t="n">
        <f aca="false">IF(OR(T57="",$J57=""),"",T57*$J57*($J57/Config!$B$10)^Config!$B$9)</f>
        <v>14.9578571428571</v>
      </c>
      <c r="W57" s="17" t="n">
        <f aca="false">IF(OR(V57="",U57=""),"",V57*U57)</f>
        <v>7.9597168367347</v>
      </c>
      <c r="X57" s="9" t="n">
        <f aca="false">IF($H57="",0,SUMIFS(Map_Stats!$F$2:$F$779,Map_Stats!$A$2:$A$779,$F57&amp;"|"&amp;$H57))</f>
        <v>10</v>
      </c>
      <c r="Y57" s="13" t="n">
        <f aca="false">IF($H57="","",IFERROR(1/(1/INDEX(Map_Stats!$K$2:$K$779,MATCH($F57&amp;"|"&amp;$H57,Map_Stats!$A$2:$A$779,0))),$O57))</f>
        <v>0.52</v>
      </c>
      <c r="Z57" s="10" t="n">
        <f aca="false">IF(OR($H57="",$P57=""),"",IFERROR(1/(1/INDEX(Map_Stats!$I$2:$I$779,MATCH($F57&amp;"|"&amp;$H57,Map_Stats!$A$2:$A$779,0))),$P57))</f>
        <v>0.554</v>
      </c>
      <c r="AA57" s="13" t="n">
        <f aca="false">IF(OR($H57="",Y57=""),"",IF($O57="",Y57,(X57*Y57+Config!$B$4*$O57)/(X57+Config!$B$4)))</f>
        <v>0.57</v>
      </c>
      <c r="AB57" s="10" t="n">
        <f aca="false">IF(Z57="","",(X57*Z57+Config!$B$4*$P57)/(X57+Config!$B$4))</f>
        <v>0.548</v>
      </c>
      <c r="AC57" s="17" t="n">
        <f aca="false">IF(OR(AA57="",$K57=""),"",AA57*$K57*($K57/Config!$B$10)^Config!$B$9)</f>
        <v>12.2094</v>
      </c>
      <c r="AD57" s="17" t="n">
        <f aca="false">IF(OR(AC57="",AB57=""),"",AC57*AB57)</f>
        <v>6.6907512</v>
      </c>
      <c r="AE57" s="9" t="n">
        <f aca="false">IF($I57="",0,SUMIFS(Map_Stats!$F$2:$F$779,Map_Stats!$A$2:$A$779,$F57&amp;"|"&amp;$I57))</f>
        <v>5</v>
      </c>
      <c r="AF57" s="13" t="n">
        <f aca="false">IF($I57="","",IFERROR(1/(1/INDEX(Map_Stats!$K$2:$K$779,MATCH($F57&amp;"|"&amp;$I57,Map_Stats!$A$2:$A$779,0))),$O57))</f>
        <v>0.71</v>
      </c>
      <c r="AG57" s="10" t="n">
        <f aca="false">IF(OR($I57="",$P57=""),"",IFERROR(1/(1/INDEX(Map_Stats!$I$2:$I$779,MATCH($F57&amp;"|"&amp;$I57,Map_Stats!$A$2:$A$779,0))),$P57))</f>
        <v>0.459</v>
      </c>
      <c r="AH57" s="13" t="n">
        <f aca="false">IF(OR($I57="",AF57=""),"",IF($O57="",AF57,(AE57*AF57+Config!$B$4*$O57)/(AE57+Config!$B$4)))</f>
        <v>0.69</v>
      </c>
      <c r="AI57" s="10" t="n">
        <f aca="false">IF(AG57="","",(AE57*AG57+Config!$B$4*$P57)/(AE57+Config!$B$4))</f>
        <v>0.4975</v>
      </c>
      <c r="AJ57" s="17" t="n">
        <f aca="false">IF(OR(AH57="",$L57=""),"",AH57*$L57*($L57/Config!$B$10)^Config!$B$9)</f>
        <v>14.835</v>
      </c>
      <c r="AK57" s="17" t="n">
        <f aca="false">IF(OR(AJ57="",AI57=""),"",AJ57*AI57)</f>
        <v>7.3804125</v>
      </c>
      <c r="AL57" s="17" t="n">
        <f aca="false">N(V57)+N(AC57)</f>
        <v>27.1672571428571</v>
      </c>
      <c r="AM57" s="17" t="n">
        <f aca="false">AL57+N($M57)*N(AJ57)</f>
        <v>34.5283841428572</v>
      </c>
      <c r="AN57" s="17" t="n">
        <f aca="false">IF(W57="","",N(W57)+N(AD57))</f>
        <v>14.6504680367347</v>
      </c>
      <c r="AO57" s="17" t="n">
        <f aca="false">IF(AN57="","",AN57+N($M57)*N(AK57))</f>
        <v>18.3126287192347</v>
      </c>
      <c r="AP57" s="10" t="n">
        <f aca="false">IFERROR(AN57/AL57,"")</f>
        <v>0.539269310836064</v>
      </c>
      <c r="AQ57" s="0" t="str">
        <f aca="false">TRIM(IF($N57&lt;Config!$B$12,"thin sample ("&amp;$N57&amp;" maps) · ","")&amp;IF(AND($G57&lt;&gt;"",Q57=0),"M1 unplayed→overall KPR · ","")&amp;IF(AND($H57&lt;&gt;"",X57=0),"M2 unplayed→overall KPR · ","")&amp;IF($O57="","no PickFinder stats",""))</f>
        <v/>
      </c>
      <c r="AR57" s="0" t="str">
        <f aca="false">IF($C57=Board!$B$2,COUNTIFS($C$2:$C$124,Board!$B$2,$AL$2:$AL$124,"&gt;"&amp;$AL57)+COUNTIFS($C$1:$C56,Board!$B$2,$AL$1:$AL56,$AL57)+1,"")</f>
        <v/>
      </c>
      <c r="AS57" s="0" t="str">
        <f aca="false">IFERROR(IF($D57=INDEX(Matches!$AD$5:$AD$19,MATCH($C57,Matches!$A$5:$A$19,0)),"A",IF($D57=INDEX(Matches!$AE$5:$AE$19,MATCH($C57,Matches!$A$5:$A$19,0)),"B","")),"")</f>
        <v>B</v>
      </c>
      <c r="AT57" s="10" t="n">
        <f aca="false">IF($AS57="","",IFERROR(IF($AS57="A",INDEX(Matches!$AI$5:$AI$19,MATCH($C57,Matches!$A$5:$A$19,0)),INDEX(Matches!$AJ$5:$AJ$19,MATCH($C57,Matches!$A$5:$A$19,0))),""))</f>
        <v>0.478322619225594</v>
      </c>
      <c r="AU57" s="10" t="n">
        <f aca="false">IF($AS57="","",IFERROR(IF(INDEX(Matches!$AP$5:$AP$19,MATCH($C57,Matches!$A$5:$A$19,0))="","",IF($AS57="A",INDEX(Matches!$AP$5:$AP$19,MATCH($C57,Matches!$A$5:$A$19,0)),1-INDEX(Matches!$AP$5:$AP$19,MATCH($C57,Matches!$A$5:$A$19,0)))),""))</f>
        <v>0.468136482616394</v>
      </c>
      <c r="AV57" s="13" t="n">
        <f aca="false">IF(OR($AU57="",$AT57=""),1,((Config!$B$14*$AU57+Config!$B$15*(1-$AU57))/(Config!$B$14*$AT57+Config!$B$15*(1-$AT57)))^Config!$B$13)</f>
        <v>0.990717684648319</v>
      </c>
      <c r="AW57" s="10" t="n">
        <f aca="false">IF($AS57="","",IFERROR(IF(INDEX(Matches!$AV$5:$AV$19,MATCH($C57,Matches!$A$5:$A$19,0))="","",IF($AS57="A",INDEX(Matches!$AV$5:$AV$19,MATCH($C57,Matches!$A$5:$A$19,0)),1-INDEX(Matches!$AV$5:$AV$19,MATCH($C57,Matches!$A$5:$A$19,0)))),""))</f>
        <v>0.493180645260681</v>
      </c>
      <c r="AX57" s="13" t="n">
        <f aca="false">IF(OR($AW57="",$AT57=""),1,((Config!$B$14*$AW57+Config!$B$15*(1-$AW57))/(Config!$B$14*$AT57+Config!$B$15*(1-$AT57)))^Config!$B$13)</f>
        <v>1.01353966557218</v>
      </c>
      <c r="AY57" s="10" t="n">
        <f aca="false">IF($AS57="","",IFERROR(IF(INDEX(Matches!$BB$5:$BB$19,MATCH($C57,Matches!$A$5:$A$19,0))="","",IF($AS57="A",INDEX(Matches!$BB$5:$BB$19,MATCH($C57,Matches!$A$5:$A$19,0)),1-INDEX(Matches!$BB$5:$BB$19,MATCH($C57,Matches!$A$5:$A$19,0)))),""))</f>
        <v>0.467710833757496</v>
      </c>
      <c r="AZ57" s="13" t="n">
        <f aca="false">IF(OR($AY57="",$AT57=""),1,((Config!$B$14*$AY57+Config!$B$15*(1-$AY57))/(Config!$B$14*$AT57+Config!$B$15*(1-$AT57)))^Config!$B$13)</f>
        <v>0.990329803836491</v>
      </c>
      <c r="BA57" s="17" t="n">
        <f aca="false">IF(V57="","",V57*$AV57)</f>
        <v>14.8190135958718</v>
      </c>
      <c r="BB57" s="17" t="n">
        <f aca="false">IF(AC57="","",AC57*$AX57)</f>
        <v>12.374711192837</v>
      </c>
      <c r="BC57" s="17" t="n">
        <f aca="false">IF(AJ57="","",AJ57*$AZ57)</f>
        <v>14.6915426399143</v>
      </c>
      <c r="BD57" s="17" t="n">
        <f aca="false">N(BA57)+N(BB57)</f>
        <v>27.1937247887088</v>
      </c>
      <c r="BE57" s="17" t="n">
        <f aca="false">BD57+N($M57)*N(BC57)</f>
        <v>34.4836682466343</v>
      </c>
      <c r="BF57" s="17" t="n">
        <f aca="false">IF(W57="","",W57*$AV57)</f>
        <v>7.88583223494604</v>
      </c>
      <c r="BG57" s="17" t="n">
        <f aca="false">IF(AD57="","",AD57*$AX57)</f>
        <v>6.78134173367469</v>
      </c>
      <c r="BH57" s="17" t="n">
        <f aca="false">IF(AK57="","",AK57*$AZ57)</f>
        <v>7.30904246335739</v>
      </c>
      <c r="BI57" s="17" t="n">
        <f aca="false">IF(BF57="","",N(BF57)+N(BG57))</f>
        <v>14.6671739686207</v>
      </c>
      <c r="BJ57" s="17" t="n">
        <f aca="false">IF(BI57="","",BI57+N($M57)*N(BH57))</f>
        <v>18.2939208389387</v>
      </c>
      <c r="BK57" s="13" t="n">
        <f aca="false">IFERROR(BD57/AL57,1)</f>
        <v>1.00097424799686</v>
      </c>
    </row>
    <row r="58" customFormat="false" ht="15" hidden="false" customHeight="false" outlineLevel="0" collapsed="false">
      <c r="A58" s="0" t="s">
        <v>1259</v>
      </c>
      <c r="B58" s="0" t="s">
        <v>988</v>
      </c>
      <c r="C58" s="0" t="s">
        <v>1060</v>
      </c>
      <c r="D58" s="0" t="s">
        <v>1065</v>
      </c>
      <c r="E58" s="0" t="s">
        <v>1258</v>
      </c>
      <c r="F58" s="0" t="s">
        <v>1511</v>
      </c>
      <c r="G58" s="0" t="str">
        <f aca="false">IFERROR(IF(INDEX(Matches!$W$5:$W$19,MATCH($C58,Matches!$A$5:$A$19,0))="","",INDEX(Matches!$W$5:$W$19,MATCH($C58,Matches!$A$5:$A$19,0))),"")</f>
        <v>Mirage</v>
      </c>
      <c r="H58" s="0" t="str">
        <f aca="false">IFERROR(IF(INDEX(Matches!$X$5:$X$19,MATCH($C58,Matches!$A$5:$A$19,0))="","",INDEX(Matches!$X$5:$X$19,MATCH($C58,Matches!$A$5:$A$19,0))),"")</f>
        <v>Inferno</v>
      </c>
      <c r="I58" s="0" t="str">
        <f aca="false">IFERROR(IF(INDEX(Matches!$Y$5:$Y$19,MATCH($C58,Matches!$A$5:$A$19,0))="","",INDEX(Matches!$Y$5:$Y$19,MATCH($C58,Matches!$A$5:$A$19,0))),"")</f>
        <v>Nuke</v>
      </c>
      <c r="J58" s="11" t="n">
        <f aca="false">IFERROR(IF(INDEX(Matches!$Z$5:$Z$19,MATCH($C58,Matches!$A$5:$A$19,0))="","",INDEX(Matches!$Z$5:$Z$19,MATCH($C58,Matches!$A$5:$A$19,0))),"")</f>
        <v>21.5</v>
      </c>
      <c r="K58" s="11" t="n">
        <f aca="false">IFERROR(IF(INDEX(Matches!$AA$5:$AA$19,MATCH($C58,Matches!$A$5:$A$19,0))="","",INDEX(Matches!$AA$5:$AA$19,MATCH($C58,Matches!$A$5:$A$19,0))),"")</f>
        <v>21.42</v>
      </c>
      <c r="L58" s="11" t="n">
        <f aca="false">IFERROR(IF(INDEX(Matches!$AB$5:$AB$19,MATCH($C58,Matches!$A$5:$A$19,0))="","",INDEX(Matches!$AB$5:$AB$19,MATCH($C58,Matches!$A$5:$A$19,0))),"")</f>
        <v>21.5</v>
      </c>
      <c r="M58" s="10" t="n">
        <f aca="false">IFERROR(IF(INDEX(Matches!$AC$5:$AC$19,MATCH($C58,Matches!$A$5:$A$19,0))="","",INDEX(Matches!$AC$5:$AC$19,MATCH($C58,Matches!$A$5:$A$19,0))),"")</f>
        <v>0.4962</v>
      </c>
      <c r="N58" s="9" t="n">
        <f aca="false">IFERROR(INDEX(Players!$F$2:$F$124,MATCH($F58,Players!$A$2:$A$124,0)),0)</f>
        <v>36</v>
      </c>
      <c r="O58" s="13" t="n">
        <f aca="false">IFERROR(1/(1/INDEX(Players!$H$2:$H$124,MATCH($F58,Players!$A$2:$A$124,0))),"")</f>
        <v>0.74</v>
      </c>
      <c r="P58" s="10" t="n">
        <f aca="false">IFERROR(1/(1/INDEX(Players!$I$2:$I$124,MATCH($F58,Players!$A$2:$A$124,0))),"")</f>
        <v>0.4</v>
      </c>
      <c r="Q58" s="9" t="n">
        <f aca="false">IF($G58="",0,SUMIFS(Map_Stats!$F$2:$F$779,Map_Stats!$A$2:$A$779,$F58&amp;"|"&amp;$G58))</f>
        <v>9</v>
      </c>
      <c r="R58" s="13" t="n">
        <f aca="false">IF($G58="","",IFERROR(1/(1/INDEX(Map_Stats!$K$2:$K$779,MATCH($F58&amp;"|"&amp;$G58,Map_Stats!$A$2:$A$779,0))),$O58))</f>
        <v>0.67</v>
      </c>
      <c r="S58" s="10" t="n">
        <f aca="false">IF(OR($G58="",$P58=""),"",IFERROR(1/(1/INDEX(Map_Stats!$I$2:$I$779,MATCH($F58&amp;"|"&amp;$G58,Map_Stats!$A$2:$A$779,0))),$P58))</f>
        <v>0.383</v>
      </c>
      <c r="T58" s="13" t="n">
        <f aca="false">IF(OR($G58="",R58=""),"",IF($O58="",R58,(Q58*R58+Config!$B$4*$O58)/(Q58+Config!$B$4)))</f>
        <v>0.695</v>
      </c>
      <c r="U58" s="10" t="n">
        <f aca="false">IF(S58="","",(Q58*S58+Config!$B$4*$P58)/(Q58+Config!$B$4))</f>
        <v>0.389071428571429</v>
      </c>
      <c r="V58" s="17" t="n">
        <f aca="false">IF(OR(T58="",$J58=""),"",T58*$J58*($J58/Config!$B$10)^Config!$B$9)</f>
        <v>14.9425</v>
      </c>
      <c r="W58" s="17" t="n">
        <f aca="false">IF(OR(V58="",U58=""),"",V58*U58)</f>
        <v>5.81369982142857</v>
      </c>
      <c r="X58" s="9" t="n">
        <f aca="false">IF($H58="",0,SUMIFS(Map_Stats!$F$2:$F$779,Map_Stats!$A$2:$A$779,$F58&amp;"|"&amp;$H58))</f>
        <v>10</v>
      </c>
      <c r="Y58" s="13" t="n">
        <f aca="false">IF($H58="","",IFERROR(1/(1/INDEX(Map_Stats!$K$2:$K$779,MATCH($F58&amp;"|"&amp;$H58,Map_Stats!$A$2:$A$779,0))),$O58))</f>
        <v>0.71</v>
      </c>
      <c r="Z58" s="10" t="n">
        <f aca="false">IF(OR($H58="",$P58=""),"",IFERROR(1/(1/INDEX(Map_Stats!$I$2:$I$779,MATCH($F58&amp;"|"&amp;$H58,Map_Stats!$A$2:$A$779,0))),$P58))</f>
        <v>0.441</v>
      </c>
      <c r="AA58" s="13" t="n">
        <f aca="false">IF(OR($H58="",Y58=""),"",IF($O58="",Y58,(X58*Y58+Config!$B$4*$O58)/(X58+Config!$B$4)))</f>
        <v>0.72</v>
      </c>
      <c r="AB58" s="10" t="n">
        <f aca="false">IF(Z58="","",(X58*Z58+Config!$B$4*$P58)/(X58+Config!$B$4))</f>
        <v>0.427333333333333</v>
      </c>
      <c r="AC58" s="17" t="n">
        <f aca="false">IF(OR(AA58="",$K58=""),"",AA58*$K58*($K58/Config!$B$10)^Config!$B$9)</f>
        <v>15.4224</v>
      </c>
      <c r="AD58" s="17" t="n">
        <f aca="false">IF(OR(AC58="",AB58=""),"",AC58*AB58)</f>
        <v>6.5905056</v>
      </c>
      <c r="AE58" s="9" t="n">
        <f aca="false">IF($I58="",0,SUMIFS(Map_Stats!$F$2:$F$779,Map_Stats!$A$2:$A$779,$F58&amp;"|"&amp;$I58))</f>
        <v>5</v>
      </c>
      <c r="AF58" s="13" t="n">
        <f aca="false">IF($I58="","",IFERROR(1/(1/INDEX(Map_Stats!$K$2:$K$779,MATCH($F58&amp;"|"&amp;$I58,Map_Stats!$A$2:$A$779,0))),$O58))</f>
        <v>0.71</v>
      </c>
      <c r="AG58" s="10" t="n">
        <f aca="false">IF(OR($I58="",$P58=""),"",IFERROR(1/(1/INDEX(Map_Stats!$I$2:$I$779,MATCH($F58&amp;"|"&amp;$I58,Map_Stats!$A$2:$A$779,0))),$P58))</f>
        <v>0.419</v>
      </c>
      <c r="AH58" s="13" t="n">
        <f aca="false">IF(OR($I58="",AF58=""),"",IF($O58="",AF58,(AE58*AF58+Config!$B$4*$O58)/(AE58+Config!$B$4)))</f>
        <v>0.725</v>
      </c>
      <c r="AI58" s="10" t="n">
        <f aca="false">IF(AG58="","",(AE58*AG58+Config!$B$4*$P58)/(AE58+Config!$B$4))</f>
        <v>0.4095</v>
      </c>
      <c r="AJ58" s="17" t="n">
        <f aca="false">IF(OR(AH58="",$L58=""),"",AH58*$L58*($L58/Config!$B$10)^Config!$B$9)</f>
        <v>15.5875</v>
      </c>
      <c r="AK58" s="17" t="n">
        <f aca="false">IF(OR(AJ58="",AI58=""),"",AJ58*AI58)</f>
        <v>6.38308125</v>
      </c>
      <c r="AL58" s="17" t="n">
        <f aca="false">N(V58)+N(AC58)</f>
        <v>30.3649</v>
      </c>
      <c r="AM58" s="17" t="n">
        <f aca="false">AL58+N($M58)*N(AJ58)</f>
        <v>38.0994175</v>
      </c>
      <c r="AN58" s="17" t="n">
        <f aca="false">IF(W58="","",N(W58)+N(AD58))</f>
        <v>12.4042054214286</v>
      </c>
      <c r="AO58" s="17" t="n">
        <f aca="false">IF(AN58="","",AN58+N($M58)*N(AK58))</f>
        <v>15.5714903376786</v>
      </c>
      <c r="AP58" s="10" t="n">
        <f aca="false">IFERROR(AN58/AL58,"")</f>
        <v>0.408504734790122</v>
      </c>
      <c r="AQ58" s="0" t="str">
        <f aca="false">TRIM(IF($N58&lt;Config!$B$12,"thin sample ("&amp;$N58&amp;" maps) · ","")&amp;IF(AND($G58&lt;&gt;"",Q58=0),"M1 unplayed→overall KPR · ","")&amp;IF(AND($H58&lt;&gt;"",X58=0),"M2 unplayed→overall KPR · ","")&amp;IF($O58="","no PickFinder stats",""))</f>
        <v/>
      </c>
      <c r="AR58" s="0" t="str">
        <f aca="false">IF($C58=Board!$B$2,COUNTIFS($C$2:$C$124,Board!$B$2,$AL$2:$AL$124,"&gt;"&amp;$AL58)+COUNTIFS($C$1:$C57,Board!$B$2,$AL$1:$AL57,$AL58)+1,"")</f>
        <v/>
      </c>
      <c r="AS58" s="0" t="str">
        <f aca="false">IFERROR(IF($D58=INDEX(Matches!$AD$5:$AD$19,MATCH($C58,Matches!$A$5:$A$19,0)),"A",IF($D58=INDEX(Matches!$AE$5:$AE$19,MATCH($C58,Matches!$A$5:$A$19,0)),"B","")),"")</f>
        <v>B</v>
      </c>
      <c r="AT58" s="10" t="n">
        <f aca="false">IF($AS58="","",IFERROR(IF($AS58="A",INDEX(Matches!$AI$5:$AI$19,MATCH($C58,Matches!$A$5:$A$19,0)),INDEX(Matches!$AJ$5:$AJ$19,MATCH($C58,Matches!$A$5:$A$19,0))),""))</f>
        <v>0.478322619225594</v>
      </c>
      <c r="AU58" s="10" t="n">
        <f aca="false">IF($AS58="","",IFERROR(IF(INDEX(Matches!$AP$5:$AP$19,MATCH($C58,Matches!$A$5:$A$19,0))="","",IF($AS58="A",INDEX(Matches!$AP$5:$AP$19,MATCH($C58,Matches!$A$5:$A$19,0)),1-INDEX(Matches!$AP$5:$AP$19,MATCH($C58,Matches!$A$5:$A$19,0)))),""))</f>
        <v>0.468136482616394</v>
      </c>
      <c r="AV58" s="13" t="n">
        <f aca="false">IF(OR($AU58="",$AT58=""),1,((Config!$B$14*$AU58+Config!$B$15*(1-$AU58))/(Config!$B$14*$AT58+Config!$B$15*(1-$AT58)))^Config!$B$13)</f>
        <v>0.990717684648319</v>
      </c>
      <c r="AW58" s="10" t="n">
        <f aca="false">IF($AS58="","",IFERROR(IF(INDEX(Matches!$AV$5:$AV$19,MATCH($C58,Matches!$A$5:$A$19,0))="","",IF($AS58="A",INDEX(Matches!$AV$5:$AV$19,MATCH($C58,Matches!$A$5:$A$19,0)),1-INDEX(Matches!$AV$5:$AV$19,MATCH($C58,Matches!$A$5:$A$19,0)))),""))</f>
        <v>0.493180645260681</v>
      </c>
      <c r="AX58" s="13" t="n">
        <f aca="false">IF(OR($AW58="",$AT58=""),1,((Config!$B$14*$AW58+Config!$B$15*(1-$AW58))/(Config!$B$14*$AT58+Config!$B$15*(1-$AT58)))^Config!$B$13)</f>
        <v>1.01353966557218</v>
      </c>
      <c r="AY58" s="10" t="n">
        <f aca="false">IF($AS58="","",IFERROR(IF(INDEX(Matches!$BB$5:$BB$19,MATCH($C58,Matches!$A$5:$A$19,0))="","",IF($AS58="A",INDEX(Matches!$BB$5:$BB$19,MATCH($C58,Matches!$A$5:$A$19,0)),1-INDEX(Matches!$BB$5:$BB$19,MATCH($C58,Matches!$A$5:$A$19,0)))),""))</f>
        <v>0.467710833757496</v>
      </c>
      <c r="AZ58" s="13" t="n">
        <f aca="false">IF(OR($AY58="",$AT58=""),1,((Config!$B$14*$AY58+Config!$B$15*(1-$AY58))/(Config!$B$14*$AT58+Config!$B$15*(1-$AT58)))^Config!$B$13)</f>
        <v>0.990329803836491</v>
      </c>
      <c r="BA58" s="17" t="n">
        <f aca="false">IF(V58="","",V58*$AV58)</f>
        <v>14.8037990028575</v>
      </c>
      <c r="BB58" s="17" t="n">
        <f aca="false">IF(AC58="","",AC58*$AX58)</f>
        <v>15.6312141383204</v>
      </c>
      <c r="BC58" s="17" t="n">
        <f aca="false">IF(AJ58="","",AJ58*$AZ58)</f>
        <v>15.4367658173013</v>
      </c>
      <c r="BD58" s="17" t="n">
        <f aca="false">N(BA58)+N(BB58)</f>
        <v>30.435013141178</v>
      </c>
      <c r="BE58" s="17" t="n">
        <f aca="false">BD58+N($M58)*N(BC58)</f>
        <v>38.0947363397229</v>
      </c>
      <c r="BF58" s="17" t="n">
        <f aca="false">IF(W58="","",W58*$AV58)</f>
        <v>5.75973522632606</v>
      </c>
      <c r="BG58" s="17" t="n">
        <f aca="false">IF(AD58="","",AD58*$AX58)</f>
        <v>6.6797388417756</v>
      </c>
      <c r="BH58" s="17" t="n">
        <f aca="false">IF(AK58="","",AK58*$AZ58)</f>
        <v>6.32135560218488</v>
      </c>
      <c r="BI58" s="17" t="n">
        <f aca="false">IF(BF58="","",N(BF58)+N(BG58))</f>
        <v>12.4394740681017</v>
      </c>
      <c r="BJ58" s="17" t="n">
        <f aca="false">IF(BI58="","",BI58+N($M58)*N(BH58))</f>
        <v>15.5761307179058</v>
      </c>
      <c r="BK58" s="13" t="n">
        <f aca="false">IFERROR(BD58/AL58,1)</f>
        <v>1.0023090193341</v>
      </c>
    </row>
    <row r="59" customFormat="false" ht="15" hidden="false" customHeight="false" outlineLevel="0" collapsed="false">
      <c r="A59" s="0" t="s">
        <v>1261</v>
      </c>
      <c r="B59" s="0" t="s">
        <v>988</v>
      </c>
      <c r="C59" s="0" t="s">
        <v>905</v>
      </c>
      <c r="D59" s="0" t="s">
        <v>994</v>
      </c>
      <c r="E59" s="0" t="s">
        <v>1260</v>
      </c>
      <c r="F59" s="0" t="s">
        <v>1512</v>
      </c>
      <c r="G59" s="0" t="str">
        <f aca="false">IFERROR(IF(INDEX(Matches!$W$5:$W$19,MATCH($C59,Matches!$A$5:$A$19,0))="","",INDEX(Matches!$W$5:$W$19,MATCH($C59,Matches!$A$5:$A$19,0))),"")</f>
        <v>Nuke</v>
      </c>
      <c r="H59" s="0" t="str">
        <f aca="false">IFERROR(IF(INDEX(Matches!$X$5:$X$19,MATCH($C59,Matches!$A$5:$A$19,0))="","",INDEX(Matches!$X$5:$X$19,MATCH($C59,Matches!$A$5:$A$19,0))),"")</f>
        <v>Anubis</v>
      </c>
      <c r="I59" s="0" t="str">
        <f aca="false">IFERROR(IF(INDEX(Matches!$Y$5:$Y$19,MATCH($C59,Matches!$A$5:$A$19,0))="","",INDEX(Matches!$Y$5:$Y$19,MATCH($C59,Matches!$A$5:$A$19,0))),"")</f>
        <v>Dust2</v>
      </c>
      <c r="J59" s="11" t="n">
        <f aca="false">IFERROR(IF(INDEX(Matches!$Z$5:$Z$19,MATCH($C59,Matches!$A$5:$A$19,0))="","",INDEX(Matches!$Z$5:$Z$19,MATCH($C59,Matches!$A$5:$A$19,0))),"")</f>
        <v>21.42</v>
      </c>
      <c r="K59" s="11" t="n">
        <f aca="false">IFERROR(IF(INDEX(Matches!$AA$5:$AA$19,MATCH($C59,Matches!$A$5:$A$19,0))="","",INDEX(Matches!$AA$5:$AA$19,MATCH($C59,Matches!$A$5:$A$19,0))),"")</f>
        <v>21.22</v>
      </c>
      <c r="L59" s="11" t="n">
        <f aca="false">IFERROR(IF(INDEX(Matches!$AB$5:$AB$19,MATCH($C59,Matches!$A$5:$A$19,0))="","",INDEX(Matches!$AB$5:$AB$19,MATCH($C59,Matches!$A$5:$A$19,0))),"")</f>
        <v>21.31</v>
      </c>
      <c r="M59" s="10" t="n">
        <f aca="false">IFERROR(IF(INDEX(Matches!$AC$5:$AC$19,MATCH($C59,Matches!$A$5:$A$19,0))="","",INDEX(Matches!$AC$5:$AC$19,MATCH($C59,Matches!$A$5:$A$19,0))),"")</f>
        <v>0.4687</v>
      </c>
      <c r="N59" s="9" t="n">
        <f aca="false">IFERROR(INDEX(Players!$F$2:$F$124,MATCH($F59,Players!$A$2:$A$124,0)),0)</f>
        <v>37</v>
      </c>
      <c r="O59" s="13" t="n">
        <f aca="false">IFERROR(1/(1/INDEX(Players!$H$2:$H$124,MATCH($F59,Players!$A$2:$A$124,0))),"")</f>
        <v>0.71</v>
      </c>
      <c r="P59" s="10" t="n">
        <f aca="false">IFERROR(1/(1/INDEX(Players!$I$2:$I$124,MATCH($F59,Players!$A$2:$A$124,0))),"")</f>
        <v>0.67</v>
      </c>
      <c r="Q59" s="9" t="n">
        <f aca="false">IF($G59="",0,SUMIFS(Map_Stats!$F$2:$F$779,Map_Stats!$A$2:$A$779,$F59&amp;"|"&amp;$G59))</f>
        <v>6</v>
      </c>
      <c r="R59" s="13" t="n">
        <f aca="false">IF($G59="","",IFERROR(1/(1/INDEX(Map_Stats!$K$2:$K$779,MATCH($F59&amp;"|"&amp;$G59,Map_Stats!$A$2:$A$779,0))),$O59))</f>
        <v>0.76</v>
      </c>
      <c r="S59" s="10" t="n">
        <f aca="false">IF(OR($G59="",$P59=""),"",IFERROR(1/(1/INDEX(Map_Stats!$I$2:$I$779,MATCH($F59&amp;"|"&amp;$G59,Map_Stats!$A$2:$A$779,0))),$P59))</f>
        <v>0.633</v>
      </c>
      <c r="T59" s="13" t="n">
        <f aca="false">IF(OR($G59="",R59=""),"",IF($O59="",R59,(Q59*R59+Config!$B$4*$O59)/(Q59+Config!$B$4)))</f>
        <v>0.737272727272727</v>
      </c>
      <c r="U59" s="10" t="n">
        <f aca="false">IF(S59="","",(Q59*S59+Config!$B$4*$P59)/(Q59+Config!$B$4))</f>
        <v>0.649818181818182</v>
      </c>
      <c r="V59" s="17" t="n">
        <f aca="false">IF(OR(T59="",$J59=""),"",T59*$J59*($J59/Config!$B$10)^Config!$B$9)</f>
        <v>15.7923818181818</v>
      </c>
      <c r="W59" s="17" t="n">
        <f aca="false">IF(OR(V59="",U59=""),"",V59*U59)</f>
        <v>10.2621768396694</v>
      </c>
      <c r="X59" s="9" t="n">
        <f aca="false">IF($H59="",0,SUMIFS(Map_Stats!$F$2:$F$779,Map_Stats!$A$2:$A$779,$F59&amp;"|"&amp;$H59))</f>
        <v>4</v>
      </c>
      <c r="Y59" s="13" t="n">
        <f aca="false">IF($H59="","",IFERROR(1/(1/INDEX(Map_Stats!$K$2:$K$779,MATCH($F59&amp;"|"&amp;$H59,Map_Stats!$A$2:$A$779,0))),$O59))</f>
        <v>0.69</v>
      </c>
      <c r="Z59" s="10" t="n">
        <f aca="false">IF(OR($H59="",$P59=""),"",IFERROR(1/(1/INDEX(Map_Stats!$I$2:$I$779,MATCH($F59&amp;"|"&amp;$H59,Map_Stats!$A$2:$A$779,0))),$P59))</f>
        <v>0.712</v>
      </c>
      <c r="AA59" s="13" t="n">
        <f aca="false">IF(OR($H59="",Y59=""),"",IF($O59="",Y59,(X59*Y59+Config!$B$4*$O59)/(X59+Config!$B$4)))</f>
        <v>0.701111111111111</v>
      </c>
      <c r="AB59" s="10" t="n">
        <f aca="false">IF(Z59="","",(X59*Z59+Config!$B$4*$P59)/(X59+Config!$B$4))</f>
        <v>0.688666666666667</v>
      </c>
      <c r="AC59" s="17" t="n">
        <f aca="false">IF(OR(AA59="",$K59=""),"",AA59*$K59*($K59/Config!$B$10)^Config!$B$9)</f>
        <v>14.8775777777778</v>
      </c>
      <c r="AD59" s="17" t="n">
        <f aca="false">IF(OR(AC59="",AB59=""),"",AC59*AB59)</f>
        <v>10.2456918962963</v>
      </c>
      <c r="AE59" s="9" t="n">
        <f aca="false">IF($I59="",0,SUMIFS(Map_Stats!$F$2:$F$779,Map_Stats!$A$2:$A$779,$F59&amp;"|"&amp;$I59))</f>
        <v>8</v>
      </c>
      <c r="AF59" s="13" t="n">
        <f aca="false">IF($I59="","",IFERROR(1/(1/INDEX(Map_Stats!$K$2:$K$779,MATCH($F59&amp;"|"&amp;$I59,Map_Stats!$A$2:$A$779,0))),$O59))</f>
        <v>0.68</v>
      </c>
      <c r="AG59" s="10" t="n">
        <f aca="false">IF(OR($I59="",$P59=""),"",IFERROR(1/(1/INDEX(Map_Stats!$I$2:$I$779,MATCH($F59&amp;"|"&amp;$I59,Map_Stats!$A$2:$A$779,0))),$P59))</f>
        <v>0.688</v>
      </c>
      <c r="AH59" s="13" t="n">
        <f aca="false">IF(OR($I59="",AF59=""),"",IF($O59="",AF59,(AE59*AF59+Config!$B$4*$O59)/(AE59+Config!$B$4)))</f>
        <v>0.691538461538462</v>
      </c>
      <c r="AI59" s="10" t="n">
        <f aca="false">IF(AG59="","",(AE59*AG59+Config!$B$4*$P59)/(AE59+Config!$B$4))</f>
        <v>0.681076923076923</v>
      </c>
      <c r="AJ59" s="17" t="n">
        <f aca="false">IF(OR(AH59="",$L59=""),"",AH59*$L59*($L59/Config!$B$10)^Config!$B$9)</f>
        <v>14.7366846153846</v>
      </c>
      <c r="AK59" s="17" t="n">
        <f aca="false">IF(OR(AJ59="",AI59=""),"",AJ59*AI59)</f>
        <v>10.0368158142012</v>
      </c>
      <c r="AL59" s="17" t="n">
        <f aca="false">N(V59)+N(AC59)</f>
        <v>30.6699595959596</v>
      </c>
      <c r="AM59" s="17" t="n">
        <f aca="false">AL59+N($M59)*N(AJ59)</f>
        <v>37.5770436751904</v>
      </c>
      <c r="AN59" s="17" t="n">
        <f aca="false">IF(W59="","",N(W59)+N(AD59))</f>
        <v>20.5078687359657</v>
      </c>
      <c r="AO59" s="17" t="n">
        <f aca="false">IF(AN59="","",AN59+N($M59)*N(AK59))</f>
        <v>25.2121243080818</v>
      </c>
      <c r="AP59" s="10" t="n">
        <f aca="false">IFERROR(AN59/AL59,"")</f>
        <v>0.668663050298488</v>
      </c>
      <c r="AQ59" s="0" t="str">
        <f aca="false">TRIM(IF($N59&lt;Config!$B$12,"thin sample ("&amp;$N59&amp;" maps) · ","")&amp;IF(AND($G59&lt;&gt;"",Q59=0),"M1 unplayed→overall KPR · ","")&amp;IF(AND($H59&lt;&gt;"",X59=0),"M2 unplayed→overall KPR · ","")&amp;IF($O59="","no PickFinder stats",""))</f>
        <v/>
      </c>
      <c r="AR59" s="9" t="n">
        <f aca="false">IF($C59=Board!$B$2,COUNTIFS($C$2:$C$124,Board!$B$2,$AL$2:$AL$124,"&gt;"&amp;$AL59)+COUNTIFS($C$1:$C58,Board!$B$2,$AL$1:$AL58,$AL59)+1,"")</f>
        <v>3</v>
      </c>
      <c r="AS59" s="0" t="str">
        <f aca="false">IFERROR(IF($D59=INDEX(Matches!$AD$5:$AD$19,MATCH($C59,Matches!$A$5:$A$19,0)),"A",IF($D59=INDEX(Matches!$AE$5:$AE$19,MATCH($C59,Matches!$A$5:$A$19,0)),"B","")),"")</f>
        <v>A</v>
      </c>
      <c r="AT59" s="10" t="n">
        <f aca="false">IF($AS59="","",IFERROR(IF($AS59="A",INDEX(Matches!$AI$5:$AI$19,MATCH($C59,Matches!$A$5:$A$19,0)),INDEX(Matches!$AJ$5:$AJ$19,MATCH($C59,Matches!$A$5:$A$19,0))),""))</f>
        <v>0.529905965777709</v>
      </c>
      <c r="AU59" s="10" t="n">
        <f aca="false">IF($AS59="","",IFERROR(IF(INDEX(Matches!$AP$5:$AP$19,MATCH($C59,Matches!$A$5:$A$19,0))="","",IF($AS59="A",INDEX(Matches!$AP$5:$AP$19,MATCH($C59,Matches!$A$5:$A$19,0)),1-INDEX(Matches!$AP$5:$AP$19,MATCH($C59,Matches!$A$5:$A$19,0)))),""))</f>
        <v>0.517650805323895</v>
      </c>
      <c r="AV59" s="13" t="n">
        <f aca="false">IF(OR($AU59="",$AT59=""),1,((Config!$B$14*$AU59+Config!$B$15*(1-$AU59))/(Config!$B$14*$AT59+Config!$B$15*(1-$AT59)))^Config!$B$13)</f>
        <v>0.989333633128725</v>
      </c>
      <c r="AW59" s="10" t="n">
        <f aca="false">IF($AS59="","",IFERROR(IF(INDEX(Matches!$AV$5:$AV$19,MATCH($C59,Matches!$A$5:$A$19,0))="","",IF($AS59="A",INDEX(Matches!$AV$5:$AV$19,MATCH($C59,Matches!$A$5:$A$19,0)),1-INDEX(Matches!$AV$5:$AV$19,MATCH($C59,Matches!$A$5:$A$19,0)))),""))</f>
        <v>0.547874838095658</v>
      </c>
      <c r="AX59" s="13" t="n">
        <f aca="false">IF(OR($AW59="",$AT59=""),1,((Config!$B$14*$AW59+Config!$B$15*(1-$AW59))/(Config!$B$14*$AT59+Config!$B$15*(1-$AT59)))^Config!$B$13)</f>
        <v>1.01563933700653</v>
      </c>
      <c r="AY59" s="10" t="n">
        <f aca="false">IF($AS59="","",IFERROR(IF(INDEX(Matches!$BB$5:$BB$19,MATCH($C59,Matches!$A$5:$A$19,0))="","",IF($AS59="A",INDEX(Matches!$BB$5:$BB$19,MATCH($C59,Matches!$A$5:$A$19,0)),1-INDEX(Matches!$BB$5:$BB$19,MATCH($C59,Matches!$A$5:$A$19,0)))),""))</f>
        <v>0.518024904532207</v>
      </c>
      <c r="AZ59" s="13" t="n">
        <f aca="false">IF(OR($AY59="",$AT59=""),1,((Config!$B$14*$AY59+Config!$B$15*(1-$AY59))/(Config!$B$14*$AT59+Config!$B$15*(1-$AT59)))^Config!$B$13)</f>
        <v>0.989659233060047</v>
      </c>
      <c r="BA59" s="17" t="n">
        <f aca="false">IF(V59="","",V59*$AV59)</f>
        <v>15.6239344799378</v>
      </c>
      <c r="BB59" s="17" t="n">
        <f aca="false">IF(AC59="","",AC59*$AX59)</f>
        <v>15.1102532304854</v>
      </c>
      <c r="BC59" s="17" t="n">
        <f aca="false">IF(AJ59="","",AJ59*$AZ59)</f>
        <v>14.5842959943093</v>
      </c>
      <c r="BD59" s="17" t="n">
        <f aca="false">N(BA59)+N(BB59)</f>
        <v>30.7341877104232</v>
      </c>
      <c r="BE59" s="17" t="n">
        <f aca="false">BD59+N($M59)*N(BC59)</f>
        <v>37.569847242956</v>
      </c>
      <c r="BF59" s="17" t="n">
        <f aca="false">IF(W59="","",W59*$AV59)</f>
        <v>10.1527166965996</v>
      </c>
      <c r="BG59" s="17" t="n">
        <f aca="false">IF(AD59="","",AD59*$AX59)</f>
        <v>10.4059277247276</v>
      </c>
      <c r="BH59" s="17" t="n">
        <f aca="false">IF(AK59="","",AK59*$AZ59)</f>
        <v>9.9330274410473</v>
      </c>
      <c r="BI59" s="17" t="n">
        <f aca="false">IF(BF59="","",N(BF59)+N(BG59))</f>
        <v>20.5586444213272</v>
      </c>
      <c r="BJ59" s="17" t="n">
        <f aca="false">IF(BI59="","",BI59+N($M59)*N(BH59))</f>
        <v>25.2142543829461</v>
      </c>
      <c r="BK59" s="13" t="n">
        <f aca="false">IFERROR(BD59/AL59,1)</f>
        <v>1.00209417016878</v>
      </c>
    </row>
    <row r="60" customFormat="false" ht="15" hidden="false" customHeight="false" outlineLevel="0" collapsed="false">
      <c r="A60" s="0" t="s">
        <v>1263</v>
      </c>
      <c r="B60" s="0" t="s">
        <v>988</v>
      </c>
      <c r="C60" s="0" t="s">
        <v>905</v>
      </c>
      <c r="D60" s="0" t="s">
        <v>994</v>
      </c>
      <c r="E60" s="0" t="s">
        <v>1262</v>
      </c>
      <c r="F60" s="0" t="s">
        <v>1513</v>
      </c>
      <c r="G60" s="0" t="str">
        <f aca="false">IFERROR(IF(INDEX(Matches!$W$5:$W$19,MATCH($C60,Matches!$A$5:$A$19,0))="","",INDEX(Matches!$W$5:$W$19,MATCH($C60,Matches!$A$5:$A$19,0))),"")</f>
        <v>Nuke</v>
      </c>
      <c r="H60" s="0" t="str">
        <f aca="false">IFERROR(IF(INDEX(Matches!$X$5:$X$19,MATCH($C60,Matches!$A$5:$A$19,0))="","",INDEX(Matches!$X$5:$X$19,MATCH($C60,Matches!$A$5:$A$19,0))),"")</f>
        <v>Anubis</v>
      </c>
      <c r="I60" s="0" t="str">
        <f aca="false">IFERROR(IF(INDEX(Matches!$Y$5:$Y$19,MATCH($C60,Matches!$A$5:$A$19,0))="","",INDEX(Matches!$Y$5:$Y$19,MATCH($C60,Matches!$A$5:$A$19,0))),"")</f>
        <v>Dust2</v>
      </c>
      <c r="J60" s="11" t="n">
        <f aca="false">IFERROR(IF(INDEX(Matches!$Z$5:$Z$19,MATCH($C60,Matches!$A$5:$A$19,0))="","",INDEX(Matches!$Z$5:$Z$19,MATCH($C60,Matches!$A$5:$A$19,0))),"")</f>
        <v>21.42</v>
      </c>
      <c r="K60" s="11" t="n">
        <f aca="false">IFERROR(IF(INDEX(Matches!$AA$5:$AA$19,MATCH($C60,Matches!$A$5:$A$19,0))="","",INDEX(Matches!$AA$5:$AA$19,MATCH($C60,Matches!$A$5:$A$19,0))),"")</f>
        <v>21.22</v>
      </c>
      <c r="L60" s="11" t="n">
        <f aca="false">IFERROR(IF(INDEX(Matches!$AB$5:$AB$19,MATCH($C60,Matches!$A$5:$A$19,0))="","",INDEX(Matches!$AB$5:$AB$19,MATCH($C60,Matches!$A$5:$A$19,0))),"")</f>
        <v>21.31</v>
      </c>
      <c r="M60" s="10" t="n">
        <f aca="false">IFERROR(IF(INDEX(Matches!$AC$5:$AC$19,MATCH($C60,Matches!$A$5:$A$19,0))="","",INDEX(Matches!$AC$5:$AC$19,MATCH($C60,Matches!$A$5:$A$19,0))),"")</f>
        <v>0.4687</v>
      </c>
      <c r="N60" s="9" t="n">
        <f aca="false">IFERROR(INDEX(Players!$F$2:$F$124,MATCH($F60,Players!$A$2:$A$124,0)),0)</f>
        <v>37</v>
      </c>
      <c r="O60" s="13" t="n">
        <f aca="false">IFERROR(1/(1/INDEX(Players!$H$2:$H$124,MATCH($F60,Players!$A$2:$A$124,0))),"")</f>
        <v>0.65</v>
      </c>
      <c r="P60" s="10" t="n">
        <f aca="false">IFERROR(1/(1/INDEX(Players!$I$2:$I$124,MATCH($F60,Players!$A$2:$A$124,0))),"")</f>
        <v>0.583</v>
      </c>
      <c r="Q60" s="9" t="n">
        <f aca="false">IF($G60="",0,SUMIFS(Map_Stats!$F$2:$F$779,Map_Stats!$A$2:$A$779,$F60&amp;"|"&amp;$G60))</f>
        <v>6</v>
      </c>
      <c r="R60" s="13" t="n">
        <f aca="false">IF($G60="","",IFERROR(1/(1/INDEX(Map_Stats!$K$2:$K$779,MATCH($F60&amp;"|"&amp;$G60,Map_Stats!$A$2:$A$779,0))),$O60))</f>
        <v>0.48</v>
      </c>
      <c r="S60" s="10" t="n">
        <f aca="false">IF(OR($G60="",$P60=""),"",IFERROR(1/(1/INDEX(Map_Stats!$I$2:$I$779,MATCH($F60&amp;"|"&amp;$G60,Map_Stats!$A$2:$A$779,0))),$P60))</f>
        <v>0.71</v>
      </c>
      <c r="T60" s="13" t="n">
        <f aca="false">IF(OR($G60="",R60=""),"",IF($O60="",R60,(Q60*R60+Config!$B$4*$O60)/(Q60+Config!$B$4)))</f>
        <v>0.557272727272727</v>
      </c>
      <c r="U60" s="10" t="n">
        <f aca="false">IF(S60="","",(Q60*S60+Config!$B$4*$P60)/(Q60+Config!$B$4))</f>
        <v>0.652272727272727</v>
      </c>
      <c r="V60" s="17" t="n">
        <f aca="false">IF(OR(T60="",$J60=""),"",T60*$J60*($J60/Config!$B$10)^Config!$B$9)</f>
        <v>11.9367818181818</v>
      </c>
      <c r="W60" s="17" t="n">
        <f aca="false">IF(OR(V60="",U60=""),"",V60*U60)</f>
        <v>7.78603723140496</v>
      </c>
      <c r="X60" s="9" t="n">
        <f aca="false">IF($H60="",0,SUMIFS(Map_Stats!$F$2:$F$779,Map_Stats!$A$2:$A$779,$F60&amp;"|"&amp;$H60))</f>
        <v>4</v>
      </c>
      <c r="Y60" s="13" t="n">
        <f aca="false">IF($H60="","",IFERROR(1/(1/INDEX(Map_Stats!$K$2:$K$779,MATCH($F60&amp;"|"&amp;$H60,Map_Stats!$A$2:$A$779,0))),$O60))</f>
        <v>0.73</v>
      </c>
      <c r="Z60" s="10" t="n">
        <f aca="false">IF(OR($H60="",$P60=""),"",IFERROR(1/(1/INDEX(Map_Stats!$I$2:$I$779,MATCH($F60&amp;"|"&amp;$H60,Map_Stats!$A$2:$A$779,0))),$P60))</f>
        <v>0.581</v>
      </c>
      <c r="AA60" s="13" t="n">
        <f aca="false">IF(OR($H60="",Y60=""),"",IF($O60="",Y60,(X60*Y60+Config!$B$4*$O60)/(X60+Config!$B$4)))</f>
        <v>0.685555555555556</v>
      </c>
      <c r="AB60" s="10" t="n">
        <f aca="false">IF(Z60="","",(X60*Z60+Config!$B$4*$P60)/(X60+Config!$B$4))</f>
        <v>0.582111111111111</v>
      </c>
      <c r="AC60" s="17" t="n">
        <f aca="false">IF(OR(AA60="",$K60=""),"",AA60*$K60*($K60/Config!$B$10)^Config!$B$9)</f>
        <v>14.5474888888889</v>
      </c>
      <c r="AD60" s="17" t="n">
        <f aca="false">IF(OR(AC60="",AB60=""),"",AC60*AB60)</f>
        <v>8.46825492098765</v>
      </c>
      <c r="AE60" s="9" t="n">
        <f aca="false">IF($I60="",0,SUMIFS(Map_Stats!$F$2:$F$779,Map_Stats!$A$2:$A$779,$F60&amp;"|"&amp;$I60))</f>
        <v>8</v>
      </c>
      <c r="AF60" s="13" t="n">
        <f aca="false">IF($I60="","",IFERROR(1/(1/INDEX(Map_Stats!$K$2:$K$779,MATCH($F60&amp;"|"&amp;$I60,Map_Stats!$A$2:$A$779,0))),$O60))</f>
        <v>0.59</v>
      </c>
      <c r="AG60" s="10" t="n">
        <f aca="false">IF(OR($I60="",$P60=""),"",IFERROR(1/(1/INDEX(Map_Stats!$I$2:$I$779,MATCH($F60&amp;"|"&amp;$I60,Map_Stats!$A$2:$A$779,0))),$P60))</f>
        <v>0.518</v>
      </c>
      <c r="AH60" s="13" t="n">
        <f aca="false">IF(OR($I60="",AF60=""),"",IF($O60="",AF60,(AE60*AF60+Config!$B$4*$O60)/(AE60+Config!$B$4)))</f>
        <v>0.613076923076923</v>
      </c>
      <c r="AI60" s="10" t="n">
        <f aca="false">IF(AG60="","",(AE60*AG60+Config!$B$4*$P60)/(AE60+Config!$B$4))</f>
        <v>0.543</v>
      </c>
      <c r="AJ60" s="17" t="n">
        <f aca="false">IF(OR(AH60="",$L60=""),"",AH60*$L60*($L60/Config!$B$10)^Config!$B$9)</f>
        <v>13.0646692307692</v>
      </c>
      <c r="AK60" s="17" t="n">
        <f aca="false">IF(OR(AJ60="",AI60=""),"",AJ60*AI60)</f>
        <v>7.09411539230769</v>
      </c>
      <c r="AL60" s="17" t="n">
        <f aca="false">N(V60)+N(AC60)</f>
        <v>26.4842707070707</v>
      </c>
      <c r="AM60" s="17" t="n">
        <f aca="false">AL60+N($M60)*N(AJ60)</f>
        <v>32.6076811755322</v>
      </c>
      <c r="AN60" s="17" t="n">
        <f aca="false">IF(W60="","",N(W60)+N(AD60))</f>
        <v>16.2542921523926</v>
      </c>
      <c r="AO60" s="17" t="n">
        <f aca="false">IF(AN60="","",AN60+N($M60)*N(AK60))</f>
        <v>19.5793040367672</v>
      </c>
      <c r="AP60" s="10" t="n">
        <f aca="false">IFERROR(AN60/AL60,"")</f>
        <v>0.613733801929954</v>
      </c>
      <c r="AQ60" s="0" t="str">
        <f aca="false">TRIM(IF($N60&lt;Config!$B$12,"thin sample ("&amp;$N60&amp;" maps) · ","")&amp;IF(AND($G60&lt;&gt;"",Q60=0),"M1 unplayed→overall KPR · ","")&amp;IF(AND($H60&lt;&gt;"",X60=0),"M2 unplayed→overall KPR · ","")&amp;IF($O60="","no PickFinder stats",""))</f>
        <v/>
      </c>
      <c r="AR60" s="9" t="n">
        <f aca="false">IF($C60=Board!$B$2,COUNTIFS($C$2:$C$124,Board!$B$2,$AL$2:$AL$124,"&gt;"&amp;$AL60)+COUNTIFS($C$1:$C59,Board!$B$2,$AL$1:$AL59,$AL60)+1,"")</f>
        <v>9</v>
      </c>
      <c r="AS60" s="0" t="str">
        <f aca="false">IFERROR(IF($D60=INDEX(Matches!$AD$5:$AD$19,MATCH($C60,Matches!$A$5:$A$19,0)),"A",IF($D60=INDEX(Matches!$AE$5:$AE$19,MATCH($C60,Matches!$A$5:$A$19,0)),"B","")),"")</f>
        <v>A</v>
      </c>
      <c r="AT60" s="10" t="n">
        <f aca="false">IF($AS60="","",IFERROR(IF($AS60="A",INDEX(Matches!$AI$5:$AI$19,MATCH($C60,Matches!$A$5:$A$19,0)),INDEX(Matches!$AJ$5:$AJ$19,MATCH($C60,Matches!$A$5:$A$19,0))),""))</f>
        <v>0.529905965777709</v>
      </c>
      <c r="AU60" s="10" t="n">
        <f aca="false">IF($AS60="","",IFERROR(IF(INDEX(Matches!$AP$5:$AP$19,MATCH($C60,Matches!$A$5:$A$19,0))="","",IF($AS60="A",INDEX(Matches!$AP$5:$AP$19,MATCH($C60,Matches!$A$5:$A$19,0)),1-INDEX(Matches!$AP$5:$AP$19,MATCH($C60,Matches!$A$5:$A$19,0)))),""))</f>
        <v>0.517650805323895</v>
      </c>
      <c r="AV60" s="13" t="n">
        <f aca="false">IF(OR($AU60="",$AT60=""),1,((Config!$B$14*$AU60+Config!$B$15*(1-$AU60))/(Config!$B$14*$AT60+Config!$B$15*(1-$AT60)))^Config!$B$13)</f>
        <v>0.989333633128725</v>
      </c>
      <c r="AW60" s="10" t="n">
        <f aca="false">IF($AS60="","",IFERROR(IF(INDEX(Matches!$AV$5:$AV$19,MATCH($C60,Matches!$A$5:$A$19,0))="","",IF($AS60="A",INDEX(Matches!$AV$5:$AV$19,MATCH($C60,Matches!$A$5:$A$19,0)),1-INDEX(Matches!$AV$5:$AV$19,MATCH($C60,Matches!$A$5:$A$19,0)))),""))</f>
        <v>0.547874838095658</v>
      </c>
      <c r="AX60" s="13" t="n">
        <f aca="false">IF(OR($AW60="",$AT60=""),1,((Config!$B$14*$AW60+Config!$B$15*(1-$AW60))/(Config!$B$14*$AT60+Config!$B$15*(1-$AT60)))^Config!$B$13)</f>
        <v>1.01563933700653</v>
      </c>
      <c r="AY60" s="10" t="n">
        <f aca="false">IF($AS60="","",IFERROR(IF(INDEX(Matches!$BB$5:$BB$19,MATCH($C60,Matches!$A$5:$A$19,0))="","",IF($AS60="A",INDEX(Matches!$BB$5:$BB$19,MATCH($C60,Matches!$A$5:$A$19,0)),1-INDEX(Matches!$BB$5:$BB$19,MATCH($C60,Matches!$A$5:$A$19,0)))),""))</f>
        <v>0.518024904532207</v>
      </c>
      <c r="AZ60" s="13" t="n">
        <f aca="false">IF(OR($AY60="",$AT60=""),1,((Config!$B$14*$AY60+Config!$B$15*(1-$AY60))/(Config!$B$14*$AT60+Config!$B$15*(1-$AT60)))^Config!$B$13)</f>
        <v>0.989659233060047</v>
      </c>
      <c r="BA60" s="17" t="n">
        <f aca="false">IF(V60="","",V60*$AV60)</f>
        <v>11.8094597240467</v>
      </c>
      <c r="BB60" s="17" t="n">
        <f aca="false">IF(AC60="","",AC60*$AX60)</f>
        <v>14.775001970221</v>
      </c>
      <c r="BC60" s="17" t="n">
        <f aca="false">IF(AJ60="","",AJ60*$AZ60)</f>
        <v>12.9295705311063</v>
      </c>
      <c r="BD60" s="17" t="n">
        <f aca="false">N(BA60)+N(BB60)</f>
        <v>26.5844616942678</v>
      </c>
      <c r="BE60" s="17" t="n">
        <f aca="false">BD60+N($M60)*N(BC60)</f>
        <v>32.6445514021973</v>
      </c>
      <c r="BF60" s="17" t="n">
        <f aca="false">IF(W60="","",W60*$AV60)</f>
        <v>7.70298850182138</v>
      </c>
      <c r="BG60" s="17" t="n">
        <f aca="false">IF(AD60="","",AD60*$AX60)</f>
        <v>8.60069281355422</v>
      </c>
      <c r="BH60" s="17" t="n">
        <f aca="false">IF(AK60="","",AK60*$AZ60)</f>
        <v>7.02075679839071</v>
      </c>
      <c r="BI60" s="17" t="n">
        <f aca="false">IF(BF60="","",N(BF60)+N(BG60))</f>
        <v>16.3036813153756</v>
      </c>
      <c r="BJ60" s="17" t="n">
        <f aca="false">IF(BI60="","",BI60+N($M60)*N(BH60))</f>
        <v>19.5943100267813</v>
      </c>
      <c r="BK60" s="13" t="n">
        <f aca="false">IFERROR(BD60/AL60,1)</f>
        <v>1.00378303742267</v>
      </c>
    </row>
    <row r="61" customFormat="false" ht="15" hidden="false" customHeight="false" outlineLevel="0" collapsed="false">
      <c r="A61" s="0" t="s">
        <v>1265</v>
      </c>
      <c r="B61" s="0" t="s">
        <v>988</v>
      </c>
      <c r="C61" s="0" t="s">
        <v>905</v>
      </c>
      <c r="D61" s="0" t="s">
        <v>994</v>
      </c>
      <c r="E61" s="0" t="s">
        <v>1264</v>
      </c>
      <c r="F61" s="0" t="s">
        <v>1514</v>
      </c>
      <c r="G61" s="0" t="str">
        <f aca="false">IFERROR(IF(INDEX(Matches!$W$5:$W$19,MATCH($C61,Matches!$A$5:$A$19,0))="","",INDEX(Matches!$W$5:$W$19,MATCH($C61,Matches!$A$5:$A$19,0))),"")</f>
        <v>Nuke</v>
      </c>
      <c r="H61" s="0" t="str">
        <f aca="false">IFERROR(IF(INDEX(Matches!$X$5:$X$19,MATCH($C61,Matches!$A$5:$A$19,0))="","",INDEX(Matches!$X$5:$X$19,MATCH($C61,Matches!$A$5:$A$19,0))),"")</f>
        <v>Anubis</v>
      </c>
      <c r="I61" s="0" t="str">
        <f aca="false">IFERROR(IF(INDEX(Matches!$Y$5:$Y$19,MATCH($C61,Matches!$A$5:$A$19,0))="","",INDEX(Matches!$Y$5:$Y$19,MATCH($C61,Matches!$A$5:$A$19,0))),"")</f>
        <v>Dust2</v>
      </c>
      <c r="J61" s="11" t="n">
        <f aca="false">IFERROR(IF(INDEX(Matches!$Z$5:$Z$19,MATCH($C61,Matches!$A$5:$A$19,0))="","",INDEX(Matches!$Z$5:$Z$19,MATCH($C61,Matches!$A$5:$A$19,0))),"")</f>
        <v>21.42</v>
      </c>
      <c r="K61" s="11" t="n">
        <f aca="false">IFERROR(IF(INDEX(Matches!$AA$5:$AA$19,MATCH($C61,Matches!$A$5:$A$19,0))="","",INDEX(Matches!$AA$5:$AA$19,MATCH($C61,Matches!$A$5:$A$19,0))),"")</f>
        <v>21.22</v>
      </c>
      <c r="L61" s="11" t="n">
        <f aca="false">IFERROR(IF(INDEX(Matches!$AB$5:$AB$19,MATCH($C61,Matches!$A$5:$A$19,0))="","",INDEX(Matches!$AB$5:$AB$19,MATCH($C61,Matches!$A$5:$A$19,0))),"")</f>
        <v>21.31</v>
      </c>
      <c r="M61" s="10" t="n">
        <f aca="false">IFERROR(IF(INDEX(Matches!$AC$5:$AC$19,MATCH($C61,Matches!$A$5:$A$19,0))="","",INDEX(Matches!$AC$5:$AC$19,MATCH($C61,Matches!$A$5:$A$19,0))),"")</f>
        <v>0.4687</v>
      </c>
      <c r="N61" s="9" t="n">
        <f aca="false">IFERROR(INDEX(Players!$F$2:$F$124,MATCH($F61,Players!$A$2:$A$124,0)),0)</f>
        <v>36</v>
      </c>
      <c r="O61" s="13" t="n">
        <f aca="false">IFERROR(1/(1/INDEX(Players!$H$2:$H$124,MATCH($F61,Players!$A$2:$A$124,0))),"")</f>
        <v>0.73</v>
      </c>
      <c r="P61" s="10" t="n">
        <f aca="false">IFERROR(1/(1/INDEX(Players!$I$2:$I$124,MATCH($F61,Players!$A$2:$A$124,0))),"")</f>
        <v>0.535</v>
      </c>
      <c r="Q61" s="9" t="n">
        <f aca="false">IF($G61="",0,SUMIFS(Map_Stats!$F$2:$F$779,Map_Stats!$A$2:$A$779,$F61&amp;"|"&amp;$G61))</f>
        <v>5</v>
      </c>
      <c r="R61" s="13" t="n">
        <f aca="false">IF($G61="","",IFERROR(1/(1/INDEX(Map_Stats!$K$2:$K$779,MATCH($F61&amp;"|"&amp;$G61,Map_Stats!$A$2:$A$779,0))),$O61))</f>
        <v>0.6</v>
      </c>
      <c r="S61" s="10" t="n">
        <f aca="false">IF(OR($G61="",$P61=""),"",IFERROR(1/(1/INDEX(Map_Stats!$I$2:$I$779,MATCH($F61&amp;"|"&amp;$G61,Map_Stats!$A$2:$A$779,0))),$P61))</f>
        <v>0.531</v>
      </c>
      <c r="T61" s="13" t="n">
        <f aca="false">IF(OR($G61="",R61=""),"",IF($O61="",R61,(Q61*R61+Config!$B$4*$O61)/(Q61+Config!$B$4)))</f>
        <v>0.665</v>
      </c>
      <c r="U61" s="10" t="n">
        <f aca="false">IF(S61="","",(Q61*S61+Config!$B$4*$P61)/(Q61+Config!$B$4))</f>
        <v>0.533</v>
      </c>
      <c r="V61" s="17" t="n">
        <f aca="false">IF(OR(T61="",$J61=""),"",T61*$J61*($J61/Config!$B$10)^Config!$B$9)</f>
        <v>14.2443</v>
      </c>
      <c r="W61" s="17" t="n">
        <f aca="false">IF(OR(V61="",U61=""),"",V61*U61)</f>
        <v>7.5922119</v>
      </c>
      <c r="X61" s="9" t="n">
        <f aca="false">IF($H61="",0,SUMIFS(Map_Stats!$F$2:$F$779,Map_Stats!$A$2:$A$779,$F61&amp;"|"&amp;$H61))</f>
        <v>5</v>
      </c>
      <c r="Y61" s="13" t="n">
        <f aca="false">IF($H61="","",IFERROR(1/(1/INDEX(Map_Stats!$K$2:$K$779,MATCH($F61&amp;"|"&amp;$H61,Map_Stats!$A$2:$A$779,0))),$O61))</f>
        <v>0.8</v>
      </c>
      <c r="Z61" s="10" t="n">
        <f aca="false">IF(OR($H61="",$P61=""),"",IFERROR(1/(1/INDEX(Map_Stats!$I$2:$I$779,MATCH($F61&amp;"|"&amp;$H61,Map_Stats!$A$2:$A$779,0))),$P61))</f>
        <v>0.535</v>
      </c>
      <c r="AA61" s="13" t="n">
        <f aca="false">IF(OR($H61="",Y61=""),"",IF($O61="",Y61,(X61*Y61+Config!$B$4*$O61)/(X61+Config!$B$4)))</f>
        <v>0.765</v>
      </c>
      <c r="AB61" s="10" t="n">
        <f aca="false">IF(Z61="","",(X61*Z61+Config!$B$4*$P61)/(X61+Config!$B$4))</f>
        <v>0.535</v>
      </c>
      <c r="AC61" s="17" t="n">
        <f aca="false">IF(OR(AA61="",$K61=""),"",AA61*$K61*($K61/Config!$B$10)^Config!$B$9)</f>
        <v>16.2333</v>
      </c>
      <c r="AD61" s="17" t="n">
        <f aca="false">IF(OR(AC61="",AB61=""),"",AC61*AB61)</f>
        <v>8.6848155</v>
      </c>
      <c r="AE61" s="9" t="n">
        <f aca="false">IF($I61="",0,SUMIFS(Map_Stats!$F$2:$F$779,Map_Stats!$A$2:$A$779,$F61&amp;"|"&amp;$I61))</f>
        <v>7</v>
      </c>
      <c r="AF61" s="13" t="n">
        <f aca="false">IF($I61="","",IFERROR(1/(1/INDEX(Map_Stats!$K$2:$K$779,MATCH($F61&amp;"|"&amp;$I61,Map_Stats!$A$2:$A$779,0))),$O61))</f>
        <v>0.67</v>
      </c>
      <c r="AG61" s="10" t="n">
        <f aca="false">IF(OR($I61="",$P61=""),"",IFERROR(1/(1/INDEX(Map_Stats!$I$2:$I$779,MATCH($F61&amp;"|"&amp;$I61,Map_Stats!$A$2:$A$779,0))),$P61))</f>
        <v>0.553</v>
      </c>
      <c r="AH61" s="13" t="n">
        <f aca="false">IF(OR($I61="",AF61=""),"",IF($O61="",AF61,(AE61*AF61+Config!$B$4*$O61)/(AE61+Config!$B$4)))</f>
        <v>0.695</v>
      </c>
      <c r="AI61" s="10" t="n">
        <f aca="false">IF(AG61="","",(AE61*AG61+Config!$B$4*$P61)/(AE61+Config!$B$4))</f>
        <v>0.5455</v>
      </c>
      <c r="AJ61" s="17" t="n">
        <f aca="false">IF(OR(AH61="",$L61=""),"",AH61*$L61*($L61/Config!$B$10)^Config!$B$9)</f>
        <v>14.81045</v>
      </c>
      <c r="AK61" s="17" t="n">
        <f aca="false">IF(OR(AJ61="",AI61=""),"",AJ61*AI61)</f>
        <v>8.079100475</v>
      </c>
      <c r="AL61" s="17" t="n">
        <f aca="false">N(V61)+N(AC61)</f>
        <v>30.4776</v>
      </c>
      <c r="AM61" s="17" t="n">
        <f aca="false">AL61+N($M61)*N(AJ61)</f>
        <v>37.419257915</v>
      </c>
      <c r="AN61" s="17" t="n">
        <f aca="false">IF(W61="","",N(W61)+N(AD61))</f>
        <v>16.2770274</v>
      </c>
      <c r="AO61" s="17" t="n">
        <f aca="false">IF(AN61="","",AN61+N($M61)*N(AK61))</f>
        <v>20.0637017926325</v>
      </c>
      <c r="AP61" s="10" t="n">
        <f aca="false">IFERROR(AN61/AL61,"")</f>
        <v>0.534065261044177</v>
      </c>
      <c r="AQ61" s="0" t="str">
        <f aca="false">TRIM(IF($N61&lt;Config!$B$12,"thin sample ("&amp;$N61&amp;" maps) · ","")&amp;IF(AND($G61&lt;&gt;"",Q61=0),"M1 unplayed→overall KPR · ","")&amp;IF(AND($H61&lt;&gt;"",X61=0),"M2 unplayed→overall KPR · ","")&amp;IF($O61="","no PickFinder stats",""))</f>
        <v/>
      </c>
      <c r="AR61" s="9" t="n">
        <f aca="false">IF($C61=Board!$B$2,COUNTIFS($C$2:$C$124,Board!$B$2,$AL$2:$AL$124,"&gt;"&amp;$AL61)+COUNTIFS($C$1:$C60,Board!$B$2,$AL$1:$AL60,$AL61)+1,"")</f>
        <v>4</v>
      </c>
      <c r="AS61" s="0" t="str">
        <f aca="false">IFERROR(IF($D61=INDEX(Matches!$AD$5:$AD$19,MATCH($C61,Matches!$A$5:$A$19,0)),"A",IF($D61=INDEX(Matches!$AE$5:$AE$19,MATCH($C61,Matches!$A$5:$A$19,0)),"B","")),"")</f>
        <v>A</v>
      </c>
      <c r="AT61" s="10" t="n">
        <f aca="false">IF($AS61="","",IFERROR(IF($AS61="A",INDEX(Matches!$AI$5:$AI$19,MATCH($C61,Matches!$A$5:$A$19,0)),INDEX(Matches!$AJ$5:$AJ$19,MATCH($C61,Matches!$A$5:$A$19,0))),""))</f>
        <v>0.529905965777709</v>
      </c>
      <c r="AU61" s="10" t="n">
        <f aca="false">IF($AS61="","",IFERROR(IF(INDEX(Matches!$AP$5:$AP$19,MATCH($C61,Matches!$A$5:$A$19,0))="","",IF($AS61="A",INDEX(Matches!$AP$5:$AP$19,MATCH($C61,Matches!$A$5:$A$19,0)),1-INDEX(Matches!$AP$5:$AP$19,MATCH($C61,Matches!$A$5:$A$19,0)))),""))</f>
        <v>0.517650805323895</v>
      </c>
      <c r="AV61" s="13" t="n">
        <f aca="false">IF(OR($AU61="",$AT61=""),1,((Config!$B$14*$AU61+Config!$B$15*(1-$AU61))/(Config!$B$14*$AT61+Config!$B$15*(1-$AT61)))^Config!$B$13)</f>
        <v>0.989333633128725</v>
      </c>
      <c r="AW61" s="10" t="n">
        <f aca="false">IF($AS61="","",IFERROR(IF(INDEX(Matches!$AV$5:$AV$19,MATCH($C61,Matches!$A$5:$A$19,0))="","",IF($AS61="A",INDEX(Matches!$AV$5:$AV$19,MATCH($C61,Matches!$A$5:$A$19,0)),1-INDEX(Matches!$AV$5:$AV$19,MATCH($C61,Matches!$A$5:$A$19,0)))),""))</f>
        <v>0.547874838095658</v>
      </c>
      <c r="AX61" s="13" t="n">
        <f aca="false">IF(OR($AW61="",$AT61=""),1,((Config!$B$14*$AW61+Config!$B$15*(1-$AW61))/(Config!$B$14*$AT61+Config!$B$15*(1-$AT61)))^Config!$B$13)</f>
        <v>1.01563933700653</v>
      </c>
      <c r="AY61" s="10" t="n">
        <f aca="false">IF($AS61="","",IFERROR(IF(INDEX(Matches!$BB$5:$BB$19,MATCH($C61,Matches!$A$5:$A$19,0))="","",IF($AS61="A",INDEX(Matches!$BB$5:$BB$19,MATCH($C61,Matches!$A$5:$A$19,0)),1-INDEX(Matches!$BB$5:$BB$19,MATCH($C61,Matches!$A$5:$A$19,0)))),""))</f>
        <v>0.518024904532207</v>
      </c>
      <c r="AZ61" s="13" t="n">
        <f aca="false">IF(OR($AY61="",$AT61=""),1,((Config!$B$14*$AY61+Config!$B$15*(1-$AY61))/(Config!$B$14*$AT61+Config!$B$15*(1-$AT61)))^Config!$B$13)</f>
        <v>0.989659233060047</v>
      </c>
      <c r="BA61" s="17" t="n">
        <f aca="false">IF(V61="","",V61*$AV61)</f>
        <v>14.0923650703755</v>
      </c>
      <c r="BB61" s="17" t="n">
        <f aca="false">IF(AC61="","",AC61*$AX61)</f>
        <v>16.4871780494282</v>
      </c>
      <c r="BC61" s="17" t="n">
        <f aca="false">IF(AJ61="","",AJ61*$AZ61)</f>
        <v>14.6572985882742</v>
      </c>
      <c r="BD61" s="17" t="n">
        <f aca="false">N(BA61)+N(BB61)</f>
        <v>30.5795431198037</v>
      </c>
      <c r="BE61" s="17" t="n">
        <f aca="false">BD61+N($M61)*N(BC61)</f>
        <v>37.4494189681278</v>
      </c>
      <c r="BF61" s="17" t="n">
        <f aca="false">IF(W61="","",W61*$AV61)</f>
        <v>7.51123058251014</v>
      </c>
      <c r="BG61" s="17" t="n">
        <f aca="false">IF(AD61="","",AD61*$AX61)</f>
        <v>8.82064025644407</v>
      </c>
      <c r="BH61" s="17" t="n">
        <f aca="false">IF(AK61="","",AK61*$AZ61)</f>
        <v>7.99555637990356</v>
      </c>
      <c r="BI61" s="17" t="n">
        <f aca="false">IF(BF61="","",N(BF61)+N(BG61))</f>
        <v>16.3318708389542</v>
      </c>
      <c r="BJ61" s="17" t="n">
        <f aca="false">IF(BI61="","",BI61+N($M61)*N(BH61))</f>
        <v>20.079388114215</v>
      </c>
      <c r="BK61" s="13" t="n">
        <f aca="false">IFERROR(BD61/AL61,1)</f>
        <v>1.00334485391906</v>
      </c>
    </row>
    <row r="62" customFormat="false" ht="15" hidden="false" customHeight="false" outlineLevel="0" collapsed="false">
      <c r="A62" s="0" t="s">
        <v>1268</v>
      </c>
      <c r="B62" s="0" t="s">
        <v>988</v>
      </c>
      <c r="C62" s="0" t="s">
        <v>905</v>
      </c>
      <c r="D62" s="0" t="s">
        <v>994</v>
      </c>
      <c r="E62" s="0" t="s">
        <v>1266</v>
      </c>
      <c r="F62" s="0" t="s">
        <v>1515</v>
      </c>
      <c r="G62" s="0" t="str">
        <f aca="false">IFERROR(IF(INDEX(Matches!$W$5:$W$19,MATCH($C62,Matches!$A$5:$A$19,0))="","",INDEX(Matches!$W$5:$W$19,MATCH($C62,Matches!$A$5:$A$19,0))),"")</f>
        <v>Nuke</v>
      </c>
      <c r="H62" s="0" t="str">
        <f aca="false">IFERROR(IF(INDEX(Matches!$X$5:$X$19,MATCH($C62,Matches!$A$5:$A$19,0))="","",INDEX(Matches!$X$5:$X$19,MATCH($C62,Matches!$A$5:$A$19,0))),"")</f>
        <v>Anubis</v>
      </c>
      <c r="I62" s="0" t="str">
        <f aca="false">IFERROR(IF(INDEX(Matches!$Y$5:$Y$19,MATCH($C62,Matches!$A$5:$A$19,0))="","",INDEX(Matches!$Y$5:$Y$19,MATCH($C62,Matches!$A$5:$A$19,0))),"")</f>
        <v>Dust2</v>
      </c>
      <c r="J62" s="11" t="n">
        <f aca="false">IFERROR(IF(INDEX(Matches!$Z$5:$Z$19,MATCH($C62,Matches!$A$5:$A$19,0))="","",INDEX(Matches!$Z$5:$Z$19,MATCH($C62,Matches!$A$5:$A$19,0))),"")</f>
        <v>21.42</v>
      </c>
      <c r="K62" s="11" t="n">
        <f aca="false">IFERROR(IF(INDEX(Matches!$AA$5:$AA$19,MATCH($C62,Matches!$A$5:$A$19,0))="","",INDEX(Matches!$AA$5:$AA$19,MATCH($C62,Matches!$A$5:$A$19,0))),"")</f>
        <v>21.22</v>
      </c>
      <c r="L62" s="11" t="n">
        <f aca="false">IFERROR(IF(INDEX(Matches!$AB$5:$AB$19,MATCH($C62,Matches!$A$5:$A$19,0))="","",INDEX(Matches!$AB$5:$AB$19,MATCH($C62,Matches!$A$5:$A$19,0))),"")</f>
        <v>21.31</v>
      </c>
      <c r="M62" s="10" t="n">
        <f aca="false">IFERROR(IF(INDEX(Matches!$AC$5:$AC$19,MATCH($C62,Matches!$A$5:$A$19,0))="","",INDEX(Matches!$AC$5:$AC$19,MATCH($C62,Matches!$A$5:$A$19,0))),"")</f>
        <v>0.4687</v>
      </c>
      <c r="N62" s="9" t="n">
        <f aca="false">IFERROR(INDEX(Players!$F$2:$F$124,MATCH($F62,Players!$A$2:$A$124,0)),0)</f>
        <v>34</v>
      </c>
      <c r="O62" s="13" t="n">
        <f aca="false">IFERROR(1/(1/INDEX(Players!$H$2:$H$124,MATCH($F62,Players!$A$2:$A$124,0))),"")</f>
        <v>0.67</v>
      </c>
      <c r="P62" s="10" t="n">
        <f aca="false">IFERROR(1/(1/INDEX(Players!$I$2:$I$124,MATCH($F62,Players!$A$2:$A$124,0))),"")</f>
        <v>0.352</v>
      </c>
      <c r="Q62" s="9" t="n">
        <f aca="false">IF($G62="",0,SUMIFS(Map_Stats!$F$2:$F$779,Map_Stats!$A$2:$A$779,$F62&amp;"|"&amp;$G62))</f>
        <v>1</v>
      </c>
      <c r="R62" s="13" t="n">
        <f aca="false">IF($G62="","",IFERROR(1/(1/INDEX(Map_Stats!$K$2:$K$779,MATCH($F62&amp;"|"&amp;$G62,Map_Stats!$A$2:$A$779,0))),$O62))</f>
        <v>0.86</v>
      </c>
      <c r="S62" s="10" t="n">
        <f aca="false">IF(OR($G62="",$P62=""),"",IFERROR(1/(1/INDEX(Map_Stats!$I$2:$I$779,MATCH($F62&amp;"|"&amp;$G62,Map_Stats!$A$2:$A$779,0))),$P62))</f>
        <v>0.368</v>
      </c>
      <c r="T62" s="13" t="n">
        <f aca="false">IF(OR($G62="",R62=""),"",IF($O62="",R62,(Q62*R62+Config!$B$4*$O62)/(Q62+Config!$B$4)))</f>
        <v>0.701666666666667</v>
      </c>
      <c r="U62" s="10" t="n">
        <f aca="false">IF(S62="","",(Q62*S62+Config!$B$4*$P62)/(Q62+Config!$B$4))</f>
        <v>0.354666666666667</v>
      </c>
      <c r="V62" s="17" t="n">
        <f aca="false">IF(OR(T62="",$J62=""),"",T62*$J62*($J62/Config!$B$10)^Config!$B$9)</f>
        <v>15.0297</v>
      </c>
      <c r="W62" s="17" t="n">
        <f aca="false">IF(OR(V62="",U62=""),"",V62*U62)</f>
        <v>5.3305336</v>
      </c>
      <c r="X62" s="9" t="n">
        <f aca="false">IF($H62="",0,SUMIFS(Map_Stats!$F$2:$F$779,Map_Stats!$A$2:$A$779,$F62&amp;"|"&amp;$H62))</f>
        <v>2</v>
      </c>
      <c r="Y62" s="13" t="n">
        <f aca="false">IF($H62="","",IFERROR(1/(1/INDEX(Map_Stats!$K$2:$K$779,MATCH($F62&amp;"|"&amp;$H62,Map_Stats!$A$2:$A$779,0))),$O62))</f>
        <v>0.66</v>
      </c>
      <c r="Z62" s="10" t="n">
        <f aca="false">IF(OR($H62="",$P62=""),"",IFERROR(1/(1/INDEX(Map_Stats!$I$2:$I$779,MATCH($F62&amp;"|"&amp;$H62,Map_Stats!$A$2:$A$779,0))),$P62))</f>
        <v>0.207</v>
      </c>
      <c r="AA62" s="13" t="n">
        <f aca="false">IF(OR($H62="",Y62=""),"",IF($O62="",Y62,(X62*Y62+Config!$B$4*$O62)/(X62+Config!$B$4)))</f>
        <v>0.667142857142857</v>
      </c>
      <c r="AB62" s="10" t="n">
        <f aca="false">IF(Z62="","",(X62*Z62+Config!$B$4*$P62)/(X62+Config!$B$4))</f>
        <v>0.310571428571429</v>
      </c>
      <c r="AC62" s="17" t="n">
        <f aca="false">IF(OR(AA62="",$K62=""),"",AA62*$K62*($K62/Config!$B$10)^Config!$B$9)</f>
        <v>14.1567714285714</v>
      </c>
      <c r="AD62" s="17" t="n">
        <f aca="false">IF(OR(AC62="",AB62=""),"",AC62*AB62)</f>
        <v>4.39668872653061</v>
      </c>
      <c r="AE62" s="9" t="n">
        <f aca="false">IF($I62="",0,SUMIFS(Map_Stats!$F$2:$F$779,Map_Stats!$A$2:$A$779,$F62&amp;"|"&amp;$I62))</f>
        <v>8</v>
      </c>
      <c r="AF62" s="13" t="n">
        <f aca="false">IF($I62="","",IFERROR(1/(1/INDEX(Map_Stats!$K$2:$K$779,MATCH($F62&amp;"|"&amp;$I62,Map_Stats!$A$2:$A$779,0))),$O62))</f>
        <v>0.57</v>
      </c>
      <c r="AG62" s="10" t="n">
        <f aca="false">IF(OR($I62="",$P62=""),"",IFERROR(1/(1/INDEX(Map_Stats!$I$2:$I$779,MATCH($F62&amp;"|"&amp;$I62,Map_Stats!$A$2:$A$779,0))),$P62))</f>
        <v>0.32</v>
      </c>
      <c r="AH62" s="13" t="n">
        <f aca="false">IF(OR($I62="",AF62=""),"",IF($O62="",AF62,(AE62*AF62+Config!$B$4*$O62)/(AE62+Config!$B$4)))</f>
        <v>0.608461538461539</v>
      </c>
      <c r="AI62" s="10" t="n">
        <f aca="false">IF(AG62="","",(AE62*AG62+Config!$B$4*$P62)/(AE62+Config!$B$4))</f>
        <v>0.332307692307692</v>
      </c>
      <c r="AJ62" s="17" t="n">
        <f aca="false">IF(OR(AH62="",$L62=""),"",AH62*$L62*($L62/Config!$B$10)^Config!$B$9)</f>
        <v>12.9663153846154</v>
      </c>
      <c r="AK62" s="17" t="n">
        <f aca="false">IF(OR(AJ62="",AI62=""),"",AJ62*AI62)</f>
        <v>4.30880634319527</v>
      </c>
      <c r="AL62" s="17" t="n">
        <f aca="false">N(V62)+N(AC62)</f>
        <v>29.1864714285714</v>
      </c>
      <c r="AM62" s="17" t="n">
        <f aca="false">AL62+N($M62)*N(AJ62)</f>
        <v>35.2637834493407</v>
      </c>
      <c r="AN62" s="17" t="n">
        <f aca="false">IF(W62="","",N(W62)+N(AD62))</f>
        <v>9.72722232653061</v>
      </c>
      <c r="AO62" s="17" t="n">
        <f aca="false">IF(AN62="","",AN62+N($M62)*N(AK62))</f>
        <v>11.7467598595862</v>
      </c>
      <c r="AP62" s="10" t="n">
        <f aca="false">IFERROR(AN62/AL62,"")</f>
        <v>0.333278462603341</v>
      </c>
      <c r="AQ62" s="0" t="str">
        <f aca="false">TRIM(IF($N62&lt;Config!$B$12,"thin sample ("&amp;$N62&amp;" maps) · ","")&amp;IF(AND($G62&lt;&gt;"",Q62=0),"M1 unplayed→overall KPR · ","")&amp;IF(AND($H62&lt;&gt;"",X62=0),"M2 unplayed→overall KPR · ","")&amp;IF($O62="","no PickFinder stats",""))</f>
        <v/>
      </c>
      <c r="AR62" s="9" t="n">
        <f aca="false">IF($C62=Board!$B$2,COUNTIFS($C$2:$C$124,Board!$B$2,$AL$2:$AL$124,"&gt;"&amp;$AL62)+COUNTIFS($C$1:$C61,Board!$B$2,$AL$1:$AL61,$AL62)+1,"")</f>
        <v>6</v>
      </c>
      <c r="AS62" s="0" t="str">
        <f aca="false">IFERROR(IF($D62=INDEX(Matches!$AD$5:$AD$19,MATCH($C62,Matches!$A$5:$A$19,0)),"A",IF($D62=INDEX(Matches!$AE$5:$AE$19,MATCH($C62,Matches!$A$5:$A$19,0)),"B","")),"")</f>
        <v>A</v>
      </c>
      <c r="AT62" s="10" t="n">
        <f aca="false">IF($AS62="","",IFERROR(IF($AS62="A",INDEX(Matches!$AI$5:$AI$19,MATCH($C62,Matches!$A$5:$A$19,0)),INDEX(Matches!$AJ$5:$AJ$19,MATCH($C62,Matches!$A$5:$A$19,0))),""))</f>
        <v>0.529905965777709</v>
      </c>
      <c r="AU62" s="10" t="n">
        <f aca="false">IF($AS62="","",IFERROR(IF(INDEX(Matches!$AP$5:$AP$19,MATCH($C62,Matches!$A$5:$A$19,0))="","",IF($AS62="A",INDEX(Matches!$AP$5:$AP$19,MATCH($C62,Matches!$A$5:$A$19,0)),1-INDEX(Matches!$AP$5:$AP$19,MATCH($C62,Matches!$A$5:$A$19,0)))),""))</f>
        <v>0.517650805323895</v>
      </c>
      <c r="AV62" s="13" t="n">
        <f aca="false">IF(OR($AU62="",$AT62=""),1,((Config!$B$14*$AU62+Config!$B$15*(1-$AU62))/(Config!$B$14*$AT62+Config!$B$15*(1-$AT62)))^Config!$B$13)</f>
        <v>0.989333633128725</v>
      </c>
      <c r="AW62" s="10" t="n">
        <f aca="false">IF($AS62="","",IFERROR(IF(INDEX(Matches!$AV$5:$AV$19,MATCH($C62,Matches!$A$5:$A$19,0))="","",IF($AS62="A",INDEX(Matches!$AV$5:$AV$19,MATCH($C62,Matches!$A$5:$A$19,0)),1-INDEX(Matches!$AV$5:$AV$19,MATCH($C62,Matches!$A$5:$A$19,0)))),""))</f>
        <v>0.547874838095658</v>
      </c>
      <c r="AX62" s="13" t="n">
        <f aca="false">IF(OR($AW62="",$AT62=""),1,((Config!$B$14*$AW62+Config!$B$15*(1-$AW62))/(Config!$B$14*$AT62+Config!$B$15*(1-$AT62)))^Config!$B$13)</f>
        <v>1.01563933700653</v>
      </c>
      <c r="AY62" s="10" t="n">
        <f aca="false">IF($AS62="","",IFERROR(IF(INDEX(Matches!$BB$5:$BB$19,MATCH($C62,Matches!$A$5:$A$19,0))="","",IF($AS62="A",INDEX(Matches!$BB$5:$BB$19,MATCH($C62,Matches!$A$5:$A$19,0)),1-INDEX(Matches!$BB$5:$BB$19,MATCH($C62,Matches!$A$5:$A$19,0)))),""))</f>
        <v>0.518024904532207</v>
      </c>
      <c r="AZ62" s="13" t="n">
        <f aca="false">IF(OR($AY62="",$AT62=""),1,((Config!$B$14*$AY62+Config!$B$15*(1-$AY62))/(Config!$B$14*$AT62+Config!$B$15*(1-$AT62)))^Config!$B$13)</f>
        <v>0.989659233060047</v>
      </c>
      <c r="BA62" s="17" t="n">
        <f aca="false">IF(V62="","",V62*$AV62)</f>
        <v>14.8693877058348</v>
      </c>
      <c r="BB62" s="17" t="n">
        <f aca="false">IF(AC62="","",AC62*$AX62)</f>
        <v>14.3781739478673</v>
      </c>
      <c r="BC62" s="17" t="n">
        <f aca="false">IF(AJ62="","",AJ62*$AZ62)</f>
        <v>12.8322337391532</v>
      </c>
      <c r="BD62" s="17" t="n">
        <f aca="false">N(BA62)+N(BB62)</f>
        <v>29.2475616537021</v>
      </c>
      <c r="BE62" s="17" t="n">
        <f aca="false">BD62+N($M62)*N(BC62)</f>
        <v>35.2620296072432</v>
      </c>
      <c r="BF62" s="17" t="n">
        <f aca="false">IF(W62="","",W62*$AV62)</f>
        <v>5.27367617300274</v>
      </c>
      <c r="BG62" s="17" t="n">
        <f aca="false">IF(AD62="","",AD62*$AX62)</f>
        <v>4.46545002323766</v>
      </c>
      <c r="BH62" s="17" t="n">
        <f aca="false">IF(AK62="","",AK62*$AZ62)</f>
        <v>4.26424998101089</v>
      </c>
      <c r="BI62" s="17" t="n">
        <f aca="false">IF(BF62="","",N(BF62)+N(BG62))</f>
        <v>9.7391261962404</v>
      </c>
      <c r="BJ62" s="17" t="n">
        <f aca="false">IF(BI62="","",BI62+N($M62)*N(BH62))</f>
        <v>11.7377801623402</v>
      </c>
      <c r="BK62" s="13" t="n">
        <f aca="false">IFERROR(BD62/AL62,1)</f>
        <v>1.00209310074636</v>
      </c>
    </row>
    <row r="63" customFormat="false" ht="15" hidden="false" customHeight="false" outlineLevel="0" collapsed="false">
      <c r="A63" s="0" t="s">
        <v>1270</v>
      </c>
      <c r="B63" s="0" t="s">
        <v>988</v>
      </c>
      <c r="C63" s="0" t="s">
        <v>905</v>
      </c>
      <c r="D63" s="0" t="s">
        <v>994</v>
      </c>
      <c r="E63" s="0" t="s">
        <v>1269</v>
      </c>
      <c r="F63" s="0" t="s">
        <v>1516</v>
      </c>
      <c r="G63" s="0" t="str">
        <f aca="false">IFERROR(IF(INDEX(Matches!$W$5:$W$19,MATCH($C63,Matches!$A$5:$A$19,0))="","",INDEX(Matches!$W$5:$W$19,MATCH($C63,Matches!$A$5:$A$19,0))),"")</f>
        <v>Nuke</v>
      </c>
      <c r="H63" s="0" t="str">
        <f aca="false">IFERROR(IF(INDEX(Matches!$X$5:$X$19,MATCH($C63,Matches!$A$5:$A$19,0))="","",INDEX(Matches!$X$5:$X$19,MATCH($C63,Matches!$A$5:$A$19,0))),"")</f>
        <v>Anubis</v>
      </c>
      <c r="I63" s="0" t="str">
        <f aca="false">IFERROR(IF(INDEX(Matches!$Y$5:$Y$19,MATCH($C63,Matches!$A$5:$A$19,0))="","",INDEX(Matches!$Y$5:$Y$19,MATCH($C63,Matches!$A$5:$A$19,0))),"")</f>
        <v>Dust2</v>
      </c>
      <c r="J63" s="11" t="n">
        <f aca="false">IFERROR(IF(INDEX(Matches!$Z$5:$Z$19,MATCH($C63,Matches!$A$5:$A$19,0))="","",INDEX(Matches!$Z$5:$Z$19,MATCH($C63,Matches!$A$5:$A$19,0))),"")</f>
        <v>21.42</v>
      </c>
      <c r="K63" s="11" t="n">
        <f aca="false">IFERROR(IF(INDEX(Matches!$AA$5:$AA$19,MATCH($C63,Matches!$A$5:$A$19,0))="","",INDEX(Matches!$AA$5:$AA$19,MATCH($C63,Matches!$A$5:$A$19,0))),"")</f>
        <v>21.22</v>
      </c>
      <c r="L63" s="11" t="n">
        <f aca="false">IFERROR(IF(INDEX(Matches!$AB$5:$AB$19,MATCH($C63,Matches!$A$5:$A$19,0))="","",INDEX(Matches!$AB$5:$AB$19,MATCH($C63,Matches!$A$5:$A$19,0))),"")</f>
        <v>21.31</v>
      </c>
      <c r="M63" s="10" t="n">
        <f aca="false">IFERROR(IF(INDEX(Matches!$AC$5:$AC$19,MATCH($C63,Matches!$A$5:$A$19,0))="","",INDEX(Matches!$AC$5:$AC$19,MATCH($C63,Matches!$A$5:$A$19,0))),"")</f>
        <v>0.4687</v>
      </c>
      <c r="N63" s="9" t="n">
        <f aca="false">IFERROR(INDEX(Players!$F$2:$F$124,MATCH($F63,Players!$A$2:$A$124,0)),0)</f>
        <v>36</v>
      </c>
      <c r="O63" s="13" t="n">
        <f aca="false">IFERROR(1/(1/INDEX(Players!$H$2:$H$124,MATCH($F63,Players!$A$2:$A$124,0))),"")</f>
        <v>0.65</v>
      </c>
      <c r="P63" s="10" t="n">
        <f aca="false">IFERROR(1/(1/INDEX(Players!$I$2:$I$124,MATCH($F63,Players!$A$2:$A$124,0))),"")</f>
        <v>0.559</v>
      </c>
      <c r="Q63" s="9" t="n">
        <f aca="false">IF($G63="",0,SUMIFS(Map_Stats!$F$2:$F$779,Map_Stats!$A$2:$A$779,$F63&amp;"|"&amp;$G63))</f>
        <v>6</v>
      </c>
      <c r="R63" s="13" t="n">
        <f aca="false">IF($G63="","",IFERROR(1/(1/INDEX(Map_Stats!$K$2:$K$779,MATCH($F63&amp;"|"&amp;$G63,Map_Stats!$A$2:$A$779,0))),$O63))</f>
        <v>0.69</v>
      </c>
      <c r="S63" s="10" t="n">
        <f aca="false">IF(OR($G63="",$P63=""),"",IFERROR(1/(1/INDEX(Map_Stats!$I$2:$I$779,MATCH($F63&amp;"|"&amp;$G63,Map_Stats!$A$2:$A$779,0))),$P63))</f>
        <v>0.553</v>
      </c>
      <c r="T63" s="13" t="n">
        <f aca="false">IF(OR($G63="",R63=""),"",IF($O63="",R63,(Q63*R63+Config!$B$4*$O63)/(Q63+Config!$B$4)))</f>
        <v>0.671818181818182</v>
      </c>
      <c r="U63" s="10" t="n">
        <f aca="false">IF(S63="","",(Q63*S63+Config!$B$4*$P63)/(Q63+Config!$B$4))</f>
        <v>0.555727272727273</v>
      </c>
      <c r="V63" s="17" t="n">
        <f aca="false">IF(OR(T63="",$J63=""),"",T63*$J63*($J63/Config!$B$10)^Config!$B$9)</f>
        <v>14.3903454545455</v>
      </c>
      <c r="W63" s="17" t="n">
        <f aca="false">IF(OR(V63="",U63=""),"",V63*U63)</f>
        <v>7.99710743305785</v>
      </c>
      <c r="X63" s="9" t="n">
        <f aca="false">IF($H63="",0,SUMIFS(Map_Stats!$F$2:$F$779,Map_Stats!$A$2:$A$779,$F63&amp;"|"&amp;$H63))</f>
        <v>4</v>
      </c>
      <c r="Y63" s="13" t="n">
        <f aca="false">IF($H63="","",IFERROR(1/(1/INDEX(Map_Stats!$K$2:$K$779,MATCH($F63&amp;"|"&amp;$H63,Map_Stats!$A$2:$A$779,0))),$O63))</f>
        <v>0.55</v>
      </c>
      <c r="Z63" s="10" t="n">
        <f aca="false">IF(OR($H63="",$P63=""),"",IFERROR(1/(1/INDEX(Map_Stats!$I$2:$I$779,MATCH($F63&amp;"|"&amp;$H63,Map_Stats!$A$2:$A$779,0))),$P63))</f>
        <v>0.468</v>
      </c>
      <c r="AA63" s="13" t="n">
        <f aca="false">IF(OR($H63="",Y63=""),"",IF($O63="",Y63,(X63*Y63+Config!$B$4*$O63)/(X63+Config!$B$4)))</f>
        <v>0.605555555555556</v>
      </c>
      <c r="AB63" s="10" t="n">
        <f aca="false">IF(Z63="","",(X63*Z63+Config!$B$4*$P63)/(X63+Config!$B$4))</f>
        <v>0.518555555555556</v>
      </c>
      <c r="AC63" s="17" t="n">
        <f aca="false">IF(OR(AA63="",$K63=""),"",AA63*$K63*($K63/Config!$B$10)^Config!$B$9)</f>
        <v>12.8498888888889</v>
      </c>
      <c r="AD63" s="17" t="n">
        <f aca="false">IF(OR(AC63="",AB63=""),"",AC63*AB63)</f>
        <v>6.66338127160494</v>
      </c>
      <c r="AE63" s="9" t="n">
        <f aca="false">IF($I63="",0,SUMIFS(Map_Stats!$F$2:$F$779,Map_Stats!$A$2:$A$779,$F63&amp;"|"&amp;$I63))</f>
        <v>8</v>
      </c>
      <c r="AF63" s="13" t="n">
        <f aca="false">IF($I63="","",IFERROR(1/(1/INDEX(Map_Stats!$K$2:$K$779,MATCH($F63&amp;"|"&amp;$I63,Map_Stats!$A$2:$A$779,0))),$O63))</f>
        <v>0.61</v>
      </c>
      <c r="AG63" s="10" t="n">
        <f aca="false">IF(OR($I63="",$P63=""),"",IFERROR(1/(1/INDEX(Map_Stats!$I$2:$I$779,MATCH($F63&amp;"|"&amp;$I63,Map_Stats!$A$2:$A$779,0))),$P63))</f>
        <v>0.596</v>
      </c>
      <c r="AH63" s="13" t="n">
        <f aca="false">IF(OR($I63="",AF63=""),"",IF($O63="",AF63,(AE63*AF63+Config!$B$4*$O63)/(AE63+Config!$B$4)))</f>
        <v>0.625384615384615</v>
      </c>
      <c r="AI63" s="10" t="n">
        <f aca="false">IF(AG63="","",(AE63*AG63+Config!$B$4*$P63)/(AE63+Config!$B$4))</f>
        <v>0.581769230769231</v>
      </c>
      <c r="AJ63" s="17" t="n">
        <f aca="false">IF(OR(AH63="",$L63=""),"",AH63*$L63*($L63/Config!$B$10)^Config!$B$9)</f>
        <v>13.3269461538462</v>
      </c>
      <c r="AK63" s="17" t="n">
        <f aca="false">IF(OR(AJ63="",AI63=""),"",AJ63*AI63)</f>
        <v>7.75320721242603</v>
      </c>
      <c r="AL63" s="17" t="n">
        <f aca="false">N(V63)+N(AC63)</f>
        <v>27.2402343434343</v>
      </c>
      <c r="AM63" s="17" t="n">
        <f aca="false">AL63+N($M63)*N(AJ63)</f>
        <v>33.486574005742</v>
      </c>
      <c r="AN63" s="17" t="n">
        <f aca="false">IF(W63="","",N(W63)+N(AD63))</f>
        <v>14.6604887046628</v>
      </c>
      <c r="AO63" s="17" t="n">
        <f aca="false">IF(AN63="","",AN63+N($M63)*N(AK63))</f>
        <v>18.2944169251269</v>
      </c>
      <c r="AP63" s="10" t="n">
        <f aca="false">IFERROR(AN63/AL63,"")</f>
        <v>0.53819245898655</v>
      </c>
      <c r="AQ63" s="0" t="str">
        <f aca="false">TRIM(IF($N63&lt;Config!$B$12,"thin sample ("&amp;$N63&amp;" maps) · ","")&amp;IF(AND($G63&lt;&gt;"",Q63=0),"M1 unplayed→overall KPR · ","")&amp;IF(AND($H63&lt;&gt;"",X63=0),"M2 unplayed→overall KPR · ","")&amp;IF($O63="","no PickFinder stats",""))</f>
        <v/>
      </c>
      <c r="AR63" s="9" t="n">
        <f aca="false">IF($C63=Board!$B$2,COUNTIFS($C$2:$C$124,Board!$B$2,$AL$2:$AL$124,"&gt;"&amp;$AL63)+COUNTIFS($C$1:$C62,Board!$B$2,$AL$1:$AL62,$AL63)+1,"")</f>
        <v>8</v>
      </c>
      <c r="AS63" s="0" t="str">
        <f aca="false">IFERROR(IF($D63=INDEX(Matches!$AD$5:$AD$19,MATCH($C63,Matches!$A$5:$A$19,0)),"A",IF($D63=INDEX(Matches!$AE$5:$AE$19,MATCH($C63,Matches!$A$5:$A$19,0)),"B","")),"")</f>
        <v>A</v>
      </c>
      <c r="AT63" s="10" t="n">
        <f aca="false">IF($AS63="","",IFERROR(IF($AS63="A",INDEX(Matches!$AI$5:$AI$19,MATCH($C63,Matches!$A$5:$A$19,0)),INDEX(Matches!$AJ$5:$AJ$19,MATCH($C63,Matches!$A$5:$A$19,0))),""))</f>
        <v>0.529905965777709</v>
      </c>
      <c r="AU63" s="10" t="n">
        <f aca="false">IF($AS63="","",IFERROR(IF(INDEX(Matches!$AP$5:$AP$19,MATCH($C63,Matches!$A$5:$A$19,0))="","",IF($AS63="A",INDEX(Matches!$AP$5:$AP$19,MATCH($C63,Matches!$A$5:$A$19,0)),1-INDEX(Matches!$AP$5:$AP$19,MATCH($C63,Matches!$A$5:$A$19,0)))),""))</f>
        <v>0.517650805323895</v>
      </c>
      <c r="AV63" s="13" t="n">
        <f aca="false">IF(OR($AU63="",$AT63=""),1,((Config!$B$14*$AU63+Config!$B$15*(1-$AU63))/(Config!$B$14*$AT63+Config!$B$15*(1-$AT63)))^Config!$B$13)</f>
        <v>0.989333633128725</v>
      </c>
      <c r="AW63" s="10" t="n">
        <f aca="false">IF($AS63="","",IFERROR(IF(INDEX(Matches!$AV$5:$AV$19,MATCH($C63,Matches!$A$5:$A$19,0))="","",IF($AS63="A",INDEX(Matches!$AV$5:$AV$19,MATCH($C63,Matches!$A$5:$A$19,0)),1-INDEX(Matches!$AV$5:$AV$19,MATCH($C63,Matches!$A$5:$A$19,0)))),""))</f>
        <v>0.547874838095658</v>
      </c>
      <c r="AX63" s="13" t="n">
        <f aca="false">IF(OR($AW63="",$AT63=""),1,((Config!$B$14*$AW63+Config!$B$15*(1-$AW63))/(Config!$B$14*$AT63+Config!$B$15*(1-$AT63)))^Config!$B$13)</f>
        <v>1.01563933700653</v>
      </c>
      <c r="AY63" s="10" t="n">
        <f aca="false">IF($AS63="","",IFERROR(IF(INDEX(Matches!$BB$5:$BB$19,MATCH($C63,Matches!$A$5:$A$19,0))="","",IF($AS63="A",INDEX(Matches!$BB$5:$BB$19,MATCH($C63,Matches!$A$5:$A$19,0)),1-INDEX(Matches!$BB$5:$BB$19,MATCH($C63,Matches!$A$5:$A$19,0)))),""))</f>
        <v>0.518024904532207</v>
      </c>
      <c r="AZ63" s="13" t="n">
        <f aca="false">IF(OR($AY63="",$AT63=""),1,((Config!$B$14*$AY63+Config!$B$15*(1-$AY63))/(Config!$B$14*$AT63+Config!$B$15*(1-$AT63)))^Config!$B$13)</f>
        <v>0.989659233060047</v>
      </c>
      <c r="BA63" s="17" t="n">
        <f aca="false">IF(V63="","",V63*$AV63)</f>
        <v>14.2368527505229</v>
      </c>
      <c r="BB63" s="17" t="n">
        <f aca="false">IF(AC63="","",AC63*$AX63)</f>
        <v>13.0508526317187</v>
      </c>
      <c r="BC63" s="17" t="n">
        <f aca="false">IF(AJ63="","",AJ63*$AZ63)</f>
        <v>13.1891353096479</v>
      </c>
      <c r="BD63" s="17" t="n">
        <f aca="false">N(BA63)+N(BB63)</f>
        <v>27.2877053822416</v>
      </c>
      <c r="BE63" s="17" t="n">
        <f aca="false">BD63+N($M63)*N(BC63)</f>
        <v>33.4694531018736</v>
      </c>
      <c r="BF63" s="17" t="n">
        <f aca="false">IF(W63="","",W63*$AV63)</f>
        <v>7.91180735126785</v>
      </c>
      <c r="BG63" s="17" t="n">
        <f aca="false">IF(AD63="","",AD63*$AX63)</f>
        <v>6.7675921369146</v>
      </c>
      <c r="BH63" s="17" t="n">
        <f aca="false">IF(AK63="","",AK63*$AZ63)</f>
        <v>7.67303310360517</v>
      </c>
      <c r="BI63" s="17" t="n">
        <f aca="false">IF(BF63="","",N(BF63)+N(BG63))</f>
        <v>14.6793994881825</v>
      </c>
      <c r="BJ63" s="17" t="n">
        <f aca="false">IF(BI63="","",BI63+N($M63)*N(BH63))</f>
        <v>18.2757501038422</v>
      </c>
      <c r="BK63" s="13" t="n">
        <f aca="false">IFERROR(BD63/AL63,1)</f>
        <v>1.00174268099932</v>
      </c>
    </row>
    <row r="64" customFormat="false" ht="15" hidden="false" customHeight="false" outlineLevel="0" collapsed="false">
      <c r="A64" s="0" t="s">
        <v>1272</v>
      </c>
      <c r="B64" s="0" t="s">
        <v>988</v>
      </c>
      <c r="C64" s="0" t="s">
        <v>905</v>
      </c>
      <c r="D64" s="0" t="s">
        <v>995</v>
      </c>
      <c r="E64" s="0" t="s">
        <v>1271</v>
      </c>
      <c r="F64" s="0" t="s">
        <v>1517</v>
      </c>
      <c r="G64" s="0" t="str">
        <f aca="false">IFERROR(IF(INDEX(Matches!$W$5:$W$19,MATCH($C64,Matches!$A$5:$A$19,0))="","",INDEX(Matches!$W$5:$W$19,MATCH($C64,Matches!$A$5:$A$19,0))),"")</f>
        <v>Nuke</v>
      </c>
      <c r="H64" s="0" t="str">
        <f aca="false">IFERROR(IF(INDEX(Matches!$X$5:$X$19,MATCH($C64,Matches!$A$5:$A$19,0))="","",INDEX(Matches!$X$5:$X$19,MATCH($C64,Matches!$A$5:$A$19,0))),"")</f>
        <v>Anubis</v>
      </c>
      <c r="I64" s="0" t="str">
        <f aca="false">IFERROR(IF(INDEX(Matches!$Y$5:$Y$19,MATCH($C64,Matches!$A$5:$A$19,0))="","",INDEX(Matches!$Y$5:$Y$19,MATCH($C64,Matches!$A$5:$A$19,0))),"")</f>
        <v>Dust2</v>
      </c>
      <c r="J64" s="11" t="n">
        <f aca="false">IFERROR(IF(INDEX(Matches!$Z$5:$Z$19,MATCH($C64,Matches!$A$5:$A$19,0))="","",INDEX(Matches!$Z$5:$Z$19,MATCH($C64,Matches!$A$5:$A$19,0))),"")</f>
        <v>21.42</v>
      </c>
      <c r="K64" s="11" t="n">
        <f aca="false">IFERROR(IF(INDEX(Matches!$AA$5:$AA$19,MATCH($C64,Matches!$A$5:$A$19,0))="","",INDEX(Matches!$AA$5:$AA$19,MATCH($C64,Matches!$A$5:$A$19,0))),"")</f>
        <v>21.22</v>
      </c>
      <c r="L64" s="11" t="n">
        <f aca="false">IFERROR(IF(INDEX(Matches!$AB$5:$AB$19,MATCH($C64,Matches!$A$5:$A$19,0))="","",INDEX(Matches!$AB$5:$AB$19,MATCH($C64,Matches!$A$5:$A$19,0))),"")</f>
        <v>21.31</v>
      </c>
      <c r="M64" s="10" t="n">
        <f aca="false">IFERROR(IF(INDEX(Matches!$AC$5:$AC$19,MATCH($C64,Matches!$A$5:$A$19,0))="","",INDEX(Matches!$AC$5:$AC$19,MATCH($C64,Matches!$A$5:$A$19,0))),"")</f>
        <v>0.4687</v>
      </c>
      <c r="N64" s="9" t="n">
        <f aca="false">IFERROR(INDEX(Players!$F$2:$F$124,MATCH($F64,Players!$A$2:$A$124,0)),0)</f>
        <v>30</v>
      </c>
      <c r="O64" s="13" t="n">
        <f aca="false">IFERROR(1/(1/INDEX(Players!$H$2:$H$124,MATCH($F64,Players!$A$2:$A$124,0))),"")</f>
        <v>0.78</v>
      </c>
      <c r="P64" s="10" t="n">
        <f aca="false">IFERROR(1/(1/INDEX(Players!$I$2:$I$124,MATCH($F64,Players!$A$2:$A$124,0))),"")</f>
        <v>0.583</v>
      </c>
      <c r="Q64" s="9" t="n">
        <f aca="false">IF($G64="",0,SUMIFS(Map_Stats!$F$2:$F$779,Map_Stats!$A$2:$A$779,$F64&amp;"|"&amp;$G64))</f>
        <v>4</v>
      </c>
      <c r="R64" s="13" t="n">
        <f aca="false">IF($G64="","",IFERROR(1/(1/INDEX(Map_Stats!$K$2:$K$779,MATCH($F64&amp;"|"&amp;$G64,Map_Stats!$A$2:$A$779,0))),$O64))</f>
        <v>0.82</v>
      </c>
      <c r="S64" s="10" t="n">
        <f aca="false">IF(OR($G64="",$P64=""),"",IFERROR(1/(1/INDEX(Map_Stats!$I$2:$I$779,MATCH($F64&amp;"|"&amp;$G64,Map_Stats!$A$2:$A$779,0))),$P64))</f>
        <v>0.559</v>
      </c>
      <c r="T64" s="13" t="n">
        <f aca="false">IF(OR($G64="",R64=""),"",IF($O64="",R64,(Q64*R64+Config!$B$4*$O64)/(Q64+Config!$B$4)))</f>
        <v>0.797777777777778</v>
      </c>
      <c r="U64" s="10" t="n">
        <f aca="false">IF(S64="","",(Q64*S64+Config!$B$4*$P64)/(Q64+Config!$B$4))</f>
        <v>0.572333333333333</v>
      </c>
      <c r="V64" s="17" t="n">
        <f aca="false">IF(OR(T64="",$J64=""),"",T64*$J64*($J64/Config!$B$10)^Config!$B$9)</f>
        <v>17.0884</v>
      </c>
      <c r="W64" s="17" t="n">
        <f aca="false">IF(OR(V64="",U64=""),"",V64*U64)</f>
        <v>9.78026093333334</v>
      </c>
      <c r="X64" s="9" t="n">
        <f aca="false">IF($H64="",0,SUMIFS(Map_Stats!$F$2:$F$779,Map_Stats!$A$2:$A$779,$F64&amp;"|"&amp;$H64))</f>
        <v>3</v>
      </c>
      <c r="Y64" s="13" t="n">
        <f aca="false">IF($H64="","",IFERROR(1/(1/INDEX(Map_Stats!$K$2:$K$779,MATCH($F64&amp;"|"&amp;$H64,Map_Stats!$A$2:$A$779,0))),$O64))</f>
        <v>0.85</v>
      </c>
      <c r="Z64" s="10" t="n">
        <f aca="false">IF(OR($H64="",$P64=""),"",IFERROR(1/(1/INDEX(Map_Stats!$I$2:$I$779,MATCH($F64&amp;"|"&amp;$H64,Map_Stats!$A$2:$A$779,0))),$P64))</f>
        <v>0.529</v>
      </c>
      <c r="AA64" s="13" t="n">
        <f aca="false">IF(OR($H64="",Y64=""),"",IF($O64="",Y64,(X64*Y64+Config!$B$4*$O64)/(X64+Config!$B$4)))</f>
        <v>0.80625</v>
      </c>
      <c r="AB64" s="10" t="n">
        <f aca="false">IF(Z64="","",(X64*Z64+Config!$B$4*$P64)/(X64+Config!$B$4))</f>
        <v>0.56275</v>
      </c>
      <c r="AC64" s="17" t="n">
        <f aca="false">IF(OR(AA64="",$K64=""),"",AA64*$K64*($K64/Config!$B$10)^Config!$B$9)</f>
        <v>17.108625</v>
      </c>
      <c r="AD64" s="17" t="n">
        <f aca="false">IF(OR(AC64="",AB64=""),"",AC64*AB64)</f>
        <v>9.62787871875</v>
      </c>
      <c r="AE64" s="9" t="n">
        <f aca="false">IF($I64="",0,SUMIFS(Map_Stats!$F$2:$F$779,Map_Stats!$A$2:$A$779,$F64&amp;"|"&amp;$I64))</f>
        <v>3</v>
      </c>
      <c r="AF64" s="13" t="n">
        <f aca="false">IF($I64="","",IFERROR(1/(1/INDEX(Map_Stats!$K$2:$K$779,MATCH($F64&amp;"|"&amp;$I64,Map_Stats!$A$2:$A$779,0))),$O64))</f>
        <v>0.58</v>
      </c>
      <c r="AG64" s="10" t="n">
        <f aca="false">IF(OR($I64="",$P64=""),"",IFERROR(1/(1/INDEX(Map_Stats!$I$2:$I$779,MATCH($F64&amp;"|"&amp;$I64,Map_Stats!$A$2:$A$779,0))),$P64))</f>
        <v>0.429</v>
      </c>
      <c r="AH64" s="13" t="n">
        <f aca="false">IF(OR($I64="",AF64=""),"",IF($O64="",AF64,(AE64*AF64+Config!$B$4*$O64)/(AE64+Config!$B$4)))</f>
        <v>0.705</v>
      </c>
      <c r="AI64" s="10" t="n">
        <f aca="false">IF(AG64="","",(AE64*AG64+Config!$B$4*$P64)/(AE64+Config!$B$4))</f>
        <v>0.52525</v>
      </c>
      <c r="AJ64" s="17" t="n">
        <f aca="false">IF(OR(AH64="",$L64=""),"",AH64*$L64*($L64/Config!$B$10)^Config!$B$9)</f>
        <v>15.02355</v>
      </c>
      <c r="AK64" s="17" t="n">
        <f aca="false">IF(OR(AJ64="",AI64=""),"",AJ64*AI64)</f>
        <v>7.8911196375</v>
      </c>
      <c r="AL64" s="17" t="n">
        <f aca="false">N(V64)+N(AC64)</f>
        <v>34.197025</v>
      </c>
      <c r="AM64" s="17" t="n">
        <f aca="false">AL64+N($M64)*N(AJ64)</f>
        <v>41.238562885</v>
      </c>
      <c r="AN64" s="17" t="n">
        <f aca="false">IF(W64="","",N(W64)+N(AD64))</f>
        <v>19.4081396520833</v>
      </c>
      <c r="AO64" s="17" t="n">
        <f aca="false">IF(AN64="","",AN64+N($M64)*N(AK64))</f>
        <v>23.1067074261796</v>
      </c>
      <c r="AP64" s="10" t="n">
        <f aca="false">IFERROR(AN64/AL64,"")</f>
        <v>0.567538832751777</v>
      </c>
      <c r="AQ64" s="0" t="str">
        <f aca="false">TRIM(IF($N64&lt;Config!$B$12,"thin sample ("&amp;$N64&amp;" maps) · ","")&amp;IF(AND($G64&lt;&gt;"",Q64=0),"M1 unplayed→overall KPR · ","")&amp;IF(AND($H64&lt;&gt;"",X64=0),"M2 unplayed→overall KPR · ","")&amp;IF($O64="","no PickFinder stats",""))</f>
        <v/>
      </c>
      <c r="AR64" s="9" t="n">
        <f aca="false">IF($C64=Board!$B$2,COUNTIFS($C$2:$C$124,Board!$B$2,$AL$2:$AL$124,"&gt;"&amp;$AL64)+COUNTIFS($C$1:$C63,Board!$B$2,$AL$1:$AL63,$AL64)+1,"")</f>
        <v>1</v>
      </c>
      <c r="AS64" s="0" t="str">
        <f aca="false">IFERROR(IF($D64=INDEX(Matches!$AD$5:$AD$19,MATCH($C64,Matches!$A$5:$A$19,0)),"A",IF($D64=INDEX(Matches!$AE$5:$AE$19,MATCH($C64,Matches!$A$5:$A$19,0)),"B","")),"")</f>
        <v>B</v>
      </c>
      <c r="AT64" s="10" t="n">
        <f aca="false">IF($AS64="","",IFERROR(IF($AS64="A",INDEX(Matches!$AI$5:$AI$19,MATCH($C64,Matches!$A$5:$A$19,0)),INDEX(Matches!$AJ$5:$AJ$19,MATCH($C64,Matches!$A$5:$A$19,0))),""))</f>
        <v>0.539983492283795</v>
      </c>
      <c r="AU64" s="10" t="n">
        <f aca="false">IF($AS64="","",IFERROR(IF(INDEX(Matches!$AP$5:$AP$19,MATCH($C64,Matches!$A$5:$A$19,0))="","",IF($AS64="A",INDEX(Matches!$AP$5:$AP$19,MATCH($C64,Matches!$A$5:$A$19,0)),1-INDEX(Matches!$AP$5:$AP$19,MATCH($C64,Matches!$A$5:$A$19,0)))),""))</f>
        <v>0.482349194676105</v>
      </c>
      <c r="AV64" s="13" t="n">
        <f aca="false">IF(OR($AU64="",$AT64=""),1,((Config!$B$14*$AU64+Config!$B$15*(1-$AU64))/(Config!$B$14*$AT64+Config!$B$15*(1-$AT64)))^Config!$B$13)</f>
        <v>0.950273726870469</v>
      </c>
      <c r="AW64" s="10" t="n">
        <f aca="false">IF($AS64="","",IFERROR(IF(INDEX(Matches!$AV$5:$AV$19,MATCH($C64,Matches!$A$5:$A$19,0))="","",IF($AS64="A",INDEX(Matches!$AV$5:$AV$19,MATCH($C64,Matches!$A$5:$A$19,0)),1-INDEX(Matches!$AV$5:$AV$19,MATCH($C64,Matches!$A$5:$A$19,0)))),""))</f>
        <v>0.452125161904342</v>
      </c>
      <c r="AX64" s="13" t="n">
        <f aca="false">IF(OR($AW64="",$AT64=""),1,((Config!$B$14*$AW64+Config!$B$15*(1-$AW64))/(Config!$B$14*$AT64+Config!$B$15*(1-$AT64)))^Config!$B$13)</f>
        <v>0.924196745436343</v>
      </c>
      <c r="AY64" s="10" t="n">
        <f aca="false">IF($AS64="","",IFERROR(IF(INDEX(Matches!$BB$5:$BB$19,MATCH($C64,Matches!$A$5:$A$19,0))="","",IF($AS64="A",INDEX(Matches!$BB$5:$BB$19,MATCH($C64,Matches!$A$5:$A$19,0)),1-INDEX(Matches!$BB$5:$BB$19,MATCH($C64,Matches!$A$5:$A$19,0)))),""))</f>
        <v>0.481975095467793</v>
      </c>
      <c r="AZ64" s="13" t="n">
        <f aca="false">IF(OR($AY64="",$AT64=""),1,((Config!$B$14*$AY64+Config!$B$15*(1-$AY64))/(Config!$B$14*$AT64+Config!$B$15*(1-$AT64)))^Config!$B$13)</f>
        <v>0.949950957960597</v>
      </c>
      <c r="BA64" s="17" t="n">
        <f aca="false">IF(V64="","",V64*$AV64)</f>
        <v>16.2386575542533</v>
      </c>
      <c r="BB64" s="17" t="n">
        <f aca="false">IF(AC64="","",AC64*$AX64)</f>
        <v>15.8117355438909</v>
      </c>
      <c r="BC64" s="17" t="n">
        <f aca="false">IF(AJ64="","",AJ64*$AZ64)</f>
        <v>14.2716357144689</v>
      </c>
      <c r="BD64" s="17" t="n">
        <f aca="false">N(BA64)+N(BB64)</f>
        <v>32.0503930981442</v>
      </c>
      <c r="BE64" s="17" t="n">
        <f aca="false">BD64+N($M64)*N(BC64)</f>
        <v>38.7395087575158</v>
      </c>
      <c r="BF64" s="17" t="n">
        <f aca="false">IF(W64="","",W64*$AV64)</f>
        <v>9.29392500688432</v>
      </c>
      <c r="BG64" s="17" t="n">
        <f aca="false">IF(AD64="","",AD64*$AX64)</f>
        <v>8.89805417732458</v>
      </c>
      <c r="BH64" s="17" t="n">
        <f aca="false">IF(AK64="","",AK64*$AZ64)</f>
        <v>7.4961766590248</v>
      </c>
      <c r="BI64" s="17" t="n">
        <f aca="false">IF(BF64="","",N(BF64)+N(BG64))</f>
        <v>18.1919791842089</v>
      </c>
      <c r="BJ64" s="17" t="n">
        <f aca="false">IF(BI64="","",BI64+N($M64)*N(BH64))</f>
        <v>21.7054371842938</v>
      </c>
      <c r="BK64" s="13" t="n">
        <f aca="false">IFERROR(BD64/AL64,1)</f>
        <v>0.937227524854696</v>
      </c>
    </row>
    <row r="65" customFormat="false" ht="15" hidden="false" customHeight="false" outlineLevel="0" collapsed="false">
      <c r="A65" s="0" t="s">
        <v>1274</v>
      </c>
      <c r="B65" s="0" t="s">
        <v>988</v>
      </c>
      <c r="C65" s="0" t="s">
        <v>905</v>
      </c>
      <c r="D65" s="0" t="s">
        <v>995</v>
      </c>
      <c r="E65" s="0" t="s">
        <v>1273</v>
      </c>
      <c r="F65" s="0" t="s">
        <v>1518</v>
      </c>
      <c r="G65" s="0" t="str">
        <f aca="false">IFERROR(IF(INDEX(Matches!$W$5:$W$19,MATCH($C65,Matches!$A$5:$A$19,0))="","",INDEX(Matches!$W$5:$W$19,MATCH($C65,Matches!$A$5:$A$19,0))),"")</f>
        <v>Nuke</v>
      </c>
      <c r="H65" s="0" t="str">
        <f aca="false">IFERROR(IF(INDEX(Matches!$X$5:$X$19,MATCH($C65,Matches!$A$5:$A$19,0))="","",INDEX(Matches!$X$5:$X$19,MATCH($C65,Matches!$A$5:$A$19,0))),"")</f>
        <v>Anubis</v>
      </c>
      <c r="I65" s="0" t="str">
        <f aca="false">IFERROR(IF(INDEX(Matches!$Y$5:$Y$19,MATCH($C65,Matches!$A$5:$A$19,0))="","",INDEX(Matches!$Y$5:$Y$19,MATCH($C65,Matches!$A$5:$A$19,0))),"")</f>
        <v>Dust2</v>
      </c>
      <c r="J65" s="11" t="n">
        <f aca="false">IFERROR(IF(INDEX(Matches!$Z$5:$Z$19,MATCH($C65,Matches!$A$5:$A$19,0))="","",INDEX(Matches!$Z$5:$Z$19,MATCH($C65,Matches!$A$5:$A$19,0))),"")</f>
        <v>21.42</v>
      </c>
      <c r="K65" s="11" t="n">
        <f aca="false">IFERROR(IF(INDEX(Matches!$AA$5:$AA$19,MATCH($C65,Matches!$A$5:$A$19,0))="","",INDEX(Matches!$AA$5:$AA$19,MATCH($C65,Matches!$A$5:$A$19,0))),"")</f>
        <v>21.22</v>
      </c>
      <c r="L65" s="11" t="n">
        <f aca="false">IFERROR(IF(INDEX(Matches!$AB$5:$AB$19,MATCH($C65,Matches!$A$5:$A$19,0))="","",INDEX(Matches!$AB$5:$AB$19,MATCH($C65,Matches!$A$5:$A$19,0))),"")</f>
        <v>21.31</v>
      </c>
      <c r="M65" s="10" t="n">
        <f aca="false">IFERROR(IF(INDEX(Matches!$AC$5:$AC$19,MATCH($C65,Matches!$A$5:$A$19,0))="","",INDEX(Matches!$AC$5:$AC$19,MATCH($C65,Matches!$A$5:$A$19,0))),"")</f>
        <v>0.4687</v>
      </c>
      <c r="N65" s="9" t="n">
        <f aca="false">IFERROR(INDEX(Players!$F$2:$F$124,MATCH($F65,Players!$A$2:$A$124,0)),0)</f>
        <v>30</v>
      </c>
      <c r="O65" s="13" t="n">
        <f aca="false">IFERROR(1/(1/INDEX(Players!$H$2:$H$124,MATCH($F65,Players!$A$2:$A$124,0))),"")</f>
        <v>0.7</v>
      </c>
      <c r="P65" s="10" t="n">
        <f aca="false">IFERROR(1/(1/INDEX(Players!$I$2:$I$124,MATCH($F65,Players!$A$2:$A$124,0))),"")</f>
        <v>0.328</v>
      </c>
      <c r="Q65" s="9" t="n">
        <f aca="false">IF($G65="",0,SUMIFS(Map_Stats!$F$2:$F$779,Map_Stats!$A$2:$A$779,$F65&amp;"|"&amp;$G65))</f>
        <v>4</v>
      </c>
      <c r="R65" s="13" t="n">
        <f aca="false">IF($G65="","",IFERROR(1/(1/INDEX(Map_Stats!$K$2:$K$779,MATCH($F65&amp;"|"&amp;$G65,Map_Stats!$A$2:$A$779,0))),$O65))</f>
        <v>0.77</v>
      </c>
      <c r="S65" s="10" t="n">
        <f aca="false">IF(OR($G65="",$P65=""),"",IFERROR(1/(1/INDEX(Map_Stats!$I$2:$I$779,MATCH($F65&amp;"|"&amp;$G65,Map_Stats!$A$2:$A$779,0))),$P65))</f>
        <v>0.234</v>
      </c>
      <c r="T65" s="13" t="n">
        <f aca="false">IF(OR($G65="",R65=""),"",IF($O65="",R65,(Q65*R65+Config!$B$4*$O65)/(Q65+Config!$B$4)))</f>
        <v>0.731111111111111</v>
      </c>
      <c r="U65" s="10" t="n">
        <f aca="false">IF(S65="","",(Q65*S65+Config!$B$4*$P65)/(Q65+Config!$B$4))</f>
        <v>0.286222222222222</v>
      </c>
      <c r="V65" s="17" t="n">
        <f aca="false">IF(OR(T65="",$J65=""),"",T65*$J65*($J65/Config!$B$10)^Config!$B$9)</f>
        <v>15.6604</v>
      </c>
      <c r="W65" s="17" t="n">
        <f aca="false">IF(OR(V65="",U65=""),"",V65*U65)</f>
        <v>4.48235448888889</v>
      </c>
      <c r="X65" s="9" t="n">
        <f aca="false">IF($H65="",0,SUMIFS(Map_Stats!$F$2:$F$779,Map_Stats!$A$2:$A$779,$F65&amp;"|"&amp;$H65))</f>
        <v>3</v>
      </c>
      <c r="Y65" s="13" t="n">
        <f aca="false">IF($H65="","",IFERROR(1/(1/INDEX(Map_Stats!$K$2:$K$779,MATCH($F65&amp;"|"&amp;$H65,Map_Stats!$A$2:$A$779,0))),$O65))</f>
        <v>0.8</v>
      </c>
      <c r="Z65" s="10" t="n">
        <f aca="false">IF(OR($H65="",$P65=""),"",IFERROR(1/(1/INDEX(Map_Stats!$I$2:$I$779,MATCH($F65&amp;"|"&amp;$H65,Map_Stats!$A$2:$A$779,0))),$P65))</f>
        <v>0.333</v>
      </c>
      <c r="AA65" s="13" t="n">
        <f aca="false">IF(OR($H65="",Y65=""),"",IF($O65="",Y65,(X65*Y65+Config!$B$4*$O65)/(X65+Config!$B$4)))</f>
        <v>0.7375</v>
      </c>
      <c r="AB65" s="10" t="n">
        <f aca="false">IF(Z65="","",(X65*Z65+Config!$B$4*$P65)/(X65+Config!$B$4))</f>
        <v>0.329875</v>
      </c>
      <c r="AC65" s="17" t="n">
        <f aca="false">IF(OR(AA65="",$K65=""),"",AA65*$K65*($K65/Config!$B$10)^Config!$B$9)</f>
        <v>15.64975</v>
      </c>
      <c r="AD65" s="17" t="n">
        <f aca="false">IF(OR(AC65="",AB65=""),"",AC65*AB65)</f>
        <v>5.16246128125</v>
      </c>
      <c r="AE65" s="9" t="n">
        <f aca="false">IF($I65="",0,SUMIFS(Map_Stats!$F$2:$F$779,Map_Stats!$A$2:$A$779,$F65&amp;"|"&amp;$I65))</f>
        <v>3</v>
      </c>
      <c r="AF65" s="13" t="n">
        <f aca="false">IF($I65="","",IFERROR(1/(1/INDEX(Map_Stats!$K$2:$K$779,MATCH($F65&amp;"|"&amp;$I65,Map_Stats!$A$2:$A$779,0))),$O65))</f>
        <v>0.63</v>
      </c>
      <c r="AG65" s="10" t="n">
        <f aca="false">IF(OR($I65="",$P65=""),"",IFERROR(1/(1/INDEX(Map_Stats!$I$2:$I$779,MATCH($F65&amp;"|"&amp;$I65,Map_Stats!$A$2:$A$779,0))),$P65))</f>
        <v>0.368</v>
      </c>
      <c r="AH65" s="13" t="n">
        <f aca="false">IF(OR($I65="",AF65=""),"",IF($O65="",AF65,(AE65*AF65+Config!$B$4*$O65)/(AE65+Config!$B$4)))</f>
        <v>0.67375</v>
      </c>
      <c r="AI65" s="10" t="n">
        <f aca="false">IF(AG65="","",(AE65*AG65+Config!$B$4*$P65)/(AE65+Config!$B$4))</f>
        <v>0.343</v>
      </c>
      <c r="AJ65" s="17" t="n">
        <f aca="false">IF(OR(AH65="",$L65=""),"",AH65*$L65*($L65/Config!$B$10)^Config!$B$9)</f>
        <v>14.3576125</v>
      </c>
      <c r="AK65" s="17" t="n">
        <f aca="false">IF(OR(AJ65="",AI65=""),"",AJ65*AI65)</f>
        <v>4.9246610875</v>
      </c>
      <c r="AL65" s="17" t="n">
        <f aca="false">N(V65)+N(AC65)</f>
        <v>31.31015</v>
      </c>
      <c r="AM65" s="17" t="n">
        <f aca="false">AL65+N($M65)*N(AJ65)</f>
        <v>38.03956297875</v>
      </c>
      <c r="AN65" s="17" t="n">
        <f aca="false">IF(W65="","",N(W65)+N(AD65))</f>
        <v>9.64481577013889</v>
      </c>
      <c r="AO65" s="17" t="n">
        <f aca="false">IF(AN65="","",AN65+N($M65)*N(AK65))</f>
        <v>11.9530044218501</v>
      </c>
      <c r="AP65" s="10" t="n">
        <f aca="false">IFERROR(AN65/AL65,"")</f>
        <v>0.308041186967769</v>
      </c>
      <c r="AQ65" s="0" t="str">
        <f aca="false">TRIM(IF($N65&lt;Config!$B$12,"thin sample ("&amp;$N65&amp;" maps) · ","")&amp;IF(AND($G65&lt;&gt;"",Q65=0),"M1 unplayed→overall KPR · ","")&amp;IF(AND($H65&lt;&gt;"",X65=0),"M2 unplayed→overall KPR · ","")&amp;IF($O65="","no PickFinder stats",""))</f>
        <v/>
      </c>
      <c r="AR65" s="9" t="n">
        <f aca="false">IF($C65=Board!$B$2,COUNTIFS($C$2:$C$124,Board!$B$2,$AL$2:$AL$124,"&gt;"&amp;$AL65)+COUNTIFS($C$1:$C64,Board!$B$2,$AL$1:$AL64,$AL65)+1,"")</f>
        <v>2</v>
      </c>
      <c r="AS65" s="0" t="str">
        <f aca="false">IFERROR(IF($D65=INDEX(Matches!$AD$5:$AD$19,MATCH($C65,Matches!$A$5:$A$19,0)),"A",IF($D65=INDEX(Matches!$AE$5:$AE$19,MATCH($C65,Matches!$A$5:$A$19,0)),"B","")),"")</f>
        <v>B</v>
      </c>
      <c r="AT65" s="10" t="n">
        <f aca="false">IF($AS65="","",IFERROR(IF($AS65="A",INDEX(Matches!$AI$5:$AI$19,MATCH($C65,Matches!$A$5:$A$19,0)),INDEX(Matches!$AJ$5:$AJ$19,MATCH($C65,Matches!$A$5:$A$19,0))),""))</f>
        <v>0.539983492283795</v>
      </c>
      <c r="AU65" s="10" t="n">
        <f aca="false">IF($AS65="","",IFERROR(IF(INDEX(Matches!$AP$5:$AP$19,MATCH($C65,Matches!$A$5:$A$19,0))="","",IF($AS65="A",INDEX(Matches!$AP$5:$AP$19,MATCH($C65,Matches!$A$5:$A$19,0)),1-INDEX(Matches!$AP$5:$AP$19,MATCH($C65,Matches!$A$5:$A$19,0)))),""))</f>
        <v>0.482349194676105</v>
      </c>
      <c r="AV65" s="13" t="n">
        <f aca="false">IF(OR($AU65="",$AT65=""),1,((Config!$B$14*$AU65+Config!$B$15*(1-$AU65))/(Config!$B$14*$AT65+Config!$B$15*(1-$AT65)))^Config!$B$13)</f>
        <v>0.950273726870469</v>
      </c>
      <c r="AW65" s="10" t="n">
        <f aca="false">IF($AS65="","",IFERROR(IF(INDEX(Matches!$AV$5:$AV$19,MATCH($C65,Matches!$A$5:$A$19,0))="","",IF($AS65="A",INDEX(Matches!$AV$5:$AV$19,MATCH($C65,Matches!$A$5:$A$19,0)),1-INDEX(Matches!$AV$5:$AV$19,MATCH($C65,Matches!$A$5:$A$19,0)))),""))</f>
        <v>0.452125161904342</v>
      </c>
      <c r="AX65" s="13" t="n">
        <f aca="false">IF(OR($AW65="",$AT65=""),1,((Config!$B$14*$AW65+Config!$B$15*(1-$AW65))/(Config!$B$14*$AT65+Config!$B$15*(1-$AT65)))^Config!$B$13)</f>
        <v>0.924196745436343</v>
      </c>
      <c r="AY65" s="10" t="n">
        <f aca="false">IF($AS65="","",IFERROR(IF(INDEX(Matches!$BB$5:$BB$19,MATCH($C65,Matches!$A$5:$A$19,0))="","",IF($AS65="A",INDEX(Matches!$BB$5:$BB$19,MATCH($C65,Matches!$A$5:$A$19,0)),1-INDEX(Matches!$BB$5:$BB$19,MATCH($C65,Matches!$A$5:$A$19,0)))),""))</f>
        <v>0.481975095467793</v>
      </c>
      <c r="AZ65" s="13" t="n">
        <f aca="false">IF(OR($AY65="",$AT65=""),1,((Config!$B$14*$AY65+Config!$B$15*(1-$AY65))/(Config!$B$14*$AT65+Config!$B$15*(1-$AT65)))^Config!$B$13)</f>
        <v>0.949950957960597</v>
      </c>
      <c r="BA65" s="17" t="n">
        <f aca="false">IF(V65="","",V65*$AV65)</f>
        <v>14.8816666722823</v>
      </c>
      <c r="BB65" s="17" t="n">
        <f aca="false">IF(AC65="","",AC65*$AX65)</f>
        <v>14.4634480168924</v>
      </c>
      <c r="BC65" s="17" t="n">
        <f aca="false">IF(AJ65="","",AJ65*$AZ65)</f>
        <v>13.639027748402</v>
      </c>
      <c r="BD65" s="17" t="n">
        <f aca="false">N(BA65)+N(BB65)</f>
        <v>29.3451146891747</v>
      </c>
      <c r="BE65" s="17" t="n">
        <f aca="false">BD65+N($M65)*N(BC65)</f>
        <v>35.7377269948507</v>
      </c>
      <c r="BF65" s="17" t="n">
        <f aca="false">IF(W65="","",W65*$AV65)</f>
        <v>4.25946370531102</v>
      </c>
      <c r="BG65" s="17" t="n">
        <f aca="false">IF(AD65="","",AD65*$AX65)</f>
        <v>4.77112991457238</v>
      </c>
      <c r="BH65" s="17" t="n">
        <f aca="false">IF(AK65="","",AK65*$AZ65)</f>
        <v>4.6781865177019</v>
      </c>
      <c r="BI65" s="17" t="n">
        <f aca="false">IF(BF65="","",N(BF65)+N(BG65))</f>
        <v>9.0305936198834</v>
      </c>
      <c r="BJ65" s="17" t="n">
        <f aca="false">IF(BI65="","",BI65+N($M65)*N(BH65))</f>
        <v>11.2232596407303</v>
      </c>
      <c r="BK65" s="13" t="n">
        <f aca="false">IFERROR(BD65/AL65,1)</f>
        <v>0.93723967113459</v>
      </c>
    </row>
    <row r="66" customFormat="false" ht="15" hidden="false" customHeight="false" outlineLevel="0" collapsed="false">
      <c r="A66" s="0" t="s">
        <v>1276</v>
      </c>
      <c r="B66" s="0" t="s">
        <v>988</v>
      </c>
      <c r="C66" s="0" t="s">
        <v>905</v>
      </c>
      <c r="D66" s="0" t="s">
        <v>995</v>
      </c>
      <c r="E66" s="0" t="s">
        <v>1275</v>
      </c>
      <c r="F66" s="0" t="s">
        <v>1519</v>
      </c>
      <c r="G66" s="0" t="str">
        <f aca="false">IFERROR(IF(INDEX(Matches!$W$5:$W$19,MATCH($C66,Matches!$A$5:$A$19,0))="","",INDEX(Matches!$W$5:$W$19,MATCH($C66,Matches!$A$5:$A$19,0))),"")</f>
        <v>Nuke</v>
      </c>
      <c r="H66" s="0" t="str">
        <f aca="false">IFERROR(IF(INDEX(Matches!$X$5:$X$19,MATCH($C66,Matches!$A$5:$A$19,0))="","",INDEX(Matches!$X$5:$X$19,MATCH($C66,Matches!$A$5:$A$19,0))),"")</f>
        <v>Anubis</v>
      </c>
      <c r="I66" s="0" t="str">
        <f aca="false">IFERROR(IF(INDEX(Matches!$Y$5:$Y$19,MATCH($C66,Matches!$A$5:$A$19,0))="","",INDEX(Matches!$Y$5:$Y$19,MATCH($C66,Matches!$A$5:$A$19,0))),"")</f>
        <v>Dust2</v>
      </c>
      <c r="J66" s="11" t="n">
        <f aca="false">IFERROR(IF(INDEX(Matches!$Z$5:$Z$19,MATCH($C66,Matches!$A$5:$A$19,0))="","",INDEX(Matches!$Z$5:$Z$19,MATCH($C66,Matches!$A$5:$A$19,0))),"")</f>
        <v>21.42</v>
      </c>
      <c r="K66" s="11" t="n">
        <f aca="false">IFERROR(IF(INDEX(Matches!$AA$5:$AA$19,MATCH($C66,Matches!$A$5:$A$19,0))="","",INDEX(Matches!$AA$5:$AA$19,MATCH($C66,Matches!$A$5:$A$19,0))),"")</f>
        <v>21.22</v>
      </c>
      <c r="L66" s="11" t="n">
        <f aca="false">IFERROR(IF(INDEX(Matches!$AB$5:$AB$19,MATCH($C66,Matches!$A$5:$A$19,0))="","",INDEX(Matches!$AB$5:$AB$19,MATCH($C66,Matches!$A$5:$A$19,0))),"")</f>
        <v>21.31</v>
      </c>
      <c r="M66" s="10" t="n">
        <f aca="false">IFERROR(IF(INDEX(Matches!$AC$5:$AC$19,MATCH($C66,Matches!$A$5:$A$19,0))="","",INDEX(Matches!$AC$5:$AC$19,MATCH($C66,Matches!$A$5:$A$19,0))),"")</f>
        <v>0.4687</v>
      </c>
      <c r="N66" s="9" t="n">
        <f aca="false">IFERROR(INDEX(Players!$F$2:$F$124,MATCH($F66,Players!$A$2:$A$124,0)),0)</f>
        <v>30</v>
      </c>
      <c r="O66" s="13" t="n">
        <f aca="false">IFERROR(1/(1/INDEX(Players!$H$2:$H$124,MATCH($F66,Players!$A$2:$A$124,0))),"")</f>
        <v>0.52</v>
      </c>
      <c r="P66" s="10" t="n">
        <f aca="false">IFERROR(1/(1/INDEX(Players!$I$2:$I$124,MATCH($F66,Players!$A$2:$A$124,0))),"")</f>
        <v>0.556</v>
      </c>
      <c r="Q66" s="9" t="n">
        <f aca="false">IF($G66="",0,SUMIFS(Map_Stats!$F$2:$F$779,Map_Stats!$A$2:$A$779,$F66&amp;"|"&amp;$G66))</f>
        <v>4</v>
      </c>
      <c r="R66" s="13" t="n">
        <f aca="false">IF($G66="","",IFERROR(1/(1/INDEX(Map_Stats!$K$2:$K$779,MATCH($F66&amp;"|"&amp;$G66,Map_Stats!$A$2:$A$779,0))),$O66))</f>
        <v>0.59</v>
      </c>
      <c r="S66" s="10" t="n">
        <f aca="false">IF(OR($G66="",$P66=""),"",IFERROR(1/(1/INDEX(Map_Stats!$I$2:$I$779,MATCH($F66&amp;"|"&amp;$G66,Map_Stats!$A$2:$A$779,0))),$P66))</f>
        <v>0.49</v>
      </c>
      <c r="T66" s="13" t="n">
        <f aca="false">IF(OR($G66="",R66=""),"",IF($O66="",R66,(Q66*R66+Config!$B$4*$O66)/(Q66+Config!$B$4)))</f>
        <v>0.551111111111111</v>
      </c>
      <c r="U66" s="10" t="n">
        <f aca="false">IF(S66="","",(Q66*S66+Config!$B$4*$P66)/(Q66+Config!$B$4))</f>
        <v>0.526666666666667</v>
      </c>
      <c r="V66" s="17" t="n">
        <f aca="false">IF(OR(T66="",$J66=""),"",T66*$J66*($J66/Config!$B$10)^Config!$B$9)</f>
        <v>11.8048</v>
      </c>
      <c r="W66" s="17" t="n">
        <f aca="false">IF(OR(V66="",U66=""),"",V66*U66)</f>
        <v>6.21719466666667</v>
      </c>
      <c r="X66" s="9" t="n">
        <f aca="false">IF($H66="",0,SUMIFS(Map_Stats!$F$2:$F$779,Map_Stats!$A$2:$A$779,$F66&amp;"|"&amp;$H66))</f>
        <v>3</v>
      </c>
      <c r="Y66" s="13" t="n">
        <f aca="false">IF($H66="","",IFERROR(1/(1/INDEX(Map_Stats!$K$2:$K$779,MATCH($F66&amp;"|"&amp;$H66,Map_Stats!$A$2:$A$779,0))),$O66))</f>
        <v>0.43</v>
      </c>
      <c r="Z66" s="10" t="n">
        <f aca="false">IF(OR($H66="",$P66=""),"",IFERROR(1/(1/INDEX(Map_Stats!$I$2:$I$779,MATCH($F66&amp;"|"&amp;$H66,Map_Stats!$A$2:$A$779,0))),$P66))</f>
        <v>0.577</v>
      </c>
      <c r="AA66" s="13" t="n">
        <f aca="false">IF(OR($H66="",Y66=""),"",IF($O66="",Y66,(X66*Y66+Config!$B$4*$O66)/(X66+Config!$B$4)))</f>
        <v>0.48625</v>
      </c>
      <c r="AB66" s="10" t="n">
        <f aca="false">IF(Z66="","",(X66*Z66+Config!$B$4*$P66)/(X66+Config!$B$4))</f>
        <v>0.563875</v>
      </c>
      <c r="AC66" s="17" t="n">
        <f aca="false">IF(OR(AA66="",$K66=""),"",AA66*$K66*($K66/Config!$B$10)^Config!$B$9)</f>
        <v>10.318225</v>
      </c>
      <c r="AD66" s="17" t="n">
        <f aca="false">IF(OR(AC66="",AB66=""),"",AC66*AB66)</f>
        <v>5.818189121875</v>
      </c>
      <c r="AE66" s="9" t="n">
        <f aca="false">IF($I66="",0,SUMIFS(Map_Stats!$F$2:$F$779,Map_Stats!$A$2:$A$779,$F66&amp;"|"&amp;$I66))</f>
        <v>3</v>
      </c>
      <c r="AF66" s="13" t="n">
        <f aca="false">IF($I66="","",IFERROR(1/(1/INDEX(Map_Stats!$K$2:$K$779,MATCH($F66&amp;"|"&amp;$I66,Map_Stats!$A$2:$A$779,0))),$O66))</f>
        <v>0.55</v>
      </c>
      <c r="AG66" s="10" t="n">
        <f aca="false">IF(OR($I66="",$P66=""),"",IFERROR(1/(1/INDEX(Map_Stats!$I$2:$I$779,MATCH($F66&amp;"|"&amp;$I66,Map_Stats!$A$2:$A$779,0))),$P66))</f>
        <v>0.576</v>
      </c>
      <c r="AH66" s="13" t="n">
        <f aca="false">IF(OR($I66="",AF66=""),"",IF($O66="",AF66,(AE66*AF66+Config!$B$4*$O66)/(AE66+Config!$B$4)))</f>
        <v>0.53125</v>
      </c>
      <c r="AI66" s="10" t="n">
        <f aca="false">IF(AG66="","",(AE66*AG66+Config!$B$4*$P66)/(AE66+Config!$B$4))</f>
        <v>0.5635</v>
      </c>
      <c r="AJ66" s="17" t="n">
        <f aca="false">IF(OR(AH66="",$L66=""),"",AH66*$L66*($L66/Config!$B$10)^Config!$B$9)</f>
        <v>11.3209375</v>
      </c>
      <c r="AK66" s="17" t="n">
        <f aca="false">IF(OR(AJ66="",AI66=""),"",AJ66*AI66)</f>
        <v>6.37934828125</v>
      </c>
      <c r="AL66" s="17" t="n">
        <f aca="false">N(V66)+N(AC66)</f>
        <v>22.123025</v>
      </c>
      <c r="AM66" s="17" t="n">
        <f aca="false">AL66+N($M66)*N(AJ66)</f>
        <v>27.42914840625</v>
      </c>
      <c r="AN66" s="17" t="n">
        <f aca="false">IF(W66="","",N(W66)+N(AD66))</f>
        <v>12.0353837885417</v>
      </c>
      <c r="AO66" s="17" t="n">
        <f aca="false">IF(AN66="","",AN66+N($M66)*N(AK66))</f>
        <v>15.0253843279635</v>
      </c>
      <c r="AP66" s="10" t="n">
        <f aca="false">IFERROR(AN66/AL66,"")</f>
        <v>0.544020710935402</v>
      </c>
      <c r="AQ66" s="0" t="str">
        <f aca="false">TRIM(IF($N66&lt;Config!$B$12,"thin sample ("&amp;$N66&amp;" maps) · ","")&amp;IF(AND($G66&lt;&gt;"",Q66=0),"M1 unplayed→overall KPR · ","")&amp;IF(AND($H66&lt;&gt;"",X66=0),"M2 unplayed→overall KPR · ","")&amp;IF($O66="","no PickFinder stats",""))</f>
        <v/>
      </c>
      <c r="AR66" s="9" t="n">
        <f aca="false">IF($C66=Board!$B$2,COUNTIFS($C$2:$C$124,Board!$B$2,$AL$2:$AL$124,"&gt;"&amp;$AL66)+COUNTIFS($C$1:$C65,Board!$B$2,$AL$1:$AL65,$AL66)+1,"")</f>
        <v>10</v>
      </c>
      <c r="AS66" s="0" t="str">
        <f aca="false">IFERROR(IF($D66=INDEX(Matches!$AD$5:$AD$19,MATCH($C66,Matches!$A$5:$A$19,0)),"A",IF($D66=INDEX(Matches!$AE$5:$AE$19,MATCH($C66,Matches!$A$5:$A$19,0)),"B","")),"")</f>
        <v>B</v>
      </c>
      <c r="AT66" s="10" t="n">
        <f aca="false">IF($AS66="","",IFERROR(IF($AS66="A",INDEX(Matches!$AI$5:$AI$19,MATCH($C66,Matches!$A$5:$A$19,0)),INDEX(Matches!$AJ$5:$AJ$19,MATCH($C66,Matches!$A$5:$A$19,0))),""))</f>
        <v>0.539983492283795</v>
      </c>
      <c r="AU66" s="10" t="n">
        <f aca="false">IF($AS66="","",IFERROR(IF(INDEX(Matches!$AP$5:$AP$19,MATCH($C66,Matches!$A$5:$A$19,0))="","",IF($AS66="A",INDEX(Matches!$AP$5:$AP$19,MATCH($C66,Matches!$A$5:$A$19,0)),1-INDEX(Matches!$AP$5:$AP$19,MATCH($C66,Matches!$A$5:$A$19,0)))),""))</f>
        <v>0.482349194676105</v>
      </c>
      <c r="AV66" s="13" t="n">
        <f aca="false">IF(OR($AU66="",$AT66=""),1,((Config!$B$14*$AU66+Config!$B$15*(1-$AU66))/(Config!$B$14*$AT66+Config!$B$15*(1-$AT66)))^Config!$B$13)</f>
        <v>0.950273726870469</v>
      </c>
      <c r="AW66" s="10" t="n">
        <f aca="false">IF($AS66="","",IFERROR(IF(INDEX(Matches!$AV$5:$AV$19,MATCH($C66,Matches!$A$5:$A$19,0))="","",IF($AS66="A",INDEX(Matches!$AV$5:$AV$19,MATCH($C66,Matches!$A$5:$A$19,0)),1-INDEX(Matches!$AV$5:$AV$19,MATCH($C66,Matches!$A$5:$A$19,0)))),""))</f>
        <v>0.452125161904342</v>
      </c>
      <c r="AX66" s="13" t="n">
        <f aca="false">IF(OR($AW66="",$AT66=""),1,((Config!$B$14*$AW66+Config!$B$15*(1-$AW66))/(Config!$B$14*$AT66+Config!$B$15*(1-$AT66)))^Config!$B$13)</f>
        <v>0.924196745436343</v>
      </c>
      <c r="AY66" s="10" t="n">
        <f aca="false">IF($AS66="","",IFERROR(IF(INDEX(Matches!$BB$5:$BB$19,MATCH($C66,Matches!$A$5:$A$19,0))="","",IF($AS66="A",INDEX(Matches!$BB$5:$BB$19,MATCH($C66,Matches!$A$5:$A$19,0)),1-INDEX(Matches!$BB$5:$BB$19,MATCH($C66,Matches!$A$5:$A$19,0)))),""))</f>
        <v>0.481975095467793</v>
      </c>
      <c r="AZ66" s="13" t="n">
        <f aca="false">IF(OR($AY66="",$AT66=""),1,((Config!$B$14*$AY66+Config!$B$15*(1-$AY66))/(Config!$B$14*$AT66+Config!$B$15*(1-$AT66)))^Config!$B$13)</f>
        <v>0.949950957960597</v>
      </c>
      <c r="BA66" s="17" t="n">
        <f aca="false">IF(V66="","",V66*$AV66)</f>
        <v>11.2177912909605</v>
      </c>
      <c r="BB66" s="17" t="n">
        <f aca="false">IF(AC66="","",AC66*$AX66)</f>
        <v>9.53606996367991</v>
      </c>
      <c r="BC66" s="17" t="n">
        <f aca="false">IF(AJ66="","",AJ66*$AZ66)</f>
        <v>10.754335423137</v>
      </c>
      <c r="BD66" s="17" t="n">
        <f aca="false">N(BA66)+N(BB66)</f>
        <v>20.7538612546404</v>
      </c>
      <c r="BE66" s="17" t="n">
        <f aca="false">BD66+N($M66)*N(BC66)</f>
        <v>25.7944182674648</v>
      </c>
      <c r="BF66" s="17" t="n">
        <f aca="false">IF(W66="","",W66*$AV66)</f>
        <v>5.90803674657253</v>
      </c>
      <c r="BG66" s="17" t="n">
        <f aca="false">IF(AD66="","",AD66*$AX66)</f>
        <v>5.37715145077001</v>
      </c>
      <c r="BH66" s="17" t="n">
        <f aca="false">IF(AK66="","",AK66*$AZ66)</f>
        <v>6.06006801093773</v>
      </c>
      <c r="BI66" s="17" t="n">
        <f aca="false">IF(BF66="","",N(BF66)+N(BG66))</f>
        <v>11.2851881973425</v>
      </c>
      <c r="BJ66" s="17" t="n">
        <f aca="false">IF(BI66="","",BI66+N($M66)*N(BH66))</f>
        <v>14.1255420740691</v>
      </c>
      <c r="BK66" s="13" t="n">
        <f aca="false">IFERROR(BD66/AL66,1)</f>
        <v>0.938111368343182</v>
      </c>
    </row>
    <row r="67" customFormat="false" ht="15" hidden="false" customHeight="false" outlineLevel="0" collapsed="false">
      <c r="A67" s="0" t="s">
        <v>1278</v>
      </c>
      <c r="B67" s="0" t="s">
        <v>988</v>
      </c>
      <c r="C67" s="0" t="s">
        <v>905</v>
      </c>
      <c r="D67" s="0" t="s">
        <v>995</v>
      </c>
      <c r="E67" s="0" t="s">
        <v>1277</v>
      </c>
      <c r="F67" s="0" t="s">
        <v>1520</v>
      </c>
      <c r="G67" s="0" t="str">
        <f aca="false">IFERROR(IF(INDEX(Matches!$W$5:$W$19,MATCH($C67,Matches!$A$5:$A$19,0))="","",INDEX(Matches!$W$5:$W$19,MATCH($C67,Matches!$A$5:$A$19,0))),"")</f>
        <v>Nuke</v>
      </c>
      <c r="H67" s="0" t="str">
        <f aca="false">IFERROR(IF(INDEX(Matches!$X$5:$X$19,MATCH($C67,Matches!$A$5:$A$19,0))="","",INDEX(Matches!$X$5:$X$19,MATCH($C67,Matches!$A$5:$A$19,0))),"")</f>
        <v>Anubis</v>
      </c>
      <c r="I67" s="0" t="str">
        <f aca="false">IFERROR(IF(INDEX(Matches!$Y$5:$Y$19,MATCH($C67,Matches!$A$5:$A$19,0))="","",INDEX(Matches!$Y$5:$Y$19,MATCH($C67,Matches!$A$5:$A$19,0))),"")</f>
        <v>Dust2</v>
      </c>
      <c r="J67" s="11" t="n">
        <f aca="false">IFERROR(IF(INDEX(Matches!$Z$5:$Z$19,MATCH($C67,Matches!$A$5:$A$19,0))="","",INDEX(Matches!$Z$5:$Z$19,MATCH($C67,Matches!$A$5:$A$19,0))),"")</f>
        <v>21.42</v>
      </c>
      <c r="K67" s="11" t="n">
        <f aca="false">IFERROR(IF(INDEX(Matches!$AA$5:$AA$19,MATCH($C67,Matches!$A$5:$A$19,0))="","",INDEX(Matches!$AA$5:$AA$19,MATCH($C67,Matches!$A$5:$A$19,0))),"")</f>
        <v>21.22</v>
      </c>
      <c r="L67" s="11" t="n">
        <f aca="false">IFERROR(IF(INDEX(Matches!$AB$5:$AB$19,MATCH($C67,Matches!$A$5:$A$19,0))="","",INDEX(Matches!$AB$5:$AB$19,MATCH($C67,Matches!$A$5:$A$19,0))),"")</f>
        <v>21.31</v>
      </c>
      <c r="M67" s="10" t="n">
        <f aca="false">IFERROR(IF(INDEX(Matches!$AC$5:$AC$19,MATCH($C67,Matches!$A$5:$A$19,0))="","",INDEX(Matches!$AC$5:$AC$19,MATCH($C67,Matches!$A$5:$A$19,0))),"")</f>
        <v>0.4687</v>
      </c>
      <c r="N67" s="9" t="n">
        <f aca="false">IFERROR(INDEX(Players!$F$2:$F$124,MATCH($F67,Players!$A$2:$A$124,0)),0)</f>
        <v>39</v>
      </c>
      <c r="O67" s="13" t="n">
        <f aca="false">IFERROR(1/(1/INDEX(Players!$H$2:$H$124,MATCH($F67,Players!$A$2:$A$124,0))),"")</f>
        <v>0.69</v>
      </c>
      <c r="P67" s="10" t="n">
        <f aca="false">IFERROR(1/(1/INDEX(Players!$I$2:$I$124,MATCH($F67,Players!$A$2:$A$124,0))),"")</f>
        <v>0.647</v>
      </c>
      <c r="Q67" s="9" t="n">
        <f aca="false">IF($G67="",0,SUMIFS(Map_Stats!$F$2:$F$779,Map_Stats!$A$2:$A$779,$F67&amp;"|"&amp;$G67))</f>
        <v>6</v>
      </c>
      <c r="R67" s="13" t="n">
        <f aca="false">IF($G67="","",IFERROR(1/(1/INDEX(Map_Stats!$K$2:$K$779,MATCH($F67&amp;"|"&amp;$G67,Map_Stats!$A$2:$A$779,0))),$O67))</f>
        <v>0.69</v>
      </c>
      <c r="S67" s="10" t="n">
        <f aca="false">IF(OR($G67="",$P67=""),"",IFERROR(1/(1/INDEX(Map_Stats!$I$2:$I$779,MATCH($F67&amp;"|"&amp;$G67,Map_Stats!$A$2:$A$779,0))),$P67))</f>
        <v>0.655</v>
      </c>
      <c r="T67" s="13" t="n">
        <f aca="false">IF(OR($G67="",R67=""),"",IF($O67="",R67,(Q67*R67+Config!$B$4*$O67)/(Q67+Config!$B$4)))</f>
        <v>0.69</v>
      </c>
      <c r="U67" s="10" t="n">
        <f aca="false">IF(S67="","",(Q67*S67+Config!$B$4*$P67)/(Q67+Config!$B$4))</f>
        <v>0.651363636363637</v>
      </c>
      <c r="V67" s="17" t="n">
        <f aca="false">IF(OR(T67="",$J67=""),"",T67*$J67*($J67/Config!$B$10)^Config!$B$9)</f>
        <v>14.7798</v>
      </c>
      <c r="W67" s="17" t="n">
        <f aca="false">IF(OR(V67="",U67=""),"",V67*U67)</f>
        <v>9.62702427272727</v>
      </c>
      <c r="X67" s="9" t="n">
        <f aca="false">IF($H67="",0,SUMIFS(Map_Stats!$F$2:$F$779,Map_Stats!$A$2:$A$779,$F67&amp;"|"&amp;$H67))</f>
        <v>5</v>
      </c>
      <c r="Y67" s="13" t="n">
        <f aca="false">IF($H67="","",IFERROR(1/(1/INDEX(Map_Stats!$K$2:$K$779,MATCH($F67&amp;"|"&amp;$H67,Map_Stats!$A$2:$A$779,0))),$O67))</f>
        <v>0.72</v>
      </c>
      <c r="Z67" s="10" t="n">
        <f aca="false">IF(OR($H67="",$P67=""),"",IFERROR(1/(1/INDEX(Map_Stats!$I$2:$I$779,MATCH($F67&amp;"|"&amp;$H67,Map_Stats!$A$2:$A$779,0))),$P67))</f>
        <v>0.697</v>
      </c>
      <c r="AA67" s="13" t="n">
        <f aca="false">IF(OR($H67="",Y67=""),"",IF($O67="",Y67,(X67*Y67+Config!$B$4*$O67)/(X67+Config!$B$4)))</f>
        <v>0.705</v>
      </c>
      <c r="AB67" s="10" t="n">
        <f aca="false">IF(Z67="","",(X67*Z67+Config!$B$4*$P67)/(X67+Config!$B$4))</f>
        <v>0.672</v>
      </c>
      <c r="AC67" s="17" t="n">
        <f aca="false">IF(OR(AA67="",$K67=""),"",AA67*$K67*($K67/Config!$B$10)^Config!$B$9)</f>
        <v>14.9601</v>
      </c>
      <c r="AD67" s="17" t="n">
        <f aca="false">IF(OR(AC67="",AB67=""),"",AC67*AB67)</f>
        <v>10.0531872</v>
      </c>
      <c r="AE67" s="9" t="n">
        <f aca="false">IF($I67="",0,SUMIFS(Map_Stats!$F$2:$F$779,Map_Stats!$A$2:$A$779,$F67&amp;"|"&amp;$I67))</f>
        <v>5</v>
      </c>
      <c r="AF67" s="13" t="n">
        <f aca="false">IF($I67="","",IFERROR(1/(1/INDEX(Map_Stats!$K$2:$K$779,MATCH($F67&amp;"|"&amp;$I67,Map_Stats!$A$2:$A$779,0))),$O67))</f>
        <v>0.49</v>
      </c>
      <c r="AG67" s="10" t="n">
        <f aca="false">IF(OR($I67="",$P67=""),"",IFERROR(1/(1/INDEX(Map_Stats!$I$2:$I$779,MATCH($F67&amp;"|"&amp;$I67,Map_Stats!$A$2:$A$779,0))),$P67))</f>
        <v>0.735</v>
      </c>
      <c r="AH67" s="13" t="n">
        <f aca="false">IF(OR($I67="",AF67=""),"",IF($O67="",AF67,(AE67*AF67+Config!$B$4*$O67)/(AE67+Config!$B$4)))</f>
        <v>0.59</v>
      </c>
      <c r="AI67" s="10" t="n">
        <f aca="false">IF(AG67="","",(AE67*AG67+Config!$B$4*$P67)/(AE67+Config!$B$4))</f>
        <v>0.691</v>
      </c>
      <c r="AJ67" s="17" t="n">
        <f aca="false">IF(OR(AH67="",$L67=""),"",AH67*$L67*($L67/Config!$B$10)^Config!$B$9)</f>
        <v>12.5729</v>
      </c>
      <c r="AK67" s="17" t="n">
        <f aca="false">IF(OR(AJ67="",AI67=""),"",AJ67*AI67)</f>
        <v>8.6878739</v>
      </c>
      <c r="AL67" s="17" t="n">
        <f aca="false">N(V67)+N(AC67)</f>
        <v>29.7399</v>
      </c>
      <c r="AM67" s="17" t="n">
        <f aca="false">AL67+N($M67)*N(AJ67)</f>
        <v>35.63281823</v>
      </c>
      <c r="AN67" s="17" t="n">
        <f aca="false">IF(W67="","",N(W67)+N(AD67))</f>
        <v>19.6802114727273</v>
      </c>
      <c r="AO67" s="17" t="n">
        <f aca="false">IF(AN67="","",AN67+N($M67)*N(AK67))</f>
        <v>23.7522179696573</v>
      </c>
      <c r="AP67" s="10" t="n">
        <f aca="false">IFERROR(AN67/AL67,"")</f>
        <v>0.661744372803112</v>
      </c>
      <c r="AQ67" s="0" t="str">
        <f aca="false">TRIM(IF($N67&lt;Config!$B$12,"thin sample ("&amp;$N67&amp;" maps) · ","")&amp;IF(AND($G67&lt;&gt;"",Q67=0),"M1 unplayed→overall KPR · ","")&amp;IF(AND($H67&lt;&gt;"",X67=0),"M2 unplayed→overall KPR · ","")&amp;IF($O67="","no PickFinder stats",""))</f>
        <v/>
      </c>
      <c r="AR67" s="9" t="n">
        <f aca="false">IF($C67=Board!$B$2,COUNTIFS($C$2:$C$124,Board!$B$2,$AL$2:$AL$124,"&gt;"&amp;$AL67)+COUNTIFS($C$1:$C66,Board!$B$2,$AL$1:$AL66,$AL67)+1,"")</f>
        <v>5</v>
      </c>
      <c r="AS67" s="0" t="str">
        <f aca="false">IFERROR(IF($D67=INDEX(Matches!$AD$5:$AD$19,MATCH($C67,Matches!$A$5:$A$19,0)),"A",IF($D67=INDEX(Matches!$AE$5:$AE$19,MATCH($C67,Matches!$A$5:$A$19,0)),"B","")),"")</f>
        <v>B</v>
      </c>
      <c r="AT67" s="10" t="n">
        <f aca="false">IF($AS67="","",IFERROR(IF($AS67="A",INDEX(Matches!$AI$5:$AI$19,MATCH($C67,Matches!$A$5:$A$19,0)),INDEX(Matches!$AJ$5:$AJ$19,MATCH($C67,Matches!$A$5:$A$19,0))),""))</f>
        <v>0.539983492283795</v>
      </c>
      <c r="AU67" s="10" t="n">
        <f aca="false">IF($AS67="","",IFERROR(IF(INDEX(Matches!$AP$5:$AP$19,MATCH($C67,Matches!$A$5:$A$19,0))="","",IF($AS67="A",INDEX(Matches!$AP$5:$AP$19,MATCH($C67,Matches!$A$5:$A$19,0)),1-INDEX(Matches!$AP$5:$AP$19,MATCH($C67,Matches!$A$5:$A$19,0)))),""))</f>
        <v>0.482349194676105</v>
      </c>
      <c r="AV67" s="13" t="n">
        <f aca="false">IF(OR($AU67="",$AT67=""),1,((Config!$B$14*$AU67+Config!$B$15*(1-$AU67))/(Config!$B$14*$AT67+Config!$B$15*(1-$AT67)))^Config!$B$13)</f>
        <v>0.950273726870469</v>
      </c>
      <c r="AW67" s="10" t="n">
        <f aca="false">IF($AS67="","",IFERROR(IF(INDEX(Matches!$AV$5:$AV$19,MATCH($C67,Matches!$A$5:$A$19,0))="","",IF($AS67="A",INDEX(Matches!$AV$5:$AV$19,MATCH($C67,Matches!$A$5:$A$19,0)),1-INDEX(Matches!$AV$5:$AV$19,MATCH($C67,Matches!$A$5:$A$19,0)))),""))</f>
        <v>0.452125161904342</v>
      </c>
      <c r="AX67" s="13" t="n">
        <f aca="false">IF(OR($AW67="",$AT67=""),1,((Config!$B$14*$AW67+Config!$B$15*(1-$AW67))/(Config!$B$14*$AT67+Config!$B$15*(1-$AT67)))^Config!$B$13)</f>
        <v>0.924196745436343</v>
      </c>
      <c r="AY67" s="10" t="n">
        <f aca="false">IF($AS67="","",IFERROR(IF(INDEX(Matches!$BB$5:$BB$19,MATCH($C67,Matches!$A$5:$A$19,0))="","",IF($AS67="A",INDEX(Matches!$BB$5:$BB$19,MATCH($C67,Matches!$A$5:$A$19,0)),1-INDEX(Matches!$BB$5:$BB$19,MATCH($C67,Matches!$A$5:$A$19,0)))),""))</f>
        <v>0.481975095467793</v>
      </c>
      <c r="AZ67" s="13" t="n">
        <f aca="false">IF(OR($AY67="",$AT67=""),1,((Config!$B$14*$AY67+Config!$B$15*(1-$AY67))/(Config!$B$14*$AT67+Config!$B$15*(1-$AT67)))^Config!$B$13)</f>
        <v>0.949950957960597</v>
      </c>
      <c r="BA67" s="17" t="n">
        <f aca="false">IF(V67="","",V67*$AV67)</f>
        <v>14.0448556284002</v>
      </c>
      <c r="BB67" s="17" t="n">
        <f aca="false">IF(AC67="","",AC67*$AX67)</f>
        <v>13.8260757314022</v>
      </c>
      <c r="BC67" s="17" t="n">
        <f aca="false">IF(AJ67="","",AJ67*$AZ67)</f>
        <v>11.9436383993428</v>
      </c>
      <c r="BD67" s="17" t="n">
        <f aca="false">N(BA67)+N(BB67)</f>
        <v>27.8709313598024</v>
      </c>
      <c r="BE67" s="17" t="n">
        <f aca="false">BD67+N($M67)*N(BC67)</f>
        <v>33.4689146775744</v>
      </c>
      <c r="BF67" s="17" t="n">
        <f aca="false">IF(W67="","",W67*$AV67)</f>
        <v>9.14830823431701</v>
      </c>
      <c r="BG67" s="17" t="n">
        <f aca="false">IF(AD67="","",AD67*$AX67)</f>
        <v>9.2911228915023</v>
      </c>
      <c r="BH67" s="17" t="n">
        <f aca="false">IF(AK67="","",AK67*$AZ67)</f>
        <v>8.25305413394587</v>
      </c>
      <c r="BI67" s="17" t="n">
        <f aca="false">IF(BF67="","",N(BF67)+N(BG67))</f>
        <v>18.4394311258193</v>
      </c>
      <c r="BJ67" s="17" t="n">
        <f aca="false">IF(BI67="","",BI67+N($M67)*N(BH67))</f>
        <v>22.3076375983997</v>
      </c>
      <c r="BK67" s="13" t="n">
        <f aca="false">IFERROR(BD67/AL67,1)</f>
        <v>0.937156189489621</v>
      </c>
    </row>
    <row r="68" customFormat="false" ht="15" hidden="false" customHeight="false" outlineLevel="0" collapsed="false">
      <c r="A68" s="0" t="s">
        <v>1280</v>
      </c>
      <c r="B68" s="0" t="s">
        <v>988</v>
      </c>
      <c r="C68" s="0" t="s">
        <v>905</v>
      </c>
      <c r="D68" s="0" t="s">
        <v>995</v>
      </c>
      <c r="E68" s="0" t="s">
        <v>1279</v>
      </c>
      <c r="F68" s="0" t="s">
        <v>1521</v>
      </c>
      <c r="G68" s="0" t="str">
        <f aca="false">IFERROR(IF(INDEX(Matches!$W$5:$W$19,MATCH($C68,Matches!$A$5:$A$19,0))="","",INDEX(Matches!$W$5:$W$19,MATCH($C68,Matches!$A$5:$A$19,0))),"")</f>
        <v>Nuke</v>
      </c>
      <c r="H68" s="0" t="str">
        <f aca="false">IFERROR(IF(INDEX(Matches!$X$5:$X$19,MATCH($C68,Matches!$A$5:$A$19,0))="","",INDEX(Matches!$X$5:$X$19,MATCH($C68,Matches!$A$5:$A$19,0))),"")</f>
        <v>Anubis</v>
      </c>
      <c r="I68" s="0" t="str">
        <f aca="false">IFERROR(IF(INDEX(Matches!$Y$5:$Y$19,MATCH($C68,Matches!$A$5:$A$19,0))="","",INDEX(Matches!$Y$5:$Y$19,MATCH($C68,Matches!$A$5:$A$19,0))),"")</f>
        <v>Dust2</v>
      </c>
      <c r="J68" s="11" t="n">
        <f aca="false">IFERROR(IF(INDEX(Matches!$Z$5:$Z$19,MATCH($C68,Matches!$A$5:$A$19,0))="","",INDEX(Matches!$Z$5:$Z$19,MATCH($C68,Matches!$A$5:$A$19,0))),"")</f>
        <v>21.42</v>
      </c>
      <c r="K68" s="11" t="n">
        <f aca="false">IFERROR(IF(INDEX(Matches!$AA$5:$AA$19,MATCH($C68,Matches!$A$5:$A$19,0))="","",INDEX(Matches!$AA$5:$AA$19,MATCH($C68,Matches!$A$5:$A$19,0))),"")</f>
        <v>21.22</v>
      </c>
      <c r="L68" s="11" t="n">
        <f aca="false">IFERROR(IF(INDEX(Matches!$AB$5:$AB$19,MATCH($C68,Matches!$A$5:$A$19,0))="","",INDEX(Matches!$AB$5:$AB$19,MATCH($C68,Matches!$A$5:$A$19,0))),"")</f>
        <v>21.31</v>
      </c>
      <c r="M68" s="10" t="n">
        <f aca="false">IFERROR(IF(INDEX(Matches!$AC$5:$AC$19,MATCH($C68,Matches!$A$5:$A$19,0))="","",INDEX(Matches!$AC$5:$AC$19,MATCH($C68,Matches!$A$5:$A$19,0))),"")</f>
        <v>0.4687</v>
      </c>
      <c r="N68" s="9" t="n">
        <f aca="false">IFERROR(INDEX(Players!$F$2:$F$124,MATCH($F68,Players!$A$2:$A$124,0)),0)</f>
        <v>30</v>
      </c>
      <c r="O68" s="13" t="n">
        <f aca="false">IFERROR(1/(1/INDEX(Players!$H$2:$H$124,MATCH($F68,Players!$A$2:$A$124,0))),"")</f>
        <v>0.67</v>
      </c>
      <c r="P68" s="10" t="n">
        <f aca="false">IFERROR(1/(1/INDEX(Players!$I$2:$I$124,MATCH($F68,Players!$A$2:$A$124,0))),"")</f>
        <v>0.542</v>
      </c>
      <c r="Q68" s="9" t="n">
        <f aca="false">IF($G68="",0,SUMIFS(Map_Stats!$F$2:$F$779,Map_Stats!$A$2:$A$779,$F68&amp;"|"&amp;$G68))</f>
        <v>4</v>
      </c>
      <c r="R68" s="13" t="n">
        <f aca="false">IF($G68="","",IFERROR(1/(1/INDEX(Map_Stats!$K$2:$K$779,MATCH($F68&amp;"|"&amp;$G68,Map_Stats!$A$2:$A$779,0))),$O68))</f>
        <v>0.6</v>
      </c>
      <c r="S68" s="10" t="n">
        <f aca="false">IF(OR($G68="",$P68=""),"",IFERROR(1/(1/INDEX(Map_Stats!$I$2:$I$779,MATCH($F68&amp;"|"&amp;$G68,Map_Stats!$A$2:$A$779,0))),$P68))</f>
        <v>0.52</v>
      </c>
      <c r="T68" s="13" t="n">
        <f aca="false">IF(OR($G68="",R68=""),"",IF($O68="",R68,(Q68*R68+Config!$B$4*$O68)/(Q68+Config!$B$4)))</f>
        <v>0.638888888888889</v>
      </c>
      <c r="U68" s="10" t="n">
        <f aca="false">IF(S68="","",(Q68*S68+Config!$B$4*$P68)/(Q68+Config!$B$4))</f>
        <v>0.532222222222222</v>
      </c>
      <c r="V68" s="17" t="n">
        <f aca="false">IF(OR(T68="",$J68=""),"",T68*$J68*($J68/Config!$B$10)^Config!$B$9)</f>
        <v>13.685</v>
      </c>
      <c r="W68" s="17" t="n">
        <f aca="false">IF(OR(V68="",U68=""),"",V68*U68)</f>
        <v>7.28346111111111</v>
      </c>
      <c r="X68" s="9" t="n">
        <f aca="false">IF($H68="",0,SUMIFS(Map_Stats!$F$2:$F$779,Map_Stats!$A$2:$A$779,$F68&amp;"|"&amp;$H68))</f>
        <v>3</v>
      </c>
      <c r="Y68" s="13" t="n">
        <f aca="false">IF($H68="","",IFERROR(1/(1/INDEX(Map_Stats!$K$2:$K$779,MATCH($F68&amp;"|"&amp;$H68,Map_Stats!$A$2:$A$779,0))),$O68))</f>
        <v>0.82</v>
      </c>
      <c r="Z68" s="10" t="n">
        <f aca="false">IF(OR($H68="",$P68=""),"",IFERROR(1/(1/INDEX(Map_Stats!$I$2:$I$779,MATCH($F68&amp;"|"&amp;$H68,Map_Stats!$A$2:$A$779,0))),$P68))</f>
        <v>0.592</v>
      </c>
      <c r="AA68" s="13" t="n">
        <f aca="false">IF(OR($H68="",Y68=""),"",IF($O68="",Y68,(X68*Y68+Config!$B$4*$O68)/(X68+Config!$B$4)))</f>
        <v>0.72625</v>
      </c>
      <c r="AB68" s="10" t="n">
        <f aca="false">IF(Z68="","",(X68*Z68+Config!$B$4*$P68)/(X68+Config!$B$4))</f>
        <v>0.56075</v>
      </c>
      <c r="AC68" s="17" t="n">
        <f aca="false">IF(OR(AA68="",$K68=""),"",AA68*$K68*($K68/Config!$B$10)^Config!$B$9)</f>
        <v>15.411025</v>
      </c>
      <c r="AD68" s="17" t="n">
        <f aca="false">IF(OR(AC68="",AB68=""),"",AC68*AB68)</f>
        <v>8.64173226875</v>
      </c>
      <c r="AE68" s="9" t="n">
        <f aca="false">IF($I68="",0,SUMIFS(Map_Stats!$F$2:$F$779,Map_Stats!$A$2:$A$779,$F68&amp;"|"&amp;$I68))</f>
        <v>3</v>
      </c>
      <c r="AF68" s="13" t="n">
        <f aca="false">IF($I68="","",IFERROR(1/(1/INDEX(Map_Stats!$K$2:$K$779,MATCH($F68&amp;"|"&amp;$I68,Map_Stats!$A$2:$A$779,0))),$O68))</f>
        <v>0.6</v>
      </c>
      <c r="AG68" s="10" t="n">
        <f aca="false">IF(OR($I68="",$P68=""),"",IFERROR(1/(1/INDEX(Map_Stats!$I$2:$I$779,MATCH($F68&amp;"|"&amp;$I68,Map_Stats!$A$2:$A$779,0))),$P68))</f>
        <v>0.472</v>
      </c>
      <c r="AH68" s="13" t="n">
        <f aca="false">IF(OR($I68="",AF68=""),"",IF($O68="",AF68,(AE68*AF68+Config!$B$4*$O68)/(AE68+Config!$B$4)))</f>
        <v>0.64375</v>
      </c>
      <c r="AI68" s="10" t="n">
        <f aca="false">IF(AG68="","",(AE68*AG68+Config!$B$4*$P68)/(AE68+Config!$B$4))</f>
        <v>0.51575</v>
      </c>
      <c r="AJ68" s="17" t="n">
        <f aca="false">IF(OR(AH68="",$L68=""),"",AH68*$L68*($L68/Config!$B$10)^Config!$B$9)</f>
        <v>13.7183125</v>
      </c>
      <c r="AK68" s="17" t="n">
        <f aca="false">IF(OR(AJ68="",AI68=""),"",AJ68*AI68)</f>
        <v>7.075219671875</v>
      </c>
      <c r="AL68" s="17" t="n">
        <f aca="false">N(V68)+N(AC68)</f>
        <v>29.096025</v>
      </c>
      <c r="AM68" s="17" t="n">
        <f aca="false">AL68+N($M68)*N(AJ68)</f>
        <v>35.52579806875</v>
      </c>
      <c r="AN68" s="17" t="n">
        <f aca="false">IF(W68="","",N(W68)+N(AD68))</f>
        <v>15.9251933798611</v>
      </c>
      <c r="AO68" s="17" t="n">
        <f aca="false">IF(AN68="","",AN68+N($M68)*N(AK68))</f>
        <v>19.2413488400689</v>
      </c>
      <c r="AP68" s="10" t="n">
        <f aca="false">IFERROR(AN68/AL68,"")</f>
        <v>0.547332268921996</v>
      </c>
      <c r="AQ68" s="0" t="str">
        <f aca="false">TRIM(IF($N68&lt;Config!$B$12,"thin sample ("&amp;$N68&amp;" maps) · ","")&amp;IF(AND($G68&lt;&gt;"",Q68=0),"M1 unplayed→overall KPR · ","")&amp;IF(AND($H68&lt;&gt;"",X68=0),"M2 unplayed→overall KPR · ","")&amp;IF($O68="","no PickFinder stats",""))</f>
        <v/>
      </c>
      <c r="AR68" s="9" t="n">
        <f aca="false">IF($C68=Board!$B$2,COUNTIFS($C$2:$C$124,Board!$B$2,$AL$2:$AL$124,"&gt;"&amp;$AL68)+COUNTIFS($C$1:$C67,Board!$B$2,$AL$1:$AL67,$AL68)+1,"")</f>
        <v>7</v>
      </c>
      <c r="AS68" s="0" t="str">
        <f aca="false">IFERROR(IF($D68=INDEX(Matches!$AD$5:$AD$19,MATCH($C68,Matches!$A$5:$A$19,0)),"A",IF($D68=INDEX(Matches!$AE$5:$AE$19,MATCH($C68,Matches!$A$5:$A$19,0)),"B","")),"")</f>
        <v>B</v>
      </c>
      <c r="AT68" s="10" t="n">
        <f aca="false">IF($AS68="","",IFERROR(IF($AS68="A",INDEX(Matches!$AI$5:$AI$19,MATCH($C68,Matches!$A$5:$A$19,0)),INDEX(Matches!$AJ$5:$AJ$19,MATCH($C68,Matches!$A$5:$A$19,0))),""))</f>
        <v>0.539983492283795</v>
      </c>
      <c r="AU68" s="10" t="n">
        <f aca="false">IF($AS68="","",IFERROR(IF(INDEX(Matches!$AP$5:$AP$19,MATCH($C68,Matches!$A$5:$A$19,0))="","",IF($AS68="A",INDEX(Matches!$AP$5:$AP$19,MATCH($C68,Matches!$A$5:$A$19,0)),1-INDEX(Matches!$AP$5:$AP$19,MATCH($C68,Matches!$A$5:$A$19,0)))),""))</f>
        <v>0.482349194676105</v>
      </c>
      <c r="AV68" s="13" t="n">
        <f aca="false">IF(OR($AU68="",$AT68=""),1,((Config!$B$14*$AU68+Config!$B$15*(1-$AU68))/(Config!$B$14*$AT68+Config!$B$15*(1-$AT68)))^Config!$B$13)</f>
        <v>0.950273726870469</v>
      </c>
      <c r="AW68" s="10" t="n">
        <f aca="false">IF($AS68="","",IFERROR(IF(INDEX(Matches!$AV$5:$AV$19,MATCH($C68,Matches!$A$5:$A$19,0))="","",IF($AS68="A",INDEX(Matches!$AV$5:$AV$19,MATCH($C68,Matches!$A$5:$A$19,0)),1-INDEX(Matches!$AV$5:$AV$19,MATCH($C68,Matches!$A$5:$A$19,0)))),""))</f>
        <v>0.452125161904342</v>
      </c>
      <c r="AX68" s="13" t="n">
        <f aca="false">IF(OR($AW68="",$AT68=""),1,((Config!$B$14*$AW68+Config!$B$15*(1-$AW68))/(Config!$B$14*$AT68+Config!$B$15*(1-$AT68)))^Config!$B$13)</f>
        <v>0.924196745436343</v>
      </c>
      <c r="AY68" s="10" t="n">
        <f aca="false">IF($AS68="","",IFERROR(IF(INDEX(Matches!$BB$5:$BB$19,MATCH($C68,Matches!$A$5:$A$19,0))="","",IF($AS68="A",INDEX(Matches!$BB$5:$BB$19,MATCH($C68,Matches!$A$5:$A$19,0)),1-INDEX(Matches!$BB$5:$BB$19,MATCH($C68,Matches!$A$5:$A$19,0)))),""))</f>
        <v>0.481975095467793</v>
      </c>
      <c r="AZ68" s="13" t="n">
        <f aca="false">IF(OR($AY68="",$AT68=""),1,((Config!$B$14*$AY68+Config!$B$15*(1-$AY68))/(Config!$B$14*$AT68+Config!$B$15*(1-$AT68)))^Config!$B$13)</f>
        <v>0.949950957960597</v>
      </c>
      <c r="BA68" s="17" t="n">
        <f aca="false">IF(V68="","",V68*$AV68)</f>
        <v>13.0044959522224</v>
      </c>
      <c r="BB68" s="17" t="n">
        <f aca="false">IF(AC68="","",AC68*$AX68)</f>
        <v>14.2428191488381</v>
      </c>
      <c r="BC68" s="17" t="n">
        <f aca="false">IF(AJ68="","",AJ68*$AZ68)</f>
        <v>13.0317241009778</v>
      </c>
      <c r="BD68" s="17" t="n">
        <f aca="false">N(BA68)+N(BB68)</f>
        <v>27.2473151010605</v>
      </c>
      <c r="BE68" s="17" t="n">
        <f aca="false">BD68+N($M68)*N(BC68)</f>
        <v>33.3552841871888</v>
      </c>
      <c r="BF68" s="17" t="n">
        <f aca="false">IF(W68="","",W68*$AV68)</f>
        <v>6.92128173457168</v>
      </c>
      <c r="BG68" s="17" t="n">
        <f aca="false">IF(AD68="","",AD68*$AX68)</f>
        <v>7.98666083771098</v>
      </c>
      <c r="BH68" s="17" t="n">
        <f aca="false">IF(AK68="","",AK68*$AZ68)</f>
        <v>6.72111170507931</v>
      </c>
      <c r="BI68" s="17" t="n">
        <f aca="false">IF(BF68="","",N(BF68)+N(BG68))</f>
        <v>14.9079425722827</v>
      </c>
      <c r="BJ68" s="17" t="n">
        <f aca="false">IF(BI68="","",BI68+N($M68)*N(BH68))</f>
        <v>18.0581276284533</v>
      </c>
      <c r="BK68" s="13" t="n">
        <f aca="false">IFERROR(BD68/AL68,1)</f>
        <v>0.936461771017192</v>
      </c>
    </row>
    <row r="69" customFormat="false" ht="15" hidden="false" customHeight="false" outlineLevel="0" collapsed="false">
      <c r="A69" s="0" t="s">
        <v>1282</v>
      </c>
      <c r="B69" s="0" t="s">
        <v>988</v>
      </c>
      <c r="C69" s="0" t="s">
        <v>1047</v>
      </c>
      <c r="D69" s="0" t="s">
        <v>1053</v>
      </c>
      <c r="E69" s="0" t="s">
        <v>1281</v>
      </c>
      <c r="F69" s="0" t="s">
        <v>1522</v>
      </c>
      <c r="G69" s="0" t="str">
        <f aca="false">IFERROR(IF(INDEX(Matches!$W$5:$W$19,MATCH($C69,Matches!$A$5:$A$19,0))="","",INDEX(Matches!$W$5:$W$19,MATCH($C69,Matches!$A$5:$A$19,0))),"")</f>
        <v>Dust2</v>
      </c>
      <c r="H69" s="0" t="str">
        <f aca="false">IFERROR(IF(INDEX(Matches!$X$5:$X$19,MATCH($C69,Matches!$A$5:$A$19,0))="","",INDEX(Matches!$X$5:$X$19,MATCH($C69,Matches!$A$5:$A$19,0))),"")</f>
        <v>Mirage</v>
      </c>
      <c r="I69" s="0" t="str">
        <f aca="false">IFERROR(IF(INDEX(Matches!$Y$5:$Y$19,MATCH($C69,Matches!$A$5:$A$19,0))="","",INDEX(Matches!$Y$5:$Y$19,MATCH($C69,Matches!$A$5:$A$19,0))),"")</f>
        <v>Nuke</v>
      </c>
      <c r="J69" s="11" t="n">
        <f aca="false">IFERROR(IF(INDEX(Matches!$Z$5:$Z$19,MATCH($C69,Matches!$A$5:$A$19,0))="","",INDEX(Matches!$Z$5:$Z$19,MATCH($C69,Matches!$A$5:$A$19,0))),"")</f>
        <v>21.5</v>
      </c>
      <c r="K69" s="11" t="n">
        <f aca="false">IFERROR(IF(INDEX(Matches!$AA$5:$AA$19,MATCH($C69,Matches!$A$5:$A$19,0))="","",INDEX(Matches!$AA$5:$AA$19,MATCH($C69,Matches!$A$5:$A$19,0))),"")</f>
        <v>21.5</v>
      </c>
      <c r="L69" s="11" t="n">
        <f aca="false">IFERROR(IF(INDEX(Matches!$AB$5:$AB$19,MATCH($C69,Matches!$A$5:$A$19,0))="","",INDEX(Matches!$AB$5:$AB$19,MATCH($C69,Matches!$A$5:$A$19,0))),"")</f>
        <v>21.5</v>
      </c>
      <c r="M69" s="10" t="n">
        <f aca="false">IFERROR(IF(INDEX(Matches!$AC$5:$AC$19,MATCH($C69,Matches!$A$5:$A$19,0))="","",INDEX(Matches!$AC$5:$AC$19,MATCH($C69,Matches!$A$5:$A$19,0))),"")</f>
        <v>0.5</v>
      </c>
      <c r="N69" s="9" t="n">
        <f aca="false">IFERROR(INDEX(Players!$F$2:$F$124,MATCH($F69,Players!$A$2:$A$124,0)),0)</f>
        <v>38</v>
      </c>
      <c r="O69" s="13" t="n">
        <f aca="false">IFERROR(1/(1/INDEX(Players!$H$2:$H$124,MATCH($F69,Players!$A$2:$A$124,0))),"")</f>
        <v>0.65</v>
      </c>
      <c r="P69" s="10" t="n">
        <f aca="false">IFERROR(1/(1/INDEX(Players!$I$2:$I$124,MATCH($F69,Players!$A$2:$A$124,0))),"")</f>
        <v>0.488</v>
      </c>
      <c r="Q69" s="9" t="n">
        <f aca="false">IF($G69="",0,SUMIFS(Map_Stats!$F$2:$F$779,Map_Stats!$A$2:$A$779,$F69&amp;"|"&amp;$G69))</f>
        <v>6</v>
      </c>
      <c r="R69" s="13" t="n">
        <f aca="false">IF($G69="","",IFERROR(1/(1/INDEX(Map_Stats!$K$2:$K$779,MATCH($F69&amp;"|"&amp;$G69,Map_Stats!$A$2:$A$779,0))),$O69))</f>
        <v>0.73</v>
      </c>
      <c r="S69" s="10" t="n">
        <f aca="false">IF(OR($G69="",$P69=""),"",IFERROR(1/(1/INDEX(Map_Stats!$I$2:$I$779,MATCH($F69&amp;"|"&amp;$G69,Map_Stats!$A$2:$A$779,0))),$P69))</f>
        <v>0.418</v>
      </c>
      <c r="T69" s="13" t="n">
        <f aca="false">IF(OR($G69="",R69=""),"",IF($O69="",R69,(Q69*R69+Config!$B$4*$O69)/(Q69+Config!$B$4)))</f>
        <v>0.693636363636364</v>
      </c>
      <c r="U69" s="10" t="n">
        <f aca="false">IF(S69="","",(Q69*S69+Config!$B$4*$P69)/(Q69+Config!$B$4))</f>
        <v>0.449818181818182</v>
      </c>
      <c r="V69" s="17" t="n">
        <f aca="false">IF(OR(T69="",$J69=""),"",T69*$J69*($J69/Config!$B$10)^Config!$B$9)</f>
        <v>14.9131818181818</v>
      </c>
      <c r="W69" s="17" t="n">
        <f aca="false">IF(OR(V69="",U69=""),"",V69*U69)</f>
        <v>6.70822033057851</v>
      </c>
      <c r="X69" s="9" t="n">
        <f aca="false">IF($H69="",0,SUMIFS(Map_Stats!$F$2:$F$779,Map_Stats!$A$2:$A$779,$F69&amp;"|"&amp;$H69))</f>
        <v>11</v>
      </c>
      <c r="Y69" s="13" t="n">
        <f aca="false">IF($H69="","",IFERROR(1/(1/INDEX(Map_Stats!$K$2:$K$779,MATCH($F69&amp;"|"&amp;$H69,Map_Stats!$A$2:$A$779,0))),$O69))</f>
        <v>0.64</v>
      </c>
      <c r="Z69" s="10" t="n">
        <f aca="false">IF(OR($H69="",$P69=""),"",IFERROR(1/(1/INDEX(Map_Stats!$I$2:$I$779,MATCH($F69&amp;"|"&amp;$H69,Map_Stats!$A$2:$A$779,0))),$P69))</f>
        <v>0.535</v>
      </c>
      <c r="AA69" s="13" t="n">
        <f aca="false">IF(OR($H69="",Y69=""),"",IF($O69="",Y69,(X69*Y69+Config!$B$4*$O69)/(X69+Config!$B$4)))</f>
        <v>0.643125</v>
      </c>
      <c r="AB69" s="10" t="n">
        <f aca="false">IF(Z69="","",(X69*Z69+Config!$B$4*$P69)/(X69+Config!$B$4))</f>
        <v>0.5203125</v>
      </c>
      <c r="AC69" s="17" t="n">
        <f aca="false">IF(OR(AA69="",$K69=""),"",AA69*$K69*($K69/Config!$B$10)^Config!$B$9)</f>
        <v>13.8271875</v>
      </c>
      <c r="AD69" s="17" t="n">
        <f aca="false">IF(OR(AC69="",AB69=""),"",AC69*AB69)</f>
        <v>7.19445849609375</v>
      </c>
      <c r="AE69" s="9" t="n">
        <f aca="false">IF($I69="",0,SUMIFS(Map_Stats!$F$2:$F$779,Map_Stats!$A$2:$A$779,$F69&amp;"|"&amp;$I69))</f>
        <v>4</v>
      </c>
      <c r="AF69" s="13" t="n">
        <f aca="false">IF($I69="","",IFERROR(1/(1/INDEX(Map_Stats!$K$2:$K$779,MATCH($F69&amp;"|"&amp;$I69,Map_Stats!$A$2:$A$779,0))),$O69))</f>
        <v>0.71</v>
      </c>
      <c r="AG69" s="10" t="n">
        <f aca="false">IF(OR($I69="",$P69=""),"",IFERROR(1/(1/INDEX(Map_Stats!$I$2:$I$779,MATCH($F69&amp;"|"&amp;$I69,Map_Stats!$A$2:$A$779,0))),$P69))</f>
        <v>0.37</v>
      </c>
      <c r="AH69" s="13" t="n">
        <f aca="false">IF(OR($I69="",AF69=""),"",IF($O69="",AF69,(AE69*AF69+Config!$B$4*$O69)/(AE69+Config!$B$4)))</f>
        <v>0.676666666666667</v>
      </c>
      <c r="AI69" s="10" t="n">
        <f aca="false">IF(AG69="","",(AE69*AG69+Config!$B$4*$P69)/(AE69+Config!$B$4))</f>
        <v>0.435555555555556</v>
      </c>
      <c r="AJ69" s="17" t="n">
        <f aca="false">IF(OR(AH69="",$L69=""),"",AH69*$L69*($L69/Config!$B$10)^Config!$B$9)</f>
        <v>14.5483333333333</v>
      </c>
      <c r="AK69" s="17" t="n">
        <f aca="false">IF(OR(AJ69="",AI69=""),"",AJ69*AI69)</f>
        <v>6.33660740740741</v>
      </c>
      <c r="AL69" s="17" t="n">
        <f aca="false">N(V69)+N(AC69)</f>
        <v>28.7403693181818</v>
      </c>
      <c r="AM69" s="17" t="n">
        <f aca="false">AL69+N($M69)*N(AJ69)</f>
        <v>36.0145359848485</v>
      </c>
      <c r="AN69" s="17" t="n">
        <f aca="false">IF(W69="","",N(W69)+N(AD69))</f>
        <v>13.9026788266723</v>
      </c>
      <c r="AO69" s="17" t="n">
        <f aca="false">IF(AN69="","",AN69+N($M69)*N(AK69))</f>
        <v>17.070982530376</v>
      </c>
      <c r="AP69" s="10" t="n">
        <f aca="false">IFERROR(AN69/AL69,"")</f>
        <v>0.483733478604853</v>
      </c>
      <c r="AQ69" s="0" t="str">
        <f aca="false">TRIM(IF($N69&lt;Config!$B$12,"thin sample ("&amp;$N69&amp;" maps) · ","")&amp;IF(AND($G69&lt;&gt;"",Q69=0),"M1 unplayed→overall KPR · ","")&amp;IF(AND($H69&lt;&gt;"",X69=0),"M2 unplayed→overall KPR · ","")&amp;IF($O69="","no PickFinder stats",""))</f>
        <v/>
      </c>
      <c r="AR69" s="0" t="str">
        <f aca="false">IF($C69=Board!$B$2,COUNTIFS($C$2:$C$124,Board!$B$2,$AL$2:$AL$124,"&gt;"&amp;$AL69)+COUNTIFS($C$1:$C68,Board!$B$2,$AL$1:$AL68,$AL69)+1,"")</f>
        <v/>
      </c>
      <c r="AS69" s="0" t="str">
        <f aca="false">IFERROR(IF($D69=INDEX(Matches!$AD$5:$AD$19,MATCH($C69,Matches!$A$5:$A$19,0)),"A",IF($D69=INDEX(Matches!$AE$5:$AE$19,MATCH($C69,Matches!$A$5:$A$19,0)),"B","")),"")</f>
        <v>B</v>
      </c>
      <c r="AT69" s="10" t="n">
        <f aca="false">IF($AS69="","",IFERROR(IF($AS69="A",INDEX(Matches!$AI$5:$AI$19,MATCH($C69,Matches!$A$5:$A$19,0)),INDEX(Matches!$AJ$5:$AJ$19,MATCH($C69,Matches!$A$5:$A$19,0))),""))</f>
        <v>0.501596314233229</v>
      </c>
      <c r="AU69" s="10" t="n">
        <f aca="false">IF($AS69="","",IFERROR(IF(INDEX(Matches!$AP$5:$AP$19,MATCH($C69,Matches!$A$5:$A$19,0))="","",IF($AS69="A",INDEX(Matches!$AP$5:$AP$19,MATCH($C69,Matches!$A$5:$A$19,0)),1-INDEX(Matches!$AP$5:$AP$19,MATCH($C69,Matches!$A$5:$A$19,0)))),""))</f>
        <v>0.509120879120879</v>
      </c>
      <c r="AV69" s="13" t="n">
        <f aca="false">IF(OR($AU69="",$AT69=""),1,((Config!$B$14*$AU69+Config!$B$15*(1-$AU69))/(Config!$B$14*$AT69+Config!$B$15*(1-$AT69)))^Config!$B$13)</f>
        <v>1.0067145010687</v>
      </c>
      <c r="AW69" s="10" t="n">
        <f aca="false">IF($AS69="","",IFERROR(IF(INDEX(Matches!$AV$5:$AV$19,MATCH($C69,Matches!$A$5:$A$19,0))="","",IF($AS69="A",INDEX(Matches!$AV$5:$AV$19,MATCH($C69,Matches!$A$5:$A$19,0)),1-INDEX(Matches!$AV$5:$AV$19,MATCH($C69,Matches!$A$5:$A$19,0)))),""))</f>
        <v>0.506495012758061</v>
      </c>
      <c r="AX69" s="13" t="n">
        <f aca="false">IF(OR($AW69="",$AT69=""),1,((Config!$B$14*$AW69+Config!$B$15*(1-$AW69))/(Config!$B$14*$AT69+Config!$B$15*(1-$AT69)))^Config!$B$13)</f>
        <v>1.00437132471729</v>
      </c>
      <c r="AY69" s="10" t="n">
        <f aca="false">IF($AS69="","",IFERROR(IF(INDEX(Matches!$BB$5:$BB$19,MATCH($C69,Matches!$A$5:$A$19,0))="","",IF($AS69="A",INDEX(Matches!$BB$5:$BB$19,MATCH($C69,Matches!$A$5:$A$19,0)),1-INDEX(Matches!$BB$5:$BB$19,MATCH($C69,Matches!$A$5:$A$19,0)))),""))</f>
        <v>0.506810994891754</v>
      </c>
      <c r="AZ69" s="13" t="n">
        <f aca="false">IF(OR($AY69="",$AT69=""),1,((Config!$B$14*$AY69+Config!$B$15*(1-$AY69))/(Config!$B$14*$AT69+Config!$B$15*(1-$AT69)))^Config!$B$13)</f>
        <v>1.00465328950941</v>
      </c>
      <c r="BA69" s="17" t="n">
        <f aca="false">IF(V69="","",V69*$AV69)</f>
        <v>15.0133163934378</v>
      </c>
      <c r="BB69" s="17" t="n">
        <f aca="false">IF(AC69="","",AC69*$AX69)</f>
        <v>13.8876306264894</v>
      </c>
      <c r="BC69" s="17" t="n">
        <f aca="false">IF(AJ69="","",AJ69*$AZ69)</f>
        <v>14.6160309402128</v>
      </c>
      <c r="BD69" s="17" t="n">
        <f aca="false">N(BA69)+N(BB69)</f>
        <v>28.9009470199271</v>
      </c>
      <c r="BE69" s="17" t="n">
        <f aca="false">BD69+N($M69)*N(BC69)</f>
        <v>36.2089624900335</v>
      </c>
      <c r="BF69" s="17" t="n">
        <f aca="false">IF(W69="","",W69*$AV69)</f>
        <v>6.75326268315728</v>
      </c>
      <c r="BG69" s="17" t="n">
        <f aca="false">IF(AD69="","",AD69*$AX69)</f>
        <v>7.22590781034524</v>
      </c>
      <c r="BH69" s="17" t="n">
        <f aca="false">IF(AK69="","",AK69*$AZ69)</f>
        <v>6.36609347618157</v>
      </c>
      <c r="BI69" s="17" t="n">
        <f aca="false">IF(BF69="","",N(BF69)+N(BG69))</f>
        <v>13.9791704935025</v>
      </c>
      <c r="BJ69" s="17" t="n">
        <f aca="false">IF(BI69="","",BI69+N($M69)*N(BH69))</f>
        <v>17.1622172315933</v>
      </c>
      <c r="BK69" s="13" t="n">
        <f aca="false">IFERROR(BD69/AL69,1)</f>
        <v>1.00558718296093</v>
      </c>
    </row>
    <row r="70" customFormat="false" ht="15" hidden="false" customHeight="false" outlineLevel="0" collapsed="false">
      <c r="A70" s="0" t="s">
        <v>1284</v>
      </c>
      <c r="B70" s="0" t="s">
        <v>988</v>
      </c>
      <c r="C70" s="0" t="s">
        <v>1047</v>
      </c>
      <c r="D70" s="0" t="s">
        <v>1053</v>
      </c>
      <c r="E70" s="0" t="s">
        <v>1283</v>
      </c>
      <c r="F70" s="0" t="s">
        <v>1523</v>
      </c>
      <c r="G70" s="0" t="str">
        <f aca="false">IFERROR(IF(INDEX(Matches!$W$5:$W$19,MATCH($C70,Matches!$A$5:$A$19,0))="","",INDEX(Matches!$W$5:$W$19,MATCH($C70,Matches!$A$5:$A$19,0))),"")</f>
        <v>Dust2</v>
      </c>
      <c r="H70" s="0" t="str">
        <f aca="false">IFERROR(IF(INDEX(Matches!$X$5:$X$19,MATCH($C70,Matches!$A$5:$A$19,0))="","",INDEX(Matches!$X$5:$X$19,MATCH($C70,Matches!$A$5:$A$19,0))),"")</f>
        <v>Mirage</v>
      </c>
      <c r="I70" s="0" t="str">
        <f aca="false">IFERROR(IF(INDEX(Matches!$Y$5:$Y$19,MATCH($C70,Matches!$A$5:$A$19,0))="","",INDEX(Matches!$Y$5:$Y$19,MATCH($C70,Matches!$A$5:$A$19,0))),"")</f>
        <v>Nuke</v>
      </c>
      <c r="J70" s="11" t="n">
        <f aca="false">IFERROR(IF(INDEX(Matches!$Z$5:$Z$19,MATCH($C70,Matches!$A$5:$A$19,0))="","",INDEX(Matches!$Z$5:$Z$19,MATCH($C70,Matches!$A$5:$A$19,0))),"")</f>
        <v>21.5</v>
      </c>
      <c r="K70" s="11" t="n">
        <f aca="false">IFERROR(IF(INDEX(Matches!$AA$5:$AA$19,MATCH($C70,Matches!$A$5:$A$19,0))="","",INDEX(Matches!$AA$5:$AA$19,MATCH($C70,Matches!$A$5:$A$19,0))),"")</f>
        <v>21.5</v>
      </c>
      <c r="L70" s="11" t="n">
        <f aca="false">IFERROR(IF(INDEX(Matches!$AB$5:$AB$19,MATCH($C70,Matches!$A$5:$A$19,0))="","",INDEX(Matches!$AB$5:$AB$19,MATCH($C70,Matches!$A$5:$A$19,0))),"")</f>
        <v>21.5</v>
      </c>
      <c r="M70" s="10" t="n">
        <f aca="false">IFERROR(IF(INDEX(Matches!$AC$5:$AC$19,MATCH($C70,Matches!$A$5:$A$19,0))="","",INDEX(Matches!$AC$5:$AC$19,MATCH($C70,Matches!$A$5:$A$19,0))),"")</f>
        <v>0.5</v>
      </c>
      <c r="N70" s="9" t="n">
        <f aca="false">IFERROR(INDEX(Players!$F$2:$F$124,MATCH($F70,Players!$A$2:$A$124,0)),0)</f>
        <v>38</v>
      </c>
      <c r="O70" s="13" t="n">
        <f aca="false">IFERROR(1/(1/INDEX(Players!$H$2:$H$124,MATCH($F70,Players!$A$2:$A$124,0))),"")</f>
        <v>0.72</v>
      </c>
      <c r="P70" s="10" t="n">
        <f aca="false">IFERROR(1/(1/INDEX(Players!$I$2:$I$124,MATCH($F70,Players!$A$2:$A$124,0))),"")</f>
        <v>0.534</v>
      </c>
      <c r="Q70" s="9" t="n">
        <f aca="false">IF($G70="",0,SUMIFS(Map_Stats!$F$2:$F$779,Map_Stats!$A$2:$A$779,$F70&amp;"|"&amp;$G70))</f>
        <v>6</v>
      </c>
      <c r="R70" s="13" t="n">
        <f aca="false">IF($G70="","",IFERROR(1/(1/INDEX(Map_Stats!$K$2:$K$779,MATCH($F70&amp;"|"&amp;$G70,Map_Stats!$A$2:$A$779,0))),$O70))</f>
        <v>0.76</v>
      </c>
      <c r="S70" s="10" t="n">
        <f aca="false">IF(OR($G70="",$P70=""),"",IFERROR(1/(1/INDEX(Map_Stats!$I$2:$I$779,MATCH($F70&amp;"|"&amp;$G70,Map_Stats!$A$2:$A$779,0))),$P70))</f>
        <v>0.51</v>
      </c>
      <c r="T70" s="13" t="n">
        <f aca="false">IF(OR($G70="",R70=""),"",IF($O70="",R70,(Q70*R70+Config!$B$4*$O70)/(Q70+Config!$B$4)))</f>
        <v>0.741818181818182</v>
      </c>
      <c r="U70" s="10" t="n">
        <f aca="false">IF(S70="","",(Q70*S70+Config!$B$4*$P70)/(Q70+Config!$B$4))</f>
        <v>0.520909090909091</v>
      </c>
      <c r="V70" s="17" t="n">
        <f aca="false">IF(OR(T70="",$J70=""),"",T70*$J70*($J70/Config!$B$10)^Config!$B$9)</f>
        <v>15.9490909090909</v>
      </c>
      <c r="W70" s="17" t="n">
        <f aca="false">IF(OR(V70="",U70=""),"",V70*U70)</f>
        <v>8.30802644628099</v>
      </c>
      <c r="X70" s="9" t="n">
        <f aca="false">IF($H70="",0,SUMIFS(Map_Stats!$F$2:$F$779,Map_Stats!$A$2:$A$779,$F70&amp;"|"&amp;$H70))</f>
        <v>11</v>
      </c>
      <c r="Y70" s="13" t="n">
        <f aca="false">IF($H70="","",IFERROR(1/(1/INDEX(Map_Stats!$K$2:$K$779,MATCH($F70&amp;"|"&amp;$H70,Map_Stats!$A$2:$A$779,0))),$O70))</f>
        <v>0.79</v>
      </c>
      <c r="Z70" s="10" t="n">
        <f aca="false">IF(OR($H70="",$P70=""),"",IFERROR(1/(1/INDEX(Map_Stats!$I$2:$I$779,MATCH($F70&amp;"|"&amp;$H70,Map_Stats!$A$2:$A$779,0))),$P70))</f>
        <v>0.547</v>
      </c>
      <c r="AA70" s="13" t="n">
        <f aca="false">IF(OR($H70="",Y70=""),"",IF($O70="",Y70,(X70*Y70+Config!$B$4*$O70)/(X70+Config!$B$4)))</f>
        <v>0.768125</v>
      </c>
      <c r="AB70" s="10" t="n">
        <f aca="false">IF(Z70="","",(X70*Z70+Config!$B$4*$P70)/(X70+Config!$B$4))</f>
        <v>0.5429375</v>
      </c>
      <c r="AC70" s="17" t="n">
        <f aca="false">IF(OR(AA70="",$K70=""),"",AA70*$K70*($K70/Config!$B$10)^Config!$B$9)</f>
        <v>16.5146875</v>
      </c>
      <c r="AD70" s="17" t="n">
        <f aca="false">IF(OR(AC70="",AB70=""),"",AC70*AB70)</f>
        <v>8.96644314453125</v>
      </c>
      <c r="AE70" s="9" t="n">
        <f aca="false">IF($I70="",0,SUMIFS(Map_Stats!$F$2:$F$779,Map_Stats!$A$2:$A$779,$F70&amp;"|"&amp;$I70))</f>
        <v>4</v>
      </c>
      <c r="AF70" s="13" t="n">
        <f aca="false">IF($I70="","",IFERROR(1/(1/INDEX(Map_Stats!$K$2:$K$779,MATCH($F70&amp;"|"&amp;$I70,Map_Stats!$A$2:$A$779,0))),$O70))</f>
        <v>0.7</v>
      </c>
      <c r="AG70" s="10" t="n">
        <f aca="false">IF(OR($I70="",$P70=""),"",IFERROR(1/(1/INDEX(Map_Stats!$I$2:$I$779,MATCH($F70&amp;"|"&amp;$I70,Map_Stats!$A$2:$A$779,0))),$P70))</f>
        <v>0.472</v>
      </c>
      <c r="AH70" s="13" t="n">
        <f aca="false">IF(OR($I70="",AF70=""),"",IF($O70="",AF70,(AE70*AF70+Config!$B$4*$O70)/(AE70+Config!$B$4)))</f>
        <v>0.711111111111111</v>
      </c>
      <c r="AI70" s="10" t="n">
        <f aca="false">IF(AG70="","",(AE70*AG70+Config!$B$4*$P70)/(AE70+Config!$B$4))</f>
        <v>0.506444444444445</v>
      </c>
      <c r="AJ70" s="17" t="n">
        <f aca="false">IF(OR(AH70="",$L70=""),"",AH70*$L70*($L70/Config!$B$10)^Config!$B$9)</f>
        <v>15.2888888888889</v>
      </c>
      <c r="AK70" s="17" t="n">
        <f aca="false">IF(OR(AJ70="",AI70=""),"",AJ70*AI70)</f>
        <v>7.74297283950617</v>
      </c>
      <c r="AL70" s="17" t="n">
        <f aca="false">N(V70)+N(AC70)</f>
        <v>32.4637784090909</v>
      </c>
      <c r="AM70" s="17" t="n">
        <f aca="false">AL70+N($M70)*N(AJ70)</f>
        <v>40.1082228535354</v>
      </c>
      <c r="AN70" s="17" t="n">
        <f aca="false">IF(W70="","",N(W70)+N(AD70))</f>
        <v>17.2744695908122</v>
      </c>
      <c r="AO70" s="17" t="n">
        <f aca="false">IF(AN70="","",AN70+N($M70)*N(AK70))</f>
        <v>21.1459560105653</v>
      </c>
      <c r="AP70" s="10" t="n">
        <f aca="false">IFERROR(AN70/AL70,"")</f>
        <v>0.53211518921577</v>
      </c>
      <c r="AQ70" s="0" t="str">
        <f aca="false">TRIM(IF($N70&lt;Config!$B$12,"thin sample ("&amp;$N70&amp;" maps) · ","")&amp;IF(AND($G70&lt;&gt;"",Q70=0),"M1 unplayed→overall KPR · ","")&amp;IF(AND($H70&lt;&gt;"",X70=0),"M2 unplayed→overall KPR · ","")&amp;IF($O70="","no PickFinder stats",""))</f>
        <v/>
      </c>
      <c r="AR70" s="0" t="str">
        <f aca="false">IF($C70=Board!$B$2,COUNTIFS($C$2:$C$124,Board!$B$2,$AL$2:$AL$124,"&gt;"&amp;$AL70)+COUNTIFS($C$1:$C69,Board!$B$2,$AL$1:$AL69,$AL70)+1,"")</f>
        <v/>
      </c>
      <c r="AS70" s="0" t="str">
        <f aca="false">IFERROR(IF($D70=INDEX(Matches!$AD$5:$AD$19,MATCH($C70,Matches!$A$5:$A$19,0)),"A",IF($D70=INDEX(Matches!$AE$5:$AE$19,MATCH($C70,Matches!$A$5:$A$19,0)),"B","")),"")</f>
        <v>B</v>
      </c>
      <c r="AT70" s="10" t="n">
        <f aca="false">IF($AS70="","",IFERROR(IF($AS70="A",INDEX(Matches!$AI$5:$AI$19,MATCH($C70,Matches!$A$5:$A$19,0)),INDEX(Matches!$AJ$5:$AJ$19,MATCH($C70,Matches!$A$5:$A$19,0))),""))</f>
        <v>0.501596314233229</v>
      </c>
      <c r="AU70" s="10" t="n">
        <f aca="false">IF($AS70="","",IFERROR(IF(INDEX(Matches!$AP$5:$AP$19,MATCH($C70,Matches!$A$5:$A$19,0))="","",IF($AS70="A",INDEX(Matches!$AP$5:$AP$19,MATCH($C70,Matches!$A$5:$A$19,0)),1-INDEX(Matches!$AP$5:$AP$19,MATCH($C70,Matches!$A$5:$A$19,0)))),""))</f>
        <v>0.509120879120879</v>
      </c>
      <c r="AV70" s="13" t="n">
        <f aca="false">IF(OR($AU70="",$AT70=""),1,((Config!$B$14*$AU70+Config!$B$15*(1-$AU70))/(Config!$B$14*$AT70+Config!$B$15*(1-$AT70)))^Config!$B$13)</f>
        <v>1.0067145010687</v>
      </c>
      <c r="AW70" s="10" t="n">
        <f aca="false">IF($AS70="","",IFERROR(IF(INDEX(Matches!$AV$5:$AV$19,MATCH($C70,Matches!$A$5:$A$19,0))="","",IF($AS70="A",INDEX(Matches!$AV$5:$AV$19,MATCH($C70,Matches!$A$5:$A$19,0)),1-INDEX(Matches!$AV$5:$AV$19,MATCH($C70,Matches!$A$5:$A$19,0)))),""))</f>
        <v>0.506495012758061</v>
      </c>
      <c r="AX70" s="13" t="n">
        <f aca="false">IF(OR($AW70="",$AT70=""),1,((Config!$B$14*$AW70+Config!$B$15*(1-$AW70))/(Config!$B$14*$AT70+Config!$B$15*(1-$AT70)))^Config!$B$13)</f>
        <v>1.00437132471729</v>
      </c>
      <c r="AY70" s="10" t="n">
        <f aca="false">IF($AS70="","",IFERROR(IF(INDEX(Matches!$BB$5:$BB$19,MATCH($C70,Matches!$A$5:$A$19,0))="","",IF($AS70="A",INDEX(Matches!$BB$5:$BB$19,MATCH($C70,Matches!$A$5:$A$19,0)),1-INDEX(Matches!$BB$5:$BB$19,MATCH($C70,Matches!$A$5:$A$19,0)))),""))</f>
        <v>0.506810994891754</v>
      </c>
      <c r="AZ70" s="13" t="n">
        <f aca="false">IF(OR($AY70="",$AT70=""),1,((Config!$B$14*$AY70+Config!$B$15*(1-$AY70))/(Config!$B$14*$AT70+Config!$B$15*(1-$AT70)))^Config!$B$13)</f>
        <v>1.00465328950941</v>
      </c>
      <c r="BA70" s="17" t="n">
        <f aca="false">IF(V70="","",V70*$AV70)</f>
        <v>16.0561810970448</v>
      </c>
      <c r="BB70" s="17" t="n">
        <f aca="false">IF(AC70="","",AC70*$AX70)</f>
        <v>16.5868785616671</v>
      </c>
      <c r="BC70" s="17" t="n">
        <f aca="false">IF(AJ70="","",AJ70*$AZ70)</f>
        <v>15.3600325151662</v>
      </c>
      <c r="BD70" s="17" t="n">
        <f aca="false">N(BA70)+N(BB70)</f>
        <v>32.6430596587119</v>
      </c>
      <c r="BE70" s="17" t="n">
        <f aca="false">BD70+N($M70)*N(BC70)</f>
        <v>40.323075916295</v>
      </c>
      <c r="BF70" s="17" t="n">
        <f aca="false">IF(W70="","",W70*$AV70)</f>
        <v>8.36381069873336</v>
      </c>
      <c r="BG70" s="17" t="n">
        <f aca="false">IF(AD70="","",AD70*$AX70)</f>
        <v>9.00563837907512</v>
      </c>
      <c r="BH70" s="17" t="n">
        <f aca="false">IF(AK70="","",AK70*$AZ70)</f>
        <v>7.77900313379193</v>
      </c>
      <c r="BI70" s="17" t="n">
        <f aca="false">IF(BF70="","",N(BF70)+N(BG70))</f>
        <v>17.3694490778085</v>
      </c>
      <c r="BJ70" s="17" t="n">
        <f aca="false">IF(BI70="","",BI70+N($M70)*N(BH70))</f>
        <v>21.2589506447044</v>
      </c>
      <c r="BK70" s="13" t="n">
        <f aca="false">IFERROR(BD70/AL70,1)</f>
        <v>1.00552250102751</v>
      </c>
    </row>
    <row r="71" customFormat="false" ht="15" hidden="false" customHeight="false" outlineLevel="0" collapsed="false">
      <c r="A71" s="0" t="s">
        <v>1286</v>
      </c>
      <c r="B71" s="0" t="s">
        <v>988</v>
      </c>
      <c r="C71" s="0" t="s">
        <v>1047</v>
      </c>
      <c r="D71" s="0" t="s">
        <v>1053</v>
      </c>
      <c r="E71" s="0" t="s">
        <v>1285</v>
      </c>
      <c r="F71" s="0" t="s">
        <v>1524</v>
      </c>
      <c r="G71" s="0" t="str">
        <f aca="false">IFERROR(IF(INDEX(Matches!$W$5:$W$19,MATCH($C71,Matches!$A$5:$A$19,0))="","",INDEX(Matches!$W$5:$W$19,MATCH($C71,Matches!$A$5:$A$19,0))),"")</f>
        <v>Dust2</v>
      </c>
      <c r="H71" s="0" t="str">
        <f aca="false">IFERROR(IF(INDEX(Matches!$X$5:$X$19,MATCH($C71,Matches!$A$5:$A$19,0))="","",INDEX(Matches!$X$5:$X$19,MATCH($C71,Matches!$A$5:$A$19,0))),"")</f>
        <v>Mirage</v>
      </c>
      <c r="I71" s="0" t="str">
        <f aca="false">IFERROR(IF(INDEX(Matches!$Y$5:$Y$19,MATCH($C71,Matches!$A$5:$A$19,0))="","",INDEX(Matches!$Y$5:$Y$19,MATCH($C71,Matches!$A$5:$A$19,0))),"")</f>
        <v>Nuke</v>
      </c>
      <c r="J71" s="11" t="n">
        <f aca="false">IFERROR(IF(INDEX(Matches!$Z$5:$Z$19,MATCH($C71,Matches!$A$5:$A$19,0))="","",INDEX(Matches!$Z$5:$Z$19,MATCH($C71,Matches!$A$5:$A$19,0))),"")</f>
        <v>21.5</v>
      </c>
      <c r="K71" s="11" t="n">
        <f aca="false">IFERROR(IF(INDEX(Matches!$AA$5:$AA$19,MATCH($C71,Matches!$A$5:$A$19,0))="","",INDEX(Matches!$AA$5:$AA$19,MATCH($C71,Matches!$A$5:$A$19,0))),"")</f>
        <v>21.5</v>
      </c>
      <c r="L71" s="11" t="n">
        <f aca="false">IFERROR(IF(INDEX(Matches!$AB$5:$AB$19,MATCH($C71,Matches!$A$5:$A$19,0))="","",INDEX(Matches!$AB$5:$AB$19,MATCH($C71,Matches!$A$5:$A$19,0))),"")</f>
        <v>21.5</v>
      </c>
      <c r="M71" s="10" t="n">
        <f aca="false">IFERROR(IF(INDEX(Matches!$AC$5:$AC$19,MATCH($C71,Matches!$A$5:$A$19,0))="","",INDEX(Matches!$AC$5:$AC$19,MATCH($C71,Matches!$A$5:$A$19,0))),"")</f>
        <v>0.5</v>
      </c>
      <c r="N71" s="9" t="n">
        <f aca="false">IFERROR(INDEX(Players!$F$2:$F$124,MATCH($F71,Players!$A$2:$A$124,0)),0)</f>
        <v>38</v>
      </c>
      <c r="O71" s="13" t="n">
        <f aca="false">IFERROR(1/(1/INDEX(Players!$H$2:$H$124,MATCH($F71,Players!$A$2:$A$124,0))),"")</f>
        <v>0.65</v>
      </c>
      <c r="P71" s="10" t="n">
        <f aca="false">IFERROR(1/(1/INDEX(Players!$I$2:$I$124,MATCH($F71,Players!$A$2:$A$124,0))),"")</f>
        <v>0.553</v>
      </c>
      <c r="Q71" s="9" t="n">
        <f aca="false">IF($G71="",0,SUMIFS(Map_Stats!$F$2:$F$779,Map_Stats!$A$2:$A$779,$F71&amp;"|"&amp;$G71))</f>
        <v>6</v>
      </c>
      <c r="R71" s="13" t="n">
        <f aca="false">IF($G71="","",IFERROR(1/(1/INDEX(Map_Stats!$K$2:$K$779,MATCH($F71&amp;"|"&amp;$G71,Map_Stats!$A$2:$A$779,0))),$O71))</f>
        <v>0.6</v>
      </c>
      <c r="S71" s="10" t="n">
        <f aca="false">IF(OR($G71="",$P71=""),"",IFERROR(1/(1/INDEX(Map_Stats!$I$2:$I$779,MATCH($F71&amp;"|"&amp;$G71,Map_Stats!$A$2:$A$779,0))),$P71))</f>
        <v>0.6</v>
      </c>
      <c r="T71" s="13" t="n">
        <f aca="false">IF(OR($G71="",R71=""),"",IF($O71="",R71,(Q71*R71+Config!$B$4*$O71)/(Q71+Config!$B$4)))</f>
        <v>0.622727272727273</v>
      </c>
      <c r="U71" s="10" t="n">
        <f aca="false">IF(S71="","",(Q71*S71+Config!$B$4*$P71)/(Q71+Config!$B$4))</f>
        <v>0.578636363636364</v>
      </c>
      <c r="V71" s="17" t="n">
        <f aca="false">IF(OR(T71="",$J71=""),"",T71*$J71*($J71/Config!$B$10)^Config!$B$9)</f>
        <v>13.3886363636364</v>
      </c>
      <c r="W71" s="17" t="n">
        <f aca="false">IF(OR(V71="",U71=""),"",V71*U71)</f>
        <v>7.74715185950413</v>
      </c>
      <c r="X71" s="9" t="n">
        <f aca="false">IF($H71="",0,SUMIFS(Map_Stats!$F$2:$F$779,Map_Stats!$A$2:$A$779,$F71&amp;"|"&amp;$H71))</f>
        <v>11</v>
      </c>
      <c r="Y71" s="13" t="n">
        <f aca="false">IF($H71="","",IFERROR(1/(1/INDEX(Map_Stats!$K$2:$K$779,MATCH($F71&amp;"|"&amp;$H71,Map_Stats!$A$2:$A$779,0))),$O71))</f>
        <v>0.67</v>
      </c>
      <c r="Z71" s="10" t="n">
        <f aca="false">IF(OR($H71="",$P71=""),"",IFERROR(1/(1/INDEX(Map_Stats!$I$2:$I$779,MATCH($F71&amp;"|"&amp;$H71,Map_Stats!$A$2:$A$779,0))),$P71))</f>
        <v>0.559</v>
      </c>
      <c r="AA71" s="13" t="n">
        <f aca="false">IF(OR($H71="",Y71=""),"",IF($O71="",Y71,(X71*Y71+Config!$B$4*$O71)/(X71+Config!$B$4)))</f>
        <v>0.66375</v>
      </c>
      <c r="AB71" s="10" t="n">
        <f aca="false">IF(Z71="","",(X71*Z71+Config!$B$4*$P71)/(X71+Config!$B$4))</f>
        <v>0.557125</v>
      </c>
      <c r="AC71" s="17" t="n">
        <f aca="false">IF(OR(AA71="",$K71=""),"",AA71*$K71*($K71/Config!$B$10)^Config!$B$9)</f>
        <v>14.270625</v>
      </c>
      <c r="AD71" s="17" t="n">
        <f aca="false">IF(OR(AC71="",AB71=""),"",AC71*AB71)</f>
        <v>7.950521953125</v>
      </c>
      <c r="AE71" s="9" t="n">
        <f aca="false">IF($I71="",0,SUMIFS(Map_Stats!$F$2:$F$779,Map_Stats!$A$2:$A$779,$F71&amp;"|"&amp;$I71))</f>
        <v>4</v>
      </c>
      <c r="AF71" s="13" t="n">
        <f aca="false">IF($I71="","",IFERROR(1/(1/INDEX(Map_Stats!$K$2:$K$779,MATCH($F71&amp;"|"&amp;$I71,Map_Stats!$A$2:$A$779,0))),$O71))</f>
        <v>0.84</v>
      </c>
      <c r="AG71" s="10" t="n">
        <f aca="false">IF(OR($I71="",$P71=""),"",IFERROR(1/(1/INDEX(Map_Stats!$I$2:$I$779,MATCH($F71&amp;"|"&amp;$I71,Map_Stats!$A$2:$A$779,0))),$P71))</f>
        <v>0.5</v>
      </c>
      <c r="AH71" s="13" t="n">
        <f aca="false">IF(OR($I71="",AF71=""),"",IF($O71="",AF71,(AE71*AF71+Config!$B$4*$O71)/(AE71+Config!$B$4)))</f>
        <v>0.734444444444444</v>
      </c>
      <c r="AI71" s="10" t="n">
        <f aca="false">IF(AG71="","",(AE71*AG71+Config!$B$4*$P71)/(AE71+Config!$B$4))</f>
        <v>0.529444444444444</v>
      </c>
      <c r="AJ71" s="17" t="n">
        <f aca="false">IF(OR(AH71="",$L71=""),"",AH71*$L71*($L71/Config!$B$10)^Config!$B$9)</f>
        <v>15.7905555555556</v>
      </c>
      <c r="AK71" s="17" t="n">
        <f aca="false">IF(OR(AJ71="",AI71=""),"",AJ71*AI71)</f>
        <v>8.36022191358025</v>
      </c>
      <c r="AL71" s="17" t="n">
        <f aca="false">N(V71)+N(AC71)</f>
        <v>27.6592613636364</v>
      </c>
      <c r="AM71" s="17" t="n">
        <f aca="false">AL71+N($M71)*N(AJ71)</f>
        <v>35.5545391414141</v>
      </c>
      <c r="AN71" s="17" t="n">
        <f aca="false">IF(W71="","",N(W71)+N(AD71))</f>
        <v>15.6976738126291</v>
      </c>
      <c r="AO71" s="17" t="n">
        <f aca="false">IF(AN71="","",AN71+N($M71)*N(AK71))</f>
        <v>19.8777847694193</v>
      </c>
      <c r="AP71" s="10" t="n">
        <f aca="false">IFERROR(AN71/AL71,"")</f>
        <v>0.567537708482225</v>
      </c>
      <c r="AQ71" s="0" t="str">
        <f aca="false">TRIM(IF($N71&lt;Config!$B$12,"thin sample ("&amp;$N71&amp;" maps) · ","")&amp;IF(AND($G71&lt;&gt;"",Q71=0),"M1 unplayed→overall KPR · ","")&amp;IF(AND($H71&lt;&gt;"",X71=0),"M2 unplayed→overall KPR · ","")&amp;IF($O71="","no PickFinder stats",""))</f>
        <v/>
      </c>
      <c r="AR71" s="0" t="str">
        <f aca="false">IF($C71=Board!$B$2,COUNTIFS($C$2:$C$124,Board!$B$2,$AL$2:$AL$124,"&gt;"&amp;$AL71)+COUNTIFS($C$1:$C70,Board!$B$2,$AL$1:$AL70,$AL71)+1,"")</f>
        <v/>
      </c>
      <c r="AS71" s="0" t="str">
        <f aca="false">IFERROR(IF($D71=INDEX(Matches!$AD$5:$AD$19,MATCH($C71,Matches!$A$5:$A$19,0)),"A",IF($D71=INDEX(Matches!$AE$5:$AE$19,MATCH($C71,Matches!$A$5:$A$19,0)),"B","")),"")</f>
        <v>B</v>
      </c>
      <c r="AT71" s="10" t="n">
        <f aca="false">IF($AS71="","",IFERROR(IF($AS71="A",INDEX(Matches!$AI$5:$AI$19,MATCH($C71,Matches!$A$5:$A$19,0)),INDEX(Matches!$AJ$5:$AJ$19,MATCH($C71,Matches!$A$5:$A$19,0))),""))</f>
        <v>0.501596314233229</v>
      </c>
      <c r="AU71" s="10" t="n">
        <f aca="false">IF($AS71="","",IFERROR(IF(INDEX(Matches!$AP$5:$AP$19,MATCH($C71,Matches!$A$5:$A$19,0))="","",IF($AS71="A",INDEX(Matches!$AP$5:$AP$19,MATCH($C71,Matches!$A$5:$A$19,0)),1-INDEX(Matches!$AP$5:$AP$19,MATCH($C71,Matches!$A$5:$A$19,0)))),""))</f>
        <v>0.509120879120879</v>
      </c>
      <c r="AV71" s="13" t="n">
        <f aca="false">IF(OR($AU71="",$AT71=""),1,((Config!$B$14*$AU71+Config!$B$15*(1-$AU71))/(Config!$B$14*$AT71+Config!$B$15*(1-$AT71)))^Config!$B$13)</f>
        <v>1.0067145010687</v>
      </c>
      <c r="AW71" s="10" t="n">
        <f aca="false">IF($AS71="","",IFERROR(IF(INDEX(Matches!$AV$5:$AV$19,MATCH($C71,Matches!$A$5:$A$19,0))="","",IF($AS71="A",INDEX(Matches!$AV$5:$AV$19,MATCH($C71,Matches!$A$5:$A$19,0)),1-INDEX(Matches!$AV$5:$AV$19,MATCH($C71,Matches!$A$5:$A$19,0)))),""))</f>
        <v>0.506495012758061</v>
      </c>
      <c r="AX71" s="13" t="n">
        <f aca="false">IF(OR($AW71="",$AT71=""),1,((Config!$B$14*$AW71+Config!$B$15*(1-$AW71))/(Config!$B$14*$AT71+Config!$B$15*(1-$AT71)))^Config!$B$13)</f>
        <v>1.00437132471729</v>
      </c>
      <c r="AY71" s="10" t="n">
        <f aca="false">IF($AS71="","",IFERROR(IF(INDEX(Matches!$BB$5:$BB$19,MATCH($C71,Matches!$A$5:$A$19,0))="","",IF($AS71="A",INDEX(Matches!$BB$5:$BB$19,MATCH($C71,Matches!$A$5:$A$19,0)),1-INDEX(Matches!$BB$5:$BB$19,MATCH($C71,Matches!$A$5:$A$19,0)))),""))</f>
        <v>0.506810994891754</v>
      </c>
      <c r="AZ71" s="13" t="n">
        <f aca="false">IF(OR($AY71="",$AT71=""),1,((Config!$B$14*$AY71+Config!$B$15*(1-$AY71))/(Config!$B$14*$AT71+Config!$B$15*(1-$AT71)))^Config!$B$13)</f>
        <v>1.00465328950941</v>
      </c>
      <c r="BA71" s="17" t="n">
        <f aca="false">IF(V71="","",V71*$AV71)</f>
        <v>13.4785343768085</v>
      </c>
      <c r="BB71" s="17" t="n">
        <f aca="false">IF(AC71="","",AC71*$AX71)</f>
        <v>14.3330065357937</v>
      </c>
      <c r="BC71" s="17" t="n">
        <f aca="false">IF(AJ71="","",AJ71*$AZ71)</f>
        <v>15.86403358207</v>
      </c>
      <c r="BD71" s="17" t="n">
        <f aca="false">N(BA71)+N(BB71)</f>
        <v>27.8115409126022</v>
      </c>
      <c r="BE71" s="17" t="n">
        <f aca="false">BD71+N($M71)*N(BC71)</f>
        <v>35.7435577036372</v>
      </c>
      <c r="BF71" s="17" t="n">
        <f aca="false">IF(W71="","",W71*$AV71)</f>
        <v>7.79917011894418</v>
      </c>
      <c r="BG71" s="17" t="n">
        <f aca="false">IF(AD71="","",AD71*$AX71)</f>
        <v>7.98527626625405</v>
      </c>
      <c r="BH71" s="17" t="n">
        <f aca="false">IF(AK71="","",AK71*$AZ71)</f>
        <v>8.39912444650709</v>
      </c>
      <c r="BI71" s="17" t="n">
        <f aca="false">IF(BF71="","",N(BF71)+N(BG71))</f>
        <v>15.7844463851982</v>
      </c>
      <c r="BJ71" s="17" t="n">
        <f aca="false">IF(BI71="","",BI71+N($M71)*N(BH71))</f>
        <v>19.9840086084518</v>
      </c>
      <c r="BK71" s="13" t="n">
        <f aca="false">IFERROR(BD71/AL71,1)</f>
        <v>1.00550555370817</v>
      </c>
    </row>
    <row r="72" customFormat="false" ht="15" hidden="false" customHeight="false" outlineLevel="0" collapsed="false">
      <c r="A72" s="0" t="s">
        <v>1288</v>
      </c>
      <c r="B72" s="0" t="s">
        <v>988</v>
      </c>
      <c r="C72" s="0" t="s">
        <v>1047</v>
      </c>
      <c r="D72" s="0" t="s">
        <v>1052</v>
      </c>
      <c r="E72" s="0" t="s">
        <v>1287</v>
      </c>
      <c r="F72" s="0" t="s">
        <v>1525</v>
      </c>
      <c r="G72" s="0" t="str">
        <f aca="false">IFERROR(IF(INDEX(Matches!$W$5:$W$19,MATCH($C72,Matches!$A$5:$A$19,0))="","",INDEX(Matches!$W$5:$W$19,MATCH($C72,Matches!$A$5:$A$19,0))),"")</f>
        <v>Dust2</v>
      </c>
      <c r="H72" s="0" t="str">
        <f aca="false">IFERROR(IF(INDEX(Matches!$X$5:$X$19,MATCH($C72,Matches!$A$5:$A$19,0))="","",INDEX(Matches!$X$5:$X$19,MATCH($C72,Matches!$A$5:$A$19,0))),"")</f>
        <v>Mirage</v>
      </c>
      <c r="I72" s="0" t="str">
        <f aca="false">IFERROR(IF(INDEX(Matches!$Y$5:$Y$19,MATCH($C72,Matches!$A$5:$A$19,0))="","",INDEX(Matches!$Y$5:$Y$19,MATCH($C72,Matches!$A$5:$A$19,0))),"")</f>
        <v>Nuke</v>
      </c>
      <c r="J72" s="11" t="n">
        <f aca="false">IFERROR(IF(INDEX(Matches!$Z$5:$Z$19,MATCH($C72,Matches!$A$5:$A$19,0))="","",INDEX(Matches!$Z$5:$Z$19,MATCH($C72,Matches!$A$5:$A$19,0))),"")</f>
        <v>21.5</v>
      </c>
      <c r="K72" s="11" t="n">
        <f aca="false">IFERROR(IF(INDEX(Matches!$AA$5:$AA$19,MATCH($C72,Matches!$A$5:$A$19,0))="","",INDEX(Matches!$AA$5:$AA$19,MATCH($C72,Matches!$A$5:$A$19,0))),"")</f>
        <v>21.5</v>
      </c>
      <c r="L72" s="11" t="n">
        <f aca="false">IFERROR(IF(INDEX(Matches!$AB$5:$AB$19,MATCH($C72,Matches!$A$5:$A$19,0))="","",INDEX(Matches!$AB$5:$AB$19,MATCH($C72,Matches!$A$5:$A$19,0))),"")</f>
        <v>21.5</v>
      </c>
      <c r="M72" s="10" t="n">
        <f aca="false">IFERROR(IF(INDEX(Matches!$AC$5:$AC$19,MATCH($C72,Matches!$A$5:$A$19,0))="","",INDEX(Matches!$AC$5:$AC$19,MATCH($C72,Matches!$A$5:$A$19,0))),"")</f>
        <v>0.5</v>
      </c>
      <c r="N72" s="9" t="n">
        <f aca="false">IFERROR(INDEX(Players!$F$2:$F$124,MATCH($F72,Players!$A$2:$A$124,0)),0)</f>
        <v>28</v>
      </c>
      <c r="O72" s="13" t="n">
        <f aca="false">IFERROR(1/(1/INDEX(Players!$H$2:$H$124,MATCH($F72,Players!$A$2:$A$124,0))),"")</f>
        <v>0.67</v>
      </c>
      <c r="P72" s="10" t="n">
        <f aca="false">IFERROR(1/(1/INDEX(Players!$I$2:$I$124,MATCH($F72,Players!$A$2:$A$124,0))),"")</f>
        <v>0.578</v>
      </c>
      <c r="Q72" s="9" t="n">
        <f aca="false">IF($G72="",0,SUMIFS(Map_Stats!$F$2:$F$779,Map_Stats!$A$2:$A$779,$F72&amp;"|"&amp;$G72))</f>
        <v>6</v>
      </c>
      <c r="R72" s="13" t="n">
        <f aca="false">IF($G72="","",IFERROR(1/(1/INDEX(Map_Stats!$K$2:$K$779,MATCH($F72&amp;"|"&amp;$G72,Map_Stats!$A$2:$A$779,0))),$O72))</f>
        <v>0.7</v>
      </c>
      <c r="S72" s="10" t="n">
        <f aca="false">IF(OR($G72="",$P72=""),"",IFERROR(1/(1/INDEX(Map_Stats!$I$2:$I$779,MATCH($F72&amp;"|"&amp;$G72,Map_Stats!$A$2:$A$779,0))),$P72))</f>
        <v>0.533</v>
      </c>
      <c r="T72" s="13" t="n">
        <f aca="false">IF(OR($G72="",R72=""),"",IF($O72="",R72,(Q72*R72+Config!$B$4*$O72)/(Q72+Config!$B$4)))</f>
        <v>0.686363636363636</v>
      </c>
      <c r="U72" s="10" t="n">
        <f aca="false">IF(S72="","",(Q72*S72+Config!$B$4*$P72)/(Q72+Config!$B$4))</f>
        <v>0.553454545454545</v>
      </c>
      <c r="V72" s="17" t="n">
        <f aca="false">IF(OR(T72="",$J72=""),"",T72*$J72*($J72/Config!$B$10)^Config!$B$9)</f>
        <v>14.7568181818182</v>
      </c>
      <c r="W72" s="17" t="n">
        <f aca="false">IF(OR(V72="",U72=""),"",V72*U72)</f>
        <v>8.16722809917355</v>
      </c>
      <c r="X72" s="9" t="n">
        <f aca="false">IF($H72="",0,SUMIFS(Map_Stats!$F$2:$F$779,Map_Stats!$A$2:$A$779,$F72&amp;"|"&amp;$H72))</f>
        <v>4</v>
      </c>
      <c r="Y72" s="13" t="n">
        <f aca="false">IF($H72="","",IFERROR(1/(1/INDEX(Map_Stats!$K$2:$K$779,MATCH($F72&amp;"|"&amp;$H72,Map_Stats!$A$2:$A$779,0))),$O72))</f>
        <v>0.66</v>
      </c>
      <c r="Z72" s="10" t="n">
        <f aca="false">IF(OR($H72="",$P72=""),"",IFERROR(1/(1/INDEX(Map_Stats!$I$2:$I$779,MATCH($F72&amp;"|"&amp;$H72,Map_Stats!$A$2:$A$779,0))),$P72))</f>
        <v>0.521</v>
      </c>
      <c r="AA72" s="13" t="n">
        <f aca="false">IF(OR($H72="",Y72=""),"",IF($O72="",Y72,(X72*Y72+Config!$B$4*$O72)/(X72+Config!$B$4)))</f>
        <v>0.665555555555556</v>
      </c>
      <c r="AB72" s="10" t="n">
        <f aca="false">IF(Z72="","",(X72*Z72+Config!$B$4*$P72)/(X72+Config!$B$4))</f>
        <v>0.552666666666667</v>
      </c>
      <c r="AC72" s="17" t="n">
        <f aca="false">IF(OR(AA72="",$K72=""),"",AA72*$K72*($K72/Config!$B$10)^Config!$B$9)</f>
        <v>14.3094444444444</v>
      </c>
      <c r="AD72" s="17" t="n">
        <f aca="false">IF(OR(AC72="",AB72=""),"",AC72*AB72)</f>
        <v>7.90835296296296</v>
      </c>
      <c r="AE72" s="9" t="n">
        <f aca="false">IF($I72="",0,SUMIFS(Map_Stats!$F$2:$F$779,Map_Stats!$A$2:$A$779,$F72&amp;"|"&amp;$I72))</f>
        <v>3</v>
      </c>
      <c r="AF72" s="13" t="n">
        <f aca="false">IF($I72="","",IFERROR(1/(1/INDEX(Map_Stats!$K$2:$K$779,MATCH($F72&amp;"|"&amp;$I72,Map_Stats!$A$2:$A$779,0))),$O72))</f>
        <v>0.77</v>
      </c>
      <c r="AG72" s="10" t="n">
        <f aca="false">IF(OR($I72="",$P72=""),"",IFERROR(1/(1/INDEX(Map_Stats!$I$2:$I$779,MATCH($F72&amp;"|"&amp;$I72,Map_Stats!$A$2:$A$779,0))),$P72))</f>
        <v>0.551</v>
      </c>
      <c r="AH72" s="13" t="n">
        <f aca="false">IF(OR($I72="",AF72=""),"",IF($O72="",AF72,(AE72*AF72+Config!$B$4*$O72)/(AE72+Config!$B$4)))</f>
        <v>0.7075</v>
      </c>
      <c r="AI72" s="10" t="n">
        <f aca="false">IF(AG72="","",(AE72*AG72+Config!$B$4*$P72)/(AE72+Config!$B$4))</f>
        <v>0.567875</v>
      </c>
      <c r="AJ72" s="17" t="n">
        <f aca="false">IF(OR(AH72="",$L72=""),"",AH72*$L72*($L72/Config!$B$10)^Config!$B$9)</f>
        <v>15.21125</v>
      </c>
      <c r="AK72" s="17" t="n">
        <f aca="false">IF(OR(AJ72="",AI72=""),"",AJ72*AI72)</f>
        <v>8.63808859375</v>
      </c>
      <c r="AL72" s="17" t="n">
        <f aca="false">N(V72)+N(AC72)</f>
        <v>29.0662626262626</v>
      </c>
      <c r="AM72" s="17" t="n">
        <f aca="false">AL72+N($M72)*N(AJ72)</f>
        <v>36.6718876262626</v>
      </c>
      <c r="AN72" s="17" t="n">
        <f aca="false">IF(W72="","",N(W72)+N(AD72))</f>
        <v>16.0755810621365</v>
      </c>
      <c r="AO72" s="17" t="n">
        <f aca="false">IF(AN72="","",AN72+N($M72)*N(AK72))</f>
        <v>20.3946253590115</v>
      </c>
      <c r="AP72" s="10" t="n">
        <f aca="false">IFERROR(AN72/AL72,"")</f>
        <v>0.553066669383615</v>
      </c>
      <c r="AQ72" s="0" t="str">
        <f aca="false">TRIM(IF($N72&lt;Config!$B$12,"thin sample ("&amp;$N72&amp;" maps) · ","")&amp;IF(AND($G72&lt;&gt;"",Q72=0),"M1 unplayed→overall KPR · ","")&amp;IF(AND($H72&lt;&gt;"",X72=0),"M2 unplayed→overall KPR · ","")&amp;IF($O72="","no PickFinder stats",""))</f>
        <v/>
      </c>
      <c r="AR72" s="0" t="str">
        <f aca="false">IF($C72=Board!$B$2,COUNTIFS($C$2:$C$124,Board!$B$2,$AL$2:$AL$124,"&gt;"&amp;$AL72)+COUNTIFS($C$1:$C71,Board!$B$2,$AL$1:$AL71,$AL72)+1,"")</f>
        <v/>
      </c>
      <c r="AS72" s="0" t="str">
        <f aca="false">IFERROR(IF($D72=INDEX(Matches!$AD$5:$AD$19,MATCH($C72,Matches!$A$5:$A$19,0)),"A",IF($D72=INDEX(Matches!$AE$5:$AE$19,MATCH($C72,Matches!$A$5:$A$19,0)),"B","")),"")</f>
        <v>A</v>
      </c>
      <c r="AT72" s="10" t="n">
        <f aca="false">IF($AS72="","",IFERROR(IF($AS72="A",INDEX(Matches!$AI$5:$AI$19,MATCH($C72,Matches!$A$5:$A$19,0)),INDEX(Matches!$AJ$5:$AJ$19,MATCH($C72,Matches!$A$5:$A$19,0))),""))</f>
        <v>0.478619840141192</v>
      </c>
      <c r="AU72" s="10" t="n">
        <f aca="false">IF($AS72="","",IFERROR(IF(INDEX(Matches!$AP$5:$AP$19,MATCH($C72,Matches!$A$5:$A$19,0))="","",IF($AS72="A",INDEX(Matches!$AP$5:$AP$19,MATCH($C72,Matches!$A$5:$A$19,0)),1-INDEX(Matches!$AP$5:$AP$19,MATCH($C72,Matches!$A$5:$A$19,0)))),""))</f>
        <v>0.490879120879121</v>
      </c>
      <c r="AV72" s="13" t="n">
        <f aca="false">IF(OR($AU72="",$AT72=""),1,((Config!$B$14*$AU72+Config!$B$15*(1-$AU72))/(Config!$B$14*$AT72+Config!$B$15*(1-$AT72)))^Config!$B$13)</f>
        <v>1.01116848334649</v>
      </c>
      <c r="AW72" s="10" t="n">
        <f aca="false">IF($AS72="","",IFERROR(IF(INDEX(Matches!$AV$5:$AV$19,MATCH($C72,Matches!$A$5:$A$19,0))="","",IF($AS72="A",INDEX(Matches!$AV$5:$AV$19,MATCH($C72,Matches!$A$5:$A$19,0)),1-INDEX(Matches!$AV$5:$AV$19,MATCH($C72,Matches!$A$5:$A$19,0)))),""))</f>
        <v>0.493504987241939</v>
      </c>
      <c r="AX72" s="13" t="n">
        <f aca="false">IF(OR($AW72="",$AT72=""),1,((Config!$B$14*$AW72+Config!$B$15*(1-$AW72))/(Config!$B$14*$AT72+Config!$B$15*(1-$AT72)))^Config!$B$13)</f>
        <v>1.01356070727627</v>
      </c>
      <c r="AY72" s="10" t="n">
        <f aca="false">IF($AS72="","",IFERROR(IF(INDEX(Matches!$BB$5:$BB$19,MATCH($C72,Matches!$A$5:$A$19,0))="","",IF($AS72="A",INDEX(Matches!$BB$5:$BB$19,MATCH($C72,Matches!$A$5:$A$19,0)),1-INDEX(Matches!$BB$5:$BB$19,MATCH($C72,Matches!$A$5:$A$19,0)))),""))</f>
        <v>0.493189005108246</v>
      </c>
      <c r="AZ72" s="13" t="n">
        <f aca="false">IF(OR($AY72="",$AT72=""),1,((Config!$B$14*$AY72+Config!$B$15*(1-$AY72))/(Config!$B$14*$AT72+Config!$B$15*(1-$AT72)))^Config!$B$13)</f>
        <v>1.01327284037173</v>
      </c>
      <c r="BA72" s="17" t="n">
        <f aca="false">IF(V72="","",V72*$AV72)</f>
        <v>14.9216294599289</v>
      </c>
      <c r="BB72" s="17" t="n">
        <f aca="false">IF(AC72="","",AC72*$AX72)</f>
        <v>14.5034906318416</v>
      </c>
      <c r="BC72" s="17" t="n">
        <f aca="false">IF(AJ72="","",AJ72*$AZ72)</f>
        <v>15.4131464931045</v>
      </c>
      <c r="BD72" s="17" t="n">
        <f aca="false">N(BA72)+N(BB72)</f>
        <v>29.4251200917705</v>
      </c>
      <c r="BE72" s="17" t="n">
        <f aca="false">BD72+N($M72)*N(BC72)</f>
        <v>37.1316933383228</v>
      </c>
      <c r="BF72" s="17" t="n">
        <f aca="false">IF(W72="","",W72*$AV72)</f>
        <v>8.25844365018612</v>
      </c>
      <c r="BG72" s="17" t="n">
        <f aca="false">IF(AD72="","",AD72*$AX72)</f>
        <v>8.01559582253113</v>
      </c>
      <c r="BH72" s="17" t="n">
        <f aca="false">IF(AK72="","",AK72*$AZ72)</f>
        <v>8.75274056477169</v>
      </c>
      <c r="BI72" s="17" t="n">
        <f aca="false">IF(BF72="","",N(BF72)+N(BG72))</f>
        <v>16.2740394727173</v>
      </c>
      <c r="BJ72" s="17" t="n">
        <f aca="false">IF(BI72="","",BI72+N($M72)*N(BH72))</f>
        <v>20.6504097551031</v>
      </c>
      <c r="BK72" s="13" t="n">
        <f aca="false">IFERROR(BD72/AL72,1)</f>
        <v>1.01234618533941</v>
      </c>
    </row>
    <row r="73" customFormat="false" ht="15" hidden="false" customHeight="false" outlineLevel="0" collapsed="false">
      <c r="A73" s="0" t="s">
        <v>1290</v>
      </c>
      <c r="B73" s="0" t="s">
        <v>988</v>
      </c>
      <c r="C73" s="0" t="s">
        <v>1047</v>
      </c>
      <c r="D73" s="0" t="s">
        <v>1052</v>
      </c>
      <c r="E73" s="0" t="s">
        <v>1289</v>
      </c>
      <c r="F73" s="0" t="s">
        <v>1526</v>
      </c>
      <c r="G73" s="0" t="str">
        <f aca="false">IFERROR(IF(INDEX(Matches!$W$5:$W$19,MATCH($C73,Matches!$A$5:$A$19,0))="","",INDEX(Matches!$W$5:$W$19,MATCH($C73,Matches!$A$5:$A$19,0))),"")</f>
        <v>Dust2</v>
      </c>
      <c r="H73" s="0" t="str">
        <f aca="false">IFERROR(IF(INDEX(Matches!$X$5:$X$19,MATCH($C73,Matches!$A$5:$A$19,0))="","",INDEX(Matches!$X$5:$X$19,MATCH($C73,Matches!$A$5:$A$19,0))),"")</f>
        <v>Mirage</v>
      </c>
      <c r="I73" s="0" t="str">
        <f aca="false">IFERROR(IF(INDEX(Matches!$Y$5:$Y$19,MATCH($C73,Matches!$A$5:$A$19,0))="","",INDEX(Matches!$Y$5:$Y$19,MATCH($C73,Matches!$A$5:$A$19,0))),"")</f>
        <v>Nuke</v>
      </c>
      <c r="J73" s="11" t="n">
        <f aca="false">IFERROR(IF(INDEX(Matches!$Z$5:$Z$19,MATCH($C73,Matches!$A$5:$A$19,0))="","",INDEX(Matches!$Z$5:$Z$19,MATCH($C73,Matches!$A$5:$A$19,0))),"")</f>
        <v>21.5</v>
      </c>
      <c r="K73" s="11" t="n">
        <f aca="false">IFERROR(IF(INDEX(Matches!$AA$5:$AA$19,MATCH($C73,Matches!$A$5:$A$19,0))="","",INDEX(Matches!$AA$5:$AA$19,MATCH($C73,Matches!$A$5:$A$19,0))),"")</f>
        <v>21.5</v>
      </c>
      <c r="L73" s="11" t="n">
        <f aca="false">IFERROR(IF(INDEX(Matches!$AB$5:$AB$19,MATCH($C73,Matches!$A$5:$A$19,0))="","",INDEX(Matches!$AB$5:$AB$19,MATCH($C73,Matches!$A$5:$A$19,0))),"")</f>
        <v>21.5</v>
      </c>
      <c r="M73" s="10" t="n">
        <f aca="false">IFERROR(IF(INDEX(Matches!$AC$5:$AC$19,MATCH($C73,Matches!$A$5:$A$19,0))="","",INDEX(Matches!$AC$5:$AC$19,MATCH($C73,Matches!$A$5:$A$19,0))),"")</f>
        <v>0.5</v>
      </c>
      <c r="N73" s="9" t="n">
        <f aca="false">IFERROR(INDEX(Players!$F$2:$F$124,MATCH($F73,Players!$A$2:$A$124,0)),0)</f>
        <v>27</v>
      </c>
      <c r="O73" s="13" t="n">
        <f aca="false">IFERROR(1/(1/INDEX(Players!$H$2:$H$124,MATCH($F73,Players!$A$2:$A$124,0))),"")</f>
        <v>0.48</v>
      </c>
      <c r="P73" s="10" t="n">
        <f aca="false">IFERROR(1/(1/INDEX(Players!$I$2:$I$124,MATCH($F73,Players!$A$2:$A$124,0))),"")</f>
        <v>0.472</v>
      </c>
      <c r="Q73" s="9" t="n">
        <f aca="false">IF($G73="",0,SUMIFS(Map_Stats!$F$2:$F$779,Map_Stats!$A$2:$A$779,$F73&amp;"|"&amp;$G73))</f>
        <v>7</v>
      </c>
      <c r="R73" s="13" t="n">
        <f aca="false">IF($G73="","",IFERROR(1/(1/INDEX(Map_Stats!$K$2:$K$779,MATCH($F73&amp;"|"&amp;$G73,Map_Stats!$A$2:$A$779,0))),$O73))</f>
        <v>0.39</v>
      </c>
      <c r="S73" s="10" t="n">
        <f aca="false">IF(OR($G73="",$P73=""),"",IFERROR(1/(1/INDEX(Map_Stats!$I$2:$I$779,MATCH($F73&amp;"|"&amp;$G73,Map_Stats!$A$2:$A$779,0))),$P73))</f>
        <v>0.492</v>
      </c>
      <c r="T73" s="13" t="n">
        <f aca="false">IF(OR($G73="",R73=""),"",IF($O73="",R73,(Q73*R73+Config!$B$4*$O73)/(Q73+Config!$B$4)))</f>
        <v>0.4275</v>
      </c>
      <c r="U73" s="10" t="n">
        <f aca="false">IF(S73="","",(Q73*S73+Config!$B$4*$P73)/(Q73+Config!$B$4))</f>
        <v>0.483666666666667</v>
      </c>
      <c r="V73" s="17" t="n">
        <f aca="false">IF(OR(T73="",$J73=""),"",T73*$J73*($J73/Config!$B$10)^Config!$B$9)</f>
        <v>9.19125</v>
      </c>
      <c r="W73" s="17" t="n">
        <f aca="false">IF(OR(V73="",U73=""),"",V73*U73)</f>
        <v>4.44550125</v>
      </c>
      <c r="X73" s="9" t="n">
        <f aca="false">IF($H73="",0,SUMIFS(Map_Stats!$F$2:$F$779,Map_Stats!$A$2:$A$779,$F73&amp;"|"&amp;$H73))</f>
        <v>7</v>
      </c>
      <c r="Y73" s="13" t="n">
        <f aca="false">IF($H73="","",IFERROR(1/(1/INDEX(Map_Stats!$K$2:$K$779,MATCH($F73&amp;"|"&amp;$H73,Map_Stats!$A$2:$A$779,0))),$O73))</f>
        <v>0.49</v>
      </c>
      <c r="Z73" s="10" t="n">
        <f aca="false">IF(OR($H73="",$P73=""),"",IFERROR(1/(1/INDEX(Map_Stats!$I$2:$I$779,MATCH($F73&amp;"|"&amp;$H73,Map_Stats!$A$2:$A$779,0))),$P73))</f>
        <v>0.494</v>
      </c>
      <c r="AA73" s="13" t="n">
        <f aca="false">IF(OR($H73="",Y73=""),"",IF($O73="",Y73,(X73*Y73+Config!$B$4*$O73)/(X73+Config!$B$4)))</f>
        <v>0.485833333333333</v>
      </c>
      <c r="AB73" s="10" t="n">
        <f aca="false">IF(Z73="","",(X73*Z73+Config!$B$4*$P73)/(X73+Config!$B$4))</f>
        <v>0.484833333333333</v>
      </c>
      <c r="AC73" s="17" t="n">
        <f aca="false">IF(OR(AA73="",$K73=""),"",AA73*$K73*($K73/Config!$B$10)^Config!$B$9)</f>
        <v>10.4454166666667</v>
      </c>
      <c r="AD73" s="17" t="n">
        <f aca="false">IF(OR(AC73="",AB73=""),"",AC73*AB73)</f>
        <v>5.06428618055556</v>
      </c>
      <c r="AE73" s="9" t="n">
        <f aca="false">IF($I73="",0,SUMIFS(Map_Stats!$F$2:$F$779,Map_Stats!$A$2:$A$779,$F73&amp;"|"&amp;$I73))</f>
        <v>2</v>
      </c>
      <c r="AF73" s="13" t="n">
        <f aca="false">IF($I73="","",IFERROR(1/(1/INDEX(Map_Stats!$K$2:$K$779,MATCH($F73&amp;"|"&amp;$I73,Map_Stats!$A$2:$A$779,0))),$O73))</f>
        <v>0.55</v>
      </c>
      <c r="AG73" s="10" t="n">
        <f aca="false">IF(OR($I73="",$P73=""),"",IFERROR(1/(1/INDEX(Map_Stats!$I$2:$I$779,MATCH($F73&amp;"|"&amp;$I73,Map_Stats!$A$2:$A$779,0))),$P73))</f>
        <v>0.417</v>
      </c>
      <c r="AH73" s="13" t="n">
        <f aca="false">IF(OR($I73="",AF73=""),"",IF($O73="",AF73,(AE73*AF73+Config!$B$4*$O73)/(AE73+Config!$B$4)))</f>
        <v>0.5</v>
      </c>
      <c r="AI73" s="10" t="n">
        <f aca="false">IF(AG73="","",(AE73*AG73+Config!$B$4*$P73)/(AE73+Config!$B$4))</f>
        <v>0.456285714285714</v>
      </c>
      <c r="AJ73" s="17" t="n">
        <f aca="false">IF(OR(AH73="",$L73=""),"",AH73*$L73*($L73/Config!$B$10)^Config!$B$9)</f>
        <v>10.75</v>
      </c>
      <c r="AK73" s="17" t="n">
        <f aca="false">IF(OR(AJ73="",AI73=""),"",AJ73*AI73)</f>
        <v>4.90507142857143</v>
      </c>
      <c r="AL73" s="17" t="n">
        <f aca="false">N(V73)+N(AC73)</f>
        <v>19.6366666666667</v>
      </c>
      <c r="AM73" s="17" t="n">
        <f aca="false">AL73+N($M73)*N(AJ73)</f>
        <v>25.0116666666667</v>
      </c>
      <c r="AN73" s="17" t="n">
        <f aca="false">IF(W73="","",N(W73)+N(AD73))</f>
        <v>9.50978743055556</v>
      </c>
      <c r="AO73" s="17" t="n">
        <f aca="false">IF(AN73="","",AN73+N($M73)*N(AK73))</f>
        <v>11.9623231448413</v>
      </c>
      <c r="AP73" s="10" t="n">
        <f aca="false">IFERROR(AN73/AL73,"")</f>
        <v>0.484287256690998</v>
      </c>
      <c r="AQ73" s="0" t="str">
        <f aca="false">TRIM(IF($N73&lt;Config!$B$12,"thin sample ("&amp;$N73&amp;" maps) · ","")&amp;IF(AND($G73&lt;&gt;"",Q73=0),"M1 unplayed→overall KPR · ","")&amp;IF(AND($H73&lt;&gt;"",X73=0),"M2 unplayed→overall KPR · ","")&amp;IF($O73="","no PickFinder stats",""))</f>
        <v/>
      </c>
      <c r="AR73" s="0" t="str">
        <f aca="false">IF($C73=Board!$B$2,COUNTIFS($C$2:$C$124,Board!$B$2,$AL$2:$AL$124,"&gt;"&amp;$AL73)+COUNTIFS($C$1:$C72,Board!$B$2,$AL$1:$AL72,$AL73)+1,"")</f>
        <v/>
      </c>
      <c r="AS73" s="0" t="str">
        <f aca="false">IFERROR(IF($D73=INDEX(Matches!$AD$5:$AD$19,MATCH($C73,Matches!$A$5:$A$19,0)),"A",IF($D73=INDEX(Matches!$AE$5:$AE$19,MATCH($C73,Matches!$A$5:$A$19,0)),"B","")),"")</f>
        <v>A</v>
      </c>
      <c r="AT73" s="10" t="n">
        <f aca="false">IF($AS73="","",IFERROR(IF($AS73="A",INDEX(Matches!$AI$5:$AI$19,MATCH($C73,Matches!$A$5:$A$19,0)),INDEX(Matches!$AJ$5:$AJ$19,MATCH($C73,Matches!$A$5:$A$19,0))),""))</f>
        <v>0.478619840141192</v>
      </c>
      <c r="AU73" s="10" t="n">
        <f aca="false">IF($AS73="","",IFERROR(IF(INDEX(Matches!$AP$5:$AP$19,MATCH($C73,Matches!$A$5:$A$19,0))="","",IF($AS73="A",INDEX(Matches!$AP$5:$AP$19,MATCH($C73,Matches!$A$5:$A$19,0)),1-INDEX(Matches!$AP$5:$AP$19,MATCH($C73,Matches!$A$5:$A$19,0)))),""))</f>
        <v>0.490879120879121</v>
      </c>
      <c r="AV73" s="13" t="n">
        <f aca="false">IF(OR($AU73="",$AT73=""),1,((Config!$B$14*$AU73+Config!$B$15*(1-$AU73))/(Config!$B$14*$AT73+Config!$B$15*(1-$AT73)))^Config!$B$13)</f>
        <v>1.01116848334649</v>
      </c>
      <c r="AW73" s="10" t="n">
        <f aca="false">IF($AS73="","",IFERROR(IF(INDEX(Matches!$AV$5:$AV$19,MATCH($C73,Matches!$A$5:$A$19,0))="","",IF($AS73="A",INDEX(Matches!$AV$5:$AV$19,MATCH($C73,Matches!$A$5:$A$19,0)),1-INDEX(Matches!$AV$5:$AV$19,MATCH($C73,Matches!$A$5:$A$19,0)))),""))</f>
        <v>0.493504987241939</v>
      </c>
      <c r="AX73" s="13" t="n">
        <f aca="false">IF(OR($AW73="",$AT73=""),1,((Config!$B$14*$AW73+Config!$B$15*(1-$AW73))/(Config!$B$14*$AT73+Config!$B$15*(1-$AT73)))^Config!$B$13)</f>
        <v>1.01356070727627</v>
      </c>
      <c r="AY73" s="10" t="n">
        <f aca="false">IF($AS73="","",IFERROR(IF(INDEX(Matches!$BB$5:$BB$19,MATCH($C73,Matches!$A$5:$A$19,0))="","",IF($AS73="A",INDEX(Matches!$BB$5:$BB$19,MATCH($C73,Matches!$A$5:$A$19,0)),1-INDEX(Matches!$BB$5:$BB$19,MATCH($C73,Matches!$A$5:$A$19,0)))),""))</f>
        <v>0.493189005108246</v>
      </c>
      <c r="AZ73" s="13" t="n">
        <f aca="false">IF(OR($AY73="",$AT73=""),1,((Config!$B$14*$AY73+Config!$B$15*(1-$AY73))/(Config!$B$14*$AT73+Config!$B$15*(1-$AT73)))^Config!$B$13)</f>
        <v>1.01327284037173</v>
      </c>
      <c r="BA73" s="17" t="n">
        <f aca="false">IF(V73="","",V73*$AV73)</f>
        <v>9.29390232255838</v>
      </c>
      <c r="BB73" s="17" t="n">
        <f aca="false">IF(AC73="","",AC73*$AX73)</f>
        <v>10.587063904462</v>
      </c>
      <c r="BC73" s="17" t="n">
        <f aca="false">IF(AJ73="","",AJ73*$AZ73)</f>
        <v>10.8926830339961</v>
      </c>
      <c r="BD73" s="17" t="n">
        <f aca="false">N(BA73)+N(BB73)</f>
        <v>19.8809662270204</v>
      </c>
      <c r="BE73" s="17" t="n">
        <f aca="false">BD73+N($M73)*N(BC73)</f>
        <v>25.3273077440184</v>
      </c>
      <c r="BF73" s="17" t="n">
        <f aca="false">IF(W73="","",W73*$AV73)</f>
        <v>4.4951507566774</v>
      </c>
      <c r="BG73" s="17" t="n">
        <f aca="false">IF(AD73="","",AD73*$AX73)</f>
        <v>5.13296148301333</v>
      </c>
      <c r="BH73" s="17" t="n">
        <f aca="false">IF(AK73="","",AK73*$AZ73)</f>
        <v>4.97017565865479</v>
      </c>
      <c r="BI73" s="17" t="n">
        <f aca="false">IF(BF73="","",N(BF73)+N(BG73))</f>
        <v>9.62811223969074</v>
      </c>
      <c r="BJ73" s="17" t="n">
        <f aca="false">IF(BI73="","",BI73+N($M73)*N(BH73))</f>
        <v>12.1132000690181</v>
      </c>
      <c r="BK73" s="13" t="n">
        <f aca="false">IFERROR(BD73/AL73,1)</f>
        <v>1.01244098932373</v>
      </c>
    </row>
    <row r="74" customFormat="false" ht="15" hidden="false" customHeight="false" outlineLevel="0" collapsed="false">
      <c r="A74" s="0" t="s">
        <v>1292</v>
      </c>
      <c r="B74" s="0" t="s">
        <v>988</v>
      </c>
      <c r="C74" s="0" t="s">
        <v>1047</v>
      </c>
      <c r="D74" s="0" t="s">
        <v>1052</v>
      </c>
      <c r="E74" s="0" t="s">
        <v>1291</v>
      </c>
      <c r="F74" s="0" t="s">
        <v>1527</v>
      </c>
      <c r="G74" s="0" t="str">
        <f aca="false">IFERROR(IF(INDEX(Matches!$W$5:$W$19,MATCH($C74,Matches!$A$5:$A$19,0))="","",INDEX(Matches!$W$5:$W$19,MATCH($C74,Matches!$A$5:$A$19,0))),"")</f>
        <v>Dust2</v>
      </c>
      <c r="H74" s="0" t="str">
        <f aca="false">IFERROR(IF(INDEX(Matches!$X$5:$X$19,MATCH($C74,Matches!$A$5:$A$19,0))="","",INDEX(Matches!$X$5:$X$19,MATCH($C74,Matches!$A$5:$A$19,0))),"")</f>
        <v>Mirage</v>
      </c>
      <c r="I74" s="0" t="str">
        <f aca="false">IFERROR(IF(INDEX(Matches!$Y$5:$Y$19,MATCH($C74,Matches!$A$5:$A$19,0))="","",INDEX(Matches!$Y$5:$Y$19,MATCH($C74,Matches!$A$5:$A$19,0))),"")</f>
        <v>Nuke</v>
      </c>
      <c r="J74" s="11" t="n">
        <f aca="false">IFERROR(IF(INDEX(Matches!$Z$5:$Z$19,MATCH($C74,Matches!$A$5:$A$19,0))="","",INDEX(Matches!$Z$5:$Z$19,MATCH($C74,Matches!$A$5:$A$19,0))),"")</f>
        <v>21.5</v>
      </c>
      <c r="K74" s="11" t="n">
        <f aca="false">IFERROR(IF(INDEX(Matches!$AA$5:$AA$19,MATCH($C74,Matches!$A$5:$A$19,0))="","",INDEX(Matches!$AA$5:$AA$19,MATCH($C74,Matches!$A$5:$A$19,0))),"")</f>
        <v>21.5</v>
      </c>
      <c r="L74" s="11" t="n">
        <f aca="false">IFERROR(IF(INDEX(Matches!$AB$5:$AB$19,MATCH($C74,Matches!$A$5:$A$19,0))="","",INDEX(Matches!$AB$5:$AB$19,MATCH($C74,Matches!$A$5:$A$19,0))),"")</f>
        <v>21.5</v>
      </c>
      <c r="M74" s="10" t="n">
        <f aca="false">IFERROR(IF(INDEX(Matches!$AC$5:$AC$19,MATCH($C74,Matches!$A$5:$A$19,0))="","",INDEX(Matches!$AC$5:$AC$19,MATCH($C74,Matches!$A$5:$A$19,0))),"")</f>
        <v>0.5</v>
      </c>
      <c r="N74" s="9" t="n">
        <f aca="false">IFERROR(INDEX(Players!$F$2:$F$124,MATCH($F74,Players!$A$2:$A$124,0)),0)</f>
        <v>28</v>
      </c>
      <c r="O74" s="13" t="n">
        <f aca="false">IFERROR(1/(1/INDEX(Players!$H$2:$H$124,MATCH($F74,Players!$A$2:$A$124,0))),"")</f>
        <v>0.78</v>
      </c>
      <c r="P74" s="10" t="n">
        <f aca="false">IFERROR(1/(1/INDEX(Players!$I$2:$I$124,MATCH($F74,Players!$A$2:$A$124,0))),"")</f>
        <v>0.296</v>
      </c>
      <c r="Q74" s="9" t="n">
        <f aca="false">IF($G74="",0,SUMIFS(Map_Stats!$F$2:$F$779,Map_Stats!$A$2:$A$779,$F74&amp;"|"&amp;$G74))</f>
        <v>6</v>
      </c>
      <c r="R74" s="13" t="n">
        <f aca="false">IF($G74="","",IFERROR(1/(1/INDEX(Map_Stats!$K$2:$K$779,MATCH($F74&amp;"|"&amp;$G74,Map_Stats!$A$2:$A$779,0))),$O74))</f>
        <v>0.69</v>
      </c>
      <c r="S74" s="10" t="n">
        <f aca="false">IF(OR($G74="",$P74=""),"",IFERROR(1/(1/INDEX(Map_Stats!$I$2:$I$779,MATCH($F74&amp;"|"&amp;$G74,Map_Stats!$A$2:$A$779,0))),$P74))</f>
        <v>0.264</v>
      </c>
      <c r="T74" s="13" t="n">
        <f aca="false">IF(OR($G74="",R74=""),"",IF($O74="",R74,(Q74*R74+Config!$B$4*$O74)/(Q74+Config!$B$4)))</f>
        <v>0.730909090909091</v>
      </c>
      <c r="U74" s="10" t="n">
        <f aca="false">IF(S74="","",(Q74*S74+Config!$B$4*$P74)/(Q74+Config!$B$4))</f>
        <v>0.278545454545455</v>
      </c>
      <c r="V74" s="17" t="n">
        <f aca="false">IF(OR(T74="",$J74=""),"",T74*$J74*($J74/Config!$B$10)^Config!$B$9)</f>
        <v>15.7145454545455</v>
      </c>
      <c r="W74" s="17" t="n">
        <f aca="false">IF(OR(V74="",U74=""),"",V74*U74)</f>
        <v>4.37721520661157</v>
      </c>
      <c r="X74" s="9" t="n">
        <f aca="false">IF($H74="",0,SUMIFS(Map_Stats!$F$2:$F$779,Map_Stats!$A$2:$A$779,$F74&amp;"|"&amp;$H74))</f>
        <v>4</v>
      </c>
      <c r="Y74" s="13" t="n">
        <f aca="false">IF($H74="","",IFERROR(1/(1/INDEX(Map_Stats!$K$2:$K$779,MATCH($F74&amp;"|"&amp;$H74,Map_Stats!$A$2:$A$779,0))),$O74))</f>
        <v>0.86</v>
      </c>
      <c r="Z74" s="10" t="n">
        <f aca="false">IF(OR($H74="",$P74=""),"",IFERROR(1/(1/INDEX(Map_Stats!$I$2:$I$779,MATCH($F74&amp;"|"&amp;$H74,Map_Stats!$A$2:$A$779,0))),$P74))</f>
        <v>0.391</v>
      </c>
      <c r="AA74" s="13" t="n">
        <f aca="false">IF(OR($H74="",Y74=""),"",IF($O74="",Y74,(X74*Y74+Config!$B$4*$O74)/(X74+Config!$B$4)))</f>
        <v>0.815555555555556</v>
      </c>
      <c r="AB74" s="10" t="n">
        <f aca="false">IF(Z74="","",(X74*Z74+Config!$B$4*$P74)/(X74+Config!$B$4))</f>
        <v>0.338222222222222</v>
      </c>
      <c r="AC74" s="17" t="n">
        <f aca="false">IF(OR(AA74="",$K74=""),"",AA74*$K74*($K74/Config!$B$10)^Config!$B$9)</f>
        <v>17.5344444444444</v>
      </c>
      <c r="AD74" s="17" t="n">
        <f aca="false">IF(OR(AC74="",AB74=""),"",AC74*AB74)</f>
        <v>5.9305387654321</v>
      </c>
      <c r="AE74" s="9" t="n">
        <f aca="false">IF($I74="",0,SUMIFS(Map_Stats!$F$2:$F$779,Map_Stats!$A$2:$A$779,$F74&amp;"|"&amp;$I74))</f>
        <v>3</v>
      </c>
      <c r="AF74" s="13" t="n">
        <f aca="false">IF($I74="","",IFERROR(1/(1/INDEX(Map_Stats!$K$2:$K$779,MATCH($F74&amp;"|"&amp;$I74,Map_Stats!$A$2:$A$779,0))),$O74))</f>
        <v>0.58</v>
      </c>
      <c r="AG74" s="10" t="n">
        <f aca="false">IF(OR($I74="",$P74=""),"",IFERROR(1/(1/INDEX(Map_Stats!$I$2:$I$779,MATCH($F74&amp;"|"&amp;$I74,Map_Stats!$A$2:$A$779,0))),$P74))</f>
        <v>0.27</v>
      </c>
      <c r="AH74" s="13" t="n">
        <f aca="false">IF(OR($I74="",AF74=""),"",IF($O74="",AF74,(AE74*AF74+Config!$B$4*$O74)/(AE74+Config!$B$4)))</f>
        <v>0.705</v>
      </c>
      <c r="AI74" s="10" t="n">
        <f aca="false">IF(AG74="","",(AE74*AG74+Config!$B$4*$P74)/(AE74+Config!$B$4))</f>
        <v>0.28625</v>
      </c>
      <c r="AJ74" s="17" t="n">
        <f aca="false">IF(OR(AH74="",$L74=""),"",AH74*$L74*($L74/Config!$B$10)^Config!$B$9)</f>
        <v>15.1575</v>
      </c>
      <c r="AK74" s="17" t="n">
        <f aca="false">IF(OR(AJ74="",AI74=""),"",AJ74*AI74)</f>
        <v>4.338834375</v>
      </c>
      <c r="AL74" s="17" t="n">
        <f aca="false">N(V74)+N(AC74)</f>
        <v>33.2489898989899</v>
      </c>
      <c r="AM74" s="17" t="n">
        <f aca="false">AL74+N($M74)*N(AJ74)</f>
        <v>40.8277398989899</v>
      </c>
      <c r="AN74" s="17" t="n">
        <f aca="false">IF(W74="","",N(W74)+N(AD74))</f>
        <v>10.3077539720437</v>
      </c>
      <c r="AO74" s="17" t="n">
        <f aca="false">IF(AN74="","",AN74+N($M74)*N(AK74))</f>
        <v>12.4771711595437</v>
      </c>
      <c r="AP74" s="10" t="n">
        <f aca="false">IFERROR(AN74/AL74,"")</f>
        <v>0.310017056258206</v>
      </c>
      <c r="AQ74" s="0" t="str">
        <f aca="false">TRIM(IF($N74&lt;Config!$B$12,"thin sample ("&amp;$N74&amp;" maps) · ","")&amp;IF(AND($G74&lt;&gt;"",Q74=0),"M1 unplayed→overall KPR · ","")&amp;IF(AND($H74&lt;&gt;"",X74=0),"M2 unplayed→overall KPR · ","")&amp;IF($O74="","no PickFinder stats",""))</f>
        <v/>
      </c>
      <c r="AR74" s="0" t="str">
        <f aca="false">IF($C74=Board!$B$2,COUNTIFS($C$2:$C$124,Board!$B$2,$AL$2:$AL$124,"&gt;"&amp;$AL74)+COUNTIFS($C$1:$C73,Board!$B$2,$AL$1:$AL73,$AL74)+1,"")</f>
        <v/>
      </c>
      <c r="AS74" s="0" t="str">
        <f aca="false">IFERROR(IF($D74=INDEX(Matches!$AD$5:$AD$19,MATCH($C74,Matches!$A$5:$A$19,0)),"A",IF($D74=INDEX(Matches!$AE$5:$AE$19,MATCH($C74,Matches!$A$5:$A$19,0)),"B","")),"")</f>
        <v>A</v>
      </c>
      <c r="AT74" s="10" t="n">
        <f aca="false">IF($AS74="","",IFERROR(IF($AS74="A",INDEX(Matches!$AI$5:$AI$19,MATCH($C74,Matches!$A$5:$A$19,0)),INDEX(Matches!$AJ$5:$AJ$19,MATCH($C74,Matches!$A$5:$A$19,0))),""))</f>
        <v>0.478619840141192</v>
      </c>
      <c r="AU74" s="10" t="n">
        <f aca="false">IF($AS74="","",IFERROR(IF(INDEX(Matches!$AP$5:$AP$19,MATCH($C74,Matches!$A$5:$A$19,0))="","",IF($AS74="A",INDEX(Matches!$AP$5:$AP$19,MATCH($C74,Matches!$A$5:$A$19,0)),1-INDEX(Matches!$AP$5:$AP$19,MATCH($C74,Matches!$A$5:$A$19,0)))),""))</f>
        <v>0.490879120879121</v>
      </c>
      <c r="AV74" s="13" t="n">
        <f aca="false">IF(OR($AU74="",$AT74=""),1,((Config!$B$14*$AU74+Config!$B$15*(1-$AU74))/(Config!$B$14*$AT74+Config!$B$15*(1-$AT74)))^Config!$B$13)</f>
        <v>1.01116848334649</v>
      </c>
      <c r="AW74" s="10" t="n">
        <f aca="false">IF($AS74="","",IFERROR(IF(INDEX(Matches!$AV$5:$AV$19,MATCH($C74,Matches!$A$5:$A$19,0))="","",IF($AS74="A",INDEX(Matches!$AV$5:$AV$19,MATCH($C74,Matches!$A$5:$A$19,0)),1-INDEX(Matches!$AV$5:$AV$19,MATCH($C74,Matches!$A$5:$A$19,0)))),""))</f>
        <v>0.493504987241939</v>
      </c>
      <c r="AX74" s="13" t="n">
        <f aca="false">IF(OR($AW74="",$AT74=""),1,((Config!$B$14*$AW74+Config!$B$15*(1-$AW74))/(Config!$B$14*$AT74+Config!$B$15*(1-$AT74)))^Config!$B$13)</f>
        <v>1.01356070727627</v>
      </c>
      <c r="AY74" s="10" t="n">
        <f aca="false">IF($AS74="","",IFERROR(IF(INDEX(Matches!$BB$5:$BB$19,MATCH($C74,Matches!$A$5:$A$19,0))="","",IF($AS74="A",INDEX(Matches!$BB$5:$BB$19,MATCH($C74,Matches!$A$5:$A$19,0)),1-INDEX(Matches!$BB$5:$BB$19,MATCH($C74,Matches!$A$5:$A$19,0)))),""))</f>
        <v>0.493189005108246</v>
      </c>
      <c r="AZ74" s="13" t="n">
        <f aca="false">IF(OR($AY74="",$AT74=""),1,((Config!$B$14*$AY74+Config!$B$15*(1-$AY74))/(Config!$B$14*$AT74+Config!$B$15*(1-$AT74)))^Config!$B$13)</f>
        <v>1.01327284037173</v>
      </c>
      <c r="BA74" s="17" t="n">
        <f aca="false">IF(V74="","",V74*$AV74)</f>
        <v>15.8900530937521</v>
      </c>
      <c r="BB74" s="17" t="n">
        <f aca="false">IF(AC74="","",AC74*$AX74)</f>
        <v>17.7722239128076</v>
      </c>
      <c r="BC74" s="17" t="n">
        <f aca="false">IF(AJ74="","",AJ74*$AZ74)</f>
        <v>15.3586830779345</v>
      </c>
      <c r="BD74" s="17" t="n">
        <f aca="false">N(BA74)+N(BB74)</f>
        <v>33.6622770065597</v>
      </c>
      <c r="BE74" s="17" t="n">
        <f aca="false">BD74+N($M74)*N(BC74)</f>
        <v>41.341618545527</v>
      </c>
      <c r="BF74" s="17" t="n">
        <f aca="false">IF(W74="","",W74*$AV74)</f>
        <v>4.42610206175059</v>
      </c>
      <c r="BG74" s="17" t="n">
        <f aca="false">IF(AD74="","",AD74*$AX74)</f>
        <v>6.0109610656207</v>
      </c>
      <c r="BH74" s="17" t="n">
        <f aca="false">IF(AK74="","",AK74*$AZ74)</f>
        <v>4.39642303105875</v>
      </c>
      <c r="BI74" s="17" t="n">
        <f aca="false">IF(BF74="","",N(BF74)+N(BG74))</f>
        <v>10.4370631273713</v>
      </c>
      <c r="BJ74" s="17" t="n">
        <f aca="false">IF(BI74="","",BI74+N($M74)*N(BH74))</f>
        <v>12.6352746429007</v>
      </c>
      <c r="BK74" s="13" t="n">
        <f aca="false">IFERROR(BD74/AL74,1)</f>
        <v>1.01243006505838</v>
      </c>
    </row>
    <row r="75" customFormat="false" ht="15" hidden="false" customHeight="false" outlineLevel="0" collapsed="false">
      <c r="A75" s="0" t="s">
        <v>1294</v>
      </c>
      <c r="B75" s="0" t="s">
        <v>988</v>
      </c>
      <c r="C75" s="0" t="s">
        <v>1047</v>
      </c>
      <c r="D75" s="0" t="s">
        <v>1052</v>
      </c>
      <c r="E75" s="0" t="s">
        <v>1293</v>
      </c>
      <c r="F75" s="0" t="s">
        <v>1528</v>
      </c>
      <c r="G75" s="0" t="str">
        <f aca="false">IFERROR(IF(INDEX(Matches!$W$5:$W$19,MATCH($C75,Matches!$A$5:$A$19,0))="","",INDEX(Matches!$W$5:$W$19,MATCH($C75,Matches!$A$5:$A$19,0))),"")</f>
        <v>Dust2</v>
      </c>
      <c r="H75" s="0" t="str">
        <f aca="false">IFERROR(IF(INDEX(Matches!$X$5:$X$19,MATCH($C75,Matches!$A$5:$A$19,0))="","",INDEX(Matches!$X$5:$X$19,MATCH($C75,Matches!$A$5:$A$19,0))),"")</f>
        <v>Mirage</v>
      </c>
      <c r="I75" s="0" t="str">
        <f aca="false">IFERROR(IF(INDEX(Matches!$Y$5:$Y$19,MATCH($C75,Matches!$A$5:$A$19,0))="","",INDEX(Matches!$Y$5:$Y$19,MATCH($C75,Matches!$A$5:$A$19,0))),"")</f>
        <v>Nuke</v>
      </c>
      <c r="J75" s="11" t="n">
        <f aca="false">IFERROR(IF(INDEX(Matches!$Z$5:$Z$19,MATCH($C75,Matches!$A$5:$A$19,0))="","",INDEX(Matches!$Z$5:$Z$19,MATCH($C75,Matches!$A$5:$A$19,0))),"")</f>
        <v>21.5</v>
      </c>
      <c r="K75" s="11" t="n">
        <f aca="false">IFERROR(IF(INDEX(Matches!$AA$5:$AA$19,MATCH($C75,Matches!$A$5:$A$19,0))="","",INDEX(Matches!$AA$5:$AA$19,MATCH($C75,Matches!$A$5:$A$19,0))),"")</f>
        <v>21.5</v>
      </c>
      <c r="L75" s="11" t="n">
        <f aca="false">IFERROR(IF(INDEX(Matches!$AB$5:$AB$19,MATCH($C75,Matches!$A$5:$A$19,0))="","",INDEX(Matches!$AB$5:$AB$19,MATCH($C75,Matches!$A$5:$A$19,0))),"")</f>
        <v>21.5</v>
      </c>
      <c r="M75" s="10" t="n">
        <f aca="false">IFERROR(IF(INDEX(Matches!$AC$5:$AC$19,MATCH($C75,Matches!$A$5:$A$19,0))="","",INDEX(Matches!$AC$5:$AC$19,MATCH($C75,Matches!$A$5:$A$19,0))),"")</f>
        <v>0.5</v>
      </c>
      <c r="N75" s="9" t="n">
        <f aca="false">IFERROR(INDEX(Players!$F$2:$F$124,MATCH($F75,Players!$A$2:$A$124,0)),0)</f>
        <v>28</v>
      </c>
      <c r="O75" s="13" t="n">
        <f aca="false">IFERROR(1/(1/INDEX(Players!$H$2:$H$124,MATCH($F75,Players!$A$2:$A$124,0))),"")</f>
        <v>0.6</v>
      </c>
      <c r="P75" s="10" t="n">
        <f aca="false">IFERROR(1/(1/INDEX(Players!$I$2:$I$124,MATCH($F75,Players!$A$2:$A$124,0))),"")</f>
        <v>0.556</v>
      </c>
      <c r="Q75" s="9" t="n">
        <f aca="false">IF($G75="",0,SUMIFS(Map_Stats!$F$2:$F$779,Map_Stats!$A$2:$A$779,$F75&amp;"|"&amp;$G75))</f>
        <v>6</v>
      </c>
      <c r="R75" s="13" t="n">
        <f aca="false">IF($G75="","",IFERROR(1/(1/INDEX(Map_Stats!$K$2:$K$779,MATCH($F75&amp;"|"&amp;$G75,Map_Stats!$A$2:$A$779,0))),$O75))</f>
        <v>0.63</v>
      </c>
      <c r="S75" s="10" t="n">
        <f aca="false">IF(OR($G75="",$P75=""),"",IFERROR(1/(1/INDEX(Map_Stats!$I$2:$I$779,MATCH($F75&amp;"|"&amp;$G75,Map_Stats!$A$2:$A$779,0))),$P75))</f>
        <v>0.615</v>
      </c>
      <c r="T75" s="13" t="n">
        <f aca="false">IF(OR($G75="",R75=""),"",IF($O75="",R75,(Q75*R75+Config!$B$4*$O75)/(Q75+Config!$B$4)))</f>
        <v>0.616363636363636</v>
      </c>
      <c r="U75" s="10" t="n">
        <f aca="false">IF(S75="","",(Q75*S75+Config!$B$4*$P75)/(Q75+Config!$B$4))</f>
        <v>0.588181818181818</v>
      </c>
      <c r="V75" s="17" t="n">
        <f aca="false">IF(OR(T75="",$J75=""),"",T75*$J75*($J75/Config!$B$10)^Config!$B$9)</f>
        <v>13.2518181818182</v>
      </c>
      <c r="W75" s="17" t="n">
        <f aca="false">IF(OR(V75="",U75=""),"",V75*U75)</f>
        <v>7.7944785123967</v>
      </c>
      <c r="X75" s="9" t="n">
        <f aca="false">IF($H75="",0,SUMIFS(Map_Stats!$F$2:$F$779,Map_Stats!$A$2:$A$779,$F75&amp;"|"&amp;$H75))</f>
        <v>4</v>
      </c>
      <c r="Y75" s="13" t="n">
        <f aca="false">IF($H75="","",IFERROR(1/(1/INDEX(Map_Stats!$K$2:$K$779,MATCH($F75&amp;"|"&amp;$H75,Map_Stats!$A$2:$A$779,0))),$O75))</f>
        <v>0.52</v>
      </c>
      <c r="Z75" s="10" t="n">
        <f aca="false">IF(OR($H75="",$P75=""),"",IFERROR(1/(1/INDEX(Map_Stats!$I$2:$I$779,MATCH($F75&amp;"|"&amp;$H75,Map_Stats!$A$2:$A$779,0))),$P75))</f>
        <v>0.571</v>
      </c>
      <c r="AA75" s="13" t="n">
        <f aca="false">IF(OR($H75="",Y75=""),"",IF($O75="",Y75,(X75*Y75+Config!$B$4*$O75)/(X75+Config!$B$4)))</f>
        <v>0.564444444444444</v>
      </c>
      <c r="AB75" s="10" t="n">
        <f aca="false">IF(Z75="","",(X75*Z75+Config!$B$4*$P75)/(X75+Config!$B$4))</f>
        <v>0.562666666666667</v>
      </c>
      <c r="AC75" s="17" t="n">
        <f aca="false">IF(OR(AA75="",$K75=""),"",AA75*$K75*($K75/Config!$B$10)^Config!$B$9)</f>
        <v>12.1355555555556</v>
      </c>
      <c r="AD75" s="17" t="n">
        <f aca="false">IF(OR(AC75="",AB75=""),"",AC75*AB75)</f>
        <v>6.82827259259259</v>
      </c>
      <c r="AE75" s="9" t="n">
        <f aca="false">IF($I75="",0,SUMIFS(Map_Stats!$F$2:$F$779,Map_Stats!$A$2:$A$779,$F75&amp;"|"&amp;$I75))</f>
        <v>3</v>
      </c>
      <c r="AF75" s="13" t="n">
        <f aca="false">IF($I75="","",IFERROR(1/(1/INDEX(Map_Stats!$K$2:$K$779,MATCH($F75&amp;"|"&amp;$I75,Map_Stats!$A$2:$A$779,0))),$O75))</f>
        <v>0.66</v>
      </c>
      <c r="AG75" s="10" t="n">
        <f aca="false">IF(OR($I75="",$P75=""),"",IFERROR(1/(1/INDEX(Map_Stats!$I$2:$I$779,MATCH($F75&amp;"|"&amp;$I75,Map_Stats!$A$2:$A$779,0))),$P75))</f>
        <v>0.524</v>
      </c>
      <c r="AH75" s="13" t="n">
        <f aca="false">IF(OR($I75="",AF75=""),"",IF($O75="",AF75,(AE75*AF75+Config!$B$4*$O75)/(AE75+Config!$B$4)))</f>
        <v>0.6225</v>
      </c>
      <c r="AI75" s="10" t="n">
        <f aca="false">IF(AG75="","",(AE75*AG75+Config!$B$4*$P75)/(AE75+Config!$B$4))</f>
        <v>0.544</v>
      </c>
      <c r="AJ75" s="17" t="n">
        <f aca="false">IF(OR(AH75="",$L75=""),"",AH75*$L75*($L75/Config!$B$10)^Config!$B$9)</f>
        <v>13.38375</v>
      </c>
      <c r="AK75" s="17" t="n">
        <f aca="false">IF(OR(AJ75="",AI75=""),"",AJ75*AI75)</f>
        <v>7.28076</v>
      </c>
      <c r="AL75" s="17" t="n">
        <f aca="false">N(V75)+N(AC75)</f>
        <v>25.3873737373737</v>
      </c>
      <c r="AM75" s="17" t="n">
        <f aca="false">AL75+N($M75)*N(AJ75)</f>
        <v>32.0792487373737</v>
      </c>
      <c r="AN75" s="17" t="n">
        <f aca="false">IF(W75="","",N(W75)+N(AD75))</f>
        <v>14.6227511049893</v>
      </c>
      <c r="AO75" s="17" t="n">
        <f aca="false">IF(AN75="","",AN75+N($M75)*N(AK75))</f>
        <v>18.2631311049893</v>
      </c>
      <c r="AP75" s="10" t="n">
        <f aca="false">IFERROR(AN75/AL75,"")</f>
        <v>0.575985182880991</v>
      </c>
      <c r="AQ75" s="0" t="str">
        <f aca="false">TRIM(IF($N75&lt;Config!$B$12,"thin sample ("&amp;$N75&amp;" maps) · ","")&amp;IF(AND($G75&lt;&gt;"",Q75=0),"M1 unplayed→overall KPR · ","")&amp;IF(AND($H75&lt;&gt;"",X75=0),"M2 unplayed→overall KPR · ","")&amp;IF($O75="","no PickFinder stats",""))</f>
        <v/>
      </c>
      <c r="AR75" s="0" t="str">
        <f aca="false">IF($C75=Board!$B$2,COUNTIFS($C$2:$C$124,Board!$B$2,$AL$2:$AL$124,"&gt;"&amp;$AL75)+COUNTIFS($C$1:$C74,Board!$B$2,$AL$1:$AL74,$AL75)+1,"")</f>
        <v/>
      </c>
      <c r="AS75" s="0" t="str">
        <f aca="false">IFERROR(IF($D75=INDEX(Matches!$AD$5:$AD$19,MATCH($C75,Matches!$A$5:$A$19,0)),"A",IF($D75=INDEX(Matches!$AE$5:$AE$19,MATCH($C75,Matches!$A$5:$A$19,0)),"B","")),"")</f>
        <v>A</v>
      </c>
      <c r="AT75" s="10" t="n">
        <f aca="false">IF($AS75="","",IFERROR(IF($AS75="A",INDEX(Matches!$AI$5:$AI$19,MATCH($C75,Matches!$A$5:$A$19,0)),INDEX(Matches!$AJ$5:$AJ$19,MATCH($C75,Matches!$A$5:$A$19,0))),""))</f>
        <v>0.478619840141192</v>
      </c>
      <c r="AU75" s="10" t="n">
        <f aca="false">IF($AS75="","",IFERROR(IF(INDEX(Matches!$AP$5:$AP$19,MATCH($C75,Matches!$A$5:$A$19,0))="","",IF($AS75="A",INDEX(Matches!$AP$5:$AP$19,MATCH($C75,Matches!$A$5:$A$19,0)),1-INDEX(Matches!$AP$5:$AP$19,MATCH($C75,Matches!$A$5:$A$19,0)))),""))</f>
        <v>0.490879120879121</v>
      </c>
      <c r="AV75" s="13" t="n">
        <f aca="false">IF(OR($AU75="",$AT75=""),1,((Config!$B$14*$AU75+Config!$B$15*(1-$AU75))/(Config!$B$14*$AT75+Config!$B$15*(1-$AT75)))^Config!$B$13)</f>
        <v>1.01116848334649</v>
      </c>
      <c r="AW75" s="10" t="n">
        <f aca="false">IF($AS75="","",IFERROR(IF(INDEX(Matches!$AV$5:$AV$19,MATCH($C75,Matches!$A$5:$A$19,0))="","",IF($AS75="A",INDEX(Matches!$AV$5:$AV$19,MATCH($C75,Matches!$A$5:$A$19,0)),1-INDEX(Matches!$AV$5:$AV$19,MATCH($C75,Matches!$A$5:$A$19,0)))),""))</f>
        <v>0.493504987241939</v>
      </c>
      <c r="AX75" s="13" t="n">
        <f aca="false">IF(OR($AW75="",$AT75=""),1,((Config!$B$14*$AW75+Config!$B$15*(1-$AW75))/(Config!$B$14*$AT75+Config!$B$15*(1-$AT75)))^Config!$B$13)</f>
        <v>1.01356070727627</v>
      </c>
      <c r="AY75" s="10" t="n">
        <f aca="false">IF($AS75="","",IFERROR(IF(INDEX(Matches!$BB$5:$BB$19,MATCH($C75,Matches!$A$5:$A$19,0))="","",IF($AS75="A",INDEX(Matches!$BB$5:$BB$19,MATCH($C75,Matches!$A$5:$A$19,0)),1-INDEX(Matches!$BB$5:$BB$19,MATCH($C75,Matches!$A$5:$A$19,0)))),""))</f>
        <v>0.493189005108246</v>
      </c>
      <c r="AZ75" s="13" t="n">
        <f aca="false">IF(OR($AY75="",$AT75=""),1,((Config!$B$14*$AY75+Config!$B$15*(1-$AY75))/(Config!$B$14*$AT75+Config!$B$15*(1-$AT75)))^Config!$B$13)</f>
        <v>1.01327284037173</v>
      </c>
      <c r="BA75" s="17" t="n">
        <f aca="false">IF(V75="","",V75*$AV75)</f>
        <v>13.3998208924925</v>
      </c>
      <c r="BB75" s="17" t="n">
        <f aca="false">IF(AC75="","",AC75*$AX75)</f>
        <v>12.3001222720794</v>
      </c>
      <c r="BC75" s="17" t="n">
        <f aca="false">IF(AJ75="","",AJ75*$AZ75)</f>
        <v>13.5613903773251</v>
      </c>
      <c r="BD75" s="17" t="n">
        <f aca="false">N(BA75)+N(BB75)</f>
        <v>25.6999431645718</v>
      </c>
      <c r="BE75" s="17" t="n">
        <f aca="false">BD75+N($M75)*N(BC75)</f>
        <v>32.4806383532344</v>
      </c>
      <c r="BF75" s="17" t="n">
        <f aca="false">IF(W75="","",W75*$AV75)</f>
        <v>7.88153101585694</v>
      </c>
      <c r="BG75" s="17" t="n">
        <f aca="false">IF(AD75="","",AD75*$AX75)</f>
        <v>6.92086879842332</v>
      </c>
      <c r="BH75" s="17" t="n">
        <f aca="false">IF(AK75="","",AK75*$AZ75)</f>
        <v>7.37739636526487</v>
      </c>
      <c r="BI75" s="17" t="n">
        <f aca="false">IF(BF75="","",N(BF75)+N(BG75))</f>
        <v>14.8023998142803</v>
      </c>
      <c r="BJ75" s="17" t="n">
        <f aca="false">IF(BI75="","",BI75+N($M75)*N(BH75))</f>
        <v>18.4910979969127</v>
      </c>
      <c r="BK75" s="13" t="n">
        <f aca="false">IFERROR(BD75/AL75,1)</f>
        <v>1.01231200321985</v>
      </c>
    </row>
    <row r="76" customFormat="false" ht="15" hidden="false" customHeight="false" outlineLevel="0" collapsed="false">
      <c r="A76" s="0" t="s">
        <v>1296</v>
      </c>
      <c r="B76" s="0" t="s">
        <v>988</v>
      </c>
      <c r="C76" s="0" t="s">
        <v>1054</v>
      </c>
      <c r="D76" s="0" t="s">
        <v>1059</v>
      </c>
      <c r="E76" s="0" t="s">
        <v>1295</v>
      </c>
      <c r="F76" s="0" t="s">
        <v>1529</v>
      </c>
      <c r="G76" s="0" t="str">
        <f aca="false">IFERROR(IF(INDEX(Matches!$W$5:$W$19,MATCH($C76,Matches!$A$5:$A$19,0))="","",INDEX(Matches!$W$5:$W$19,MATCH($C76,Matches!$A$5:$A$19,0))),"")</f>
        <v>Mirage</v>
      </c>
      <c r="H76" s="0" t="str">
        <f aca="false">IFERROR(IF(INDEX(Matches!$X$5:$X$19,MATCH($C76,Matches!$A$5:$A$19,0))="","",INDEX(Matches!$X$5:$X$19,MATCH($C76,Matches!$A$5:$A$19,0))),"")</f>
        <v>Ancient</v>
      </c>
      <c r="I76" s="0" t="str">
        <f aca="false">IFERROR(IF(INDEX(Matches!$Y$5:$Y$19,MATCH($C76,Matches!$A$5:$A$19,0))="","",INDEX(Matches!$Y$5:$Y$19,MATCH($C76,Matches!$A$5:$A$19,0))),"")</f>
        <v>Cache</v>
      </c>
      <c r="J76" s="11" t="n">
        <f aca="false">IFERROR(IF(INDEX(Matches!$Z$5:$Z$19,MATCH($C76,Matches!$A$5:$A$19,0))="","",INDEX(Matches!$Z$5:$Z$19,MATCH($C76,Matches!$A$5:$A$19,0))),"")</f>
        <v>21.36</v>
      </c>
      <c r="K76" s="11" t="n">
        <f aca="false">IFERROR(IF(INDEX(Matches!$AA$5:$AA$19,MATCH($C76,Matches!$A$5:$A$19,0))="","",INDEX(Matches!$AA$5:$AA$19,MATCH($C76,Matches!$A$5:$A$19,0))),"")</f>
        <v>21.11</v>
      </c>
      <c r="L76" s="11" t="n">
        <f aca="false">IFERROR(IF(INDEX(Matches!$AB$5:$AB$19,MATCH($C76,Matches!$A$5:$A$19,0))="","",INDEX(Matches!$AB$5:$AB$19,MATCH($C76,Matches!$A$5:$A$19,0))),"")</f>
        <v>21.22</v>
      </c>
      <c r="M76" s="10" t="n">
        <f aca="false">IFERROR(IF(INDEX(Matches!$AC$5:$AC$19,MATCH($C76,Matches!$A$5:$A$19,0))="","",INDEX(Matches!$AC$5:$AC$19,MATCH($C76,Matches!$A$5:$A$19,0))),"")</f>
        <v>0.4618</v>
      </c>
      <c r="N76" s="9" t="n">
        <f aca="false">IFERROR(INDEX(Players!$F$2:$F$124,MATCH($F76,Players!$A$2:$A$124,0)),0)</f>
        <v>36</v>
      </c>
      <c r="O76" s="13" t="n">
        <f aca="false">IFERROR(1/(1/INDEX(Players!$H$2:$H$124,MATCH($F76,Players!$A$2:$A$124,0))),"")</f>
        <v>0.78</v>
      </c>
      <c r="P76" s="10" t="n">
        <f aca="false">IFERROR(1/(1/INDEX(Players!$I$2:$I$124,MATCH($F76,Players!$A$2:$A$124,0))),"")</f>
        <v>0.577</v>
      </c>
      <c r="Q76" s="9" t="n">
        <f aca="false">IF($G76="",0,SUMIFS(Map_Stats!$F$2:$F$779,Map_Stats!$A$2:$A$779,$F76&amp;"|"&amp;$G76))</f>
        <v>9</v>
      </c>
      <c r="R76" s="13" t="n">
        <f aca="false">IF($G76="","",IFERROR(1/(1/INDEX(Map_Stats!$K$2:$K$779,MATCH($F76&amp;"|"&amp;$G76,Map_Stats!$A$2:$A$779,0))),$O76))</f>
        <v>0.74</v>
      </c>
      <c r="S76" s="10" t="n">
        <f aca="false">IF(OR($G76="",$P76=""),"",IFERROR(1/(1/INDEX(Map_Stats!$I$2:$I$779,MATCH($F76&amp;"|"&amp;$G76,Map_Stats!$A$2:$A$779,0))),$P76))</f>
        <v>0.545</v>
      </c>
      <c r="T76" s="13" t="n">
        <f aca="false">IF(OR($G76="",R76=""),"",IF($O76="",R76,(Q76*R76+Config!$B$4*$O76)/(Q76+Config!$B$4)))</f>
        <v>0.754285714285714</v>
      </c>
      <c r="U76" s="10" t="n">
        <f aca="false">IF(S76="","",(Q76*S76+Config!$B$4*$P76)/(Q76+Config!$B$4))</f>
        <v>0.556428571428572</v>
      </c>
      <c r="V76" s="17" t="n">
        <f aca="false">IF(OR(T76="",$J76=""),"",T76*$J76*($J76/Config!$B$10)^Config!$B$9)</f>
        <v>16.1115428571429</v>
      </c>
      <c r="W76" s="17" t="n">
        <f aca="false">IF(OR(V76="",U76=""),"",V76*U76)</f>
        <v>8.96492277551021</v>
      </c>
      <c r="X76" s="9" t="n">
        <f aca="false">IF($H76="",0,SUMIFS(Map_Stats!$F$2:$F$779,Map_Stats!$A$2:$A$779,$F76&amp;"|"&amp;$H76))</f>
        <v>5</v>
      </c>
      <c r="Y76" s="13" t="n">
        <f aca="false">IF($H76="","",IFERROR(1/(1/INDEX(Map_Stats!$K$2:$K$779,MATCH($F76&amp;"|"&amp;$H76,Map_Stats!$A$2:$A$779,0))),$O76))</f>
        <v>0.93</v>
      </c>
      <c r="Z76" s="10" t="n">
        <f aca="false">IF(OR($H76="",$P76=""),"",IFERROR(1/(1/INDEX(Map_Stats!$I$2:$I$779,MATCH($F76&amp;"|"&amp;$H76,Map_Stats!$A$2:$A$779,0))),$P76))</f>
        <v>0.533</v>
      </c>
      <c r="AA76" s="13" t="n">
        <f aca="false">IF(OR($H76="",Y76=""),"",IF($O76="",Y76,(X76*Y76+Config!$B$4*$O76)/(X76+Config!$B$4)))</f>
        <v>0.855</v>
      </c>
      <c r="AB76" s="10" t="n">
        <f aca="false">IF(Z76="","",(X76*Z76+Config!$B$4*$P76)/(X76+Config!$B$4))</f>
        <v>0.555</v>
      </c>
      <c r="AC76" s="17" t="n">
        <f aca="false">IF(OR(AA76="",$K76=""),"",AA76*$K76*($K76/Config!$B$10)^Config!$B$9)</f>
        <v>18.04905</v>
      </c>
      <c r="AD76" s="17" t="n">
        <f aca="false">IF(OR(AC76="",AB76=""),"",AC76*AB76)</f>
        <v>10.01722275</v>
      </c>
      <c r="AE76" s="9" t="n">
        <f aca="false">IF($I76="",0,SUMIFS(Map_Stats!$F$2:$F$779,Map_Stats!$A$2:$A$779,$F76&amp;"|"&amp;$I76))</f>
        <v>7</v>
      </c>
      <c r="AF76" s="13" t="n">
        <f aca="false">IF($I76="","",IFERROR(1/(1/INDEX(Map_Stats!$K$2:$K$779,MATCH($F76&amp;"|"&amp;$I76,Map_Stats!$A$2:$A$779,0))),$O76))</f>
        <v>0.76</v>
      </c>
      <c r="AG76" s="10" t="n">
        <f aca="false">IF(OR($I76="",$P76=""),"",IFERROR(1/(1/INDEX(Map_Stats!$I$2:$I$779,MATCH($F76&amp;"|"&amp;$I76,Map_Stats!$A$2:$A$779,0))),$P76))</f>
        <v>0.626</v>
      </c>
      <c r="AH76" s="13" t="n">
        <f aca="false">IF(OR($I76="",AF76=""),"",IF($O76="",AF76,(AE76*AF76+Config!$B$4*$O76)/(AE76+Config!$B$4)))</f>
        <v>0.768333333333333</v>
      </c>
      <c r="AI76" s="10" t="n">
        <f aca="false">IF(AG76="","",(AE76*AG76+Config!$B$4*$P76)/(AE76+Config!$B$4))</f>
        <v>0.605583333333333</v>
      </c>
      <c r="AJ76" s="17" t="n">
        <f aca="false">IF(OR(AH76="",$L76=""),"",AH76*$L76*($L76/Config!$B$10)^Config!$B$9)</f>
        <v>16.3040333333333</v>
      </c>
      <c r="AK76" s="17" t="n">
        <f aca="false">IF(OR(AJ76="",AI76=""),"",AJ76*AI76)</f>
        <v>9.87345085277777</v>
      </c>
      <c r="AL76" s="17" t="n">
        <f aca="false">N(V76)+N(AC76)</f>
        <v>34.1605928571429</v>
      </c>
      <c r="AM76" s="17" t="n">
        <f aca="false">AL76+N($M76)*N(AJ76)</f>
        <v>41.6897954504762</v>
      </c>
      <c r="AN76" s="17" t="n">
        <f aca="false">IF(W76="","",N(W76)+N(AD76))</f>
        <v>18.9821455255102</v>
      </c>
      <c r="AO76" s="17" t="n">
        <f aca="false">IF(AN76="","",AN76+N($M76)*N(AK76))</f>
        <v>23.541705129323</v>
      </c>
      <c r="AP76" s="10" t="n">
        <f aca="false">IFERROR(AN76/AL76,"")</f>
        <v>0.555673773136555</v>
      </c>
      <c r="AQ76" s="0" t="str">
        <f aca="false">TRIM(IF($N76&lt;Config!$B$12,"thin sample ("&amp;$N76&amp;" maps) · ","")&amp;IF(AND($G76&lt;&gt;"",Q76=0),"M1 unplayed→overall KPR · ","")&amp;IF(AND($H76&lt;&gt;"",X76=0),"M2 unplayed→overall KPR · ","")&amp;IF($O76="","no PickFinder stats",""))</f>
        <v/>
      </c>
      <c r="AR76" s="0" t="str">
        <f aca="false">IF($C76=Board!$B$2,COUNTIFS($C$2:$C$124,Board!$B$2,$AL$2:$AL$124,"&gt;"&amp;$AL76)+COUNTIFS($C$1:$C75,Board!$B$2,$AL$1:$AL75,$AL76)+1,"")</f>
        <v/>
      </c>
      <c r="AS76" s="0" t="str">
        <f aca="false">IFERROR(IF($D76=INDEX(Matches!$AD$5:$AD$19,MATCH($C76,Matches!$A$5:$A$19,0)),"A",IF($D76=INDEX(Matches!$AE$5:$AE$19,MATCH($C76,Matches!$A$5:$A$19,0)),"B","")),"")</f>
        <v>B</v>
      </c>
      <c r="AT76" s="10" t="n">
        <f aca="false">IF($AS76="","",IFERROR(IF($AS76="A",INDEX(Matches!$AI$5:$AI$19,MATCH($C76,Matches!$A$5:$A$19,0)),INDEX(Matches!$AJ$5:$AJ$19,MATCH($C76,Matches!$A$5:$A$19,0))),""))</f>
        <v>0.514414731407475</v>
      </c>
      <c r="AU76" s="10" t="n">
        <f aca="false">IF($AS76="","",IFERROR(IF(INDEX(Matches!$AP$5:$AP$19,MATCH($C76,Matches!$A$5:$A$19,0))="","",IF($AS76="A",INDEX(Matches!$AP$5:$AP$19,MATCH($C76,Matches!$A$5:$A$19,0)),1-INDEX(Matches!$AP$5:$AP$19,MATCH($C76,Matches!$A$5:$A$19,0)))),""))</f>
        <v>0.492025500306511</v>
      </c>
      <c r="AV76" s="13" t="n">
        <f aca="false">IF(OR($AU76="",$AT76=""),1,((Config!$B$14*$AU76+Config!$B$15*(1-$AU76))/(Config!$B$14*$AT76+Config!$B$15*(1-$AT76)))^Config!$B$13)</f>
        <v>0.980247044736885</v>
      </c>
      <c r="AW76" s="10" t="n">
        <f aca="false">IF($AS76="","",IFERROR(IF(INDEX(Matches!$AV$5:$AV$19,MATCH($C76,Matches!$A$5:$A$19,0))="","",IF($AS76="A",INDEX(Matches!$AV$5:$AV$19,MATCH($C76,Matches!$A$5:$A$19,0)),1-INDEX(Matches!$AV$5:$AV$19,MATCH($C76,Matches!$A$5:$A$19,0)))),""))</f>
        <v>0.437509234786059</v>
      </c>
      <c r="AX76" s="13" t="n">
        <f aca="false">IF(OR($AW76="",$AT76=""),1,((Config!$B$14*$AW76+Config!$B$15*(1-$AW76))/(Config!$B$14*$AT76+Config!$B$15*(1-$AT76)))^Config!$B$13)</f>
        <v>0.932149932822614</v>
      </c>
      <c r="AY76" s="10" t="n">
        <f aca="false">IF($AS76="","",IFERROR(IF(INDEX(Matches!$BB$5:$BB$19,MATCH($C76,Matches!$A$5:$A$19,0))="","",IF($AS76="A",INDEX(Matches!$BB$5:$BB$19,MATCH($C76,Matches!$A$5:$A$19,0)),1-INDEX(Matches!$BB$5:$BB$19,MATCH($C76,Matches!$A$5:$A$19,0)))),""))</f>
        <v>0.499135549244838</v>
      </c>
      <c r="AZ76" s="13" t="n">
        <f aca="false">IF(OR($AY76="",$AT76=""),1,((Config!$B$14*$AY76+Config!$B$15*(1-$AY76))/(Config!$B$14*$AT76+Config!$B$15*(1-$AT76)))^Config!$B$13)</f>
        <v>0.986519903235866</v>
      </c>
      <c r="BA76" s="17" t="n">
        <f aca="false">IF(V76="","",V76*$AV76)</f>
        <v>15.793292271866</v>
      </c>
      <c r="BB76" s="17" t="n">
        <f aca="false">IF(AC76="","",AC76*$AX76)</f>
        <v>16.824420745012</v>
      </c>
      <c r="BC76" s="17" t="n">
        <f aca="false">IF(AJ76="","",AJ76*$AZ76)</f>
        <v>16.0842533863543</v>
      </c>
      <c r="BD76" s="17" t="n">
        <f aca="false">N(BA76)+N(BB76)</f>
        <v>32.617713016878</v>
      </c>
      <c r="BE76" s="17" t="n">
        <f aca="false">BD76+N($M76)*N(BC76)</f>
        <v>40.0454212306964</v>
      </c>
      <c r="BF76" s="17" t="n">
        <f aca="false">IF(W76="","",W76*$AV76)</f>
        <v>8.78783905698827</v>
      </c>
      <c r="BG76" s="17" t="n">
        <f aca="false">IF(AD76="","",AD76*$AX76)</f>
        <v>9.33755351348166</v>
      </c>
      <c r="BH76" s="17" t="n">
        <f aca="false">IF(AK76="","",AK76*$AZ76)</f>
        <v>9.74035577988641</v>
      </c>
      <c r="BI76" s="17" t="n">
        <f aca="false">IF(BF76="","",N(BF76)+N(BG76))</f>
        <v>18.1253925704699</v>
      </c>
      <c r="BJ76" s="17" t="n">
        <f aca="false">IF(BI76="","",BI76+N($M76)*N(BH76))</f>
        <v>22.6234888696215</v>
      </c>
      <c r="BK76" s="13" t="n">
        <f aca="false">IFERROR(BD76/AL76,1)</f>
        <v>0.954834512190198</v>
      </c>
    </row>
    <row r="77" customFormat="false" ht="15" hidden="false" customHeight="false" outlineLevel="0" collapsed="false">
      <c r="A77" s="0" t="s">
        <v>1299</v>
      </c>
      <c r="B77" s="0" t="s">
        <v>988</v>
      </c>
      <c r="C77" s="0" t="s">
        <v>1054</v>
      </c>
      <c r="D77" s="0" t="s">
        <v>1059</v>
      </c>
      <c r="E77" s="0" t="s">
        <v>1297</v>
      </c>
      <c r="F77" s="0" t="s">
        <v>1530</v>
      </c>
      <c r="G77" s="0" t="str">
        <f aca="false">IFERROR(IF(INDEX(Matches!$W$5:$W$19,MATCH($C77,Matches!$A$5:$A$19,0))="","",INDEX(Matches!$W$5:$W$19,MATCH($C77,Matches!$A$5:$A$19,0))),"")</f>
        <v>Mirage</v>
      </c>
      <c r="H77" s="0" t="str">
        <f aca="false">IFERROR(IF(INDEX(Matches!$X$5:$X$19,MATCH($C77,Matches!$A$5:$A$19,0))="","",INDEX(Matches!$X$5:$X$19,MATCH($C77,Matches!$A$5:$A$19,0))),"")</f>
        <v>Ancient</v>
      </c>
      <c r="I77" s="0" t="str">
        <f aca="false">IFERROR(IF(INDEX(Matches!$Y$5:$Y$19,MATCH($C77,Matches!$A$5:$A$19,0))="","",INDEX(Matches!$Y$5:$Y$19,MATCH($C77,Matches!$A$5:$A$19,0))),"")</f>
        <v>Cache</v>
      </c>
      <c r="J77" s="11" t="n">
        <f aca="false">IFERROR(IF(INDEX(Matches!$Z$5:$Z$19,MATCH($C77,Matches!$A$5:$A$19,0))="","",INDEX(Matches!$Z$5:$Z$19,MATCH($C77,Matches!$A$5:$A$19,0))),"")</f>
        <v>21.36</v>
      </c>
      <c r="K77" s="11" t="n">
        <f aca="false">IFERROR(IF(INDEX(Matches!$AA$5:$AA$19,MATCH($C77,Matches!$A$5:$A$19,0))="","",INDEX(Matches!$AA$5:$AA$19,MATCH($C77,Matches!$A$5:$A$19,0))),"")</f>
        <v>21.11</v>
      </c>
      <c r="L77" s="11" t="n">
        <f aca="false">IFERROR(IF(INDEX(Matches!$AB$5:$AB$19,MATCH($C77,Matches!$A$5:$A$19,0))="","",INDEX(Matches!$AB$5:$AB$19,MATCH($C77,Matches!$A$5:$A$19,0))),"")</f>
        <v>21.22</v>
      </c>
      <c r="M77" s="10" t="n">
        <f aca="false">IFERROR(IF(INDEX(Matches!$AC$5:$AC$19,MATCH($C77,Matches!$A$5:$A$19,0))="","",INDEX(Matches!$AC$5:$AC$19,MATCH($C77,Matches!$A$5:$A$19,0))),"")</f>
        <v>0.4618</v>
      </c>
      <c r="N77" s="9" t="n">
        <f aca="false">IFERROR(INDEX(Players!$F$2:$F$124,MATCH($F77,Players!$A$2:$A$124,0)),0)</f>
        <v>36</v>
      </c>
      <c r="O77" s="13" t="n">
        <f aca="false">IFERROR(1/(1/INDEX(Players!$H$2:$H$124,MATCH($F77,Players!$A$2:$A$124,0))),"")</f>
        <v>0.56</v>
      </c>
      <c r="P77" s="10" t="n">
        <f aca="false">IFERROR(1/(1/INDEX(Players!$I$2:$I$124,MATCH($F77,Players!$A$2:$A$124,0))),"")</f>
        <v>0.465</v>
      </c>
      <c r="Q77" s="9" t="n">
        <f aca="false">IF($G77="",0,SUMIFS(Map_Stats!$F$2:$F$779,Map_Stats!$A$2:$A$779,$F77&amp;"|"&amp;$G77))</f>
        <v>9</v>
      </c>
      <c r="R77" s="13" t="n">
        <f aca="false">IF($G77="","",IFERROR(1/(1/INDEX(Map_Stats!$K$2:$K$779,MATCH($F77&amp;"|"&amp;$G77,Map_Stats!$A$2:$A$779,0))),$O77))</f>
        <v>0.63</v>
      </c>
      <c r="S77" s="10" t="n">
        <f aca="false">IF(OR($G77="",$P77=""),"",IFERROR(1/(1/INDEX(Map_Stats!$I$2:$I$779,MATCH($F77&amp;"|"&amp;$G77,Map_Stats!$A$2:$A$779,0))),$P77))</f>
        <v>0.444</v>
      </c>
      <c r="T77" s="13" t="n">
        <f aca="false">IF(OR($G77="",R77=""),"",IF($O77="",R77,(Q77*R77+Config!$B$4*$O77)/(Q77+Config!$B$4)))</f>
        <v>0.605</v>
      </c>
      <c r="U77" s="10" t="n">
        <f aca="false">IF(S77="","",(Q77*S77+Config!$B$4*$P77)/(Q77+Config!$B$4))</f>
        <v>0.4515</v>
      </c>
      <c r="V77" s="17" t="n">
        <f aca="false">IF(OR(T77="",$J77=""),"",T77*$J77*($J77/Config!$B$10)^Config!$B$9)</f>
        <v>12.9228</v>
      </c>
      <c r="W77" s="17" t="n">
        <f aca="false">IF(OR(V77="",U77=""),"",V77*U77)</f>
        <v>5.8346442</v>
      </c>
      <c r="X77" s="9" t="n">
        <f aca="false">IF($H77="",0,SUMIFS(Map_Stats!$F$2:$F$779,Map_Stats!$A$2:$A$779,$F77&amp;"|"&amp;$H77))</f>
        <v>5</v>
      </c>
      <c r="Y77" s="13" t="n">
        <f aca="false">IF($H77="","",IFERROR(1/(1/INDEX(Map_Stats!$K$2:$K$779,MATCH($F77&amp;"|"&amp;$H77,Map_Stats!$A$2:$A$779,0))),$O77))</f>
        <v>0.59</v>
      </c>
      <c r="Z77" s="10" t="n">
        <f aca="false">IF(OR($H77="",$P77=""),"",IFERROR(1/(1/INDEX(Map_Stats!$I$2:$I$779,MATCH($F77&amp;"|"&amp;$H77,Map_Stats!$A$2:$A$779,0))),$P77))</f>
        <v>0.388</v>
      </c>
      <c r="AA77" s="13" t="n">
        <f aca="false">IF(OR($H77="",Y77=""),"",IF($O77="",Y77,(X77*Y77+Config!$B$4*$O77)/(X77+Config!$B$4)))</f>
        <v>0.575</v>
      </c>
      <c r="AB77" s="10" t="n">
        <f aca="false">IF(Z77="","",(X77*Z77+Config!$B$4*$P77)/(X77+Config!$B$4))</f>
        <v>0.4265</v>
      </c>
      <c r="AC77" s="17" t="n">
        <f aca="false">IF(OR(AA77="",$K77=""),"",AA77*$K77*($K77/Config!$B$10)^Config!$B$9)</f>
        <v>12.13825</v>
      </c>
      <c r="AD77" s="17" t="n">
        <f aca="false">IF(OR(AC77="",AB77=""),"",AC77*AB77)</f>
        <v>5.176963625</v>
      </c>
      <c r="AE77" s="9" t="n">
        <f aca="false">IF($I77="",0,SUMIFS(Map_Stats!$F$2:$F$779,Map_Stats!$A$2:$A$779,$F77&amp;"|"&amp;$I77))</f>
        <v>7</v>
      </c>
      <c r="AF77" s="13" t="n">
        <f aca="false">IF($I77="","",IFERROR(1/(1/INDEX(Map_Stats!$K$2:$K$779,MATCH($F77&amp;"|"&amp;$I77,Map_Stats!$A$2:$A$779,0))),$O77))</f>
        <v>0.62</v>
      </c>
      <c r="AG77" s="10" t="n">
        <f aca="false">IF(OR($I77="",$P77=""),"",IFERROR(1/(1/INDEX(Map_Stats!$I$2:$I$779,MATCH($F77&amp;"|"&amp;$I77,Map_Stats!$A$2:$A$779,0))),$P77))</f>
        <v>0.473</v>
      </c>
      <c r="AH77" s="13" t="n">
        <f aca="false">IF(OR($I77="",AF77=""),"",IF($O77="",AF77,(AE77*AF77+Config!$B$4*$O77)/(AE77+Config!$B$4)))</f>
        <v>0.595</v>
      </c>
      <c r="AI77" s="10" t="n">
        <f aca="false">IF(AG77="","",(AE77*AG77+Config!$B$4*$P77)/(AE77+Config!$B$4))</f>
        <v>0.469666666666667</v>
      </c>
      <c r="AJ77" s="17" t="n">
        <f aca="false">IF(OR(AH77="",$L77=""),"",AH77*$L77*($L77/Config!$B$10)^Config!$B$9)</f>
        <v>12.6259</v>
      </c>
      <c r="AK77" s="17" t="n">
        <f aca="false">IF(OR(AJ77="",AI77=""),"",AJ77*AI77)</f>
        <v>5.92996436666667</v>
      </c>
      <c r="AL77" s="17" t="n">
        <f aca="false">N(V77)+N(AC77)</f>
        <v>25.06105</v>
      </c>
      <c r="AM77" s="17" t="n">
        <f aca="false">AL77+N($M77)*N(AJ77)</f>
        <v>30.89169062</v>
      </c>
      <c r="AN77" s="17" t="n">
        <f aca="false">IF(W77="","",N(W77)+N(AD77))</f>
        <v>11.011607825</v>
      </c>
      <c r="AO77" s="17" t="n">
        <f aca="false">IF(AN77="","",AN77+N($M77)*N(AK77))</f>
        <v>13.7500653695267</v>
      </c>
      <c r="AP77" s="10" t="n">
        <f aca="false">IFERROR(AN77/AL77,"")</f>
        <v>0.43939131939803</v>
      </c>
      <c r="AQ77" s="0" t="str">
        <f aca="false">TRIM(IF($N77&lt;Config!$B$12,"thin sample ("&amp;$N77&amp;" maps) · ","")&amp;IF(AND($G77&lt;&gt;"",Q77=0),"M1 unplayed→overall KPR · ","")&amp;IF(AND($H77&lt;&gt;"",X77=0),"M2 unplayed→overall KPR · ","")&amp;IF($O77="","no PickFinder stats",""))</f>
        <v/>
      </c>
      <c r="AR77" s="0" t="str">
        <f aca="false">IF($C77=Board!$B$2,COUNTIFS($C$2:$C$124,Board!$B$2,$AL$2:$AL$124,"&gt;"&amp;$AL77)+COUNTIFS($C$1:$C76,Board!$B$2,$AL$1:$AL76,$AL77)+1,"")</f>
        <v/>
      </c>
      <c r="AS77" s="0" t="str">
        <f aca="false">IFERROR(IF($D77=INDEX(Matches!$AD$5:$AD$19,MATCH($C77,Matches!$A$5:$A$19,0)),"A",IF($D77=INDEX(Matches!$AE$5:$AE$19,MATCH($C77,Matches!$A$5:$A$19,0)),"B","")),"")</f>
        <v>B</v>
      </c>
      <c r="AT77" s="10" t="n">
        <f aca="false">IF($AS77="","",IFERROR(IF($AS77="A",INDEX(Matches!$AI$5:$AI$19,MATCH($C77,Matches!$A$5:$A$19,0)),INDEX(Matches!$AJ$5:$AJ$19,MATCH($C77,Matches!$A$5:$A$19,0))),""))</f>
        <v>0.514414731407475</v>
      </c>
      <c r="AU77" s="10" t="n">
        <f aca="false">IF($AS77="","",IFERROR(IF(INDEX(Matches!$AP$5:$AP$19,MATCH($C77,Matches!$A$5:$A$19,0))="","",IF($AS77="A",INDEX(Matches!$AP$5:$AP$19,MATCH($C77,Matches!$A$5:$A$19,0)),1-INDEX(Matches!$AP$5:$AP$19,MATCH($C77,Matches!$A$5:$A$19,0)))),""))</f>
        <v>0.492025500306511</v>
      </c>
      <c r="AV77" s="13" t="n">
        <f aca="false">IF(OR($AU77="",$AT77=""),1,((Config!$B$14*$AU77+Config!$B$15*(1-$AU77))/(Config!$B$14*$AT77+Config!$B$15*(1-$AT77)))^Config!$B$13)</f>
        <v>0.980247044736885</v>
      </c>
      <c r="AW77" s="10" t="n">
        <f aca="false">IF($AS77="","",IFERROR(IF(INDEX(Matches!$AV$5:$AV$19,MATCH($C77,Matches!$A$5:$A$19,0))="","",IF($AS77="A",INDEX(Matches!$AV$5:$AV$19,MATCH($C77,Matches!$A$5:$A$19,0)),1-INDEX(Matches!$AV$5:$AV$19,MATCH($C77,Matches!$A$5:$A$19,0)))),""))</f>
        <v>0.437509234786059</v>
      </c>
      <c r="AX77" s="13" t="n">
        <f aca="false">IF(OR($AW77="",$AT77=""),1,((Config!$B$14*$AW77+Config!$B$15*(1-$AW77))/(Config!$B$14*$AT77+Config!$B$15*(1-$AT77)))^Config!$B$13)</f>
        <v>0.932149932822614</v>
      </c>
      <c r="AY77" s="10" t="n">
        <f aca="false">IF($AS77="","",IFERROR(IF(INDEX(Matches!$BB$5:$BB$19,MATCH($C77,Matches!$A$5:$A$19,0))="","",IF($AS77="A",INDEX(Matches!$BB$5:$BB$19,MATCH($C77,Matches!$A$5:$A$19,0)),1-INDEX(Matches!$BB$5:$BB$19,MATCH($C77,Matches!$A$5:$A$19,0)))),""))</f>
        <v>0.499135549244838</v>
      </c>
      <c r="AZ77" s="13" t="n">
        <f aca="false">IF(OR($AY77="",$AT77=""),1,((Config!$B$14*$AY77+Config!$B$15*(1-$AY77))/(Config!$B$14*$AT77+Config!$B$15*(1-$AT77)))^Config!$B$13)</f>
        <v>0.986519903235866</v>
      </c>
      <c r="BA77" s="17" t="n">
        <f aca="false">IF(V77="","",V77*$AV77)</f>
        <v>12.6675365097258</v>
      </c>
      <c r="BB77" s="17" t="n">
        <f aca="false">IF(AC77="","",AC77*$AX77)</f>
        <v>11.3146689220841</v>
      </c>
      <c r="BC77" s="17" t="n">
        <f aca="false">IF(AJ77="","",AJ77*$AZ77)</f>
        <v>12.4557016462657</v>
      </c>
      <c r="BD77" s="17" t="n">
        <f aca="false">N(BA77)+N(BB77)</f>
        <v>23.9822054318099</v>
      </c>
      <c r="BE77" s="17" t="n">
        <f aca="false">BD77+N($M77)*N(BC77)</f>
        <v>29.7342484520554</v>
      </c>
      <c r="BF77" s="17" t="n">
        <f aca="false">IF(W77="","",W77*$AV77)</f>
        <v>5.71939273414121</v>
      </c>
      <c r="BG77" s="17" t="n">
        <f aca="false">IF(AD77="","",AD77*$AX77)</f>
        <v>4.82570629526887</v>
      </c>
      <c r="BH77" s="17" t="n">
        <f aca="false">IF(AK77="","",AK77*$AZ77)</f>
        <v>5.85002787319614</v>
      </c>
      <c r="BI77" s="17" t="n">
        <f aca="false">IF(BF77="","",N(BF77)+N(BG77))</f>
        <v>10.5450990294101</v>
      </c>
      <c r="BJ77" s="17" t="n">
        <f aca="false">IF(BI77="","",BI77+N($M77)*N(BH77))</f>
        <v>13.2466419012521</v>
      </c>
      <c r="BK77" s="13" t="n">
        <f aca="false">IFERROR(BD77/AL77,1)</f>
        <v>0.956951342095001</v>
      </c>
    </row>
    <row r="78" customFormat="false" ht="15" hidden="false" customHeight="false" outlineLevel="0" collapsed="false">
      <c r="A78" s="0" t="s">
        <v>1301</v>
      </c>
      <c r="B78" s="0" t="s">
        <v>988</v>
      </c>
      <c r="C78" s="0" t="s">
        <v>1054</v>
      </c>
      <c r="D78" s="0" t="s">
        <v>1059</v>
      </c>
      <c r="E78" s="0" t="s">
        <v>1300</v>
      </c>
      <c r="F78" s="0" t="s">
        <v>1531</v>
      </c>
      <c r="G78" s="0" t="str">
        <f aca="false">IFERROR(IF(INDEX(Matches!$W$5:$W$19,MATCH($C78,Matches!$A$5:$A$19,0))="","",INDEX(Matches!$W$5:$W$19,MATCH($C78,Matches!$A$5:$A$19,0))),"")</f>
        <v>Mirage</v>
      </c>
      <c r="H78" s="0" t="str">
        <f aca="false">IFERROR(IF(INDEX(Matches!$X$5:$X$19,MATCH($C78,Matches!$A$5:$A$19,0))="","",INDEX(Matches!$X$5:$X$19,MATCH($C78,Matches!$A$5:$A$19,0))),"")</f>
        <v>Ancient</v>
      </c>
      <c r="I78" s="0" t="str">
        <f aca="false">IFERROR(IF(INDEX(Matches!$Y$5:$Y$19,MATCH($C78,Matches!$A$5:$A$19,0))="","",INDEX(Matches!$Y$5:$Y$19,MATCH($C78,Matches!$A$5:$A$19,0))),"")</f>
        <v>Cache</v>
      </c>
      <c r="J78" s="11" t="n">
        <f aca="false">IFERROR(IF(INDEX(Matches!$Z$5:$Z$19,MATCH($C78,Matches!$A$5:$A$19,0))="","",INDEX(Matches!$Z$5:$Z$19,MATCH($C78,Matches!$A$5:$A$19,0))),"")</f>
        <v>21.36</v>
      </c>
      <c r="K78" s="11" t="n">
        <f aca="false">IFERROR(IF(INDEX(Matches!$AA$5:$AA$19,MATCH($C78,Matches!$A$5:$A$19,0))="","",INDEX(Matches!$AA$5:$AA$19,MATCH($C78,Matches!$A$5:$A$19,0))),"")</f>
        <v>21.11</v>
      </c>
      <c r="L78" s="11" t="n">
        <f aca="false">IFERROR(IF(INDEX(Matches!$AB$5:$AB$19,MATCH($C78,Matches!$A$5:$A$19,0))="","",INDEX(Matches!$AB$5:$AB$19,MATCH($C78,Matches!$A$5:$A$19,0))),"")</f>
        <v>21.22</v>
      </c>
      <c r="M78" s="10" t="n">
        <f aca="false">IFERROR(IF(INDEX(Matches!$AC$5:$AC$19,MATCH($C78,Matches!$A$5:$A$19,0))="","",INDEX(Matches!$AC$5:$AC$19,MATCH($C78,Matches!$A$5:$A$19,0))),"")</f>
        <v>0.4618</v>
      </c>
      <c r="N78" s="9" t="n">
        <f aca="false">IFERROR(INDEX(Players!$F$2:$F$124,MATCH($F78,Players!$A$2:$A$124,0)),0)</f>
        <v>36</v>
      </c>
      <c r="O78" s="13" t="n">
        <f aca="false">IFERROR(1/(1/INDEX(Players!$H$2:$H$124,MATCH($F78,Players!$A$2:$A$124,0))),"")</f>
        <v>0.73</v>
      </c>
      <c r="P78" s="10" t="n">
        <f aca="false">IFERROR(1/(1/INDEX(Players!$I$2:$I$124,MATCH($F78,Players!$A$2:$A$124,0))),"")</f>
        <v>0.498</v>
      </c>
      <c r="Q78" s="9" t="n">
        <f aca="false">IF($G78="",0,SUMIFS(Map_Stats!$F$2:$F$779,Map_Stats!$A$2:$A$779,$F78&amp;"|"&amp;$G78))</f>
        <v>9</v>
      </c>
      <c r="R78" s="13" t="n">
        <f aca="false">IF($G78="","",IFERROR(1/(1/INDEX(Map_Stats!$K$2:$K$779,MATCH($F78&amp;"|"&amp;$G78,Map_Stats!$A$2:$A$779,0))),$O78))</f>
        <v>0.66</v>
      </c>
      <c r="S78" s="10" t="n">
        <f aca="false">IF(OR($G78="",$P78=""),"",IFERROR(1/(1/INDEX(Map_Stats!$I$2:$I$779,MATCH($F78&amp;"|"&amp;$G78,Map_Stats!$A$2:$A$779,0))),$P78))</f>
        <v>0.496</v>
      </c>
      <c r="T78" s="13" t="n">
        <f aca="false">IF(OR($G78="",R78=""),"",IF($O78="",R78,(Q78*R78+Config!$B$4*$O78)/(Q78+Config!$B$4)))</f>
        <v>0.685</v>
      </c>
      <c r="U78" s="10" t="n">
        <f aca="false">IF(S78="","",(Q78*S78+Config!$B$4*$P78)/(Q78+Config!$B$4))</f>
        <v>0.496714285714286</v>
      </c>
      <c r="V78" s="17" t="n">
        <f aca="false">IF(OR(T78="",$J78=""),"",T78*$J78*($J78/Config!$B$10)^Config!$B$9)</f>
        <v>14.6316</v>
      </c>
      <c r="W78" s="17" t="n">
        <f aca="false">IF(OR(V78="",U78=""),"",V78*U78)</f>
        <v>7.26772474285714</v>
      </c>
      <c r="X78" s="9" t="n">
        <f aca="false">IF($H78="",0,SUMIFS(Map_Stats!$F$2:$F$779,Map_Stats!$A$2:$A$779,$F78&amp;"|"&amp;$H78))</f>
        <v>5</v>
      </c>
      <c r="Y78" s="13" t="n">
        <f aca="false">IF($H78="","",IFERROR(1/(1/INDEX(Map_Stats!$K$2:$K$779,MATCH($F78&amp;"|"&amp;$H78,Map_Stats!$A$2:$A$779,0))),$O78))</f>
        <v>0.8</v>
      </c>
      <c r="Z78" s="10" t="n">
        <f aca="false">IF(OR($H78="",$P78=""),"",IFERROR(1/(1/INDEX(Map_Stats!$I$2:$I$779,MATCH($F78&amp;"|"&amp;$H78,Map_Stats!$A$2:$A$779,0))),$P78))</f>
        <v>0.544</v>
      </c>
      <c r="AA78" s="13" t="n">
        <f aca="false">IF(OR($H78="",Y78=""),"",IF($O78="",Y78,(X78*Y78+Config!$B$4*$O78)/(X78+Config!$B$4)))</f>
        <v>0.765</v>
      </c>
      <c r="AB78" s="10" t="n">
        <f aca="false">IF(Z78="","",(X78*Z78+Config!$B$4*$P78)/(X78+Config!$B$4))</f>
        <v>0.521</v>
      </c>
      <c r="AC78" s="17" t="n">
        <f aca="false">IF(OR(AA78="",$K78=""),"",AA78*$K78*($K78/Config!$B$10)^Config!$B$9)</f>
        <v>16.14915</v>
      </c>
      <c r="AD78" s="17" t="n">
        <f aca="false">IF(OR(AC78="",AB78=""),"",AC78*AB78)</f>
        <v>8.41370715</v>
      </c>
      <c r="AE78" s="9" t="n">
        <f aca="false">IF($I78="",0,SUMIFS(Map_Stats!$F$2:$F$779,Map_Stats!$A$2:$A$779,$F78&amp;"|"&amp;$I78))</f>
        <v>7</v>
      </c>
      <c r="AF78" s="13" t="n">
        <f aca="false">IF($I78="","",IFERROR(1/(1/INDEX(Map_Stats!$K$2:$K$779,MATCH($F78&amp;"|"&amp;$I78,Map_Stats!$A$2:$A$779,0))),$O78))</f>
        <v>0.62</v>
      </c>
      <c r="AG78" s="10" t="n">
        <f aca="false">IF(OR($I78="",$P78=""),"",IFERROR(1/(1/INDEX(Map_Stats!$I$2:$I$779,MATCH($F78&amp;"|"&amp;$I78,Map_Stats!$A$2:$A$779,0))),$P78))</f>
        <v>0.473</v>
      </c>
      <c r="AH78" s="13" t="n">
        <f aca="false">IF(OR($I78="",AF78=""),"",IF($O78="",AF78,(AE78*AF78+Config!$B$4*$O78)/(AE78+Config!$B$4)))</f>
        <v>0.665833333333333</v>
      </c>
      <c r="AI78" s="10" t="n">
        <f aca="false">IF(AG78="","",(AE78*AG78+Config!$B$4*$P78)/(AE78+Config!$B$4))</f>
        <v>0.483416666666667</v>
      </c>
      <c r="AJ78" s="17" t="n">
        <f aca="false">IF(OR(AH78="",$L78=""),"",AH78*$L78*($L78/Config!$B$10)^Config!$B$9)</f>
        <v>14.1289833333333</v>
      </c>
      <c r="AK78" s="17" t="n">
        <f aca="false">IF(OR(AJ78="",AI78=""),"",AJ78*AI78)</f>
        <v>6.83018602638889</v>
      </c>
      <c r="AL78" s="17" t="n">
        <f aca="false">N(V78)+N(AC78)</f>
        <v>30.78075</v>
      </c>
      <c r="AM78" s="17" t="n">
        <f aca="false">AL78+N($M78)*N(AJ78)</f>
        <v>37.3055145033333</v>
      </c>
      <c r="AN78" s="17" t="n">
        <f aca="false">IF(W78="","",N(W78)+N(AD78))</f>
        <v>15.6814318928571</v>
      </c>
      <c r="AO78" s="17" t="n">
        <f aca="false">IF(AN78="","",AN78+N($M78)*N(AK78))</f>
        <v>18.8356117998435</v>
      </c>
      <c r="AP78" s="10" t="n">
        <f aca="false">IFERROR(AN78/AL78,"")</f>
        <v>0.509455808999363</v>
      </c>
      <c r="AQ78" s="0" t="str">
        <f aca="false">TRIM(IF($N78&lt;Config!$B$12,"thin sample ("&amp;$N78&amp;" maps) · ","")&amp;IF(AND($G78&lt;&gt;"",Q78=0),"M1 unplayed→overall KPR · ","")&amp;IF(AND($H78&lt;&gt;"",X78=0),"M2 unplayed→overall KPR · ","")&amp;IF($O78="","no PickFinder stats",""))</f>
        <v/>
      </c>
      <c r="AR78" s="0" t="str">
        <f aca="false">IF($C78=Board!$B$2,COUNTIFS($C$2:$C$124,Board!$B$2,$AL$2:$AL$124,"&gt;"&amp;$AL78)+COUNTIFS($C$1:$C77,Board!$B$2,$AL$1:$AL77,$AL78)+1,"")</f>
        <v/>
      </c>
      <c r="AS78" s="0" t="str">
        <f aca="false">IFERROR(IF($D78=INDEX(Matches!$AD$5:$AD$19,MATCH($C78,Matches!$A$5:$A$19,0)),"A",IF($D78=INDEX(Matches!$AE$5:$AE$19,MATCH($C78,Matches!$A$5:$A$19,0)),"B","")),"")</f>
        <v>B</v>
      </c>
      <c r="AT78" s="10" t="n">
        <f aca="false">IF($AS78="","",IFERROR(IF($AS78="A",INDEX(Matches!$AI$5:$AI$19,MATCH($C78,Matches!$A$5:$A$19,0)),INDEX(Matches!$AJ$5:$AJ$19,MATCH($C78,Matches!$A$5:$A$19,0))),""))</f>
        <v>0.514414731407475</v>
      </c>
      <c r="AU78" s="10" t="n">
        <f aca="false">IF($AS78="","",IFERROR(IF(INDEX(Matches!$AP$5:$AP$19,MATCH($C78,Matches!$A$5:$A$19,0))="","",IF($AS78="A",INDEX(Matches!$AP$5:$AP$19,MATCH($C78,Matches!$A$5:$A$19,0)),1-INDEX(Matches!$AP$5:$AP$19,MATCH($C78,Matches!$A$5:$A$19,0)))),""))</f>
        <v>0.492025500306511</v>
      </c>
      <c r="AV78" s="13" t="n">
        <f aca="false">IF(OR($AU78="",$AT78=""),1,((Config!$B$14*$AU78+Config!$B$15*(1-$AU78))/(Config!$B$14*$AT78+Config!$B$15*(1-$AT78)))^Config!$B$13)</f>
        <v>0.980247044736885</v>
      </c>
      <c r="AW78" s="10" t="n">
        <f aca="false">IF($AS78="","",IFERROR(IF(INDEX(Matches!$AV$5:$AV$19,MATCH($C78,Matches!$A$5:$A$19,0))="","",IF($AS78="A",INDEX(Matches!$AV$5:$AV$19,MATCH($C78,Matches!$A$5:$A$19,0)),1-INDEX(Matches!$AV$5:$AV$19,MATCH($C78,Matches!$A$5:$A$19,0)))),""))</f>
        <v>0.437509234786059</v>
      </c>
      <c r="AX78" s="13" t="n">
        <f aca="false">IF(OR($AW78="",$AT78=""),1,((Config!$B$14*$AW78+Config!$B$15*(1-$AW78))/(Config!$B$14*$AT78+Config!$B$15*(1-$AT78)))^Config!$B$13)</f>
        <v>0.932149932822614</v>
      </c>
      <c r="AY78" s="10" t="n">
        <f aca="false">IF($AS78="","",IFERROR(IF(INDEX(Matches!$BB$5:$BB$19,MATCH($C78,Matches!$A$5:$A$19,0))="","",IF($AS78="A",INDEX(Matches!$BB$5:$BB$19,MATCH($C78,Matches!$A$5:$A$19,0)),1-INDEX(Matches!$BB$5:$BB$19,MATCH($C78,Matches!$A$5:$A$19,0)))),""))</f>
        <v>0.499135549244838</v>
      </c>
      <c r="AZ78" s="13" t="n">
        <f aca="false">IF(OR($AY78="",$AT78=""),1,((Config!$B$14*$AY78+Config!$B$15*(1-$AY78))/(Config!$B$14*$AT78+Config!$B$15*(1-$AT78)))^Config!$B$13)</f>
        <v>0.986519903235866</v>
      </c>
      <c r="BA78" s="17" t="n">
        <f aca="false">IF(V78="","",V78*$AV78)</f>
        <v>14.3425826597722</v>
      </c>
      <c r="BB78" s="17" t="n">
        <f aca="false">IF(AC78="","",AC78*$AX78)</f>
        <v>15.0534290876423</v>
      </c>
      <c r="BC78" s="17" t="n">
        <f aca="false">IF(AJ78="","",AJ78*$AZ78)</f>
        <v>13.9385232708212</v>
      </c>
      <c r="BD78" s="17" t="n">
        <f aca="false">N(BA78)+N(BB78)</f>
        <v>29.3960117474145</v>
      </c>
      <c r="BE78" s="17" t="n">
        <f aca="false">BD78+N($M78)*N(BC78)</f>
        <v>35.8328217938797</v>
      </c>
      <c r="BF78" s="17" t="n">
        <f aca="false">IF(W78="","",W78*$AV78)</f>
        <v>7.12416570114685</v>
      </c>
      <c r="BG78" s="17" t="n">
        <f aca="false">IF(AD78="","",AD78*$AX78)</f>
        <v>7.84283655466165</v>
      </c>
      <c r="BH78" s="17" t="n">
        <f aca="false">IF(AK78="","",AK78*$AZ78)</f>
        <v>6.73811445783613</v>
      </c>
      <c r="BI78" s="17" t="n">
        <f aca="false">IF(BF78="","",N(BF78)+N(BG78))</f>
        <v>14.9670022558085</v>
      </c>
      <c r="BJ78" s="17" t="n">
        <f aca="false">IF(BI78="","",BI78+N($M78)*N(BH78))</f>
        <v>18.0786635124372</v>
      </c>
      <c r="BK78" s="13" t="n">
        <f aca="false">IFERROR(BD78/AL78,1)</f>
        <v>0.955012848855682</v>
      </c>
    </row>
    <row r="79" customFormat="false" ht="15" hidden="false" customHeight="false" outlineLevel="0" collapsed="false">
      <c r="A79" s="0" t="s">
        <v>1303</v>
      </c>
      <c r="B79" s="0" t="s">
        <v>988</v>
      </c>
      <c r="C79" s="0" t="s">
        <v>1054</v>
      </c>
      <c r="D79" s="0" t="s">
        <v>1059</v>
      </c>
      <c r="E79" s="0" t="s">
        <v>1302</v>
      </c>
      <c r="F79" s="0" t="s">
        <v>1532</v>
      </c>
      <c r="G79" s="0" t="str">
        <f aca="false">IFERROR(IF(INDEX(Matches!$W$5:$W$19,MATCH($C79,Matches!$A$5:$A$19,0))="","",INDEX(Matches!$W$5:$W$19,MATCH($C79,Matches!$A$5:$A$19,0))),"")</f>
        <v>Mirage</v>
      </c>
      <c r="H79" s="0" t="str">
        <f aca="false">IFERROR(IF(INDEX(Matches!$X$5:$X$19,MATCH($C79,Matches!$A$5:$A$19,0))="","",INDEX(Matches!$X$5:$X$19,MATCH($C79,Matches!$A$5:$A$19,0))),"")</f>
        <v>Ancient</v>
      </c>
      <c r="I79" s="0" t="str">
        <f aca="false">IFERROR(IF(INDEX(Matches!$Y$5:$Y$19,MATCH($C79,Matches!$A$5:$A$19,0))="","",INDEX(Matches!$Y$5:$Y$19,MATCH($C79,Matches!$A$5:$A$19,0))),"")</f>
        <v>Cache</v>
      </c>
      <c r="J79" s="11" t="n">
        <f aca="false">IFERROR(IF(INDEX(Matches!$Z$5:$Z$19,MATCH($C79,Matches!$A$5:$A$19,0))="","",INDEX(Matches!$Z$5:$Z$19,MATCH($C79,Matches!$A$5:$A$19,0))),"")</f>
        <v>21.36</v>
      </c>
      <c r="K79" s="11" t="n">
        <f aca="false">IFERROR(IF(INDEX(Matches!$AA$5:$AA$19,MATCH($C79,Matches!$A$5:$A$19,0))="","",INDEX(Matches!$AA$5:$AA$19,MATCH($C79,Matches!$A$5:$A$19,0))),"")</f>
        <v>21.11</v>
      </c>
      <c r="L79" s="11" t="n">
        <f aca="false">IFERROR(IF(INDEX(Matches!$AB$5:$AB$19,MATCH($C79,Matches!$A$5:$A$19,0))="","",INDEX(Matches!$AB$5:$AB$19,MATCH($C79,Matches!$A$5:$A$19,0))),"")</f>
        <v>21.22</v>
      </c>
      <c r="M79" s="10" t="n">
        <f aca="false">IFERROR(IF(INDEX(Matches!$AC$5:$AC$19,MATCH($C79,Matches!$A$5:$A$19,0))="","",INDEX(Matches!$AC$5:$AC$19,MATCH($C79,Matches!$A$5:$A$19,0))),"")</f>
        <v>0.4618</v>
      </c>
      <c r="N79" s="9" t="n">
        <f aca="false">IFERROR(INDEX(Players!$F$2:$F$124,MATCH($F79,Players!$A$2:$A$124,0)),0)</f>
        <v>36</v>
      </c>
      <c r="O79" s="13" t="n">
        <f aca="false">IFERROR(1/(1/INDEX(Players!$H$2:$H$124,MATCH($F79,Players!$A$2:$A$124,0))),"")</f>
        <v>0.65</v>
      </c>
      <c r="P79" s="10" t="n">
        <f aca="false">IFERROR(1/(1/INDEX(Players!$I$2:$I$124,MATCH($F79,Players!$A$2:$A$124,0))),"")</f>
        <v>0.301</v>
      </c>
      <c r="Q79" s="9" t="n">
        <f aca="false">IF($G79="",0,SUMIFS(Map_Stats!$F$2:$F$779,Map_Stats!$A$2:$A$779,$F79&amp;"|"&amp;$G79))</f>
        <v>9</v>
      </c>
      <c r="R79" s="13" t="n">
        <f aca="false">IF($G79="","",IFERROR(1/(1/INDEX(Map_Stats!$K$2:$K$779,MATCH($F79&amp;"|"&amp;$G79,Map_Stats!$A$2:$A$779,0))),$O79))</f>
        <v>0.65</v>
      </c>
      <c r="S79" s="10" t="n">
        <f aca="false">IF(OR($G79="",$P79=""),"",IFERROR(1/(1/INDEX(Map_Stats!$I$2:$I$779,MATCH($F79&amp;"|"&amp;$G79,Map_Stats!$A$2:$A$779,0))),$P79))</f>
        <v>0.291</v>
      </c>
      <c r="T79" s="13" t="n">
        <f aca="false">IF(OR($G79="",R79=""),"",IF($O79="",R79,(Q79*R79+Config!$B$4*$O79)/(Q79+Config!$B$4)))</f>
        <v>0.65</v>
      </c>
      <c r="U79" s="10" t="n">
        <f aca="false">IF(S79="","",(Q79*S79+Config!$B$4*$P79)/(Q79+Config!$B$4))</f>
        <v>0.294571428571429</v>
      </c>
      <c r="V79" s="17" t="n">
        <f aca="false">IF(OR(T79="",$J79=""),"",T79*$J79*($J79/Config!$B$10)^Config!$B$9)</f>
        <v>13.884</v>
      </c>
      <c r="W79" s="17" t="n">
        <f aca="false">IF(OR(V79="",U79=""),"",V79*U79)</f>
        <v>4.08982971428571</v>
      </c>
      <c r="X79" s="9" t="n">
        <f aca="false">IF($H79="",0,SUMIFS(Map_Stats!$F$2:$F$779,Map_Stats!$A$2:$A$779,$F79&amp;"|"&amp;$H79))</f>
        <v>5</v>
      </c>
      <c r="Y79" s="13" t="n">
        <f aca="false">IF($H79="","",IFERROR(1/(1/INDEX(Map_Stats!$K$2:$K$779,MATCH($F79&amp;"|"&amp;$H79,Map_Stats!$A$2:$A$779,0))),$O79))</f>
        <v>0.78</v>
      </c>
      <c r="Z79" s="10" t="n">
        <f aca="false">IF(OR($H79="",$P79=""),"",IFERROR(1/(1/INDEX(Map_Stats!$I$2:$I$779,MATCH($F79&amp;"|"&amp;$H79,Map_Stats!$A$2:$A$779,0))),$P79))</f>
        <v>0.193</v>
      </c>
      <c r="AA79" s="13" t="n">
        <f aca="false">IF(OR($H79="",Y79=""),"",IF($O79="",Y79,(X79*Y79+Config!$B$4*$O79)/(X79+Config!$B$4)))</f>
        <v>0.715</v>
      </c>
      <c r="AB79" s="10" t="n">
        <f aca="false">IF(Z79="","",(X79*Z79+Config!$B$4*$P79)/(X79+Config!$B$4))</f>
        <v>0.247</v>
      </c>
      <c r="AC79" s="17" t="n">
        <f aca="false">IF(OR(AA79="",$K79=""),"",AA79*$K79*($K79/Config!$B$10)^Config!$B$9)</f>
        <v>15.09365</v>
      </c>
      <c r="AD79" s="17" t="n">
        <f aca="false">IF(OR(AC79="",AB79=""),"",AC79*AB79)</f>
        <v>3.72813155</v>
      </c>
      <c r="AE79" s="9" t="n">
        <f aca="false">IF($I79="",0,SUMIFS(Map_Stats!$F$2:$F$779,Map_Stats!$A$2:$A$779,$F79&amp;"|"&amp;$I79))</f>
        <v>7</v>
      </c>
      <c r="AF79" s="13" t="n">
        <f aca="false">IF($I79="","",IFERROR(1/(1/INDEX(Map_Stats!$K$2:$K$779,MATCH($F79&amp;"|"&amp;$I79,Map_Stats!$A$2:$A$779,0))),$O79))</f>
        <v>0.6</v>
      </c>
      <c r="AG79" s="10" t="n">
        <f aca="false">IF(OR($I79="",$P79=""),"",IFERROR(1/(1/INDEX(Map_Stats!$I$2:$I$779,MATCH($F79&amp;"|"&amp;$I79,Map_Stats!$A$2:$A$779,0))),$P79))</f>
        <v>0.264</v>
      </c>
      <c r="AH79" s="13" t="n">
        <f aca="false">IF(OR($I79="",AF79=""),"",IF($O79="",AF79,(AE79*AF79+Config!$B$4*$O79)/(AE79+Config!$B$4)))</f>
        <v>0.620833333333333</v>
      </c>
      <c r="AI79" s="10" t="n">
        <f aca="false">IF(AG79="","",(AE79*AG79+Config!$B$4*$P79)/(AE79+Config!$B$4))</f>
        <v>0.279416666666667</v>
      </c>
      <c r="AJ79" s="17" t="n">
        <f aca="false">IF(OR(AH79="",$L79=""),"",AH79*$L79*($L79/Config!$B$10)^Config!$B$9)</f>
        <v>13.1740833333333</v>
      </c>
      <c r="AK79" s="17" t="n">
        <f aca="false">IF(OR(AJ79="",AI79=""),"",AJ79*AI79)</f>
        <v>3.68105845138889</v>
      </c>
      <c r="AL79" s="17" t="n">
        <f aca="false">N(V79)+N(AC79)</f>
        <v>28.97765</v>
      </c>
      <c r="AM79" s="17" t="n">
        <f aca="false">AL79+N($M79)*N(AJ79)</f>
        <v>35.0614416833333</v>
      </c>
      <c r="AN79" s="17" t="n">
        <f aca="false">IF(W79="","",N(W79)+N(AD79))</f>
        <v>7.81796126428571</v>
      </c>
      <c r="AO79" s="17" t="n">
        <f aca="false">IF(AN79="","",AN79+N($M79)*N(AK79))</f>
        <v>9.5178740571371</v>
      </c>
      <c r="AP79" s="10" t="n">
        <f aca="false">IFERROR(AN79/AL79,"")</f>
        <v>0.269792797700494</v>
      </c>
      <c r="AQ79" s="0" t="str">
        <f aca="false">TRIM(IF($N79&lt;Config!$B$12,"thin sample ("&amp;$N79&amp;" maps) · ","")&amp;IF(AND($G79&lt;&gt;"",Q79=0),"M1 unplayed→overall KPR · ","")&amp;IF(AND($H79&lt;&gt;"",X79=0),"M2 unplayed→overall KPR · ","")&amp;IF($O79="","no PickFinder stats",""))</f>
        <v/>
      </c>
      <c r="AR79" s="0" t="str">
        <f aca="false">IF($C79=Board!$B$2,COUNTIFS($C$2:$C$124,Board!$B$2,$AL$2:$AL$124,"&gt;"&amp;$AL79)+COUNTIFS($C$1:$C78,Board!$B$2,$AL$1:$AL78,$AL79)+1,"")</f>
        <v/>
      </c>
      <c r="AS79" s="0" t="str">
        <f aca="false">IFERROR(IF($D79=INDEX(Matches!$AD$5:$AD$19,MATCH($C79,Matches!$A$5:$A$19,0)),"A",IF($D79=INDEX(Matches!$AE$5:$AE$19,MATCH($C79,Matches!$A$5:$A$19,0)),"B","")),"")</f>
        <v>B</v>
      </c>
      <c r="AT79" s="10" t="n">
        <f aca="false">IF($AS79="","",IFERROR(IF($AS79="A",INDEX(Matches!$AI$5:$AI$19,MATCH($C79,Matches!$A$5:$A$19,0)),INDEX(Matches!$AJ$5:$AJ$19,MATCH($C79,Matches!$A$5:$A$19,0))),""))</f>
        <v>0.514414731407475</v>
      </c>
      <c r="AU79" s="10" t="n">
        <f aca="false">IF($AS79="","",IFERROR(IF(INDEX(Matches!$AP$5:$AP$19,MATCH($C79,Matches!$A$5:$A$19,0))="","",IF($AS79="A",INDEX(Matches!$AP$5:$AP$19,MATCH($C79,Matches!$A$5:$A$19,0)),1-INDEX(Matches!$AP$5:$AP$19,MATCH($C79,Matches!$A$5:$A$19,0)))),""))</f>
        <v>0.492025500306511</v>
      </c>
      <c r="AV79" s="13" t="n">
        <f aca="false">IF(OR($AU79="",$AT79=""),1,((Config!$B$14*$AU79+Config!$B$15*(1-$AU79))/(Config!$B$14*$AT79+Config!$B$15*(1-$AT79)))^Config!$B$13)</f>
        <v>0.980247044736885</v>
      </c>
      <c r="AW79" s="10" t="n">
        <f aca="false">IF($AS79="","",IFERROR(IF(INDEX(Matches!$AV$5:$AV$19,MATCH($C79,Matches!$A$5:$A$19,0))="","",IF($AS79="A",INDEX(Matches!$AV$5:$AV$19,MATCH($C79,Matches!$A$5:$A$19,0)),1-INDEX(Matches!$AV$5:$AV$19,MATCH($C79,Matches!$A$5:$A$19,0)))),""))</f>
        <v>0.437509234786059</v>
      </c>
      <c r="AX79" s="13" t="n">
        <f aca="false">IF(OR($AW79="",$AT79=""),1,((Config!$B$14*$AW79+Config!$B$15*(1-$AW79))/(Config!$B$14*$AT79+Config!$B$15*(1-$AT79)))^Config!$B$13)</f>
        <v>0.932149932822614</v>
      </c>
      <c r="AY79" s="10" t="n">
        <f aca="false">IF($AS79="","",IFERROR(IF(INDEX(Matches!$BB$5:$BB$19,MATCH($C79,Matches!$A$5:$A$19,0))="","",IF($AS79="A",INDEX(Matches!$BB$5:$BB$19,MATCH($C79,Matches!$A$5:$A$19,0)),1-INDEX(Matches!$BB$5:$BB$19,MATCH($C79,Matches!$A$5:$A$19,0)))),""))</f>
        <v>0.499135549244838</v>
      </c>
      <c r="AZ79" s="13" t="n">
        <f aca="false">IF(OR($AY79="",$AT79=""),1,((Config!$B$14*$AY79+Config!$B$15*(1-$AY79))/(Config!$B$14*$AT79+Config!$B$15*(1-$AT79)))^Config!$B$13)</f>
        <v>0.986519903235866</v>
      </c>
      <c r="BA79" s="17" t="n">
        <f aca="false">IF(V79="","",V79*$AV79)</f>
        <v>13.6097499691269</v>
      </c>
      <c r="BB79" s="17" t="n">
        <f aca="false">IF(AC79="","",AC79*$AX79)</f>
        <v>14.069544833548</v>
      </c>
      <c r="BC79" s="17" t="n">
        <f aca="false">IF(AJ79="","",AJ79*$AZ79)</f>
        <v>12.9964954152212</v>
      </c>
      <c r="BD79" s="17" t="n">
        <f aca="false">N(BA79)+N(BB79)</f>
        <v>27.679294802675</v>
      </c>
      <c r="BE79" s="17" t="n">
        <f aca="false">BD79+N($M79)*N(BC79)</f>
        <v>33.6810763854241</v>
      </c>
      <c r="BF79" s="17" t="n">
        <f aca="false">IF(W79="","",W79*$AV79)</f>
        <v>4.00904349090567</v>
      </c>
      <c r="BG79" s="17" t="n">
        <f aca="false">IF(AD79="","",AD79*$AX79)</f>
        <v>3.47517757388637</v>
      </c>
      <c r="BH79" s="17" t="n">
        <f aca="false">IF(AK79="","",AK79*$AZ79)</f>
        <v>3.63143742726973</v>
      </c>
      <c r="BI79" s="17" t="n">
        <f aca="false">IF(BF79="","",N(BF79)+N(BG79))</f>
        <v>7.48422106479204</v>
      </c>
      <c r="BJ79" s="17" t="n">
        <f aca="false">IF(BI79="","",BI79+N($M79)*N(BH79))</f>
        <v>9.1612188687052</v>
      </c>
      <c r="BK79" s="13" t="n">
        <f aca="false">IFERROR(BD79/AL79,1)</f>
        <v>0.9551946000685</v>
      </c>
    </row>
    <row r="80" customFormat="false" ht="15" hidden="false" customHeight="false" outlineLevel="0" collapsed="false">
      <c r="A80" s="0" t="s">
        <v>1305</v>
      </c>
      <c r="B80" s="0" t="s">
        <v>988</v>
      </c>
      <c r="C80" s="0" t="s">
        <v>1054</v>
      </c>
      <c r="D80" s="0" t="s">
        <v>1059</v>
      </c>
      <c r="E80" s="0" t="s">
        <v>1304</v>
      </c>
      <c r="F80" s="0" t="s">
        <v>1533</v>
      </c>
      <c r="G80" s="0" t="str">
        <f aca="false">IFERROR(IF(INDEX(Matches!$W$5:$W$19,MATCH($C80,Matches!$A$5:$A$19,0))="","",INDEX(Matches!$W$5:$W$19,MATCH($C80,Matches!$A$5:$A$19,0))),"")</f>
        <v>Mirage</v>
      </c>
      <c r="H80" s="0" t="str">
        <f aca="false">IFERROR(IF(INDEX(Matches!$X$5:$X$19,MATCH($C80,Matches!$A$5:$A$19,0))="","",INDEX(Matches!$X$5:$X$19,MATCH($C80,Matches!$A$5:$A$19,0))),"")</f>
        <v>Ancient</v>
      </c>
      <c r="I80" s="0" t="str">
        <f aca="false">IFERROR(IF(INDEX(Matches!$Y$5:$Y$19,MATCH($C80,Matches!$A$5:$A$19,0))="","",INDEX(Matches!$Y$5:$Y$19,MATCH($C80,Matches!$A$5:$A$19,0))),"")</f>
        <v>Cache</v>
      </c>
      <c r="J80" s="11" t="n">
        <f aca="false">IFERROR(IF(INDEX(Matches!$Z$5:$Z$19,MATCH($C80,Matches!$A$5:$A$19,0))="","",INDEX(Matches!$Z$5:$Z$19,MATCH($C80,Matches!$A$5:$A$19,0))),"")</f>
        <v>21.36</v>
      </c>
      <c r="K80" s="11" t="n">
        <f aca="false">IFERROR(IF(INDEX(Matches!$AA$5:$AA$19,MATCH($C80,Matches!$A$5:$A$19,0))="","",INDEX(Matches!$AA$5:$AA$19,MATCH($C80,Matches!$A$5:$A$19,0))),"")</f>
        <v>21.11</v>
      </c>
      <c r="L80" s="11" t="n">
        <f aca="false">IFERROR(IF(INDEX(Matches!$AB$5:$AB$19,MATCH($C80,Matches!$A$5:$A$19,0))="","",INDEX(Matches!$AB$5:$AB$19,MATCH($C80,Matches!$A$5:$A$19,0))),"")</f>
        <v>21.22</v>
      </c>
      <c r="M80" s="10" t="n">
        <f aca="false">IFERROR(IF(INDEX(Matches!$AC$5:$AC$19,MATCH($C80,Matches!$A$5:$A$19,0))="","",INDEX(Matches!$AC$5:$AC$19,MATCH($C80,Matches!$A$5:$A$19,0))),"")</f>
        <v>0.4618</v>
      </c>
      <c r="N80" s="9" t="n">
        <f aca="false">IFERROR(INDEX(Players!$F$2:$F$124,MATCH($F80,Players!$A$2:$A$124,0)),0)</f>
        <v>36</v>
      </c>
      <c r="O80" s="13" t="n">
        <f aca="false">IFERROR(1/(1/INDEX(Players!$H$2:$H$124,MATCH($F80,Players!$A$2:$A$124,0))),"")</f>
        <v>0.66</v>
      </c>
      <c r="P80" s="10" t="n">
        <f aca="false">IFERROR(1/(1/INDEX(Players!$I$2:$I$124,MATCH($F80,Players!$A$2:$A$124,0))),"")</f>
        <v>0.575</v>
      </c>
      <c r="Q80" s="9" t="n">
        <f aca="false">IF($G80="",0,SUMIFS(Map_Stats!$F$2:$F$779,Map_Stats!$A$2:$A$779,$F80&amp;"|"&amp;$G80))</f>
        <v>9</v>
      </c>
      <c r="R80" s="13" t="n">
        <f aca="false">IF($G80="","",IFERROR(1/(1/INDEX(Map_Stats!$K$2:$K$779,MATCH($F80&amp;"|"&amp;$G80,Map_Stats!$A$2:$A$779,0))),$O80))</f>
        <v>0.67</v>
      </c>
      <c r="S80" s="10" t="n">
        <f aca="false">IF(OR($G80="",$P80=""),"",IFERROR(1/(1/INDEX(Map_Stats!$I$2:$I$779,MATCH($F80&amp;"|"&amp;$G80,Map_Stats!$A$2:$A$779,0))),$P80))</f>
        <v>0.53</v>
      </c>
      <c r="T80" s="13" t="n">
        <f aca="false">IF(OR($G80="",R80=""),"",IF($O80="",R80,(Q80*R80+Config!$B$4*$O80)/(Q80+Config!$B$4)))</f>
        <v>0.666428571428572</v>
      </c>
      <c r="U80" s="10" t="n">
        <f aca="false">IF(S80="","",(Q80*S80+Config!$B$4*$P80)/(Q80+Config!$B$4))</f>
        <v>0.546071428571429</v>
      </c>
      <c r="V80" s="17" t="n">
        <f aca="false">IF(OR(T80="",$J80=""),"",T80*$J80*($J80/Config!$B$10)^Config!$B$9)</f>
        <v>14.2349142857143</v>
      </c>
      <c r="W80" s="17" t="n">
        <f aca="false">IF(OR(V80="",U80=""),"",V80*U80)</f>
        <v>7.77327997959184</v>
      </c>
      <c r="X80" s="9" t="n">
        <f aca="false">IF($H80="",0,SUMIFS(Map_Stats!$F$2:$F$779,Map_Stats!$A$2:$A$779,$F80&amp;"|"&amp;$H80))</f>
        <v>5</v>
      </c>
      <c r="Y80" s="13" t="n">
        <f aca="false">IF($H80="","",IFERROR(1/(1/INDEX(Map_Stats!$K$2:$K$779,MATCH($F80&amp;"|"&amp;$H80,Map_Stats!$A$2:$A$779,0))),$O80))</f>
        <v>0.54</v>
      </c>
      <c r="Z80" s="10" t="n">
        <f aca="false">IF(OR($H80="",$P80=""),"",IFERROR(1/(1/INDEX(Map_Stats!$I$2:$I$779,MATCH($F80&amp;"|"&amp;$H80,Map_Stats!$A$2:$A$779,0))),$P80))</f>
        <v>0.541</v>
      </c>
      <c r="AA80" s="13" t="n">
        <f aca="false">IF(OR($H80="",Y80=""),"",IF($O80="",Y80,(X80*Y80+Config!$B$4*$O80)/(X80+Config!$B$4)))</f>
        <v>0.6</v>
      </c>
      <c r="AB80" s="10" t="n">
        <f aca="false">IF(Z80="","",(X80*Z80+Config!$B$4*$P80)/(X80+Config!$B$4))</f>
        <v>0.558</v>
      </c>
      <c r="AC80" s="17" t="n">
        <f aca="false">IF(OR(AA80="",$K80=""),"",AA80*$K80*($K80/Config!$B$10)^Config!$B$9)</f>
        <v>12.666</v>
      </c>
      <c r="AD80" s="17" t="n">
        <f aca="false">IF(OR(AC80="",AB80=""),"",AC80*AB80)</f>
        <v>7.067628</v>
      </c>
      <c r="AE80" s="9" t="n">
        <f aca="false">IF($I80="",0,SUMIFS(Map_Stats!$F$2:$F$779,Map_Stats!$A$2:$A$779,$F80&amp;"|"&amp;$I80))</f>
        <v>7</v>
      </c>
      <c r="AF80" s="13" t="n">
        <f aca="false">IF($I80="","",IFERROR(1/(1/INDEX(Map_Stats!$K$2:$K$779,MATCH($F80&amp;"|"&amp;$I80,Map_Stats!$A$2:$A$779,0))),$O80))</f>
        <v>0.81</v>
      </c>
      <c r="AG80" s="10" t="n">
        <f aca="false">IF(OR($I80="",$P80=""),"",IFERROR(1/(1/INDEX(Map_Stats!$I$2:$I$779,MATCH($F80&amp;"|"&amp;$I80,Map_Stats!$A$2:$A$779,0))),$P80))</f>
        <v>0.618</v>
      </c>
      <c r="AH80" s="13" t="n">
        <f aca="false">IF(OR($I80="",AF80=""),"",IF($O80="",AF80,(AE80*AF80+Config!$B$4*$O80)/(AE80+Config!$B$4)))</f>
        <v>0.7475</v>
      </c>
      <c r="AI80" s="10" t="n">
        <f aca="false">IF(AG80="","",(AE80*AG80+Config!$B$4*$P80)/(AE80+Config!$B$4))</f>
        <v>0.600083333333333</v>
      </c>
      <c r="AJ80" s="17" t="n">
        <f aca="false">IF(OR(AH80="",$L80=""),"",AH80*$L80*($L80/Config!$B$10)^Config!$B$9)</f>
        <v>15.86195</v>
      </c>
      <c r="AK80" s="17" t="n">
        <f aca="false">IF(OR(AJ80="",AI80=""),"",AJ80*AI80)</f>
        <v>9.51849182916667</v>
      </c>
      <c r="AL80" s="17" t="n">
        <f aca="false">N(V80)+N(AC80)</f>
        <v>26.9009142857143</v>
      </c>
      <c r="AM80" s="17" t="n">
        <f aca="false">AL80+N($M80)*N(AJ80)</f>
        <v>34.2259627957143</v>
      </c>
      <c r="AN80" s="17" t="n">
        <f aca="false">IF(W80="","",N(W80)+N(AD80))</f>
        <v>14.8409079795918</v>
      </c>
      <c r="AO80" s="17" t="n">
        <f aca="false">IF(AN80="","",AN80+N($M80)*N(AK80))</f>
        <v>19.236547506301</v>
      </c>
      <c r="AP80" s="10" t="n">
        <f aca="false">IFERROR(AN80/AL80,"")</f>
        <v>0.551687865399917</v>
      </c>
      <c r="AQ80" s="0" t="str">
        <f aca="false">TRIM(IF($N80&lt;Config!$B$12,"thin sample ("&amp;$N80&amp;" maps) · ","")&amp;IF(AND($G80&lt;&gt;"",Q80=0),"M1 unplayed→overall KPR · ","")&amp;IF(AND($H80&lt;&gt;"",X80=0),"M2 unplayed→overall KPR · ","")&amp;IF($O80="","no PickFinder stats",""))</f>
        <v/>
      </c>
      <c r="AR80" s="0" t="str">
        <f aca="false">IF($C80=Board!$B$2,COUNTIFS($C$2:$C$124,Board!$B$2,$AL$2:$AL$124,"&gt;"&amp;$AL80)+COUNTIFS($C$1:$C79,Board!$B$2,$AL$1:$AL79,$AL80)+1,"")</f>
        <v/>
      </c>
      <c r="AS80" s="0" t="str">
        <f aca="false">IFERROR(IF($D80=INDEX(Matches!$AD$5:$AD$19,MATCH($C80,Matches!$A$5:$A$19,0)),"A",IF($D80=INDEX(Matches!$AE$5:$AE$19,MATCH($C80,Matches!$A$5:$A$19,0)),"B","")),"")</f>
        <v>B</v>
      </c>
      <c r="AT80" s="10" t="n">
        <f aca="false">IF($AS80="","",IFERROR(IF($AS80="A",INDEX(Matches!$AI$5:$AI$19,MATCH($C80,Matches!$A$5:$A$19,0)),INDEX(Matches!$AJ$5:$AJ$19,MATCH($C80,Matches!$A$5:$A$19,0))),""))</f>
        <v>0.514414731407475</v>
      </c>
      <c r="AU80" s="10" t="n">
        <f aca="false">IF($AS80="","",IFERROR(IF(INDEX(Matches!$AP$5:$AP$19,MATCH($C80,Matches!$A$5:$A$19,0))="","",IF($AS80="A",INDEX(Matches!$AP$5:$AP$19,MATCH($C80,Matches!$A$5:$A$19,0)),1-INDEX(Matches!$AP$5:$AP$19,MATCH($C80,Matches!$A$5:$A$19,0)))),""))</f>
        <v>0.492025500306511</v>
      </c>
      <c r="AV80" s="13" t="n">
        <f aca="false">IF(OR($AU80="",$AT80=""),1,((Config!$B$14*$AU80+Config!$B$15*(1-$AU80))/(Config!$B$14*$AT80+Config!$B$15*(1-$AT80)))^Config!$B$13)</f>
        <v>0.980247044736885</v>
      </c>
      <c r="AW80" s="10" t="n">
        <f aca="false">IF($AS80="","",IFERROR(IF(INDEX(Matches!$AV$5:$AV$19,MATCH($C80,Matches!$A$5:$A$19,0))="","",IF($AS80="A",INDEX(Matches!$AV$5:$AV$19,MATCH($C80,Matches!$A$5:$A$19,0)),1-INDEX(Matches!$AV$5:$AV$19,MATCH($C80,Matches!$A$5:$A$19,0)))),""))</f>
        <v>0.437509234786059</v>
      </c>
      <c r="AX80" s="13" t="n">
        <f aca="false">IF(OR($AW80="",$AT80=""),1,((Config!$B$14*$AW80+Config!$B$15*(1-$AW80))/(Config!$B$14*$AT80+Config!$B$15*(1-$AT80)))^Config!$B$13)</f>
        <v>0.932149932822614</v>
      </c>
      <c r="AY80" s="10" t="n">
        <f aca="false">IF($AS80="","",IFERROR(IF(INDEX(Matches!$BB$5:$BB$19,MATCH($C80,Matches!$A$5:$A$19,0))="","",IF($AS80="A",INDEX(Matches!$BB$5:$BB$19,MATCH($C80,Matches!$A$5:$A$19,0)),1-INDEX(Matches!$BB$5:$BB$19,MATCH($C80,Matches!$A$5:$A$19,0)))),""))</f>
        <v>0.499135549244838</v>
      </c>
      <c r="AZ80" s="13" t="n">
        <f aca="false">IF(OR($AY80="",$AT80=""),1,((Config!$B$14*$AY80+Config!$B$15*(1-$AY80))/(Config!$B$14*$AT80+Config!$B$15*(1-$AT80)))^Config!$B$13)</f>
        <v>0.986519903235866</v>
      </c>
      <c r="BA80" s="17" t="n">
        <f aca="false">IF(V80="","",V80*$AV80)</f>
        <v>13.9537326606543</v>
      </c>
      <c r="BB80" s="17" t="n">
        <f aca="false">IF(AC80="","",AC80*$AX80)</f>
        <v>11.8066110491312</v>
      </c>
      <c r="BC80" s="17" t="n">
        <f aca="false">IF(AJ80="","",AJ80*$AZ80)</f>
        <v>15.6481293791321</v>
      </c>
      <c r="BD80" s="17" t="n">
        <f aca="false">N(BA80)+N(BB80)</f>
        <v>25.7603437097855</v>
      </c>
      <c r="BE80" s="17" t="n">
        <f aca="false">BD80+N($M80)*N(BC80)</f>
        <v>32.9866498570688</v>
      </c>
      <c r="BF80" s="17" t="n">
        <f aca="false">IF(W80="","",W80*$AV80)</f>
        <v>7.6197347279073</v>
      </c>
      <c r="BG80" s="17" t="n">
        <f aca="false">IF(AD80="","",AD80*$AX80)</f>
        <v>6.58808896541523</v>
      </c>
      <c r="BH80" s="17" t="n">
        <f aca="false">IF(AK80="","",AK80*$AZ80)</f>
        <v>9.39018163826088</v>
      </c>
      <c r="BI80" s="17" t="n">
        <f aca="false">IF(BF80="","",N(BF80)+N(BG80))</f>
        <v>14.2078236933225</v>
      </c>
      <c r="BJ80" s="17" t="n">
        <f aca="false">IF(BI80="","",BI80+N($M80)*N(BH80))</f>
        <v>18.5442095738714</v>
      </c>
      <c r="BK80" s="13" t="n">
        <f aca="false">IFERROR(BD80/AL80,1)</f>
        <v>0.957601047911801</v>
      </c>
    </row>
    <row r="81" customFormat="false" ht="15" hidden="false" customHeight="false" outlineLevel="0" collapsed="false">
      <c r="A81" s="0" t="s">
        <v>1307</v>
      </c>
      <c r="B81" s="0" t="s">
        <v>988</v>
      </c>
      <c r="C81" s="0" t="s">
        <v>1054</v>
      </c>
      <c r="D81" s="0" t="s">
        <v>1058</v>
      </c>
      <c r="E81" s="0" t="s">
        <v>1306</v>
      </c>
      <c r="F81" s="0" t="s">
        <v>1534</v>
      </c>
      <c r="G81" s="0" t="str">
        <f aca="false">IFERROR(IF(INDEX(Matches!$W$5:$W$19,MATCH($C81,Matches!$A$5:$A$19,0))="","",INDEX(Matches!$W$5:$W$19,MATCH($C81,Matches!$A$5:$A$19,0))),"")</f>
        <v>Mirage</v>
      </c>
      <c r="H81" s="0" t="str">
        <f aca="false">IFERROR(IF(INDEX(Matches!$X$5:$X$19,MATCH($C81,Matches!$A$5:$A$19,0))="","",INDEX(Matches!$X$5:$X$19,MATCH($C81,Matches!$A$5:$A$19,0))),"")</f>
        <v>Ancient</v>
      </c>
      <c r="I81" s="0" t="str">
        <f aca="false">IFERROR(IF(INDEX(Matches!$Y$5:$Y$19,MATCH($C81,Matches!$A$5:$A$19,0))="","",INDEX(Matches!$Y$5:$Y$19,MATCH($C81,Matches!$A$5:$A$19,0))),"")</f>
        <v>Cache</v>
      </c>
      <c r="J81" s="11" t="n">
        <f aca="false">IFERROR(IF(INDEX(Matches!$Z$5:$Z$19,MATCH($C81,Matches!$A$5:$A$19,0))="","",INDEX(Matches!$Z$5:$Z$19,MATCH($C81,Matches!$A$5:$A$19,0))),"")</f>
        <v>21.36</v>
      </c>
      <c r="K81" s="11" t="n">
        <f aca="false">IFERROR(IF(INDEX(Matches!$AA$5:$AA$19,MATCH($C81,Matches!$A$5:$A$19,0))="","",INDEX(Matches!$AA$5:$AA$19,MATCH($C81,Matches!$A$5:$A$19,0))),"")</f>
        <v>21.11</v>
      </c>
      <c r="L81" s="11" t="n">
        <f aca="false">IFERROR(IF(INDEX(Matches!$AB$5:$AB$19,MATCH($C81,Matches!$A$5:$A$19,0))="","",INDEX(Matches!$AB$5:$AB$19,MATCH($C81,Matches!$A$5:$A$19,0))),"")</f>
        <v>21.22</v>
      </c>
      <c r="M81" s="10" t="n">
        <f aca="false">IFERROR(IF(INDEX(Matches!$AC$5:$AC$19,MATCH($C81,Matches!$A$5:$A$19,0))="","",INDEX(Matches!$AC$5:$AC$19,MATCH($C81,Matches!$A$5:$A$19,0))),"")</f>
        <v>0.4618</v>
      </c>
      <c r="N81" s="9" t="n">
        <f aca="false">IFERROR(INDEX(Players!$F$2:$F$124,MATCH($F81,Players!$A$2:$A$124,0)),0)</f>
        <v>38</v>
      </c>
      <c r="O81" s="13" t="n">
        <f aca="false">IFERROR(1/(1/INDEX(Players!$H$2:$H$124,MATCH($F81,Players!$A$2:$A$124,0))),"")</f>
        <v>0.54</v>
      </c>
      <c r="P81" s="10" t="n">
        <f aca="false">IFERROR(1/(1/INDEX(Players!$I$2:$I$124,MATCH($F81,Players!$A$2:$A$124,0))),"")</f>
        <v>0.456</v>
      </c>
      <c r="Q81" s="9" t="n">
        <f aca="false">IF($G81="",0,SUMIFS(Map_Stats!$F$2:$F$779,Map_Stats!$A$2:$A$779,$F81&amp;"|"&amp;$G81))</f>
        <v>9</v>
      </c>
      <c r="R81" s="13" t="n">
        <f aca="false">IF($G81="","",IFERROR(1/(1/INDEX(Map_Stats!$K$2:$K$779,MATCH($F81&amp;"|"&amp;$G81,Map_Stats!$A$2:$A$779,0))),$O81))</f>
        <v>0.54</v>
      </c>
      <c r="S81" s="10" t="n">
        <f aca="false">IF(OR($G81="",$P81=""),"",IFERROR(1/(1/INDEX(Map_Stats!$I$2:$I$779,MATCH($F81&amp;"|"&amp;$G81,Map_Stats!$A$2:$A$779,0))),$P81))</f>
        <v>0.464</v>
      </c>
      <c r="T81" s="13" t="n">
        <f aca="false">IF(OR($G81="",R81=""),"",IF($O81="",R81,(Q81*R81+Config!$B$4*$O81)/(Q81+Config!$B$4)))</f>
        <v>0.54</v>
      </c>
      <c r="U81" s="10" t="n">
        <f aca="false">IF(S81="","",(Q81*S81+Config!$B$4*$P81)/(Q81+Config!$B$4))</f>
        <v>0.461142857142857</v>
      </c>
      <c r="V81" s="17" t="n">
        <f aca="false">IF(OR(T81="",$J81=""),"",T81*$J81*($J81/Config!$B$10)^Config!$B$9)</f>
        <v>11.5344</v>
      </c>
      <c r="W81" s="17" t="n">
        <f aca="false">IF(OR(V81="",U81=""),"",V81*U81)</f>
        <v>5.31900617142857</v>
      </c>
      <c r="X81" s="9" t="n">
        <f aca="false">IF($H81="",0,SUMIFS(Map_Stats!$F$2:$F$779,Map_Stats!$A$2:$A$779,$F81&amp;"|"&amp;$H81))</f>
        <v>9</v>
      </c>
      <c r="Y81" s="13" t="n">
        <f aca="false">IF($H81="","",IFERROR(1/(1/INDEX(Map_Stats!$K$2:$K$779,MATCH($F81&amp;"|"&amp;$H81,Map_Stats!$A$2:$A$779,0))),$O81))</f>
        <v>0.58</v>
      </c>
      <c r="Z81" s="10" t="n">
        <f aca="false">IF(OR($H81="",$P81=""),"",IFERROR(1/(1/INDEX(Map_Stats!$I$2:$I$779,MATCH($F81&amp;"|"&amp;$H81,Map_Stats!$A$2:$A$779,0))),$P81))</f>
        <v>0.446</v>
      </c>
      <c r="AA81" s="13" t="n">
        <f aca="false">IF(OR($H81="",Y81=""),"",IF($O81="",Y81,(X81*Y81+Config!$B$4*$O81)/(X81+Config!$B$4)))</f>
        <v>0.565714285714286</v>
      </c>
      <c r="AB81" s="10" t="n">
        <f aca="false">IF(Z81="","",(X81*Z81+Config!$B$4*$P81)/(X81+Config!$B$4))</f>
        <v>0.449571428571429</v>
      </c>
      <c r="AC81" s="17" t="n">
        <f aca="false">IF(OR(AA81="",$K81=""),"",AA81*$K81*($K81/Config!$B$10)^Config!$B$9)</f>
        <v>11.9422285714286</v>
      </c>
      <c r="AD81" s="17" t="n">
        <f aca="false">IF(OR(AC81="",AB81=""),"",AC81*AB81)</f>
        <v>5.36888475918368</v>
      </c>
      <c r="AE81" s="9" t="n">
        <f aca="false">IF($I81="",0,SUMIFS(Map_Stats!$F$2:$F$779,Map_Stats!$A$2:$A$779,$F81&amp;"|"&amp;$I81))</f>
        <v>1</v>
      </c>
      <c r="AF81" s="13" t="n">
        <f aca="false">IF($I81="","",IFERROR(1/(1/INDEX(Map_Stats!$K$2:$K$779,MATCH($F81&amp;"|"&amp;$I81,Map_Stats!$A$2:$A$779,0))),$O81))</f>
        <v>0.65</v>
      </c>
      <c r="AG81" s="10" t="n">
        <f aca="false">IF(OR($I81="",$P81=""),"",IFERROR(1/(1/INDEX(Map_Stats!$I$2:$I$779,MATCH($F81&amp;"|"&amp;$I81,Map_Stats!$A$2:$A$779,0))),$P81))</f>
        <v>0.333</v>
      </c>
      <c r="AH81" s="13" t="n">
        <f aca="false">IF(OR($I81="",AF81=""),"",IF($O81="",AF81,(AE81*AF81+Config!$B$4*$O81)/(AE81+Config!$B$4)))</f>
        <v>0.558333333333333</v>
      </c>
      <c r="AI81" s="10" t="n">
        <f aca="false">IF(AG81="","",(AE81*AG81+Config!$B$4*$P81)/(AE81+Config!$B$4))</f>
        <v>0.4355</v>
      </c>
      <c r="AJ81" s="17" t="n">
        <f aca="false">IF(OR(AH81="",$L81=""),"",AH81*$L81*($L81/Config!$B$10)^Config!$B$9)</f>
        <v>11.8478333333333</v>
      </c>
      <c r="AK81" s="17" t="n">
        <f aca="false">IF(OR(AJ81="",AI81=""),"",AJ81*AI81)</f>
        <v>5.15973141666667</v>
      </c>
      <c r="AL81" s="17" t="n">
        <f aca="false">N(V81)+N(AC81)</f>
        <v>23.4766285714286</v>
      </c>
      <c r="AM81" s="17" t="n">
        <f aca="false">AL81+N($M81)*N(AJ81)</f>
        <v>28.9479580047619</v>
      </c>
      <c r="AN81" s="17" t="n">
        <f aca="false">IF(W81="","",N(W81)+N(AD81))</f>
        <v>10.6878909306122</v>
      </c>
      <c r="AO81" s="17" t="n">
        <f aca="false">IF(AN81="","",AN81+N($M81)*N(AK81))</f>
        <v>13.0706548988289</v>
      </c>
      <c r="AP81" s="10" t="n">
        <f aca="false">IFERROR(AN81/AL81,"")</f>
        <v>0.455256635257227</v>
      </c>
      <c r="AQ81" s="0" t="str">
        <f aca="false">TRIM(IF($N81&lt;Config!$B$12,"thin sample ("&amp;$N81&amp;" maps) · ","")&amp;IF(AND($G81&lt;&gt;"",Q81=0),"M1 unplayed→overall KPR · ","")&amp;IF(AND($H81&lt;&gt;"",X81=0),"M2 unplayed→overall KPR · ","")&amp;IF($O81="","no PickFinder stats",""))</f>
        <v/>
      </c>
      <c r="AR81" s="0" t="str">
        <f aca="false">IF($C81=Board!$B$2,COUNTIFS($C$2:$C$124,Board!$B$2,$AL$2:$AL$124,"&gt;"&amp;$AL81)+COUNTIFS($C$1:$C80,Board!$B$2,$AL$1:$AL80,$AL81)+1,"")</f>
        <v/>
      </c>
      <c r="AS81" s="0" t="str">
        <f aca="false">IFERROR(IF($D81=INDEX(Matches!$AD$5:$AD$19,MATCH($C81,Matches!$A$5:$A$19,0)),"A",IF($D81=INDEX(Matches!$AE$5:$AE$19,MATCH($C81,Matches!$A$5:$A$19,0)),"B","")),"")</f>
        <v>A</v>
      </c>
      <c r="AT81" s="10" t="n">
        <f aca="false">IF($AS81="","",IFERROR(IF($AS81="A",INDEX(Matches!$AI$5:$AI$19,MATCH($C81,Matches!$A$5:$A$19,0)),INDEX(Matches!$AJ$5:$AJ$19,MATCH($C81,Matches!$A$5:$A$19,0))),""))</f>
        <v>0.504513649480324</v>
      </c>
      <c r="AU81" s="10" t="n">
        <f aca="false">IF($AS81="","",IFERROR(IF(INDEX(Matches!$AP$5:$AP$19,MATCH($C81,Matches!$A$5:$A$19,0))="","",IF($AS81="A",INDEX(Matches!$AP$5:$AP$19,MATCH($C81,Matches!$A$5:$A$19,0)),1-INDEX(Matches!$AP$5:$AP$19,MATCH($C81,Matches!$A$5:$A$19,0)))),""))</f>
        <v>0.507974499693489</v>
      </c>
      <c r="AV81" s="13" t="n">
        <f aca="false">IF(OR($AU81="",$AT81=""),1,((Config!$B$14*$AU81+Config!$B$15*(1-$AU81))/(Config!$B$14*$AT81+Config!$B$15*(1-$AT81)))^Config!$B$13)</f>
        <v>1.00308025054806</v>
      </c>
      <c r="AW81" s="10" t="n">
        <f aca="false">IF($AS81="","",IFERROR(IF(INDEX(Matches!$AV$5:$AV$19,MATCH($C81,Matches!$A$5:$A$19,0))="","",IF($AS81="A",INDEX(Matches!$AV$5:$AV$19,MATCH($C81,Matches!$A$5:$A$19,0)),1-INDEX(Matches!$AV$5:$AV$19,MATCH($C81,Matches!$A$5:$A$19,0)))),""))</f>
        <v>0.562490765213941</v>
      </c>
      <c r="AX81" s="13" t="n">
        <f aca="false">IF(OR($AW81="",$AT81=""),1,((Config!$B$14*$AW81+Config!$B$15*(1-$AW81))/(Config!$B$14*$AT81+Config!$B$15*(1-$AT81)))^Config!$B$13)</f>
        <v>1.05160120534377</v>
      </c>
      <c r="AY81" s="10" t="n">
        <f aca="false">IF($AS81="","",IFERROR(IF(INDEX(Matches!$BB$5:$BB$19,MATCH($C81,Matches!$A$5:$A$19,0))="","",IF($AS81="A",INDEX(Matches!$BB$5:$BB$19,MATCH($C81,Matches!$A$5:$A$19,0)),1-INDEX(Matches!$BB$5:$BB$19,MATCH($C81,Matches!$A$5:$A$19,0)))),""))</f>
        <v>0.500864450755162</v>
      </c>
      <c r="AZ81" s="13" t="n">
        <f aca="false">IF(OR($AY81="",$AT81=""),1,((Config!$B$14*$AY81+Config!$B$15*(1-$AY81))/(Config!$B$14*$AT81+Config!$B$15*(1-$AT81)))^Config!$B$13)</f>
        <v>0.996752114168244</v>
      </c>
      <c r="BA81" s="17" t="n">
        <f aca="false">IF(V81="","",V81*$AV81)</f>
        <v>11.5699288419216</v>
      </c>
      <c r="BB81" s="17" t="n">
        <f aca="false">IF(AC81="","",AC81*$AX81)</f>
        <v>12.5584619602051</v>
      </c>
      <c r="BC81" s="17" t="n">
        <f aca="false">IF(AJ81="","",AJ81*$AZ81)</f>
        <v>11.809352923313</v>
      </c>
      <c r="BD81" s="17" t="n">
        <f aca="false">N(BA81)+N(BB81)</f>
        <v>24.1283908021267</v>
      </c>
      <c r="BE81" s="17" t="n">
        <f aca="false">BD81+N($M81)*N(BC81)</f>
        <v>29.5819499821126</v>
      </c>
      <c r="BF81" s="17" t="n">
        <f aca="false">IF(W81="","",W81*$AV81)</f>
        <v>5.33539004310327</v>
      </c>
      <c r="BG81" s="17" t="n">
        <f aca="false">IF(AD81="","",AD81*$AX81)</f>
        <v>5.64592568410935</v>
      </c>
      <c r="BH81" s="17" t="n">
        <f aca="false">IF(AK81="","",AK81*$AZ81)</f>
        <v>5.14297319810281</v>
      </c>
      <c r="BI81" s="17" t="n">
        <f aca="false">IF(BF81="","",N(BF81)+N(BG81))</f>
        <v>10.9813157272126</v>
      </c>
      <c r="BJ81" s="17" t="n">
        <f aca="false">IF(BI81="","",BI81+N($M81)*N(BH81))</f>
        <v>13.3563407500965</v>
      </c>
      <c r="BK81" s="13" t="n">
        <f aca="false">IFERROR(BD81/AL81,1)</f>
        <v>1.02776217329141</v>
      </c>
    </row>
    <row r="82" customFormat="false" ht="15" hidden="false" customHeight="false" outlineLevel="0" collapsed="false">
      <c r="A82" s="0" t="s">
        <v>1309</v>
      </c>
      <c r="B82" s="0" t="s">
        <v>988</v>
      </c>
      <c r="C82" s="0" t="s">
        <v>1054</v>
      </c>
      <c r="D82" s="0" t="s">
        <v>1058</v>
      </c>
      <c r="E82" s="0" t="s">
        <v>1308</v>
      </c>
      <c r="F82" s="0" t="s">
        <v>1535</v>
      </c>
      <c r="G82" s="0" t="str">
        <f aca="false">IFERROR(IF(INDEX(Matches!$W$5:$W$19,MATCH($C82,Matches!$A$5:$A$19,0))="","",INDEX(Matches!$W$5:$W$19,MATCH($C82,Matches!$A$5:$A$19,0))),"")</f>
        <v>Mirage</v>
      </c>
      <c r="H82" s="0" t="str">
        <f aca="false">IFERROR(IF(INDEX(Matches!$X$5:$X$19,MATCH($C82,Matches!$A$5:$A$19,0))="","",INDEX(Matches!$X$5:$X$19,MATCH($C82,Matches!$A$5:$A$19,0))),"")</f>
        <v>Ancient</v>
      </c>
      <c r="I82" s="0" t="str">
        <f aca="false">IFERROR(IF(INDEX(Matches!$Y$5:$Y$19,MATCH($C82,Matches!$A$5:$A$19,0))="","",INDEX(Matches!$Y$5:$Y$19,MATCH($C82,Matches!$A$5:$A$19,0))),"")</f>
        <v>Cache</v>
      </c>
      <c r="J82" s="11" t="n">
        <f aca="false">IFERROR(IF(INDEX(Matches!$Z$5:$Z$19,MATCH($C82,Matches!$A$5:$A$19,0))="","",INDEX(Matches!$Z$5:$Z$19,MATCH($C82,Matches!$A$5:$A$19,0))),"")</f>
        <v>21.36</v>
      </c>
      <c r="K82" s="11" t="n">
        <f aca="false">IFERROR(IF(INDEX(Matches!$AA$5:$AA$19,MATCH($C82,Matches!$A$5:$A$19,0))="","",INDEX(Matches!$AA$5:$AA$19,MATCH($C82,Matches!$A$5:$A$19,0))),"")</f>
        <v>21.11</v>
      </c>
      <c r="L82" s="11" t="n">
        <f aca="false">IFERROR(IF(INDEX(Matches!$AB$5:$AB$19,MATCH($C82,Matches!$A$5:$A$19,0))="","",INDEX(Matches!$AB$5:$AB$19,MATCH($C82,Matches!$A$5:$A$19,0))),"")</f>
        <v>21.22</v>
      </c>
      <c r="M82" s="10" t="n">
        <f aca="false">IFERROR(IF(INDEX(Matches!$AC$5:$AC$19,MATCH($C82,Matches!$A$5:$A$19,0))="","",INDEX(Matches!$AC$5:$AC$19,MATCH($C82,Matches!$A$5:$A$19,0))),"")</f>
        <v>0.4618</v>
      </c>
      <c r="N82" s="9" t="n">
        <f aca="false">IFERROR(INDEX(Players!$F$2:$F$124,MATCH($F82,Players!$A$2:$A$124,0)),0)</f>
        <v>39</v>
      </c>
      <c r="O82" s="13" t="n">
        <f aca="false">IFERROR(1/(1/INDEX(Players!$H$2:$H$124,MATCH($F82,Players!$A$2:$A$124,0))),"")</f>
        <v>0.7</v>
      </c>
      <c r="P82" s="10" t="n">
        <f aca="false">IFERROR(1/(1/INDEX(Players!$I$2:$I$124,MATCH($F82,Players!$A$2:$A$124,0))),"")</f>
        <v>0.474</v>
      </c>
      <c r="Q82" s="9" t="n">
        <f aca="false">IF($G82="",0,SUMIFS(Map_Stats!$F$2:$F$779,Map_Stats!$A$2:$A$779,$F82&amp;"|"&amp;$G82))</f>
        <v>10</v>
      </c>
      <c r="R82" s="13" t="n">
        <f aca="false">IF($G82="","",IFERROR(1/(1/INDEX(Map_Stats!$K$2:$K$779,MATCH($F82&amp;"|"&amp;$G82,Map_Stats!$A$2:$A$779,0))),$O82))</f>
        <v>0.8</v>
      </c>
      <c r="S82" s="10" t="n">
        <f aca="false">IF(OR($G82="",$P82=""),"",IFERROR(1/(1/INDEX(Map_Stats!$I$2:$I$779,MATCH($F82&amp;"|"&amp;$G82,Map_Stats!$A$2:$A$779,0))),$P82))</f>
        <v>0.439</v>
      </c>
      <c r="T82" s="13" t="n">
        <f aca="false">IF(OR($G82="",R82=""),"",IF($O82="",R82,(Q82*R82+Config!$B$4*$O82)/(Q82+Config!$B$4)))</f>
        <v>0.766666666666667</v>
      </c>
      <c r="U82" s="10" t="n">
        <f aca="false">IF(S82="","",(Q82*S82+Config!$B$4*$P82)/(Q82+Config!$B$4))</f>
        <v>0.450666666666667</v>
      </c>
      <c r="V82" s="17" t="n">
        <f aca="false">IF(OR(T82="",$J82=""),"",T82*$J82*($J82/Config!$B$10)^Config!$B$9)</f>
        <v>16.376</v>
      </c>
      <c r="W82" s="17" t="n">
        <f aca="false">IF(OR(V82="",U82=""),"",V82*U82)</f>
        <v>7.38011733333333</v>
      </c>
      <c r="X82" s="9" t="n">
        <f aca="false">IF($H82="",0,SUMIFS(Map_Stats!$F$2:$F$779,Map_Stats!$A$2:$A$779,$F82&amp;"|"&amp;$H82))</f>
        <v>8</v>
      </c>
      <c r="Y82" s="13" t="n">
        <f aca="false">IF($H82="","",IFERROR(1/(1/INDEX(Map_Stats!$K$2:$K$779,MATCH($F82&amp;"|"&amp;$H82,Map_Stats!$A$2:$A$779,0))),$O82))</f>
        <v>0.65</v>
      </c>
      <c r="Z82" s="10" t="n">
        <f aca="false">IF(OR($H82="",$P82=""),"",IFERROR(1/(1/INDEX(Map_Stats!$I$2:$I$779,MATCH($F82&amp;"|"&amp;$H82,Map_Stats!$A$2:$A$779,0))),$P82))</f>
        <v>0.548</v>
      </c>
      <c r="AA82" s="13" t="n">
        <f aca="false">IF(OR($H82="",Y82=""),"",IF($O82="",Y82,(X82*Y82+Config!$B$4*$O82)/(X82+Config!$B$4)))</f>
        <v>0.669230769230769</v>
      </c>
      <c r="AB82" s="10" t="n">
        <f aca="false">IF(Z82="","",(X82*Z82+Config!$B$4*$P82)/(X82+Config!$B$4))</f>
        <v>0.519538461538462</v>
      </c>
      <c r="AC82" s="17" t="n">
        <f aca="false">IF(OR(AA82="",$K82=""),"",AA82*$K82*($K82/Config!$B$10)^Config!$B$9)</f>
        <v>14.1274615384615</v>
      </c>
      <c r="AD82" s="17" t="n">
        <f aca="false">IF(OR(AC82="",AB82=""),"",AC82*AB82)</f>
        <v>7.33975963313609</v>
      </c>
      <c r="AE82" s="9" t="n">
        <f aca="false">IF($I82="",0,SUMIFS(Map_Stats!$F$2:$F$779,Map_Stats!$A$2:$A$779,$F82&amp;"|"&amp;$I82))</f>
        <v>2</v>
      </c>
      <c r="AF82" s="13" t="n">
        <f aca="false">IF($I82="","",IFERROR(1/(1/INDEX(Map_Stats!$K$2:$K$779,MATCH($F82&amp;"|"&amp;$I82,Map_Stats!$A$2:$A$779,0))),$O82))</f>
        <v>1</v>
      </c>
      <c r="AG82" s="10" t="n">
        <f aca="false">IF(OR($I82="",$P82=""),"",IFERROR(1/(1/INDEX(Map_Stats!$I$2:$I$779,MATCH($F82&amp;"|"&amp;$I82,Map_Stats!$A$2:$A$779,0))),$P82))</f>
        <v>0.425</v>
      </c>
      <c r="AH82" s="13" t="n">
        <f aca="false">IF(OR($I82="",AF82=""),"",IF($O82="",AF82,(AE82*AF82+Config!$B$4*$O82)/(AE82+Config!$B$4)))</f>
        <v>0.785714285714286</v>
      </c>
      <c r="AI82" s="10" t="n">
        <f aca="false">IF(AG82="","",(AE82*AG82+Config!$B$4*$P82)/(AE82+Config!$B$4))</f>
        <v>0.46</v>
      </c>
      <c r="AJ82" s="17" t="n">
        <f aca="false">IF(OR(AH82="",$L82=""),"",AH82*$L82*($L82/Config!$B$10)^Config!$B$9)</f>
        <v>16.6728571428571</v>
      </c>
      <c r="AK82" s="17" t="n">
        <f aca="false">IF(OR(AJ82="",AI82=""),"",AJ82*AI82)</f>
        <v>7.66951428571429</v>
      </c>
      <c r="AL82" s="17" t="n">
        <f aca="false">N(V82)+N(AC82)</f>
        <v>30.5034615384615</v>
      </c>
      <c r="AM82" s="17" t="n">
        <f aca="false">AL82+N($M82)*N(AJ82)</f>
        <v>38.202986967033</v>
      </c>
      <c r="AN82" s="17" t="n">
        <f aca="false">IF(W82="","",N(W82)+N(AD82))</f>
        <v>14.7198769664694</v>
      </c>
      <c r="AO82" s="17" t="n">
        <f aca="false">IF(AN82="","",AN82+N($M82)*N(AK82))</f>
        <v>18.2616586636123</v>
      </c>
      <c r="AP82" s="10" t="n">
        <f aca="false">IFERROR(AN82/AL82,"")</f>
        <v>0.482564149249398</v>
      </c>
      <c r="AQ82" s="0" t="str">
        <f aca="false">TRIM(IF($N82&lt;Config!$B$12,"thin sample ("&amp;$N82&amp;" maps) · ","")&amp;IF(AND($G82&lt;&gt;"",Q82=0),"M1 unplayed→overall KPR · ","")&amp;IF(AND($H82&lt;&gt;"",X82=0),"M2 unplayed→overall KPR · ","")&amp;IF($O82="","no PickFinder stats",""))</f>
        <v/>
      </c>
      <c r="AR82" s="0" t="str">
        <f aca="false">IF($C82=Board!$B$2,COUNTIFS($C$2:$C$124,Board!$B$2,$AL$2:$AL$124,"&gt;"&amp;$AL82)+COUNTIFS($C$1:$C81,Board!$B$2,$AL$1:$AL81,$AL82)+1,"")</f>
        <v/>
      </c>
      <c r="AS82" s="0" t="str">
        <f aca="false">IFERROR(IF($D82=INDEX(Matches!$AD$5:$AD$19,MATCH($C82,Matches!$A$5:$A$19,0)),"A",IF($D82=INDEX(Matches!$AE$5:$AE$19,MATCH($C82,Matches!$A$5:$A$19,0)),"B","")),"")</f>
        <v>A</v>
      </c>
      <c r="AT82" s="10" t="n">
        <f aca="false">IF($AS82="","",IFERROR(IF($AS82="A",INDEX(Matches!$AI$5:$AI$19,MATCH($C82,Matches!$A$5:$A$19,0)),INDEX(Matches!$AJ$5:$AJ$19,MATCH($C82,Matches!$A$5:$A$19,0))),""))</f>
        <v>0.504513649480324</v>
      </c>
      <c r="AU82" s="10" t="n">
        <f aca="false">IF($AS82="","",IFERROR(IF(INDEX(Matches!$AP$5:$AP$19,MATCH($C82,Matches!$A$5:$A$19,0))="","",IF($AS82="A",INDEX(Matches!$AP$5:$AP$19,MATCH($C82,Matches!$A$5:$A$19,0)),1-INDEX(Matches!$AP$5:$AP$19,MATCH($C82,Matches!$A$5:$A$19,0)))),""))</f>
        <v>0.507974499693489</v>
      </c>
      <c r="AV82" s="13" t="n">
        <f aca="false">IF(OR($AU82="",$AT82=""),1,((Config!$B$14*$AU82+Config!$B$15*(1-$AU82))/(Config!$B$14*$AT82+Config!$B$15*(1-$AT82)))^Config!$B$13)</f>
        <v>1.00308025054806</v>
      </c>
      <c r="AW82" s="10" t="n">
        <f aca="false">IF($AS82="","",IFERROR(IF(INDEX(Matches!$AV$5:$AV$19,MATCH($C82,Matches!$A$5:$A$19,0))="","",IF($AS82="A",INDEX(Matches!$AV$5:$AV$19,MATCH($C82,Matches!$A$5:$A$19,0)),1-INDEX(Matches!$AV$5:$AV$19,MATCH($C82,Matches!$A$5:$A$19,0)))),""))</f>
        <v>0.562490765213941</v>
      </c>
      <c r="AX82" s="13" t="n">
        <f aca="false">IF(OR($AW82="",$AT82=""),1,((Config!$B$14*$AW82+Config!$B$15*(1-$AW82))/(Config!$B$14*$AT82+Config!$B$15*(1-$AT82)))^Config!$B$13)</f>
        <v>1.05160120534377</v>
      </c>
      <c r="AY82" s="10" t="n">
        <f aca="false">IF($AS82="","",IFERROR(IF(INDEX(Matches!$BB$5:$BB$19,MATCH($C82,Matches!$A$5:$A$19,0))="","",IF($AS82="A",INDEX(Matches!$BB$5:$BB$19,MATCH($C82,Matches!$A$5:$A$19,0)),1-INDEX(Matches!$BB$5:$BB$19,MATCH($C82,Matches!$A$5:$A$19,0)))),""))</f>
        <v>0.500864450755162</v>
      </c>
      <c r="AZ82" s="13" t="n">
        <f aca="false">IF(OR($AY82="",$AT82=""),1,((Config!$B$14*$AY82+Config!$B$15*(1-$AY82))/(Config!$B$14*$AT82+Config!$B$15*(1-$AT82)))^Config!$B$13)</f>
        <v>0.996752114168244</v>
      </c>
      <c r="BA82" s="17" t="n">
        <f aca="false">IF(V82="","",V82*$AV82)</f>
        <v>16.4264421829751</v>
      </c>
      <c r="BB82" s="17" t="n">
        <f aca="false">IF(AC82="","",AC82*$AX82)</f>
        <v>14.8564555822939</v>
      </c>
      <c r="BC82" s="17" t="n">
        <f aca="false">IF(AJ82="","",AJ82*$AZ82)</f>
        <v>16.618705606368</v>
      </c>
      <c r="BD82" s="17" t="n">
        <f aca="false">N(BA82)+N(BB82)</f>
        <v>31.282897765269</v>
      </c>
      <c r="BE82" s="17" t="n">
        <f aca="false">BD82+N($M82)*N(BC82)</f>
        <v>38.9574160142897</v>
      </c>
      <c r="BF82" s="17" t="n">
        <f aca="false">IF(W82="","",W82*$AV82)</f>
        <v>7.4028499437941</v>
      </c>
      <c r="BG82" s="17" t="n">
        <f aca="false">IF(AD82="","",AD82*$AX82)</f>
        <v>7.71850007713946</v>
      </c>
      <c r="BH82" s="17" t="n">
        <f aca="false">IF(AK82="","",AK82*$AZ82)</f>
        <v>7.64460457892926</v>
      </c>
      <c r="BI82" s="17" t="n">
        <f aca="false">IF(BF82="","",N(BF82)+N(BG82))</f>
        <v>15.1213500209336</v>
      </c>
      <c r="BJ82" s="17" t="n">
        <f aca="false">IF(BI82="","",BI82+N($M82)*N(BH82))</f>
        <v>18.6516284154831</v>
      </c>
      <c r="BK82" s="13" t="n">
        <f aca="false">IFERROR(BD82/AL82,1)</f>
        <v>1.02555238610623</v>
      </c>
    </row>
    <row r="83" customFormat="false" ht="15" hidden="false" customHeight="false" outlineLevel="0" collapsed="false">
      <c r="A83" s="0" t="s">
        <v>1311</v>
      </c>
      <c r="B83" s="0" t="s">
        <v>988</v>
      </c>
      <c r="C83" s="0" t="s">
        <v>1054</v>
      </c>
      <c r="D83" s="0" t="s">
        <v>1058</v>
      </c>
      <c r="E83" s="0" t="s">
        <v>1310</v>
      </c>
      <c r="F83" s="0" t="s">
        <v>1536</v>
      </c>
      <c r="G83" s="0" t="str">
        <f aca="false">IFERROR(IF(INDEX(Matches!$W$5:$W$19,MATCH($C83,Matches!$A$5:$A$19,0))="","",INDEX(Matches!$W$5:$W$19,MATCH($C83,Matches!$A$5:$A$19,0))),"")</f>
        <v>Mirage</v>
      </c>
      <c r="H83" s="0" t="str">
        <f aca="false">IFERROR(IF(INDEX(Matches!$X$5:$X$19,MATCH($C83,Matches!$A$5:$A$19,0))="","",INDEX(Matches!$X$5:$X$19,MATCH($C83,Matches!$A$5:$A$19,0))),"")</f>
        <v>Ancient</v>
      </c>
      <c r="I83" s="0" t="str">
        <f aca="false">IFERROR(IF(INDEX(Matches!$Y$5:$Y$19,MATCH($C83,Matches!$A$5:$A$19,0))="","",INDEX(Matches!$Y$5:$Y$19,MATCH($C83,Matches!$A$5:$A$19,0))),"")</f>
        <v>Cache</v>
      </c>
      <c r="J83" s="11" t="n">
        <f aca="false">IFERROR(IF(INDEX(Matches!$Z$5:$Z$19,MATCH($C83,Matches!$A$5:$A$19,0))="","",INDEX(Matches!$Z$5:$Z$19,MATCH($C83,Matches!$A$5:$A$19,0))),"")</f>
        <v>21.36</v>
      </c>
      <c r="K83" s="11" t="n">
        <f aca="false">IFERROR(IF(INDEX(Matches!$AA$5:$AA$19,MATCH($C83,Matches!$A$5:$A$19,0))="","",INDEX(Matches!$AA$5:$AA$19,MATCH($C83,Matches!$A$5:$A$19,0))),"")</f>
        <v>21.11</v>
      </c>
      <c r="L83" s="11" t="n">
        <f aca="false">IFERROR(IF(INDEX(Matches!$AB$5:$AB$19,MATCH($C83,Matches!$A$5:$A$19,0))="","",INDEX(Matches!$AB$5:$AB$19,MATCH($C83,Matches!$A$5:$A$19,0))),"")</f>
        <v>21.22</v>
      </c>
      <c r="M83" s="10" t="n">
        <f aca="false">IFERROR(IF(INDEX(Matches!$AC$5:$AC$19,MATCH($C83,Matches!$A$5:$A$19,0))="","",INDEX(Matches!$AC$5:$AC$19,MATCH($C83,Matches!$A$5:$A$19,0))),"")</f>
        <v>0.4618</v>
      </c>
      <c r="N83" s="9" t="n">
        <f aca="false">IFERROR(INDEX(Players!$F$2:$F$124,MATCH($F83,Players!$A$2:$A$124,0)),0)</f>
        <v>39</v>
      </c>
      <c r="O83" s="13" t="n">
        <f aca="false">IFERROR(1/(1/INDEX(Players!$H$2:$H$124,MATCH($F83,Players!$A$2:$A$124,0))),"")</f>
        <v>0.75</v>
      </c>
      <c r="P83" s="10" t="n">
        <f aca="false">IFERROR(1/(1/INDEX(Players!$I$2:$I$124,MATCH($F83,Players!$A$2:$A$124,0))),"")</f>
        <v>0.559</v>
      </c>
      <c r="Q83" s="9" t="n">
        <f aca="false">IF($G83="",0,SUMIFS(Map_Stats!$F$2:$F$779,Map_Stats!$A$2:$A$779,$F83&amp;"|"&amp;$G83))</f>
        <v>10</v>
      </c>
      <c r="R83" s="13" t="n">
        <f aca="false">IF($G83="","",IFERROR(1/(1/INDEX(Map_Stats!$K$2:$K$779,MATCH($F83&amp;"|"&amp;$G83,Map_Stats!$A$2:$A$779,0))),$O83))</f>
        <v>0.7</v>
      </c>
      <c r="S83" s="10" t="n">
        <f aca="false">IF(OR($G83="",$P83=""),"",IFERROR(1/(1/INDEX(Map_Stats!$I$2:$I$779,MATCH($F83&amp;"|"&amp;$G83,Map_Stats!$A$2:$A$779,0))),$P83))</f>
        <v>0.606</v>
      </c>
      <c r="T83" s="13" t="n">
        <f aca="false">IF(OR($G83="",R83=""),"",IF($O83="",R83,(Q83*R83+Config!$B$4*$O83)/(Q83+Config!$B$4)))</f>
        <v>0.716666666666667</v>
      </c>
      <c r="U83" s="10" t="n">
        <f aca="false">IF(S83="","",(Q83*S83+Config!$B$4*$P83)/(Q83+Config!$B$4))</f>
        <v>0.590333333333333</v>
      </c>
      <c r="V83" s="17" t="n">
        <f aca="false">IF(OR(T83="",$J83=""),"",T83*$J83*($J83/Config!$B$10)^Config!$B$9)</f>
        <v>15.308</v>
      </c>
      <c r="W83" s="17" t="n">
        <f aca="false">IF(OR(V83="",U83=""),"",V83*U83)</f>
        <v>9.03682266666667</v>
      </c>
      <c r="X83" s="9" t="n">
        <f aca="false">IF($H83="",0,SUMIFS(Map_Stats!$F$2:$F$779,Map_Stats!$A$2:$A$779,$F83&amp;"|"&amp;$H83))</f>
        <v>8</v>
      </c>
      <c r="Y83" s="13" t="n">
        <f aca="false">IF($H83="","",IFERROR(1/(1/INDEX(Map_Stats!$K$2:$K$779,MATCH($F83&amp;"|"&amp;$H83,Map_Stats!$A$2:$A$779,0))),$O83))</f>
        <v>0.79</v>
      </c>
      <c r="Z83" s="10" t="n">
        <f aca="false">IF(OR($H83="",$P83=""),"",IFERROR(1/(1/INDEX(Map_Stats!$I$2:$I$779,MATCH($F83&amp;"|"&amp;$H83,Map_Stats!$A$2:$A$779,0))),$P83))</f>
        <v>0.515</v>
      </c>
      <c r="AA83" s="13" t="n">
        <f aca="false">IF(OR($H83="",Y83=""),"",IF($O83="",Y83,(X83*Y83+Config!$B$4*$O83)/(X83+Config!$B$4)))</f>
        <v>0.774615384615385</v>
      </c>
      <c r="AB83" s="10" t="n">
        <f aca="false">IF(Z83="","",(X83*Z83+Config!$B$4*$P83)/(X83+Config!$B$4))</f>
        <v>0.531923076923077</v>
      </c>
      <c r="AC83" s="17" t="n">
        <f aca="false">IF(OR(AA83="",$K83=""),"",AA83*$K83*($K83/Config!$B$10)^Config!$B$9)</f>
        <v>16.3521307692308</v>
      </c>
      <c r="AD83" s="17" t="n">
        <f aca="false">IF(OR(AC83="",AB83=""),"",AC83*AB83)</f>
        <v>8.69807571301775</v>
      </c>
      <c r="AE83" s="9" t="n">
        <f aca="false">IF($I83="",0,SUMIFS(Map_Stats!$F$2:$F$779,Map_Stats!$A$2:$A$779,$F83&amp;"|"&amp;$I83))</f>
        <v>2</v>
      </c>
      <c r="AF83" s="13" t="n">
        <f aca="false">IF($I83="","",IFERROR(1/(1/INDEX(Map_Stats!$K$2:$K$779,MATCH($F83&amp;"|"&amp;$I83,Map_Stats!$A$2:$A$779,0))),$O83))</f>
        <v>0.63</v>
      </c>
      <c r="AG83" s="10" t="n">
        <f aca="false">IF(OR($I83="",$P83=""),"",IFERROR(1/(1/INDEX(Map_Stats!$I$2:$I$779,MATCH($F83&amp;"|"&amp;$I83,Map_Stats!$A$2:$A$779,0))),$P83))</f>
        <v>0.44</v>
      </c>
      <c r="AH83" s="13" t="n">
        <f aca="false">IF(OR($I83="",AF83=""),"",IF($O83="",AF83,(AE83*AF83+Config!$B$4*$O83)/(AE83+Config!$B$4)))</f>
        <v>0.715714285714286</v>
      </c>
      <c r="AI83" s="10" t="n">
        <f aca="false">IF(AG83="","",(AE83*AG83+Config!$B$4*$P83)/(AE83+Config!$B$4))</f>
        <v>0.525</v>
      </c>
      <c r="AJ83" s="17" t="n">
        <f aca="false">IF(OR(AH83="",$L83=""),"",AH83*$L83*($L83/Config!$B$10)^Config!$B$9)</f>
        <v>15.1874571428571</v>
      </c>
      <c r="AK83" s="17" t="n">
        <f aca="false">IF(OR(AJ83="",AI83=""),"",AJ83*AI83)</f>
        <v>7.973415</v>
      </c>
      <c r="AL83" s="17" t="n">
        <f aca="false">N(V83)+N(AC83)</f>
        <v>31.6601307692308</v>
      </c>
      <c r="AM83" s="17" t="n">
        <f aca="false">AL83+N($M83)*N(AJ83)</f>
        <v>38.6736984778022</v>
      </c>
      <c r="AN83" s="17" t="n">
        <f aca="false">IF(W83="","",N(W83)+N(AD83))</f>
        <v>17.7348983796844</v>
      </c>
      <c r="AO83" s="17" t="n">
        <f aca="false">IF(AN83="","",AN83+N($M83)*N(AK83))</f>
        <v>21.4170214266844</v>
      </c>
      <c r="AP83" s="10" t="n">
        <f aca="false">IFERROR(AN83/AL83,"")</f>
        <v>0.560165038766052</v>
      </c>
      <c r="AQ83" s="0" t="str">
        <f aca="false">TRIM(IF($N83&lt;Config!$B$12,"thin sample ("&amp;$N83&amp;" maps) · ","")&amp;IF(AND($G83&lt;&gt;"",Q83=0),"M1 unplayed→overall KPR · ","")&amp;IF(AND($H83&lt;&gt;"",X83=0),"M2 unplayed→overall KPR · ","")&amp;IF($O83="","no PickFinder stats",""))</f>
        <v/>
      </c>
      <c r="AR83" s="0" t="str">
        <f aca="false">IF($C83=Board!$B$2,COUNTIFS($C$2:$C$124,Board!$B$2,$AL$2:$AL$124,"&gt;"&amp;$AL83)+COUNTIFS($C$1:$C82,Board!$B$2,$AL$1:$AL82,$AL83)+1,"")</f>
        <v/>
      </c>
      <c r="AS83" s="0" t="str">
        <f aca="false">IFERROR(IF($D83=INDEX(Matches!$AD$5:$AD$19,MATCH($C83,Matches!$A$5:$A$19,0)),"A",IF($D83=INDEX(Matches!$AE$5:$AE$19,MATCH($C83,Matches!$A$5:$A$19,0)),"B","")),"")</f>
        <v>A</v>
      </c>
      <c r="AT83" s="10" t="n">
        <f aca="false">IF($AS83="","",IFERROR(IF($AS83="A",INDEX(Matches!$AI$5:$AI$19,MATCH($C83,Matches!$A$5:$A$19,0)),INDEX(Matches!$AJ$5:$AJ$19,MATCH($C83,Matches!$A$5:$A$19,0))),""))</f>
        <v>0.504513649480324</v>
      </c>
      <c r="AU83" s="10" t="n">
        <f aca="false">IF($AS83="","",IFERROR(IF(INDEX(Matches!$AP$5:$AP$19,MATCH($C83,Matches!$A$5:$A$19,0))="","",IF($AS83="A",INDEX(Matches!$AP$5:$AP$19,MATCH($C83,Matches!$A$5:$A$19,0)),1-INDEX(Matches!$AP$5:$AP$19,MATCH($C83,Matches!$A$5:$A$19,0)))),""))</f>
        <v>0.507974499693489</v>
      </c>
      <c r="AV83" s="13" t="n">
        <f aca="false">IF(OR($AU83="",$AT83=""),1,((Config!$B$14*$AU83+Config!$B$15*(1-$AU83))/(Config!$B$14*$AT83+Config!$B$15*(1-$AT83)))^Config!$B$13)</f>
        <v>1.00308025054806</v>
      </c>
      <c r="AW83" s="10" t="n">
        <f aca="false">IF($AS83="","",IFERROR(IF(INDEX(Matches!$AV$5:$AV$19,MATCH($C83,Matches!$A$5:$A$19,0))="","",IF($AS83="A",INDEX(Matches!$AV$5:$AV$19,MATCH($C83,Matches!$A$5:$A$19,0)),1-INDEX(Matches!$AV$5:$AV$19,MATCH($C83,Matches!$A$5:$A$19,0)))),""))</f>
        <v>0.562490765213941</v>
      </c>
      <c r="AX83" s="13" t="n">
        <f aca="false">IF(OR($AW83="",$AT83=""),1,((Config!$B$14*$AW83+Config!$B$15*(1-$AW83))/(Config!$B$14*$AT83+Config!$B$15*(1-$AT83)))^Config!$B$13)</f>
        <v>1.05160120534377</v>
      </c>
      <c r="AY83" s="10" t="n">
        <f aca="false">IF($AS83="","",IFERROR(IF(INDEX(Matches!$BB$5:$BB$19,MATCH($C83,Matches!$A$5:$A$19,0))="","",IF($AS83="A",INDEX(Matches!$BB$5:$BB$19,MATCH($C83,Matches!$A$5:$A$19,0)),1-INDEX(Matches!$BB$5:$BB$19,MATCH($C83,Matches!$A$5:$A$19,0)))),""))</f>
        <v>0.500864450755162</v>
      </c>
      <c r="AZ83" s="13" t="n">
        <f aca="false">IF(OR($AY83="",$AT83=""),1,((Config!$B$14*$AY83+Config!$B$15*(1-$AY83))/(Config!$B$14*$AT83+Config!$B$15*(1-$AT83)))^Config!$B$13)</f>
        <v>0.996752114168244</v>
      </c>
      <c r="BA83" s="17" t="n">
        <f aca="false">IF(V83="","",V83*$AV83)</f>
        <v>15.3551524753897</v>
      </c>
      <c r="BB83" s="17" t="n">
        <f aca="false">IF(AC83="","",AC83*$AX83)</f>
        <v>17.195920426862</v>
      </c>
      <c r="BC83" s="17" t="n">
        <f aca="false">IF(AJ83="","",AJ83*$AZ83)</f>
        <v>15.1381300159825</v>
      </c>
      <c r="BD83" s="17" t="n">
        <f aca="false">N(BA83)+N(BB83)</f>
        <v>32.5510729022518</v>
      </c>
      <c r="BE83" s="17" t="n">
        <f aca="false">BD83+N($M83)*N(BC83)</f>
        <v>39.5418613436325</v>
      </c>
      <c r="BF83" s="17" t="n">
        <f aca="false">IF(W83="","",W83*$AV83)</f>
        <v>9.06465834463842</v>
      </c>
      <c r="BG83" s="17" t="n">
        <f aca="false">IF(AD83="","",AD83*$AX83)</f>
        <v>9.14690690398084</v>
      </c>
      <c r="BH83" s="17" t="n">
        <f aca="false">IF(AK83="","",AK83*$AZ83)</f>
        <v>7.94751825839079</v>
      </c>
      <c r="BI83" s="17" t="n">
        <f aca="false">IF(BF83="","",N(BF83)+N(BG83))</f>
        <v>18.2115652486193</v>
      </c>
      <c r="BJ83" s="17" t="n">
        <f aca="false">IF(BI83="","",BI83+N($M83)*N(BH83))</f>
        <v>21.8817291803441</v>
      </c>
      <c r="BK83" s="13" t="n">
        <f aca="false">IFERROR(BD83/AL83,1)</f>
        <v>1.02814082290168</v>
      </c>
    </row>
    <row r="84" customFormat="false" ht="15" hidden="false" customHeight="false" outlineLevel="0" collapsed="false">
      <c r="A84" s="0" t="s">
        <v>1313</v>
      </c>
      <c r="B84" s="0" t="s">
        <v>988</v>
      </c>
      <c r="C84" s="0" t="s">
        <v>1054</v>
      </c>
      <c r="D84" s="0" t="s">
        <v>1058</v>
      </c>
      <c r="E84" s="0" t="s">
        <v>1312</v>
      </c>
      <c r="F84" s="0" t="s">
        <v>1537</v>
      </c>
      <c r="G84" s="0" t="str">
        <f aca="false">IFERROR(IF(INDEX(Matches!$W$5:$W$19,MATCH($C84,Matches!$A$5:$A$19,0))="","",INDEX(Matches!$W$5:$W$19,MATCH($C84,Matches!$A$5:$A$19,0))),"")</f>
        <v>Mirage</v>
      </c>
      <c r="H84" s="0" t="str">
        <f aca="false">IFERROR(IF(INDEX(Matches!$X$5:$X$19,MATCH($C84,Matches!$A$5:$A$19,0))="","",INDEX(Matches!$X$5:$X$19,MATCH($C84,Matches!$A$5:$A$19,0))),"")</f>
        <v>Ancient</v>
      </c>
      <c r="I84" s="0" t="str">
        <f aca="false">IFERROR(IF(INDEX(Matches!$Y$5:$Y$19,MATCH($C84,Matches!$A$5:$A$19,0))="","",INDEX(Matches!$Y$5:$Y$19,MATCH($C84,Matches!$A$5:$A$19,0))),"")</f>
        <v>Cache</v>
      </c>
      <c r="J84" s="11" t="n">
        <f aca="false">IFERROR(IF(INDEX(Matches!$Z$5:$Z$19,MATCH($C84,Matches!$A$5:$A$19,0))="","",INDEX(Matches!$Z$5:$Z$19,MATCH($C84,Matches!$A$5:$A$19,0))),"")</f>
        <v>21.36</v>
      </c>
      <c r="K84" s="11" t="n">
        <f aca="false">IFERROR(IF(INDEX(Matches!$AA$5:$AA$19,MATCH($C84,Matches!$A$5:$A$19,0))="","",INDEX(Matches!$AA$5:$AA$19,MATCH($C84,Matches!$A$5:$A$19,0))),"")</f>
        <v>21.11</v>
      </c>
      <c r="L84" s="11" t="n">
        <f aca="false">IFERROR(IF(INDEX(Matches!$AB$5:$AB$19,MATCH($C84,Matches!$A$5:$A$19,0))="","",INDEX(Matches!$AB$5:$AB$19,MATCH($C84,Matches!$A$5:$A$19,0))),"")</f>
        <v>21.22</v>
      </c>
      <c r="M84" s="10" t="n">
        <f aca="false">IFERROR(IF(INDEX(Matches!$AC$5:$AC$19,MATCH($C84,Matches!$A$5:$A$19,0))="","",INDEX(Matches!$AC$5:$AC$19,MATCH($C84,Matches!$A$5:$A$19,0))),"")</f>
        <v>0.4618</v>
      </c>
      <c r="N84" s="9" t="n">
        <f aca="false">IFERROR(INDEX(Players!$F$2:$F$124,MATCH($F84,Players!$A$2:$A$124,0)),0)</f>
        <v>39</v>
      </c>
      <c r="O84" s="13" t="n">
        <f aca="false">IFERROR(1/(1/INDEX(Players!$H$2:$H$124,MATCH($F84,Players!$A$2:$A$124,0))),"")</f>
        <v>0.63</v>
      </c>
      <c r="P84" s="10" t="n">
        <f aca="false">IFERROR(1/(1/INDEX(Players!$I$2:$I$124,MATCH($F84,Players!$A$2:$A$124,0))),"")</f>
        <v>0.526</v>
      </c>
      <c r="Q84" s="9" t="n">
        <f aca="false">IF($G84="",0,SUMIFS(Map_Stats!$F$2:$F$779,Map_Stats!$A$2:$A$779,$F84&amp;"|"&amp;$G84))</f>
        <v>10</v>
      </c>
      <c r="R84" s="13" t="n">
        <f aca="false">IF($G84="","",IFERROR(1/(1/INDEX(Map_Stats!$K$2:$K$779,MATCH($F84&amp;"|"&amp;$G84,Map_Stats!$A$2:$A$779,0))),$O84))</f>
        <v>0.66</v>
      </c>
      <c r="S84" s="10" t="n">
        <f aca="false">IF(OR($G84="",$P84=""),"",IFERROR(1/(1/INDEX(Map_Stats!$I$2:$I$779,MATCH($F84&amp;"|"&amp;$G84,Map_Stats!$A$2:$A$779,0))),$P84))</f>
        <v>0.506</v>
      </c>
      <c r="T84" s="13" t="n">
        <f aca="false">IF(OR($G84="",R84=""),"",IF($O84="",R84,(Q84*R84+Config!$B$4*$O84)/(Q84+Config!$B$4)))</f>
        <v>0.65</v>
      </c>
      <c r="U84" s="10" t="n">
        <f aca="false">IF(S84="","",(Q84*S84+Config!$B$4*$P84)/(Q84+Config!$B$4))</f>
        <v>0.512666666666667</v>
      </c>
      <c r="V84" s="17" t="n">
        <f aca="false">IF(OR(T84="",$J84=""),"",T84*$J84*($J84/Config!$B$10)^Config!$B$9)</f>
        <v>13.884</v>
      </c>
      <c r="W84" s="17" t="n">
        <f aca="false">IF(OR(V84="",U84=""),"",V84*U84)</f>
        <v>7.117864</v>
      </c>
      <c r="X84" s="9" t="n">
        <f aca="false">IF($H84="",0,SUMIFS(Map_Stats!$F$2:$F$779,Map_Stats!$A$2:$A$779,$F84&amp;"|"&amp;$H84))</f>
        <v>8</v>
      </c>
      <c r="Y84" s="13" t="n">
        <f aca="false">IF($H84="","",IFERROR(1/(1/INDEX(Map_Stats!$K$2:$K$779,MATCH($F84&amp;"|"&amp;$H84,Map_Stats!$A$2:$A$779,0))),$O84))</f>
        <v>0.66</v>
      </c>
      <c r="Z84" s="10" t="n">
        <f aca="false">IF(OR($H84="",$P84=""),"",IFERROR(1/(1/INDEX(Map_Stats!$I$2:$I$779,MATCH($F84&amp;"|"&amp;$H84,Map_Stats!$A$2:$A$779,0))),$P84))</f>
        <v>0.5</v>
      </c>
      <c r="AA84" s="13" t="n">
        <f aca="false">IF(OR($H84="",Y84=""),"",IF($O84="",Y84,(X84*Y84+Config!$B$4*$O84)/(X84+Config!$B$4)))</f>
        <v>0.648461538461538</v>
      </c>
      <c r="AB84" s="10" t="n">
        <f aca="false">IF(Z84="","",(X84*Z84+Config!$B$4*$P84)/(X84+Config!$B$4))</f>
        <v>0.51</v>
      </c>
      <c r="AC84" s="17" t="n">
        <f aca="false">IF(OR(AA84="",$K84=""),"",AA84*$K84*($K84/Config!$B$10)^Config!$B$9)</f>
        <v>13.6890230769231</v>
      </c>
      <c r="AD84" s="17" t="n">
        <f aca="false">IF(OR(AC84="",AB84=""),"",AC84*AB84)</f>
        <v>6.98140176923077</v>
      </c>
      <c r="AE84" s="9" t="n">
        <f aca="false">IF($I84="",0,SUMIFS(Map_Stats!$F$2:$F$779,Map_Stats!$A$2:$A$779,$F84&amp;"|"&amp;$I84))</f>
        <v>2</v>
      </c>
      <c r="AF84" s="13" t="n">
        <f aca="false">IF($I84="","",IFERROR(1/(1/INDEX(Map_Stats!$K$2:$K$779,MATCH($F84&amp;"|"&amp;$I84,Map_Stats!$A$2:$A$779,0))),$O84))</f>
        <v>0.5</v>
      </c>
      <c r="AG84" s="10" t="n">
        <f aca="false">IF(OR($I84="",$P84=""),"",IFERROR(1/(1/INDEX(Map_Stats!$I$2:$I$779,MATCH($F84&amp;"|"&amp;$I84,Map_Stats!$A$2:$A$779,0))),$P84))</f>
        <v>0.65</v>
      </c>
      <c r="AH84" s="13" t="n">
        <f aca="false">IF(OR($I84="",AF84=""),"",IF($O84="",AF84,(AE84*AF84+Config!$B$4*$O84)/(AE84+Config!$B$4)))</f>
        <v>0.592857142857143</v>
      </c>
      <c r="AI84" s="10" t="n">
        <f aca="false">IF(AG84="","",(AE84*AG84+Config!$B$4*$P84)/(AE84+Config!$B$4))</f>
        <v>0.561428571428571</v>
      </c>
      <c r="AJ84" s="17" t="n">
        <f aca="false">IF(OR(AH84="",$L84=""),"",AH84*$L84*($L84/Config!$B$10)^Config!$B$9)</f>
        <v>12.5804285714286</v>
      </c>
      <c r="AK84" s="17" t="n">
        <f aca="false">IF(OR(AJ84="",AI84=""),"",AJ84*AI84)</f>
        <v>7.06301204081633</v>
      </c>
      <c r="AL84" s="17" t="n">
        <f aca="false">N(V84)+N(AC84)</f>
        <v>27.5730230769231</v>
      </c>
      <c r="AM84" s="17" t="n">
        <f aca="false">AL84+N($M84)*N(AJ84)</f>
        <v>33.3826649912088</v>
      </c>
      <c r="AN84" s="17" t="n">
        <f aca="false">IF(W84="","",N(W84)+N(AD84))</f>
        <v>14.0992657692308</v>
      </c>
      <c r="AO84" s="17" t="n">
        <f aca="false">IF(AN84="","",AN84+N($M84)*N(AK84))</f>
        <v>17.3609647296797</v>
      </c>
      <c r="AP84" s="10" t="n">
        <f aca="false">IFERROR(AN84/AL84,"")</f>
        <v>0.511342761723904</v>
      </c>
      <c r="AQ84" s="0" t="str">
        <f aca="false">TRIM(IF($N84&lt;Config!$B$12,"thin sample ("&amp;$N84&amp;" maps) · ","")&amp;IF(AND($G84&lt;&gt;"",Q84=0),"M1 unplayed→overall KPR · ","")&amp;IF(AND($H84&lt;&gt;"",X84=0),"M2 unplayed→overall KPR · ","")&amp;IF($O84="","no PickFinder stats",""))</f>
        <v/>
      </c>
      <c r="AR84" s="0" t="str">
        <f aca="false">IF($C84=Board!$B$2,COUNTIFS($C$2:$C$124,Board!$B$2,$AL$2:$AL$124,"&gt;"&amp;$AL84)+COUNTIFS($C$1:$C83,Board!$B$2,$AL$1:$AL83,$AL84)+1,"")</f>
        <v/>
      </c>
      <c r="AS84" s="0" t="str">
        <f aca="false">IFERROR(IF($D84=INDEX(Matches!$AD$5:$AD$19,MATCH($C84,Matches!$A$5:$A$19,0)),"A",IF($D84=INDEX(Matches!$AE$5:$AE$19,MATCH($C84,Matches!$A$5:$A$19,0)),"B","")),"")</f>
        <v>A</v>
      </c>
      <c r="AT84" s="10" t="n">
        <f aca="false">IF($AS84="","",IFERROR(IF($AS84="A",INDEX(Matches!$AI$5:$AI$19,MATCH($C84,Matches!$A$5:$A$19,0)),INDEX(Matches!$AJ$5:$AJ$19,MATCH($C84,Matches!$A$5:$A$19,0))),""))</f>
        <v>0.504513649480324</v>
      </c>
      <c r="AU84" s="10" t="n">
        <f aca="false">IF($AS84="","",IFERROR(IF(INDEX(Matches!$AP$5:$AP$19,MATCH($C84,Matches!$A$5:$A$19,0))="","",IF($AS84="A",INDEX(Matches!$AP$5:$AP$19,MATCH($C84,Matches!$A$5:$A$19,0)),1-INDEX(Matches!$AP$5:$AP$19,MATCH($C84,Matches!$A$5:$A$19,0)))),""))</f>
        <v>0.507974499693489</v>
      </c>
      <c r="AV84" s="13" t="n">
        <f aca="false">IF(OR($AU84="",$AT84=""),1,((Config!$B$14*$AU84+Config!$B$15*(1-$AU84))/(Config!$B$14*$AT84+Config!$B$15*(1-$AT84)))^Config!$B$13)</f>
        <v>1.00308025054806</v>
      </c>
      <c r="AW84" s="10" t="n">
        <f aca="false">IF($AS84="","",IFERROR(IF(INDEX(Matches!$AV$5:$AV$19,MATCH($C84,Matches!$A$5:$A$19,0))="","",IF($AS84="A",INDEX(Matches!$AV$5:$AV$19,MATCH($C84,Matches!$A$5:$A$19,0)),1-INDEX(Matches!$AV$5:$AV$19,MATCH($C84,Matches!$A$5:$A$19,0)))),""))</f>
        <v>0.562490765213941</v>
      </c>
      <c r="AX84" s="13" t="n">
        <f aca="false">IF(OR($AW84="",$AT84=""),1,((Config!$B$14*$AW84+Config!$B$15*(1-$AW84))/(Config!$B$14*$AT84+Config!$B$15*(1-$AT84)))^Config!$B$13)</f>
        <v>1.05160120534377</v>
      </c>
      <c r="AY84" s="10" t="n">
        <f aca="false">IF($AS84="","",IFERROR(IF(INDEX(Matches!$BB$5:$BB$19,MATCH($C84,Matches!$A$5:$A$19,0))="","",IF($AS84="A",INDEX(Matches!$BB$5:$BB$19,MATCH($C84,Matches!$A$5:$A$19,0)),1-INDEX(Matches!$BB$5:$BB$19,MATCH($C84,Matches!$A$5:$A$19,0)))),""))</f>
        <v>0.500864450755162</v>
      </c>
      <c r="AZ84" s="13" t="n">
        <f aca="false">IF(OR($AY84="",$AT84=""),1,((Config!$B$14*$AY84+Config!$B$15*(1-$AY84))/(Config!$B$14*$AT84+Config!$B$15*(1-$AT84)))^Config!$B$13)</f>
        <v>0.996752114168244</v>
      </c>
      <c r="BA84" s="17" t="n">
        <f aca="false">IF(V84="","",V84*$AV84)</f>
        <v>13.9267661986093</v>
      </c>
      <c r="BB84" s="17" t="n">
        <f aca="false">IF(AC84="","",AC84*$AX84)</f>
        <v>14.395393167671</v>
      </c>
      <c r="BC84" s="17" t="n">
        <f aca="false">IF(AJ84="","",AJ84*$AZ84)</f>
        <v>12.539568775714</v>
      </c>
      <c r="BD84" s="17" t="n">
        <f aca="false">N(BA84)+N(BB84)</f>
        <v>28.3221593662803</v>
      </c>
      <c r="BE84" s="17" t="n">
        <f aca="false">BD84+N($M84)*N(BC84)</f>
        <v>34.112932226905</v>
      </c>
      <c r="BF84" s="17" t="n">
        <f aca="false">IF(W84="","",W84*$AV84)</f>
        <v>7.13978880448704</v>
      </c>
      <c r="BG84" s="17" t="n">
        <f aca="false">IF(AD84="","",AD84*$AX84)</f>
        <v>7.34165051551221</v>
      </c>
      <c r="BH84" s="17" t="n">
        <f aca="false">IF(AK84="","",AK84*$AZ84)</f>
        <v>7.04007218407944</v>
      </c>
      <c r="BI84" s="17" t="n">
        <f aca="false">IF(BF84="","",N(BF84)+N(BG84))</f>
        <v>14.4814393199992</v>
      </c>
      <c r="BJ84" s="17" t="n">
        <f aca="false">IF(BI84="","",BI84+N($M84)*N(BH84))</f>
        <v>17.7325446546071</v>
      </c>
      <c r="BK84" s="13" t="n">
        <f aca="false">IFERROR(BD84/AL84,1)</f>
        <v>1.02716917500367</v>
      </c>
    </row>
    <row r="85" customFormat="false" ht="15" hidden="false" customHeight="false" outlineLevel="0" collapsed="false">
      <c r="A85" s="0" t="s">
        <v>1315</v>
      </c>
      <c r="B85" s="0" t="s">
        <v>988</v>
      </c>
      <c r="C85" s="0" t="s">
        <v>1054</v>
      </c>
      <c r="D85" s="0" t="s">
        <v>1058</v>
      </c>
      <c r="E85" s="0" t="s">
        <v>1314</v>
      </c>
      <c r="F85" s="0" t="s">
        <v>1538</v>
      </c>
      <c r="G85" s="0" t="str">
        <f aca="false">IFERROR(IF(INDEX(Matches!$W$5:$W$19,MATCH($C85,Matches!$A$5:$A$19,0))="","",INDEX(Matches!$W$5:$W$19,MATCH($C85,Matches!$A$5:$A$19,0))),"")</f>
        <v>Mirage</v>
      </c>
      <c r="H85" s="0" t="str">
        <f aca="false">IFERROR(IF(INDEX(Matches!$X$5:$X$19,MATCH($C85,Matches!$A$5:$A$19,0))="","",INDEX(Matches!$X$5:$X$19,MATCH($C85,Matches!$A$5:$A$19,0))),"")</f>
        <v>Ancient</v>
      </c>
      <c r="I85" s="0" t="str">
        <f aca="false">IFERROR(IF(INDEX(Matches!$Y$5:$Y$19,MATCH($C85,Matches!$A$5:$A$19,0))="","",INDEX(Matches!$Y$5:$Y$19,MATCH($C85,Matches!$A$5:$A$19,0))),"")</f>
        <v>Cache</v>
      </c>
      <c r="J85" s="11" t="n">
        <f aca="false">IFERROR(IF(INDEX(Matches!$Z$5:$Z$19,MATCH($C85,Matches!$A$5:$A$19,0))="","",INDEX(Matches!$Z$5:$Z$19,MATCH($C85,Matches!$A$5:$A$19,0))),"")</f>
        <v>21.36</v>
      </c>
      <c r="K85" s="11" t="n">
        <f aca="false">IFERROR(IF(INDEX(Matches!$AA$5:$AA$19,MATCH($C85,Matches!$A$5:$A$19,0))="","",INDEX(Matches!$AA$5:$AA$19,MATCH($C85,Matches!$A$5:$A$19,0))),"")</f>
        <v>21.11</v>
      </c>
      <c r="L85" s="11" t="n">
        <f aca="false">IFERROR(IF(INDEX(Matches!$AB$5:$AB$19,MATCH($C85,Matches!$A$5:$A$19,0))="","",INDEX(Matches!$AB$5:$AB$19,MATCH($C85,Matches!$A$5:$A$19,0))),"")</f>
        <v>21.22</v>
      </c>
      <c r="M85" s="10" t="n">
        <f aca="false">IFERROR(IF(INDEX(Matches!$AC$5:$AC$19,MATCH($C85,Matches!$A$5:$A$19,0))="","",INDEX(Matches!$AC$5:$AC$19,MATCH($C85,Matches!$A$5:$A$19,0))),"")</f>
        <v>0.4618</v>
      </c>
      <c r="N85" s="9" t="n">
        <f aca="false">IFERROR(INDEX(Players!$F$2:$F$124,MATCH($F85,Players!$A$2:$A$124,0)),0)</f>
        <v>39</v>
      </c>
      <c r="O85" s="13" t="n">
        <f aca="false">IFERROR(1/(1/INDEX(Players!$H$2:$H$124,MATCH($F85,Players!$A$2:$A$124,0))),"")</f>
        <v>0.69</v>
      </c>
      <c r="P85" s="10" t="n">
        <f aca="false">IFERROR(1/(1/INDEX(Players!$I$2:$I$124,MATCH($F85,Players!$A$2:$A$124,0))),"")</f>
        <v>0.318</v>
      </c>
      <c r="Q85" s="9" t="n">
        <f aca="false">IF($G85="",0,SUMIFS(Map_Stats!$F$2:$F$779,Map_Stats!$A$2:$A$779,$F85&amp;"|"&amp;$G85))</f>
        <v>10</v>
      </c>
      <c r="R85" s="13" t="n">
        <f aca="false">IF($G85="","",IFERROR(1/(1/INDEX(Map_Stats!$K$2:$K$779,MATCH($F85&amp;"|"&amp;$G85,Map_Stats!$A$2:$A$779,0))),$O85))</f>
        <v>0.67</v>
      </c>
      <c r="S85" s="10" t="n">
        <f aca="false">IF(OR($G85="",$P85=""),"",IFERROR(1/(1/INDEX(Map_Stats!$I$2:$I$779,MATCH($F85&amp;"|"&amp;$G85,Map_Stats!$A$2:$A$779,0))),$P85))</f>
        <v>0.304</v>
      </c>
      <c r="T85" s="13" t="n">
        <f aca="false">IF(OR($G85="",R85=""),"",IF($O85="",R85,(Q85*R85+Config!$B$4*$O85)/(Q85+Config!$B$4)))</f>
        <v>0.676666666666667</v>
      </c>
      <c r="U85" s="10" t="n">
        <f aca="false">IF(S85="","",(Q85*S85+Config!$B$4*$P85)/(Q85+Config!$B$4))</f>
        <v>0.308666666666667</v>
      </c>
      <c r="V85" s="17" t="n">
        <f aca="false">IF(OR(T85="",$J85=""),"",T85*$J85*($J85/Config!$B$10)^Config!$B$9)</f>
        <v>14.4536</v>
      </c>
      <c r="W85" s="17" t="n">
        <f aca="false">IF(OR(V85="",U85=""),"",V85*U85)</f>
        <v>4.46134453333333</v>
      </c>
      <c r="X85" s="9" t="n">
        <f aca="false">IF($H85="",0,SUMIFS(Map_Stats!$F$2:$F$779,Map_Stats!$A$2:$A$779,$F85&amp;"|"&amp;$H85))</f>
        <v>8</v>
      </c>
      <c r="Y85" s="13" t="n">
        <f aca="false">IF($H85="","",IFERROR(1/(1/INDEX(Map_Stats!$K$2:$K$779,MATCH($F85&amp;"|"&amp;$H85,Map_Stats!$A$2:$A$779,0))),$O85))</f>
        <v>0.69</v>
      </c>
      <c r="Z85" s="10" t="n">
        <f aca="false">IF(OR($H85="",$P85=""),"",IFERROR(1/(1/INDEX(Map_Stats!$I$2:$I$779,MATCH($F85&amp;"|"&amp;$H85,Map_Stats!$A$2:$A$779,0))),$P85))</f>
        <v>0.319</v>
      </c>
      <c r="AA85" s="13" t="n">
        <f aca="false">IF(OR($H85="",Y85=""),"",IF($O85="",Y85,(X85*Y85+Config!$B$4*$O85)/(X85+Config!$B$4)))</f>
        <v>0.69</v>
      </c>
      <c r="AB85" s="10" t="n">
        <f aca="false">IF(Z85="","",(X85*Z85+Config!$B$4*$P85)/(X85+Config!$B$4))</f>
        <v>0.318615384615385</v>
      </c>
      <c r="AC85" s="17" t="n">
        <f aca="false">IF(OR(AA85="",$K85=""),"",AA85*$K85*($K85/Config!$B$10)^Config!$B$9)</f>
        <v>14.5659</v>
      </c>
      <c r="AD85" s="17" t="n">
        <f aca="false">IF(OR(AC85="",AB85=""),"",AC85*AB85)</f>
        <v>4.64091983076923</v>
      </c>
      <c r="AE85" s="9" t="n">
        <f aca="false">IF($I85="",0,SUMIFS(Map_Stats!$F$2:$F$779,Map_Stats!$A$2:$A$779,$F85&amp;"|"&amp;$I85))</f>
        <v>2</v>
      </c>
      <c r="AF85" s="13" t="n">
        <f aca="false">IF($I85="","",IFERROR(1/(1/INDEX(Map_Stats!$K$2:$K$779,MATCH($F85&amp;"|"&amp;$I85,Map_Stats!$A$2:$A$779,0))),$O85))</f>
        <v>0.63</v>
      </c>
      <c r="AG85" s="10" t="n">
        <f aca="false">IF(OR($I85="",$P85=""),"",IFERROR(1/(1/INDEX(Map_Stats!$I$2:$I$779,MATCH($F85&amp;"|"&amp;$I85,Map_Stats!$A$2:$A$779,0))),$P85))</f>
        <v>0.32</v>
      </c>
      <c r="AH85" s="13" t="n">
        <f aca="false">IF(OR($I85="",AF85=""),"",IF($O85="",AF85,(AE85*AF85+Config!$B$4*$O85)/(AE85+Config!$B$4)))</f>
        <v>0.672857142857143</v>
      </c>
      <c r="AI85" s="10" t="n">
        <f aca="false">IF(AG85="","",(AE85*AG85+Config!$B$4*$P85)/(AE85+Config!$B$4))</f>
        <v>0.318571428571429</v>
      </c>
      <c r="AJ85" s="17" t="n">
        <f aca="false">IF(OR(AH85="",$L85=""),"",AH85*$L85*($L85/Config!$B$10)^Config!$B$9)</f>
        <v>14.2780285714286</v>
      </c>
      <c r="AK85" s="17" t="n">
        <f aca="false">IF(OR(AJ85="",AI85=""),"",AJ85*AI85)</f>
        <v>4.54857195918367</v>
      </c>
      <c r="AL85" s="17" t="n">
        <f aca="false">N(V85)+N(AC85)</f>
        <v>29.0195</v>
      </c>
      <c r="AM85" s="17" t="n">
        <f aca="false">AL85+N($M85)*N(AJ85)</f>
        <v>35.6130935942857</v>
      </c>
      <c r="AN85" s="17" t="n">
        <f aca="false">IF(W85="","",N(W85)+N(AD85))</f>
        <v>9.10226436410256</v>
      </c>
      <c r="AO85" s="17" t="n">
        <f aca="false">IF(AN85="","",AN85+N($M85)*N(AK85))</f>
        <v>11.2027948948536</v>
      </c>
      <c r="AP85" s="10" t="n">
        <f aca="false">IFERROR(AN85/AL85,"")</f>
        <v>0.313660275473477</v>
      </c>
      <c r="AQ85" s="0" t="str">
        <f aca="false">TRIM(IF($N85&lt;Config!$B$12,"thin sample ("&amp;$N85&amp;" maps) · ","")&amp;IF(AND($G85&lt;&gt;"",Q85=0),"M1 unplayed→overall KPR · ","")&amp;IF(AND($H85&lt;&gt;"",X85=0),"M2 unplayed→overall KPR · ","")&amp;IF($O85="","no PickFinder stats",""))</f>
        <v/>
      </c>
      <c r="AR85" s="0" t="str">
        <f aca="false">IF($C85=Board!$B$2,COUNTIFS($C$2:$C$124,Board!$B$2,$AL$2:$AL$124,"&gt;"&amp;$AL85)+COUNTIFS($C$1:$C84,Board!$B$2,$AL$1:$AL84,$AL85)+1,"")</f>
        <v/>
      </c>
      <c r="AS85" s="0" t="str">
        <f aca="false">IFERROR(IF($D85=INDEX(Matches!$AD$5:$AD$19,MATCH($C85,Matches!$A$5:$A$19,0)),"A",IF($D85=INDEX(Matches!$AE$5:$AE$19,MATCH($C85,Matches!$A$5:$A$19,0)),"B","")),"")</f>
        <v>A</v>
      </c>
      <c r="AT85" s="10" t="n">
        <f aca="false">IF($AS85="","",IFERROR(IF($AS85="A",INDEX(Matches!$AI$5:$AI$19,MATCH($C85,Matches!$A$5:$A$19,0)),INDEX(Matches!$AJ$5:$AJ$19,MATCH($C85,Matches!$A$5:$A$19,0))),""))</f>
        <v>0.504513649480324</v>
      </c>
      <c r="AU85" s="10" t="n">
        <f aca="false">IF($AS85="","",IFERROR(IF(INDEX(Matches!$AP$5:$AP$19,MATCH($C85,Matches!$A$5:$A$19,0))="","",IF($AS85="A",INDEX(Matches!$AP$5:$AP$19,MATCH($C85,Matches!$A$5:$A$19,0)),1-INDEX(Matches!$AP$5:$AP$19,MATCH($C85,Matches!$A$5:$A$19,0)))),""))</f>
        <v>0.507974499693489</v>
      </c>
      <c r="AV85" s="13" t="n">
        <f aca="false">IF(OR($AU85="",$AT85=""),1,((Config!$B$14*$AU85+Config!$B$15*(1-$AU85))/(Config!$B$14*$AT85+Config!$B$15*(1-$AT85)))^Config!$B$13)</f>
        <v>1.00308025054806</v>
      </c>
      <c r="AW85" s="10" t="n">
        <f aca="false">IF($AS85="","",IFERROR(IF(INDEX(Matches!$AV$5:$AV$19,MATCH($C85,Matches!$A$5:$A$19,0))="","",IF($AS85="A",INDEX(Matches!$AV$5:$AV$19,MATCH($C85,Matches!$A$5:$A$19,0)),1-INDEX(Matches!$AV$5:$AV$19,MATCH($C85,Matches!$A$5:$A$19,0)))),""))</f>
        <v>0.562490765213941</v>
      </c>
      <c r="AX85" s="13" t="n">
        <f aca="false">IF(OR($AW85="",$AT85=""),1,((Config!$B$14*$AW85+Config!$B$15*(1-$AW85))/(Config!$B$14*$AT85+Config!$B$15*(1-$AT85)))^Config!$B$13)</f>
        <v>1.05160120534377</v>
      </c>
      <c r="AY85" s="10" t="n">
        <f aca="false">IF($AS85="","",IFERROR(IF(INDEX(Matches!$BB$5:$BB$19,MATCH($C85,Matches!$A$5:$A$19,0))="","",IF($AS85="A",INDEX(Matches!$BB$5:$BB$19,MATCH($C85,Matches!$A$5:$A$19,0)),1-INDEX(Matches!$BB$5:$BB$19,MATCH($C85,Matches!$A$5:$A$19,0)))),""))</f>
        <v>0.500864450755162</v>
      </c>
      <c r="AZ85" s="13" t="n">
        <f aca="false">IF(OR($AY85="",$AT85=""),1,((Config!$B$14*$AY85+Config!$B$15*(1-$AY85))/(Config!$B$14*$AT85+Config!$B$15*(1-$AT85)))^Config!$B$13)</f>
        <v>0.996752114168244</v>
      </c>
      <c r="BA85" s="17" t="n">
        <f aca="false">IF(V85="","",V85*$AV85)</f>
        <v>14.4981207093215</v>
      </c>
      <c r="BB85" s="17" t="n">
        <f aca="false">IF(AC85="","",AC85*$AX85)</f>
        <v>15.3175179969168</v>
      </c>
      <c r="BC85" s="17" t="n">
        <f aca="false">IF(AJ85="","",AJ85*$AZ85)</f>
        <v>14.231655164726</v>
      </c>
      <c r="BD85" s="17" t="n">
        <f aca="false">N(BA85)+N(BB85)</f>
        <v>29.8156387062383</v>
      </c>
      <c r="BE85" s="17" t="n">
        <f aca="false">BD85+N($M85)*N(BC85)</f>
        <v>36.3878170613088</v>
      </c>
      <c r="BF85" s="17" t="n">
        <f aca="false">IF(W85="","",W85*$AV85)</f>
        <v>4.47508659227723</v>
      </c>
      <c r="BG85" s="17" t="n">
        <f aca="false">IF(AD85="","",AD85*$AX85)</f>
        <v>4.88039688794073</v>
      </c>
      <c r="BH85" s="17" t="n">
        <f aca="false">IF(AK85="","",AK85*$AZ85)</f>
        <v>4.53379871676272</v>
      </c>
      <c r="BI85" s="17" t="n">
        <f aca="false">IF(BF85="","",N(BF85)+N(BG85))</f>
        <v>9.35548348021796</v>
      </c>
      <c r="BJ85" s="17" t="n">
        <f aca="false">IF(BI85="","",BI85+N($M85)*N(BH85))</f>
        <v>11.449191727619</v>
      </c>
      <c r="BK85" s="13" t="n">
        <f aca="false">IFERROR(BD85/AL85,1)</f>
        <v>1.02743461142467</v>
      </c>
    </row>
    <row r="86" customFormat="false" ht="15" hidden="false" customHeight="false" outlineLevel="0" collapsed="false">
      <c r="A86" s="0" t="s">
        <v>1317</v>
      </c>
      <c r="B86" s="0" t="s">
        <v>988</v>
      </c>
      <c r="C86" s="0" t="s">
        <v>1034</v>
      </c>
      <c r="D86" s="0" t="s">
        <v>1040</v>
      </c>
      <c r="E86" s="0" t="s">
        <v>1316</v>
      </c>
      <c r="F86" s="0" t="s">
        <v>1539</v>
      </c>
      <c r="G86" s="0" t="str">
        <f aca="false">IFERROR(IF(INDEX(Matches!$W$5:$W$19,MATCH($C86,Matches!$A$5:$A$19,0))="","",INDEX(Matches!$W$5:$W$19,MATCH($C86,Matches!$A$5:$A$19,0))),"")</f>
        <v>Mirage</v>
      </c>
      <c r="H86" s="0" t="str">
        <f aca="false">IFERROR(IF(INDEX(Matches!$X$5:$X$19,MATCH($C86,Matches!$A$5:$A$19,0))="","",INDEX(Matches!$X$5:$X$19,MATCH($C86,Matches!$A$5:$A$19,0))),"")</f>
        <v>Dust2</v>
      </c>
      <c r="I86" s="0" t="str">
        <f aca="false">IFERROR(IF(INDEX(Matches!$Y$5:$Y$19,MATCH($C86,Matches!$A$5:$A$19,0))="","",INDEX(Matches!$Y$5:$Y$19,MATCH($C86,Matches!$A$5:$A$19,0))),"")</f>
        <v>Nuke</v>
      </c>
      <c r="J86" s="11" t="n">
        <f aca="false">IFERROR(IF(INDEX(Matches!$Z$5:$Z$19,MATCH($C86,Matches!$A$5:$A$19,0))="","",INDEX(Matches!$Z$5:$Z$19,MATCH($C86,Matches!$A$5:$A$19,0))),"")</f>
        <v>21.31</v>
      </c>
      <c r="K86" s="11" t="n">
        <f aca="false">IFERROR(IF(INDEX(Matches!$AA$5:$AA$19,MATCH($C86,Matches!$A$5:$A$19,0))="","",INDEX(Matches!$AA$5:$AA$19,MATCH($C86,Matches!$A$5:$A$19,0))),"")</f>
        <v>21.05</v>
      </c>
      <c r="L86" s="11" t="n">
        <f aca="false">IFERROR(IF(INDEX(Matches!$AB$5:$AB$19,MATCH($C86,Matches!$A$5:$A$19,0))="","",INDEX(Matches!$AB$5:$AB$19,MATCH($C86,Matches!$A$5:$A$19,0))),"")</f>
        <v>21.11</v>
      </c>
      <c r="M86" s="10" t="n">
        <f aca="false">IFERROR(IF(INDEX(Matches!$AC$5:$AC$19,MATCH($C86,Matches!$A$5:$A$19,0))="","",INDEX(Matches!$AC$5:$AC$19,MATCH($C86,Matches!$A$5:$A$19,0))),"")</f>
        <v>0.4486</v>
      </c>
      <c r="N86" s="9" t="n">
        <f aca="false">IFERROR(INDEX(Players!$F$2:$F$124,MATCH($F86,Players!$A$2:$A$124,0)),0)</f>
        <v>33</v>
      </c>
      <c r="O86" s="13" t="n">
        <f aca="false">IFERROR(1/(1/INDEX(Players!$H$2:$H$124,MATCH($F86,Players!$A$2:$A$124,0))),"")</f>
        <v>0.71</v>
      </c>
      <c r="P86" s="10" t="n">
        <f aca="false">IFERROR(1/(1/INDEX(Players!$I$2:$I$124,MATCH($F86,Players!$A$2:$A$124,0))),"")</f>
        <v>0.533</v>
      </c>
      <c r="Q86" s="9" t="n">
        <f aca="false">IF($G86="",0,SUMIFS(Map_Stats!$F$2:$F$779,Map_Stats!$A$2:$A$779,$F86&amp;"|"&amp;$G86))</f>
        <v>6</v>
      </c>
      <c r="R86" s="13" t="n">
        <f aca="false">IF($G86="","",IFERROR(1/(1/INDEX(Map_Stats!$K$2:$K$779,MATCH($F86&amp;"|"&amp;$G86,Map_Stats!$A$2:$A$779,0))),$O86))</f>
        <v>0.82</v>
      </c>
      <c r="S86" s="10" t="n">
        <f aca="false">IF(OR($G86="",$P86=""),"",IFERROR(1/(1/INDEX(Map_Stats!$I$2:$I$779,MATCH($F86&amp;"|"&amp;$G86,Map_Stats!$A$2:$A$779,0))),$P86))</f>
        <v>0.49</v>
      </c>
      <c r="T86" s="13" t="n">
        <f aca="false">IF(OR($G86="",R86=""),"",IF($O86="",R86,(Q86*R86+Config!$B$4*$O86)/(Q86+Config!$B$4)))</f>
        <v>0.77</v>
      </c>
      <c r="U86" s="10" t="n">
        <f aca="false">IF(S86="","",(Q86*S86+Config!$B$4*$P86)/(Q86+Config!$B$4))</f>
        <v>0.509545454545455</v>
      </c>
      <c r="V86" s="17" t="n">
        <f aca="false">IF(OR(T86="",$J86=""),"",T86*$J86*($J86/Config!$B$10)^Config!$B$9)</f>
        <v>16.4087</v>
      </c>
      <c r="W86" s="17" t="n">
        <f aca="false">IF(OR(V86="",U86=""),"",V86*U86)</f>
        <v>8.3609785</v>
      </c>
      <c r="X86" s="9" t="n">
        <f aca="false">IF($H86="",0,SUMIFS(Map_Stats!$F$2:$F$779,Map_Stats!$A$2:$A$779,$F86&amp;"|"&amp;$H86))</f>
        <v>6</v>
      </c>
      <c r="Y86" s="13" t="n">
        <f aca="false">IF($H86="","",IFERROR(1/(1/INDEX(Map_Stats!$K$2:$K$779,MATCH($F86&amp;"|"&amp;$H86,Map_Stats!$A$2:$A$779,0))),$O86))</f>
        <v>0.64</v>
      </c>
      <c r="Z86" s="10" t="n">
        <f aca="false">IF(OR($H86="",$P86=""),"",IFERROR(1/(1/INDEX(Map_Stats!$I$2:$I$779,MATCH($F86&amp;"|"&amp;$H86,Map_Stats!$A$2:$A$779,0))),$P86))</f>
        <v>0.551</v>
      </c>
      <c r="AA86" s="13" t="n">
        <f aca="false">IF(OR($H86="",Y86=""),"",IF($O86="",Y86,(X86*Y86+Config!$B$4*$O86)/(X86+Config!$B$4)))</f>
        <v>0.671818181818182</v>
      </c>
      <c r="AB86" s="10" t="n">
        <f aca="false">IF(Z86="","",(X86*Z86+Config!$B$4*$P86)/(X86+Config!$B$4))</f>
        <v>0.542818181818182</v>
      </c>
      <c r="AC86" s="17" t="n">
        <f aca="false">IF(OR(AA86="",$K86=""),"",AA86*$K86*($K86/Config!$B$10)^Config!$B$9)</f>
        <v>14.1417727272727</v>
      </c>
      <c r="AD86" s="17" t="n">
        <f aca="false">IF(OR(AC86="",AB86=""),"",AC86*AB86)</f>
        <v>7.67641135950413</v>
      </c>
      <c r="AE86" s="9" t="n">
        <f aca="false">IF($I86="",0,SUMIFS(Map_Stats!$F$2:$F$779,Map_Stats!$A$2:$A$779,$F86&amp;"|"&amp;$I86))</f>
        <v>9</v>
      </c>
      <c r="AF86" s="13" t="n">
        <f aca="false">IF($I86="","",IFERROR(1/(1/INDEX(Map_Stats!$K$2:$K$779,MATCH($F86&amp;"|"&amp;$I86,Map_Stats!$A$2:$A$779,0))),$O86))</f>
        <v>0.72</v>
      </c>
      <c r="AG86" s="10" t="n">
        <f aca="false">IF(OR($I86="",$P86=""),"",IFERROR(1/(1/INDEX(Map_Stats!$I$2:$I$779,MATCH($F86&amp;"|"&amp;$I86,Map_Stats!$A$2:$A$779,0))),$P86))</f>
        <v>0.592</v>
      </c>
      <c r="AH86" s="13" t="n">
        <f aca="false">IF(OR($I86="",AF86=""),"",IF($O86="",AF86,(AE86*AF86+Config!$B$4*$O86)/(AE86+Config!$B$4)))</f>
        <v>0.716428571428571</v>
      </c>
      <c r="AI86" s="10" t="n">
        <f aca="false">IF(AG86="","",(AE86*AG86+Config!$B$4*$P86)/(AE86+Config!$B$4))</f>
        <v>0.570928571428572</v>
      </c>
      <c r="AJ86" s="17" t="n">
        <f aca="false">IF(OR(AH86="",$L86=""),"",AH86*$L86*($L86/Config!$B$10)^Config!$B$9)</f>
        <v>15.1238071428571</v>
      </c>
      <c r="AK86" s="17" t="n">
        <f aca="false">IF(OR(AJ86="",AI86=""),"",AJ86*AI86)</f>
        <v>8.63461360663265</v>
      </c>
      <c r="AL86" s="17" t="n">
        <f aca="false">N(V86)+N(AC86)</f>
        <v>30.5504727272727</v>
      </c>
      <c r="AM86" s="17" t="n">
        <f aca="false">AL86+N($M86)*N(AJ86)</f>
        <v>37.3350126115584</v>
      </c>
      <c r="AN86" s="17" t="n">
        <f aca="false">IF(W86="","",N(W86)+N(AD86))</f>
        <v>16.0373898595041</v>
      </c>
      <c r="AO86" s="17" t="n">
        <f aca="false">IF(AN86="","",AN86+N($M86)*N(AK86))</f>
        <v>19.9108775234395</v>
      </c>
      <c r="AP86" s="10" t="n">
        <f aca="false">IFERROR(AN86/AL86,"")</f>
        <v>0.524947355239691</v>
      </c>
      <c r="AQ86" s="0" t="str">
        <f aca="false">TRIM(IF($N86&lt;Config!$B$12,"thin sample ("&amp;$N86&amp;" maps) · ","")&amp;IF(AND($G86&lt;&gt;"",Q86=0),"M1 unplayed→overall KPR · ","")&amp;IF(AND($H86&lt;&gt;"",X86=0),"M2 unplayed→overall KPR · ","")&amp;IF($O86="","no PickFinder stats",""))</f>
        <v/>
      </c>
      <c r="AR86" s="0" t="str">
        <f aca="false">IF($C86=Board!$B$2,COUNTIFS($C$2:$C$124,Board!$B$2,$AL$2:$AL$124,"&gt;"&amp;$AL86)+COUNTIFS($C$1:$C85,Board!$B$2,$AL$1:$AL85,$AL86)+1,"")</f>
        <v/>
      </c>
      <c r="AS86" s="0" t="str">
        <f aca="false">IFERROR(IF($D86=INDEX(Matches!$AD$5:$AD$19,MATCH($C86,Matches!$A$5:$A$19,0)),"A",IF($D86=INDEX(Matches!$AE$5:$AE$19,MATCH($C86,Matches!$A$5:$A$19,0)),"B","")),"")</f>
        <v>B</v>
      </c>
      <c r="AT86" s="10" t="n">
        <f aca="false">IF($AS86="","",IFERROR(IF($AS86="A",INDEX(Matches!$AI$5:$AI$19,MATCH($C86,Matches!$A$5:$A$19,0)),INDEX(Matches!$AJ$5:$AJ$19,MATCH($C86,Matches!$A$5:$A$19,0))),""))</f>
        <v>0.453863710466254</v>
      </c>
      <c r="AU86" s="10" t="n">
        <f aca="false">IF($AS86="","",IFERROR(IF(INDEX(Matches!$AP$5:$AP$19,MATCH($C86,Matches!$A$5:$A$19,0))="","",IF($AS86="A",INDEX(Matches!$AP$5:$AP$19,MATCH($C86,Matches!$A$5:$A$19,0)),1-INDEX(Matches!$AP$5:$AP$19,MATCH($C86,Matches!$A$5:$A$19,0)))),""))</f>
        <v>0.479273365564446</v>
      </c>
      <c r="AV86" s="13" t="n">
        <f aca="false">IF(OR($AU86="",$AT86=""),1,((Config!$B$14*$AU86+Config!$B$15*(1-$AU86))/(Config!$B$14*$AT86+Config!$B$15*(1-$AT86)))^Config!$B$13)</f>
        <v>1.02368290314327</v>
      </c>
      <c r="AW86" s="10" t="n">
        <f aca="false">IF($AS86="","",IFERROR(IF(INDEX(Matches!$AV$5:$AV$19,MATCH($C86,Matches!$A$5:$A$19,0))="","",IF($AS86="A",INDEX(Matches!$AV$5:$AV$19,MATCH($C86,Matches!$A$5:$A$19,0)),1-INDEX(Matches!$AV$5:$AV$19,MATCH($C86,Matches!$A$5:$A$19,0)))),""))</f>
        <v>0.405524223796117</v>
      </c>
      <c r="AX86" s="13" t="n">
        <f aca="false">IF(OR($AW86="",$AT86=""),1,((Config!$B$14*$AW86+Config!$B$15*(1-$AW86))/(Config!$B$14*$AT86+Config!$B$15*(1-$AT86)))^Config!$B$13)</f>
        <v>0.954945497041178</v>
      </c>
      <c r="AY86" s="10" t="n">
        <f aca="false">IF($AS86="","",IFERROR(IF(INDEX(Matches!$BB$5:$BB$19,MATCH($C86,Matches!$A$5:$A$19,0))="","",IF($AS86="A",INDEX(Matches!$BB$5:$BB$19,MATCH($C86,Matches!$A$5:$A$19,0)),1-INDEX(Matches!$BB$5:$BB$19,MATCH($C86,Matches!$A$5:$A$19,0)))),""))</f>
        <v>0.499373839722139</v>
      </c>
      <c r="AZ86" s="13" t="n">
        <f aca="false">IF(OR($AY86="",$AT86=""),1,((Config!$B$14*$AY86+Config!$B$15*(1-$AY86))/(Config!$B$14*$AT86+Config!$B$15*(1-$AT86)))^Config!$B$13)</f>
        <v>1.04241741885278</v>
      </c>
      <c r="BA86" s="17" t="n">
        <f aca="false">IF(V86="","",V86*$AV86)</f>
        <v>16.7973056528069</v>
      </c>
      <c r="BB86" s="17" t="n">
        <f aca="false">IF(AC86="","",AC86*$AX86)</f>
        <v>13.5046221860888</v>
      </c>
      <c r="BC86" s="17" t="n">
        <f aca="false">IF(AJ86="","",AJ86*$AZ86)</f>
        <v>15.7653200050844</v>
      </c>
      <c r="BD86" s="17" t="n">
        <f aca="false">N(BA86)+N(BB86)</f>
        <v>30.3019278388958</v>
      </c>
      <c r="BE86" s="17" t="n">
        <f aca="false">BD86+N($M86)*N(BC86)</f>
        <v>37.3742503931766</v>
      </c>
      <c r="BF86" s="17" t="n">
        <f aca="false">IF(W86="","",W86*$AV86)</f>
        <v>8.55899074399845</v>
      </c>
      <c r="BG86" s="17" t="n">
        <f aca="false">IF(AD86="","",AD86*$AX86)</f>
        <v>7.33055446119422</v>
      </c>
      <c r="BH86" s="17" t="n">
        <f aca="false">IF(AK86="","",AK86*$AZ86)</f>
        <v>9.00087162861712</v>
      </c>
      <c r="BI86" s="17" t="n">
        <f aca="false">IF(BF86="","",N(BF86)+N(BG86))</f>
        <v>15.8895452051927</v>
      </c>
      <c r="BJ86" s="17" t="n">
        <f aca="false">IF(BI86="","",BI86+N($M86)*N(BH86))</f>
        <v>19.9273362177903</v>
      </c>
      <c r="BK86" s="13" t="n">
        <f aca="false">IFERROR(BD86/AL86,1)</f>
        <v>0.991864450327963</v>
      </c>
    </row>
    <row r="87" customFormat="false" ht="15" hidden="false" customHeight="false" outlineLevel="0" collapsed="false">
      <c r="A87" s="0" t="s">
        <v>1319</v>
      </c>
      <c r="B87" s="0" t="s">
        <v>988</v>
      </c>
      <c r="C87" s="0" t="s">
        <v>1034</v>
      </c>
      <c r="D87" s="0" t="s">
        <v>1040</v>
      </c>
      <c r="E87" s="0" t="s">
        <v>1318</v>
      </c>
      <c r="F87" s="0" t="s">
        <v>1540</v>
      </c>
      <c r="G87" s="0" t="str">
        <f aca="false">IFERROR(IF(INDEX(Matches!$W$5:$W$19,MATCH($C87,Matches!$A$5:$A$19,0))="","",INDEX(Matches!$W$5:$W$19,MATCH($C87,Matches!$A$5:$A$19,0))),"")</f>
        <v>Mirage</v>
      </c>
      <c r="H87" s="0" t="str">
        <f aca="false">IFERROR(IF(INDEX(Matches!$X$5:$X$19,MATCH($C87,Matches!$A$5:$A$19,0))="","",INDEX(Matches!$X$5:$X$19,MATCH($C87,Matches!$A$5:$A$19,0))),"")</f>
        <v>Dust2</v>
      </c>
      <c r="I87" s="0" t="str">
        <f aca="false">IFERROR(IF(INDEX(Matches!$Y$5:$Y$19,MATCH($C87,Matches!$A$5:$A$19,0))="","",INDEX(Matches!$Y$5:$Y$19,MATCH($C87,Matches!$A$5:$A$19,0))),"")</f>
        <v>Nuke</v>
      </c>
      <c r="J87" s="11" t="n">
        <f aca="false">IFERROR(IF(INDEX(Matches!$Z$5:$Z$19,MATCH($C87,Matches!$A$5:$A$19,0))="","",INDEX(Matches!$Z$5:$Z$19,MATCH($C87,Matches!$A$5:$A$19,0))),"")</f>
        <v>21.31</v>
      </c>
      <c r="K87" s="11" t="n">
        <f aca="false">IFERROR(IF(INDEX(Matches!$AA$5:$AA$19,MATCH($C87,Matches!$A$5:$A$19,0))="","",INDEX(Matches!$AA$5:$AA$19,MATCH($C87,Matches!$A$5:$A$19,0))),"")</f>
        <v>21.05</v>
      </c>
      <c r="L87" s="11" t="n">
        <f aca="false">IFERROR(IF(INDEX(Matches!$AB$5:$AB$19,MATCH($C87,Matches!$A$5:$A$19,0))="","",INDEX(Matches!$AB$5:$AB$19,MATCH($C87,Matches!$A$5:$A$19,0))),"")</f>
        <v>21.11</v>
      </c>
      <c r="M87" s="10" t="n">
        <f aca="false">IFERROR(IF(INDEX(Matches!$AC$5:$AC$19,MATCH($C87,Matches!$A$5:$A$19,0))="","",INDEX(Matches!$AC$5:$AC$19,MATCH($C87,Matches!$A$5:$A$19,0))),"")</f>
        <v>0.4486</v>
      </c>
      <c r="N87" s="9" t="n">
        <f aca="false">IFERROR(INDEX(Players!$F$2:$F$124,MATCH($F87,Players!$A$2:$A$124,0)),0)</f>
        <v>33</v>
      </c>
      <c r="O87" s="13" t="n">
        <f aca="false">IFERROR(1/(1/INDEX(Players!$H$2:$H$124,MATCH($F87,Players!$A$2:$A$124,0))),"")</f>
        <v>0.65</v>
      </c>
      <c r="P87" s="10" t="n">
        <f aca="false">IFERROR(1/(1/INDEX(Players!$I$2:$I$124,MATCH($F87,Players!$A$2:$A$124,0))),"")</f>
        <v>0.628</v>
      </c>
      <c r="Q87" s="9" t="n">
        <f aca="false">IF($G87="",0,SUMIFS(Map_Stats!$F$2:$F$779,Map_Stats!$A$2:$A$779,$F87&amp;"|"&amp;$G87))</f>
        <v>6</v>
      </c>
      <c r="R87" s="13" t="n">
        <f aca="false">IF($G87="","",IFERROR(1/(1/INDEX(Map_Stats!$K$2:$K$779,MATCH($F87&amp;"|"&amp;$G87,Map_Stats!$A$2:$A$779,0))),$O87))</f>
        <v>0.66</v>
      </c>
      <c r="S87" s="10" t="n">
        <f aca="false">IF(OR($G87="",$P87=""),"",IFERROR(1/(1/INDEX(Map_Stats!$I$2:$I$779,MATCH($F87&amp;"|"&amp;$G87,Map_Stats!$A$2:$A$779,0))),$P87))</f>
        <v>0.598</v>
      </c>
      <c r="T87" s="13" t="n">
        <f aca="false">IF(OR($G87="",R87=""),"",IF($O87="",R87,(Q87*R87+Config!$B$4*$O87)/(Q87+Config!$B$4)))</f>
        <v>0.655454545454545</v>
      </c>
      <c r="U87" s="10" t="n">
        <f aca="false">IF(S87="","",(Q87*S87+Config!$B$4*$P87)/(Q87+Config!$B$4))</f>
        <v>0.611636363636364</v>
      </c>
      <c r="V87" s="17" t="n">
        <f aca="false">IF(OR(T87="",$J87=""),"",T87*$J87*($J87/Config!$B$10)^Config!$B$9)</f>
        <v>13.9677363636364</v>
      </c>
      <c r="W87" s="17" t="n">
        <f aca="false">IF(OR(V87="",U87=""),"",V87*U87)</f>
        <v>8.54317547768595</v>
      </c>
      <c r="X87" s="9" t="n">
        <f aca="false">IF($H87="",0,SUMIFS(Map_Stats!$F$2:$F$779,Map_Stats!$A$2:$A$779,$F87&amp;"|"&amp;$H87))</f>
        <v>6</v>
      </c>
      <c r="Y87" s="13" t="n">
        <f aca="false">IF($H87="","",IFERROR(1/(1/INDEX(Map_Stats!$K$2:$K$779,MATCH($F87&amp;"|"&amp;$H87,Map_Stats!$A$2:$A$779,0))),$O87))</f>
        <v>0.74</v>
      </c>
      <c r="Z87" s="10" t="n">
        <f aca="false">IF(OR($H87="",$P87=""),"",IFERROR(1/(1/INDEX(Map_Stats!$I$2:$I$779,MATCH($F87&amp;"|"&amp;$H87,Map_Stats!$A$2:$A$779,0))),$P87))</f>
        <v>0.652</v>
      </c>
      <c r="AA87" s="13" t="n">
        <f aca="false">IF(OR($H87="",Y87=""),"",IF($O87="",Y87,(X87*Y87+Config!$B$4*$O87)/(X87+Config!$B$4)))</f>
        <v>0.699090909090909</v>
      </c>
      <c r="AB87" s="10" t="n">
        <f aca="false">IF(Z87="","",(X87*Z87+Config!$B$4*$P87)/(X87+Config!$B$4))</f>
        <v>0.641090909090909</v>
      </c>
      <c r="AC87" s="17" t="n">
        <f aca="false">IF(OR(AA87="",$K87=""),"",AA87*$K87*($K87/Config!$B$10)^Config!$B$9)</f>
        <v>14.7158636363636</v>
      </c>
      <c r="AD87" s="17" t="n">
        <f aca="false">IF(OR(AC87="",AB87=""),"",AC87*AB87)</f>
        <v>9.43420639669422</v>
      </c>
      <c r="AE87" s="9" t="n">
        <f aca="false">IF($I87="",0,SUMIFS(Map_Stats!$F$2:$F$779,Map_Stats!$A$2:$A$779,$F87&amp;"|"&amp;$I87))</f>
        <v>9</v>
      </c>
      <c r="AF87" s="13" t="n">
        <f aca="false">IF($I87="","",IFERROR(1/(1/INDEX(Map_Stats!$K$2:$K$779,MATCH($F87&amp;"|"&amp;$I87,Map_Stats!$A$2:$A$779,0))),$O87))</f>
        <v>0.61</v>
      </c>
      <c r="AG87" s="10" t="n">
        <f aca="false">IF(OR($I87="",$P87=""),"",IFERROR(1/(1/INDEX(Map_Stats!$I$2:$I$779,MATCH($F87&amp;"|"&amp;$I87,Map_Stats!$A$2:$A$779,0))),$P87))</f>
        <v>0.566</v>
      </c>
      <c r="AH87" s="13" t="n">
        <f aca="false">IF(OR($I87="",AF87=""),"",IF($O87="",AF87,(AE87*AF87+Config!$B$4*$O87)/(AE87+Config!$B$4)))</f>
        <v>0.624285714285714</v>
      </c>
      <c r="AI87" s="10" t="n">
        <f aca="false">IF(AG87="","",(AE87*AG87+Config!$B$4*$P87)/(AE87+Config!$B$4))</f>
        <v>0.588142857142857</v>
      </c>
      <c r="AJ87" s="17" t="n">
        <f aca="false">IF(OR(AH87="",$L87=""),"",AH87*$L87*($L87/Config!$B$10)^Config!$B$9)</f>
        <v>13.1786714285714</v>
      </c>
      <c r="AK87" s="17" t="n">
        <f aca="false">IF(OR(AJ87="",AI87=""),"",AJ87*AI87)</f>
        <v>7.75094146734694</v>
      </c>
      <c r="AL87" s="17" t="n">
        <f aca="false">N(V87)+N(AC87)</f>
        <v>28.6836</v>
      </c>
      <c r="AM87" s="17" t="n">
        <f aca="false">AL87+N($M87)*N(AJ87)</f>
        <v>34.5955520028571</v>
      </c>
      <c r="AN87" s="17" t="n">
        <f aca="false">IF(W87="","",N(W87)+N(AD87))</f>
        <v>17.9773818743802</v>
      </c>
      <c r="AO87" s="17" t="n">
        <f aca="false">IF(AN87="","",AN87+N($M87)*N(AK87))</f>
        <v>21.454454216632</v>
      </c>
      <c r="AP87" s="10" t="n">
        <f aca="false">IFERROR(AN87/AL87,"")</f>
        <v>0.62674775392141</v>
      </c>
      <c r="AQ87" s="0" t="str">
        <f aca="false">TRIM(IF($N87&lt;Config!$B$12,"thin sample ("&amp;$N87&amp;" maps) · ","")&amp;IF(AND($G87&lt;&gt;"",Q87=0),"M1 unplayed→overall KPR · ","")&amp;IF(AND($H87&lt;&gt;"",X87=0),"M2 unplayed→overall KPR · ","")&amp;IF($O87="","no PickFinder stats",""))</f>
        <v/>
      </c>
      <c r="AR87" s="0" t="str">
        <f aca="false">IF($C87=Board!$B$2,COUNTIFS($C$2:$C$124,Board!$B$2,$AL$2:$AL$124,"&gt;"&amp;$AL87)+COUNTIFS($C$1:$C86,Board!$B$2,$AL$1:$AL86,$AL87)+1,"")</f>
        <v/>
      </c>
      <c r="AS87" s="0" t="str">
        <f aca="false">IFERROR(IF($D87=INDEX(Matches!$AD$5:$AD$19,MATCH($C87,Matches!$A$5:$A$19,0)),"A",IF($D87=INDEX(Matches!$AE$5:$AE$19,MATCH($C87,Matches!$A$5:$A$19,0)),"B","")),"")</f>
        <v>B</v>
      </c>
      <c r="AT87" s="10" t="n">
        <f aca="false">IF($AS87="","",IFERROR(IF($AS87="A",INDEX(Matches!$AI$5:$AI$19,MATCH($C87,Matches!$A$5:$A$19,0)),INDEX(Matches!$AJ$5:$AJ$19,MATCH($C87,Matches!$A$5:$A$19,0))),""))</f>
        <v>0.453863710466254</v>
      </c>
      <c r="AU87" s="10" t="n">
        <f aca="false">IF($AS87="","",IFERROR(IF(INDEX(Matches!$AP$5:$AP$19,MATCH($C87,Matches!$A$5:$A$19,0))="","",IF($AS87="A",INDEX(Matches!$AP$5:$AP$19,MATCH($C87,Matches!$A$5:$A$19,0)),1-INDEX(Matches!$AP$5:$AP$19,MATCH($C87,Matches!$A$5:$A$19,0)))),""))</f>
        <v>0.479273365564446</v>
      </c>
      <c r="AV87" s="13" t="n">
        <f aca="false">IF(OR($AU87="",$AT87=""),1,((Config!$B$14*$AU87+Config!$B$15*(1-$AU87))/(Config!$B$14*$AT87+Config!$B$15*(1-$AT87)))^Config!$B$13)</f>
        <v>1.02368290314327</v>
      </c>
      <c r="AW87" s="10" t="n">
        <f aca="false">IF($AS87="","",IFERROR(IF(INDEX(Matches!$AV$5:$AV$19,MATCH($C87,Matches!$A$5:$A$19,0))="","",IF($AS87="A",INDEX(Matches!$AV$5:$AV$19,MATCH($C87,Matches!$A$5:$A$19,0)),1-INDEX(Matches!$AV$5:$AV$19,MATCH($C87,Matches!$A$5:$A$19,0)))),""))</f>
        <v>0.405524223796117</v>
      </c>
      <c r="AX87" s="13" t="n">
        <f aca="false">IF(OR($AW87="",$AT87=""),1,((Config!$B$14*$AW87+Config!$B$15*(1-$AW87))/(Config!$B$14*$AT87+Config!$B$15*(1-$AT87)))^Config!$B$13)</f>
        <v>0.954945497041178</v>
      </c>
      <c r="AY87" s="10" t="n">
        <f aca="false">IF($AS87="","",IFERROR(IF(INDEX(Matches!$BB$5:$BB$19,MATCH($C87,Matches!$A$5:$A$19,0))="","",IF($AS87="A",INDEX(Matches!$BB$5:$BB$19,MATCH($C87,Matches!$A$5:$A$19,0)),1-INDEX(Matches!$BB$5:$BB$19,MATCH($C87,Matches!$A$5:$A$19,0)))),""))</f>
        <v>0.499373839722139</v>
      </c>
      <c r="AZ87" s="13" t="n">
        <f aca="false">IF(OR($AY87="",$AT87=""),1,((Config!$B$14*$AY87+Config!$B$15*(1-$AY87))/(Config!$B$14*$AT87+Config!$B$15*(1-$AT87)))^Config!$B$13)</f>
        <v>1.04241741885278</v>
      </c>
      <c r="BA87" s="17" t="n">
        <f aca="false">IF(V87="","",V87*$AV87)</f>
        <v>14.2985329110671</v>
      </c>
      <c r="BB87" s="17" t="n">
        <f aca="false">IF(AC87="","",AC87*$AX87)</f>
        <v>14.0528477146175</v>
      </c>
      <c r="BC87" s="17" t="n">
        <f aca="false">IF(AJ87="","",AJ87*$AZ87)</f>
        <v>13.7376766544803</v>
      </c>
      <c r="BD87" s="17" t="n">
        <f aca="false">N(BA87)+N(BB87)</f>
        <v>28.3513806256845</v>
      </c>
      <c r="BE87" s="17" t="n">
        <f aca="false">BD87+N($M87)*N(BC87)</f>
        <v>34.5141023728844</v>
      </c>
      <c r="BF87" s="17" t="n">
        <f aca="false">IF(W87="","",W87*$AV87)</f>
        <v>8.74550267505993</v>
      </c>
      <c r="BG87" s="17" t="n">
        <f aca="false">IF(AD87="","",AD87*$AX87)</f>
        <v>9.00915291668022</v>
      </c>
      <c r="BH87" s="17" t="n">
        <f aca="false">IF(AK87="","",AK87*$AZ87)</f>
        <v>8.07971639807079</v>
      </c>
      <c r="BI87" s="17" t="n">
        <f aca="false">IF(BF87="","",N(BF87)+N(BG87))</f>
        <v>17.7546555917401</v>
      </c>
      <c r="BJ87" s="17" t="n">
        <f aca="false">IF(BI87="","",BI87+N($M87)*N(BH87))</f>
        <v>21.3792163679147</v>
      </c>
      <c r="BK87" s="13" t="n">
        <f aca="false">IFERROR(BD87/AL87,1)</f>
        <v>0.988417793641124</v>
      </c>
    </row>
    <row r="88" customFormat="false" ht="15" hidden="false" customHeight="false" outlineLevel="0" collapsed="false">
      <c r="A88" s="0" t="s">
        <v>1321</v>
      </c>
      <c r="B88" s="0" t="s">
        <v>988</v>
      </c>
      <c r="C88" s="0" t="s">
        <v>1034</v>
      </c>
      <c r="D88" s="0" t="s">
        <v>1040</v>
      </c>
      <c r="E88" s="0" t="s">
        <v>1320</v>
      </c>
      <c r="F88" s="0" t="s">
        <v>1541</v>
      </c>
      <c r="G88" s="0" t="str">
        <f aca="false">IFERROR(IF(INDEX(Matches!$W$5:$W$19,MATCH($C88,Matches!$A$5:$A$19,0))="","",INDEX(Matches!$W$5:$W$19,MATCH($C88,Matches!$A$5:$A$19,0))),"")</f>
        <v>Mirage</v>
      </c>
      <c r="H88" s="0" t="str">
        <f aca="false">IFERROR(IF(INDEX(Matches!$X$5:$X$19,MATCH($C88,Matches!$A$5:$A$19,0))="","",INDEX(Matches!$X$5:$X$19,MATCH($C88,Matches!$A$5:$A$19,0))),"")</f>
        <v>Dust2</v>
      </c>
      <c r="I88" s="0" t="str">
        <f aca="false">IFERROR(IF(INDEX(Matches!$Y$5:$Y$19,MATCH($C88,Matches!$A$5:$A$19,0))="","",INDEX(Matches!$Y$5:$Y$19,MATCH($C88,Matches!$A$5:$A$19,0))),"")</f>
        <v>Nuke</v>
      </c>
      <c r="J88" s="11" t="n">
        <f aca="false">IFERROR(IF(INDEX(Matches!$Z$5:$Z$19,MATCH($C88,Matches!$A$5:$A$19,0))="","",INDEX(Matches!$Z$5:$Z$19,MATCH($C88,Matches!$A$5:$A$19,0))),"")</f>
        <v>21.31</v>
      </c>
      <c r="K88" s="11" t="n">
        <f aca="false">IFERROR(IF(INDEX(Matches!$AA$5:$AA$19,MATCH($C88,Matches!$A$5:$A$19,0))="","",INDEX(Matches!$AA$5:$AA$19,MATCH($C88,Matches!$A$5:$A$19,0))),"")</f>
        <v>21.05</v>
      </c>
      <c r="L88" s="11" t="n">
        <f aca="false">IFERROR(IF(INDEX(Matches!$AB$5:$AB$19,MATCH($C88,Matches!$A$5:$A$19,0))="","",INDEX(Matches!$AB$5:$AB$19,MATCH($C88,Matches!$A$5:$A$19,0))),"")</f>
        <v>21.11</v>
      </c>
      <c r="M88" s="10" t="n">
        <f aca="false">IFERROR(IF(INDEX(Matches!$AC$5:$AC$19,MATCH($C88,Matches!$A$5:$A$19,0))="","",INDEX(Matches!$AC$5:$AC$19,MATCH($C88,Matches!$A$5:$A$19,0))),"")</f>
        <v>0.4486</v>
      </c>
      <c r="N88" s="9" t="n">
        <f aca="false">IFERROR(INDEX(Players!$F$2:$F$124,MATCH($F88,Players!$A$2:$A$124,0)),0)</f>
        <v>33</v>
      </c>
      <c r="O88" s="13" t="n">
        <f aca="false">IFERROR(1/(1/INDEX(Players!$H$2:$H$124,MATCH($F88,Players!$A$2:$A$124,0))),"")</f>
        <v>0.65</v>
      </c>
      <c r="P88" s="10" t="n">
        <f aca="false">IFERROR(1/(1/INDEX(Players!$I$2:$I$124,MATCH($F88,Players!$A$2:$A$124,0))),"")</f>
        <v>0.603</v>
      </c>
      <c r="Q88" s="9" t="n">
        <f aca="false">IF($G88="",0,SUMIFS(Map_Stats!$F$2:$F$779,Map_Stats!$A$2:$A$779,$F88&amp;"|"&amp;$G88))</f>
        <v>6</v>
      </c>
      <c r="R88" s="13" t="n">
        <f aca="false">IF($G88="","",IFERROR(1/(1/INDEX(Map_Stats!$K$2:$K$779,MATCH($F88&amp;"|"&amp;$G88,Map_Stats!$A$2:$A$779,0))),$O88))</f>
        <v>0.84</v>
      </c>
      <c r="S88" s="10" t="n">
        <f aca="false">IF(OR($G88="",$P88=""),"",IFERROR(1/(1/INDEX(Map_Stats!$I$2:$I$779,MATCH($F88&amp;"|"&amp;$G88,Map_Stats!$A$2:$A$779,0))),$P88))</f>
        <v>0.596</v>
      </c>
      <c r="T88" s="13" t="n">
        <f aca="false">IF(OR($G88="",R88=""),"",IF($O88="",R88,(Q88*R88+Config!$B$4*$O88)/(Q88+Config!$B$4)))</f>
        <v>0.753636363636364</v>
      </c>
      <c r="U88" s="10" t="n">
        <f aca="false">IF(S88="","",(Q88*S88+Config!$B$4*$P88)/(Q88+Config!$B$4))</f>
        <v>0.599181818181818</v>
      </c>
      <c r="V88" s="17" t="n">
        <f aca="false">IF(OR(T88="",$J88=""),"",T88*$J88*($J88/Config!$B$10)^Config!$B$9)</f>
        <v>16.0599909090909</v>
      </c>
      <c r="W88" s="17" t="n">
        <f aca="false">IF(OR(V88="",U88=""),"",V88*U88)</f>
        <v>9.62285455289256</v>
      </c>
      <c r="X88" s="9" t="n">
        <f aca="false">IF($H88="",0,SUMIFS(Map_Stats!$F$2:$F$779,Map_Stats!$A$2:$A$779,$F88&amp;"|"&amp;$H88))</f>
        <v>6</v>
      </c>
      <c r="Y88" s="13" t="n">
        <f aca="false">IF($H88="","",IFERROR(1/(1/INDEX(Map_Stats!$K$2:$K$779,MATCH($F88&amp;"|"&amp;$H88,Map_Stats!$A$2:$A$779,0))),$O88))</f>
        <v>0.5</v>
      </c>
      <c r="Z88" s="10" t="n">
        <f aca="false">IF(OR($H88="",$P88=""),"",IFERROR(1/(1/INDEX(Map_Stats!$I$2:$I$779,MATCH($F88&amp;"|"&amp;$H88,Map_Stats!$A$2:$A$779,0))),$P88))</f>
        <v>0.5</v>
      </c>
      <c r="AA88" s="13" t="n">
        <f aca="false">IF(OR($H88="",Y88=""),"",IF($O88="",Y88,(X88*Y88+Config!$B$4*$O88)/(X88+Config!$B$4)))</f>
        <v>0.568181818181818</v>
      </c>
      <c r="AB88" s="10" t="n">
        <f aca="false">IF(Z88="","",(X88*Z88+Config!$B$4*$P88)/(X88+Config!$B$4))</f>
        <v>0.546818181818182</v>
      </c>
      <c r="AC88" s="17" t="n">
        <f aca="false">IF(OR(AA88="",$K88=""),"",AA88*$K88*($K88/Config!$B$10)^Config!$B$9)</f>
        <v>11.9602272727273</v>
      </c>
      <c r="AD88" s="17" t="n">
        <f aca="false">IF(OR(AC88="",AB88=""),"",AC88*AB88)</f>
        <v>6.54006973140496</v>
      </c>
      <c r="AE88" s="9" t="n">
        <f aca="false">IF($I88="",0,SUMIFS(Map_Stats!$F$2:$F$779,Map_Stats!$A$2:$A$779,$F88&amp;"|"&amp;$I88))</f>
        <v>9</v>
      </c>
      <c r="AF88" s="13" t="n">
        <f aca="false">IF($I88="","",IFERROR(1/(1/INDEX(Map_Stats!$K$2:$K$779,MATCH($F88&amp;"|"&amp;$I88,Map_Stats!$A$2:$A$779,0))),$O88))</f>
        <v>0.72</v>
      </c>
      <c r="AG88" s="10" t="n">
        <f aca="false">IF(OR($I88="",$P88=""),"",IFERROR(1/(1/INDEX(Map_Stats!$I$2:$I$779,MATCH($F88&amp;"|"&amp;$I88,Map_Stats!$A$2:$A$779,0))),$P88))</f>
        <v>0.624</v>
      </c>
      <c r="AH88" s="13" t="n">
        <f aca="false">IF(OR($I88="",AF88=""),"",IF($O88="",AF88,(AE88*AF88+Config!$B$4*$O88)/(AE88+Config!$B$4)))</f>
        <v>0.695</v>
      </c>
      <c r="AI88" s="10" t="n">
        <f aca="false">IF(AG88="","",(AE88*AG88+Config!$B$4*$P88)/(AE88+Config!$B$4))</f>
        <v>0.6165</v>
      </c>
      <c r="AJ88" s="17" t="n">
        <f aca="false">IF(OR(AH88="",$L88=""),"",AH88*$L88*($L88/Config!$B$10)^Config!$B$9)</f>
        <v>14.67145</v>
      </c>
      <c r="AK88" s="17" t="n">
        <f aca="false">IF(OR(AJ88="",AI88=""),"",AJ88*AI88)</f>
        <v>9.044948925</v>
      </c>
      <c r="AL88" s="17" t="n">
        <f aca="false">N(V88)+N(AC88)</f>
        <v>28.0202181818182</v>
      </c>
      <c r="AM88" s="17" t="n">
        <f aca="false">AL88+N($M88)*N(AJ88)</f>
        <v>34.6018306518182</v>
      </c>
      <c r="AN88" s="17" t="n">
        <f aca="false">IF(W88="","",N(W88)+N(AD88))</f>
        <v>16.1629242842975</v>
      </c>
      <c r="AO88" s="17" t="n">
        <f aca="false">IF(AN88="","",AN88+N($M88)*N(AK88))</f>
        <v>20.2204883720525</v>
      </c>
      <c r="AP88" s="10" t="n">
        <f aca="false">IFERROR(AN88/AL88,"")</f>
        <v>0.576830779097407</v>
      </c>
      <c r="AQ88" s="0" t="str">
        <f aca="false">TRIM(IF($N88&lt;Config!$B$12,"thin sample ("&amp;$N88&amp;" maps) · ","")&amp;IF(AND($G88&lt;&gt;"",Q88=0),"M1 unplayed→overall KPR · ","")&amp;IF(AND($H88&lt;&gt;"",X88=0),"M2 unplayed→overall KPR · ","")&amp;IF($O88="","no PickFinder stats",""))</f>
        <v/>
      </c>
      <c r="AR88" s="0" t="str">
        <f aca="false">IF($C88=Board!$B$2,COUNTIFS($C$2:$C$124,Board!$B$2,$AL$2:$AL$124,"&gt;"&amp;$AL88)+COUNTIFS($C$1:$C87,Board!$B$2,$AL$1:$AL87,$AL88)+1,"")</f>
        <v/>
      </c>
      <c r="AS88" s="0" t="str">
        <f aca="false">IFERROR(IF($D88=INDEX(Matches!$AD$5:$AD$19,MATCH($C88,Matches!$A$5:$A$19,0)),"A",IF($D88=INDEX(Matches!$AE$5:$AE$19,MATCH($C88,Matches!$A$5:$A$19,0)),"B","")),"")</f>
        <v>B</v>
      </c>
      <c r="AT88" s="10" t="n">
        <f aca="false">IF($AS88="","",IFERROR(IF($AS88="A",INDEX(Matches!$AI$5:$AI$19,MATCH($C88,Matches!$A$5:$A$19,0)),INDEX(Matches!$AJ$5:$AJ$19,MATCH($C88,Matches!$A$5:$A$19,0))),""))</f>
        <v>0.453863710466254</v>
      </c>
      <c r="AU88" s="10" t="n">
        <f aca="false">IF($AS88="","",IFERROR(IF(INDEX(Matches!$AP$5:$AP$19,MATCH($C88,Matches!$A$5:$A$19,0))="","",IF($AS88="A",INDEX(Matches!$AP$5:$AP$19,MATCH($C88,Matches!$A$5:$A$19,0)),1-INDEX(Matches!$AP$5:$AP$19,MATCH($C88,Matches!$A$5:$A$19,0)))),""))</f>
        <v>0.479273365564446</v>
      </c>
      <c r="AV88" s="13" t="n">
        <f aca="false">IF(OR($AU88="",$AT88=""),1,((Config!$B$14*$AU88+Config!$B$15*(1-$AU88))/(Config!$B$14*$AT88+Config!$B$15*(1-$AT88)))^Config!$B$13)</f>
        <v>1.02368290314327</v>
      </c>
      <c r="AW88" s="10" t="n">
        <f aca="false">IF($AS88="","",IFERROR(IF(INDEX(Matches!$AV$5:$AV$19,MATCH($C88,Matches!$A$5:$A$19,0))="","",IF($AS88="A",INDEX(Matches!$AV$5:$AV$19,MATCH($C88,Matches!$A$5:$A$19,0)),1-INDEX(Matches!$AV$5:$AV$19,MATCH($C88,Matches!$A$5:$A$19,0)))),""))</f>
        <v>0.405524223796117</v>
      </c>
      <c r="AX88" s="13" t="n">
        <f aca="false">IF(OR($AW88="",$AT88=""),1,((Config!$B$14*$AW88+Config!$B$15*(1-$AW88))/(Config!$B$14*$AT88+Config!$B$15*(1-$AT88)))^Config!$B$13)</f>
        <v>0.954945497041178</v>
      </c>
      <c r="AY88" s="10" t="n">
        <f aca="false">IF($AS88="","",IFERROR(IF(INDEX(Matches!$BB$5:$BB$19,MATCH($C88,Matches!$A$5:$A$19,0))="","",IF($AS88="A",INDEX(Matches!$BB$5:$BB$19,MATCH($C88,Matches!$A$5:$A$19,0)),1-INDEX(Matches!$BB$5:$BB$19,MATCH($C88,Matches!$A$5:$A$19,0)))),""))</f>
        <v>0.499373839722139</v>
      </c>
      <c r="AZ88" s="13" t="n">
        <f aca="false">IF(OR($AY88="",$AT88=""),1,((Config!$B$14*$AY88+Config!$B$15*(1-$AY88))/(Config!$B$14*$AT88+Config!$B$15*(1-$AT88)))^Config!$B$13)</f>
        <v>1.04241741885278</v>
      </c>
      <c r="BA88" s="17" t="n">
        <f aca="false">IF(V88="","",V88*$AV88)</f>
        <v>16.4403381182727</v>
      </c>
      <c r="BB88" s="17" t="n">
        <f aca="false">IF(AC88="","",AC88*$AX88)</f>
        <v>11.42136517768</v>
      </c>
      <c r="BC88" s="17" t="n">
        <f aca="false">IF(AJ88="","",AJ88*$AZ88)</f>
        <v>15.2937750398277</v>
      </c>
      <c r="BD88" s="17" t="n">
        <f aca="false">N(BA88)+N(BB88)</f>
        <v>27.8617032959527</v>
      </c>
      <c r="BE88" s="17" t="n">
        <f aca="false">BD88+N($M88)*N(BC88)</f>
        <v>34.7224907788194</v>
      </c>
      <c r="BF88" s="17" t="n">
        <f aca="false">IF(W88="","",W88*$AV88)</f>
        <v>9.85075168523047</v>
      </c>
      <c r="BG88" s="17" t="n">
        <f aca="false">IF(AD88="","",AD88*$AX88)</f>
        <v>6.24541014034047</v>
      </c>
      <c r="BH88" s="17" t="n">
        <f aca="false">IF(AK88="","",AK88*$AZ88)</f>
        <v>9.42861231205375</v>
      </c>
      <c r="BI88" s="17" t="n">
        <f aca="false">IF(BF88="","",N(BF88)+N(BG88))</f>
        <v>16.0961618255709</v>
      </c>
      <c r="BJ88" s="17" t="n">
        <f aca="false">IF(BI88="","",BI88+N($M88)*N(BH88))</f>
        <v>20.3258373087583</v>
      </c>
      <c r="BK88" s="13" t="n">
        <f aca="false">IFERROR(BD88/AL88,1)</f>
        <v>0.994342838987301</v>
      </c>
    </row>
    <row r="89" customFormat="false" ht="15" hidden="false" customHeight="false" outlineLevel="0" collapsed="false">
      <c r="A89" s="0" t="s">
        <v>1323</v>
      </c>
      <c r="B89" s="0" t="s">
        <v>988</v>
      </c>
      <c r="C89" s="0" t="s">
        <v>1034</v>
      </c>
      <c r="D89" s="0" t="s">
        <v>1040</v>
      </c>
      <c r="E89" s="0" t="s">
        <v>1322</v>
      </c>
      <c r="F89" s="0" t="s">
        <v>1542</v>
      </c>
      <c r="G89" s="0" t="str">
        <f aca="false">IFERROR(IF(INDEX(Matches!$W$5:$W$19,MATCH($C89,Matches!$A$5:$A$19,0))="","",INDEX(Matches!$W$5:$W$19,MATCH($C89,Matches!$A$5:$A$19,0))),"")</f>
        <v>Mirage</v>
      </c>
      <c r="H89" s="0" t="str">
        <f aca="false">IFERROR(IF(INDEX(Matches!$X$5:$X$19,MATCH($C89,Matches!$A$5:$A$19,0))="","",INDEX(Matches!$X$5:$X$19,MATCH($C89,Matches!$A$5:$A$19,0))),"")</f>
        <v>Dust2</v>
      </c>
      <c r="I89" s="0" t="str">
        <f aca="false">IFERROR(IF(INDEX(Matches!$Y$5:$Y$19,MATCH($C89,Matches!$A$5:$A$19,0))="","",INDEX(Matches!$Y$5:$Y$19,MATCH($C89,Matches!$A$5:$A$19,0))),"")</f>
        <v>Nuke</v>
      </c>
      <c r="J89" s="11" t="n">
        <f aca="false">IFERROR(IF(INDEX(Matches!$Z$5:$Z$19,MATCH($C89,Matches!$A$5:$A$19,0))="","",INDEX(Matches!$Z$5:$Z$19,MATCH($C89,Matches!$A$5:$A$19,0))),"")</f>
        <v>21.31</v>
      </c>
      <c r="K89" s="11" t="n">
        <f aca="false">IFERROR(IF(INDEX(Matches!$AA$5:$AA$19,MATCH($C89,Matches!$A$5:$A$19,0))="","",INDEX(Matches!$AA$5:$AA$19,MATCH($C89,Matches!$A$5:$A$19,0))),"")</f>
        <v>21.05</v>
      </c>
      <c r="L89" s="11" t="n">
        <f aca="false">IFERROR(IF(INDEX(Matches!$AB$5:$AB$19,MATCH($C89,Matches!$A$5:$A$19,0))="","",INDEX(Matches!$AB$5:$AB$19,MATCH($C89,Matches!$A$5:$A$19,0))),"")</f>
        <v>21.11</v>
      </c>
      <c r="M89" s="10" t="n">
        <f aca="false">IFERROR(IF(INDEX(Matches!$AC$5:$AC$19,MATCH($C89,Matches!$A$5:$A$19,0))="","",INDEX(Matches!$AC$5:$AC$19,MATCH($C89,Matches!$A$5:$A$19,0))),"")</f>
        <v>0.4486</v>
      </c>
      <c r="N89" s="9" t="n">
        <f aca="false">IFERROR(INDEX(Players!$F$2:$F$124,MATCH($F89,Players!$A$2:$A$124,0)),0)</f>
        <v>33</v>
      </c>
      <c r="O89" s="13" t="n">
        <f aca="false">IFERROR(1/(1/INDEX(Players!$H$2:$H$124,MATCH($F89,Players!$A$2:$A$124,0))),"")</f>
        <v>0.51</v>
      </c>
      <c r="P89" s="10" t="n">
        <f aca="false">IFERROR(1/(1/INDEX(Players!$I$2:$I$124,MATCH($F89,Players!$A$2:$A$124,0))),"")</f>
        <v>0.504</v>
      </c>
      <c r="Q89" s="9" t="n">
        <f aca="false">IF($G89="",0,SUMIFS(Map_Stats!$F$2:$F$779,Map_Stats!$A$2:$A$779,$F89&amp;"|"&amp;$G89))</f>
        <v>6</v>
      </c>
      <c r="R89" s="13" t="n">
        <f aca="false">IF($G89="","",IFERROR(1/(1/INDEX(Map_Stats!$K$2:$K$779,MATCH($F89&amp;"|"&amp;$G89,Map_Stats!$A$2:$A$779,0))),$O89))</f>
        <v>0.44</v>
      </c>
      <c r="S89" s="10" t="n">
        <f aca="false">IF(OR($G89="",$P89=""),"",IFERROR(1/(1/INDEX(Map_Stats!$I$2:$I$779,MATCH($F89&amp;"|"&amp;$G89,Map_Stats!$A$2:$A$779,0))),$P89))</f>
        <v>0.418</v>
      </c>
      <c r="T89" s="13" t="n">
        <f aca="false">IF(OR($G89="",R89=""),"",IF($O89="",R89,(Q89*R89+Config!$B$4*$O89)/(Q89+Config!$B$4)))</f>
        <v>0.471818181818182</v>
      </c>
      <c r="U89" s="10" t="n">
        <f aca="false">IF(S89="","",(Q89*S89+Config!$B$4*$P89)/(Q89+Config!$B$4))</f>
        <v>0.457090909090909</v>
      </c>
      <c r="V89" s="17" t="n">
        <f aca="false">IF(OR(T89="",$J89=""),"",T89*$J89*($J89/Config!$B$10)^Config!$B$9)</f>
        <v>10.0544454545455</v>
      </c>
      <c r="W89" s="17" t="n">
        <f aca="false">IF(OR(V89="",U89=""),"",V89*U89)</f>
        <v>4.59579561322314</v>
      </c>
      <c r="X89" s="9" t="n">
        <f aca="false">IF($H89="",0,SUMIFS(Map_Stats!$F$2:$F$779,Map_Stats!$A$2:$A$779,$F89&amp;"|"&amp;$H89))</f>
        <v>6</v>
      </c>
      <c r="Y89" s="13" t="n">
        <f aca="false">IF($H89="","",IFERROR(1/(1/INDEX(Map_Stats!$K$2:$K$779,MATCH($F89&amp;"|"&amp;$H89,Map_Stats!$A$2:$A$779,0))),$O89))</f>
        <v>0.55</v>
      </c>
      <c r="Z89" s="10" t="n">
        <f aca="false">IF(OR($H89="",$P89=""),"",IFERROR(1/(1/INDEX(Map_Stats!$I$2:$I$779,MATCH($F89&amp;"|"&amp;$H89,Map_Stats!$A$2:$A$779,0))),$P89))</f>
        <v>0.485</v>
      </c>
      <c r="AA89" s="13" t="n">
        <f aca="false">IF(OR($H89="",Y89=""),"",IF($O89="",Y89,(X89*Y89+Config!$B$4*$O89)/(X89+Config!$B$4)))</f>
        <v>0.531818181818182</v>
      </c>
      <c r="AB89" s="10" t="n">
        <f aca="false">IF(Z89="","",(X89*Z89+Config!$B$4*$P89)/(X89+Config!$B$4))</f>
        <v>0.493636363636364</v>
      </c>
      <c r="AC89" s="17" t="n">
        <f aca="false">IF(OR(AA89="",$K89=""),"",AA89*$K89*($K89/Config!$B$10)^Config!$B$9)</f>
        <v>11.1947727272727</v>
      </c>
      <c r="AD89" s="17" t="n">
        <f aca="false">IF(OR(AC89="",AB89=""),"",AC89*AB89)</f>
        <v>5.52614690082645</v>
      </c>
      <c r="AE89" s="9" t="n">
        <f aca="false">IF($I89="",0,SUMIFS(Map_Stats!$F$2:$F$779,Map_Stats!$A$2:$A$779,$F89&amp;"|"&amp;$I89))</f>
        <v>9</v>
      </c>
      <c r="AF89" s="13" t="n">
        <f aca="false">IF($I89="","",IFERROR(1/(1/INDEX(Map_Stats!$K$2:$K$779,MATCH($F89&amp;"|"&amp;$I89,Map_Stats!$A$2:$A$779,0))),$O89))</f>
        <v>0.63</v>
      </c>
      <c r="AG89" s="10" t="n">
        <f aca="false">IF(OR($I89="",$P89=""),"",IFERROR(1/(1/INDEX(Map_Stats!$I$2:$I$779,MATCH($F89&amp;"|"&amp;$I89,Map_Stats!$A$2:$A$779,0))),$P89))</f>
        <v>0.5</v>
      </c>
      <c r="AH89" s="13" t="n">
        <f aca="false">IF(OR($I89="",AF89=""),"",IF($O89="",AF89,(AE89*AF89+Config!$B$4*$O89)/(AE89+Config!$B$4)))</f>
        <v>0.587142857142857</v>
      </c>
      <c r="AI89" s="10" t="n">
        <f aca="false">IF(AG89="","",(AE89*AG89+Config!$B$4*$P89)/(AE89+Config!$B$4))</f>
        <v>0.501428571428571</v>
      </c>
      <c r="AJ89" s="17" t="n">
        <f aca="false">IF(OR(AH89="",$L89=""),"",AH89*$L89*($L89/Config!$B$10)^Config!$B$9)</f>
        <v>12.3945857142857</v>
      </c>
      <c r="AK89" s="17" t="n">
        <f aca="false">IF(OR(AJ89="",AI89=""),"",AJ89*AI89)</f>
        <v>6.21499940816327</v>
      </c>
      <c r="AL89" s="17" t="n">
        <f aca="false">N(V89)+N(AC89)</f>
        <v>21.2492181818182</v>
      </c>
      <c r="AM89" s="17" t="n">
        <f aca="false">AL89+N($M89)*N(AJ89)</f>
        <v>26.8094293332468</v>
      </c>
      <c r="AN89" s="17" t="n">
        <f aca="false">IF(W89="","",N(W89)+N(AD89))</f>
        <v>10.1219425140496</v>
      </c>
      <c r="AO89" s="17" t="n">
        <f aca="false">IF(AN89="","",AN89+N($M89)*N(AK89))</f>
        <v>12.9099912485516</v>
      </c>
      <c r="AP89" s="10" t="n">
        <f aca="false">IFERROR(AN89/AL89,"")</f>
        <v>0.476344231935573</v>
      </c>
      <c r="AQ89" s="0" t="str">
        <f aca="false">TRIM(IF($N89&lt;Config!$B$12,"thin sample ("&amp;$N89&amp;" maps) · ","")&amp;IF(AND($G89&lt;&gt;"",Q89=0),"M1 unplayed→overall KPR · ","")&amp;IF(AND($H89&lt;&gt;"",X89=0),"M2 unplayed→overall KPR · ","")&amp;IF($O89="","no PickFinder stats",""))</f>
        <v/>
      </c>
      <c r="AR89" s="0" t="str">
        <f aca="false">IF($C89=Board!$B$2,COUNTIFS($C$2:$C$124,Board!$B$2,$AL$2:$AL$124,"&gt;"&amp;$AL89)+COUNTIFS($C$1:$C88,Board!$B$2,$AL$1:$AL88,$AL89)+1,"")</f>
        <v/>
      </c>
      <c r="AS89" s="0" t="str">
        <f aca="false">IFERROR(IF($D89=INDEX(Matches!$AD$5:$AD$19,MATCH($C89,Matches!$A$5:$A$19,0)),"A",IF($D89=INDEX(Matches!$AE$5:$AE$19,MATCH($C89,Matches!$A$5:$A$19,0)),"B","")),"")</f>
        <v>B</v>
      </c>
      <c r="AT89" s="10" t="n">
        <f aca="false">IF($AS89="","",IFERROR(IF($AS89="A",INDEX(Matches!$AI$5:$AI$19,MATCH($C89,Matches!$A$5:$A$19,0)),INDEX(Matches!$AJ$5:$AJ$19,MATCH($C89,Matches!$A$5:$A$19,0))),""))</f>
        <v>0.453863710466254</v>
      </c>
      <c r="AU89" s="10" t="n">
        <f aca="false">IF($AS89="","",IFERROR(IF(INDEX(Matches!$AP$5:$AP$19,MATCH($C89,Matches!$A$5:$A$19,0))="","",IF($AS89="A",INDEX(Matches!$AP$5:$AP$19,MATCH($C89,Matches!$A$5:$A$19,0)),1-INDEX(Matches!$AP$5:$AP$19,MATCH($C89,Matches!$A$5:$A$19,0)))),""))</f>
        <v>0.479273365564446</v>
      </c>
      <c r="AV89" s="13" t="n">
        <f aca="false">IF(OR($AU89="",$AT89=""),1,((Config!$B$14*$AU89+Config!$B$15*(1-$AU89))/(Config!$B$14*$AT89+Config!$B$15*(1-$AT89)))^Config!$B$13)</f>
        <v>1.02368290314327</v>
      </c>
      <c r="AW89" s="10" t="n">
        <f aca="false">IF($AS89="","",IFERROR(IF(INDEX(Matches!$AV$5:$AV$19,MATCH($C89,Matches!$A$5:$A$19,0))="","",IF($AS89="A",INDEX(Matches!$AV$5:$AV$19,MATCH($C89,Matches!$A$5:$A$19,0)),1-INDEX(Matches!$AV$5:$AV$19,MATCH($C89,Matches!$A$5:$A$19,0)))),""))</f>
        <v>0.405524223796117</v>
      </c>
      <c r="AX89" s="13" t="n">
        <f aca="false">IF(OR($AW89="",$AT89=""),1,((Config!$B$14*$AW89+Config!$B$15*(1-$AW89))/(Config!$B$14*$AT89+Config!$B$15*(1-$AT89)))^Config!$B$13)</f>
        <v>0.954945497041178</v>
      </c>
      <c r="AY89" s="10" t="n">
        <f aca="false">IF($AS89="","",IFERROR(IF(INDEX(Matches!$BB$5:$BB$19,MATCH($C89,Matches!$A$5:$A$19,0))="","",IF($AS89="A",INDEX(Matches!$BB$5:$BB$19,MATCH($C89,Matches!$A$5:$A$19,0)),1-INDEX(Matches!$BB$5:$BB$19,MATCH($C89,Matches!$A$5:$A$19,0)))),""))</f>
        <v>0.499373839722139</v>
      </c>
      <c r="AZ89" s="13" t="n">
        <f aca="false">IF(OR($AY89="",$AT89=""),1,((Config!$B$14*$AY89+Config!$B$15*(1-$AY89))/(Config!$B$14*$AT89+Config!$B$15*(1-$AT89)))^Config!$B$13)</f>
        <v>1.04241741885278</v>
      </c>
      <c r="BA89" s="17" t="n">
        <f aca="false">IF(V89="","",V89*$AV89)</f>
        <v>10.2925639124047</v>
      </c>
      <c r="BB89" s="17" t="n">
        <f aca="false">IF(AC89="","",AC89*$AX89)</f>
        <v>10.6903978063085</v>
      </c>
      <c r="BC89" s="17" t="n">
        <f aca="false">IF(AJ89="","",AJ89*$AZ89)</f>
        <v>12.9203320480353</v>
      </c>
      <c r="BD89" s="17" t="n">
        <f aca="false">N(BA89)+N(BB89)</f>
        <v>20.9829617187132</v>
      </c>
      <c r="BE89" s="17" t="n">
        <f aca="false">BD89+N($M89)*N(BC89)</f>
        <v>26.7790226754618</v>
      </c>
      <c r="BF89" s="17" t="n">
        <f aca="false">IF(W89="","",W89*$AV89)</f>
        <v>4.70463739559736</v>
      </c>
      <c r="BG89" s="17" t="n">
        <f aca="false">IF(AD89="","",AD89*$AX89)</f>
        <v>5.27716909893227</v>
      </c>
      <c r="BH89" s="17" t="n">
        <f aca="false">IF(AK89="","",AK89*$AZ89)</f>
        <v>6.47862364122912</v>
      </c>
      <c r="BI89" s="17" t="n">
        <f aca="false">IF(BF89="","",N(BF89)+N(BG89))</f>
        <v>9.98180649452964</v>
      </c>
      <c r="BJ89" s="17" t="n">
        <f aca="false">IF(BI89="","",BI89+N($M89)*N(BH89))</f>
        <v>12.888117059985</v>
      </c>
      <c r="BK89" s="13" t="n">
        <f aca="false">IFERROR(BD89/AL89,1)</f>
        <v>0.987469823085877</v>
      </c>
    </row>
    <row r="90" customFormat="false" ht="15" hidden="false" customHeight="false" outlineLevel="0" collapsed="false">
      <c r="A90" s="0" t="s">
        <v>1325</v>
      </c>
      <c r="B90" s="0" t="s">
        <v>988</v>
      </c>
      <c r="C90" s="0" t="s">
        <v>1034</v>
      </c>
      <c r="D90" s="0" t="s">
        <v>1040</v>
      </c>
      <c r="E90" s="0" t="s">
        <v>1324</v>
      </c>
      <c r="F90" s="0" t="s">
        <v>1543</v>
      </c>
      <c r="G90" s="0" t="str">
        <f aca="false">IFERROR(IF(INDEX(Matches!$W$5:$W$19,MATCH($C90,Matches!$A$5:$A$19,0))="","",INDEX(Matches!$W$5:$W$19,MATCH($C90,Matches!$A$5:$A$19,0))),"")</f>
        <v>Mirage</v>
      </c>
      <c r="H90" s="0" t="str">
        <f aca="false">IFERROR(IF(INDEX(Matches!$X$5:$X$19,MATCH($C90,Matches!$A$5:$A$19,0))="","",INDEX(Matches!$X$5:$X$19,MATCH($C90,Matches!$A$5:$A$19,0))),"")</f>
        <v>Dust2</v>
      </c>
      <c r="I90" s="0" t="str">
        <f aca="false">IFERROR(IF(INDEX(Matches!$Y$5:$Y$19,MATCH($C90,Matches!$A$5:$A$19,0))="","",INDEX(Matches!$Y$5:$Y$19,MATCH($C90,Matches!$A$5:$A$19,0))),"")</f>
        <v>Nuke</v>
      </c>
      <c r="J90" s="11" t="n">
        <f aca="false">IFERROR(IF(INDEX(Matches!$Z$5:$Z$19,MATCH($C90,Matches!$A$5:$A$19,0))="","",INDEX(Matches!$Z$5:$Z$19,MATCH($C90,Matches!$A$5:$A$19,0))),"")</f>
        <v>21.31</v>
      </c>
      <c r="K90" s="11" t="n">
        <f aca="false">IFERROR(IF(INDEX(Matches!$AA$5:$AA$19,MATCH($C90,Matches!$A$5:$A$19,0))="","",INDEX(Matches!$AA$5:$AA$19,MATCH($C90,Matches!$A$5:$A$19,0))),"")</f>
        <v>21.05</v>
      </c>
      <c r="L90" s="11" t="n">
        <f aca="false">IFERROR(IF(INDEX(Matches!$AB$5:$AB$19,MATCH($C90,Matches!$A$5:$A$19,0))="","",INDEX(Matches!$AB$5:$AB$19,MATCH($C90,Matches!$A$5:$A$19,0))),"")</f>
        <v>21.11</v>
      </c>
      <c r="M90" s="10" t="n">
        <f aca="false">IFERROR(IF(INDEX(Matches!$AC$5:$AC$19,MATCH($C90,Matches!$A$5:$A$19,0))="","",INDEX(Matches!$AC$5:$AC$19,MATCH($C90,Matches!$A$5:$A$19,0))),"")</f>
        <v>0.4486</v>
      </c>
      <c r="N90" s="9" t="n">
        <f aca="false">IFERROR(INDEX(Players!$F$2:$F$124,MATCH($F90,Players!$A$2:$A$124,0)),0)</f>
        <v>33</v>
      </c>
      <c r="O90" s="13" t="n">
        <f aca="false">IFERROR(1/(1/INDEX(Players!$H$2:$H$124,MATCH($F90,Players!$A$2:$A$124,0))),"")</f>
        <v>0.6</v>
      </c>
      <c r="P90" s="10" t="n">
        <f aca="false">IFERROR(1/(1/INDEX(Players!$I$2:$I$124,MATCH($F90,Players!$A$2:$A$124,0))),"")</f>
        <v>0.392</v>
      </c>
      <c r="Q90" s="9" t="n">
        <f aca="false">IF($G90="",0,SUMIFS(Map_Stats!$F$2:$F$779,Map_Stats!$A$2:$A$779,$F90&amp;"|"&amp;$G90))</f>
        <v>6</v>
      </c>
      <c r="R90" s="13" t="n">
        <f aca="false">IF($G90="","",IFERROR(1/(1/INDEX(Map_Stats!$K$2:$K$779,MATCH($F90&amp;"|"&amp;$G90,Map_Stats!$A$2:$A$779,0))),$O90))</f>
        <v>0.63</v>
      </c>
      <c r="S90" s="10" t="n">
        <f aca="false">IF(OR($G90="",$P90=""),"",IFERROR(1/(1/INDEX(Map_Stats!$I$2:$I$779,MATCH($F90&amp;"|"&amp;$G90,Map_Stats!$A$2:$A$779,0))),$P90))</f>
        <v>0.397</v>
      </c>
      <c r="T90" s="13" t="n">
        <f aca="false">IF(OR($G90="",R90=""),"",IF($O90="",R90,(Q90*R90+Config!$B$4*$O90)/(Q90+Config!$B$4)))</f>
        <v>0.616363636363636</v>
      </c>
      <c r="U90" s="10" t="n">
        <f aca="false">IF(S90="","",(Q90*S90+Config!$B$4*$P90)/(Q90+Config!$B$4))</f>
        <v>0.394727272727273</v>
      </c>
      <c r="V90" s="17" t="n">
        <f aca="false">IF(OR(T90="",$J90=""),"",T90*$J90*($J90/Config!$B$10)^Config!$B$9)</f>
        <v>13.1347090909091</v>
      </c>
      <c r="W90" s="17" t="n">
        <f aca="false">IF(OR(V90="",U90=""),"",V90*U90)</f>
        <v>5.18462789752066</v>
      </c>
      <c r="X90" s="9" t="n">
        <f aca="false">IF($H90="",0,SUMIFS(Map_Stats!$F$2:$F$779,Map_Stats!$A$2:$A$779,$F90&amp;"|"&amp;$H90))</f>
        <v>6</v>
      </c>
      <c r="Y90" s="13" t="n">
        <f aca="false">IF($H90="","",IFERROR(1/(1/INDEX(Map_Stats!$K$2:$K$779,MATCH($F90&amp;"|"&amp;$H90,Map_Stats!$A$2:$A$779,0))),$O90))</f>
        <v>0.64</v>
      </c>
      <c r="Z90" s="10" t="n">
        <f aca="false">IF(OR($H90="",$P90=""),"",IFERROR(1/(1/INDEX(Map_Stats!$I$2:$I$779,MATCH($F90&amp;"|"&amp;$H90,Map_Stats!$A$2:$A$779,0))),$P90))</f>
        <v>0.325</v>
      </c>
      <c r="AA90" s="13" t="n">
        <f aca="false">IF(OR($H90="",Y90=""),"",IF($O90="",Y90,(X90*Y90+Config!$B$4*$O90)/(X90+Config!$B$4)))</f>
        <v>0.621818181818182</v>
      </c>
      <c r="AB90" s="10" t="n">
        <f aca="false">IF(Z90="","",(X90*Z90+Config!$B$4*$P90)/(X90+Config!$B$4))</f>
        <v>0.355454545454545</v>
      </c>
      <c r="AC90" s="17" t="n">
        <f aca="false">IF(OR(AA90="",$K90=""),"",AA90*$K90*($K90/Config!$B$10)^Config!$B$9)</f>
        <v>13.0892727272727</v>
      </c>
      <c r="AD90" s="17" t="n">
        <f aca="false">IF(OR(AC90="",AB90=""),"",AC90*AB90)</f>
        <v>4.65264148760331</v>
      </c>
      <c r="AE90" s="9" t="n">
        <f aca="false">IF($I90="",0,SUMIFS(Map_Stats!$F$2:$F$779,Map_Stats!$A$2:$A$779,$F90&amp;"|"&amp;$I90))</f>
        <v>9</v>
      </c>
      <c r="AF90" s="13" t="n">
        <f aca="false">IF($I90="","",IFERROR(1/(1/INDEX(Map_Stats!$K$2:$K$779,MATCH($F90&amp;"|"&amp;$I90,Map_Stats!$A$2:$A$779,0))),$O90))</f>
        <v>0.53</v>
      </c>
      <c r="AG90" s="10" t="n">
        <f aca="false">IF(OR($I90="",$P90=""),"",IFERROR(1/(1/INDEX(Map_Stats!$I$2:$I$779,MATCH($F90&amp;"|"&amp;$I90,Map_Stats!$A$2:$A$779,0))),$P90))</f>
        <v>0.391</v>
      </c>
      <c r="AH90" s="13" t="n">
        <f aca="false">IF(OR($I90="",AF90=""),"",IF($O90="",AF90,(AE90*AF90+Config!$B$4*$O90)/(AE90+Config!$B$4)))</f>
        <v>0.555</v>
      </c>
      <c r="AI90" s="10" t="n">
        <f aca="false">IF(AG90="","",(AE90*AG90+Config!$B$4*$P90)/(AE90+Config!$B$4))</f>
        <v>0.391357142857143</v>
      </c>
      <c r="AJ90" s="17" t="n">
        <f aca="false">IF(OR(AH90="",$L90=""),"",AH90*$L90*($L90/Config!$B$10)^Config!$B$9)</f>
        <v>11.71605</v>
      </c>
      <c r="AK90" s="17" t="n">
        <f aca="false">IF(OR(AJ90="",AI90=""),"",AJ90*AI90)</f>
        <v>4.58515985357143</v>
      </c>
      <c r="AL90" s="17" t="n">
        <f aca="false">N(V90)+N(AC90)</f>
        <v>26.2239818181818</v>
      </c>
      <c r="AM90" s="17" t="n">
        <f aca="false">AL90+N($M90)*N(AJ90)</f>
        <v>31.4798018481818</v>
      </c>
      <c r="AN90" s="17" t="n">
        <f aca="false">IF(W90="","",N(W90)+N(AD90))</f>
        <v>9.83726938512397</v>
      </c>
      <c r="AO90" s="17" t="n">
        <f aca="false">IF(AN90="","",AN90+N($M90)*N(AK90))</f>
        <v>11.8941720954361</v>
      </c>
      <c r="AP90" s="10" t="n">
        <f aca="false">IFERROR(AN90/AL90,"")</f>
        <v>0.375124931573264</v>
      </c>
      <c r="AQ90" s="0" t="str">
        <f aca="false">TRIM(IF($N90&lt;Config!$B$12,"thin sample ("&amp;$N90&amp;" maps) · ","")&amp;IF(AND($G90&lt;&gt;"",Q90=0),"M1 unplayed→overall KPR · ","")&amp;IF(AND($H90&lt;&gt;"",X90=0),"M2 unplayed→overall KPR · ","")&amp;IF($O90="","no PickFinder stats",""))</f>
        <v/>
      </c>
      <c r="AR90" s="0" t="str">
        <f aca="false">IF($C90=Board!$B$2,COUNTIFS($C$2:$C$124,Board!$B$2,$AL$2:$AL$124,"&gt;"&amp;$AL90)+COUNTIFS($C$1:$C89,Board!$B$2,$AL$1:$AL89,$AL90)+1,"")</f>
        <v/>
      </c>
      <c r="AS90" s="0" t="str">
        <f aca="false">IFERROR(IF($D90=INDEX(Matches!$AD$5:$AD$19,MATCH($C90,Matches!$A$5:$A$19,0)),"A",IF($D90=INDEX(Matches!$AE$5:$AE$19,MATCH($C90,Matches!$A$5:$A$19,0)),"B","")),"")</f>
        <v>B</v>
      </c>
      <c r="AT90" s="10" t="n">
        <f aca="false">IF($AS90="","",IFERROR(IF($AS90="A",INDEX(Matches!$AI$5:$AI$19,MATCH($C90,Matches!$A$5:$A$19,0)),INDEX(Matches!$AJ$5:$AJ$19,MATCH($C90,Matches!$A$5:$A$19,0))),""))</f>
        <v>0.453863710466254</v>
      </c>
      <c r="AU90" s="10" t="n">
        <f aca="false">IF($AS90="","",IFERROR(IF(INDEX(Matches!$AP$5:$AP$19,MATCH($C90,Matches!$A$5:$A$19,0))="","",IF($AS90="A",INDEX(Matches!$AP$5:$AP$19,MATCH($C90,Matches!$A$5:$A$19,0)),1-INDEX(Matches!$AP$5:$AP$19,MATCH($C90,Matches!$A$5:$A$19,0)))),""))</f>
        <v>0.479273365564446</v>
      </c>
      <c r="AV90" s="13" t="n">
        <f aca="false">IF(OR($AU90="",$AT90=""),1,((Config!$B$14*$AU90+Config!$B$15*(1-$AU90))/(Config!$B$14*$AT90+Config!$B$15*(1-$AT90)))^Config!$B$13)</f>
        <v>1.02368290314327</v>
      </c>
      <c r="AW90" s="10" t="n">
        <f aca="false">IF($AS90="","",IFERROR(IF(INDEX(Matches!$AV$5:$AV$19,MATCH($C90,Matches!$A$5:$A$19,0))="","",IF($AS90="A",INDEX(Matches!$AV$5:$AV$19,MATCH($C90,Matches!$A$5:$A$19,0)),1-INDEX(Matches!$AV$5:$AV$19,MATCH($C90,Matches!$A$5:$A$19,0)))),""))</f>
        <v>0.405524223796117</v>
      </c>
      <c r="AX90" s="13" t="n">
        <f aca="false">IF(OR($AW90="",$AT90=""),1,((Config!$B$14*$AW90+Config!$B$15*(1-$AW90))/(Config!$B$14*$AT90+Config!$B$15*(1-$AT90)))^Config!$B$13)</f>
        <v>0.954945497041178</v>
      </c>
      <c r="AY90" s="10" t="n">
        <f aca="false">IF($AS90="","",IFERROR(IF(INDEX(Matches!$BB$5:$BB$19,MATCH($C90,Matches!$A$5:$A$19,0))="","",IF($AS90="A",INDEX(Matches!$BB$5:$BB$19,MATCH($C90,Matches!$A$5:$A$19,0)),1-INDEX(Matches!$BB$5:$BB$19,MATCH($C90,Matches!$A$5:$A$19,0)))),""))</f>
        <v>0.499373839722139</v>
      </c>
      <c r="AZ90" s="13" t="n">
        <f aca="false">IF(OR($AY90="",$AT90=""),1,((Config!$B$14*$AY90+Config!$B$15*(1-$AY90))/(Config!$B$14*$AT90+Config!$B$15*(1-$AT90)))^Config!$B$13)</f>
        <v>1.04241741885278</v>
      </c>
      <c r="BA90" s="17" t="n">
        <f aca="false">IF(V90="","",V90*$AV90)</f>
        <v>13.4457771341241</v>
      </c>
      <c r="BB90" s="17" t="n">
        <f aca="false">IF(AC90="","",AC90*$AX90)</f>
        <v>12.499542050453</v>
      </c>
      <c r="BC90" s="17" t="n">
        <f aca="false">IF(AJ90="","",AJ90*$AZ90)</f>
        <v>12.2130146001501</v>
      </c>
      <c r="BD90" s="17" t="n">
        <f aca="false">N(BA90)+N(BB90)</f>
        <v>25.9453191845771</v>
      </c>
      <c r="BE90" s="17" t="n">
        <f aca="false">BD90+N($M90)*N(BC90)</f>
        <v>31.4240775342044</v>
      </c>
      <c r="BF90" s="17" t="n">
        <f aca="false">IF(W90="","",W90*$AV90)</f>
        <v>5.30741493785153</v>
      </c>
      <c r="BG90" s="17" t="n">
        <f aca="false">IF(AD90="","",AD90*$AX90)</f>
        <v>4.44301903793374</v>
      </c>
      <c r="BH90" s="17" t="n">
        <f aca="false">IF(AK90="","",AK90*$AZ90)</f>
        <v>4.77965049958733</v>
      </c>
      <c r="BI90" s="17" t="n">
        <f aca="false">IF(BF90="","",N(BF90)+N(BG90))</f>
        <v>9.75043397578527</v>
      </c>
      <c r="BJ90" s="17" t="n">
        <f aca="false">IF(BI90="","",BI90+N($M90)*N(BH90))</f>
        <v>11.8945851899002</v>
      </c>
      <c r="BK90" s="13" t="n">
        <f aca="false">IFERROR(BD90/AL90,1)</f>
        <v>0.98937374821502</v>
      </c>
    </row>
    <row r="91" customFormat="false" ht="15" hidden="false" customHeight="false" outlineLevel="0" collapsed="false">
      <c r="A91" s="0" t="s">
        <v>1327</v>
      </c>
      <c r="B91" s="0" t="s">
        <v>988</v>
      </c>
      <c r="C91" s="0" t="s">
        <v>1034</v>
      </c>
      <c r="D91" s="0" t="s">
        <v>1039</v>
      </c>
      <c r="E91" s="0" t="s">
        <v>1326</v>
      </c>
      <c r="F91" s="0" t="s">
        <v>1544</v>
      </c>
      <c r="G91" s="0" t="str">
        <f aca="false">IFERROR(IF(INDEX(Matches!$W$5:$W$19,MATCH($C91,Matches!$A$5:$A$19,0))="","",INDEX(Matches!$W$5:$W$19,MATCH($C91,Matches!$A$5:$A$19,0))),"")</f>
        <v>Mirage</v>
      </c>
      <c r="H91" s="0" t="str">
        <f aca="false">IFERROR(IF(INDEX(Matches!$X$5:$X$19,MATCH($C91,Matches!$A$5:$A$19,0))="","",INDEX(Matches!$X$5:$X$19,MATCH($C91,Matches!$A$5:$A$19,0))),"")</f>
        <v>Dust2</v>
      </c>
      <c r="I91" s="0" t="str">
        <f aca="false">IFERROR(IF(INDEX(Matches!$Y$5:$Y$19,MATCH($C91,Matches!$A$5:$A$19,0))="","",INDEX(Matches!$Y$5:$Y$19,MATCH($C91,Matches!$A$5:$A$19,0))),"")</f>
        <v>Nuke</v>
      </c>
      <c r="J91" s="11" t="n">
        <f aca="false">IFERROR(IF(INDEX(Matches!$Z$5:$Z$19,MATCH($C91,Matches!$A$5:$A$19,0))="","",INDEX(Matches!$Z$5:$Z$19,MATCH($C91,Matches!$A$5:$A$19,0))),"")</f>
        <v>21.31</v>
      </c>
      <c r="K91" s="11" t="n">
        <f aca="false">IFERROR(IF(INDEX(Matches!$AA$5:$AA$19,MATCH($C91,Matches!$A$5:$A$19,0))="","",INDEX(Matches!$AA$5:$AA$19,MATCH($C91,Matches!$A$5:$A$19,0))),"")</f>
        <v>21.05</v>
      </c>
      <c r="L91" s="11" t="n">
        <f aca="false">IFERROR(IF(INDEX(Matches!$AB$5:$AB$19,MATCH($C91,Matches!$A$5:$A$19,0))="","",INDEX(Matches!$AB$5:$AB$19,MATCH($C91,Matches!$A$5:$A$19,0))),"")</f>
        <v>21.11</v>
      </c>
      <c r="M91" s="10" t="n">
        <f aca="false">IFERROR(IF(INDEX(Matches!$AC$5:$AC$19,MATCH($C91,Matches!$A$5:$A$19,0))="","",INDEX(Matches!$AC$5:$AC$19,MATCH($C91,Matches!$A$5:$A$19,0))),"")</f>
        <v>0.4486</v>
      </c>
      <c r="N91" s="9" t="n">
        <f aca="false">IFERROR(INDEX(Players!$F$2:$F$124,MATCH($F91,Players!$A$2:$A$124,0)),0)</f>
        <v>39</v>
      </c>
      <c r="O91" s="13" t="n">
        <f aca="false">IFERROR(1/(1/INDEX(Players!$H$2:$H$124,MATCH($F91,Players!$A$2:$A$124,0))),"")</f>
        <v>0.65</v>
      </c>
      <c r="P91" s="10" t="n">
        <f aca="false">IFERROR(1/(1/INDEX(Players!$I$2:$I$124,MATCH($F91,Players!$A$2:$A$124,0))),"")</f>
        <v>0.517</v>
      </c>
      <c r="Q91" s="9" t="n">
        <f aca="false">IF($G91="",0,SUMIFS(Map_Stats!$F$2:$F$779,Map_Stats!$A$2:$A$779,$F91&amp;"|"&amp;$G91))</f>
        <v>10</v>
      </c>
      <c r="R91" s="13" t="n">
        <f aca="false">IF($G91="","",IFERROR(1/(1/INDEX(Map_Stats!$K$2:$K$779,MATCH($F91&amp;"|"&amp;$G91,Map_Stats!$A$2:$A$779,0))),$O91))</f>
        <v>0.64</v>
      </c>
      <c r="S91" s="10" t="n">
        <f aca="false">IF(OR($G91="",$P91=""),"",IFERROR(1/(1/INDEX(Map_Stats!$I$2:$I$779,MATCH($F91&amp;"|"&amp;$G91,Map_Stats!$A$2:$A$779,0))),$P91))</f>
        <v>0.5</v>
      </c>
      <c r="T91" s="13" t="n">
        <f aca="false">IF(OR($G91="",R91=""),"",IF($O91="",R91,(Q91*R91+Config!$B$4*$O91)/(Q91+Config!$B$4)))</f>
        <v>0.643333333333333</v>
      </c>
      <c r="U91" s="10" t="n">
        <f aca="false">IF(S91="","",(Q91*S91+Config!$B$4*$P91)/(Q91+Config!$B$4))</f>
        <v>0.505666666666667</v>
      </c>
      <c r="V91" s="17" t="n">
        <f aca="false">IF(OR(T91="",$J91=""),"",T91*$J91*($J91/Config!$B$10)^Config!$B$9)</f>
        <v>13.7094333333333</v>
      </c>
      <c r="W91" s="17" t="n">
        <f aca="false">IF(OR(V91="",U91=""),"",V91*U91)</f>
        <v>6.93240345555556</v>
      </c>
      <c r="X91" s="9" t="n">
        <f aca="false">IF($H91="",0,SUMIFS(Map_Stats!$F$2:$F$779,Map_Stats!$A$2:$A$779,$F91&amp;"|"&amp;$H91))</f>
        <v>6</v>
      </c>
      <c r="Y91" s="13" t="n">
        <f aca="false">IF($H91="","",IFERROR(1/(1/INDEX(Map_Stats!$K$2:$K$779,MATCH($F91&amp;"|"&amp;$H91,Map_Stats!$A$2:$A$779,0))),$O91))</f>
        <v>0.55</v>
      </c>
      <c r="Z91" s="10" t="n">
        <f aca="false">IF(OR($H91="",$P91=""),"",IFERROR(1/(1/INDEX(Map_Stats!$I$2:$I$779,MATCH($F91&amp;"|"&amp;$H91,Map_Stats!$A$2:$A$779,0))),$P91))</f>
        <v>0.595</v>
      </c>
      <c r="AA91" s="13" t="n">
        <f aca="false">IF(OR($H91="",Y91=""),"",IF($O91="",Y91,(X91*Y91+Config!$B$4*$O91)/(X91+Config!$B$4)))</f>
        <v>0.595454545454546</v>
      </c>
      <c r="AB91" s="10" t="n">
        <f aca="false">IF(Z91="","",(X91*Z91+Config!$B$4*$P91)/(X91+Config!$B$4))</f>
        <v>0.559545454545455</v>
      </c>
      <c r="AC91" s="17" t="n">
        <f aca="false">IF(OR(AA91="",$K91=""),"",AA91*$K91*($K91/Config!$B$10)^Config!$B$9)</f>
        <v>12.5343181818182</v>
      </c>
      <c r="AD91" s="17" t="n">
        <f aca="false">IF(OR(AC91="",AB91=""),"",AC91*AB91)</f>
        <v>7.01352076446281</v>
      </c>
      <c r="AE91" s="9" t="n">
        <f aca="false">IF($I91="",0,SUMIFS(Map_Stats!$F$2:$F$779,Map_Stats!$A$2:$A$779,$F91&amp;"|"&amp;$I91))</f>
        <v>6</v>
      </c>
      <c r="AF91" s="13" t="n">
        <f aca="false">IF($I91="","",IFERROR(1/(1/INDEX(Map_Stats!$K$2:$K$779,MATCH($F91&amp;"|"&amp;$I91,Map_Stats!$A$2:$A$779,0))),$O91))</f>
        <v>0.74</v>
      </c>
      <c r="AG91" s="10" t="n">
        <f aca="false">IF(OR($I91="",$P91=""),"",IFERROR(1/(1/INDEX(Map_Stats!$I$2:$I$779,MATCH($F91&amp;"|"&amp;$I91,Map_Stats!$A$2:$A$779,0))),$P91))</f>
        <v>0.533</v>
      </c>
      <c r="AH91" s="13" t="n">
        <f aca="false">IF(OR($I91="",AF91=""),"",IF($O91="",AF91,(AE91*AF91+Config!$B$4*$O91)/(AE91+Config!$B$4)))</f>
        <v>0.699090909090909</v>
      </c>
      <c r="AI91" s="10" t="n">
        <f aca="false">IF(AG91="","",(AE91*AG91+Config!$B$4*$P91)/(AE91+Config!$B$4))</f>
        <v>0.525727272727273</v>
      </c>
      <c r="AJ91" s="17" t="n">
        <f aca="false">IF(OR(AH91="",$L91=""),"",AH91*$L91*($L91/Config!$B$10)^Config!$B$9)</f>
        <v>14.7578090909091</v>
      </c>
      <c r="AK91" s="17" t="n">
        <f aca="false">IF(OR(AJ91="",AI91=""),"",AJ91*AI91)</f>
        <v>7.75858272479339</v>
      </c>
      <c r="AL91" s="17" t="n">
        <f aca="false">N(V91)+N(AC91)</f>
        <v>26.2437515151515</v>
      </c>
      <c r="AM91" s="17" t="n">
        <f aca="false">AL91+N($M91)*N(AJ91)</f>
        <v>32.8641046733333</v>
      </c>
      <c r="AN91" s="17" t="n">
        <f aca="false">IF(W91="","",N(W91)+N(AD91))</f>
        <v>13.9459242200184</v>
      </c>
      <c r="AO91" s="17" t="n">
        <f aca="false">IF(AN91="","",AN91+N($M91)*N(AK91))</f>
        <v>17.4264244303607</v>
      </c>
      <c r="AP91" s="10" t="n">
        <f aca="false">IFERROR(AN91/AL91,"")</f>
        <v>0.531399796708441</v>
      </c>
      <c r="AQ91" s="0" t="str">
        <f aca="false">TRIM(IF($N91&lt;Config!$B$12,"thin sample ("&amp;$N91&amp;" maps) · ","")&amp;IF(AND($G91&lt;&gt;"",Q91=0),"M1 unplayed→overall KPR · ","")&amp;IF(AND($H91&lt;&gt;"",X91=0),"M2 unplayed→overall KPR · ","")&amp;IF($O91="","no PickFinder stats",""))</f>
        <v/>
      </c>
      <c r="AR91" s="0" t="str">
        <f aca="false">IF($C91=Board!$B$2,COUNTIFS($C$2:$C$124,Board!$B$2,$AL$2:$AL$124,"&gt;"&amp;$AL91)+COUNTIFS($C$1:$C90,Board!$B$2,$AL$1:$AL90,$AL91)+1,"")</f>
        <v/>
      </c>
      <c r="AS91" s="0" t="str">
        <f aca="false">IFERROR(IF($D91=INDEX(Matches!$AD$5:$AD$19,MATCH($C91,Matches!$A$5:$A$19,0)),"A",IF($D91=INDEX(Matches!$AE$5:$AE$19,MATCH($C91,Matches!$A$5:$A$19,0)),"B","")),"")</f>
        <v>A</v>
      </c>
      <c r="AT91" s="10" t="n">
        <f aca="false">IF($AS91="","",IFERROR(IF($AS91="A",INDEX(Matches!$AI$5:$AI$19,MATCH($C91,Matches!$A$5:$A$19,0)),INDEX(Matches!$AJ$5:$AJ$19,MATCH($C91,Matches!$A$5:$A$19,0))),""))</f>
        <v>0.547286534543434</v>
      </c>
      <c r="AU91" s="10" t="n">
        <f aca="false">IF($AS91="","",IFERROR(IF(INDEX(Matches!$AP$5:$AP$19,MATCH($C91,Matches!$A$5:$A$19,0))="","",IF($AS91="A",INDEX(Matches!$AP$5:$AP$19,MATCH($C91,Matches!$A$5:$A$19,0)),1-INDEX(Matches!$AP$5:$AP$19,MATCH($C91,Matches!$A$5:$A$19,0)))),""))</f>
        <v>0.520726634435554</v>
      </c>
      <c r="AV91" s="13" t="n">
        <f aca="false">IF(OR($AU91="",$AT91=""),1,((Config!$B$14*$AU91+Config!$B$15*(1-$AU91))/(Config!$B$14*$AT91+Config!$B$15*(1-$AT91)))^Config!$B$13)</f>
        <v>0.977227881026973</v>
      </c>
      <c r="AW91" s="10" t="n">
        <f aca="false">IF($AS91="","",IFERROR(IF(INDEX(Matches!$AV$5:$AV$19,MATCH($C91,Matches!$A$5:$A$19,0))="","",IF($AS91="A",INDEX(Matches!$AV$5:$AV$19,MATCH($C91,Matches!$A$5:$A$19,0)),1-INDEX(Matches!$AV$5:$AV$19,MATCH($C91,Matches!$A$5:$A$19,0)))),""))</f>
        <v>0.594475776203883</v>
      </c>
      <c r="AX91" s="13" t="n">
        <f aca="false">IF(OR($AW91="",$AT91=""),1,((Config!$B$14*$AW91+Config!$B$15*(1-$AW91))/(Config!$B$14*$AT91+Config!$B$15*(1-$AT91)))^Config!$B$13)</f>
        <v>1.04045945282075</v>
      </c>
      <c r="AY91" s="10" t="n">
        <f aca="false">IF($AS91="","",IFERROR(IF(INDEX(Matches!$BB$5:$BB$19,MATCH($C91,Matches!$A$5:$A$19,0))="","",IF($AS91="A",INDEX(Matches!$BB$5:$BB$19,MATCH($C91,Matches!$A$5:$A$19,0)),1-INDEX(Matches!$BB$5:$BB$19,MATCH($C91,Matches!$A$5:$A$19,0)))),""))</f>
        <v>0.500626160277861</v>
      </c>
      <c r="AZ91" s="13" t="n">
        <f aca="false">IF(OR($AY91="",$AT91=""),1,((Config!$B$14*$AY91+Config!$B$15*(1-$AY91))/(Config!$B$14*$AT91+Config!$B$15*(1-$AT91)))^Config!$B$13)</f>
        <v>0.959993991325806</v>
      </c>
      <c r="BA91" s="17" t="n">
        <f aca="false">IF(V91="","",V91*$AV91)</f>
        <v>13.3972404864139</v>
      </c>
      <c r="BB91" s="17" t="n">
        <f aca="false">IF(AC91="","",AC91*$AX91)</f>
        <v>13.0414498369358</v>
      </c>
      <c r="BC91" s="17" t="n">
        <f aca="false">IF(AJ91="","",AJ91*$AZ91)</f>
        <v>14.1674080524061</v>
      </c>
      <c r="BD91" s="17" t="n">
        <f aca="false">N(BA91)+N(BB91)</f>
        <v>26.4386903233496</v>
      </c>
      <c r="BE91" s="17" t="n">
        <f aca="false">BD91+N($M91)*N(BC91)</f>
        <v>32.794189575659</v>
      </c>
      <c r="BF91" s="17" t="n">
        <f aca="false">IF(W91="","",W91*$AV91)</f>
        <v>6.77453793929662</v>
      </c>
      <c r="BG91" s="17" t="n">
        <f aca="false">IF(AD91="","",AD91*$AX91)</f>
        <v>7.29728397693996</v>
      </c>
      <c r="BH91" s="17" t="n">
        <f aca="false">IF(AK91="","",AK91*$AZ91)</f>
        <v>7.44819279700585</v>
      </c>
      <c r="BI91" s="17" t="n">
        <f aca="false">IF(BF91="","",N(BF91)+N(BG91))</f>
        <v>14.0718219162366</v>
      </c>
      <c r="BJ91" s="17" t="n">
        <f aca="false">IF(BI91="","",BI91+N($M91)*N(BH91))</f>
        <v>17.4130812049734</v>
      </c>
      <c r="BK91" s="13" t="n">
        <f aca="false">IFERROR(BD91/AL91,1)</f>
        <v>1.00742800845701</v>
      </c>
    </row>
    <row r="92" customFormat="false" ht="15" hidden="false" customHeight="false" outlineLevel="0" collapsed="false">
      <c r="A92" s="0" t="s">
        <v>1329</v>
      </c>
      <c r="B92" s="0" t="s">
        <v>988</v>
      </c>
      <c r="C92" s="0" t="s">
        <v>1034</v>
      </c>
      <c r="D92" s="0" t="s">
        <v>1039</v>
      </c>
      <c r="E92" s="0" t="s">
        <v>1328</v>
      </c>
      <c r="F92" s="0" t="s">
        <v>1545</v>
      </c>
      <c r="G92" s="0" t="str">
        <f aca="false">IFERROR(IF(INDEX(Matches!$W$5:$W$19,MATCH($C92,Matches!$A$5:$A$19,0))="","",INDEX(Matches!$W$5:$W$19,MATCH($C92,Matches!$A$5:$A$19,0))),"")</f>
        <v>Mirage</v>
      </c>
      <c r="H92" s="0" t="str">
        <f aca="false">IFERROR(IF(INDEX(Matches!$X$5:$X$19,MATCH($C92,Matches!$A$5:$A$19,0))="","",INDEX(Matches!$X$5:$X$19,MATCH($C92,Matches!$A$5:$A$19,0))),"")</f>
        <v>Dust2</v>
      </c>
      <c r="I92" s="0" t="str">
        <f aca="false">IFERROR(IF(INDEX(Matches!$Y$5:$Y$19,MATCH($C92,Matches!$A$5:$A$19,0))="","",INDEX(Matches!$Y$5:$Y$19,MATCH($C92,Matches!$A$5:$A$19,0))),"")</f>
        <v>Nuke</v>
      </c>
      <c r="J92" s="11" t="n">
        <f aca="false">IFERROR(IF(INDEX(Matches!$Z$5:$Z$19,MATCH($C92,Matches!$A$5:$A$19,0))="","",INDEX(Matches!$Z$5:$Z$19,MATCH($C92,Matches!$A$5:$A$19,0))),"")</f>
        <v>21.31</v>
      </c>
      <c r="K92" s="11" t="n">
        <f aca="false">IFERROR(IF(INDEX(Matches!$AA$5:$AA$19,MATCH($C92,Matches!$A$5:$A$19,0))="","",INDEX(Matches!$AA$5:$AA$19,MATCH($C92,Matches!$A$5:$A$19,0))),"")</f>
        <v>21.05</v>
      </c>
      <c r="L92" s="11" t="n">
        <f aca="false">IFERROR(IF(INDEX(Matches!$AB$5:$AB$19,MATCH($C92,Matches!$A$5:$A$19,0))="","",INDEX(Matches!$AB$5:$AB$19,MATCH($C92,Matches!$A$5:$A$19,0))),"")</f>
        <v>21.11</v>
      </c>
      <c r="M92" s="10" t="n">
        <f aca="false">IFERROR(IF(INDEX(Matches!$AC$5:$AC$19,MATCH($C92,Matches!$A$5:$A$19,0))="","",INDEX(Matches!$AC$5:$AC$19,MATCH($C92,Matches!$A$5:$A$19,0))),"")</f>
        <v>0.4486</v>
      </c>
      <c r="N92" s="9" t="n">
        <f aca="false">IFERROR(INDEX(Players!$F$2:$F$124,MATCH($F92,Players!$A$2:$A$124,0)),0)</f>
        <v>39</v>
      </c>
      <c r="O92" s="13" t="n">
        <f aca="false">IFERROR(1/(1/INDEX(Players!$H$2:$H$124,MATCH($F92,Players!$A$2:$A$124,0))),"")</f>
        <v>0.69</v>
      </c>
      <c r="P92" s="10" t="n">
        <f aca="false">IFERROR(1/(1/INDEX(Players!$I$2:$I$124,MATCH($F92,Players!$A$2:$A$124,0))),"")</f>
        <v>0.592</v>
      </c>
      <c r="Q92" s="9" t="n">
        <f aca="false">IF($G92="",0,SUMIFS(Map_Stats!$F$2:$F$779,Map_Stats!$A$2:$A$779,$F92&amp;"|"&amp;$G92))</f>
        <v>10</v>
      </c>
      <c r="R92" s="13" t="n">
        <f aca="false">IF($G92="","",IFERROR(1/(1/INDEX(Map_Stats!$K$2:$K$779,MATCH($F92&amp;"|"&amp;$G92,Map_Stats!$A$2:$A$779,0))),$O92))</f>
        <v>0.74</v>
      </c>
      <c r="S92" s="10" t="n">
        <f aca="false">IF(OR($G92="",$P92=""),"",IFERROR(1/(1/INDEX(Map_Stats!$I$2:$I$779,MATCH($F92&amp;"|"&amp;$G92,Map_Stats!$A$2:$A$779,0))),$P92))</f>
        <v>0.6</v>
      </c>
      <c r="T92" s="13" t="n">
        <f aca="false">IF(OR($G92="",R92=""),"",IF($O92="",R92,(Q92*R92+Config!$B$4*$O92)/(Q92+Config!$B$4)))</f>
        <v>0.723333333333333</v>
      </c>
      <c r="U92" s="10" t="n">
        <f aca="false">IF(S92="","",(Q92*S92+Config!$B$4*$P92)/(Q92+Config!$B$4))</f>
        <v>0.597333333333333</v>
      </c>
      <c r="V92" s="17" t="n">
        <f aca="false">IF(OR(T92="",$J92=""),"",T92*$J92*($J92/Config!$B$10)^Config!$B$9)</f>
        <v>15.4142333333333</v>
      </c>
      <c r="W92" s="17" t="n">
        <f aca="false">IF(OR(V92="",U92=""),"",V92*U92)</f>
        <v>9.20743537777778</v>
      </c>
      <c r="X92" s="9" t="n">
        <f aca="false">IF($H92="",0,SUMIFS(Map_Stats!$F$2:$F$779,Map_Stats!$A$2:$A$779,$F92&amp;"|"&amp;$H92))</f>
        <v>6</v>
      </c>
      <c r="Y92" s="13" t="n">
        <f aca="false">IF($H92="","",IFERROR(1/(1/INDEX(Map_Stats!$K$2:$K$779,MATCH($F92&amp;"|"&amp;$H92,Map_Stats!$A$2:$A$779,0))),$O92))</f>
        <v>0.72</v>
      </c>
      <c r="Z92" s="10" t="n">
        <f aca="false">IF(OR($H92="",$P92=""),"",IFERROR(1/(1/INDEX(Map_Stats!$I$2:$I$779,MATCH($F92&amp;"|"&amp;$H92,Map_Stats!$A$2:$A$779,0))),$P92))</f>
        <v>0.639</v>
      </c>
      <c r="AA92" s="13" t="n">
        <f aca="false">IF(OR($H92="",Y92=""),"",IF($O92="",Y92,(X92*Y92+Config!$B$4*$O92)/(X92+Config!$B$4)))</f>
        <v>0.706363636363636</v>
      </c>
      <c r="AB92" s="10" t="n">
        <f aca="false">IF(Z92="","",(X92*Z92+Config!$B$4*$P92)/(X92+Config!$B$4))</f>
        <v>0.617636363636364</v>
      </c>
      <c r="AC92" s="17" t="n">
        <f aca="false">IF(OR(AA92="",$K92=""),"",AA92*$K92*($K92/Config!$B$10)^Config!$B$9)</f>
        <v>14.8689545454545</v>
      </c>
      <c r="AD92" s="17" t="n">
        <f aca="false">IF(OR(AC92="",AB92=""),"",AC92*AB92)</f>
        <v>9.18360701652892</v>
      </c>
      <c r="AE92" s="9" t="n">
        <f aca="false">IF($I92="",0,SUMIFS(Map_Stats!$F$2:$F$779,Map_Stats!$A$2:$A$779,$F92&amp;"|"&amp;$I92))</f>
        <v>6</v>
      </c>
      <c r="AF92" s="13" t="n">
        <f aca="false">IF($I92="","",IFERROR(1/(1/INDEX(Map_Stats!$K$2:$K$779,MATCH($F92&amp;"|"&amp;$I92,Map_Stats!$A$2:$A$779,0))),$O92))</f>
        <v>0.57</v>
      </c>
      <c r="AG92" s="10" t="n">
        <f aca="false">IF(OR($I92="",$P92=""),"",IFERROR(1/(1/INDEX(Map_Stats!$I$2:$I$779,MATCH($F92&amp;"|"&amp;$I92,Map_Stats!$A$2:$A$779,0))),$P92))</f>
        <v>0.577</v>
      </c>
      <c r="AH92" s="13" t="n">
        <f aca="false">IF(OR($I92="",AF92=""),"",IF($O92="",AF92,(AE92*AF92+Config!$B$4*$O92)/(AE92+Config!$B$4)))</f>
        <v>0.624545454545455</v>
      </c>
      <c r="AI92" s="10" t="n">
        <f aca="false">IF(AG92="","",(AE92*AG92+Config!$B$4*$P92)/(AE92+Config!$B$4))</f>
        <v>0.583818181818182</v>
      </c>
      <c r="AJ92" s="17" t="n">
        <f aca="false">IF(OR(AH92="",$L92=""),"",AH92*$L92*($L92/Config!$B$10)^Config!$B$9)</f>
        <v>13.1841545454545</v>
      </c>
      <c r="AK92" s="17" t="n">
        <f aca="false">IF(OR(AJ92="",AI92=""),"",AJ92*AI92)</f>
        <v>7.69714913553719</v>
      </c>
      <c r="AL92" s="17" t="n">
        <f aca="false">N(V92)+N(AC92)</f>
        <v>30.2831878787879</v>
      </c>
      <c r="AM92" s="17" t="n">
        <f aca="false">AL92+N($M92)*N(AJ92)</f>
        <v>36.1975996078788</v>
      </c>
      <c r="AN92" s="17" t="n">
        <f aca="false">IF(W92="","",N(W92)+N(AD92))</f>
        <v>18.3910423943067</v>
      </c>
      <c r="AO92" s="17" t="n">
        <f aca="false">IF(AN92="","",AN92+N($M92)*N(AK92))</f>
        <v>21.8439834965087</v>
      </c>
      <c r="AP92" s="10" t="n">
        <f aca="false">IFERROR(AN92/AL92,"")</f>
        <v>0.607302060401272</v>
      </c>
      <c r="AQ92" s="0" t="str">
        <f aca="false">TRIM(IF($N92&lt;Config!$B$12,"thin sample ("&amp;$N92&amp;" maps) · ","")&amp;IF(AND($G92&lt;&gt;"",Q92=0),"M1 unplayed→overall KPR · ","")&amp;IF(AND($H92&lt;&gt;"",X92=0),"M2 unplayed→overall KPR · ","")&amp;IF($O92="","no PickFinder stats",""))</f>
        <v/>
      </c>
      <c r="AR92" s="0" t="str">
        <f aca="false">IF($C92=Board!$B$2,COUNTIFS($C$2:$C$124,Board!$B$2,$AL$2:$AL$124,"&gt;"&amp;$AL92)+COUNTIFS($C$1:$C91,Board!$B$2,$AL$1:$AL91,$AL92)+1,"")</f>
        <v/>
      </c>
      <c r="AS92" s="0" t="str">
        <f aca="false">IFERROR(IF($D92=INDEX(Matches!$AD$5:$AD$19,MATCH($C92,Matches!$A$5:$A$19,0)),"A",IF($D92=INDEX(Matches!$AE$5:$AE$19,MATCH($C92,Matches!$A$5:$A$19,0)),"B","")),"")</f>
        <v>A</v>
      </c>
      <c r="AT92" s="10" t="n">
        <f aca="false">IF($AS92="","",IFERROR(IF($AS92="A",INDEX(Matches!$AI$5:$AI$19,MATCH($C92,Matches!$A$5:$A$19,0)),INDEX(Matches!$AJ$5:$AJ$19,MATCH($C92,Matches!$A$5:$A$19,0))),""))</f>
        <v>0.547286534543434</v>
      </c>
      <c r="AU92" s="10" t="n">
        <f aca="false">IF($AS92="","",IFERROR(IF(INDEX(Matches!$AP$5:$AP$19,MATCH($C92,Matches!$A$5:$A$19,0))="","",IF($AS92="A",INDEX(Matches!$AP$5:$AP$19,MATCH($C92,Matches!$A$5:$A$19,0)),1-INDEX(Matches!$AP$5:$AP$19,MATCH($C92,Matches!$A$5:$A$19,0)))),""))</f>
        <v>0.520726634435554</v>
      </c>
      <c r="AV92" s="13" t="n">
        <f aca="false">IF(OR($AU92="",$AT92=""),1,((Config!$B$14*$AU92+Config!$B$15*(1-$AU92))/(Config!$B$14*$AT92+Config!$B$15*(1-$AT92)))^Config!$B$13)</f>
        <v>0.977227881026973</v>
      </c>
      <c r="AW92" s="10" t="n">
        <f aca="false">IF($AS92="","",IFERROR(IF(INDEX(Matches!$AV$5:$AV$19,MATCH($C92,Matches!$A$5:$A$19,0))="","",IF($AS92="A",INDEX(Matches!$AV$5:$AV$19,MATCH($C92,Matches!$A$5:$A$19,0)),1-INDEX(Matches!$AV$5:$AV$19,MATCH($C92,Matches!$A$5:$A$19,0)))),""))</f>
        <v>0.594475776203883</v>
      </c>
      <c r="AX92" s="13" t="n">
        <f aca="false">IF(OR($AW92="",$AT92=""),1,((Config!$B$14*$AW92+Config!$B$15*(1-$AW92))/(Config!$B$14*$AT92+Config!$B$15*(1-$AT92)))^Config!$B$13)</f>
        <v>1.04045945282075</v>
      </c>
      <c r="AY92" s="10" t="n">
        <f aca="false">IF($AS92="","",IFERROR(IF(INDEX(Matches!$BB$5:$BB$19,MATCH($C92,Matches!$A$5:$A$19,0))="","",IF($AS92="A",INDEX(Matches!$BB$5:$BB$19,MATCH($C92,Matches!$A$5:$A$19,0)),1-INDEX(Matches!$BB$5:$BB$19,MATCH($C92,Matches!$A$5:$A$19,0)))),""))</f>
        <v>0.500626160277861</v>
      </c>
      <c r="AZ92" s="13" t="n">
        <f aca="false">IF(OR($AY92="",$AT92=""),1,((Config!$B$14*$AY92+Config!$B$15*(1-$AY92))/(Config!$B$14*$AT92+Config!$B$15*(1-$AT92)))^Config!$B$13)</f>
        <v>0.959993991325806</v>
      </c>
      <c r="BA92" s="17" t="n">
        <f aca="false">IF(V92="","",V92*$AV92)</f>
        <v>15.0632185779887</v>
      </c>
      <c r="BB92" s="17" t="n">
        <f aca="false">IF(AC92="","",AC92*$AX92)</f>
        <v>15.4705443103803</v>
      </c>
      <c r="BC92" s="17" t="n">
        <f aca="false">IF(AJ92="","",AJ92*$AZ92)</f>
        <v>12.6567091443472</v>
      </c>
      <c r="BD92" s="17" t="n">
        <f aca="false">N(BA92)+N(BB92)</f>
        <v>30.5337628883689</v>
      </c>
      <c r="BE92" s="17" t="n">
        <f aca="false">BD92+N($M92)*N(BC92)</f>
        <v>36.2115626105231</v>
      </c>
      <c r="BF92" s="17" t="n">
        <f aca="false">IF(W92="","",W92*$AV92)</f>
        <v>8.99776256391857</v>
      </c>
      <c r="BG92" s="17" t="n">
        <f aca="false">IF(AD92="","",AD92*$AX92)</f>
        <v>9.55517073133851</v>
      </c>
      <c r="BH92" s="17" t="n">
        <f aca="false">IF(AK92="","",AK92*$AZ92)</f>
        <v>7.38921692045432</v>
      </c>
      <c r="BI92" s="17" t="n">
        <f aca="false">IF(BF92="","",N(BF92)+N(BG92))</f>
        <v>18.5529332952571</v>
      </c>
      <c r="BJ92" s="17" t="n">
        <f aca="false">IF(BI92="","",BI92+N($M92)*N(BH92))</f>
        <v>21.8677360057729</v>
      </c>
      <c r="BK92" s="13" t="n">
        <f aca="false">IFERROR(BD92/AL92,1)</f>
        <v>1.00827439338897</v>
      </c>
    </row>
    <row r="93" customFormat="false" ht="15" hidden="false" customHeight="false" outlineLevel="0" collapsed="false">
      <c r="A93" s="0" t="s">
        <v>1331</v>
      </c>
      <c r="B93" s="0" t="s">
        <v>988</v>
      </c>
      <c r="C93" s="0" t="s">
        <v>1034</v>
      </c>
      <c r="D93" s="0" t="s">
        <v>1039</v>
      </c>
      <c r="E93" s="0" t="s">
        <v>1330</v>
      </c>
      <c r="F93" s="0" t="s">
        <v>1546</v>
      </c>
      <c r="G93" s="0" t="str">
        <f aca="false">IFERROR(IF(INDEX(Matches!$W$5:$W$19,MATCH($C93,Matches!$A$5:$A$19,0))="","",INDEX(Matches!$W$5:$W$19,MATCH($C93,Matches!$A$5:$A$19,0))),"")</f>
        <v>Mirage</v>
      </c>
      <c r="H93" s="0" t="str">
        <f aca="false">IFERROR(IF(INDEX(Matches!$X$5:$X$19,MATCH($C93,Matches!$A$5:$A$19,0))="","",INDEX(Matches!$X$5:$X$19,MATCH($C93,Matches!$A$5:$A$19,0))),"")</f>
        <v>Dust2</v>
      </c>
      <c r="I93" s="0" t="str">
        <f aca="false">IFERROR(IF(INDEX(Matches!$Y$5:$Y$19,MATCH($C93,Matches!$A$5:$A$19,0))="","",INDEX(Matches!$Y$5:$Y$19,MATCH($C93,Matches!$A$5:$A$19,0))),"")</f>
        <v>Nuke</v>
      </c>
      <c r="J93" s="11" t="n">
        <f aca="false">IFERROR(IF(INDEX(Matches!$Z$5:$Z$19,MATCH($C93,Matches!$A$5:$A$19,0))="","",INDEX(Matches!$Z$5:$Z$19,MATCH($C93,Matches!$A$5:$A$19,0))),"")</f>
        <v>21.31</v>
      </c>
      <c r="K93" s="11" t="n">
        <f aca="false">IFERROR(IF(INDEX(Matches!$AA$5:$AA$19,MATCH($C93,Matches!$A$5:$A$19,0))="","",INDEX(Matches!$AA$5:$AA$19,MATCH($C93,Matches!$A$5:$A$19,0))),"")</f>
        <v>21.05</v>
      </c>
      <c r="L93" s="11" t="n">
        <f aca="false">IFERROR(IF(INDEX(Matches!$AB$5:$AB$19,MATCH($C93,Matches!$A$5:$A$19,0))="","",INDEX(Matches!$AB$5:$AB$19,MATCH($C93,Matches!$A$5:$A$19,0))),"")</f>
        <v>21.11</v>
      </c>
      <c r="M93" s="10" t="n">
        <f aca="false">IFERROR(IF(INDEX(Matches!$AC$5:$AC$19,MATCH($C93,Matches!$A$5:$A$19,0))="","",INDEX(Matches!$AC$5:$AC$19,MATCH($C93,Matches!$A$5:$A$19,0))),"")</f>
        <v>0.4486</v>
      </c>
      <c r="N93" s="9" t="n">
        <f aca="false">IFERROR(INDEX(Players!$F$2:$F$124,MATCH($F93,Players!$A$2:$A$124,0)),0)</f>
        <v>39</v>
      </c>
      <c r="O93" s="13" t="n">
        <f aca="false">IFERROR(1/(1/INDEX(Players!$H$2:$H$124,MATCH($F93,Players!$A$2:$A$124,0))),"")</f>
        <v>0.67</v>
      </c>
      <c r="P93" s="10" t="n">
        <f aca="false">IFERROR(1/(1/INDEX(Players!$I$2:$I$124,MATCH($F93,Players!$A$2:$A$124,0))),"")</f>
        <v>0.317</v>
      </c>
      <c r="Q93" s="9" t="n">
        <f aca="false">IF($G93="",0,SUMIFS(Map_Stats!$F$2:$F$779,Map_Stats!$A$2:$A$779,$F93&amp;"|"&amp;$G93))</f>
        <v>10</v>
      </c>
      <c r="R93" s="13" t="n">
        <f aca="false">IF($G93="","",IFERROR(1/(1/INDEX(Map_Stats!$K$2:$K$779,MATCH($F93&amp;"|"&amp;$G93,Map_Stats!$A$2:$A$779,0))),$O93))</f>
        <v>0.6</v>
      </c>
      <c r="S93" s="10" t="n">
        <f aca="false">IF(OR($G93="",$P93=""),"",IFERROR(1/(1/INDEX(Map_Stats!$I$2:$I$779,MATCH($F93&amp;"|"&amp;$G93,Map_Stats!$A$2:$A$779,0))),$P93))</f>
        <v>0.231</v>
      </c>
      <c r="T93" s="13" t="n">
        <f aca="false">IF(OR($G93="",R93=""),"",IF($O93="",R93,(Q93*R93+Config!$B$4*$O93)/(Q93+Config!$B$4)))</f>
        <v>0.623333333333333</v>
      </c>
      <c r="U93" s="10" t="n">
        <f aca="false">IF(S93="","",(Q93*S93+Config!$B$4*$P93)/(Q93+Config!$B$4))</f>
        <v>0.259666666666667</v>
      </c>
      <c r="V93" s="17" t="n">
        <f aca="false">IF(OR(T93="",$J93=""),"",T93*$J93*($J93/Config!$B$10)^Config!$B$9)</f>
        <v>13.2832333333333</v>
      </c>
      <c r="W93" s="17" t="n">
        <f aca="false">IF(OR(V93="",U93=""),"",V93*U93)</f>
        <v>3.44921292222222</v>
      </c>
      <c r="X93" s="9" t="n">
        <f aca="false">IF($H93="",0,SUMIFS(Map_Stats!$F$2:$F$779,Map_Stats!$A$2:$A$779,$F93&amp;"|"&amp;$H93))</f>
        <v>6</v>
      </c>
      <c r="Y93" s="13" t="n">
        <f aca="false">IF($H93="","",IFERROR(1/(1/INDEX(Map_Stats!$K$2:$K$779,MATCH($F93&amp;"|"&amp;$H93,Map_Stats!$A$2:$A$779,0))),$O93))</f>
        <v>0.78</v>
      </c>
      <c r="Z93" s="10" t="n">
        <f aca="false">IF(OR($H93="",$P93=""),"",IFERROR(1/(1/INDEX(Map_Stats!$I$2:$I$779,MATCH($F93&amp;"|"&amp;$H93,Map_Stats!$A$2:$A$779,0))),$P93))</f>
        <v>0.305</v>
      </c>
      <c r="AA93" s="13" t="n">
        <f aca="false">IF(OR($H93="",Y93=""),"",IF($O93="",Y93,(X93*Y93+Config!$B$4*$O93)/(X93+Config!$B$4)))</f>
        <v>0.73</v>
      </c>
      <c r="AB93" s="10" t="n">
        <f aca="false">IF(Z93="","",(X93*Z93+Config!$B$4*$P93)/(X93+Config!$B$4))</f>
        <v>0.310454545454546</v>
      </c>
      <c r="AC93" s="17" t="n">
        <f aca="false">IF(OR(AA93="",$K93=""),"",AA93*$K93*($K93/Config!$B$10)^Config!$B$9)</f>
        <v>15.3665</v>
      </c>
      <c r="AD93" s="17" t="n">
        <f aca="false">IF(OR(AC93="",AB93=""),"",AC93*AB93)</f>
        <v>4.77059977272727</v>
      </c>
      <c r="AE93" s="9" t="n">
        <f aca="false">IF($I93="",0,SUMIFS(Map_Stats!$F$2:$F$779,Map_Stats!$A$2:$A$779,$F93&amp;"|"&amp;$I93))</f>
        <v>6</v>
      </c>
      <c r="AF93" s="13" t="n">
        <f aca="false">IF($I93="","",IFERROR(1/(1/INDEX(Map_Stats!$K$2:$K$779,MATCH($F93&amp;"|"&amp;$I93,Map_Stats!$A$2:$A$779,0))),$O93))</f>
        <v>0.63</v>
      </c>
      <c r="AG93" s="10" t="n">
        <f aca="false">IF(OR($I93="",$P93=""),"",IFERROR(1/(1/INDEX(Map_Stats!$I$2:$I$779,MATCH($F93&amp;"|"&amp;$I93,Map_Stats!$A$2:$A$779,0))),$P93))</f>
        <v>0.354</v>
      </c>
      <c r="AH93" s="13" t="n">
        <f aca="false">IF(OR($I93="",AF93=""),"",IF($O93="",AF93,(AE93*AF93+Config!$B$4*$O93)/(AE93+Config!$B$4)))</f>
        <v>0.648181818181818</v>
      </c>
      <c r="AI93" s="10" t="n">
        <f aca="false">IF(AG93="","",(AE93*AG93+Config!$B$4*$P93)/(AE93+Config!$B$4))</f>
        <v>0.337181818181818</v>
      </c>
      <c r="AJ93" s="17" t="n">
        <f aca="false">IF(OR(AH93="",$L93=""),"",AH93*$L93*($L93/Config!$B$10)^Config!$B$9)</f>
        <v>13.6831181818182</v>
      </c>
      <c r="AK93" s="17" t="n">
        <f aca="false">IF(OR(AJ93="",AI93=""),"",AJ93*AI93)</f>
        <v>4.61369866694215</v>
      </c>
      <c r="AL93" s="17" t="n">
        <f aca="false">N(V93)+N(AC93)</f>
        <v>28.6497333333333</v>
      </c>
      <c r="AM93" s="17" t="n">
        <f aca="false">AL93+N($M93)*N(AJ93)</f>
        <v>34.787980149697</v>
      </c>
      <c r="AN93" s="17" t="n">
        <f aca="false">IF(W93="","",N(W93)+N(AD93))</f>
        <v>8.2198126949495</v>
      </c>
      <c r="AO93" s="17" t="n">
        <f aca="false">IF(AN93="","",AN93+N($M93)*N(AK93))</f>
        <v>10.2895179169397</v>
      </c>
      <c r="AP93" s="10" t="n">
        <f aca="false">IFERROR(AN93/AL93,"")</f>
        <v>0.286907127522403</v>
      </c>
      <c r="AQ93" s="0" t="str">
        <f aca="false">TRIM(IF($N93&lt;Config!$B$12,"thin sample ("&amp;$N93&amp;" maps) · ","")&amp;IF(AND($G93&lt;&gt;"",Q93=0),"M1 unplayed→overall KPR · ","")&amp;IF(AND($H93&lt;&gt;"",X93=0),"M2 unplayed→overall KPR · ","")&amp;IF($O93="","no PickFinder stats",""))</f>
        <v/>
      </c>
      <c r="AR93" s="0" t="str">
        <f aca="false">IF($C93=Board!$B$2,COUNTIFS($C$2:$C$124,Board!$B$2,$AL$2:$AL$124,"&gt;"&amp;$AL93)+COUNTIFS($C$1:$C92,Board!$B$2,$AL$1:$AL92,$AL93)+1,"")</f>
        <v/>
      </c>
      <c r="AS93" s="0" t="str">
        <f aca="false">IFERROR(IF($D93=INDEX(Matches!$AD$5:$AD$19,MATCH($C93,Matches!$A$5:$A$19,0)),"A",IF($D93=INDEX(Matches!$AE$5:$AE$19,MATCH($C93,Matches!$A$5:$A$19,0)),"B","")),"")</f>
        <v>A</v>
      </c>
      <c r="AT93" s="10" t="n">
        <f aca="false">IF($AS93="","",IFERROR(IF($AS93="A",INDEX(Matches!$AI$5:$AI$19,MATCH($C93,Matches!$A$5:$A$19,0)),INDEX(Matches!$AJ$5:$AJ$19,MATCH($C93,Matches!$A$5:$A$19,0))),""))</f>
        <v>0.547286534543434</v>
      </c>
      <c r="AU93" s="10" t="n">
        <f aca="false">IF($AS93="","",IFERROR(IF(INDEX(Matches!$AP$5:$AP$19,MATCH($C93,Matches!$A$5:$A$19,0))="","",IF($AS93="A",INDEX(Matches!$AP$5:$AP$19,MATCH($C93,Matches!$A$5:$A$19,0)),1-INDEX(Matches!$AP$5:$AP$19,MATCH($C93,Matches!$A$5:$A$19,0)))),""))</f>
        <v>0.520726634435554</v>
      </c>
      <c r="AV93" s="13" t="n">
        <f aca="false">IF(OR($AU93="",$AT93=""),1,((Config!$B$14*$AU93+Config!$B$15*(1-$AU93))/(Config!$B$14*$AT93+Config!$B$15*(1-$AT93)))^Config!$B$13)</f>
        <v>0.977227881026973</v>
      </c>
      <c r="AW93" s="10" t="n">
        <f aca="false">IF($AS93="","",IFERROR(IF(INDEX(Matches!$AV$5:$AV$19,MATCH($C93,Matches!$A$5:$A$19,0))="","",IF($AS93="A",INDEX(Matches!$AV$5:$AV$19,MATCH($C93,Matches!$A$5:$A$19,0)),1-INDEX(Matches!$AV$5:$AV$19,MATCH($C93,Matches!$A$5:$A$19,0)))),""))</f>
        <v>0.594475776203883</v>
      </c>
      <c r="AX93" s="13" t="n">
        <f aca="false">IF(OR($AW93="",$AT93=""),1,((Config!$B$14*$AW93+Config!$B$15*(1-$AW93))/(Config!$B$14*$AT93+Config!$B$15*(1-$AT93)))^Config!$B$13)</f>
        <v>1.04045945282075</v>
      </c>
      <c r="AY93" s="10" t="n">
        <f aca="false">IF($AS93="","",IFERROR(IF(INDEX(Matches!$BB$5:$BB$19,MATCH($C93,Matches!$A$5:$A$19,0))="","",IF($AS93="A",INDEX(Matches!$BB$5:$BB$19,MATCH($C93,Matches!$A$5:$A$19,0)),1-INDEX(Matches!$BB$5:$BB$19,MATCH($C93,Matches!$A$5:$A$19,0)))),""))</f>
        <v>0.500626160277861</v>
      </c>
      <c r="AZ93" s="13" t="n">
        <f aca="false">IF(OR($AY93="",$AT93=""),1,((Config!$B$14*$AY93+Config!$B$15*(1-$AY93))/(Config!$B$14*$AT93+Config!$B$15*(1-$AT93)))^Config!$B$13)</f>
        <v>0.959993991325806</v>
      </c>
      <c r="BA93" s="17" t="n">
        <f aca="false">IF(V93="","",V93*$AV93)</f>
        <v>12.9807459635202</v>
      </c>
      <c r="BB93" s="17" t="n">
        <f aca="false">IF(AC93="","",AC93*$AX93)</f>
        <v>15.9882201817701</v>
      </c>
      <c r="BC93" s="17" t="n">
        <f aca="false">IF(AJ93="","",AJ93*$AZ93)</f>
        <v>13.1357112371463</v>
      </c>
      <c r="BD93" s="17" t="n">
        <f aca="false">N(BA93)+N(BB93)</f>
        <v>28.9689661452903</v>
      </c>
      <c r="BE93" s="17" t="n">
        <f aca="false">BD93+N($M93)*N(BC93)</f>
        <v>34.8616462062741</v>
      </c>
      <c r="BF93" s="17" t="n">
        <f aca="false">IF(W93="","",W93*$AV93)</f>
        <v>3.37066703519408</v>
      </c>
      <c r="BG93" s="17" t="n">
        <f aca="false">IF(AD93="","",AD93*$AX93)</f>
        <v>4.96361562915863</v>
      </c>
      <c r="BH93" s="17" t="n">
        <f aca="false">IF(AK93="","",AK93*$AZ93)</f>
        <v>4.42912299805234</v>
      </c>
      <c r="BI93" s="17" t="n">
        <f aca="false">IF(BF93="","",N(BF93)+N(BG93))</f>
        <v>8.3342826643527</v>
      </c>
      <c r="BJ93" s="17" t="n">
        <f aca="false">IF(BI93="","",BI93+N($M93)*N(BH93))</f>
        <v>10.321187241279</v>
      </c>
      <c r="BK93" s="13" t="n">
        <f aca="false">IFERROR(BD93/AL93,1)</f>
        <v>1.01114261023803</v>
      </c>
    </row>
    <row r="94" customFormat="false" ht="15" hidden="false" customHeight="false" outlineLevel="0" collapsed="false">
      <c r="A94" s="0" t="s">
        <v>1333</v>
      </c>
      <c r="B94" s="0" t="s">
        <v>988</v>
      </c>
      <c r="C94" s="0" t="s">
        <v>1034</v>
      </c>
      <c r="D94" s="0" t="s">
        <v>1039</v>
      </c>
      <c r="E94" s="0" t="s">
        <v>1332</v>
      </c>
      <c r="F94" s="0" t="s">
        <v>1547</v>
      </c>
      <c r="G94" s="0" t="str">
        <f aca="false">IFERROR(IF(INDEX(Matches!$W$5:$W$19,MATCH($C94,Matches!$A$5:$A$19,0))="","",INDEX(Matches!$W$5:$W$19,MATCH($C94,Matches!$A$5:$A$19,0))),"")</f>
        <v>Mirage</v>
      </c>
      <c r="H94" s="0" t="str">
        <f aca="false">IFERROR(IF(INDEX(Matches!$X$5:$X$19,MATCH($C94,Matches!$A$5:$A$19,0))="","",INDEX(Matches!$X$5:$X$19,MATCH($C94,Matches!$A$5:$A$19,0))),"")</f>
        <v>Dust2</v>
      </c>
      <c r="I94" s="0" t="str">
        <f aca="false">IFERROR(IF(INDEX(Matches!$Y$5:$Y$19,MATCH($C94,Matches!$A$5:$A$19,0))="","",INDEX(Matches!$Y$5:$Y$19,MATCH($C94,Matches!$A$5:$A$19,0))),"")</f>
        <v>Nuke</v>
      </c>
      <c r="J94" s="11" t="n">
        <f aca="false">IFERROR(IF(INDEX(Matches!$Z$5:$Z$19,MATCH($C94,Matches!$A$5:$A$19,0))="","",INDEX(Matches!$Z$5:$Z$19,MATCH($C94,Matches!$A$5:$A$19,0))),"")</f>
        <v>21.31</v>
      </c>
      <c r="K94" s="11" t="n">
        <f aca="false">IFERROR(IF(INDEX(Matches!$AA$5:$AA$19,MATCH($C94,Matches!$A$5:$A$19,0))="","",INDEX(Matches!$AA$5:$AA$19,MATCH($C94,Matches!$A$5:$A$19,0))),"")</f>
        <v>21.05</v>
      </c>
      <c r="L94" s="11" t="n">
        <f aca="false">IFERROR(IF(INDEX(Matches!$AB$5:$AB$19,MATCH($C94,Matches!$A$5:$A$19,0))="","",INDEX(Matches!$AB$5:$AB$19,MATCH($C94,Matches!$A$5:$A$19,0))),"")</f>
        <v>21.11</v>
      </c>
      <c r="M94" s="10" t="n">
        <f aca="false">IFERROR(IF(INDEX(Matches!$AC$5:$AC$19,MATCH($C94,Matches!$A$5:$A$19,0))="","",INDEX(Matches!$AC$5:$AC$19,MATCH($C94,Matches!$A$5:$A$19,0))),"")</f>
        <v>0.4486</v>
      </c>
      <c r="N94" s="9" t="n">
        <f aca="false">IFERROR(INDEX(Players!$F$2:$F$124,MATCH($F94,Players!$A$2:$A$124,0)),0)</f>
        <v>39</v>
      </c>
      <c r="O94" s="13" t="n">
        <f aca="false">IFERROR(1/(1/INDEX(Players!$H$2:$H$124,MATCH($F94,Players!$A$2:$A$124,0))),"")</f>
        <v>0.68</v>
      </c>
      <c r="P94" s="10" t="n">
        <f aca="false">IFERROR(1/(1/INDEX(Players!$I$2:$I$124,MATCH($F94,Players!$A$2:$A$124,0))),"")</f>
        <v>0.654</v>
      </c>
      <c r="Q94" s="9" t="n">
        <f aca="false">IF($G94="",0,SUMIFS(Map_Stats!$F$2:$F$779,Map_Stats!$A$2:$A$779,$F94&amp;"|"&amp;$G94))</f>
        <v>10</v>
      </c>
      <c r="R94" s="13" t="n">
        <f aca="false">IF($G94="","",IFERROR(1/(1/INDEX(Map_Stats!$K$2:$K$779,MATCH($F94&amp;"|"&amp;$G94,Map_Stats!$A$2:$A$779,0))),$O94))</f>
        <v>0.76</v>
      </c>
      <c r="S94" s="10" t="n">
        <f aca="false">IF(OR($G94="",$P94=""),"",IFERROR(1/(1/INDEX(Map_Stats!$I$2:$I$779,MATCH($F94&amp;"|"&amp;$G94,Map_Stats!$A$2:$A$779,0))),$P94))</f>
        <v>0.615</v>
      </c>
      <c r="T94" s="13" t="n">
        <f aca="false">IF(OR($G94="",R94=""),"",IF($O94="",R94,(Q94*R94+Config!$B$4*$O94)/(Q94+Config!$B$4)))</f>
        <v>0.733333333333333</v>
      </c>
      <c r="U94" s="10" t="n">
        <f aca="false">IF(S94="","",(Q94*S94+Config!$B$4*$P94)/(Q94+Config!$B$4))</f>
        <v>0.628</v>
      </c>
      <c r="V94" s="17" t="n">
        <f aca="false">IF(OR(T94="",$J94=""),"",T94*$J94*($J94/Config!$B$10)^Config!$B$9)</f>
        <v>15.6273333333333</v>
      </c>
      <c r="W94" s="17" t="n">
        <f aca="false">IF(OR(V94="",U94=""),"",V94*U94)</f>
        <v>9.81396533333333</v>
      </c>
      <c r="X94" s="9" t="n">
        <f aca="false">IF($H94="",0,SUMIFS(Map_Stats!$F$2:$F$779,Map_Stats!$A$2:$A$779,$F94&amp;"|"&amp;$H94))</f>
        <v>6</v>
      </c>
      <c r="Y94" s="13" t="n">
        <f aca="false">IF($H94="","",IFERROR(1/(1/INDEX(Map_Stats!$K$2:$K$779,MATCH($F94&amp;"|"&amp;$H94,Map_Stats!$A$2:$A$779,0))),$O94))</f>
        <v>0.59</v>
      </c>
      <c r="Z94" s="10" t="n">
        <f aca="false">IF(OR($H94="",$P94=""),"",IFERROR(1/(1/INDEX(Map_Stats!$I$2:$I$779,MATCH($F94&amp;"|"&amp;$H94,Map_Stats!$A$2:$A$779,0))),$P94))</f>
        <v>0.658</v>
      </c>
      <c r="AA94" s="13" t="n">
        <f aca="false">IF(OR($H94="",Y94=""),"",IF($O94="",Y94,(X94*Y94+Config!$B$4*$O94)/(X94+Config!$B$4)))</f>
        <v>0.630909090909091</v>
      </c>
      <c r="AB94" s="10" t="n">
        <f aca="false">IF(Z94="","",(X94*Z94+Config!$B$4*$P94)/(X94+Config!$B$4))</f>
        <v>0.656181818181818</v>
      </c>
      <c r="AC94" s="17" t="n">
        <f aca="false">IF(OR(AA94="",$K94=""),"",AA94*$K94*($K94/Config!$B$10)^Config!$B$9)</f>
        <v>13.2806363636364</v>
      </c>
      <c r="AD94" s="17" t="n">
        <f aca="false">IF(OR(AC94="",AB94=""),"",AC94*AB94)</f>
        <v>8.71451211570248</v>
      </c>
      <c r="AE94" s="9" t="n">
        <f aca="false">IF($I94="",0,SUMIFS(Map_Stats!$F$2:$F$779,Map_Stats!$A$2:$A$779,$F94&amp;"|"&amp;$I94))</f>
        <v>6</v>
      </c>
      <c r="AF94" s="13" t="n">
        <f aca="false">IF($I94="","",IFERROR(1/(1/INDEX(Map_Stats!$K$2:$K$779,MATCH($F94&amp;"|"&amp;$I94,Map_Stats!$A$2:$A$779,0))),$O94))</f>
        <v>0.66</v>
      </c>
      <c r="AG94" s="10" t="n">
        <f aca="false">IF(OR($I94="",$P94=""),"",IFERROR(1/(1/INDEX(Map_Stats!$I$2:$I$779,MATCH($F94&amp;"|"&amp;$I94,Map_Stats!$A$2:$A$779,0))),$P94))</f>
        <v>0.723</v>
      </c>
      <c r="AH94" s="13" t="n">
        <f aca="false">IF(OR($I94="",AF94=""),"",IF($O94="",AF94,(AE94*AF94+Config!$B$4*$O94)/(AE94+Config!$B$4)))</f>
        <v>0.669090909090909</v>
      </c>
      <c r="AI94" s="10" t="n">
        <f aca="false">IF(AG94="","",(AE94*AG94+Config!$B$4*$P94)/(AE94+Config!$B$4))</f>
        <v>0.691636363636364</v>
      </c>
      <c r="AJ94" s="17" t="n">
        <f aca="false">IF(OR(AH94="",$L94=""),"",AH94*$L94*($L94/Config!$B$10)^Config!$B$9)</f>
        <v>14.1245090909091</v>
      </c>
      <c r="AK94" s="17" t="n">
        <f aca="false">IF(OR(AJ94="",AI94=""),"",AJ94*AI94)</f>
        <v>9.76902410578513</v>
      </c>
      <c r="AL94" s="17" t="n">
        <f aca="false">N(V94)+N(AC94)</f>
        <v>28.9079696969697</v>
      </c>
      <c r="AM94" s="17" t="n">
        <f aca="false">AL94+N($M94)*N(AJ94)</f>
        <v>35.2442244751515</v>
      </c>
      <c r="AN94" s="17" t="n">
        <f aca="false">IF(W94="","",N(W94)+N(AD94))</f>
        <v>18.5284774490358</v>
      </c>
      <c r="AO94" s="17" t="n">
        <f aca="false">IF(AN94="","",AN94+N($M94)*N(AK94))</f>
        <v>22.910861662891</v>
      </c>
      <c r="AP94" s="10" t="n">
        <f aca="false">IFERROR(AN94/AL94,"")</f>
        <v>0.640947034442826</v>
      </c>
      <c r="AQ94" s="0" t="str">
        <f aca="false">TRIM(IF($N94&lt;Config!$B$12,"thin sample ("&amp;$N94&amp;" maps) · ","")&amp;IF(AND($G94&lt;&gt;"",Q94=0),"M1 unplayed→overall KPR · ","")&amp;IF(AND($H94&lt;&gt;"",X94=0),"M2 unplayed→overall KPR · ","")&amp;IF($O94="","no PickFinder stats",""))</f>
        <v/>
      </c>
      <c r="AR94" s="0" t="str">
        <f aca="false">IF($C94=Board!$B$2,COUNTIFS($C$2:$C$124,Board!$B$2,$AL$2:$AL$124,"&gt;"&amp;$AL94)+COUNTIFS($C$1:$C93,Board!$B$2,$AL$1:$AL93,$AL94)+1,"")</f>
        <v/>
      </c>
      <c r="AS94" s="0" t="str">
        <f aca="false">IFERROR(IF($D94=INDEX(Matches!$AD$5:$AD$19,MATCH($C94,Matches!$A$5:$A$19,0)),"A",IF($D94=INDEX(Matches!$AE$5:$AE$19,MATCH($C94,Matches!$A$5:$A$19,0)),"B","")),"")</f>
        <v>A</v>
      </c>
      <c r="AT94" s="10" t="n">
        <f aca="false">IF($AS94="","",IFERROR(IF($AS94="A",INDEX(Matches!$AI$5:$AI$19,MATCH($C94,Matches!$A$5:$A$19,0)),INDEX(Matches!$AJ$5:$AJ$19,MATCH($C94,Matches!$A$5:$A$19,0))),""))</f>
        <v>0.547286534543434</v>
      </c>
      <c r="AU94" s="10" t="n">
        <f aca="false">IF($AS94="","",IFERROR(IF(INDEX(Matches!$AP$5:$AP$19,MATCH($C94,Matches!$A$5:$A$19,0))="","",IF($AS94="A",INDEX(Matches!$AP$5:$AP$19,MATCH($C94,Matches!$A$5:$A$19,0)),1-INDEX(Matches!$AP$5:$AP$19,MATCH($C94,Matches!$A$5:$A$19,0)))),""))</f>
        <v>0.520726634435554</v>
      </c>
      <c r="AV94" s="13" t="n">
        <f aca="false">IF(OR($AU94="",$AT94=""),1,((Config!$B$14*$AU94+Config!$B$15*(1-$AU94))/(Config!$B$14*$AT94+Config!$B$15*(1-$AT94)))^Config!$B$13)</f>
        <v>0.977227881026973</v>
      </c>
      <c r="AW94" s="10" t="n">
        <f aca="false">IF($AS94="","",IFERROR(IF(INDEX(Matches!$AV$5:$AV$19,MATCH($C94,Matches!$A$5:$A$19,0))="","",IF($AS94="A",INDEX(Matches!$AV$5:$AV$19,MATCH($C94,Matches!$A$5:$A$19,0)),1-INDEX(Matches!$AV$5:$AV$19,MATCH($C94,Matches!$A$5:$A$19,0)))),""))</f>
        <v>0.594475776203883</v>
      </c>
      <c r="AX94" s="13" t="n">
        <f aca="false">IF(OR($AW94="",$AT94=""),1,((Config!$B$14*$AW94+Config!$B$15*(1-$AW94))/(Config!$B$14*$AT94+Config!$B$15*(1-$AT94)))^Config!$B$13)</f>
        <v>1.04045945282075</v>
      </c>
      <c r="AY94" s="10" t="n">
        <f aca="false">IF($AS94="","",IFERROR(IF(INDEX(Matches!$BB$5:$BB$19,MATCH($C94,Matches!$A$5:$A$19,0))="","",IF($AS94="A",INDEX(Matches!$BB$5:$BB$19,MATCH($C94,Matches!$A$5:$A$19,0)),1-INDEX(Matches!$BB$5:$BB$19,MATCH($C94,Matches!$A$5:$A$19,0)))),""))</f>
        <v>0.500626160277861</v>
      </c>
      <c r="AZ94" s="13" t="n">
        <f aca="false">IF(OR($AY94="",$AT94=""),1,((Config!$B$14*$AY94+Config!$B$15*(1-$AY94))/(Config!$B$14*$AT94+Config!$B$15*(1-$AT94)))^Config!$B$13)</f>
        <v>0.959993991325806</v>
      </c>
      <c r="BA94" s="17" t="n">
        <f aca="false">IF(V94="","",V94*$AV94)</f>
        <v>15.2714658394355</v>
      </c>
      <c r="BB94" s="17" t="n">
        <f aca="false">IF(AC94="","",AC94*$AX94)</f>
        <v>13.8179636440205</v>
      </c>
      <c r="BC94" s="17" t="n">
        <f aca="false">IF(AJ94="","",AJ94*$AZ94)</f>
        <v>13.5594438576994</v>
      </c>
      <c r="BD94" s="17" t="n">
        <f aca="false">N(BA94)+N(BB94)</f>
        <v>29.089429483456</v>
      </c>
      <c r="BE94" s="17" t="n">
        <f aca="false">BD94+N($M94)*N(BC94)</f>
        <v>35.17219599802</v>
      </c>
      <c r="BF94" s="17" t="n">
        <f aca="false">IF(W94="","",W94*$AV94)</f>
        <v>9.59048054716551</v>
      </c>
      <c r="BG94" s="17" t="n">
        <f aca="false">IF(AD94="","",AD94*$AX94)</f>
        <v>9.06709650750362</v>
      </c>
      <c r="BH94" s="17" t="n">
        <f aca="false">IF(AK94="","",AK94*$AZ94)</f>
        <v>9.37820444267067</v>
      </c>
      <c r="BI94" s="17" t="n">
        <f aca="false">IF(BF94="","",N(BF94)+N(BG94))</f>
        <v>18.6575770546691</v>
      </c>
      <c r="BJ94" s="17" t="n">
        <f aca="false">IF(BI94="","",BI94+N($M94)*N(BH94))</f>
        <v>22.8646395676512</v>
      </c>
      <c r="BK94" s="13" t="n">
        <f aca="false">IFERROR(BD94/AL94,1)</f>
        <v>1.00627715430687</v>
      </c>
    </row>
    <row r="95" customFormat="false" ht="15" hidden="false" customHeight="false" outlineLevel="0" collapsed="false">
      <c r="A95" s="0" t="s">
        <v>1335</v>
      </c>
      <c r="B95" s="0" t="s">
        <v>988</v>
      </c>
      <c r="C95" s="0" t="s">
        <v>1034</v>
      </c>
      <c r="D95" s="0" t="s">
        <v>1039</v>
      </c>
      <c r="E95" s="0" t="s">
        <v>1334</v>
      </c>
      <c r="F95" s="0" t="s">
        <v>1548</v>
      </c>
      <c r="G95" s="0" t="str">
        <f aca="false">IFERROR(IF(INDEX(Matches!$W$5:$W$19,MATCH($C95,Matches!$A$5:$A$19,0))="","",INDEX(Matches!$W$5:$W$19,MATCH($C95,Matches!$A$5:$A$19,0))),"")</f>
        <v>Mirage</v>
      </c>
      <c r="H95" s="0" t="str">
        <f aca="false">IFERROR(IF(INDEX(Matches!$X$5:$X$19,MATCH($C95,Matches!$A$5:$A$19,0))="","",INDEX(Matches!$X$5:$X$19,MATCH($C95,Matches!$A$5:$A$19,0))),"")</f>
        <v>Dust2</v>
      </c>
      <c r="I95" s="0" t="str">
        <f aca="false">IFERROR(IF(INDEX(Matches!$Y$5:$Y$19,MATCH($C95,Matches!$A$5:$A$19,0))="","",INDEX(Matches!$Y$5:$Y$19,MATCH($C95,Matches!$A$5:$A$19,0))),"")</f>
        <v>Nuke</v>
      </c>
      <c r="J95" s="11" t="n">
        <f aca="false">IFERROR(IF(INDEX(Matches!$Z$5:$Z$19,MATCH($C95,Matches!$A$5:$A$19,0))="","",INDEX(Matches!$Z$5:$Z$19,MATCH($C95,Matches!$A$5:$A$19,0))),"")</f>
        <v>21.31</v>
      </c>
      <c r="K95" s="11" t="n">
        <f aca="false">IFERROR(IF(INDEX(Matches!$AA$5:$AA$19,MATCH($C95,Matches!$A$5:$A$19,0))="","",INDEX(Matches!$AA$5:$AA$19,MATCH($C95,Matches!$A$5:$A$19,0))),"")</f>
        <v>21.05</v>
      </c>
      <c r="L95" s="11" t="n">
        <f aca="false">IFERROR(IF(INDEX(Matches!$AB$5:$AB$19,MATCH($C95,Matches!$A$5:$A$19,0))="","",INDEX(Matches!$AB$5:$AB$19,MATCH($C95,Matches!$A$5:$A$19,0))),"")</f>
        <v>21.11</v>
      </c>
      <c r="M95" s="10" t="n">
        <f aca="false">IFERROR(IF(INDEX(Matches!$AC$5:$AC$19,MATCH($C95,Matches!$A$5:$A$19,0))="","",INDEX(Matches!$AC$5:$AC$19,MATCH($C95,Matches!$A$5:$A$19,0))),"")</f>
        <v>0.4486</v>
      </c>
      <c r="N95" s="9" t="n">
        <f aca="false">IFERROR(INDEX(Players!$F$2:$F$124,MATCH($F95,Players!$A$2:$A$124,0)),0)</f>
        <v>39</v>
      </c>
      <c r="O95" s="13" t="n">
        <f aca="false">IFERROR(1/(1/INDEX(Players!$H$2:$H$124,MATCH($F95,Players!$A$2:$A$124,0))),"")</f>
        <v>0.7</v>
      </c>
      <c r="P95" s="10" t="n">
        <f aca="false">IFERROR(1/(1/INDEX(Players!$I$2:$I$124,MATCH($F95,Players!$A$2:$A$124,0))),"")</f>
        <v>0.53</v>
      </c>
      <c r="Q95" s="9" t="n">
        <f aca="false">IF($G95="",0,SUMIFS(Map_Stats!$F$2:$F$779,Map_Stats!$A$2:$A$779,$F95&amp;"|"&amp;$G95))</f>
        <v>10</v>
      </c>
      <c r="R95" s="13" t="n">
        <f aca="false">IF($G95="","",IFERROR(1/(1/INDEX(Map_Stats!$K$2:$K$779,MATCH($F95&amp;"|"&amp;$G95,Map_Stats!$A$2:$A$779,0))),$O95))</f>
        <v>0.75</v>
      </c>
      <c r="S95" s="10" t="n">
        <f aca="false">IF(OR($G95="",$P95=""),"",IFERROR(1/(1/INDEX(Map_Stats!$I$2:$I$779,MATCH($F95&amp;"|"&amp;$G95,Map_Stats!$A$2:$A$779,0))),$P95))</f>
        <v>0.512</v>
      </c>
      <c r="T95" s="13" t="n">
        <f aca="false">IF(OR($G95="",R95=""),"",IF($O95="",R95,(Q95*R95+Config!$B$4*$O95)/(Q95+Config!$B$4)))</f>
        <v>0.733333333333333</v>
      </c>
      <c r="U95" s="10" t="n">
        <f aca="false">IF(S95="","",(Q95*S95+Config!$B$4*$P95)/(Q95+Config!$B$4))</f>
        <v>0.518</v>
      </c>
      <c r="V95" s="17" t="n">
        <f aca="false">IF(OR(T95="",$J95=""),"",T95*$J95*($J95/Config!$B$10)^Config!$B$9)</f>
        <v>15.6273333333333</v>
      </c>
      <c r="W95" s="17" t="n">
        <f aca="false">IF(OR(V95="",U95=""),"",V95*U95)</f>
        <v>8.09495866666667</v>
      </c>
      <c r="X95" s="9" t="n">
        <f aca="false">IF($H95="",0,SUMIFS(Map_Stats!$F$2:$F$779,Map_Stats!$A$2:$A$779,$F95&amp;"|"&amp;$H95))</f>
        <v>6</v>
      </c>
      <c r="Y95" s="13" t="n">
        <f aca="false">IF($H95="","",IFERROR(1/(1/INDEX(Map_Stats!$K$2:$K$779,MATCH($F95&amp;"|"&amp;$H95,Map_Stats!$A$2:$A$779,0))),$O95))</f>
        <v>0.75</v>
      </c>
      <c r="Z95" s="10" t="n">
        <f aca="false">IF(OR($H95="",$P95=""),"",IFERROR(1/(1/INDEX(Map_Stats!$I$2:$I$779,MATCH($F95&amp;"|"&amp;$H95,Map_Stats!$A$2:$A$779,0))),$P95))</f>
        <v>0.594</v>
      </c>
      <c r="AA95" s="13" t="n">
        <f aca="false">IF(OR($H95="",Y95=""),"",IF($O95="",Y95,(X95*Y95+Config!$B$4*$O95)/(X95+Config!$B$4)))</f>
        <v>0.727272727272727</v>
      </c>
      <c r="AB95" s="10" t="n">
        <f aca="false">IF(Z95="","",(X95*Z95+Config!$B$4*$P95)/(X95+Config!$B$4))</f>
        <v>0.564909090909091</v>
      </c>
      <c r="AC95" s="17" t="n">
        <f aca="false">IF(OR(AA95="",$K95=""),"",AA95*$K95*($K95/Config!$B$10)^Config!$B$9)</f>
        <v>15.3090909090909</v>
      </c>
      <c r="AD95" s="17" t="n">
        <f aca="false">IF(OR(AC95="",AB95=""),"",AC95*AB95)</f>
        <v>8.64824462809917</v>
      </c>
      <c r="AE95" s="9" t="n">
        <f aca="false">IF($I95="",0,SUMIFS(Map_Stats!$F$2:$F$779,Map_Stats!$A$2:$A$779,$F95&amp;"|"&amp;$I95))</f>
        <v>6</v>
      </c>
      <c r="AF95" s="13" t="n">
        <f aca="false">IF($I95="","",IFERROR(1/(1/INDEX(Map_Stats!$K$2:$K$779,MATCH($F95&amp;"|"&amp;$I95,Map_Stats!$A$2:$A$779,0))),$O95))</f>
        <v>0.56</v>
      </c>
      <c r="AG95" s="10" t="n">
        <f aca="false">IF(OR($I95="",$P95=""),"",IFERROR(1/(1/INDEX(Map_Stats!$I$2:$I$779,MATCH($F95&amp;"|"&amp;$I95,Map_Stats!$A$2:$A$779,0))),$P95))</f>
        <v>0.5</v>
      </c>
      <c r="AH95" s="13" t="n">
        <f aca="false">IF(OR($I95="",AF95=""),"",IF($O95="",AF95,(AE95*AF95+Config!$B$4*$O95)/(AE95+Config!$B$4)))</f>
        <v>0.623636363636364</v>
      </c>
      <c r="AI95" s="10" t="n">
        <f aca="false">IF(AG95="","",(AE95*AG95+Config!$B$4*$P95)/(AE95+Config!$B$4))</f>
        <v>0.513636363636364</v>
      </c>
      <c r="AJ95" s="17" t="n">
        <f aca="false">IF(OR(AH95="",$L95=""),"",AH95*$L95*($L95/Config!$B$10)^Config!$B$9)</f>
        <v>13.1649636363636</v>
      </c>
      <c r="AK95" s="17" t="n">
        <f aca="false">IF(OR(AJ95="",AI95=""),"",AJ95*AI95)</f>
        <v>6.76200404958678</v>
      </c>
      <c r="AL95" s="17" t="n">
        <f aca="false">N(V95)+N(AC95)</f>
        <v>30.9364242424242</v>
      </c>
      <c r="AM95" s="17" t="n">
        <f aca="false">AL95+N($M95)*N(AJ95)</f>
        <v>36.842226929697</v>
      </c>
      <c r="AN95" s="17" t="n">
        <f aca="false">IF(W95="","",N(W95)+N(AD95))</f>
        <v>16.7432032947658</v>
      </c>
      <c r="AO95" s="17" t="n">
        <f aca="false">IF(AN95="","",AN95+N($M95)*N(AK95))</f>
        <v>19.7766383114105</v>
      </c>
      <c r="AP95" s="10" t="n">
        <f aca="false">IFERROR(AN95/AL95,"")</f>
        <v>0.541213268979072</v>
      </c>
      <c r="AQ95" s="0" t="str">
        <f aca="false">TRIM(IF($N95&lt;Config!$B$12,"thin sample ("&amp;$N95&amp;" maps) · ","")&amp;IF(AND($G95&lt;&gt;"",Q95=0),"M1 unplayed→overall KPR · ","")&amp;IF(AND($H95&lt;&gt;"",X95=0),"M2 unplayed→overall KPR · ","")&amp;IF($O95="","no PickFinder stats",""))</f>
        <v/>
      </c>
      <c r="AR95" s="0" t="str">
        <f aca="false">IF($C95=Board!$B$2,COUNTIFS($C$2:$C$124,Board!$B$2,$AL$2:$AL$124,"&gt;"&amp;$AL95)+COUNTIFS($C$1:$C94,Board!$B$2,$AL$1:$AL94,$AL95)+1,"")</f>
        <v/>
      </c>
      <c r="AS95" s="0" t="str">
        <f aca="false">IFERROR(IF($D95=INDEX(Matches!$AD$5:$AD$19,MATCH($C95,Matches!$A$5:$A$19,0)),"A",IF($D95=INDEX(Matches!$AE$5:$AE$19,MATCH($C95,Matches!$A$5:$A$19,0)),"B","")),"")</f>
        <v>A</v>
      </c>
      <c r="AT95" s="10" t="n">
        <f aca="false">IF($AS95="","",IFERROR(IF($AS95="A",INDEX(Matches!$AI$5:$AI$19,MATCH($C95,Matches!$A$5:$A$19,0)),INDEX(Matches!$AJ$5:$AJ$19,MATCH($C95,Matches!$A$5:$A$19,0))),""))</f>
        <v>0.547286534543434</v>
      </c>
      <c r="AU95" s="10" t="n">
        <f aca="false">IF($AS95="","",IFERROR(IF(INDEX(Matches!$AP$5:$AP$19,MATCH($C95,Matches!$A$5:$A$19,0))="","",IF($AS95="A",INDEX(Matches!$AP$5:$AP$19,MATCH($C95,Matches!$A$5:$A$19,0)),1-INDEX(Matches!$AP$5:$AP$19,MATCH($C95,Matches!$A$5:$A$19,0)))),""))</f>
        <v>0.520726634435554</v>
      </c>
      <c r="AV95" s="13" t="n">
        <f aca="false">IF(OR($AU95="",$AT95=""),1,((Config!$B$14*$AU95+Config!$B$15*(1-$AU95))/(Config!$B$14*$AT95+Config!$B$15*(1-$AT95)))^Config!$B$13)</f>
        <v>0.977227881026973</v>
      </c>
      <c r="AW95" s="10" t="n">
        <f aca="false">IF($AS95="","",IFERROR(IF(INDEX(Matches!$AV$5:$AV$19,MATCH($C95,Matches!$A$5:$A$19,0))="","",IF($AS95="A",INDEX(Matches!$AV$5:$AV$19,MATCH($C95,Matches!$A$5:$A$19,0)),1-INDEX(Matches!$AV$5:$AV$19,MATCH($C95,Matches!$A$5:$A$19,0)))),""))</f>
        <v>0.594475776203883</v>
      </c>
      <c r="AX95" s="13" t="n">
        <f aca="false">IF(OR($AW95="",$AT95=""),1,((Config!$B$14*$AW95+Config!$B$15*(1-$AW95))/(Config!$B$14*$AT95+Config!$B$15*(1-$AT95)))^Config!$B$13)</f>
        <v>1.04045945282075</v>
      </c>
      <c r="AY95" s="10" t="n">
        <f aca="false">IF($AS95="","",IFERROR(IF(INDEX(Matches!$BB$5:$BB$19,MATCH($C95,Matches!$A$5:$A$19,0))="","",IF($AS95="A",INDEX(Matches!$BB$5:$BB$19,MATCH($C95,Matches!$A$5:$A$19,0)),1-INDEX(Matches!$BB$5:$BB$19,MATCH($C95,Matches!$A$5:$A$19,0)))),""))</f>
        <v>0.500626160277861</v>
      </c>
      <c r="AZ95" s="13" t="n">
        <f aca="false">IF(OR($AY95="",$AT95=""),1,((Config!$B$14*$AY95+Config!$B$15*(1-$AY95))/(Config!$B$14*$AT95+Config!$B$15*(1-$AT95)))^Config!$B$13)</f>
        <v>0.959993991325806</v>
      </c>
      <c r="BA95" s="17" t="n">
        <f aca="false">IF(V95="","",V95*$AV95)</f>
        <v>15.2714658394355</v>
      </c>
      <c r="BB95" s="17" t="n">
        <f aca="false">IF(AC95="","",AC95*$AX95)</f>
        <v>15.9284883504559</v>
      </c>
      <c r="BC95" s="17" t="n">
        <f aca="false">IF(AJ95="","",AJ95*$AZ95)</f>
        <v>12.6382859869318</v>
      </c>
      <c r="BD95" s="17" t="n">
        <f aca="false">N(BA95)+N(BB95)</f>
        <v>31.1999541898914</v>
      </c>
      <c r="BE95" s="17" t="n">
        <f aca="false">BD95+N($M95)*N(BC95)</f>
        <v>36.869489283629</v>
      </c>
      <c r="BF95" s="17" t="n">
        <f aca="false">IF(W95="","",W95*$AV95)</f>
        <v>7.9106193048276</v>
      </c>
      <c r="BG95" s="17" t="n">
        <f aca="false">IF(AD95="","",AD95*$AX95)</f>
        <v>8.99814787361208</v>
      </c>
      <c r="BH95" s="17" t="n">
        <f aca="false">IF(AK95="","",AK95*$AZ95)</f>
        <v>6.49148325692407</v>
      </c>
      <c r="BI95" s="17" t="n">
        <f aca="false">IF(BF95="","",N(BF95)+N(BG95))</f>
        <v>16.9087671784397</v>
      </c>
      <c r="BJ95" s="17" t="n">
        <f aca="false">IF(BI95="","",BI95+N($M95)*N(BH95))</f>
        <v>19.8208465674958</v>
      </c>
      <c r="BK95" s="13" t="n">
        <f aca="false">IFERROR(BD95/AL95,1)</f>
        <v>1.00851843591884</v>
      </c>
    </row>
    <row r="96" customFormat="false" ht="15" hidden="false" customHeight="false" outlineLevel="0" collapsed="false">
      <c r="A96" s="0" t="s">
        <v>1337</v>
      </c>
      <c r="B96" s="0" t="s">
        <v>988</v>
      </c>
      <c r="C96" s="0" t="s">
        <v>996</v>
      </c>
      <c r="D96" s="0" t="s">
        <v>1000</v>
      </c>
      <c r="E96" s="0" t="s">
        <v>1336</v>
      </c>
      <c r="F96" s="0" t="s">
        <v>1549</v>
      </c>
      <c r="G96" s="0" t="str">
        <f aca="false">IFERROR(IF(INDEX(Matches!$W$5:$W$19,MATCH($C96,Matches!$A$5:$A$19,0))="","",INDEX(Matches!$W$5:$W$19,MATCH($C96,Matches!$A$5:$A$19,0))),"")</f>
        <v>Mirage</v>
      </c>
      <c r="H96" s="0" t="str">
        <f aca="false">IFERROR(IF(INDEX(Matches!$X$5:$X$19,MATCH($C96,Matches!$A$5:$A$19,0))="","",INDEX(Matches!$X$5:$X$19,MATCH($C96,Matches!$A$5:$A$19,0))),"")</f>
        <v>Ancient</v>
      </c>
      <c r="I96" s="0" t="str">
        <f aca="false">IFERROR(IF(INDEX(Matches!$Y$5:$Y$19,MATCH($C96,Matches!$A$5:$A$19,0))="","",INDEX(Matches!$Y$5:$Y$19,MATCH($C96,Matches!$A$5:$A$19,0))),"")</f>
        <v>Cache</v>
      </c>
      <c r="J96" s="11" t="n">
        <f aca="false">IFERROR(IF(INDEX(Matches!$Z$5:$Z$19,MATCH($C96,Matches!$A$5:$A$19,0))="","",INDEX(Matches!$Z$5:$Z$19,MATCH($C96,Matches!$A$5:$A$19,0))),"")</f>
        <v>20.59</v>
      </c>
      <c r="K96" s="11" t="n">
        <f aca="false">IFERROR(IF(INDEX(Matches!$AA$5:$AA$19,MATCH($C96,Matches!$A$5:$A$19,0))="","",INDEX(Matches!$AA$5:$AA$19,MATCH($C96,Matches!$A$5:$A$19,0))),"")</f>
        <v>20.29</v>
      </c>
      <c r="L96" s="11" t="n">
        <f aca="false">IFERROR(IF(INDEX(Matches!$AB$5:$AB$19,MATCH($C96,Matches!$A$5:$A$19,0))="","",INDEX(Matches!$AB$5:$AB$19,MATCH($C96,Matches!$A$5:$A$19,0))),"")</f>
        <v>20.59</v>
      </c>
      <c r="M96" s="10" t="n">
        <f aca="false">IFERROR(IF(INDEX(Matches!$AC$5:$AC$19,MATCH($C96,Matches!$A$5:$A$19,0))="","",INDEX(Matches!$AC$5:$AC$19,MATCH($C96,Matches!$A$5:$A$19,0))),"")</f>
        <v>0.3304</v>
      </c>
      <c r="N96" s="9" t="n">
        <f aca="false">IFERROR(INDEX(Players!$F$2:$F$124,MATCH($F96,Players!$A$2:$A$124,0)),0)</f>
        <v>38</v>
      </c>
      <c r="O96" s="13" t="n">
        <f aca="false">IFERROR(1/(1/INDEX(Players!$H$2:$H$124,MATCH($F96,Players!$A$2:$A$124,0))),"")</f>
        <v>0.86</v>
      </c>
      <c r="P96" s="10" t="n">
        <f aca="false">IFERROR(1/(1/INDEX(Players!$I$2:$I$124,MATCH($F96,Players!$A$2:$A$124,0))),"")</f>
        <v>0.651</v>
      </c>
      <c r="Q96" s="9" t="n">
        <f aca="false">IF($G96="",0,SUMIFS(Map_Stats!$F$2:$F$779,Map_Stats!$A$2:$A$779,$F96&amp;"|"&amp;$G96))</f>
        <v>7</v>
      </c>
      <c r="R96" s="13" t="n">
        <f aca="false">IF($G96="","",IFERROR(1/(1/INDEX(Map_Stats!$K$2:$K$779,MATCH($F96&amp;"|"&amp;$G96,Map_Stats!$A$2:$A$779,0))),$O96))</f>
        <v>0.75</v>
      </c>
      <c r="S96" s="10" t="n">
        <f aca="false">IF(OR($G96="",$P96=""),"",IFERROR(1/(1/INDEX(Map_Stats!$I$2:$I$779,MATCH($F96&amp;"|"&amp;$G96,Map_Stats!$A$2:$A$779,0))),$P96))</f>
        <v>0.598</v>
      </c>
      <c r="T96" s="13" t="n">
        <f aca="false">IF(OR($G96="",R96=""),"",IF($O96="",R96,(Q96*R96+Config!$B$4*$O96)/(Q96+Config!$B$4)))</f>
        <v>0.795833333333333</v>
      </c>
      <c r="U96" s="10" t="n">
        <f aca="false">IF(S96="","",(Q96*S96+Config!$B$4*$P96)/(Q96+Config!$B$4))</f>
        <v>0.620083333333333</v>
      </c>
      <c r="V96" s="17" t="n">
        <f aca="false">IF(OR(T96="",$J96=""),"",T96*$J96*($J96/Config!$B$10)^Config!$B$9)</f>
        <v>16.3862083333333</v>
      </c>
      <c r="W96" s="17" t="n">
        <f aca="false">IF(OR(V96="",U96=""),"",V96*U96)</f>
        <v>10.1608146840278</v>
      </c>
      <c r="X96" s="9" t="n">
        <f aca="false">IF($H96="",0,SUMIFS(Map_Stats!$F$2:$F$779,Map_Stats!$A$2:$A$779,$F96&amp;"|"&amp;$H96))</f>
        <v>7</v>
      </c>
      <c r="Y96" s="13" t="n">
        <f aca="false">IF($H96="","",IFERROR(1/(1/INDEX(Map_Stats!$K$2:$K$779,MATCH($F96&amp;"|"&amp;$H96,Map_Stats!$A$2:$A$779,0))),$O96))</f>
        <v>0.92</v>
      </c>
      <c r="Z96" s="10" t="n">
        <f aca="false">IF(OR($H96="",$P96=""),"",IFERROR(1/(1/INDEX(Map_Stats!$I$2:$I$779,MATCH($F96&amp;"|"&amp;$H96,Map_Stats!$A$2:$A$779,0))),$P96))</f>
        <v>0.617</v>
      </c>
      <c r="AA96" s="13" t="n">
        <f aca="false">IF(OR($H96="",Y96=""),"",IF($O96="",Y96,(X96*Y96+Config!$B$4*$O96)/(X96+Config!$B$4)))</f>
        <v>0.895</v>
      </c>
      <c r="AB96" s="10" t="n">
        <f aca="false">IF(Z96="","",(X96*Z96+Config!$B$4*$P96)/(X96+Config!$B$4))</f>
        <v>0.631166666666667</v>
      </c>
      <c r="AC96" s="17" t="n">
        <f aca="false">IF(OR(AA96="",$K96=""),"",AA96*$K96*($K96/Config!$B$10)^Config!$B$9)</f>
        <v>18.15955</v>
      </c>
      <c r="AD96" s="17" t="n">
        <f aca="false">IF(OR(AC96="",AB96=""),"",AC96*AB96)</f>
        <v>11.4617026416667</v>
      </c>
      <c r="AE96" s="9" t="n">
        <f aca="false">IF($I96="",0,SUMIFS(Map_Stats!$F$2:$F$779,Map_Stats!$A$2:$A$779,$F96&amp;"|"&amp;$I96))</f>
        <v>6</v>
      </c>
      <c r="AF96" s="13" t="n">
        <f aca="false">IF($I96="","",IFERROR(1/(1/INDEX(Map_Stats!$K$2:$K$779,MATCH($F96&amp;"|"&amp;$I96,Map_Stats!$A$2:$A$779,0))),$O96))</f>
        <v>0.94</v>
      </c>
      <c r="AG96" s="10" t="n">
        <f aca="false">IF(OR($I96="",$P96=""),"",IFERROR(1/(1/INDEX(Map_Stats!$I$2:$I$779,MATCH($F96&amp;"|"&amp;$I96,Map_Stats!$A$2:$A$779,0))),$P96))</f>
        <v>0.698</v>
      </c>
      <c r="AH96" s="13" t="n">
        <f aca="false">IF(OR($I96="",AF96=""),"",IF($O96="",AF96,(AE96*AF96+Config!$B$4*$O96)/(AE96+Config!$B$4)))</f>
        <v>0.903636363636364</v>
      </c>
      <c r="AI96" s="10" t="n">
        <f aca="false">IF(AG96="","",(AE96*AG96+Config!$B$4*$P96)/(AE96+Config!$B$4))</f>
        <v>0.676636363636364</v>
      </c>
      <c r="AJ96" s="17" t="n">
        <f aca="false">IF(OR(AH96="",$L96=""),"",AH96*$L96*($L96/Config!$B$10)^Config!$B$9)</f>
        <v>18.6058727272727</v>
      </c>
      <c r="AK96" s="17" t="n">
        <f aca="false">IF(OR(AJ96="",AI96=""),"",AJ96*AI96)</f>
        <v>12.5894100644628</v>
      </c>
      <c r="AL96" s="17" t="n">
        <f aca="false">N(V96)+N(AC96)</f>
        <v>34.5457583333333</v>
      </c>
      <c r="AM96" s="17" t="n">
        <f aca="false">AL96+N($M96)*N(AJ96)</f>
        <v>40.6931386824243</v>
      </c>
      <c r="AN96" s="17" t="n">
        <f aca="false">IF(W96="","",N(W96)+N(AD96))</f>
        <v>21.6225173256944</v>
      </c>
      <c r="AO96" s="17" t="n">
        <f aca="false">IF(AN96="","",AN96+N($M96)*N(AK96))</f>
        <v>25.782058410993</v>
      </c>
      <c r="AP96" s="10" t="n">
        <f aca="false">IFERROR(AN96/AL96,"")</f>
        <v>0.625909471057429</v>
      </c>
      <c r="AQ96" s="0" t="str">
        <f aca="false">TRIM(IF($N96&lt;Config!$B$12,"thin sample ("&amp;$N96&amp;" maps) · ","")&amp;IF(AND($G96&lt;&gt;"",Q96=0),"M1 unplayed→overall KPR · ","")&amp;IF(AND($H96&lt;&gt;"",X96=0),"M2 unplayed→overall KPR · ","")&amp;IF($O96="","no PickFinder stats",""))</f>
        <v/>
      </c>
      <c r="AR96" s="0" t="str">
        <f aca="false">IF($C96=Board!$B$2,COUNTIFS($C$2:$C$124,Board!$B$2,$AL$2:$AL$124,"&gt;"&amp;$AL96)+COUNTIFS($C$1:$C95,Board!$B$2,$AL$1:$AL95,$AL96)+1,"")</f>
        <v/>
      </c>
      <c r="AS96" s="0" t="str">
        <f aca="false">IFERROR(IF($D96=INDEX(Matches!$AD$5:$AD$19,MATCH($C96,Matches!$A$5:$A$19,0)),"A",IF($D96=INDEX(Matches!$AE$5:$AE$19,MATCH($C96,Matches!$A$5:$A$19,0)),"B","")),"")</f>
        <v>A</v>
      </c>
      <c r="AT96" s="10" t="n">
        <f aca="false">IF($AS96="","",IFERROR(IF($AS96="A",INDEX(Matches!$AI$5:$AI$19,MATCH($C96,Matches!$A$5:$A$19,0)),INDEX(Matches!$AJ$5:$AJ$19,MATCH($C96,Matches!$A$5:$A$19,0))),""))</f>
        <v>0.552265391940194</v>
      </c>
      <c r="AU96" s="10" t="n">
        <f aca="false">IF($AS96="","",IFERROR(IF(INDEX(Matches!$AP$5:$AP$19,MATCH($C96,Matches!$A$5:$A$19,0))="","",IF($AS96="A",INDEX(Matches!$AP$5:$AP$19,MATCH($C96,Matches!$A$5:$A$19,0)),1-INDEX(Matches!$AP$5:$AP$19,MATCH($C96,Matches!$A$5:$A$19,0)))),""))</f>
        <v>0.597234841910751</v>
      </c>
      <c r="AV96" s="13" t="n">
        <f aca="false">IF(OR($AU96="",$AT96=""),1,((Config!$B$14*$AU96+Config!$B$15*(1-$AU96))/(Config!$B$14*$AT96+Config!$B$15*(1-$AT96)))^Config!$B$13)</f>
        <v>1.0383923422251</v>
      </c>
      <c r="AW96" s="10" t="n">
        <f aca="false">IF($AS96="","",IFERROR(IF(INDEX(Matches!$AV$5:$AV$19,MATCH($C96,Matches!$A$5:$A$19,0))="","",IF($AS96="A",INDEX(Matches!$AV$5:$AV$19,MATCH($C96,Matches!$A$5:$A$19,0)),1-INDEX(Matches!$AV$5:$AV$19,MATCH($C96,Matches!$A$5:$A$19,0)))),""))</f>
        <v>0.575356517709449</v>
      </c>
      <c r="AX96" s="13" t="n">
        <f aca="false">IF(OR($AW96="",$AT96=""),1,((Config!$B$14*$AW96+Config!$B$15*(1-$AW96))/(Config!$B$14*$AT96+Config!$B$15*(1-$AT96)))^Config!$B$13)</f>
        <v>1.01971388139007</v>
      </c>
      <c r="AY96" s="10" t="n">
        <f aca="false">IF($AS96="","",IFERROR(IF(INDEX(Matches!$BB$5:$BB$19,MATCH($C96,Matches!$A$5:$A$19,0))="","",IF($AS96="A",INDEX(Matches!$BB$5:$BB$19,MATCH($C96,Matches!$A$5:$A$19,0)),1-INDEX(Matches!$BB$5:$BB$19,MATCH($C96,Matches!$A$5:$A$19,0)))),""))</f>
        <v>0.572022806193861</v>
      </c>
      <c r="AZ96" s="13" t="n">
        <f aca="false">IF(OR($AY96="",$AT96=""),1,((Config!$B$14*$AY96+Config!$B$15*(1-$AY96))/(Config!$B$14*$AT96+Config!$B$15*(1-$AT96)))^Config!$B$13)</f>
        <v>1.01686774932774</v>
      </c>
      <c r="BA96" s="17" t="n">
        <f aca="false">IF(V96="","",V96*$AV96)</f>
        <v>17.0153132514385</v>
      </c>
      <c r="BB96" s="17" t="n">
        <f aca="false">IF(AC96="","",AC96*$AX96)</f>
        <v>18.517545214797</v>
      </c>
      <c r="BC96" s="17" t="n">
        <f aca="false">IF(AJ96="","",AJ96*$AZ96)</f>
        <v>18.9197119244603</v>
      </c>
      <c r="BD96" s="17" t="n">
        <f aca="false">N(BA96)+N(BB96)</f>
        <v>35.5328584662355</v>
      </c>
      <c r="BE96" s="17" t="n">
        <f aca="false">BD96+N($M96)*N(BC96)</f>
        <v>41.7839312860771</v>
      </c>
      <c r="BF96" s="17" t="n">
        <f aca="false">IF(W96="","",W96*$AV96)</f>
        <v>10.5509121586628</v>
      </c>
      <c r="BG96" s="17" t="n">
        <f aca="false">IF(AD96="","",AD96*$AX96)</f>
        <v>11.6876572880727</v>
      </c>
      <c r="BH96" s="17" t="n">
        <f aca="false">IF(AK96="","",AK96*$AZ96)</f>
        <v>12.8017650776143</v>
      </c>
      <c r="BI96" s="17" t="n">
        <f aca="false">IF(BF96="","",N(BF96)+N(BG96))</f>
        <v>22.2385694467355</v>
      </c>
      <c r="BJ96" s="17" t="n">
        <f aca="false">IF(BI96="","",BI96+N($M96)*N(BH96))</f>
        <v>26.4682726283793</v>
      </c>
      <c r="BK96" s="13" t="n">
        <f aca="false">IFERROR(BD96/AL96,1)</f>
        <v>1.02857369994248</v>
      </c>
    </row>
    <row r="97" customFormat="false" ht="15" hidden="false" customHeight="false" outlineLevel="0" collapsed="false">
      <c r="A97" s="0" t="s">
        <v>1339</v>
      </c>
      <c r="B97" s="0" t="s">
        <v>988</v>
      </c>
      <c r="C97" s="0" t="s">
        <v>996</v>
      </c>
      <c r="D97" s="0" t="s">
        <v>1000</v>
      </c>
      <c r="E97" s="0" t="s">
        <v>1338</v>
      </c>
      <c r="F97" s="0" t="s">
        <v>1550</v>
      </c>
      <c r="G97" s="0" t="str">
        <f aca="false">IFERROR(IF(INDEX(Matches!$W$5:$W$19,MATCH($C97,Matches!$A$5:$A$19,0))="","",INDEX(Matches!$W$5:$W$19,MATCH($C97,Matches!$A$5:$A$19,0))),"")</f>
        <v>Mirage</v>
      </c>
      <c r="H97" s="0" t="str">
        <f aca="false">IFERROR(IF(INDEX(Matches!$X$5:$X$19,MATCH($C97,Matches!$A$5:$A$19,0))="","",INDEX(Matches!$X$5:$X$19,MATCH($C97,Matches!$A$5:$A$19,0))),"")</f>
        <v>Ancient</v>
      </c>
      <c r="I97" s="0" t="str">
        <f aca="false">IFERROR(IF(INDEX(Matches!$Y$5:$Y$19,MATCH($C97,Matches!$A$5:$A$19,0))="","",INDEX(Matches!$Y$5:$Y$19,MATCH($C97,Matches!$A$5:$A$19,0))),"")</f>
        <v>Cache</v>
      </c>
      <c r="J97" s="11" t="n">
        <f aca="false">IFERROR(IF(INDEX(Matches!$Z$5:$Z$19,MATCH($C97,Matches!$A$5:$A$19,0))="","",INDEX(Matches!$Z$5:$Z$19,MATCH($C97,Matches!$A$5:$A$19,0))),"")</f>
        <v>20.59</v>
      </c>
      <c r="K97" s="11" t="n">
        <f aca="false">IFERROR(IF(INDEX(Matches!$AA$5:$AA$19,MATCH($C97,Matches!$A$5:$A$19,0))="","",INDEX(Matches!$AA$5:$AA$19,MATCH($C97,Matches!$A$5:$A$19,0))),"")</f>
        <v>20.29</v>
      </c>
      <c r="L97" s="11" t="n">
        <f aca="false">IFERROR(IF(INDEX(Matches!$AB$5:$AB$19,MATCH($C97,Matches!$A$5:$A$19,0))="","",INDEX(Matches!$AB$5:$AB$19,MATCH($C97,Matches!$A$5:$A$19,0))),"")</f>
        <v>20.59</v>
      </c>
      <c r="M97" s="10" t="n">
        <f aca="false">IFERROR(IF(INDEX(Matches!$AC$5:$AC$19,MATCH($C97,Matches!$A$5:$A$19,0))="","",INDEX(Matches!$AC$5:$AC$19,MATCH($C97,Matches!$A$5:$A$19,0))),"")</f>
        <v>0.3304</v>
      </c>
      <c r="N97" s="9" t="n">
        <f aca="false">IFERROR(INDEX(Players!$F$2:$F$124,MATCH($F97,Players!$A$2:$A$124,0)),0)</f>
        <v>38</v>
      </c>
      <c r="O97" s="13" t="n">
        <f aca="false">IFERROR(1/(1/INDEX(Players!$H$2:$H$124,MATCH($F97,Players!$A$2:$A$124,0))),"")</f>
        <v>0.58</v>
      </c>
      <c r="P97" s="10" t="n">
        <f aca="false">IFERROR(1/(1/INDEX(Players!$I$2:$I$124,MATCH($F97,Players!$A$2:$A$124,0))),"")</f>
        <v>0.502</v>
      </c>
      <c r="Q97" s="9" t="n">
        <f aca="false">IF($G97="",0,SUMIFS(Map_Stats!$F$2:$F$779,Map_Stats!$A$2:$A$779,$F97&amp;"|"&amp;$G97))</f>
        <v>7</v>
      </c>
      <c r="R97" s="13" t="n">
        <f aca="false">IF($G97="","",IFERROR(1/(1/INDEX(Map_Stats!$K$2:$K$779,MATCH($F97&amp;"|"&amp;$G97,Map_Stats!$A$2:$A$779,0))),$O97))</f>
        <v>0.58</v>
      </c>
      <c r="S97" s="10" t="n">
        <f aca="false">IF(OR($G97="",$P97=""),"",IFERROR(1/(1/INDEX(Map_Stats!$I$2:$I$779,MATCH($F97&amp;"|"&amp;$G97,Map_Stats!$A$2:$A$779,0))),$P97))</f>
        <v>0.44</v>
      </c>
      <c r="T97" s="13" t="n">
        <f aca="false">IF(OR($G97="",R97=""),"",IF($O97="",R97,(Q97*R97+Config!$B$4*$O97)/(Q97+Config!$B$4)))</f>
        <v>0.58</v>
      </c>
      <c r="U97" s="10" t="n">
        <f aca="false">IF(S97="","",(Q97*S97+Config!$B$4*$P97)/(Q97+Config!$B$4))</f>
        <v>0.465833333333333</v>
      </c>
      <c r="V97" s="17" t="n">
        <f aca="false">IF(OR(T97="",$J97=""),"",T97*$J97*($J97/Config!$B$10)^Config!$B$9)</f>
        <v>11.9422</v>
      </c>
      <c r="W97" s="17" t="n">
        <f aca="false">IF(OR(V97="",U97=""),"",V97*U97)</f>
        <v>5.56307483333333</v>
      </c>
      <c r="X97" s="9" t="n">
        <f aca="false">IF($H97="",0,SUMIFS(Map_Stats!$F$2:$F$779,Map_Stats!$A$2:$A$779,$F97&amp;"|"&amp;$H97))</f>
        <v>7</v>
      </c>
      <c r="Y97" s="13" t="n">
        <f aca="false">IF($H97="","",IFERROR(1/(1/INDEX(Map_Stats!$K$2:$K$779,MATCH($F97&amp;"|"&amp;$H97,Map_Stats!$A$2:$A$779,0))),$O97))</f>
        <v>0.59</v>
      </c>
      <c r="Z97" s="10" t="n">
        <f aca="false">IF(OR($H97="",$P97=""),"",IFERROR(1/(1/INDEX(Map_Stats!$I$2:$I$779,MATCH($F97&amp;"|"&amp;$H97,Map_Stats!$A$2:$A$779,0))),$P97))</f>
        <v>0.593</v>
      </c>
      <c r="AA97" s="13" t="n">
        <f aca="false">IF(OR($H97="",Y97=""),"",IF($O97="",Y97,(X97*Y97+Config!$B$4*$O97)/(X97+Config!$B$4)))</f>
        <v>0.585833333333333</v>
      </c>
      <c r="AB97" s="10" t="n">
        <f aca="false">IF(Z97="","",(X97*Z97+Config!$B$4*$P97)/(X97+Config!$B$4))</f>
        <v>0.555083333333333</v>
      </c>
      <c r="AC97" s="17" t="n">
        <f aca="false">IF(OR(AA97="",$K97=""),"",AA97*$K97*($K97/Config!$B$10)^Config!$B$9)</f>
        <v>11.8865583333333</v>
      </c>
      <c r="AD97" s="17" t="n">
        <f aca="false">IF(OR(AC97="",AB97=""),"",AC97*AB97)</f>
        <v>6.59803042152778</v>
      </c>
      <c r="AE97" s="9" t="n">
        <f aca="false">IF($I97="",0,SUMIFS(Map_Stats!$F$2:$F$779,Map_Stats!$A$2:$A$779,$F97&amp;"|"&amp;$I97))</f>
        <v>6</v>
      </c>
      <c r="AF97" s="13" t="n">
        <f aca="false">IF($I97="","",IFERROR(1/(1/INDEX(Map_Stats!$K$2:$K$779,MATCH($F97&amp;"|"&amp;$I97,Map_Stats!$A$2:$A$779,0))),$O97))</f>
        <v>0.6</v>
      </c>
      <c r="AG97" s="10" t="n">
        <f aca="false">IF(OR($I97="",$P97=""),"",IFERROR(1/(1/INDEX(Map_Stats!$I$2:$I$779,MATCH($F97&amp;"|"&amp;$I97,Map_Stats!$A$2:$A$779,0))),$P97))</f>
        <v>0.459</v>
      </c>
      <c r="AH97" s="13" t="n">
        <f aca="false">IF(OR($I97="",AF97=""),"",IF($O97="",AF97,(AE97*AF97+Config!$B$4*$O97)/(AE97+Config!$B$4)))</f>
        <v>0.590909090909091</v>
      </c>
      <c r="AI97" s="10" t="n">
        <f aca="false">IF(AG97="","",(AE97*AG97+Config!$B$4*$P97)/(AE97+Config!$B$4))</f>
        <v>0.478545454545455</v>
      </c>
      <c r="AJ97" s="17" t="n">
        <f aca="false">IF(OR(AH97="",$L97=""),"",AH97*$L97*($L97/Config!$B$10)^Config!$B$9)</f>
        <v>12.1668181818182</v>
      </c>
      <c r="AK97" s="17" t="n">
        <f aca="false">IF(OR(AJ97="",AI97=""),"",AJ97*AI97)</f>
        <v>5.82237553719008</v>
      </c>
      <c r="AL97" s="17" t="n">
        <f aca="false">N(V97)+N(AC97)</f>
        <v>23.8287583333333</v>
      </c>
      <c r="AM97" s="17" t="n">
        <f aca="false">AL97+N($M97)*N(AJ97)</f>
        <v>27.8486750606061</v>
      </c>
      <c r="AN97" s="17" t="n">
        <f aca="false">IF(W97="","",N(W97)+N(AD97))</f>
        <v>12.1611052548611</v>
      </c>
      <c r="AO97" s="17" t="n">
        <f aca="false">IF(AN97="","",AN97+N($M97)*N(AK97))</f>
        <v>14.0848181323487</v>
      </c>
      <c r="AP97" s="10" t="n">
        <f aca="false">IFERROR(AN97/AL97,"")</f>
        <v>0.510354131119342</v>
      </c>
      <c r="AQ97" s="0" t="str">
        <f aca="false">TRIM(IF($N97&lt;Config!$B$12,"thin sample ("&amp;$N97&amp;" maps) · ","")&amp;IF(AND($G97&lt;&gt;"",Q97=0),"M1 unplayed→overall KPR · ","")&amp;IF(AND($H97&lt;&gt;"",X97=0),"M2 unplayed→overall KPR · ","")&amp;IF($O97="","no PickFinder stats",""))</f>
        <v/>
      </c>
      <c r="AR97" s="0" t="str">
        <f aca="false">IF($C97=Board!$B$2,COUNTIFS($C$2:$C$124,Board!$B$2,$AL$2:$AL$124,"&gt;"&amp;$AL97)+COUNTIFS($C$1:$C96,Board!$B$2,$AL$1:$AL96,$AL97)+1,"")</f>
        <v/>
      </c>
      <c r="AS97" s="0" t="str">
        <f aca="false">IFERROR(IF($D97=INDEX(Matches!$AD$5:$AD$19,MATCH($C97,Matches!$A$5:$A$19,0)),"A",IF($D97=INDEX(Matches!$AE$5:$AE$19,MATCH($C97,Matches!$A$5:$A$19,0)),"B","")),"")</f>
        <v>A</v>
      </c>
      <c r="AT97" s="10" t="n">
        <f aca="false">IF($AS97="","",IFERROR(IF($AS97="A",INDEX(Matches!$AI$5:$AI$19,MATCH($C97,Matches!$A$5:$A$19,0)),INDEX(Matches!$AJ$5:$AJ$19,MATCH($C97,Matches!$A$5:$A$19,0))),""))</f>
        <v>0.552265391940194</v>
      </c>
      <c r="AU97" s="10" t="n">
        <f aca="false">IF($AS97="","",IFERROR(IF(INDEX(Matches!$AP$5:$AP$19,MATCH($C97,Matches!$A$5:$A$19,0))="","",IF($AS97="A",INDEX(Matches!$AP$5:$AP$19,MATCH($C97,Matches!$A$5:$A$19,0)),1-INDEX(Matches!$AP$5:$AP$19,MATCH($C97,Matches!$A$5:$A$19,0)))),""))</f>
        <v>0.597234841910751</v>
      </c>
      <c r="AV97" s="13" t="n">
        <f aca="false">IF(OR($AU97="",$AT97=""),1,((Config!$B$14*$AU97+Config!$B$15*(1-$AU97))/(Config!$B$14*$AT97+Config!$B$15*(1-$AT97)))^Config!$B$13)</f>
        <v>1.0383923422251</v>
      </c>
      <c r="AW97" s="10" t="n">
        <f aca="false">IF($AS97="","",IFERROR(IF(INDEX(Matches!$AV$5:$AV$19,MATCH($C97,Matches!$A$5:$A$19,0))="","",IF($AS97="A",INDEX(Matches!$AV$5:$AV$19,MATCH($C97,Matches!$A$5:$A$19,0)),1-INDEX(Matches!$AV$5:$AV$19,MATCH($C97,Matches!$A$5:$A$19,0)))),""))</f>
        <v>0.575356517709449</v>
      </c>
      <c r="AX97" s="13" t="n">
        <f aca="false">IF(OR($AW97="",$AT97=""),1,((Config!$B$14*$AW97+Config!$B$15*(1-$AW97))/(Config!$B$14*$AT97+Config!$B$15*(1-$AT97)))^Config!$B$13)</f>
        <v>1.01971388139007</v>
      </c>
      <c r="AY97" s="10" t="n">
        <f aca="false">IF($AS97="","",IFERROR(IF(INDEX(Matches!$BB$5:$BB$19,MATCH($C97,Matches!$A$5:$A$19,0))="","",IF($AS97="A",INDEX(Matches!$BB$5:$BB$19,MATCH($C97,Matches!$A$5:$A$19,0)),1-INDEX(Matches!$BB$5:$BB$19,MATCH($C97,Matches!$A$5:$A$19,0)))),""))</f>
        <v>0.572022806193861</v>
      </c>
      <c r="AZ97" s="13" t="n">
        <f aca="false">IF(OR($AY97="",$AT97=""),1,((Config!$B$14*$AY97+Config!$B$15*(1-$AY97))/(Config!$B$14*$AT97+Config!$B$15*(1-$AT97)))^Config!$B$13)</f>
        <v>1.01686774932774</v>
      </c>
      <c r="BA97" s="17" t="n">
        <f aca="false">IF(V97="","",V97*$AV97)</f>
        <v>12.4006890293206</v>
      </c>
      <c r="BB97" s="17" t="n">
        <f aca="false">IF(AC97="","",AC97*$AX97)</f>
        <v>12.1208885344528</v>
      </c>
      <c r="BC97" s="17" t="n">
        <f aca="false">IF(AJ97="","",AJ97*$AZ97)</f>
        <v>12.3720450210253</v>
      </c>
      <c r="BD97" s="17" t="n">
        <f aca="false">N(BA97)+N(BB97)</f>
        <v>24.5215775637734</v>
      </c>
      <c r="BE97" s="17" t="n">
        <f aca="false">BD97+N($M97)*N(BC97)</f>
        <v>28.6093012387201</v>
      </c>
      <c r="BF97" s="17" t="n">
        <f aca="false">IF(W97="","",W97*$AV97)</f>
        <v>5.77665430615851</v>
      </c>
      <c r="BG97" s="17" t="n">
        <f aca="false">IF(AD97="","",AD97*$AX97)</f>
        <v>6.72810321066582</v>
      </c>
      <c r="BH97" s="17" t="n">
        <f aca="false">IF(AK97="","",AK97*$AZ97)</f>
        <v>5.9205859082434</v>
      </c>
      <c r="BI97" s="17" t="n">
        <f aca="false">IF(BF97="","",N(BF97)+N(BG97))</f>
        <v>12.5047575168243</v>
      </c>
      <c r="BJ97" s="17" t="n">
        <f aca="false">IF(BI97="","",BI97+N($M97)*N(BH97))</f>
        <v>14.460919100908</v>
      </c>
      <c r="BK97" s="13" t="n">
        <f aca="false">IFERROR(BD97/AL97,1)</f>
        <v>1.02907491950476</v>
      </c>
    </row>
    <row r="98" customFormat="false" ht="15" hidden="false" customHeight="false" outlineLevel="0" collapsed="false">
      <c r="A98" s="0" t="s">
        <v>1341</v>
      </c>
      <c r="B98" s="0" t="s">
        <v>988</v>
      </c>
      <c r="C98" s="0" t="s">
        <v>996</v>
      </c>
      <c r="D98" s="0" t="s">
        <v>1000</v>
      </c>
      <c r="E98" s="0" t="s">
        <v>1340</v>
      </c>
      <c r="F98" s="0" t="s">
        <v>1551</v>
      </c>
      <c r="G98" s="0" t="str">
        <f aca="false">IFERROR(IF(INDEX(Matches!$W$5:$W$19,MATCH($C98,Matches!$A$5:$A$19,0))="","",INDEX(Matches!$W$5:$W$19,MATCH($C98,Matches!$A$5:$A$19,0))),"")</f>
        <v>Mirage</v>
      </c>
      <c r="H98" s="0" t="str">
        <f aca="false">IFERROR(IF(INDEX(Matches!$X$5:$X$19,MATCH($C98,Matches!$A$5:$A$19,0))="","",INDEX(Matches!$X$5:$X$19,MATCH($C98,Matches!$A$5:$A$19,0))),"")</f>
        <v>Ancient</v>
      </c>
      <c r="I98" s="0" t="str">
        <f aca="false">IFERROR(IF(INDEX(Matches!$Y$5:$Y$19,MATCH($C98,Matches!$A$5:$A$19,0))="","",INDEX(Matches!$Y$5:$Y$19,MATCH($C98,Matches!$A$5:$A$19,0))),"")</f>
        <v>Cache</v>
      </c>
      <c r="J98" s="11" t="n">
        <f aca="false">IFERROR(IF(INDEX(Matches!$Z$5:$Z$19,MATCH($C98,Matches!$A$5:$A$19,0))="","",INDEX(Matches!$Z$5:$Z$19,MATCH($C98,Matches!$A$5:$A$19,0))),"")</f>
        <v>20.59</v>
      </c>
      <c r="K98" s="11" t="n">
        <f aca="false">IFERROR(IF(INDEX(Matches!$AA$5:$AA$19,MATCH($C98,Matches!$A$5:$A$19,0))="","",INDEX(Matches!$AA$5:$AA$19,MATCH($C98,Matches!$A$5:$A$19,0))),"")</f>
        <v>20.29</v>
      </c>
      <c r="L98" s="11" t="n">
        <f aca="false">IFERROR(IF(INDEX(Matches!$AB$5:$AB$19,MATCH($C98,Matches!$A$5:$A$19,0))="","",INDEX(Matches!$AB$5:$AB$19,MATCH($C98,Matches!$A$5:$A$19,0))),"")</f>
        <v>20.59</v>
      </c>
      <c r="M98" s="10" t="n">
        <f aca="false">IFERROR(IF(INDEX(Matches!$AC$5:$AC$19,MATCH($C98,Matches!$A$5:$A$19,0))="","",INDEX(Matches!$AC$5:$AC$19,MATCH($C98,Matches!$A$5:$A$19,0))),"")</f>
        <v>0.3304</v>
      </c>
      <c r="N98" s="9" t="n">
        <f aca="false">IFERROR(INDEX(Players!$F$2:$F$124,MATCH($F98,Players!$A$2:$A$124,0)),0)</f>
        <v>38</v>
      </c>
      <c r="O98" s="13" t="n">
        <f aca="false">IFERROR(1/(1/INDEX(Players!$H$2:$H$124,MATCH($F98,Players!$A$2:$A$124,0))),"")</f>
        <v>0.72</v>
      </c>
      <c r="P98" s="10" t="n">
        <f aca="false">IFERROR(1/(1/INDEX(Players!$I$2:$I$124,MATCH($F98,Players!$A$2:$A$124,0))),"")</f>
        <v>0.342</v>
      </c>
      <c r="Q98" s="9" t="n">
        <f aca="false">IF($G98="",0,SUMIFS(Map_Stats!$F$2:$F$779,Map_Stats!$A$2:$A$779,$F98&amp;"|"&amp;$G98))</f>
        <v>7</v>
      </c>
      <c r="R98" s="13" t="n">
        <f aca="false">IF($G98="","",IFERROR(1/(1/INDEX(Map_Stats!$K$2:$K$779,MATCH($F98&amp;"|"&amp;$G98,Map_Stats!$A$2:$A$779,0))),$O98))</f>
        <v>0.72</v>
      </c>
      <c r="S98" s="10" t="n">
        <f aca="false">IF(OR($G98="",$P98=""),"",IFERROR(1/(1/INDEX(Map_Stats!$I$2:$I$779,MATCH($F98&amp;"|"&amp;$G98,Map_Stats!$A$2:$A$779,0))),$P98))</f>
        <v>0.348</v>
      </c>
      <c r="T98" s="13" t="n">
        <f aca="false">IF(OR($G98="",R98=""),"",IF($O98="",R98,(Q98*R98+Config!$B$4*$O98)/(Q98+Config!$B$4)))</f>
        <v>0.72</v>
      </c>
      <c r="U98" s="10" t="n">
        <f aca="false">IF(S98="","",(Q98*S98+Config!$B$4*$P98)/(Q98+Config!$B$4))</f>
        <v>0.3455</v>
      </c>
      <c r="V98" s="17" t="n">
        <f aca="false">IF(OR(T98="",$J98=""),"",T98*$J98*($J98/Config!$B$10)^Config!$B$9)</f>
        <v>14.8248</v>
      </c>
      <c r="W98" s="17" t="n">
        <f aca="false">IF(OR(V98="",U98=""),"",V98*U98)</f>
        <v>5.1219684</v>
      </c>
      <c r="X98" s="9" t="n">
        <f aca="false">IF($H98="",0,SUMIFS(Map_Stats!$F$2:$F$779,Map_Stats!$A$2:$A$779,$F98&amp;"|"&amp;$H98))</f>
        <v>7</v>
      </c>
      <c r="Y98" s="13" t="n">
        <f aca="false">IF($H98="","",IFERROR(1/(1/INDEX(Map_Stats!$K$2:$K$779,MATCH($F98&amp;"|"&amp;$H98,Map_Stats!$A$2:$A$779,0))),$O98))</f>
        <v>0.66</v>
      </c>
      <c r="Z98" s="10" t="n">
        <f aca="false">IF(OR($H98="",$P98=""),"",IFERROR(1/(1/INDEX(Map_Stats!$I$2:$I$779,MATCH($F98&amp;"|"&amp;$H98,Map_Stats!$A$2:$A$779,0))),$P98))</f>
        <v>0.333</v>
      </c>
      <c r="AA98" s="13" t="n">
        <f aca="false">IF(OR($H98="",Y98=""),"",IF($O98="",Y98,(X98*Y98+Config!$B$4*$O98)/(X98+Config!$B$4)))</f>
        <v>0.685</v>
      </c>
      <c r="AB98" s="10" t="n">
        <f aca="false">IF(Z98="","",(X98*Z98+Config!$B$4*$P98)/(X98+Config!$B$4))</f>
        <v>0.33675</v>
      </c>
      <c r="AC98" s="17" t="n">
        <f aca="false">IF(OR(AA98="",$K98=""),"",AA98*$K98*($K98/Config!$B$10)^Config!$B$9)</f>
        <v>13.89865</v>
      </c>
      <c r="AD98" s="17" t="n">
        <f aca="false">IF(OR(AC98="",AB98=""),"",AC98*AB98)</f>
        <v>4.6803703875</v>
      </c>
      <c r="AE98" s="9" t="n">
        <f aca="false">IF($I98="",0,SUMIFS(Map_Stats!$F$2:$F$779,Map_Stats!$A$2:$A$779,$F98&amp;"|"&amp;$I98))</f>
        <v>6</v>
      </c>
      <c r="AF98" s="13" t="n">
        <f aca="false">IF($I98="","",IFERROR(1/(1/INDEX(Map_Stats!$K$2:$K$779,MATCH($F98&amp;"|"&amp;$I98,Map_Stats!$A$2:$A$779,0))),$O98))</f>
        <v>0.66</v>
      </c>
      <c r="AG98" s="10" t="n">
        <f aca="false">IF(OR($I98="",$P98=""),"",IFERROR(1/(1/INDEX(Map_Stats!$I$2:$I$779,MATCH($F98&amp;"|"&amp;$I98,Map_Stats!$A$2:$A$779,0))),$P98))</f>
        <v>0.402</v>
      </c>
      <c r="AH98" s="13" t="n">
        <f aca="false">IF(OR($I98="",AF98=""),"",IF($O98="",AF98,(AE98*AF98+Config!$B$4*$O98)/(AE98+Config!$B$4)))</f>
        <v>0.687272727272727</v>
      </c>
      <c r="AI98" s="10" t="n">
        <f aca="false">IF(AG98="","",(AE98*AG98+Config!$B$4*$P98)/(AE98+Config!$B$4))</f>
        <v>0.374727272727273</v>
      </c>
      <c r="AJ98" s="17" t="n">
        <f aca="false">IF(OR(AH98="",$L98=""),"",AH98*$L98*($L98/Config!$B$10)^Config!$B$9)</f>
        <v>14.1509454545455</v>
      </c>
      <c r="AK98" s="17" t="n">
        <f aca="false">IF(OR(AJ98="",AI98=""),"",AJ98*AI98)</f>
        <v>5.30274519669421</v>
      </c>
      <c r="AL98" s="17" t="n">
        <f aca="false">N(V98)+N(AC98)</f>
        <v>28.72345</v>
      </c>
      <c r="AM98" s="17" t="n">
        <f aca="false">AL98+N($M98)*N(AJ98)</f>
        <v>33.3989223781818</v>
      </c>
      <c r="AN98" s="17" t="n">
        <f aca="false">IF(W98="","",N(W98)+N(AD98))</f>
        <v>9.8023387875</v>
      </c>
      <c r="AO98" s="17" t="n">
        <f aca="false">IF(AN98="","",AN98+N($M98)*N(AK98))</f>
        <v>11.5543658004878</v>
      </c>
      <c r="AP98" s="10" t="n">
        <f aca="false">IFERROR(AN98/AL98,"")</f>
        <v>0.34126606614108</v>
      </c>
      <c r="AQ98" s="0" t="str">
        <f aca="false">TRIM(IF($N98&lt;Config!$B$12,"thin sample ("&amp;$N98&amp;" maps) · ","")&amp;IF(AND($G98&lt;&gt;"",Q98=0),"M1 unplayed→overall KPR · ","")&amp;IF(AND($H98&lt;&gt;"",X98=0),"M2 unplayed→overall KPR · ","")&amp;IF($O98="","no PickFinder stats",""))</f>
        <v/>
      </c>
      <c r="AR98" s="0" t="str">
        <f aca="false">IF($C98=Board!$B$2,COUNTIFS($C$2:$C$124,Board!$B$2,$AL$2:$AL$124,"&gt;"&amp;$AL98)+COUNTIFS($C$1:$C97,Board!$B$2,$AL$1:$AL97,$AL98)+1,"")</f>
        <v/>
      </c>
      <c r="AS98" s="0" t="str">
        <f aca="false">IFERROR(IF($D98=INDEX(Matches!$AD$5:$AD$19,MATCH($C98,Matches!$A$5:$A$19,0)),"A",IF($D98=INDEX(Matches!$AE$5:$AE$19,MATCH($C98,Matches!$A$5:$A$19,0)),"B","")),"")</f>
        <v>A</v>
      </c>
      <c r="AT98" s="10" t="n">
        <f aca="false">IF($AS98="","",IFERROR(IF($AS98="A",INDEX(Matches!$AI$5:$AI$19,MATCH($C98,Matches!$A$5:$A$19,0)),INDEX(Matches!$AJ$5:$AJ$19,MATCH($C98,Matches!$A$5:$A$19,0))),""))</f>
        <v>0.552265391940194</v>
      </c>
      <c r="AU98" s="10" t="n">
        <f aca="false">IF($AS98="","",IFERROR(IF(INDEX(Matches!$AP$5:$AP$19,MATCH($C98,Matches!$A$5:$A$19,0))="","",IF($AS98="A",INDEX(Matches!$AP$5:$AP$19,MATCH($C98,Matches!$A$5:$A$19,0)),1-INDEX(Matches!$AP$5:$AP$19,MATCH($C98,Matches!$A$5:$A$19,0)))),""))</f>
        <v>0.597234841910751</v>
      </c>
      <c r="AV98" s="13" t="n">
        <f aca="false">IF(OR($AU98="",$AT98=""),1,((Config!$B$14*$AU98+Config!$B$15*(1-$AU98))/(Config!$B$14*$AT98+Config!$B$15*(1-$AT98)))^Config!$B$13)</f>
        <v>1.0383923422251</v>
      </c>
      <c r="AW98" s="10" t="n">
        <f aca="false">IF($AS98="","",IFERROR(IF(INDEX(Matches!$AV$5:$AV$19,MATCH($C98,Matches!$A$5:$A$19,0))="","",IF($AS98="A",INDEX(Matches!$AV$5:$AV$19,MATCH($C98,Matches!$A$5:$A$19,0)),1-INDEX(Matches!$AV$5:$AV$19,MATCH($C98,Matches!$A$5:$A$19,0)))),""))</f>
        <v>0.575356517709449</v>
      </c>
      <c r="AX98" s="13" t="n">
        <f aca="false">IF(OR($AW98="",$AT98=""),1,((Config!$B$14*$AW98+Config!$B$15*(1-$AW98))/(Config!$B$14*$AT98+Config!$B$15*(1-$AT98)))^Config!$B$13)</f>
        <v>1.01971388139007</v>
      </c>
      <c r="AY98" s="10" t="n">
        <f aca="false">IF($AS98="","",IFERROR(IF(INDEX(Matches!$BB$5:$BB$19,MATCH($C98,Matches!$A$5:$A$19,0))="","",IF($AS98="A",INDEX(Matches!$BB$5:$BB$19,MATCH($C98,Matches!$A$5:$A$19,0)),1-INDEX(Matches!$BB$5:$BB$19,MATCH($C98,Matches!$A$5:$A$19,0)))),""))</f>
        <v>0.572022806193861</v>
      </c>
      <c r="AZ98" s="13" t="n">
        <f aca="false">IF(OR($AY98="",$AT98=""),1,((Config!$B$14*$AY98+Config!$B$15*(1-$AY98))/(Config!$B$14*$AT98+Config!$B$15*(1-$AT98)))^Config!$B$13)</f>
        <v>1.01686774932774</v>
      </c>
      <c r="BA98" s="17" t="n">
        <f aca="false">IF(V98="","",V98*$AV98)</f>
        <v>15.3939587950187</v>
      </c>
      <c r="BB98" s="17" t="n">
        <f aca="false">IF(AC98="","",AC98*$AX98)</f>
        <v>14.172646337582</v>
      </c>
      <c r="BC98" s="17" t="n">
        <f aca="false">IF(AJ98="","",AJ98*$AZ98)</f>
        <v>14.3896400552233</v>
      </c>
      <c r="BD98" s="17" t="n">
        <f aca="false">N(BA98)+N(BB98)</f>
        <v>29.5666051326007</v>
      </c>
      <c r="BE98" s="17" t="n">
        <f aca="false">BD98+N($M98)*N(BC98)</f>
        <v>34.3209422068465</v>
      </c>
      <c r="BF98" s="17" t="n">
        <f aca="false">IF(W98="","",W98*$AV98)</f>
        <v>5.31861276367895</v>
      </c>
      <c r="BG98" s="17" t="n">
        <f aca="false">IF(AD98="","",AD98*$AX98)</f>
        <v>4.77263865418075</v>
      </c>
      <c r="BH98" s="17" t="n">
        <f aca="false">IF(AK98="","",AK98*$AZ98)</f>
        <v>5.39219057342095</v>
      </c>
      <c r="BI98" s="17" t="n">
        <f aca="false">IF(BF98="","",N(BF98)+N(BG98))</f>
        <v>10.0912514178597</v>
      </c>
      <c r="BJ98" s="17" t="n">
        <f aca="false">IF(BI98="","",BI98+N($M98)*N(BH98))</f>
        <v>11.872831183318</v>
      </c>
      <c r="BK98" s="13" t="n">
        <f aca="false">IFERROR(BD98/AL98,1)</f>
        <v>1.0293542430523</v>
      </c>
    </row>
    <row r="99" customFormat="false" ht="15" hidden="false" customHeight="false" outlineLevel="0" collapsed="false">
      <c r="A99" s="0" t="s">
        <v>1343</v>
      </c>
      <c r="B99" s="0" t="s">
        <v>988</v>
      </c>
      <c r="C99" s="0" t="s">
        <v>996</v>
      </c>
      <c r="D99" s="0" t="s">
        <v>1000</v>
      </c>
      <c r="E99" s="0" t="s">
        <v>1342</v>
      </c>
      <c r="F99" s="0" t="s">
        <v>1552</v>
      </c>
      <c r="G99" s="0" t="str">
        <f aca="false">IFERROR(IF(INDEX(Matches!$W$5:$W$19,MATCH($C99,Matches!$A$5:$A$19,0))="","",INDEX(Matches!$W$5:$W$19,MATCH($C99,Matches!$A$5:$A$19,0))),"")</f>
        <v>Mirage</v>
      </c>
      <c r="H99" s="0" t="str">
        <f aca="false">IFERROR(IF(INDEX(Matches!$X$5:$X$19,MATCH($C99,Matches!$A$5:$A$19,0))="","",INDEX(Matches!$X$5:$X$19,MATCH($C99,Matches!$A$5:$A$19,0))),"")</f>
        <v>Ancient</v>
      </c>
      <c r="I99" s="0" t="str">
        <f aca="false">IFERROR(IF(INDEX(Matches!$Y$5:$Y$19,MATCH($C99,Matches!$A$5:$A$19,0))="","",INDEX(Matches!$Y$5:$Y$19,MATCH($C99,Matches!$A$5:$A$19,0))),"")</f>
        <v>Cache</v>
      </c>
      <c r="J99" s="11" t="n">
        <f aca="false">IFERROR(IF(INDEX(Matches!$Z$5:$Z$19,MATCH($C99,Matches!$A$5:$A$19,0))="","",INDEX(Matches!$Z$5:$Z$19,MATCH($C99,Matches!$A$5:$A$19,0))),"")</f>
        <v>20.59</v>
      </c>
      <c r="K99" s="11" t="n">
        <f aca="false">IFERROR(IF(INDEX(Matches!$AA$5:$AA$19,MATCH($C99,Matches!$A$5:$A$19,0))="","",INDEX(Matches!$AA$5:$AA$19,MATCH($C99,Matches!$A$5:$A$19,0))),"")</f>
        <v>20.29</v>
      </c>
      <c r="L99" s="11" t="n">
        <f aca="false">IFERROR(IF(INDEX(Matches!$AB$5:$AB$19,MATCH($C99,Matches!$A$5:$A$19,0))="","",INDEX(Matches!$AB$5:$AB$19,MATCH($C99,Matches!$A$5:$A$19,0))),"")</f>
        <v>20.59</v>
      </c>
      <c r="M99" s="10" t="n">
        <f aca="false">IFERROR(IF(INDEX(Matches!$AC$5:$AC$19,MATCH($C99,Matches!$A$5:$A$19,0))="","",INDEX(Matches!$AC$5:$AC$19,MATCH($C99,Matches!$A$5:$A$19,0))),"")</f>
        <v>0.3304</v>
      </c>
      <c r="N99" s="9" t="n">
        <f aca="false">IFERROR(INDEX(Players!$F$2:$F$124,MATCH($F99,Players!$A$2:$A$124,0)),0)</f>
        <v>38</v>
      </c>
      <c r="O99" s="13" t="n">
        <f aca="false">IFERROR(1/(1/INDEX(Players!$H$2:$H$124,MATCH($F99,Players!$A$2:$A$124,0))),"")</f>
        <v>0.67</v>
      </c>
      <c r="P99" s="10" t="n">
        <f aca="false">IFERROR(1/(1/INDEX(Players!$I$2:$I$124,MATCH($F99,Players!$A$2:$A$124,0))),"")</f>
        <v>0.584</v>
      </c>
      <c r="Q99" s="9" t="n">
        <f aca="false">IF($G99="",0,SUMIFS(Map_Stats!$F$2:$F$779,Map_Stats!$A$2:$A$779,$F99&amp;"|"&amp;$G99))</f>
        <v>7</v>
      </c>
      <c r="R99" s="13" t="n">
        <f aca="false">IF($G99="","",IFERROR(1/(1/INDEX(Map_Stats!$K$2:$K$779,MATCH($F99&amp;"|"&amp;$G99,Map_Stats!$A$2:$A$779,0))),$O99))</f>
        <v>0.7</v>
      </c>
      <c r="S99" s="10" t="n">
        <f aca="false">IF(OR($G99="",$P99=""),"",IFERROR(1/(1/INDEX(Map_Stats!$I$2:$I$779,MATCH($F99&amp;"|"&amp;$G99,Map_Stats!$A$2:$A$779,0))),$P99))</f>
        <v>0.56</v>
      </c>
      <c r="T99" s="13" t="n">
        <f aca="false">IF(OR($G99="",R99=""),"",IF($O99="",R99,(Q99*R99+Config!$B$4*$O99)/(Q99+Config!$B$4)))</f>
        <v>0.6875</v>
      </c>
      <c r="U99" s="10" t="n">
        <f aca="false">IF(S99="","",(Q99*S99+Config!$B$4*$P99)/(Q99+Config!$B$4))</f>
        <v>0.57</v>
      </c>
      <c r="V99" s="17" t="n">
        <f aca="false">IF(OR(T99="",$J99=""),"",T99*$J99*($J99/Config!$B$10)^Config!$B$9)</f>
        <v>14.155625</v>
      </c>
      <c r="W99" s="17" t="n">
        <f aca="false">IF(OR(V99="",U99=""),"",V99*U99)</f>
        <v>8.06870625</v>
      </c>
      <c r="X99" s="9" t="n">
        <f aca="false">IF($H99="",0,SUMIFS(Map_Stats!$F$2:$F$779,Map_Stats!$A$2:$A$779,$F99&amp;"|"&amp;$H99))</f>
        <v>7</v>
      </c>
      <c r="Y99" s="13" t="n">
        <f aca="false">IF($H99="","",IFERROR(1/(1/INDEX(Map_Stats!$K$2:$K$779,MATCH($F99&amp;"|"&amp;$H99,Map_Stats!$A$2:$A$779,0))),$O99))</f>
        <v>0.6</v>
      </c>
      <c r="Z99" s="10" t="n">
        <f aca="false">IF(OR($H99="",$P99=""),"",IFERROR(1/(1/INDEX(Map_Stats!$I$2:$I$779,MATCH($F99&amp;"|"&amp;$H99,Map_Stats!$A$2:$A$779,0))),$P99))</f>
        <v>0.554</v>
      </c>
      <c r="AA99" s="13" t="n">
        <f aca="false">IF(OR($H99="",Y99=""),"",IF($O99="",Y99,(X99*Y99+Config!$B$4*$O99)/(X99+Config!$B$4)))</f>
        <v>0.629166666666667</v>
      </c>
      <c r="AB99" s="10" t="n">
        <f aca="false">IF(Z99="","",(X99*Z99+Config!$B$4*$P99)/(X99+Config!$B$4))</f>
        <v>0.5665</v>
      </c>
      <c r="AC99" s="17" t="n">
        <f aca="false">IF(OR(AA99="",$K99=""),"",AA99*$K99*($K99/Config!$B$10)^Config!$B$9)</f>
        <v>12.7657916666667</v>
      </c>
      <c r="AD99" s="17" t="n">
        <f aca="false">IF(OR(AC99="",AB99=""),"",AC99*AB99)</f>
        <v>7.23182097916667</v>
      </c>
      <c r="AE99" s="9" t="n">
        <f aca="false">IF($I99="",0,SUMIFS(Map_Stats!$F$2:$F$779,Map_Stats!$A$2:$A$779,$F99&amp;"|"&amp;$I99))</f>
        <v>6</v>
      </c>
      <c r="AF99" s="13" t="n">
        <f aca="false">IF($I99="","",IFERROR(1/(1/INDEX(Map_Stats!$K$2:$K$779,MATCH($F99&amp;"|"&amp;$I99,Map_Stats!$A$2:$A$779,0))),$O99))</f>
        <v>0.64</v>
      </c>
      <c r="AG99" s="10" t="n">
        <f aca="false">IF(OR($I99="",$P99=""),"",IFERROR(1/(1/INDEX(Map_Stats!$I$2:$I$779,MATCH($F99&amp;"|"&amp;$I99,Map_Stats!$A$2:$A$779,0))),$P99))</f>
        <v>0.608</v>
      </c>
      <c r="AH99" s="13" t="n">
        <f aca="false">IF(OR($I99="",AF99=""),"",IF($O99="",AF99,(AE99*AF99+Config!$B$4*$O99)/(AE99+Config!$B$4)))</f>
        <v>0.653636363636364</v>
      </c>
      <c r="AI99" s="10" t="n">
        <f aca="false">IF(AG99="","",(AE99*AG99+Config!$B$4*$P99)/(AE99+Config!$B$4))</f>
        <v>0.597090909090909</v>
      </c>
      <c r="AJ99" s="17" t="n">
        <f aca="false">IF(OR(AH99="",$L99=""),"",AH99*$L99*($L99/Config!$B$10)^Config!$B$9)</f>
        <v>13.4583727272727</v>
      </c>
      <c r="AK99" s="17" t="n">
        <f aca="false">IF(OR(AJ99="",AI99=""),"",AJ99*AI99)</f>
        <v>8.03587200661157</v>
      </c>
      <c r="AL99" s="17" t="n">
        <f aca="false">N(V99)+N(AC99)</f>
        <v>26.9214166666667</v>
      </c>
      <c r="AM99" s="17" t="n">
        <f aca="false">AL99+N($M99)*N(AJ99)</f>
        <v>31.3680630157576</v>
      </c>
      <c r="AN99" s="17" t="n">
        <f aca="false">IF(W99="","",N(W99)+N(AD99))</f>
        <v>15.3005272291667</v>
      </c>
      <c r="AO99" s="17" t="n">
        <f aca="false">IF(AN99="","",AN99+N($M99)*N(AK99))</f>
        <v>17.9555793401511</v>
      </c>
      <c r="AP99" s="10" t="n">
        <f aca="false">IFERROR(AN99/AL99,"")</f>
        <v>0.568340344737926</v>
      </c>
      <c r="AQ99" s="0" t="str">
        <f aca="false">TRIM(IF($N99&lt;Config!$B$12,"thin sample ("&amp;$N99&amp;" maps) · ","")&amp;IF(AND($G99&lt;&gt;"",Q99=0),"M1 unplayed→overall KPR · ","")&amp;IF(AND($H99&lt;&gt;"",X99=0),"M2 unplayed→overall KPR · ","")&amp;IF($O99="","no PickFinder stats",""))</f>
        <v/>
      </c>
      <c r="AR99" s="0" t="str">
        <f aca="false">IF($C99=Board!$B$2,COUNTIFS($C$2:$C$124,Board!$B$2,$AL$2:$AL$124,"&gt;"&amp;$AL99)+COUNTIFS($C$1:$C98,Board!$B$2,$AL$1:$AL98,$AL99)+1,"")</f>
        <v/>
      </c>
      <c r="AS99" s="0" t="str">
        <f aca="false">IFERROR(IF($D99=INDEX(Matches!$AD$5:$AD$19,MATCH($C99,Matches!$A$5:$A$19,0)),"A",IF($D99=INDEX(Matches!$AE$5:$AE$19,MATCH($C99,Matches!$A$5:$A$19,0)),"B","")),"")</f>
        <v>A</v>
      </c>
      <c r="AT99" s="10" t="n">
        <f aca="false">IF($AS99="","",IFERROR(IF($AS99="A",INDEX(Matches!$AI$5:$AI$19,MATCH($C99,Matches!$A$5:$A$19,0)),INDEX(Matches!$AJ$5:$AJ$19,MATCH($C99,Matches!$A$5:$A$19,0))),""))</f>
        <v>0.552265391940194</v>
      </c>
      <c r="AU99" s="10" t="n">
        <f aca="false">IF($AS99="","",IFERROR(IF(INDEX(Matches!$AP$5:$AP$19,MATCH($C99,Matches!$A$5:$A$19,0))="","",IF($AS99="A",INDEX(Matches!$AP$5:$AP$19,MATCH($C99,Matches!$A$5:$A$19,0)),1-INDEX(Matches!$AP$5:$AP$19,MATCH($C99,Matches!$A$5:$A$19,0)))),""))</f>
        <v>0.597234841910751</v>
      </c>
      <c r="AV99" s="13" t="n">
        <f aca="false">IF(OR($AU99="",$AT99=""),1,((Config!$B$14*$AU99+Config!$B$15*(1-$AU99))/(Config!$B$14*$AT99+Config!$B$15*(1-$AT99)))^Config!$B$13)</f>
        <v>1.0383923422251</v>
      </c>
      <c r="AW99" s="10" t="n">
        <f aca="false">IF($AS99="","",IFERROR(IF(INDEX(Matches!$AV$5:$AV$19,MATCH($C99,Matches!$A$5:$A$19,0))="","",IF($AS99="A",INDEX(Matches!$AV$5:$AV$19,MATCH($C99,Matches!$A$5:$A$19,0)),1-INDEX(Matches!$AV$5:$AV$19,MATCH($C99,Matches!$A$5:$A$19,0)))),""))</f>
        <v>0.575356517709449</v>
      </c>
      <c r="AX99" s="13" t="n">
        <f aca="false">IF(OR($AW99="",$AT99=""),1,((Config!$B$14*$AW99+Config!$B$15*(1-$AW99))/(Config!$B$14*$AT99+Config!$B$15*(1-$AT99)))^Config!$B$13)</f>
        <v>1.01971388139007</v>
      </c>
      <c r="AY99" s="10" t="n">
        <f aca="false">IF($AS99="","",IFERROR(IF(INDEX(Matches!$BB$5:$BB$19,MATCH($C99,Matches!$A$5:$A$19,0))="","",IF($AS99="A",INDEX(Matches!$BB$5:$BB$19,MATCH($C99,Matches!$A$5:$A$19,0)),1-INDEX(Matches!$BB$5:$BB$19,MATCH($C99,Matches!$A$5:$A$19,0)))),""))</f>
        <v>0.572022806193861</v>
      </c>
      <c r="AZ99" s="13" t="n">
        <f aca="false">IF(OR($AY99="",$AT99=""),1,((Config!$B$14*$AY99+Config!$B$15*(1-$AY99))/(Config!$B$14*$AT99+Config!$B$15*(1-$AT99)))^Config!$B$13)</f>
        <v>1.01686774932774</v>
      </c>
      <c r="BA99" s="17" t="n">
        <f aca="false">IF(V99="","",V99*$AV99)</f>
        <v>14.6990925994102</v>
      </c>
      <c r="BB99" s="17" t="n">
        <f aca="false">IF(AC99="","",AC99*$AX99)</f>
        <v>13.0174549694336</v>
      </c>
      <c r="BC99" s="17" t="n">
        <f aca="false">IF(AJ99="","",AJ99*$AZ99)</f>
        <v>13.6853851847957</v>
      </c>
      <c r="BD99" s="17" t="n">
        <f aca="false">N(BA99)+N(BB99)</f>
        <v>27.7165475688438</v>
      </c>
      <c r="BE99" s="17" t="n">
        <f aca="false">BD99+N($M99)*N(BC99)</f>
        <v>32.2381988339003</v>
      </c>
      <c r="BF99" s="17" t="n">
        <f aca="false">IF(W99="","",W99*$AV99)</f>
        <v>8.37848278166381</v>
      </c>
      <c r="BG99" s="17" t="n">
        <f aca="false">IF(AD99="","",AD99*$AX99)</f>
        <v>7.37438824018415</v>
      </c>
      <c r="BH99" s="17" t="n">
        <f aca="false">IF(AK99="","",AK99*$AZ99)</f>
        <v>8.17141908124893</v>
      </c>
      <c r="BI99" s="17" t="n">
        <f aca="false">IF(BF99="","",N(BF99)+N(BG99))</f>
        <v>15.752871021848</v>
      </c>
      <c r="BJ99" s="17" t="n">
        <f aca="false">IF(BI99="","",BI99+N($M99)*N(BH99))</f>
        <v>18.4527078862926</v>
      </c>
      <c r="BK99" s="13" t="n">
        <f aca="false">IFERROR(BD99/AL99,1)</f>
        <v>1.02953525485015</v>
      </c>
    </row>
    <row r="100" customFormat="false" ht="15" hidden="false" customHeight="false" outlineLevel="0" collapsed="false">
      <c r="A100" s="0" t="s">
        <v>1345</v>
      </c>
      <c r="B100" s="0" t="s">
        <v>988</v>
      </c>
      <c r="C100" s="0" t="s">
        <v>996</v>
      </c>
      <c r="D100" s="0" t="s">
        <v>1000</v>
      </c>
      <c r="E100" s="0" t="s">
        <v>1344</v>
      </c>
      <c r="F100" s="0" t="s">
        <v>1553</v>
      </c>
      <c r="G100" s="0" t="str">
        <f aca="false">IFERROR(IF(INDEX(Matches!$W$5:$W$19,MATCH($C100,Matches!$A$5:$A$19,0))="","",INDEX(Matches!$W$5:$W$19,MATCH($C100,Matches!$A$5:$A$19,0))),"")</f>
        <v>Mirage</v>
      </c>
      <c r="H100" s="0" t="str">
        <f aca="false">IFERROR(IF(INDEX(Matches!$X$5:$X$19,MATCH($C100,Matches!$A$5:$A$19,0))="","",INDEX(Matches!$X$5:$X$19,MATCH($C100,Matches!$A$5:$A$19,0))),"")</f>
        <v>Ancient</v>
      </c>
      <c r="I100" s="0" t="str">
        <f aca="false">IFERROR(IF(INDEX(Matches!$Y$5:$Y$19,MATCH($C100,Matches!$A$5:$A$19,0))="","",INDEX(Matches!$Y$5:$Y$19,MATCH($C100,Matches!$A$5:$A$19,0))),"")</f>
        <v>Cache</v>
      </c>
      <c r="J100" s="11" t="n">
        <f aca="false">IFERROR(IF(INDEX(Matches!$Z$5:$Z$19,MATCH($C100,Matches!$A$5:$A$19,0))="","",INDEX(Matches!$Z$5:$Z$19,MATCH($C100,Matches!$A$5:$A$19,0))),"")</f>
        <v>20.59</v>
      </c>
      <c r="K100" s="11" t="n">
        <f aca="false">IFERROR(IF(INDEX(Matches!$AA$5:$AA$19,MATCH($C100,Matches!$A$5:$A$19,0))="","",INDEX(Matches!$AA$5:$AA$19,MATCH($C100,Matches!$A$5:$A$19,0))),"")</f>
        <v>20.29</v>
      </c>
      <c r="L100" s="11" t="n">
        <f aca="false">IFERROR(IF(INDEX(Matches!$AB$5:$AB$19,MATCH($C100,Matches!$A$5:$A$19,0))="","",INDEX(Matches!$AB$5:$AB$19,MATCH($C100,Matches!$A$5:$A$19,0))),"")</f>
        <v>20.59</v>
      </c>
      <c r="M100" s="10" t="n">
        <f aca="false">IFERROR(IF(INDEX(Matches!$AC$5:$AC$19,MATCH($C100,Matches!$A$5:$A$19,0))="","",INDEX(Matches!$AC$5:$AC$19,MATCH($C100,Matches!$A$5:$A$19,0))),"")</f>
        <v>0.3304</v>
      </c>
      <c r="N100" s="9" t="n">
        <f aca="false">IFERROR(INDEX(Players!$F$2:$F$124,MATCH($F100,Players!$A$2:$A$124,0)),0)</f>
        <v>38</v>
      </c>
      <c r="O100" s="13" t="n">
        <f aca="false">IFERROR(1/(1/INDEX(Players!$H$2:$H$124,MATCH($F100,Players!$A$2:$A$124,0))),"")</f>
        <v>0.6</v>
      </c>
      <c r="P100" s="10" t="n">
        <f aca="false">IFERROR(1/(1/INDEX(Players!$I$2:$I$124,MATCH($F100,Players!$A$2:$A$124,0))),"")</f>
        <v>0.388</v>
      </c>
      <c r="Q100" s="9" t="n">
        <f aca="false">IF($G100="",0,SUMIFS(Map_Stats!$F$2:$F$779,Map_Stats!$A$2:$A$779,$F100&amp;"|"&amp;$G100))</f>
        <v>7</v>
      </c>
      <c r="R100" s="13" t="n">
        <f aca="false">IF($G100="","",IFERROR(1/(1/INDEX(Map_Stats!$K$2:$K$779,MATCH($F100&amp;"|"&amp;$G100,Map_Stats!$A$2:$A$779,0))),$O100))</f>
        <v>0.66</v>
      </c>
      <c r="S100" s="10" t="n">
        <f aca="false">IF(OR($G100="",$P100=""),"",IFERROR(1/(1/INDEX(Map_Stats!$I$2:$I$779,MATCH($F100&amp;"|"&amp;$G100,Map_Stats!$A$2:$A$779,0))),$P100))</f>
        <v>0.379</v>
      </c>
      <c r="T100" s="13" t="n">
        <f aca="false">IF(OR($G100="",R100=""),"",IF($O100="",R100,(Q100*R100+Config!$B$4*$O100)/(Q100+Config!$B$4)))</f>
        <v>0.635</v>
      </c>
      <c r="U100" s="10" t="n">
        <f aca="false">IF(S100="","",(Q100*S100+Config!$B$4*$P100)/(Q100+Config!$B$4))</f>
        <v>0.38275</v>
      </c>
      <c r="V100" s="17" t="n">
        <f aca="false">IF(OR(T100="",$J100=""),"",T100*$J100*($J100/Config!$B$10)^Config!$B$9)</f>
        <v>13.07465</v>
      </c>
      <c r="W100" s="17" t="n">
        <f aca="false">IF(OR(V100="",U100=""),"",V100*U100)</f>
        <v>5.0043222875</v>
      </c>
      <c r="X100" s="9" t="n">
        <f aca="false">IF($H100="",0,SUMIFS(Map_Stats!$F$2:$F$779,Map_Stats!$A$2:$A$779,$F100&amp;"|"&amp;$H100))</f>
        <v>7</v>
      </c>
      <c r="Y100" s="13" t="n">
        <f aca="false">IF($H100="","",IFERROR(1/(1/INDEX(Map_Stats!$K$2:$K$779,MATCH($F100&amp;"|"&amp;$H100,Map_Stats!$A$2:$A$779,0))),$O100))</f>
        <v>0.62</v>
      </c>
      <c r="Z100" s="10" t="n">
        <f aca="false">IF(OR($H100="",$P100=""),"",IFERROR(1/(1/INDEX(Map_Stats!$I$2:$I$779,MATCH($F100&amp;"|"&amp;$H100,Map_Stats!$A$2:$A$779,0))),$P100))</f>
        <v>0.417</v>
      </c>
      <c r="AA100" s="13" t="n">
        <f aca="false">IF(OR($H100="",Y100=""),"",IF($O100="",Y100,(X100*Y100+Config!$B$4*$O100)/(X100+Config!$B$4)))</f>
        <v>0.611666666666667</v>
      </c>
      <c r="AB100" s="10" t="n">
        <f aca="false">IF(Z100="","",(X100*Z100+Config!$B$4*$P100)/(X100+Config!$B$4))</f>
        <v>0.404916666666667</v>
      </c>
      <c r="AC100" s="17" t="n">
        <f aca="false">IF(OR(AA100="",$K100=""),"",AA100*$K100*($K100/Config!$B$10)^Config!$B$9)</f>
        <v>12.4107166666667</v>
      </c>
      <c r="AD100" s="17" t="n">
        <f aca="false">IF(OR(AC100="",AB100=""),"",AC100*AB100)</f>
        <v>5.02530602361111</v>
      </c>
      <c r="AE100" s="9" t="n">
        <f aca="false">IF($I100="",0,SUMIFS(Map_Stats!$F$2:$F$779,Map_Stats!$A$2:$A$779,$F100&amp;"|"&amp;$I100))</f>
        <v>6</v>
      </c>
      <c r="AF100" s="13" t="n">
        <f aca="false">IF($I100="","",IFERROR(1/(1/INDEX(Map_Stats!$K$2:$K$779,MATCH($F100&amp;"|"&amp;$I100,Map_Stats!$A$2:$A$779,0))),$O100))</f>
        <v>0.53</v>
      </c>
      <c r="AG100" s="10" t="n">
        <f aca="false">IF(OR($I100="",$P100=""),"",IFERROR(1/(1/INDEX(Map_Stats!$I$2:$I$779,MATCH($F100&amp;"|"&amp;$I100,Map_Stats!$A$2:$A$779,0))),$P100))</f>
        <v>0.455</v>
      </c>
      <c r="AH100" s="13" t="n">
        <f aca="false">IF(OR($I100="",AF100=""),"",IF($O100="",AF100,(AE100*AF100+Config!$B$4*$O100)/(AE100+Config!$B$4)))</f>
        <v>0.561818181818182</v>
      </c>
      <c r="AI100" s="10" t="n">
        <f aca="false">IF(AG100="","",(AE100*AG100+Config!$B$4*$P100)/(AE100+Config!$B$4))</f>
        <v>0.424545454545455</v>
      </c>
      <c r="AJ100" s="17" t="n">
        <f aca="false">IF(OR(AH100="",$L100=""),"",AH100*$L100*($L100/Config!$B$10)^Config!$B$9)</f>
        <v>11.5678363636364</v>
      </c>
      <c r="AK100" s="17" t="n">
        <f aca="false">IF(OR(AJ100="",AI100=""),"",AJ100*AI100)</f>
        <v>4.91107234710744</v>
      </c>
      <c r="AL100" s="17" t="n">
        <f aca="false">N(V100)+N(AC100)</f>
        <v>25.4853666666667</v>
      </c>
      <c r="AM100" s="17" t="n">
        <f aca="false">AL100+N($M100)*N(AJ100)</f>
        <v>29.3073798012121</v>
      </c>
      <c r="AN100" s="17" t="n">
        <f aca="false">IF(W100="","",N(W100)+N(AD100))</f>
        <v>10.0296283111111</v>
      </c>
      <c r="AO100" s="17" t="n">
        <f aca="false">IF(AN100="","",AN100+N($M100)*N(AK100))</f>
        <v>11.6522466145954</v>
      </c>
      <c r="AP100" s="10" t="n">
        <f aca="false">IFERROR(AN100/AL100,"")</f>
        <v>0.39354459530807</v>
      </c>
      <c r="AQ100" s="0" t="str">
        <f aca="false">TRIM(IF($N100&lt;Config!$B$12,"thin sample ("&amp;$N100&amp;" maps) · ","")&amp;IF(AND($G100&lt;&gt;"",Q100=0),"M1 unplayed→overall KPR · ","")&amp;IF(AND($H100&lt;&gt;"",X100=0),"M2 unplayed→overall KPR · ","")&amp;IF($O100="","no PickFinder stats",""))</f>
        <v/>
      </c>
      <c r="AR100" s="0" t="str">
        <f aca="false">IF($C100=Board!$B$2,COUNTIFS($C$2:$C$124,Board!$B$2,$AL$2:$AL$124,"&gt;"&amp;$AL100)+COUNTIFS($C$1:$C99,Board!$B$2,$AL$1:$AL99,$AL100)+1,"")</f>
        <v/>
      </c>
      <c r="AS100" s="0" t="str">
        <f aca="false">IFERROR(IF($D100=INDEX(Matches!$AD$5:$AD$19,MATCH($C100,Matches!$A$5:$A$19,0)),"A",IF($D100=INDEX(Matches!$AE$5:$AE$19,MATCH($C100,Matches!$A$5:$A$19,0)),"B","")),"")</f>
        <v>A</v>
      </c>
      <c r="AT100" s="10" t="n">
        <f aca="false">IF($AS100="","",IFERROR(IF($AS100="A",INDEX(Matches!$AI$5:$AI$19,MATCH($C100,Matches!$A$5:$A$19,0)),INDEX(Matches!$AJ$5:$AJ$19,MATCH($C100,Matches!$A$5:$A$19,0))),""))</f>
        <v>0.552265391940194</v>
      </c>
      <c r="AU100" s="10" t="n">
        <f aca="false">IF($AS100="","",IFERROR(IF(INDEX(Matches!$AP$5:$AP$19,MATCH($C100,Matches!$A$5:$A$19,0))="","",IF($AS100="A",INDEX(Matches!$AP$5:$AP$19,MATCH($C100,Matches!$A$5:$A$19,0)),1-INDEX(Matches!$AP$5:$AP$19,MATCH($C100,Matches!$A$5:$A$19,0)))),""))</f>
        <v>0.597234841910751</v>
      </c>
      <c r="AV100" s="13" t="n">
        <f aca="false">IF(OR($AU100="",$AT100=""),1,((Config!$B$14*$AU100+Config!$B$15*(1-$AU100))/(Config!$B$14*$AT100+Config!$B$15*(1-$AT100)))^Config!$B$13)</f>
        <v>1.0383923422251</v>
      </c>
      <c r="AW100" s="10" t="n">
        <f aca="false">IF($AS100="","",IFERROR(IF(INDEX(Matches!$AV$5:$AV$19,MATCH($C100,Matches!$A$5:$A$19,0))="","",IF($AS100="A",INDEX(Matches!$AV$5:$AV$19,MATCH($C100,Matches!$A$5:$A$19,0)),1-INDEX(Matches!$AV$5:$AV$19,MATCH($C100,Matches!$A$5:$A$19,0)))),""))</f>
        <v>0.575356517709449</v>
      </c>
      <c r="AX100" s="13" t="n">
        <f aca="false">IF(OR($AW100="",$AT100=""),1,((Config!$B$14*$AW100+Config!$B$15*(1-$AW100))/(Config!$B$14*$AT100+Config!$B$15*(1-$AT100)))^Config!$B$13)</f>
        <v>1.01971388139007</v>
      </c>
      <c r="AY100" s="10" t="n">
        <f aca="false">IF($AS100="","",IFERROR(IF(INDEX(Matches!$BB$5:$BB$19,MATCH($C100,Matches!$A$5:$A$19,0))="","",IF($AS100="A",INDEX(Matches!$BB$5:$BB$19,MATCH($C100,Matches!$A$5:$A$19,0)),1-INDEX(Matches!$BB$5:$BB$19,MATCH($C100,Matches!$A$5:$A$19,0)))),""))</f>
        <v>0.572022806193861</v>
      </c>
      <c r="AZ100" s="13" t="n">
        <f aca="false">IF(OR($AY100="",$AT100=""),1,((Config!$B$14*$AY100+Config!$B$15*(1-$AY100))/(Config!$B$14*$AT100+Config!$B$15*(1-$AT100)))^Config!$B$13)</f>
        <v>1.01686774932774</v>
      </c>
      <c r="BA100" s="17" t="n">
        <f aca="false">IF(V100="","",V100*$AV100)</f>
        <v>13.5766164372734</v>
      </c>
      <c r="BB100" s="17" t="n">
        <f aca="false">IF(AC100="","",AC100*$AX100)</f>
        <v>12.6553800629991</v>
      </c>
      <c r="BC100" s="17" t="n">
        <f aca="false">IF(AJ100="","",AJ100*$AZ100)</f>
        <v>11.7629597276825</v>
      </c>
      <c r="BD100" s="17" t="n">
        <f aca="false">N(BA100)+N(BB100)</f>
        <v>26.2319965002725</v>
      </c>
      <c r="BE100" s="17" t="n">
        <f aca="false">BD100+N($M100)*N(BC100)</f>
        <v>30.1184783942988</v>
      </c>
      <c r="BF100" s="17" t="n">
        <f aca="false">IF(W100="","",W100*$AV100)</f>
        <v>5.1964499413664</v>
      </c>
      <c r="BG100" s="17" t="n">
        <f aca="false">IF(AD100="","",AD100*$AX100)</f>
        <v>5.12437431050937</v>
      </c>
      <c r="BH100" s="17" t="n">
        <f aca="false">IF(AK100="","",AK100*$AZ100)</f>
        <v>4.99391108438886</v>
      </c>
      <c r="BI100" s="17" t="n">
        <f aca="false">IF(BF100="","",N(BF100)+N(BG100))</f>
        <v>10.3208242518758</v>
      </c>
      <c r="BJ100" s="17" t="n">
        <f aca="false">IF(BI100="","",BI100+N($M100)*N(BH100))</f>
        <v>11.9708124741578</v>
      </c>
      <c r="BK100" s="13" t="n">
        <f aca="false">IFERROR(BD100/AL100,1)</f>
        <v>1.02929641324652</v>
      </c>
    </row>
    <row r="101" customFormat="false" ht="15" hidden="false" customHeight="false" outlineLevel="0" collapsed="false">
      <c r="A101" s="0" t="s">
        <v>1347</v>
      </c>
      <c r="B101" s="0" t="s">
        <v>988</v>
      </c>
      <c r="C101" s="0" t="s">
        <v>996</v>
      </c>
      <c r="D101" s="0" t="s">
        <v>1001</v>
      </c>
      <c r="E101" s="0" t="s">
        <v>1346</v>
      </c>
      <c r="F101" s="0" t="s">
        <v>1554</v>
      </c>
      <c r="G101" s="0" t="str">
        <f aca="false">IFERROR(IF(INDEX(Matches!$W$5:$W$19,MATCH($C101,Matches!$A$5:$A$19,0))="","",INDEX(Matches!$W$5:$W$19,MATCH($C101,Matches!$A$5:$A$19,0))),"")</f>
        <v>Mirage</v>
      </c>
      <c r="H101" s="0" t="str">
        <f aca="false">IFERROR(IF(INDEX(Matches!$X$5:$X$19,MATCH($C101,Matches!$A$5:$A$19,0))="","",INDEX(Matches!$X$5:$X$19,MATCH($C101,Matches!$A$5:$A$19,0))),"")</f>
        <v>Ancient</v>
      </c>
      <c r="I101" s="0" t="str">
        <f aca="false">IFERROR(IF(INDEX(Matches!$Y$5:$Y$19,MATCH($C101,Matches!$A$5:$A$19,0))="","",INDEX(Matches!$Y$5:$Y$19,MATCH($C101,Matches!$A$5:$A$19,0))),"")</f>
        <v>Cache</v>
      </c>
      <c r="J101" s="11" t="n">
        <f aca="false">IFERROR(IF(INDEX(Matches!$Z$5:$Z$19,MATCH($C101,Matches!$A$5:$A$19,0))="","",INDEX(Matches!$Z$5:$Z$19,MATCH($C101,Matches!$A$5:$A$19,0))),"")</f>
        <v>20.59</v>
      </c>
      <c r="K101" s="11" t="n">
        <f aca="false">IFERROR(IF(INDEX(Matches!$AA$5:$AA$19,MATCH($C101,Matches!$A$5:$A$19,0))="","",INDEX(Matches!$AA$5:$AA$19,MATCH($C101,Matches!$A$5:$A$19,0))),"")</f>
        <v>20.29</v>
      </c>
      <c r="L101" s="11" t="n">
        <f aca="false">IFERROR(IF(INDEX(Matches!$AB$5:$AB$19,MATCH($C101,Matches!$A$5:$A$19,0))="","",INDEX(Matches!$AB$5:$AB$19,MATCH($C101,Matches!$A$5:$A$19,0))),"")</f>
        <v>20.59</v>
      </c>
      <c r="M101" s="10" t="n">
        <f aca="false">IFERROR(IF(INDEX(Matches!$AC$5:$AC$19,MATCH($C101,Matches!$A$5:$A$19,0))="","",INDEX(Matches!$AC$5:$AC$19,MATCH($C101,Matches!$A$5:$A$19,0))),"")</f>
        <v>0.3304</v>
      </c>
      <c r="N101" s="9" t="n">
        <f aca="false">IFERROR(INDEX(Players!$F$2:$F$124,MATCH($F101,Players!$A$2:$A$124,0)),0)</f>
        <v>32</v>
      </c>
      <c r="O101" s="13" t="n">
        <f aca="false">IFERROR(1/(1/INDEX(Players!$H$2:$H$124,MATCH($F101,Players!$A$2:$A$124,0))),"")</f>
        <v>0.74</v>
      </c>
      <c r="P101" s="10" t="n">
        <f aca="false">IFERROR(1/(1/INDEX(Players!$I$2:$I$124,MATCH($F101,Players!$A$2:$A$124,0))),"")</f>
        <v>0.631</v>
      </c>
      <c r="Q101" s="9" t="n">
        <f aca="false">IF($G101="",0,SUMIFS(Map_Stats!$F$2:$F$779,Map_Stats!$A$2:$A$779,$F101&amp;"|"&amp;$G101))</f>
        <v>9</v>
      </c>
      <c r="R101" s="13" t="n">
        <f aca="false">IF($G101="","",IFERROR(1/(1/INDEX(Map_Stats!$K$2:$K$779,MATCH($F101&amp;"|"&amp;$G101,Map_Stats!$A$2:$A$779,0))),$O101))</f>
        <v>0.76</v>
      </c>
      <c r="S101" s="10" t="n">
        <f aca="false">IF(OR($G101="",$P101=""),"",IFERROR(1/(1/INDEX(Map_Stats!$I$2:$I$779,MATCH($F101&amp;"|"&amp;$G101,Map_Stats!$A$2:$A$779,0))),$P101))</f>
        <v>0.585</v>
      </c>
      <c r="T101" s="13" t="n">
        <f aca="false">IF(OR($G101="",R101=""),"",IF($O101="",R101,(Q101*R101+Config!$B$4*$O101)/(Q101+Config!$B$4)))</f>
        <v>0.752857142857143</v>
      </c>
      <c r="U101" s="10" t="n">
        <f aca="false">IF(S101="","",(Q101*S101+Config!$B$4*$P101)/(Q101+Config!$B$4))</f>
        <v>0.601428571428571</v>
      </c>
      <c r="V101" s="17" t="n">
        <f aca="false">IF(OR(T101="",$J101=""),"",T101*$J101*($J101/Config!$B$10)^Config!$B$9)</f>
        <v>15.5013285714286</v>
      </c>
      <c r="W101" s="17" t="n">
        <f aca="false">IF(OR(V101="",U101=""),"",V101*U101)</f>
        <v>9.32294189795918</v>
      </c>
      <c r="X101" s="9" t="n">
        <f aca="false">IF($H101="",0,SUMIFS(Map_Stats!$F$2:$F$779,Map_Stats!$A$2:$A$779,$F101&amp;"|"&amp;$H101))</f>
        <v>7</v>
      </c>
      <c r="Y101" s="13" t="n">
        <f aca="false">IF($H101="","",IFERROR(1/(1/INDEX(Map_Stats!$K$2:$K$779,MATCH($F101&amp;"|"&amp;$H101,Map_Stats!$A$2:$A$779,0))),$O101))</f>
        <v>0.75</v>
      </c>
      <c r="Z101" s="10" t="n">
        <f aca="false">IF(OR($H101="",$P101=""),"",IFERROR(1/(1/INDEX(Map_Stats!$I$2:$I$779,MATCH($F101&amp;"|"&amp;$H101,Map_Stats!$A$2:$A$779,0))),$P101))</f>
        <v>0.6</v>
      </c>
      <c r="AA101" s="13" t="n">
        <f aca="false">IF(OR($H101="",Y101=""),"",IF($O101="",Y101,(X101*Y101+Config!$B$4*$O101)/(X101+Config!$B$4)))</f>
        <v>0.745833333333333</v>
      </c>
      <c r="AB101" s="10" t="n">
        <f aca="false">IF(Z101="","",(X101*Z101+Config!$B$4*$P101)/(X101+Config!$B$4))</f>
        <v>0.612916666666667</v>
      </c>
      <c r="AC101" s="17" t="n">
        <f aca="false">IF(OR(AA101="",$K101=""),"",AA101*$K101*($K101/Config!$B$10)^Config!$B$9)</f>
        <v>15.1329583333333</v>
      </c>
      <c r="AD101" s="17" t="n">
        <f aca="false">IF(OR(AC101="",AB101=""),"",AC101*AB101)</f>
        <v>9.27524237847222</v>
      </c>
      <c r="AE101" s="9" t="n">
        <f aca="false">IF($I101="",0,SUMIFS(Map_Stats!$F$2:$F$779,Map_Stats!$A$2:$A$779,$F101&amp;"|"&amp;$I101))</f>
        <v>4</v>
      </c>
      <c r="AF101" s="13" t="n">
        <f aca="false">IF($I101="","",IFERROR(1/(1/INDEX(Map_Stats!$K$2:$K$779,MATCH($F101&amp;"|"&amp;$I101,Map_Stats!$A$2:$A$779,0))),$O101))</f>
        <v>0.88</v>
      </c>
      <c r="AG101" s="10" t="n">
        <f aca="false">IF(OR($I101="",$P101=""),"",IFERROR(1/(1/INDEX(Map_Stats!$I$2:$I$779,MATCH($F101&amp;"|"&amp;$I101,Map_Stats!$A$2:$A$779,0))),$P101))</f>
        <v>0.697</v>
      </c>
      <c r="AH101" s="13" t="n">
        <f aca="false">IF(OR($I101="",AF101=""),"",IF($O101="",AF101,(AE101*AF101+Config!$B$4*$O101)/(AE101+Config!$B$4)))</f>
        <v>0.802222222222222</v>
      </c>
      <c r="AI101" s="10" t="n">
        <f aca="false">IF(AG101="","",(AE101*AG101+Config!$B$4*$P101)/(AE101+Config!$B$4))</f>
        <v>0.660333333333333</v>
      </c>
      <c r="AJ101" s="17" t="n">
        <f aca="false">IF(OR(AH101="",$L101=""),"",AH101*$L101*($L101/Config!$B$10)^Config!$B$9)</f>
        <v>16.5177555555556</v>
      </c>
      <c r="AK101" s="17" t="n">
        <f aca="false">IF(OR(AJ101="",AI101=""),"",AJ101*AI101)</f>
        <v>10.9072245851852</v>
      </c>
      <c r="AL101" s="17" t="n">
        <f aca="false">N(V101)+N(AC101)</f>
        <v>30.6342869047619</v>
      </c>
      <c r="AM101" s="17" t="n">
        <f aca="false">AL101+N($M101)*N(AJ101)</f>
        <v>36.0917533403175</v>
      </c>
      <c r="AN101" s="17" t="n">
        <f aca="false">IF(W101="","",N(W101)+N(AD101))</f>
        <v>18.5981842764314</v>
      </c>
      <c r="AO101" s="17" t="n">
        <f aca="false">IF(AN101="","",AN101+N($M101)*N(AK101))</f>
        <v>22.2019312793766</v>
      </c>
      <c r="AP101" s="10" t="n">
        <f aca="false">IFERROR(AN101/AL101,"")</f>
        <v>0.60710354819914</v>
      </c>
      <c r="AQ101" s="0" t="str">
        <f aca="false">TRIM(IF($N101&lt;Config!$B$12,"thin sample ("&amp;$N101&amp;" maps) · ","")&amp;IF(AND($G101&lt;&gt;"",Q101=0),"M1 unplayed→overall KPR · ","")&amp;IF(AND($H101&lt;&gt;"",X101=0),"M2 unplayed→overall KPR · ","")&amp;IF($O101="","no PickFinder stats",""))</f>
        <v/>
      </c>
      <c r="AR101" s="0" t="str">
        <f aca="false">IF($C101=Board!$B$2,COUNTIFS($C$2:$C$124,Board!$B$2,$AL$2:$AL$124,"&gt;"&amp;$AL101)+COUNTIFS($C$1:$C100,Board!$B$2,$AL$1:$AL100,$AL101)+1,"")</f>
        <v/>
      </c>
      <c r="AS101" s="0" t="str">
        <f aca="false">IFERROR(IF($D101=INDEX(Matches!$AD$5:$AD$19,MATCH($C101,Matches!$A$5:$A$19,0)),"A",IF($D101=INDEX(Matches!$AE$5:$AE$19,MATCH($C101,Matches!$A$5:$A$19,0)),"B","")),"")</f>
        <v>B</v>
      </c>
      <c r="AT101" s="10" t="n">
        <f aca="false">IF($AS101="","",IFERROR(IF($AS101="A",INDEX(Matches!$AI$5:$AI$19,MATCH($C101,Matches!$A$5:$A$19,0)),INDEX(Matches!$AJ$5:$AJ$19,MATCH($C101,Matches!$A$5:$A$19,0))),""))</f>
        <v>0.518492509363296</v>
      </c>
      <c r="AU101" s="10" t="n">
        <f aca="false">IF($AS101="","",IFERROR(IF(INDEX(Matches!$AP$5:$AP$19,MATCH($C101,Matches!$A$5:$A$19,0))="","",IF($AS101="A",INDEX(Matches!$AP$5:$AP$19,MATCH($C101,Matches!$A$5:$A$19,0)),1-INDEX(Matches!$AP$5:$AP$19,MATCH($C101,Matches!$A$5:$A$19,0)))),""))</f>
        <v>0.402765158089249</v>
      </c>
      <c r="AV101" s="13" t="n">
        <f aca="false">IF(OR($AU101="",$AT101=""),1,((Config!$B$14*$AU101+Config!$B$15*(1-$AU101))/(Config!$B$14*$AT101+Config!$B$15*(1-$AT101)))^Config!$B$13)</f>
        <v>0.89826525817976</v>
      </c>
      <c r="AW101" s="10" t="n">
        <f aca="false">IF($AS101="","",IFERROR(IF(INDEX(Matches!$AV$5:$AV$19,MATCH($C101,Matches!$A$5:$A$19,0))="","",IF($AS101="A",INDEX(Matches!$AV$5:$AV$19,MATCH($C101,Matches!$A$5:$A$19,0)),1-INDEX(Matches!$AV$5:$AV$19,MATCH($C101,Matches!$A$5:$A$19,0)))),""))</f>
        <v>0.424643482290551</v>
      </c>
      <c r="AX101" s="13" t="n">
        <f aca="false">IF(OR($AW101="",$AT101=""),1,((Config!$B$14*$AW101+Config!$B$15*(1-$AW101))/(Config!$B$14*$AT101+Config!$B$15*(1-$AT101)))^Config!$B$13)</f>
        <v>0.917498271288375</v>
      </c>
      <c r="AY101" s="10" t="n">
        <f aca="false">IF($AS101="","",IFERROR(IF(INDEX(Matches!$BB$5:$BB$19,MATCH($C101,Matches!$A$5:$A$19,0))="","",IF($AS101="A",INDEX(Matches!$BB$5:$BB$19,MATCH($C101,Matches!$A$5:$A$19,0)),1-INDEX(Matches!$BB$5:$BB$19,MATCH($C101,Matches!$A$5:$A$19,0)))),""))</f>
        <v>0.427977193806139</v>
      </c>
      <c r="AZ101" s="13" t="n">
        <f aca="false">IF(OR($AY101="",$AT101=""),1,((Config!$B$14*$AY101+Config!$B$15*(1-$AY101))/(Config!$B$14*$AT101+Config!$B$15*(1-$AT101)))^Config!$B$13)</f>
        <v>0.920428903300666</v>
      </c>
      <c r="BA101" s="17" t="n">
        <f aca="false">IF(V101="","",V101*$AV101)</f>
        <v>13.9243049113436</v>
      </c>
      <c r="BB101" s="17" t="n">
        <f aca="false">IF(AC101="","",AC101*$AX101)</f>
        <v>13.8844631103123</v>
      </c>
      <c r="BC101" s="17" t="n">
        <f aca="false">IF(AJ101="","",AJ101*$AZ101)</f>
        <v>15.2034196309885</v>
      </c>
      <c r="BD101" s="17" t="n">
        <f aca="false">N(BA101)+N(BB101)</f>
        <v>27.8087680216559</v>
      </c>
      <c r="BE101" s="17" t="n">
        <f aca="false">BD101+N($M101)*N(BC101)</f>
        <v>32.8319778677345</v>
      </c>
      <c r="BF101" s="17" t="n">
        <f aca="false">IF(W101="","",W101*$AV101)</f>
        <v>8.37447481096521</v>
      </c>
      <c r="BG101" s="17" t="n">
        <f aca="false">IF(AD101="","",AD101*$AX101)</f>
        <v>8.51001884802894</v>
      </c>
      <c r="BH101" s="17" t="n">
        <f aca="false">IF(AK101="","",AK101*$AZ101)</f>
        <v>10.0393247629961</v>
      </c>
      <c r="BI101" s="17" t="n">
        <f aca="false">IF(BF101="","",N(BF101)+N(BG101))</f>
        <v>16.8844936589941</v>
      </c>
      <c r="BJ101" s="17" t="n">
        <f aca="false">IF(BI101="","",BI101+N($M101)*N(BH101))</f>
        <v>20.201486560688</v>
      </c>
      <c r="BK101" s="13" t="n">
        <f aca="false">IFERROR(BD101/AL101,1)</f>
        <v>0.907766128459586</v>
      </c>
    </row>
    <row r="102" customFormat="false" ht="15" hidden="false" customHeight="false" outlineLevel="0" collapsed="false">
      <c r="A102" s="0" t="s">
        <v>1349</v>
      </c>
      <c r="B102" s="0" t="s">
        <v>988</v>
      </c>
      <c r="C102" s="0" t="s">
        <v>996</v>
      </c>
      <c r="D102" s="0" t="s">
        <v>1001</v>
      </c>
      <c r="E102" s="0" t="s">
        <v>1348</v>
      </c>
      <c r="F102" s="0" t="s">
        <v>1555</v>
      </c>
      <c r="G102" s="0" t="str">
        <f aca="false">IFERROR(IF(INDEX(Matches!$W$5:$W$19,MATCH($C102,Matches!$A$5:$A$19,0))="","",INDEX(Matches!$W$5:$W$19,MATCH($C102,Matches!$A$5:$A$19,0))),"")</f>
        <v>Mirage</v>
      </c>
      <c r="H102" s="0" t="str">
        <f aca="false">IFERROR(IF(INDEX(Matches!$X$5:$X$19,MATCH($C102,Matches!$A$5:$A$19,0))="","",INDEX(Matches!$X$5:$X$19,MATCH($C102,Matches!$A$5:$A$19,0))),"")</f>
        <v>Ancient</v>
      </c>
      <c r="I102" s="0" t="str">
        <f aca="false">IFERROR(IF(INDEX(Matches!$Y$5:$Y$19,MATCH($C102,Matches!$A$5:$A$19,0))="","",INDEX(Matches!$Y$5:$Y$19,MATCH($C102,Matches!$A$5:$A$19,0))),"")</f>
        <v>Cache</v>
      </c>
      <c r="J102" s="11" t="n">
        <f aca="false">IFERROR(IF(INDEX(Matches!$Z$5:$Z$19,MATCH($C102,Matches!$A$5:$A$19,0))="","",INDEX(Matches!$Z$5:$Z$19,MATCH($C102,Matches!$A$5:$A$19,0))),"")</f>
        <v>20.59</v>
      </c>
      <c r="K102" s="11" t="n">
        <f aca="false">IFERROR(IF(INDEX(Matches!$AA$5:$AA$19,MATCH($C102,Matches!$A$5:$A$19,0))="","",INDEX(Matches!$AA$5:$AA$19,MATCH($C102,Matches!$A$5:$A$19,0))),"")</f>
        <v>20.29</v>
      </c>
      <c r="L102" s="11" t="n">
        <f aca="false">IFERROR(IF(INDEX(Matches!$AB$5:$AB$19,MATCH($C102,Matches!$A$5:$A$19,0))="","",INDEX(Matches!$AB$5:$AB$19,MATCH($C102,Matches!$A$5:$A$19,0))),"")</f>
        <v>20.59</v>
      </c>
      <c r="M102" s="10" t="n">
        <f aca="false">IFERROR(IF(INDEX(Matches!$AC$5:$AC$19,MATCH($C102,Matches!$A$5:$A$19,0))="","",INDEX(Matches!$AC$5:$AC$19,MATCH($C102,Matches!$A$5:$A$19,0))),"")</f>
        <v>0.3304</v>
      </c>
      <c r="N102" s="9" t="n">
        <f aca="false">IFERROR(INDEX(Players!$F$2:$F$124,MATCH($F102,Players!$A$2:$A$124,0)),0)</f>
        <v>32</v>
      </c>
      <c r="O102" s="13" t="n">
        <f aca="false">IFERROR(1/(1/INDEX(Players!$H$2:$H$124,MATCH($F102,Players!$A$2:$A$124,0))),"")</f>
        <v>0.68</v>
      </c>
      <c r="P102" s="10" t="n">
        <f aca="false">IFERROR(1/(1/INDEX(Players!$I$2:$I$124,MATCH($F102,Players!$A$2:$A$124,0))),"")</f>
        <v>0.329</v>
      </c>
      <c r="Q102" s="9" t="n">
        <f aca="false">IF($G102="",0,SUMIFS(Map_Stats!$F$2:$F$779,Map_Stats!$A$2:$A$779,$F102&amp;"|"&amp;$G102))</f>
        <v>9</v>
      </c>
      <c r="R102" s="13" t="n">
        <f aca="false">IF($G102="","",IFERROR(1/(1/INDEX(Map_Stats!$K$2:$K$779,MATCH($F102&amp;"|"&amp;$G102,Map_Stats!$A$2:$A$779,0))),$O102))</f>
        <v>0.65</v>
      </c>
      <c r="S102" s="10" t="n">
        <f aca="false">IF(OR($G102="",$P102=""),"",IFERROR(1/(1/INDEX(Map_Stats!$I$2:$I$779,MATCH($F102&amp;"|"&amp;$G102,Map_Stats!$A$2:$A$779,0))),$P102))</f>
        <v>0.313</v>
      </c>
      <c r="T102" s="13" t="n">
        <f aca="false">IF(OR($G102="",R102=""),"",IF($O102="",R102,(Q102*R102+Config!$B$4*$O102)/(Q102+Config!$B$4)))</f>
        <v>0.660714285714286</v>
      </c>
      <c r="U102" s="10" t="n">
        <f aca="false">IF(S102="","",(Q102*S102+Config!$B$4*$P102)/(Q102+Config!$B$4))</f>
        <v>0.318714285714286</v>
      </c>
      <c r="V102" s="17" t="n">
        <f aca="false">IF(OR(T102="",$J102=""),"",T102*$J102*($J102/Config!$B$10)^Config!$B$9)</f>
        <v>13.6041071428571</v>
      </c>
      <c r="W102" s="17" t="n">
        <f aca="false">IF(OR(V102="",U102=""),"",V102*U102)</f>
        <v>4.33582329081633</v>
      </c>
      <c r="X102" s="9" t="n">
        <f aca="false">IF($H102="",0,SUMIFS(Map_Stats!$F$2:$F$779,Map_Stats!$A$2:$A$779,$F102&amp;"|"&amp;$H102))</f>
        <v>7</v>
      </c>
      <c r="Y102" s="13" t="n">
        <f aca="false">IF($H102="","",IFERROR(1/(1/INDEX(Map_Stats!$K$2:$K$779,MATCH($F102&amp;"|"&amp;$H102,Map_Stats!$A$2:$A$779,0))),$O102))</f>
        <v>0.73</v>
      </c>
      <c r="Z102" s="10" t="n">
        <f aca="false">IF(OR($H102="",$P102=""),"",IFERROR(1/(1/INDEX(Map_Stats!$I$2:$I$779,MATCH($F102&amp;"|"&amp;$H102,Map_Stats!$A$2:$A$779,0))),$P102))</f>
        <v>0.351</v>
      </c>
      <c r="AA102" s="13" t="n">
        <f aca="false">IF(OR($H102="",Y102=""),"",IF($O102="",Y102,(X102*Y102+Config!$B$4*$O102)/(X102+Config!$B$4)))</f>
        <v>0.709166666666667</v>
      </c>
      <c r="AB102" s="10" t="n">
        <f aca="false">IF(Z102="","",(X102*Z102+Config!$B$4*$P102)/(X102+Config!$B$4))</f>
        <v>0.341833333333333</v>
      </c>
      <c r="AC102" s="17" t="n">
        <f aca="false">IF(OR(AA102="",$K102=""),"",AA102*$K102*($K102/Config!$B$10)^Config!$B$9)</f>
        <v>14.3889916666667</v>
      </c>
      <c r="AD102" s="17" t="n">
        <f aca="false">IF(OR(AC102="",AB102=""),"",AC102*AB102)</f>
        <v>4.91863698472222</v>
      </c>
      <c r="AE102" s="9" t="n">
        <f aca="false">IF($I102="",0,SUMIFS(Map_Stats!$F$2:$F$779,Map_Stats!$A$2:$A$779,$F102&amp;"|"&amp;$I102))</f>
        <v>4</v>
      </c>
      <c r="AF102" s="13" t="n">
        <f aca="false">IF($I102="","",IFERROR(1/(1/INDEX(Map_Stats!$K$2:$K$779,MATCH($F102&amp;"|"&amp;$I102,Map_Stats!$A$2:$A$779,0))),$O102))</f>
        <v>0.65</v>
      </c>
      <c r="AG102" s="10" t="n">
        <f aca="false">IF(OR($I102="",$P102=""),"",IFERROR(1/(1/INDEX(Map_Stats!$I$2:$I$779,MATCH($F102&amp;"|"&amp;$I102,Map_Stats!$A$2:$A$779,0))),$P102))</f>
        <v>0.306</v>
      </c>
      <c r="AH102" s="13" t="n">
        <f aca="false">IF(OR($I102="",AF102=""),"",IF($O102="",AF102,(AE102*AF102+Config!$B$4*$O102)/(AE102+Config!$B$4)))</f>
        <v>0.666666666666667</v>
      </c>
      <c r="AI102" s="10" t="n">
        <f aca="false">IF(AG102="","",(AE102*AG102+Config!$B$4*$P102)/(AE102+Config!$B$4))</f>
        <v>0.318777777777778</v>
      </c>
      <c r="AJ102" s="17" t="n">
        <f aca="false">IF(OR(AH102="",$L102=""),"",AH102*$L102*($L102/Config!$B$10)^Config!$B$9)</f>
        <v>13.7266666666667</v>
      </c>
      <c r="AK102" s="17" t="n">
        <f aca="false">IF(OR(AJ102="",AI102=""),"",AJ102*AI102)</f>
        <v>4.3757562962963</v>
      </c>
      <c r="AL102" s="17" t="n">
        <f aca="false">N(V102)+N(AC102)</f>
        <v>27.9930988095238</v>
      </c>
      <c r="AM102" s="17" t="n">
        <f aca="false">AL102+N($M102)*N(AJ102)</f>
        <v>32.5283894761905</v>
      </c>
      <c r="AN102" s="17" t="n">
        <f aca="false">IF(W102="","",N(W102)+N(AD102))</f>
        <v>9.25446027553855</v>
      </c>
      <c r="AO102" s="17" t="n">
        <f aca="false">IF(AN102="","",AN102+N($M102)*N(AK102))</f>
        <v>10.7002101558348</v>
      </c>
      <c r="AP102" s="10" t="n">
        <f aca="false">IFERROR(AN102/AL102,"")</f>
        <v>0.330597921241574</v>
      </c>
      <c r="AQ102" s="0" t="str">
        <f aca="false">TRIM(IF($N102&lt;Config!$B$12,"thin sample ("&amp;$N102&amp;" maps) · ","")&amp;IF(AND($G102&lt;&gt;"",Q102=0),"M1 unplayed→overall KPR · ","")&amp;IF(AND($H102&lt;&gt;"",X102=0),"M2 unplayed→overall KPR · ","")&amp;IF($O102="","no PickFinder stats",""))</f>
        <v/>
      </c>
      <c r="AR102" s="0" t="str">
        <f aca="false">IF($C102=Board!$B$2,COUNTIFS($C$2:$C$124,Board!$B$2,$AL$2:$AL$124,"&gt;"&amp;$AL102)+COUNTIFS($C$1:$C101,Board!$B$2,$AL$1:$AL101,$AL102)+1,"")</f>
        <v/>
      </c>
      <c r="AS102" s="0" t="str">
        <f aca="false">IFERROR(IF($D102=INDEX(Matches!$AD$5:$AD$19,MATCH($C102,Matches!$A$5:$A$19,0)),"A",IF($D102=INDEX(Matches!$AE$5:$AE$19,MATCH($C102,Matches!$A$5:$A$19,0)),"B","")),"")</f>
        <v>B</v>
      </c>
      <c r="AT102" s="10" t="n">
        <f aca="false">IF($AS102="","",IFERROR(IF($AS102="A",INDEX(Matches!$AI$5:$AI$19,MATCH($C102,Matches!$A$5:$A$19,0)),INDEX(Matches!$AJ$5:$AJ$19,MATCH($C102,Matches!$A$5:$A$19,0))),""))</f>
        <v>0.518492509363296</v>
      </c>
      <c r="AU102" s="10" t="n">
        <f aca="false">IF($AS102="","",IFERROR(IF(INDEX(Matches!$AP$5:$AP$19,MATCH($C102,Matches!$A$5:$A$19,0))="","",IF($AS102="A",INDEX(Matches!$AP$5:$AP$19,MATCH($C102,Matches!$A$5:$A$19,0)),1-INDEX(Matches!$AP$5:$AP$19,MATCH($C102,Matches!$A$5:$A$19,0)))),""))</f>
        <v>0.402765158089249</v>
      </c>
      <c r="AV102" s="13" t="n">
        <f aca="false">IF(OR($AU102="",$AT102=""),1,((Config!$B$14*$AU102+Config!$B$15*(1-$AU102))/(Config!$B$14*$AT102+Config!$B$15*(1-$AT102)))^Config!$B$13)</f>
        <v>0.89826525817976</v>
      </c>
      <c r="AW102" s="10" t="n">
        <f aca="false">IF($AS102="","",IFERROR(IF(INDEX(Matches!$AV$5:$AV$19,MATCH($C102,Matches!$A$5:$A$19,0))="","",IF($AS102="A",INDEX(Matches!$AV$5:$AV$19,MATCH($C102,Matches!$A$5:$A$19,0)),1-INDEX(Matches!$AV$5:$AV$19,MATCH($C102,Matches!$A$5:$A$19,0)))),""))</f>
        <v>0.424643482290551</v>
      </c>
      <c r="AX102" s="13" t="n">
        <f aca="false">IF(OR($AW102="",$AT102=""),1,((Config!$B$14*$AW102+Config!$B$15*(1-$AW102))/(Config!$B$14*$AT102+Config!$B$15*(1-$AT102)))^Config!$B$13)</f>
        <v>0.917498271288375</v>
      </c>
      <c r="AY102" s="10" t="n">
        <f aca="false">IF($AS102="","",IFERROR(IF(INDEX(Matches!$BB$5:$BB$19,MATCH($C102,Matches!$A$5:$A$19,0))="","",IF($AS102="A",INDEX(Matches!$BB$5:$BB$19,MATCH($C102,Matches!$A$5:$A$19,0)),1-INDEX(Matches!$BB$5:$BB$19,MATCH($C102,Matches!$A$5:$A$19,0)))),""))</f>
        <v>0.427977193806139</v>
      </c>
      <c r="AZ102" s="13" t="n">
        <f aca="false">IF(OR($AY102="",$AT102=""),1,((Config!$B$14*$AY102+Config!$B$15*(1-$AY102))/(Config!$B$14*$AT102+Config!$B$15*(1-$AT102)))^Config!$B$13)</f>
        <v>0.920428903300666</v>
      </c>
      <c r="BA102" s="17" t="n">
        <f aca="false">IF(V102="","",V102*$AV102)</f>
        <v>12.2200968149837</v>
      </c>
      <c r="BB102" s="17" t="n">
        <f aca="false">IF(AC102="","",AC102*$AX102)</f>
        <v>13.2018749797495</v>
      </c>
      <c r="BC102" s="17" t="n">
        <f aca="false">IF(AJ102="","",AJ102*$AZ102)</f>
        <v>12.6344207459738</v>
      </c>
      <c r="BD102" s="17" t="n">
        <f aca="false">N(BA102)+N(BB102)</f>
        <v>25.4219717947332</v>
      </c>
      <c r="BE102" s="17" t="n">
        <f aca="false">BD102+N($M102)*N(BC102)</f>
        <v>29.5963844092029</v>
      </c>
      <c r="BF102" s="17" t="n">
        <f aca="false">IF(W102="","",W102*$AV102)</f>
        <v>3.89471942774694</v>
      </c>
      <c r="BG102" s="17" t="n">
        <f aca="false">IF(AD102="","",AD102*$AX102)</f>
        <v>4.51284093057771</v>
      </c>
      <c r="BH102" s="17" t="n">
        <f aca="false">IF(AK102="","",AK102*$AZ102)</f>
        <v>4.02757256891099</v>
      </c>
      <c r="BI102" s="17" t="n">
        <f aca="false">IF(BF102="","",N(BF102)+N(BG102))</f>
        <v>8.40756035832465</v>
      </c>
      <c r="BJ102" s="17" t="n">
        <f aca="false">IF(BI102="","",BI102+N($M102)*N(BH102))</f>
        <v>9.73827033509284</v>
      </c>
      <c r="BK102" s="13" t="n">
        <f aca="false">IFERROR(BD102/AL102,1)</f>
        <v>0.908151397160936</v>
      </c>
    </row>
    <row r="103" customFormat="false" ht="15" hidden="false" customHeight="false" outlineLevel="0" collapsed="false">
      <c r="A103" s="0" t="s">
        <v>1351</v>
      </c>
      <c r="B103" s="0" t="s">
        <v>988</v>
      </c>
      <c r="C103" s="0" t="s">
        <v>996</v>
      </c>
      <c r="D103" s="0" t="s">
        <v>1001</v>
      </c>
      <c r="E103" s="0" t="s">
        <v>1350</v>
      </c>
      <c r="F103" s="0" t="s">
        <v>1556</v>
      </c>
      <c r="G103" s="0" t="str">
        <f aca="false">IFERROR(IF(INDEX(Matches!$W$5:$W$19,MATCH($C103,Matches!$A$5:$A$19,0))="","",INDEX(Matches!$W$5:$W$19,MATCH($C103,Matches!$A$5:$A$19,0))),"")</f>
        <v>Mirage</v>
      </c>
      <c r="H103" s="0" t="str">
        <f aca="false">IFERROR(IF(INDEX(Matches!$X$5:$X$19,MATCH($C103,Matches!$A$5:$A$19,0))="","",INDEX(Matches!$X$5:$X$19,MATCH($C103,Matches!$A$5:$A$19,0))),"")</f>
        <v>Ancient</v>
      </c>
      <c r="I103" s="0" t="str">
        <f aca="false">IFERROR(IF(INDEX(Matches!$Y$5:$Y$19,MATCH($C103,Matches!$A$5:$A$19,0))="","",INDEX(Matches!$Y$5:$Y$19,MATCH($C103,Matches!$A$5:$A$19,0))),"")</f>
        <v>Cache</v>
      </c>
      <c r="J103" s="11" t="n">
        <f aca="false">IFERROR(IF(INDEX(Matches!$Z$5:$Z$19,MATCH($C103,Matches!$A$5:$A$19,0))="","",INDEX(Matches!$Z$5:$Z$19,MATCH($C103,Matches!$A$5:$A$19,0))),"")</f>
        <v>20.59</v>
      </c>
      <c r="K103" s="11" t="n">
        <f aca="false">IFERROR(IF(INDEX(Matches!$AA$5:$AA$19,MATCH($C103,Matches!$A$5:$A$19,0))="","",INDEX(Matches!$AA$5:$AA$19,MATCH($C103,Matches!$A$5:$A$19,0))),"")</f>
        <v>20.29</v>
      </c>
      <c r="L103" s="11" t="n">
        <f aca="false">IFERROR(IF(INDEX(Matches!$AB$5:$AB$19,MATCH($C103,Matches!$A$5:$A$19,0))="","",INDEX(Matches!$AB$5:$AB$19,MATCH($C103,Matches!$A$5:$A$19,0))),"")</f>
        <v>20.59</v>
      </c>
      <c r="M103" s="10" t="n">
        <f aca="false">IFERROR(IF(INDEX(Matches!$AC$5:$AC$19,MATCH($C103,Matches!$A$5:$A$19,0))="","",INDEX(Matches!$AC$5:$AC$19,MATCH($C103,Matches!$A$5:$A$19,0))),"")</f>
        <v>0.3304</v>
      </c>
      <c r="N103" s="9" t="n">
        <f aca="false">IFERROR(INDEX(Players!$F$2:$F$124,MATCH($F103,Players!$A$2:$A$124,0)),0)</f>
        <v>32</v>
      </c>
      <c r="O103" s="13" t="n">
        <f aca="false">IFERROR(1/(1/INDEX(Players!$H$2:$H$124,MATCH($F103,Players!$A$2:$A$124,0))),"")</f>
        <v>0.62</v>
      </c>
      <c r="P103" s="10" t="n">
        <f aca="false">IFERROR(1/(1/INDEX(Players!$I$2:$I$124,MATCH($F103,Players!$A$2:$A$124,0))),"")</f>
        <v>0.625</v>
      </c>
      <c r="Q103" s="9" t="n">
        <f aca="false">IF($G103="",0,SUMIFS(Map_Stats!$F$2:$F$779,Map_Stats!$A$2:$A$779,$F103&amp;"|"&amp;$G103))</f>
        <v>9</v>
      </c>
      <c r="R103" s="13" t="n">
        <f aca="false">IF($G103="","",IFERROR(1/(1/INDEX(Map_Stats!$K$2:$K$779,MATCH($F103&amp;"|"&amp;$G103,Map_Stats!$A$2:$A$779,0))),$O103))</f>
        <v>0.67</v>
      </c>
      <c r="S103" s="10" t="n">
        <f aca="false">IF(OR($G103="",$P103=""),"",IFERROR(1/(1/INDEX(Map_Stats!$I$2:$I$779,MATCH($F103&amp;"|"&amp;$G103,Map_Stats!$A$2:$A$779,0))),$P103))</f>
        <v>0.613</v>
      </c>
      <c r="T103" s="13" t="n">
        <f aca="false">IF(OR($G103="",R103=""),"",IF($O103="",R103,(Q103*R103+Config!$B$4*$O103)/(Q103+Config!$B$4)))</f>
        <v>0.652142857142857</v>
      </c>
      <c r="U103" s="10" t="n">
        <f aca="false">IF(S103="","",(Q103*S103+Config!$B$4*$P103)/(Q103+Config!$B$4))</f>
        <v>0.617285714285714</v>
      </c>
      <c r="V103" s="17" t="n">
        <f aca="false">IF(OR(T103="",$J103=""),"",T103*$J103*($J103/Config!$B$10)^Config!$B$9)</f>
        <v>13.4276214285714</v>
      </c>
      <c r="W103" s="17" t="n">
        <f aca="false">IF(OR(V103="",U103=""),"",V103*U103)</f>
        <v>8.28867888469388</v>
      </c>
      <c r="X103" s="9" t="n">
        <f aca="false">IF($H103="",0,SUMIFS(Map_Stats!$F$2:$F$779,Map_Stats!$A$2:$A$779,$F103&amp;"|"&amp;$H103))</f>
        <v>7</v>
      </c>
      <c r="Y103" s="13" t="n">
        <f aca="false">IF($H103="","",IFERROR(1/(1/INDEX(Map_Stats!$K$2:$K$779,MATCH($F103&amp;"|"&amp;$H103,Map_Stats!$A$2:$A$779,0))),$O103))</f>
        <v>0.55</v>
      </c>
      <c r="Z103" s="10" t="n">
        <f aca="false">IF(OR($H103="",$P103=""),"",IFERROR(1/(1/INDEX(Map_Stats!$I$2:$I$779,MATCH($F103&amp;"|"&amp;$H103,Map_Stats!$A$2:$A$779,0))),$P103))</f>
        <v>0.767</v>
      </c>
      <c r="AA103" s="13" t="n">
        <f aca="false">IF(OR($H103="",Y103=""),"",IF($O103="",Y103,(X103*Y103+Config!$B$4*$O103)/(X103+Config!$B$4)))</f>
        <v>0.579166666666667</v>
      </c>
      <c r="AB103" s="10" t="n">
        <f aca="false">IF(Z103="","",(X103*Z103+Config!$B$4*$P103)/(X103+Config!$B$4))</f>
        <v>0.707833333333333</v>
      </c>
      <c r="AC103" s="17" t="n">
        <f aca="false">IF(OR(AA103="",$K103=""),"",AA103*$K103*($K103/Config!$B$10)^Config!$B$9)</f>
        <v>11.7512916666667</v>
      </c>
      <c r="AD103" s="17" t="n">
        <f aca="false">IF(OR(AC103="",AB103=""),"",AC103*AB103)</f>
        <v>8.31795595138889</v>
      </c>
      <c r="AE103" s="9" t="n">
        <f aca="false">IF($I103="",0,SUMIFS(Map_Stats!$F$2:$F$779,Map_Stats!$A$2:$A$779,$F103&amp;"|"&amp;$I103))</f>
        <v>4</v>
      </c>
      <c r="AF103" s="13" t="n">
        <f aca="false">IF($I103="","",IFERROR(1/(1/INDEX(Map_Stats!$K$2:$K$779,MATCH($F103&amp;"|"&amp;$I103,Map_Stats!$A$2:$A$779,0))),$O103))</f>
        <v>0.88</v>
      </c>
      <c r="AG103" s="10" t="n">
        <f aca="false">IF(OR($I103="",$P103=""),"",IFERROR(1/(1/INDEX(Map_Stats!$I$2:$I$779,MATCH($F103&amp;"|"&amp;$I103,Map_Stats!$A$2:$A$779,0))),$P103))</f>
        <v>0.606</v>
      </c>
      <c r="AH103" s="13" t="n">
        <f aca="false">IF(OR($I103="",AF103=""),"",IF($O103="",AF103,(AE103*AF103+Config!$B$4*$O103)/(AE103+Config!$B$4)))</f>
        <v>0.735555555555556</v>
      </c>
      <c r="AI103" s="10" t="n">
        <f aca="false">IF(AG103="","",(AE103*AG103+Config!$B$4*$P103)/(AE103+Config!$B$4))</f>
        <v>0.616555555555556</v>
      </c>
      <c r="AJ103" s="17" t="n">
        <f aca="false">IF(OR(AH103="",$L103=""),"",AH103*$L103*($L103/Config!$B$10)^Config!$B$9)</f>
        <v>15.1450888888889</v>
      </c>
      <c r="AK103" s="17" t="n">
        <f aca="false">IF(OR(AJ103="",AI103=""),"",AJ103*AI103)</f>
        <v>9.33778869382716</v>
      </c>
      <c r="AL103" s="17" t="n">
        <f aca="false">N(V103)+N(AC103)</f>
        <v>25.1789130952381</v>
      </c>
      <c r="AM103" s="17" t="n">
        <f aca="false">AL103+N($M103)*N(AJ103)</f>
        <v>30.182850464127</v>
      </c>
      <c r="AN103" s="17" t="n">
        <f aca="false">IF(W103="","",N(W103)+N(AD103))</f>
        <v>16.6066348360828</v>
      </c>
      <c r="AO103" s="17" t="n">
        <f aca="false">IF(AN103="","",AN103+N($M103)*N(AK103))</f>
        <v>19.6918402205233</v>
      </c>
      <c r="AP103" s="10" t="n">
        <f aca="false">IFERROR(AN103/AL103,"")</f>
        <v>0.659545341503381</v>
      </c>
      <c r="AQ103" s="0" t="str">
        <f aca="false">TRIM(IF($N103&lt;Config!$B$12,"thin sample ("&amp;$N103&amp;" maps) · ","")&amp;IF(AND($G103&lt;&gt;"",Q103=0),"M1 unplayed→overall KPR · ","")&amp;IF(AND($H103&lt;&gt;"",X103=0),"M2 unplayed→overall KPR · ","")&amp;IF($O103="","no PickFinder stats",""))</f>
        <v/>
      </c>
      <c r="AR103" s="0" t="str">
        <f aca="false">IF($C103=Board!$B$2,COUNTIFS($C$2:$C$124,Board!$B$2,$AL$2:$AL$124,"&gt;"&amp;$AL103)+COUNTIFS($C$1:$C102,Board!$B$2,$AL$1:$AL102,$AL103)+1,"")</f>
        <v/>
      </c>
      <c r="AS103" s="0" t="str">
        <f aca="false">IFERROR(IF($D103=INDEX(Matches!$AD$5:$AD$19,MATCH($C103,Matches!$A$5:$A$19,0)),"A",IF($D103=INDEX(Matches!$AE$5:$AE$19,MATCH($C103,Matches!$A$5:$A$19,0)),"B","")),"")</f>
        <v>B</v>
      </c>
      <c r="AT103" s="10" t="n">
        <f aca="false">IF($AS103="","",IFERROR(IF($AS103="A",INDEX(Matches!$AI$5:$AI$19,MATCH($C103,Matches!$A$5:$A$19,0)),INDEX(Matches!$AJ$5:$AJ$19,MATCH($C103,Matches!$A$5:$A$19,0))),""))</f>
        <v>0.518492509363296</v>
      </c>
      <c r="AU103" s="10" t="n">
        <f aca="false">IF($AS103="","",IFERROR(IF(INDEX(Matches!$AP$5:$AP$19,MATCH($C103,Matches!$A$5:$A$19,0))="","",IF($AS103="A",INDEX(Matches!$AP$5:$AP$19,MATCH($C103,Matches!$A$5:$A$19,0)),1-INDEX(Matches!$AP$5:$AP$19,MATCH($C103,Matches!$A$5:$A$19,0)))),""))</f>
        <v>0.402765158089249</v>
      </c>
      <c r="AV103" s="13" t="n">
        <f aca="false">IF(OR($AU103="",$AT103=""),1,((Config!$B$14*$AU103+Config!$B$15*(1-$AU103))/(Config!$B$14*$AT103+Config!$B$15*(1-$AT103)))^Config!$B$13)</f>
        <v>0.89826525817976</v>
      </c>
      <c r="AW103" s="10" t="n">
        <f aca="false">IF($AS103="","",IFERROR(IF(INDEX(Matches!$AV$5:$AV$19,MATCH($C103,Matches!$A$5:$A$19,0))="","",IF($AS103="A",INDEX(Matches!$AV$5:$AV$19,MATCH($C103,Matches!$A$5:$A$19,0)),1-INDEX(Matches!$AV$5:$AV$19,MATCH($C103,Matches!$A$5:$A$19,0)))),""))</f>
        <v>0.424643482290551</v>
      </c>
      <c r="AX103" s="13" t="n">
        <f aca="false">IF(OR($AW103="",$AT103=""),1,((Config!$B$14*$AW103+Config!$B$15*(1-$AW103))/(Config!$B$14*$AT103+Config!$B$15*(1-$AT103)))^Config!$B$13)</f>
        <v>0.917498271288375</v>
      </c>
      <c r="AY103" s="10" t="n">
        <f aca="false">IF($AS103="","",IFERROR(IF(INDEX(Matches!$BB$5:$BB$19,MATCH($C103,Matches!$A$5:$A$19,0))="","",IF($AS103="A",INDEX(Matches!$BB$5:$BB$19,MATCH($C103,Matches!$A$5:$A$19,0)),1-INDEX(Matches!$BB$5:$BB$19,MATCH($C103,Matches!$A$5:$A$19,0)))),""))</f>
        <v>0.427977193806139</v>
      </c>
      <c r="AZ103" s="13" t="n">
        <f aca="false">IF(OR($AY103="",$AT103=""),1,((Config!$B$14*$AY103+Config!$B$15*(1-$AY103))/(Config!$B$14*$AT103+Config!$B$15*(1-$AT103)))^Config!$B$13)</f>
        <v>0.920428903300666</v>
      </c>
      <c r="BA103" s="17" t="n">
        <f aca="false">IF(V103="","",V103*$AV103)</f>
        <v>12.0615658292758</v>
      </c>
      <c r="BB103" s="17" t="n">
        <f aca="false">IF(AC103="","",AC103*$AX103)</f>
        <v>10.7817897895722</v>
      </c>
      <c r="BC103" s="17" t="n">
        <f aca="false">IF(AJ103="","",AJ103*$AZ103)</f>
        <v>13.9399775563911</v>
      </c>
      <c r="BD103" s="17" t="n">
        <f aca="false">N(BA103)+N(BB103)</f>
        <v>22.8433556188479</v>
      </c>
      <c r="BE103" s="17" t="n">
        <f aca="false">BD103+N($M103)*N(BC103)</f>
        <v>27.4491242034796</v>
      </c>
      <c r="BF103" s="17" t="n">
        <f aca="false">IF(W103="","",W103*$AV103)</f>
        <v>7.44543227832867</v>
      </c>
      <c r="BG103" s="17" t="n">
        <f aca="false">IF(AD103="","",AD103*$AX103)</f>
        <v>7.63171020605216</v>
      </c>
      <c r="BH103" s="17" t="n">
        <f aca="false">IF(AK103="","",AK103*$AZ103)</f>
        <v>8.5947706067127</v>
      </c>
      <c r="BI103" s="17" t="n">
        <f aca="false">IF(BF103="","",N(BF103)+N(BG103))</f>
        <v>15.0771424843808</v>
      </c>
      <c r="BJ103" s="17" t="n">
        <f aca="false">IF(BI103="","",BI103+N($M103)*N(BH103))</f>
        <v>17.9168546928387</v>
      </c>
      <c r="BK103" s="13" t="n">
        <f aca="false">IFERROR(BD103/AL103,1)</f>
        <v>0.90724152914957</v>
      </c>
    </row>
    <row r="104" customFormat="false" ht="15" hidden="false" customHeight="false" outlineLevel="0" collapsed="false">
      <c r="A104" s="0" t="s">
        <v>1353</v>
      </c>
      <c r="B104" s="0" t="s">
        <v>988</v>
      </c>
      <c r="C104" s="0" t="s">
        <v>996</v>
      </c>
      <c r="D104" s="0" t="s">
        <v>1001</v>
      </c>
      <c r="E104" s="0" t="s">
        <v>1352</v>
      </c>
      <c r="F104" s="0" t="s">
        <v>1557</v>
      </c>
      <c r="G104" s="0" t="str">
        <f aca="false">IFERROR(IF(INDEX(Matches!$W$5:$W$19,MATCH($C104,Matches!$A$5:$A$19,0))="","",INDEX(Matches!$W$5:$W$19,MATCH($C104,Matches!$A$5:$A$19,0))),"")</f>
        <v>Mirage</v>
      </c>
      <c r="H104" s="0" t="str">
        <f aca="false">IFERROR(IF(INDEX(Matches!$X$5:$X$19,MATCH($C104,Matches!$A$5:$A$19,0))="","",INDEX(Matches!$X$5:$X$19,MATCH($C104,Matches!$A$5:$A$19,0))),"")</f>
        <v>Ancient</v>
      </c>
      <c r="I104" s="0" t="str">
        <f aca="false">IFERROR(IF(INDEX(Matches!$Y$5:$Y$19,MATCH($C104,Matches!$A$5:$A$19,0))="","",INDEX(Matches!$Y$5:$Y$19,MATCH($C104,Matches!$A$5:$A$19,0))),"")</f>
        <v>Cache</v>
      </c>
      <c r="J104" s="11" t="n">
        <f aca="false">IFERROR(IF(INDEX(Matches!$Z$5:$Z$19,MATCH($C104,Matches!$A$5:$A$19,0))="","",INDEX(Matches!$Z$5:$Z$19,MATCH($C104,Matches!$A$5:$A$19,0))),"")</f>
        <v>20.59</v>
      </c>
      <c r="K104" s="11" t="n">
        <f aca="false">IFERROR(IF(INDEX(Matches!$AA$5:$AA$19,MATCH($C104,Matches!$A$5:$A$19,0))="","",INDEX(Matches!$AA$5:$AA$19,MATCH($C104,Matches!$A$5:$A$19,0))),"")</f>
        <v>20.29</v>
      </c>
      <c r="L104" s="11" t="n">
        <f aca="false">IFERROR(IF(INDEX(Matches!$AB$5:$AB$19,MATCH($C104,Matches!$A$5:$A$19,0))="","",INDEX(Matches!$AB$5:$AB$19,MATCH($C104,Matches!$A$5:$A$19,0))),"")</f>
        <v>20.59</v>
      </c>
      <c r="M104" s="10" t="n">
        <f aca="false">IFERROR(IF(INDEX(Matches!$AC$5:$AC$19,MATCH($C104,Matches!$A$5:$A$19,0))="","",INDEX(Matches!$AC$5:$AC$19,MATCH($C104,Matches!$A$5:$A$19,0))),"")</f>
        <v>0.3304</v>
      </c>
      <c r="N104" s="9" t="n">
        <f aca="false">IFERROR(INDEX(Players!$F$2:$F$124,MATCH($F104,Players!$A$2:$A$124,0)),0)</f>
        <v>32</v>
      </c>
      <c r="O104" s="13" t="n">
        <f aca="false">IFERROR(1/(1/INDEX(Players!$H$2:$H$124,MATCH($F104,Players!$A$2:$A$124,0))),"")</f>
        <v>0.6</v>
      </c>
      <c r="P104" s="10" t="n">
        <f aca="false">IFERROR(1/(1/INDEX(Players!$I$2:$I$124,MATCH($F104,Players!$A$2:$A$124,0))),"")</f>
        <v>0.642</v>
      </c>
      <c r="Q104" s="9" t="n">
        <f aca="false">IF($G104="",0,SUMIFS(Map_Stats!$F$2:$F$779,Map_Stats!$A$2:$A$779,$F104&amp;"|"&amp;$G104))</f>
        <v>9</v>
      </c>
      <c r="R104" s="13" t="n">
        <f aca="false">IF($G104="","",IFERROR(1/(1/INDEX(Map_Stats!$K$2:$K$779,MATCH($F104&amp;"|"&amp;$G104,Map_Stats!$A$2:$A$779,0))),$O104))</f>
        <v>0.55</v>
      </c>
      <c r="S104" s="10" t="n">
        <f aca="false">IF(OR($G104="",$P104=""),"",IFERROR(1/(1/INDEX(Map_Stats!$I$2:$I$779,MATCH($F104&amp;"|"&amp;$G104,Map_Stats!$A$2:$A$779,0))),$P104))</f>
        <v>0.663</v>
      </c>
      <c r="T104" s="13" t="n">
        <f aca="false">IF(OR($G104="",R104=""),"",IF($O104="",R104,(Q104*R104+Config!$B$4*$O104)/(Q104+Config!$B$4)))</f>
        <v>0.567857142857143</v>
      </c>
      <c r="U104" s="10" t="n">
        <f aca="false">IF(S104="","",(Q104*S104+Config!$B$4*$P104)/(Q104+Config!$B$4))</f>
        <v>0.6555</v>
      </c>
      <c r="V104" s="17" t="n">
        <f aca="false">IF(OR(T104="",$J104=""),"",T104*$J104*($J104/Config!$B$10)^Config!$B$9)</f>
        <v>11.6921785714286</v>
      </c>
      <c r="W104" s="17" t="n">
        <f aca="false">IF(OR(V104="",U104=""),"",V104*U104)</f>
        <v>7.66422305357143</v>
      </c>
      <c r="X104" s="9" t="n">
        <f aca="false">IF($H104="",0,SUMIFS(Map_Stats!$F$2:$F$779,Map_Stats!$A$2:$A$779,$F104&amp;"|"&amp;$H104))</f>
        <v>7</v>
      </c>
      <c r="Y104" s="13" t="n">
        <f aca="false">IF($H104="","",IFERROR(1/(1/INDEX(Map_Stats!$K$2:$K$779,MATCH($F104&amp;"|"&amp;$H104,Map_Stats!$A$2:$A$779,0))),$O104))</f>
        <v>0.68</v>
      </c>
      <c r="Z104" s="10" t="n">
        <f aca="false">IF(OR($H104="",$P104=""),"",IFERROR(1/(1/INDEX(Map_Stats!$I$2:$I$779,MATCH($F104&amp;"|"&amp;$H104,Map_Stats!$A$2:$A$779,0))),$P104))</f>
        <v>0.648</v>
      </c>
      <c r="AA104" s="13" t="n">
        <f aca="false">IF(OR($H104="",Y104=""),"",IF($O104="",Y104,(X104*Y104+Config!$B$4*$O104)/(X104+Config!$B$4)))</f>
        <v>0.646666666666667</v>
      </c>
      <c r="AB104" s="10" t="n">
        <f aca="false">IF(Z104="","",(X104*Z104+Config!$B$4*$P104)/(X104+Config!$B$4))</f>
        <v>0.6455</v>
      </c>
      <c r="AC104" s="17" t="n">
        <f aca="false">IF(OR(AA104="",$K104=""),"",AA104*$K104*($K104/Config!$B$10)^Config!$B$9)</f>
        <v>13.1208666666667</v>
      </c>
      <c r="AD104" s="17" t="n">
        <f aca="false">IF(OR(AC104="",AB104=""),"",AC104*AB104)</f>
        <v>8.46951943333334</v>
      </c>
      <c r="AE104" s="9" t="n">
        <f aca="false">IF($I104="",0,SUMIFS(Map_Stats!$F$2:$F$779,Map_Stats!$A$2:$A$779,$F104&amp;"|"&amp;$I104))</f>
        <v>4</v>
      </c>
      <c r="AF104" s="13" t="n">
        <f aca="false">IF($I104="","",IFERROR(1/(1/INDEX(Map_Stats!$K$2:$K$779,MATCH($F104&amp;"|"&amp;$I104,Map_Stats!$A$2:$A$779,0))),$O104))</f>
        <v>0.77</v>
      </c>
      <c r="AG104" s="10" t="n">
        <f aca="false">IF(OR($I104="",$P104=""),"",IFERROR(1/(1/INDEX(Map_Stats!$I$2:$I$779,MATCH($F104&amp;"|"&amp;$I104,Map_Stats!$A$2:$A$779,0))),$P104))</f>
        <v>0.69</v>
      </c>
      <c r="AH104" s="13" t="n">
        <f aca="false">IF(OR($I104="",AF104=""),"",IF($O104="",AF104,(AE104*AF104+Config!$B$4*$O104)/(AE104+Config!$B$4)))</f>
        <v>0.675555555555556</v>
      </c>
      <c r="AI104" s="10" t="n">
        <f aca="false">IF(AG104="","",(AE104*AG104+Config!$B$4*$P104)/(AE104+Config!$B$4))</f>
        <v>0.663333333333333</v>
      </c>
      <c r="AJ104" s="17" t="n">
        <f aca="false">IF(OR(AH104="",$L104=""),"",AH104*$L104*($L104/Config!$B$10)^Config!$B$9)</f>
        <v>13.9096888888889</v>
      </c>
      <c r="AK104" s="17" t="n">
        <f aca="false">IF(OR(AJ104="",AI104=""),"",AJ104*AI104)</f>
        <v>9.2267602962963</v>
      </c>
      <c r="AL104" s="17" t="n">
        <f aca="false">N(V104)+N(AC104)</f>
        <v>24.8130452380952</v>
      </c>
      <c r="AM104" s="17" t="n">
        <f aca="false">AL104+N($M104)*N(AJ104)</f>
        <v>29.4088064469841</v>
      </c>
      <c r="AN104" s="17" t="n">
        <f aca="false">IF(W104="","",N(W104)+N(AD104))</f>
        <v>16.1337424869048</v>
      </c>
      <c r="AO104" s="17" t="n">
        <f aca="false">IF(AN104="","",AN104+N($M104)*N(AK104))</f>
        <v>19.1822640888011</v>
      </c>
      <c r="AP104" s="10" t="n">
        <f aca="false">IFERROR(AN104/AL104,"")</f>
        <v>0.650212109480814</v>
      </c>
      <c r="AQ104" s="0" t="str">
        <f aca="false">TRIM(IF($N104&lt;Config!$B$12,"thin sample ("&amp;$N104&amp;" maps) · ","")&amp;IF(AND($G104&lt;&gt;"",Q104=0),"M1 unplayed→overall KPR · ","")&amp;IF(AND($H104&lt;&gt;"",X104=0),"M2 unplayed→overall KPR · ","")&amp;IF($O104="","no PickFinder stats",""))</f>
        <v/>
      </c>
      <c r="AR104" s="0" t="str">
        <f aca="false">IF($C104=Board!$B$2,COUNTIFS($C$2:$C$124,Board!$B$2,$AL$2:$AL$124,"&gt;"&amp;$AL104)+COUNTIFS($C$1:$C103,Board!$B$2,$AL$1:$AL103,$AL104)+1,"")</f>
        <v/>
      </c>
      <c r="AS104" s="0" t="str">
        <f aca="false">IFERROR(IF($D104=INDEX(Matches!$AD$5:$AD$19,MATCH($C104,Matches!$A$5:$A$19,0)),"A",IF($D104=INDEX(Matches!$AE$5:$AE$19,MATCH($C104,Matches!$A$5:$A$19,0)),"B","")),"")</f>
        <v>B</v>
      </c>
      <c r="AT104" s="10" t="n">
        <f aca="false">IF($AS104="","",IFERROR(IF($AS104="A",INDEX(Matches!$AI$5:$AI$19,MATCH($C104,Matches!$A$5:$A$19,0)),INDEX(Matches!$AJ$5:$AJ$19,MATCH($C104,Matches!$A$5:$A$19,0))),""))</f>
        <v>0.518492509363296</v>
      </c>
      <c r="AU104" s="10" t="n">
        <f aca="false">IF($AS104="","",IFERROR(IF(INDEX(Matches!$AP$5:$AP$19,MATCH($C104,Matches!$A$5:$A$19,0))="","",IF($AS104="A",INDEX(Matches!$AP$5:$AP$19,MATCH($C104,Matches!$A$5:$A$19,0)),1-INDEX(Matches!$AP$5:$AP$19,MATCH($C104,Matches!$A$5:$A$19,0)))),""))</f>
        <v>0.402765158089249</v>
      </c>
      <c r="AV104" s="13" t="n">
        <f aca="false">IF(OR($AU104="",$AT104=""),1,((Config!$B$14*$AU104+Config!$B$15*(1-$AU104))/(Config!$B$14*$AT104+Config!$B$15*(1-$AT104)))^Config!$B$13)</f>
        <v>0.89826525817976</v>
      </c>
      <c r="AW104" s="10" t="n">
        <f aca="false">IF($AS104="","",IFERROR(IF(INDEX(Matches!$AV$5:$AV$19,MATCH($C104,Matches!$A$5:$A$19,0))="","",IF($AS104="A",INDEX(Matches!$AV$5:$AV$19,MATCH($C104,Matches!$A$5:$A$19,0)),1-INDEX(Matches!$AV$5:$AV$19,MATCH($C104,Matches!$A$5:$A$19,0)))),""))</f>
        <v>0.424643482290551</v>
      </c>
      <c r="AX104" s="13" t="n">
        <f aca="false">IF(OR($AW104="",$AT104=""),1,((Config!$B$14*$AW104+Config!$B$15*(1-$AW104))/(Config!$B$14*$AT104+Config!$B$15*(1-$AT104)))^Config!$B$13)</f>
        <v>0.917498271288375</v>
      </c>
      <c r="AY104" s="10" t="n">
        <f aca="false">IF($AS104="","",IFERROR(IF(INDEX(Matches!$BB$5:$BB$19,MATCH($C104,Matches!$A$5:$A$19,0))="","",IF($AS104="A",INDEX(Matches!$BB$5:$BB$19,MATCH($C104,Matches!$A$5:$A$19,0)),1-INDEX(Matches!$BB$5:$BB$19,MATCH($C104,Matches!$A$5:$A$19,0)))),""))</f>
        <v>0.427977193806139</v>
      </c>
      <c r="AZ104" s="13" t="n">
        <f aca="false">IF(OR($AY104="",$AT104=""),1,((Config!$B$14*$AY104+Config!$B$15*(1-$AY104))/(Config!$B$14*$AT104+Config!$B$15*(1-$AT104)))^Config!$B$13)</f>
        <v>0.920428903300666</v>
      </c>
      <c r="BA104" s="17" t="n">
        <f aca="false">IF(V104="","",V104*$AV104)</f>
        <v>10.5026778031481</v>
      </c>
      <c r="BB104" s="17" t="n">
        <f aca="false">IF(AC104="","",AC104*$AX104)</f>
        <v>12.0383724844719</v>
      </c>
      <c r="BC104" s="17" t="n">
        <f aca="false">IF(AJ104="","",AJ104*$AZ104)</f>
        <v>12.8028796892535</v>
      </c>
      <c r="BD104" s="17" t="n">
        <f aca="false">N(BA104)+N(BB104)</f>
        <v>22.5410502876201</v>
      </c>
      <c r="BE104" s="17" t="n">
        <f aca="false">BD104+N($M104)*N(BC104)</f>
        <v>26.7711217369494</v>
      </c>
      <c r="BF104" s="17" t="n">
        <f aca="false">IF(W104="","",W104*$AV104)</f>
        <v>6.88450529996361</v>
      </c>
      <c r="BG104" s="17" t="n">
        <f aca="false">IF(AD104="","",AD104*$AX104)</f>
        <v>7.77076943872663</v>
      </c>
      <c r="BH104" s="17" t="n">
        <f aca="false">IF(AK104="","",AK104*$AZ104)</f>
        <v>8.49257686053813</v>
      </c>
      <c r="BI104" s="17" t="n">
        <f aca="false">IF(BF104="","",N(BF104)+N(BG104))</f>
        <v>14.6552747386902</v>
      </c>
      <c r="BJ104" s="17" t="n">
        <f aca="false">IF(BI104="","",BI104+N($M104)*N(BH104))</f>
        <v>17.461222133412</v>
      </c>
      <c r="BK104" s="13" t="n">
        <f aca="false">IFERROR(BD104/AL104,1)</f>
        <v>0.908435464947003</v>
      </c>
    </row>
    <row r="105" customFormat="false" ht="15" hidden="false" customHeight="false" outlineLevel="0" collapsed="false">
      <c r="A105" s="0" t="s">
        <v>1355</v>
      </c>
      <c r="B105" s="0" t="s">
        <v>988</v>
      </c>
      <c r="C105" s="0" t="s">
        <v>996</v>
      </c>
      <c r="D105" s="0" t="s">
        <v>1001</v>
      </c>
      <c r="E105" s="0" t="s">
        <v>1354</v>
      </c>
      <c r="F105" s="0" t="s">
        <v>1558</v>
      </c>
      <c r="G105" s="0" t="str">
        <f aca="false">IFERROR(IF(INDEX(Matches!$W$5:$W$19,MATCH($C105,Matches!$A$5:$A$19,0))="","",INDEX(Matches!$W$5:$W$19,MATCH($C105,Matches!$A$5:$A$19,0))),"")</f>
        <v>Mirage</v>
      </c>
      <c r="H105" s="0" t="str">
        <f aca="false">IFERROR(IF(INDEX(Matches!$X$5:$X$19,MATCH($C105,Matches!$A$5:$A$19,0))="","",INDEX(Matches!$X$5:$X$19,MATCH($C105,Matches!$A$5:$A$19,0))),"")</f>
        <v>Ancient</v>
      </c>
      <c r="I105" s="0" t="str">
        <f aca="false">IFERROR(IF(INDEX(Matches!$Y$5:$Y$19,MATCH($C105,Matches!$A$5:$A$19,0))="","",INDEX(Matches!$Y$5:$Y$19,MATCH($C105,Matches!$A$5:$A$19,0))),"")</f>
        <v>Cache</v>
      </c>
      <c r="J105" s="11" t="n">
        <f aca="false">IFERROR(IF(INDEX(Matches!$Z$5:$Z$19,MATCH($C105,Matches!$A$5:$A$19,0))="","",INDEX(Matches!$Z$5:$Z$19,MATCH($C105,Matches!$A$5:$A$19,0))),"")</f>
        <v>20.59</v>
      </c>
      <c r="K105" s="11" t="n">
        <f aca="false">IFERROR(IF(INDEX(Matches!$AA$5:$AA$19,MATCH($C105,Matches!$A$5:$A$19,0))="","",INDEX(Matches!$AA$5:$AA$19,MATCH($C105,Matches!$A$5:$A$19,0))),"")</f>
        <v>20.29</v>
      </c>
      <c r="L105" s="11" t="n">
        <f aca="false">IFERROR(IF(INDEX(Matches!$AB$5:$AB$19,MATCH($C105,Matches!$A$5:$A$19,0))="","",INDEX(Matches!$AB$5:$AB$19,MATCH($C105,Matches!$A$5:$A$19,0))),"")</f>
        <v>20.59</v>
      </c>
      <c r="M105" s="10" t="n">
        <f aca="false">IFERROR(IF(INDEX(Matches!$AC$5:$AC$19,MATCH($C105,Matches!$A$5:$A$19,0))="","",INDEX(Matches!$AC$5:$AC$19,MATCH($C105,Matches!$A$5:$A$19,0))),"")</f>
        <v>0.3304</v>
      </c>
      <c r="N105" s="9" t="n">
        <f aca="false">IFERROR(INDEX(Players!$F$2:$F$124,MATCH($F105,Players!$A$2:$A$124,0)),0)</f>
        <v>32</v>
      </c>
      <c r="O105" s="13" t="n">
        <f aca="false">IFERROR(1/(1/INDEX(Players!$H$2:$H$124,MATCH($F105,Players!$A$2:$A$124,0))),"")</f>
        <v>0.63</v>
      </c>
      <c r="P105" s="10" t="n">
        <f aca="false">IFERROR(1/(1/INDEX(Players!$I$2:$I$124,MATCH($F105,Players!$A$2:$A$124,0))),"")</f>
        <v>0.546</v>
      </c>
      <c r="Q105" s="9" t="n">
        <f aca="false">IF($G105="",0,SUMIFS(Map_Stats!$F$2:$F$779,Map_Stats!$A$2:$A$779,$F105&amp;"|"&amp;$G105))</f>
        <v>9</v>
      </c>
      <c r="R105" s="13" t="n">
        <f aca="false">IF($G105="","",IFERROR(1/(1/INDEX(Map_Stats!$K$2:$K$779,MATCH($F105&amp;"|"&amp;$G105,Map_Stats!$A$2:$A$779,0))),$O105))</f>
        <v>0.66</v>
      </c>
      <c r="S105" s="10" t="n">
        <f aca="false">IF(OR($G105="",$P105=""),"",IFERROR(1/(1/INDEX(Map_Stats!$I$2:$I$779,MATCH($F105&amp;"|"&amp;$G105,Map_Stats!$A$2:$A$779,0))),$P105))</f>
        <v>0.487</v>
      </c>
      <c r="T105" s="13" t="n">
        <f aca="false">IF(OR($G105="",R105=""),"",IF($O105="",R105,(Q105*R105+Config!$B$4*$O105)/(Q105+Config!$B$4)))</f>
        <v>0.649285714285714</v>
      </c>
      <c r="U105" s="10" t="n">
        <f aca="false">IF(S105="","",(Q105*S105+Config!$B$4*$P105)/(Q105+Config!$B$4))</f>
        <v>0.508071428571429</v>
      </c>
      <c r="V105" s="17" t="n">
        <f aca="false">IF(OR(T105="",$J105=""),"",T105*$J105*($J105/Config!$B$10)^Config!$B$9)</f>
        <v>13.3687928571429</v>
      </c>
      <c r="W105" s="17" t="n">
        <f aca="false">IF(OR(V105="",U105=""),"",V105*U105)</f>
        <v>6.79230168520408</v>
      </c>
      <c r="X105" s="9" t="n">
        <f aca="false">IF($H105="",0,SUMIFS(Map_Stats!$F$2:$F$779,Map_Stats!$A$2:$A$779,$F105&amp;"|"&amp;$H105))</f>
        <v>7</v>
      </c>
      <c r="Y105" s="13" t="n">
        <f aca="false">IF($H105="","",IFERROR(1/(1/INDEX(Map_Stats!$K$2:$K$779,MATCH($F105&amp;"|"&amp;$H105,Map_Stats!$A$2:$A$779,0))),$O105))</f>
        <v>0.71</v>
      </c>
      <c r="Z105" s="10" t="n">
        <f aca="false">IF(OR($H105="",$P105=""),"",IFERROR(1/(1/INDEX(Map_Stats!$I$2:$I$779,MATCH($F105&amp;"|"&amp;$H105,Map_Stats!$A$2:$A$779,0))),$P105))</f>
        <v>0.537</v>
      </c>
      <c r="AA105" s="13" t="n">
        <f aca="false">IF(OR($H105="",Y105=""),"",IF($O105="",Y105,(X105*Y105+Config!$B$4*$O105)/(X105+Config!$B$4)))</f>
        <v>0.676666666666667</v>
      </c>
      <c r="AB105" s="10" t="n">
        <f aca="false">IF(Z105="","",(X105*Z105+Config!$B$4*$P105)/(X105+Config!$B$4))</f>
        <v>0.54075</v>
      </c>
      <c r="AC105" s="17" t="n">
        <f aca="false">IF(OR(AA105="",$K105=""),"",AA105*$K105*($K105/Config!$B$10)^Config!$B$9)</f>
        <v>13.7295666666667</v>
      </c>
      <c r="AD105" s="17" t="n">
        <f aca="false">IF(OR(AC105="",AB105=""),"",AC105*AB105)</f>
        <v>7.424263175</v>
      </c>
      <c r="AE105" s="9" t="n">
        <f aca="false">IF($I105="",0,SUMIFS(Map_Stats!$F$2:$F$779,Map_Stats!$A$2:$A$779,$F105&amp;"|"&amp;$I105))</f>
        <v>4</v>
      </c>
      <c r="AF105" s="13" t="n">
        <f aca="false">IF($I105="","",IFERROR(1/(1/INDEX(Map_Stats!$K$2:$K$779,MATCH($F105&amp;"|"&amp;$I105,Map_Stats!$A$2:$A$779,0))),$O105))</f>
        <v>0.35</v>
      </c>
      <c r="AG105" s="10" t="n">
        <f aca="false">IF(OR($I105="",$P105=""),"",IFERROR(1/(1/INDEX(Map_Stats!$I$2:$I$779,MATCH($F105&amp;"|"&amp;$I105,Map_Stats!$A$2:$A$779,0))),$P105))</f>
        <v>0.538</v>
      </c>
      <c r="AH105" s="13" t="n">
        <f aca="false">IF(OR($I105="",AF105=""),"",IF($O105="",AF105,(AE105*AF105+Config!$B$4*$O105)/(AE105+Config!$B$4)))</f>
        <v>0.505555555555556</v>
      </c>
      <c r="AI105" s="10" t="n">
        <f aca="false">IF(AG105="","",(AE105*AG105+Config!$B$4*$P105)/(AE105+Config!$B$4))</f>
        <v>0.542444444444444</v>
      </c>
      <c r="AJ105" s="17" t="n">
        <f aca="false">IF(OR(AH105="",$L105=""),"",AH105*$L105*($L105/Config!$B$10)^Config!$B$9)</f>
        <v>10.4093888888889</v>
      </c>
      <c r="AK105" s="17" t="n">
        <f aca="false">IF(OR(AJ105="",AI105=""),"",AJ105*AI105)</f>
        <v>5.64651517283951</v>
      </c>
      <c r="AL105" s="17" t="n">
        <f aca="false">N(V105)+N(AC105)</f>
        <v>27.0983595238095</v>
      </c>
      <c r="AM105" s="17" t="n">
        <f aca="false">AL105+N($M105)*N(AJ105)</f>
        <v>30.5376216126984</v>
      </c>
      <c r="AN105" s="17" t="n">
        <f aca="false">IF(W105="","",N(W105)+N(AD105))</f>
        <v>14.2165648602041</v>
      </c>
      <c r="AO105" s="17" t="n">
        <f aca="false">IF(AN105="","",AN105+N($M105)*N(AK105))</f>
        <v>16.0821734733103</v>
      </c>
      <c r="AP105" s="10" t="n">
        <f aca="false">IFERROR(AN105/AL105,"")</f>
        <v>0.524628247245481</v>
      </c>
      <c r="AQ105" s="0" t="str">
        <f aca="false">TRIM(IF($N105&lt;Config!$B$12,"thin sample ("&amp;$N105&amp;" maps) · ","")&amp;IF(AND($G105&lt;&gt;"",Q105=0),"M1 unplayed→overall KPR · ","")&amp;IF(AND($H105&lt;&gt;"",X105=0),"M2 unplayed→overall KPR · ","")&amp;IF($O105="","no PickFinder stats",""))</f>
        <v/>
      </c>
      <c r="AR105" s="0" t="str">
        <f aca="false">IF($C105=Board!$B$2,COUNTIFS($C$2:$C$124,Board!$B$2,$AL$2:$AL$124,"&gt;"&amp;$AL105)+COUNTIFS($C$1:$C104,Board!$B$2,$AL$1:$AL104,$AL105)+1,"")</f>
        <v/>
      </c>
      <c r="AS105" s="0" t="str">
        <f aca="false">IFERROR(IF($D105=INDEX(Matches!$AD$5:$AD$19,MATCH($C105,Matches!$A$5:$A$19,0)),"A",IF($D105=INDEX(Matches!$AE$5:$AE$19,MATCH($C105,Matches!$A$5:$A$19,0)),"B","")),"")</f>
        <v>B</v>
      </c>
      <c r="AT105" s="10" t="n">
        <f aca="false">IF($AS105="","",IFERROR(IF($AS105="A",INDEX(Matches!$AI$5:$AI$19,MATCH($C105,Matches!$A$5:$A$19,0)),INDEX(Matches!$AJ$5:$AJ$19,MATCH($C105,Matches!$A$5:$A$19,0))),""))</f>
        <v>0.518492509363296</v>
      </c>
      <c r="AU105" s="10" t="n">
        <f aca="false">IF($AS105="","",IFERROR(IF(INDEX(Matches!$AP$5:$AP$19,MATCH($C105,Matches!$A$5:$A$19,0))="","",IF($AS105="A",INDEX(Matches!$AP$5:$AP$19,MATCH($C105,Matches!$A$5:$A$19,0)),1-INDEX(Matches!$AP$5:$AP$19,MATCH($C105,Matches!$A$5:$A$19,0)))),""))</f>
        <v>0.402765158089249</v>
      </c>
      <c r="AV105" s="13" t="n">
        <f aca="false">IF(OR($AU105="",$AT105=""),1,((Config!$B$14*$AU105+Config!$B$15*(1-$AU105))/(Config!$B$14*$AT105+Config!$B$15*(1-$AT105)))^Config!$B$13)</f>
        <v>0.89826525817976</v>
      </c>
      <c r="AW105" s="10" t="n">
        <f aca="false">IF($AS105="","",IFERROR(IF(INDEX(Matches!$AV$5:$AV$19,MATCH($C105,Matches!$A$5:$A$19,0))="","",IF($AS105="A",INDEX(Matches!$AV$5:$AV$19,MATCH($C105,Matches!$A$5:$A$19,0)),1-INDEX(Matches!$AV$5:$AV$19,MATCH($C105,Matches!$A$5:$A$19,0)))),""))</f>
        <v>0.424643482290551</v>
      </c>
      <c r="AX105" s="13" t="n">
        <f aca="false">IF(OR($AW105="",$AT105=""),1,((Config!$B$14*$AW105+Config!$B$15*(1-$AW105))/(Config!$B$14*$AT105+Config!$B$15*(1-$AT105)))^Config!$B$13)</f>
        <v>0.917498271288375</v>
      </c>
      <c r="AY105" s="10" t="n">
        <f aca="false">IF($AS105="","",IFERROR(IF(INDEX(Matches!$BB$5:$BB$19,MATCH($C105,Matches!$A$5:$A$19,0))="","",IF($AS105="A",INDEX(Matches!$BB$5:$BB$19,MATCH($C105,Matches!$A$5:$A$19,0)),1-INDEX(Matches!$BB$5:$BB$19,MATCH($C105,Matches!$A$5:$A$19,0)))),""))</f>
        <v>0.427977193806139</v>
      </c>
      <c r="AZ105" s="13" t="n">
        <f aca="false">IF(OR($AY105="",$AT105=""),1,((Config!$B$14*$AY105+Config!$B$15*(1-$AY105))/(Config!$B$14*$AT105+Config!$B$15*(1-$AT105)))^Config!$B$13)</f>
        <v>0.920428903300666</v>
      </c>
      <c r="BA105" s="17" t="n">
        <f aca="false">IF(V105="","",V105*$AV105)</f>
        <v>12.0087221673732</v>
      </c>
      <c r="BB105" s="17" t="n">
        <f aca="false">IF(AC105="","",AC105*$AX105)</f>
        <v>12.5968536822052</v>
      </c>
      <c r="BC105" s="17" t="n">
        <f aca="false">IF(AJ105="","",AJ105*$AZ105)</f>
        <v>9.58110239903014</v>
      </c>
      <c r="BD105" s="17" t="n">
        <f aca="false">N(BA105)+N(BB105)</f>
        <v>24.6055758495783</v>
      </c>
      <c r="BE105" s="17" t="n">
        <f aca="false">BD105+N($M105)*N(BC105)</f>
        <v>27.7711720822179</v>
      </c>
      <c r="BF105" s="17" t="n">
        <f aca="false">IF(W105="","",W105*$AV105)</f>
        <v>6.10128862689466</v>
      </c>
      <c r="BG105" s="17" t="n">
        <f aca="false">IF(AD105="","",AD105*$AX105)</f>
        <v>6.81174862865244</v>
      </c>
      <c r="BH105" s="17" t="n">
        <f aca="false">IF(AK105="","",AK105*$AZ105)</f>
        <v>5.19721576800724</v>
      </c>
      <c r="BI105" s="17" t="n">
        <f aca="false">IF(BF105="","",N(BF105)+N(BG105))</f>
        <v>12.9130372555471</v>
      </c>
      <c r="BJ105" s="17" t="n">
        <f aca="false">IF(BI105="","",BI105+N($M105)*N(BH105))</f>
        <v>14.6301973452967</v>
      </c>
      <c r="BK105" s="13" t="n">
        <f aca="false">IFERROR(BD105/AL105,1)</f>
        <v>0.908009794023105</v>
      </c>
    </row>
    <row r="106" customFormat="false" ht="15" hidden="false" customHeight="false" outlineLevel="0" collapsed="false">
      <c r="A106" s="0" t="s">
        <v>1358</v>
      </c>
      <c r="B106" s="0" t="s">
        <v>988</v>
      </c>
      <c r="C106" s="0" t="s">
        <v>1015</v>
      </c>
      <c r="D106" s="0" t="s">
        <v>1020</v>
      </c>
      <c r="E106" s="0" t="s">
        <v>1356</v>
      </c>
      <c r="F106" s="0" t="s">
        <v>1559</v>
      </c>
      <c r="G106" s="0" t="str">
        <f aca="false">IFERROR(IF(INDEX(Matches!$W$5:$W$19,MATCH($C106,Matches!$A$5:$A$19,0))="","",INDEX(Matches!$W$5:$W$19,MATCH($C106,Matches!$A$5:$A$19,0))),"")</f>
        <v>Dust2</v>
      </c>
      <c r="H106" s="0" t="str">
        <f aca="false">IFERROR(IF(INDEX(Matches!$X$5:$X$19,MATCH($C106,Matches!$A$5:$A$19,0))="","",INDEX(Matches!$X$5:$X$19,MATCH($C106,Matches!$A$5:$A$19,0))),"")</f>
        <v>Mirage</v>
      </c>
      <c r="I106" s="0" t="str">
        <f aca="false">IFERROR(IF(INDEX(Matches!$Y$5:$Y$19,MATCH($C106,Matches!$A$5:$A$19,0))="","",INDEX(Matches!$Y$5:$Y$19,MATCH($C106,Matches!$A$5:$A$19,0))),"")</f>
        <v>Inferno</v>
      </c>
      <c r="J106" s="11" t="n">
        <f aca="false">IFERROR(IF(INDEX(Matches!$Z$5:$Z$19,MATCH($C106,Matches!$A$5:$A$19,0))="","",INDEX(Matches!$Z$5:$Z$19,MATCH($C106,Matches!$A$5:$A$19,0))),"")</f>
        <v>21.05</v>
      </c>
      <c r="K106" s="11" t="n">
        <f aca="false">IFERROR(IF(INDEX(Matches!$AA$5:$AA$19,MATCH($C106,Matches!$A$5:$A$19,0))="","",INDEX(Matches!$AA$5:$AA$19,MATCH($C106,Matches!$A$5:$A$19,0))),"")</f>
        <v>20.71</v>
      </c>
      <c r="L106" s="11" t="n">
        <f aca="false">IFERROR(IF(INDEX(Matches!$AB$5:$AB$19,MATCH($C106,Matches!$A$5:$A$19,0))="","",INDEX(Matches!$AB$5:$AB$19,MATCH($C106,Matches!$A$5:$A$19,0))),"")</f>
        <v>20.89</v>
      </c>
      <c r="M106" s="10" t="n">
        <f aca="false">IFERROR(IF(INDEX(Matches!$AC$5:$AC$19,MATCH($C106,Matches!$A$5:$A$19,0))="","",INDEX(Matches!$AC$5:$AC$19,MATCH($C106,Matches!$A$5:$A$19,0))),"")</f>
        <v>0.402</v>
      </c>
      <c r="N106" s="9" t="n">
        <f aca="false">IFERROR(INDEX(Players!$F$2:$F$124,MATCH($F106,Players!$A$2:$A$124,0)),0)</f>
        <v>35</v>
      </c>
      <c r="O106" s="13" t="n">
        <f aca="false">IFERROR(1/(1/INDEX(Players!$H$2:$H$124,MATCH($F106,Players!$A$2:$A$124,0))),"")</f>
        <v>0.81</v>
      </c>
      <c r="P106" s="10" t="n">
        <f aca="false">IFERROR(1/(1/INDEX(Players!$I$2:$I$124,MATCH($F106,Players!$A$2:$A$124,0))),"")</f>
        <v>0.377</v>
      </c>
      <c r="Q106" s="9" t="n">
        <f aca="false">IF($G106="",0,SUMIFS(Map_Stats!$F$2:$F$779,Map_Stats!$A$2:$A$779,$F106&amp;"|"&amp;$G106))</f>
        <v>5</v>
      </c>
      <c r="R106" s="13" t="n">
        <f aca="false">IF($G106="","",IFERROR(1/(1/INDEX(Map_Stats!$K$2:$K$779,MATCH($F106&amp;"|"&amp;$G106,Map_Stats!$A$2:$A$779,0))),$O106))</f>
        <v>0.82</v>
      </c>
      <c r="S106" s="10" t="n">
        <f aca="false">IF(OR($G106="",$P106=""),"",IFERROR(1/(1/INDEX(Map_Stats!$I$2:$I$779,MATCH($F106&amp;"|"&amp;$G106,Map_Stats!$A$2:$A$779,0))),$P106))</f>
        <v>0.477</v>
      </c>
      <c r="T106" s="13" t="n">
        <f aca="false">IF(OR($G106="",R106=""),"",IF($O106="",R106,(Q106*R106+Config!$B$4*$O106)/(Q106+Config!$B$4)))</f>
        <v>0.815</v>
      </c>
      <c r="U106" s="10" t="n">
        <f aca="false">IF(S106="","",(Q106*S106+Config!$B$4*$P106)/(Q106+Config!$B$4))</f>
        <v>0.427</v>
      </c>
      <c r="V106" s="17" t="n">
        <f aca="false">IF(OR(T106="",$J106=""),"",T106*$J106*($J106/Config!$B$10)^Config!$B$9)</f>
        <v>17.15575</v>
      </c>
      <c r="W106" s="17" t="n">
        <f aca="false">IF(OR(V106="",U106=""),"",V106*U106)</f>
        <v>7.32550525</v>
      </c>
      <c r="X106" s="9" t="n">
        <f aca="false">IF($H106="",0,SUMIFS(Map_Stats!$F$2:$F$779,Map_Stats!$A$2:$A$779,$F106&amp;"|"&amp;$H106))</f>
        <v>8</v>
      </c>
      <c r="Y106" s="13" t="n">
        <f aca="false">IF($H106="","",IFERROR(1/(1/INDEX(Map_Stats!$K$2:$K$779,MATCH($F106&amp;"|"&amp;$H106,Map_Stats!$A$2:$A$779,0))),$O106))</f>
        <v>0.91</v>
      </c>
      <c r="Z106" s="10" t="n">
        <f aca="false">IF(OR($H106="",$P106=""),"",IFERROR(1/(1/INDEX(Map_Stats!$I$2:$I$779,MATCH($F106&amp;"|"&amp;$H106,Map_Stats!$A$2:$A$779,0))),$P106))</f>
        <v>0.453</v>
      </c>
      <c r="AA106" s="13" t="n">
        <f aca="false">IF(OR($H106="",Y106=""),"",IF($O106="",Y106,(X106*Y106+Config!$B$4*$O106)/(X106+Config!$B$4)))</f>
        <v>0.871538461538462</v>
      </c>
      <c r="AB106" s="10" t="n">
        <f aca="false">IF(Z106="","",(X106*Z106+Config!$B$4*$P106)/(X106+Config!$B$4))</f>
        <v>0.423769230769231</v>
      </c>
      <c r="AC106" s="17" t="n">
        <f aca="false">IF(OR(AA106="",$K106=""),"",AA106*$K106*($K106/Config!$B$10)^Config!$B$9)</f>
        <v>18.0495615384615</v>
      </c>
      <c r="AD106" s="17" t="n">
        <f aca="false">IF(OR(AC106="",AB106=""),"",AC106*AB106)</f>
        <v>7.64884880887574</v>
      </c>
      <c r="AE106" s="9" t="n">
        <f aca="false">IF($I106="",0,SUMIFS(Map_Stats!$F$2:$F$779,Map_Stats!$A$2:$A$779,$F106&amp;"|"&amp;$I106))</f>
        <v>10</v>
      </c>
      <c r="AF106" s="13" t="n">
        <f aca="false">IF($I106="","",IFERROR(1/(1/INDEX(Map_Stats!$K$2:$K$779,MATCH($F106&amp;"|"&amp;$I106,Map_Stats!$A$2:$A$779,0))),$O106))</f>
        <v>0.79</v>
      </c>
      <c r="AG106" s="10" t="n">
        <f aca="false">IF(OR($I106="",$P106=""),"",IFERROR(1/(1/INDEX(Map_Stats!$I$2:$I$779,MATCH($F106&amp;"|"&amp;$I106,Map_Stats!$A$2:$A$779,0))),$P106))</f>
        <v>0.297</v>
      </c>
      <c r="AH106" s="13" t="n">
        <f aca="false">IF(OR($I106="",AF106=""),"",IF($O106="",AF106,(AE106*AF106+Config!$B$4*$O106)/(AE106+Config!$B$4)))</f>
        <v>0.796666666666667</v>
      </c>
      <c r="AI106" s="10" t="n">
        <f aca="false">IF(AG106="","",(AE106*AG106+Config!$B$4*$P106)/(AE106+Config!$B$4))</f>
        <v>0.323666666666667</v>
      </c>
      <c r="AJ106" s="17" t="n">
        <f aca="false">IF(OR(AH106="",$L106=""),"",AH106*$L106*($L106/Config!$B$10)^Config!$B$9)</f>
        <v>16.6423666666667</v>
      </c>
      <c r="AK106" s="17" t="n">
        <f aca="false">IF(OR(AJ106="",AI106=""),"",AJ106*AI106)</f>
        <v>5.38657934444445</v>
      </c>
      <c r="AL106" s="17" t="n">
        <f aca="false">N(V106)+N(AC106)</f>
        <v>35.2053115384615</v>
      </c>
      <c r="AM106" s="17" t="n">
        <f aca="false">AL106+N($M106)*N(AJ106)</f>
        <v>41.8955429384615</v>
      </c>
      <c r="AN106" s="17" t="n">
        <f aca="false">IF(W106="","",N(W106)+N(AD106))</f>
        <v>14.9743540588757</v>
      </c>
      <c r="AO106" s="17" t="n">
        <f aca="false">IF(AN106="","",AN106+N($M106)*N(AK106))</f>
        <v>17.1397589553424</v>
      </c>
      <c r="AP106" s="10" t="n">
        <f aca="false">IFERROR(AN106/AL106,"")</f>
        <v>0.425343603124102</v>
      </c>
      <c r="AQ106" s="0" t="str">
        <f aca="false">TRIM(IF($N106&lt;Config!$B$12,"thin sample ("&amp;$N106&amp;" maps) · ","")&amp;IF(AND($G106&lt;&gt;"",Q106=0),"M1 unplayed→overall KPR · ","")&amp;IF(AND($H106&lt;&gt;"",X106=0),"M2 unplayed→overall KPR · ","")&amp;IF($O106="","no PickFinder stats",""))</f>
        <v/>
      </c>
      <c r="AR106" s="0" t="str">
        <f aca="false">IF($C106=Board!$B$2,COUNTIFS($C$2:$C$124,Board!$B$2,$AL$2:$AL$124,"&gt;"&amp;$AL106)+COUNTIFS($C$1:$C105,Board!$B$2,$AL$1:$AL105,$AL106)+1,"")</f>
        <v/>
      </c>
      <c r="AS106" s="0" t="str">
        <f aca="false">IFERROR(IF($D106=INDEX(Matches!$AD$5:$AD$19,MATCH($C106,Matches!$A$5:$A$19,0)),"A",IF($D106=INDEX(Matches!$AE$5:$AE$19,MATCH($C106,Matches!$A$5:$A$19,0)),"B","")),"")</f>
        <v>B</v>
      </c>
      <c r="AT106" s="10" t="n">
        <f aca="false">IF($AS106="","",IFERROR(IF($AS106="A",INDEX(Matches!$AI$5:$AI$19,MATCH($C106,Matches!$A$5:$A$19,0)),INDEX(Matches!$AJ$5:$AJ$19,MATCH($C106,Matches!$A$5:$A$19,0))),""))</f>
        <v>0.524071011824904</v>
      </c>
      <c r="AU106" s="10" t="n">
        <f aca="false">IF($AS106="","",IFERROR(IF(INDEX(Matches!$AP$5:$AP$19,MATCH($C106,Matches!$A$5:$A$19,0))="","",IF($AS106="A",INDEX(Matches!$AP$5:$AP$19,MATCH($C106,Matches!$A$5:$A$19,0)),1-INDEX(Matches!$AP$5:$AP$19,MATCH($C106,Matches!$A$5:$A$19,0)))),""))</f>
        <v>0.439439104655265</v>
      </c>
      <c r="AV106" s="13" t="n">
        <f aca="false">IF(OR($AU106="",$AT106=""),1,((Config!$B$14*$AU106+Config!$B$15*(1-$AU106))/(Config!$B$14*$AT106+Config!$B$15*(1-$AT106)))^Config!$B$13)</f>
        <v>0.925964020807673</v>
      </c>
      <c r="AW106" s="10" t="n">
        <f aca="false">IF($AS106="","",IFERROR(IF(INDEX(Matches!$AV$5:$AV$19,MATCH($C106,Matches!$A$5:$A$19,0))="","",IF($AS106="A",INDEX(Matches!$AV$5:$AV$19,MATCH($C106,Matches!$A$5:$A$19,0)),1-INDEX(Matches!$AV$5:$AV$19,MATCH($C106,Matches!$A$5:$A$19,0)))),""))</f>
        <v>0.439674554463874</v>
      </c>
      <c r="AX106" s="13" t="n">
        <f aca="false">IF(OR($AW106="",$AT106=""),1,((Config!$B$14*$AW106+Config!$B$15*(1-$AW106))/(Config!$B$14*$AT106+Config!$B$15*(1-$AT106)))^Config!$B$13)</f>
        <v>0.926169992263522</v>
      </c>
      <c r="AY106" s="10" t="n">
        <f aca="false">IF($AS106="","",IFERROR(IF(INDEX(Matches!$BB$5:$BB$19,MATCH($C106,Matches!$A$5:$A$19,0))="","",IF($AS106="A",INDEX(Matches!$BB$5:$BB$19,MATCH($C106,Matches!$A$5:$A$19,0)),1-INDEX(Matches!$BB$5:$BB$19,MATCH($C106,Matches!$A$5:$A$19,0)))),""))</f>
        <v>0.425224117442643</v>
      </c>
      <c r="AZ106" s="13" t="n">
        <f aca="false">IF(OR($AY106="",$AT106=""),1,((Config!$B$14*$AY106+Config!$B$15*(1-$AY106))/(Config!$B$14*$AT106+Config!$B$15*(1-$AT106)))^Config!$B$13)</f>
        <v>0.913528752211122</v>
      </c>
      <c r="BA106" s="17" t="n">
        <f aca="false">IF(V106="","",V106*$AV106)</f>
        <v>15.8856072499712</v>
      </c>
      <c r="BB106" s="17" t="n">
        <f aca="false">IF(AC106="","",AC106*$AX106)</f>
        <v>16.7169622704369</v>
      </c>
      <c r="BC106" s="17" t="n">
        <f aca="false">IF(AJ106="","",AJ106*$AZ106)</f>
        <v>15.20328045484</v>
      </c>
      <c r="BD106" s="17" t="n">
        <f aca="false">N(BA106)+N(BB106)</f>
        <v>32.6025695204081</v>
      </c>
      <c r="BE106" s="17" t="n">
        <f aca="false">BD106+N($M106)*N(BC106)</f>
        <v>38.7142882632538</v>
      </c>
      <c r="BF106" s="17" t="n">
        <f aca="false">IF(W106="","",W106*$AV106)</f>
        <v>6.78315429573772</v>
      </c>
      <c r="BG106" s="17" t="n">
        <f aca="false">IF(AD106="","",AD106*$AX106)</f>
        <v>7.0841342421413</v>
      </c>
      <c r="BH106" s="17" t="n">
        <f aca="false">IF(AK106="","",AK106*$AZ106)</f>
        <v>4.92079510721654</v>
      </c>
      <c r="BI106" s="17" t="n">
        <f aca="false">IF(BF106="","",N(BF106)+N(BG106))</f>
        <v>13.867288537879</v>
      </c>
      <c r="BJ106" s="17" t="n">
        <f aca="false">IF(BI106="","",BI106+N($M106)*N(BH106))</f>
        <v>15.8454481709801</v>
      </c>
      <c r="BK106" s="13" t="n">
        <f aca="false">IFERROR(BD106/AL106,1)</f>
        <v>0.926069621193099</v>
      </c>
    </row>
    <row r="107" customFormat="false" ht="15" hidden="false" customHeight="false" outlineLevel="0" collapsed="false">
      <c r="A107" s="0" t="s">
        <v>1362</v>
      </c>
      <c r="B107" s="0" t="s">
        <v>988</v>
      </c>
      <c r="C107" s="0" t="s">
        <v>1015</v>
      </c>
      <c r="D107" s="0" t="s">
        <v>1020</v>
      </c>
      <c r="E107" s="0" t="s">
        <v>1360</v>
      </c>
      <c r="F107" s="0" t="s">
        <v>1560</v>
      </c>
      <c r="G107" s="0" t="str">
        <f aca="false">IFERROR(IF(INDEX(Matches!$W$5:$W$19,MATCH($C107,Matches!$A$5:$A$19,0))="","",INDEX(Matches!$W$5:$W$19,MATCH($C107,Matches!$A$5:$A$19,0))),"")</f>
        <v>Dust2</v>
      </c>
      <c r="H107" s="0" t="str">
        <f aca="false">IFERROR(IF(INDEX(Matches!$X$5:$X$19,MATCH($C107,Matches!$A$5:$A$19,0))="","",INDEX(Matches!$X$5:$X$19,MATCH($C107,Matches!$A$5:$A$19,0))),"")</f>
        <v>Mirage</v>
      </c>
      <c r="I107" s="0" t="str">
        <f aca="false">IFERROR(IF(INDEX(Matches!$Y$5:$Y$19,MATCH($C107,Matches!$A$5:$A$19,0))="","",INDEX(Matches!$Y$5:$Y$19,MATCH($C107,Matches!$A$5:$A$19,0))),"")</f>
        <v>Inferno</v>
      </c>
      <c r="J107" s="11" t="n">
        <f aca="false">IFERROR(IF(INDEX(Matches!$Z$5:$Z$19,MATCH($C107,Matches!$A$5:$A$19,0))="","",INDEX(Matches!$Z$5:$Z$19,MATCH($C107,Matches!$A$5:$A$19,0))),"")</f>
        <v>21.05</v>
      </c>
      <c r="K107" s="11" t="n">
        <f aca="false">IFERROR(IF(INDEX(Matches!$AA$5:$AA$19,MATCH($C107,Matches!$A$5:$A$19,0))="","",INDEX(Matches!$AA$5:$AA$19,MATCH($C107,Matches!$A$5:$A$19,0))),"")</f>
        <v>20.71</v>
      </c>
      <c r="L107" s="11" t="n">
        <f aca="false">IFERROR(IF(INDEX(Matches!$AB$5:$AB$19,MATCH($C107,Matches!$A$5:$A$19,0))="","",INDEX(Matches!$AB$5:$AB$19,MATCH($C107,Matches!$A$5:$A$19,0))),"")</f>
        <v>20.89</v>
      </c>
      <c r="M107" s="10" t="n">
        <f aca="false">IFERROR(IF(INDEX(Matches!$AC$5:$AC$19,MATCH($C107,Matches!$A$5:$A$19,0))="","",INDEX(Matches!$AC$5:$AC$19,MATCH($C107,Matches!$A$5:$A$19,0))),"")</f>
        <v>0.402</v>
      </c>
      <c r="N107" s="9" t="n">
        <f aca="false">IFERROR(INDEX(Players!$F$2:$F$124,MATCH($F107,Players!$A$2:$A$124,0)),0)</f>
        <v>35</v>
      </c>
      <c r="O107" s="13" t="n">
        <f aca="false">IFERROR(1/(1/INDEX(Players!$H$2:$H$124,MATCH($F107,Players!$A$2:$A$124,0))),"")</f>
        <v>0.7</v>
      </c>
      <c r="P107" s="10" t="n">
        <f aca="false">IFERROR(1/(1/INDEX(Players!$I$2:$I$124,MATCH($F107,Players!$A$2:$A$124,0))),"")</f>
        <v>0.449</v>
      </c>
      <c r="Q107" s="9" t="n">
        <f aca="false">IF($G107="",0,SUMIFS(Map_Stats!$F$2:$F$779,Map_Stats!$A$2:$A$779,$F107&amp;"|"&amp;$G107))</f>
        <v>5</v>
      </c>
      <c r="R107" s="13" t="n">
        <f aca="false">IF($G107="","",IFERROR(1/(1/INDEX(Map_Stats!$K$2:$K$779,MATCH($F107&amp;"|"&amp;$G107,Map_Stats!$A$2:$A$779,0))),$O107))</f>
        <v>0.75</v>
      </c>
      <c r="S107" s="10" t="n">
        <f aca="false">IF(OR($G107="",$P107=""),"",IFERROR(1/(1/INDEX(Map_Stats!$I$2:$I$779,MATCH($F107&amp;"|"&amp;$G107,Map_Stats!$A$2:$A$779,0))),$P107))</f>
        <v>0.494</v>
      </c>
      <c r="T107" s="13" t="n">
        <f aca="false">IF(OR($G107="",R107=""),"",IF($O107="",R107,(Q107*R107+Config!$B$4*$O107)/(Q107+Config!$B$4)))</f>
        <v>0.725</v>
      </c>
      <c r="U107" s="10" t="n">
        <f aca="false">IF(S107="","",(Q107*S107+Config!$B$4*$P107)/(Q107+Config!$B$4))</f>
        <v>0.4715</v>
      </c>
      <c r="V107" s="17" t="n">
        <f aca="false">IF(OR(T107="",$J107=""),"",T107*$J107*($J107/Config!$B$10)^Config!$B$9)</f>
        <v>15.26125</v>
      </c>
      <c r="W107" s="17" t="n">
        <f aca="false">IF(OR(V107="",U107=""),"",V107*U107)</f>
        <v>7.195679375</v>
      </c>
      <c r="X107" s="9" t="n">
        <f aca="false">IF($H107="",0,SUMIFS(Map_Stats!$F$2:$F$779,Map_Stats!$A$2:$A$779,$F107&amp;"|"&amp;$H107))</f>
        <v>8</v>
      </c>
      <c r="Y107" s="13" t="n">
        <f aca="false">IF($H107="","",IFERROR(1/(1/INDEX(Map_Stats!$K$2:$K$779,MATCH($F107&amp;"|"&amp;$H107,Map_Stats!$A$2:$A$779,0))),$O107))</f>
        <v>0.74</v>
      </c>
      <c r="Z107" s="10" t="n">
        <f aca="false">IF(OR($H107="",$P107=""),"",IFERROR(1/(1/INDEX(Map_Stats!$I$2:$I$779,MATCH($F107&amp;"|"&amp;$H107,Map_Stats!$A$2:$A$779,0))),$P107))</f>
        <v>0.516</v>
      </c>
      <c r="AA107" s="13" t="n">
        <f aca="false">IF(OR($H107="",Y107=""),"",IF($O107="",Y107,(X107*Y107+Config!$B$4*$O107)/(X107+Config!$B$4)))</f>
        <v>0.724615384615385</v>
      </c>
      <c r="AB107" s="10" t="n">
        <f aca="false">IF(Z107="","",(X107*Z107+Config!$B$4*$P107)/(X107+Config!$B$4))</f>
        <v>0.490230769230769</v>
      </c>
      <c r="AC107" s="17" t="n">
        <f aca="false">IF(OR(AA107="",$K107=""),"",AA107*$K107*($K107/Config!$B$10)^Config!$B$9)</f>
        <v>15.0067846153846</v>
      </c>
      <c r="AD107" s="17" t="n">
        <f aca="false">IF(OR(AC107="",AB107=""),"",AC107*AB107)</f>
        <v>7.35678756568048</v>
      </c>
      <c r="AE107" s="9" t="n">
        <f aca="false">IF($I107="",0,SUMIFS(Map_Stats!$F$2:$F$779,Map_Stats!$A$2:$A$779,$F107&amp;"|"&amp;$I107))</f>
        <v>10</v>
      </c>
      <c r="AF107" s="13" t="n">
        <f aca="false">IF($I107="","",IFERROR(1/(1/INDEX(Map_Stats!$K$2:$K$779,MATCH($F107&amp;"|"&amp;$I107,Map_Stats!$A$2:$A$779,0))),$O107))</f>
        <v>0.62</v>
      </c>
      <c r="AG107" s="10" t="n">
        <f aca="false">IF(OR($I107="",$P107=""),"",IFERROR(1/(1/INDEX(Map_Stats!$I$2:$I$779,MATCH($F107&amp;"|"&amp;$I107,Map_Stats!$A$2:$A$779,0))),$P107))</f>
        <v>0.427</v>
      </c>
      <c r="AH107" s="13" t="n">
        <f aca="false">IF(OR($I107="",AF107=""),"",IF($O107="",AF107,(AE107*AF107+Config!$B$4*$O107)/(AE107+Config!$B$4)))</f>
        <v>0.646666666666667</v>
      </c>
      <c r="AI107" s="10" t="n">
        <f aca="false">IF(AG107="","",(AE107*AG107+Config!$B$4*$P107)/(AE107+Config!$B$4))</f>
        <v>0.434333333333333</v>
      </c>
      <c r="AJ107" s="17" t="n">
        <f aca="false">IF(OR(AH107="",$L107=""),"",AH107*$L107*($L107/Config!$B$10)^Config!$B$9)</f>
        <v>13.5088666666667</v>
      </c>
      <c r="AK107" s="17" t="n">
        <f aca="false">IF(OR(AJ107="",AI107=""),"",AJ107*AI107)</f>
        <v>5.86735108888889</v>
      </c>
      <c r="AL107" s="17" t="n">
        <f aca="false">N(V107)+N(AC107)</f>
        <v>30.2680346153846</v>
      </c>
      <c r="AM107" s="17" t="n">
        <f aca="false">AL107+N($M107)*N(AJ107)</f>
        <v>35.6985990153846</v>
      </c>
      <c r="AN107" s="17" t="n">
        <f aca="false">IF(W107="","",N(W107)+N(AD107))</f>
        <v>14.5524669406805</v>
      </c>
      <c r="AO107" s="17" t="n">
        <f aca="false">IF(AN107="","",AN107+N($M107)*N(AK107))</f>
        <v>16.9111420784138</v>
      </c>
      <c r="AP107" s="10" t="n">
        <f aca="false">IFERROR(AN107/AL107,"")</f>
        <v>0.480786649202646</v>
      </c>
      <c r="AQ107" s="0" t="str">
        <f aca="false">TRIM(IF($N107&lt;Config!$B$12,"thin sample ("&amp;$N107&amp;" maps) · ","")&amp;IF(AND($G107&lt;&gt;"",Q107=0),"M1 unplayed→overall KPR · ","")&amp;IF(AND($H107&lt;&gt;"",X107=0),"M2 unplayed→overall KPR · ","")&amp;IF($O107="","no PickFinder stats",""))</f>
        <v/>
      </c>
      <c r="AR107" s="0" t="str">
        <f aca="false">IF($C107=Board!$B$2,COUNTIFS($C$2:$C$124,Board!$B$2,$AL$2:$AL$124,"&gt;"&amp;$AL107)+COUNTIFS($C$1:$C106,Board!$B$2,$AL$1:$AL106,$AL107)+1,"")</f>
        <v/>
      </c>
      <c r="AS107" s="0" t="str">
        <f aca="false">IFERROR(IF($D107=INDEX(Matches!$AD$5:$AD$19,MATCH($C107,Matches!$A$5:$A$19,0)),"A",IF($D107=INDEX(Matches!$AE$5:$AE$19,MATCH($C107,Matches!$A$5:$A$19,0)),"B","")),"")</f>
        <v>B</v>
      </c>
      <c r="AT107" s="10" t="n">
        <f aca="false">IF($AS107="","",IFERROR(IF($AS107="A",INDEX(Matches!$AI$5:$AI$19,MATCH($C107,Matches!$A$5:$A$19,0)),INDEX(Matches!$AJ$5:$AJ$19,MATCH($C107,Matches!$A$5:$A$19,0))),""))</f>
        <v>0.524071011824904</v>
      </c>
      <c r="AU107" s="10" t="n">
        <f aca="false">IF($AS107="","",IFERROR(IF(INDEX(Matches!$AP$5:$AP$19,MATCH($C107,Matches!$A$5:$A$19,0))="","",IF($AS107="A",INDEX(Matches!$AP$5:$AP$19,MATCH($C107,Matches!$A$5:$A$19,0)),1-INDEX(Matches!$AP$5:$AP$19,MATCH($C107,Matches!$A$5:$A$19,0)))),""))</f>
        <v>0.439439104655265</v>
      </c>
      <c r="AV107" s="13" t="n">
        <f aca="false">IF(OR($AU107="",$AT107=""),1,((Config!$B$14*$AU107+Config!$B$15*(1-$AU107))/(Config!$B$14*$AT107+Config!$B$15*(1-$AT107)))^Config!$B$13)</f>
        <v>0.925964020807673</v>
      </c>
      <c r="AW107" s="10" t="n">
        <f aca="false">IF($AS107="","",IFERROR(IF(INDEX(Matches!$AV$5:$AV$19,MATCH($C107,Matches!$A$5:$A$19,0))="","",IF($AS107="A",INDEX(Matches!$AV$5:$AV$19,MATCH($C107,Matches!$A$5:$A$19,0)),1-INDEX(Matches!$AV$5:$AV$19,MATCH($C107,Matches!$A$5:$A$19,0)))),""))</f>
        <v>0.439674554463874</v>
      </c>
      <c r="AX107" s="13" t="n">
        <f aca="false">IF(OR($AW107="",$AT107=""),1,((Config!$B$14*$AW107+Config!$B$15*(1-$AW107))/(Config!$B$14*$AT107+Config!$B$15*(1-$AT107)))^Config!$B$13)</f>
        <v>0.926169992263522</v>
      </c>
      <c r="AY107" s="10" t="n">
        <f aca="false">IF($AS107="","",IFERROR(IF(INDEX(Matches!$BB$5:$BB$19,MATCH($C107,Matches!$A$5:$A$19,0))="","",IF($AS107="A",INDEX(Matches!$BB$5:$BB$19,MATCH($C107,Matches!$A$5:$A$19,0)),1-INDEX(Matches!$BB$5:$BB$19,MATCH($C107,Matches!$A$5:$A$19,0)))),""))</f>
        <v>0.425224117442643</v>
      </c>
      <c r="AZ107" s="13" t="n">
        <f aca="false">IF(OR($AY107="",$AT107=""),1,((Config!$B$14*$AY107+Config!$B$15*(1-$AY107))/(Config!$B$14*$AT107+Config!$B$15*(1-$AT107)))^Config!$B$13)</f>
        <v>0.913528752211122</v>
      </c>
      <c r="BA107" s="17" t="n">
        <f aca="false">IF(V107="","",V107*$AV107)</f>
        <v>14.1313684125511</v>
      </c>
      <c r="BB107" s="17" t="n">
        <f aca="false">IF(AC107="","",AC107*$AX107)</f>
        <v>13.8988335911311</v>
      </c>
      <c r="BC107" s="17" t="n">
        <f aca="false">IF(AJ107="","",AJ107*$AZ107)</f>
        <v>12.3407381097864</v>
      </c>
      <c r="BD107" s="17" t="n">
        <f aca="false">N(BA107)+N(BB107)</f>
        <v>28.0302020036822</v>
      </c>
      <c r="BE107" s="17" t="n">
        <f aca="false">BD107+N($M107)*N(BC107)</f>
        <v>32.9911787238164</v>
      </c>
      <c r="BF107" s="17" t="n">
        <f aca="false">IF(W107="","",W107*$AV107)</f>
        <v>6.66294020651784</v>
      </c>
      <c r="BG107" s="17" t="n">
        <f aca="false">IF(AD107="","",AD107*$AX107)</f>
        <v>6.81363588279066</v>
      </c>
      <c r="BH107" s="17" t="n">
        <f aca="false">IF(AK107="","",AK107*$AZ107)</f>
        <v>5.35999391901724</v>
      </c>
      <c r="BI107" s="17" t="n">
        <f aca="false">IF(BF107="","",N(BF107)+N(BG107))</f>
        <v>13.4765760893085</v>
      </c>
      <c r="BJ107" s="17" t="n">
        <f aca="false">IF(BI107="","",BI107+N($M107)*N(BH107))</f>
        <v>15.6312936447534</v>
      </c>
      <c r="BK107" s="13" t="n">
        <f aca="false">IFERROR(BD107/AL107,1)</f>
        <v>0.926066140727718</v>
      </c>
    </row>
    <row r="108" customFormat="false" ht="15" hidden="false" customHeight="false" outlineLevel="0" collapsed="false">
      <c r="A108" s="0" t="s">
        <v>1364</v>
      </c>
      <c r="B108" s="0" t="s">
        <v>988</v>
      </c>
      <c r="C108" s="0" t="s">
        <v>1015</v>
      </c>
      <c r="D108" s="0" t="s">
        <v>1020</v>
      </c>
      <c r="E108" s="0" t="s">
        <v>1363</v>
      </c>
      <c r="F108" s="0" t="s">
        <v>1561</v>
      </c>
      <c r="G108" s="0" t="str">
        <f aca="false">IFERROR(IF(INDEX(Matches!$W$5:$W$19,MATCH($C108,Matches!$A$5:$A$19,0))="","",INDEX(Matches!$W$5:$W$19,MATCH($C108,Matches!$A$5:$A$19,0))),"")</f>
        <v>Dust2</v>
      </c>
      <c r="H108" s="0" t="str">
        <f aca="false">IFERROR(IF(INDEX(Matches!$X$5:$X$19,MATCH($C108,Matches!$A$5:$A$19,0))="","",INDEX(Matches!$X$5:$X$19,MATCH($C108,Matches!$A$5:$A$19,0))),"")</f>
        <v>Mirage</v>
      </c>
      <c r="I108" s="0" t="str">
        <f aca="false">IFERROR(IF(INDEX(Matches!$Y$5:$Y$19,MATCH($C108,Matches!$A$5:$A$19,0))="","",INDEX(Matches!$Y$5:$Y$19,MATCH($C108,Matches!$A$5:$A$19,0))),"")</f>
        <v>Inferno</v>
      </c>
      <c r="J108" s="11" t="n">
        <f aca="false">IFERROR(IF(INDEX(Matches!$Z$5:$Z$19,MATCH($C108,Matches!$A$5:$A$19,0))="","",INDEX(Matches!$Z$5:$Z$19,MATCH($C108,Matches!$A$5:$A$19,0))),"")</f>
        <v>21.05</v>
      </c>
      <c r="K108" s="11" t="n">
        <f aca="false">IFERROR(IF(INDEX(Matches!$AA$5:$AA$19,MATCH($C108,Matches!$A$5:$A$19,0))="","",INDEX(Matches!$AA$5:$AA$19,MATCH($C108,Matches!$A$5:$A$19,0))),"")</f>
        <v>20.71</v>
      </c>
      <c r="L108" s="11" t="n">
        <f aca="false">IFERROR(IF(INDEX(Matches!$AB$5:$AB$19,MATCH($C108,Matches!$A$5:$A$19,0))="","",INDEX(Matches!$AB$5:$AB$19,MATCH($C108,Matches!$A$5:$A$19,0))),"")</f>
        <v>20.89</v>
      </c>
      <c r="M108" s="10" t="n">
        <f aca="false">IFERROR(IF(INDEX(Matches!$AC$5:$AC$19,MATCH($C108,Matches!$A$5:$A$19,0))="","",INDEX(Matches!$AC$5:$AC$19,MATCH($C108,Matches!$A$5:$A$19,0))),"")</f>
        <v>0.402</v>
      </c>
      <c r="N108" s="9" t="n">
        <f aca="false">IFERROR(INDEX(Players!$F$2:$F$124,MATCH($F108,Players!$A$2:$A$124,0)),0)</f>
        <v>38</v>
      </c>
      <c r="O108" s="13" t="n">
        <f aca="false">IFERROR(1/(1/INDEX(Players!$H$2:$H$124,MATCH($F108,Players!$A$2:$A$124,0))),"")</f>
        <v>0.69</v>
      </c>
      <c r="P108" s="10" t="n">
        <f aca="false">IFERROR(1/(1/INDEX(Players!$I$2:$I$124,MATCH($F108,Players!$A$2:$A$124,0))),"")</f>
        <v>0.594</v>
      </c>
      <c r="Q108" s="9" t="n">
        <f aca="false">IF($G108="",0,SUMIFS(Map_Stats!$F$2:$F$779,Map_Stats!$A$2:$A$779,$F108&amp;"|"&amp;$G108))</f>
        <v>5</v>
      </c>
      <c r="R108" s="13" t="n">
        <f aca="false">IF($G108="","",IFERROR(1/(1/INDEX(Map_Stats!$K$2:$K$779,MATCH($F108&amp;"|"&amp;$G108,Map_Stats!$A$2:$A$779,0))),$O108))</f>
        <v>0.6</v>
      </c>
      <c r="S108" s="10" t="n">
        <f aca="false">IF(OR($G108="",$P108=""),"",IFERROR(1/(1/INDEX(Map_Stats!$I$2:$I$779,MATCH($F108&amp;"|"&amp;$G108,Map_Stats!$A$2:$A$779,0))),$P108))</f>
        <v>0.612</v>
      </c>
      <c r="T108" s="13" t="n">
        <f aca="false">IF(OR($G108="",R108=""),"",IF($O108="",R108,(Q108*R108+Config!$B$4*$O108)/(Q108+Config!$B$4)))</f>
        <v>0.645</v>
      </c>
      <c r="U108" s="10" t="n">
        <f aca="false">IF(S108="","",(Q108*S108+Config!$B$4*$P108)/(Q108+Config!$B$4))</f>
        <v>0.603</v>
      </c>
      <c r="V108" s="17" t="n">
        <f aca="false">IF(OR(T108="",$J108=""),"",T108*$J108*($J108/Config!$B$10)^Config!$B$9)</f>
        <v>13.57725</v>
      </c>
      <c r="W108" s="17" t="n">
        <f aca="false">IF(OR(V108="",U108=""),"",V108*U108)</f>
        <v>8.18708175</v>
      </c>
      <c r="X108" s="9" t="n">
        <f aca="false">IF($H108="",0,SUMIFS(Map_Stats!$F$2:$F$779,Map_Stats!$A$2:$A$779,$F108&amp;"|"&amp;$H108))</f>
        <v>9</v>
      </c>
      <c r="Y108" s="13" t="n">
        <f aca="false">IF($H108="","",IFERROR(1/(1/INDEX(Map_Stats!$K$2:$K$779,MATCH($F108&amp;"|"&amp;$H108,Map_Stats!$A$2:$A$779,0))),$O108))</f>
        <v>0.6</v>
      </c>
      <c r="Z108" s="10" t="n">
        <f aca="false">IF(OR($H108="",$P108=""),"",IFERROR(1/(1/INDEX(Map_Stats!$I$2:$I$779,MATCH($F108&amp;"|"&amp;$H108,Map_Stats!$A$2:$A$779,0))),$P108))</f>
        <v>0.655</v>
      </c>
      <c r="AA108" s="13" t="n">
        <f aca="false">IF(OR($H108="",Y108=""),"",IF($O108="",Y108,(X108*Y108+Config!$B$4*$O108)/(X108+Config!$B$4)))</f>
        <v>0.632142857142857</v>
      </c>
      <c r="AB108" s="10" t="n">
        <f aca="false">IF(Z108="","",(X108*Z108+Config!$B$4*$P108)/(X108+Config!$B$4))</f>
        <v>0.633214285714286</v>
      </c>
      <c r="AC108" s="17" t="n">
        <f aca="false">IF(OR(AA108="",$K108=""),"",AA108*$K108*($K108/Config!$B$10)^Config!$B$9)</f>
        <v>13.0916785714286</v>
      </c>
      <c r="AD108" s="17" t="n">
        <f aca="false">IF(OR(AC108="",AB108=""),"",AC108*AB108)</f>
        <v>8.28983789540816</v>
      </c>
      <c r="AE108" s="9" t="n">
        <f aca="false">IF($I108="",0,SUMIFS(Map_Stats!$F$2:$F$779,Map_Stats!$A$2:$A$779,$F108&amp;"|"&amp;$I108))</f>
        <v>9</v>
      </c>
      <c r="AF108" s="13" t="n">
        <f aca="false">IF($I108="","",IFERROR(1/(1/INDEX(Map_Stats!$K$2:$K$779,MATCH($F108&amp;"|"&amp;$I108,Map_Stats!$A$2:$A$779,0))),$O108))</f>
        <v>0.71</v>
      </c>
      <c r="AG108" s="10" t="n">
        <f aca="false">IF(OR($I108="",$P108=""),"",IFERROR(1/(1/INDEX(Map_Stats!$I$2:$I$779,MATCH($F108&amp;"|"&amp;$I108,Map_Stats!$A$2:$A$779,0))),$P108))</f>
        <v>0.549</v>
      </c>
      <c r="AH108" s="13" t="n">
        <f aca="false">IF(OR($I108="",AF108=""),"",IF($O108="",AF108,(AE108*AF108+Config!$B$4*$O108)/(AE108+Config!$B$4)))</f>
        <v>0.702857142857143</v>
      </c>
      <c r="AI108" s="10" t="n">
        <f aca="false">IF(AG108="","",(AE108*AG108+Config!$B$4*$P108)/(AE108+Config!$B$4))</f>
        <v>0.565071428571428</v>
      </c>
      <c r="AJ108" s="17" t="n">
        <f aca="false">IF(OR(AH108="",$L108=""),"",AH108*$L108*($L108/Config!$B$10)^Config!$B$9)</f>
        <v>14.6826857142857</v>
      </c>
      <c r="AK108" s="17" t="n">
        <f aca="false">IF(OR(AJ108="",AI108=""),"",AJ108*AI108)</f>
        <v>8.29676619183673</v>
      </c>
      <c r="AL108" s="17" t="n">
        <f aca="false">N(V108)+N(AC108)</f>
        <v>26.6689285714286</v>
      </c>
      <c r="AM108" s="17" t="n">
        <f aca="false">AL108+N($M108)*N(AJ108)</f>
        <v>32.5713682285714</v>
      </c>
      <c r="AN108" s="17" t="n">
        <f aca="false">IF(W108="","",N(W108)+N(AD108))</f>
        <v>16.4769196454082</v>
      </c>
      <c r="AO108" s="17" t="n">
        <f aca="false">IF(AN108="","",AN108+N($M108)*N(AK108))</f>
        <v>19.8122196545265</v>
      </c>
      <c r="AP108" s="10" t="n">
        <f aca="false">IFERROR(AN108/AL108,"")</f>
        <v>0.617832081303053</v>
      </c>
      <c r="AQ108" s="0" t="str">
        <f aca="false">TRIM(IF($N108&lt;Config!$B$12,"thin sample ("&amp;$N108&amp;" maps) · ","")&amp;IF(AND($G108&lt;&gt;"",Q108=0),"M1 unplayed→overall KPR · ","")&amp;IF(AND($H108&lt;&gt;"",X108=0),"M2 unplayed→overall KPR · ","")&amp;IF($O108="","no PickFinder stats",""))</f>
        <v/>
      </c>
      <c r="AR108" s="0" t="str">
        <f aca="false">IF($C108=Board!$B$2,COUNTIFS($C$2:$C$124,Board!$B$2,$AL$2:$AL$124,"&gt;"&amp;$AL108)+COUNTIFS($C$1:$C107,Board!$B$2,$AL$1:$AL107,$AL108)+1,"")</f>
        <v/>
      </c>
      <c r="AS108" s="0" t="str">
        <f aca="false">IFERROR(IF($D108=INDEX(Matches!$AD$5:$AD$19,MATCH($C108,Matches!$A$5:$A$19,0)),"A",IF($D108=INDEX(Matches!$AE$5:$AE$19,MATCH($C108,Matches!$A$5:$A$19,0)),"B","")),"")</f>
        <v>B</v>
      </c>
      <c r="AT108" s="10" t="n">
        <f aca="false">IF($AS108="","",IFERROR(IF($AS108="A",INDEX(Matches!$AI$5:$AI$19,MATCH($C108,Matches!$A$5:$A$19,0)),INDEX(Matches!$AJ$5:$AJ$19,MATCH($C108,Matches!$A$5:$A$19,0))),""))</f>
        <v>0.524071011824904</v>
      </c>
      <c r="AU108" s="10" t="n">
        <f aca="false">IF($AS108="","",IFERROR(IF(INDEX(Matches!$AP$5:$AP$19,MATCH($C108,Matches!$A$5:$A$19,0))="","",IF($AS108="A",INDEX(Matches!$AP$5:$AP$19,MATCH($C108,Matches!$A$5:$A$19,0)),1-INDEX(Matches!$AP$5:$AP$19,MATCH($C108,Matches!$A$5:$A$19,0)))),""))</f>
        <v>0.439439104655265</v>
      </c>
      <c r="AV108" s="13" t="n">
        <f aca="false">IF(OR($AU108="",$AT108=""),1,((Config!$B$14*$AU108+Config!$B$15*(1-$AU108))/(Config!$B$14*$AT108+Config!$B$15*(1-$AT108)))^Config!$B$13)</f>
        <v>0.925964020807673</v>
      </c>
      <c r="AW108" s="10" t="n">
        <f aca="false">IF($AS108="","",IFERROR(IF(INDEX(Matches!$AV$5:$AV$19,MATCH($C108,Matches!$A$5:$A$19,0))="","",IF($AS108="A",INDEX(Matches!$AV$5:$AV$19,MATCH($C108,Matches!$A$5:$A$19,0)),1-INDEX(Matches!$AV$5:$AV$19,MATCH($C108,Matches!$A$5:$A$19,0)))),""))</f>
        <v>0.439674554463874</v>
      </c>
      <c r="AX108" s="13" t="n">
        <f aca="false">IF(OR($AW108="",$AT108=""),1,((Config!$B$14*$AW108+Config!$B$15*(1-$AW108))/(Config!$B$14*$AT108+Config!$B$15*(1-$AT108)))^Config!$B$13)</f>
        <v>0.926169992263522</v>
      </c>
      <c r="AY108" s="10" t="n">
        <f aca="false">IF($AS108="","",IFERROR(IF(INDEX(Matches!$BB$5:$BB$19,MATCH($C108,Matches!$A$5:$A$19,0))="","",IF($AS108="A",INDEX(Matches!$BB$5:$BB$19,MATCH($C108,Matches!$A$5:$A$19,0)),1-INDEX(Matches!$BB$5:$BB$19,MATCH($C108,Matches!$A$5:$A$19,0)))),""))</f>
        <v>0.425224117442643</v>
      </c>
      <c r="AZ108" s="13" t="n">
        <f aca="false">IF(OR($AY108="",$AT108=""),1,((Config!$B$14*$AY108+Config!$B$15*(1-$AY108))/(Config!$B$14*$AT108+Config!$B$15*(1-$AT108)))^Config!$B$13)</f>
        <v>0.913528752211122</v>
      </c>
      <c r="BA108" s="17" t="n">
        <f aca="false">IF(V108="","",V108*$AV108)</f>
        <v>12.572045001511</v>
      </c>
      <c r="BB108" s="17" t="n">
        <f aca="false">IF(AC108="","",AC108*$AX108)</f>
        <v>12.1251198412165</v>
      </c>
      <c r="BC108" s="17" t="n">
        <f aca="false">IF(AJ108="","",AJ108*$AZ108)</f>
        <v>13.4130555596795</v>
      </c>
      <c r="BD108" s="17" t="n">
        <f aca="false">N(BA108)+N(BB108)</f>
        <v>24.6971648427275</v>
      </c>
      <c r="BE108" s="17" t="n">
        <f aca="false">BD108+N($M108)*N(BC108)</f>
        <v>30.0892131777187</v>
      </c>
      <c r="BF108" s="17" t="n">
        <f aca="false">IF(W108="","",W108*$AV108)</f>
        <v>7.58094313591112</v>
      </c>
      <c r="BG108" s="17" t="n">
        <f aca="false">IF(AD108="","",AD108*$AX108)</f>
        <v>7.67779909945603</v>
      </c>
      <c r="BH108" s="17" t="n">
        <f aca="false">IF(AK108="","",AK108*$AZ108)</f>
        <v>7.57933446661603</v>
      </c>
      <c r="BI108" s="17" t="n">
        <f aca="false">IF(BF108="","",N(BF108)+N(BG108))</f>
        <v>15.2587422353672</v>
      </c>
      <c r="BJ108" s="17" t="n">
        <f aca="false">IF(BI108="","",BI108+N($M108)*N(BH108))</f>
        <v>18.3056346909468</v>
      </c>
      <c r="BK108" s="13" t="n">
        <f aca="false">IFERROR(BD108/AL108,1)</f>
        <v>0.926065131434883</v>
      </c>
    </row>
    <row r="109" customFormat="false" ht="15" hidden="false" customHeight="false" outlineLevel="0" collapsed="false">
      <c r="A109" s="0" t="s">
        <v>1366</v>
      </c>
      <c r="B109" s="0" t="s">
        <v>988</v>
      </c>
      <c r="C109" s="0" t="s">
        <v>1015</v>
      </c>
      <c r="D109" s="0" t="s">
        <v>1020</v>
      </c>
      <c r="E109" s="0" t="s">
        <v>1365</v>
      </c>
      <c r="F109" s="0" t="s">
        <v>1562</v>
      </c>
      <c r="G109" s="0" t="str">
        <f aca="false">IFERROR(IF(INDEX(Matches!$W$5:$W$19,MATCH($C109,Matches!$A$5:$A$19,0))="","",INDEX(Matches!$W$5:$W$19,MATCH($C109,Matches!$A$5:$A$19,0))),"")</f>
        <v>Dust2</v>
      </c>
      <c r="H109" s="0" t="str">
        <f aca="false">IFERROR(IF(INDEX(Matches!$X$5:$X$19,MATCH($C109,Matches!$A$5:$A$19,0))="","",INDEX(Matches!$X$5:$X$19,MATCH($C109,Matches!$A$5:$A$19,0))),"")</f>
        <v>Mirage</v>
      </c>
      <c r="I109" s="0" t="str">
        <f aca="false">IFERROR(IF(INDEX(Matches!$Y$5:$Y$19,MATCH($C109,Matches!$A$5:$A$19,0))="","",INDEX(Matches!$Y$5:$Y$19,MATCH($C109,Matches!$A$5:$A$19,0))),"")</f>
        <v>Inferno</v>
      </c>
      <c r="J109" s="11" t="n">
        <f aca="false">IFERROR(IF(INDEX(Matches!$Z$5:$Z$19,MATCH($C109,Matches!$A$5:$A$19,0))="","",INDEX(Matches!$Z$5:$Z$19,MATCH($C109,Matches!$A$5:$A$19,0))),"")</f>
        <v>21.05</v>
      </c>
      <c r="K109" s="11" t="n">
        <f aca="false">IFERROR(IF(INDEX(Matches!$AA$5:$AA$19,MATCH($C109,Matches!$A$5:$A$19,0))="","",INDEX(Matches!$AA$5:$AA$19,MATCH($C109,Matches!$A$5:$A$19,0))),"")</f>
        <v>20.71</v>
      </c>
      <c r="L109" s="11" t="n">
        <f aca="false">IFERROR(IF(INDEX(Matches!$AB$5:$AB$19,MATCH($C109,Matches!$A$5:$A$19,0))="","",INDEX(Matches!$AB$5:$AB$19,MATCH($C109,Matches!$A$5:$A$19,0))),"")</f>
        <v>20.89</v>
      </c>
      <c r="M109" s="10" t="n">
        <f aca="false">IFERROR(IF(INDEX(Matches!$AC$5:$AC$19,MATCH($C109,Matches!$A$5:$A$19,0))="","",INDEX(Matches!$AC$5:$AC$19,MATCH($C109,Matches!$A$5:$A$19,0))),"")</f>
        <v>0.402</v>
      </c>
      <c r="N109" s="9" t="n">
        <f aca="false">IFERROR(INDEX(Players!$F$2:$F$124,MATCH($F109,Players!$A$2:$A$124,0)),0)</f>
        <v>37</v>
      </c>
      <c r="O109" s="13" t="n">
        <f aca="false">IFERROR(1/(1/INDEX(Players!$H$2:$H$124,MATCH($F109,Players!$A$2:$A$124,0))),"")</f>
        <v>0.67</v>
      </c>
      <c r="P109" s="10" t="n">
        <f aca="false">IFERROR(1/(1/INDEX(Players!$I$2:$I$124,MATCH($F109,Players!$A$2:$A$124,0))),"")</f>
        <v>0.557</v>
      </c>
      <c r="Q109" s="9" t="n">
        <f aca="false">IF($G109="",0,SUMIFS(Map_Stats!$F$2:$F$779,Map_Stats!$A$2:$A$779,$F109&amp;"|"&amp;$G109))</f>
        <v>7</v>
      </c>
      <c r="R109" s="13" t="n">
        <f aca="false">IF($G109="","",IFERROR(1/(1/INDEX(Map_Stats!$K$2:$K$779,MATCH($F109&amp;"|"&amp;$G109,Map_Stats!$A$2:$A$779,0))),$O109))</f>
        <v>0.72</v>
      </c>
      <c r="S109" s="10" t="n">
        <f aca="false">IF(OR($G109="",$P109=""),"",IFERROR(1/(1/INDEX(Map_Stats!$I$2:$I$779,MATCH($F109&amp;"|"&amp;$G109,Map_Stats!$A$2:$A$779,0))),$P109))</f>
        <v>0.574</v>
      </c>
      <c r="T109" s="13" t="n">
        <f aca="false">IF(OR($G109="",R109=""),"",IF($O109="",R109,(Q109*R109+Config!$B$4*$O109)/(Q109+Config!$B$4)))</f>
        <v>0.699166666666667</v>
      </c>
      <c r="U109" s="10" t="n">
        <f aca="false">IF(S109="","",(Q109*S109+Config!$B$4*$P109)/(Q109+Config!$B$4))</f>
        <v>0.566916666666667</v>
      </c>
      <c r="V109" s="17" t="n">
        <f aca="false">IF(OR(T109="",$J109=""),"",T109*$J109*($J109/Config!$B$10)^Config!$B$9)</f>
        <v>14.7174583333333</v>
      </c>
      <c r="W109" s="17" t="n">
        <f aca="false">IF(OR(V109="",U109=""),"",V109*U109)</f>
        <v>8.34357242013889</v>
      </c>
      <c r="X109" s="9" t="n">
        <f aca="false">IF($H109="",0,SUMIFS(Map_Stats!$F$2:$F$779,Map_Stats!$A$2:$A$779,$F109&amp;"|"&amp;$H109))</f>
        <v>7</v>
      </c>
      <c r="Y109" s="13" t="n">
        <f aca="false">IF($H109="","",IFERROR(1/(1/INDEX(Map_Stats!$K$2:$K$779,MATCH($F109&amp;"|"&amp;$H109,Map_Stats!$A$2:$A$779,0))),$O109))</f>
        <v>0.63</v>
      </c>
      <c r="Z109" s="10" t="n">
        <f aca="false">IF(OR($H109="",$P109=""),"",IFERROR(1/(1/INDEX(Map_Stats!$I$2:$I$779,MATCH($F109&amp;"|"&amp;$H109,Map_Stats!$A$2:$A$779,0))),$P109))</f>
        <v>0.557</v>
      </c>
      <c r="AA109" s="13" t="n">
        <f aca="false">IF(OR($H109="",Y109=""),"",IF($O109="",Y109,(X109*Y109+Config!$B$4*$O109)/(X109+Config!$B$4)))</f>
        <v>0.646666666666667</v>
      </c>
      <c r="AB109" s="10" t="n">
        <f aca="false">IF(Z109="","",(X109*Z109+Config!$B$4*$P109)/(X109+Config!$B$4))</f>
        <v>0.557</v>
      </c>
      <c r="AC109" s="17" t="n">
        <f aca="false">IF(OR(AA109="",$K109=""),"",AA109*$K109*($K109/Config!$B$10)^Config!$B$9)</f>
        <v>13.3924666666667</v>
      </c>
      <c r="AD109" s="17" t="n">
        <f aca="false">IF(OR(AC109="",AB109=""),"",AC109*AB109)</f>
        <v>7.45960393333333</v>
      </c>
      <c r="AE109" s="9" t="n">
        <f aca="false">IF($I109="",0,SUMIFS(Map_Stats!$F$2:$F$779,Map_Stats!$A$2:$A$779,$F109&amp;"|"&amp;$I109))</f>
        <v>8</v>
      </c>
      <c r="AF109" s="13" t="n">
        <f aca="false">IF($I109="","",IFERROR(1/(1/INDEX(Map_Stats!$K$2:$K$779,MATCH($F109&amp;"|"&amp;$I109,Map_Stats!$A$2:$A$779,0))),$O109))</f>
        <v>0.63</v>
      </c>
      <c r="AG109" s="10" t="n">
        <f aca="false">IF(OR($I109="",$P109=""),"",IFERROR(1/(1/INDEX(Map_Stats!$I$2:$I$779,MATCH($F109&amp;"|"&amp;$I109,Map_Stats!$A$2:$A$779,0))),$P109))</f>
        <v>0.556</v>
      </c>
      <c r="AH109" s="13" t="n">
        <f aca="false">IF(OR($I109="",AF109=""),"",IF($O109="",AF109,(AE109*AF109+Config!$B$4*$O109)/(AE109+Config!$B$4)))</f>
        <v>0.645384615384615</v>
      </c>
      <c r="AI109" s="10" t="n">
        <f aca="false">IF(AG109="","",(AE109*AG109+Config!$B$4*$P109)/(AE109+Config!$B$4))</f>
        <v>0.556384615384616</v>
      </c>
      <c r="AJ109" s="17" t="n">
        <f aca="false">IF(OR(AH109="",$L109=""),"",AH109*$L109*($L109/Config!$B$10)^Config!$B$9)</f>
        <v>13.4820846153846</v>
      </c>
      <c r="AK109" s="17" t="n">
        <f aca="false">IF(OR(AJ109="",AI109=""),"",AJ109*AI109)</f>
        <v>7.50122446331361</v>
      </c>
      <c r="AL109" s="17" t="n">
        <f aca="false">N(V109)+N(AC109)</f>
        <v>28.109925</v>
      </c>
      <c r="AM109" s="17" t="n">
        <f aca="false">AL109+N($M109)*N(AJ109)</f>
        <v>33.5297230153846</v>
      </c>
      <c r="AN109" s="17" t="n">
        <f aca="false">IF(W109="","",N(W109)+N(AD109))</f>
        <v>15.8031763534722</v>
      </c>
      <c r="AO109" s="17" t="n">
        <f aca="false">IF(AN109="","",AN109+N($M109)*N(AK109))</f>
        <v>18.8186685877243</v>
      </c>
      <c r="AP109" s="10" t="n">
        <f aca="false">IFERROR(AN109/AL109,"")</f>
        <v>0.562192049728778</v>
      </c>
      <c r="AQ109" s="0" t="str">
        <f aca="false">TRIM(IF($N109&lt;Config!$B$12,"thin sample ("&amp;$N109&amp;" maps) · ","")&amp;IF(AND($G109&lt;&gt;"",Q109=0),"M1 unplayed→overall KPR · ","")&amp;IF(AND($H109&lt;&gt;"",X109=0),"M2 unplayed→overall KPR · ","")&amp;IF($O109="","no PickFinder stats",""))</f>
        <v/>
      </c>
      <c r="AR109" s="0" t="str">
        <f aca="false">IF($C109=Board!$B$2,COUNTIFS($C$2:$C$124,Board!$B$2,$AL$2:$AL$124,"&gt;"&amp;$AL109)+COUNTIFS($C$1:$C108,Board!$B$2,$AL$1:$AL108,$AL109)+1,"")</f>
        <v/>
      </c>
      <c r="AS109" s="0" t="str">
        <f aca="false">IFERROR(IF($D109=INDEX(Matches!$AD$5:$AD$19,MATCH($C109,Matches!$A$5:$A$19,0)),"A",IF($D109=INDEX(Matches!$AE$5:$AE$19,MATCH($C109,Matches!$A$5:$A$19,0)),"B","")),"")</f>
        <v>B</v>
      </c>
      <c r="AT109" s="10" t="n">
        <f aca="false">IF($AS109="","",IFERROR(IF($AS109="A",INDEX(Matches!$AI$5:$AI$19,MATCH($C109,Matches!$A$5:$A$19,0)),INDEX(Matches!$AJ$5:$AJ$19,MATCH($C109,Matches!$A$5:$A$19,0))),""))</f>
        <v>0.524071011824904</v>
      </c>
      <c r="AU109" s="10" t="n">
        <f aca="false">IF($AS109="","",IFERROR(IF(INDEX(Matches!$AP$5:$AP$19,MATCH($C109,Matches!$A$5:$A$19,0))="","",IF($AS109="A",INDEX(Matches!$AP$5:$AP$19,MATCH($C109,Matches!$A$5:$A$19,0)),1-INDEX(Matches!$AP$5:$AP$19,MATCH($C109,Matches!$A$5:$A$19,0)))),""))</f>
        <v>0.439439104655265</v>
      </c>
      <c r="AV109" s="13" t="n">
        <f aca="false">IF(OR($AU109="",$AT109=""),1,((Config!$B$14*$AU109+Config!$B$15*(1-$AU109))/(Config!$B$14*$AT109+Config!$B$15*(1-$AT109)))^Config!$B$13)</f>
        <v>0.925964020807673</v>
      </c>
      <c r="AW109" s="10" t="n">
        <f aca="false">IF($AS109="","",IFERROR(IF(INDEX(Matches!$AV$5:$AV$19,MATCH($C109,Matches!$A$5:$A$19,0))="","",IF($AS109="A",INDEX(Matches!$AV$5:$AV$19,MATCH($C109,Matches!$A$5:$A$19,0)),1-INDEX(Matches!$AV$5:$AV$19,MATCH($C109,Matches!$A$5:$A$19,0)))),""))</f>
        <v>0.439674554463874</v>
      </c>
      <c r="AX109" s="13" t="n">
        <f aca="false">IF(OR($AW109="",$AT109=""),1,((Config!$B$14*$AW109+Config!$B$15*(1-$AW109))/(Config!$B$14*$AT109+Config!$B$15*(1-$AT109)))^Config!$B$13)</f>
        <v>0.926169992263522</v>
      </c>
      <c r="AY109" s="10" t="n">
        <f aca="false">IF($AS109="","",IFERROR(IF(INDEX(Matches!$BB$5:$BB$19,MATCH($C109,Matches!$A$5:$A$19,0))="","",IF($AS109="A",INDEX(Matches!$BB$5:$BB$19,MATCH($C109,Matches!$A$5:$A$19,0)),1-INDEX(Matches!$BB$5:$BB$19,MATCH($C109,Matches!$A$5:$A$19,0)))),""))</f>
        <v>0.425224117442643</v>
      </c>
      <c r="AZ109" s="13" t="n">
        <f aca="false">IF(OR($AY109="",$AT109=""),1,((Config!$B$14*$AY109+Config!$B$15*(1-$AY109))/(Config!$B$14*$AT109+Config!$B$15*(1-$AT109)))^Config!$B$13)</f>
        <v>0.913528752211122</v>
      </c>
      <c r="BA109" s="17" t="n">
        <f aca="false">IF(V109="","",V109*$AV109)</f>
        <v>13.6278368944027</v>
      </c>
      <c r="BB109" s="17" t="n">
        <f aca="false">IF(AC109="","",AC109*$AX109)</f>
        <v>12.4037007490561</v>
      </c>
      <c r="BC109" s="17" t="n">
        <f aca="false">IF(AJ109="","",AJ109*$AZ109)</f>
        <v>12.3162719358971</v>
      </c>
      <c r="BD109" s="17" t="n">
        <f aca="false">N(BA109)+N(BB109)</f>
        <v>26.0315376434589</v>
      </c>
      <c r="BE109" s="17" t="n">
        <f aca="false">BD109+N($M109)*N(BC109)</f>
        <v>30.9826789616895</v>
      </c>
      <c r="BF109" s="17" t="n">
        <f aca="false">IF(W109="","",W109*$AV109)</f>
        <v>7.72584786605181</v>
      </c>
      <c r="BG109" s="17" t="n">
        <f aca="false">IF(AD109="","",AD109*$AX109)</f>
        <v>6.90886131722427</v>
      </c>
      <c r="BH109" s="17" t="n">
        <f aca="false">IF(AK109="","",AK109*$AZ109)</f>
        <v>6.85258422402643</v>
      </c>
      <c r="BI109" s="17" t="n">
        <f aca="false">IF(BF109="","",N(BF109)+N(BG109))</f>
        <v>14.6347091832761</v>
      </c>
      <c r="BJ109" s="17" t="n">
        <f aca="false">IF(BI109="","",BI109+N($M109)*N(BH109))</f>
        <v>17.3894480413347</v>
      </c>
      <c r="BK109" s="13" t="n">
        <f aca="false">IFERROR(BD109/AL109,1)</f>
        <v>0.926062152192113</v>
      </c>
    </row>
    <row r="110" customFormat="false" ht="15" hidden="false" customHeight="false" outlineLevel="0" collapsed="false">
      <c r="A110" s="0" t="s">
        <v>1369</v>
      </c>
      <c r="B110" s="0" t="s">
        <v>988</v>
      </c>
      <c r="C110" s="0" t="s">
        <v>1015</v>
      </c>
      <c r="D110" s="0" t="s">
        <v>1020</v>
      </c>
      <c r="E110" s="0" t="s">
        <v>1367</v>
      </c>
      <c r="F110" s="0" t="s">
        <v>1563</v>
      </c>
      <c r="G110" s="0" t="str">
        <f aca="false">IFERROR(IF(INDEX(Matches!$W$5:$W$19,MATCH($C110,Matches!$A$5:$A$19,0))="","",INDEX(Matches!$W$5:$W$19,MATCH($C110,Matches!$A$5:$A$19,0))),"")</f>
        <v>Dust2</v>
      </c>
      <c r="H110" s="0" t="str">
        <f aca="false">IFERROR(IF(INDEX(Matches!$X$5:$X$19,MATCH($C110,Matches!$A$5:$A$19,0))="","",INDEX(Matches!$X$5:$X$19,MATCH($C110,Matches!$A$5:$A$19,0))),"")</f>
        <v>Mirage</v>
      </c>
      <c r="I110" s="0" t="str">
        <f aca="false">IFERROR(IF(INDEX(Matches!$Y$5:$Y$19,MATCH($C110,Matches!$A$5:$A$19,0))="","",INDEX(Matches!$Y$5:$Y$19,MATCH($C110,Matches!$A$5:$A$19,0))),"")</f>
        <v>Inferno</v>
      </c>
      <c r="J110" s="11" t="n">
        <f aca="false">IFERROR(IF(INDEX(Matches!$Z$5:$Z$19,MATCH($C110,Matches!$A$5:$A$19,0))="","",INDEX(Matches!$Z$5:$Z$19,MATCH($C110,Matches!$A$5:$A$19,0))),"")</f>
        <v>21.05</v>
      </c>
      <c r="K110" s="11" t="n">
        <f aca="false">IFERROR(IF(INDEX(Matches!$AA$5:$AA$19,MATCH($C110,Matches!$A$5:$A$19,0))="","",INDEX(Matches!$AA$5:$AA$19,MATCH($C110,Matches!$A$5:$A$19,0))),"")</f>
        <v>20.71</v>
      </c>
      <c r="L110" s="11" t="n">
        <f aca="false">IFERROR(IF(INDEX(Matches!$AB$5:$AB$19,MATCH($C110,Matches!$A$5:$A$19,0))="","",INDEX(Matches!$AB$5:$AB$19,MATCH($C110,Matches!$A$5:$A$19,0))),"")</f>
        <v>20.89</v>
      </c>
      <c r="M110" s="10" t="n">
        <f aca="false">IFERROR(IF(INDEX(Matches!$AC$5:$AC$19,MATCH($C110,Matches!$A$5:$A$19,0))="","",INDEX(Matches!$AC$5:$AC$19,MATCH($C110,Matches!$A$5:$A$19,0))),"")</f>
        <v>0.402</v>
      </c>
      <c r="N110" s="9" t="n">
        <f aca="false">IFERROR(INDEX(Players!$F$2:$F$124,MATCH($F110,Players!$A$2:$A$124,0)),0)</f>
        <v>35</v>
      </c>
      <c r="O110" s="13" t="n">
        <f aca="false">IFERROR(1/(1/INDEX(Players!$H$2:$H$124,MATCH($F110,Players!$A$2:$A$124,0))),"")</f>
        <v>0.57</v>
      </c>
      <c r="P110" s="10" t="n">
        <f aca="false">IFERROR(1/(1/INDEX(Players!$I$2:$I$124,MATCH($F110,Players!$A$2:$A$124,0))),"")</f>
        <v>0.634</v>
      </c>
      <c r="Q110" s="9" t="n">
        <f aca="false">IF($G110="",0,SUMIFS(Map_Stats!$F$2:$F$779,Map_Stats!$A$2:$A$779,$F110&amp;"|"&amp;$G110))</f>
        <v>6</v>
      </c>
      <c r="R110" s="13" t="n">
        <f aca="false">IF($G110="","",IFERROR(1/(1/INDEX(Map_Stats!$K$2:$K$779,MATCH($F110&amp;"|"&amp;$G110,Map_Stats!$A$2:$A$779,0))),$O110))</f>
        <v>0.66</v>
      </c>
      <c r="S110" s="10" t="n">
        <f aca="false">IF(OR($G110="",$P110=""),"",IFERROR(1/(1/INDEX(Map_Stats!$I$2:$I$779,MATCH($F110&amp;"|"&amp;$G110,Map_Stats!$A$2:$A$779,0))),$P110))</f>
        <v>0.645</v>
      </c>
      <c r="T110" s="13" t="n">
        <f aca="false">IF(OR($G110="",R110=""),"",IF($O110="",R110,(Q110*R110+Config!$B$4*$O110)/(Q110+Config!$B$4)))</f>
        <v>0.619090909090909</v>
      </c>
      <c r="U110" s="10" t="n">
        <f aca="false">IF(S110="","",(Q110*S110+Config!$B$4*$P110)/(Q110+Config!$B$4))</f>
        <v>0.64</v>
      </c>
      <c r="V110" s="17" t="n">
        <f aca="false">IF(OR(T110="",$J110=""),"",T110*$J110*($J110/Config!$B$10)^Config!$B$9)</f>
        <v>13.0318636363636</v>
      </c>
      <c r="W110" s="17" t="n">
        <f aca="false">IF(OR(V110="",U110=""),"",V110*U110)</f>
        <v>8.34039272727273</v>
      </c>
      <c r="X110" s="9" t="n">
        <f aca="false">IF($H110="",0,SUMIFS(Map_Stats!$F$2:$F$779,Map_Stats!$A$2:$A$779,$F110&amp;"|"&amp;$H110))</f>
        <v>7</v>
      </c>
      <c r="Y110" s="13" t="n">
        <f aca="false">IF($H110="","",IFERROR(1/(1/INDEX(Map_Stats!$K$2:$K$779,MATCH($F110&amp;"|"&amp;$H110,Map_Stats!$A$2:$A$779,0))),$O110))</f>
        <v>0.45</v>
      </c>
      <c r="Z110" s="10" t="n">
        <f aca="false">IF(OR($H110="",$P110=""),"",IFERROR(1/(1/INDEX(Map_Stats!$I$2:$I$779,MATCH($F110&amp;"|"&amp;$H110,Map_Stats!$A$2:$A$779,0))),$P110))</f>
        <v>0.73</v>
      </c>
      <c r="AA110" s="13" t="n">
        <f aca="false">IF(OR($H110="",Y110=""),"",IF($O110="",Y110,(X110*Y110+Config!$B$4*$O110)/(X110+Config!$B$4)))</f>
        <v>0.5</v>
      </c>
      <c r="AB110" s="10" t="n">
        <f aca="false">IF(Z110="","",(X110*Z110+Config!$B$4*$P110)/(X110+Config!$B$4))</f>
        <v>0.69</v>
      </c>
      <c r="AC110" s="17" t="n">
        <f aca="false">IF(OR(AA110="",$K110=""),"",AA110*$K110*($K110/Config!$B$10)^Config!$B$9)</f>
        <v>10.355</v>
      </c>
      <c r="AD110" s="17" t="n">
        <f aca="false">IF(OR(AC110="",AB110=""),"",AC110*AB110)</f>
        <v>7.14495</v>
      </c>
      <c r="AE110" s="9" t="n">
        <f aca="false">IF($I110="",0,SUMIFS(Map_Stats!$F$2:$F$779,Map_Stats!$A$2:$A$779,$F110&amp;"|"&amp;$I110))</f>
        <v>9</v>
      </c>
      <c r="AF110" s="13" t="n">
        <f aca="false">IF($I110="","",IFERROR(1/(1/INDEX(Map_Stats!$K$2:$K$779,MATCH($F110&amp;"|"&amp;$I110,Map_Stats!$A$2:$A$779,0))),$O110))</f>
        <v>0.65</v>
      </c>
      <c r="AG110" s="10" t="n">
        <f aca="false">IF(OR($I110="",$P110=""),"",IFERROR(1/(1/INDEX(Map_Stats!$I$2:$I$779,MATCH($F110&amp;"|"&amp;$I110,Map_Stats!$A$2:$A$779,0))),$P110))</f>
        <v>0.573</v>
      </c>
      <c r="AH110" s="13" t="n">
        <f aca="false">IF(OR($I110="",AF110=""),"",IF($O110="",AF110,(AE110*AF110+Config!$B$4*$O110)/(AE110+Config!$B$4)))</f>
        <v>0.621428571428571</v>
      </c>
      <c r="AI110" s="10" t="n">
        <f aca="false">IF(AG110="","",(AE110*AG110+Config!$B$4*$P110)/(AE110+Config!$B$4))</f>
        <v>0.594785714285714</v>
      </c>
      <c r="AJ110" s="17" t="n">
        <f aca="false">IF(OR(AH110="",$L110=""),"",AH110*$L110*($L110/Config!$B$10)^Config!$B$9)</f>
        <v>12.9816428571429</v>
      </c>
      <c r="AK110" s="17" t="n">
        <f aca="false">IF(OR(AJ110="",AI110=""),"",AJ110*AI110)</f>
        <v>7.72129571938775</v>
      </c>
      <c r="AL110" s="17" t="n">
        <f aca="false">N(V110)+N(AC110)</f>
        <v>23.3868636363636</v>
      </c>
      <c r="AM110" s="17" t="n">
        <f aca="false">AL110+N($M110)*N(AJ110)</f>
        <v>28.6054840649351</v>
      </c>
      <c r="AN110" s="17" t="n">
        <f aca="false">IF(W110="","",N(W110)+N(AD110))</f>
        <v>15.4853427272727</v>
      </c>
      <c r="AO110" s="17" t="n">
        <f aca="false">IF(AN110="","",AN110+N($M110)*N(AK110))</f>
        <v>18.5893036064666</v>
      </c>
      <c r="AP110" s="10" t="n">
        <f aca="false">IFERROR(AN110/AL110,"")</f>
        <v>0.662138496553038</v>
      </c>
      <c r="AQ110" s="0" t="str">
        <f aca="false">TRIM(IF($N110&lt;Config!$B$12,"thin sample ("&amp;$N110&amp;" maps) · ","")&amp;IF(AND($G110&lt;&gt;"",Q110=0),"M1 unplayed→overall KPR · ","")&amp;IF(AND($H110&lt;&gt;"",X110=0),"M2 unplayed→overall KPR · ","")&amp;IF($O110="","no PickFinder stats",""))</f>
        <v/>
      </c>
      <c r="AR110" s="0" t="str">
        <f aca="false">IF($C110=Board!$B$2,COUNTIFS($C$2:$C$124,Board!$B$2,$AL$2:$AL$124,"&gt;"&amp;$AL110)+COUNTIFS($C$1:$C109,Board!$B$2,$AL$1:$AL109,$AL110)+1,"")</f>
        <v/>
      </c>
      <c r="AS110" s="0" t="str">
        <f aca="false">IFERROR(IF($D110=INDEX(Matches!$AD$5:$AD$19,MATCH($C110,Matches!$A$5:$A$19,0)),"A",IF($D110=INDEX(Matches!$AE$5:$AE$19,MATCH($C110,Matches!$A$5:$A$19,0)),"B","")),"")</f>
        <v>B</v>
      </c>
      <c r="AT110" s="10" t="n">
        <f aca="false">IF($AS110="","",IFERROR(IF($AS110="A",INDEX(Matches!$AI$5:$AI$19,MATCH($C110,Matches!$A$5:$A$19,0)),INDEX(Matches!$AJ$5:$AJ$19,MATCH($C110,Matches!$A$5:$A$19,0))),""))</f>
        <v>0.524071011824904</v>
      </c>
      <c r="AU110" s="10" t="n">
        <f aca="false">IF($AS110="","",IFERROR(IF(INDEX(Matches!$AP$5:$AP$19,MATCH($C110,Matches!$A$5:$A$19,0))="","",IF($AS110="A",INDEX(Matches!$AP$5:$AP$19,MATCH($C110,Matches!$A$5:$A$19,0)),1-INDEX(Matches!$AP$5:$AP$19,MATCH($C110,Matches!$A$5:$A$19,0)))),""))</f>
        <v>0.439439104655265</v>
      </c>
      <c r="AV110" s="13" t="n">
        <f aca="false">IF(OR($AU110="",$AT110=""),1,((Config!$B$14*$AU110+Config!$B$15*(1-$AU110))/(Config!$B$14*$AT110+Config!$B$15*(1-$AT110)))^Config!$B$13)</f>
        <v>0.925964020807673</v>
      </c>
      <c r="AW110" s="10" t="n">
        <f aca="false">IF($AS110="","",IFERROR(IF(INDEX(Matches!$AV$5:$AV$19,MATCH($C110,Matches!$A$5:$A$19,0))="","",IF($AS110="A",INDEX(Matches!$AV$5:$AV$19,MATCH($C110,Matches!$A$5:$A$19,0)),1-INDEX(Matches!$AV$5:$AV$19,MATCH($C110,Matches!$A$5:$A$19,0)))),""))</f>
        <v>0.439674554463874</v>
      </c>
      <c r="AX110" s="13" t="n">
        <f aca="false">IF(OR($AW110="",$AT110=""),1,((Config!$B$14*$AW110+Config!$B$15*(1-$AW110))/(Config!$B$14*$AT110+Config!$B$15*(1-$AT110)))^Config!$B$13)</f>
        <v>0.926169992263522</v>
      </c>
      <c r="AY110" s="10" t="n">
        <f aca="false">IF($AS110="","",IFERROR(IF(INDEX(Matches!$BB$5:$BB$19,MATCH($C110,Matches!$A$5:$A$19,0))="","",IF($AS110="A",INDEX(Matches!$BB$5:$BB$19,MATCH($C110,Matches!$A$5:$A$19,0)),1-INDEX(Matches!$BB$5:$BB$19,MATCH($C110,Matches!$A$5:$A$19,0)))),""))</f>
        <v>0.425224117442643</v>
      </c>
      <c r="AZ110" s="13" t="n">
        <f aca="false">IF(OR($AY110="",$AT110=""),1,((Config!$B$14*$AY110+Config!$B$15*(1-$AY110))/(Config!$B$14*$AT110+Config!$B$15*(1-$AT110)))^Config!$B$13)</f>
        <v>0.913528752211122</v>
      </c>
      <c r="BA110" s="17" t="n">
        <f aca="false">IF(V110="","",V110*$AV110)</f>
        <v>12.0670368513446</v>
      </c>
      <c r="BB110" s="17" t="n">
        <f aca="false">IF(AC110="","",AC110*$AX110)</f>
        <v>9.59049026988877</v>
      </c>
      <c r="BC110" s="17" t="n">
        <f aca="false">IF(AJ110="","",AJ110*$AZ110)</f>
        <v>11.8591040009361</v>
      </c>
      <c r="BD110" s="17" t="n">
        <f aca="false">N(BA110)+N(BB110)</f>
        <v>21.6575271212333</v>
      </c>
      <c r="BE110" s="17" t="n">
        <f aca="false">BD110+N($M110)*N(BC110)</f>
        <v>26.4248869296097</v>
      </c>
      <c r="BF110" s="17" t="n">
        <f aca="false">IF(W110="","",W110*$AV110)</f>
        <v>7.72290358486053</v>
      </c>
      <c r="BG110" s="17" t="n">
        <f aca="false">IF(AD110="","",AD110*$AX110)</f>
        <v>6.61743828622325</v>
      </c>
      <c r="BH110" s="17" t="n">
        <f aca="false">IF(AK110="","",AK110*$AZ110)</f>
        <v>7.05362564398537</v>
      </c>
      <c r="BI110" s="17" t="n">
        <f aca="false">IF(BF110="","",N(BF110)+N(BG110))</f>
        <v>14.3403418710838</v>
      </c>
      <c r="BJ110" s="17" t="n">
        <f aca="false">IF(BI110="","",BI110+N($M110)*N(BH110))</f>
        <v>17.1758993799659</v>
      </c>
      <c r="BK110" s="13" t="n">
        <f aca="false">IFERROR(BD110/AL110,1)</f>
        <v>0.92605521877498</v>
      </c>
    </row>
    <row r="111" customFormat="false" ht="15" hidden="false" customHeight="false" outlineLevel="0" collapsed="false">
      <c r="A111" s="0" t="s">
        <v>1371</v>
      </c>
      <c r="B111" s="0" t="s">
        <v>988</v>
      </c>
      <c r="C111" s="0" t="s">
        <v>1015</v>
      </c>
      <c r="D111" s="0" t="s">
        <v>1019</v>
      </c>
      <c r="E111" s="0" t="s">
        <v>1370</v>
      </c>
      <c r="F111" s="0" t="s">
        <v>1564</v>
      </c>
      <c r="G111" s="0" t="str">
        <f aca="false">IFERROR(IF(INDEX(Matches!$W$5:$W$19,MATCH($C111,Matches!$A$5:$A$19,0))="","",INDEX(Matches!$W$5:$W$19,MATCH($C111,Matches!$A$5:$A$19,0))),"")</f>
        <v>Dust2</v>
      </c>
      <c r="H111" s="0" t="str">
        <f aca="false">IFERROR(IF(INDEX(Matches!$X$5:$X$19,MATCH($C111,Matches!$A$5:$A$19,0))="","",INDEX(Matches!$X$5:$X$19,MATCH($C111,Matches!$A$5:$A$19,0))),"")</f>
        <v>Mirage</v>
      </c>
      <c r="I111" s="0" t="str">
        <f aca="false">IFERROR(IF(INDEX(Matches!$Y$5:$Y$19,MATCH($C111,Matches!$A$5:$A$19,0))="","",INDEX(Matches!$Y$5:$Y$19,MATCH($C111,Matches!$A$5:$A$19,0))),"")</f>
        <v>Inferno</v>
      </c>
      <c r="J111" s="11" t="n">
        <f aca="false">IFERROR(IF(INDEX(Matches!$Z$5:$Z$19,MATCH($C111,Matches!$A$5:$A$19,0))="","",INDEX(Matches!$Z$5:$Z$19,MATCH($C111,Matches!$A$5:$A$19,0))),"")</f>
        <v>21.05</v>
      </c>
      <c r="K111" s="11" t="n">
        <f aca="false">IFERROR(IF(INDEX(Matches!$AA$5:$AA$19,MATCH($C111,Matches!$A$5:$A$19,0))="","",INDEX(Matches!$AA$5:$AA$19,MATCH($C111,Matches!$A$5:$A$19,0))),"")</f>
        <v>20.71</v>
      </c>
      <c r="L111" s="11" t="n">
        <f aca="false">IFERROR(IF(INDEX(Matches!$AB$5:$AB$19,MATCH($C111,Matches!$A$5:$A$19,0))="","",INDEX(Matches!$AB$5:$AB$19,MATCH($C111,Matches!$A$5:$A$19,0))),"")</f>
        <v>20.89</v>
      </c>
      <c r="M111" s="10" t="n">
        <f aca="false">IFERROR(IF(INDEX(Matches!$AC$5:$AC$19,MATCH($C111,Matches!$A$5:$A$19,0))="","",INDEX(Matches!$AC$5:$AC$19,MATCH($C111,Matches!$A$5:$A$19,0))),"")</f>
        <v>0.402</v>
      </c>
      <c r="N111" s="9" t="n">
        <f aca="false">IFERROR(INDEX(Players!$F$2:$F$124,MATCH($F111,Players!$A$2:$A$124,0)),0)</f>
        <v>38</v>
      </c>
      <c r="O111" s="13" t="n">
        <f aca="false">IFERROR(1/(1/INDEX(Players!$H$2:$H$124,MATCH($F111,Players!$A$2:$A$124,0))),"")</f>
        <v>0.69</v>
      </c>
      <c r="P111" s="10" t="n">
        <f aca="false">IFERROR(1/(1/INDEX(Players!$I$2:$I$124,MATCH($F111,Players!$A$2:$A$124,0))),"")</f>
        <v>0.546</v>
      </c>
      <c r="Q111" s="9" t="n">
        <f aca="false">IF($G111="",0,SUMIFS(Map_Stats!$F$2:$F$779,Map_Stats!$A$2:$A$779,$F111&amp;"|"&amp;$G111))</f>
        <v>9</v>
      </c>
      <c r="R111" s="13" t="n">
        <f aca="false">IF($G111="","",IFERROR(1/(1/INDEX(Map_Stats!$K$2:$K$779,MATCH($F111&amp;"|"&amp;$G111,Map_Stats!$A$2:$A$779,0))),$O111))</f>
        <v>0.75</v>
      </c>
      <c r="S111" s="10" t="n">
        <f aca="false">IF(OR($G111="",$P111=""),"",IFERROR(1/(1/INDEX(Map_Stats!$I$2:$I$779,MATCH($F111&amp;"|"&amp;$G111,Map_Stats!$A$2:$A$779,0))),$P111))</f>
        <v>0.572</v>
      </c>
      <c r="T111" s="13" t="n">
        <f aca="false">IF(OR($G111="",R111=""),"",IF($O111="",R111,(Q111*R111+Config!$B$4*$O111)/(Q111+Config!$B$4)))</f>
        <v>0.728571428571429</v>
      </c>
      <c r="U111" s="10" t="n">
        <f aca="false">IF(S111="","",(Q111*S111+Config!$B$4*$P111)/(Q111+Config!$B$4))</f>
        <v>0.562714285714286</v>
      </c>
      <c r="V111" s="17" t="n">
        <f aca="false">IF(OR(T111="",$J111=""),"",T111*$J111*($J111/Config!$B$10)^Config!$B$9)</f>
        <v>15.3364285714286</v>
      </c>
      <c r="W111" s="17" t="n">
        <f aca="false">IF(OR(V111="",U111=""),"",V111*U111)</f>
        <v>8.63002744897959</v>
      </c>
      <c r="X111" s="9" t="n">
        <f aca="false">IF($H111="",0,SUMIFS(Map_Stats!$F$2:$F$779,Map_Stats!$A$2:$A$779,$F111&amp;"|"&amp;$H111))</f>
        <v>8</v>
      </c>
      <c r="Y111" s="13" t="n">
        <f aca="false">IF($H111="","",IFERROR(1/(1/INDEX(Map_Stats!$K$2:$K$779,MATCH($F111&amp;"|"&amp;$H111,Map_Stats!$A$2:$A$779,0))),$O111))</f>
        <v>0.7</v>
      </c>
      <c r="Z111" s="10" t="n">
        <f aca="false">IF(OR($H111="",$P111=""),"",IFERROR(1/(1/INDEX(Map_Stats!$I$2:$I$779,MATCH($F111&amp;"|"&amp;$H111,Map_Stats!$A$2:$A$779,0))),$P111))</f>
        <v>0.495</v>
      </c>
      <c r="AA111" s="13" t="n">
        <f aca="false">IF(OR($H111="",Y111=""),"",IF($O111="",Y111,(X111*Y111+Config!$B$4*$O111)/(X111+Config!$B$4)))</f>
        <v>0.696153846153846</v>
      </c>
      <c r="AB111" s="10" t="n">
        <f aca="false">IF(Z111="","",(X111*Z111+Config!$B$4*$P111)/(X111+Config!$B$4))</f>
        <v>0.514615384615385</v>
      </c>
      <c r="AC111" s="17" t="n">
        <f aca="false">IF(OR(AA111="",$K111=""),"",AA111*$K111*($K111/Config!$B$10)^Config!$B$9)</f>
        <v>14.4173461538462</v>
      </c>
      <c r="AD111" s="17" t="n">
        <f aca="false">IF(OR(AC111="",AB111=""),"",AC111*AB111)</f>
        <v>7.41938813609468</v>
      </c>
      <c r="AE111" s="9" t="n">
        <f aca="false">IF($I111="",0,SUMIFS(Map_Stats!$F$2:$F$779,Map_Stats!$A$2:$A$779,$F111&amp;"|"&amp;$I111))</f>
        <v>4</v>
      </c>
      <c r="AF111" s="13" t="n">
        <f aca="false">IF($I111="","",IFERROR(1/(1/INDEX(Map_Stats!$K$2:$K$779,MATCH($F111&amp;"|"&amp;$I111,Map_Stats!$A$2:$A$779,0))),$O111))</f>
        <v>0.78</v>
      </c>
      <c r="AG111" s="10" t="n">
        <f aca="false">IF(OR($I111="",$P111=""),"",IFERROR(1/(1/INDEX(Map_Stats!$I$2:$I$779,MATCH($F111&amp;"|"&amp;$I111,Map_Stats!$A$2:$A$779,0))),$P111))</f>
        <v>0.492</v>
      </c>
      <c r="AH111" s="13" t="n">
        <f aca="false">IF(OR($I111="",AF111=""),"",IF($O111="",AF111,(AE111*AF111+Config!$B$4*$O111)/(AE111+Config!$B$4)))</f>
        <v>0.73</v>
      </c>
      <c r="AI111" s="10" t="n">
        <f aca="false">IF(AG111="","",(AE111*AG111+Config!$B$4*$P111)/(AE111+Config!$B$4))</f>
        <v>0.522</v>
      </c>
      <c r="AJ111" s="17" t="n">
        <f aca="false">IF(OR(AH111="",$L111=""),"",AH111*$L111*($L111/Config!$B$10)^Config!$B$9)</f>
        <v>15.2497</v>
      </c>
      <c r="AK111" s="17" t="n">
        <f aca="false">IF(OR(AJ111="",AI111=""),"",AJ111*AI111)</f>
        <v>7.9603434</v>
      </c>
      <c r="AL111" s="17" t="n">
        <f aca="false">N(V111)+N(AC111)</f>
        <v>29.7537747252747</v>
      </c>
      <c r="AM111" s="17" t="n">
        <f aca="false">AL111+N($M111)*N(AJ111)</f>
        <v>35.8841541252747</v>
      </c>
      <c r="AN111" s="17" t="n">
        <f aca="false">IF(W111="","",N(W111)+N(AD111))</f>
        <v>16.0494155850743</v>
      </c>
      <c r="AO111" s="17" t="n">
        <f aca="false">IF(AN111="","",AN111+N($M111)*N(AK111))</f>
        <v>19.2494736318743</v>
      </c>
      <c r="AP111" s="10" t="n">
        <f aca="false">IFERROR(AN111/AL111,"")</f>
        <v>0.539407713248595</v>
      </c>
      <c r="AQ111" s="0" t="str">
        <f aca="false">TRIM(IF($N111&lt;Config!$B$12,"thin sample ("&amp;$N111&amp;" maps) · ","")&amp;IF(AND($G111&lt;&gt;"",Q111=0),"M1 unplayed→overall KPR · ","")&amp;IF(AND($H111&lt;&gt;"",X111=0),"M2 unplayed→overall KPR · ","")&amp;IF($O111="","no PickFinder stats",""))</f>
        <v/>
      </c>
      <c r="AR111" s="0" t="str">
        <f aca="false">IF($C111=Board!$B$2,COUNTIFS($C$2:$C$124,Board!$B$2,$AL$2:$AL$124,"&gt;"&amp;$AL111)+COUNTIFS($C$1:$C110,Board!$B$2,$AL$1:$AL110,$AL111)+1,"")</f>
        <v/>
      </c>
      <c r="AS111" s="0" t="str">
        <f aca="false">IFERROR(IF($D111=INDEX(Matches!$AD$5:$AD$19,MATCH($C111,Matches!$A$5:$A$19,0)),"A",IF($D111=INDEX(Matches!$AE$5:$AE$19,MATCH($C111,Matches!$A$5:$A$19,0)),"B","")),"")</f>
        <v>A</v>
      </c>
      <c r="AT111" s="10" t="n">
        <f aca="false">IF($AS111="","",IFERROR(IF($AS111="A",INDEX(Matches!$AI$5:$AI$19,MATCH($C111,Matches!$A$5:$A$19,0)),INDEX(Matches!$AJ$5:$AJ$19,MATCH($C111,Matches!$A$5:$A$19,0))),""))</f>
        <v>0.559760956175299</v>
      </c>
      <c r="AU111" s="10" t="n">
        <f aca="false">IF($AS111="","",IFERROR(IF(INDEX(Matches!$AP$5:$AP$19,MATCH($C111,Matches!$A$5:$A$19,0))="","",IF($AS111="A",INDEX(Matches!$AP$5:$AP$19,MATCH($C111,Matches!$A$5:$A$19,0)),1-INDEX(Matches!$AP$5:$AP$19,MATCH($C111,Matches!$A$5:$A$19,0)))),""))</f>
        <v>0.560560895344736</v>
      </c>
      <c r="AV111" s="13" t="n">
        <f aca="false">IF(OR($AU111="",$AT111=""),1,((Config!$B$14*$AU111+Config!$B$15*(1-$AU111))/(Config!$B$14*$AT111+Config!$B$15*(1-$AT111)))^Config!$B$13)</f>
        <v>1.0006785997203</v>
      </c>
      <c r="AW111" s="10" t="n">
        <f aca="false">IF($AS111="","",IFERROR(IF(INDEX(Matches!$AV$5:$AV$19,MATCH($C111,Matches!$A$5:$A$19,0))="","",IF($AS111="A",INDEX(Matches!$AV$5:$AV$19,MATCH($C111,Matches!$A$5:$A$19,0)),1-INDEX(Matches!$AV$5:$AV$19,MATCH($C111,Matches!$A$5:$A$19,0)))),""))</f>
        <v>0.560325445536126</v>
      </c>
      <c r="AX111" s="13" t="n">
        <f aca="false">IF(OR($AW111="",$AT111=""),1,((Config!$B$14*$AW111+Config!$B$15*(1-$AW111))/(Config!$B$14*$AT111+Config!$B$15*(1-$AT111)))^Config!$B$13)</f>
        <v>1.00047886431495</v>
      </c>
      <c r="AY111" s="10" t="n">
        <f aca="false">IF($AS111="","",IFERROR(IF(INDEX(Matches!$BB$5:$BB$19,MATCH($C111,Matches!$A$5:$A$19,0))="","",IF($AS111="A",INDEX(Matches!$BB$5:$BB$19,MATCH($C111,Matches!$A$5:$A$19,0)),1-INDEX(Matches!$BB$5:$BB$19,MATCH($C111,Matches!$A$5:$A$19,0)))),""))</f>
        <v>0.574775882557357</v>
      </c>
      <c r="AZ111" s="13" t="n">
        <f aca="false">IF(OR($AY111="",$AT111=""),1,((Config!$B$14*$AY111+Config!$B$15*(1-$AY111))/(Config!$B$14*$AT111+Config!$B$15*(1-$AT111)))^Config!$B$13)</f>
        <v>1.01273737458113</v>
      </c>
      <c r="BA111" s="17" t="n">
        <f aca="false">IF(V111="","",V111*$AV111)</f>
        <v>15.3468358675676</v>
      </c>
      <c r="BB111" s="17" t="n">
        <f aca="false">IF(AC111="","",AC111*$AX111)</f>
        <v>14.4242501064355</v>
      </c>
      <c r="BC111" s="17" t="n">
        <f aca="false">IF(AJ111="","",AJ111*$AZ111)</f>
        <v>15.4439411411498</v>
      </c>
      <c r="BD111" s="17" t="n">
        <f aca="false">N(BA111)+N(BB111)</f>
        <v>29.7710859740031</v>
      </c>
      <c r="BE111" s="17" t="n">
        <f aca="false">BD111+N($M111)*N(BC111)</f>
        <v>35.9795503127453</v>
      </c>
      <c r="BF111" s="17" t="n">
        <f aca="false">IF(W111="","",W111*$AV111)</f>
        <v>8.63588378319268</v>
      </c>
      <c r="BG111" s="17" t="n">
        <f aca="false">IF(AD111="","",AD111*$AX111)</f>
        <v>7.42294101631179</v>
      </c>
      <c r="BH111" s="17" t="n">
        <f aca="false">IF(AK111="","",AK111*$AZ111)</f>
        <v>8.0617372756802</v>
      </c>
      <c r="BI111" s="17" t="n">
        <f aca="false">IF(BF111="","",N(BF111)+N(BG111))</f>
        <v>16.0588247995045</v>
      </c>
      <c r="BJ111" s="17" t="n">
        <f aca="false">IF(BI111="","",BI111+N($M111)*N(BH111))</f>
        <v>19.2996431843279</v>
      </c>
      <c r="BK111" s="13" t="n">
        <f aca="false">IFERROR(BD111/AL111,1)</f>
        <v>1.00058181689174</v>
      </c>
    </row>
    <row r="112" customFormat="false" ht="15" hidden="false" customHeight="false" outlineLevel="0" collapsed="false">
      <c r="A112" s="0" t="s">
        <v>1374</v>
      </c>
      <c r="B112" s="0" t="s">
        <v>988</v>
      </c>
      <c r="C112" s="0" t="s">
        <v>1015</v>
      </c>
      <c r="D112" s="0" t="s">
        <v>1019</v>
      </c>
      <c r="E112" s="0" t="s">
        <v>1373</v>
      </c>
      <c r="F112" s="0" t="s">
        <v>1565</v>
      </c>
      <c r="G112" s="0" t="str">
        <f aca="false">IFERROR(IF(INDEX(Matches!$W$5:$W$19,MATCH($C112,Matches!$A$5:$A$19,0))="","",INDEX(Matches!$W$5:$W$19,MATCH($C112,Matches!$A$5:$A$19,0))),"")</f>
        <v>Dust2</v>
      </c>
      <c r="H112" s="0" t="str">
        <f aca="false">IFERROR(IF(INDEX(Matches!$X$5:$X$19,MATCH($C112,Matches!$A$5:$A$19,0))="","",INDEX(Matches!$X$5:$X$19,MATCH($C112,Matches!$A$5:$A$19,0))),"")</f>
        <v>Mirage</v>
      </c>
      <c r="I112" s="0" t="str">
        <f aca="false">IFERROR(IF(INDEX(Matches!$Y$5:$Y$19,MATCH($C112,Matches!$A$5:$A$19,0))="","",INDEX(Matches!$Y$5:$Y$19,MATCH($C112,Matches!$A$5:$A$19,0))),"")</f>
        <v>Inferno</v>
      </c>
      <c r="J112" s="11" t="n">
        <f aca="false">IFERROR(IF(INDEX(Matches!$Z$5:$Z$19,MATCH($C112,Matches!$A$5:$A$19,0))="","",INDEX(Matches!$Z$5:$Z$19,MATCH($C112,Matches!$A$5:$A$19,0))),"")</f>
        <v>21.05</v>
      </c>
      <c r="K112" s="11" t="n">
        <f aca="false">IFERROR(IF(INDEX(Matches!$AA$5:$AA$19,MATCH($C112,Matches!$A$5:$A$19,0))="","",INDEX(Matches!$AA$5:$AA$19,MATCH($C112,Matches!$A$5:$A$19,0))),"")</f>
        <v>20.71</v>
      </c>
      <c r="L112" s="11" t="n">
        <f aca="false">IFERROR(IF(INDEX(Matches!$AB$5:$AB$19,MATCH($C112,Matches!$A$5:$A$19,0))="","",INDEX(Matches!$AB$5:$AB$19,MATCH($C112,Matches!$A$5:$A$19,0))),"")</f>
        <v>20.89</v>
      </c>
      <c r="M112" s="10" t="n">
        <f aca="false">IFERROR(IF(INDEX(Matches!$AC$5:$AC$19,MATCH($C112,Matches!$A$5:$A$19,0))="","",INDEX(Matches!$AC$5:$AC$19,MATCH($C112,Matches!$A$5:$A$19,0))),"")</f>
        <v>0.402</v>
      </c>
      <c r="N112" s="9" t="n">
        <f aca="false">IFERROR(INDEX(Players!$F$2:$F$124,MATCH($F112,Players!$A$2:$A$124,0)),0)</f>
        <v>34</v>
      </c>
      <c r="O112" s="13" t="n">
        <f aca="false">IFERROR(1/(1/INDEX(Players!$H$2:$H$124,MATCH($F112,Players!$A$2:$A$124,0))),"")</f>
        <v>0.65</v>
      </c>
      <c r="P112" s="10" t="n">
        <f aca="false">IFERROR(1/(1/INDEX(Players!$I$2:$I$124,MATCH($F112,Players!$A$2:$A$124,0))),"")</f>
        <v>0.551</v>
      </c>
      <c r="Q112" s="9" t="n">
        <f aca="false">IF($G112="",0,SUMIFS(Map_Stats!$F$2:$F$779,Map_Stats!$A$2:$A$779,$F112&amp;"|"&amp;$G112))</f>
        <v>6</v>
      </c>
      <c r="R112" s="13" t="n">
        <f aca="false">IF($G112="","",IFERROR(1/(1/INDEX(Map_Stats!$K$2:$K$779,MATCH($F112&amp;"|"&amp;$G112,Map_Stats!$A$2:$A$779,0))),$O112))</f>
        <v>0.69</v>
      </c>
      <c r="S112" s="10" t="n">
        <f aca="false">IF(OR($G112="",$P112=""),"",IFERROR(1/(1/INDEX(Map_Stats!$I$2:$I$779,MATCH($F112&amp;"|"&amp;$G112,Map_Stats!$A$2:$A$779,0))),$P112))</f>
        <v>0.63</v>
      </c>
      <c r="T112" s="13" t="n">
        <f aca="false">IF(OR($G112="",R112=""),"",IF($O112="",R112,(Q112*R112+Config!$B$4*$O112)/(Q112+Config!$B$4)))</f>
        <v>0.671818181818182</v>
      </c>
      <c r="U112" s="10" t="n">
        <f aca="false">IF(S112="","",(Q112*S112+Config!$B$4*$P112)/(Q112+Config!$B$4))</f>
        <v>0.594090909090909</v>
      </c>
      <c r="V112" s="17" t="n">
        <f aca="false">IF(OR(T112="",$J112=""),"",T112*$J112*($J112/Config!$B$10)^Config!$B$9)</f>
        <v>14.1417727272727</v>
      </c>
      <c r="W112" s="17" t="n">
        <f aca="false">IF(OR(V112="",U112=""),"",V112*U112)</f>
        <v>8.40149861570248</v>
      </c>
      <c r="X112" s="9" t="n">
        <f aca="false">IF($H112="",0,SUMIFS(Map_Stats!$F$2:$F$779,Map_Stats!$A$2:$A$779,$F112&amp;"|"&amp;$H112))</f>
        <v>7</v>
      </c>
      <c r="Y112" s="13" t="n">
        <f aca="false">IF($H112="","",IFERROR(1/(1/INDEX(Map_Stats!$K$2:$K$779,MATCH($F112&amp;"|"&amp;$H112,Map_Stats!$A$2:$A$779,0))),$O112))</f>
        <v>0.73</v>
      </c>
      <c r="Z112" s="10" t="n">
        <f aca="false">IF(OR($H112="",$P112=""),"",IFERROR(1/(1/INDEX(Map_Stats!$I$2:$I$779,MATCH($F112&amp;"|"&amp;$H112,Map_Stats!$A$2:$A$779,0))),$P112))</f>
        <v>0.534</v>
      </c>
      <c r="AA112" s="13" t="n">
        <f aca="false">IF(OR($H112="",Y112=""),"",IF($O112="",Y112,(X112*Y112+Config!$B$4*$O112)/(X112+Config!$B$4)))</f>
        <v>0.696666666666667</v>
      </c>
      <c r="AB112" s="10" t="n">
        <f aca="false">IF(Z112="","",(X112*Z112+Config!$B$4*$P112)/(X112+Config!$B$4))</f>
        <v>0.541083333333333</v>
      </c>
      <c r="AC112" s="17" t="n">
        <f aca="false">IF(OR(AA112="",$K112=""),"",AA112*$K112*($K112/Config!$B$10)^Config!$B$9)</f>
        <v>14.4279666666667</v>
      </c>
      <c r="AD112" s="17" t="n">
        <f aca="false">IF(OR(AC112="",AB112=""),"",AC112*AB112)</f>
        <v>7.80673229722222</v>
      </c>
      <c r="AE112" s="9" t="n">
        <f aca="false">IF($I112="",0,SUMIFS(Map_Stats!$F$2:$F$779,Map_Stats!$A$2:$A$779,$F112&amp;"|"&amp;$I112))</f>
        <v>3</v>
      </c>
      <c r="AF112" s="13" t="n">
        <f aca="false">IF($I112="","",IFERROR(1/(1/INDEX(Map_Stats!$K$2:$K$779,MATCH($F112&amp;"|"&amp;$I112,Map_Stats!$A$2:$A$779,0))),$O112))</f>
        <v>0.48</v>
      </c>
      <c r="AG112" s="10" t="n">
        <f aca="false">IF(OR($I112="",$P112=""),"",IFERROR(1/(1/INDEX(Map_Stats!$I$2:$I$779,MATCH($F112&amp;"|"&amp;$I112,Map_Stats!$A$2:$A$779,0))),$P112))</f>
        <v>0.656</v>
      </c>
      <c r="AH112" s="13" t="n">
        <f aca="false">IF(OR($I112="",AF112=""),"",IF($O112="",AF112,(AE112*AF112+Config!$B$4*$O112)/(AE112+Config!$B$4)))</f>
        <v>0.58625</v>
      </c>
      <c r="AI112" s="10" t="n">
        <f aca="false">IF(AG112="","",(AE112*AG112+Config!$B$4*$P112)/(AE112+Config!$B$4))</f>
        <v>0.590375</v>
      </c>
      <c r="AJ112" s="17" t="n">
        <f aca="false">IF(OR(AH112="",$L112=""),"",AH112*$L112*($L112/Config!$B$10)^Config!$B$9)</f>
        <v>12.2467625</v>
      </c>
      <c r="AK112" s="17" t="n">
        <f aca="false">IF(OR(AJ112="",AI112=""),"",AJ112*AI112)</f>
        <v>7.2301824109375</v>
      </c>
      <c r="AL112" s="17" t="n">
        <f aca="false">N(V112)+N(AC112)</f>
        <v>28.5697393939394</v>
      </c>
      <c r="AM112" s="17" t="n">
        <f aca="false">AL112+N($M112)*N(AJ112)</f>
        <v>33.4929379189394</v>
      </c>
      <c r="AN112" s="17" t="n">
        <f aca="false">IF(W112="","",N(W112)+N(AD112))</f>
        <v>16.2082309129247</v>
      </c>
      <c r="AO112" s="17" t="n">
        <f aca="false">IF(AN112="","",AN112+N($M112)*N(AK112))</f>
        <v>19.1147642421216</v>
      </c>
      <c r="AP112" s="10" t="n">
        <f aca="false">IFERROR(AN112/AL112,"")</f>
        <v>0.567321622694361</v>
      </c>
      <c r="AQ112" s="0" t="str">
        <f aca="false">TRIM(IF($N112&lt;Config!$B$12,"thin sample ("&amp;$N112&amp;" maps) · ","")&amp;IF(AND($G112&lt;&gt;"",Q112=0),"M1 unplayed→overall KPR · ","")&amp;IF(AND($H112&lt;&gt;"",X112=0),"M2 unplayed→overall KPR · ","")&amp;IF($O112="","no PickFinder stats",""))</f>
        <v/>
      </c>
      <c r="AR112" s="0" t="str">
        <f aca="false">IF($C112=Board!$B$2,COUNTIFS($C$2:$C$124,Board!$B$2,$AL$2:$AL$124,"&gt;"&amp;$AL112)+COUNTIFS($C$1:$C111,Board!$B$2,$AL$1:$AL111,$AL112)+1,"")</f>
        <v/>
      </c>
      <c r="AS112" s="0" t="str">
        <f aca="false">IFERROR(IF($D112=INDEX(Matches!$AD$5:$AD$19,MATCH($C112,Matches!$A$5:$A$19,0)),"A",IF($D112=INDEX(Matches!$AE$5:$AE$19,MATCH($C112,Matches!$A$5:$A$19,0)),"B","")),"")</f>
        <v>A</v>
      </c>
      <c r="AT112" s="10" t="n">
        <f aca="false">IF($AS112="","",IFERROR(IF($AS112="A",INDEX(Matches!$AI$5:$AI$19,MATCH($C112,Matches!$A$5:$A$19,0)),INDEX(Matches!$AJ$5:$AJ$19,MATCH($C112,Matches!$A$5:$A$19,0))),""))</f>
        <v>0.559760956175299</v>
      </c>
      <c r="AU112" s="10" t="n">
        <f aca="false">IF($AS112="","",IFERROR(IF(INDEX(Matches!$AP$5:$AP$19,MATCH($C112,Matches!$A$5:$A$19,0))="","",IF($AS112="A",INDEX(Matches!$AP$5:$AP$19,MATCH($C112,Matches!$A$5:$A$19,0)),1-INDEX(Matches!$AP$5:$AP$19,MATCH($C112,Matches!$A$5:$A$19,0)))),""))</f>
        <v>0.560560895344736</v>
      </c>
      <c r="AV112" s="13" t="n">
        <f aca="false">IF(OR($AU112="",$AT112=""),1,((Config!$B$14*$AU112+Config!$B$15*(1-$AU112))/(Config!$B$14*$AT112+Config!$B$15*(1-$AT112)))^Config!$B$13)</f>
        <v>1.0006785997203</v>
      </c>
      <c r="AW112" s="10" t="n">
        <f aca="false">IF($AS112="","",IFERROR(IF(INDEX(Matches!$AV$5:$AV$19,MATCH($C112,Matches!$A$5:$A$19,0))="","",IF($AS112="A",INDEX(Matches!$AV$5:$AV$19,MATCH($C112,Matches!$A$5:$A$19,0)),1-INDEX(Matches!$AV$5:$AV$19,MATCH($C112,Matches!$A$5:$A$19,0)))),""))</f>
        <v>0.560325445536126</v>
      </c>
      <c r="AX112" s="13" t="n">
        <f aca="false">IF(OR($AW112="",$AT112=""),1,((Config!$B$14*$AW112+Config!$B$15*(1-$AW112))/(Config!$B$14*$AT112+Config!$B$15*(1-$AT112)))^Config!$B$13)</f>
        <v>1.00047886431495</v>
      </c>
      <c r="AY112" s="10" t="n">
        <f aca="false">IF($AS112="","",IFERROR(IF(INDEX(Matches!$BB$5:$BB$19,MATCH($C112,Matches!$A$5:$A$19,0))="","",IF($AS112="A",INDEX(Matches!$BB$5:$BB$19,MATCH($C112,Matches!$A$5:$A$19,0)),1-INDEX(Matches!$BB$5:$BB$19,MATCH($C112,Matches!$A$5:$A$19,0)))),""))</f>
        <v>0.574775882557357</v>
      </c>
      <c r="AZ112" s="13" t="n">
        <f aca="false">IF(OR($AY112="",$AT112=""),1,((Config!$B$14*$AY112+Config!$B$15*(1-$AY112))/(Config!$B$14*$AT112+Config!$B$15*(1-$AT112)))^Config!$B$13)</f>
        <v>1.01273737458113</v>
      </c>
      <c r="BA112" s="17" t="n">
        <f aca="false">IF(V112="","",V112*$AV112)</f>
        <v>14.15136933029</v>
      </c>
      <c r="BB112" s="17" t="n">
        <f aca="false">IF(AC112="","",AC112*$AX112)</f>
        <v>14.4348757050406</v>
      </c>
      <c r="BC112" s="17" t="n">
        <f aca="false">IF(AJ112="","",AJ112*$AZ112)</f>
        <v>12.4027541013686</v>
      </c>
      <c r="BD112" s="17" t="n">
        <f aca="false">N(BA112)+N(BB112)</f>
        <v>28.5862450353306</v>
      </c>
      <c r="BE112" s="17" t="n">
        <f aca="false">BD112+N($M112)*N(BC112)</f>
        <v>33.5721521840808</v>
      </c>
      <c r="BF112" s="17" t="n">
        <f aca="false">IF(W112="","",W112*$AV112)</f>
        <v>8.40719987031322</v>
      </c>
      <c r="BG112" s="17" t="n">
        <f aca="false">IF(AD112="","",AD112*$AX112)</f>
        <v>7.8104706627357</v>
      </c>
      <c r="BH112" s="17" t="n">
        <f aca="false">IF(AK112="","",AK112*$AZ112)</f>
        <v>7.32227595259548</v>
      </c>
      <c r="BI112" s="17" t="n">
        <f aca="false">IF(BF112="","",N(BF112)+N(BG112))</f>
        <v>16.2176705330489</v>
      </c>
      <c r="BJ112" s="17" t="n">
        <f aca="false">IF(BI112="","",BI112+N($M112)*N(BH112))</f>
        <v>19.1612254659923</v>
      </c>
      <c r="BK112" s="13" t="n">
        <f aca="false">IFERROR(BD112/AL112,1)</f>
        <v>1.00057773160489</v>
      </c>
    </row>
    <row r="113" customFormat="false" ht="15" hidden="false" customHeight="false" outlineLevel="0" collapsed="false">
      <c r="A113" s="0" t="s">
        <v>1376</v>
      </c>
      <c r="B113" s="0" t="s">
        <v>988</v>
      </c>
      <c r="C113" s="0" t="s">
        <v>1015</v>
      </c>
      <c r="D113" s="0" t="s">
        <v>1019</v>
      </c>
      <c r="E113" s="0" t="s">
        <v>1375</v>
      </c>
      <c r="F113" s="0" t="s">
        <v>1566</v>
      </c>
      <c r="G113" s="0" t="str">
        <f aca="false">IFERROR(IF(INDEX(Matches!$W$5:$W$19,MATCH($C113,Matches!$A$5:$A$19,0))="","",INDEX(Matches!$W$5:$W$19,MATCH($C113,Matches!$A$5:$A$19,0))),"")</f>
        <v>Dust2</v>
      </c>
      <c r="H113" s="0" t="str">
        <f aca="false">IFERROR(IF(INDEX(Matches!$X$5:$X$19,MATCH($C113,Matches!$A$5:$A$19,0))="","",INDEX(Matches!$X$5:$X$19,MATCH($C113,Matches!$A$5:$A$19,0))),"")</f>
        <v>Mirage</v>
      </c>
      <c r="I113" s="0" t="str">
        <f aca="false">IFERROR(IF(INDEX(Matches!$Y$5:$Y$19,MATCH($C113,Matches!$A$5:$A$19,0))="","",INDEX(Matches!$Y$5:$Y$19,MATCH($C113,Matches!$A$5:$A$19,0))),"")</f>
        <v>Inferno</v>
      </c>
      <c r="J113" s="11" t="n">
        <f aca="false">IFERROR(IF(INDEX(Matches!$Z$5:$Z$19,MATCH($C113,Matches!$A$5:$A$19,0))="","",INDEX(Matches!$Z$5:$Z$19,MATCH($C113,Matches!$A$5:$A$19,0))),"")</f>
        <v>21.05</v>
      </c>
      <c r="K113" s="11" t="n">
        <f aca="false">IFERROR(IF(INDEX(Matches!$AA$5:$AA$19,MATCH($C113,Matches!$A$5:$A$19,0))="","",INDEX(Matches!$AA$5:$AA$19,MATCH($C113,Matches!$A$5:$A$19,0))),"")</f>
        <v>20.71</v>
      </c>
      <c r="L113" s="11" t="n">
        <f aca="false">IFERROR(IF(INDEX(Matches!$AB$5:$AB$19,MATCH($C113,Matches!$A$5:$A$19,0))="","",INDEX(Matches!$AB$5:$AB$19,MATCH($C113,Matches!$A$5:$A$19,0))),"")</f>
        <v>20.89</v>
      </c>
      <c r="M113" s="10" t="n">
        <f aca="false">IFERROR(IF(INDEX(Matches!$AC$5:$AC$19,MATCH($C113,Matches!$A$5:$A$19,0))="","",INDEX(Matches!$AC$5:$AC$19,MATCH($C113,Matches!$A$5:$A$19,0))),"")</f>
        <v>0.402</v>
      </c>
      <c r="N113" s="9" t="n">
        <f aca="false">IFERROR(INDEX(Players!$F$2:$F$124,MATCH($F113,Players!$A$2:$A$124,0)),0)</f>
        <v>38</v>
      </c>
      <c r="O113" s="13" t="n">
        <f aca="false">IFERROR(1/(1/INDEX(Players!$H$2:$H$124,MATCH($F113,Players!$A$2:$A$124,0))),"")</f>
        <v>0.64</v>
      </c>
      <c r="P113" s="10" t="n">
        <f aca="false">IFERROR(1/(1/INDEX(Players!$I$2:$I$124,MATCH($F113,Players!$A$2:$A$124,0))),"")</f>
        <v>0.58</v>
      </c>
      <c r="Q113" s="9" t="n">
        <f aca="false">IF($G113="",0,SUMIFS(Map_Stats!$F$2:$F$779,Map_Stats!$A$2:$A$779,$F113&amp;"|"&amp;$G113))</f>
        <v>8</v>
      </c>
      <c r="R113" s="13" t="n">
        <f aca="false">IF($G113="","",IFERROR(1/(1/INDEX(Map_Stats!$K$2:$K$779,MATCH($F113&amp;"|"&amp;$G113,Map_Stats!$A$2:$A$779,0))),$O113))</f>
        <v>0.65</v>
      </c>
      <c r="S113" s="10" t="n">
        <f aca="false">IF(OR($G113="",$P113=""),"",IFERROR(1/(1/INDEX(Map_Stats!$I$2:$I$779,MATCH($F113&amp;"|"&amp;$G113,Map_Stats!$A$2:$A$779,0))),$P113))</f>
        <v>0.61</v>
      </c>
      <c r="T113" s="13" t="n">
        <f aca="false">IF(OR($G113="",R113=""),"",IF($O113="",R113,(Q113*R113+Config!$B$4*$O113)/(Q113+Config!$B$4)))</f>
        <v>0.646153846153846</v>
      </c>
      <c r="U113" s="10" t="n">
        <f aca="false">IF(S113="","",(Q113*S113+Config!$B$4*$P113)/(Q113+Config!$B$4))</f>
        <v>0.598461538461538</v>
      </c>
      <c r="V113" s="17" t="n">
        <f aca="false">IF(OR(T113="",$J113=""),"",T113*$J113*($J113/Config!$B$10)^Config!$B$9)</f>
        <v>13.6015384615385</v>
      </c>
      <c r="W113" s="17" t="n">
        <f aca="false">IF(OR(V113="",U113=""),"",V113*U113)</f>
        <v>8.13999763313609</v>
      </c>
      <c r="X113" s="9" t="n">
        <f aca="false">IF($H113="",0,SUMIFS(Map_Stats!$F$2:$F$779,Map_Stats!$A$2:$A$779,$F113&amp;"|"&amp;$H113))</f>
        <v>8</v>
      </c>
      <c r="Y113" s="13" t="n">
        <f aca="false">IF($H113="","",IFERROR(1/(1/INDEX(Map_Stats!$K$2:$K$779,MATCH($F113&amp;"|"&amp;$H113,Map_Stats!$A$2:$A$779,0))),$O113))</f>
        <v>0.73</v>
      </c>
      <c r="Z113" s="10" t="n">
        <f aca="false">IF(OR($H113="",$P113=""),"",IFERROR(1/(1/INDEX(Map_Stats!$I$2:$I$779,MATCH($F113&amp;"|"&amp;$H113,Map_Stats!$A$2:$A$779,0))),$P113))</f>
        <v>0.628</v>
      </c>
      <c r="AA113" s="13" t="n">
        <f aca="false">IF(OR($H113="",Y113=""),"",IF($O113="",Y113,(X113*Y113+Config!$B$4*$O113)/(X113+Config!$B$4)))</f>
        <v>0.695384615384616</v>
      </c>
      <c r="AB113" s="10" t="n">
        <f aca="false">IF(Z113="","",(X113*Z113+Config!$B$4*$P113)/(X113+Config!$B$4))</f>
        <v>0.609538461538462</v>
      </c>
      <c r="AC113" s="17" t="n">
        <f aca="false">IF(OR(AA113="",$K113=""),"",AA113*$K113*($K113/Config!$B$10)^Config!$B$9)</f>
        <v>14.4014153846154</v>
      </c>
      <c r="AD113" s="17" t="n">
        <f aca="false">IF(OR(AC113="",AB113=""),"",AC113*AB113)</f>
        <v>8.77821657751479</v>
      </c>
      <c r="AE113" s="9" t="n">
        <f aca="false">IF($I113="",0,SUMIFS(Map_Stats!$F$2:$F$779,Map_Stats!$A$2:$A$779,$F113&amp;"|"&amp;$I113))</f>
        <v>5</v>
      </c>
      <c r="AF113" s="13" t="n">
        <f aca="false">IF($I113="","",IFERROR(1/(1/INDEX(Map_Stats!$K$2:$K$779,MATCH($F113&amp;"|"&amp;$I113,Map_Stats!$A$2:$A$779,0))),$O113))</f>
        <v>0.66</v>
      </c>
      <c r="AG113" s="10" t="n">
        <f aca="false">IF(OR($I113="",$P113=""),"",IFERROR(1/(1/INDEX(Map_Stats!$I$2:$I$779,MATCH($F113&amp;"|"&amp;$I113,Map_Stats!$A$2:$A$779,0))),$P113))</f>
        <v>0.522</v>
      </c>
      <c r="AH113" s="13" t="n">
        <f aca="false">IF(OR($I113="",AF113=""),"",IF($O113="",AF113,(AE113*AF113+Config!$B$4*$O113)/(AE113+Config!$B$4)))</f>
        <v>0.65</v>
      </c>
      <c r="AI113" s="10" t="n">
        <f aca="false">IF(AG113="","",(AE113*AG113+Config!$B$4*$P113)/(AE113+Config!$B$4))</f>
        <v>0.551</v>
      </c>
      <c r="AJ113" s="17" t="n">
        <f aca="false">IF(OR(AH113="",$L113=""),"",AH113*$L113*($L113/Config!$B$10)^Config!$B$9)</f>
        <v>13.5785</v>
      </c>
      <c r="AK113" s="17" t="n">
        <f aca="false">IF(OR(AJ113="",AI113=""),"",AJ113*AI113)</f>
        <v>7.4817535</v>
      </c>
      <c r="AL113" s="17" t="n">
        <f aca="false">N(V113)+N(AC113)</f>
        <v>28.0029538461539</v>
      </c>
      <c r="AM113" s="17" t="n">
        <f aca="false">AL113+N($M113)*N(AJ113)</f>
        <v>33.4615108461539</v>
      </c>
      <c r="AN113" s="17" t="n">
        <f aca="false">IF(W113="","",N(W113)+N(AD113))</f>
        <v>16.9182142106509</v>
      </c>
      <c r="AO113" s="17" t="n">
        <f aca="false">IF(AN113="","",AN113+N($M113)*N(AK113))</f>
        <v>19.9258791176509</v>
      </c>
      <c r="AP113" s="10" t="n">
        <f aca="false">IFERROR(AN113/AL113,"")</f>
        <v>0.604158200724049</v>
      </c>
      <c r="AQ113" s="0" t="str">
        <f aca="false">TRIM(IF($N113&lt;Config!$B$12,"thin sample ("&amp;$N113&amp;" maps) · ","")&amp;IF(AND($G113&lt;&gt;"",Q113=0),"M1 unplayed→overall KPR · ","")&amp;IF(AND($H113&lt;&gt;"",X113=0),"M2 unplayed→overall KPR · ","")&amp;IF($O113="","no PickFinder stats",""))</f>
        <v/>
      </c>
      <c r="AR113" s="0" t="str">
        <f aca="false">IF($C113=Board!$B$2,COUNTIFS($C$2:$C$124,Board!$B$2,$AL$2:$AL$124,"&gt;"&amp;$AL113)+COUNTIFS($C$1:$C112,Board!$B$2,$AL$1:$AL112,$AL113)+1,"")</f>
        <v/>
      </c>
      <c r="AS113" s="0" t="str">
        <f aca="false">IFERROR(IF($D113=INDEX(Matches!$AD$5:$AD$19,MATCH($C113,Matches!$A$5:$A$19,0)),"A",IF($D113=INDEX(Matches!$AE$5:$AE$19,MATCH($C113,Matches!$A$5:$A$19,0)),"B","")),"")</f>
        <v>A</v>
      </c>
      <c r="AT113" s="10" t="n">
        <f aca="false">IF($AS113="","",IFERROR(IF($AS113="A",INDEX(Matches!$AI$5:$AI$19,MATCH($C113,Matches!$A$5:$A$19,0)),INDEX(Matches!$AJ$5:$AJ$19,MATCH($C113,Matches!$A$5:$A$19,0))),""))</f>
        <v>0.559760956175299</v>
      </c>
      <c r="AU113" s="10" t="n">
        <f aca="false">IF($AS113="","",IFERROR(IF(INDEX(Matches!$AP$5:$AP$19,MATCH($C113,Matches!$A$5:$A$19,0))="","",IF($AS113="A",INDEX(Matches!$AP$5:$AP$19,MATCH($C113,Matches!$A$5:$A$19,0)),1-INDEX(Matches!$AP$5:$AP$19,MATCH($C113,Matches!$A$5:$A$19,0)))),""))</f>
        <v>0.560560895344736</v>
      </c>
      <c r="AV113" s="13" t="n">
        <f aca="false">IF(OR($AU113="",$AT113=""),1,((Config!$B$14*$AU113+Config!$B$15*(1-$AU113))/(Config!$B$14*$AT113+Config!$B$15*(1-$AT113)))^Config!$B$13)</f>
        <v>1.0006785997203</v>
      </c>
      <c r="AW113" s="10" t="n">
        <f aca="false">IF($AS113="","",IFERROR(IF(INDEX(Matches!$AV$5:$AV$19,MATCH($C113,Matches!$A$5:$A$19,0))="","",IF($AS113="A",INDEX(Matches!$AV$5:$AV$19,MATCH($C113,Matches!$A$5:$A$19,0)),1-INDEX(Matches!$AV$5:$AV$19,MATCH($C113,Matches!$A$5:$A$19,0)))),""))</f>
        <v>0.560325445536126</v>
      </c>
      <c r="AX113" s="13" t="n">
        <f aca="false">IF(OR($AW113="",$AT113=""),1,((Config!$B$14*$AW113+Config!$B$15*(1-$AW113))/(Config!$B$14*$AT113+Config!$B$15*(1-$AT113)))^Config!$B$13)</f>
        <v>1.00047886431495</v>
      </c>
      <c r="AY113" s="10" t="n">
        <f aca="false">IF($AS113="","",IFERROR(IF(INDEX(Matches!$BB$5:$BB$19,MATCH($C113,Matches!$A$5:$A$19,0))="","",IF($AS113="A",INDEX(Matches!$BB$5:$BB$19,MATCH($C113,Matches!$A$5:$A$19,0)),1-INDEX(Matches!$BB$5:$BB$19,MATCH($C113,Matches!$A$5:$A$19,0)))),""))</f>
        <v>0.574775882557357</v>
      </c>
      <c r="AZ113" s="13" t="n">
        <f aca="false">IF(OR($AY113="",$AT113=""),1,((Config!$B$14*$AY113+Config!$B$15*(1-$AY113))/(Config!$B$14*$AT113+Config!$B$15*(1-$AT113)))^Config!$B$13)</f>
        <v>1.01273737458113</v>
      </c>
      <c r="BA113" s="17" t="n">
        <f aca="false">IF(V113="","",V113*$AV113)</f>
        <v>13.6107684617341</v>
      </c>
      <c r="BB113" s="17" t="n">
        <f aca="false">IF(AC113="","",AC113*$AX113)</f>
        <v>14.4083117085278</v>
      </c>
      <c r="BC113" s="17" t="n">
        <f aca="false">IF(AJ113="","",AJ113*$AZ113)</f>
        <v>13.7514544407498</v>
      </c>
      <c r="BD113" s="17" t="n">
        <f aca="false">N(BA113)+N(BB113)</f>
        <v>28.019080170262</v>
      </c>
      <c r="BE113" s="17" t="n">
        <f aca="false">BD113+N($M113)*N(BC113)</f>
        <v>33.5471648554434</v>
      </c>
      <c r="BF113" s="17" t="n">
        <f aca="false">IF(W113="","",W113*$AV113)</f>
        <v>8.1455214332532</v>
      </c>
      <c r="BG113" s="17" t="n">
        <f aca="false">IF(AD113="","",AD113*$AX113)</f>
        <v>8.78242015218264</v>
      </c>
      <c r="BH113" s="17" t="n">
        <f aca="false">IF(AK113="","",AK113*$AZ113)</f>
        <v>7.57705139685315</v>
      </c>
      <c r="BI113" s="17" t="n">
        <f aca="false">IF(BF113="","",N(BF113)+N(BG113))</f>
        <v>16.9279415854358</v>
      </c>
      <c r="BJ113" s="17" t="n">
        <f aca="false">IF(BI113="","",BI113+N($M113)*N(BH113))</f>
        <v>19.9739162469708</v>
      </c>
      <c r="BK113" s="13" t="n">
        <f aca="false">IFERROR(BD113/AL113,1)</f>
        <v>1.00057587939461</v>
      </c>
    </row>
    <row r="114" customFormat="false" ht="15" hidden="false" customHeight="false" outlineLevel="0" collapsed="false">
      <c r="A114" s="0" t="s">
        <v>1379</v>
      </c>
      <c r="B114" s="0" t="s">
        <v>988</v>
      </c>
      <c r="C114" s="0" t="s">
        <v>1015</v>
      </c>
      <c r="D114" s="0" t="s">
        <v>1019</v>
      </c>
      <c r="E114" s="0" t="s">
        <v>1377</v>
      </c>
      <c r="F114" s="0" t="s">
        <v>1567</v>
      </c>
      <c r="G114" s="0" t="str">
        <f aca="false">IFERROR(IF(INDEX(Matches!$W$5:$W$19,MATCH($C114,Matches!$A$5:$A$19,0))="","",INDEX(Matches!$W$5:$W$19,MATCH($C114,Matches!$A$5:$A$19,0))),"")</f>
        <v>Dust2</v>
      </c>
      <c r="H114" s="0" t="str">
        <f aca="false">IFERROR(IF(INDEX(Matches!$X$5:$X$19,MATCH($C114,Matches!$A$5:$A$19,0))="","",INDEX(Matches!$X$5:$X$19,MATCH($C114,Matches!$A$5:$A$19,0))),"")</f>
        <v>Mirage</v>
      </c>
      <c r="I114" s="0" t="str">
        <f aca="false">IFERROR(IF(INDEX(Matches!$Y$5:$Y$19,MATCH($C114,Matches!$A$5:$A$19,0))="","",INDEX(Matches!$Y$5:$Y$19,MATCH($C114,Matches!$A$5:$A$19,0))),"")</f>
        <v>Inferno</v>
      </c>
      <c r="J114" s="11" t="n">
        <f aca="false">IFERROR(IF(INDEX(Matches!$Z$5:$Z$19,MATCH($C114,Matches!$A$5:$A$19,0))="","",INDEX(Matches!$Z$5:$Z$19,MATCH($C114,Matches!$A$5:$A$19,0))),"")</f>
        <v>21.05</v>
      </c>
      <c r="K114" s="11" t="n">
        <f aca="false">IFERROR(IF(INDEX(Matches!$AA$5:$AA$19,MATCH($C114,Matches!$A$5:$A$19,0))="","",INDEX(Matches!$AA$5:$AA$19,MATCH($C114,Matches!$A$5:$A$19,0))),"")</f>
        <v>20.71</v>
      </c>
      <c r="L114" s="11" t="n">
        <f aca="false">IFERROR(IF(INDEX(Matches!$AB$5:$AB$19,MATCH($C114,Matches!$A$5:$A$19,0))="","",INDEX(Matches!$AB$5:$AB$19,MATCH($C114,Matches!$A$5:$A$19,0))),"")</f>
        <v>20.89</v>
      </c>
      <c r="M114" s="10" t="n">
        <f aca="false">IFERROR(IF(INDEX(Matches!$AC$5:$AC$19,MATCH($C114,Matches!$A$5:$A$19,0))="","",INDEX(Matches!$AC$5:$AC$19,MATCH($C114,Matches!$A$5:$A$19,0))),"")</f>
        <v>0.402</v>
      </c>
      <c r="N114" s="9" t="n">
        <f aca="false">IFERROR(INDEX(Players!$F$2:$F$124,MATCH($F114,Players!$A$2:$A$124,0)),0)</f>
        <v>38</v>
      </c>
      <c r="O114" s="13" t="n">
        <f aca="false">IFERROR(1/(1/INDEX(Players!$H$2:$H$124,MATCH($F114,Players!$A$2:$A$124,0))),"")</f>
        <v>0.73</v>
      </c>
      <c r="P114" s="10" t="n">
        <f aca="false">IFERROR(1/(1/INDEX(Players!$I$2:$I$124,MATCH($F114,Players!$A$2:$A$124,0))),"")</f>
        <v>0.536</v>
      </c>
      <c r="Q114" s="9" t="n">
        <f aca="false">IF($G114="",0,SUMIFS(Map_Stats!$F$2:$F$779,Map_Stats!$A$2:$A$779,$F114&amp;"|"&amp;$G114))</f>
        <v>9</v>
      </c>
      <c r="R114" s="13" t="n">
        <f aca="false">IF($G114="","",IFERROR(1/(1/INDEX(Map_Stats!$K$2:$K$779,MATCH($F114&amp;"|"&amp;$G114,Map_Stats!$A$2:$A$779,0))),$O114))</f>
        <v>0.74</v>
      </c>
      <c r="S114" s="10" t="n">
        <f aca="false">IF(OR($G114="",$P114=""),"",IFERROR(1/(1/INDEX(Map_Stats!$I$2:$I$779,MATCH($F114&amp;"|"&amp;$G114,Map_Stats!$A$2:$A$779,0))),$P114))</f>
        <v>0.526</v>
      </c>
      <c r="T114" s="13" t="n">
        <f aca="false">IF(OR($G114="",R114=""),"",IF($O114="",R114,(Q114*R114+Config!$B$4*$O114)/(Q114+Config!$B$4)))</f>
        <v>0.736428571428571</v>
      </c>
      <c r="U114" s="10" t="n">
        <f aca="false">IF(S114="","",(Q114*S114+Config!$B$4*$P114)/(Q114+Config!$B$4))</f>
        <v>0.529571428571429</v>
      </c>
      <c r="V114" s="17" t="n">
        <f aca="false">IF(OR(T114="",$J114=""),"",T114*$J114*($J114/Config!$B$10)^Config!$B$9)</f>
        <v>15.5018214285714</v>
      </c>
      <c r="W114" s="17" t="n">
        <f aca="false">IF(OR(V114="",U114=""),"",V114*U114)</f>
        <v>8.20932171938776</v>
      </c>
      <c r="X114" s="9" t="n">
        <f aca="false">IF($H114="",0,SUMIFS(Map_Stats!$F$2:$F$779,Map_Stats!$A$2:$A$779,$F114&amp;"|"&amp;$H114))</f>
        <v>8</v>
      </c>
      <c r="Y114" s="13" t="n">
        <f aca="false">IF($H114="","",IFERROR(1/(1/INDEX(Map_Stats!$K$2:$K$779,MATCH($F114&amp;"|"&amp;$H114,Map_Stats!$A$2:$A$779,0))),$O114))</f>
        <v>0.79</v>
      </c>
      <c r="Z114" s="10" t="n">
        <f aca="false">IF(OR($H114="",$P114=""),"",IFERROR(1/(1/INDEX(Map_Stats!$I$2:$I$779,MATCH($F114&amp;"|"&amp;$H114,Map_Stats!$A$2:$A$779,0))),$P114))</f>
        <v>0.563</v>
      </c>
      <c r="AA114" s="13" t="n">
        <f aca="false">IF(OR($H114="",Y114=""),"",IF($O114="",Y114,(X114*Y114+Config!$B$4*$O114)/(X114+Config!$B$4)))</f>
        <v>0.766923076923077</v>
      </c>
      <c r="AB114" s="10" t="n">
        <f aca="false">IF(Z114="","",(X114*Z114+Config!$B$4*$P114)/(X114+Config!$B$4))</f>
        <v>0.552615384615385</v>
      </c>
      <c r="AC114" s="17" t="n">
        <f aca="false">IF(OR(AA114="",$K114=""),"",AA114*$K114*($K114/Config!$B$10)^Config!$B$9)</f>
        <v>15.8829769230769</v>
      </c>
      <c r="AD114" s="17" t="n">
        <f aca="false">IF(OR(AC114="",AB114=""),"",AC114*AB114)</f>
        <v>8.77717740118343</v>
      </c>
      <c r="AE114" s="9" t="n">
        <f aca="false">IF($I114="",0,SUMIFS(Map_Stats!$F$2:$F$779,Map_Stats!$A$2:$A$779,$F114&amp;"|"&amp;$I114))</f>
        <v>4</v>
      </c>
      <c r="AF114" s="13" t="n">
        <f aca="false">IF($I114="","",IFERROR(1/(1/INDEX(Map_Stats!$K$2:$K$779,MATCH($F114&amp;"|"&amp;$I114,Map_Stats!$A$2:$A$779,0))),$O114))</f>
        <v>0.73</v>
      </c>
      <c r="AG114" s="10" t="n">
        <f aca="false">IF(OR($I114="",$P114=""),"",IFERROR(1/(1/INDEX(Map_Stats!$I$2:$I$779,MATCH($F114&amp;"|"&amp;$I114,Map_Stats!$A$2:$A$779,0))),$P114))</f>
        <v>0.623</v>
      </c>
      <c r="AH114" s="13" t="n">
        <f aca="false">IF(OR($I114="",AF114=""),"",IF($O114="",AF114,(AE114*AF114+Config!$B$4*$O114)/(AE114+Config!$B$4)))</f>
        <v>0.73</v>
      </c>
      <c r="AI114" s="10" t="n">
        <f aca="false">IF(AG114="","",(AE114*AG114+Config!$B$4*$P114)/(AE114+Config!$B$4))</f>
        <v>0.574666666666667</v>
      </c>
      <c r="AJ114" s="17" t="n">
        <f aca="false">IF(OR(AH114="",$L114=""),"",AH114*$L114*($L114/Config!$B$10)^Config!$B$9)</f>
        <v>15.2497</v>
      </c>
      <c r="AK114" s="17" t="n">
        <f aca="false">IF(OR(AJ114="",AI114=""),"",AJ114*AI114)</f>
        <v>8.76349426666667</v>
      </c>
      <c r="AL114" s="17" t="n">
        <f aca="false">N(V114)+N(AC114)</f>
        <v>31.3847983516484</v>
      </c>
      <c r="AM114" s="17" t="n">
        <f aca="false">AL114+N($M114)*N(AJ114)</f>
        <v>37.5151777516484</v>
      </c>
      <c r="AN114" s="17" t="n">
        <f aca="false">IF(W114="","",N(W114)+N(AD114))</f>
        <v>16.9864991205712</v>
      </c>
      <c r="AO114" s="17" t="n">
        <f aca="false">IF(AN114="","",AN114+N($M114)*N(AK114))</f>
        <v>20.5094238157712</v>
      </c>
      <c r="AP114" s="10" t="n">
        <f aca="false">IFERROR(AN114/AL114,"")</f>
        <v>0.54123333628744</v>
      </c>
      <c r="AQ114" s="0" t="str">
        <f aca="false">TRIM(IF($N114&lt;Config!$B$12,"thin sample ("&amp;$N114&amp;" maps) · ","")&amp;IF(AND($G114&lt;&gt;"",Q114=0),"M1 unplayed→overall KPR · ","")&amp;IF(AND($H114&lt;&gt;"",X114=0),"M2 unplayed→overall KPR · ","")&amp;IF($O114="","no PickFinder stats",""))</f>
        <v/>
      </c>
      <c r="AR114" s="0" t="str">
        <f aca="false">IF($C114=Board!$B$2,COUNTIFS($C$2:$C$124,Board!$B$2,$AL$2:$AL$124,"&gt;"&amp;$AL114)+COUNTIFS($C$1:$C113,Board!$B$2,$AL$1:$AL113,$AL114)+1,"")</f>
        <v/>
      </c>
      <c r="AS114" s="0" t="str">
        <f aca="false">IFERROR(IF($D114=INDEX(Matches!$AD$5:$AD$19,MATCH($C114,Matches!$A$5:$A$19,0)),"A",IF($D114=INDEX(Matches!$AE$5:$AE$19,MATCH($C114,Matches!$A$5:$A$19,0)),"B","")),"")</f>
        <v>A</v>
      </c>
      <c r="AT114" s="10" t="n">
        <f aca="false">IF($AS114="","",IFERROR(IF($AS114="A",INDEX(Matches!$AI$5:$AI$19,MATCH($C114,Matches!$A$5:$A$19,0)),INDEX(Matches!$AJ$5:$AJ$19,MATCH($C114,Matches!$A$5:$A$19,0))),""))</f>
        <v>0.559760956175299</v>
      </c>
      <c r="AU114" s="10" t="n">
        <f aca="false">IF($AS114="","",IFERROR(IF(INDEX(Matches!$AP$5:$AP$19,MATCH($C114,Matches!$A$5:$A$19,0))="","",IF($AS114="A",INDEX(Matches!$AP$5:$AP$19,MATCH($C114,Matches!$A$5:$A$19,0)),1-INDEX(Matches!$AP$5:$AP$19,MATCH($C114,Matches!$A$5:$A$19,0)))),""))</f>
        <v>0.560560895344736</v>
      </c>
      <c r="AV114" s="13" t="n">
        <f aca="false">IF(OR($AU114="",$AT114=""),1,((Config!$B$14*$AU114+Config!$B$15*(1-$AU114))/(Config!$B$14*$AT114+Config!$B$15*(1-$AT114)))^Config!$B$13)</f>
        <v>1.0006785997203</v>
      </c>
      <c r="AW114" s="10" t="n">
        <f aca="false">IF($AS114="","",IFERROR(IF(INDEX(Matches!$AV$5:$AV$19,MATCH($C114,Matches!$A$5:$A$19,0))="","",IF($AS114="A",INDEX(Matches!$AV$5:$AV$19,MATCH($C114,Matches!$A$5:$A$19,0)),1-INDEX(Matches!$AV$5:$AV$19,MATCH($C114,Matches!$A$5:$A$19,0)))),""))</f>
        <v>0.560325445536126</v>
      </c>
      <c r="AX114" s="13" t="n">
        <f aca="false">IF(OR($AW114="",$AT114=""),1,((Config!$B$14*$AW114+Config!$B$15*(1-$AW114))/(Config!$B$14*$AT114+Config!$B$15*(1-$AT114)))^Config!$B$13)</f>
        <v>1.00047886431495</v>
      </c>
      <c r="AY114" s="10" t="n">
        <f aca="false">IF($AS114="","",IFERROR(IF(INDEX(Matches!$BB$5:$BB$19,MATCH($C114,Matches!$A$5:$A$19,0))="","",IF($AS114="A",INDEX(Matches!$BB$5:$BB$19,MATCH($C114,Matches!$A$5:$A$19,0)),1-INDEX(Matches!$BB$5:$BB$19,MATCH($C114,Matches!$A$5:$A$19,0)))),""))</f>
        <v>0.574775882557357</v>
      </c>
      <c r="AZ114" s="13" t="n">
        <f aca="false">IF(OR($AY114="",$AT114=""),1,((Config!$B$14*$AY114+Config!$B$15*(1-$AY114))/(Config!$B$14*$AT114+Config!$B$15*(1-$AT114)))^Config!$B$13)</f>
        <v>1.01273737458113</v>
      </c>
      <c r="BA114" s="17" t="n">
        <f aca="false">IF(V114="","",V114*$AV114)</f>
        <v>15.512340960257</v>
      </c>
      <c r="BB114" s="17" t="n">
        <f aca="false">IF(AC114="","",AC114*$AX114)</f>
        <v>15.8905827139405</v>
      </c>
      <c r="BC114" s="17" t="n">
        <f aca="false">IF(AJ114="","",AJ114*$AZ114)</f>
        <v>15.4439411411498</v>
      </c>
      <c r="BD114" s="17" t="n">
        <f aca="false">N(BA114)+N(BB114)</f>
        <v>31.4029236741976</v>
      </c>
      <c r="BE114" s="17" t="n">
        <f aca="false">BD114+N($M114)*N(BC114)</f>
        <v>37.6113880129398</v>
      </c>
      <c r="BF114" s="17" t="n">
        <f aca="false">IF(W114="","",W114*$AV114)</f>
        <v>8.21489256281041</v>
      </c>
      <c r="BG114" s="17" t="n">
        <f aca="false">IF(AD114="","",AD114*$AX114)</f>
        <v>8.78138047822682</v>
      </c>
      <c r="BH114" s="17" t="n">
        <f aca="false">IF(AK114="","",AK114*$AZ114)</f>
        <v>8.87511817578076</v>
      </c>
      <c r="BI114" s="17" t="n">
        <f aca="false">IF(BF114="","",N(BF114)+N(BG114))</f>
        <v>16.9962730410372</v>
      </c>
      <c r="BJ114" s="17" t="n">
        <f aca="false">IF(BI114="","",BI114+N($M114)*N(BH114))</f>
        <v>20.5640705477011</v>
      </c>
      <c r="BK114" s="13" t="n">
        <f aca="false">IFERROR(BD114/AL114,1)</f>
        <v>1.00057751916537</v>
      </c>
    </row>
    <row r="115" customFormat="false" ht="15" hidden="false" customHeight="false" outlineLevel="0" collapsed="false">
      <c r="A115" s="0" t="s">
        <v>1382</v>
      </c>
      <c r="B115" s="0" t="s">
        <v>988</v>
      </c>
      <c r="C115" s="0" t="s">
        <v>1015</v>
      </c>
      <c r="D115" s="0" t="s">
        <v>1019</v>
      </c>
      <c r="E115" s="0" t="s">
        <v>1381</v>
      </c>
      <c r="F115" s="0" t="s">
        <v>1568</v>
      </c>
      <c r="G115" s="0" t="str">
        <f aca="false">IFERROR(IF(INDEX(Matches!$W$5:$W$19,MATCH($C115,Matches!$A$5:$A$19,0))="","",INDEX(Matches!$W$5:$W$19,MATCH($C115,Matches!$A$5:$A$19,0))),"")</f>
        <v>Dust2</v>
      </c>
      <c r="H115" s="0" t="str">
        <f aca="false">IFERROR(IF(INDEX(Matches!$X$5:$X$19,MATCH($C115,Matches!$A$5:$A$19,0))="","",INDEX(Matches!$X$5:$X$19,MATCH($C115,Matches!$A$5:$A$19,0))),"")</f>
        <v>Mirage</v>
      </c>
      <c r="I115" s="0" t="str">
        <f aca="false">IFERROR(IF(INDEX(Matches!$Y$5:$Y$19,MATCH($C115,Matches!$A$5:$A$19,0))="","",INDEX(Matches!$Y$5:$Y$19,MATCH($C115,Matches!$A$5:$A$19,0))),"")</f>
        <v>Inferno</v>
      </c>
      <c r="J115" s="11" t="n">
        <f aca="false">IFERROR(IF(INDEX(Matches!$Z$5:$Z$19,MATCH($C115,Matches!$A$5:$A$19,0))="","",INDEX(Matches!$Z$5:$Z$19,MATCH($C115,Matches!$A$5:$A$19,0))),"")</f>
        <v>21.05</v>
      </c>
      <c r="K115" s="11" t="n">
        <f aca="false">IFERROR(IF(INDEX(Matches!$AA$5:$AA$19,MATCH($C115,Matches!$A$5:$A$19,0))="","",INDEX(Matches!$AA$5:$AA$19,MATCH($C115,Matches!$A$5:$A$19,0))),"")</f>
        <v>20.71</v>
      </c>
      <c r="L115" s="11" t="n">
        <f aca="false">IFERROR(IF(INDEX(Matches!$AB$5:$AB$19,MATCH($C115,Matches!$A$5:$A$19,0))="","",INDEX(Matches!$AB$5:$AB$19,MATCH($C115,Matches!$A$5:$A$19,0))),"")</f>
        <v>20.89</v>
      </c>
      <c r="M115" s="10" t="n">
        <f aca="false">IFERROR(IF(INDEX(Matches!$AC$5:$AC$19,MATCH($C115,Matches!$A$5:$A$19,0))="","",INDEX(Matches!$AC$5:$AC$19,MATCH($C115,Matches!$A$5:$A$19,0))),"")</f>
        <v>0.402</v>
      </c>
      <c r="N115" s="9" t="n">
        <f aca="false">IFERROR(INDEX(Players!$F$2:$F$124,MATCH($F115,Players!$A$2:$A$124,0)),0)</f>
        <v>38</v>
      </c>
      <c r="O115" s="13" t="n">
        <f aca="false">IFERROR(1/(1/INDEX(Players!$H$2:$H$124,MATCH($F115,Players!$A$2:$A$124,0))),"")</f>
        <v>0.85</v>
      </c>
      <c r="P115" s="10" t="n">
        <f aca="false">IFERROR(1/(1/INDEX(Players!$I$2:$I$124,MATCH($F115,Players!$A$2:$A$124,0))),"")</f>
        <v>0.423</v>
      </c>
      <c r="Q115" s="9" t="n">
        <f aca="false">IF($G115="",0,SUMIFS(Map_Stats!$F$2:$F$779,Map_Stats!$A$2:$A$779,$F115&amp;"|"&amp;$G115))</f>
        <v>9</v>
      </c>
      <c r="R115" s="13" t="n">
        <f aca="false">IF($G115="","",IFERROR(1/(1/INDEX(Map_Stats!$K$2:$K$779,MATCH($F115&amp;"|"&amp;$G115,Map_Stats!$A$2:$A$779,0))),$O115))</f>
        <v>0.89</v>
      </c>
      <c r="S115" s="10" t="n">
        <f aca="false">IF(OR($G115="",$P115=""),"",IFERROR(1/(1/INDEX(Map_Stats!$I$2:$I$779,MATCH($F115&amp;"|"&amp;$G115,Map_Stats!$A$2:$A$779,0))),$P115))</f>
        <v>0.344</v>
      </c>
      <c r="T115" s="13" t="n">
        <f aca="false">IF(OR($G115="",R115=""),"",IF($O115="",R115,(Q115*R115+Config!$B$4*$O115)/(Q115+Config!$B$4)))</f>
        <v>0.875714285714286</v>
      </c>
      <c r="U115" s="10" t="n">
        <f aca="false">IF(S115="","",(Q115*S115+Config!$B$4*$P115)/(Q115+Config!$B$4))</f>
        <v>0.372214285714286</v>
      </c>
      <c r="V115" s="17" t="n">
        <f aca="false">IF(OR(T115="",$J115=""),"",T115*$J115*($J115/Config!$B$10)^Config!$B$9)</f>
        <v>18.4337857142857</v>
      </c>
      <c r="W115" s="17" t="n">
        <f aca="false">IF(OR(V115="",U115=""),"",V115*U115)</f>
        <v>6.86131838265306</v>
      </c>
      <c r="X115" s="9" t="n">
        <f aca="false">IF($H115="",0,SUMIFS(Map_Stats!$F$2:$F$779,Map_Stats!$A$2:$A$779,$F115&amp;"|"&amp;$H115))</f>
        <v>8</v>
      </c>
      <c r="Y115" s="13" t="n">
        <f aca="false">IF($H115="","",IFERROR(1/(1/INDEX(Map_Stats!$K$2:$K$779,MATCH($F115&amp;"|"&amp;$H115,Map_Stats!$A$2:$A$779,0))),$O115))</f>
        <v>0.89</v>
      </c>
      <c r="Z115" s="10" t="n">
        <f aca="false">IF(OR($H115="",$P115=""),"",IFERROR(1/(1/INDEX(Map_Stats!$I$2:$I$779,MATCH($F115&amp;"|"&amp;$H115,Map_Stats!$A$2:$A$779,0))),$P115))</f>
        <v>0.362</v>
      </c>
      <c r="AA115" s="13" t="n">
        <f aca="false">IF(OR($H115="",Y115=""),"",IF($O115="",Y115,(X115*Y115+Config!$B$4*$O115)/(X115+Config!$B$4)))</f>
        <v>0.874615384615385</v>
      </c>
      <c r="AB115" s="10" t="n">
        <f aca="false">IF(Z115="","",(X115*Z115+Config!$B$4*$P115)/(X115+Config!$B$4))</f>
        <v>0.385461538461538</v>
      </c>
      <c r="AC115" s="17" t="n">
        <f aca="false">IF(OR(AA115="",$K115=""),"",AA115*$K115*($K115/Config!$B$10)^Config!$B$9)</f>
        <v>18.1132846153846</v>
      </c>
      <c r="AD115" s="17" t="n">
        <f aca="false">IF(OR(AC115="",AB115=""),"",AC115*AB115)</f>
        <v>6.98197455443787</v>
      </c>
      <c r="AE115" s="9" t="n">
        <f aca="false">IF($I115="",0,SUMIFS(Map_Stats!$F$2:$F$779,Map_Stats!$A$2:$A$779,$F115&amp;"|"&amp;$I115))</f>
        <v>4</v>
      </c>
      <c r="AF115" s="13" t="n">
        <f aca="false">IF($I115="","",IFERROR(1/(1/INDEX(Map_Stats!$K$2:$K$779,MATCH($F115&amp;"|"&amp;$I115,Map_Stats!$A$2:$A$779,0))),$O115))</f>
        <v>0.72</v>
      </c>
      <c r="AG115" s="10" t="n">
        <f aca="false">IF(OR($I115="",$P115=""),"",IFERROR(1/(1/INDEX(Map_Stats!$I$2:$I$779,MATCH($F115&amp;"|"&amp;$I115,Map_Stats!$A$2:$A$779,0))),$P115))</f>
        <v>0.5</v>
      </c>
      <c r="AH115" s="13" t="n">
        <f aca="false">IF(OR($I115="",AF115=""),"",IF($O115="",AF115,(AE115*AF115+Config!$B$4*$O115)/(AE115+Config!$B$4)))</f>
        <v>0.792222222222222</v>
      </c>
      <c r="AI115" s="10" t="n">
        <f aca="false">IF(AG115="","",(AE115*AG115+Config!$B$4*$P115)/(AE115+Config!$B$4))</f>
        <v>0.457222222222222</v>
      </c>
      <c r="AJ115" s="17" t="n">
        <f aca="false">IF(OR(AH115="",$L115=""),"",AH115*$L115*($L115/Config!$B$10)^Config!$B$9)</f>
        <v>16.5495222222222</v>
      </c>
      <c r="AK115" s="17" t="n">
        <f aca="false">IF(OR(AJ115="",AI115=""),"",AJ115*AI115)</f>
        <v>7.56680932716049</v>
      </c>
      <c r="AL115" s="17" t="n">
        <f aca="false">N(V115)+N(AC115)</f>
        <v>36.5470703296703</v>
      </c>
      <c r="AM115" s="17" t="n">
        <f aca="false">AL115+N($M115)*N(AJ115)</f>
        <v>43.1999782630037</v>
      </c>
      <c r="AN115" s="17" t="n">
        <f aca="false">IF(W115="","",N(W115)+N(AD115))</f>
        <v>13.8432929370909</v>
      </c>
      <c r="AO115" s="17" t="n">
        <f aca="false">IF(AN115="","",AN115+N($M115)*N(AK115))</f>
        <v>16.8851502866095</v>
      </c>
      <c r="AP115" s="10" t="n">
        <f aca="false">IFERROR(AN115/AL115,"")</f>
        <v>0.378779825912678</v>
      </c>
      <c r="AQ115" s="0" t="str">
        <f aca="false">TRIM(IF($N115&lt;Config!$B$12,"thin sample ("&amp;$N115&amp;" maps) · ","")&amp;IF(AND($G115&lt;&gt;"",Q115=0),"M1 unplayed→overall KPR · ","")&amp;IF(AND($H115&lt;&gt;"",X115=0),"M2 unplayed→overall KPR · ","")&amp;IF($O115="","no PickFinder stats",""))</f>
        <v/>
      </c>
      <c r="AR115" s="0" t="str">
        <f aca="false">IF($C115=Board!$B$2,COUNTIFS($C$2:$C$124,Board!$B$2,$AL$2:$AL$124,"&gt;"&amp;$AL115)+COUNTIFS($C$1:$C114,Board!$B$2,$AL$1:$AL114,$AL115)+1,"")</f>
        <v/>
      </c>
      <c r="AS115" s="0" t="str">
        <f aca="false">IFERROR(IF($D115=INDEX(Matches!$AD$5:$AD$19,MATCH($C115,Matches!$A$5:$A$19,0)),"A",IF($D115=INDEX(Matches!$AE$5:$AE$19,MATCH($C115,Matches!$A$5:$A$19,0)),"B","")),"")</f>
        <v>A</v>
      </c>
      <c r="AT115" s="10" t="n">
        <f aca="false">IF($AS115="","",IFERROR(IF($AS115="A",INDEX(Matches!$AI$5:$AI$19,MATCH($C115,Matches!$A$5:$A$19,0)),INDEX(Matches!$AJ$5:$AJ$19,MATCH($C115,Matches!$A$5:$A$19,0))),""))</f>
        <v>0.559760956175299</v>
      </c>
      <c r="AU115" s="10" t="n">
        <f aca="false">IF($AS115="","",IFERROR(IF(INDEX(Matches!$AP$5:$AP$19,MATCH($C115,Matches!$A$5:$A$19,0))="","",IF($AS115="A",INDEX(Matches!$AP$5:$AP$19,MATCH($C115,Matches!$A$5:$A$19,0)),1-INDEX(Matches!$AP$5:$AP$19,MATCH($C115,Matches!$A$5:$A$19,0)))),""))</f>
        <v>0.560560895344736</v>
      </c>
      <c r="AV115" s="13" t="n">
        <f aca="false">IF(OR($AU115="",$AT115=""),1,((Config!$B$14*$AU115+Config!$B$15*(1-$AU115))/(Config!$B$14*$AT115+Config!$B$15*(1-$AT115)))^Config!$B$13)</f>
        <v>1.0006785997203</v>
      </c>
      <c r="AW115" s="10" t="n">
        <f aca="false">IF($AS115="","",IFERROR(IF(INDEX(Matches!$AV$5:$AV$19,MATCH($C115,Matches!$A$5:$A$19,0))="","",IF($AS115="A",INDEX(Matches!$AV$5:$AV$19,MATCH($C115,Matches!$A$5:$A$19,0)),1-INDEX(Matches!$AV$5:$AV$19,MATCH($C115,Matches!$A$5:$A$19,0)))),""))</f>
        <v>0.560325445536126</v>
      </c>
      <c r="AX115" s="13" t="n">
        <f aca="false">IF(OR($AW115="",$AT115=""),1,((Config!$B$14*$AW115+Config!$B$15*(1-$AW115))/(Config!$B$14*$AT115+Config!$B$15*(1-$AT115)))^Config!$B$13)</f>
        <v>1.00047886431495</v>
      </c>
      <c r="AY115" s="10" t="n">
        <f aca="false">IF($AS115="","",IFERROR(IF(INDEX(Matches!$BB$5:$BB$19,MATCH($C115,Matches!$A$5:$A$19,0))="","",IF($AS115="A",INDEX(Matches!$BB$5:$BB$19,MATCH($C115,Matches!$A$5:$A$19,0)),1-INDEX(Matches!$BB$5:$BB$19,MATCH($C115,Matches!$A$5:$A$19,0)))),""))</f>
        <v>0.574775882557357</v>
      </c>
      <c r="AZ115" s="13" t="n">
        <f aca="false">IF(OR($AY115="",$AT115=""),1,((Config!$B$14*$AY115+Config!$B$15*(1-$AY115))/(Config!$B$14*$AT115+Config!$B$15*(1-$AT115)))^Config!$B$13)</f>
        <v>1.01273737458113</v>
      </c>
      <c r="BA115" s="17" t="n">
        <f aca="false">IF(V115="","",V115*$AV115)</f>
        <v>18.4462948761155</v>
      </c>
      <c r="BB115" s="17" t="n">
        <f aca="false">IF(AC115="","",AC115*$AX115)</f>
        <v>18.1219584210134</v>
      </c>
      <c r="BC115" s="17" t="n">
        <f aca="false">IF(AJ115="","",AJ115*$AZ115)</f>
        <v>16.7603196859053</v>
      </c>
      <c r="BD115" s="17" t="n">
        <f aca="false">N(BA115)+N(BB115)</f>
        <v>36.568253297129</v>
      </c>
      <c r="BE115" s="17" t="n">
        <f aca="false">BD115+N($M115)*N(BC115)</f>
        <v>43.3059018108629</v>
      </c>
      <c r="BF115" s="17" t="n">
        <f aca="false">IF(W115="","",W115*$AV115)</f>
        <v>6.86597447138844</v>
      </c>
      <c r="BG115" s="17" t="n">
        <f aca="false">IF(AD115="","",AD115*$AX115)</f>
        <v>6.98531797289986</v>
      </c>
      <c r="BH115" s="17" t="n">
        <f aca="false">IF(AK115="","",AK115*$AZ115)</f>
        <v>7.6631906119445</v>
      </c>
      <c r="BI115" s="17" t="n">
        <f aca="false">IF(BF115="","",N(BF115)+N(BG115))</f>
        <v>13.8512924442883</v>
      </c>
      <c r="BJ115" s="17" t="n">
        <f aca="false">IF(BI115="","",BI115+N($M115)*N(BH115))</f>
        <v>16.93189507029</v>
      </c>
      <c r="BK115" s="13" t="n">
        <f aca="false">IFERROR(BD115/AL115,1)</f>
        <v>1.00057960781172</v>
      </c>
    </row>
    <row r="116" customFormat="false" ht="15" hidden="false" customHeight="false" outlineLevel="0" collapsed="false">
      <c r="A116" s="0" t="s">
        <v>1385</v>
      </c>
      <c r="B116" s="0" t="s">
        <v>988</v>
      </c>
      <c r="C116" s="0" t="s">
        <v>1066</v>
      </c>
      <c r="D116" s="0" t="s">
        <v>1071</v>
      </c>
      <c r="E116" s="0" t="s">
        <v>1384</v>
      </c>
      <c r="F116" s="0" t="s">
        <v>1569</v>
      </c>
      <c r="G116" s="0" t="str">
        <f aca="false">IFERROR(IF(INDEX(Matches!$W$5:$W$19,MATCH($C116,Matches!$A$5:$A$19,0))="","",INDEX(Matches!$W$5:$W$19,MATCH($C116,Matches!$A$5:$A$19,0))),"")</f>
        <v>Dust2</v>
      </c>
      <c r="H116" s="0" t="str">
        <f aca="false">IFERROR(IF(INDEX(Matches!$X$5:$X$19,MATCH($C116,Matches!$A$5:$A$19,0))="","",INDEX(Matches!$X$5:$X$19,MATCH($C116,Matches!$A$5:$A$19,0))),"")</f>
        <v>Mirage</v>
      </c>
      <c r="I116" s="0" t="str">
        <f aca="false">IFERROR(IF(INDEX(Matches!$Y$5:$Y$19,MATCH($C116,Matches!$A$5:$A$19,0))="","",INDEX(Matches!$Y$5:$Y$19,MATCH($C116,Matches!$A$5:$A$19,0))),"")</f>
        <v>Cache</v>
      </c>
      <c r="J116" s="11" t="n">
        <f aca="false">IFERROR(IF(INDEX(Matches!$Z$5:$Z$19,MATCH($C116,Matches!$A$5:$A$19,0))="","",INDEX(Matches!$Z$5:$Z$19,MATCH($C116,Matches!$A$5:$A$19,0))),"")</f>
        <v>21.5</v>
      </c>
      <c r="K116" s="11" t="n">
        <f aca="false">IFERROR(IF(INDEX(Matches!$AA$5:$AA$19,MATCH($C116,Matches!$A$5:$A$19,0))="","",INDEX(Matches!$AA$5:$AA$19,MATCH($C116,Matches!$A$5:$A$19,0))),"")</f>
        <v>21.5</v>
      </c>
      <c r="L116" s="11" t="n">
        <f aca="false">IFERROR(IF(INDEX(Matches!$AB$5:$AB$19,MATCH($C116,Matches!$A$5:$A$19,0))="","",INDEX(Matches!$AB$5:$AB$19,MATCH($C116,Matches!$A$5:$A$19,0))),"")</f>
        <v>21.5</v>
      </c>
      <c r="M116" s="10" t="n">
        <f aca="false">IFERROR(IF(INDEX(Matches!$AC$5:$AC$19,MATCH($C116,Matches!$A$5:$A$19,0))="","",INDEX(Matches!$AC$5:$AC$19,MATCH($C116,Matches!$A$5:$A$19,0))),"")</f>
        <v>0.5092</v>
      </c>
      <c r="N116" s="9" t="n">
        <f aca="false">IFERROR(INDEX(Players!$F$2:$F$124,MATCH($F116,Players!$A$2:$A$124,0)),0)</f>
        <v>33</v>
      </c>
      <c r="O116" s="13" t="n">
        <f aca="false">IFERROR(1/(1/INDEX(Players!$H$2:$H$124,MATCH($F116,Players!$A$2:$A$124,0))),"")</f>
        <v>0.63</v>
      </c>
      <c r="P116" s="10" t="n">
        <f aca="false">IFERROR(1/(1/INDEX(Players!$I$2:$I$124,MATCH($F116,Players!$A$2:$A$124,0))),"")</f>
        <v>0.492</v>
      </c>
      <c r="Q116" s="9" t="n">
        <f aca="false">IF($G116="",0,SUMIFS(Map_Stats!$F$2:$F$779,Map_Stats!$A$2:$A$779,$F116&amp;"|"&amp;$G116))</f>
        <v>5</v>
      </c>
      <c r="R116" s="13" t="n">
        <f aca="false">IF($G116="","",IFERROR(1/(1/INDEX(Map_Stats!$K$2:$K$779,MATCH($F116&amp;"|"&amp;$G116,Map_Stats!$A$2:$A$779,0))),$O116))</f>
        <v>0.65</v>
      </c>
      <c r="S116" s="10" t="n">
        <f aca="false">IF(OR($G116="",$P116=""),"",IFERROR(1/(1/INDEX(Map_Stats!$I$2:$I$779,MATCH($F116&amp;"|"&amp;$G116,Map_Stats!$A$2:$A$779,0))),$P116))</f>
        <v>0.5</v>
      </c>
      <c r="T116" s="13" t="n">
        <f aca="false">IF(OR($G116="",R116=""),"",IF($O116="",R116,(Q116*R116+Config!$B$4*$O116)/(Q116+Config!$B$4)))</f>
        <v>0.64</v>
      </c>
      <c r="U116" s="10" t="n">
        <f aca="false">IF(S116="","",(Q116*S116+Config!$B$4*$P116)/(Q116+Config!$B$4))</f>
        <v>0.496</v>
      </c>
      <c r="V116" s="17" t="n">
        <f aca="false">IF(OR(T116="",$J116=""),"",T116*$J116*($J116/Config!$B$10)^Config!$B$9)</f>
        <v>13.76</v>
      </c>
      <c r="W116" s="17" t="n">
        <f aca="false">IF(OR(V116="",U116=""),"",V116*U116)</f>
        <v>6.82496</v>
      </c>
      <c r="X116" s="9" t="n">
        <f aca="false">IF($H116="",0,SUMIFS(Map_Stats!$F$2:$F$779,Map_Stats!$A$2:$A$779,$F116&amp;"|"&amp;$H116))</f>
        <v>10</v>
      </c>
      <c r="Y116" s="13" t="n">
        <f aca="false">IF($H116="","",IFERROR(1/(1/INDEX(Map_Stats!$K$2:$K$779,MATCH($F116&amp;"|"&amp;$H116,Map_Stats!$A$2:$A$779,0))),$O116))</f>
        <v>0.65</v>
      </c>
      <c r="Z116" s="10" t="n">
        <f aca="false">IF(OR($H116="",$P116=""),"",IFERROR(1/(1/INDEX(Map_Stats!$I$2:$I$779,MATCH($F116&amp;"|"&amp;$H116,Map_Stats!$A$2:$A$779,0))),$P116))</f>
        <v>0.522</v>
      </c>
      <c r="AA116" s="13" t="n">
        <f aca="false">IF(OR($H116="",Y116=""),"",IF($O116="",Y116,(X116*Y116+Config!$B$4*$O116)/(X116+Config!$B$4)))</f>
        <v>0.643333333333333</v>
      </c>
      <c r="AB116" s="10" t="n">
        <f aca="false">IF(Z116="","",(X116*Z116+Config!$B$4*$P116)/(X116+Config!$B$4))</f>
        <v>0.512</v>
      </c>
      <c r="AC116" s="17" t="n">
        <f aca="false">IF(OR(AA116="",$K116=""),"",AA116*$K116*($K116/Config!$B$10)^Config!$B$9)</f>
        <v>13.8316666666667</v>
      </c>
      <c r="AD116" s="17" t="n">
        <f aca="false">IF(OR(AC116="",AB116=""),"",AC116*AB116)</f>
        <v>7.08181333333333</v>
      </c>
      <c r="AE116" s="9" t="n">
        <f aca="false">IF($I116="",0,SUMIFS(Map_Stats!$F$2:$F$779,Map_Stats!$A$2:$A$779,$F116&amp;"|"&amp;$I116))</f>
        <v>4</v>
      </c>
      <c r="AF116" s="13" t="n">
        <f aca="false">IF($I116="","",IFERROR(1/(1/INDEX(Map_Stats!$K$2:$K$779,MATCH($F116&amp;"|"&amp;$I116,Map_Stats!$A$2:$A$779,0))),$O116))</f>
        <v>0.74</v>
      </c>
      <c r="AG116" s="10" t="n">
        <f aca="false">IF(OR($I116="",$P116=""),"",IFERROR(1/(1/INDEX(Map_Stats!$I$2:$I$779,MATCH($F116&amp;"|"&amp;$I116,Map_Stats!$A$2:$A$779,0))),$P116))</f>
        <v>0.547</v>
      </c>
      <c r="AH116" s="13" t="n">
        <f aca="false">IF(OR($I116="",AF116=""),"",IF($O116="",AF116,(AE116*AF116+Config!$B$4*$O116)/(AE116+Config!$B$4)))</f>
        <v>0.678888888888889</v>
      </c>
      <c r="AI116" s="10" t="n">
        <f aca="false">IF(AG116="","",(AE116*AG116+Config!$B$4*$P116)/(AE116+Config!$B$4))</f>
        <v>0.516444444444444</v>
      </c>
      <c r="AJ116" s="17" t="n">
        <f aca="false">IF(OR(AH116="",$L116=""),"",AH116*$L116*($L116/Config!$B$10)^Config!$B$9)</f>
        <v>14.5961111111111</v>
      </c>
      <c r="AK116" s="17" t="n">
        <f aca="false">IF(OR(AJ116="",AI116=""),"",AJ116*AI116)</f>
        <v>7.53808049382716</v>
      </c>
      <c r="AL116" s="17" t="n">
        <f aca="false">N(V116)+N(AC116)</f>
        <v>27.5916666666667</v>
      </c>
      <c r="AM116" s="17" t="n">
        <f aca="false">AL116+N($M116)*N(AJ116)</f>
        <v>35.0240064444444</v>
      </c>
      <c r="AN116" s="17" t="n">
        <f aca="false">IF(W116="","",N(W116)+N(AD116))</f>
        <v>13.9067733333333</v>
      </c>
      <c r="AO116" s="17" t="n">
        <f aca="false">IF(AN116="","",AN116+N($M116)*N(AK116))</f>
        <v>17.7451639207901</v>
      </c>
      <c r="AP116" s="10" t="n">
        <f aca="false">IFERROR(AN116/AL116,"")</f>
        <v>0.504020779220779</v>
      </c>
      <c r="AQ116" s="0" t="str">
        <f aca="false">TRIM(IF($N116&lt;Config!$B$12,"thin sample ("&amp;$N116&amp;" maps) · ","")&amp;IF(AND($G116&lt;&gt;"",Q116=0),"M1 unplayed→overall KPR · ","")&amp;IF(AND($H116&lt;&gt;"",X116=0),"M2 unplayed→overall KPR · ","")&amp;IF($O116="","no PickFinder stats",""))</f>
        <v/>
      </c>
      <c r="AR116" s="0" t="str">
        <f aca="false">IF($C116=Board!$B$2,COUNTIFS($C$2:$C$124,Board!$B$2,$AL$2:$AL$124,"&gt;"&amp;$AL116)+COUNTIFS($C$1:$C115,Board!$B$2,$AL$1:$AL115,$AL116)+1,"")</f>
        <v/>
      </c>
      <c r="AS116" s="0" t="str">
        <f aca="false">IFERROR(IF($D116=INDEX(Matches!$AD$5:$AD$19,MATCH($C116,Matches!$A$5:$A$19,0)),"A",IF($D116=INDEX(Matches!$AE$5:$AE$19,MATCH($C116,Matches!$A$5:$A$19,0)),"B","")),"")</f>
        <v>B</v>
      </c>
      <c r="AT116" s="10" t="n">
        <f aca="false">IF($AS116="","",IFERROR(IF($AS116="A",INDEX(Matches!$AI$5:$AI$19,MATCH($C116,Matches!$A$5:$A$19,0)),INDEX(Matches!$AJ$5:$AJ$19,MATCH($C116,Matches!$A$5:$A$19,0))),""))</f>
        <v>0.495313339453627</v>
      </c>
      <c r="AU116" s="10" t="n">
        <f aca="false">IF($AS116="","",IFERROR(IF(INDEX(Matches!$AP$5:$AP$19,MATCH($C116,Matches!$A$5:$A$19,0))="","",IF($AS116="A",INDEX(Matches!$AP$5:$AP$19,MATCH($C116,Matches!$A$5:$A$19,0)),1-INDEX(Matches!$AP$5:$AP$19,MATCH($C116,Matches!$A$5:$A$19,0)))),""))</f>
        <v>0.509746950814421</v>
      </c>
      <c r="AV116" s="13" t="n">
        <f aca="false">IF(OR($AU116="",$AT116=""),1,((Config!$B$14*$AU116+Config!$B$15*(1-$AU116))/(Config!$B$14*$AT116+Config!$B$15*(1-$AT116)))^Config!$B$13)</f>
        <v>1.01295236633219</v>
      </c>
      <c r="AW116" s="10" t="n">
        <f aca="false">IF($AS116="","",IFERROR(IF(INDEX(Matches!$AV$5:$AV$19,MATCH($C116,Matches!$A$5:$A$19,0))="","",IF($AS116="A",INDEX(Matches!$AV$5:$AV$19,MATCH($C116,Matches!$A$5:$A$19,0)),1-INDEX(Matches!$AV$5:$AV$19,MATCH($C116,Matches!$A$5:$A$19,0)))),""))</f>
        <v>0.481746613306277</v>
      </c>
      <c r="AX116" s="13" t="n">
        <f aca="false">IF(OR($AW116="",$AT116=""),1,((Config!$B$14*$AW116+Config!$B$15*(1-$AW116))/(Config!$B$14*$AT116+Config!$B$15*(1-$AT116)))^Config!$B$13)</f>
        <v>0.987825555046727</v>
      </c>
      <c r="AY116" s="10" t="n">
        <f aca="false">IF($AS116="","",IFERROR(IF(INDEX(Matches!$BB$5:$BB$19,MATCH($C116,Matches!$A$5:$A$19,0))="","",IF($AS116="A",INDEX(Matches!$BB$5:$BB$19,MATCH($C116,Matches!$A$5:$A$19,0)),1-INDEX(Matches!$BB$5:$BB$19,MATCH($C116,Matches!$A$5:$A$19,0)))),""))</f>
        <v>0.468585045755607</v>
      </c>
      <c r="AZ116" s="13" t="n">
        <f aca="false">IF(OR($AY116="",$AT116=""),1,((Config!$B$14*$AY116+Config!$B$15*(1-$AY116))/(Config!$B$14*$AT116+Config!$B$15*(1-$AT116)))^Config!$B$13)</f>
        <v>0.9760146894109</v>
      </c>
      <c r="BA116" s="17" t="n">
        <f aca="false">IF(V116="","",V116*$AV116)</f>
        <v>13.9382245607309</v>
      </c>
      <c r="BB116" s="17" t="n">
        <f aca="false">IF(AC116="","",AC116*$AX116)</f>
        <v>13.6632738022213</v>
      </c>
      <c r="BC116" s="17" t="n">
        <f aca="false">IF(AJ116="","",AJ116*$AZ116)</f>
        <v>14.2460188527181</v>
      </c>
      <c r="BD116" s="17" t="n">
        <f aca="false">N(BA116)+N(BB116)</f>
        <v>27.6014983629522</v>
      </c>
      <c r="BE116" s="17" t="n">
        <f aca="false">BD116+N($M116)*N(BC116)</f>
        <v>34.8555711627562</v>
      </c>
      <c r="BF116" s="17" t="n">
        <f aca="false">IF(W116="","",W116*$AV116)</f>
        <v>6.91335938212251</v>
      </c>
      <c r="BG116" s="17" t="n">
        <f aca="false">IF(AD116="","",AD116*$AX116)</f>
        <v>6.99559618673731</v>
      </c>
      <c r="BH116" s="17" t="n">
        <f aca="false">IF(AK116="","",AK116*$AZ116)</f>
        <v>7.35727729193708</v>
      </c>
      <c r="BI116" s="17" t="n">
        <f aca="false">IF(BF116="","",N(BF116)+N(BG116))</f>
        <v>13.9089555688598</v>
      </c>
      <c r="BJ116" s="17" t="n">
        <f aca="false">IF(BI116="","",BI116+N($M116)*N(BH116))</f>
        <v>17.6552811659142</v>
      </c>
      <c r="BK116" s="13" t="n">
        <f aca="false">IFERROR(BD116/AL116,1)</f>
        <v>1.00035632846701</v>
      </c>
    </row>
    <row r="117" customFormat="false" ht="15" hidden="false" customHeight="false" outlineLevel="0" collapsed="false">
      <c r="A117" s="0" t="s">
        <v>1387</v>
      </c>
      <c r="B117" s="0" t="s">
        <v>988</v>
      </c>
      <c r="C117" s="0" t="s">
        <v>1066</v>
      </c>
      <c r="D117" s="0" t="s">
        <v>1071</v>
      </c>
      <c r="E117" s="0" t="s">
        <v>1386</v>
      </c>
      <c r="F117" s="0" t="s">
        <v>1570</v>
      </c>
      <c r="G117" s="0" t="str">
        <f aca="false">IFERROR(IF(INDEX(Matches!$W$5:$W$19,MATCH($C117,Matches!$A$5:$A$19,0))="","",INDEX(Matches!$W$5:$W$19,MATCH($C117,Matches!$A$5:$A$19,0))),"")</f>
        <v>Dust2</v>
      </c>
      <c r="H117" s="0" t="str">
        <f aca="false">IFERROR(IF(INDEX(Matches!$X$5:$X$19,MATCH($C117,Matches!$A$5:$A$19,0))="","",INDEX(Matches!$X$5:$X$19,MATCH($C117,Matches!$A$5:$A$19,0))),"")</f>
        <v>Mirage</v>
      </c>
      <c r="I117" s="0" t="str">
        <f aca="false">IFERROR(IF(INDEX(Matches!$Y$5:$Y$19,MATCH($C117,Matches!$A$5:$A$19,0))="","",INDEX(Matches!$Y$5:$Y$19,MATCH($C117,Matches!$A$5:$A$19,0))),"")</f>
        <v>Cache</v>
      </c>
      <c r="J117" s="11" t="n">
        <f aca="false">IFERROR(IF(INDEX(Matches!$Z$5:$Z$19,MATCH($C117,Matches!$A$5:$A$19,0))="","",INDEX(Matches!$Z$5:$Z$19,MATCH($C117,Matches!$A$5:$A$19,0))),"")</f>
        <v>21.5</v>
      </c>
      <c r="K117" s="11" t="n">
        <f aca="false">IFERROR(IF(INDEX(Matches!$AA$5:$AA$19,MATCH($C117,Matches!$A$5:$A$19,0))="","",INDEX(Matches!$AA$5:$AA$19,MATCH($C117,Matches!$A$5:$A$19,0))),"")</f>
        <v>21.5</v>
      </c>
      <c r="L117" s="11" t="n">
        <f aca="false">IFERROR(IF(INDEX(Matches!$AB$5:$AB$19,MATCH($C117,Matches!$A$5:$A$19,0))="","",INDEX(Matches!$AB$5:$AB$19,MATCH($C117,Matches!$A$5:$A$19,0))),"")</f>
        <v>21.5</v>
      </c>
      <c r="M117" s="10" t="n">
        <f aca="false">IFERROR(IF(INDEX(Matches!$AC$5:$AC$19,MATCH($C117,Matches!$A$5:$A$19,0))="","",INDEX(Matches!$AC$5:$AC$19,MATCH($C117,Matches!$A$5:$A$19,0))),"")</f>
        <v>0.5092</v>
      </c>
      <c r="N117" s="9" t="n">
        <f aca="false">IFERROR(INDEX(Players!$F$2:$F$124,MATCH($F117,Players!$A$2:$A$124,0)),0)</f>
        <v>33</v>
      </c>
      <c r="O117" s="13" t="n">
        <f aca="false">IFERROR(1/(1/INDEX(Players!$H$2:$H$124,MATCH($F117,Players!$A$2:$A$124,0))),"")</f>
        <v>0.61</v>
      </c>
      <c r="P117" s="10" t="n">
        <f aca="false">IFERROR(1/(1/INDEX(Players!$I$2:$I$124,MATCH($F117,Players!$A$2:$A$124,0))),"")</f>
        <v>0.374</v>
      </c>
      <c r="Q117" s="9" t="n">
        <f aca="false">IF($G117="",0,SUMIFS(Map_Stats!$F$2:$F$779,Map_Stats!$A$2:$A$779,$F117&amp;"|"&amp;$G117))</f>
        <v>5</v>
      </c>
      <c r="R117" s="13" t="n">
        <f aca="false">IF($G117="","",IFERROR(1/(1/INDEX(Map_Stats!$K$2:$K$779,MATCH($F117&amp;"|"&amp;$G117,Map_Stats!$A$2:$A$779,0))),$O117))</f>
        <v>0.63</v>
      </c>
      <c r="S117" s="10" t="n">
        <f aca="false">IF(OR($G117="",$P117=""),"",IFERROR(1/(1/INDEX(Map_Stats!$I$2:$I$779,MATCH($F117&amp;"|"&amp;$G117,Map_Stats!$A$2:$A$779,0))),$P117))</f>
        <v>0.382</v>
      </c>
      <c r="T117" s="13" t="n">
        <f aca="false">IF(OR($G117="",R117=""),"",IF($O117="",R117,(Q117*R117+Config!$B$4*$O117)/(Q117+Config!$B$4)))</f>
        <v>0.62</v>
      </c>
      <c r="U117" s="10" t="n">
        <f aca="false">IF(S117="","",(Q117*S117+Config!$B$4*$P117)/(Q117+Config!$B$4))</f>
        <v>0.378</v>
      </c>
      <c r="V117" s="17" t="n">
        <f aca="false">IF(OR(T117="",$J117=""),"",T117*$J117*($J117/Config!$B$10)^Config!$B$9)</f>
        <v>13.33</v>
      </c>
      <c r="W117" s="17" t="n">
        <f aca="false">IF(OR(V117="",U117=""),"",V117*U117)</f>
        <v>5.03874</v>
      </c>
      <c r="X117" s="9" t="n">
        <f aca="false">IF($H117="",0,SUMIFS(Map_Stats!$F$2:$F$779,Map_Stats!$A$2:$A$779,$F117&amp;"|"&amp;$H117))</f>
        <v>10</v>
      </c>
      <c r="Y117" s="13" t="n">
        <f aca="false">IF($H117="","",IFERROR(1/(1/INDEX(Map_Stats!$K$2:$K$779,MATCH($F117&amp;"|"&amp;$H117,Map_Stats!$A$2:$A$779,0))),$O117))</f>
        <v>0.64</v>
      </c>
      <c r="Z117" s="10" t="n">
        <f aca="false">IF(OR($H117="",$P117=""),"",IFERROR(1/(1/INDEX(Map_Stats!$I$2:$I$779,MATCH($F117&amp;"|"&amp;$H117,Map_Stats!$A$2:$A$779,0))),$P117))</f>
        <v>0.387</v>
      </c>
      <c r="AA117" s="13" t="n">
        <f aca="false">IF(OR($H117="",Y117=""),"",IF($O117="",Y117,(X117*Y117+Config!$B$4*$O117)/(X117+Config!$B$4)))</f>
        <v>0.63</v>
      </c>
      <c r="AB117" s="10" t="n">
        <f aca="false">IF(Z117="","",(X117*Z117+Config!$B$4*$P117)/(X117+Config!$B$4))</f>
        <v>0.382666666666667</v>
      </c>
      <c r="AC117" s="17" t="n">
        <f aca="false">IF(OR(AA117="",$K117=""),"",AA117*$K117*($K117/Config!$B$10)^Config!$B$9)</f>
        <v>13.545</v>
      </c>
      <c r="AD117" s="17" t="n">
        <f aca="false">IF(OR(AC117="",AB117=""),"",AC117*AB117)</f>
        <v>5.18322</v>
      </c>
      <c r="AE117" s="9" t="n">
        <f aca="false">IF($I117="",0,SUMIFS(Map_Stats!$F$2:$F$779,Map_Stats!$A$2:$A$779,$F117&amp;"|"&amp;$I117))</f>
        <v>4</v>
      </c>
      <c r="AF117" s="13" t="n">
        <f aca="false">IF($I117="","",IFERROR(1/(1/INDEX(Map_Stats!$K$2:$K$779,MATCH($F117&amp;"|"&amp;$I117,Map_Stats!$A$2:$A$779,0))),$O117))</f>
        <v>0.63</v>
      </c>
      <c r="AG117" s="10" t="n">
        <f aca="false">IF(OR($I117="",$P117=""),"",IFERROR(1/(1/INDEX(Map_Stats!$I$2:$I$779,MATCH($F117&amp;"|"&amp;$I117,Map_Stats!$A$2:$A$779,0))),$P117))</f>
        <v>0.364</v>
      </c>
      <c r="AH117" s="13" t="n">
        <f aca="false">IF(OR($I117="",AF117=""),"",IF($O117="",AF117,(AE117*AF117+Config!$B$4*$O117)/(AE117+Config!$B$4)))</f>
        <v>0.618888888888889</v>
      </c>
      <c r="AI117" s="10" t="n">
        <f aca="false">IF(AG117="","",(AE117*AG117+Config!$B$4*$P117)/(AE117+Config!$B$4))</f>
        <v>0.369555555555556</v>
      </c>
      <c r="AJ117" s="17" t="n">
        <f aca="false">IF(OR(AH117="",$L117=""),"",AH117*$L117*($L117/Config!$B$10)^Config!$B$9)</f>
        <v>13.3061111111111</v>
      </c>
      <c r="AK117" s="17" t="n">
        <f aca="false">IF(OR(AJ117="",AI117=""),"",AJ117*AI117)</f>
        <v>4.91734728395062</v>
      </c>
      <c r="AL117" s="17" t="n">
        <f aca="false">N(V117)+N(AC117)</f>
        <v>26.875</v>
      </c>
      <c r="AM117" s="17" t="n">
        <f aca="false">AL117+N($M117)*N(AJ117)</f>
        <v>33.6504717777778</v>
      </c>
      <c r="AN117" s="17" t="n">
        <f aca="false">IF(W117="","",N(W117)+N(AD117))</f>
        <v>10.22196</v>
      </c>
      <c r="AO117" s="17" t="n">
        <f aca="false">IF(AN117="","",AN117+N($M117)*N(AK117))</f>
        <v>12.7258732369877</v>
      </c>
      <c r="AP117" s="10" t="n">
        <f aca="false">IFERROR(AN117/AL117,"")</f>
        <v>0.380352</v>
      </c>
      <c r="AQ117" s="0" t="str">
        <f aca="false">TRIM(IF($N117&lt;Config!$B$12,"thin sample ("&amp;$N117&amp;" maps) · ","")&amp;IF(AND($G117&lt;&gt;"",Q117=0),"M1 unplayed→overall KPR · ","")&amp;IF(AND($H117&lt;&gt;"",X117=0),"M2 unplayed→overall KPR · ","")&amp;IF($O117="","no PickFinder stats",""))</f>
        <v/>
      </c>
      <c r="AR117" s="0" t="str">
        <f aca="false">IF($C117=Board!$B$2,COUNTIFS($C$2:$C$124,Board!$B$2,$AL$2:$AL$124,"&gt;"&amp;$AL117)+COUNTIFS($C$1:$C116,Board!$B$2,$AL$1:$AL116,$AL117)+1,"")</f>
        <v/>
      </c>
      <c r="AS117" s="0" t="str">
        <f aca="false">IFERROR(IF($D117=INDEX(Matches!$AD$5:$AD$19,MATCH($C117,Matches!$A$5:$A$19,0)),"A",IF($D117=INDEX(Matches!$AE$5:$AE$19,MATCH($C117,Matches!$A$5:$A$19,0)),"B","")),"")</f>
        <v>B</v>
      </c>
      <c r="AT117" s="10" t="n">
        <f aca="false">IF($AS117="","",IFERROR(IF($AS117="A",INDEX(Matches!$AI$5:$AI$19,MATCH($C117,Matches!$A$5:$A$19,0)),INDEX(Matches!$AJ$5:$AJ$19,MATCH($C117,Matches!$A$5:$A$19,0))),""))</f>
        <v>0.495313339453627</v>
      </c>
      <c r="AU117" s="10" t="n">
        <f aca="false">IF($AS117="","",IFERROR(IF(INDEX(Matches!$AP$5:$AP$19,MATCH($C117,Matches!$A$5:$A$19,0))="","",IF($AS117="A",INDEX(Matches!$AP$5:$AP$19,MATCH($C117,Matches!$A$5:$A$19,0)),1-INDEX(Matches!$AP$5:$AP$19,MATCH($C117,Matches!$A$5:$A$19,0)))),""))</f>
        <v>0.509746950814421</v>
      </c>
      <c r="AV117" s="13" t="n">
        <f aca="false">IF(OR($AU117="",$AT117=""),1,((Config!$B$14*$AU117+Config!$B$15*(1-$AU117))/(Config!$B$14*$AT117+Config!$B$15*(1-$AT117)))^Config!$B$13)</f>
        <v>1.01295236633219</v>
      </c>
      <c r="AW117" s="10" t="n">
        <f aca="false">IF($AS117="","",IFERROR(IF(INDEX(Matches!$AV$5:$AV$19,MATCH($C117,Matches!$A$5:$A$19,0))="","",IF($AS117="A",INDEX(Matches!$AV$5:$AV$19,MATCH($C117,Matches!$A$5:$A$19,0)),1-INDEX(Matches!$AV$5:$AV$19,MATCH($C117,Matches!$A$5:$A$19,0)))),""))</f>
        <v>0.481746613306277</v>
      </c>
      <c r="AX117" s="13" t="n">
        <f aca="false">IF(OR($AW117="",$AT117=""),1,((Config!$B$14*$AW117+Config!$B$15*(1-$AW117))/(Config!$B$14*$AT117+Config!$B$15*(1-$AT117)))^Config!$B$13)</f>
        <v>0.987825555046727</v>
      </c>
      <c r="AY117" s="10" t="n">
        <f aca="false">IF($AS117="","",IFERROR(IF(INDEX(Matches!$BB$5:$BB$19,MATCH($C117,Matches!$A$5:$A$19,0))="","",IF($AS117="A",INDEX(Matches!$BB$5:$BB$19,MATCH($C117,Matches!$A$5:$A$19,0)),1-INDEX(Matches!$BB$5:$BB$19,MATCH($C117,Matches!$A$5:$A$19,0)))),""))</f>
        <v>0.468585045755607</v>
      </c>
      <c r="AZ117" s="13" t="n">
        <f aca="false">IF(OR($AY117="",$AT117=""),1,((Config!$B$14*$AY117+Config!$B$15*(1-$AY117))/(Config!$B$14*$AT117+Config!$B$15*(1-$AT117)))^Config!$B$13)</f>
        <v>0.9760146894109</v>
      </c>
      <c r="BA117" s="17" t="n">
        <f aca="false">IF(V117="","",V117*$AV117)</f>
        <v>13.502655043208</v>
      </c>
      <c r="BB117" s="17" t="n">
        <f aca="false">IF(AC117="","",AC117*$AX117)</f>
        <v>13.3800971431079</v>
      </c>
      <c r="BC117" s="17" t="n">
        <f aca="false">IF(AJ117="","",AJ117*$AZ117)</f>
        <v>12.986959903378</v>
      </c>
      <c r="BD117" s="17" t="n">
        <f aca="false">N(BA117)+N(BB117)</f>
        <v>26.8827521863159</v>
      </c>
      <c r="BE117" s="17" t="n">
        <f aca="false">BD117+N($M117)*N(BC117)</f>
        <v>33.4957121691161</v>
      </c>
      <c r="BF117" s="17" t="n">
        <f aca="false">IF(W117="","",W117*$AV117)</f>
        <v>5.10400360633264</v>
      </c>
      <c r="BG117" s="17" t="n">
        <f aca="false">IF(AD117="","",AD117*$AX117)</f>
        <v>5.1201171734293</v>
      </c>
      <c r="BH117" s="17" t="n">
        <f aca="false">IF(AK117="","",AK117*$AZ117)</f>
        <v>4.7994031820706</v>
      </c>
      <c r="BI117" s="17" t="n">
        <f aca="false">IF(BF117="","",N(BF117)+N(BG117))</f>
        <v>10.2241207797619</v>
      </c>
      <c r="BJ117" s="17" t="n">
        <f aca="false">IF(BI117="","",BI117+N($M117)*N(BH117))</f>
        <v>12.6679768800723</v>
      </c>
      <c r="BK117" s="13" t="n">
        <f aca="false">IFERROR(BD117/AL117,1)</f>
        <v>1.00028845344431</v>
      </c>
    </row>
    <row r="118" customFormat="false" ht="15" hidden="false" customHeight="false" outlineLevel="0" collapsed="false">
      <c r="A118" s="0" t="s">
        <v>1390</v>
      </c>
      <c r="B118" s="0" t="s">
        <v>988</v>
      </c>
      <c r="C118" s="0" t="s">
        <v>1066</v>
      </c>
      <c r="D118" s="0" t="s">
        <v>1071</v>
      </c>
      <c r="E118" s="0" t="s">
        <v>1388</v>
      </c>
      <c r="F118" s="0" t="s">
        <v>1571</v>
      </c>
      <c r="G118" s="0" t="str">
        <f aca="false">IFERROR(IF(INDEX(Matches!$W$5:$W$19,MATCH($C118,Matches!$A$5:$A$19,0))="","",INDEX(Matches!$W$5:$W$19,MATCH($C118,Matches!$A$5:$A$19,0))),"")</f>
        <v>Dust2</v>
      </c>
      <c r="H118" s="0" t="str">
        <f aca="false">IFERROR(IF(INDEX(Matches!$X$5:$X$19,MATCH($C118,Matches!$A$5:$A$19,0))="","",INDEX(Matches!$X$5:$X$19,MATCH($C118,Matches!$A$5:$A$19,0))),"")</f>
        <v>Mirage</v>
      </c>
      <c r="I118" s="0" t="str">
        <f aca="false">IFERROR(IF(INDEX(Matches!$Y$5:$Y$19,MATCH($C118,Matches!$A$5:$A$19,0))="","",INDEX(Matches!$Y$5:$Y$19,MATCH($C118,Matches!$A$5:$A$19,0))),"")</f>
        <v>Cache</v>
      </c>
      <c r="J118" s="11" t="n">
        <f aca="false">IFERROR(IF(INDEX(Matches!$Z$5:$Z$19,MATCH($C118,Matches!$A$5:$A$19,0))="","",INDEX(Matches!$Z$5:$Z$19,MATCH($C118,Matches!$A$5:$A$19,0))),"")</f>
        <v>21.5</v>
      </c>
      <c r="K118" s="11" t="n">
        <f aca="false">IFERROR(IF(INDEX(Matches!$AA$5:$AA$19,MATCH($C118,Matches!$A$5:$A$19,0))="","",INDEX(Matches!$AA$5:$AA$19,MATCH($C118,Matches!$A$5:$A$19,0))),"")</f>
        <v>21.5</v>
      </c>
      <c r="L118" s="11" t="n">
        <f aca="false">IFERROR(IF(INDEX(Matches!$AB$5:$AB$19,MATCH($C118,Matches!$A$5:$A$19,0))="","",INDEX(Matches!$AB$5:$AB$19,MATCH($C118,Matches!$A$5:$A$19,0))),"")</f>
        <v>21.5</v>
      </c>
      <c r="M118" s="10" t="n">
        <f aca="false">IFERROR(IF(INDEX(Matches!$AC$5:$AC$19,MATCH($C118,Matches!$A$5:$A$19,0))="","",INDEX(Matches!$AC$5:$AC$19,MATCH($C118,Matches!$A$5:$A$19,0))),"")</f>
        <v>0.5092</v>
      </c>
      <c r="N118" s="9" t="n">
        <f aca="false">IFERROR(INDEX(Players!$F$2:$F$124,MATCH($F118,Players!$A$2:$A$124,0)),0)</f>
        <v>33</v>
      </c>
      <c r="O118" s="13" t="n">
        <f aca="false">IFERROR(1/(1/INDEX(Players!$H$2:$H$124,MATCH($F118,Players!$A$2:$A$124,0))),"")</f>
        <v>0.69</v>
      </c>
      <c r="P118" s="10" t="n">
        <f aca="false">IFERROR(1/(1/INDEX(Players!$I$2:$I$124,MATCH($F118,Players!$A$2:$A$124,0))),"")</f>
        <v>0.605</v>
      </c>
      <c r="Q118" s="9" t="n">
        <f aca="false">IF($G118="",0,SUMIFS(Map_Stats!$F$2:$F$779,Map_Stats!$A$2:$A$779,$F118&amp;"|"&amp;$G118))</f>
        <v>5</v>
      </c>
      <c r="R118" s="13" t="n">
        <f aca="false">IF($G118="","",IFERROR(1/(1/INDEX(Map_Stats!$K$2:$K$779,MATCH($F118&amp;"|"&amp;$G118,Map_Stats!$A$2:$A$779,0))),$O118))</f>
        <v>0.62</v>
      </c>
      <c r="S118" s="10" t="n">
        <f aca="false">IF(OR($G118="",$P118=""),"",IFERROR(1/(1/INDEX(Map_Stats!$I$2:$I$779,MATCH($F118&amp;"|"&amp;$G118,Map_Stats!$A$2:$A$779,0))),$P118))</f>
        <v>0.493</v>
      </c>
      <c r="T118" s="13" t="n">
        <f aca="false">IF(OR($G118="",R118=""),"",IF($O118="",R118,(Q118*R118+Config!$B$4*$O118)/(Q118+Config!$B$4)))</f>
        <v>0.655</v>
      </c>
      <c r="U118" s="10" t="n">
        <f aca="false">IF(S118="","",(Q118*S118+Config!$B$4*$P118)/(Q118+Config!$B$4))</f>
        <v>0.549</v>
      </c>
      <c r="V118" s="17" t="n">
        <f aca="false">IF(OR(T118="",$J118=""),"",T118*$J118*($J118/Config!$B$10)^Config!$B$9)</f>
        <v>14.0825</v>
      </c>
      <c r="W118" s="17" t="n">
        <f aca="false">IF(OR(V118="",U118=""),"",V118*U118)</f>
        <v>7.7312925</v>
      </c>
      <c r="X118" s="9" t="n">
        <f aca="false">IF($H118="",0,SUMIFS(Map_Stats!$F$2:$F$779,Map_Stats!$A$2:$A$779,$F118&amp;"|"&amp;$H118))</f>
        <v>10</v>
      </c>
      <c r="Y118" s="13" t="n">
        <f aca="false">IF($H118="","",IFERROR(1/(1/INDEX(Map_Stats!$K$2:$K$779,MATCH($F118&amp;"|"&amp;$H118,Map_Stats!$A$2:$A$779,0))),$O118))</f>
        <v>0.65</v>
      </c>
      <c r="Z118" s="10" t="n">
        <f aca="false">IF(OR($H118="",$P118=""),"",IFERROR(1/(1/INDEX(Map_Stats!$I$2:$I$779,MATCH($F118&amp;"|"&amp;$H118,Map_Stats!$A$2:$A$779,0))),$P118))</f>
        <v>0.688</v>
      </c>
      <c r="AA118" s="13" t="n">
        <f aca="false">IF(OR($H118="",Y118=""),"",IF($O118="",Y118,(X118*Y118+Config!$B$4*$O118)/(X118+Config!$B$4)))</f>
        <v>0.663333333333333</v>
      </c>
      <c r="AB118" s="10" t="n">
        <f aca="false">IF(Z118="","",(X118*Z118+Config!$B$4*$P118)/(X118+Config!$B$4))</f>
        <v>0.660333333333333</v>
      </c>
      <c r="AC118" s="17" t="n">
        <f aca="false">IF(OR(AA118="",$K118=""),"",AA118*$K118*($K118/Config!$B$10)^Config!$B$9)</f>
        <v>14.2616666666667</v>
      </c>
      <c r="AD118" s="17" t="n">
        <f aca="false">IF(OR(AC118="",AB118=""),"",AC118*AB118)</f>
        <v>9.41745388888889</v>
      </c>
      <c r="AE118" s="9" t="n">
        <f aca="false">IF($I118="",0,SUMIFS(Map_Stats!$F$2:$F$779,Map_Stats!$A$2:$A$779,$F118&amp;"|"&amp;$I118))</f>
        <v>4</v>
      </c>
      <c r="AF118" s="13" t="n">
        <f aca="false">IF($I118="","",IFERROR(1/(1/INDEX(Map_Stats!$K$2:$K$779,MATCH($F118&amp;"|"&amp;$I118,Map_Stats!$A$2:$A$779,0))),$O118))</f>
        <v>0.77</v>
      </c>
      <c r="AG118" s="10" t="n">
        <f aca="false">IF(OR($I118="",$P118=""),"",IFERROR(1/(1/INDEX(Map_Stats!$I$2:$I$779,MATCH($F118&amp;"|"&amp;$I118,Map_Stats!$A$2:$A$779,0))),$P118))</f>
        <v>0.627</v>
      </c>
      <c r="AH118" s="13" t="n">
        <f aca="false">IF(OR($I118="",AF118=""),"",IF($O118="",AF118,(AE118*AF118+Config!$B$4*$O118)/(AE118+Config!$B$4)))</f>
        <v>0.725555555555556</v>
      </c>
      <c r="AI118" s="10" t="n">
        <f aca="false">IF(AG118="","",(AE118*AG118+Config!$B$4*$P118)/(AE118+Config!$B$4))</f>
        <v>0.614777777777778</v>
      </c>
      <c r="AJ118" s="17" t="n">
        <f aca="false">IF(OR(AH118="",$L118=""),"",AH118*$L118*($L118/Config!$B$10)^Config!$B$9)</f>
        <v>15.5994444444444</v>
      </c>
      <c r="AK118" s="17" t="n">
        <f aca="false">IF(OR(AJ118="",AI118=""),"",AJ118*AI118)</f>
        <v>9.59019179012346</v>
      </c>
      <c r="AL118" s="17" t="n">
        <f aca="false">N(V118)+N(AC118)</f>
        <v>28.3441666666667</v>
      </c>
      <c r="AM118" s="17" t="n">
        <f aca="false">AL118+N($M118)*N(AJ118)</f>
        <v>36.2874037777778</v>
      </c>
      <c r="AN118" s="17" t="n">
        <f aca="false">IF(W118="","",N(W118)+N(AD118))</f>
        <v>17.1487463888889</v>
      </c>
      <c r="AO118" s="17" t="n">
        <f aca="false">IF(AN118="","",AN118+N($M118)*N(AK118))</f>
        <v>22.0320720484198</v>
      </c>
      <c r="AP118" s="10" t="n">
        <f aca="false">IFERROR(AN118/AL118,"")</f>
        <v>0.605018541930046</v>
      </c>
      <c r="AQ118" s="0" t="str">
        <f aca="false">TRIM(IF($N118&lt;Config!$B$12,"thin sample ("&amp;$N118&amp;" maps) · ","")&amp;IF(AND($G118&lt;&gt;"",Q118=0),"M1 unplayed→overall KPR · ","")&amp;IF(AND($H118&lt;&gt;"",X118=0),"M2 unplayed→overall KPR · ","")&amp;IF($O118="","no PickFinder stats",""))</f>
        <v/>
      </c>
      <c r="AR118" s="0" t="str">
        <f aca="false">IF($C118=Board!$B$2,COUNTIFS($C$2:$C$124,Board!$B$2,$AL$2:$AL$124,"&gt;"&amp;$AL118)+COUNTIFS($C$1:$C117,Board!$B$2,$AL$1:$AL117,$AL118)+1,"")</f>
        <v/>
      </c>
      <c r="AS118" s="0" t="str">
        <f aca="false">IFERROR(IF($D118=INDEX(Matches!$AD$5:$AD$19,MATCH($C118,Matches!$A$5:$A$19,0)),"A",IF($D118=INDEX(Matches!$AE$5:$AE$19,MATCH($C118,Matches!$A$5:$A$19,0)),"B","")),"")</f>
        <v>B</v>
      </c>
      <c r="AT118" s="10" t="n">
        <f aca="false">IF($AS118="","",IFERROR(IF($AS118="A",INDEX(Matches!$AI$5:$AI$19,MATCH($C118,Matches!$A$5:$A$19,0)),INDEX(Matches!$AJ$5:$AJ$19,MATCH($C118,Matches!$A$5:$A$19,0))),""))</f>
        <v>0.495313339453627</v>
      </c>
      <c r="AU118" s="10" t="n">
        <f aca="false">IF($AS118="","",IFERROR(IF(INDEX(Matches!$AP$5:$AP$19,MATCH($C118,Matches!$A$5:$A$19,0))="","",IF($AS118="A",INDEX(Matches!$AP$5:$AP$19,MATCH($C118,Matches!$A$5:$A$19,0)),1-INDEX(Matches!$AP$5:$AP$19,MATCH($C118,Matches!$A$5:$A$19,0)))),""))</f>
        <v>0.509746950814421</v>
      </c>
      <c r="AV118" s="13" t="n">
        <f aca="false">IF(OR($AU118="",$AT118=""),1,((Config!$B$14*$AU118+Config!$B$15*(1-$AU118))/(Config!$B$14*$AT118+Config!$B$15*(1-$AT118)))^Config!$B$13)</f>
        <v>1.01295236633219</v>
      </c>
      <c r="AW118" s="10" t="n">
        <f aca="false">IF($AS118="","",IFERROR(IF(INDEX(Matches!$AV$5:$AV$19,MATCH($C118,Matches!$A$5:$A$19,0))="","",IF($AS118="A",INDEX(Matches!$AV$5:$AV$19,MATCH($C118,Matches!$A$5:$A$19,0)),1-INDEX(Matches!$AV$5:$AV$19,MATCH($C118,Matches!$A$5:$A$19,0)))),""))</f>
        <v>0.481746613306277</v>
      </c>
      <c r="AX118" s="13" t="n">
        <f aca="false">IF(OR($AW118="",$AT118=""),1,((Config!$B$14*$AW118+Config!$B$15*(1-$AW118))/(Config!$B$14*$AT118+Config!$B$15*(1-$AT118)))^Config!$B$13)</f>
        <v>0.987825555046727</v>
      </c>
      <c r="AY118" s="10" t="n">
        <f aca="false">IF($AS118="","",IFERROR(IF(INDEX(Matches!$BB$5:$BB$19,MATCH($C118,Matches!$A$5:$A$19,0))="","",IF($AS118="A",INDEX(Matches!$BB$5:$BB$19,MATCH($C118,Matches!$A$5:$A$19,0)),1-INDEX(Matches!$BB$5:$BB$19,MATCH($C118,Matches!$A$5:$A$19,0)))),""))</f>
        <v>0.468585045755607</v>
      </c>
      <c r="AZ118" s="13" t="n">
        <f aca="false">IF(OR($AY118="",$AT118=""),1,((Config!$B$14*$AY118+Config!$B$15*(1-$AY118))/(Config!$B$14*$AT118+Config!$B$15*(1-$AT118)))^Config!$B$13)</f>
        <v>0.9760146894109</v>
      </c>
      <c r="BA118" s="17" t="n">
        <f aca="false">IF(V118="","",V118*$AV118)</f>
        <v>14.264901698873</v>
      </c>
      <c r="BB118" s="17" t="n">
        <f aca="false">IF(AC118="","",AC118*$AX118)</f>
        <v>14.0880387908914</v>
      </c>
      <c r="BC118" s="17" t="n">
        <f aca="false">IF(AJ118="","",AJ118*$AZ118)</f>
        <v>15.225286924427</v>
      </c>
      <c r="BD118" s="17" t="n">
        <f aca="false">N(BA118)+N(BB118)</f>
        <v>28.3529404897644</v>
      </c>
      <c r="BE118" s="17" t="n">
        <f aca="false">BD118+N($M118)*N(BC118)</f>
        <v>36.1056565916827</v>
      </c>
      <c r="BF118" s="17" t="n">
        <f aca="false">IF(W118="","",W118*$AV118)</f>
        <v>7.83143103268128</v>
      </c>
      <c r="BG118" s="17" t="n">
        <f aca="false">IF(AD118="","",AD118*$AX118)</f>
        <v>9.30280161491863</v>
      </c>
      <c r="BH118" s="17" t="n">
        <f aca="false">IF(AK118="","",AK118*$AZ118)</f>
        <v>9.36016806142831</v>
      </c>
      <c r="BI118" s="17" t="n">
        <f aca="false">IF(BF118="","",N(BF118)+N(BG118))</f>
        <v>17.1342326475999</v>
      </c>
      <c r="BJ118" s="17" t="n">
        <f aca="false">IF(BI118="","",BI118+N($M118)*N(BH118))</f>
        <v>21.9004302244792</v>
      </c>
      <c r="BK118" s="13" t="n">
        <f aca="false">IFERROR(BD118/AL118,1)</f>
        <v>1.00030954598881</v>
      </c>
    </row>
    <row r="119" customFormat="false" ht="15" hidden="false" customHeight="false" outlineLevel="0" collapsed="false">
      <c r="A119" s="0" t="s">
        <v>1392</v>
      </c>
      <c r="B119" s="0" t="s">
        <v>988</v>
      </c>
      <c r="C119" s="0" t="s">
        <v>1066</v>
      </c>
      <c r="D119" s="0" t="s">
        <v>1071</v>
      </c>
      <c r="E119" s="0" t="s">
        <v>1391</v>
      </c>
      <c r="F119" s="0" t="s">
        <v>1572</v>
      </c>
      <c r="G119" s="0" t="str">
        <f aca="false">IFERROR(IF(INDEX(Matches!$W$5:$W$19,MATCH($C119,Matches!$A$5:$A$19,0))="","",INDEX(Matches!$W$5:$W$19,MATCH($C119,Matches!$A$5:$A$19,0))),"")</f>
        <v>Dust2</v>
      </c>
      <c r="H119" s="0" t="str">
        <f aca="false">IFERROR(IF(INDEX(Matches!$X$5:$X$19,MATCH($C119,Matches!$A$5:$A$19,0))="","",INDEX(Matches!$X$5:$X$19,MATCH($C119,Matches!$A$5:$A$19,0))),"")</f>
        <v>Mirage</v>
      </c>
      <c r="I119" s="0" t="str">
        <f aca="false">IFERROR(IF(INDEX(Matches!$Y$5:$Y$19,MATCH($C119,Matches!$A$5:$A$19,0))="","",INDEX(Matches!$Y$5:$Y$19,MATCH($C119,Matches!$A$5:$A$19,0))),"")</f>
        <v>Cache</v>
      </c>
      <c r="J119" s="11" t="n">
        <f aca="false">IFERROR(IF(INDEX(Matches!$Z$5:$Z$19,MATCH($C119,Matches!$A$5:$A$19,0))="","",INDEX(Matches!$Z$5:$Z$19,MATCH($C119,Matches!$A$5:$A$19,0))),"")</f>
        <v>21.5</v>
      </c>
      <c r="K119" s="11" t="n">
        <f aca="false">IFERROR(IF(INDEX(Matches!$AA$5:$AA$19,MATCH($C119,Matches!$A$5:$A$19,0))="","",INDEX(Matches!$AA$5:$AA$19,MATCH($C119,Matches!$A$5:$A$19,0))),"")</f>
        <v>21.5</v>
      </c>
      <c r="L119" s="11" t="n">
        <f aca="false">IFERROR(IF(INDEX(Matches!$AB$5:$AB$19,MATCH($C119,Matches!$A$5:$A$19,0))="","",INDEX(Matches!$AB$5:$AB$19,MATCH($C119,Matches!$A$5:$A$19,0))),"")</f>
        <v>21.5</v>
      </c>
      <c r="M119" s="10" t="n">
        <f aca="false">IFERROR(IF(INDEX(Matches!$AC$5:$AC$19,MATCH($C119,Matches!$A$5:$A$19,0))="","",INDEX(Matches!$AC$5:$AC$19,MATCH($C119,Matches!$A$5:$A$19,0))),"")</f>
        <v>0.5092</v>
      </c>
      <c r="N119" s="9" t="n">
        <f aca="false">IFERROR(INDEX(Players!$F$2:$F$124,MATCH($F119,Players!$A$2:$A$124,0)),0)</f>
        <v>33</v>
      </c>
      <c r="O119" s="13" t="n">
        <f aca="false">IFERROR(1/(1/INDEX(Players!$H$2:$H$124,MATCH($F119,Players!$A$2:$A$124,0))),"")</f>
        <v>0.66</v>
      </c>
      <c r="P119" s="10" t="n">
        <f aca="false">IFERROR(1/(1/INDEX(Players!$I$2:$I$124,MATCH($F119,Players!$A$2:$A$124,0))),"")</f>
        <v>0.574</v>
      </c>
      <c r="Q119" s="9" t="n">
        <f aca="false">IF($G119="",0,SUMIFS(Map_Stats!$F$2:$F$779,Map_Stats!$A$2:$A$779,$F119&amp;"|"&amp;$G119))</f>
        <v>5</v>
      </c>
      <c r="R119" s="13" t="n">
        <f aca="false">IF($G119="","",IFERROR(1/(1/INDEX(Map_Stats!$K$2:$K$779,MATCH($F119&amp;"|"&amp;$G119,Map_Stats!$A$2:$A$779,0))),$O119))</f>
        <v>0.44</v>
      </c>
      <c r="S119" s="10" t="n">
        <f aca="false">IF(OR($G119="",$P119=""),"",IFERROR(1/(1/INDEX(Map_Stats!$I$2:$I$779,MATCH($F119&amp;"|"&amp;$G119,Map_Stats!$A$2:$A$779,0))),$P119))</f>
        <v>0.625</v>
      </c>
      <c r="T119" s="13" t="n">
        <f aca="false">IF(OR($G119="",R119=""),"",IF($O119="",R119,(Q119*R119+Config!$B$4*$O119)/(Q119+Config!$B$4)))</f>
        <v>0.55</v>
      </c>
      <c r="U119" s="10" t="n">
        <f aca="false">IF(S119="","",(Q119*S119+Config!$B$4*$P119)/(Q119+Config!$B$4))</f>
        <v>0.5995</v>
      </c>
      <c r="V119" s="17" t="n">
        <f aca="false">IF(OR(T119="",$J119=""),"",T119*$J119*($J119/Config!$B$10)^Config!$B$9)</f>
        <v>11.825</v>
      </c>
      <c r="W119" s="17" t="n">
        <f aca="false">IF(OR(V119="",U119=""),"",V119*U119)</f>
        <v>7.0890875</v>
      </c>
      <c r="X119" s="9" t="n">
        <f aca="false">IF($H119="",0,SUMIFS(Map_Stats!$F$2:$F$779,Map_Stats!$A$2:$A$779,$F119&amp;"|"&amp;$H119))</f>
        <v>10</v>
      </c>
      <c r="Y119" s="13" t="n">
        <f aca="false">IF($H119="","",IFERROR(1/(1/INDEX(Map_Stats!$K$2:$K$779,MATCH($F119&amp;"|"&amp;$H119,Map_Stats!$A$2:$A$779,0))),$O119))</f>
        <v>0.82</v>
      </c>
      <c r="Z119" s="10" t="n">
        <f aca="false">IF(OR($H119="",$P119=""),"",IFERROR(1/(1/INDEX(Map_Stats!$I$2:$I$779,MATCH($F119&amp;"|"&amp;$H119,Map_Stats!$A$2:$A$779,0))),$P119))</f>
        <v>0.582</v>
      </c>
      <c r="AA119" s="13" t="n">
        <f aca="false">IF(OR($H119="",Y119=""),"",IF($O119="",Y119,(X119*Y119+Config!$B$4*$O119)/(X119+Config!$B$4)))</f>
        <v>0.766666666666667</v>
      </c>
      <c r="AB119" s="10" t="n">
        <f aca="false">IF(Z119="","",(X119*Z119+Config!$B$4*$P119)/(X119+Config!$B$4))</f>
        <v>0.579333333333333</v>
      </c>
      <c r="AC119" s="17" t="n">
        <f aca="false">IF(OR(AA119="",$K119=""),"",AA119*$K119*($K119/Config!$B$10)^Config!$B$9)</f>
        <v>16.4833333333333</v>
      </c>
      <c r="AD119" s="17" t="n">
        <f aca="false">IF(OR(AC119="",AB119=""),"",AC119*AB119)</f>
        <v>9.54934444444445</v>
      </c>
      <c r="AE119" s="9" t="n">
        <f aca="false">IF($I119="",0,SUMIFS(Map_Stats!$F$2:$F$779,Map_Stats!$A$2:$A$779,$F119&amp;"|"&amp;$I119))</f>
        <v>4</v>
      </c>
      <c r="AF119" s="13" t="n">
        <f aca="false">IF($I119="","",IFERROR(1/(1/INDEX(Map_Stats!$K$2:$K$779,MATCH($F119&amp;"|"&amp;$I119,Map_Stats!$A$2:$A$779,0))),$O119))</f>
        <v>0.52</v>
      </c>
      <c r="AG119" s="10" t="n">
        <f aca="false">IF(OR($I119="",$P119=""),"",IFERROR(1/(1/INDEX(Map_Stats!$I$2:$I$779,MATCH($F119&amp;"|"&amp;$I119,Map_Stats!$A$2:$A$779,0))),$P119))</f>
        <v>0.733</v>
      </c>
      <c r="AH119" s="13" t="n">
        <f aca="false">IF(OR($I119="",AF119=""),"",IF($O119="",AF119,(AE119*AF119+Config!$B$4*$O119)/(AE119+Config!$B$4)))</f>
        <v>0.597777777777778</v>
      </c>
      <c r="AI119" s="10" t="n">
        <f aca="false">IF(AG119="","",(AE119*AG119+Config!$B$4*$P119)/(AE119+Config!$B$4))</f>
        <v>0.644666666666667</v>
      </c>
      <c r="AJ119" s="17" t="n">
        <f aca="false">IF(OR(AH119="",$L119=""),"",AH119*$L119*($L119/Config!$B$10)^Config!$B$9)</f>
        <v>12.8522222222222</v>
      </c>
      <c r="AK119" s="17" t="n">
        <f aca="false">IF(OR(AJ119="",AI119=""),"",AJ119*AI119)</f>
        <v>8.28539925925926</v>
      </c>
      <c r="AL119" s="17" t="n">
        <f aca="false">N(V119)+N(AC119)</f>
        <v>28.3083333333333</v>
      </c>
      <c r="AM119" s="17" t="n">
        <f aca="false">AL119+N($M119)*N(AJ119)</f>
        <v>34.8526848888889</v>
      </c>
      <c r="AN119" s="17" t="n">
        <f aca="false">IF(W119="","",N(W119)+N(AD119))</f>
        <v>16.6384319444444</v>
      </c>
      <c r="AO119" s="17" t="n">
        <f aca="false">IF(AN119="","",AN119+N($M119)*N(AK119))</f>
        <v>20.8573572472593</v>
      </c>
      <c r="AP119" s="10" t="n">
        <f aca="false">IFERROR(AN119/AL119,"")</f>
        <v>0.587757383966245</v>
      </c>
      <c r="AQ119" s="0" t="str">
        <f aca="false">TRIM(IF($N119&lt;Config!$B$12,"thin sample ("&amp;$N119&amp;" maps) · ","")&amp;IF(AND($G119&lt;&gt;"",Q119=0),"M1 unplayed→overall KPR · ","")&amp;IF(AND($H119&lt;&gt;"",X119=0),"M2 unplayed→overall KPR · ","")&amp;IF($O119="","no PickFinder stats",""))</f>
        <v/>
      </c>
      <c r="AR119" s="0" t="str">
        <f aca="false">IF($C119=Board!$B$2,COUNTIFS($C$2:$C$124,Board!$B$2,$AL$2:$AL$124,"&gt;"&amp;$AL119)+COUNTIFS($C$1:$C118,Board!$B$2,$AL$1:$AL118,$AL119)+1,"")</f>
        <v/>
      </c>
      <c r="AS119" s="0" t="str">
        <f aca="false">IFERROR(IF($D119=INDEX(Matches!$AD$5:$AD$19,MATCH($C119,Matches!$A$5:$A$19,0)),"A",IF($D119=INDEX(Matches!$AE$5:$AE$19,MATCH($C119,Matches!$A$5:$A$19,0)),"B","")),"")</f>
        <v>B</v>
      </c>
      <c r="AT119" s="10" t="n">
        <f aca="false">IF($AS119="","",IFERROR(IF($AS119="A",INDEX(Matches!$AI$5:$AI$19,MATCH($C119,Matches!$A$5:$A$19,0)),INDEX(Matches!$AJ$5:$AJ$19,MATCH($C119,Matches!$A$5:$A$19,0))),""))</f>
        <v>0.495313339453627</v>
      </c>
      <c r="AU119" s="10" t="n">
        <f aca="false">IF($AS119="","",IFERROR(IF(INDEX(Matches!$AP$5:$AP$19,MATCH($C119,Matches!$A$5:$A$19,0))="","",IF($AS119="A",INDEX(Matches!$AP$5:$AP$19,MATCH($C119,Matches!$A$5:$A$19,0)),1-INDEX(Matches!$AP$5:$AP$19,MATCH($C119,Matches!$A$5:$A$19,0)))),""))</f>
        <v>0.509746950814421</v>
      </c>
      <c r="AV119" s="13" t="n">
        <f aca="false">IF(OR($AU119="",$AT119=""),1,((Config!$B$14*$AU119+Config!$B$15*(1-$AU119))/(Config!$B$14*$AT119+Config!$B$15*(1-$AT119)))^Config!$B$13)</f>
        <v>1.01295236633219</v>
      </c>
      <c r="AW119" s="10" t="n">
        <f aca="false">IF($AS119="","",IFERROR(IF(INDEX(Matches!$AV$5:$AV$19,MATCH($C119,Matches!$A$5:$A$19,0))="","",IF($AS119="A",INDEX(Matches!$AV$5:$AV$19,MATCH($C119,Matches!$A$5:$A$19,0)),1-INDEX(Matches!$AV$5:$AV$19,MATCH($C119,Matches!$A$5:$A$19,0)))),""))</f>
        <v>0.481746613306277</v>
      </c>
      <c r="AX119" s="13" t="n">
        <f aca="false">IF(OR($AW119="",$AT119=""),1,((Config!$B$14*$AW119+Config!$B$15*(1-$AW119))/(Config!$B$14*$AT119+Config!$B$15*(1-$AT119)))^Config!$B$13)</f>
        <v>0.987825555046727</v>
      </c>
      <c r="AY119" s="10" t="n">
        <f aca="false">IF($AS119="","",IFERROR(IF(INDEX(Matches!$BB$5:$BB$19,MATCH($C119,Matches!$A$5:$A$19,0))="","",IF($AS119="A",INDEX(Matches!$BB$5:$BB$19,MATCH($C119,Matches!$A$5:$A$19,0)),1-INDEX(Matches!$BB$5:$BB$19,MATCH($C119,Matches!$A$5:$A$19,0)))),""))</f>
        <v>0.468585045755607</v>
      </c>
      <c r="AZ119" s="13" t="n">
        <f aca="false">IF(OR($AY119="",$AT119=""),1,((Config!$B$14*$AY119+Config!$B$15*(1-$AY119))/(Config!$B$14*$AT119+Config!$B$15*(1-$AT119)))^Config!$B$13)</f>
        <v>0.9760146894109</v>
      </c>
      <c r="BA119" s="17" t="n">
        <f aca="false">IF(V119="","",V119*$AV119)</f>
        <v>11.9781617318781</v>
      </c>
      <c r="BB119" s="17" t="n">
        <f aca="false">IF(AC119="","",AC119*$AX119)</f>
        <v>16.2826578990202</v>
      </c>
      <c r="BC119" s="17" t="n">
        <f aca="false">IF(AJ119="","",AJ119*$AZ119)</f>
        <v>12.5439576804621</v>
      </c>
      <c r="BD119" s="17" t="n">
        <f aca="false">N(BA119)+N(BB119)</f>
        <v>28.2608196308983</v>
      </c>
      <c r="BE119" s="17" t="n">
        <f aca="false">BD119+N($M119)*N(BC119)</f>
        <v>34.6482028817896</v>
      </c>
      <c r="BF119" s="17" t="n">
        <f aca="false">IF(W119="","",W119*$AV119)</f>
        <v>7.18090795826092</v>
      </c>
      <c r="BG119" s="17" t="n">
        <f aca="false">IF(AD119="","",AD119*$AX119)</f>
        <v>9.43308647616571</v>
      </c>
      <c r="BH119" s="17" t="n">
        <f aca="false">IF(AK119="","",AK119*$AZ119)</f>
        <v>8.08667138467123</v>
      </c>
      <c r="BI119" s="17" t="n">
        <f aca="false">IF(BF119="","",N(BF119)+N(BG119))</f>
        <v>16.6139944344266</v>
      </c>
      <c r="BJ119" s="17" t="n">
        <f aca="false">IF(BI119="","",BI119+N($M119)*N(BH119))</f>
        <v>20.7317275035012</v>
      </c>
      <c r="BK119" s="13" t="n">
        <f aca="false">IFERROR(BD119/AL119,1)</f>
        <v>0.998321564824197</v>
      </c>
    </row>
    <row r="120" customFormat="false" ht="15" hidden="false" customHeight="false" outlineLevel="0" collapsed="false">
      <c r="A120" s="0" t="s">
        <v>1394</v>
      </c>
      <c r="B120" s="0" t="s">
        <v>988</v>
      </c>
      <c r="C120" s="0" t="s">
        <v>1066</v>
      </c>
      <c r="D120" s="0" t="s">
        <v>1071</v>
      </c>
      <c r="E120" s="0" t="s">
        <v>1393</v>
      </c>
      <c r="F120" s="0" t="s">
        <v>1573</v>
      </c>
      <c r="G120" s="0" t="str">
        <f aca="false">IFERROR(IF(INDEX(Matches!$W$5:$W$19,MATCH($C120,Matches!$A$5:$A$19,0))="","",INDEX(Matches!$W$5:$W$19,MATCH($C120,Matches!$A$5:$A$19,0))),"")</f>
        <v>Dust2</v>
      </c>
      <c r="H120" s="0" t="str">
        <f aca="false">IFERROR(IF(INDEX(Matches!$X$5:$X$19,MATCH($C120,Matches!$A$5:$A$19,0))="","",INDEX(Matches!$X$5:$X$19,MATCH($C120,Matches!$A$5:$A$19,0))),"")</f>
        <v>Mirage</v>
      </c>
      <c r="I120" s="0" t="str">
        <f aca="false">IFERROR(IF(INDEX(Matches!$Y$5:$Y$19,MATCH($C120,Matches!$A$5:$A$19,0))="","",INDEX(Matches!$Y$5:$Y$19,MATCH($C120,Matches!$A$5:$A$19,0))),"")</f>
        <v>Cache</v>
      </c>
      <c r="J120" s="11" t="n">
        <f aca="false">IFERROR(IF(INDEX(Matches!$Z$5:$Z$19,MATCH($C120,Matches!$A$5:$A$19,0))="","",INDEX(Matches!$Z$5:$Z$19,MATCH($C120,Matches!$A$5:$A$19,0))),"")</f>
        <v>21.5</v>
      </c>
      <c r="K120" s="11" t="n">
        <f aca="false">IFERROR(IF(INDEX(Matches!$AA$5:$AA$19,MATCH($C120,Matches!$A$5:$A$19,0))="","",INDEX(Matches!$AA$5:$AA$19,MATCH($C120,Matches!$A$5:$A$19,0))),"")</f>
        <v>21.5</v>
      </c>
      <c r="L120" s="11" t="n">
        <f aca="false">IFERROR(IF(INDEX(Matches!$AB$5:$AB$19,MATCH($C120,Matches!$A$5:$A$19,0))="","",INDEX(Matches!$AB$5:$AB$19,MATCH($C120,Matches!$A$5:$A$19,0))),"")</f>
        <v>21.5</v>
      </c>
      <c r="M120" s="10" t="n">
        <f aca="false">IFERROR(IF(INDEX(Matches!$AC$5:$AC$19,MATCH($C120,Matches!$A$5:$A$19,0))="","",INDEX(Matches!$AC$5:$AC$19,MATCH($C120,Matches!$A$5:$A$19,0))),"")</f>
        <v>0.5092</v>
      </c>
      <c r="N120" s="9" t="n">
        <f aca="false">IFERROR(INDEX(Players!$F$2:$F$124,MATCH($F120,Players!$A$2:$A$124,0)),0)</f>
        <v>33</v>
      </c>
      <c r="O120" s="13" t="n">
        <f aca="false">IFERROR(1/(1/INDEX(Players!$H$2:$H$124,MATCH($F120,Players!$A$2:$A$124,0))),"")</f>
        <v>0.66</v>
      </c>
      <c r="P120" s="10" t="n">
        <f aca="false">IFERROR(1/(1/INDEX(Players!$I$2:$I$124,MATCH($F120,Players!$A$2:$A$124,0))),"")</f>
        <v>0.587</v>
      </c>
      <c r="Q120" s="9" t="n">
        <f aca="false">IF($G120="",0,SUMIFS(Map_Stats!$F$2:$F$779,Map_Stats!$A$2:$A$779,$F120&amp;"|"&amp;$G120))</f>
        <v>5</v>
      </c>
      <c r="R120" s="13" t="n">
        <f aca="false">IF($G120="","",IFERROR(1/(1/INDEX(Map_Stats!$K$2:$K$779,MATCH($F120&amp;"|"&amp;$G120,Map_Stats!$A$2:$A$779,0))),$O120))</f>
        <v>0.6</v>
      </c>
      <c r="S120" s="10" t="n">
        <f aca="false">IF(OR($G120="",$P120=""),"",IFERROR(1/(1/INDEX(Map_Stats!$I$2:$I$779,MATCH($F120&amp;"|"&amp;$G120,Map_Stats!$A$2:$A$779,0))),$P120))</f>
        <v>0.615</v>
      </c>
      <c r="T120" s="13" t="n">
        <f aca="false">IF(OR($G120="",R120=""),"",IF($O120="",R120,(Q120*R120+Config!$B$4*$O120)/(Q120+Config!$B$4)))</f>
        <v>0.63</v>
      </c>
      <c r="U120" s="10" t="n">
        <f aca="false">IF(S120="","",(Q120*S120+Config!$B$4*$P120)/(Q120+Config!$B$4))</f>
        <v>0.601</v>
      </c>
      <c r="V120" s="17" t="n">
        <f aca="false">IF(OR(T120="",$J120=""),"",T120*$J120*($J120/Config!$B$10)^Config!$B$9)</f>
        <v>13.545</v>
      </c>
      <c r="W120" s="17" t="n">
        <f aca="false">IF(OR(V120="",U120=""),"",V120*U120)</f>
        <v>8.140545</v>
      </c>
      <c r="X120" s="9" t="n">
        <f aca="false">IF($H120="",0,SUMIFS(Map_Stats!$F$2:$F$779,Map_Stats!$A$2:$A$779,$F120&amp;"|"&amp;$H120))</f>
        <v>10</v>
      </c>
      <c r="Y120" s="13" t="n">
        <f aca="false">IF($H120="","",IFERROR(1/(1/INDEX(Map_Stats!$K$2:$K$779,MATCH($F120&amp;"|"&amp;$H120,Map_Stats!$A$2:$A$779,0))),$O120))</f>
        <v>0.63</v>
      </c>
      <c r="Z120" s="10" t="n">
        <f aca="false">IF(OR($H120="",$P120=""),"",IFERROR(1/(1/INDEX(Map_Stats!$I$2:$I$779,MATCH($F120&amp;"|"&amp;$H120,Map_Stats!$A$2:$A$779,0))),$P120))</f>
        <v>0.59</v>
      </c>
      <c r="AA120" s="13" t="n">
        <f aca="false">IF(OR($H120="",Y120=""),"",IF($O120="",Y120,(X120*Y120+Config!$B$4*$O120)/(X120+Config!$B$4)))</f>
        <v>0.64</v>
      </c>
      <c r="AB120" s="10" t="n">
        <f aca="false">IF(Z120="","",(X120*Z120+Config!$B$4*$P120)/(X120+Config!$B$4))</f>
        <v>0.589</v>
      </c>
      <c r="AC120" s="17" t="n">
        <f aca="false">IF(OR(AA120="",$K120=""),"",AA120*$K120*($K120/Config!$B$10)^Config!$B$9)</f>
        <v>13.76</v>
      </c>
      <c r="AD120" s="17" t="n">
        <f aca="false">IF(OR(AC120="",AB120=""),"",AC120*AB120)</f>
        <v>8.10464</v>
      </c>
      <c r="AE120" s="9" t="n">
        <f aca="false">IF($I120="",0,SUMIFS(Map_Stats!$F$2:$F$779,Map_Stats!$A$2:$A$779,$F120&amp;"|"&amp;$I120))</f>
        <v>4</v>
      </c>
      <c r="AF120" s="13" t="n">
        <f aca="false">IF($I120="","",IFERROR(1/(1/INDEX(Map_Stats!$K$2:$K$779,MATCH($F120&amp;"|"&amp;$I120,Map_Stats!$A$2:$A$779,0))),$O120))</f>
        <v>0.67</v>
      </c>
      <c r="AG120" s="10" t="n">
        <f aca="false">IF(OR($I120="",$P120=""),"",IFERROR(1/(1/INDEX(Map_Stats!$I$2:$I$779,MATCH($F120&amp;"|"&amp;$I120,Map_Stats!$A$2:$A$779,0))),$P120))</f>
        <v>0.603</v>
      </c>
      <c r="AH120" s="13" t="n">
        <f aca="false">IF(OR($I120="",AF120=""),"",IF($O120="",AF120,(AE120*AF120+Config!$B$4*$O120)/(AE120+Config!$B$4)))</f>
        <v>0.664444444444445</v>
      </c>
      <c r="AI120" s="10" t="n">
        <f aca="false">IF(AG120="","",(AE120*AG120+Config!$B$4*$P120)/(AE120+Config!$B$4))</f>
        <v>0.594111111111111</v>
      </c>
      <c r="AJ120" s="17" t="n">
        <f aca="false">IF(OR(AH120="",$L120=""),"",AH120*$L120*($L120/Config!$B$10)^Config!$B$9)</f>
        <v>14.2855555555556</v>
      </c>
      <c r="AK120" s="17" t="n">
        <f aca="false">IF(OR(AJ120="",AI120=""),"",AJ120*AI120)</f>
        <v>8.48720728395062</v>
      </c>
      <c r="AL120" s="17" t="n">
        <f aca="false">N(V120)+N(AC120)</f>
        <v>27.305</v>
      </c>
      <c r="AM120" s="17" t="n">
        <f aca="false">AL120+N($M120)*N(AJ120)</f>
        <v>34.5792048888889</v>
      </c>
      <c r="AN120" s="17" t="n">
        <f aca="false">IF(W120="","",N(W120)+N(AD120))</f>
        <v>16.245185</v>
      </c>
      <c r="AO120" s="17" t="n">
        <f aca="false">IF(AN120="","",AN120+N($M120)*N(AK120))</f>
        <v>20.5668709489877</v>
      </c>
      <c r="AP120" s="10" t="n">
        <f aca="false">IFERROR(AN120/AL120,"")</f>
        <v>0.594952755905512</v>
      </c>
      <c r="AQ120" s="0" t="str">
        <f aca="false">TRIM(IF($N120&lt;Config!$B$12,"thin sample ("&amp;$N120&amp;" maps) · ","")&amp;IF(AND($G120&lt;&gt;"",Q120=0),"M1 unplayed→overall KPR · ","")&amp;IF(AND($H120&lt;&gt;"",X120=0),"M2 unplayed→overall KPR · ","")&amp;IF($O120="","no PickFinder stats",""))</f>
        <v/>
      </c>
      <c r="AR120" s="0" t="str">
        <f aca="false">IF($C120=Board!$B$2,COUNTIFS($C$2:$C$124,Board!$B$2,$AL$2:$AL$124,"&gt;"&amp;$AL120)+COUNTIFS($C$1:$C119,Board!$B$2,$AL$1:$AL119,$AL120)+1,"")</f>
        <v/>
      </c>
      <c r="AS120" s="0" t="str">
        <f aca="false">IFERROR(IF($D120=INDEX(Matches!$AD$5:$AD$19,MATCH($C120,Matches!$A$5:$A$19,0)),"A",IF($D120=INDEX(Matches!$AE$5:$AE$19,MATCH($C120,Matches!$A$5:$A$19,0)),"B","")),"")</f>
        <v>B</v>
      </c>
      <c r="AT120" s="10" t="n">
        <f aca="false">IF($AS120="","",IFERROR(IF($AS120="A",INDEX(Matches!$AI$5:$AI$19,MATCH($C120,Matches!$A$5:$A$19,0)),INDEX(Matches!$AJ$5:$AJ$19,MATCH($C120,Matches!$A$5:$A$19,0))),""))</f>
        <v>0.495313339453627</v>
      </c>
      <c r="AU120" s="10" t="n">
        <f aca="false">IF($AS120="","",IFERROR(IF(INDEX(Matches!$AP$5:$AP$19,MATCH($C120,Matches!$A$5:$A$19,0))="","",IF($AS120="A",INDEX(Matches!$AP$5:$AP$19,MATCH($C120,Matches!$A$5:$A$19,0)),1-INDEX(Matches!$AP$5:$AP$19,MATCH($C120,Matches!$A$5:$A$19,0)))),""))</f>
        <v>0.509746950814421</v>
      </c>
      <c r="AV120" s="13" t="n">
        <f aca="false">IF(OR($AU120="",$AT120=""),1,((Config!$B$14*$AU120+Config!$B$15*(1-$AU120))/(Config!$B$14*$AT120+Config!$B$15*(1-$AT120)))^Config!$B$13)</f>
        <v>1.01295236633219</v>
      </c>
      <c r="AW120" s="10" t="n">
        <f aca="false">IF($AS120="","",IFERROR(IF(INDEX(Matches!$AV$5:$AV$19,MATCH($C120,Matches!$A$5:$A$19,0))="","",IF($AS120="A",INDEX(Matches!$AV$5:$AV$19,MATCH($C120,Matches!$A$5:$A$19,0)),1-INDEX(Matches!$AV$5:$AV$19,MATCH($C120,Matches!$A$5:$A$19,0)))),""))</f>
        <v>0.481746613306277</v>
      </c>
      <c r="AX120" s="13" t="n">
        <f aca="false">IF(OR($AW120="",$AT120=""),1,((Config!$B$14*$AW120+Config!$B$15*(1-$AW120))/(Config!$B$14*$AT120+Config!$B$15*(1-$AT120)))^Config!$B$13)</f>
        <v>0.987825555046727</v>
      </c>
      <c r="AY120" s="10" t="n">
        <f aca="false">IF($AS120="","",IFERROR(IF(INDEX(Matches!$BB$5:$BB$19,MATCH($C120,Matches!$A$5:$A$19,0))="","",IF($AS120="A",INDEX(Matches!$BB$5:$BB$19,MATCH($C120,Matches!$A$5:$A$19,0)),1-INDEX(Matches!$BB$5:$BB$19,MATCH($C120,Matches!$A$5:$A$19,0)))),""))</f>
        <v>0.468585045755607</v>
      </c>
      <c r="AZ120" s="13" t="n">
        <f aca="false">IF(OR($AY120="",$AT120=""),1,((Config!$B$14*$AY120+Config!$B$15*(1-$AY120))/(Config!$B$14*$AT120+Config!$B$15*(1-$AT120)))^Config!$B$13)</f>
        <v>0.9760146894109</v>
      </c>
      <c r="BA120" s="17" t="n">
        <f aca="false">IF(V120="","",V120*$AV120)</f>
        <v>13.7204398019695</v>
      </c>
      <c r="BB120" s="17" t="n">
        <f aca="false">IF(AC120="","",AC120*$AX120)</f>
        <v>13.592479637443</v>
      </c>
      <c r="BC120" s="17" t="n">
        <f aca="false">IF(AJ120="","",AJ120*$AZ120)</f>
        <v>13.9429120686177</v>
      </c>
      <c r="BD120" s="17" t="n">
        <f aca="false">N(BA120)+N(BB120)</f>
        <v>27.3129194394124</v>
      </c>
      <c r="BE120" s="17" t="n">
        <f aca="false">BD120+N($M120)*N(BC120)</f>
        <v>34.4126502647526</v>
      </c>
      <c r="BF120" s="17" t="n">
        <f aca="false">IF(W120="","",W120*$AV120)</f>
        <v>8.24598432098365</v>
      </c>
      <c r="BG120" s="17" t="n">
        <f aca="false">IF(AD120="","",AD120*$AX120)</f>
        <v>8.00597050645391</v>
      </c>
      <c r="BH120" s="17" t="n">
        <f aca="false">IF(AK120="","",AK120*$AZ120)</f>
        <v>8.28363898121099</v>
      </c>
      <c r="BI120" s="17" t="n">
        <f aca="false">IF(BF120="","",N(BF120)+N(BG120))</f>
        <v>16.2519548274376</v>
      </c>
      <c r="BJ120" s="17" t="n">
        <f aca="false">IF(BI120="","",BI120+N($M120)*N(BH120))</f>
        <v>20.4699837966702</v>
      </c>
      <c r="BK120" s="13" t="n">
        <f aca="false">IFERROR(BD120/AL120,1)</f>
        <v>1.00029003623558</v>
      </c>
    </row>
    <row r="121" customFormat="false" ht="15" hidden="false" customHeight="false" outlineLevel="0" collapsed="false">
      <c r="A121" s="0" t="s">
        <v>1396</v>
      </c>
      <c r="B121" s="0" t="s">
        <v>988</v>
      </c>
      <c r="C121" s="0" t="s">
        <v>1066</v>
      </c>
      <c r="D121" s="0" t="s">
        <v>1070</v>
      </c>
      <c r="E121" s="0" t="s">
        <v>1395</v>
      </c>
      <c r="F121" s="0" t="s">
        <v>1574</v>
      </c>
      <c r="G121" s="0" t="str">
        <f aca="false">IFERROR(IF(INDEX(Matches!$W$5:$W$19,MATCH($C121,Matches!$A$5:$A$19,0))="","",INDEX(Matches!$W$5:$W$19,MATCH($C121,Matches!$A$5:$A$19,0))),"")</f>
        <v>Dust2</v>
      </c>
      <c r="H121" s="0" t="str">
        <f aca="false">IFERROR(IF(INDEX(Matches!$X$5:$X$19,MATCH($C121,Matches!$A$5:$A$19,0))="","",INDEX(Matches!$X$5:$X$19,MATCH($C121,Matches!$A$5:$A$19,0))),"")</f>
        <v>Mirage</v>
      </c>
      <c r="I121" s="0" t="str">
        <f aca="false">IFERROR(IF(INDEX(Matches!$Y$5:$Y$19,MATCH($C121,Matches!$A$5:$A$19,0))="","",INDEX(Matches!$Y$5:$Y$19,MATCH($C121,Matches!$A$5:$A$19,0))),"")</f>
        <v>Cache</v>
      </c>
      <c r="J121" s="11" t="n">
        <f aca="false">IFERROR(IF(INDEX(Matches!$Z$5:$Z$19,MATCH($C121,Matches!$A$5:$A$19,0))="","",INDEX(Matches!$Z$5:$Z$19,MATCH($C121,Matches!$A$5:$A$19,0))),"")</f>
        <v>21.5</v>
      </c>
      <c r="K121" s="11" t="n">
        <f aca="false">IFERROR(IF(INDEX(Matches!$AA$5:$AA$19,MATCH($C121,Matches!$A$5:$A$19,0))="","",INDEX(Matches!$AA$5:$AA$19,MATCH($C121,Matches!$A$5:$A$19,0))),"")</f>
        <v>21.5</v>
      </c>
      <c r="L121" s="11" t="n">
        <f aca="false">IFERROR(IF(INDEX(Matches!$AB$5:$AB$19,MATCH($C121,Matches!$A$5:$A$19,0))="","",INDEX(Matches!$AB$5:$AB$19,MATCH($C121,Matches!$A$5:$A$19,0))),"")</f>
        <v>21.5</v>
      </c>
      <c r="M121" s="10" t="n">
        <f aca="false">IFERROR(IF(INDEX(Matches!$AC$5:$AC$19,MATCH($C121,Matches!$A$5:$A$19,0))="","",INDEX(Matches!$AC$5:$AC$19,MATCH($C121,Matches!$A$5:$A$19,0))),"")</f>
        <v>0.5092</v>
      </c>
      <c r="N121" s="9" t="n">
        <f aca="false">IFERROR(INDEX(Players!$F$2:$F$124,MATCH($F121,Players!$A$2:$A$124,0)),0)</f>
        <v>37</v>
      </c>
      <c r="O121" s="13" t="n">
        <f aca="false">IFERROR(1/(1/INDEX(Players!$H$2:$H$124,MATCH($F121,Players!$A$2:$A$124,0))),"")</f>
        <v>0.68</v>
      </c>
      <c r="P121" s="10" t="n">
        <f aca="false">IFERROR(1/(1/INDEX(Players!$I$2:$I$124,MATCH($F121,Players!$A$2:$A$124,0))),"")</f>
        <v>0.546</v>
      </c>
      <c r="Q121" s="9" t="n">
        <f aca="false">IF($G121="",0,SUMIFS(Map_Stats!$F$2:$F$779,Map_Stats!$A$2:$A$779,$F121&amp;"|"&amp;$G121))</f>
        <v>11</v>
      </c>
      <c r="R121" s="13" t="n">
        <f aca="false">IF($G121="","",IFERROR(1/(1/INDEX(Map_Stats!$K$2:$K$779,MATCH($F121&amp;"|"&amp;$G121,Map_Stats!$A$2:$A$779,0))),$O121))</f>
        <v>0.67</v>
      </c>
      <c r="S121" s="10" t="n">
        <f aca="false">IF(OR($G121="",$P121=""),"",IFERROR(1/(1/INDEX(Map_Stats!$I$2:$I$779,MATCH($F121&amp;"|"&amp;$G121,Map_Stats!$A$2:$A$779,0))),$P121))</f>
        <v>0.564</v>
      </c>
      <c r="T121" s="13" t="n">
        <f aca="false">IF(OR($G121="",R121=""),"",IF($O121="",R121,(Q121*R121+Config!$B$4*$O121)/(Q121+Config!$B$4)))</f>
        <v>0.673125</v>
      </c>
      <c r="U121" s="10" t="n">
        <f aca="false">IF(S121="","",(Q121*S121+Config!$B$4*$P121)/(Q121+Config!$B$4))</f>
        <v>0.558375</v>
      </c>
      <c r="V121" s="17" t="n">
        <f aca="false">IF(OR(T121="",$J121=""),"",T121*$J121*($J121/Config!$B$10)^Config!$B$9)</f>
        <v>14.4721875</v>
      </c>
      <c r="W121" s="17" t="n">
        <f aca="false">IF(OR(V121="",U121=""),"",V121*U121)</f>
        <v>8.0809076953125</v>
      </c>
      <c r="X121" s="9" t="n">
        <f aca="false">IF($H121="",0,SUMIFS(Map_Stats!$F$2:$F$779,Map_Stats!$A$2:$A$779,$F121&amp;"|"&amp;$H121))</f>
        <v>6</v>
      </c>
      <c r="Y121" s="13" t="n">
        <f aca="false">IF($H121="","",IFERROR(1/(1/INDEX(Map_Stats!$K$2:$K$779,MATCH($F121&amp;"|"&amp;$H121,Map_Stats!$A$2:$A$779,0))),$O121))</f>
        <v>0.7</v>
      </c>
      <c r="Z121" s="10" t="n">
        <f aca="false">IF(OR($H121="",$P121=""),"",IFERROR(1/(1/INDEX(Map_Stats!$I$2:$I$779,MATCH($F121&amp;"|"&amp;$H121,Map_Stats!$A$2:$A$779,0))),$P121))</f>
        <v>0.533</v>
      </c>
      <c r="AA121" s="13" t="n">
        <f aca="false">IF(OR($H121="",Y121=""),"",IF($O121="",Y121,(X121*Y121+Config!$B$4*$O121)/(X121+Config!$B$4)))</f>
        <v>0.690909090909091</v>
      </c>
      <c r="AB121" s="10" t="n">
        <f aca="false">IF(Z121="","",(X121*Z121+Config!$B$4*$P121)/(X121+Config!$B$4))</f>
        <v>0.538909090909091</v>
      </c>
      <c r="AC121" s="17" t="n">
        <f aca="false">IF(OR(AA121="",$K121=""),"",AA121*$K121*($K121/Config!$B$10)^Config!$B$9)</f>
        <v>14.8545454545455</v>
      </c>
      <c r="AD121" s="17" t="n">
        <f aca="false">IF(OR(AC121="",AB121=""),"",AC121*AB121)</f>
        <v>8.00524958677686</v>
      </c>
      <c r="AE121" s="9" t="n">
        <f aca="false">IF($I121="",0,SUMIFS(Map_Stats!$F$2:$F$779,Map_Stats!$A$2:$A$779,$F121&amp;"|"&amp;$I121))</f>
        <v>7</v>
      </c>
      <c r="AF121" s="13" t="n">
        <f aca="false">IF($I121="","",IFERROR(1/(1/INDEX(Map_Stats!$K$2:$K$779,MATCH($F121&amp;"|"&amp;$I121,Map_Stats!$A$2:$A$779,0))),$O121))</f>
        <v>0.67</v>
      </c>
      <c r="AG121" s="10" t="n">
        <f aca="false">IF(OR($I121="",$P121=""),"",IFERROR(1/(1/INDEX(Map_Stats!$I$2:$I$779,MATCH($F121&amp;"|"&amp;$I121,Map_Stats!$A$2:$A$779,0))),$P121))</f>
        <v>0.5</v>
      </c>
      <c r="AH121" s="13" t="n">
        <f aca="false">IF(OR($I121="",AF121=""),"",IF($O121="",AF121,(AE121*AF121+Config!$B$4*$O121)/(AE121+Config!$B$4)))</f>
        <v>0.674166666666667</v>
      </c>
      <c r="AI121" s="10" t="n">
        <f aca="false">IF(AG121="","",(AE121*AG121+Config!$B$4*$P121)/(AE121+Config!$B$4))</f>
        <v>0.519166666666667</v>
      </c>
      <c r="AJ121" s="17" t="n">
        <f aca="false">IF(OR(AH121="",$L121=""),"",AH121*$L121*($L121/Config!$B$10)^Config!$B$9)</f>
        <v>14.4945833333333</v>
      </c>
      <c r="AK121" s="17" t="n">
        <f aca="false">IF(OR(AJ121="",AI121=""),"",AJ121*AI121)</f>
        <v>7.52510451388889</v>
      </c>
      <c r="AL121" s="17" t="n">
        <f aca="false">N(V121)+N(AC121)</f>
        <v>29.3267329545455</v>
      </c>
      <c r="AM121" s="17" t="n">
        <f aca="false">AL121+N($M121)*N(AJ121)</f>
        <v>36.7073747878788</v>
      </c>
      <c r="AN121" s="17" t="n">
        <f aca="false">IF(W121="","",N(W121)+N(AD121))</f>
        <v>16.0861572820894</v>
      </c>
      <c r="AO121" s="17" t="n">
        <f aca="false">IF(AN121="","",AN121+N($M121)*N(AK121))</f>
        <v>19.9179405005616</v>
      </c>
      <c r="AP121" s="10" t="n">
        <f aca="false">IFERROR(AN121/AL121,"")</f>
        <v>0.548515148517289</v>
      </c>
      <c r="AQ121" s="0" t="str">
        <f aca="false">TRIM(IF($N121&lt;Config!$B$12,"thin sample ("&amp;$N121&amp;" maps) · ","")&amp;IF(AND($G121&lt;&gt;"",Q121=0),"M1 unplayed→overall KPR · ","")&amp;IF(AND($H121&lt;&gt;"",X121=0),"M2 unplayed→overall KPR · ","")&amp;IF($O121="","no PickFinder stats",""))</f>
        <v/>
      </c>
      <c r="AR121" s="0" t="str">
        <f aca="false">IF($C121=Board!$B$2,COUNTIFS($C$2:$C$124,Board!$B$2,$AL$2:$AL$124,"&gt;"&amp;$AL121)+COUNTIFS($C$1:$C120,Board!$B$2,$AL$1:$AL120,$AL121)+1,"")</f>
        <v/>
      </c>
      <c r="AS121" s="0" t="str">
        <f aca="false">IFERROR(IF($D121=INDEX(Matches!$AD$5:$AD$19,MATCH($C121,Matches!$A$5:$A$19,0)),"A",IF($D121=INDEX(Matches!$AE$5:$AE$19,MATCH($C121,Matches!$A$5:$A$19,0)),"B","")),"")</f>
        <v>A</v>
      </c>
      <c r="AT121" s="10" t="n">
        <f aca="false">IF($AS121="","",IFERROR(IF($AS121="A",INDEX(Matches!$AI$5:$AI$19,MATCH($C121,Matches!$A$5:$A$19,0)),INDEX(Matches!$AJ$5:$AJ$19,MATCH($C121,Matches!$A$5:$A$19,0))),""))</f>
        <v>0.491784309187688</v>
      </c>
      <c r="AU121" s="10" t="n">
        <f aca="false">IF($AS121="","",IFERROR(IF(INDEX(Matches!$AP$5:$AP$19,MATCH($C121,Matches!$A$5:$A$19,0))="","",IF($AS121="A",INDEX(Matches!$AP$5:$AP$19,MATCH($C121,Matches!$A$5:$A$19,0)),1-INDEX(Matches!$AP$5:$AP$19,MATCH($C121,Matches!$A$5:$A$19,0)))),""))</f>
        <v>0.490253049185579</v>
      </c>
      <c r="AV121" s="13" t="n">
        <f aca="false">IF(OR($AU121="",$AT121=""),1,((Config!$B$14*$AU121+Config!$B$15*(1-$AU121))/(Config!$B$14*$AT121+Config!$B$15*(1-$AT121)))^Config!$B$13)</f>
        <v>0.998621519634801</v>
      </c>
      <c r="AW121" s="10" t="n">
        <f aca="false">IF($AS121="","",IFERROR(IF(INDEX(Matches!$AV$5:$AV$19,MATCH($C121,Matches!$A$5:$A$19,0))="","",IF($AS121="A",INDEX(Matches!$AV$5:$AV$19,MATCH($C121,Matches!$A$5:$A$19,0)),1-INDEX(Matches!$AV$5:$AV$19,MATCH($C121,Matches!$A$5:$A$19,0)))),""))</f>
        <v>0.518253386693723</v>
      </c>
      <c r="AX121" s="13" t="n">
        <f aca="false">IF(OR($AW121="",$AT121=""),1,((Config!$B$14*$AW121+Config!$B$15*(1-$AW121))/(Config!$B$14*$AT121+Config!$B$15*(1-$AT121)))^Config!$B$13)</f>
        <v>1.02382815692747</v>
      </c>
      <c r="AY121" s="10" t="n">
        <f aca="false">IF($AS121="","",IFERROR(IF(INDEX(Matches!$BB$5:$BB$19,MATCH($C121,Matches!$A$5:$A$19,0))="","",IF($AS121="A",INDEX(Matches!$BB$5:$BB$19,MATCH($C121,Matches!$A$5:$A$19,0)),1-INDEX(Matches!$BB$5:$BB$19,MATCH($C121,Matches!$A$5:$A$19,0)))),""))</f>
        <v>0.531414954244393</v>
      </c>
      <c r="AZ121" s="13" t="n">
        <f aca="false">IF(OR($AY121="",$AT121=""),1,((Config!$B$14*$AY121+Config!$B$15*(1-$AY121))/(Config!$B$14*$AT121+Config!$B$15*(1-$AT121)))^Config!$B$13)</f>
        <v>1.03567654480337</v>
      </c>
      <c r="BA121" s="17" t="n">
        <f aca="false">IF(V121="","",V121*$AV121)</f>
        <v>14.4522378736898</v>
      </c>
      <c r="BB121" s="17" t="n">
        <f aca="false">IF(AC121="","",AC121*$AX121)</f>
        <v>15.2085018947226</v>
      </c>
      <c r="BC121" s="17" t="n">
        <f aca="false">IF(AJ121="","",AJ121*$AZ121)</f>
        <v>15.0116999850312</v>
      </c>
      <c r="BD121" s="17" t="n">
        <f aca="false">N(BA121)+N(BB121)</f>
        <v>29.6607397684124</v>
      </c>
      <c r="BE121" s="17" t="n">
        <f aca="false">BD121+N($M121)*N(BC121)</f>
        <v>37.3046974007903</v>
      </c>
      <c r="BF121" s="17" t="n">
        <f aca="false">IF(W121="","",W121*$AV121)</f>
        <v>8.06976832272153</v>
      </c>
      <c r="BG121" s="17" t="n">
        <f aca="false">IF(AD121="","",AD121*$AX121)</f>
        <v>8.19599993017414</v>
      </c>
      <c r="BH121" s="17" t="n">
        <f aca="false">IF(AK121="","",AK121*$AZ121)</f>
        <v>7.79357424222871</v>
      </c>
      <c r="BI121" s="17" t="n">
        <f aca="false">IF(BF121="","",N(BF121)+N(BG121))</f>
        <v>16.2657682528957</v>
      </c>
      <c r="BJ121" s="17" t="n">
        <f aca="false">IF(BI121="","",BI121+N($M121)*N(BH121))</f>
        <v>20.2342562570385</v>
      </c>
      <c r="BK121" s="13" t="n">
        <f aca="false">IFERROR(BD121/AL121,1)</f>
        <v>1.01138915863504</v>
      </c>
    </row>
    <row r="122" customFormat="false" ht="15" hidden="false" customHeight="false" outlineLevel="0" collapsed="false">
      <c r="A122" s="0" t="s">
        <v>1398</v>
      </c>
      <c r="B122" s="0" t="s">
        <v>988</v>
      </c>
      <c r="C122" s="0" t="s">
        <v>1066</v>
      </c>
      <c r="D122" s="0" t="s">
        <v>1070</v>
      </c>
      <c r="E122" s="0" t="s">
        <v>1397</v>
      </c>
      <c r="F122" s="0" t="s">
        <v>1575</v>
      </c>
      <c r="G122" s="0" t="str">
        <f aca="false">IFERROR(IF(INDEX(Matches!$W$5:$W$19,MATCH($C122,Matches!$A$5:$A$19,0))="","",INDEX(Matches!$W$5:$W$19,MATCH($C122,Matches!$A$5:$A$19,0))),"")</f>
        <v>Dust2</v>
      </c>
      <c r="H122" s="0" t="str">
        <f aca="false">IFERROR(IF(INDEX(Matches!$X$5:$X$19,MATCH($C122,Matches!$A$5:$A$19,0))="","",INDEX(Matches!$X$5:$X$19,MATCH($C122,Matches!$A$5:$A$19,0))),"")</f>
        <v>Mirage</v>
      </c>
      <c r="I122" s="0" t="str">
        <f aca="false">IFERROR(IF(INDEX(Matches!$Y$5:$Y$19,MATCH($C122,Matches!$A$5:$A$19,0))="","",INDEX(Matches!$Y$5:$Y$19,MATCH($C122,Matches!$A$5:$A$19,0))),"")</f>
        <v>Cache</v>
      </c>
      <c r="J122" s="11" t="n">
        <f aca="false">IFERROR(IF(INDEX(Matches!$Z$5:$Z$19,MATCH($C122,Matches!$A$5:$A$19,0))="","",INDEX(Matches!$Z$5:$Z$19,MATCH($C122,Matches!$A$5:$A$19,0))),"")</f>
        <v>21.5</v>
      </c>
      <c r="K122" s="11" t="n">
        <f aca="false">IFERROR(IF(INDEX(Matches!$AA$5:$AA$19,MATCH($C122,Matches!$A$5:$A$19,0))="","",INDEX(Matches!$AA$5:$AA$19,MATCH($C122,Matches!$A$5:$A$19,0))),"")</f>
        <v>21.5</v>
      </c>
      <c r="L122" s="11" t="n">
        <f aca="false">IFERROR(IF(INDEX(Matches!$AB$5:$AB$19,MATCH($C122,Matches!$A$5:$A$19,0))="","",INDEX(Matches!$AB$5:$AB$19,MATCH($C122,Matches!$A$5:$A$19,0))),"")</f>
        <v>21.5</v>
      </c>
      <c r="M122" s="10" t="n">
        <f aca="false">IFERROR(IF(INDEX(Matches!$AC$5:$AC$19,MATCH($C122,Matches!$A$5:$A$19,0))="","",INDEX(Matches!$AC$5:$AC$19,MATCH($C122,Matches!$A$5:$A$19,0))),"")</f>
        <v>0.5092</v>
      </c>
      <c r="N122" s="9" t="n">
        <f aca="false">IFERROR(INDEX(Players!$F$2:$F$124,MATCH($F122,Players!$A$2:$A$124,0)),0)</f>
        <v>39</v>
      </c>
      <c r="O122" s="13" t="n">
        <f aca="false">IFERROR(1/(1/INDEX(Players!$H$2:$H$124,MATCH($F122,Players!$A$2:$A$124,0))),"")</f>
        <v>0.68</v>
      </c>
      <c r="P122" s="10" t="n">
        <f aca="false">IFERROR(1/(1/INDEX(Players!$I$2:$I$124,MATCH($F122,Players!$A$2:$A$124,0))),"")</f>
        <v>0.583</v>
      </c>
      <c r="Q122" s="9" t="n">
        <f aca="false">IF($G122="",0,SUMIFS(Map_Stats!$F$2:$F$779,Map_Stats!$A$2:$A$779,$F122&amp;"|"&amp;$G122))</f>
        <v>12</v>
      </c>
      <c r="R122" s="13" t="n">
        <f aca="false">IF($G122="","",IFERROR(1/(1/INDEX(Map_Stats!$K$2:$K$779,MATCH($F122&amp;"|"&amp;$G122,Map_Stats!$A$2:$A$779,0))),$O122))</f>
        <v>0.81</v>
      </c>
      <c r="S122" s="10" t="n">
        <f aca="false">IF(OR($G122="",$P122=""),"",IFERROR(1/(1/INDEX(Map_Stats!$I$2:$I$779,MATCH($F122&amp;"|"&amp;$G122,Map_Stats!$A$2:$A$779,0))),$P122))</f>
        <v>0.616</v>
      </c>
      <c r="T122" s="13" t="n">
        <f aca="false">IF(OR($G122="",R122=""),"",IF($O122="",R122,(Q122*R122+Config!$B$4*$O122)/(Q122+Config!$B$4)))</f>
        <v>0.771764705882353</v>
      </c>
      <c r="U122" s="10" t="n">
        <f aca="false">IF(S122="","",(Q122*S122+Config!$B$4*$P122)/(Q122+Config!$B$4))</f>
        <v>0.606294117647059</v>
      </c>
      <c r="V122" s="17" t="n">
        <f aca="false">IF(OR(T122="",$J122=""),"",T122*$J122*($J122/Config!$B$10)^Config!$B$9)</f>
        <v>16.5929411764706</v>
      </c>
      <c r="W122" s="17" t="n">
        <f aca="false">IF(OR(V122="",U122=""),"",V122*U122)</f>
        <v>10.0602026297578</v>
      </c>
      <c r="X122" s="9" t="n">
        <f aca="false">IF($H122="",0,SUMIFS(Map_Stats!$F$2:$F$779,Map_Stats!$A$2:$A$779,$F122&amp;"|"&amp;$H122))</f>
        <v>8</v>
      </c>
      <c r="Y122" s="13" t="n">
        <f aca="false">IF($H122="","",IFERROR(1/(1/INDEX(Map_Stats!$K$2:$K$779,MATCH($F122&amp;"|"&amp;$H122,Map_Stats!$A$2:$A$779,0))),$O122))</f>
        <v>0.56</v>
      </c>
      <c r="Z122" s="10" t="n">
        <f aca="false">IF(OR($H122="",$P122=""),"",IFERROR(1/(1/INDEX(Map_Stats!$I$2:$I$779,MATCH($F122&amp;"|"&amp;$H122,Map_Stats!$A$2:$A$779,0))),$P122))</f>
        <v>0.545</v>
      </c>
      <c r="AA122" s="13" t="n">
        <f aca="false">IF(OR($H122="",Y122=""),"",IF($O122="",Y122,(X122*Y122+Config!$B$4*$O122)/(X122+Config!$B$4)))</f>
        <v>0.606153846153846</v>
      </c>
      <c r="AB122" s="10" t="n">
        <f aca="false">IF(Z122="","",(X122*Z122+Config!$B$4*$P122)/(X122+Config!$B$4))</f>
        <v>0.559615384615385</v>
      </c>
      <c r="AC122" s="17" t="n">
        <f aca="false">IF(OR(AA122="",$K122=""),"",AA122*$K122*($K122/Config!$B$10)^Config!$B$9)</f>
        <v>13.0323076923077</v>
      </c>
      <c r="AD122" s="17" t="n">
        <f aca="false">IF(OR(AC122="",AB122=""),"",AC122*AB122)</f>
        <v>7.29307988165681</v>
      </c>
      <c r="AE122" s="9" t="n">
        <f aca="false">IF($I122="",0,SUMIFS(Map_Stats!$F$2:$F$779,Map_Stats!$A$2:$A$779,$F122&amp;"|"&amp;$I122))</f>
        <v>5</v>
      </c>
      <c r="AF122" s="13" t="n">
        <f aca="false">IF($I122="","",IFERROR(1/(1/INDEX(Map_Stats!$K$2:$K$779,MATCH($F122&amp;"|"&amp;$I122,Map_Stats!$A$2:$A$779,0))),$O122))</f>
        <v>0.71</v>
      </c>
      <c r="AG122" s="10" t="n">
        <f aca="false">IF(OR($I122="",$P122=""),"",IFERROR(1/(1/INDEX(Map_Stats!$I$2:$I$779,MATCH($F122&amp;"|"&amp;$I122,Map_Stats!$A$2:$A$779,0))),$P122))</f>
        <v>0.592</v>
      </c>
      <c r="AH122" s="13" t="n">
        <f aca="false">IF(OR($I122="",AF122=""),"",IF($O122="",AF122,(AE122*AF122+Config!$B$4*$O122)/(AE122+Config!$B$4)))</f>
        <v>0.695</v>
      </c>
      <c r="AI122" s="10" t="n">
        <f aca="false">IF(AG122="","",(AE122*AG122+Config!$B$4*$P122)/(AE122+Config!$B$4))</f>
        <v>0.5875</v>
      </c>
      <c r="AJ122" s="17" t="n">
        <f aca="false">IF(OR(AH122="",$L122=""),"",AH122*$L122*($L122/Config!$B$10)^Config!$B$9)</f>
        <v>14.9425</v>
      </c>
      <c r="AK122" s="17" t="n">
        <f aca="false">IF(OR(AJ122="",AI122=""),"",AJ122*AI122)</f>
        <v>8.77871875</v>
      </c>
      <c r="AL122" s="17" t="n">
        <f aca="false">N(V122)+N(AC122)</f>
        <v>29.6252488687783</v>
      </c>
      <c r="AM122" s="17" t="n">
        <f aca="false">AL122+N($M122)*N(AJ122)</f>
        <v>37.2339698687783</v>
      </c>
      <c r="AN122" s="17" t="n">
        <f aca="false">IF(W122="","",N(W122)+N(AD122))</f>
        <v>17.3532825114146</v>
      </c>
      <c r="AO122" s="17" t="n">
        <f aca="false">IF(AN122="","",AN122+N($M122)*N(AK122))</f>
        <v>21.8234060989146</v>
      </c>
      <c r="AP122" s="10" t="n">
        <f aca="false">IFERROR(AN122/AL122,"")</f>
        <v>0.585759889757518</v>
      </c>
      <c r="AQ122" s="0" t="str">
        <f aca="false">TRIM(IF($N122&lt;Config!$B$12,"thin sample ("&amp;$N122&amp;" maps) · ","")&amp;IF(AND($G122&lt;&gt;"",Q122=0),"M1 unplayed→overall KPR · ","")&amp;IF(AND($H122&lt;&gt;"",X122=0),"M2 unplayed→overall KPR · ","")&amp;IF($O122="","no PickFinder stats",""))</f>
        <v/>
      </c>
      <c r="AR122" s="0" t="str">
        <f aca="false">IF($C122=Board!$B$2,COUNTIFS($C$2:$C$124,Board!$B$2,$AL$2:$AL$124,"&gt;"&amp;$AL122)+COUNTIFS($C$1:$C121,Board!$B$2,$AL$1:$AL121,$AL122)+1,"")</f>
        <v/>
      </c>
      <c r="AS122" s="0" t="str">
        <f aca="false">IFERROR(IF($D122=INDEX(Matches!$AD$5:$AD$19,MATCH($C122,Matches!$A$5:$A$19,0)),"A",IF($D122=INDEX(Matches!$AE$5:$AE$19,MATCH($C122,Matches!$A$5:$A$19,0)),"B","")),"")</f>
        <v>A</v>
      </c>
      <c r="AT122" s="10" t="n">
        <f aca="false">IF($AS122="","",IFERROR(IF($AS122="A",INDEX(Matches!$AI$5:$AI$19,MATCH($C122,Matches!$A$5:$A$19,0)),INDEX(Matches!$AJ$5:$AJ$19,MATCH($C122,Matches!$A$5:$A$19,0))),""))</f>
        <v>0.491784309187688</v>
      </c>
      <c r="AU122" s="10" t="n">
        <f aca="false">IF($AS122="","",IFERROR(IF(INDEX(Matches!$AP$5:$AP$19,MATCH($C122,Matches!$A$5:$A$19,0))="","",IF($AS122="A",INDEX(Matches!$AP$5:$AP$19,MATCH($C122,Matches!$A$5:$A$19,0)),1-INDEX(Matches!$AP$5:$AP$19,MATCH($C122,Matches!$A$5:$A$19,0)))),""))</f>
        <v>0.490253049185579</v>
      </c>
      <c r="AV122" s="13" t="n">
        <f aca="false">IF(OR($AU122="",$AT122=""),1,((Config!$B$14*$AU122+Config!$B$15*(1-$AU122))/(Config!$B$14*$AT122+Config!$B$15*(1-$AT122)))^Config!$B$13)</f>
        <v>0.998621519634801</v>
      </c>
      <c r="AW122" s="10" t="n">
        <f aca="false">IF($AS122="","",IFERROR(IF(INDEX(Matches!$AV$5:$AV$19,MATCH($C122,Matches!$A$5:$A$19,0))="","",IF($AS122="A",INDEX(Matches!$AV$5:$AV$19,MATCH($C122,Matches!$A$5:$A$19,0)),1-INDEX(Matches!$AV$5:$AV$19,MATCH($C122,Matches!$A$5:$A$19,0)))),""))</f>
        <v>0.518253386693723</v>
      </c>
      <c r="AX122" s="13" t="n">
        <f aca="false">IF(OR($AW122="",$AT122=""),1,((Config!$B$14*$AW122+Config!$B$15*(1-$AW122))/(Config!$B$14*$AT122+Config!$B$15*(1-$AT122)))^Config!$B$13)</f>
        <v>1.02382815692747</v>
      </c>
      <c r="AY122" s="10" t="n">
        <f aca="false">IF($AS122="","",IFERROR(IF(INDEX(Matches!$BB$5:$BB$19,MATCH($C122,Matches!$A$5:$A$19,0))="","",IF($AS122="A",INDEX(Matches!$BB$5:$BB$19,MATCH($C122,Matches!$A$5:$A$19,0)),1-INDEX(Matches!$BB$5:$BB$19,MATCH($C122,Matches!$A$5:$A$19,0)))),""))</f>
        <v>0.531414954244393</v>
      </c>
      <c r="AZ122" s="13" t="n">
        <f aca="false">IF(OR($AY122="",$AT122=""),1,((Config!$B$14*$AY122+Config!$B$15*(1-$AY122))/(Config!$B$14*$AT122+Config!$B$15*(1-$AT122)))^Config!$B$13)</f>
        <v>1.03567654480337</v>
      </c>
      <c r="BA122" s="17" t="n">
        <f aca="false">IF(V122="","",V122*$AV122)</f>
        <v>16.5700681328579</v>
      </c>
      <c r="BB122" s="17" t="n">
        <f aca="false">IF(AC122="","",AC122*$AX122)</f>
        <v>13.3428435651271</v>
      </c>
      <c r="BC122" s="17" t="n">
        <f aca="false">IF(AJ122="","",AJ122*$AZ122)</f>
        <v>15.4755967707244</v>
      </c>
      <c r="BD122" s="17" t="n">
        <f aca="false">N(BA122)+N(BB122)</f>
        <v>29.912911697985</v>
      </c>
      <c r="BE122" s="17" t="n">
        <f aca="false">BD122+N($M122)*N(BC122)</f>
        <v>37.7930855736379</v>
      </c>
      <c r="BF122" s="17" t="n">
        <f aca="false">IF(W122="","",W122*$AV122)</f>
        <v>10.0463348379627</v>
      </c>
      <c r="BG122" s="17" t="n">
        <f aca="false">IF(AD122="","",AD122*$AX122)</f>
        <v>7.4668605335615</v>
      </c>
      <c r="BH122" s="17" t="n">
        <f aca="false">IF(AK122="","",AK122*$AZ122)</f>
        <v>9.09191310280059</v>
      </c>
      <c r="BI122" s="17" t="n">
        <f aca="false">IF(BF122="","",N(BF122)+N(BG122))</f>
        <v>17.5131953715242</v>
      </c>
      <c r="BJ122" s="17" t="n">
        <f aca="false">IF(BI122="","",BI122+N($M122)*N(BH122))</f>
        <v>22.1427975234703</v>
      </c>
      <c r="BK122" s="13" t="n">
        <f aca="false">IFERROR(BD122/AL122,1)</f>
        <v>1.00971005612412</v>
      </c>
    </row>
    <row r="123" customFormat="false" ht="15" hidden="false" customHeight="false" outlineLevel="0" collapsed="false">
      <c r="A123" s="0" t="s">
        <v>1400</v>
      </c>
      <c r="B123" s="0" t="s">
        <v>988</v>
      </c>
      <c r="C123" s="0" t="s">
        <v>1066</v>
      </c>
      <c r="D123" s="0" t="s">
        <v>1070</v>
      </c>
      <c r="E123" s="0" t="s">
        <v>1399</v>
      </c>
      <c r="F123" s="0" t="s">
        <v>1576</v>
      </c>
      <c r="G123" s="0" t="str">
        <f aca="false">IFERROR(IF(INDEX(Matches!$W$5:$W$19,MATCH($C123,Matches!$A$5:$A$19,0))="","",INDEX(Matches!$W$5:$W$19,MATCH($C123,Matches!$A$5:$A$19,0))),"")</f>
        <v>Dust2</v>
      </c>
      <c r="H123" s="0" t="str">
        <f aca="false">IFERROR(IF(INDEX(Matches!$X$5:$X$19,MATCH($C123,Matches!$A$5:$A$19,0))="","",INDEX(Matches!$X$5:$X$19,MATCH($C123,Matches!$A$5:$A$19,0))),"")</f>
        <v>Mirage</v>
      </c>
      <c r="I123" s="0" t="str">
        <f aca="false">IFERROR(IF(INDEX(Matches!$Y$5:$Y$19,MATCH($C123,Matches!$A$5:$A$19,0))="","",INDEX(Matches!$Y$5:$Y$19,MATCH($C123,Matches!$A$5:$A$19,0))),"")</f>
        <v>Cache</v>
      </c>
      <c r="J123" s="11" t="n">
        <f aca="false">IFERROR(IF(INDEX(Matches!$Z$5:$Z$19,MATCH($C123,Matches!$A$5:$A$19,0))="","",INDEX(Matches!$Z$5:$Z$19,MATCH($C123,Matches!$A$5:$A$19,0))),"")</f>
        <v>21.5</v>
      </c>
      <c r="K123" s="11" t="n">
        <f aca="false">IFERROR(IF(INDEX(Matches!$AA$5:$AA$19,MATCH($C123,Matches!$A$5:$A$19,0))="","",INDEX(Matches!$AA$5:$AA$19,MATCH($C123,Matches!$A$5:$A$19,0))),"")</f>
        <v>21.5</v>
      </c>
      <c r="L123" s="11" t="n">
        <f aca="false">IFERROR(IF(INDEX(Matches!$AB$5:$AB$19,MATCH($C123,Matches!$A$5:$A$19,0))="","",INDEX(Matches!$AB$5:$AB$19,MATCH($C123,Matches!$A$5:$A$19,0))),"")</f>
        <v>21.5</v>
      </c>
      <c r="M123" s="10" t="n">
        <f aca="false">IFERROR(IF(INDEX(Matches!$AC$5:$AC$19,MATCH($C123,Matches!$A$5:$A$19,0))="","",INDEX(Matches!$AC$5:$AC$19,MATCH($C123,Matches!$A$5:$A$19,0))),"")</f>
        <v>0.5092</v>
      </c>
      <c r="N123" s="9" t="n">
        <f aca="false">IFERROR(INDEX(Players!$F$2:$F$124,MATCH($F123,Players!$A$2:$A$124,0)),0)</f>
        <v>37</v>
      </c>
      <c r="O123" s="13" t="n">
        <f aca="false">IFERROR(1/(1/INDEX(Players!$H$2:$H$124,MATCH($F123,Players!$A$2:$A$124,0))),"")</f>
        <v>0.64</v>
      </c>
      <c r="P123" s="10" t="n">
        <f aca="false">IFERROR(1/(1/INDEX(Players!$I$2:$I$124,MATCH($F123,Players!$A$2:$A$124,0))),"")</f>
        <v>0.271</v>
      </c>
      <c r="Q123" s="9" t="n">
        <f aca="false">IF($G123="",0,SUMIFS(Map_Stats!$F$2:$F$779,Map_Stats!$A$2:$A$779,$F123&amp;"|"&amp;$G123))</f>
        <v>11</v>
      </c>
      <c r="R123" s="13" t="n">
        <f aca="false">IF($G123="","",IFERROR(1/(1/INDEX(Map_Stats!$K$2:$K$779,MATCH($F123&amp;"|"&amp;$G123,Map_Stats!$A$2:$A$779,0))),$O123))</f>
        <v>0.66</v>
      </c>
      <c r="S123" s="10" t="n">
        <f aca="false">IF(OR($G123="",$P123=""),"",IFERROR(1/(1/INDEX(Map_Stats!$I$2:$I$779,MATCH($F123&amp;"|"&amp;$G123,Map_Stats!$A$2:$A$779,0))),$P123))</f>
        <v>0.259</v>
      </c>
      <c r="T123" s="13" t="n">
        <f aca="false">IF(OR($G123="",R123=""),"",IF($O123="",R123,(Q123*R123+Config!$B$4*$O123)/(Q123+Config!$B$4)))</f>
        <v>0.65375</v>
      </c>
      <c r="U123" s="10" t="n">
        <f aca="false">IF(S123="","",(Q123*S123+Config!$B$4*$P123)/(Q123+Config!$B$4))</f>
        <v>0.26275</v>
      </c>
      <c r="V123" s="17" t="n">
        <f aca="false">IF(OR(T123="",$J123=""),"",T123*$J123*($J123/Config!$B$10)^Config!$B$9)</f>
        <v>14.055625</v>
      </c>
      <c r="W123" s="17" t="n">
        <f aca="false">IF(OR(V123="",U123=""),"",V123*U123)</f>
        <v>3.69311546875</v>
      </c>
      <c r="X123" s="9" t="n">
        <f aca="false">IF($H123="",0,SUMIFS(Map_Stats!$F$2:$F$779,Map_Stats!$A$2:$A$779,$F123&amp;"|"&amp;$H123))</f>
        <v>6</v>
      </c>
      <c r="Y123" s="13" t="n">
        <f aca="false">IF($H123="","",IFERROR(1/(1/INDEX(Map_Stats!$K$2:$K$779,MATCH($F123&amp;"|"&amp;$H123,Map_Stats!$A$2:$A$779,0))),$O123))</f>
        <v>0.65</v>
      </c>
      <c r="Z123" s="10" t="n">
        <f aca="false">IF(OR($H123="",$P123=""),"",IFERROR(1/(1/INDEX(Map_Stats!$I$2:$I$779,MATCH($F123&amp;"|"&amp;$H123,Map_Stats!$A$2:$A$779,0))),$P123))</f>
        <v>0.282</v>
      </c>
      <c r="AA123" s="13" t="n">
        <f aca="false">IF(OR($H123="",Y123=""),"",IF($O123="",Y123,(X123*Y123+Config!$B$4*$O123)/(X123+Config!$B$4)))</f>
        <v>0.645454545454546</v>
      </c>
      <c r="AB123" s="10" t="n">
        <f aca="false">IF(Z123="","",(X123*Z123+Config!$B$4*$P123)/(X123+Config!$B$4))</f>
        <v>0.277</v>
      </c>
      <c r="AC123" s="17" t="n">
        <f aca="false">IF(OR(AA123="",$K123=""),"",AA123*$K123*($K123/Config!$B$10)^Config!$B$9)</f>
        <v>13.8772727272727</v>
      </c>
      <c r="AD123" s="17" t="n">
        <f aca="false">IF(OR(AC123="",AB123=""),"",AC123*AB123)</f>
        <v>3.84400454545455</v>
      </c>
      <c r="AE123" s="9" t="n">
        <f aca="false">IF($I123="",0,SUMIFS(Map_Stats!$F$2:$F$779,Map_Stats!$A$2:$A$779,$F123&amp;"|"&amp;$I123))</f>
        <v>7</v>
      </c>
      <c r="AF123" s="13" t="n">
        <f aca="false">IF($I123="","",IFERROR(1/(1/INDEX(Map_Stats!$K$2:$K$779,MATCH($F123&amp;"|"&amp;$I123,Map_Stats!$A$2:$A$779,0))),$O123))</f>
        <v>0.66</v>
      </c>
      <c r="AG123" s="10" t="n">
        <f aca="false">IF(OR($I123="",$P123=""),"",IFERROR(1/(1/INDEX(Map_Stats!$I$2:$I$779,MATCH($F123&amp;"|"&amp;$I123,Map_Stats!$A$2:$A$779,0))),$P123))</f>
        <v>0.32</v>
      </c>
      <c r="AH123" s="13" t="n">
        <f aca="false">IF(OR($I123="",AF123=""),"",IF($O123="",AF123,(AE123*AF123+Config!$B$4*$O123)/(AE123+Config!$B$4)))</f>
        <v>0.651666666666667</v>
      </c>
      <c r="AI123" s="10" t="n">
        <f aca="false">IF(AG123="","",(AE123*AG123+Config!$B$4*$P123)/(AE123+Config!$B$4))</f>
        <v>0.299583333333333</v>
      </c>
      <c r="AJ123" s="17" t="n">
        <f aca="false">IF(OR(AH123="",$L123=""),"",AH123*$L123*($L123/Config!$B$10)^Config!$B$9)</f>
        <v>14.0108333333333</v>
      </c>
      <c r="AK123" s="17" t="n">
        <f aca="false">IF(OR(AJ123="",AI123=""),"",AJ123*AI123)</f>
        <v>4.19741215277778</v>
      </c>
      <c r="AL123" s="17" t="n">
        <f aca="false">N(V123)+N(AC123)</f>
        <v>27.9328977272727</v>
      </c>
      <c r="AM123" s="17" t="n">
        <f aca="false">AL123+N($M123)*N(AJ123)</f>
        <v>35.0672140606061</v>
      </c>
      <c r="AN123" s="17" t="n">
        <f aca="false">IF(W123="","",N(W123)+N(AD123))</f>
        <v>7.53712001420455</v>
      </c>
      <c r="AO123" s="17" t="n">
        <f aca="false">IF(AN123="","",AN123+N($M123)*N(AK123))</f>
        <v>9.67444228239899</v>
      </c>
      <c r="AP123" s="10" t="n">
        <f aca="false">IFERROR(AN123/AL123,"")</f>
        <v>0.269829506691157</v>
      </c>
      <c r="AQ123" s="0" t="str">
        <f aca="false">TRIM(IF($N123&lt;Config!$B$12,"thin sample ("&amp;$N123&amp;" maps) · ","")&amp;IF(AND($G123&lt;&gt;"",Q123=0),"M1 unplayed→overall KPR · ","")&amp;IF(AND($H123&lt;&gt;"",X123=0),"M2 unplayed→overall KPR · ","")&amp;IF($O123="","no PickFinder stats",""))</f>
        <v/>
      </c>
      <c r="AR123" s="0" t="str">
        <f aca="false">IF($C123=Board!$B$2,COUNTIFS($C$2:$C$124,Board!$B$2,$AL$2:$AL$124,"&gt;"&amp;$AL123)+COUNTIFS($C$1:$C122,Board!$B$2,$AL$1:$AL122,$AL123)+1,"")</f>
        <v/>
      </c>
      <c r="AS123" s="0" t="str">
        <f aca="false">IFERROR(IF($D123=INDEX(Matches!$AD$5:$AD$19,MATCH($C123,Matches!$A$5:$A$19,0)),"A",IF($D123=INDEX(Matches!$AE$5:$AE$19,MATCH($C123,Matches!$A$5:$A$19,0)),"B","")),"")</f>
        <v>A</v>
      </c>
      <c r="AT123" s="10" t="n">
        <f aca="false">IF($AS123="","",IFERROR(IF($AS123="A",INDEX(Matches!$AI$5:$AI$19,MATCH($C123,Matches!$A$5:$A$19,0)),INDEX(Matches!$AJ$5:$AJ$19,MATCH($C123,Matches!$A$5:$A$19,0))),""))</f>
        <v>0.491784309187688</v>
      </c>
      <c r="AU123" s="10" t="n">
        <f aca="false">IF($AS123="","",IFERROR(IF(INDEX(Matches!$AP$5:$AP$19,MATCH($C123,Matches!$A$5:$A$19,0))="","",IF($AS123="A",INDEX(Matches!$AP$5:$AP$19,MATCH($C123,Matches!$A$5:$A$19,0)),1-INDEX(Matches!$AP$5:$AP$19,MATCH($C123,Matches!$A$5:$A$19,0)))),""))</f>
        <v>0.490253049185579</v>
      </c>
      <c r="AV123" s="13" t="n">
        <f aca="false">IF(OR($AU123="",$AT123=""),1,((Config!$B$14*$AU123+Config!$B$15*(1-$AU123))/(Config!$B$14*$AT123+Config!$B$15*(1-$AT123)))^Config!$B$13)</f>
        <v>0.998621519634801</v>
      </c>
      <c r="AW123" s="10" t="n">
        <f aca="false">IF($AS123="","",IFERROR(IF(INDEX(Matches!$AV$5:$AV$19,MATCH($C123,Matches!$A$5:$A$19,0))="","",IF($AS123="A",INDEX(Matches!$AV$5:$AV$19,MATCH($C123,Matches!$A$5:$A$19,0)),1-INDEX(Matches!$AV$5:$AV$19,MATCH($C123,Matches!$A$5:$A$19,0)))),""))</f>
        <v>0.518253386693723</v>
      </c>
      <c r="AX123" s="13" t="n">
        <f aca="false">IF(OR($AW123="",$AT123=""),1,((Config!$B$14*$AW123+Config!$B$15*(1-$AW123))/(Config!$B$14*$AT123+Config!$B$15*(1-$AT123)))^Config!$B$13)</f>
        <v>1.02382815692747</v>
      </c>
      <c r="AY123" s="10" t="n">
        <f aca="false">IF($AS123="","",IFERROR(IF(INDEX(Matches!$BB$5:$BB$19,MATCH($C123,Matches!$A$5:$A$19,0))="","",IF($AS123="A",INDEX(Matches!$BB$5:$BB$19,MATCH($C123,Matches!$A$5:$A$19,0)),1-INDEX(Matches!$BB$5:$BB$19,MATCH($C123,Matches!$A$5:$A$19,0)))),""))</f>
        <v>0.531414954244393</v>
      </c>
      <c r="AZ123" s="13" t="n">
        <f aca="false">IF(OR($AY123="",$AT123=""),1,((Config!$B$14*$AY123+Config!$B$15*(1-$AY123))/(Config!$B$14*$AT123+Config!$B$15*(1-$AT123)))^Config!$B$13)</f>
        <v>1.03567654480337</v>
      </c>
      <c r="BA123" s="17" t="n">
        <f aca="false">IF(V123="","",V123*$AV123)</f>
        <v>14.0362495969169</v>
      </c>
      <c r="BB123" s="17" t="n">
        <f aca="false">IF(AC123="","",AC123*$AX123)</f>
        <v>14.2079425595435</v>
      </c>
      <c r="BC123" s="17" t="n">
        <f aca="false">IF(AJ123="","",AJ123*$AZ123)</f>
        <v>14.5106914564826</v>
      </c>
      <c r="BD123" s="17" t="n">
        <f aca="false">N(BA123)+N(BB123)</f>
        <v>28.2441921564604</v>
      </c>
      <c r="BE123" s="17" t="n">
        <f aca="false">BD123+N($M123)*N(BC123)</f>
        <v>35.6330362461013</v>
      </c>
      <c r="BF123" s="17" t="n">
        <f aca="false">IF(W123="","",W123*$AV123)</f>
        <v>3.68802458158992</v>
      </c>
      <c r="BG123" s="17" t="n">
        <f aca="false">IF(AD123="","",AD123*$AX123)</f>
        <v>3.93560008899354</v>
      </c>
      <c r="BH123" s="17" t="n">
        <f aca="false">IF(AK123="","",AK123*$AZ123)</f>
        <v>4.34716131550458</v>
      </c>
      <c r="BI123" s="17" t="n">
        <f aca="false">IF(BF123="","",N(BF123)+N(BG123))</f>
        <v>7.62362467058346</v>
      </c>
      <c r="BJ123" s="17" t="n">
        <f aca="false">IF(BI123="","",BI123+N($M123)*N(BH123))</f>
        <v>9.83719921243839</v>
      </c>
      <c r="BK123" s="13" t="n">
        <f aca="false">IFERROR(BD123/AL123,1)</f>
        <v>1.01114436576638</v>
      </c>
    </row>
    <row r="124" customFormat="false" ht="15" hidden="false" customHeight="false" outlineLevel="0" collapsed="false">
      <c r="A124" s="0" t="s">
        <v>1402</v>
      </c>
      <c r="B124" s="0" t="s">
        <v>988</v>
      </c>
      <c r="C124" s="0" t="s">
        <v>1066</v>
      </c>
      <c r="D124" s="0" t="s">
        <v>1070</v>
      </c>
      <c r="E124" s="0" t="s">
        <v>1401</v>
      </c>
      <c r="F124" s="0" t="s">
        <v>1577</v>
      </c>
      <c r="G124" s="0" t="str">
        <f aca="false">IFERROR(IF(INDEX(Matches!$W$5:$W$19,MATCH($C124,Matches!$A$5:$A$19,0))="","",INDEX(Matches!$W$5:$W$19,MATCH($C124,Matches!$A$5:$A$19,0))),"")</f>
        <v>Dust2</v>
      </c>
      <c r="H124" s="0" t="str">
        <f aca="false">IFERROR(IF(INDEX(Matches!$X$5:$X$19,MATCH($C124,Matches!$A$5:$A$19,0))="","",INDEX(Matches!$X$5:$X$19,MATCH($C124,Matches!$A$5:$A$19,0))),"")</f>
        <v>Mirage</v>
      </c>
      <c r="I124" s="0" t="str">
        <f aca="false">IFERROR(IF(INDEX(Matches!$Y$5:$Y$19,MATCH($C124,Matches!$A$5:$A$19,0))="","",INDEX(Matches!$Y$5:$Y$19,MATCH($C124,Matches!$A$5:$A$19,0))),"")</f>
        <v>Cache</v>
      </c>
      <c r="J124" s="11" t="n">
        <f aca="false">IFERROR(IF(INDEX(Matches!$Z$5:$Z$19,MATCH($C124,Matches!$A$5:$A$19,0))="","",INDEX(Matches!$Z$5:$Z$19,MATCH($C124,Matches!$A$5:$A$19,0))),"")</f>
        <v>21.5</v>
      </c>
      <c r="K124" s="11" t="n">
        <f aca="false">IFERROR(IF(INDEX(Matches!$AA$5:$AA$19,MATCH($C124,Matches!$A$5:$A$19,0))="","",INDEX(Matches!$AA$5:$AA$19,MATCH($C124,Matches!$A$5:$A$19,0))),"")</f>
        <v>21.5</v>
      </c>
      <c r="L124" s="11" t="n">
        <f aca="false">IFERROR(IF(INDEX(Matches!$AB$5:$AB$19,MATCH($C124,Matches!$A$5:$A$19,0))="","",INDEX(Matches!$AB$5:$AB$19,MATCH($C124,Matches!$A$5:$A$19,0))),"")</f>
        <v>21.5</v>
      </c>
      <c r="M124" s="10" t="n">
        <f aca="false">IFERROR(IF(INDEX(Matches!$AC$5:$AC$19,MATCH($C124,Matches!$A$5:$A$19,0))="","",INDEX(Matches!$AC$5:$AC$19,MATCH($C124,Matches!$A$5:$A$19,0))),"")</f>
        <v>0.5092</v>
      </c>
      <c r="N124" s="9" t="n">
        <f aca="false">IFERROR(INDEX(Players!$F$2:$F$124,MATCH($F124,Players!$A$2:$A$124,0)),0)</f>
        <v>38</v>
      </c>
      <c r="O124" s="13" t="n">
        <f aca="false">IFERROR(1/(1/INDEX(Players!$H$2:$H$124,MATCH($F124,Players!$A$2:$A$124,0))),"")</f>
        <v>0.66</v>
      </c>
      <c r="P124" s="10" t="n">
        <f aca="false">IFERROR(1/(1/INDEX(Players!$I$2:$I$124,MATCH($F124,Players!$A$2:$A$124,0))),"")</f>
        <v>0.652</v>
      </c>
      <c r="Q124" s="9" t="n">
        <f aca="false">IF($G124="",0,SUMIFS(Map_Stats!$F$2:$F$779,Map_Stats!$A$2:$A$779,$F124&amp;"|"&amp;$G124))</f>
        <v>9</v>
      </c>
      <c r="R124" s="13" t="n">
        <f aca="false">IF($G124="","",IFERROR(1/(1/INDEX(Map_Stats!$K$2:$K$779,MATCH($F124&amp;"|"&amp;$G124,Map_Stats!$A$2:$A$779,0))),$O124))</f>
        <v>0.68</v>
      </c>
      <c r="S124" s="10" t="n">
        <f aca="false">IF(OR($G124="",$P124=""),"",IFERROR(1/(1/INDEX(Map_Stats!$I$2:$I$779,MATCH($F124&amp;"|"&amp;$G124,Map_Stats!$A$2:$A$779,0))),$P124))</f>
        <v>0.75</v>
      </c>
      <c r="T124" s="13" t="n">
        <f aca="false">IF(OR($G124="",R124=""),"",IF($O124="",R124,(Q124*R124+Config!$B$4*$O124)/(Q124+Config!$B$4)))</f>
        <v>0.672857142857143</v>
      </c>
      <c r="U124" s="10" t="n">
        <f aca="false">IF(S124="","",(Q124*S124+Config!$B$4*$P124)/(Q124+Config!$B$4))</f>
        <v>0.715</v>
      </c>
      <c r="V124" s="17" t="n">
        <f aca="false">IF(OR(T124="",$J124=""),"",T124*$J124*($J124/Config!$B$10)^Config!$B$9)</f>
        <v>14.4664285714286</v>
      </c>
      <c r="W124" s="17" t="n">
        <f aca="false">IF(OR(V124="",U124=""),"",V124*U124)</f>
        <v>10.3434964285714</v>
      </c>
      <c r="X124" s="9" t="n">
        <f aca="false">IF($H124="",0,SUMIFS(Map_Stats!$F$2:$F$779,Map_Stats!$A$2:$A$779,$F124&amp;"|"&amp;$H124))</f>
        <v>9</v>
      </c>
      <c r="Y124" s="13" t="n">
        <f aca="false">IF($H124="","",IFERROR(1/(1/INDEX(Map_Stats!$K$2:$K$779,MATCH($F124&amp;"|"&amp;$H124,Map_Stats!$A$2:$A$779,0))),$O124))</f>
        <v>0.6</v>
      </c>
      <c r="Z124" s="10" t="n">
        <f aca="false">IF(OR($H124="",$P124=""),"",IFERROR(1/(1/INDEX(Map_Stats!$I$2:$I$779,MATCH($F124&amp;"|"&amp;$H124,Map_Stats!$A$2:$A$779,0))),$P124))</f>
        <v>0.589</v>
      </c>
      <c r="AA124" s="13" t="n">
        <f aca="false">IF(OR($H124="",Y124=""),"",IF($O124="",Y124,(X124*Y124+Config!$B$4*$O124)/(X124+Config!$B$4)))</f>
        <v>0.621428571428571</v>
      </c>
      <c r="AB124" s="10" t="n">
        <f aca="false">IF(Z124="","",(X124*Z124+Config!$B$4*$P124)/(X124+Config!$B$4))</f>
        <v>0.6115</v>
      </c>
      <c r="AC124" s="17" t="n">
        <f aca="false">IF(OR(AA124="",$K124=""),"",AA124*$K124*($K124/Config!$B$10)^Config!$B$9)</f>
        <v>13.3607142857143</v>
      </c>
      <c r="AD124" s="17" t="n">
        <f aca="false">IF(OR(AC124="",AB124=""),"",AC124*AB124)</f>
        <v>8.17007678571429</v>
      </c>
      <c r="AE124" s="9" t="n">
        <f aca="false">IF($I124="",0,SUMIFS(Map_Stats!$F$2:$F$779,Map_Stats!$A$2:$A$779,$F124&amp;"|"&amp;$I124))</f>
        <v>6</v>
      </c>
      <c r="AF124" s="13" t="n">
        <f aca="false">IF($I124="","",IFERROR(1/(1/INDEX(Map_Stats!$K$2:$K$779,MATCH($F124&amp;"|"&amp;$I124,Map_Stats!$A$2:$A$779,0))),$O124))</f>
        <v>0.59</v>
      </c>
      <c r="AG124" s="10" t="n">
        <f aca="false">IF(OR($I124="",$P124=""),"",IFERROR(1/(1/INDEX(Map_Stats!$I$2:$I$779,MATCH($F124&amp;"|"&amp;$I124,Map_Stats!$A$2:$A$779,0))),$P124))</f>
        <v>0.675</v>
      </c>
      <c r="AH124" s="13" t="n">
        <f aca="false">IF(OR($I124="",AF124=""),"",IF($O124="",AF124,(AE124*AF124+Config!$B$4*$O124)/(AE124+Config!$B$4)))</f>
        <v>0.621818181818182</v>
      </c>
      <c r="AI124" s="10" t="n">
        <f aca="false">IF(AG124="","",(AE124*AG124+Config!$B$4*$P124)/(AE124+Config!$B$4))</f>
        <v>0.664545454545455</v>
      </c>
      <c r="AJ124" s="17" t="n">
        <f aca="false">IF(OR(AH124="",$L124=""),"",AH124*$L124*($L124/Config!$B$10)^Config!$B$9)</f>
        <v>13.3690909090909</v>
      </c>
      <c r="AK124" s="17" t="n">
        <f aca="false">IF(OR(AJ124="",AI124=""),"",AJ124*AI124)</f>
        <v>8.88436859504132</v>
      </c>
      <c r="AL124" s="17" t="n">
        <f aca="false">N(V124)+N(AC124)</f>
        <v>27.8271428571429</v>
      </c>
      <c r="AM124" s="17" t="n">
        <f aca="false">AL124+N($M124)*N(AJ124)</f>
        <v>34.6346839480519</v>
      </c>
      <c r="AN124" s="17" t="n">
        <f aca="false">IF(W124="","",N(W124)+N(AD124))</f>
        <v>18.5135732142857</v>
      </c>
      <c r="AO124" s="17" t="n">
        <f aca="false">IF(AN124="","",AN124+N($M124)*N(AK124))</f>
        <v>23.0374937028808</v>
      </c>
      <c r="AP124" s="10" t="n">
        <f aca="false">IFERROR(AN124/AL124,"")</f>
        <v>0.665306291390729</v>
      </c>
      <c r="AQ124" s="0" t="str">
        <f aca="false">TRIM(IF($N124&lt;Config!$B$12,"thin sample ("&amp;$N124&amp;" maps) · ","")&amp;IF(AND($G124&lt;&gt;"",Q124=0),"M1 unplayed→overall KPR · ","")&amp;IF(AND($H124&lt;&gt;"",X124=0),"M2 unplayed→overall KPR · ","")&amp;IF($O124="","no PickFinder stats",""))</f>
        <v/>
      </c>
      <c r="AR124" s="0" t="str">
        <f aca="false">IF($C124=Board!$B$2,COUNTIFS($C$2:$C$124,Board!$B$2,$AL$2:$AL$124,"&gt;"&amp;$AL124)+COUNTIFS($C$1:$C123,Board!$B$2,$AL$1:$AL123,$AL124)+1,"")</f>
        <v/>
      </c>
      <c r="AS124" s="0" t="str">
        <f aca="false">IFERROR(IF($D124=INDEX(Matches!$AD$5:$AD$19,MATCH($C124,Matches!$A$5:$A$19,0)),"A",IF($D124=INDEX(Matches!$AE$5:$AE$19,MATCH($C124,Matches!$A$5:$A$19,0)),"B","")),"")</f>
        <v>A</v>
      </c>
      <c r="AT124" s="10" t="n">
        <f aca="false">IF($AS124="","",IFERROR(IF($AS124="A",INDEX(Matches!$AI$5:$AI$19,MATCH($C124,Matches!$A$5:$A$19,0)),INDEX(Matches!$AJ$5:$AJ$19,MATCH($C124,Matches!$A$5:$A$19,0))),""))</f>
        <v>0.491784309187688</v>
      </c>
      <c r="AU124" s="10" t="n">
        <f aca="false">IF($AS124="","",IFERROR(IF(INDEX(Matches!$AP$5:$AP$19,MATCH($C124,Matches!$A$5:$A$19,0))="","",IF($AS124="A",INDEX(Matches!$AP$5:$AP$19,MATCH($C124,Matches!$A$5:$A$19,0)),1-INDEX(Matches!$AP$5:$AP$19,MATCH($C124,Matches!$A$5:$A$19,0)))),""))</f>
        <v>0.490253049185579</v>
      </c>
      <c r="AV124" s="13" t="n">
        <f aca="false">IF(OR($AU124="",$AT124=""),1,((Config!$B$14*$AU124+Config!$B$15*(1-$AU124))/(Config!$B$14*$AT124+Config!$B$15*(1-$AT124)))^Config!$B$13)</f>
        <v>0.998621519634801</v>
      </c>
      <c r="AW124" s="10" t="n">
        <f aca="false">IF($AS124="","",IFERROR(IF(INDEX(Matches!$AV$5:$AV$19,MATCH($C124,Matches!$A$5:$A$19,0))="","",IF($AS124="A",INDEX(Matches!$AV$5:$AV$19,MATCH($C124,Matches!$A$5:$A$19,0)),1-INDEX(Matches!$AV$5:$AV$19,MATCH($C124,Matches!$A$5:$A$19,0)))),""))</f>
        <v>0.518253386693723</v>
      </c>
      <c r="AX124" s="13" t="n">
        <f aca="false">IF(OR($AW124="",$AT124=""),1,((Config!$B$14*$AW124+Config!$B$15*(1-$AW124))/(Config!$B$14*$AT124+Config!$B$15*(1-$AT124)))^Config!$B$13)</f>
        <v>1.02382815692747</v>
      </c>
      <c r="AY124" s="10" t="n">
        <f aca="false">IF($AS124="","",IFERROR(IF(INDEX(Matches!$BB$5:$BB$19,MATCH($C124,Matches!$A$5:$A$19,0))="","",IF($AS124="A",INDEX(Matches!$BB$5:$BB$19,MATCH($C124,Matches!$A$5:$A$19,0)),1-INDEX(Matches!$BB$5:$BB$19,MATCH($C124,Matches!$A$5:$A$19,0)))),""))</f>
        <v>0.531414954244393</v>
      </c>
      <c r="AZ124" s="13" t="n">
        <f aca="false">IF(OR($AY124="",$AT124=""),1,((Config!$B$14*$AY124+Config!$B$15*(1-$AY124))/(Config!$B$14*$AT124+Config!$B$15*(1-$AT124)))^Config!$B$13)</f>
        <v>1.03567654480337</v>
      </c>
      <c r="BA124" s="17" t="n">
        <f aca="false">IF(V124="","",V124*$AV124)</f>
        <v>14.4464868836883</v>
      </c>
      <c r="BB124" s="17" t="n">
        <f aca="false">IF(AC124="","",AC124*$AX124)</f>
        <v>13.6790754823774</v>
      </c>
      <c r="BC124" s="17" t="n">
        <f aca="false">IF(AJ124="","",AJ124*$AZ124)</f>
        <v>13.8460538798895</v>
      </c>
      <c r="BD124" s="17" t="n">
        <f aca="false">N(BA124)+N(BB124)</f>
        <v>28.1255623660657</v>
      </c>
      <c r="BE124" s="17" t="n">
        <f aca="false">BD124+N($M124)*N(BC124)</f>
        <v>35.1759730017054</v>
      </c>
      <c r="BF124" s="17" t="n">
        <f aca="false">IF(W124="","",W124*$AV124)</f>
        <v>10.3292381218371</v>
      </c>
      <c r="BG124" s="17" t="n">
        <f aca="false">IF(AD124="","",AD124*$AX124)</f>
        <v>8.36475465747376</v>
      </c>
      <c r="BH124" s="17" t="n">
        <f aca="false">IF(AK124="","",AK124*$AZ124)</f>
        <v>9.201332169272</v>
      </c>
      <c r="BI124" s="17" t="n">
        <f aca="false">IF(BF124="","",N(BF124)+N(BG124))</f>
        <v>18.6939927793109</v>
      </c>
      <c r="BJ124" s="17" t="n">
        <f aca="false">IF(BI124="","",BI124+N($M124)*N(BH124))</f>
        <v>23.3793111199042</v>
      </c>
      <c r="BK124" s="13" t="n">
        <f aca="false">IFERROR(BD124/AL124,1)</f>
        <v>1.01072404416274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10"/>
    <col collapsed="false" customWidth="true" hidden="false" outlineLevel="0" max="6" min="5" style="0" width="14"/>
  </cols>
  <sheetData>
    <row r="1" customFormat="false" ht="17.35" hidden="false" customHeight="false" outlineLevel="0" collapsed="false">
      <c r="A1" s="1" t="s">
        <v>1578</v>
      </c>
    </row>
    <row r="3" customFormat="false" ht="15" hidden="false" customHeight="false" outlineLevel="0" collapsed="false">
      <c r="A3" s="12" t="s">
        <v>1579</v>
      </c>
      <c r="B3" s="12" t="s">
        <v>1580</v>
      </c>
      <c r="C3" s="12" t="s">
        <v>1581</v>
      </c>
      <c r="E3" s="18" t="s">
        <v>1582</v>
      </c>
      <c r="F3" s="18" t="s">
        <v>1583</v>
      </c>
    </row>
    <row r="4" customFormat="false" ht="41.75" hidden="false" customHeight="false" outlineLevel="0" collapsed="false">
      <c r="A4" s="3" t="s">
        <v>1584</v>
      </c>
      <c r="B4" s="19" t="n">
        <v>5</v>
      </c>
      <c r="C4" s="4" t="s">
        <v>1585</v>
      </c>
      <c r="E4" s="9" t="s">
        <v>121</v>
      </c>
    </row>
    <row r="5" customFormat="false" ht="41.75" hidden="false" customHeight="false" outlineLevel="0" collapsed="false">
      <c r="A5" s="3" t="s">
        <v>1586</v>
      </c>
      <c r="B5" s="19" t="n">
        <v>1.4</v>
      </c>
      <c r="C5" s="4" t="s">
        <v>1587</v>
      </c>
      <c r="E5" s="9" t="s">
        <v>94</v>
      </c>
    </row>
    <row r="6" customFormat="false" ht="28.35" hidden="false" customHeight="false" outlineLevel="0" collapsed="false">
      <c r="A6" s="3" t="s">
        <v>1588</v>
      </c>
      <c r="B6" s="19" t="n">
        <v>0.04</v>
      </c>
      <c r="C6" s="4" t="s">
        <v>1589</v>
      </c>
      <c r="E6" s="9" t="s">
        <v>131</v>
      </c>
    </row>
    <row r="7" customFormat="false" ht="15" hidden="false" customHeight="false" outlineLevel="0" collapsed="false">
      <c r="A7" s="3" t="s">
        <v>1590</v>
      </c>
      <c r="B7" s="19" t="n">
        <v>21.5</v>
      </c>
      <c r="C7" s="4" t="s">
        <v>1591</v>
      </c>
      <c r="E7" s="9" t="s">
        <v>107</v>
      </c>
    </row>
    <row r="8" customFormat="false" ht="15" hidden="false" customHeight="false" outlineLevel="0" collapsed="false">
      <c r="A8" s="3" t="s">
        <v>1592</v>
      </c>
      <c r="B8" s="19" t="n">
        <v>22.5</v>
      </c>
      <c r="C8" s="4" t="s">
        <v>1593</v>
      </c>
      <c r="E8" s="9" t="s">
        <v>142</v>
      </c>
    </row>
    <row r="9" customFormat="false" ht="28.35" hidden="false" customHeight="false" outlineLevel="0" collapsed="false">
      <c r="A9" s="3" t="s">
        <v>1594</v>
      </c>
      <c r="B9" s="19" t="n">
        <v>0</v>
      </c>
      <c r="C9" s="4" t="s">
        <v>1595</v>
      </c>
      <c r="E9" s="9" t="s">
        <v>150</v>
      </c>
    </row>
    <row r="10" customFormat="false" ht="15" hidden="false" customHeight="false" outlineLevel="0" collapsed="false">
      <c r="A10" s="3" t="s">
        <v>1596</v>
      </c>
      <c r="B10" s="19" t="n">
        <v>21.5</v>
      </c>
      <c r="C10" s="4" t="s">
        <v>1597</v>
      </c>
      <c r="E10" s="9" t="s">
        <v>80</v>
      </c>
    </row>
    <row r="11" customFormat="false" ht="15" hidden="false" customHeight="false" outlineLevel="0" collapsed="false">
      <c r="A11" s="3" t="s">
        <v>1598</v>
      </c>
      <c r="B11" s="19" t="n">
        <v>22.5</v>
      </c>
      <c r="C11" s="4" t="s">
        <v>1593</v>
      </c>
      <c r="E11" s="9" t="s">
        <v>1599</v>
      </c>
    </row>
    <row r="12" customFormat="false" ht="15" hidden="false" customHeight="false" outlineLevel="0" collapsed="false">
      <c r="A12" s="3" t="s">
        <v>1600</v>
      </c>
      <c r="B12" s="19" t="n">
        <v>15</v>
      </c>
      <c r="C12" s="4" t="s">
        <v>1601</v>
      </c>
    </row>
    <row r="13" customFormat="false" ht="41.75" hidden="false" customHeight="false" outlineLevel="0" collapsed="false">
      <c r="A13" s="3" t="s">
        <v>1602</v>
      </c>
      <c r="B13" s="19" t="n">
        <v>1</v>
      </c>
      <c r="C13" s="4" t="s">
        <v>1603</v>
      </c>
    </row>
    <row r="14" customFormat="false" ht="28.35" hidden="false" customHeight="false" outlineLevel="0" collapsed="false">
      <c r="A14" s="3" t="s">
        <v>1604</v>
      </c>
      <c r="B14" s="19" t="n">
        <v>4.76</v>
      </c>
      <c r="C14" s="4" t="s">
        <v>1605</v>
      </c>
    </row>
    <row r="15" customFormat="false" ht="15" hidden="false" customHeight="false" outlineLevel="0" collapsed="false">
      <c r="A15" s="3" t="s">
        <v>1606</v>
      </c>
      <c r="B15" s="19" t="n">
        <v>1.82</v>
      </c>
      <c r="C15" s="4" t="s">
        <v>1607</v>
      </c>
    </row>
    <row r="17" customFormat="false" ht="15" hidden="false" customHeight="false" outlineLevel="0" collapsed="false">
      <c r="A17" s="3" t="s">
        <v>1608</v>
      </c>
    </row>
    <row r="18" customFormat="false" ht="15" hidden="false" customHeight="false" outlineLevel="0" collapsed="false">
      <c r="A18" s="0" t="s">
        <v>1609</v>
      </c>
      <c r="B18" s="0" t="s">
        <v>1610</v>
      </c>
    </row>
    <row r="19" customFormat="false" ht="15" hidden="false" customHeight="false" outlineLevel="0" collapsed="false">
      <c r="A19" s="0" t="s">
        <v>1611</v>
      </c>
      <c r="B19" s="0" t="s">
        <v>1612</v>
      </c>
    </row>
    <row r="20" customFormat="false" ht="15" hidden="false" customHeight="false" outlineLevel="0" collapsed="false">
      <c r="A20" s="0" t="s">
        <v>1613</v>
      </c>
      <c r="C20" s="0" t="s">
        <v>1614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4"/>
    <col collapsed="false" customWidth="true" hidden="false" outlineLevel="0" max="3" min="3" style="0" width="6"/>
    <col collapsed="false" customWidth="true" hidden="false" outlineLevel="0" max="4" min="4" style="0" width="9"/>
    <col collapsed="false" customWidth="true" hidden="false" outlineLevel="0" max="5" min="5" style="0" width="18"/>
    <col collapsed="false" customWidth="true" hidden="false" outlineLevel="0" max="6" min="6" style="0" width="7"/>
    <col collapsed="false" customWidth="true" hidden="false" outlineLevel="0" max="7" min="7" style="0" width="9"/>
    <col collapsed="false" customWidth="true" hidden="false" outlineLevel="0" max="9" min="8" style="0" width="7"/>
    <col collapsed="false" customWidth="true" hidden="false" outlineLevel="0" max="10" min="10" style="0" width="9"/>
    <col collapsed="false" customWidth="true" hidden="false" outlineLevel="0" max="11" min="11" style="0" width="6"/>
    <col collapsed="false" customWidth="true" hidden="false" outlineLevel="0" max="12" min="12" style="0" width="7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60"/>
  </cols>
  <sheetData>
    <row r="1" customFormat="false" ht="41.75" hidden="false" customHeight="false" outlineLevel="0" collapsed="false">
      <c r="A1" s="12" t="s">
        <v>1404</v>
      </c>
      <c r="B1" s="12" t="s">
        <v>926</v>
      </c>
      <c r="C1" s="12" t="s">
        <v>951</v>
      </c>
      <c r="D1" s="12" t="s">
        <v>925</v>
      </c>
      <c r="E1" s="12" t="s">
        <v>1615</v>
      </c>
      <c r="F1" s="12" t="s">
        <v>1616</v>
      </c>
      <c r="G1" s="12" t="s">
        <v>1617</v>
      </c>
      <c r="H1" s="12" t="s">
        <v>1618</v>
      </c>
      <c r="I1" s="12" t="s">
        <v>1619</v>
      </c>
      <c r="J1" s="12" t="s">
        <v>1620</v>
      </c>
      <c r="K1" s="12" t="s">
        <v>1621</v>
      </c>
      <c r="L1" s="12" t="s">
        <v>1622</v>
      </c>
      <c r="M1" s="12" t="s">
        <v>1623</v>
      </c>
      <c r="N1" s="12" t="s">
        <v>1624</v>
      </c>
      <c r="O1" s="12" t="s">
        <v>1625</v>
      </c>
    </row>
    <row r="2" customFormat="false" ht="15" hidden="false" customHeight="false" outlineLevel="0" collapsed="false">
      <c r="A2" s="0" t="s">
        <v>1539</v>
      </c>
      <c r="B2" s="0" t="s">
        <v>1316</v>
      </c>
      <c r="C2" s="0" t="s">
        <v>988</v>
      </c>
      <c r="D2" s="0" t="s">
        <v>1040</v>
      </c>
      <c r="E2" s="0" t="s">
        <v>1626</v>
      </c>
      <c r="F2" s="0" t="n">
        <v>33</v>
      </c>
      <c r="G2" s="0" t="n">
        <v>14.55</v>
      </c>
      <c r="H2" s="0" t="n">
        <v>0.71</v>
      </c>
      <c r="I2" s="10" t="n">
        <v>0.533</v>
      </c>
      <c r="J2" s="0" t="n">
        <v>0.38</v>
      </c>
      <c r="K2" s="0" t="n">
        <v>1.13</v>
      </c>
      <c r="L2" s="0" t="n">
        <v>1.12</v>
      </c>
      <c r="M2" s="11" t="n">
        <f aca="false">IFERROR(G2/H2,"")</f>
        <v>20.4929577464789</v>
      </c>
      <c r="N2" s="9" t="s">
        <v>1627</v>
      </c>
      <c r="O2" s="9" t="s">
        <v>1628</v>
      </c>
    </row>
    <row r="3" customFormat="false" ht="15" hidden="false" customHeight="false" outlineLevel="0" collapsed="false">
      <c r="A3" s="0" t="s">
        <v>1540</v>
      </c>
      <c r="B3" s="0" t="s">
        <v>1318</v>
      </c>
      <c r="C3" s="0" t="s">
        <v>988</v>
      </c>
      <c r="D3" s="0" t="s">
        <v>1040</v>
      </c>
      <c r="E3" s="0" t="s">
        <v>1626</v>
      </c>
      <c r="F3" s="0" t="n">
        <v>33</v>
      </c>
      <c r="G3" s="0" t="n">
        <v>13.36</v>
      </c>
      <c r="H3" s="0" t="n">
        <v>0.65</v>
      </c>
      <c r="I3" s="10" t="n">
        <v>0.628</v>
      </c>
      <c r="J3" s="0" t="n">
        <v>0.41</v>
      </c>
      <c r="K3" s="0" t="n">
        <v>0.93</v>
      </c>
      <c r="L3" s="0" t="n">
        <v>1.09</v>
      </c>
      <c r="M3" s="11" t="n">
        <f aca="false">IFERROR(G3/H3,"")</f>
        <v>20.5538461538462</v>
      </c>
      <c r="N3" s="9" t="s">
        <v>1627</v>
      </c>
      <c r="O3" s="9" t="s">
        <v>1629</v>
      </c>
    </row>
    <row r="4" customFormat="false" ht="15" hidden="false" customHeight="false" outlineLevel="0" collapsed="false">
      <c r="A4" s="0" t="s">
        <v>1541</v>
      </c>
      <c r="B4" s="0" t="s">
        <v>1320</v>
      </c>
      <c r="C4" s="0" t="s">
        <v>988</v>
      </c>
      <c r="D4" s="0" t="s">
        <v>1040</v>
      </c>
      <c r="E4" s="0" t="s">
        <v>1626</v>
      </c>
      <c r="F4" s="0" t="n">
        <v>33</v>
      </c>
      <c r="G4" s="0" t="n">
        <v>13.27</v>
      </c>
      <c r="H4" s="0" t="n">
        <v>0.65</v>
      </c>
      <c r="I4" s="10" t="n">
        <v>0.603</v>
      </c>
      <c r="J4" s="0" t="n">
        <v>0.39</v>
      </c>
      <c r="K4" s="0" t="n">
        <v>0.9</v>
      </c>
      <c r="L4" s="0" t="n">
        <v>1.01</v>
      </c>
      <c r="M4" s="11" t="n">
        <f aca="false">IFERROR(G4/H4,"")</f>
        <v>20.4153846153846</v>
      </c>
      <c r="N4" s="9" t="s">
        <v>1627</v>
      </c>
      <c r="O4" s="9" t="s">
        <v>1630</v>
      </c>
    </row>
    <row r="5" customFormat="false" ht="15" hidden="false" customHeight="false" outlineLevel="0" collapsed="false">
      <c r="A5" s="0" t="s">
        <v>1542</v>
      </c>
      <c r="B5" s="0" t="s">
        <v>1322</v>
      </c>
      <c r="C5" s="0" t="s">
        <v>988</v>
      </c>
      <c r="D5" s="0" t="s">
        <v>1040</v>
      </c>
      <c r="E5" s="0" t="s">
        <v>1626</v>
      </c>
      <c r="F5" s="0" t="n">
        <v>33</v>
      </c>
      <c r="G5" s="0" t="n">
        <v>10.52</v>
      </c>
      <c r="H5" s="0" t="n">
        <v>0.51</v>
      </c>
      <c r="I5" s="10" t="n">
        <v>0.504</v>
      </c>
      <c r="J5" s="0" t="n">
        <v>0.26</v>
      </c>
      <c r="K5" s="0" t="n">
        <v>0.77</v>
      </c>
      <c r="L5" s="0" t="n">
        <v>0.88</v>
      </c>
      <c r="M5" s="11" t="n">
        <f aca="false">IFERROR(G5/H5,"")</f>
        <v>20.6274509803922</v>
      </c>
      <c r="N5" s="9" t="s">
        <v>1627</v>
      </c>
      <c r="O5" s="9" t="s">
        <v>1631</v>
      </c>
    </row>
    <row r="6" customFormat="false" ht="15" hidden="false" customHeight="false" outlineLevel="0" collapsed="false">
      <c r="A6" s="0" t="s">
        <v>1543</v>
      </c>
      <c r="B6" s="0" t="s">
        <v>1324</v>
      </c>
      <c r="C6" s="0" t="s">
        <v>988</v>
      </c>
      <c r="D6" s="0" t="s">
        <v>1040</v>
      </c>
      <c r="E6" s="0" t="s">
        <v>1626</v>
      </c>
      <c r="F6" s="0" t="n">
        <v>33</v>
      </c>
      <c r="G6" s="0" t="n">
        <v>12.36</v>
      </c>
      <c r="H6" s="0" t="n">
        <v>0.6</v>
      </c>
      <c r="I6" s="10" t="n">
        <v>0.392</v>
      </c>
      <c r="J6" s="0" t="n">
        <v>0.24</v>
      </c>
      <c r="K6" s="0" t="n">
        <v>1.02</v>
      </c>
      <c r="L6" s="0" t="n">
        <v>0.95</v>
      </c>
      <c r="M6" s="11" t="n">
        <f aca="false">IFERROR(G6/H6,"")</f>
        <v>20.6</v>
      </c>
      <c r="N6" s="9" t="s">
        <v>1627</v>
      </c>
      <c r="O6" s="9" t="s">
        <v>1632</v>
      </c>
    </row>
    <row r="7" customFormat="false" ht="15" hidden="false" customHeight="false" outlineLevel="0" collapsed="false">
      <c r="A7" s="0" t="s">
        <v>1472</v>
      </c>
      <c r="B7" s="0" t="s">
        <v>1151</v>
      </c>
      <c r="C7" s="0" t="s">
        <v>988</v>
      </c>
      <c r="D7" s="0" t="s">
        <v>1045</v>
      </c>
      <c r="E7" s="0" t="s">
        <v>1633</v>
      </c>
      <c r="F7" s="0" t="n">
        <v>38</v>
      </c>
      <c r="G7" s="0" t="n">
        <v>14.39</v>
      </c>
      <c r="H7" s="0" t="n">
        <v>0.68</v>
      </c>
      <c r="I7" s="10" t="n">
        <v>0.576</v>
      </c>
      <c r="J7" s="0" t="n">
        <v>0.39</v>
      </c>
      <c r="K7" s="0" t="n">
        <v>1.11</v>
      </c>
      <c r="L7" s="0" t="n">
        <v>1.15</v>
      </c>
      <c r="M7" s="11" t="n">
        <f aca="false">IFERROR(G7/H7,"")</f>
        <v>21.1617647058824</v>
      </c>
      <c r="N7" s="9" t="s">
        <v>1627</v>
      </c>
      <c r="O7" s="9" t="s">
        <v>1634</v>
      </c>
    </row>
    <row r="8" customFormat="false" ht="15" hidden="false" customHeight="false" outlineLevel="0" collapsed="false">
      <c r="A8" s="0" t="s">
        <v>1473</v>
      </c>
      <c r="B8" s="0" t="s">
        <v>1155</v>
      </c>
      <c r="C8" s="0" t="s">
        <v>988</v>
      </c>
      <c r="D8" s="0" t="s">
        <v>1045</v>
      </c>
      <c r="E8" s="0" t="s">
        <v>1633</v>
      </c>
      <c r="F8" s="0" t="n">
        <v>38</v>
      </c>
      <c r="G8" s="0" t="n">
        <v>10.79</v>
      </c>
      <c r="H8" s="0" t="n">
        <v>0.51</v>
      </c>
      <c r="I8" s="10" t="n">
        <v>0.576</v>
      </c>
      <c r="J8" s="0" t="n">
        <v>0.29</v>
      </c>
      <c r="K8" s="0" t="n">
        <v>0.75</v>
      </c>
      <c r="L8" s="0" t="n">
        <v>0.93</v>
      </c>
      <c r="M8" s="11" t="n">
        <f aca="false">IFERROR(G8/H8,"")</f>
        <v>21.156862745098</v>
      </c>
      <c r="N8" s="9" t="s">
        <v>1627</v>
      </c>
      <c r="O8" s="9" t="s">
        <v>1635</v>
      </c>
    </row>
    <row r="9" customFormat="false" ht="15" hidden="false" customHeight="false" outlineLevel="0" collapsed="false">
      <c r="A9" s="0" t="s">
        <v>1474</v>
      </c>
      <c r="B9" s="0" t="s">
        <v>1159</v>
      </c>
      <c r="C9" s="0" t="s">
        <v>988</v>
      </c>
      <c r="D9" s="0" t="s">
        <v>1045</v>
      </c>
      <c r="E9" s="0" t="s">
        <v>1633</v>
      </c>
      <c r="F9" s="0" t="n">
        <v>38</v>
      </c>
      <c r="G9" s="0" t="n">
        <v>16.32</v>
      </c>
      <c r="H9" s="0" t="n">
        <v>0.78</v>
      </c>
      <c r="I9" s="10" t="n">
        <v>0.548</v>
      </c>
      <c r="J9" s="0" t="n">
        <v>0.42</v>
      </c>
      <c r="K9" s="0" t="n">
        <v>1.15</v>
      </c>
      <c r="L9" s="0" t="n">
        <v>1.21</v>
      </c>
      <c r="M9" s="11" t="n">
        <f aca="false">IFERROR(G9/H9,"")</f>
        <v>20.9230769230769</v>
      </c>
      <c r="N9" s="9" t="s">
        <v>1627</v>
      </c>
      <c r="O9" s="9" t="s">
        <v>1636</v>
      </c>
    </row>
    <row r="10" customFormat="false" ht="15" hidden="false" customHeight="false" outlineLevel="0" collapsed="false">
      <c r="A10" s="0" t="s">
        <v>1475</v>
      </c>
      <c r="B10" s="0" t="s">
        <v>1163</v>
      </c>
      <c r="C10" s="0" t="s">
        <v>988</v>
      </c>
      <c r="D10" s="0" t="s">
        <v>1045</v>
      </c>
      <c r="E10" s="0" t="s">
        <v>1633</v>
      </c>
      <c r="F10" s="0" t="n">
        <v>38</v>
      </c>
      <c r="G10" s="0" t="n">
        <v>14.16</v>
      </c>
      <c r="H10" s="0" t="n">
        <v>0.67</v>
      </c>
      <c r="I10" s="10" t="n">
        <v>0.34</v>
      </c>
      <c r="J10" s="0" t="n">
        <v>0.23</v>
      </c>
      <c r="K10" s="0" t="n">
        <v>1.08</v>
      </c>
      <c r="L10" s="0" t="n">
        <v>1.04</v>
      </c>
      <c r="M10" s="11" t="n">
        <f aca="false">IFERROR(G10/H10,"")</f>
        <v>21.134328358209</v>
      </c>
      <c r="N10" s="9" t="s">
        <v>1627</v>
      </c>
      <c r="O10" s="9" t="s">
        <v>1637</v>
      </c>
    </row>
    <row r="11" customFormat="false" ht="15" hidden="false" customHeight="false" outlineLevel="0" collapsed="false">
      <c r="A11" s="0" t="s">
        <v>1476</v>
      </c>
      <c r="B11" s="0" t="s">
        <v>1166</v>
      </c>
      <c r="C11" s="0" t="s">
        <v>988</v>
      </c>
      <c r="D11" s="0" t="s">
        <v>1045</v>
      </c>
      <c r="E11" s="0" t="s">
        <v>1633</v>
      </c>
      <c r="F11" s="0" t="n">
        <v>38</v>
      </c>
      <c r="G11" s="0" t="n">
        <v>13.08</v>
      </c>
      <c r="H11" s="0" t="n">
        <v>0.62</v>
      </c>
      <c r="I11" s="10" t="n">
        <v>0.541</v>
      </c>
      <c r="J11" s="0" t="n">
        <v>0.34</v>
      </c>
      <c r="K11" s="0" t="n">
        <v>0.91</v>
      </c>
      <c r="L11" s="0" t="n">
        <v>0.98</v>
      </c>
      <c r="M11" s="11" t="n">
        <f aca="false">IFERROR(G11/H11,"")</f>
        <v>21.0967741935484</v>
      </c>
      <c r="N11" s="9" t="s">
        <v>1627</v>
      </c>
      <c r="O11" s="9" t="s">
        <v>1638</v>
      </c>
    </row>
    <row r="12" customFormat="false" ht="15" hidden="false" customHeight="false" outlineLevel="0" collapsed="false">
      <c r="A12" s="0" t="s">
        <v>1482</v>
      </c>
      <c r="B12" s="0" t="s">
        <v>1185</v>
      </c>
      <c r="C12" s="0" t="s">
        <v>988</v>
      </c>
      <c r="D12" s="0" t="s">
        <v>1013</v>
      </c>
      <c r="E12" s="0" t="s">
        <v>1639</v>
      </c>
      <c r="F12" s="0" t="n">
        <v>39</v>
      </c>
      <c r="G12" s="0" t="n">
        <v>12.59</v>
      </c>
      <c r="H12" s="0" t="n">
        <v>0.55</v>
      </c>
      <c r="I12" s="10" t="n">
        <v>0.452</v>
      </c>
      <c r="J12" s="0" t="n">
        <v>0.25</v>
      </c>
      <c r="K12" s="0" t="n">
        <v>0.82</v>
      </c>
      <c r="L12" s="0" t="n">
        <v>0.95</v>
      </c>
      <c r="M12" s="11" t="n">
        <f aca="false">IFERROR(G12/H12,"")</f>
        <v>22.8909090909091</v>
      </c>
      <c r="N12" s="9" t="s">
        <v>1627</v>
      </c>
      <c r="O12" s="9" t="s">
        <v>1640</v>
      </c>
    </row>
    <row r="13" customFormat="false" ht="15" hidden="false" customHeight="false" outlineLevel="0" collapsed="false">
      <c r="A13" s="0" t="s">
        <v>1483</v>
      </c>
      <c r="B13" s="0" t="s">
        <v>1187</v>
      </c>
      <c r="C13" s="0" t="s">
        <v>988</v>
      </c>
      <c r="D13" s="0" t="s">
        <v>1013</v>
      </c>
      <c r="E13" s="0" t="s">
        <v>1639</v>
      </c>
      <c r="F13" s="0" t="n">
        <v>39</v>
      </c>
      <c r="G13" s="0" t="n">
        <v>15.49</v>
      </c>
      <c r="H13" s="0" t="n">
        <v>0.67</v>
      </c>
      <c r="I13" s="10" t="n">
        <v>0.584</v>
      </c>
      <c r="J13" s="0" t="n">
        <v>0.39</v>
      </c>
      <c r="K13" s="0" t="n">
        <v>1.01</v>
      </c>
      <c r="L13" s="0" t="n">
        <v>1.09</v>
      </c>
      <c r="M13" s="11" t="n">
        <f aca="false">IFERROR(G13/H13,"")</f>
        <v>23.1194029850746</v>
      </c>
      <c r="N13" s="9" t="s">
        <v>1627</v>
      </c>
      <c r="O13" s="9" t="s">
        <v>1641</v>
      </c>
    </row>
    <row r="14" customFormat="false" ht="15" hidden="false" customHeight="false" outlineLevel="0" collapsed="false">
      <c r="A14" s="0" t="s">
        <v>1484</v>
      </c>
      <c r="B14" s="0" t="s">
        <v>1190</v>
      </c>
      <c r="C14" s="0" t="s">
        <v>988</v>
      </c>
      <c r="D14" s="0" t="s">
        <v>1013</v>
      </c>
      <c r="E14" s="0" t="s">
        <v>1639</v>
      </c>
      <c r="F14" s="0" t="n">
        <v>39</v>
      </c>
      <c r="G14" s="0" t="n">
        <v>16.44</v>
      </c>
      <c r="H14" s="0" t="n">
        <v>0.72</v>
      </c>
      <c r="I14" s="10" t="n">
        <v>0.53</v>
      </c>
      <c r="J14" s="0" t="n">
        <v>0.38</v>
      </c>
      <c r="K14" s="0" t="n">
        <v>1.04</v>
      </c>
      <c r="L14" s="0" t="n">
        <v>1.16</v>
      </c>
      <c r="M14" s="11" t="n">
        <f aca="false">IFERROR(G14/H14,"")</f>
        <v>22.8333333333333</v>
      </c>
      <c r="N14" s="9" t="s">
        <v>1627</v>
      </c>
      <c r="O14" s="9" t="s">
        <v>1642</v>
      </c>
    </row>
    <row r="15" customFormat="false" ht="15" hidden="false" customHeight="false" outlineLevel="0" collapsed="false">
      <c r="A15" s="0" t="s">
        <v>1485</v>
      </c>
      <c r="B15" s="0" t="s">
        <v>1193</v>
      </c>
      <c r="C15" s="0" t="s">
        <v>988</v>
      </c>
      <c r="D15" s="0" t="s">
        <v>1013</v>
      </c>
      <c r="E15" s="0" t="s">
        <v>1639</v>
      </c>
      <c r="F15" s="0" t="n">
        <v>39</v>
      </c>
      <c r="G15" s="0" t="n">
        <v>15.28</v>
      </c>
      <c r="H15" s="0" t="n">
        <v>0.67</v>
      </c>
      <c r="I15" s="10" t="n">
        <v>0.576</v>
      </c>
      <c r="J15" s="0" t="n">
        <v>0.38</v>
      </c>
      <c r="K15" s="0" t="n">
        <v>1.05</v>
      </c>
      <c r="L15" s="0" t="n">
        <v>1.11</v>
      </c>
      <c r="M15" s="11" t="n">
        <f aca="false">IFERROR(G15/H15,"")</f>
        <v>22.8059701492537</v>
      </c>
      <c r="N15" s="9" t="s">
        <v>1627</v>
      </c>
      <c r="O15" s="9" t="s">
        <v>1643</v>
      </c>
    </row>
    <row r="16" customFormat="false" ht="15" hidden="false" customHeight="false" outlineLevel="0" collapsed="false">
      <c r="A16" s="0" t="s">
        <v>1486</v>
      </c>
      <c r="B16" s="0" t="s">
        <v>1196</v>
      </c>
      <c r="C16" s="0" t="s">
        <v>988</v>
      </c>
      <c r="D16" s="0" t="s">
        <v>1013</v>
      </c>
      <c r="E16" s="0" t="s">
        <v>1639</v>
      </c>
      <c r="F16" s="0" t="n">
        <v>39</v>
      </c>
      <c r="G16" s="0" t="n">
        <v>15.74</v>
      </c>
      <c r="H16" s="0" t="n">
        <v>0.69</v>
      </c>
      <c r="I16" s="10" t="n">
        <v>0.311</v>
      </c>
      <c r="J16" s="0" t="n">
        <v>0.21</v>
      </c>
      <c r="K16" s="0" t="n">
        <v>1.12</v>
      </c>
      <c r="L16" s="0" t="n">
        <v>1.08</v>
      </c>
      <c r="M16" s="11" t="n">
        <f aca="false">IFERROR(G16/H16,"")</f>
        <v>22.8115942028986</v>
      </c>
      <c r="N16" s="9" t="s">
        <v>1627</v>
      </c>
      <c r="O16" s="9" t="s">
        <v>1644</v>
      </c>
    </row>
    <row r="17" customFormat="false" ht="15" hidden="false" customHeight="false" outlineLevel="0" collapsed="false">
      <c r="A17" s="0" t="s">
        <v>1522</v>
      </c>
      <c r="B17" s="0" t="s">
        <v>1281</v>
      </c>
      <c r="C17" s="0" t="s">
        <v>988</v>
      </c>
      <c r="D17" s="0" t="s">
        <v>1053</v>
      </c>
      <c r="E17" s="0" t="s">
        <v>1645</v>
      </c>
      <c r="F17" s="0" t="n">
        <v>38</v>
      </c>
      <c r="G17" s="0" t="n">
        <v>14.39</v>
      </c>
      <c r="H17" s="0" t="n">
        <v>0.65</v>
      </c>
      <c r="I17" s="10" t="n">
        <v>0.488</v>
      </c>
      <c r="J17" s="0" t="n">
        <v>0.32</v>
      </c>
      <c r="K17" s="0" t="n">
        <v>0.97</v>
      </c>
      <c r="L17" s="0" t="n">
        <v>1.04</v>
      </c>
      <c r="M17" s="11" t="n">
        <f aca="false">IFERROR(G17/H17,"")</f>
        <v>22.1384615384615</v>
      </c>
      <c r="N17" s="9" t="s">
        <v>1627</v>
      </c>
      <c r="O17" s="9" t="s">
        <v>1646</v>
      </c>
    </row>
    <row r="18" customFormat="false" ht="15" hidden="false" customHeight="false" outlineLevel="0" collapsed="false">
      <c r="A18" s="0" t="s">
        <v>1523</v>
      </c>
      <c r="B18" s="0" t="s">
        <v>1283</v>
      </c>
      <c r="C18" s="0" t="s">
        <v>988</v>
      </c>
      <c r="D18" s="0" t="s">
        <v>1053</v>
      </c>
      <c r="E18" s="0" t="s">
        <v>1645</v>
      </c>
      <c r="F18" s="0" t="n">
        <v>38</v>
      </c>
      <c r="G18" s="0" t="n">
        <v>15.82</v>
      </c>
      <c r="H18" s="0" t="n">
        <v>0.72</v>
      </c>
      <c r="I18" s="10" t="n">
        <v>0.534</v>
      </c>
      <c r="J18" s="0" t="n">
        <v>0.38</v>
      </c>
      <c r="K18" s="0" t="n">
        <v>1.12</v>
      </c>
      <c r="L18" s="0" t="n">
        <v>1.16</v>
      </c>
      <c r="M18" s="11" t="n">
        <f aca="false">IFERROR(G18/H18,"")</f>
        <v>21.9722222222222</v>
      </c>
      <c r="N18" s="9" t="s">
        <v>1627</v>
      </c>
      <c r="O18" s="9" t="s">
        <v>1647</v>
      </c>
    </row>
    <row r="19" customFormat="false" ht="15" hidden="false" customHeight="false" outlineLevel="0" collapsed="false">
      <c r="A19" s="0" t="s">
        <v>1524</v>
      </c>
      <c r="B19" s="0" t="s">
        <v>1285</v>
      </c>
      <c r="C19" s="0" t="s">
        <v>988</v>
      </c>
      <c r="D19" s="0" t="s">
        <v>1053</v>
      </c>
      <c r="E19" s="0" t="s">
        <v>1645</v>
      </c>
      <c r="F19" s="0" t="n">
        <v>38</v>
      </c>
      <c r="G19" s="0" t="n">
        <v>14.42</v>
      </c>
      <c r="H19" s="0" t="n">
        <v>0.65</v>
      </c>
      <c r="I19" s="10" t="n">
        <v>0.553</v>
      </c>
      <c r="J19" s="0" t="n">
        <v>0.36</v>
      </c>
      <c r="K19" s="0" t="n">
        <v>1.09</v>
      </c>
      <c r="L19" s="0" t="n">
        <v>1.12</v>
      </c>
      <c r="M19" s="11" t="n">
        <f aca="false">IFERROR(G19/H19,"")</f>
        <v>22.1846153846154</v>
      </c>
      <c r="N19" s="9" t="s">
        <v>1627</v>
      </c>
      <c r="O19" s="9" t="s">
        <v>1648</v>
      </c>
    </row>
    <row r="20" customFormat="false" ht="15" hidden="false" customHeight="false" outlineLevel="0" collapsed="false">
      <c r="A20" s="0" t="s">
        <v>1569</v>
      </c>
      <c r="B20" s="0" t="s">
        <v>1384</v>
      </c>
      <c r="C20" s="0" t="s">
        <v>988</v>
      </c>
      <c r="D20" s="0" t="s">
        <v>1071</v>
      </c>
      <c r="E20" s="0" t="s">
        <v>1649</v>
      </c>
      <c r="F20" s="0" t="n">
        <v>33</v>
      </c>
      <c r="G20" s="0" t="n">
        <v>13.67</v>
      </c>
      <c r="H20" s="0" t="n">
        <v>0.63</v>
      </c>
      <c r="I20" s="10" t="n">
        <v>0.492</v>
      </c>
      <c r="J20" s="0" t="n">
        <v>0.31</v>
      </c>
      <c r="K20" s="0" t="n">
        <v>0.89</v>
      </c>
      <c r="L20" s="0" t="n">
        <v>1</v>
      </c>
      <c r="M20" s="11" t="n">
        <f aca="false">IFERROR(G20/H20,"")</f>
        <v>21.6984126984127</v>
      </c>
      <c r="N20" s="9" t="s">
        <v>1627</v>
      </c>
      <c r="O20" s="9" t="s">
        <v>1650</v>
      </c>
    </row>
    <row r="21" customFormat="false" ht="15" hidden="false" customHeight="false" outlineLevel="0" collapsed="false">
      <c r="A21" s="0" t="s">
        <v>1570</v>
      </c>
      <c r="B21" s="0" t="s">
        <v>1386</v>
      </c>
      <c r="C21" s="0" t="s">
        <v>988</v>
      </c>
      <c r="D21" s="0" t="s">
        <v>1071</v>
      </c>
      <c r="E21" s="0" t="s">
        <v>1649</v>
      </c>
      <c r="F21" s="0" t="n">
        <v>33</v>
      </c>
      <c r="G21" s="0" t="n">
        <v>13.21</v>
      </c>
      <c r="H21" s="0" t="n">
        <v>0.61</v>
      </c>
      <c r="I21" s="10" t="n">
        <v>0.374</v>
      </c>
      <c r="J21" s="0" t="n">
        <v>0.23</v>
      </c>
      <c r="K21" s="0" t="n">
        <v>1.09</v>
      </c>
      <c r="L21" s="0" t="n">
        <v>1.01</v>
      </c>
      <c r="M21" s="11" t="n">
        <f aca="false">IFERROR(G21/H21,"")</f>
        <v>21.655737704918</v>
      </c>
      <c r="N21" s="9" t="s">
        <v>1627</v>
      </c>
      <c r="O21" s="9" t="s">
        <v>1651</v>
      </c>
    </row>
    <row r="22" customFormat="false" ht="15" hidden="false" customHeight="false" outlineLevel="0" collapsed="false">
      <c r="A22" s="0" t="s">
        <v>1571</v>
      </c>
      <c r="B22" s="0" t="s">
        <v>1388</v>
      </c>
      <c r="C22" s="0" t="s">
        <v>988</v>
      </c>
      <c r="D22" s="0" t="s">
        <v>1071</v>
      </c>
      <c r="E22" s="0" t="s">
        <v>1649</v>
      </c>
      <c r="F22" s="0" t="n">
        <v>33</v>
      </c>
      <c r="G22" s="0" t="n">
        <v>14.88</v>
      </c>
      <c r="H22" s="0" t="n">
        <v>0.69</v>
      </c>
      <c r="I22" s="10" t="n">
        <v>0.605</v>
      </c>
      <c r="J22" s="0" t="n">
        <v>0.42</v>
      </c>
      <c r="K22" s="0" t="n">
        <v>1.03</v>
      </c>
      <c r="L22" s="0" t="n">
        <v>1.09</v>
      </c>
      <c r="M22" s="11" t="n">
        <f aca="false">IFERROR(G22/H22,"")</f>
        <v>21.5652173913044</v>
      </c>
      <c r="N22" s="9" t="s">
        <v>1627</v>
      </c>
      <c r="O22" s="9" t="s">
        <v>1652</v>
      </c>
    </row>
    <row r="23" customFormat="false" ht="15" hidden="false" customHeight="false" outlineLevel="0" collapsed="false">
      <c r="A23" s="0" t="s">
        <v>1572</v>
      </c>
      <c r="B23" s="0" t="s">
        <v>1391</v>
      </c>
      <c r="C23" s="0" t="s">
        <v>988</v>
      </c>
      <c r="D23" s="0" t="s">
        <v>1071</v>
      </c>
      <c r="E23" s="0" t="s">
        <v>1649</v>
      </c>
      <c r="F23" s="0" t="n">
        <v>33</v>
      </c>
      <c r="G23" s="0" t="n">
        <v>14.36</v>
      </c>
      <c r="H23" s="0" t="n">
        <v>0.66</v>
      </c>
      <c r="I23" s="10" t="n">
        <v>0.574</v>
      </c>
      <c r="J23" s="0" t="n">
        <v>0.38</v>
      </c>
      <c r="K23" s="0" t="n">
        <v>1.01</v>
      </c>
      <c r="L23" s="0" t="n">
        <v>1.07</v>
      </c>
      <c r="M23" s="11" t="n">
        <f aca="false">IFERROR(G23/H23,"")</f>
        <v>21.7575757575758</v>
      </c>
      <c r="N23" s="9" t="s">
        <v>1627</v>
      </c>
      <c r="O23" s="9" t="s">
        <v>1653</v>
      </c>
    </row>
    <row r="24" customFormat="false" ht="15" hidden="false" customHeight="false" outlineLevel="0" collapsed="false">
      <c r="A24" s="0" t="s">
        <v>1573</v>
      </c>
      <c r="B24" s="0" t="s">
        <v>1393</v>
      </c>
      <c r="C24" s="0" t="s">
        <v>988</v>
      </c>
      <c r="D24" s="0" t="s">
        <v>1071</v>
      </c>
      <c r="E24" s="0" t="s">
        <v>1649</v>
      </c>
      <c r="F24" s="0" t="n">
        <v>33</v>
      </c>
      <c r="G24" s="0" t="n">
        <v>14.39</v>
      </c>
      <c r="H24" s="0" t="n">
        <v>0.66</v>
      </c>
      <c r="I24" s="10" t="n">
        <v>0.587</v>
      </c>
      <c r="J24" s="0" t="n">
        <v>0.39</v>
      </c>
      <c r="K24" s="0" t="n">
        <v>0.98</v>
      </c>
      <c r="L24" s="0" t="n">
        <v>1.13</v>
      </c>
      <c r="M24" s="11" t="n">
        <f aca="false">IFERROR(G24/H24,"")</f>
        <v>21.8030303030303</v>
      </c>
      <c r="N24" s="9" t="s">
        <v>1627</v>
      </c>
      <c r="O24" s="9" t="s">
        <v>1654</v>
      </c>
    </row>
    <row r="25" customFormat="false" ht="15" hidden="false" customHeight="false" outlineLevel="0" collapsed="false">
      <c r="A25" s="0" t="s">
        <v>1470</v>
      </c>
      <c r="B25" s="0" t="s">
        <v>1147</v>
      </c>
      <c r="C25" s="0" t="s">
        <v>988</v>
      </c>
      <c r="D25" s="0" t="s">
        <v>1081</v>
      </c>
      <c r="E25" s="0" t="s">
        <v>1655</v>
      </c>
      <c r="F25" s="0" t="n">
        <v>37</v>
      </c>
      <c r="G25" s="0" t="n">
        <v>16.05</v>
      </c>
      <c r="H25" s="0" t="n">
        <v>0.71</v>
      </c>
      <c r="I25" s="10" t="n">
        <v>0.63</v>
      </c>
      <c r="J25" s="0" t="n">
        <v>0.44</v>
      </c>
      <c r="K25" s="0" t="n">
        <v>0.93</v>
      </c>
      <c r="L25" s="0" t="n">
        <v>1.08</v>
      </c>
      <c r="M25" s="11" t="n">
        <f aca="false">IFERROR(G25/H25,"")</f>
        <v>22.6056338028169</v>
      </c>
      <c r="N25" s="9" t="s">
        <v>1627</v>
      </c>
      <c r="O25" s="9" t="s">
        <v>1656</v>
      </c>
    </row>
    <row r="26" customFormat="false" ht="15" hidden="false" customHeight="false" outlineLevel="0" collapsed="false">
      <c r="A26" s="0" t="s">
        <v>1471</v>
      </c>
      <c r="B26" s="0" t="s">
        <v>1149</v>
      </c>
      <c r="C26" s="0" t="s">
        <v>988</v>
      </c>
      <c r="D26" s="0" t="s">
        <v>1081</v>
      </c>
      <c r="E26" s="0" t="s">
        <v>1655</v>
      </c>
      <c r="F26" s="0" t="n">
        <v>37</v>
      </c>
      <c r="G26" s="0" t="n">
        <v>16.3</v>
      </c>
      <c r="H26" s="0" t="n">
        <v>0.72</v>
      </c>
      <c r="I26" s="10" t="n">
        <v>0.63</v>
      </c>
      <c r="J26" s="0" t="n">
        <v>0.45</v>
      </c>
      <c r="K26" s="0" t="n">
        <v>1.08</v>
      </c>
      <c r="L26" s="0" t="n">
        <v>1.16</v>
      </c>
      <c r="M26" s="11" t="n">
        <f aca="false">IFERROR(G26/H26,"")</f>
        <v>22.6388888888889</v>
      </c>
      <c r="N26" s="9" t="s">
        <v>1627</v>
      </c>
      <c r="O26" s="9" t="s">
        <v>1657</v>
      </c>
    </row>
    <row r="27" customFormat="false" ht="15" hidden="false" customHeight="false" outlineLevel="0" collapsed="false">
      <c r="A27" s="0" t="s">
        <v>1529</v>
      </c>
      <c r="B27" s="0" t="s">
        <v>1295</v>
      </c>
      <c r="C27" s="0" t="s">
        <v>988</v>
      </c>
      <c r="D27" s="0" t="s">
        <v>1059</v>
      </c>
      <c r="E27" s="0" t="s">
        <v>1658</v>
      </c>
      <c r="F27" s="0" t="n">
        <v>36</v>
      </c>
      <c r="G27" s="0" t="n">
        <v>16.89</v>
      </c>
      <c r="H27" s="0" t="n">
        <v>0.78</v>
      </c>
      <c r="I27" s="10" t="n">
        <v>0.577</v>
      </c>
      <c r="J27" s="0" t="n">
        <v>0.45</v>
      </c>
      <c r="K27" s="0" t="n">
        <v>1.16</v>
      </c>
      <c r="L27" s="0" t="n">
        <v>1.29</v>
      </c>
      <c r="M27" s="11" t="n">
        <f aca="false">IFERROR(G27/H27,"")</f>
        <v>21.6538461538462</v>
      </c>
      <c r="N27" s="9" t="s">
        <v>1627</v>
      </c>
      <c r="O27" s="9" t="s">
        <v>1659</v>
      </c>
    </row>
    <row r="28" customFormat="false" ht="15" hidden="false" customHeight="false" outlineLevel="0" collapsed="false">
      <c r="A28" s="0" t="s">
        <v>1530</v>
      </c>
      <c r="B28" s="0" t="s">
        <v>1297</v>
      </c>
      <c r="C28" s="0" t="s">
        <v>988</v>
      </c>
      <c r="D28" s="0" t="s">
        <v>1059</v>
      </c>
      <c r="E28" s="0" t="s">
        <v>1658</v>
      </c>
      <c r="F28" s="0" t="n">
        <v>36</v>
      </c>
      <c r="G28" s="0" t="n">
        <v>12.25</v>
      </c>
      <c r="H28" s="0" t="n">
        <v>0.56</v>
      </c>
      <c r="I28" s="10" t="n">
        <v>0.465</v>
      </c>
      <c r="J28" s="0" t="n">
        <v>0.26</v>
      </c>
      <c r="K28" s="0" t="n">
        <v>0.88</v>
      </c>
      <c r="L28" s="0" t="n">
        <v>0.96</v>
      </c>
      <c r="M28" s="11" t="n">
        <f aca="false">IFERROR(G28/H28,"")</f>
        <v>21.875</v>
      </c>
      <c r="N28" s="9" t="s">
        <v>1627</v>
      </c>
      <c r="O28" s="9" t="s">
        <v>1660</v>
      </c>
    </row>
    <row r="29" customFormat="false" ht="15" hidden="false" customHeight="false" outlineLevel="0" collapsed="false">
      <c r="A29" s="0" t="s">
        <v>1531</v>
      </c>
      <c r="B29" s="0" t="s">
        <v>1300</v>
      </c>
      <c r="C29" s="0" t="s">
        <v>988</v>
      </c>
      <c r="D29" s="0" t="s">
        <v>1059</v>
      </c>
      <c r="E29" s="0" t="s">
        <v>1658</v>
      </c>
      <c r="F29" s="0" t="n">
        <v>36</v>
      </c>
      <c r="G29" s="0" t="n">
        <v>15.94</v>
      </c>
      <c r="H29" s="0" t="n">
        <v>0.73</v>
      </c>
      <c r="I29" s="10" t="n">
        <v>0.498</v>
      </c>
      <c r="J29" s="0" t="n">
        <v>0.37</v>
      </c>
      <c r="K29" s="0" t="n">
        <v>1.17</v>
      </c>
      <c r="L29" s="0" t="n">
        <v>1.24</v>
      </c>
      <c r="M29" s="11" t="n">
        <f aca="false">IFERROR(G29/H29,"")</f>
        <v>21.8356164383562</v>
      </c>
      <c r="N29" s="9" t="s">
        <v>1627</v>
      </c>
      <c r="O29" s="9" t="s">
        <v>1661</v>
      </c>
    </row>
    <row r="30" customFormat="false" ht="15" hidden="false" customHeight="false" outlineLevel="0" collapsed="false">
      <c r="A30" s="0" t="s">
        <v>1532</v>
      </c>
      <c r="B30" s="0" t="s">
        <v>1302</v>
      </c>
      <c r="C30" s="0" t="s">
        <v>988</v>
      </c>
      <c r="D30" s="0" t="s">
        <v>1059</v>
      </c>
      <c r="E30" s="0" t="s">
        <v>1658</v>
      </c>
      <c r="F30" s="0" t="n">
        <v>36</v>
      </c>
      <c r="G30" s="0" t="n">
        <v>14.14</v>
      </c>
      <c r="H30" s="0" t="n">
        <v>0.65</v>
      </c>
      <c r="I30" s="10" t="n">
        <v>0.301</v>
      </c>
      <c r="J30" s="0" t="n">
        <v>0.2</v>
      </c>
      <c r="K30" s="0" t="n">
        <v>1.15</v>
      </c>
      <c r="L30" s="0" t="n">
        <v>1.09</v>
      </c>
      <c r="M30" s="11" t="n">
        <f aca="false">IFERROR(G30/H30,"")</f>
        <v>21.7538461538462</v>
      </c>
      <c r="N30" s="9" t="s">
        <v>1627</v>
      </c>
      <c r="O30" s="9" t="s">
        <v>1662</v>
      </c>
    </row>
    <row r="31" customFormat="false" ht="15" hidden="false" customHeight="false" outlineLevel="0" collapsed="false">
      <c r="A31" s="0" t="s">
        <v>1533</v>
      </c>
      <c r="B31" s="0" t="s">
        <v>1304</v>
      </c>
      <c r="C31" s="0" t="s">
        <v>988</v>
      </c>
      <c r="D31" s="0" t="s">
        <v>1059</v>
      </c>
      <c r="E31" s="0" t="s">
        <v>1658</v>
      </c>
      <c r="F31" s="0" t="n">
        <v>36</v>
      </c>
      <c r="G31" s="0" t="n">
        <v>14.31</v>
      </c>
      <c r="H31" s="0" t="n">
        <v>0.66</v>
      </c>
      <c r="I31" s="10" t="n">
        <v>0.575</v>
      </c>
      <c r="J31" s="0" t="n">
        <v>0.38</v>
      </c>
      <c r="K31" s="0" t="n">
        <v>0.98</v>
      </c>
      <c r="L31" s="0" t="n">
        <v>1.09</v>
      </c>
      <c r="M31" s="11" t="n">
        <f aca="false">IFERROR(G31/H31,"")</f>
        <v>21.6818181818182</v>
      </c>
      <c r="N31" s="9" t="s">
        <v>1627</v>
      </c>
      <c r="O31" s="9" t="s">
        <v>1663</v>
      </c>
    </row>
    <row r="32" customFormat="false" ht="15" hidden="false" customHeight="false" outlineLevel="0" collapsed="false">
      <c r="A32" s="0" t="s">
        <v>1492</v>
      </c>
      <c r="B32" s="0" t="s">
        <v>1209</v>
      </c>
      <c r="C32" s="0" t="s">
        <v>988</v>
      </c>
      <c r="D32" s="0" t="s">
        <v>1076</v>
      </c>
      <c r="E32" s="0" t="s">
        <v>1664</v>
      </c>
      <c r="F32" s="0" t="n">
        <v>33</v>
      </c>
      <c r="G32" s="0" t="n">
        <v>15.88</v>
      </c>
      <c r="H32" s="0" t="n">
        <v>0.73</v>
      </c>
      <c r="I32" s="10" t="n">
        <v>0.655</v>
      </c>
      <c r="J32" s="0" t="n">
        <v>0.48</v>
      </c>
      <c r="K32" s="0" t="n">
        <v>1.24</v>
      </c>
      <c r="L32" s="0" t="n">
        <v>1.27</v>
      </c>
      <c r="M32" s="11" t="n">
        <f aca="false">IFERROR(G32/H32,"")</f>
        <v>21.7534246575342</v>
      </c>
      <c r="N32" s="9" t="s">
        <v>1627</v>
      </c>
      <c r="O32" s="9" t="s">
        <v>1665</v>
      </c>
    </row>
    <row r="33" customFormat="false" ht="15" hidden="false" customHeight="false" outlineLevel="0" collapsed="false">
      <c r="A33" s="0" t="s">
        <v>1493</v>
      </c>
      <c r="B33" s="0" t="s">
        <v>1211</v>
      </c>
      <c r="C33" s="0" t="s">
        <v>988</v>
      </c>
      <c r="D33" s="0" t="s">
        <v>1076</v>
      </c>
      <c r="E33" s="0" t="s">
        <v>1664</v>
      </c>
      <c r="F33" s="0" t="n">
        <v>33</v>
      </c>
      <c r="G33" s="0" t="n">
        <v>14.73</v>
      </c>
      <c r="H33" s="0" t="n">
        <v>0.68</v>
      </c>
      <c r="I33" s="10" t="n">
        <v>0.529</v>
      </c>
      <c r="J33" s="0" t="n">
        <v>0.36</v>
      </c>
      <c r="K33" s="0" t="n">
        <v>1.06</v>
      </c>
      <c r="L33" s="0" t="n">
        <v>1.17</v>
      </c>
      <c r="M33" s="11" t="n">
        <f aca="false">IFERROR(G33/H33,"")</f>
        <v>21.6617647058824</v>
      </c>
      <c r="N33" s="9" t="s">
        <v>1627</v>
      </c>
      <c r="O33" s="9" t="s">
        <v>1666</v>
      </c>
    </row>
    <row r="34" customFormat="false" ht="15" hidden="false" customHeight="false" outlineLevel="0" collapsed="false">
      <c r="A34" s="0" t="s">
        <v>1494</v>
      </c>
      <c r="B34" s="0" t="s">
        <v>1213</v>
      </c>
      <c r="C34" s="0" t="s">
        <v>988</v>
      </c>
      <c r="D34" s="0" t="s">
        <v>1076</v>
      </c>
      <c r="E34" s="0" t="s">
        <v>1664</v>
      </c>
      <c r="F34" s="0" t="n">
        <v>33</v>
      </c>
      <c r="G34" s="0" t="n">
        <v>14.24</v>
      </c>
      <c r="H34" s="0" t="n">
        <v>0.66</v>
      </c>
      <c r="I34" s="10" t="n">
        <v>0.555</v>
      </c>
      <c r="J34" s="0" t="n">
        <v>0.36</v>
      </c>
      <c r="K34" s="0" t="n">
        <v>0.97</v>
      </c>
      <c r="L34" s="0" t="n">
        <v>1.05</v>
      </c>
      <c r="M34" s="11" t="n">
        <f aca="false">IFERROR(G34/H34,"")</f>
        <v>21.5757575757576</v>
      </c>
      <c r="N34" s="9" t="s">
        <v>1627</v>
      </c>
      <c r="O34" s="9" t="s">
        <v>1667</v>
      </c>
    </row>
    <row r="35" customFormat="false" ht="15" hidden="false" customHeight="false" outlineLevel="0" collapsed="false">
      <c r="A35" s="0" t="s">
        <v>1495</v>
      </c>
      <c r="B35" s="0" t="s">
        <v>1215</v>
      </c>
      <c r="C35" s="0" t="s">
        <v>988</v>
      </c>
      <c r="D35" s="0" t="s">
        <v>1076</v>
      </c>
      <c r="E35" s="0" t="s">
        <v>1664</v>
      </c>
      <c r="F35" s="0" t="n">
        <v>35</v>
      </c>
      <c r="G35" s="0" t="n">
        <v>13.43</v>
      </c>
      <c r="H35" s="0" t="n">
        <v>0.59</v>
      </c>
      <c r="I35" s="10" t="n">
        <v>0.457</v>
      </c>
      <c r="J35" s="0" t="n">
        <v>0.27</v>
      </c>
      <c r="K35" s="0" t="n">
        <v>0.84</v>
      </c>
      <c r="L35" s="0" t="n">
        <v>0.98</v>
      </c>
      <c r="M35" s="11" t="n">
        <f aca="false">IFERROR(G35/H35,"")</f>
        <v>22.7627118644068</v>
      </c>
      <c r="N35" s="9" t="s">
        <v>1627</v>
      </c>
      <c r="O35" s="9" t="s">
        <v>1668</v>
      </c>
    </row>
    <row r="36" customFormat="false" ht="15" hidden="false" customHeight="false" outlineLevel="0" collapsed="false">
      <c r="A36" s="0" t="s">
        <v>1496</v>
      </c>
      <c r="B36" s="0" t="s">
        <v>1217</v>
      </c>
      <c r="C36" s="0" t="s">
        <v>988</v>
      </c>
      <c r="D36" s="0" t="s">
        <v>1076</v>
      </c>
      <c r="E36" s="0" t="s">
        <v>1664</v>
      </c>
      <c r="F36" s="0" t="n">
        <v>33</v>
      </c>
      <c r="G36" s="0" t="n">
        <v>16.12</v>
      </c>
      <c r="H36" s="0" t="n">
        <v>0.74</v>
      </c>
      <c r="I36" s="10" t="n">
        <v>0.282</v>
      </c>
      <c r="J36" s="0" t="n">
        <v>0.21</v>
      </c>
      <c r="K36" s="0" t="n">
        <v>1.29</v>
      </c>
      <c r="L36" s="0" t="n">
        <v>1.26</v>
      </c>
      <c r="M36" s="11" t="n">
        <f aca="false">IFERROR(G36/H36,"")</f>
        <v>21.7837837837838</v>
      </c>
      <c r="N36" s="9" t="s">
        <v>1627</v>
      </c>
      <c r="O36" s="9" t="s">
        <v>1669</v>
      </c>
    </row>
    <row r="37" customFormat="false" ht="15" hidden="false" customHeight="false" outlineLevel="0" collapsed="false">
      <c r="A37" s="0" t="s">
        <v>1502</v>
      </c>
      <c r="B37" s="0" t="s">
        <v>1231</v>
      </c>
      <c r="C37" s="0" t="s">
        <v>988</v>
      </c>
      <c r="D37" s="0" t="s">
        <v>1064</v>
      </c>
      <c r="E37" s="0" t="s">
        <v>1670</v>
      </c>
      <c r="F37" s="0" t="n">
        <v>37</v>
      </c>
      <c r="G37" s="0" t="n">
        <v>11.73</v>
      </c>
      <c r="H37" s="0" t="n">
        <v>0.54</v>
      </c>
      <c r="I37" s="10" t="n">
        <v>0.512</v>
      </c>
      <c r="J37" s="0" t="n">
        <v>0.28</v>
      </c>
      <c r="K37" s="0" t="n">
        <v>0.85</v>
      </c>
      <c r="L37" s="0" t="n">
        <v>0.93</v>
      </c>
      <c r="M37" s="11" t="n">
        <f aca="false">IFERROR(G37/H37,"")</f>
        <v>21.7222222222222</v>
      </c>
      <c r="N37" s="9" t="s">
        <v>1627</v>
      </c>
      <c r="O37" s="9" t="s">
        <v>1671</v>
      </c>
    </row>
    <row r="38" customFormat="false" ht="15" hidden="false" customHeight="false" outlineLevel="0" collapsed="false">
      <c r="A38" s="0" t="s">
        <v>1503</v>
      </c>
      <c r="B38" s="0" t="s">
        <v>1235</v>
      </c>
      <c r="C38" s="0" t="s">
        <v>988</v>
      </c>
      <c r="D38" s="0" t="s">
        <v>1064</v>
      </c>
      <c r="E38" s="0" t="s">
        <v>1670</v>
      </c>
      <c r="F38" s="0" t="n">
        <v>37</v>
      </c>
      <c r="G38" s="0" t="n">
        <v>15.81</v>
      </c>
      <c r="H38" s="0" t="n">
        <v>0.73</v>
      </c>
      <c r="I38" s="10" t="n">
        <v>0.504</v>
      </c>
      <c r="J38" s="0" t="n">
        <v>0.37</v>
      </c>
      <c r="K38" s="0" t="n">
        <v>1.27</v>
      </c>
      <c r="L38" s="0" t="n">
        <v>1.26</v>
      </c>
      <c r="M38" s="11" t="n">
        <f aca="false">IFERROR(G38/H38,"")</f>
        <v>21.6575342465753</v>
      </c>
      <c r="N38" s="9" t="s">
        <v>1627</v>
      </c>
      <c r="O38" s="9" t="s">
        <v>1672</v>
      </c>
    </row>
    <row r="39" customFormat="false" ht="15" hidden="false" customHeight="false" outlineLevel="0" collapsed="false">
      <c r="A39" s="0" t="s">
        <v>1504</v>
      </c>
      <c r="B39" s="0" t="s">
        <v>1238</v>
      </c>
      <c r="C39" s="0" t="s">
        <v>988</v>
      </c>
      <c r="D39" s="0" t="s">
        <v>1064</v>
      </c>
      <c r="E39" s="0" t="s">
        <v>1670</v>
      </c>
      <c r="F39" s="0" t="n">
        <v>37</v>
      </c>
      <c r="G39" s="0" t="n">
        <v>15.95</v>
      </c>
      <c r="H39" s="0" t="n">
        <v>0.73</v>
      </c>
      <c r="I39" s="10" t="n">
        <v>0.375</v>
      </c>
      <c r="J39" s="0" t="n">
        <v>0.28</v>
      </c>
      <c r="K39" s="0" t="n">
        <v>1.21</v>
      </c>
      <c r="L39" s="0" t="n">
        <v>1.14</v>
      </c>
      <c r="M39" s="11" t="n">
        <f aca="false">IFERROR(G39/H39,"")</f>
        <v>21.8493150684932</v>
      </c>
      <c r="N39" s="9" t="s">
        <v>1627</v>
      </c>
      <c r="O39" s="9" t="s">
        <v>1673</v>
      </c>
    </row>
    <row r="40" customFormat="false" ht="15" hidden="false" customHeight="false" outlineLevel="0" collapsed="false">
      <c r="A40" s="0" t="s">
        <v>1505</v>
      </c>
      <c r="B40" s="0" t="s">
        <v>1241</v>
      </c>
      <c r="C40" s="0" t="s">
        <v>988</v>
      </c>
      <c r="D40" s="0" t="s">
        <v>1064</v>
      </c>
      <c r="E40" s="0" t="s">
        <v>1670</v>
      </c>
      <c r="F40" s="0" t="n">
        <v>37</v>
      </c>
      <c r="G40" s="0" t="n">
        <v>15.08</v>
      </c>
      <c r="H40" s="0" t="n">
        <v>0.69</v>
      </c>
      <c r="I40" s="10" t="n">
        <v>0.591</v>
      </c>
      <c r="J40" s="0" t="n">
        <v>0.41</v>
      </c>
      <c r="K40" s="0" t="n">
        <v>1.01</v>
      </c>
      <c r="L40" s="0" t="n">
        <v>1.12</v>
      </c>
      <c r="M40" s="11" t="n">
        <f aca="false">IFERROR(G40/H40,"")</f>
        <v>21.8550724637681</v>
      </c>
      <c r="N40" s="9" t="s">
        <v>1627</v>
      </c>
      <c r="O40" s="9" t="s">
        <v>1674</v>
      </c>
    </row>
    <row r="41" customFormat="false" ht="15" hidden="false" customHeight="false" outlineLevel="0" collapsed="false">
      <c r="A41" s="0" t="s">
        <v>1506</v>
      </c>
      <c r="B41" s="0" t="s">
        <v>1244</v>
      </c>
      <c r="C41" s="0" t="s">
        <v>988</v>
      </c>
      <c r="D41" s="0" t="s">
        <v>1064</v>
      </c>
      <c r="E41" s="0" t="s">
        <v>1670</v>
      </c>
      <c r="F41" s="0" t="n">
        <v>37</v>
      </c>
      <c r="G41" s="0" t="n">
        <v>12.59</v>
      </c>
      <c r="H41" s="0" t="n">
        <v>0.58</v>
      </c>
      <c r="I41" s="10" t="n">
        <v>0.466</v>
      </c>
      <c r="J41" s="0" t="n">
        <v>0.27</v>
      </c>
      <c r="K41" s="0" t="n">
        <v>0.99</v>
      </c>
      <c r="L41" s="0" t="n">
        <v>1.02</v>
      </c>
      <c r="M41" s="11" t="n">
        <f aca="false">IFERROR(G41/H41,"")</f>
        <v>21.7068965517241</v>
      </c>
      <c r="N41" s="9" t="s">
        <v>1627</v>
      </c>
      <c r="O41" s="9" t="s">
        <v>1675</v>
      </c>
    </row>
    <row r="42" customFormat="false" ht="15" hidden="false" customHeight="false" outlineLevel="0" collapsed="false">
      <c r="A42" s="0" t="s">
        <v>1512</v>
      </c>
      <c r="B42" s="0" t="s">
        <v>1260</v>
      </c>
      <c r="C42" s="0" t="s">
        <v>988</v>
      </c>
      <c r="D42" s="0" t="s">
        <v>994</v>
      </c>
      <c r="E42" s="0" t="s">
        <v>1676</v>
      </c>
      <c r="F42" s="0" t="n">
        <v>37</v>
      </c>
      <c r="G42" s="0" t="n">
        <v>15.62</v>
      </c>
      <c r="H42" s="0" t="n">
        <v>0.71</v>
      </c>
      <c r="I42" s="10" t="n">
        <v>0.67</v>
      </c>
      <c r="J42" s="0" t="n">
        <v>0.48</v>
      </c>
      <c r="K42" s="0" t="n">
        <v>1.1</v>
      </c>
      <c r="L42" s="0" t="n">
        <v>1.17</v>
      </c>
      <c r="M42" s="11" t="n">
        <f aca="false">IFERROR(G42/H42,"")</f>
        <v>22</v>
      </c>
      <c r="N42" s="9" t="s">
        <v>1627</v>
      </c>
      <c r="O42" s="9" t="s">
        <v>1677</v>
      </c>
    </row>
    <row r="43" customFormat="false" ht="15" hidden="false" customHeight="false" outlineLevel="0" collapsed="false">
      <c r="A43" s="0" t="s">
        <v>1513</v>
      </c>
      <c r="B43" s="0" t="s">
        <v>1262</v>
      </c>
      <c r="C43" s="0" t="s">
        <v>988</v>
      </c>
      <c r="D43" s="0" t="s">
        <v>994</v>
      </c>
      <c r="E43" s="0" t="s">
        <v>1676</v>
      </c>
      <c r="F43" s="0" t="n">
        <v>37</v>
      </c>
      <c r="G43" s="0" t="n">
        <v>14.38</v>
      </c>
      <c r="H43" s="0" t="n">
        <v>0.65</v>
      </c>
      <c r="I43" s="10" t="n">
        <v>0.583</v>
      </c>
      <c r="J43" s="0" t="n">
        <v>0.38</v>
      </c>
      <c r="K43" s="0" t="n">
        <v>0.99</v>
      </c>
      <c r="L43" s="0" t="n">
        <v>1.11</v>
      </c>
      <c r="M43" s="11" t="n">
        <f aca="false">IFERROR(G43/H43,"")</f>
        <v>22.1230769230769</v>
      </c>
      <c r="N43" s="9" t="s">
        <v>1627</v>
      </c>
      <c r="O43" s="9" t="s">
        <v>1678</v>
      </c>
    </row>
    <row r="44" customFormat="false" ht="15" hidden="false" customHeight="false" outlineLevel="0" collapsed="false">
      <c r="A44" s="0" t="s">
        <v>1514</v>
      </c>
      <c r="B44" s="0" t="s">
        <v>1264</v>
      </c>
      <c r="C44" s="0" t="s">
        <v>988</v>
      </c>
      <c r="D44" s="0" t="s">
        <v>994</v>
      </c>
      <c r="E44" s="0" t="s">
        <v>1676</v>
      </c>
      <c r="F44" s="0" t="n">
        <v>36</v>
      </c>
      <c r="G44" s="0" t="n">
        <v>15.94</v>
      </c>
      <c r="H44" s="0" t="n">
        <v>0.73</v>
      </c>
      <c r="I44" s="10" t="n">
        <v>0.535</v>
      </c>
      <c r="J44" s="0" t="n">
        <v>0.39</v>
      </c>
      <c r="K44" s="0" t="n">
        <v>1</v>
      </c>
      <c r="L44" s="0" t="n">
        <v>1.1</v>
      </c>
      <c r="M44" s="11" t="n">
        <f aca="false">IFERROR(G44/H44,"")</f>
        <v>21.8356164383562</v>
      </c>
      <c r="N44" s="9" t="s">
        <v>1627</v>
      </c>
      <c r="O44" s="9" t="s">
        <v>1679</v>
      </c>
    </row>
    <row r="45" customFormat="false" ht="15" hidden="false" customHeight="false" outlineLevel="0" collapsed="false">
      <c r="A45" s="0" t="s">
        <v>1515</v>
      </c>
      <c r="B45" s="0" t="s">
        <v>1266</v>
      </c>
      <c r="C45" s="0" t="s">
        <v>988</v>
      </c>
      <c r="D45" s="0" t="s">
        <v>994</v>
      </c>
      <c r="E45" s="0" t="s">
        <v>1676</v>
      </c>
      <c r="F45" s="0" t="n">
        <v>34</v>
      </c>
      <c r="G45" s="0" t="n">
        <v>15.47</v>
      </c>
      <c r="H45" s="0" t="n">
        <v>0.67</v>
      </c>
      <c r="I45" s="10" t="n">
        <v>0.352</v>
      </c>
      <c r="J45" s="0" t="n">
        <v>0.24</v>
      </c>
      <c r="K45" s="0" t="n">
        <v>1.17</v>
      </c>
      <c r="L45" s="0" t="n">
        <v>1.09</v>
      </c>
      <c r="M45" s="11" t="n">
        <f aca="false">IFERROR(G45/H45,"")</f>
        <v>23.089552238806</v>
      </c>
      <c r="N45" s="9" t="s">
        <v>1627</v>
      </c>
      <c r="O45" s="9" t="s">
        <v>1680</v>
      </c>
    </row>
    <row r="46" customFormat="false" ht="15" hidden="false" customHeight="false" outlineLevel="0" collapsed="false">
      <c r="A46" s="0" t="s">
        <v>1516</v>
      </c>
      <c r="B46" s="0" t="s">
        <v>1269</v>
      </c>
      <c r="C46" s="0" t="s">
        <v>988</v>
      </c>
      <c r="D46" s="0" t="s">
        <v>994</v>
      </c>
      <c r="E46" s="0" t="s">
        <v>1676</v>
      </c>
      <c r="F46" s="0" t="n">
        <v>36</v>
      </c>
      <c r="G46" s="0" t="n">
        <v>14.11</v>
      </c>
      <c r="H46" s="0" t="n">
        <v>0.65</v>
      </c>
      <c r="I46" s="10" t="n">
        <v>0.559</v>
      </c>
      <c r="J46" s="0" t="n">
        <v>0.36</v>
      </c>
      <c r="K46" s="0" t="n">
        <v>0.93</v>
      </c>
      <c r="L46" s="0" t="n">
        <v>1.11</v>
      </c>
      <c r="M46" s="11" t="n">
        <f aca="false">IFERROR(G46/H46,"")</f>
        <v>21.7076923076923</v>
      </c>
      <c r="N46" s="9" t="s">
        <v>1627</v>
      </c>
      <c r="O46" s="9" t="s">
        <v>1681</v>
      </c>
    </row>
    <row r="47" customFormat="false" ht="15" hidden="false" customHeight="false" outlineLevel="0" collapsed="false">
      <c r="A47" s="0" t="s">
        <v>1477</v>
      </c>
      <c r="B47" s="0" t="s">
        <v>1169</v>
      </c>
      <c r="C47" s="0" t="s">
        <v>988</v>
      </c>
      <c r="D47" s="0" t="s">
        <v>1046</v>
      </c>
      <c r="E47" s="0" t="s">
        <v>1682</v>
      </c>
      <c r="F47" s="0" t="n">
        <v>38</v>
      </c>
      <c r="G47" s="0" t="n">
        <v>15</v>
      </c>
      <c r="H47" s="0" t="n">
        <v>0.68</v>
      </c>
      <c r="I47" s="10" t="n">
        <v>0.593</v>
      </c>
      <c r="J47" s="0" t="n">
        <v>0.4</v>
      </c>
      <c r="K47" s="0" t="n">
        <v>1.06</v>
      </c>
      <c r="L47" s="0" t="n">
        <v>1.17</v>
      </c>
      <c r="M47" s="11" t="n">
        <f aca="false">IFERROR(G47/H47,"")</f>
        <v>22.0588235294118</v>
      </c>
      <c r="N47" s="9" t="s">
        <v>1627</v>
      </c>
      <c r="O47" s="9" t="s">
        <v>1683</v>
      </c>
    </row>
    <row r="48" customFormat="false" ht="15" hidden="false" customHeight="false" outlineLevel="0" collapsed="false">
      <c r="A48" s="0" t="s">
        <v>1478</v>
      </c>
      <c r="B48" s="0" t="s">
        <v>1172</v>
      </c>
      <c r="C48" s="0" t="s">
        <v>988</v>
      </c>
      <c r="D48" s="0" t="s">
        <v>1046</v>
      </c>
      <c r="E48" s="0" t="s">
        <v>1682</v>
      </c>
      <c r="F48" s="0" t="n">
        <v>38</v>
      </c>
      <c r="G48" s="0" t="n">
        <v>14.03</v>
      </c>
      <c r="H48" s="0" t="n">
        <v>0.63</v>
      </c>
      <c r="I48" s="10" t="n">
        <v>0.597</v>
      </c>
      <c r="J48" s="0" t="n">
        <v>0.38</v>
      </c>
      <c r="K48" s="0" t="n">
        <v>0.93</v>
      </c>
      <c r="L48" s="0" t="n">
        <v>1</v>
      </c>
      <c r="M48" s="11" t="n">
        <f aca="false">IFERROR(G48/H48,"")</f>
        <v>22.2698412698413</v>
      </c>
      <c r="N48" s="9" t="s">
        <v>1627</v>
      </c>
      <c r="O48" s="9" t="s">
        <v>1684</v>
      </c>
    </row>
    <row r="49" customFormat="false" ht="15" hidden="false" customHeight="false" outlineLevel="0" collapsed="false">
      <c r="A49" s="0" t="s">
        <v>1479</v>
      </c>
      <c r="B49" s="0" t="s">
        <v>1175</v>
      </c>
      <c r="C49" s="0" t="s">
        <v>988</v>
      </c>
      <c r="D49" s="0" t="s">
        <v>1046</v>
      </c>
      <c r="E49" s="0" t="s">
        <v>1682</v>
      </c>
      <c r="F49" s="0" t="n">
        <v>38</v>
      </c>
      <c r="G49" s="0" t="n">
        <v>14.24</v>
      </c>
      <c r="H49" s="0" t="n">
        <v>0.64</v>
      </c>
      <c r="I49" s="10" t="n">
        <v>0.662</v>
      </c>
      <c r="J49" s="0" t="n">
        <v>0.42</v>
      </c>
      <c r="K49" s="0" t="n">
        <v>0.96</v>
      </c>
      <c r="L49" s="0" t="n">
        <v>1.1</v>
      </c>
      <c r="M49" s="11" t="n">
        <f aca="false">IFERROR(G49/H49,"")</f>
        <v>22.25</v>
      </c>
      <c r="N49" s="9" t="s">
        <v>1627</v>
      </c>
      <c r="O49" s="9" t="s">
        <v>1685</v>
      </c>
    </row>
    <row r="50" customFormat="false" ht="15" hidden="false" customHeight="false" outlineLevel="0" collapsed="false">
      <c r="A50" s="0" t="s">
        <v>1480</v>
      </c>
      <c r="B50" s="0" t="s">
        <v>1178</v>
      </c>
      <c r="C50" s="0" t="s">
        <v>988</v>
      </c>
      <c r="D50" s="0" t="s">
        <v>1046</v>
      </c>
      <c r="E50" s="0" t="s">
        <v>1682</v>
      </c>
      <c r="F50" s="0" t="n">
        <v>38</v>
      </c>
      <c r="G50" s="0" t="n">
        <v>16.13</v>
      </c>
      <c r="H50" s="0" t="n">
        <v>0.73</v>
      </c>
      <c r="I50" s="10" t="n">
        <v>0.54</v>
      </c>
      <c r="J50" s="0" t="n">
        <v>0.39</v>
      </c>
      <c r="K50" s="0" t="n">
        <v>1.06</v>
      </c>
      <c r="L50" s="0" t="n">
        <v>1.19</v>
      </c>
      <c r="M50" s="11" t="n">
        <f aca="false">IFERROR(G50/H50,"")</f>
        <v>22.0958904109589</v>
      </c>
      <c r="N50" s="9" t="s">
        <v>1627</v>
      </c>
      <c r="O50" s="9" t="s">
        <v>1686</v>
      </c>
    </row>
    <row r="51" customFormat="false" ht="15" hidden="false" customHeight="false" outlineLevel="0" collapsed="false">
      <c r="A51" s="0" t="s">
        <v>1481</v>
      </c>
      <c r="B51" s="0" t="s">
        <v>1181</v>
      </c>
      <c r="C51" s="0" t="s">
        <v>988</v>
      </c>
      <c r="D51" s="0" t="s">
        <v>1046</v>
      </c>
      <c r="E51" s="0" t="s">
        <v>1682</v>
      </c>
      <c r="F51" s="0" t="n">
        <v>38</v>
      </c>
      <c r="G51" s="0" t="n">
        <v>13.08</v>
      </c>
      <c r="H51" s="0" t="n">
        <v>0.59</v>
      </c>
      <c r="I51" s="10" t="n">
        <v>0.304</v>
      </c>
      <c r="J51" s="0" t="n">
        <v>0.18</v>
      </c>
      <c r="K51" s="0" t="n">
        <v>0.99</v>
      </c>
      <c r="L51" s="0" t="n">
        <v>0.98</v>
      </c>
      <c r="M51" s="11" t="n">
        <f aca="false">IFERROR(G51/H51,"")</f>
        <v>22.1694915254237</v>
      </c>
      <c r="N51" s="9" t="s">
        <v>1627</v>
      </c>
      <c r="O51" s="9" t="s">
        <v>1687</v>
      </c>
    </row>
    <row r="52" customFormat="false" ht="15" hidden="false" customHeight="false" outlineLevel="0" collapsed="false">
      <c r="A52" s="0" t="s">
        <v>1525</v>
      </c>
      <c r="B52" s="0" t="s">
        <v>1287</v>
      </c>
      <c r="C52" s="0" t="s">
        <v>988</v>
      </c>
      <c r="D52" s="0" t="s">
        <v>1052</v>
      </c>
      <c r="E52" s="0" t="s">
        <v>1688</v>
      </c>
      <c r="F52" s="0" t="n">
        <v>28</v>
      </c>
      <c r="G52" s="0" t="n">
        <v>15.5</v>
      </c>
      <c r="H52" s="0" t="n">
        <v>0.67</v>
      </c>
      <c r="I52" s="10" t="n">
        <v>0.578</v>
      </c>
      <c r="J52" s="0" t="n">
        <v>0.39</v>
      </c>
      <c r="K52" s="0" t="n">
        <v>1.02</v>
      </c>
      <c r="L52" s="0" t="n">
        <v>1.06</v>
      </c>
      <c r="M52" s="11" t="n">
        <f aca="false">IFERROR(G52/H52,"")</f>
        <v>23.134328358209</v>
      </c>
      <c r="N52" s="9" t="s">
        <v>1627</v>
      </c>
      <c r="O52" s="9" t="s">
        <v>1689</v>
      </c>
    </row>
    <row r="53" customFormat="false" ht="15" hidden="false" customHeight="false" outlineLevel="0" collapsed="false">
      <c r="A53" s="0" t="s">
        <v>1526</v>
      </c>
      <c r="B53" s="0" t="s">
        <v>1289</v>
      </c>
      <c r="C53" s="0" t="s">
        <v>988</v>
      </c>
      <c r="D53" s="0" t="s">
        <v>1052</v>
      </c>
      <c r="E53" s="0" t="s">
        <v>1688</v>
      </c>
      <c r="F53" s="0" t="n">
        <v>27</v>
      </c>
      <c r="G53" s="0" t="n">
        <v>10.52</v>
      </c>
      <c r="H53" s="0" t="n">
        <v>0.48</v>
      </c>
      <c r="I53" s="10" t="n">
        <v>0.472</v>
      </c>
      <c r="J53" s="0" t="n">
        <v>0.23</v>
      </c>
      <c r="K53" s="0" t="n">
        <v>0.67</v>
      </c>
      <c r="L53" s="0" t="n">
        <v>0.82</v>
      </c>
      <c r="M53" s="11" t="n">
        <f aca="false">IFERROR(G53/H53,"")</f>
        <v>21.9166666666667</v>
      </c>
      <c r="N53" s="9" t="s">
        <v>1627</v>
      </c>
      <c r="O53" s="9" t="s">
        <v>1690</v>
      </c>
    </row>
    <row r="54" customFormat="false" ht="15" hidden="false" customHeight="false" outlineLevel="0" collapsed="false">
      <c r="A54" s="0" t="s">
        <v>1527</v>
      </c>
      <c r="B54" s="0" t="s">
        <v>1291</v>
      </c>
      <c r="C54" s="0" t="s">
        <v>988</v>
      </c>
      <c r="D54" s="0" t="s">
        <v>1052</v>
      </c>
      <c r="E54" s="0" t="s">
        <v>1688</v>
      </c>
      <c r="F54" s="0" t="n">
        <v>28</v>
      </c>
      <c r="G54" s="0" t="n">
        <v>18</v>
      </c>
      <c r="H54" s="0" t="n">
        <v>0.78</v>
      </c>
      <c r="I54" s="10" t="n">
        <v>0.296</v>
      </c>
      <c r="J54" s="0" t="n">
        <v>0.23</v>
      </c>
      <c r="K54" s="0" t="n">
        <v>1.24</v>
      </c>
      <c r="L54" s="0" t="n">
        <v>1.18</v>
      </c>
      <c r="M54" s="11" t="n">
        <f aca="false">IFERROR(G54/H54,"")</f>
        <v>23.0769230769231</v>
      </c>
      <c r="N54" s="9" t="s">
        <v>1627</v>
      </c>
      <c r="O54" s="9" t="s">
        <v>1691</v>
      </c>
    </row>
    <row r="55" customFormat="false" ht="15" hidden="false" customHeight="false" outlineLevel="0" collapsed="false">
      <c r="A55" s="0" t="s">
        <v>1528</v>
      </c>
      <c r="B55" s="0" t="s">
        <v>1293</v>
      </c>
      <c r="C55" s="0" t="s">
        <v>988</v>
      </c>
      <c r="D55" s="0" t="s">
        <v>1052</v>
      </c>
      <c r="E55" s="0" t="s">
        <v>1688</v>
      </c>
      <c r="F55" s="0" t="n">
        <v>28</v>
      </c>
      <c r="G55" s="0" t="n">
        <v>13.93</v>
      </c>
      <c r="H55" s="0" t="n">
        <v>0.6</v>
      </c>
      <c r="I55" s="10" t="n">
        <v>0.556</v>
      </c>
      <c r="J55" s="0" t="n">
        <v>0.33</v>
      </c>
      <c r="K55" s="0" t="n">
        <v>0.88</v>
      </c>
      <c r="L55" s="0" t="n">
        <v>0.98</v>
      </c>
      <c r="M55" s="11" t="n">
        <f aca="false">IFERROR(G55/H55,"")</f>
        <v>23.2166666666667</v>
      </c>
      <c r="N55" s="9" t="s">
        <v>1627</v>
      </c>
      <c r="O55" s="9" t="s">
        <v>1692</v>
      </c>
    </row>
    <row r="56" customFormat="false" ht="15" hidden="false" customHeight="false" outlineLevel="0" collapsed="false">
      <c r="A56" s="0" t="s">
        <v>1455</v>
      </c>
      <c r="B56" s="0" t="s">
        <v>1106</v>
      </c>
      <c r="C56" s="0" t="s">
        <v>988</v>
      </c>
      <c r="D56" s="0" t="s">
        <v>1026</v>
      </c>
      <c r="E56" s="0" t="s">
        <v>1693</v>
      </c>
      <c r="F56" s="0" t="n">
        <v>36</v>
      </c>
      <c r="G56" s="0" t="n">
        <v>15.94</v>
      </c>
      <c r="H56" s="0" t="n">
        <v>0.72</v>
      </c>
      <c r="I56" s="10" t="n">
        <v>0.315</v>
      </c>
      <c r="J56" s="0" t="n">
        <v>0.23</v>
      </c>
      <c r="K56" s="0" t="n">
        <v>1.23</v>
      </c>
      <c r="L56" s="0" t="n">
        <v>1.18</v>
      </c>
      <c r="M56" s="11" t="n">
        <f aca="false">IFERROR(G56/H56,"")</f>
        <v>22.1388888888889</v>
      </c>
      <c r="N56" s="9" t="s">
        <v>1627</v>
      </c>
      <c r="O56" s="9" t="s">
        <v>1694</v>
      </c>
    </row>
    <row r="57" customFormat="false" ht="15" hidden="false" customHeight="false" outlineLevel="0" collapsed="false">
      <c r="A57" s="0" t="s">
        <v>1456</v>
      </c>
      <c r="B57" s="0" t="s">
        <v>1113</v>
      </c>
      <c r="C57" s="0" t="s">
        <v>988</v>
      </c>
      <c r="D57" s="0" t="s">
        <v>1026</v>
      </c>
      <c r="E57" s="0" t="s">
        <v>1693</v>
      </c>
      <c r="F57" s="0" t="n">
        <v>35</v>
      </c>
      <c r="G57" s="0" t="n">
        <v>13.66</v>
      </c>
      <c r="H57" s="0" t="n">
        <v>0.64</v>
      </c>
      <c r="I57" s="10" t="n">
        <v>0.529</v>
      </c>
      <c r="J57" s="0" t="n">
        <v>0.34</v>
      </c>
      <c r="K57" s="0" t="n">
        <v>0.98</v>
      </c>
      <c r="L57" s="0" t="n">
        <v>1.06</v>
      </c>
      <c r="M57" s="11" t="n">
        <f aca="false">IFERROR(G57/H57,"")</f>
        <v>21.34375</v>
      </c>
      <c r="N57" s="9" t="s">
        <v>1627</v>
      </c>
      <c r="O57" s="9" t="s">
        <v>1695</v>
      </c>
    </row>
    <row r="58" customFormat="false" ht="15" hidden="false" customHeight="false" outlineLevel="0" collapsed="false">
      <c r="A58" s="0" t="s">
        <v>1457</v>
      </c>
      <c r="B58" s="0" t="s">
        <v>1117</v>
      </c>
      <c r="C58" s="0" t="s">
        <v>988</v>
      </c>
      <c r="D58" s="0" t="s">
        <v>1026</v>
      </c>
      <c r="E58" s="0" t="s">
        <v>1693</v>
      </c>
      <c r="F58" s="0" t="n">
        <v>35</v>
      </c>
      <c r="G58" s="0" t="n">
        <v>14.31</v>
      </c>
      <c r="H58" s="0" t="n">
        <v>0.67</v>
      </c>
      <c r="I58" s="10" t="n">
        <v>0.525</v>
      </c>
      <c r="J58" s="0" t="n">
        <v>0.35</v>
      </c>
      <c r="K58" s="0" t="n">
        <v>0.95</v>
      </c>
      <c r="L58" s="0" t="n">
        <v>0.99</v>
      </c>
      <c r="M58" s="11" t="n">
        <f aca="false">IFERROR(G58/H58,"")</f>
        <v>21.3582089552239</v>
      </c>
      <c r="N58" s="9" t="s">
        <v>1627</v>
      </c>
      <c r="O58" s="9" t="s">
        <v>1696</v>
      </c>
    </row>
    <row r="59" customFormat="false" ht="15" hidden="false" customHeight="false" outlineLevel="0" collapsed="false">
      <c r="A59" s="0" t="s">
        <v>1458</v>
      </c>
      <c r="B59" s="0" t="s">
        <v>1120</v>
      </c>
      <c r="C59" s="0" t="s">
        <v>988</v>
      </c>
      <c r="D59" s="0" t="s">
        <v>1026</v>
      </c>
      <c r="E59" s="0" t="s">
        <v>1693</v>
      </c>
      <c r="F59" s="0" t="n">
        <v>35</v>
      </c>
      <c r="G59" s="0" t="n">
        <v>13.49</v>
      </c>
      <c r="H59" s="0" t="n">
        <v>0.63</v>
      </c>
      <c r="I59" s="10" t="n">
        <v>0.496</v>
      </c>
      <c r="J59" s="0" t="n">
        <v>0.31</v>
      </c>
      <c r="K59" s="0" t="n">
        <v>0.87</v>
      </c>
      <c r="L59" s="0" t="n">
        <v>1.03</v>
      </c>
      <c r="M59" s="11" t="n">
        <f aca="false">IFERROR(G59/H59,"")</f>
        <v>21.4126984126984</v>
      </c>
      <c r="N59" s="9" t="s">
        <v>1627</v>
      </c>
      <c r="O59" s="9" t="s">
        <v>1697</v>
      </c>
    </row>
    <row r="60" customFormat="false" ht="15" hidden="false" customHeight="false" outlineLevel="0" collapsed="false">
      <c r="A60" s="0" t="s">
        <v>1459</v>
      </c>
      <c r="B60" s="0" t="s">
        <v>1123</v>
      </c>
      <c r="C60" s="0" t="s">
        <v>988</v>
      </c>
      <c r="D60" s="0" t="s">
        <v>1026</v>
      </c>
      <c r="E60" s="0" t="s">
        <v>1693</v>
      </c>
      <c r="F60" s="0" t="n">
        <v>39</v>
      </c>
      <c r="G60" s="0" t="n">
        <v>12.72</v>
      </c>
      <c r="H60" s="0" t="n">
        <v>0.61</v>
      </c>
      <c r="I60" s="10" t="n">
        <v>0.514</v>
      </c>
      <c r="J60" s="0" t="n">
        <v>0.31</v>
      </c>
      <c r="K60" s="0" t="n">
        <v>0.87</v>
      </c>
      <c r="L60" s="0" t="n">
        <v>0.97</v>
      </c>
      <c r="M60" s="11" t="n">
        <f aca="false">IFERROR(G60/H60,"")</f>
        <v>20.8524590163934</v>
      </c>
      <c r="N60" s="9" t="s">
        <v>1627</v>
      </c>
      <c r="O60" s="9" t="s">
        <v>1698</v>
      </c>
    </row>
    <row r="61" customFormat="false" ht="15" hidden="false" customHeight="false" outlineLevel="0" collapsed="false">
      <c r="A61" s="0" t="s">
        <v>1534</v>
      </c>
      <c r="B61" s="0" t="s">
        <v>1306</v>
      </c>
      <c r="C61" s="0" t="s">
        <v>988</v>
      </c>
      <c r="D61" s="0" t="s">
        <v>1058</v>
      </c>
      <c r="E61" s="0" t="s">
        <v>1699</v>
      </c>
      <c r="F61" s="0" t="n">
        <v>38</v>
      </c>
      <c r="G61" s="0" t="n">
        <v>12.63</v>
      </c>
      <c r="H61" s="0" t="n">
        <v>0.54</v>
      </c>
      <c r="I61" s="10" t="n">
        <v>0.456</v>
      </c>
      <c r="J61" s="0" t="n">
        <v>0.25</v>
      </c>
      <c r="K61" s="0" t="n">
        <v>0.79</v>
      </c>
      <c r="L61" s="0" t="n">
        <v>0.9</v>
      </c>
      <c r="M61" s="11" t="n">
        <f aca="false">IFERROR(G61/H61,"")</f>
        <v>23.3888888888889</v>
      </c>
      <c r="N61" s="9" t="s">
        <v>1627</v>
      </c>
      <c r="O61" s="9" t="s">
        <v>1700</v>
      </c>
    </row>
    <row r="62" customFormat="false" ht="15" hidden="false" customHeight="false" outlineLevel="0" collapsed="false">
      <c r="A62" s="0" t="s">
        <v>1535</v>
      </c>
      <c r="B62" s="0" t="s">
        <v>1308</v>
      </c>
      <c r="C62" s="0" t="s">
        <v>988</v>
      </c>
      <c r="D62" s="0" t="s">
        <v>1058</v>
      </c>
      <c r="E62" s="0" t="s">
        <v>1699</v>
      </c>
      <c r="F62" s="0" t="n">
        <v>39</v>
      </c>
      <c r="G62" s="0" t="n">
        <v>16.03</v>
      </c>
      <c r="H62" s="0" t="n">
        <v>0.7</v>
      </c>
      <c r="I62" s="10" t="n">
        <v>0.474</v>
      </c>
      <c r="J62" s="0" t="n">
        <v>0.33</v>
      </c>
      <c r="K62" s="0" t="n">
        <v>1.04</v>
      </c>
      <c r="L62" s="0" t="n">
        <v>1.12</v>
      </c>
      <c r="M62" s="11" t="n">
        <f aca="false">IFERROR(G62/H62,"")</f>
        <v>22.9</v>
      </c>
      <c r="N62" s="9" t="s">
        <v>1627</v>
      </c>
      <c r="O62" s="9" t="s">
        <v>1701</v>
      </c>
    </row>
    <row r="63" customFormat="false" ht="15" hidden="false" customHeight="false" outlineLevel="0" collapsed="false">
      <c r="A63" s="0" t="s">
        <v>1536</v>
      </c>
      <c r="B63" s="0" t="s">
        <v>1310</v>
      </c>
      <c r="C63" s="0" t="s">
        <v>988</v>
      </c>
      <c r="D63" s="0" t="s">
        <v>1058</v>
      </c>
      <c r="E63" s="0" t="s">
        <v>1699</v>
      </c>
      <c r="F63" s="0" t="n">
        <v>39</v>
      </c>
      <c r="G63" s="0" t="n">
        <v>17.05</v>
      </c>
      <c r="H63" s="0" t="n">
        <v>0.75</v>
      </c>
      <c r="I63" s="10" t="n">
        <v>0.559</v>
      </c>
      <c r="J63" s="0" t="n">
        <v>0.42</v>
      </c>
      <c r="K63" s="0" t="n">
        <v>1.23</v>
      </c>
      <c r="L63" s="0" t="n">
        <v>1.23</v>
      </c>
      <c r="M63" s="11" t="n">
        <f aca="false">IFERROR(G63/H63,"")</f>
        <v>22.7333333333333</v>
      </c>
      <c r="N63" s="9" t="s">
        <v>1627</v>
      </c>
      <c r="O63" s="9" t="s">
        <v>1702</v>
      </c>
    </row>
    <row r="64" customFormat="false" ht="15" hidden="false" customHeight="false" outlineLevel="0" collapsed="false">
      <c r="A64" s="0" t="s">
        <v>1537</v>
      </c>
      <c r="B64" s="0" t="s">
        <v>1312</v>
      </c>
      <c r="C64" s="0" t="s">
        <v>988</v>
      </c>
      <c r="D64" s="0" t="s">
        <v>1058</v>
      </c>
      <c r="E64" s="0" t="s">
        <v>1699</v>
      </c>
      <c r="F64" s="0" t="n">
        <v>39</v>
      </c>
      <c r="G64" s="0" t="n">
        <v>14.28</v>
      </c>
      <c r="H64" s="0" t="n">
        <v>0.63</v>
      </c>
      <c r="I64" s="10" t="n">
        <v>0.526</v>
      </c>
      <c r="J64" s="0" t="n">
        <v>0.33</v>
      </c>
      <c r="K64" s="0" t="n">
        <v>0.98</v>
      </c>
      <c r="L64" s="0" t="n">
        <v>1.02</v>
      </c>
      <c r="M64" s="11" t="n">
        <f aca="false">IFERROR(G64/H64,"")</f>
        <v>22.6666666666667</v>
      </c>
      <c r="N64" s="9" t="s">
        <v>1627</v>
      </c>
      <c r="O64" s="9" t="s">
        <v>1703</v>
      </c>
    </row>
    <row r="65" customFormat="false" ht="15" hidden="false" customHeight="false" outlineLevel="0" collapsed="false">
      <c r="A65" s="0" t="s">
        <v>1538</v>
      </c>
      <c r="B65" s="0" t="s">
        <v>1314</v>
      </c>
      <c r="C65" s="0" t="s">
        <v>988</v>
      </c>
      <c r="D65" s="0" t="s">
        <v>1058</v>
      </c>
      <c r="E65" s="0" t="s">
        <v>1699</v>
      </c>
      <c r="F65" s="0" t="n">
        <v>39</v>
      </c>
      <c r="G65" s="0" t="n">
        <v>15.79</v>
      </c>
      <c r="H65" s="0" t="n">
        <v>0.69</v>
      </c>
      <c r="I65" s="10" t="n">
        <v>0.318</v>
      </c>
      <c r="J65" s="0" t="n">
        <v>0.22</v>
      </c>
      <c r="K65" s="0" t="n">
        <v>1.13</v>
      </c>
      <c r="L65" s="0" t="n">
        <v>1.08</v>
      </c>
      <c r="M65" s="11" t="n">
        <f aca="false">IFERROR(G65/H65,"")</f>
        <v>22.8840579710145</v>
      </c>
      <c r="N65" s="9" t="s">
        <v>1627</v>
      </c>
      <c r="O65" s="9" t="s">
        <v>1704</v>
      </c>
    </row>
    <row r="66" customFormat="false" ht="15" hidden="false" customHeight="false" outlineLevel="0" collapsed="false">
      <c r="A66" s="0" t="s">
        <v>1559</v>
      </c>
      <c r="B66" s="0" t="s">
        <v>1356</v>
      </c>
      <c r="C66" s="0" t="s">
        <v>988</v>
      </c>
      <c r="D66" s="0" t="s">
        <v>1020</v>
      </c>
      <c r="E66" s="0" t="s">
        <v>1705</v>
      </c>
      <c r="F66" s="0" t="n">
        <v>35</v>
      </c>
      <c r="G66" s="0" t="n">
        <v>16.83</v>
      </c>
      <c r="H66" s="0" t="n">
        <v>0.81</v>
      </c>
      <c r="I66" s="10" t="n">
        <v>0.377</v>
      </c>
      <c r="J66" s="0" t="n">
        <v>0.3</v>
      </c>
      <c r="K66" s="0" t="n">
        <v>1.3</v>
      </c>
      <c r="L66" s="0" t="n">
        <v>1.26</v>
      </c>
      <c r="M66" s="11" t="n">
        <f aca="false">IFERROR(G66/H66,"")</f>
        <v>20.7777777777778</v>
      </c>
      <c r="N66" s="9" t="s">
        <v>1627</v>
      </c>
      <c r="O66" s="9" t="s">
        <v>1706</v>
      </c>
    </row>
    <row r="67" customFormat="false" ht="15" hidden="false" customHeight="false" outlineLevel="0" collapsed="false">
      <c r="A67" s="0" t="s">
        <v>1560</v>
      </c>
      <c r="B67" s="0" t="s">
        <v>1360</v>
      </c>
      <c r="C67" s="0" t="s">
        <v>988</v>
      </c>
      <c r="D67" s="0" t="s">
        <v>1020</v>
      </c>
      <c r="E67" s="0" t="s">
        <v>1705</v>
      </c>
      <c r="F67" s="0" t="n">
        <v>35</v>
      </c>
      <c r="G67" s="0" t="n">
        <v>14.57</v>
      </c>
      <c r="H67" s="0" t="n">
        <v>0.7</v>
      </c>
      <c r="I67" s="10" t="n">
        <v>0.449</v>
      </c>
      <c r="J67" s="0" t="n">
        <v>0.31</v>
      </c>
      <c r="K67" s="0" t="n">
        <v>1.05</v>
      </c>
      <c r="L67" s="0" t="n">
        <v>1.13</v>
      </c>
      <c r="M67" s="11" t="n">
        <f aca="false">IFERROR(G67/H67,"")</f>
        <v>20.8142857142857</v>
      </c>
      <c r="N67" s="9" t="s">
        <v>1627</v>
      </c>
      <c r="O67" s="9" t="s">
        <v>1707</v>
      </c>
    </row>
    <row r="68" customFormat="false" ht="15" hidden="false" customHeight="false" outlineLevel="0" collapsed="false">
      <c r="A68" s="0" t="s">
        <v>1561</v>
      </c>
      <c r="B68" s="0" t="s">
        <v>1363</v>
      </c>
      <c r="C68" s="0" t="s">
        <v>988</v>
      </c>
      <c r="D68" s="0" t="s">
        <v>1020</v>
      </c>
      <c r="E68" s="0" t="s">
        <v>1705</v>
      </c>
      <c r="F68" s="0" t="n">
        <v>38</v>
      </c>
      <c r="G68" s="0" t="n">
        <v>14.84</v>
      </c>
      <c r="H68" s="0" t="n">
        <v>0.69</v>
      </c>
      <c r="I68" s="10" t="n">
        <v>0.594</v>
      </c>
      <c r="J68" s="0" t="n">
        <v>0.41</v>
      </c>
      <c r="K68" s="0" t="n">
        <v>1.03</v>
      </c>
      <c r="L68" s="0" t="n">
        <v>1.14</v>
      </c>
      <c r="M68" s="11" t="n">
        <f aca="false">IFERROR(G68/H68,"")</f>
        <v>21.5072463768116</v>
      </c>
      <c r="N68" s="9" t="s">
        <v>1627</v>
      </c>
      <c r="O68" s="9" t="s">
        <v>1708</v>
      </c>
    </row>
    <row r="69" customFormat="false" ht="15" hidden="false" customHeight="false" outlineLevel="0" collapsed="false">
      <c r="A69" s="0" t="s">
        <v>1562</v>
      </c>
      <c r="B69" s="0" t="s">
        <v>1365</v>
      </c>
      <c r="C69" s="0" t="s">
        <v>988</v>
      </c>
      <c r="D69" s="0" t="s">
        <v>1020</v>
      </c>
      <c r="E69" s="0" t="s">
        <v>1705</v>
      </c>
      <c r="F69" s="0" t="n">
        <v>37</v>
      </c>
      <c r="G69" s="0" t="n">
        <v>14.08</v>
      </c>
      <c r="H69" s="0" t="n">
        <v>0.67</v>
      </c>
      <c r="I69" s="10" t="n">
        <v>0.557</v>
      </c>
      <c r="J69" s="0" t="n">
        <v>0.37</v>
      </c>
      <c r="K69" s="0" t="n">
        <v>1.01</v>
      </c>
      <c r="L69" s="0" t="n">
        <v>1.08</v>
      </c>
      <c r="M69" s="11" t="n">
        <f aca="false">IFERROR(G69/H69,"")</f>
        <v>21.0149253731343</v>
      </c>
      <c r="N69" s="9" t="s">
        <v>1627</v>
      </c>
      <c r="O69" s="9" t="s">
        <v>1709</v>
      </c>
    </row>
    <row r="70" customFormat="false" ht="15" hidden="false" customHeight="false" outlineLevel="0" collapsed="false">
      <c r="A70" s="0" t="s">
        <v>1563</v>
      </c>
      <c r="B70" s="0" t="s">
        <v>1367</v>
      </c>
      <c r="C70" s="0" t="s">
        <v>988</v>
      </c>
      <c r="D70" s="0" t="s">
        <v>1020</v>
      </c>
      <c r="E70" s="0" t="s">
        <v>1705</v>
      </c>
      <c r="F70" s="0" t="n">
        <v>35</v>
      </c>
      <c r="G70" s="0" t="n">
        <v>11.86</v>
      </c>
      <c r="H70" s="0" t="n">
        <v>0.57</v>
      </c>
      <c r="I70" s="10" t="n">
        <v>0.634</v>
      </c>
      <c r="J70" s="0" t="n">
        <v>0.36</v>
      </c>
      <c r="K70" s="0" t="n">
        <v>0.89</v>
      </c>
      <c r="L70" s="0" t="n">
        <v>0.98</v>
      </c>
      <c r="M70" s="11" t="n">
        <f aca="false">IFERROR(G70/H70,"")</f>
        <v>20.8070175438597</v>
      </c>
      <c r="N70" s="9" t="s">
        <v>1627</v>
      </c>
      <c r="O70" s="9" t="s">
        <v>1710</v>
      </c>
    </row>
    <row r="71" customFormat="false" ht="15" hidden="false" customHeight="false" outlineLevel="0" collapsed="false">
      <c r="A71" s="0" t="s">
        <v>1544</v>
      </c>
      <c r="B71" s="0" t="s">
        <v>1326</v>
      </c>
      <c r="C71" s="0" t="s">
        <v>988</v>
      </c>
      <c r="D71" s="0" t="s">
        <v>1039</v>
      </c>
      <c r="E71" s="0" t="s">
        <v>1711</v>
      </c>
      <c r="F71" s="0" t="n">
        <v>39</v>
      </c>
      <c r="G71" s="0" t="n">
        <v>13.85</v>
      </c>
      <c r="H71" s="0" t="n">
        <v>0.65</v>
      </c>
      <c r="I71" s="10" t="n">
        <v>0.517</v>
      </c>
      <c r="J71" s="0" t="n">
        <v>0.34</v>
      </c>
      <c r="K71" s="0" t="n">
        <v>1.06</v>
      </c>
      <c r="L71" s="0" t="n">
        <v>1.09</v>
      </c>
      <c r="M71" s="11" t="n">
        <f aca="false">IFERROR(G71/H71,"")</f>
        <v>21.3076923076923</v>
      </c>
      <c r="N71" s="9" t="s">
        <v>1627</v>
      </c>
      <c r="O71" s="9" t="s">
        <v>1712</v>
      </c>
    </row>
    <row r="72" customFormat="false" ht="15" hidden="false" customHeight="false" outlineLevel="0" collapsed="false">
      <c r="A72" s="0" t="s">
        <v>1545</v>
      </c>
      <c r="B72" s="0" t="s">
        <v>1328</v>
      </c>
      <c r="C72" s="0" t="s">
        <v>988</v>
      </c>
      <c r="D72" s="0" t="s">
        <v>1039</v>
      </c>
      <c r="E72" s="0" t="s">
        <v>1711</v>
      </c>
      <c r="F72" s="0" t="n">
        <v>39</v>
      </c>
      <c r="G72" s="0" t="n">
        <v>14.77</v>
      </c>
      <c r="H72" s="0" t="n">
        <v>0.69</v>
      </c>
      <c r="I72" s="10" t="n">
        <v>0.592</v>
      </c>
      <c r="J72" s="0" t="n">
        <v>0.41</v>
      </c>
      <c r="K72" s="0" t="n">
        <v>1.18</v>
      </c>
      <c r="L72" s="0" t="n">
        <v>1.2</v>
      </c>
      <c r="M72" s="11" t="n">
        <f aca="false">IFERROR(G72/H72,"")</f>
        <v>21.4057971014493</v>
      </c>
      <c r="N72" s="9" t="s">
        <v>1627</v>
      </c>
      <c r="O72" s="9" t="s">
        <v>1713</v>
      </c>
    </row>
    <row r="73" customFormat="false" ht="15" hidden="false" customHeight="false" outlineLevel="0" collapsed="false">
      <c r="A73" s="0" t="s">
        <v>1546</v>
      </c>
      <c r="B73" s="0" t="s">
        <v>1330</v>
      </c>
      <c r="C73" s="0" t="s">
        <v>988</v>
      </c>
      <c r="D73" s="0" t="s">
        <v>1039</v>
      </c>
      <c r="E73" s="0" t="s">
        <v>1711</v>
      </c>
      <c r="F73" s="0" t="n">
        <v>39</v>
      </c>
      <c r="G73" s="0" t="n">
        <v>14.31</v>
      </c>
      <c r="H73" s="0" t="n">
        <v>0.67</v>
      </c>
      <c r="I73" s="10" t="n">
        <v>0.317</v>
      </c>
      <c r="J73" s="0" t="n">
        <v>0.21</v>
      </c>
      <c r="K73" s="0" t="n">
        <v>1.17</v>
      </c>
      <c r="L73" s="0" t="n">
        <v>1.08</v>
      </c>
      <c r="M73" s="11" t="n">
        <f aca="false">IFERROR(G73/H73,"")</f>
        <v>21.3582089552239</v>
      </c>
      <c r="N73" s="9" t="s">
        <v>1627</v>
      </c>
      <c r="O73" s="9" t="s">
        <v>1714</v>
      </c>
    </row>
    <row r="74" customFormat="false" ht="15" hidden="false" customHeight="false" outlineLevel="0" collapsed="false">
      <c r="A74" s="0" t="s">
        <v>1547</v>
      </c>
      <c r="B74" s="0" t="s">
        <v>1332</v>
      </c>
      <c r="C74" s="0" t="s">
        <v>988</v>
      </c>
      <c r="D74" s="0" t="s">
        <v>1039</v>
      </c>
      <c r="E74" s="0" t="s">
        <v>1711</v>
      </c>
      <c r="F74" s="0" t="n">
        <v>39</v>
      </c>
      <c r="G74" s="0" t="n">
        <v>14.54</v>
      </c>
      <c r="H74" s="0" t="n">
        <v>0.68</v>
      </c>
      <c r="I74" s="10" t="n">
        <v>0.654</v>
      </c>
      <c r="J74" s="0" t="n">
        <v>0.45</v>
      </c>
      <c r="K74" s="0" t="n">
        <v>1.03</v>
      </c>
      <c r="L74" s="0" t="n">
        <v>1.13</v>
      </c>
      <c r="M74" s="11" t="n">
        <f aca="false">IFERROR(G74/H74,"")</f>
        <v>21.3823529411765</v>
      </c>
      <c r="N74" s="9" t="s">
        <v>1627</v>
      </c>
      <c r="O74" s="9" t="s">
        <v>1715</v>
      </c>
    </row>
    <row r="75" customFormat="false" ht="15" hidden="false" customHeight="false" outlineLevel="0" collapsed="false">
      <c r="A75" s="0" t="s">
        <v>1548</v>
      </c>
      <c r="B75" s="0" t="s">
        <v>1334</v>
      </c>
      <c r="C75" s="0" t="s">
        <v>988</v>
      </c>
      <c r="D75" s="0" t="s">
        <v>1039</v>
      </c>
      <c r="E75" s="0" t="s">
        <v>1711</v>
      </c>
      <c r="F75" s="0" t="n">
        <v>39</v>
      </c>
      <c r="G75" s="0" t="n">
        <v>14.85</v>
      </c>
      <c r="H75" s="0" t="n">
        <v>0.7</v>
      </c>
      <c r="I75" s="10" t="n">
        <v>0.53</v>
      </c>
      <c r="J75" s="0" t="n">
        <v>0.37</v>
      </c>
      <c r="K75" s="0" t="n">
        <v>0.99</v>
      </c>
      <c r="L75" s="0" t="n">
        <v>1.11</v>
      </c>
      <c r="M75" s="11" t="n">
        <f aca="false">IFERROR(G75/H75,"")</f>
        <v>21.2142857142857</v>
      </c>
      <c r="N75" s="9" t="s">
        <v>1627</v>
      </c>
      <c r="O75" s="9" t="s">
        <v>1716</v>
      </c>
    </row>
    <row r="76" customFormat="false" ht="15" hidden="false" customHeight="false" outlineLevel="0" collapsed="false">
      <c r="A76" s="0" t="s">
        <v>1465</v>
      </c>
      <c r="B76" s="0" t="s">
        <v>1137</v>
      </c>
      <c r="C76" s="0" t="s">
        <v>988</v>
      </c>
      <c r="D76" s="0" t="s">
        <v>1033</v>
      </c>
      <c r="E76" s="0" t="s">
        <v>1717</v>
      </c>
      <c r="F76" s="0" t="n">
        <v>31</v>
      </c>
      <c r="G76" s="0" t="n">
        <v>14.52</v>
      </c>
      <c r="H76" s="0" t="n">
        <v>0.66</v>
      </c>
      <c r="I76" s="10" t="n">
        <v>0.589</v>
      </c>
      <c r="J76" s="0" t="n">
        <v>0.39</v>
      </c>
      <c r="K76" s="0" t="n">
        <v>1.03</v>
      </c>
      <c r="L76" s="0" t="n">
        <v>1.16</v>
      </c>
      <c r="M76" s="11" t="n">
        <f aca="false">IFERROR(G76/H76,"")</f>
        <v>22</v>
      </c>
      <c r="N76" s="9" t="s">
        <v>1627</v>
      </c>
      <c r="O76" s="9" t="s">
        <v>1718</v>
      </c>
    </row>
    <row r="77" customFormat="false" ht="15" hidden="false" customHeight="false" outlineLevel="0" collapsed="false">
      <c r="A77" s="0" t="s">
        <v>1466</v>
      </c>
      <c r="B77" s="0" t="s">
        <v>1139</v>
      </c>
      <c r="C77" s="0" t="s">
        <v>988</v>
      </c>
      <c r="D77" s="0" t="s">
        <v>1033</v>
      </c>
      <c r="E77" s="0" t="s">
        <v>1717</v>
      </c>
      <c r="F77" s="0" t="n">
        <v>31</v>
      </c>
      <c r="G77" s="0" t="n">
        <v>15.65</v>
      </c>
      <c r="H77" s="0" t="n">
        <v>0.72</v>
      </c>
      <c r="I77" s="10" t="n">
        <v>0.367</v>
      </c>
      <c r="J77" s="0" t="n">
        <v>0.26</v>
      </c>
      <c r="K77" s="0" t="n">
        <v>1.22</v>
      </c>
      <c r="L77" s="0" t="n">
        <v>1.14</v>
      </c>
      <c r="M77" s="11" t="n">
        <f aca="false">IFERROR(G77/H77,"")</f>
        <v>21.7361111111111</v>
      </c>
      <c r="N77" s="9" t="s">
        <v>1627</v>
      </c>
      <c r="O77" s="9" t="s">
        <v>1719</v>
      </c>
    </row>
    <row r="78" customFormat="false" ht="15" hidden="false" customHeight="false" outlineLevel="0" collapsed="false">
      <c r="A78" s="0" t="s">
        <v>1467</v>
      </c>
      <c r="B78" s="0" t="s">
        <v>1141</v>
      </c>
      <c r="C78" s="0" t="s">
        <v>988</v>
      </c>
      <c r="D78" s="0" t="s">
        <v>1033</v>
      </c>
      <c r="E78" s="0" t="s">
        <v>1717</v>
      </c>
      <c r="F78" s="0" t="n">
        <v>31</v>
      </c>
      <c r="G78" s="0" t="n">
        <v>15.55</v>
      </c>
      <c r="H78" s="0" t="n">
        <v>0.71</v>
      </c>
      <c r="I78" s="10" t="n">
        <v>0.672</v>
      </c>
      <c r="J78" s="0" t="n">
        <v>0.48</v>
      </c>
      <c r="K78" s="0" t="n">
        <v>1.13</v>
      </c>
      <c r="L78" s="0" t="n">
        <v>1.22</v>
      </c>
      <c r="M78" s="11" t="n">
        <f aca="false">IFERROR(G78/H78,"")</f>
        <v>21.9014084507042</v>
      </c>
      <c r="N78" s="9" t="s">
        <v>1627</v>
      </c>
      <c r="O78" s="9" t="s">
        <v>1720</v>
      </c>
    </row>
    <row r="79" customFormat="false" ht="15" hidden="false" customHeight="false" outlineLevel="0" collapsed="false">
      <c r="A79" s="0" t="s">
        <v>1468</v>
      </c>
      <c r="B79" s="0" t="s">
        <v>1143</v>
      </c>
      <c r="C79" s="0" t="s">
        <v>988</v>
      </c>
      <c r="D79" s="0" t="s">
        <v>1033</v>
      </c>
      <c r="E79" s="0" t="s">
        <v>1717</v>
      </c>
      <c r="F79" s="0" t="n">
        <v>31</v>
      </c>
      <c r="G79" s="0" t="n">
        <v>15.32</v>
      </c>
      <c r="H79" s="0" t="n">
        <v>0.7</v>
      </c>
      <c r="I79" s="10" t="n">
        <v>0.509</v>
      </c>
      <c r="J79" s="0" t="n">
        <v>0.36</v>
      </c>
      <c r="K79" s="0" t="n">
        <v>1.05</v>
      </c>
      <c r="L79" s="0" t="n">
        <v>1.17</v>
      </c>
      <c r="M79" s="11" t="n">
        <f aca="false">IFERROR(G79/H79,"")</f>
        <v>21.8857142857143</v>
      </c>
      <c r="N79" s="9" t="s">
        <v>1627</v>
      </c>
      <c r="O79" s="9" t="s">
        <v>1721</v>
      </c>
    </row>
    <row r="80" customFormat="false" ht="15" hidden="false" customHeight="false" outlineLevel="0" collapsed="false">
      <c r="A80" s="0" t="s">
        <v>1469</v>
      </c>
      <c r="B80" s="0" t="s">
        <v>1145</v>
      </c>
      <c r="C80" s="0" t="s">
        <v>988</v>
      </c>
      <c r="D80" s="0" t="s">
        <v>1033</v>
      </c>
      <c r="E80" s="0" t="s">
        <v>1717</v>
      </c>
      <c r="F80" s="0" t="n">
        <v>31</v>
      </c>
      <c r="G80" s="0" t="n">
        <v>11.84</v>
      </c>
      <c r="H80" s="0" t="n">
        <v>0.54</v>
      </c>
      <c r="I80" s="10" t="n">
        <v>0.54</v>
      </c>
      <c r="J80" s="0" t="n">
        <v>0.29</v>
      </c>
      <c r="K80" s="0" t="n">
        <v>0.87</v>
      </c>
      <c r="L80" s="0" t="n">
        <v>0.96</v>
      </c>
      <c r="M80" s="11" t="n">
        <f aca="false">IFERROR(G80/H80,"")</f>
        <v>21.9259259259259</v>
      </c>
      <c r="N80" s="9" t="s">
        <v>1627</v>
      </c>
      <c r="O80" s="9" t="s">
        <v>1722</v>
      </c>
    </row>
    <row r="81" customFormat="false" ht="15" hidden="false" customHeight="false" outlineLevel="0" collapsed="false">
      <c r="A81" s="0" t="s">
        <v>1507</v>
      </c>
      <c r="B81" s="0" t="s">
        <v>1247</v>
      </c>
      <c r="C81" s="0" t="s">
        <v>988</v>
      </c>
      <c r="D81" s="0" t="s">
        <v>1065</v>
      </c>
      <c r="E81" s="0" t="s">
        <v>1723</v>
      </c>
      <c r="F81" s="0" t="n">
        <v>36</v>
      </c>
      <c r="G81" s="0" t="n">
        <v>10.92</v>
      </c>
      <c r="H81" s="0" t="n">
        <v>0.5</v>
      </c>
      <c r="I81" s="10" t="n">
        <v>0.532</v>
      </c>
      <c r="J81" s="0" t="n">
        <v>0.27</v>
      </c>
      <c r="K81" s="0" t="n">
        <v>0.83</v>
      </c>
      <c r="L81" s="0" t="n">
        <v>0.94</v>
      </c>
      <c r="M81" s="11" t="n">
        <f aca="false">IFERROR(G81/H81,"")</f>
        <v>21.84</v>
      </c>
      <c r="N81" s="9" t="s">
        <v>1627</v>
      </c>
      <c r="O81" s="9" t="s">
        <v>1724</v>
      </c>
    </row>
    <row r="82" customFormat="false" ht="15" hidden="false" customHeight="false" outlineLevel="0" collapsed="false">
      <c r="A82" s="0" t="s">
        <v>1508</v>
      </c>
      <c r="B82" s="0" t="s">
        <v>1251</v>
      </c>
      <c r="C82" s="0" t="s">
        <v>988</v>
      </c>
      <c r="D82" s="0" t="s">
        <v>1065</v>
      </c>
      <c r="E82" s="0" t="s">
        <v>1723</v>
      </c>
      <c r="F82" s="0" t="n">
        <v>36</v>
      </c>
      <c r="G82" s="0" t="n">
        <v>14.42</v>
      </c>
      <c r="H82" s="0" t="n">
        <v>0.66</v>
      </c>
      <c r="I82" s="10" t="n">
        <v>0.628</v>
      </c>
      <c r="J82" s="0" t="n">
        <v>0.42</v>
      </c>
      <c r="K82" s="0" t="n">
        <v>1.02</v>
      </c>
      <c r="L82" s="0" t="n">
        <v>1.11</v>
      </c>
      <c r="M82" s="11" t="n">
        <f aca="false">IFERROR(G82/H82,"")</f>
        <v>21.8484848484848</v>
      </c>
      <c r="N82" s="9" t="s">
        <v>1627</v>
      </c>
      <c r="O82" s="9" t="s">
        <v>1725</v>
      </c>
    </row>
    <row r="83" customFormat="false" ht="15" hidden="false" customHeight="false" outlineLevel="0" collapsed="false">
      <c r="A83" s="0" t="s">
        <v>1509</v>
      </c>
      <c r="B83" s="0" t="s">
        <v>1253</v>
      </c>
      <c r="C83" s="0" t="s">
        <v>988</v>
      </c>
      <c r="D83" s="0" t="s">
        <v>1065</v>
      </c>
      <c r="E83" s="0" t="s">
        <v>1723</v>
      </c>
      <c r="F83" s="0" t="n">
        <v>36</v>
      </c>
      <c r="G83" s="0" t="n">
        <v>14.17</v>
      </c>
      <c r="H83" s="0" t="n">
        <v>0.65</v>
      </c>
      <c r="I83" s="10" t="n">
        <v>0.469</v>
      </c>
      <c r="J83" s="0" t="n">
        <v>0.31</v>
      </c>
      <c r="K83" s="0" t="n">
        <v>0.95</v>
      </c>
      <c r="L83" s="0" t="n">
        <v>1.05</v>
      </c>
      <c r="M83" s="11" t="n">
        <f aca="false">IFERROR(G83/H83,"")</f>
        <v>21.8</v>
      </c>
      <c r="N83" s="9" t="s">
        <v>1627</v>
      </c>
      <c r="O83" s="9" t="s">
        <v>1726</v>
      </c>
    </row>
    <row r="84" customFormat="false" ht="15" hidden="false" customHeight="false" outlineLevel="0" collapsed="false">
      <c r="A84" s="0" t="s">
        <v>1510</v>
      </c>
      <c r="B84" s="0" t="s">
        <v>1256</v>
      </c>
      <c r="C84" s="0" t="s">
        <v>988</v>
      </c>
      <c r="D84" s="0" t="s">
        <v>1065</v>
      </c>
      <c r="E84" s="0" t="s">
        <v>1723</v>
      </c>
      <c r="F84" s="0" t="n">
        <v>36</v>
      </c>
      <c r="G84" s="0" t="n">
        <v>14.56</v>
      </c>
      <c r="H84" s="0" t="n">
        <v>0.67</v>
      </c>
      <c r="I84" s="10" t="n">
        <v>0.536</v>
      </c>
      <c r="J84" s="0" t="n">
        <v>0.36</v>
      </c>
      <c r="K84" s="0" t="n">
        <v>0.93</v>
      </c>
      <c r="L84" s="0" t="n">
        <v>1.07</v>
      </c>
      <c r="M84" s="11" t="n">
        <f aca="false">IFERROR(G84/H84,"")</f>
        <v>21.7313432835821</v>
      </c>
      <c r="N84" s="9" t="s">
        <v>1627</v>
      </c>
      <c r="O84" s="9" t="s">
        <v>1727</v>
      </c>
    </row>
    <row r="85" customFormat="false" ht="15" hidden="false" customHeight="false" outlineLevel="0" collapsed="false">
      <c r="A85" s="0" t="s">
        <v>1511</v>
      </c>
      <c r="B85" s="0" t="s">
        <v>1258</v>
      </c>
      <c r="C85" s="0" t="s">
        <v>988</v>
      </c>
      <c r="D85" s="0" t="s">
        <v>1065</v>
      </c>
      <c r="E85" s="0" t="s">
        <v>1723</v>
      </c>
      <c r="F85" s="0" t="n">
        <v>36</v>
      </c>
      <c r="G85" s="0" t="n">
        <v>16.06</v>
      </c>
      <c r="H85" s="0" t="n">
        <v>0.74</v>
      </c>
      <c r="I85" s="10" t="n">
        <v>0.4</v>
      </c>
      <c r="J85" s="0" t="n">
        <v>0.3</v>
      </c>
      <c r="K85" s="0" t="n">
        <v>1.25</v>
      </c>
      <c r="L85" s="0" t="n">
        <v>1.17</v>
      </c>
      <c r="M85" s="11" t="n">
        <f aca="false">IFERROR(G85/H85,"")</f>
        <v>21.7027027027027</v>
      </c>
      <c r="N85" s="9" t="s">
        <v>1627</v>
      </c>
      <c r="O85" s="9" t="s">
        <v>1728</v>
      </c>
    </row>
    <row r="86" customFormat="false" ht="15" hidden="false" customHeight="false" outlineLevel="0" collapsed="false">
      <c r="A86" s="0" t="s">
        <v>1487</v>
      </c>
      <c r="B86" s="0" t="s">
        <v>1198</v>
      </c>
      <c r="C86" s="0" t="s">
        <v>988</v>
      </c>
      <c r="D86" s="0" t="s">
        <v>1014</v>
      </c>
      <c r="E86" s="0" t="s">
        <v>1729</v>
      </c>
      <c r="F86" s="0" t="n">
        <v>37</v>
      </c>
      <c r="G86" s="0" t="n">
        <v>17.68</v>
      </c>
      <c r="H86" s="0" t="n">
        <v>0.74</v>
      </c>
      <c r="I86" s="10" t="n">
        <v>0.622</v>
      </c>
      <c r="J86" s="0" t="n">
        <v>0.46</v>
      </c>
      <c r="K86" s="0" t="n">
        <v>1.04</v>
      </c>
      <c r="L86" s="0" t="n">
        <v>1.17</v>
      </c>
      <c r="M86" s="11" t="n">
        <f aca="false">IFERROR(G86/H86,"")</f>
        <v>23.8918918918919</v>
      </c>
      <c r="N86" s="9" t="s">
        <v>1627</v>
      </c>
      <c r="O86" s="9" t="s">
        <v>1730</v>
      </c>
    </row>
    <row r="87" customFormat="false" ht="15" hidden="false" customHeight="false" outlineLevel="0" collapsed="false">
      <c r="A87" s="0" t="s">
        <v>1488</v>
      </c>
      <c r="B87" s="0" t="s">
        <v>1200</v>
      </c>
      <c r="C87" s="0" t="s">
        <v>988</v>
      </c>
      <c r="D87" s="0" t="s">
        <v>1014</v>
      </c>
      <c r="E87" s="0" t="s">
        <v>1729</v>
      </c>
      <c r="F87" s="0" t="n">
        <v>37</v>
      </c>
      <c r="G87" s="0" t="n">
        <v>16.51</v>
      </c>
      <c r="H87" s="0" t="n">
        <v>0.69</v>
      </c>
      <c r="I87" s="10" t="n">
        <v>0.313</v>
      </c>
      <c r="J87" s="0" t="n">
        <v>0.22</v>
      </c>
      <c r="K87" s="0" t="n">
        <v>1.12</v>
      </c>
      <c r="L87" s="0" t="n">
        <v>1.06</v>
      </c>
      <c r="M87" s="11" t="n">
        <f aca="false">IFERROR(G87/H87,"")</f>
        <v>23.9275362318841</v>
      </c>
      <c r="N87" s="9" t="s">
        <v>1627</v>
      </c>
      <c r="O87" s="9" t="s">
        <v>1731</v>
      </c>
    </row>
    <row r="88" customFormat="false" ht="15" hidden="false" customHeight="false" outlineLevel="0" collapsed="false">
      <c r="A88" s="0" t="s">
        <v>1489</v>
      </c>
      <c r="B88" s="0" t="s">
        <v>1202</v>
      </c>
      <c r="C88" s="0" t="s">
        <v>988</v>
      </c>
      <c r="D88" s="0" t="s">
        <v>1014</v>
      </c>
      <c r="E88" s="0" t="s">
        <v>1729</v>
      </c>
      <c r="F88" s="0" t="n">
        <v>37</v>
      </c>
      <c r="G88" s="0" t="n">
        <v>15.78</v>
      </c>
      <c r="H88" s="0" t="n">
        <v>0.66</v>
      </c>
      <c r="I88" s="10" t="n">
        <v>0.526</v>
      </c>
      <c r="J88" s="0" t="n">
        <v>0.35</v>
      </c>
      <c r="K88" s="0" t="n">
        <v>0.96</v>
      </c>
      <c r="L88" s="0" t="n">
        <v>1.06</v>
      </c>
      <c r="M88" s="11" t="n">
        <f aca="false">IFERROR(G88/H88,"")</f>
        <v>23.9090909090909</v>
      </c>
      <c r="N88" s="9" t="s">
        <v>1627</v>
      </c>
      <c r="O88" s="9" t="s">
        <v>1732</v>
      </c>
    </row>
    <row r="89" customFormat="false" ht="15" hidden="false" customHeight="false" outlineLevel="0" collapsed="false">
      <c r="A89" s="0" t="s">
        <v>1490</v>
      </c>
      <c r="B89" s="0" t="s">
        <v>1204</v>
      </c>
      <c r="C89" s="0" t="s">
        <v>988</v>
      </c>
      <c r="D89" s="0" t="s">
        <v>1014</v>
      </c>
      <c r="E89" s="0" t="s">
        <v>1729</v>
      </c>
      <c r="F89" s="0" t="n">
        <v>37</v>
      </c>
      <c r="G89" s="0" t="n">
        <v>17.43</v>
      </c>
      <c r="H89" s="0" t="n">
        <v>0.73</v>
      </c>
      <c r="I89" s="10" t="n">
        <v>0.535</v>
      </c>
      <c r="J89" s="0" t="n">
        <v>0.39</v>
      </c>
      <c r="K89" s="0" t="n">
        <v>1.15</v>
      </c>
      <c r="L89" s="0" t="n">
        <v>1.24</v>
      </c>
      <c r="M89" s="11" t="n">
        <f aca="false">IFERROR(G89/H89,"")</f>
        <v>23.8767123287671</v>
      </c>
      <c r="N89" s="9" t="s">
        <v>1627</v>
      </c>
      <c r="O89" s="9" t="s">
        <v>1733</v>
      </c>
    </row>
    <row r="90" customFormat="false" ht="15" hidden="false" customHeight="false" outlineLevel="0" collapsed="false">
      <c r="A90" s="0" t="s">
        <v>1491</v>
      </c>
      <c r="B90" s="0" t="s">
        <v>1206</v>
      </c>
      <c r="C90" s="0" t="s">
        <v>988</v>
      </c>
      <c r="D90" s="0" t="s">
        <v>1014</v>
      </c>
      <c r="E90" s="0" t="s">
        <v>1729</v>
      </c>
      <c r="F90" s="0" t="n">
        <v>37</v>
      </c>
      <c r="G90" s="0" t="n">
        <v>17.46</v>
      </c>
      <c r="H90" s="0" t="n">
        <v>0.73</v>
      </c>
      <c r="I90" s="10" t="n">
        <v>0.546</v>
      </c>
      <c r="J90" s="0" t="n">
        <v>0.4</v>
      </c>
      <c r="K90" s="0" t="n">
        <v>1.11</v>
      </c>
      <c r="L90" s="0" t="n">
        <v>1.22</v>
      </c>
      <c r="M90" s="11" t="n">
        <f aca="false">IFERROR(G90/H90,"")</f>
        <v>23.9178082191781</v>
      </c>
      <c r="N90" s="9" t="s">
        <v>1627</v>
      </c>
      <c r="O90" s="9" t="s">
        <v>1734</v>
      </c>
    </row>
    <row r="91" customFormat="false" ht="15" hidden="false" customHeight="false" outlineLevel="0" collapsed="false">
      <c r="A91" s="0" t="s">
        <v>1517</v>
      </c>
      <c r="B91" s="0" t="s">
        <v>1271</v>
      </c>
      <c r="C91" s="0" t="s">
        <v>988</v>
      </c>
      <c r="D91" s="0" t="s">
        <v>995</v>
      </c>
      <c r="E91" s="0" t="s">
        <v>1735</v>
      </c>
      <c r="F91" s="0" t="n">
        <v>30</v>
      </c>
      <c r="G91" s="0" t="n">
        <v>17.1</v>
      </c>
      <c r="H91" s="0" t="n">
        <v>0.78</v>
      </c>
      <c r="I91" s="10" t="n">
        <v>0.583</v>
      </c>
      <c r="J91" s="0" t="n">
        <v>0.46</v>
      </c>
      <c r="K91" s="0" t="n">
        <v>1.15</v>
      </c>
      <c r="L91" s="0" t="n">
        <v>1.18</v>
      </c>
      <c r="M91" s="11" t="n">
        <f aca="false">IFERROR(G91/H91,"")</f>
        <v>21.9230769230769</v>
      </c>
      <c r="N91" s="9" t="s">
        <v>1627</v>
      </c>
      <c r="O91" s="9" t="s">
        <v>1736</v>
      </c>
    </row>
    <row r="92" customFormat="false" ht="15" hidden="false" customHeight="false" outlineLevel="0" collapsed="false">
      <c r="A92" s="0" t="s">
        <v>1518</v>
      </c>
      <c r="B92" s="0" t="s">
        <v>1273</v>
      </c>
      <c r="C92" s="0" t="s">
        <v>988</v>
      </c>
      <c r="D92" s="0" t="s">
        <v>995</v>
      </c>
      <c r="E92" s="0" t="s">
        <v>1735</v>
      </c>
      <c r="F92" s="0" t="n">
        <v>30</v>
      </c>
      <c r="G92" s="0" t="n">
        <v>15.23</v>
      </c>
      <c r="H92" s="0" t="n">
        <v>0.7</v>
      </c>
      <c r="I92" s="10" t="n">
        <v>0.328</v>
      </c>
      <c r="J92" s="0" t="n">
        <v>0.23</v>
      </c>
      <c r="K92" s="0" t="n">
        <v>1.2</v>
      </c>
      <c r="L92" s="0" t="n">
        <v>1.14</v>
      </c>
      <c r="M92" s="11" t="n">
        <f aca="false">IFERROR(G92/H92,"")</f>
        <v>21.7571428571429</v>
      </c>
      <c r="N92" s="9" t="s">
        <v>1627</v>
      </c>
      <c r="O92" s="9" t="s">
        <v>1737</v>
      </c>
    </row>
    <row r="93" customFormat="false" ht="15" hidden="false" customHeight="false" outlineLevel="0" collapsed="false">
      <c r="A93" s="0" t="s">
        <v>1519</v>
      </c>
      <c r="B93" s="0" t="s">
        <v>1275</v>
      </c>
      <c r="C93" s="0" t="s">
        <v>988</v>
      </c>
      <c r="D93" s="0" t="s">
        <v>995</v>
      </c>
      <c r="E93" s="0" t="s">
        <v>1735</v>
      </c>
      <c r="F93" s="0" t="n">
        <v>30</v>
      </c>
      <c r="G93" s="0" t="n">
        <v>11.33</v>
      </c>
      <c r="H93" s="0" t="n">
        <v>0.52</v>
      </c>
      <c r="I93" s="10" t="n">
        <v>0.556</v>
      </c>
      <c r="J93" s="0" t="n">
        <v>0.29</v>
      </c>
      <c r="K93" s="0" t="n">
        <v>0.77</v>
      </c>
      <c r="L93" s="0" t="n">
        <v>0.94</v>
      </c>
      <c r="M93" s="11" t="n">
        <f aca="false">IFERROR(G93/H93,"")</f>
        <v>21.7884615384615</v>
      </c>
      <c r="N93" s="9" t="s">
        <v>1627</v>
      </c>
      <c r="O93" s="9" t="s">
        <v>1738</v>
      </c>
    </row>
    <row r="94" customFormat="false" ht="15" hidden="false" customHeight="false" outlineLevel="0" collapsed="false">
      <c r="A94" s="0" t="s">
        <v>1520</v>
      </c>
      <c r="B94" s="0" t="s">
        <v>1277</v>
      </c>
      <c r="C94" s="0" t="s">
        <v>988</v>
      </c>
      <c r="D94" s="0" t="s">
        <v>995</v>
      </c>
      <c r="E94" s="0" t="s">
        <v>1735</v>
      </c>
      <c r="F94" s="0" t="n">
        <v>39</v>
      </c>
      <c r="G94" s="0" t="n">
        <v>15.1</v>
      </c>
      <c r="H94" s="0" t="n">
        <v>0.69</v>
      </c>
      <c r="I94" s="10" t="n">
        <v>0.647</v>
      </c>
      <c r="J94" s="0" t="n">
        <v>0.45</v>
      </c>
      <c r="K94" s="0" t="n">
        <v>1.02</v>
      </c>
      <c r="L94" s="0" t="n">
        <v>1.14</v>
      </c>
      <c r="M94" s="11" t="n">
        <f aca="false">IFERROR(G94/H94,"")</f>
        <v>21.8840579710145</v>
      </c>
      <c r="N94" s="9" t="s">
        <v>1627</v>
      </c>
      <c r="O94" s="9" t="s">
        <v>1739</v>
      </c>
    </row>
    <row r="95" customFormat="false" ht="15" hidden="false" customHeight="false" outlineLevel="0" collapsed="false">
      <c r="A95" s="0" t="s">
        <v>1521</v>
      </c>
      <c r="B95" s="0" t="s">
        <v>1279</v>
      </c>
      <c r="C95" s="0" t="s">
        <v>988</v>
      </c>
      <c r="D95" s="0" t="s">
        <v>995</v>
      </c>
      <c r="E95" s="0" t="s">
        <v>1735</v>
      </c>
      <c r="F95" s="0" t="n">
        <v>30</v>
      </c>
      <c r="G95" s="0" t="n">
        <v>14.7</v>
      </c>
      <c r="H95" s="0" t="n">
        <v>0.67</v>
      </c>
      <c r="I95" s="10" t="n">
        <v>0.542</v>
      </c>
      <c r="J95" s="0" t="n">
        <v>0.36</v>
      </c>
      <c r="K95" s="0" t="n">
        <v>1.15</v>
      </c>
      <c r="L95" s="0" t="n">
        <v>1.24</v>
      </c>
      <c r="M95" s="11" t="n">
        <f aca="false">IFERROR(G95/H95,"")</f>
        <v>21.9402985074627</v>
      </c>
      <c r="N95" s="9" t="s">
        <v>1627</v>
      </c>
      <c r="O95" s="9" t="s">
        <v>1740</v>
      </c>
    </row>
    <row r="96" customFormat="false" ht="15" hidden="false" customHeight="false" outlineLevel="0" collapsed="false">
      <c r="A96" s="0" t="s">
        <v>1549</v>
      </c>
      <c r="B96" s="0" t="s">
        <v>1336</v>
      </c>
      <c r="C96" s="0" t="s">
        <v>988</v>
      </c>
      <c r="D96" s="0" t="s">
        <v>1000</v>
      </c>
      <c r="E96" s="0" t="s">
        <v>1741</v>
      </c>
      <c r="F96" s="0" t="n">
        <v>38</v>
      </c>
      <c r="G96" s="0" t="n">
        <v>18.34</v>
      </c>
      <c r="H96" s="0" t="n">
        <v>0.86</v>
      </c>
      <c r="I96" s="10" t="n">
        <v>0.651</v>
      </c>
      <c r="J96" s="0" t="n">
        <v>0.56</v>
      </c>
      <c r="K96" s="0" t="n">
        <v>1.25</v>
      </c>
      <c r="L96" s="0" t="n">
        <v>1.32</v>
      </c>
      <c r="M96" s="11" t="n">
        <f aca="false">IFERROR(G96/H96,"")</f>
        <v>21.3255813953488</v>
      </c>
      <c r="N96" s="9" t="s">
        <v>1627</v>
      </c>
      <c r="O96" s="9" t="s">
        <v>1742</v>
      </c>
    </row>
    <row r="97" customFormat="false" ht="15" hidden="false" customHeight="false" outlineLevel="0" collapsed="false">
      <c r="A97" s="0" t="s">
        <v>1550</v>
      </c>
      <c r="B97" s="0" t="s">
        <v>1338</v>
      </c>
      <c r="C97" s="0" t="s">
        <v>988</v>
      </c>
      <c r="D97" s="0" t="s">
        <v>1000</v>
      </c>
      <c r="E97" s="0" t="s">
        <v>1741</v>
      </c>
      <c r="F97" s="0" t="n">
        <v>38</v>
      </c>
      <c r="G97" s="0" t="n">
        <v>12.53</v>
      </c>
      <c r="H97" s="0" t="n">
        <v>0.58</v>
      </c>
      <c r="I97" s="10" t="n">
        <v>0.502</v>
      </c>
      <c r="J97" s="0" t="n">
        <v>0.29</v>
      </c>
      <c r="K97" s="0" t="n">
        <v>0.91</v>
      </c>
      <c r="L97" s="0" t="n">
        <v>1.01</v>
      </c>
      <c r="M97" s="11" t="n">
        <f aca="false">IFERROR(G97/H97,"")</f>
        <v>21.6034482758621</v>
      </c>
      <c r="N97" s="9" t="s">
        <v>1627</v>
      </c>
      <c r="O97" s="9" t="s">
        <v>1743</v>
      </c>
    </row>
    <row r="98" customFormat="false" ht="15" hidden="false" customHeight="false" outlineLevel="0" collapsed="false">
      <c r="A98" s="0" t="s">
        <v>1551</v>
      </c>
      <c r="B98" s="0" t="s">
        <v>1340</v>
      </c>
      <c r="C98" s="0" t="s">
        <v>988</v>
      </c>
      <c r="D98" s="0" t="s">
        <v>1000</v>
      </c>
      <c r="E98" s="0" t="s">
        <v>1741</v>
      </c>
      <c r="F98" s="0" t="n">
        <v>38</v>
      </c>
      <c r="G98" s="0" t="n">
        <v>15.45</v>
      </c>
      <c r="H98" s="0" t="n">
        <v>0.72</v>
      </c>
      <c r="I98" s="10" t="n">
        <v>0.342</v>
      </c>
      <c r="J98" s="0" t="n">
        <v>0.25</v>
      </c>
      <c r="K98" s="0" t="n">
        <v>1.3</v>
      </c>
      <c r="L98" s="0" t="n">
        <v>1.13</v>
      </c>
      <c r="M98" s="11" t="n">
        <f aca="false">IFERROR(G98/H98,"")</f>
        <v>21.4583333333333</v>
      </c>
      <c r="N98" s="9" t="s">
        <v>1627</v>
      </c>
      <c r="O98" s="9" t="s">
        <v>1744</v>
      </c>
    </row>
    <row r="99" customFormat="false" ht="15" hidden="false" customHeight="false" outlineLevel="0" collapsed="false">
      <c r="A99" s="0" t="s">
        <v>1552</v>
      </c>
      <c r="B99" s="0" t="s">
        <v>1342</v>
      </c>
      <c r="C99" s="0" t="s">
        <v>988</v>
      </c>
      <c r="D99" s="0" t="s">
        <v>1000</v>
      </c>
      <c r="E99" s="0" t="s">
        <v>1741</v>
      </c>
      <c r="F99" s="0" t="n">
        <v>38</v>
      </c>
      <c r="G99" s="0" t="n">
        <v>14.42</v>
      </c>
      <c r="H99" s="0" t="n">
        <v>0.67</v>
      </c>
      <c r="I99" s="10" t="n">
        <v>0.584</v>
      </c>
      <c r="J99" s="0" t="n">
        <v>0.39</v>
      </c>
      <c r="K99" s="0" t="n">
        <v>1.03</v>
      </c>
      <c r="L99" s="0" t="n">
        <v>1.12</v>
      </c>
      <c r="M99" s="11" t="n">
        <f aca="false">IFERROR(G99/H99,"")</f>
        <v>21.5223880597015</v>
      </c>
      <c r="N99" s="9" t="s">
        <v>1627</v>
      </c>
      <c r="O99" s="9" t="s">
        <v>1745</v>
      </c>
    </row>
    <row r="100" customFormat="false" ht="15" hidden="false" customHeight="false" outlineLevel="0" collapsed="false">
      <c r="A100" s="0" t="s">
        <v>1553</v>
      </c>
      <c r="B100" s="0" t="s">
        <v>1344</v>
      </c>
      <c r="C100" s="0" t="s">
        <v>988</v>
      </c>
      <c r="D100" s="0" t="s">
        <v>1000</v>
      </c>
      <c r="E100" s="0" t="s">
        <v>1741</v>
      </c>
      <c r="F100" s="0" t="n">
        <v>38</v>
      </c>
      <c r="G100" s="0" t="n">
        <v>12.82</v>
      </c>
      <c r="H100" s="0" t="n">
        <v>0.6</v>
      </c>
      <c r="I100" s="10" t="n">
        <v>0.388</v>
      </c>
      <c r="J100" s="0" t="n">
        <v>0.23</v>
      </c>
      <c r="K100" s="0" t="n">
        <v>0.93</v>
      </c>
      <c r="L100" s="0" t="n">
        <v>1.06</v>
      </c>
      <c r="M100" s="11" t="n">
        <f aca="false">IFERROR(G100/H100,"")</f>
        <v>21.3666666666667</v>
      </c>
      <c r="N100" s="9" t="s">
        <v>1627</v>
      </c>
      <c r="O100" s="9" t="s">
        <v>1746</v>
      </c>
    </row>
    <row r="101" customFormat="false" ht="15" hidden="false" customHeight="false" outlineLevel="0" collapsed="false">
      <c r="A101" s="0" t="s">
        <v>1554</v>
      </c>
      <c r="B101" s="0" t="s">
        <v>1346</v>
      </c>
      <c r="C101" s="0" t="s">
        <v>988</v>
      </c>
      <c r="D101" s="0" t="s">
        <v>1001</v>
      </c>
      <c r="E101" s="0" t="s">
        <v>1747</v>
      </c>
      <c r="F101" s="0" t="n">
        <v>32</v>
      </c>
      <c r="G101" s="0" t="n">
        <v>14.75</v>
      </c>
      <c r="H101" s="0" t="n">
        <v>0.74</v>
      </c>
      <c r="I101" s="10" t="n">
        <v>0.631</v>
      </c>
      <c r="J101" s="0" t="n">
        <v>0.47</v>
      </c>
      <c r="K101" s="0" t="n">
        <v>1.23</v>
      </c>
      <c r="L101" s="0" t="n">
        <v>1.28</v>
      </c>
      <c r="M101" s="11" t="n">
        <f aca="false">IFERROR(G101/H101,"")</f>
        <v>19.9324324324324</v>
      </c>
      <c r="N101" s="9" t="s">
        <v>1627</v>
      </c>
      <c r="O101" s="9" t="s">
        <v>1748</v>
      </c>
    </row>
    <row r="102" customFormat="false" ht="15" hidden="false" customHeight="false" outlineLevel="0" collapsed="false">
      <c r="A102" s="0" t="s">
        <v>1555</v>
      </c>
      <c r="B102" s="0" t="s">
        <v>1348</v>
      </c>
      <c r="C102" s="0" t="s">
        <v>988</v>
      </c>
      <c r="D102" s="0" t="s">
        <v>1001</v>
      </c>
      <c r="E102" s="0" t="s">
        <v>1747</v>
      </c>
      <c r="F102" s="0" t="n">
        <v>32</v>
      </c>
      <c r="G102" s="0" t="n">
        <v>13.56</v>
      </c>
      <c r="H102" s="0" t="n">
        <v>0.68</v>
      </c>
      <c r="I102" s="10" t="n">
        <v>0.329</v>
      </c>
      <c r="J102" s="0" t="n">
        <v>0.22</v>
      </c>
      <c r="K102" s="0" t="n">
        <v>1.11</v>
      </c>
      <c r="L102" s="0" t="n">
        <v>1.07</v>
      </c>
      <c r="M102" s="11" t="n">
        <f aca="false">IFERROR(G102/H102,"")</f>
        <v>19.9411764705882</v>
      </c>
      <c r="N102" s="9" t="s">
        <v>1627</v>
      </c>
      <c r="O102" s="9" t="s">
        <v>1749</v>
      </c>
    </row>
    <row r="103" customFormat="false" ht="15" hidden="false" customHeight="false" outlineLevel="0" collapsed="false">
      <c r="A103" s="0" t="s">
        <v>1556</v>
      </c>
      <c r="B103" s="0" t="s">
        <v>1350</v>
      </c>
      <c r="C103" s="0" t="s">
        <v>988</v>
      </c>
      <c r="D103" s="0" t="s">
        <v>1001</v>
      </c>
      <c r="E103" s="0" t="s">
        <v>1747</v>
      </c>
      <c r="F103" s="0" t="n">
        <v>32</v>
      </c>
      <c r="G103" s="0" t="n">
        <v>12.25</v>
      </c>
      <c r="H103" s="0" t="n">
        <v>0.62</v>
      </c>
      <c r="I103" s="10" t="n">
        <v>0.625</v>
      </c>
      <c r="J103" s="0" t="n">
        <v>0.38</v>
      </c>
      <c r="K103" s="0" t="n">
        <v>0.97</v>
      </c>
      <c r="L103" s="0" t="n">
        <v>1.08</v>
      </c>
      <c r="M103" s="11" t="n">
        <f aca="false">IFERROR(G103/H103,"")</f>
        <v>19.758064516129</v>
      </c>
      <c r="N103" s="9" t="s">
        <v>1627</v>
      </c>
      <c r="O103" s="9" t="s">
        <v>1750</v>
      </c>
    </row>
    <row r="104" customFormat="false" ht="15" hidden="false" customHeight="false" outlineLevel="0" collapsed="false">
      <c r="A104" s="0" t="s">
        <v>1557</v>
      </c>
      <c r="B104" s="0" t="s">
        <v>1352</v>
      </c>
      <c r="C104" s="0" t="s">
        <v>988</v>
      </c>
      <c r="D104" s="0" t="s">
        <v>1001</v>
      </c>
      <c r="E104" s="0" t="s">
        <v>1747</v>
      </c>
      <c r="F104" s="0" t="n">
        <v>32</v>
      </c>
      <c r="G104" s="0" t="n">
        <v>12.03</v>
      </c>
      <c r="H104" s="0" t="n">
        <v>0.6</v>
      </c>
      <c r="I104" s="10" t="n">
        <v>0.642</v>
      </c>
      <c r="J104" s="0" t="n">
        <v>0.39</v>
      </c>
      <c r="K104" s="0" t="n">
        <v>0.93</v>
      </c>
      <c r="L104" s="0" t="n">
        <v>1.03</v>
      </c>
      <c r="M104" s="11" t="n">
        <f aca="false">IFERROR(G104/H104,"")</f>
        <v>20.05</v>
      </c>
      <c r="N104" s="9" t="s">
        <v>1627</v>
      </c>
      <c r="O104" s="9" t="s">
        <v>1751</v>
      </c>
    </row>
    <row r="105" customFormat="false" ht="15" hidden="false" customHeight="false" outlineLevel="0" collapsed="false">
      <c r="A105" s="0" t="s">
        <v>1558</v>
      </c>
      <c r="B105" s="0" t="s">
        <v>1354</v>
      </c>
      <c r="C105" s="0" t="s">
        <v>988</v>
      </c>
      <c r="D105" s="0" t="s">
        <v>1001</v>
      </c>
      <c r="E105" s="0" t="s">
        <v>1747</v>
      </c>
      <c r="F105" s="0" t="n">
        <v>32</v>
      </c>
      <c r="G105" s="0" t="n">
        <v>12.59</v>
      </c>
      <c r="H105" s="0" t="n">
        <v>0.63</v>
      </c>
      <c r="I105" s="10" t="n">
        <v>0.546</v>
      </c>
      <c r="J105" s="0" t="n">
        <v>0.35</v>
      </c>
      <c r="K105" s="0" t="n">
        <v>0.95</v>
      </c>
      <c r="L105" s="0" t="n">
        <v>1.07</v>
      </c>
      <c r="M105" s="11" t="n">
        <f aca="false">IFERROR(G105/H105,"")</f>
        <v>19.984126984127</v>
      </c>
      <c r="N105" s="9" t="s">
        <v>1627</v>
      </c>
      <c r="O105" s="9" t="s">
        <v>1752</v>
      </c>
    </row>
    <row r="106" customFormat="false" ht="15" hidden="false" customHeight="false" outlineLevel="0" collapsed="false">
      <c r="A106" s="0" t="s">
        <v>1460</v>
      </c>
      <c r="B106" s="0" t="s">
        <v>1126</v>
      </c>
      <c r="C106" s="0" t="s">
        <v>988</v>
      </c>
      <c r="D106" s="0" t="s">
        <v>1007</v>
      </c>
      <c r="E106" s="0" t="s">
        <v>1753</v>
      </c>
      <c r="F106" s="0" t="n">
        <v>36</v>
      </c>
      <c r="G106" s="0" t="n">
        <v>13.36</v>
      </c>
      <c r="H106" s="0" t="n">
        <v>0.62</v>
      </c>
      <c r="I106" s="10" t="n">
        <v>0.489</v>
      </c>
      <c r="J106" s="0" t="n">
        <v>0.31</v>
      </c>
      <c r="K106" s="0" t="n">
        <v>0.98</v>
      </c>
      <c r="L106" s="0" t="n">
        <v>1.08</v>
      </c>
      <c r="M106" s="11" t="n">
        <f aca="false">IFERROR(G106/H106,"")</f>
        <v>21.5483870967742</v>
      </c>
      <c r="N106" s="9" t="s">
        <v>1627</v>
      </c>
      <c r="O106" s="9" t="s">
        <v>1754</v>
      </c>
    </row>
    <row r="107" customFormat="false" ht="15" hidden="false" customHeight="false" outlineLevel="0" collapsed="false">
      <c r="A107" s="0" t="s">
        <v>1461</v>
      </c>
      <c r="B107" s="0" t="s">
        <v>1128</v>
      </c>
      <c r="C107" s="0" t="s">
        <v>988</v>
      </c>
      <c r="D107" s="0" t="s">
        <v>1007</v>
      </c>
      <c r="E107" s="0" t="s">
        <v>1753</v>
      </c>
      <c r="F107" s="0" t="n">
        <v>37</v>
      </c>
      <c r="G107" s="0" t="n">
        <v>14.43</v>
      </c>
      <c r="H107" s="0" t="n">
        <v>0.69</v>
      </c>
      <c r="I107" s="10" t="n">
        <v>0.515</v>
      </c>
      <c r="J107" s="0" t="n">
        <v>0.35</v>
      </c>
      <c r="K107" s="0" t="n">
        <v>1.03</v>
      </c>
      <c r="L107" s="0" t="n">
        <v>1.16</v>
      </c>
      <c r="M107" s="11" t="n">
        <f aca="false">IFERROR(G107/H107,"")</f>
        <v>20.9130434782609</v>
      </c>
      <c r="N107" s="9" t="s">
        <v>1627</v>
      </c>
      <c r="O107" s="9" t="s">
        <v>1755</v>
      </c>
    </row>
    <row r="108" customFormat="false" ht="15" hidden="false" customHeight="false" outlineLevel="0" collapsed="false">
      <c r="A108" s="0" t="s">
        <v>1462</v>
      </c>
      <c r="B108" s="0" t="s">
        <v>1130</v>
      </c>
      <c r="C108" s="0" t="s">
        <v>988</v>
      </c>
      <c r="D108" s="0" t="s">
        <v>1007</v>
      </c>
      <c r="E108" s="0" t="s">
        <v>1753</v>
      </c>
      <c r="F108" s="0" t="n">
        <v>36</v>
      </c>
      <c r="G108" s="0" t="n">
        <v>15.56</v>
      </c>
      <c r="H108" s="0" t="n">
        <v>0.73</v>
      </c>
      <c r="I108" s="10" t="n">
        <v>0.677</v>
      </c>
      <c r="J108" s="0" t="n">
        <v>0.49</v>
      </c>
      <c r="K108" s="0" t="n">
        <v>1.12</v>
      </c>
      <c r="L108" s="0" t="n">
        <v>1.18</v>
      </c>
      <c r="M108" s="11" t="n">
        <f aca="false">IFERROR(G108/H108,"")</f>
        <v>21.3150684931507</v>
      </c>
      <c r="N108" s="9" t="s">
        <v>1627</v>
      </c>
      <c r="O108" s="9" t="s">
        <v>1756</v>
      </c>
    </row>
    <row r="109" customFormat="false" ht="15" hidden="false" customHeight="false" outlineLevel="0" collapsed="false">
      <c r="A109" s="0" t="s">
        <v>1463</v>
      </c>
      <c r="B109" s="0" t="s">
        <v>1133</v>
      </c>
      <c r="C109" s="0" t="s">
        <v>988</v>
      </c>
      <c r="D109" s="0" t="s">
        <v>1007</v>
      </c>
      <c r="E109" s="0" t="s">
        <v>1753</v>
      </c>
      <c r="F109" s="0" t="n">
        <v>36</v>
      </c>
      <c r="G109" s="0" t="n">
        <v>15.83</v>
      </c>
      <c r="H109" s="0" t="n">
        <v>0.74</v>
      </c>
      <c r="I109" s="10" t="n">
        <v>0.502</v>
      </c>
      <c r="J109" s="0" t="n">
        <v>0.37</v>
      </c>
      <c r="K109" s="0" t="n">
        <v>1.15</v>
      </c>
      <c r="L109" s="0" t="n">
        <v>1.24</v>
      </c>
      <c r="M109" s="11" t="n">
        <f aca="false">IFERROR(G109/H109,"")</f>
        <v>21.3918918918919</v>
      </c>
      <c r="N109" s="9" t="s">
        <v>1627</v>
      </c>
      <c r="O109" s="9" t="s">
        <v>1757</v>
      </c>
    </row>
    <row r="110" customFormat="false" ht="15" hidden="false" customHeight="false" outlineLevel="0" collapsed="false">
      <c r="A110" s="0" t="s">
        <v>1464</v>
      </c>
      <c r="B110" s="0" t="s">
        <v>1135</v>
      </c>
      <c r="C110" s="0" t="s">
        <v>988</v>
      </c>
      <c r="D110" s="0" t="s">
        <v>1007</v>
      </c>
      <c r="E110" s="0" t="s">
        <v>1753</v>
      </c>
      <c r="F110" s="0" t="n">
        <v>36</v>
      </c>
      <c r="G110" s="0" t="n">
        <v>14.83</v>
      </c>
      <c r="H110" s="0" t="n">
        <v>0.69</v>
      </c>
      <c r="I110" s="10" t="n">
        <v>0.356</v>
      </c>
      <c r="J110" s="0" t="n">
        <v>0.25</v>
      </c>
      <c r="K110" s="0" t="n">
        <v>1.21</v>
      </c>
      <c r="L110" s="0" t="n">
        <v>1.16</v>
      </c>
      <c r="M110" s="11" t="n">
        <f aca="false">IFERROR(G110/H110,"")</f>
        <v>21.4927536231884</v>
      </c>
      <c r="N110" s="9" t="s">
        <v>1627</v>
      </c>
      <c r="O110" s="9" t="s">
        <v>1758</v>
      </c>
    </row>
    <row r="111" customFormat="false" ht="15" hidden="false" customHeight="false" outlineLevel="0" collapsed="false">
      <c r="A111" s="0" t="s">
        <v>1564</v>
      </c>
      <c r="B111" s="0" t="s">
        <v>1370</v>
      </c>
      <c r="C111" s="0" t="s">
        <v>988</v>
      </c>
      <c r="D111" s="0" t="s">
        <v>1019</v>
      </c>
      <c r="E111" s="0" t="s">
        <v>1759</v>
      </c>
      <c r="F111" s="0" t="n">
        <v>38</v>
      </c>
      <c r="G111" s="0" t="n">
        <v>13.84</v>
      </c>
      <c r="H111" s="0" t="n">
        <v>0.69</v>
      </c>
      <c r="I111" s="10" t="n">
        <v>0.546</v>
      </c>
      <c r="J111" s="0" t="n">
        <v>0.37</v>
      </c>
      <c r="K111" s="0" t="n">
        <v>1.08</v>
      </c>
      <c r="L111" s="0" t="n">
        <v>1.23</v>
      </c>
      <c r="M111" s="11" t="n">
        <f aca="false">IFERROR(G111/H111,"")</f>
        <v>20.0579710144928</v>
      </c>
      <c r="N111" s="9" t="s">
        <v>1627</v>
      </c>
      <c r="O111" s="9" t="s">
        <v>1760</v>
      </c>
    </row>
    <row r="112" customFormat="false" ht="15" hidden="false" customHeight="false" outlineLevel="0" collapsed="false">
      <c r="A112" s="0" t="s">
        <v>1565</v>
      </c>
      <c r="B112" s="0" t="s">
        <v>1373</v>
      </c>
      <c r="C112" s="0" t="s">
        <v>988</v>
      </c>
      <c r="D112" s="0" t="s">
        <v>1019</v>
      </c>
      <c r="E112" s="0" t="s">
        <v>1759</v>
      </c>
      <c r="F112" s="0" t="n">
        <v>34</v>
      </c>
      <c r="G112" s="0" t="n">
        <v>13.88</v>
      </c>
      <c r="H112" s="0" t="n">
        <v>0.65</v>
      </c>
      <c r="I112" s="10" t="n">
        <v>0.551</v>
      </c>
      <c r="J112" s="0" t="n">
        <v>0.36</v>
      </c>
      <c r="K112" s="0" t="n">
        <v>1.06</v>
      </c>
      <c r="L112" s="0" t="n">
        <v>1.11</v>
      </c>
      <c r="M112" s="11" t="n">
        <f aca="false">IFERROR(G112/H112,"")</f>
        <v>21.3538461538462</v>
      </c>
      <c r="N112" s="9" t="s">
        <v>1627</v>
      </c>
      <c r="O112" s="9" t="s">
        <v>1761</v>
      </c>
    </row>
    <row r="113" customFormat="false" ht="15" hidden="false" customHeight="false" outlineLevel="0" collapsed="false">
      <c r="A113" s="0" t="s">
        <v>1566</v>
      </c>
      <c r="B113" s="0" t="s">
        <v>1375</v>
      </c>
      <c r="C113" s="0" t="s">
        <v>988</v>
      </c>
      <c r="D113" s="0" t="s">
        <v>1019</v>
      </c>
      <c r="E113" s="0" t="s">
        <v>1759</v>
      </c>
      <c r="F113" s="0" t="n">
        <v>38</v>
      </c>
      <c r="G113" s="0" t="n">
        <v>12.89</v>
      </c>
      <c r="H113" s="0" t="n">
        <v>0.64</v>
      </c>
      <c r="I113" s="10" t="n">
        <v>0.58</v>
      </c>
      <c r="J113" s="0" t="n">
        <v>0.37</v>
      </c>
      <c r="K113" s="0" t="n">
        <v>1.1</v>
      </c>
      <c r="L113" s="0" t="n">
        <v>1.15</v>
      </c>
      <c r="M113" s="11" t="n">
        <f aca="false">IFERROR(G113/H113,"")</f>
        <v>20.140625</v>
      </c>
      <c r="N113" s="9" t="s">
        <v>1627</v>
      </c>
      <c r="O113" s="9" t="s">
        <v>1762</v>
      </c>
    </row>
    <row r="114" customFormat="false" ht="15" hidden="false" customHeight="false" outlineLevel="0" collapsed="false">
      <c r="A114" s="0" t="s">
        <v>1567</v>
      </c>
      <c r="B114" s="0" t="s">
        <v>1377</v>
      </c>
      <c r="C114" s="0" t="s">
        <v>988</v>
      </c>
      <c r="D114" s="0" t="s">
        <v>1019</v>
      </c>
      <c r="E114" s="0" t="s">
        <v>1759</v>
      </c>
      <c r="F114" s="0" t="n">
        <v>38</v>
      </c>
      <c r="G114" s="0" t="n">
        <v>14.74</v>
      </c>
      <c r="H114" s="0" t="n">
        <v>0.73</v>
      </c>
      <c r="I114" s="10" t="n">
        <v>0.536</v>
      </c>
      <c r="J114" s="0" t="n">
        <v>0.39</v>
      </c>
      <c r="K114" s="0" t="n">
        <v>1.27</v>
      </c>
      <c r="L114" s="0" t="n">
        <v>1.24</v>
      </c>
      <c r="M114" s="11" t="n">
        <f aca="false">IFERROR(G114/H114,"")</f>
        <v>20.1917808219178</v>
      </c>
      <c r="N114" s="9" t="s">
        <v>1627</v>
      </c>
      <c r="O114" s="9" t="s">
        <v>1763</v>
      </c>
    </row>
    <row r="115" customFormat="false" ht="15" hidden="false" customHeight="false" outlineLevel="0" collapsed="false">
      <c r="A115" s="0" t="s">
        <v>1568</v>
      </c>
      <c r="B115" s="0" t="s">
        <v>1381</v>
      </c>
      <c r="C115" s="0" t="s">
        <v>988</v>
      </c>
      <c r="D115" s="0" t="s">
        <v>1019</v>
      </c>
      <c r="E115" s="0" t="s">
        <v>1759</v>
      </c>
      <c r="F115" s="0" t="n">
        <v>38</v>
      </c>
      <c r="G115" s="0" t="n">
        <v>17.05</v>
      </c>
      <c r="H115" s="0" t="n">
        <v>0.85</v>
      </c>
      <c r="I115" s="10" t="n">
        <v>0.423</v>
      </c>
      <c r="J115" s="0" t="n">
        <v>0.36</v>
      </c>
      <c r="K115" s="0" t="n">
        <v>1.56</v>
      </c>
      <c r="L115" s="0" t="n">
        <v>1.45</v>
      </c>
      <c r="M115" s="11" t="n">
        <f aca="false">IFERROR(G115/H115,"")</f>
        <v>20.0588235294118</v>
      </c>
      <c r="N115" s="9" t="s">
        <v>1627</v>
      </c>
      <c r="O115" s="9" t="s">
        <v>1764</v>
      </c>
    </row>
    <row r="116" customFormat="false" ht="15" hidden="false" customHeight="false" outlineLevel="0" collapsed="false">
      <c r="A116" s="0" t="s">
        <v>1497</v>
      </c>
      <c r="B116" s="0" t="s">
        <v>1219</v>
      </c>
      <c r="C116" s="0" t="s">
        <v>988</v>
      </c>
      <c r="D116" s="0" t="s">
        <v>1077</v>
      </c>
      <c r="E116" s="0" t="s">
        <v>1765</v>
      </c>
      <c r="F116" s="0" t="n">
        <v>36</v>
      </c>
      <c r="G116" s="0" t="n">
        <v>15</v>
      </c>
      <c r="H116" s="0" t="n">
        <v>0.7</v>
      </c>
      <c r="I116" s="10" t="n">
        <v>0.665</v>
      </c>
      <c r="J116" s="0" t="n">
        <v>0.47</v>
      </c>
      <c r="K116" s="0" t="n">
        <v>1.1</v>
      </c>
      <c r="L116" s="0" t="n">
        <v>1.21</v>
      </c>
      <c r="M116" s="11" t="n">
        <f aca="false">IFERROR(G116/H116,"")</f>
        <v>21.4285714285714</v>
      </c>
      <c r="N116" s="9" t="s">
        <v>1627</v>
      </c>
      <c r="O116" s="9" t="s">
        <v>1766</v>
      </c>
    </row>
    <row r="117" customFormat="false" ht="15" hidden="false" customHeight="false" outlineLevel="0" collapsed="false">
      <c r="A117" s="0" t="s">
        <v>1498</v>
      </c>
      <c r="B117" s="0" t="s">
        <v>1221</v>
      </c>
      <c r="C117" s="0" t="s">
        <v>988</v>
      </c>
      <c r="D117" s="0" t="s">
        <v>1077</v>
      </c>
      <c r="E117" s="0" t="s">
        <v>1765</v>
      </c>
      <c r="F117" s="0" t="n">
        <v>35</v>
      </c>
      <c r="G117" s="0" t="n">
        <v>12.77</v>
      </c>
      <c r="H117" s="0" t="n">
        <v>0.59</v>
      </c>
      <c r="I117" s="10" t="n">
        <v>0.584</v>
      </c>
      <c r="J117" s="0" t="n">
        <v>0.35</v>
      </c>
      <c r="K117" s="0" t="n">
        <v>0.84</v>
      </c>
      <c r="L117" s="0" t="n">
        <v>1.01</v>
      </c>
      <c r="M117" s="11" t="n">
        <f aca="false">IFERROR(G117/H117,"")</f>
        <v>21.6440677966102</v>
      </c>
      <c r="N117" s="9" t="s">
        <v>1627</v>
      </c>
      <c r="O117" s="9" t="s">
        <v>1767</v>
      </c>
    </row>
    <row r="118" customFormat="false" ht="15" hidden="false" customHeight="false" outlineLevel="0" collapsed="false">
      <c r="A118" s="0" t="s">
        <v>1499</v>
      </c>
      <c r="B118" s="0" t="s">
        <v>1225</v>
      </c>
      <c r="C118" s="0" t="s">
        <v>988</v>
      </c>
      <c r="D118" s="0" t="s">
        <v>1077</v>
      </c>
      <c r="E118" s="0" t="s">
        <v>1765</v>
      </c>
      <c r="F118" s="0" t="n">
        <v>34</v>
      </c>
      <c r="G118" s="0" t="n">
        <v>13.41</v>
      </c>
      <c r="H118" s="0" t="n">
        <v>0.61</v>
      </c>
      <c r="I118" s="10" t="n">
        <v>0.544</v>
      </c>
      <c r="J118" s="0" t="n">
        <v>0.33</v>
      </c>
      <c r="K118" s="0" t="n">
        <v>0.91</v>
      </c>
      <c r="L118" s="0" t="n">
        <v>1.04</v>
      </c>
      <c r="M118" s="11" t="n">
        <f aca="false">IFERROR(G118/H118,"")</f>
        <v>21.9836065573771</v>
      </c>
      <c r="N118" s="9" t="s">
        <v>1627</v>
      </c>
      <c r="O118" s="9" t="s">
        <v>1768</v>
      </c>
    </row>
    <row r="119" customFormat="false" ht="15" hidden="false" customHeight="false" outlineLevel="0" collapsed="false">
      <c r="A119" s="0" t="s">
        <v>1500</v>
      </c>
      <c r="B119" s="0" t="s">
        <v>1227</v>
      </c>
      <c r="C119" s="0" t="s">
        <v>988</v>
      </c>
      <c r="D119" s="0" t="s">
        <v>1077</v>
      </c>
      <c r="E119" s="0" t="s">
        <v>1765</v>
      </c>
      <c r="F119" s="0" t="n">
        <v>35</v>
      </c>
      <c r="G119" s="0" t="n">
        <v>16.46</v>
      </c>
      <c r="H119" s="0" t="n">
        <v>0.78</v>
      </c>
      <c r="I119" s="10" t="n">
        <v>0.656</v>
      </c>
      <c r="J119" s="0" t="n">
        <v>0.51</v>
      </c>
      <c r="K119" s="0" t="n">
        <v>1.13</v>
      </c>
      <c r="L119" s="0" t="n">
        <v>1.23</v>
      </c>
      <c r="M119" s="11" t="n">
        <f aca="false">IFERROR(G119/H119,"")</f>
        <v>21.1025641025641</v>
      </c>
      <c r="N119" s="9" t="s">
        <v>1627</v>
      </c>
      <c r="O119" s="9" t="s">
        <v>1769</v>
      </c>
    </row>
    <row r="120" customFormat="false" ht="15" hidden="false" customHeight="false" outlineLevel="0" collapsed="false">
      <c r="A120" s="0" t="s">
        <v>1501</v>
      </c>
      <c r="B120" s="0" t="s">
        <v>1229</v>
      </c>
      <c r="C120" s="0" t="s">
        <v>988</v>
      </c>
      <c r="D120" s="0" t="s">
        <v>1077</v>
      </c>
      <c r="E120" s="0" t="s">
        <v>1765</v>
      </c>
      <c r="F120" s="0" t="n">
        <v>35</v>
      </c>
      <c r="G120" s="0" t="n">
        <v>15.11</v>
      </c>
      <c r="H120" s="0" t="n">
        <v>0.7</v>
      </c>
      <c r="I120" s="10" t="n">
        <v>0.397</v>
      </c>
      <c r="J120" s="0" t="n">
        <v>0.28</v>
      </c>
      <c r="K120" s="0" t="n">
        <v>1.18</v>
      </c>
      <c r="L120" s="0" t="n">
        <v>1.15</v>
      </c>
      <c r="M120" s="11" t="n">
        <f aca="false">IFERROR(G120/H120,"")</f>
        <v>21.5857142857143</v>
      </c>
      <c r="N120" s="9" t="s">
        <v>1627</v>
      </c>
      <c r="O120" s="9" t="s">
        <v>1770</v>
      </c>
    </row>
    <row r="121" customFormat="false" ht="15" hidden="false" customHeight="false" outlineLevel="0" collapsed="false">
      <c r="A121" s="0" t="s">
        <v>1574</v>
      </c>
      <c r="B121" s="0" t="s">
        <v>1395</v>
      </c>
      <c r="C121" s="0" t="s">
        <v>988</v>
      </c>
      <c r="D121" s="0" t="s">
        <v>1070</v>
      </c>
      <c r="E121" s="0" t="s">
        <v>1771</v>
      </c>
      <c r="F121" s="0" t="n">
        <v>37</v>
      </c>
      <c r="G121" s="0" t="n">
        <v>14.81</v>
      </c>
      <c r="H121" s="0" t="n">
        <v>0.68</v>
      </c>
      <c r="I121" s="10" t="n">
        <v>0.546</v>
      </c>
      <c r="J121" s="0" t="n">
        <v>0.37</v>
      </c>
      <c r="K121" s="0" t="n">
        <v>1.01</v>
      </c>
      <c r="L121" s="0" t="n">
        <v>1.18</v>
      </c>
      <c r="M121" s="11" t="n">
        <f aca="false">IFERROR(G121/H121,"")</f>
        <v>21.7794117647059</v>
      </c>
      <c r="N121" s="9" t="s">
        <v>1627</v>
      </c>
      <c r="O121" s="9" t="s">
        <v>1772</v>
      </c>
    </row>
    <row r="122" customFormat="false" ht="15" hidden="false" customHeight="false" outlineLevel="0" collapsed="false">
      <c r="A122" s="0" t="s">
        <v>1575</v>
      </c>
      <c r="B122" s="0" t="s">
        <v>1397</v>
      </c>
      <c r="C122" s="0" t="s">
        <v>988</v>
      </c>
      <c r="D122" s="0" t="s">
        <v>1070</v>
      </c>
      <c r="E122" s="0" t="s">
        <v>1771</v>
      </c>
      <c r="F122" s="0" t="n">
        <v>39</v>
      </c>
      <c r="G122" s="0" t="n">
        <v>15.31</v>
      </c>
      <c r="H122" s="0" t="n">
        <v>0.68</v>
      </c>
      <c r="I122" s="10" t="n">
        <v>0.583</v>
      </c>
      <c r="J122" s="0" t="n">
        <v>0.4</v>
      </c>
      <c r="K122" s="0" t="n">
        <v>1.1</v>
      </c>
      <c r="L122" s="0" t="n">
        <v>1.12</v>
      </c>
      <c r="M122" s="11" t="n">
        <f aca="false">IFERROR(G122/H122,"")</f>
        <v>22.5147058823529</v>
      </c>
      <c r="N122" s="9" t="s">
        <v>1627</v>
      </c>
      <c r="O122" s="9" t="s">
        <v>1773</v>
      </c>
    </row>
    <row r="123" customFormat="false" ht="15" hidden="false" customHeight="false" outlineLevel="0" collapsed="false">
      <c r="A123" s="0" t="s">
        <v>1576</v>
      </c>
      <c r="B123" s="0" t="s">
        <v>1399</v>
      </c>
      <c r="C123" s="0" t="s">
        <v>988</v>
      </c>
      <c r="D123" s="0" t="s">
        <v>1070</v>
      </c>
      <c r="E123" s="0" t="s">
        <v>1771</v>
      </c>
      <c r="F123" s="0" t="n">
        <v>37</v>
      </c>
      <c r="G123" s="0" t="n">
        <v>14.08</v>
      </c>
      <c r="H123" s="0" t="n">
        <v>0.64</v>
      </c>
      <c r="I123" s="10" t="n">
        <v>0.271</v>
      </c>
      <c r="J123" s="0" t="n">
        <v>0.17</v>
      </c>
      <c r="K123" s="0" t="n">
        <v>1.01</v>
      </c>
      <c r="L123" s="0" t="n">
        <v>1.01</v>
      </c>
      <c r="M123" s="11" t="n">
        <f aca="false">IFERROR(G123/H123,"")</f>
        <v>22</v>
      </c>
      <c r="N123" s="9" t="s">
        <v>1627</v>
      </c>
      <c r="O123" s="9" t="s">
        <v>1774</v>
      </c>
    </row>
    <row r="124" customFormat="false" ht="15" hidden="false" customHeight="false" outlineLevel="0" collapsed="false">
      <c r="A124" s="0" t="s">
        <v>1577</v>
      </c>
      <c r="B124" s="0" t="s">
        <v>1401</v>
      </c>
      <c r="C124" s="0" t="s">
        <v>988</v>
      </c>
      <c r="D124" s="0" t="s">
        <v>1070</v>
      </c>
      <c r="E124" s="0" t="s">
        <v>1771</v>
      </c>
      <c r="F124" s="0" t="n">
        <v>38</v>
      </c>
      <c r="G124" s="0" t="n">
        <v>14.24</v>
      </c>
      <c r="H124" s="0" t="n">
        <v>0.66</v>
      </c>
      <c r="I124" s="10" t="n">
        <v>0.652</v>
      </c>
      <c r="J124" s="0" t="n">
        <v>0.43</v>
      </c>
      <c r="K124" s="0" t="n">
        <v>0.99</v>
      </c>
      <c r="L124" s="0" t="n">
        <v>1.08</v>
      </c>
      <c r="M124" s="11" t="n">
        <f aca="false">IFERROR(G124/H124,"")</f>
        <v>21.5757575757576</v>
      </c>
      <c r="N124" s="9" t="s">
        <v>1627</v>
      </c>
      <c r="O124" s="9" t="s">
        <v>1775</v>
      </c>
    </row>
  </sheetData>
  <autoFilter ref="A1:O1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7"/>
    <col collapsed="false" customWidth="true" hidden="false" outlineLevel="0" max="3" min="3" style="0" width="14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8" min="7" style="0" width="9"/>
    <col collapsed="false" customWidth="true" hidden="false" outlineLevel="0" max="9" min="9" style="0" width="7"/>
    <col collapsed="false" customWidth="true" hidden="false" outlineLevel="0" max="10" min="10" style="0" width="6"/>
    <col collapsed="false" customWidth="true" hidden="false" outlineLevel="0" max="11" min="11" style="0" width="9"/>
  </cols>
  <sheetData>
    <row r="1" customFormat="false" ht="28.35" hidden="false" customHeight="false" outlineLevel="0" collapsed="false">
      <c r="A1" s="12" t="s">
        <v>1403</v>
      </c>
      <c r="B1" s="12" t="s">
        <v>1404</v>
      </c>
      <c r="C1" s="12" t="s">
        <v>926</v>
      </c>
      <c r="D1" s="12" t="s">
        <v>951</v>
      </c>
      <c r="E1" s="12" t="s">
        <v>64</v>
      </c>
      <c r="F1" s="12" t="s">
        <v>1776</v>
      </c>
      <c r="G1" s="12" t="s">
        <v>1777</v>
      </c>
      <c r="H1" s="12" t="s">
        <v>1778</v>
      </c>
      <c r="I1" s="12" t="s">
        <v>1619</v>
      </c>
      <c r="J1" s="12" t="s">
        <v>1621</v>
      </c>
      <c r="K1" s="12" t="s">
        <v>1779</v>
      </c>
    </row>
    <row r="2" customFormat="false" ht="15" hidden="false" customHeight="false" outlineLevel="0" collapsed="false">
      <c r="A2" s="0" t="s">
        <v>1780</v>
      </c>
      <c r="B2" s="0" t="s">
        <v>1460</v>
      </c>
      <c r="C2" s="0" t="s">
        <v>1126</v>
      </c>
      <c r="D2" s="0" t="s">
        <v>988</v>
      </c>
      <c r="E2" s="0" t="s">
        <v>150</v>
      </c>
      <c r="F2" s="0" t="n">
        <v>9</v>
      </c>
      <c r="G2" s="0" t="n">
        <v>14.6</v>
      </c>
      <c r="H2" s="0" t="n">
        <v>0.7</v>
      </c>
      <c r="I2" s="10" t="n">
        <v>0.527</v>
      </c>
      <c r="J2" s="0" t="n">
        <v>1.11</v>
      </c>
      <c r="K2" s="13" t="n">
        <f aca="false">IF(H2&lt;&gt;"",H2,IFERROR(G2/INDEX(Players!$M$2:$M$124,MATCH(B2,Players!$A$2:$A$124,0)),""))</f>
        <v>0.7</v>
      </c>
    </row>
    <row r="3" customFormat="false" ht="15" hidden="false" customHeight="false" outlineLevel="0" collapsed="false">
      <c r="A3" s="0" t="s">
        <v>1781</v>
      </c>
      <c r="B3" s="0" t="s">
        <v>1460</v>
      </c>
      <c r="C3" s="0" t="s">
        <v>1126</v>
      </c>
      <c r="D3" s="0" t="s">
        <v>988</v>
      </c>
      <c r="E3" s="0" t="s">
        <v>107</v>
      </c>
      <c r="F3" s="0" t="n">
        <v>8</v>
      </c>
      <c r="G3" s="0" t="n">
        <v>12.3</v>
      </c>
      <c r="H3" s="0" t="n">
        <v>0.59</v>
      </c>
      <c r="I3" s="10" t="n">
        <v>0.459</v>
      </c>
      <c r="J3" s="0" t="n">
        <v>0.92</v>
      </c>
      <c r="K3" s="13" t="n">
        <f aca="false">IF(H3&lt;&gt;"",H3,IFERROR(G3/INDEX(Players!$M$2:$M$124,MATCH(B3,Players!$A$2:$A$124,0)),""))</f>
        <v>0.59</v>
      </c>
    </row>
    <row r="4" customFormat="false" ht="15" hidden="false" customHeight="false" outlineLevel="0" collapsed="false">
      <c r="A4" s="0" t="s">
        <v>1782</v>
      </c>
      <c r="B4" s="0" t="s">
        <v>1460</v>
      </c>
      <c r="C4" s="0" t="s">
        <v>1126</v>
      </c>
      <c r="D4" s="0" t="s">
        <v>988</v>
      </c>
      <c r="E4" s="0" t="s">
        <v>131</v>
      </c>
      <c r="F4" s="0" t="n">
        <v>7</v>
      </c>
      <c r="G4" s="0" t="n">
        <v>12.7</v>
      </c>
      <c r="H4" s="0" t="n">
        <v>0.63</v>
      </c>
      <c r="I4" s="10" t="n">
        <v>0.528</v>
      </c>
      <c r="J4" s="0" t="n">
        <v>0.93</v>
      </c>
      <c r="K4" s="13" t="n">
        <f aca="false">IF(H4&lt;&gt;"",H4,IFERROR(G4/INDEX(Players!$M$2:$M$124,MATCH(B4,Players!$A$2:$A$124,0)),""))</f>
        <v>0.63</v>
      </c>
    </row>
    <row r="5" customFormat="false" ht="15" hidden="false" customHeight="false" outlineLevel="0" collapsed="false">
      <c r="A5" s="0" t="s">
        <v>1783</v>
      </c>
      <c r="B5" s="0" t="s">
        <v>1460</v>
      </c>
      <c r="C5" s="0" t="s">
        <v>1126</v>
      </c>
      <c r="D5" s="0" t="s">
        <v>988</v>
      </c>
      <c r="E5" s="0" t="s">
        <v>121</v>
      </c>
      <c r="F5" s="0" t="n">
        <v>6</v>
      </c>
      <c r="G5" s="0" t="n">
        <v>13.8</v>
      </c>
      <c r="H5" s="0" t="n">
        <v>0.55</v>
      </c>
      <c r="I5" s="10" t="n">
        <v>0.482</v>
      </c>
      <c r="J5" s="0" t="n">
        <v>0.84</v>
      </c>
      <c r="K5" s="13" t="n">
        <f aca="false">IF(H5&lt;&gt;"",H5,IFERROR(G5/INDEX(Players!$M$2:$M$124,MATCH(B5,Players!$A$2:$A$124,0)),""))</f>
        <v>0.55</v>
      </c>
    </row>
    <row r="6" customFormat="false" ht="15" hidden="false" customHeight="false" outlineLevel="0" collapsed="false">
      <c r="A6" s="0" t="s">
        <v>1784</v>
      </c>
      <c r="B6" s="0" t="s">
        <v>1460</v>
      </c>
      <c r="C6" s="0" t="s">
        <v>1126</v>
      </c>
      <c r="D6" s="0" t="s">
        <v>988</v>
      </c>
      <c r="E6" s="0" t="s">
        <v>142</v>
      </c>
      <c r="F6" s="0" t="n">
        <v>5</v>
      </c>
      <c r="G6" s="0" t="n">
        <v>13.8</v>
      </c>
      <c r="H6" s="0" t="n">
        <v>0.68</v>
      </c>
      <c r="I6" s="10" t="n">
        <v>0.435</v>
      </c>
      <c r="J6" s="0" t="n">
        <v>1.25</v>
      </c>
      <c r="K6" s="13" t="n">
        <f aca="false">IF(H6&lt;&gt;"",H6,IFERROR(G6/INDEX(Players!$M$2:$M$124,MATCH(B6,Players!$A$2:$A$124,0)),""))</f>
        <v>0.68</v>
      </c>
    </row>
    <row r="7" customFormat="false" ht="15" hidden="false" customHeight="false" outlineLevel="0" collapsed="false">
      <c r="A7" s="0" t="s">
        <v>1785</v>
      </c>
      <c r="B7" s="0" t="s">
        <v>1460</v>
      </c>
      <c r="C7" s="0" t="s">
        <v>1126</v>
      </c>
      <c r="D7" s="0" t="s">
        <v>988</v>
      </c>
      <c r="E7" s="0" t="s">
        <v>94</v>
      </c>
      <c r="F7" s="0" t="n">
        <v>1</v>
      </c>
      <c r="G7" s="0" t="n">
        <v>11</v>
      </c>
      <c r="H7" s="0" t="n">
        <v>0.5</v>
      </c>
      <c r="I7" s="10" t="n">
        <v>0.364</v>
      </c>
      <c r="J7" s="0" t="n">
        <v>0.73</v>
      </c>
      <c r="K7" s="13" t="n">
        <f aca="false">IF(H7&lt;&gt;"",H7,IFERROR(G7/INDEX(Players!$M$2:$M$124,MATCH(B7,Players!$A$2:$A$124,0)),""))</f>
        <v>0.5</v>
      </c>
    </row>
    <row r="8" customFormat="false" ht="15" hidden="false" customHeight="false" outlineLevel="0" collapsed="false">
      <c r="A8" s="0" t="s">
        <v>1786</v>
      </c>
      <c r="B8" s="0" t="s">
        <v>1559</v>
      </c>
      <c r="C8" s="0" t="s">
        <v>1356</v>
      </c>
      <c r="D8" s="0" t="s">
        <v>988</v>
      </c>
      <c r="E8" s="0" t="s">
        <v>142</v>
      </c>
      <c r="F8" s="0" t="n">
        <v>10</v>
      </c>
      <c r="G8" s="0" t="n">
        <v>16.5</v>
      </c>
      <c r="H8" s="0" t="n">
        <v>0.79</v>
      </c>
      <c r="I8" s="10" t="n">
        <v>0.297</v>
      </c>
      <c r="J8" s="0" t="n">
        <v>1.26</v>
      </c>
      <c r="K8" s="13" t="n">
        <f aca="false">IF(H8&lt;&gt;"",H8,IFERROR(G8/INDEX(Players!$M$2:$M$124,MATCH(B8,Players!$A$2:$A$124,0)),""))</f>
        <v>0.79</v>
      </c>
    </row>
    <row r="9" customFormat="false" ht="15" hidden="false" customHeight="false" outlineLevel="0" collapsed="false">
      <c r="A9" s="0" t="s">
        <v>1787</v>
      </c>
      <c r="B9" s="0" t="s">
        <v>1559</v>
      </c>
      <c r="C9" s="0" t="s">
        <v>1356</v>
      </c>
      <c r="D9" s="0" t="s">
        <v>988</v>
      </c>
      <c r="E9" s="0" t="s">
        <v>150</v>
      </c>
      <c r="F9" s="0" t="n">
        <v>8</v>
      </c>
      <c r="G9" s="0" t="n">
        <v>18.8</v>
      </c>
      <c r="H9" s="0" t="n">
        <v>0.91</v>
      </c>
      <c r="I9" s="10" t="n">
        <v>0.453</v>
      </c>
      <c r="J9" s="0" t="n">
        <v>1.43</v>
      </c>
      <c r="K9" s="13" t="n">
        <f aca="false">IF(H9&lt;&gt;"",H9,IFERROR(G9/INDEX(Players!$M$2:$M$124,MATCH(B9,Players!$A$2:$A$124,0)),""))</f>
        <v>0.91</v>
      </c>
    </row>
    <row r="10" customFormat="false" ht="15" hidden="false" customHeight="false" outlineLevel="0" collapsed="false">
      <c r="A10" s="0" t="s">
        <v>1788</v>
      </c>
      <c r="B10" s="0" t="s">
        <v>1559</v>
      </c>
      <c r="C10" s="0" t="s">
        <v>1356</v>
      </c>
      <c r="D10" s="0" t="s">
        <v>988</v>
      </c>
      <c r="E10" s="0" t="s">
        <v>121</v>
      </c>
      <c r="F10" s="0" t="n">
        <v>6</v>
      </c>
      <c r="G10" s="0" t="n">
        <v>17</v>
      </c>
      <c r="H10" s="0" t="n">
        <v>0.83</v>
      </c>
      <c r="I10" s="10" t="n">
        <v>0.333</v>
      </c>
      <c r="J10" s="0" t="n">
        <v>1.44</v>
      </c>
      <c r="K10" s="13" t="n">
        <f aca="false">IF(H10&lt;&gt;"",H10,IFERROR(G10/INDEX(Players!$M$2:$M$124,MATCH(B10,Players!$A$2:$A$124,0)),""))</f>
        <v>0.83</v>
      </c>
    </row>
    <row r="11" customFormat="false" ht="15" hidden="false" customHeight="false" outlineLevel="0" collapsed="false">
      <c r="A11" s="0" t="s">
        <v>1789</v>
      </c>
      <c r="B11" s="0" t="s">
        <v>1559</v>
      </c>
      <c r="C11" s="0" t="s">
        <v>1356</v>
      </c>
      <c r="D11" s="0" t="s">
        <v>988</v>
      </c>
      <c r="E11" s="0" t="s">
        <v>107</v>
      </c>
      <c r="F11" s="0" t="n">
        <v>5</v>
      </c>
      <c r="G11" s="0" t="n">
        <v>17.2</v>
      </c>
      <c r="H11" s="0" t="n">
        <v>0.82</v>
      </c>
      <c r="I11" s="10" t="n">
        <v>0.477</v>
      </c>
      <c r="J11" s="0" t="n">
        <v>1.43</v>
      </c>
      <c r="K11" s="13" t="n">
        <f aca="false">IF(H11&lt;&gt;"",H11,IFERROR(G11/INDEX(Players!$M$2:$M$124,MATCH(B11,Players!$A$2:$A$124,0)),""))</f>
        <v>0.82</v>
      </c>
    </row>
    <row r="12" customFormat="false" ht="15" hidden="false" customHeight="false" outlineLevel="0" collapsed="false">
      <c r="A12" s="0" t="s">
        <v>1790</v>
      </c>
      <c r="B12" s="0" t="s">
        <v>1559</v>
      </c>
      <c r="C12" s="0" t="s">
        <v>1356</v>
      </c>
      <c r="D12" s="0" t="s">
        <v>988</v>
      </c>
      <c r="E12" s="0" t="s">
        <v>80</v>
      </c>
      <c r="F12" s="0" t="n">
        <v>4</v>
      </c>
      <c r="G12" s="0" t="n">
        <v>15.5</v>
      </c>
      <c r="H12" s="0" t="n">
        <v>0.69</v>
      </c>
      <c r="I12" s="10" t="n">
        <v>0.371</v>
      </c>
      <c r="J12" s="0" t="n">
        <v>1.02</v>
      </c>
      <c r="K12" s="13" t="n">
        <f aca="false">IF(H12&lt;&gt;"",H12,IFERROR(G12/INDEX(Players!$M$2:$M$124,MATCH(B12,Players!$A$2:$A$124,0)),""))</f>
        <v>0.69</v>
      </c>
    </row>
    <row r="13" customFormat="false" ht="15" hidden="false" customHeight="false" outlineLevel="0" collapsed="false">
      <c r="A13" s="0" t="s">
        <v>1791</v>
      </c>
      <c r="B13" s="0" t="s">
        <v>1559</v>
      </c>
      <c r="C13" s="0" t="s">
        <v>1356</v>
      </c>
      <c r="D13" s="0" t="s">
        <v>988</v>
      </c>
      <c r="E13" s="0" t="s">
        <v>131</v>
      </c>
      <c r="F13" s="0" t="n">
        <v>2</v>
      </c>
      <c r="G13" s="0" t="n">
        <v>12</v>
      </c>
      <c r="H13" s="0" t="n">
        <v>0.63</v>
      </c>
      <c r="I13" s="10" t="n">
        <v>0.292</v>
      </c>
      <c r="J13" s="0" t="n">
        <v>0.92</v>
      </c>
      <c r="K13" s="13" t="n">
        <f aca="false">IF(H13&lt;&gt;"",H13,IFERROR(G13/INDEX(Players!$M$2:$M$124,MATCH(B13,Players!$A$2:$A$124,0)),""))</f>
        <v>0.63</v>
      </c>
    </row>
    <row r="14" customFormat="false" ht="15" hidden="false" customHeight="false" outlineLevel="0" collapsed="false">
      <c r="A14" s="0" t="s">
        <v>1792</v>
      </c>
      <c r="B14" s="0" t="s">
        <v>1507</v>
      </c>
      <c r="C14" s="0" t="s">
        <v>1247</v>
      </c>
      <c r="D14" s="0" t="s">
        <v>988</v>
      </c>
      <c r="E14" s="0" t="s">
        <v>142</v>
      </c>
      <c r="F14" s="0" t="n">
        <v>10</v>
      </c>
      <c r="G14" s="0" t="n">
        <v>11.1</v>
      </c>
      <c r="H14" s="0" t="n">
        <v>0.52</v>
      </c>
      <c r="I14" s="10" t="n">
        <v>0.55</v>
      </c>
      <c r="J14" s="0" t="n">
        <v>0.82</v>
      </c>
      <c r="K14" s="13" t="n">
        <f aca="false">IF(H14&lt;&gt;"",H14,IFERROR(G14/INDEX(Players!$M$2:$M$124,MATCH(B14,Players!$A$2:$A$124,0)),""))</f>
        <v>0.52</v>
      </c>
    </row>
    <row r="15" customFormat="false" ht="15" hidden="false" customHeight="false" outlineLevel="0" collapsed="false">
      <c r="A15" s="0" t="s">
        <v>1793</v>
      </c>
      <c r="B15" s="0" t="s">
        <v>1507</v>
      </c>
      <c r="C15" s="0" t="s">
        <v>1247</v>
      </c>
      <c r="D15" s="0" t="s">
        <v>988</v>
      </c>
      <c r="E15" s="0" t="s">
        <v>150</v>
      </c>
      <c r="F15" s="0" t="n">
        <v>9</v>
      </c>
      <c r="G15" s="0" t="n">
        <v>9.8</v>
      </c>
      <c r="H15" s="0" t="n">
        <v>0.46</v>
      </c>
      <c r="I15" s="10" t="n">
        <v>0.5</v>
      </c>
      <c r="J15" s="0" t="n">
        <v>0.74</v>
      </c>
      <c r="K15" s="13" t="n">
        <f aca="false">IF(H15&lt;&gt;"",H15,IFERROR(G15/INDEX(Players!$M$2:$M$124,MATCH(B15,Players!$A$2:$A$124,0)),""))</f>
        <v>0.46</v>
      </c>
    </row>
    <row r="16" customFormat="false" ht="15" hidden="false" customHeight="false" outlineLevel="0" collapsed="false">
      <c r="A16" s="0" t="s">
        <v>1794</v>
      </c>
      <c r="B16" s="0" t="s">
        <v>1507</v>
      </c>
      <c r="C16" s="0" t="s">
        <v>1247</v>
      </c>
      <c r="D16" s="0" t="s">
        <v>988</v>
      </c>
      <c r="E16" s="0" t="s">
        <v>80</v>
      </c>
      <c r="F16" s="0" t="n">
        <v>5</v>
      </c>
      <c r="G16" s="0" t="n">
        <v>11.2</v>
      </c>
      <c r="H16" s="0" t="n">
        <v>0.54</v>
      </c>
      <c r="I16" s="10" t="n">
        <v>0.696</v>
      </c>
      <c r="J16" s="0" t="n">
        <v>1.1</v>
      </c>
      <c r="K16" s="13" t="n">
        <f aca="false">IF(H16&lt;&gt;"",H16,IFERROR(G16/INDEX(Players!$M$2:$M$124,MATCH(B16,Players!$A$2:$A$124,0)),""))</f>
        <v>0.54</v>
      </c>
    </row>
    <row r="17" customFormat="false" ht="15" hidden="false" customHeight="false" outlineLevel="0" collapsed="false">
      <c r="A17" s="0" t="s">
        <v>1795</v>
      </c>
      <c r="B17" s="0" t="s">
        <v>1507</v>
      </c>
      <c r="C17" s="0" t="s">
        <v>1247</v>
      </c>
      <c r="D17" s="0" t="s">
        <v>988</v>
      </c>
      <c r="E17" s="0" t="s">
        <v>131</v>
      </c>
      <c r="F17" s="0" t="n">
        <v>4</v>
      </c>
      <c r="G17" s="0" t="n">
        <v>8.5</v>
      </c>
      <c r="H17" s="0" t="n">
        <v>0.4</v>
      </c>
      <c r="I17" s="10" t="n">
        <v>0.5</v>
      </c>
      <c r="J17" s="0" t="n">
        <v>0.74</v>
      </c>
      <c r="K17" s="13" t="n">
        <f aca="false">IF(H17&lt;&gt;"",H17,IFERROR(G17/INDEX(Players!$M$2:$M$124,MATCH(B17,Players!$A$2:$A$124,0)),""))</f>
        <v>0.4</v>
      </c>
    </row>
    <row r="18" customFormat="false" ht="15" hidden="false" customHeight="false" outlineLevel="0" collapsed="false">
      <c r="A18" s="0" t="s">
        <v>1796</v>
      </c>
      <c r="B18" s="0" t="s">
        <v>1507</v>
      </c>
      <c r="C18" s="0" t="s">
        <v>1247</v>
      </c>
      <c r="D18" s="0" t="s">
        <v>988</v>
      </c>
      <c r="E18" s="0" t="s">
        <v>94</v>
      </c>
      <c r="F18" s="0" t="n">
        <v>3</v>
      </c>
      <c r="G18" s="0" t="n">
        <v>12.3</v>
      </c>
      <c r="H18" s="0" t="n">
        <v>0.54</v>
      </c>
      <c r="I18" s="10" t="n">
        <v>0.486</v>
      </c>
      <c r="J18" s="0" t="n">
        <v>0.88</v>
      </c>
      <c r="K18" s="13" t="n">
        <f aca="false">IF(H18&lt;&gt;"",H18,IFERROR(G18/INDEX(Players!$M$2:$M$124,MATCH(B18,Players!$A$2:$A$124,0)),""))</f>
        <v>0.54</v>
      </c>
    </row>
    <row r="19" customFormat="false" ht="15" hidden="false" customHeight="false" outlineLevel="0" collapsed="false">
      <c r="A19" s="0" t="s">
        <v>1797</v>
      </c>
      <c r="B19" s="0" t="s">
        <v>1507</v>
      </c>
      <c r="C19" s="0" t="s">
        <v>1247</v>
      </c>
      <c r="D19" s="0" t="s">
        <v>988</v>
      </c>
      <c r="E19" s="0" t="s">
        <v>121</v>
      </c>
      <c r="F19" s="0" t="n">
        <v>3</v>
      </c>
      <c r="G19" s="0" t="n">
        <v>9.7</v>
      </c>
      <c r="H19" s="0" t="n">
        <v>0.52</v>
      </c>
      <c r="I19" s="10" t="n">
        <v>0.483</v>
      </c>
      <c r="J19" s="0" t="n">
        <v>0.71</v>
      </c>
      <c r="K19" s="13" t="n">
        <f aca="false">IF(H19&lt;&gt;"",H19,IFERROR(G19/INDEX(Players!$M$2:$M$124,MATCH(B19,Players!$A$2:$A$124,0)),""))</f>
        <v>0.52</v>
      </c>
    </row>
    <row r="20" customFormat="false" ht="15" hidden="false" customHeight="false" outlineLevel="0" collapsed="false">
      <c r="A20" s="0" t="s">
        <v>1798</v>
      </c>
      <c r="B20" s="0" t="s">
        <v>1507</v>
      </c>
      <c r="C20" s="0" t="s">
        <v>1247</v>
      </c>
      <c r="D20" s="0" t="s">
        <v>988</v>
      </c>
      <c r="E20" s="0" t="s">
        <v>107</v>
      </c>
      <c r="F20" s="0" t="n">
        <v>2</v>
      </c>
      <c r="G20" s="0" t="n">
        <v>19</v>
      </c>
      <c r="H20" s="0" t="n">
        <v>0.58</v>
      </c>
      <c r="I20" s="10" t="n">
        <v>0.421</v>
      </c>
      <c r="J20" s="0" t="n">
        <v>1.06</v>
      </c>
      <c r="K20" s="13" t="n">
        <f aca="false">IF(H20&lt;&gt;"",H20,IFERROR(G20/INDEX(Players!$M$2:$M$124,MATCH(B20,Players!$A$2:$A$124,0)),""))</f>
        <v>0.58</v>
      </c>
    </row>
    <row r="21" customFormat="false" ht="15" hidden="false" customHeight="false" outlineLevel="0" collapsed="false">
      <c r="A21" s="0" t="s">
        <v>1799</v>
      </c>
      <c r="B21" s="0" t="s">
        <v>1534</v>
      </c>
      <c r="C21" s="0" t="s">
        <v>1306</v>
      </c>
      <c r="D21" s="0" t="s">
        <v>988</v>
      </c>
      <c r="E21" s="0" t="s">
        <v>107</v>
      </c>
      <c r="F21" s="0" t="n">
        <v>12</v>
      </c>
      <c r="G21" s="0" t="n">
        <v>10.8</v>
      </c>
      <c r="H21" s="0" t="n">
        <v>0.51</v>
      </c>
      <c r="I21" s="10" t="n">
        <v>0.477</v>
      </c>
      <c r="J21" s="0" t="n">
        <v>0.72</v>
      </c>
      <c r="K21" s="13" t="n">
        <f aca="false">IF(H21&lt;&gt;"",H21,IFERROR(G21/INDEX(Players!$M$2:$M$124,MATCH(B21,Players!$A$2:$A$124,0)),""))</f>
        <v>0.51</v>
      </c>
    </row>
    <row r="22" customFormat="false" ht="15" hidden="false" customHeight="false" outlineLevel="0" collapsed="false">
      <c r="A22" s="0" t="s">
        <v>1800</v>
      </c>
      <c r="B22" s="0" t="s">
        <v>1534</v>
      </c>
      <c r="C22" s="0" t="s">
        <v>1306</v>
      </c>
      <c r="D22" s="0" t="s">
        <v>988</v>
      </c>
      <c r="E22" s="0" t="s">
        <v>121</v>
      </c>
      <c r="F22" s="0" t="n">
        <v>9</v>
      </c>
      <c r="G22" s="0" t="n">
        <v>14.4</v>
      </c>
      <c r="H22" s="0" t="n">
        <v>0.58</v>
      </c>
      <c r="I22" s="10" t="n">
        <v>0.446</v>
      </c>
      <c r="J22" s="0" t="n">
        <v>0.87</v>
      </c>
      <c r="K22" s="13" t="n">
        <f aca="false">IF(H22&lt;&gt;"",H22,IFERROR(G22/INDEX(Players!$M$2:$M$124,MATCH(B22,Players!$A$2:$A$124,0)),""))</f>
        <v>0.58</v>
      </c>
    </row>
    <row r="23" customFormat="false" ht="15" hidden="false" customHeight="false" outlineLevel="0" collapsed="false">
      <c r="A23" s="0" t="s">
        <v>1801</v>
      </c>
      <c r="B23" s="0" t="s">
        <v>1534</v>
      </c>
      <c r="C23" s="0" t="s">
        <v>1306</v>
      </c>
      <c r="D23" s="0" t="s">
        <v>988</v>
      </c>
      <c r="E23" s="0" t="s">
        <v>150</v>
      </c>
      <c r="F23" s="0" t="n">
        <v>9</v>
      </c>
      <c r="G23" s="0" t="n">
        <v>12.4</v>
      </c>
      <c r="H23" s="0" t="n">
        <v>0.54</v>
      </c>
      <c r="I23" s="10" t="n">
        <v>0.464</v>
      </c>
      <c r="J23" s="0" t="n">
        <v>0.77</v>
      </c>
      <c r="K23" s="13" t="n">
        <f aca="false">IF(H23&lt;&gt;"",H23,IFERROR(G23/INDEX(Players!$M$2:$M$124,MATCH(B23,Players!$A$2:$A$124,0)),""))</f>
        <v>0.54</v>
      </c>
    </row>
    <row r="24" customFormat="false" ht="15" hidden="false" customHeight="false" outlineLevel="0" collapsed="false">
      <c r="A24" s="0" t="s">
        <v>1802</v>
      </c>
      <c r="B24" s="0" t="s">
        <v>1534</v>
      </c>
      <c r="C24" s="0" t="s">
        <v>1306</v>
      </c>
      <c r="D24" s="0" t="s">
        <v>988</v>
      </c>
      <c r="E24" s="0" t="s">
        <v>80</v>
      </c>
      <c r="F24" s="0" t="n">
        <v>4</v>
      </c>
      <c r="G24" s="0" t="n">
        <v>13.3</v>
      </c>
      <c r="H24" s="0" t="n">
        <v>0.51</v>
      </c>
      <c r="I24" s="10" t="n">
        <v>0.434</v>
      </c>
      <c r="J24" s="0" t="n">
        <v>0.69</v>
      </c>
      <c r="K24" s="13" t="n">
        <f aca="false">IF(H24&lt;&gt;"",H24,IFERROR(G24/INDEX(Players!$M$2:$M$124,MATCH(B24,Players!$A$2:$A$124,0)),""))</f>
        <v>0.51</v>
      </c>
    </row>
    <row r="25" customFormat="false" ht="15" hidden="false" customHeight="false" outlineLevel="0" collapsed="false">
      <c r="A25" s="0" t="s">
        <v>1803</v>
      </c>
      <c r="B25" s="0" t="s">
        <v>1534</v>
      </c>
      <c r="C25" s="0" t="s">
        <v>1306</v>
      </c>
      <c r="D25" s="0" t="s">
        <v>988</v>
      </c>
      <c r="E25" s="0" t="s">
        <v>142</v>
      </c>
      <c r="F25" s="0" t="n">
        <v>3</v>
      </c>
      <c r="G25" s="0" t="n">
        <v>13.3</v>
      </c>
      <c r="H25" s="0" t="n">
        <v>0.62</v>
      </c>
      <c r="I25" s="10" t="n">
        <v>0.475</v>
      </c>
      <c r="J25" s="0" t="n">
        <v>0.93</v>
      </c>
      <c r="K25" s="13" t="n">
        <f aca="false">IF(H25&lt;&gt;"",H25,IFERROR(G25/INDEX(Players!$M$2:$M$124,MATCH(B25,Players!$A$2:$A$124,0)),""))</f>
        <v>0.62</v>
      </c>
    </row>
    <row r="26" customFormat="false" ht="15" hidden="false" customHeight="false" outlineLevel="0" collapsed="false">
      <c r="A26" s="0" t="s">
        <v>1804</v>
      </c>
      <c r="B26" s="0" t="s">
        <v>1534</v>
      </c>
      <c r="C26" s="0" t="s">
        <v>1306</v>
      </c>
      <c r="D26" s="0" t="s">
        <v>988</v>
      </c>
      <c r="E26" s="0" t="s">
        <v>131</v>
      </c>
      <c r="F26" s="0" t="n">
        <v>1</v>
      </c>
      <c r="G26" s="0" t="n">
        <v>15</v>
      </c>
      <c r="H26" s="0" t="n">
        <v>0.65</v>
      </c>
      <c r="I26" s="10" t="n">
        <v>0.333</v>
      </c>
      <c r="J26" s="0" t="n">
        <v>0.94</v>
      </c>
      <c r="K26" s="13" t="n">
        <f aca="false">IF(H26&lt;&gt;"",H26,IFERROR(G26/INDEX(Players!$M$2:$M$124,MATCH(B26,Players!$A$2:$A$124,0)),""))</f>
        <v>0.65</v>
      </c>
    </row>
    <row r="27" customFormat="false" ht="15" hidden="false" customHeight="false" outlineLevel="0" collapsed="false">
      <c r="A27" s="0" t="s">
        <v>1805</v>
      </c>
      <c r="B27" s="0" t="s">
        <v>1508</v>
      </c>
      <c r="C27" s="0" t="s">
        <v>1251</v>
      </c>
      <c r="D27" s="0" t="s">
        <v>988</v>
      </c>
      <c r="E27" s="0" t="s">
        <v>142</v>
      </c>
      <c r="F27" s="0" t="n">
        <v>10</v>
      </c>
      <c r="G27" s="0" t="n">
        <v>14</v>
      </c>
      <c r="H27" s="0" t="n">
        <v>0.65</v>
      </c>
      <c r="I27" s="10" t="n">
        <v>0.629</v>
      </c>
      <c r="J27" s="0" t="n">
        <v>1.06</v>
      </c>
      <c r="K27" s="13" t="n">
        <f aca="false">IF(H27&lt;&gt;"",H27,IFERROR(G27/INDEX(Players!$M$2:$M$124,MATCH(B27,Players!$A$2:$A$124,0)),""))</f>
        <v>0.65</v>
      </c>
    </row>
    <row r="28" customFormat="false" ht="15" hidden="false" customHeight="false" outlineLevel="0" collapsed="false">
      <c r="A28" s="0" t="s">
        <v>1806</v>
      </c>
      <c r="B28" s="0" t="s">
        <v>1508</v>
      </c>
      <c r="C28" s="0" t="s">
        <v>1251</v>
      </c>
      <c r="D28" s="0" t="s">
        <v>988</v>
      </c>
      <c r="E28" s="0" t="s">
        <v>150</v>
      </c>
      <c r="F28" s="0" t="n">
        <v>9</v>
      </c>
      <c r="G28" s="0" t="n">
        <v>12.9</v>
      </c>
      <c r="H28" s="0" t="n">
        <v>0.61</v>
      </c>
      <c r="I28" s="10" t="n">
        <v>0.603</v>
      </c>
      <c r="J28" s="0" t="n">
        <v>0.85</v>
      </c>
      <c r="K28" s="13" t="n">
        <f aca="false">IF(H28&lt;&gt;"",H28,IFERROR(G28/INDEX(Players!$M$2:$M$124,MATCH(B28,Players!$A$2:$A$124,0)),""))</f>
        <v>0.61</v>
      </c>
    </row>
    <row r="29" customFormat="false" ht="15" hidden="false" customHeight="false" outlineLevel="0" collapsed="false">
      <c r="A29" s="0" t="s">
        <v>1807</v>
      </c>
      <c r="B29" s="0" t="s">
        <v>1508</v>
      </c>
      <c r="C29" s="0" t="s">
        <v>1251</v>
      </c>
      <c r="D29" s="0" t="s">
        <v>988</v>
      </c>
      <c r="E29" s="0" t="s">
        <v>80</v>
      </c>
      <c r="F29" s="0" t="n">
        <v>5</v>
      </c>
      <c r="G29" s="0" t="n">
        <v>18</v>
      </c>
      <c r="H29" s="0" t="n">
        <v>0.87</v>
      </c>
      <c r="I29" s="10" t="n">
        <v>0.622</v>
      </c>
      <c r="J29" s="0" t="n">
        <v>1.34</v>
      </c>
      <c r="K29" s="13" t="n">
        <f aca="false">IF(H29&lt;&gt;"",H29,IFERROR(G29/INDEX(Players!$M$2:$M$124,MATCH(B29,Players!$A$2:$A$124,0)),""))</f>
        <v>0.87</v>
      </c>
    </row>
    <row r="30" customFormat="false" ht="15" hidden="false" customHeight="false" outlineLevel="0" collapsed="false">
      <c r="A30" s="0" t="s">
        <v>1808</v>
      </c>
      <c r="B30" s="0" t="s">
        <v>1508</v>
      </c>
      <c r="C30" s="0" t="s">
        <v>1251</v>
      </c>
      <c r="D30" s="0" t="s">
        <v>988</v>
      </c>
      <c r="E30" s="0" t="s">
        <v>131</v>
      </c>
      <c r="F30" s="0" t="n">
        <v>4</v>
      </c>
      <c r="G30" s="0" t="n">
        <v>14.3</v>
      </c>
      <c r="H30" s="0" t="n">
        <v>0.67</v>
      </c>
      <c r="I30" s="10" t="n">
        <v>0.632</v>
      </c>
      <c r="J30" s="0" t="n">
        <v>1.19</v>
      </c>
      <c r="K30" s="13" t="n">
        <f aca="false">IF(H30&lt;&gt;"",H30,IFERROR(G30/INDEX(Players!$M$2:$M$124,MATCH(B30,Players!$A$2:$A$124,0)),""))</f>
        <v>0.67</v>
      </c>
    </row>
    <row r="31" customFormat="false" ht="15" hidden="false" customHeight="false" outlineLevel="0" collapsed="false">
      <c r="A31" s="0" t="s">
        <v>1809</v>
      </c>
      <c r="B31" s="0" t="s">
        <v>1508</v>
      </c>
      <c r="C31" s="0" t="s">
        <v>1251</v>
      </c>
      <c r="D31" s="0" t="s">
        <v>988</v>
      </c>
      <c r="E31" s="0" t="s">
        <v>94</v>
      </c>
      <c r="F31" s="0" t="n">
        <v>3</v>
      </c>
      <c r="G31" s="0" t="n">
        <v>13.3</v>
      </c>
      <c r="H31" s="0" t="n">
        <v>0.58</v>
      </c>
      <c r="I31" s="10" t="n">
        <v>0.65</v>
      </c>
      <c r="J31" s="0" t="n">
        <v>0.95</v>
      </c>
      <c r="K31" s="13" t="n">
        <f aca="false">IF(H31&lt;&gt;"",H31,IFERROR(G31/INDEX(Players!$M$2:$M$124,MATCH(B31,Players!$A$2:$A$124,0)),""))</f>
        <v>0.58</v>
      </c>
    </row>
    <row r="32" customFormat="false" ht="15" hidden="false" customHeight="false" outlineLevel="0" collapsed="false">
      <c r="A32" s="0" t="s">
        <v>1810</v>
      </c>
      <c r="B32" s="0" t="s">
        <v>1508</v>
      </c>
      <c r="C32" s="0" t="s">
        <v>1251</v>
      </c>
      <c r="D32" s="0" t="s">
        <v>988</v>
      </c>
      <c r="E32" s="0" t="s">
        <v>121</v>
      </c>
      <c r="F32" s="0" t="n">
        <v>3</v>
      </c>
      <c r="G32" s="0" t="n">
        <v>12</v>
      </c>
      <c r="H32" s="0" t="n">
        <v>0.64</v>
      </c>
      <c r="I32" s="10" t="n">
        <v>0.694</v>
      </c>
      <c r="J32" s="0" t="n">
        <v>0.88</v>
      </c>
      <c r="K32" s="13" t="n">
        <f aca="false">IF(H32&lt;&gt;"",H32,IFERROR(G32/INDEX(Players!$M$2:$M$124,MATCH(B32,Players!$A$2:$A$124,0)),""))</f>
        <v>0.64</v>
      </c>
    </row>
    <row r="33" customFormat="false" ht="15" hidden="false" customHeight="false" outlineLevel="0" collapsed="false">
      <c r="A33" s="0" t="s">
        <v>1811</v>
      </c>
      <c r="B33" s="0" t="s">
        <v>1508</v>
      </c>
      <c r="C33" s="0" t="s">
        <v>1251</v>
      </c>
      <c r="D33" s="0" t="s">
        <v>988</v>
      </c>
      <c r="E33" s="0" t="s">
        <v>107</v>
      </c>
      <c r="F33" s="0" t="n">
        <v>2</v>
      </c>
      <c r="G33" s="0" t="n">
        <v>20</v>
      </c>
      <c r="H33" s="0" t="n">
        <v>0.62</v>
      </c>
      <c r="I33" s="10" t="n">
        <v>0.625</v>
      </c>
      <c r="J33" s="0" t="n">
        <v>0.93</v>
      </c>
      <c r="K33" s="13" t="n">
        <f aca="false">IF(H33&lt;&gt;"",H33,IFERROR(G33/INDEX(Players!$M$2:$M$124,MATCH(B33,Players!$A$2:$A$124,0)),""))</f>
        <v>0.62</v>
      </c>
    </row>
    <row r="34" customFormat="false" ht="15" hidden="false" customHeight="false" outlineLevel="0" collapsed="false">
      <c r="A34" s="0" t="s">
        <v>1812</v>
      </c>
      <c r="B34" s="0" t="s">
        <v>1574</v>
      </c>
      <c r="C34" s="0" t="s">
        <v>1395</v>
      </c>
      <c r="D34" s="0" t="s">
        <v>988</v>
      </c>
      <c r="E34" s="0" t="s">
        <v>107</v>
      </c>
      <c r="F34" s="0" t="n">
        <v>11</v>
      </c>
      <c r="G34" s="0" t="n">
        <v>15.6</v>
      </c>
      <c r="H34" s="0" t="n">
        <v>0.67</v>
      </c>
      <c r="I34" s="10" t="n">
        <v>0.564</v>
      </c>
      <c r="J34" s="0" t="n">
        <v>1.09</v>
      </c>
      <c r="K34" s="13" t="n">
        <f aca="false">IF(H34&lt;&gt;"",H34,IFERROR(G34/INDEX(Players!$M$2:$M$124,MATCH(B34,Players!$A$2:$A$124,0)),""))</f>
        <v>0.67</v>
      </c>
    </row>
    <row r="35" customFormat="false" ht="15" hidden="false" customHeight="false" outlineLevel="0" collapsed="false">
      <c r="A35" s="0" t="s">
        <v>1813</v>
      </c>
      <c r="B35" s="0" t="s">
        <v>1574</v>
      </c>
      <c r="C35" s="0" t="s">
        <v>1395</v>
      </c>
      <c r="D35" s="0" t="s">
        <v>988</v>
      </c>
      <c r="E35" s="0" t="s">
        <v>131</v>
      </c>
      <c r="F35" s="0" t="n">
        <v>7</v>
      </c>
      <c r="G35" s="0" t="n">
        <v>14.6</v>
      </c>
      <c r="H35" s="0" t="n">
        <v>0.67</v>
      </c>
      <c r="I35" s="10" t="n">
        <v>0.5</v>
      </c>
      <c r="J35" s="0" t="n">
        <v>1</v>
      </c>
      <c r="K35" s="13" t="n">
        <f aca="false">IF(H35&lt;&gt;"",H35,IFERROR(G35/INDEX(Players!$M$2:$M$124,MATCH(B35,Players!$A$2:$A$124,0)),""))</f>
        <v>0.67</v>
      </c>
    </row>
    <row r="36" customFormat="false" ht="15" hidden="false" customHeight="false" outlineLevel="0" collapsed="false">
      <c r="A36" s="0" t="s">
        <v>1814</v>
      </c>
      <c r="B36" s="0" t="s">
        <v>1574</v>
      </c>
      <c r="C36" s="0" t="s">
        <v>1395</v>
      </c>
      <c r="D36" s="0" t="s">
        <v>988</v>
      </c>
      <c r="E36" s="0" t="s">
        <v>94</v>
      </c>
      <c r="F36" s="0" t="n">
        <v>6</v>
      </c>
      <c r="G36" s="0" t="n">
        <v>17.8</v>
      </c>
      <c r="H36" s="0" t="n">
        <v>0.8</v>
      </c>
      <c r="I36" s="10" t="n">
        <v>0.542</v>
      </c>
      <c r="J36" s="0" t="n">
        <v>1.29</v>
      </c>
      <c r="K36" s="13" t="n">
        <f aca="false">IF(H36&lt;&gt;"",H36,IFERROR(G36/INDEX(Players!$M$2:$M$124,MATCH(B36,Players!$A$2:$A$124,0)),""))</f>
        <v>0.8</v>
      </c>
    </row>
    <row r="37" customFormat="false" ht="15" hidden="false" customHeight="false" outlineLevel="0" collapsed="false">
      <c r="A37" s="0" t="s">
        <v>1815</v>
      </c>
      <c r="B37" s="0" t="s">
        <v>1574</v>
      </c>
      <c r="C37" s="0" t="s">
        <v>1395</v>
      </c>
      <c r="D37" s="0" t="s">
        <v>988</v>
      </c>
      <c r="E37" s="0" t="s">
        <v>150</v>
      </c>
      <c r="F37" s="0" t="n">
        <v>6</v>
      </c>
      <c r="G37" s="0" t="n">
        <v>15.3</v>
      </c>
      <c r="H37" s="0" t="n">
        <v>0.7</v>
      </c>
      <c r="I37" s="10" t="n">
        <v>0.533</v>
      </c>
      <c r="J37" s="0" t="n">
        <v>0.96</v>
      </c>
      <c r="K37" s="13" t="n">
        <f aca="false">IF(H37&lt;&gt;"",H37,IFERROR(G37/INDEX(Players!$M$2:$M$124,MATCH(B37,Players!$A$2:$A$124,0)),""))</f>
        <v>0.7</v>
      </c>
    </row>
    <row r="38" customFormat="false" ht="15" hidden="false" customHeight="false" outlineLevel="0" collapsed="false">
      <c r="A38" s="0" t="s">
        <v>1816</v>
      </c>
      <c r="B38" s="0" t="s">
        <v>1574</v>
      </c>
      <c r="C38" s="0" t="s">
        <v>1395</v>
      </c>
      <c r="D38" s="0" t="s">
        <v>988</v>
      </c>
      <c r="E38" s="0" t="s">
        <v>142</v>
      </c>
      <c r="F38" s="0" t="n">
        <v>5</v>
      </c>
      <c r="G38" s="0" t="n">
        <v>7.4</v>
      </c>
      <c r="H38" s="0" t="n">
        <v>0.41</v>
      </c>
      <c r="I38" s="10" t="n">
        <v>0.568</v>
      </c>
      <c r="J38" s="0" t="n">
        <v>0.54</v>
      </c>
      <c r="K38" s="13" t="n">
        <f aca="false">IF(H38&lt;&gt;"",H38,IFERROR(G38/INDEX(Players!$M$2:$M$124,MATCH(B38,Players!$A$2:$A$124,0)),""))</f>
        <v>0.41</v>
      </c>
    </row>
    <row r="39" customFormat="false" ht="15" hidden="false" customHeight="false" outlineLevel="0" collapsed="false">
      <c r="A39" s="0" t="s">
        <v>1817</v>
      </c>
      <c r="B39" s="0" t="s">
        <v>1574</v>
      </c>
      <c r="C39" s="0" t="s">
        <v>1395</v>
      </c>
      <c r="D39" s="0" t="s">
        <v>988</v>
      </c>
      <c r="E39" s="0" t="s">
        <v>80</v>
      </c>
      <c r="F39" s="0" t="n">
        <v>2</v>
      </c>
      <c r="G39" s="0" t="n">
        <v>19</v>
      </c>
      <c r="H39" s="0" t="n">
        <v>0.83</v>
      </c>
      <c r="I39" s="10" t="n">
        <v>0.605</v>
      </c>
      <c r="J39" s="0" t="n">
        <v>1.09</v>
      </c>
      <c r="K39" s="13" t="n">
        <f aca="false">IF(H39&lt;&gt;"",H39,IFERROR(G39/INDEX(Players!$M$2:$M$124,MATCH(B39,Players!$A$2:$A$124,0)),""))</f>
        <v>0.83</v>
      </c>
    </row>
    <row r="40" customFormat="false" ht="15" hidden="false" customHeight="false" outlineLevel="0" collapsed="false">
      <c r="A40" s="0" t="s">
        <v>1818</v>
      </c>
      <c r="B40" s="0" t="s">
        <v>1497</v>
      </c>
      <c r="C40" s="0" t="s">
        <v>1219</v>
      </c>
      <c r="D40" s="0" t="s">
        <v>988</v>
      </c>
      <c r="E40" s="0" t="s">
        <v>80</v>
      </c>
      <c r="F40" s="0" t="n">
        <v>10</v>
      </c>
      <c r="G40" s="0" t="n">
        <v>15.3</v>
      </c>
      <c r="H40" s="0" t="n">
        <v>0.67</v>
      </c>
      <c r="I40" s="10" t="n">
        <v>0.667</v>
      </c>
      <c r="J40" s="0" t="n">
        <v>1.06</v>
      </c>
      <c r="K40" s="13" t="n">
        <f aca="false">IF(H40&lt;&gt;"",H40,IFERROR(G40/INDEX(Players!$M$2:$M$124,MATCH(B40,Players!$A$2:$A$124,0)),""))</f>
        <v>0.67</v>
      </c>
    </row>
    <row r="41" customFormat="false" ht="15" hidden="false" customHeight="false" outlineLevel="0" collapsed="false">
      <c r="A41" s="0" t="s">
        <v>1819</v>
      </c>
      <c r="B41" s="0" t="s">
        <v>1497</v>
      </c>
      <c r="C41" s="0" t="s">
        <v>1219</v>
      </c>
      <c r="D41" s="0" t="s">
        <v>988</v>
      </c>
      <c r="E41" s="0" t="s">
        <v>94</v>
      </c>
      <c r="F41" s="0" t="n">
        <v>8</v>
      </c>
      <c r="G41" s="0" t="n">
        <v>15.9</v>
      </c>
      <c r="H41" s="0" t="n">
        <v>0.81</v>
      </c>
      <c r="I41" s="10" t="n">
        <v>0.646</v>
      </c>
      <c r="J41" s="0" t="n">
        <v>1.43</v>
      </c>
      <c r="K41" s="13" t="n">
        <f aca="false">IF(H41&lt;&gt;"",H41,IFERROR(G41/INDEX(Players!$M$2:$M$124,MATCH(B41,Players!$A$2:$A$124,0)),""))</f>
        <v>0.81</v>
      </c>
    </row>
    <row r="42" customFormat="false" ht="15" hidden="false" customHeight="false" outlineLevel="0" collapsed="false">
      <c r="A42" s="0" t="s">
        <v>1820</v>
      </c>
      <c r="B42" s="0" t="s">
        <v>1497</v>
      </c>
      <c r="C42" s="0" t="s">
        <v>1219</v>
      </c>
      <c r="D42" s="0" t="s">
        <v>988</v>
      </c>
      <c r="E42" s="0" t="s">
        <v>121</v>
      </c>
      <c r="F42" s="0" t="n">
        <v>8</v>
      </c>
      <c r="G42" s="0" t="n">
        <v>15.3</v>
      </c>
      <c r="H42" s="0" t="n">
        <v>0.67</v>
      </c>
      <c r="I42" s="10" t="n">
        <v>0.721</v>
      </c>
      <c r="J42" s="0" t="n">
        <v>0.99</v>
      </c>
      <c r="K42" s="13" t="n">
        <f aca="false">IF(H42&lt;&gt;"",H42,IFERROR(G42/INDEX(Players!$M$2:$M$124,MATCH(B42,Players!$A$2:$A$124,0)),""))</f>
        <v>0.67</v>
      </c>
    </row>
    <row r="43" customFormat="false" ht="15" hidden="false" customHeight="false" outlineLevel="0" collapsed="false">
      <c r="A43" s="0" t="s">
        <v>1821</v>
      </c>
      <c r="B43" s="0" t="s">
        <v>1497</v>
      </c>
      <c r="C43" s="0" t="s">
        <v>1219</v>
      </c>
      <c r="D43" s="0" t="s">
        <v>988</v>
      </c>
      <c r="E43" s="0" t="s">
        <v>107</v>
      </c>
      <c r="F43" s="0" t="n">
        <v>6</v>
      </c>
      <c r="G43" s="0" t="n">
        <v>10.3</v>
      </c>
      <c r="H43" s="0" t="n">
        <v>0.49</v>
      </c>
      <c r="I43" s="10" t="n">
        <v>0.548</v>
      </c>
      <c r="J43" s="0" t="n">
        <v>0.68</v>
      </c>
      <c r="K43" s="13" t="n">
        <f aca="false">IF(H43&lt;&gt;"",H43,IFERROR(G43/INDEX(Players!$M$2:$M$124,MATCH(B43,Players!$A$2:$A$124,0)),""))</f>
        <v>0.49</v>
      </c>
    </row>
    <row r="44" customFormat="false" ht="15" hidden="false" customHeight="false" outlineLevel="0" collapsed="false">
      <c r="A44" s="0" t="s">
        <v>1822</v>
      </c>
      <c r="B44" s="0" t="s">
        <v>1497</v>
      </c>
      <c r="C44" s="0" t="s">
        <v>1219</v>
      </c>
      <c r="D44" s="0" t="s">
        <v>988</v>
      </c>
      <c r="E44" s="0" t="s">
        <v>150</v>
      </c>
      <c r="F44" s="0" t="n">
        <v>2</v>
      </c>
      <c r="G44" s="0" t="n">
        <v>18.5</v>
      </c>
      <c r="H44" s="0" t="n">
        <v>0.84</v>
      </c>
      <c r="I44" s="10" t="n">
        <v>0.811</v>
      </c>
      <c r="J44" s="0" t="n">
        <v>1.19</v>
      </c>
      <c r="K44" s="13" t="n">
        <f aca="false">IF(H44&lt;&gt;"",H44,IFERROR(G44/INDEX(Players!$M$2:$M$124,MATCH(B44,Players!$A$2:$A$124,0)),""))</f>
        <v>0.84</v>
      </c>
    </row>
    <row r="45" customFormat="false" ht="15" hidden="false" customHeight="false" outlineLevel="0" collapsed="false">
      <c r="A45" s="0" t="s">
        <v>1823</v>
      </c>
      <c r="B45" s="0" t="s">
        <v>1497</v>
      </c>
      <c r="C45" s="0" t="s">
        <v>1219</v>
      </c>
      <c r="D45" s="0" t="s">
        <v>988</v>
      </c>
      <c r="E45" s="0" t="s">
        <v>131</v>
      </c>
      <c r="F45" s="0" t="n">
        <v>1</v>
      </c>
      <c r="G45" s="0" t="n">
        <v>18</v>
      </c>
      <c r="H45" s="0" t="n">
        <v>1.13</v>
      </c>
      <c r="I45" s="10" t="n">
        <v>0.667</v>
      </c>
      <c r="J45" s="0" t="n">
        <v>3</v>
      </c>
      <c r="K45" s="13" t="n">
        <f aca="false">IF(H45&lt;&gt;"",H45,IFERROR(G45/INDEX(Players!$M$2:$M$124,MATCH(B45,Players!$A$2:$A$124,0)),""))</f>
        <v>1.13</v>
      </c>
    </row>
    <row r="46" customFormat="false" ht="15" hidden="false" customHeight="false" outlineLevel="0" collapsed="false">
      <c r="A46" s="0" t="s">
        <v>1824</v>
      </c>
      <c r="B46" s="0" t="s">
        <v>1497</v>
      </c>
      <c r="C46" s="0" t="s">
        <v>1219</v>
      </c>
      <c r="D46" s="0" t="s">
        <v>988</v>
      </c>
      <c r="E46" s="0" t="s">
        <v>142</v>
      </c>
      <c r="F46" s="0" t="n">
        <v>1</v>
      </c>
      <c r="G46" s="0" t="n">
        <v>21</v>
      </c>
      <c r="H46" s="0" t="n">
        <v>1.11</v>
      </c>
      <c r="I46" s="10" t="n">
        <v>0.524</v>
      </c>
      <c r="J46" s="0" t="n">
        <v>2.63</v>
      </c>
      <c r="K46" s="13" t="n">
        <f aca="false">IF(H46&lt;&gt;"",H46,IFERROR(G46/INDEX(Players!$M$2:$M$124,MATCH(B46,Players!$A$2:$A$124,0)),""))</f>
        <v>1.11</v>
      </c>
    </row>
    <row r="47" customFormat="false" ht="15" hidden="false" customHeight="false" outlineLevel="0" collapsed="false">
      <c r="A47" s="0" t="s">
        <v>1825</v>
      </c>
      <c r="B47" s="0" t="s">
        <v>1560</v>
      </c>
      <c r="C47" s="0" t="s">
        <v>1360</v>
      </c>
      <c r="D47" s="0" t="s">
        <v>988</v>
      </c>
      <c r="E47" s="0" t="s">
        <v>142</v>
      </c>
      <c r="F47" s="0" t="n">
        <v>10</v>
      </c>
      <c r="G47" s="0" t="n">
        <v>13.1</v>
      </c>
      <c r="H47" s="0" t="n">
        <v>0.62</v>
      </c>
      <c r="I47" s="10" t="n">
        <v>0.427</v>
      </c>
      <c r="J47" s="0" t="n">
        <v>0.95</v>
      </c>
      <c r="K47" s="13" t="n">
        <f aca="false">IF(H47&lt;&gt;"",H47,IFERROR(G47/INDEX(Players!$M$2:$M$124,MATCH(B47,Players!$A$2:$A$124,0)),""))</f>
        <v>0.62</v>
      </c>
    </row>
    <row r="48" customFormat="false" ht="15" hidden="false" customHeight="false" outlineLevel="0" collapsed="false">
      <c r="A48" s="0" t="s">
        <v>1826</v>
      </c>
      <c r="B48" s="0" t="s">
        <v>1560</v>
      </c>
      <c r="C48" s="0" t="s">
        <v>1360</v>
      </c>
      <c r="D48" s="0" t="s">
        <v>988</v>
      </c>
      <c r="E48" s="0" t="s">
        <v>150</v>
      </c>
      <c r="F48" s="0" t="n">
        <v>8</v>
      </c>
      <c r="G48" s="0" t="n">
        <v>15.3</v>
      </c>
      <c r="H48" s="0" t="n">
        <v>0.74</v>
      </c>
      <c r="I48" s="10" t="n">
        <v>0.516</v>
      </c>
      <c r="J48" s="0" t="n">
        <v>1.13</v>
      </c>
      <c r="K48" s="13" t="n">
        <f aca="false">IF(H48&lt;&gt;"",H48,IFERROR(G48/INDEX(Players!$M$2:$M$124,MATCH(B48,Players!$A$2:$A$124,0)),""))</f>
        <v>0.74</v>
      </c>
    </row>
    <row r="49" customFormat="false" ht="15" hidden="false" customHeight="false" outlineLevel="0" collapsed="false">
      <c r="A49" s="0" t="s">
        <v>1827</v>
      </c>
      <c r="B49" s="0" t="s">
        <v>1560</v>
      </c>
      <c r="C49" s="0" t="s">
        <v>1360</v>
      </c>
      <c r="D49" s="0" t="s">
        <v>988</v>
      </c>
      <c r="E49" s="0" t="s">
        <v>121</v>
      </c>
      <c r="F49" s="0" t="n">
        <v>6</v>
      </c>
      <c r="G49" s="0" t="n">
        <v>16.2</v>
      </c>
      <c r="H49" s="0" t="n">
        <v>0.79</v>
      </c>
      <c r="I49" s="10" t="n">
        <v>0.32</v>
      </c>
      <c r="J49" s="0" t="n">
        <v>1.21</v>
      </c>
      <c r="K49" s="13" t="n">
        <f aca="false">IF(H49&lt;&gt;"",H49,IFERROR(G49/INDEX(Players!$M$2:$M$124,MATCH(B49,Players!$A$2:$A$124,0)),""))</f>
        <v>0.79</v>
      </c>
    </row>
    <row r="50" customFormat="false" ht="15" hidden="false" customHeight="false" outlineLevel="0" collapsed="false">
      <c r="A50" s="0" t="s">
        <v>1828</v>
      </c>
      <c r="B50" s="0" t="s">
        <v>1560</v>
      </c>
      <c r="C50" s="0" t="s">
        <v>1360</v>
      </c>
      <c r="D50" s="0" t="s">
        <v>988</v>
      </c>
      <c r="E50" s="0" t="s">
        <v>107</v>
      </c>
      <c r="F50" s="0" t="n">
        <v>5</v>
      </c>
      <c r="G50" s="0" t="n">
        <v>15.8</v>
      </c>
      <c r="H50" s="0" t="n">
        <v>0.75</v>
      </c>
      <c r="I50" s="10" t="n">
        <v>0.494</v>
      </c>
      <c r="J50" s="0" t="n">
        <v>1.16</v>
      </c>
      <c r="K50" s="13" t="n">
        <f aca="false">IF(H50&lt;&gt;"",H50,IFERROR(G50/INDEX(Players!$M$2:$M$124,MATCH(B50,Players!$A$2:$A$124,0)),""))</f>
        <v>0.75</v>
      </c>
    </row>
    <row r="51" customFormat="false" ht="15" hidden="false" customHeight="false" outlineLevel="0" collapsed="false">
      <c r="A51" s="0" t="s">
        <v>1829</v>
      </c>
      <c r="B51" s="0" t="s">
        <v>1560</v>
      </c>
      <c r="C51" s="0" t="s">
        <v>1360</v>
      </c>
      <c r="D51" s="0" t="s">
        <v>988</v>
      </c>
      <c r="E51" s="0" t="s">
        <v>80</v>
      </c>
      <c r="F51" s="0" t="n">
        <v>4</v>
      </c>
      <c r="G51" s="0" t="n">
        <v>15.5</v>
      </c>
      <c r="H51" s="0" t="n">
        <v>0.69</v>
      </c>
      <c r="I51" s="10" t="n">
        <v>0.484</v>
      </c>
      <c r="J51" s="0" t="n">
        <v>1</v>
      </c>
      <c r="K51" s="13" t="n">
        <f aca="false">IF(H51&lt;&gt;"",H51,IFERROR(G51/INDEX(Players!$M$2:$M$124,MATCH(B51,Players!$A$2:$A$124,0)),""))</f>
        <v>0.69</v>
      </c>
    </row>
    <row r="52" customFormat="false" ht="15" hidden="false" customHeight="false" outlineLevel="0" collapsed="false">
      <c r="A52" s="0" t="s">
        <v>1830</v>
      </c>
      <c r="B52" s="0" t="s">
        <v>1560</v>
      </c>
      <c r="C52" s="0" t="s">
        <v>1360</v>
      </c>
      <c r="D52" s="0" t="s">
        <v>988</v>
      </c>
      <c r="E52" s="0" t="s">
        <v>131</v>
      </c>
      <c r="F52" s="0" t="n">
        <v>2</v>
      </c>
      <c r="G52" s="0" t="n">
        <v>9.5</v>
      </c>
      <c r="H52" s="0" t="n">
        <v>0.5</v>
      </c>
      <c r="I52" s="10" t="n">
        <v>0.526</v>
      </c>
      <c r="J52" s="0" t="n">
        <v>0.63</v>
      </c>
      <c r="K52" s="13" t="n">
        <f aca="false">IF(H52&lt;&gt;"",H52,IFERROR(G52/INDEX(Players!$M$2:$M$124,MATCH(B52,Players!$A$2:$A$124,0)),""))</f>
        <v>0.5</v>
      </c>
    </row>
    <row r="53" customFormat="false" ht="15" hidden="false" customHeight="false" outlineLevel="0" collapsed="false">
      <c r="A53" s="0" t="s">
        <v>1831</v>
      </c>
      <c r="B53" s="0" t="s">
        <v>1482</v>
      </c>
      <c r="C53" s="0" t="s">
        <v>1185</v>
      </c>
      <c r="D53" s="0" t="s">
        <v>988</v>
      </c>
      <c r="E53" s="0" t="s">
        <v>150</v>
      </c>
      <c r="F53" s="0" t="n">
        <v>11</v>
      </c>
      <c r="G53" s="0" t="n">
        <v>11</v>
      </c>
      <c r="H53" s="0" t="n">
        <v>0.51</v>
      </c>
      <c r="I53" s="10" t="n">
        <v>0.43</v>
      </c>
      <c r="J53" s="0" t="n">
        <v>0.75</v>
      </c>
      <c r="K53" s="13" t="n">
        <f aca="false">IF(H53&lt;&gt;"",H53,IFERROR(G53/INDEX(Players!$M$2:$M$124,MATCH(B53,Players!$A$2:$A$124,0)),""))</f>
        <v>0.51</v>
      </c>
    </row>
    <row r="54" customFormat="false" ht="15" hidden="false" customHeight="false" outlineLevel="0" collapsed="false">
      <c r="A54" s="0" t="s">
        <v>1832</v>
      </c>
      <c r="B54" s="0" t="s">
        <v>1482</v>
      </c>
      <c r="C54" s="0" t="s">
        <v>1185</v>
      </c>
      <c r="D54" s="0" t="s">
        <v>988</v>
      </c>
      <c r="E54" s="0" t="s">
        <v>94</v>
      </c>
      <c r="F54" s="0" t="n">
        <v>9</v>
      </c>
      <c r="G54" s="0" t="n">
        <v>15.3</v>
      </c>
      <c r="H54" s="0" t="n">
        <v>0.67</v>
      </c>
      <c r="I54" s="10" t="n">
        <v>0.449</v>
      </c>
      <c r="J54" s="0" t="n">
        <v>0.99</v>
      </c>
      <c r="K54" s="13" t="n">
        <f aca="false">IF(H54&lt;&gt;"",H54,IFERROR(G54/INDEX(Players!$M$2:$M$124,MATCH(B54,Players!$A$2:$A$124,0)),""))</f>
        <v>0.67</v>
      </c>
    </row>
    <row r="55" customFormat="false" ht="15" hidden="false" customHeight="false" outlineLevel="0" collapsed="false">
      <c r="A55" s="0" t="s">
        <v>1833</v>
      </c>
      <c r="B55" s="0" t="s">
        <v>1482</v>
      </c>
      <c r="C55" s="0" t="s">
        <v>1185</v>
      </c>
      <c r="D55" s="0" t="s">
        <v>988</v>
      </c>
      <c r="E55" s="0" t="s">
        <v>121</v>
      </c>
      <c r="F55" s="0" t="n">
        <v>6</v>
      </c>
      <c r="G55" s="0" t="n">
        <v>12</v>
      </c>
      <c r="H55" s="0" t="n">
        <v>0.49</v>
      </c>
      <c r="I55" s="10" t="n">
        <v>0.444</v>
      </c>
      <c r="J55" s="0" t="n">
        <v>0.77</v>
      </c>
      <c r="K55" s="13" t="n">
        <f aca="false">IF(H55&lt;&gt;"",H55,IFERROR(G55/INDEX(Players!$M$2:$M$124,MATCH(B55,Players!$A$2:$A$124,0)),""))</f>
        <v>0.49</v>
      </c>
    </row>
    <row r="56" customFormat="false" ht="15" hidden="false" customHeight="false" outlineLevel="0" collapsed="false">
      <c r="A56" s="0" t="s">
        <v>1834</v>
      </c>
      <c r="B56" s="0" t="s">
        <v>1482</v>
      </c>
      <c r="C56" s="0" t="s">
        <v>1185</v>
      </c>
      <c r="D56" s="0" t="s">
        <v>988</v>
      </c>
      <c r="E56" s="0" t="s">
        <v>80</v>
      </c>
      <c r="F56" s="0" t="n">
        <v>5</v>
      </c>
      <c r="G56" s="0" t="n">
        <v>11.8</v>
      </c>
      <c r="H56" s="0" t="n">
        <v>0.54</v>
      </c>
      <c r="I56" s="10" t="n">
        <v>0.475</v>
      </c>
      <c r="J56" s="0" t="n">
        <v>0.84</v>
      </c>
      <c r="K56" s="13" t="n">
        <f aca="false">IF(H56&lt;&gt;"",H56,IFERROR(G56/INDEX(Players!$M$2:$M$124,MATCH(B56,Players!$A$2:$A$124,0)),""))</f>
        <v>0.54</v>
      </c>
    </row>
    <row r="57" customFormat="false" ht="15" hidden="false" customHeight="false" outlineLevel="0" collapsed="false">
      <c r="A57" s="0" t="s">
        <v>1835</v>
      </c>
      <c r="B57" s="0" t="s">
        <v>1482</v>
      </c>
      <c r="C57" s="0" t="s">
        <v>1185</v>
      </c>
      <c r="D57" s="0" t="s">
        <v>988</v>
      </c>
      <c r="E57" s="0" t="s">
        <v>107</v>
      </c>
      <c r="F57" s="0" t="n">
        <v>4</v>
      </c>
      <c r="G57" s="0" t="n">
        <v>12.3</v>
      </c>
      <c r="H57" s="0" t="n">
        <v>0.52</v>
      </c>
      <c r="I57" s="10" t="n">
        <v>0.469</v>
      </c>
      <c r="J57" s="0" t="n">
        <v>0.75</v>
      </c>
      <c r="K57" s="13" t="n">
        <f aca="false">IF(H57&lt;&gt;"",H57,IFERROR(G57/INDEX(Players!$M$2:$M$124,MATCH(B57,Players!$A$2:$A$124,0)),""))</f>
        <v>0.52</v>
      </c>
    </row>
    <row r="58" customFormat="false" ht="15" hidden="false" customHeight="false" outlineLevel="0" collapsed="false">
      <c r="A58" s="0" t="s">
        <v>1836</v>
      </c>
      <c r="B58" s="0" t="s">
        <v>1482</v>
      </c>
      <c r="C58" s="0" t="s">
        <v>1185</v>
      </c>
      <c r="D58" s="0" t="s">
        <v>988</v>
      </c>
      <c r="E58" s="0" t="s">
        <v>131</v>
      </c>
      <c r="F58" s="0" t="n">
        <v>4</v>
      </c>
      <c r="G58" s="0" t="n">
        <v>13</v>
      </c>
      <c r="H58" s="0" t="n">
        <v>0.52</v>
      </c>
      <c r="I58" s="10" t="n">
        <v>0.481</v>
      </c>
      <c r="J58" s="0" t="n">
        <v>0.74</v>
      </c>
      <c r="K58" s="13" t="n">
        <f aca="false">IF(H58&lt;&gt;"",H58,IFERROR(G58/INDEX(Players!$M$2:$M$124,MATCH(B58,Players!$A$2:$A$124,0)),""))</f>
        <v>0.52</v>
      </c>
    </row>
    <row r="59" customFormat="false" ht="15" hidden="false" customHeight="false" outlineLevel="0" collapsed="false">
      <c r="A59" s="0" t="s">
        <v>1837</v>
      </c>
      <c r="B59" s="0" t="s">
        <v>1498</v>
      </c>
      <c r="C59" s="0" t="s">
        <v>1221</v>
      </c>
      <c r="D59" s="0" t="s">
        <v>988</v>
      </c>
      <c r="E59" s="0" t="s">
        <v>80</v>
      </c>
      <c r="F59" s="0" t="n">
        <v>10</v>
      </c>
      <c r="G59" s="0" t="n">
        <v>13</v>
      </c>
      <c r="H59" s="0" t="n">
        <v>0.57</v>
      </c>
      <c r="I59" s="10" t="n">
        <v>0.6</v>
      </c>
      <c r="J59" s="0" t="n">
        <v>0.78</v>
      </c>
      <c r="K59" s="13" t="n">
        <f aca="false">IF(H59&lt;&gt;"",H59,IFERROR(G59/INDEX(Players!$M$2:$M$124,MATCH(B59,Players!$A$2:$A$124,0)),""))</f>
        <v>0.57</v>
      </c>
    </row>
    <row r="60" customFormat="false" ht="15" hidden="false" customHeight="false" outlineLevel="0" collapsed="false">
      <c r="A60" s="0" t="s">
        <v>1838</v>
      </c>
      <c r="B60" s="0" t="s">
        <v>1498</v>
      </c>
      <c r="C60" s="0" t="s">
        <v>1221</v>
      </c>
      <c r="D60" s="0" t="s">
        <v>988</v>
      </c>
      <c r="E60" s="0" t="s">
        <v>94</v>
      </c>
      <c r="F60" s="0" t="n">
        <v>8</v>
      </c>
      <c r="G60" s="0" t="n">
        <v>12.5</v>
      </c>
      <c r="H60" s="0" t="n">
        <v>0.67</v>
      </c>
      <c r="I60" s="10" t="n">
        <v>0.65</v>
      </c>
      <c r="J60" s="0" t="n">
        <v>1.09</v>
      </c>
      <c r="K60" s="13" t="n">
        <f aca="false">IF(H60&lt;&gt;"",H60,IFERROR(G60/INDEX(Players!$M$2:$M$124,MATCH(B60,Players!$A$2:$A$124,0)),""))</f>
        <v>0.67</v>
      </c>
    </row>
    <row r="61" customFormat="false" ht="15" hidden="false" customHeight="false" outlineLevel="0" collapsed="false">
      <c r="A61" s="0" t="s">
        <v>1839</v>
      </c>
      <c r="B61" s="0" t="s">
        <v>1498</v>
      </c>
      <c r="C61" s="0" t="s">
        <v>1221</v>
      </c>
      <c r="D61" s="0" t="s">
        <v>988</v>
      </c>
      <c r="E61" s="0" t="s">
        <v>121</v>
      </c>
      <c r="F61" s="0" t="n">
        <v>7</v>
      </c>
      <c r="G61" s="0" t="n">
        <v>12.4</v>
      </c>
      <c r="H61" s="0" t="n">
        <v>0.57</v>
      </c>
      <c r="I61" s="10" t="n">
        <v>0.506</v>
      </c>
      <c r="J61" s="0" t="n">
        <v>0.77</v>
      </c>
      <c r="K61" s="13" t="n">
        <f aca="false">IF(H61&lt;&gt;"",H61,IFERROR(G61/INDEX(Players!$M$2:$M$124,MATCH(B61,Players!$A$2:$A$124,0)),""))</f>
        <v>0.57</v>
      </c>
    </row>
    <row r="62" customFormat="false" ht="15" hidden="false" customHeight="false" outlineLevel="0" collapsed="false">
      <c r="A62" s="0" t="s">
        <v>1840</v>
      </c>
      <c r="B62" s="0" t="s">
        <v>1498</v>
      </c>
      <c r="C62" s="0" t="s">
        <v>1221</v>
      </c>
      <c r="D62" s="0" t="s">
        <v>988</v>
      </c>
      <c r="E62" s="0" t="s">
        <v>107</v>
      </c>
      <c r="F62" s="0" t="n">
        <v>4</v>
      </c>
      <c r="G62" s="0" t="n">
        <v>11</v>
      </c>
      <c r="H62" s="0" t="n">
        <v>0.5</v>
      </c>
      <c r="I62" s="10" t="n">
        <v>0.568</v>
      </c>
      <c r="J62" s="0" t="n">
        <v>0.67</v>
      </c>
      <c r="K62" s="13" t="n">
        <f aca="false">IF(H62&lt;&gt;"",H62,IFERROR(G62/INDEX(Players!$M$2:$M$124,MATCH(B62,Players!$A$2:$A$124,0)),""))</f>
        <v>0.5</v>
      </c>
    </row>
    <row r="63" customFormat="false" ht="15" hidden="false" customHeight="false" outlineLevel="0" collapsed="false">
      <c r="A63" s="0" t="s">
        <v>1841</v>
      </c>
      <c r="B63" s="0" t="s">
        <v>1498</v>
      </c>
      <c r="C63" s="0" t="s">
        <v>1221</v>
      </c>
      <c r="D63" s="0" t="s">
        <v>988</v>
      </c>
      <c r="E63" s="0" t="s">
        <v>150</v>
      </c>
      <c r="F63" s="0" t="n">
        <v>3</v>
      </c>
      <c r="G63" s="0" t="n">
        <v>16</v>
      </c>
      <c r="H63" s="0" t="n">
        <v>0.59</v>
      </c>
      <c r="I63" s="10" t="n">
        <v>0.458</v>
      </c>
      <c r="J63" s="0" t="n">
        <v>0.83</v>
      </c>
      <c r="K63" s="13" t="n">
        <f aca="false">IF(H63&lt;&gt;"",H63,IFERROR(G63/INDEX(Players!$M$2:$M$124,MATCH(B63,Players!$A$2:$A$124,0)),""))</f>
        <v>0.59</v>
      </c>
    </row>
    <row r="64" customFormat="false" ht="15" hidden="false" customHeight="false" outlineLevel="0" collapsed="false">
      <c r="A64" s="0" t="s">
        <v>1842</v>
      </c>
      <c r="B64" s="0" t="s">
        <v>1498</v>
      </c>
      <c r="C64" s="0" t="s">
        <v>1221</v>
      </c>
      <c r="D64" s="0" t="s">
        <v>988</v>
      </c>
      <c r="E64" s="0" t="s">
        <v>142</v>
      </c>
      <c r="F64" s="0" t="n">
        <v>2</v>
      </c>
      <c r="G64" s="0" t="n">
        <v>11</v>
      </c>
      <c r="H64" s="0" t="n">
        <v>0.52</v>
      </c>
      <c r="I64" s="10" t="n">
        <v>0.727</v>
      </c>
      <c r="J64" s="0" t="n">
        <v>0.76</v>
      </c>
      <c r="K64" s="13" t="n">
        <f aca="false">IF(H64&lt;&gt;"",H64,IFERROR(G64/INDEX(Players!$M$2:$M$124,MATCH(B64,Players!$A$2:$A$124,0)),""))</f>
        <v>0.52</v>
      </c>
    </row>
    <row r="65" customFormat="false" ht="15" hidden="false" customHeight="false" outlineLevel="0" collapsed="false">
      <c r="A65" s="0" t="s">
        <v>1843</v>
      </c>
      <c r="B65" s="0" t="s">
        <v>1498</v>
      </c>
      <c r="C65" s="0" t="s">
        <v>1221</v>
      </c>
      <c r="D65" s="0" t="s">
        <v>988</v>
      </c>
      <c r="E65" s="0" t="s">
        <v>131</v>
      </c>
      <c r="F65" s="0" t="n">
        <v>1</v>
      </c>
      <c r="G65" s="0" t="n">
        <v>16</v>
      </c>
      <c r="H65" s="0" t="n">
        <v>1</v>
      </c>
      <c r="I65" s="10" t="n">
        <v>0.688</v>
      </c>
      <c r="J65" s="0" t="n">
        <v>2.29</v>
      </c>
      <c r="K65" s="13" t="n">
        <f aca="false">IF(H65&lt;&gt;"",H65,IFERROR(G65/INDEX(Players!$M$2:$M$124,MATCH(B65,Players!$A$2:$A$124,0)),""))</f>
        <v>1</v>
      </c>
    </row>
    <row r="66" customFormat="false" ht="15" hidden="false" customHeight="false" outlineLevel="0" collapsed="false">
      <c r="A66" s="0" t="s">
        <v>1844</v>
      </c>
      <c r="B66" s="0" t="s">
        <v>1569</v>
      </c>
      <c r="C66" s="0" t="s">
        <v>1384</v>
      </c>
      <c r="D66" s="0" t="s">
        <v>988</v>
      </c>
      <c r="E66" s="0" t="s">
        <v>150</v>
      </c>
      <c r="F66" s="0" t="n">
        <v>10</v>
      </c>
      <c r="G66" s="0" t="n">
        <v>13.8</v>
      </c>
      <c r="H66" s="0" t="n">
        <v>0.65</v>
      </c>
      <c r="I66" s="10" t="n">
        <v>0.522</v>
      </c>
      <c r="J66" s="0" t="n">
        <v>0.86</v>
      </c>
      <c r="K66" s="13" t="n">
        <f aca="false">IF(H66&lt;&gt;"",H66,IFERROR(G66/INDEX(Players!$M$2:$M$124,MATCH(B66,Players!$A$2:$A$124,0)),""))</f>
        <v>0.65</v>
      </c>
    </row>
    <row r="67" customFormat="false" ht="15" hidden="false" customHeight="false" outlineLevel="0" collapsed="false">
      <c r="A67" s="0" t="s">
        <v>1845</v>
      </c>
      <c r="B67" s="0" t="s">
        <v>1569</v>
      </c>
      <c r="C67" s="0" t="s">
        <v>1384</v>
      </c>
      <c r="D67" s="0" t="s">
        <v>988</v>
      </c>
      <c r="E67" s="0" t="s">
        <v>142</v>
      </c>
      <c r="F67" s="0" t="n">
        <v>6</v>
      </c>
      <c r="G67" s="0" t="n">
        <v>16.5</v>
      </c>
      <c r="H67" s="0" t="n">
        <v>0.68</v>
      </c>
      <c r="I67" s="10" t="n">
        <v>0.434</v>
      </c>
      <c r="J67" s="0" t="n">
        <v>1.14</v>
      </c>
      <c r="K67" s="13" t="n">
        <f aca="false">IF(H67&lt;&gt;"",H67,IFERROR(G67/INDEX(Players!$M$2:$M$124,MATCH(B67,Players!$A$2:$A$124,0)),""))</f>
        <v>0.68</v>
      </c>
    </row>
    <row r="68" customFormat="false" ht="15" hidden="false" customHeight="false" outlineLevel="0" collapsed="false">
      <c r="A68" s="0" t="s">
        <v>1846</v>
      </c>
      <c r="B68" s="0" t="s">
        <v>1569</v>
      </c>
      <c r="C68" s="0" t="s">
        <v>1384</v>
      </c>
      <c r="D68" s="0" t="s">
        <v>988</v>
      </c>
      <c r="E68" s="0" t="s">
        <v>107</v>
      </c>
      <c r="F68" s="0" t="n">
        <v>5</v>
      </c>
      <c r="G68" s="0" t="n">
        <v>14</v>
      </c>
      <c r="H68" s="0" t="n">
        <v>0.65</v>
      </c>
      <c r="I68" s="10" t="n">
        <v>0.5</v>
      </c>
      <c r="J68" s="0" t="n">
        <v>0.91</v>
      </c>
      <c r="K68" s="13" t="n">
        <f aca="false">IF(H68&lt;&gt;"",H68,IFERROR(G68/INDEX(Players!$M$2:$M$124,MATCH(B68,Players!$A$2:$A$124,0)),""))</f>
        <v>0.65</v>
      </c>
    </row>
    <row r="69" customFormat="false" ht="15" hidden="false" customHeight="false" outlineLevel="0" collapsed="false">
      <c r="A69" s="0" t="s">
        <v>1847</v>
      </c>
      <c r="B69" s="0" t="s">
        <v>1569</v>
      </c>
      <c r="C69" s="0" t="s">
        <v>1384</v>
      </c>
      <c r="D69" s="0" t="s">
        <v>988</v>
      </c>
      <c r="E69" s="0" t="s">
        <v>121</v>
      </c>
      <c r="F69" s="0" t="n">
        <v>5</v>
      </c>
      <c r="G69" s="0" t="n">
        <v>10.8</v>
      </c>
      <c r="H69" s="0" t="n">
        <v>0.51</v>
      </c>
      <c r="I69" s="10" t="n">
        <v>0.444</v>
      </c>
      <c r="J69" s="0" t="n">
        <v>0.7</v>
      </c>
      <c r="K69" s="13" t="n">
        <f aca="false">IF(H69&lt;&gt;"",H69,IFERROR(G69/INDEX(Players!$M$2:$M$124,MATCH(B69,Players!$A$2:$A$124,0)),""))</f>
        <v>0.51</v>
      </c>
    </row>
    <row r="70" customFormat="false" ht="15" hidden="false" customHeight="false" outlineLevel="0" collapsed="false">
      <c r="A70" s="0" t="s">
        <v>1848</v>
      </c>
      <c r="B70" s="0" t="s">
        <v>1569</v>
      </c>
      <c r="C70" s="0" t="s">
        <v>1384</v>
      </c>
      <c r="D70" s="0" t="s">
        <v>988</v>
      </c>
      <c r="E70" s="0" t="s">
        <v>131</v>
      </c>
      <c r="F70" s="0" t="n">
        <v>4</v>
      </c>
      <c r="G70" s="0" t="n">
        <v>16</v>
      </c>
      <c r="H70" s="0" t="n">
        <v>0.74</v>
      </c>
      <c r="I70" s="10" t="n">
        <v>0.547</v>
      </c>
      <c r="J70" s="0" t="n">
        <v>1.02</v>
      </c>
      <c r="K70" s="13" t="n">
        <f aca="false">IF(H70&lt;&gt;"",H70,IFERROR(G70/INDEX(Players!$M$2:$M$124,MATCH(B70,Players!$A$2:$A$124,0)),""))</f>
        <v>0.74</v>
      </c>
    </row>
    <row r="71" customFormat="false" ht="15" hidden="false" customHeight="false" outlineLevel="0" collapsed="false">
      <c r="A71" s="0" t="s">
        <v>1849</v>
      </c>
      <c r="B71" s="0" t="s">
        <v>1569</v>
      </c>
      <c r="C71" s="0" t="s">
        <v>1384</v>
      </c>
      <c r="D71" s="0" t="s">
        <v>988</v>
      </c>
      <c r="E71" s="0" t="s">
        <v>80</v>
      </c>
      <c r="F71" s="0" t="n">
        <v>3</v>
      </c>
      <c r="G71" s="0" t="n">
        <v>8.7</v>
      </c>
      <c r="H71" s="0" t="n">
        <v>0.43</v>
      </c>
      <c r="I71" s="10" t="n">
        <v>0.5</v>
      </c>
      <c r="J71" s="0" t="n">
        <v>0.62</v>
      </c>
      <c r="K71" s="13" t="n">
        <f aca="false">IF(H71&lt;&gt;"",H71,IFERROR(G71/INDEX(Players!$M$2:$M$124,MATCH(B71,Players!$A$2:$A$124,0)),""))</f>
        <v>0.43</v>
      </c>
    </row>
    <row r="72" customFormat="false" ht="15" hidden="false" customHeight="false" outlineLevel="0" collapsed="false">
      <c r="A72" s="0" t="s">
        <v>1850</v>
      </c>
      <c r="B72" s="0" t="s">
        <v>1570</v>
      </c>
      <c r="C72" s="0" t="s">
        <v>1386</v>
      </c>
      <c r="D72" s="0" t="s">
        <v>988</v>
      </c>
      <c r="E72" s="0" t="s">
        <v>150</v>
      </c>
      <c r="F72" s="0" t="n">
        <v>10</v>
      </c>
      <c r="G72" s="0" t="n">
        <v>13.7</v>
      </c>
      <c r="H72" s="0" t="n">
        <v>0.64</v>
      </c>
      <c r="I72" s="10" t="n">
        <v>0.387</v>
      </c>
      <c r="J72" s="0" t="n">
        <v>1.17</v>
      </c>
      <c r="K72" s="13" t="n">
        <f aca="false">IF(H72&lt;&gt;"",H72,IFERROR(G72/INDEX(Players!$M$2:$M$124,MATCH(B72,Players!$A$2:$A$124,0)),""))</f>
        <v>0.64</v>
      </c>
    </row>
    <row r="73" customFormat="false" ht="15" hidden="false" customHeight="false" outlineLevel="0" collapsed="false">
      <c r="A73" s="0" t="s">
        <v>1851</v>
      </c>
      <c r="B73" s="0" t="s">
        <v>1570</v>
      </c>
      <c r="C73" s="0" t="s">
        <v>1386</v>
      </c>
      <c r="D73" s="0" t="s">
        <v>988</v>
      </c>
      <c r="E73" s="0" t="s">
        <v>142</v>
      </c>
      <c r="F73" s="0" t="n">
        <v>6</v>
      </c>
      <c r="G73" s="0" t="n">
        <v>15.3</v>
      </c>
      <c r="H73" s="0" t="n">
        <v>0.63</v>
      </c>
      <c r="I73" s="10" t="n">
        <v>0.315</v>
      </c>
      <c r="J73" s="0" t="n">
        <v>1.19</v>
      </c>
      <c r="K73" s="13" t="n">
        <f aca="false">IF(H73&lt;&gt;"",H73,IFERROR(G73/INDEX(Players!$M$2:$M$124,MATCH(B73,Players!$A$2:$A$124,0)),""))</f>
        <v>0.63</v>
      </c>
    </row>
    <row r="74" customFormat="false" ht="15" hidden="false" customHeight="false" outlineLevel="0" collapsed="false">
      <c r="A74" s="0" t="s">
        <v>1852</v>
      </c>
      <c r="B74" s="0" t="s">
        <v>1570</v>
      </c>
      <c r="C74" s="0" t="s">
        <v>1386</v>
      </c>
      <c r="D74" s="0" t="s">
        <v>988</v>
      </c>
      <c r="E74" s="0" t="s">
        <v>107</v>
      </c>
      <c r="F74" s="0" t="n">
        <v>5</v>
      </c>
      <c r="G74" s="0" t="n">
        <v>13.6</v>
      </c>
      <c r="H74" s="0" t="n">
        <v>0.63</v>
      </c>
      <c r="I74" s="10" t="n">
        <v>0.382</v>
      </c>
      <c r="J74" s="0" t="n">
        <v>1.15</v>
      </c>
      <c r="K74" s="13" t="n">
        <f aca="false">IF(H74&lt;&gt;"",H74,IFERROR(G74/INDEX(Players!$M$2:$M$124,MATCH(B74,Players!$A$2:$A$124,0)),""))</f>
        <v>0.63</v>
      </c>
    </row>
    <row r="75" customFormat="false" ht="15" hidden="false" customHeight="false" outlineLevel="0" collapsed="false">
      <c r="A75" s="0" t="s">
        <v>1853</v>
      </c>
      <c r="B75" s="0" t="s">
        <v>1570</v>
      </c>
      <c r="C75" s="0" t="s">
        <v>1386</v>
      </c>
      <c r="D75" s="0" t="s">
        <v>988</v>
      </c>
      <c r="E75" s="0" t="s">
        <v>121</v>
      </c>
      <c r="F75" s="0" t="n">
        <v>5</v>
      </c>
      <c r="G75" s="0" t="n">
        <v>12.2</v>
      </c>
      <c r="H75" s="0" t="n">
        <v>0.58</v>
      </c>
      <c r="I75" s="10" t="n">
        <v>0.41</v>
      </c>
      <c r="J75" s="0" t="n">
        <v>1.05</v>
      </c>
      <c r="K75" s="13" t="n">
        <f aca="false">IF(H75&lt;&gt;"",H75,IFERROR(G75/INDEX(Players!$M$2:$M$124,MATCH(B75,Players!$A$2:$A$124,0)),""))</f>
        <v>0.58</v>
      </c>
    </row>
    <row r="76" customFormat="false" ht="15" hidden="false" customHeight="false" outlineLevel="0" collapsed="false">
      <c r="A76" s="0" t="s">
        <v>1854</v>
      </c>
      <c r="B76" s="0" t="s">
        <v>1570</v>
      </c>
      <c r="C76" s="0" t="s">
        <v>1386</v>
      </c>
      <c r="D76" s="0" t="s">
        <v>988</v>
      </c>
      <c r="E76" s="0" t="s">
        <v>131</v>
      </c>
      <c r="F76" s="0" t="n">
        <v>4</v>
      </c>
      <c r="G76" s="0" t="n">
        <v>13.8</v>
      </c>
      <c r="H76" s="0" t="n">
        <v>0.63</v>
      </c>
      <c r="I76" s="10" t="n">
        <v>0.364</v>
      </c>
      <c r="J76" s="0" t="n">
        <v>1.1</v>
      </c>
      <c r="K76" s="13" t="n">
        <f aca="false">IF(H76&lt;&gt;"",H76,IFERROR(G76/INDEX(Players!$M$2:$M$124,MATCH(B76,Players!$A$2:$A$124,0)),""))</f>
        <v>0.63</v>
      </c>
    </row>
    <row r="77" customFormat="false" ht="15" hidden="false" customHeight="false" outlineLevel="0" collapsed="false">
      <c r="A77" s="0" t="s">
        <v>1855</v>
      </c>
      <c r="B77" s="0" t="s">
        <v>1570</v>
      </c>
      <c r="C77" s="0" t="s">
        <v>1386</v>
      </c>
      <c r="D77" s="0" t="s">
        <v>988</v>
      </c>
      <c r="E77" s="0" t="s">
        <v>80</v>
      </c>
      <c r="F77" s="0" t="n">
        <v>3</v>
      </c>
      <c r="G77" s="0" t="n">
        <v>7.7</v>
      </c>
      <c r="H77" s="0" t="n">
        <v>0.38</v>
      </c>
      <c r="I77" s="10" t="n">
        <v>0.435</v>
      </c>
      <c r="J77" s="0" t="n">
        <v>0.57</v>
      </c>
      <c r="K77" s="13" t="n">
        <f aca="false">IF(H77&lt;&gt;"",H77,IFERROR(G77/INDEX(Players!$M$2:$M$124,MATCH(B77,Players!$A$2:$A$124,0)),""))</f>
        <v>0.38</v>
      </c>
    </row>
    <row r="78" customFormat="false" ht="15" hidden="false" customHeight="false" outlineLevel="0" collapsed="false">
      <c r="A78" s="0" t="s">
        <v>1856</v>
      </c>
      <c r="B78" s="0" t="s">
        <v>1561</v>
      </c>
      <c r="C78" s="0" t="s">
        <v>1363</v>
      </c>
      <c r="D78" s="0" t="s">
        <v>988</v>
      </c>
      <c r="E78" s="0" t="s">
        <v>142</v>
      </c>
      <c r="F78" s="0" t="n">
        <v>9</v>
      </c>
      <c r="G78" s="0" t="n">
        <v>16</v>
      </c>
      <c r="H78" s="0" t="n">
        <v>0.71</v>
      </c>
      <c r="I78" s="10" t="n">
        <v>0.549</v>
      </c>
      <c r="J78" s="0" t="n">
        <v>1.07</v>
      </c>
      <c r="K78" s="13" t="n">
        <f aca="false">IF(H78&lt;&gt;"",H78,IFERROR(G78/INDEX(Players!$M$2:$M$124,MATCH(B78,Players!$A$2:$A$124,0)),""))</f>
        <v>0.71</v>
      </c>
    </row>
    <row r="79" customFormat="false" ht="15" hidden="false" customHeight="false" outlineLevel="0" collapsed="false">
      <c r="A79" s="0" t="s">
        <v>1857</v>
      </c>
      <c r="B79" s="0" t="s">
        <v>1561</v>
      </c>
      <c r="C79" s="0" t="s">
        <v>1363</v>
      </c>
      <c r="D79" s="0" t="s">
        <v>988</v>
      </c>
      <c r="E79" s="0" t="s">
        <v>150</v>
      </c>
      <c r="F79" s="0" t="n">
        <v>9</v>
      </c>
      <c r="G79" s="0" t="n">
        <v>12.9</v>
      </c>
      <c r="H79" s="0" t="n">
        <v>0.6</v>
      </c>
      <c r="I79" s="10" t="n">
        <v>0.655</v>
      </c>
      <c r="J79" s="0" t="n">
        <v>0.83</v>
      </c>
      <c r="K79" s="13" t="n">
        <f aca="false">IF(H79&lt;&gt;"",H79,IFERROR(G79/INDEX(Players!$M$2:$M$124,MATCH(B79,Players!$A$2:$A$124,0)),""))</f>
        <v>0.6</v>
      </c>
    </row>
    <row r="80" customFormat="false" ht="15" hidden="false" customHeight="false" outlineLevel="0" collapsed="false">
      <c r="A80" s="0" t="s">
        <v>1858</v>
      </c>
      <c r="B80" s="0" t="s">
        <v>1561</v>
      </c>
      <c r="C80" s="0" t="s">
        <v>1363</v>
      </c>
      <c r="D80" s="0" t="s">
        <v>988</v>
      </c>
      <c r="E80" s="0" t="s">
        <v>121</v>
      </c>
      <c r="F80" s="0" t="n">
        <v>6</v>
      </c>
      <c r="G80" s="0" t="n">
        <v>15.5</v>
      </c>
      <c r="H80" s="0" t="n">
        <v>0.7</v>
      </c>
      <c r="I80" s="10" t="n">
        <v>0.602</v>
      </c>
      <c r="J80" s="0" t="n">
        <v>1.11</v>
      </c>
      <c r="K80" s="13" t="n">
        <f aca="false">IF(H80&lt;&gt;"",H80,IFERROR(G80/INDEX(Players!$M$2:$M$124,MATCH(B80,Players!$A$2:$A$124,0)),""))</f>
        <v>0.7</v>
      </c>
    </row>
    <row r="81" customFormat="false" ht="15" hidden="false" customHeight="false" outlineLevel="0" collapsed="false">
      <c r="A81" s="0" t="s">
        <v>1859</v>
      </c>
      <c r="B81" s="0" t="s">
        <v>1561</v>
      </c>
      <c r="C81" s="0" t="s">
        <v>1363</v>
      </c>
      <c r="D81" s="0" t="s">
        <v>988</v>
      </c>
      <c r="E81" s="0" t="s">
        <v>80</v>
      </c>
      <c r="F81" s="0" t="n">
        <v>5</v>
      </c>
      <c r="G81" s="0" t="n">
        <v>17.4</v>
      </c>
      <c r="H81" s="0" t="n">
        <v>0.83</v>
      </c>
      <c r="I81" s="10" t="n">
        <v>0.563</v>
      </c>
      <c r="J81" s="0" t="n">
        <v>1.28</v>
      </c>
      <c r="K81" s="13" t="n">
        <f aca="false">IF(H81&lt;&gt;"",H81,IFERROR(G81/INDEX(Players!$M$2:$M$124,MATCH(B81,Players!$A$2:$A$124,0)),""))</f>
        <v>0.83</v>
      </c>
    </row>
    <row r="82" customFormat="false" ht="15" hidden="false" customHeight="false" outlineLevel="0" collapsed="false">
      <c r="A82" s="0" t="s">
        <v>1860</v>
      </c>
      <c r="B82" s="0" t="s">
        <v>1561</v>
      </c>
      <c r="C82" s="0" t="s">
        <v>1363</v>
      </c>
      <c r="D82" s="0" t="s">
        <v>988</v>
      </c>
      <c r="E82" s="0" t="s">
        <v>107</v>
      </c>
      <c r="F82" s="0" t="n">
        <v>5</v>
      </c>
      <c r="G82" s="0" t="n">
        <v>13.4</v>
      </c>
      <c r="H82" s="0" t="n">
        <v>0.6</v>
      </c>
      <c r="I82" s="10" t="n">
        <v>0.612</v>
      </c>
      <c r="J82" s="0" t="n">
        <v>1</v>
      </c>
      <c r="K82" s="13" t="n">
        <f aca="false">IF(H82&lt;&gt;"",H82,IFERROR(G82/INDEX(Players!$M$2:$M$124,MATCH(B82,Players!$A$2:$A$124,0)),""))</f>
        <v>0.6</v>
      </c>
    </row>
    <row r="83" customFormat="false" ht="15" hidden="false" customHeight="false" outlineLevel="0" collapsed="false">
      <c r="A83" s="0" t="s">
        <v>1861</v>
      </c>
      <c r="B83" s="0" t="s">
        <v>1561</v>
      </c>
      <c r="C83" s="0" t="s">
        <v>1363</v>
      </c>
      <c r="D83" s="0" t="s">
        <v>988</v>
      </c>
      <c r="E83" s="0" t="s">
        <v>1599</v>
      </c>
      <c r="F83" s="0" t="n">
        <v>2</v>
      </c>
      <c r="G83" s="0" t="n">
        <v>15.5</v>
      </c>
      <c r="H83" s="0" t="n">
        <v>0.84</v>
      </c>
      <c r="I83" s="10" t="n">
        <v>0.645</v>
      </c>
      <c r="J83" s="0" t="n">
        <v>1.24</v>
      </c>
      <c r="K83" s="13" t="n">
        <f aca="false">IF(H83&lt;&gt;"",H83,IFERROR(G83/INDEX(Players!$M$2:$M$124,MATCH(B83,Players!$A$2:$A$124,0)),""))</f>
        <v>0.84</v>
      </c>
    </row>
    <row r="84" customFormat="false" ht="15" hidden="false" customHeight="false" outlineLevel="0" collapsed="false">
      <c r="A84" s="0" t="s">
        <v>1862</v>
      </c>
      <c r="B84" s="0" t="s">
        <v>1561</v>
      </c>
      <c r="C84" s="0" t="s">
        <v>1363</v>
      </c>
      <c r="D84" s="0" t="s">
        <v>988</v>
      </c>
      <c r="E84" s="0" t="s">
        <v>131</v>
      </c>
      <c r="F84" s="0" t="n">
        <v>2</v>
      </c>
      <c r="G84" s="0" t="n">
        <v>13</v>
      </c>
      <c r="H84" s="0" t="n">
        <v>0.68</v>
      </c>
      <c r="I84" s="10" t="n">
        <v>0.538</v>
      </c>
      <c r="J84" s="0" t="n">
        <v>0.93</v>
      </c>
      <c r="K84" s="13" t="n">
        <f aca="false">IF(H84&lt;&gt;"",H84,IFERROR(G84/INDEX(Players!$M$2:$M$124,MATCH(B84,Players!$A$2:$A$124,0)),""))</f>
        <v>0.68</v>
      </c>
    </row>
    <row r="85" customFormat="false" ht="15" hidden="false" customHeight="false" outlineLevel="0" collapsed="false">
      <c r="A85" s="0" t="s">
        <v>1863</v>
      </c>
      <c r="B85" s="0" t="s">
        <v>1470</v>
      </c>
      <c r="C85" s="0" t="s">
        <v>1147</v>
      </c>
      <c r="D85" s="0" t="s">
        <v>988</v>
      </c>
      <c r="E85" s="0" t="s">
        <v>107</v>
      </c>
      <c r="F85" s="0" t="n">
        <v>13</v>
      </c>
      <c r="G85" s="0" t="n">
        <v>15.3</v>
      </c>
      <c r="H85" s="0" t="n">
        <v>0.65</v>
      </c>
      <c r="I85" s="10" t="n">
        <v>0.688</v>
      </c>
      <c r="J85" s="0" t="n">
        <v>0.86</v>
      </c>
      <c r="K85" s="13" t="n">
        <f aca="false">IF(H85&lt;&gt;"",H85,IFERROR(G85/INDEX(Players!$M$2:$M$124,MATCH(B85,Players!$A$2:$A$124,0)),""))</f>
        <v>0.65</v>
      </c>
    </row>
    <row r="86" customFormat="false" ht="15" hidden="false" customHeight="false" outlineLevel="0" collapsed="false">
      <c r="A86" s="0" t="s">
        <v>1864</v>
      </c>
      <c r="B86" s="0" t="s">
        <v>1470</v>
      </c>
      <c r="C86" s="0" t="s">
        <v>1147</v>
      </c>
      <c r="D86" s="0" t="s">
        <v>988</v>
      </c>
      <c r="E86" s="0" t="s">
        <v>150</v>
      </c>
      <c r="F86" s="0" t="n">
        <v>7</v>
      </c>
      <c r="G86" s="0" t="n">
        <v>17</v>
      </c>
      <c r="H86" s="0" t="n">
        <v>0.7</v>
      </c>
      <c r="I86" s="10" t="n">
        <v>0.605</v>
      </c>
      <c r="J86" s="0" t="n">
        <v>0.97</v>
      </c>
      <c r="K86" s="13" t="n">
        <f aca="false">IF(H86&lt;&gt;"",H86,IFERROR(G86/INDEX(Players!$M$2:$M$124,MATCH(B86,Players!$A$2:$A$124,0)),""))</f>
        <v>0.7</v>
      </c>
    </row>
    <row r="87" customFormat="false" ht="15" hidden="false" customHeight="false" outlineLevel="0" collapsed="false">
      <c r="A87" s="0" t="s">
        <v>1865</v>
      </c>
      <c r="B87" s="0" t="s">
        <v>1470</v>
      </c>
      <c r="C87" s="0" t="s">
        <v>1147</v>
      </c>
      <c r="D87" s="0" t="s">
        <v>988</v>
      </c>
      <c r="E87" s="0" t="s">
        <v>94</v>
      </c>
      <c r="F87" s="0" t="n">
        <v>5</v>
      </c>
      <c r="G87" s="0" t="n">
        <v>22.4</v>
      </c>
      <c r="H87" s="0" t="n">
        <v>0.84</v>
      </c>
      <c r="I87" s="10" t="n">
        <v>0.625</v>
      </c>
      <c r="J87" s="0" t="n">
        <v>1.1</v>
      </c>
      <c r="K87" s="13" t="n">
        <f aca="false">IF(H87&lt;&gt;"",H87,IFERROR(G87/INDEX(Players!$M$2:$M$124,MATCH(B87,Players!$A$2:$A$124,0)),""))</f>
        <v>0.84</v>
      </c>
    </row>
    <row r="88" customFormat="false" ht="15" hidden="false" customHeight="false" outlineLevel="0" collapsed="false">
      <c r="A88" s="0" t="s">
        <v>1866</v>
      </c>
      <c r="B88" s="0" t="s">
        <v>1470</v>
      </c>
      <c r="C88" s="0" t="s">
        <v>1147</v>
      </c>
      <c r="D88" s="0" t="s">
        <v>988</v>
      </c>
      <c r="E88" s="0" t="s">
        <v>142</v>
      </c>
      <c r="F88" s="0" t="n">
        <v>4</v>
      </c>
      <c r="G88" s="0" t="n">
        <v>13.8</v>
      </c>
      <c r="H88" s="0" t="n">
        <v>0.79</v>
      </c>
      <c r="I88" s="10" t="n">
        <v>0.582</v>
      </c>
      <c r="J88" s="0" t="n">
        <v>1.06</v>
      </c>
      <c r="K88" s="13" t="n">
        <f aca="false">IF(H88&lt;&gt;"",H88,IFERROR(G88/INDEX(Players!$M$2:$M$124,MATCH(B88,Players!$A$2:$A$124,0)),""))</f>
        <v>0.79</v>
      </c>
    </row>
    <row r="89" customFormat="false" ht="15" hidden="false" customHeight="false" outlineLevel="0" collapsed="false">
      <c r="A89" s="0" t="s">
        <v>1867</v>
      </c>
      <c r="B89" s="0" t="s">
        <v>1470</v>
      </c>
      <c r="C89" s="0" t="s">
        <v>1147</v>
      </c>
      <c r="D89" s="0" t="s">
        <v>988</v>
      </c>
      <c r="E89" s="0" t="s">
        <v>131</v>
      </c>
      <c r="F89" s="0" t="n">
        <v>4</v>
      </c>
      <c r="G89" s="0" t="n">
        <v>14.3</v>
      </c>
      <c r="H89" s="0" t="n">
        <v>0.71</v>
      </c>
      <c r="I89" s="10" t="n">
        <v>0.596</v>
      </c>
      <c r="J89" s="0" t="n">
        <v>0.89</v>
      </c>
      <c r="K89" s="13" t="n">
        <f aca="false">IF(H89&lt;&gt;"",H89,IFERROR(G89/INDEX(Players!$M$2:$M$124,MATCH(B89,Players!$A$2:$A$124,0)),""))</f>
        <v>0.71</v>
      </c>
    </row>
    <row r="90" customFormat="false" ht="15" hidden="false" customHeight="false" outlineLevel="0" collapsed="false">
      <c r="A90" s="0" t="s">
        <v>1868</v>
      </c>
      <c r="B90" s="0" t="s">
        <v>1470</v>
      </c>
      <c r="C90" s="0" t="s">
        <v>1147</v>
      </c>
      <c r="D90" s="0" t="s">
        <v>988</v>
      </c>
      <c r="E90" s="0" t="s">
        <v>121</v>
      </c>
      <c r="F90" s="0" t="n">
        <v>4</v>
      </c>
      <c r="G90" s="0" t="n">
        <v>13</v>
      </c>
      <c r="H90" s="0" t="n">
        <v>0.62</v>
      </c>
      <c r="I90" s="10" t="n">
        <v>0.558</v>
      </c>
      <c r="J90" s="0" t="n">
        <v>0.75</v>
      </c>
      <c r="K90" s="13" t="n">
        <f aca="false">IF(H90&lt;&gt;"",H90,IFERROR(G90/INDEX(Players!$M$2:$M$124,MATCH(B90,Players!$A$2:$A$124,0)),""))</f>
        <v>0.62</v>
      </c>
    </row>
    <row r="91" customFormat="false" ht="15" hidden="false" customHeight="false" outlineLevel="0" collapsed="false">
      <c r="A91" s="0" t="s">
        <v>1869</v>
      </c>
      <c r="B91" s="0" t="s">
        <v>1483</v>
      </c>
      <c r="C91" s="0" t="s">
        <v>1187</v>
      </c>
      <c r="D91" s="0" t="s">
        <v>988</v>
      </c>
      <c r="E91" s="0" t="s">
        <v>150</v>
      </c>
      <c r="F91" s="0" t="n">
        <v>11</v>
      </c>
      <c r="G91" s="0" t="n">
        <v>14</v>
      </c>
      <c r="H91" s="0" t="n">
        <v>0.64</v>
      </c>
      <c r="I91" s="10" t="n">
        <v>0.545</v>
      </c>
      <c r="J91" s="0" t="n">
        <v>0.95</v>
      </c>
      <c r="K91" s="13" t="n">
        <f aca="false">IF(H91&lt;&gt;"",H91,IFERROR(G91/INDEX(Players!$M$2:$M$124,MATCH(B91,Players!$A$2:$A$124,0)),""))</f>
        <v>0.64</v>
      </c>
    </row>
    <row r="92" customFormat="false" ht="15" hidden="false" customHeight="false" outlineLevel="0" collapsed="false">
      <c r="A92" s="0" t="s">
        <v>1870</v>
      </c>
      <c r="B92" s="0" t="s">
        <v>1483</v>
      </c>
      <c r="C92" s="0" t="s">
        <v>1187</v>
      </c>
      <c r="D92" s="0" t="s">
        <v>988</v>
      </c>
      <c r="E92" s="0" t="s">
        <v>94</v>
      </c>
      <c r="F92" s="0" t="n">
        <v>9</v>
      </c>
      <c r="G92" s="0" t="n">
        <v>15.4</v>
      </c>
      <c r="H92" s="0" t="n">
        <v>0.67</v>
      </c>
      <c r="I92" s="10" t="n">
        <v>0.662</v>
      </c>
      <c r="J92" s="0" t="n">
        <v>1.04</v>
      </c>
      <c r="K92" s="13" t="n">
        <f aca="false">IF(H92&lt;&gt;"",H92,IFERROR(G92/INDEX(Players!$M$2:$M$124,MATCH(B92,Players!$A$2:$A$124,0)),""))</f>
        <v>0.67</v>
      </c>
    </row>
    <row r="93" customFormat="false" ht="15" hidden="false" customHeight="false" outlineLevel="0" collapsed="false">
      <c r="A93" s="0" t="s">
        <v>1871</v>
      </c>
      <c r="B93" s="0" t="s">
        <v>1483</v>
      </c>
      <c r="C93" s="0" t="s">
        <v>1187</v>
      </c>
      <c r="D93" s="0" t="s">
        <v>988</v>
      </c>
      <c r="E93" s="0" t="s">
        <v>121</v>
      </c>
      <c r="F93" s="0" t="n">
        <v>6</v>
      </c>
      <c r="G93" s="0" t="n">
        <v>17.8</v>
      </c>
      <c r="H93" s="0" t="n">
        <v>0.73</v>
      </c>
      <c r="I93" s="10" t="n">
        <v>0.533</v>
      </c>
      <c r="J93" s="0" t="n">
        <v>1.11</v>
      </c>
      <c r="K93" s="13" t="n">
        <f aca="false">IF(H93&lt;&gt;"",H93,IFERROR(G93/INDEX(Players!$M$2:$M$124,MATCH(B93,Players!$A$2:$A$124,0)),""))</f>
        <v>0.73</v>
      </c>
    </row>
    <row r="94" customFormat="false" ht="15" hidden="false" customHeight="false" outlineLevel="0" collapsed="false">
      <c r="A94" s="0" t="s">
        <v>1872</v>
      </c>
      <c r="B94" s="0" t="s">
        <v>1483</v>
      </c>
      <c r="C94" s="0" t="s">
        <v>1187</v>
      </c>
      <c r="D94" s="0" t="s">
        <v>988</v>
      </c>
      <c r="E94" s="0" t="s">
        <v>80</v>
      </c>
      <c r="F94" s="0" t="n">
        <v>5</v>
      </c>
      <c r="G94" s="0" t="n">
        <v>16</v>
      </c>
      <c r="H94" s="0" t="n">
        <v>0.73</v>
      </c>
      <c r="I94" s="10" t="n">
        <v>0.588</v>
      </c>
      <c r="J94" s="0" t="n">
        <v>1.25</v>
      </c>
      <c r="K94" s="13" t="n">
        <f aca="false">IF(H94&lt;&gt;"",H94,IFERROR(G94/INDEX(Players!$M$2:$M$124,MATCH(B94,Players!$A$2:$A$124,0)),""))</f>
        <v>0.73</v>
      </c>
    </row>
    <row r="95" customFormat="false" ht="15" hidden="false" customHeight="false" outlineLevel="0" collapsed="false">
      <c r="A95" s="0" t="s">
        <v>1873</v>
      </c>
      <c r="B95" s="0" t="s">
        <v>1483</v>
      </c>
      <c r="C95" s="0" t="s">
        <v>1187</v>
      </c>
      <c r="D95" s="0" t="s">
        <v>988</v>
      </c>
      <c r="E95" s="0" t="s">
        <v>107</v>
      </c>
      <c r="F95" s="0" t="n">
        <v>4</v>
      </c>
      <c r="G95" s="0" t="n">
        <v>15.8</v>
      </c>
      <c r="H95" s="0" t="n">
        <v>0.67</v>
      </c>
      <c r="I95" s="10" t="n">
        <v>0.556</v>
      </c>
      <c r="J95" s="0" t="n">
        <v>0.94</v>
      </c>
      <c r="K95" s="13" t="n">
        <f aca="false">IF(H95&lt;&gt;"",H95,IFERROR(G95/INDEX(Players!$M$2:$M$124,MATCH(B95,Players!$A$2:$A$124,0)),""))</f>
        <v>0.67</v>
      </c>
    </row>
    <row r="96" customFormat="false" ht="15" hidden="false" customHeight="false" outlineLevel="0" collapsed="false">
      <c r="A96" s="0" t="s">
        <v>1874</v>
      </c>
      <c r="B96" s="0" t="s">
        <v>1483</v>
      </c>
      <c r="C96" s="0" t="s">
        <v>1187</v>
      </c>
      <c r="D96" s="0" t="s">
        <v>988</v>
      </c>
      <c r="E96" s="0" t="s">
        <v>131</v>
      </c>
      <c r="F96" s="0" t="n">
        <v>4</v>
      </c>
      <c r="G96" s="0" t="n">
        <v>15.3</v>
      </c>
      <c r="H96" s="0" t="n">
        <v>0.61</v>
      </c>
      <c r="I96" s="10" t="n">
        <v>0.623</v>
      </c>
      <c r="J96" s="0" t="n">
        <v>0.84</v>
      </c>
      <c r="K96" s="13" t="n">
        <f aca="false">IF(H96&lt;&gt;"",H96,IFERROR(G96/INDEX(Players!$M$2:$M$124,MATCH(B96,Players!$A$2:$A$124,0)),""))</f>
        <v>0.61</v>
      </c>
    </row>
    <row r="97" customFormat="false" ht="15" hidden="false" customHeight="false" outlineLevel="0" collapsed="false">
      <c r="A97" s="0" t="s">
        <v>1875</v>
      </c>
      <c r="B97" s="0" t="s">
        <v>1512</v>
      </c>
      <c r="C97" s="0" t="s">
        <v>1260</v>
      </c>
      <c r="D97" s="0" t="s">
        <v>988</v>
      </c>
      <c r="E97" s="0" t="s">
        <v>121</v>
      </c>
      <c r="F97" s="0" t="n">
        <v>11</v>
      </c>
      <c r="G97" s="0" t="n">
        <v>16.6</v>
      </c>
      <c r="H97" s="0" t="n">
        <v>0.77</v>
      </c>
      <c r="I97" s="10" t="n">
        <v>0.689</v>
      </c>
      <c r="J97" s="0" t="n">
        <v>1.15</v>
      </c>
      <c r="K97" s="13" t="n">
        <f aca="false">IF(H97&lt;&gt;"",H97,IFERROR(G97/INDEX(Players!$M$2:$M$124,MATCH(B97,Players!$A$2:$A$124,0)),""))</f>
        <v>0.77</v>
      </c>
    </row>
    <row r="98" customFormat="false" ht="15" hidden="false" customHeight="false" outlineLevel="0" collapsed="false">
      <c r="A98" s="0" t="s">
        <v>1876</v>
      </c>
      <c r="B98" s="0" t="s">
        <v>1512</v>
      </c>
      <c r="C98" s="0" t="s">
        <v>1260</v>
      </c>
      <c r="D98" s="0" t="s">
        <v>988</v>
      </c>
      <c r="E98" s="0" t="s">
        <v>107</v>
      </c>
      <c r="F98" s="0" t="n">
        <v>8</v>
      </c>
      <c r="G98" s="0" t="n">
        <v>16</v>
      </c>
      <c r="H98" s="0" t="n">
        <v>0.68</v>
      </c>
      <c r="I98" s="10" t="n">
        <v>0.688</v>
      </c>
      <c r="J98" s="0" t="n">
        <v>0.98</v>
      </c>
      <c r="K98" s="13" t="n">
        <f aca="false">IF(H98&lt;&gt;"",H98,IFERROR(G98/INDEX(Players!$M$2:$M$124,MATCH(B98,Players!$A$2:$A$124,0)),""))</f>
        <v>0.68</v>
      </c>
    </row>
    <row r="99" customFormat="false" ht="15" hidden="false" customHeight="false" outlineLevel="0" collapsed="false">
      <c r="A99" s="0" t="s">
        <v>1877</v>
      </c>
      <c r="B99" s="0" t="s">
        <v>1512</v>
      </c>
      <c r="C99" s="0" t="s">
        <v>1260</v>
      </c>
      <c r="D99" s="0" t="s">
        <v>988</v>
      </c>
      <c r="E99" s="0" t="s">
        <v>150</v>
      </c>
      <c r="F99" s="0" t="n">
        <v>7</v>
      </c>
      <c r="G99" s="0" t="n">
        <v>13.9</v>
      </c>
      <c r="H99" s="0" t="n">
        <v>0.64</v>
      </c>
      <c r="I99" s="10" t="n">
        <v>0.639</v>
      </c>
      <c r="J99" s="0" t="n">
        <v>1.05</v>
      </c>
      <c r="K99" s="13" t="n">
        <f aca="false">IF(H99&lt;&gt;"",H99,IFERROR(G99/INDEX(Players!$M$2:$M$124,MATCH(B99,Players!$A$2:$A$124,0)),""))</f>
        <v>0.64</v>
      </c>
    </row>
    <row r="100" customFormat="false" ht="15" hidden="false" customHeight="false" outlineLevel="0" collapsed="false">
      <c r="A100" s="0" t="s">
        <v>1878</v>
      </c>
      <c r="B100" s="0" t="s">
        <v>1512</v>
      </c>
      <c r="C100" s="0" t="s">
        <v>1260</v>
      </c>
      <c r="D100" s="0" t="s">
        <v>988</v>
      </c>
      <c r="E100" s="0" t="s">
        <v>80</v>
      </c>
      <c r="F100" s="0" t="n">
        <v>6</v>
      </c>
      <c r="G100" s="0" t="n">
        <v>16.3</v>
      </c>
      <c r="H100" s="0" t="n">
        <v>0.76</v>
      </c>
      <c r="I100" s="10" t="n">
        <v>0.633</v>
      </c>
      <c r="J100" s="0" t="n">
        <v>1.34</v>
      </c>
      <c r="K100" s="13" t="n">
        <f aca="false">IF(H100&lt;&gt;"",H100,IFERROR(G100/INDEX(Players!$M$2:$M$124,MATCH(B100,Players!$A$2:$A$124,0)),""))</f>
        <v>0.76</v>
      </c>
    </row>
    <row r="101" customFormat="false" ht="15" hidden="false" customHeight="false" outlineLevel="0" collapsed="false">
      <c r="A101" s="0" t="s">
        <v>1879</v>
      </c>
      <c r="B101" s="0" t="s">
        <v>1512</v>
      </c>
      <c r="C101" s="0" t="s">
        <v>1260</v>
      </c>
      <c r="D101" s="0" t="s">
        <v>988</v>
      </c>
      <c r="E101" s="0" t="s">
        <v>94</v>
      </c>
      <c r="F101" s="0" t="n">
        <v>4</v>
      </c>
      <c r="G101" s="0" t="n">
        <v>14.8</v>
      </c>
      <c r="H101" s="0" t="n">
        <v>0.69</v>
      </c>
      <c r="I101" s="10" t="n">
        <v>0.712</v>
      </c>
      <c r="J101" s="0" t="n">
        <v>1.04</v>
      </c>
      <c r="K101" s="13" t="n">
        <f aca="false">IF(H101&lt;&gt;"",H101,IFERROR(G101/INDEX(Players!$M$2:$M$124,MATCH(B101,Players!$A$2:$A$124,0)),""))</f>
        <v>0.69</v>
      </c>
    </row>
    <row r="102" customFormat="false" ht="15" hidden="false" customHeight="false" outlineLevel="0" collapsed="false">
      <c r="A102" s="0" t="s">
        <v>1880</v>
      </c>
      <c r="B102" s="0" t="s">
        <v>1512</v>
      </c>
      <c r="C102" s="0" t="s">
        <v>1260</v>
      </c>
      <c r="D102" s="0" t="s">
        <v>988</v>
      </c>
      <c r="E102" s="0" t="s">
        <v>131</v>
      </c>
      <c r="F102" s="0" t="n">
        <v>1</v>
      </c>
      <c r="G102" s="0" t="n">
        <v>13</v>
      </c>
      <c r="H102" s="0" t="n">
        <v>0.57</v>
      </c>
      <c r="I102" s="10" t="n">
        <v>0.538</v>
      </c>
      <c r="J102" s="0" t="n">
        <v>0.93</v>
      </c>
      <c r="K102" s="13" t="n">
        <f aca="false">IF(H102&lt;&gt;"",H102,IFERROR(G102/INDEX(Players!$M$2:$M$124,MATCH(B102,Players!$A$2:$A$124,0)),""))</f>
        <v>0.57</v>
      </c>
    </row>
    <row r="103" customFormat="false" ht="15" hidden="false" customHeight="false" outlineLevel="0" collapsed="false">
      <c r="A103" s="0" t="s">
        <v>1881</v>
      </c>
      <c r="B103" s="0" t="s">
        <v>1539</v>
      </c>
      <c r="C103" s="0" t="s">
        <v>1316</v>
      </c>
      <c r="D103" s="0" t="s">
        <v>988</v>
      </c>
      <c r="E103" s="0" t="s">
        <v>80</v>
      </c>
      <c r="F103" s="0" t="n">
        <v>9</v>
      </c>
      <c r="G103" s="0" t="n">
        <v>13.9</v>
      </c>
      <c r="H103" s="0" t="n">
        <v>0.72</v>
      </c>
      <c r="I103" s="10" t="n">
        <v>0.592</v>
      </c>
      <c r="J103" s="0" t="n">
        <v>1.12</v>
      </c>
      <c r="K103" s="13" t="n">
        <f aca="false">IF(H103&lt;&gt;"",H103,IFERROR(G103/INDEX(Players!$M$2:$M$124,MATCH(B103,Players!$A$2:$A$124,0)),""))</f>
        <v>0.72</v>
      </c>
    </row>
    <row r="104" customFormat="false" ht="15" hidden="false" customHeight="false" outlineLevel="0" collapsed="false">
      <c r="A104" s="0" t="s">
        <v>1882</v>
      </c>
      <c r="B104" s="0" t="s">
        <v>1539</v>
      </c>
      <c r="C104" s="0" t="s">
        <v>1316</v>
      </c>
      <c r="D104" s="0" t="s">
        <v>988</v>
      </c>
      <c r="E104" s="0" t="s">
        <v>150</v>
      </c>
      <c r="F104" s="0" t="n">
        <v>6</v>
      </c>
      <c r="G104" s="0" t="n">
        <v>17</v>
      </c>
      <c r="H104" s="0" t="n">
        <v>0.82</v>
      </c>
      <c r="I104" s="10" t="n">
        <v>0.49</v>
      </c>
      <c r="J104" s="0" t="n">
        <v>1.46</v>
      </c>
      <c r="K104" s="13" t="n">
        <f aca="false">IF(H104&lt;&gt;"",H104,IFERROR(G104/INDEX(Players!$M$2:$M$124,MATCH(B104,Players!$A$2:$A$124,0)),""))</f>
        <v>0.82</v>
      </c>
    </row>
    <row r="105" customFormat="false" ht="15" hidden="false" customHeight="false" outlineLevel="0" collapsed="false">
      <c r="A105" s="0" t="s">
        <v>1883</v>
      </c>
      <c r="B105" s="0" t="s">
        <v>1539</v>
      </c>
      <c r="C105" s="0" t="s">
        <v>1316</v>
      </c>
      <c r="D105" s="0" t="s">
        <v>988</v>
      </c>
      <c r="E105" s="0" t="s">
        <v>107</v>
      </c>
      <c r="F105" s="0" t="n">
        <v>6</v>
      </c>
      <c r="G105" s="0" t="n">
        <v>13</v>
      </c>
      <c r="H105" s="0" t="n">
        <v>0.64</v>
      </c>
      <c r="I105" s="10" t="n">
        <v>0.551</v>
      </c>
      <c r="J105" s="0" t="n">
        <v>1.04</v>
      </c>
      <c r="K105" s="13" t="n">
        <f aca="false">IF(H105&lt;&gt;"",H105,IFERROR(G105/INDEX(Players!$M$2:$M$124,MATCH(B105,Players!$A$2:$A$124,0)),""))</f>
        <v>0.64</v>
      </c>
    </row>
    <row r="106" customFormat="false" ht="15" hidden="false" customHeight="false" outlineLevel="0" collapsed="false">
      <c r="A106" s="0" t="s">
        <v>1884</v>
      </c>
      <c r="B106" s="0" t="s">
        <v>1539</v>
      </c>
      <c r="C106" s="0" t="s">
        <v>1316</v>
      </c>
      <c r="D106" s="0" t="s">
        <v>988</v>
      </c>
      <c r="E106" s="0" t="s">
        <v>131</v>
      </c>
      <c r="F106" s="0" t="n">
        <v>5</v>
      </c>
      <c r="G106" s="0" t="n">
        <v>14.2</v>
      </c>
      <c r="H106" s="0" t="n">
        <v>0.72</v>
      </c>
      <c r="I106" s="10" t="n">
        <v>0.408</v>
      </c>
      <c r="J106" s="0" t="n">
        <v>1.08</v>
      </c>
      <c r="K106" s="13" t="n">
        <f aca="false">IF(H106&lt;&gt;"",H106,IFERROR(G106/INDEX(Players!$M$2:$M$124,MATCH(B106,Players!$A$2:$A$124,0)),""))</f>
        <v>0.72</v>
      </c>
    </row>
    <row r="107" customFormat="false" ht="15" hidden="false" customHeight="false" outlineLevel="0" collapsed="false">
      <c r="A107" s="0" t="s">
        <v>1885</v>
      </c>
      <c r="B107" s="0" t="s">
        <v>1539</v>
      </c>
      <c r="C107" s="0" t="s">
        <v>1316</v>
      </c>
      <c r="D107" s="0" t="s">
        <v>988</v>
      </c>
      <c r="E107" s="0" t="s">
        <v>142</v>
      </c>
      <c r="F107" s="0" t="n">
        <v>5</v>
      </c>
      <c r="G107" s="0" t="n">
        <v>13</v>
      </c>
      <c r="H107" s="0" t="n">
        <v>0.63</v>
      </c>
      <c r="I107" s="10" t="n">
        <v>0.523</v>
      </c>
      <c r="J107" s="0" t="n">
        <v>0.98</v>
      </c>
      <c r="K107" s="13" t="n">
        <f aca="false">IF(H107&lt;&gt;"",H107,IFERROR(G107/INDEX(Players!$M$2:$M$124,MATCH(B107,Players!$A$2:$A$124,0)),""))</f>
        <v>0.63</v>
      </c>
    </row>
    <row r="108" customFormat="false" ht="15" hidden="false" customHeight="false" outlineLevel="0" collapsed="false">
      <c r="A108" s="0" t="s">
        <v>1886</v>
      </c>
      <c r="B108" s="0" t="s">
        <v>1539</v>
      </c>
      <c r="C108" s="0" t="s">
        <v>1316</v>
      </c>
      <c r="D108" s="0" t="s">
        <v>988</v>
      </c>
      <c r="E108" s="0" t="s">
        <v>121</v>
      </c>
      <c r="F108" s="0" t="n">
        <v>2</v>
      </c>
      <c r="G108" s="0" t="n">
        <v>19.5</v>
      </c>
      <c r="H108" s="0" t="n">
        <v>0.68</v>
      </c>
      <c r="I108" s="10" t="n">
        <v>0.667</v>
      </c>
      <c r="J108" s="0" t="n">
        <v>1.05</v>
      </c>
      <c r="K108" s="13" t="n">
        <f aca="false">IF(H108&lt;&gt;"",H108,IFERROR(G108/INDEX(Players!$M$2:$M$124,MATCH(B108,Players!$A$2:$A$124,0)),""))</f>
        <v>0.68</v>
      </c>
    </row>
    <row r="109" customFormat="false" ht="15" hidden="false" customHeight="false" outlineLevel="0" collapsed="false">
      <c r="A109" s="0" t="s">
        <v>1887</v>
      </c>
      <c r="B109" s="0" t="s">
        <v>1529</v>
      </c>
      <c r="C109" s="0" t="s">
        <v>1295</v>
      </c>
      <c r="D109" s="0" t="s">
        <v>988</v>
      </c>
      <c r="E109" s="0" t="s">
        <v>150</v>
      </c>
      <c r="F109" s="0" t="n">
        <v>9</v>
      </c>
      <c r="G109" s="0" t="n">
        <v>16.1</v>
      </c>
      <c r="H109" s="0" t="n">
        <v>0.74</v>
      </c>
      <c r="I109" s="10" t="n">
        <v>0.545</v>
      </c>
      <c r="J109" s="0" t="n">
        <v>1.1</v>
      </c>
      <c r="K109" s="13" t="n">
        <f aca="false">IF(H109&lt;&gt;"",H109,IFERROR(G109/INDEX(Players!$M$2:$M$124,MATCH(B109,Players!$A$2:$A$124,0)),""))</f>
        <v>0.74</v>
      </c>
    </row>
    <row r="110" customFormat="false" ht="15" hidden="false" customHeight="false" outlineLevel="0" collapsed="false">
      <c r="A110" s="0" t="s">
        <v>1888</v>
      </c>
      <c r="B110" s="0" t="s">
        <v>1529</v>
      </c>
      <c r="C110" s="0" t="s">
        <v>1295</v>
      </c>
      <c r="D110" s="0" t="s">
        <v>988</v>
      </c>
      <c r="E110" s="0" t="s">
        <v>131</v>
      </c>
      <c r="F110" s="0" t="n">
        <v>7</v>
      </c>
      <c r="G110" s="0" t="n">
        <v>16.4</v>
      </c>
      <c r="H110" s="0" t="n">
        <v>0.76</v>
      </c>
      <c r="I110" s="10" t="n">
        <v>0.626</v>
      </c>
      <c r="J110" s="0" t="n">
        <v>1.16</v>
      </c>
      <c r="K110" s="13" t="n">
        <f aca="false">IF(H110&lt;&gt;"",H110,IFERROR(G110/INDEX(Players!$M$2:$M$124,MATCH(B110,Players!$A$2:$A$124,0)),""))</f>
        <v>0.76</v>
      </c>
    </row>
    <row r="111" customFormat="false" ht="15" hidden="false" customHeight="false" outlineLevel="0" collapsed="false">
      <c r="A111" s="0" t="s">
        <v>1889</v>
      </c>
      <c r="B111" s="0" t="s">
        <v>1529</v>
      </c>
      <c r="C111" s="0" t="s">
        <v>1295</v>
      </c>
      <c r="D111" s="0" t="s">
        <v>988</v>
      </c>
      <c r="E111" s="0" t="s">
        <v>142</v>
      </c>
      <c r="F111" s="0" t="n">
        <v>6</v>
      </c>
      <c r="G111" s="0" t="n">
        <v>14</v>
      </c>
      <c r="H111" s="0" t="n">
        <v>0.67</v>
      </c>
      <c r="I111" s="10" t="n">
        <v>0.619</v>
      </c>
      <c r="J111" s="0" t="n">
        <v>1.01</v>
      </c>
      <c r="K111" s="13" t="n">
        <f aca="false">IF(H111&lt;&gt;"",H111,IFERROR(G111/INDEX(Players!$M$2:$M$124,MATCH(B111,Players!$A$2:$A$124,0)),""))</f>
        <v>0.67</v>
      </c>
    </row>
    <row r="112" customFormat="false" ht="15" hidden="false" customHeight="false" outlineLevel="0" collapsed="false">
      <c r="A112" s="0" t="s">
        <v>1890</v>
      </c>
      <c r="B112" s="0" t="s">
        <v>1529</v>
      </c>
      <c r="C112" s="0" t="s">
        <v>1295</v>
      </c>
      <c r="D112" s="0" t="s">
        <v>988</v>
      </c>
      <c r="E112" s="0" t="s">
        <v>121</v>
      </c>
      <c r="F112" s="0" t="n">
        <v>5</v>
      </c>
      <c r="G112" s="0" t="n">
        <v>21</v>
      </c>
      <c r="H112" s="0" t="n">
        <v>0.93</v>
      </c>
      <c r="I112" s="10" t="n">
        <v>0.533</v>
      </c>
      <c r="J112" s="0" t="n">
        <v>1.4</v>
      </c>
      <c r="K112" s="13" t="n">
        <f aca="false">IF(H112&lt;&gt;"",H112,IFERROR(G112/INDEX(Players!$M$2:$M$124,MATCH(B112,Players!$A$2:$A$124,0)),""))</f>
        <v>0.93</v>
      </c>
    </row>
    <row r="113" customFormat="false" ht="15" hidden="false" customHeight="false" outlineLevel="0" collapsed="false">
      <c r="A113" s="0" t="s">
        <v>1891</v>
      </c>
      <c r="B113" s="0" t="s">
        <v>1529</v>
      </c>
      <c r="C113" s="0" t="s">
        <v>1295</v>
      </c>
      <c r="D113" s="0" t="s">
        <v>988</v>
      </c>
      <c r="E113" s="0" t="s">
        <v>80</v>
      </c>
      <c r="F113" s="0" t="n">
        <v>5</v>
      </c>
      <c r="G113" s="0" t="n">
        <v>19.2</v>
      </c>
      <c r="H113" s="0" t="n">
        <v>0.86</v>
      </c>
      <c r="I113" s="10" t="n">
        <v>0.604</v>
      </c>
      <c r="J113" s="0" t="n">
        <v>1.26</v>
      </c>
      <c r="K113" s="13" t="n">
        <f aca="false">IF(H113&lt;&gt;"",H113,IFERROR(G113/INDEX(Players!$M$2:$M$124,MATCH(B113,Players!$A$2:$A$124,0)),""))</f>
        <v>0.86</v>
      </c>
    </row>
    <row r="114" customFormat="false" ht="15" hidden="false" customHeight="false" outlineLevel="0" collapsed="false">
      <c r="A114" s="0" t="s">
        <v>1892</v>
      </c>
      <c r="B114" s="0" t="s">
        <v>1529</v>
      </c>
      <c r="C114" s="0" t="s">
        <v>1295</v>
      </c>
      <c r="D114" s="0" t="s">
        <v>988</v>
      </c>
      <c r="E114" s="0" t="s">
        <v>94</v>
      </c>
      <c r="F114" s="0" t="n">
        <v>4</v>
      </c>
      <c r="G114" s="0" t="n">
        <v>15.8</v>
      </c>
      <c r="H114" s="0" t="n">
        <v>0.75</v>
      </c>
      <c r="I114" s="10" t="n">
        <v>0.54</v>
      </c>
      <c r="J114" s="0" t="n">
        <v>1.05</v>
      </c>
      <c r="K114" s="13" t="n">
        <f aca="false">IF(H114&lt;&gt;"",H114,IFERROR(G114/INDEX(Players!$M$2:$M$124,MATCH(B114,Players!$A$2:$A$124,0)),""))</f>
        <v>0.75</v>
      </c>
    </row>
    <row r="115" customFormat="false" ht="15" hidden="false" customHeight="false" outlineLevel="0" collapsed="false">
      <c r="A115" s="0" t="s">
        <v>1893</v>
      </c>
      <c r="B115" s="0" t="s">
        <v>1549</v>
      </c>
      <c r="C115" s="0" t="s">
        <v>1336</v>
      </c>
      <c r="D115" s="0" t="s">
        <v>988</v>
      </c>
      <c r="E115" s="0" t="s">
        <v>121</v>
      </c>
      <c r="F115" s="0" t="n">
        <v>7</v>
      </c>
      <c r="G115" s="0" t="n">
        <v>20.1</v>
      </c>
      <c r="H115" s="0" t="n">
        <v>0.92</v>
      </c>
      <c r="I115" s="10" t="n">
        <v>0.617</v>
      </c>
      <c r="J115" s="0" t="n">
        <v>1.31</v>
      </c>
      <c r="K115" s="13" t="n">
        <f aca="false">IF(H115&lt;&gt;"",H115,IFERROR(G115/INDEX(Players!$M$2:$M$124,MATCH(B115,Players!$A$2:$A$124,0)),""))</f>
        <v>0.92</v>
      </c>
    </row>
    <row r="116" customFormat="false" ht="15" hidden="false" customHeight="false" outlineLevel="0" collapsed="false">
      <c r="A116" s="0" t="s">
        <v>1894</v>
      </c>
      <c r="B116" s="0" t="s">
        <v>1549</v>
      </c>
      <c r="C116" s="0" t="s">
        <v>1336</v>
      </c>
      <c r="D116" s="0" t="s">
        <v>988</v>
      </c>
      <c r="E116" s="0" t="s">
        <v>107</v>
      </c>
      <c r="F116" s="0" t="n">
        <v>7</v>
      </c>
      <c r="G116" s="0" t="n">
        <v>14.1</v>
      </c>
      <c r="H116" s="0" t="n">
        <v>0.71</v>
      </c>
      <c r="I116" s="10" t="n">
        <v>0.646</v>
      </c>
      <c r="J116" s="0" t="n">
        <v>1.02</v>
      </c>
      <c r="K116" s="13" t="n">
        <f aca="false">IF(H116&lt;&gt;"",H116,IFERROR(G116/INDEX(Players!$M$2:$M$124,MATCH(B116,Players!$A$2:$A$124,0)),""))</f>
        <v>0.71</v>
      </c>
    </row>
    <row r="117" customFormat="false" ht="15" hidden="false" customHeight="false" outlineLevel="0" collapsed="false">
      <c r="A117" s="0" t="s">
        <v>1895</v>
      </c>
      <c r="B117" s="0" t="s">
        <v>1549</v>
      </c>
      <c r="C117" s="0" t="s">
        <v>1336</v>
      </c>
      <c r="D117" s="0" t="s">
        <v>988</v>
      </c>
      <c r="E117" s="0" t="s">
        <v>150</v>
      </c>
      <c r="F117" s="0" t="n">
        <v>7</v>
      </c>
      <c r="G117" s="0" t="n">
        <v>16.7</v>
      </c>
      <c r="H117" s="0" t="n">
        <v>0.75</v>
      </c>
      <c r="I117" s="10" t="n">
        <v>0.598</v>
      </c>
      <c r="J117" s="0" t="n">
        <v>1.01</v>
      </c>
      <c r="K117" s="13" t="n">
        <f aca="false">IF(H117&lt;&gt;"",H117,IFERROR(G117/INDEX(Players!$M$2:$M$124,MATCH(B117,Players!$A$2:$A$124,0)),""))</f>
        <v>0.75</v>
      </c>
    </row>
    <row r="118" customFormat="false" ht="15" hidden="false" customHeight="false" outlineLevel="0" collapsed="false">
      <c r="A118" s="0" t="s">
        <v>1896</v>
      </c>
      <c r="B118" s="0" t="s">
        <v>1549</v>
      </c>
      <c r="C118" s="0" t="s">
        <v>1336</v>
      </c>
      <c r="D118" s="0" t="s">
        <v>988</v>
      </c>
      <c r="E118" s="0" t="s">
        <v>94</v>
      </c>
      <c r="F118" s="0" t="n">
        <v>6</v>
      </c>
      <c r="G118" s="0" t="n">
        <v>22</v>
      </c>
      <c r="H118" s="0" t="n">
        <v>0.99</v>
      </c>
      <c r="I118" s="10" t="n">
        <v>0.644</v>
      </c>
      <c r="J118" s="0" t="n">
        <v>1.5</v>
      </c>
      <c r="K118" s="13" t="n">
        <f aca="false">IF(H118&lt;&gt;"",H118,IFERROR(G118/INDEX(Players!$M$2:$M$124,MATCH(B118,Players!$A$2:$A$124,0)),""))</f>
        <v>0.99</v>
      </c>
    </row>
    <row r="119" customFormat="false" ht="15" hidden="false" customHeight="false" outlineLevel="0" collapsed="false">
      <c r="A119" s="0" t="s">
        <v>1897</v>
      </c>
      <c r="B119" s="0" t="s">
        <v>1549</v>
      </c>
      <c r="C119" s="0" t="s">
        <v>1336</v>
      </c>
      <c r="D119" s="0" t="s">
        <v>988</v>
      </c>
      <c r="E119" s="0" t="s">
        <v>131</v>
      </c>
      <c r="F119" s="0" t="n">
        <v>6</v>
      </c>
      <c r="G119" s="0" t="n">
        <v>19.3</v>
      </c>
      <c r="H119" s="0" t="n">
        <v>0.94</v>
      </c>
      <c r="I119" s="10" t="n">
        <v>0.698</v>
      </c>
      <c r="J119" s="0" t="n">
        <v>1.38</v>
      </c>
      <c r="K119" s="13" t="n">
        <f aca="false">IF(H119&lt;&gt;"",H119,IFERROR(G119/INDEX(Players!$M$2:$M$124,MATCH(B119,Players!$A$2:$A$124,0)),""))</f>
        <v>0.94</v>
      </c>
    </row>
    <row r="120" customFormat="false" ht="15" hidden="false" customHeight="false" outlineLevel="0" collapsed="false">
      <c r="A120" s="0" t="s">
        <v>1898</v>
      </c>
      <c r="B120" s="0" t="s">
        <v>1549</v>
      </c>
      <c r="C120" s="0" t="s">
        <v>1336</v>
      </c>
      <c r="D120" s="0" t="s">
        <v>988</v>
      </c>
      <c r="E120" s="0" t="s">
        <v>80</v>
      </c>
      <c r="F120" s="0" t="n">
        <v>5</v>
      </c>
      <c r="G120" s="0" t="n">
        <v>18.4</v>
      </c>
      <c r="H120" s="0" t="n">
        <v>0.87</v>
      </c>
      <c r="I120" s="10" t="n">
        <v>0.728</v>
      </c>
      <c r="J120" s="0" t="n">
        <v>1.39</v>
      </c>
      <c r="K120" s="13" t="n">
        <f aca="false">IF(H120&lt;&gt;"",H120,IFERROR(G120/INDEX(Players!$M$2:$M$124,MATCH(B120,Players!$A$2:$A$124,0)),""))</f>
        <v>0.87</v>
      </c>
    </row>
    <row r="121" customFormat="false" ht="15" hidden="false" customHeight="false" outlineLevel="0" collapsed="false">
      <c r="A121" s="0" t="s">
        <v>1899</v>
      </c>
      <c r="B121" s="0" t="s">
        <v>1571</v>
      </c>
      <c r="C121" s="0" t="s">
        <v>1388</v>
      </c>
      <c r="D121" s="0" t="s">
        <v>988</v>
      </c>
      <c r="E121" s="0" t="s">
        <v>150</v>
      </c>
      <c r="F121" s="0" t="n">
        <v>10</v>
      </c>
      <c r="G121" s="0" t="n">
        <v>14.1</v>
      </c>
      <c r="H121" s="0" t="n">
        <v>0.65</v>
      </c>
      <c r="I121" s="10" t="n">
        <v>0.688</v>
      </c>
      <c r="J121" s="0" t="n">
        <v>1.01</v>
      </c>
      <c r="K121" s="13" t="n">
        <f aca="false">IF(H121&lt;&gt;"",H121,IFERROR(G121/INDEX(Players!$M$2:$M$124,MATCH(B121,Players!$A$2:$A$124,0)),""))</f>
        <v>0.65</v>
      </c>
    </row>
    <row r="122" customFormat="false" ht="15" hidden="false" customHeight="false" outlineLevel="0" collapsed="false">
      <c r="A122" s="0" t="s">
        <v>1900</v>
      </c>
      <c r="B122" s="0" t="s">
        <v>1571</v>
      </c>
      <c r="C122" s="0" t="s">
        <v>1388</v>
      </c>
      <c r="D122" s="0" t="s">
        <v>988</v>
      </c>
      <c r="E122" s="0" t="s">
        <v>121</v>
      </c>
      <c r="F122" s="0" t="n">
        <v>6</v>
      </c>
      <c r="G122" s="0" t="n">
        <v>16</v>
      </c>
      <c r="H122" s="0" t="n">
        <v>0.76</v>
      </c>
      <c r="I122" s="10" t="n">
        <v>0.542</v>
      </c>
      <c r="J122" s="0" t="n">
        <v>1.04</v>
      </c>
      <c r="K122" s="13" t="n">
        <f aca="false">IF(H122&lt;&gt;"",H122,IFERROR(G122/INDEX(Players!$M$2:$M$124,MATCH(B122,Players!$A$2:$A$124,0)),""))</f>
        <v>0.76</v>
      </c>
    </row>
    <row r="123" customFormat="false" ht="15" hidden="false" customHeight="false" outlineLevel="0" collapsed="false">
      <c r="A123" s="0" t="s">
        <v>1901</v>
      </c>
      <c r="B123" s="0" t="s">
        <v>1571</v>
      </c>
      <c r="C123" s="0" t="s">
        <v>1388</v>
      </c>
      <c r="D123" s="0" t="s">
        <v>988</v>
      </c>
      <c r="E123" s="0" t="s">
        <v>142</v>
      </c>
      <c r="F123" s="0" t="n">
        <v>5</v>
      </c>
      <c r="G123" s="0" t="n">
        <v>18.4</v>
      </c>
      <c r="H123" s="0" t="n">
        <v>0.74</v>
      </c>
      <c r="I123" s="10" t="n">
        <v>0.63</v>
      </c>
      <c r="J123" s="0" t="n">
        <v>1.19</v>
      </c>
      <c r="K123" s="13" t="n">
        <f aca="false">IF(H123&lt;&gt;"",H123,IFERROR(G123/INDEX(Players!$M$2:$M$124,MATCH(B123,Players!$A$2:$A$124,0)),""))</f>
        <v>0.74</v>
      </c>
    </row>
    <row r="124" customFormat="false" ht="15" hidden="false" customHeight="false" outlineLevel="0" collapsed="false">
      <c r="A124" s="0" t="s">
        <v>1902</v>
      </c>
      <c r="B124" s="0" t="s">
        <v>1571</v>
      </c>
      <c r="C124" s="0" t="s">
        <v>1388</v>
      </c>
      <c r="D124" s="0" t="s">
        <v>988</v>
      </c>
      <c r="E124" s="0" t="s">
        <v>107</v>
      </c>
      <c r="F124" s="0" t="n">
        <v>5</v>
      </c>
      <c r="G124" s="0" t="n">
        <v>13.4</v>
      </c>
      <c r="H124" s="0" t="n">
        <v>0.62</v>
      </c>
      <c r="I124" s="10" t="n">
        <v>0.493</v>
      </c>
      <c r="J124" s="0" t="n">
        <v>0.96</v>
      </c>
      <c r="K124" s="13" t="n">
        <f aca="false">IF(H124&lt;&gt;"",H124,IFERROR(G124/INDEX(Players!$M$2:$M$124,MATCH(B124,Players!$A$2:$A$124,0)),""))</f>
        <v>0.62</v>
      </c>
    </row>
    <row r="125" customFormat="false" ht="15" hidden="false" customHeight="false" outlineLevel="0" collapsed="false">
      <c r="A125" s="0" t="s">
        <v>1903</v>
      </c>
      <c r="B125" s="0" t="s">
        <v>1571</v>
      </c>
      <c r="C125" s="0" t="s">
        <v>1388</v>
      </c>
      <c r="D125" s="0" t="s">
        <v>988</v>
      </c>
      <c r="E125" s="0" t="s">
        <v>131</v>
      </c>
      <c r="F125" s="0" t="n">
        <v>4</v>
      </c>
      <c r="G125" s="0" t="n">
        <v>16.8</v>
      </c>
      <c r="H125" s="0" t="n">
        <v>0.77</v>
      </c>
      <c r="I125" s="10" t="n">
        <v>0.627</v>
      </c>
      <c r="J125" s="0" t="n">
        <v>1.18</v>
      </c>
      <c r="K125" s="13" t="n">
        <f aca="false">IF(H125&lt;&gt;"",H125,IFERROR(G125/INDEX(Players!$M$2:$M$124,MATCH(B125,Players!$A$2:$A$124,0)),""))</f>
        <v>0.77</v>
      </c>
    </row>
    <row r="126" customFormat="false" ht="15" hidden="false" customHeight="false" outlineLevel="0" collapsed="false">
      <c r="A126" s="0" t="s">
        <v>1904</v>
      </c>
      <c r="B126" s="0" t="s">
        <v>1571</v>
      </c>
      <c r="C126" s="0" t="s">
        <v>1388</v>
      </c>
      <c r="D126" s="0" t="s">
        <v>988</v>
      </c>
      <c r="E126" s="0" t="s">
        <v>80</v>
      </c>
      <c r="F126" s="0" t="n">
        <v>2</v>
      </c>
      <c r="G126" s="0" t="n">
        <v>10.5</v>
      </c>
      <c r="H126" s="0" t="n">
        <v>0.55</v>
      </c>
      <c r="I126" s="10" t="n">
        <v>0.571</v>
      </c>
      <c r="J126" s="0" t="n">
        <v>0.66</v>
      </c>
      <c r="K126" s="13" t="n">
        <f aca="false">IF(H126&lt;&gt;"",H126,IFERROR(G126/INDEX(Players!$M$2:$M$124,MATCH(B126,Players!$A$2:$A$124,0)),""))</f>
        <v>0.55</v>
      </c>
    </row>
    <row r="127" customFormat="false" ht="15" hidden="false" customHeight="false" outlineLevel="0" collapsed="false">
      <c r="A127" s="0" t="s">
        <v>1905</v>
      </c>
      <c r="B127" s="0" t="s">
        <v>1571</v>
      </c>
      <c r="C127" s="0" t="s">
        <v>1388</v>
      </c>
      <c r="D127" s="0" t="s">
        <v>988</v>
      </c>
      <c r="E127" s="0" t="s">
        <v>1599</v>
      </c>
      <c r="F127" s="0" t="n">
        <v>1</v>
      </c>
      <c r="G127" s="0" t="n">
        <v>7</v>
      </c>
      <c r="H127" s="0" t="n">
        <v>0.47</v>
      </c>
      <c r="I127" s="10" t="n">
        <v>0.429</v>
      </c>
      <c r="J127" s="0" t="n">
        <v>0.58</v>
      </c>
      <c r="K127" s="13" t="n">
        <f aca="false">IF(H127&lt;&gt;"",H127,IFERROR(G127/INDEX(Players!$M$2:$M$124,MATCH(B127,Players!$A$2:$A$124,0)),""))</f>
        <v>0.47</v>
      </c>
    </row>
    <row r="128" customFormat="false" ht="15" hidden="false" customHeight="false" outlineLevel="0" collapsed="false">
      <c r="A128" s="0" t="s">
        <v>1906</v>
      </c>
      <c r="B128" s="0" t="s">
        <v>1535</v>
      </c>
      <c r="C128" s="0" t="s">
        <v>1308</v>
      </c>
      <c r="D128" s="0" t="s">
        <v>988</v>
      </c>
      <c r="E128" s="0" t="s">
        <v>107</v>
      </c>
      <c r="F128" s="0" t="n">
        <v>11</v>
      </c>
      <c r="G128" s="0" t="n">
        <v>13.2</v>
      </c>
      <c r="H128" s="0" t="n">
        <v>0.65</v>
      </c>
      <c r="I128" s="10" t="n">
        <v>0.441</v>
      </c>
      <c r="J128" s="0" t="n">
        <v>0.92</v>
      </c>
      <c r="K128" s="13" t="n">
        <f aca="false">IF(H128&lt;&gt;"",H128,IFERROR(G128/INDEX(Players!$M$2:$M$124,MATCH(B128,Players!$A$2:$A$124,0)),""))</f>
        <v>0.65</v>
      </c>
    </row>
    <row r="129" customFormat="false" ht="15" hidden="false" customHeight="false" outlineLevel="0" collapsed="false">
      <c r="A129" s="0" t="s">
        <v>1907</v>
      </c>
      <c r="B129" s="0" t="s">
        <v>1535</v>
      </c>
      <c r="C129" s="0" t="s">
        <v>1308</v>
      </c>
      <c r="D129" s="0" t="s">
        <v>988</v>
      </c>
      <c r="E129" s="0" t="s">
        <v>150</v>
      </c>
      <c r="F129" s="0" t="n">
        <v>10</v>
      </c>
      <c r="G129" s="0" t="n">
        <v>18.7</v>
      </c>
      <c r="H129" s="0" t="n">
        <v>0.8</v>
      </c>
      <c r="I129" s="10" t="n">
        <v>0.439</v>
      </c>
      <c r="J129" s="0" t="n">
        <v>1.26</v>
      </c>
      <c r="K129" s="13" t="n">
        <f aca="false">IF(H129&lt;&gt;"",H129,IFERROR(G129/INDEX(Players!$M$2:$M$124,MATCH(B129,Players!$A$2:$A$124,0)),""))</f>
        <v>0.8</v>
      </c>
    </row>
    <row r="130" customFormat="false" ht="15" hidden="false" customHeight="false" outlineLevel="0" collapsed="false">
      <c r="A130" s="0" t="s">
        <v>1908</v>
      </c>
      <c r="B130" s="0" t="s">
        <v>1535</v>
      </c>
      <c r="C130" s="0" t="s">
        <v>1308</v>
      </c>
      <c r="D130" s="0" t="s">
        <v>988</v>
      </c>
      <c r="E130" s="0" t="s">
        <v>121</v>
      </c>
      <c r="F130" s="0" t="n">
        <v>8</v>
      </c>
      <c r="G130" s="0" t="n">
        <v>16.9</v>
      </c>
      <c r="H130" s="0" t="n">
        <v>0.65</v>
      </c>
      <c r="I130" s="10" t="n">
        <v>0.548</v>
      </c>
      <c r="J130" s="0" t="n">
        <v>0.94</v>
      </c>
      <c r="K130" s="13" t="n">
        <f aca="false">IF(H130&lt;&gt;"",H130,IFERROR(G130/INDEX(Players!$M$2:$M$124,MATCH(B130,Players!$A$2:$A$124,0)),""))</f>
        <v>0.65</v>
      </c>
    </row>
    <row r="131" customFormat="false" ht="15" hidden="false" customHeight="false" outlineLevel="0" collapsed="false">
      <c r="A131" s="0" t="s">
        <v>1909</v>
      </c>
      <c r="B131" s="0" t="s">
        <v>1535</v>
      </c>
      <c r="C131" s="0" t="s">
        <v>1308</v>
      </c>
      <c r="D131" s="0" t="s">
        <v>988</v>
      </c>
      <c r="E131" s="0" t="s">
        <v>80</v>
      </c>
      <c r="F131" s="0" t="n">
        <v>4</v>
      </c>
      <c r="G131" s="0" t="n">
        <v>17.3</v>
      </c>
      <c r="H131" s="0" t="n">
        <v>0.67</v>
      </c>
      <c r="I131" s="10" t="n">
        <v>0.522</v>
      </c>
      <c r="J131" s="0" t="n">
        <v>0.96</v>
      </c>
      <c r="K131" s="13" t="n">
        <f aca="false">IF(H131&lt;&gt;"",H131,IFERROR(G131/INDEX(Players!$M$2:$M$124,MATCH(B131,Players!$A$2:$A$124,0)),""))</f>
        <v>0.67</v>
      </c>
    </row>
    <row r="132" customFormat="false" ht="15" hidden="false" customHeight="false" outlineLevel="0" collapsed="false">
      <c r="A132" s="0" t="s">
        <v>1910</v>
      </c>
      <c r="B132" s="0" t="s">
        <v>1535</v>
      </c>
      <c r="C132" s="0" t="s">
        <v>1308</v>
      </c>
      <c r="D132" s="0" t="s">
        <v>988</v>
      </c>
      <c r="E132" s="0" t="s">
        <v>142</v>
      </c>
      <c r="F132" s="0" t="n">
        <v>4</v>
      </c>
      <c r="G132" s="0" t="n">
        <v>12.3</v>
      </c>
      <c r="H132" s="0" t="n">
        <v>0.61</v>
      </c>
      <c r="I132" s="10" t="n">
        <v>0.469</v>
      </c>
      <c r="J132" s="0" t="n">
        <v>0.82</v>
      </c>
      <c r="K132" s="13" t="n">
        <f aca="false">IF(H132&lt;&gt;"",H132,IFERROR(G132/INDEX(Players!$M$2:$M$124,MATCH(B132,Players!$A$2:$A$124,0)),""))</f>
        <v>0.61</v>
      </c>
    </row>
    <row r="133" customFormat="false" ht="15" hidden="false" customHeight="false" outlineLevel="0" collapsed="false">
      <c r="A133" s="0" t="s">
        <v>1911</v>
      </c>
      <c r="B133" s="0" t="s">
        <v>1535</v>
      </c>
      <c r="C133" s="0" t="s">
        <v>1308</v>
      </c>
      <c r="D133" s="0" t="s">
        <v>988</v>
      </c>
      <c r="E133" s="0" t="s">
        <v>131</v>
      </c>
      <c r="F133" s="0" t="n">
        <v>2</v>
      </c>
      <c r="G133" s="0" t="n">
        <v>20</v>
      </c>
      <c r="H133" s="0" t="n">
        <v>1</v>
      </c>
      <c r="I133" s="10" t="n">
        <v>0.425</v>
      </c>
      <c r="J133" s="0" t="n">
        <v>1.82</v>
      </c>
      <c r="K133" s="13" t="n">
        <f aca="false">IF(H133&lt;&gt;"",H133,IFERROR(G133/INDEX(Players!$M$2:$M$124,MATCH(B133,Players!$A$2:$A$124,0)),""))</f>
        <v>1</v>
      </c>
    </row>
    <row r="134" customFormat="false" ht="15" hidden="false" customHeight="false" outlineLevel="0" collapsed="false">
      <c r="A134" s="0" t="s">
        <v>1912</v>
      </c>
      <c r="B134" s="0" t="s">
        <v>1461</v>
      </c>
      <c r="C134" s="0" t="s">
        <v>1128</v>
      </c>
      <c r="D134" s="0" t="s">
        <v>988</v>
      </c>
      <c r="E134" s="0" t="s">
        <v>150</v>
      </c>
      <c r="F134" s="0" t="n">
        <v>9</v>
      </c>
      <c r="G134" s="0" t="n">
        <v>13.2</v>
      </c>
      <c r="H134" s="0" t="n">
        <v>0.63</v>
      </c>
      <c r="I134" s="10" t="n">
        <v>0.571</v>
      </c>
      <c r="J134" s="0" t="n">
        <v>1.03</v>
      </c>
      <c r="K134" s="13" t="n">
        <f aca="false">IF(H134&lt;&gt;"",H134,IFERROR(G134/INDEX(Players!$M$2:$M$124,MATCH(B134,Players!$A$2:$A$124,0)),""))</f>
        <v>0.63</v>
      </c>
    </row>
    <row r="135" customFormat="false" ht="15" hidden="false" customHeight="false" outlineLevel="0" collapsed="false">
      <c r="A135" s="0" t="s">
        <v>1913</v>
      </c>
      <c r="B135" s="0" t="s">
        <v>1461</v>
      </c>
      <c r="C135" s="0" t="s">
        <v>1128</v>
      </c>
      <c r="D135" s="0" t="s">
        <v>988</v>
      </c>
      <c r="E135" s="0" t="s">
        <v>107</v>
      </c>
      <c r="F135" s="0" t="n">
        <v>7</v>
      </c>
      <c r="G135" s="0" t="n">
        <v>13.7</v>
      </c>
      <c r="H135" s="0" t="n">
        <v>0.7</v>
      </c>
      <c r="I135" s="10" t="n">
        <v>0.552</v>
      </c>
      <c r="J135" s="0" t="n">
        <v>1.14</v>
      </c>
      <c r="K135" s="13" t="n">
        <f aca="false">IF(H135&lt;&gt;"",H135,IFERROR(G135/INDEX(Players!$M$2:$M$124,MATCH(B135,Players!$A$2:$A$124,0)),""))</f>
        <v>0.7</v>
      </c>
    </row>
    <row r="136" customFormat="false" ht="15" hidden="false" customHeight="false" outlineLevel="0" collapsed="false">
      <c r="A136" s="0" t="s">
        <v>1914</v>
      </c>
      <c r="B136" s="0" t="s">
        <v>1461</v>
      </c>
      <c r="C136" s="0" t="s">
        <v>1128</v>
      </c>
      <c r="D136" s="0" t="s">
        <v>988</v>
      </c>
      <c r="E136" s="0" t="s">
        <v>121</v>
      </c>
      <c r="F136" s="0" t="n">
        <v>7</v>
      </c>
      <c r="G136" s="0" t="n">
        <v>18.7</v>
      </c>
      <c r="H136" s="0" t="n">
        <v>0.76</v>
      </c>
      <c r="I136" s="10" t="n">
        <v>0.496</v>
      </c>
      <c r="J136" s="0" t="n">
        <v>1.07</v>
      </c>
      <c r="K136" s="13" t="n">
        <f aca="false">IF(H136&lt;&gt;"",H136,IFERROR(G136/INDEX(Players!$M$2:$M$124,MATCH(B136,Players!$A$2:$A$124,0)),""))</f>
        <v>0.76</v>
      </c>
    </row>
    <row r="137" customFormat="false" ht="15" hidden="false" customHeight="false" outlineLevel="0" collapsed="false">
      <c r="A137" s="0" t="s">
        <v>1915</v>
      </c>
      <c r="B137" s="0" t="s">
        <v>1461</v>
      </c>
      <c r="C137" s="0" t="s">
        <v>1128</v>
      </c>
      <c r="D137" s="0" t="s">
        <v>988</v>
      </c>
      <c r="E137" s="0" t="s">
        <v>131</v>
      </c>
      <c r="F137" s="0" t="n">
        <v>7</v>
      </c>
      <c r="G137" s="0" t="n">
        <v>12.3</v>
      </c>
      <c r="H137" s="0" t="n">
        <v>0.61</v>
      </c>
      <c r="I137" s="10" t="n">
        <v>0.43</v>
      </c>
      <c r="J137" s="0" t="n">
        <v>0.87</v>
      </c>
      <c r="K137" s="13" t="n">
        <f aca="false">IF(H137&lt;&gt;"",H137,IFERROR(G137/INDEX(Players!$M$2:$M$124,MATCH(B137,Players!$A$2:$A$124,0)),""))</f>
        <v>0.61</v>
      </c>
    </row>
    <row r="138" customFormat="false" ht="15" hidden="false" customHeight="false" outlineLevel="0" collapsed="false">
      <c r="A138" s="0" t="s">
        <v>1916</v>
      </c>
      <c r="B138" s="0" t="s">
        <v>1461</v>
      </c>
      <c r="C138" s="0" t="s">
        <v>1128</v>
      </c>
      <c r="D138" s="0" t="s">
        <v>988</v>
      </c>
      <c r="E138" s="0" t="s">
        <v>142</v>
      </c>
      <c r="F138" s="0" t="n">
        <v>5</v>
      </c>
      <c r="G138" s="0" t="n">
        <v>14.4</v>
      </c>
      <c r="H138" s="0" t="n">
        <v>0.78</v>
      </c>
      <c r="I138" s="10" t="n">
        <v>0.514</v>
      </c>
      <c r="J138" s="0" t="n">
        <v>1.16</v>
      </c>
      <c r="K138" s="13" t="n">
        <f aca="false">IF(H138&lt;&gt;"",H138,IFERROR(G138/INDEX(Players!$M$2:$M$124,MATCH(B138,Players!$A$2:$A$124,0)),""))</f>
        <v>0.78</v>
      </c>
    </row>
    <row r="139" customFormat="false" ht="15" hidden="false" customHeight="false" outlineLevel="0" collapsed="false">
      <c r="A139" s="0" t="s">
        <v>1917</v>
      </c>
      <c r="B139" s="0" t="s">
        <v>1461</v>
      </c>
      <c r="C139" s="0" t="s">
        <v>1128</v>
      </c>
      <c r="D139" s="0" t="s">
        <v>988</v>
      </c>
      <c r="E139" s="0" t="s">
        <v>80</v>
      </c>
      <c r="F139" s="0" t="n">
        <v>1</v>
      </c>
      <c r="G139" s="0" t="n">
        <v>16</v>
      </c>
      <c r="H139" s="0" t="n">
        <v>0.7</v>
      </c>
      <c r="I139" s="10" t="n">
        <v>0.5</v>
      </c>
      <c r="J139" s="0" t="n">
        <v>0.89</v>
      </c>
      <c r="K139" s="13" t="n">
        <f aca="false">IF(H139&lt;&gt;"",H139,IFERROR(G139/INDEX(Players!$M$2:$M$124,MATCH(B139,Players!$A$2:$A$124,0)),""))</f>
        <v>0.7</v>
      </c>
    </row>
    <row r="140" customFormat="false" ht="15" hidden="false" customHeight="false" outlineLevel="0" collapsed="false">
      <c r="A140" s="0" t="s">
        <v>1918</v>
      </c>
      <c r="B140" s="0" t="s">
        <v>1461</v>
      </c>
      <c r="C140" s="0" t="s">
        <v>1128</v>
      </c>
      <c r="D140" s="0" t="s">
        <v>988</v>
      </c>
      <c r="E140" s="0" t="s">
        <v>94</v>
      </c>
      <c r="F140" s="0" t="n">
        <v>1</v>
      </c>
      <c r="G140" s="0" t="n">
        <v>14</v>
      </c>
      <c r="H140" s="0" t="n">
        <v>0.64</v>
      </c>
      <c r="I140" s="10" t="n">
        <v>0.5</v>
      </c>
      <c r="J140" s="0" t="n">
        <v>0.74</v>
      </c>
      <c r="K140" s="13" t="n">
        <f aca="false">IF(H140&lt;&gt;"",H140,IFERROR(G140/INDEX(Players!$M$2:$M$124,MATCH(B140,Players!$A$2:$A$124,0)),""))</f>
        <v>0.64</v>
      </c>
    </row>
    <row r="141" customFormat="false" ht="15" hidden="false" customHeight="false" outlineLevel="0" collapsed="false">
      <c r="A141" s="0" t="s">
        <v>1919</v>
      </c>
      <c r="B141" s="0" t="s">
        <v>1513</v>
      </c>
      <c r="C141" s="0" t="s">
        <v>1262</v>
      </c>
      <c r="D141" s="0" t="s">
        <v>988</v>
      </c>
      <c r="E141" s="0" t="s">
        <v>121</v>
      </c>
      <c r="F141" s="0" t="n">
        <v>11</v>
      </c>
      <c r="G141" s="0" t="n">
        <v>13.7</v>
      </c>
      <c r="H141" s="0" t="n">
        <v>0.64</v>
      </c>
      <c r="I141" s="10" t="n">
        <v>0.57</v>
      </c>
      <c r="J141" s="0" t="n">
        <v>0.96</v>
      </c>
      <c r="K141" s="13" t="n">
        <f aca="false">IF(H141&lt;&gt;"",H141,IFERROR(G141/INDEX(Players!$M$2:$M$124,MATCH(B141,Players!$A$2:$A$124,0)),""))</f>
        <v>0.64</v>
      </c>
    </row>
    <row r="142" customFormat="false" ht="15" hidden="false" customHeight="false" outlineLevel="0" collapsed="false">
      <c r="A142" s="0" t="s">
        <v>1920</v>
      </c>
      <c r="B142" s="0" t="s">
        <v>1513</v>
      </c>
      <c r="C142" s="0" t="s">
        <v>1262</v>
      </c>
      <c r="D142" s="0" t="s">
        <v>988</v>
      </c>
      <c r="E142" s="0" t="s">
        <v>107</v>
      </c>
      <c r="F142" s="0" t="n">
        <v>8</v>
      </c>
      <c r="G142" s="0" t="n">
        <v>14</v>
      </c>
      <c r="H142" s="0" t="n">
        <v>0.59</v>
      </c>
      <c r="I142" s="10" t="n">
        <v>0.518</v>
      </c>
      <c r="J142" s="0" t="n">
        <v>0.87</v>
      </c>
      <c r="K142" s="13" t="n">
        <f aca="false">IF(H142&lt;&gt;"",H142,IFERROR(G142/INDEX(Players!$M$2:$M$124,MATCH(B142,Players!$A$2:$A$124,0)),""))</f>
        <v>0.59</v>
      </c>
    </row>
    <row r="143" customFormat="false" ht="15" hidden="false" customHeight="false" outlineLevel="0" collapsed="false">
      <c r="A143" s="0" t="s">
        <v>1921</v>
      </c>
      <c r="B143" s="0" t="s">
        <v>1513</v>
      </c>
      <c r="C143" s="0" t="s">
        <v>1262</v>
      </c>
      <c r="D143" s="0" t="s">
        <v>988</v>
      </c>
      <c r="E143" s="0" t="s">
        <v>150</v>
      </c>
      <c r="F143" s="0" t="n">
        <v>7</v>
      </c>
      <c r="G143" s="0" t="n">
        <v>18.6</v>
      </c>
      <c r="H143" s="0" t="n">
        <v>0.86</v>
      </c>
      <c r="I143" s="10" t="n">
        <v>0.615</v>
      </c>
      <c r="J143" s="0" t="n">
        <v>1.38</v>
      </c>
      <c r="K143" s="13" t="n">
        <f aca="false">IF(H143&lt;&gt;"",H143,IFERROR(G143/INDEX(Players!$M$2:$M$124,MATCH(B143,Players!$A$2:$A$124,0)),""))</f>
        <v>0.86</v>
      </c>
    </row>
    <row r="144" customFormat="false" ht="15" hidden="false" customHeight="false" outlineLevel="0" collapsed="false">
      <c r="A144" s="0" t="s">
        <v>1922</v>
      </c>
      <c r="B144" s="0" t="s">
        <v>1513</v>
      </c>
      <c r="C144" s="0" t="s">
        <v>1262</v>
      </c>
      <c r="D144" s="0" t="s">
        <v>988</v>
      </c>
      <c r="E144" s="0" t="s">
        <v>80</v>
      </c>
      <c r="F144" s="0" t="n">
        <v>6</v>
      </c>
      <c r="G144" s="0" t="n">
        <v>10.3</v>
      </c>
      <c r="H144" s="0" t="n">
        <v>0.48</v>
      </c>
      <c r="I144" s="10" t="n">
        <v>0.71</v>
      </c>
      <c r="J144" s="0" t="n">
        <v>0.71</v>
      </c>
      <c r="K144" s="13" t="n">
        <f aca="false">IF(H144&lt;&gt;"",H144,IFERROR(G144/INDEX(Players!$M$2:$M$124,MATCH(B144,Players!$A$2:$A$124,0)),""))</f>
        <v>0.48</v>
      </c>
    </row>
    <row r="145" customFormat="false" ht="15" hidden="false" customHeight="false" outlineLevel="0" collapsed="false">
      <c r="A145" s="0" t="s">
        <v>1923</v>
      </c>
      <c r="B145" s="0" t="s">
        <v>1513</v>
      </c>
      <c r="C145" s="0" t="s">
        <v>1262</v>
      </c>
      <c r="D145" s="0" t="s">
        <v>988</v>
      </c>
      <c r="E145" s="0" t="s">
        <v>94</v>
      </c>
      <c r="F145" s="0" t="n">
        <v>4</v>
      </c>
      <c r="G145" s="0" t="n">
        <v>15.5</v>
      </c>
      <c r="H145" s="0" t="n">
        <v>0.73</v>
      </c>
      <c r="I145" s="10" t="n">
        <v>0.581</v>
      </c>
      <c r="J145" s="0" t="n">
        <v>1.15</v>
      </c>
      <c r="K145" s="13" t="n">
        <f aca="false">IF(H145&lt;&gt;"",H145,IFERROR(G145/INDEX(Players!$M$2:$M$124,MATCH(B145,Players!$A$2:$A$124,0)),""))</f>
        <v>0.73</v>
      </c>
    </row>
    <row r="146" customFormat="false" ht="15" hidden="false" customHeight="false" outlineLevel="0" collapsed="false">
      <c r="A146" s="0" t="s">
        <v>1924</v>
      </c>
      <c r="B146" s="0" t="s">
        <v>1513</v>
      </c>
      <c r="C146" s="0" t="s">
        <v>1262</v>
      </c>
      <c r="D146" s="0" t="s">
        <v>988</v>
      </c>
      <c r="E146" s="0" t="s">
        <v>131</v>
      </c>
      <c r="F146" s="0" t="n">
        <v>1</v>
      </c>
      <c r="G146" s="0" t="n">
        <v>15</v>
      </c>
      <c r="H146" s="0" t="n">
        <v>0.65</v>
      </c>
      <c r="I146" s="10" t="n">
        <v>0.4</v>
      </c>
      <c r="J146" s="0" t="n">
        <v>1.07</v>
      </c>
      <c r="K146" s="13" t="n">
        <f aca="false">IF(H146&lt;&gt;"",H146,IFERROR(G146/INDEX(Players!$M$2:$M$124,MATCH(B146,Players!$A$2:$A$124,0)),""))</f>
        <v>0.65</v>
      </c>
    </row>
    <row r="147" customFormat="false" ht="15" hidden="false" customHeight="false" outlineLevel="0" collapsed="false">
      <c r="A147" s="0" t="s">
        <v>1925</v>
      </c>
      <c r="B147" s="0" t="s">
        <v>1455</v>
      </c>
      <c r="C147" s="0" t="s">
        <v>1106</v>
      </c>
      <c r="D147" s="0" t="s">
        <v>988</v>
      </c>
      <c r="E147" s="0" t="s">
        <v>107</v>
      </c>
      <c r="F147" s="0" t="n">
        <v>13</v>
      </c>
      <c r="G147" s="0" t="n">
        <v>16.8</v>
      </c>
      <c r="H147" s="0" t="n">
        <v>0.76</v>
      </c>
      <c r="I147" s="10" t="n">
        <v>0.326</v>
      </c>
      <c r="J147" s="0" t="n">
        <v>1.34</v>
      </c>
      <c r="K147" s="13" t="n">
        <f aca="false">IF(H147&lt;&gt;"",H147,IFERROR(G147/INDEX(Players!$M$2:$M$124,MATCH(B147,Players!$A$2:$A$124,0)),""))</f>
        <v>0.76</v>
      </c>
    </row>
    <row r="148" customFormat="false" ht="15" hidden="false" customHeight="false" outlineLevel="0" collapsed="false">
      <c r="A148" s="0" t="s">
        <v>1926</v>
      </c>
      <c r="B148" s="0" t="s">
        <v>1455</v>
      </c>
      <c r="C148" s="0" t="s">
        <v>1106</v>
      </c>
      <c r="D148" s="0" t="s">
        <v>988</v>
      </c>
      <c r="E148" s="0" t="s">
        <v>80</v>
      </c>
      <c r="F148" s="0" t="n">
        <v>6</v>
      </c>
      <c r="G148" s="0" t="n">
        <v>13.5</v>
      </c>
      <c r="H148" s="0" t="n">
        <v>0.69</v>
      </c>
      <c r="I148" s="10" t="n">
        <v>0.309</v>
      </c>
      <c r="J148" s="0" t="n">
        <v>1.07</v>
      </c>
      <c r="K148" s="13" t="n">
        <f aca="false">IF(H148&lt;&gt;"",H148,IFERROR(G148/INDEX(Players!$M$2:$M$124,MATCH(B148,Players!$A$2:$A$124,0)),""))</f>
        <v>0.69</v>
      </c>
    </row>
    <row r="149" customFormat="false" ht="15" hidden="false" customHeight="false" outlineLevel="0" collapsed="false">
      <c r="A149" s="0" t="s">
        <v>1927</v>
      </c>
      <c r="B149" s="0" t="s">
        <v>1455</v>
      </c>
      <c r="C149" s="0" t="s">
        <v>1106</v>
      </c>
      <c r="D149" s="0" t="s">
        <v>988</v>
      </c>
      <c r="E149" s="0" t="s">
        <v>150</v>
      </c>
      <c r="F149" s="0" t="n">
        <v>5</v>
      </c>
      <c r="G149" s="0" t="n">
        <v>20.2</v>
      </c>
      <c r="H149" s="0" t="n">
        <v>0.78</v>
      </c>
      <c r="I149" s="10" t="n">
        <v>0.248</v>
      </c>
      <c r="J149" s="0" t="n">
        <v>1.36</v>
      </c>
      <c r="K149" s="13" t="n">
        <f aca="false">IF(H149&lt;&gt;"",H149,IFERROR(G149/INDEX(Players!$M$2:$M$124,MATCH(B149,Players!$A$2:$A$124,0)),""))</f>
        <v>0.78</v>
      </c>
    </row>
    <row r="150" customFormat="false" ht="15" hidden="false" customHeight="false" outlineLevel="0" collapsed="false">
      <c r="A150" s="0" t="s">
        <v>1928</v>
      </c>
      <c r="B150" s="0" t="s">
        <v>1455</v>
      </c>
      <c r="C150" s="0" t="s">
        <v>1106</v>
      </c>
      <c r="D150" s="0" t="s">
        <v>988</v>
      </c>
      <c r="E150" s="0" t="s">
        <v>131</v>
      </c>
      <c r="F150" s="0" t="n">
        <v>5</v>
      </c>
      <c r="G150" s="0" t="n">
        <v>13.6</v>
      </c>
      <c r="H150" s="0" t="n">
        <v>0.7</v>
      </c>
      <c r="I150" s="10" t="n">
        <v>0.368</v>
      </c>
      <c r="J150" s="0" t="n">
        <v>1.17</v>
      </c>
      <c r="K150" s="13" t="n">
        <f aca="false">IF(H150&lt;&gt;"",H150,IFERROR(G150/INDEX(Players!$M$2:$M$124,MATCH(B150,Players!$A$2:$A$124,0)),""))</f>
        <v>0.7</v>
      </c>
    </row>
    <row r="151" customFormat="false" ht="15" hidden="false" customHeight="false" outlineLevel="0" collapsed="false">
      <c r="A151" s="0" t="s">
        <v>1929</v>
      </c>
      <c r="B151" s="0" t="s">
        <v>1455</v>
      </c>
      <c r="C151" s="0" t="s">
        <v>1106</v>
      </c>
      <c r="D151" s="0" t="s">
        <v>988</v>
      </c>
      <c r="E151" s="0" t="s">
        <v>142</v>
      </c>
      <c r="F151" s="0" t="n">
        <v>4</v>
      </c>
      <c r="G151" s="0" t="n">
        <v>13.8</v>
      </c>
      <c r="H151" s="0" t="n">
        <v>0.66</v>
      </c>
      <c r="I151" s="10" t="n">
        <v>0.364</v>
      </c>
      <c r="J151" s="0" t="n">
        <v>1.1</v>
      </c>
      <c r="K151" s="13" t="n">
        <f aca="false">IF(H151&lt;&gt;"",H151,IFERROR(G151/INDEX(Players!$M$2:$M$124,MATCH(B151,Players!$A$2:$A$124,0)),""))</f>
        <v>0.66</v>
      </c>
    </row>
    <row r="152" customFormat="false" ht="15" hidden="false" customHeight="false" outlineLevel="0" collapsed="false">
      <c r="A152" s="0" t="s">
        <v>1930</v>
      </c>
      <c r="B152" s="0" t="s">
        <v>1455</v>
      </c>
      <c r="C152" s="0" t="s">
        <v>1106</v>
      </c>
      <c r="D152" s="0" t="s">
        <v>988</v>
      </c>
      <c r="E152" s="0" t="s">
        <v>121</v>
      </c>
      <c r="F152" s="0" t="n">
        <v>3</v>
      </c>
      <c r="G152" s="0" t="n">
        <v>17</v>
      </c>
      <c r="H152" s="0" t="n">
        <v>0.65</v>
      </c>
      <c r="I152" s="10" t="n">
        <v>0.294</v>
      </c>
      <c r="J152" s="0" t="n">
        <v>1.13</v>
      </c>
      <c r="K152" s="13" t="n">
        <f aca="false">IF(H152&lt;&gt;"",H152,IFERROR(G152/INDEX(Players!$M$2:$M$124,MATCH(B152,Players!$A$2:$A$124,0)),""))</f>
        <v>0.65</v>
      </c>
    </row>
    <row r="153" customFormat="false" ht="15" hidden="false" customHeight="false" outlineLevel="0" collapsed="false">
      <c r="A153" s="0" t="s">
        <v>1931</v>
      </c>
      <c r="B153" s="0" t="s">
        <v>1517</v>
      </c>
      <c r="C153" s="0" t="s">
        <v>1271</v>
      </c>
      <c r="D153" s="0" t="s">
        <v>988</v>
      </c>
      <c r="E153" s="0" t="s">
        <v>150</v>
      </c>
      <c r="F153" s="0" t="n">
        <v>7</v>
      </c>
      <c r="G153" s="0" t="n">
        <v>18.4</v>
      </c>
      <c r="H153" s="0" t="n">
        <v>0.78</v>
      </c>
      <c r="I153" s="10" t="n">
        <v>0.605</v>
      </c>
      <c r="J153" s="0" t="n">
        <v>1.12</v>
      </c>
      <c r="K153" s="13" t="n">
        <f aca="false">IF(H153&lt;&gt;"",H153,IFERROR(G153/INDEX(Players!$M$2:$M$124,MATCH(B153,Players!$A$2:$A$124,0)),""))</f>
        <v>0.78</v>
      </c>
    </row>
    <row r="154" customFormat="false" ht="15" hidden="false" customHeight="false" outlineLevel="0" collapsed="false">
      <c r="A154" s="0" t="s">
        <v>1932</v>
      </c>
      <c r="B154" s="0" t="s">
        <v>1517</v>
      </c>
      <c r="C154" s="0" t="s">
        <v>1271</v>
      </c>
      <c r="D154" s="0" t="s">
        <v>988</v>
      </c>
      <c r="E154" s="0" t="s">
        <v>131</v>
      </c>
      <c r="F154" s="0" t="n">
        <v>7</v>
      </c>
      <c r="G154" s="0" t="n">
        <v>17</v>
      </c>
      <c r="H154" s="0" t="n">
        <v>0.76</v>
      </c>
      <c r="I154" s="10" t="n">
        <v>0.613</v>
      </c>
      <c r="J154" s="0" t="n">
        <v>1.06</v>
      </c>
      <c r="K154" s="13" t="n">
        <f aca="false">IF(H154&lt;&gt;"",H154,IFERROR(G154/INDEX(Players!$M$2:$M$124,MATCH(B154,Players!$A$2:$A$124,0)),""))</f>
        <v>0.76</v>
      </c>
    </row>
    <row r="155" customFormat="false" ht="15" hidden="false" customHeight="false" outlineLevel="0" collapsed="false">
      <c r="A155" s="0" t="s">
        <v>1933</v>
      </c>
      <c r="B155" s="0" t="s">
        <v>1517</v>
      </c>
      <c r="C155" s="0" t="s">
        <v>1271</v>
      </c>
      <c r="D155" s="0" t="s">
        <v>988</v>
      </c>
      <c r="E155" s="0" t="s">
        <v>142</v>
      </c>
      <c r="F155" s="0" t="n">
        <v>5</v>
      </c>
      <c r="G155" s="0" t="n">
        <v>17.8</v>
      </c>
      <c r="H155" s="0" t="n">
        <v>0.87</v>
      </c>
      <c r="I155" s="10" t="n">
        <v>0.584</v>
      </c>
      <c r="J155" s="0" t="n">
        <v>1.46</v>
      </c>
      <c r="K155" s="13" t="n">
        <f aca="false">IF(H155&lt;&gt;"",H155,IFERROR(G155/INDEX(Players!$M$2:$M$124,MATCH(B155,Players!$A$2:$A$124,0)),""))</f>
        <v>0.87</v>
      </c>
    </row>
    <row r="156" customFormat="false" ht="15" hidden="false" customHeight="false" outlineLevel="0" collapsed="false">
      <c r="A156" s="0" t="s">
        <v>1934</v>
      </c>
      <c r="B156" s="0" t="s">
        <v>1517</v>
      </c>
      <c r="C156" s="0" t="s">
        <v>1271</v>
      </c>
      <c r="D156" s="0" t="s">
        <v>988</v>
      </c>
      <c r="E156" s="0" t="s">
        <v>80</v>
      </c>
      <c r="F156" s="0" t="n">
        <v>4</v>
      </c>
      <c r="G156" s="0" t="n">
        <v>17</v>
      </c>
      <c r="H156" s="0" t="n">
        <v>0.82</v>
      </c>
      <c r="I156" s="10" t="n">
        <v>0.559</v>
      </c>
      <c r="J156" s="0" t="n">
        <v>1.15</v>
      </c>
      <c r="K156" s="13" t="n">
        <f aca="false">IF(H156&lt;&gt;"",H156,IFERROR(G156/INDEX(Players!$M$2:$M$124,MATCH(B156,Players!$A$2:$A$124,0)),""))</f>
        <v>0.82</v>
      </c>
    </row>
    <row r="157" customFormat="false" ht="15" hidden="false" customHeight="false" outlineLevel="0" collapsed="false">
      <c r="A157" s="0" t="s">
        <v>1935</v>
      </c>
      <c r="B157" s="0" t="s">
        <v>1517</v>
      </c>
      <c r="C157" s="0" t="s">
        <v>1271</v>
      </c>
      <c r="D157" s="0" t="s">
        <v>988</v>
      </c>
      <c r="E157" s="0" t="s">
        <v>94</v>
      </c>
      <c r="F157" s="0" t="n">
        <v>3</v>
      </c>
      <c r="G157" s="0" t="n">
        <v>17</v>
      </c>
      <c r="H157" s="0" t="n">
        <v>0.85</v>
      </c>
      <c r="I157" s="10" t="n">
        <v>0.529</v>
      </c>
      <c r="J157" s="0" t="n">
        <v>1.55</v>
      </c>
      <c r="K157" s="13" t="n">
        <f aca="false">IF(H157&lt;&gt;"",H157,IFERROR(G157/INDEX(Players!$M$2:$M$124,MATCH(B157,Players!$A$2:$A$124,0)),""))</f>
        <v>0.85</v>
      </c>
    </row>
    <row r="158" customFormat="false" ht="15" hidden="false" customHeight="false" outlineLevel="0" collapsed="false">
      <c r="A158" s="0" t="s">
        <v>1936</v>
      </c>
      <c r="B158" s="0" t="s">
        <v>1517</v>
      </c>
      <c r="C158" s="0" t="s">
        <v>1271</v>
      </c>
      <c r="D158" s="0" t="s">
        <v>988</v>
      </c>
      <c r="E158" s="0" t="s">
        <v>107</v>
      </c>
      <c r="F158" s="0" t="n">
        <v>3</v>
      </c>
      <c r="G158" s="0" t="n">
        <v>11.7</v>
      </c>
      <c r="H158" s="0" t="n">
        <v>0.58</v>
      </c>
      <c r="I158" s="10" t="n">
        <v>0.429</v>
      </c>
      <c r="J158" s="0" t="n">
        <v>0.85</v>
      </c>
      <c r="K158" s="13" t="n">
        <f aca="false">IF(H158&lt;&gt;"",H158,IFERROR(G158/INDEX(Players!$M$2:$M$124,MATCH(B158,Players!$A$2:$A$124,0)),""))</f>
        <v>0.58</v>
      </c>
    </row>
    <row r="159" customFormat="false" ht="15" hidden="false" customHeight="false" outlineLevel="0" collapsed="false">
      <c r="A159" s="0" t="s">
        <v>1937</v>
      </c>
      <c r="B159" s="0" t="s">
        <v>1517</v>
      </c>
      <c r="C159" s="0" t="s">
        <v>1271</v>
      </c>
      <c r="D159" s="0" t="s">
        <v>988</v>
      </c>
      <c r="E159" s="0" t="s">
        <v>121</v>
      </c>
      <c r="F159" s="0" t="n">
        <v>1</v>
      </c>
      <c r="G159" s="0" t="n">
        <v>22</v>
      </c>
      <c r="H159" s="0" t="n">
        <v>0.76</v>
      </c>
      <c r="I159" s="10" t="n">
        <v>0.727</v>
      </c>
      <c r="J159" s="0" t="n">
        <v>0.88</v>
      </c>
      <c r="K159" s="13" t="n">
        <f aca="false">IF(H159&lt;&gt;"",H159,IFERROR(G159/INDEX(Players!$M$2:$M$124,MATCH(B159,Players!$A$2:$A$124,0)),""))</f>
        <v>0.76</v>
      </c>
    </row>
    <row r="160" customFormat="false" ht="15" hidden="false" customHeight="false" outlineLevel="0" collapsed="false">
      <c r="A160" s="0" t="s">
        <v>1938</v>
      </c>
      <c r="B160" s="0" t="s">
        <v>1465</v>
      </c>
      <c r="C160" s="0" t="s">
        <v>1137</v>
      </c>
      <c r="D160" s="0" t="s">
        <v>988</v>
      </c>
      <c r="E160" s="0" t="s">
        <v>80</v>
      </c>
      <c r="F160" s="0" t="n">
        <v>11</v>
      </c>
      <c r="G160" s="0" t="n">
        <v>15.7</v>
      </c>
      <c r="H160" s="0" t="n">
        <v>0.69</v>
      </c>
      <c r="I160" s="10" t="n">
        <v>0.572</v>
      </c>
      <c r="J160" s="0" t="n">
        <v>1.04</v>
      </c>
      <c r="K160" s="13" t="n">
        <f aca="false">IF(H160&lt;&gt;"",H160,IFERROR(G160/INDEX(Players!$M$2:$M$124,MATCH(B160,Players!$A$2:$A$124,0)),""))</f>
        <v>0.69</v>
      </c>
    </row>
    <row r="161" customFormat="false" ht="15" hidden="false" customHeight="false" outlineLevel="0" collapsed="false">
      <c r="A161" s="0" t="s">
        <v>1939</v>
      </c>
      <c r="B161" s="0" t="s">
        <v>1465</v>
      </c>
      <c r="C161" s="0" t="s">
        <v>1137</v>
      </c>
      <c r="D161" s="0" t="s">
        <v>988</v>
      </c>
      <c r="E161" s="0" t="s">
        <v>150</v>
      </c>
      <c r="F161" s="0" t="n">
        <v>7</v>
      </c>
      <c r="G161" s="0" t="n">
        <v>14.6</v>
      </c>
      <c r="H161" s="0" t="n">
        <v>0.66</v>
      </c>
      <c r="I161" s="10" t="n">
        <v>0.578</v>
      </c>
      <c r="J161" s="0" t="n">
        <v>1.03</v>
      </c>
      <c r="K161" s="13" t="n">
        <f aca="false">IF(H161&lt;&gt;"",H161,IFERROR(G161/INDEX(Players!$M$2:$M$124,MATCH(B161,Players!$A$2:$A$124,0)),""))</f>
        <v>0.66</v>
      </c>
    </row>
    <row r="162" customFormat="false" ht="15" hidden="false" customHeight="false" outlineLevel="0" collapsed="false">
      <c r="A162" s="0" t="s">
        <v>1940</v>
      </c>
      <c r="B162" s="0" t="s">
        <v>1465</v>
      </c>
      <c r="C162" s="0" t="s">
        <v>1137</v>
      </c>
      <c r="D162" s="0" t="s">
        <v>988</v>
      </c>
      <c r="E162" s="0" t="s">
        <v>131</v>
      </c>
      <c r="F162" s="0" t="n">
        <v>5</v>
      </c>
      <c r="G162" s="0" t="n">
        <v>14.4</v>
      </c>
      <c r="H162" s="0" t="n">
        <v>0.69</v>
      </c>
      <c r="I162" s="10" t="n">
        <v>0.639</v>
      </c>
      <c r="J162" s="0" t="n">
        <v>1.09</v>
      </c>
      <c r="K162" s="13" t="n">
        <f aca="false">IF(H162&lt;&gt;"",H162,IFERROR(G162/INDEX(Players!$M$2:$M$124,MATCH(B162,Players!$A$2:$A$124,0)),""))</f>
        <v>0.69</v>
      </c>
    </row>
    <row r="163" customFormat="false" ht="15" hidden="false" customHeight="false" outlineLevel="0" collapsed="false">
      <c r="A163" s="0" t="s">
        <v>1941</v>
      </c>
      <c r="B163" s="0" t="s">
        <v>1465</v>
      </c>
      <c r="C163" s="0" t="s">
        <v>1137</v>
      </c>
      <c r="D163" s="0" t="s">
        <v>988</v>
      </c>
      <c r="E163" s="0" t="s">
        <v>94</v>
      </c>
      <c r="F163" s="0" t="n">
        <v>3</v>
      </c>
      <c r="G163" s="0" t="n">
        <v>15.3</v>
      </c>
      <c r="H163" s="0" t="n">
        <v>0.72</v>
      </c>
      <c r="I163" s="10" t="n">
        <v>0.674</v>
      </c>
      <c r="J163" s="0" t="n">
        <v>1.28</v>
      </c>
      <c r="K163" s="13" t="n">
        <f aca="false">IF(H163&lt;&gt;"",H163,IFERROR(G163/INDEX(Players!$M$2:$M$124,MATCH(B163,Players!$A$2:$A$124,0)),""))</f>
        <v>0.72</v>
      </c>
    </row>
    <row r="164" customFormat="false" ht="15" hidden="false" customHeight="false" outlineLevel="0" collapsed="false">
      <c r="A164" s="0" t="s">
        <v>1942</v>
      </c>
      <c r="B164" s="0" t="s">
        <v>1465</v>
      </c>
      <c r="C164" s="0" t="s">
        <v>1137</v>
      </c>
      <c r="D164" s="0" t="s">
        <v>988</v>
      </c>
      <c r="E164" s="0" t="s">
        <v>142</v>
      </c>
      <c r="F164" s="0" t="n">
        <v>3</v>
      </c>
      <c r="G164" s="0" t="n">
        <v>8.7</v>
      </c>
      <c r="H164" s="0" t="n">
        <v>0.43</v>
      </c>
      <c r="I164" s="10" t="n">
        <v>0.538</v>
      </c>
      <c r="J164" s="0" t="n">
        <v>0.6</v>
      </c>
      <c r="K164" s="13" t="n">
        <f aca="false">IF(H164&lt;&gt;"",H164,IFERROR(G164/INDEX(Players!$M$2:$M$124,MATCH(B164,Players!$A$2:$A$124,0)),""))</f>
        <v>0.43</v>
      </c>
    </row>
    <row r="165" customFormat="false" ht="15" hidden="false" customHeight="false" outlineLevel="0" collapsed="false">
      <c r="A165" s="0" t="s">
        <v>1943</v>
      </c>
      <c r="B165" s="0" t="s">
        <v>1465</v>
      </c>
      <c r="C165" s="0" t="s">
        <v>1137</v>
      </c>
      <c r="D165" s="0" t="s">
        <v>988</v>
      </c>
      <c r="E165" s="0" t="s">
        <v>121</v>
      </c>
      <c r="F165" s="0" t="n">
        <v>2</v>
      </c>
      <c r="G165" s="0" t="n">
        <v>15.5</v>
      </c>
      <c r="H165" s="0" t="n">
        <v>0.74</v>
      </c>
      <c r="I165" s="10" t="n">
        <v>0.516</v>
      </c>
      <c r="J165" s="0" t="n">
        <v>1.15</v>
      </c>
      <c r="K165" s="13" t="n">
        <f aca="false">IF(H165&lt;&gt;"",H165,IFERROR(G165/INDEX(Players!$M$2:$M$124,MATCH(B165,Players!$A$2:$A$124,0)),""))</f>
        <v>0.74</v>
      </c>
    </row>
    <row r="166" customFormat="false" ht="15" hidden="false" customHeight="false" outlineLevel="0" collapsed="false">
      <c r="A166" s="0" t="s">
        <v>1944</v>
      </c>
      <c r="B166" s="0" t="s">
        <v>1502</v>
      </c>
      <c r="C166" s="0" t="s">
        <v>1231</v>
      </c>
      <c r="D166" s="0" t="s">
        <v>988</v>
      </c>
      <c r="E166" s="0" t="s">
        <v>150</v>
      </c>
      <c r="F166" s="0" t="n">
        <v>10</v>
      </c>
      <c r="G166" s="0" t="n">
        <v>12.1</v>
      </c>
      <c r="H166" s="0" t="n">
        <v>0.55</v>
      </c>
      <c r="I166" s="10" t="n">
        <v>0.479</v>
      </c>
      <c r="J166" s="0" t="n">
        <v>0.88</v>
      </c>
      <c r="K166" s="13" t="n">
        <f aca="false">IF(H166&lt;&gt;"",H166,IFERROR(G166/INDEX(Players!$M$2:$M$124,MATCH(B166,Players!$A$2:$A$124,0)),""))</f>
        <v>0.55</v>
      </c>
    </row>
    <row r="167" customFormat="false" ht="15" hidden="false" customHeight="false" outlineLevel="0" collapsed="false">
      <c r="A167" s="0" t="s">
        <v>1945</v>
      </c>
      <c r="B167" s="0" t="s">
        <v>1502</v>
      </c>
      <c r="C167" s="0" t="s">
        <v>1231</v>
      </c>
      <c r="D167" s="0" t="s">
        <v>988</v>
      </c>
      <c r="E167" s="0" t="s">
        <v>142</v>
      </c>
      <c r="F167" s="0" t="n">
        <v>6</v>
      </c>
      <c r="G167" s="0" t="n">
        <v>13</v>
      </c>
      <c r="H167" s="0" t="n">
        <v>0.63</v>
      </c>
      <c r="I167" s="10" t="n">
        <v>0.526</v>
      </c>
      <c r="J167" s="0" t="n">
        <v>1.07</v>
      </c>
      <c r="K167" s="13" t="n">
        <f aca="false">IF(H167&lt;&gt;"",H167,IFERROR(G167/INDEX(Players!$M$2:$M$124,MATCH(B167,Players!$A$2:$A$124,0)),""))</f>
        <v>0.63</v>
      </c>
    </row>
    <row r="168" customFormat="false" ht="15" hidden="false" customHeight="false" outlineLevel="0" collapsed="false">
      <c r="A168" s="0" t="s">
        <v>1946</v>
      </c>
      <c r="B168" s="0" t="s">
        <v>1502</v>
      </c>
      <c r="C168" s="0" t="s">
        <v>1231</v>
      </c>
      <c r="D168" s="0" t="s">
        <v>988</v>
      </c>
      <c r="E168" s="0" t="s">
        <v>80</v>
      </c>
      <c r="F168" s="0" t="n">
        <v>6</v>
      </c>
      <c r="G168" s="0" t="n">
        <v>12.8</v>
      </c>
      <c r="H168" s="0" t="n">
        <v>0.59</v>
      </c>
      <c r="I168" s="10" t="n">
        <v>0.442</v>
      </c>
      <c r="J168" s="0" t="n">
        <v>0.92</v>
      </c>
      <c r="K168" s="13" t="n">
        <f aca="false">IF(H168&lt;&gt;"",H168,IFERROR(G168/INDEX(Players!$M$2:$M$124,MATCH(B168,Players!$A$2:$A$124,0)),""))</f>
        <v>0.59</v>
      </c>
    </row>
    <row r="169" customFormat="false" ht="15" hidden="false" customHeight="false" outlineLevel="0" collapsed="false">
      <c r="A169" s="0" t="s">
        <v>1947</v>
      </c>
      <c r="B169" s="0" t="s">
        <v>1502</v>
      </c>
      <c r="C169" s="0" t="s">
        <v>1231</v>
      </c>
      <c r="D169" s="0" t="s">
        <v>988</v>
      </c>
      <c r="E169" s="0" t="s">
        <v>131</v>
      </c>
      <c r="F169" s="0" t="n">
        <v>6</v>
      </c>
      <c r="G169" s="0" t="n">
        <v>9.3</v>
      </c>
      <c r="H169" s="0" t="n">
        <v>0.44</v>
      </c>
      <c r="I169" s="10" t="n">
        <v>0.536</v>
      </c>
      <c r="J169" s="0" t="n">
        <v>0.64</v>
      </c>
      <c r="K169" s="13" t="n">
        <f aca="false">IF(H169&lt;&gt;"",H169,IFERROR(G169/INDEX(Players!$M$2:$M$124,MATCH(B169,Players!$A$2:$A$124,0)),""))</f>
        <v>0.44</v>
      </c>
    </row>
    <row r="170" customFormat="false" ht="15" hidden="false" customHeight="false" outlineLevel="0" collapsed="false">
      <c r="A170" s="0" t="s">
        <v>1948</v>
      </c>
      <c r="B170" s="0" t="s">
        <v>1502</v>
      </c>
      <c r="C170" s="0" t="s">
        <v>1231</v>
      </c>
      <c r="D170" s="0" t="s">
        <v>988</v>
      </c>
      <c r="E170" s="0" t="s">
        <v>107</v>
      </c>
      <c r="F170" s="0" t="n">
        <v>4</v>
      </c>
      <c r="G170" s="0" t="n">
        <v>10.3</v>
      </c>
      <c r="H170" s="0" t="n">
        <v>0.52</v>
      </c>
      <c r="I170" s="10" t="n">
        <v>0.61</v>
      </c>
      <c r="J170" s="0" t="n">
        <v>0.84</v>
      </c>
      <c r="K170" s="13" t="n">
        <f aca="false">IF(H170&lt;&gt;"",H170,IFERROR(G170/INDEX(Players!$M$2:$M$124,MATCH(B170,Players!$A$2:$A$124,0)),""))</f>
        <v>0.52</v>
      </c>
    </row>
    <row r="171" customFormat="false" ht="15" hidden="false" customHeight="false" outlineLevel="0" collapsed="false">
      <c r="A171" s="0" t="s">
        <v>1949</v>
      </c>
      <c r="B171" s="0" t="s">
        <v>1502</v>
      </c>
      <c r="C171" s="0" t="s">
        <v>1231</v>
      </c>
      <c r="D171" s="0" t="s">
        <v>988</v>
      </c>
      <c r="E171" s="0" t="s">
        <v>121</v>
      </c>
      <c r="F171" s="0" t="n">
        <v>4</v>
      </c>
      <c r="G171" s="0" t="n">
        <v>12.8</v>
      </c>
      <c r="H171" s="0" t="n">
        <v>0.52</v>
      </c>
      <c r="I171" s="10" t="n">
        <v>0.549</v>
      </c>
      <c r="J171" s="0" t="n">
        <v>0.77</v>
      </c>
      <c r="K171" s="13" t="n">
        <f aca="false">IF(H171&lt;&gt;"",H171,IFERROR(G171/INDEX(Players!$M$2:$M$124,MATCH(B171,Players!$A$2:$A$124,0)),""))</f>
        <v>0.52</v>
      </c>
    </row>
    <row r="172" customFormat="false" ht="15" hidden="false" customHeight="false" outlineLevel="0" collapsed="false">
      <c r="A172" s="0" t="s">
        <v>1950</v>
      </c>
      <c r="B172" s="0" t="s">
        <v>1502</v>
      </c>
      <c r="C172" s="0" t="s">
        <v>1231</v>
      </c>
      <c r="D172" s="0" t="s">
        <v>988</v>
      </c>
      <c r="E172" s="0" t="s">
        <v>94</v>
      </c>
      <c r="F172" s="0" t="n">
        <v>1</v>
      </c>
      <c r="G172" s="0" t="n">
        <v>10</v>
      </c>
      <c r="H172" s="0" t="n">
        <v>0.48</v>
      </c>
      <c r="I172" s="10" t="n">
        <v>0.6</v>
      </c>
      <c r="J172" s="0" t="n">
        <v>0.71</v>
      </c>
      <c r="K172" s="13" t="n">
        <f aca="false">IF(H172&lt;&gt;"",H172,IFERROR(G172/INDEX(Players!$M$2:$M$124,MATCH(B172,Players!$A$2:$A$124,0)),""))</f>
        <v>0.48</v>
      </c>
    </row>
    <row r="173" customFormat="false" ht="15" hidden="false" customHeight="false" outlineLevel="0" collapsed="false">
      <c r="A173" s="0" t="s">
        <v>1951</v>
      </c>
      <c r="B173" s="0" t="s">
        <v>1456</v>
      </c>
      <c r="C173" s="0" t="s">
        <v>1113</v>
      </c>
      <c r="D173" s="0" t="s">
        <v>988</v>
      </c>
      <c r="E173" s="0" t="s">
        <v>121</v>
      </c>
      <c r="F173" s="0" t="n">
        <v>8</v>
      </c>
      <c r="G173" s="0" t="n">
        <v>16.9</v>
      </c>
      <c r="H173" s="0" t="n">
        <v>0.78</v>
      </c>
      <c r="I173" s="10" t="n">
        <v>0.519</v>
      </c>
      <c r="J173" s="0" t="n">
        <v>1.36</v>
      </c>
      <c r="K173" s="13" t="n">
        <f aca="false">IF(H173&lt;&gt;"",H173,IFERROR(G173/INDEX(Players!$M$2:$M$124,MATCH(B173,Players!$A$2:$A$124,0)),""))</f>
        <v>0.78</v>
      </c>
    </row>
    <row r="174" customFormat="false" ht="15" hidden="false" customHeight="false" outlineLevel="0" collapsed="false">
      <c r="A174" s="0" t="s">
        <v>1952</v>
      </c>
      <c r="B174" s="0" t="s">
        <v>1456</v>
      </c>
      <c r="C174" s="0" t="s">
        <v>1113</v>
      </c>
      <c r="D174" s="0" t="s">
        <v>988</v>
      </c>
      <c r="E174" s="0" t="s">
        <v>80</v>
      </c>
      <c r="F174" s="0" t="n">
        <v>8</v>
      </c>
      <c r="G174" s="0" t="n">
        <v>9.9</v>
      </c>
      <c r="H174" s="0" t="n">
        <v>0.53</v>
      </c>
      <c r="I174" s="10" t="n">
        <v>0.595</v>
      </c>
      <c r="J174" s="0" t="n">
        <v>0.65</v>
      </c>
      <c r="K174" s="13" t="n">
        <f aca="false">IF(H174&lt;&gt;"",H174,IFERROR(G174/INDEX(Players!$M$2:$M$124,MATCH(B174,Players!$A$2:$A$124,0)),""))</f>
        <v>0.53</v>
      </c>
    </row>
    <row r="175" customFormat="false" ht="15" hidden="false" customHeight="false" outlineLevel="0" collapsed="false">
      <c r="A175" s="0" t="s">
        <v>1953</v>
      </c>
      <c r="B175" s="0" t="s">
        <v>1456</v>
      </c>
      <c r="C175" s="0" t="s">
        <v>1113</v>
      </c>
      <c r="D175" s="0" t="s">
        <v>988</v>
      </c>
      <c r="E175" s="0" t="s">
        <v>142</v>
      </c>
      <c r="F175" s="0" t="n">
        <v>7</v>
      </c>
      <c r="G175" s="0" t="n">
        <v>13.7</v>
      </c>
      <c r="H175" s="0" t="n">
        <v>0.63</v>
      </c>
      <c r="I175" s="10" t="n">
        <v>0.49</v>
      </c>
      <c r="J175" s="0" t="n">
        <v>1.03</v>
      </c>
      <c r="K175" s="13" t="n">
        <f aca="false">IF(H175&lt;&gt;"",H175,IFERROR(G175/INDEX(Players!$M$2:$M$124,MATCH(B175,Players!$A$2:$A$124,0)),""))</f>
        <v>0.63</v>
      </c>
    </row>
    <row r="176" customFormat="false" ht="15" hidden="false" customHeight="false" outlineLevel="0" collapsed="false">
      <c r="A176" s="0" t="s">
        <v>1954</v>
      </c>
      <c r="B176" s="0" t="s">
        <v>1456</v>
      </c>
      <c r="C176" s="0" t="s">
        <v>1113</v>
      </c>
      <c r="D176" s="0" t="s">
        <v>988</v>
      </c>
      <c r="E176" s="0" t="s">
        <v>107</v>
      </c>
      <c r="F176" s="0" t="n">
        <v>7</v>
      </c>
      <c r="G176" s="0" t="n">
        <v>14.4</v>
      </c>
      <c r="H176" s="0" t="n">
        <v>0.61</v>
      </c>
      <c r="I176" s="10" t="n">
        <v>0.495</v>
      </c>
      <c r="J176" s="0" t="n">
        <v>0.97</v>
      </c>
      <c r="K176" s="13" t="n">
        <f aca="false">IF(H176&lt;&gt;"",H176,IFERROR(G176/INDEX(Players!$M$2:$M$124,MATCH(B176,Players!$A$2:$A$124,0)),""))</f>
        <v>0.61</v>
      </c>
    </row>
    <row r="177" customFormat="false" ht="15" hidden="false" customHeight="false" outlineLevel="0" collapsed="false">
      <c r="A177" s="0" t="s">
        <v>1955</v>
      </c>
      <c r="B177" s="0" t="s">
        <v>1456</v>
      </c>
      <c r="C177" s="0" t="s">
        <v>1113</v>
      </c>
      <c r="D177" s="0" t="s">
        <v>988</v>
      </c>
      <c r="E177" s="0" t="s">
        <v>131</v>
      </c>
      <c r="F177" s="0" t="n">
        <v>4</v>
      </c>
      <c r="G177" s="0" t="n">
        <v>11.3</v>
      </c>
      <c r="H177" s="0" t="n">
        <v>0.53</v>
      </c>
      <c r="I177" s="10" t="n">
        <v>0.578</v>
      </c>
      <c r="J177" s="0" t="n">
        <v>0.76</v>
      </c>
      <c r="K177" s="13" t="n">
        <f aca="false">IF(H177&lt;&gt;"",H177,IFERROR(G177/INDEX(Players!$M$2:$M$124,MATCH(B177,Players!$A$2:$A$124,0)),""))</f>
        <v>0.53</v>
      </c>
    </row>
    <row r="178" customFormat="false" ht="15" hidden="false" customHeight="false" outlineLevel="0" collapsed="false">
      <c r="A178" s="0" t="s">
        <v>1956</v>
      </c>
      <c r="B178" s="0" t="s">
        <v>1456</v>
      </c>
      <c r="C178" s="0" t="s">
        <v>1113</v>
      </c>
      <c r="D178" s="0" t="s">
        <v>988</v>
      </c>
      <c r="E178" s="0" t="s">
        <v>94</v>
      </c>
      <c r="F178" s="0" t="n">
        <v>1</v>
      </c>
      <c r="G178" s="0" t="n">
        <v>22</v>
      </c>
      <c r="H178" s="0" t="n">
        <v>1.05</v>
      </c>
      <c r="I178" s="10" t="n">
        <v>0.591</v>
      </c>
      <c r="J178" s="0" t="n">
        <v>1.69</v>
      </c>
      <c r="K178" s="13" t="n">
        <f aca="false">IF(H178&lt;&gt;"",H178,IFERROR(G178/INDEX(Players!$M$2:$M$124,MATCH(B178,Players!$A$2:$A$124,0)),""))</f>
        <v>1.05</v>
      </c>
    </row>
    <row r="179" customFormat="false" ht="15" hidden="false" customHeight="false" outlineLevel="0" collapsed="false">
      <c r="A179" s="0" t="s">
        <v>1957</v>
      </c>
      <c r="B179" s="0" t="s">
        <v>1564</v>
      </c>
      <c r="C179" s="0" t="s">
        <v>1370</v>
      </c>
      <c r="D179" s="0" t="s">
        <v>988</v>
      </c>
      <c r="E179" s="0" t="s">
        <v>107</v>
      </c>
      <c r="F179" s="0" t="n">
        <v>9</v>
      </c>
      <c r="G179" s="0" t="n">
        <v>15.3</v>
      </c>
      <c r="H179" s="0" t="n">
        <v>0.75</v>
      </c>
      <c r="I179" s="10" t="n">
        <v>0.572</v>
      </c>
      <c r="J179" s="0" t="n">
        <v>1.2</v>
      </c>
      <c r="K179" s="13" t="n">
        <f aca="false">IF(H179&lt;&gt;"",H179,IFERROR(G179/INDEX(Players!$M$2:$M$124,MATCH(B179,Players!$A$2:$A$124,0)),""))</f>
        <v>0.75</v>
      </c>
    </row>
    <row r="180" customFormat="false" ht="15" hidden="false" customHeight="false" outlineLevel="0" collapsed="false">
      <c r="A180" s="0" t="s">
        <v>1958</v>
      </c>
      <c r="B180" s="0" t="s">
        <v>1564</v>
      </c>
      <c r="C180" s="0" t="s">
        <v>1370</v>
      </c>
      <c r="D180" s="0" t="s">
        <v>988</v>
      </c>
      <c r="E180" s="0" t="s">
        <v>150</v>
      </c>
      <c r="F180" s="0" t="n">
        <v>8</v>
      </c>
      <c r="G180" s="0" t="n">
        <v>13.9</v>
      </c>
      <c r="H180" s="0" t="n">
        <v>0.7</v>
      </c>
      <c r="I180" s="10" t="n">
        <v>0.495</v>
      </c>
      <c r="J180" s="0" t="n">
        <v>1.07</v>
      </c>
      <c r="K180" s="13" t="n">
        <f aca="false">IF(H180&lt;&gt;"",H180,IFERROR(G180/INDEX(Players!$M$2:$M$124,MATCH(B180,Players!$A$2:$A$124,0)),""))</f>
        <v>0.7</v>
      </c>
    </row>
    <row r="181" customFormat="false" ht="15" hidden="false" customHeight="false" outlineLevel="0" collapsed="false">
      <c r="A181" s="0" t="s">
        <v>1959</v>
      </c>
      <c r="B181" s="0" t="s">
        <v>1564</v>
      </c>
      <c r="C181" s="0" t="s">
        <v>1370</v>
      </c>
      <c r="D181" s="0" t="s">
        <v>988</v>
      </c>
      <c r="E181" s="0" t="s">
        <v>131</v>
      </c>
      <c r="F181" s="0" t="n">
        <v>7</v>
      </c>
      <c r="G181" s="0" t="n">
        <v>14.6</v>
      </c>
      <c r="H181" s="0" t="n">
        <v>0.71</v>
      </c>
      <c r="I181" s="10" t="n">
        <v>0.51</v>
      </c>
      <c r="J181" s="0" t="n">
        <v>1.21</v>
      </c>
      <c r="K181" s="13" t="n">
        <f aca="false">IF(H181&lt;&gt;"",H181,IFERROR(G181/INDEX(Players!$M$2:$M$124,MATCH(B181,Players!$A$2:$A$124,0)),""))</f>
        <v>0.71</v>
      </c>
    </row>
    <row r="182" customFormat="false" ht="15" hidden="false" customHeight="false" outlineLevel="0" collapsed="false">
      <c r="A182" s="0" t="s">
        <v>1960</v>
      </c>
      <c r="B182" s="0" t="s">
        <v>1564</v>
      </c>
      <c r="C182" s="0" t="s">
        <v>1370</v>
      </c>
      <c r="D182" s="0" t="s">
        <v>988</v>
      </c>
      <c r="E182" s="0" t="s">
        <v>94</v>
      </c>
      <c r="F182" s="0" t="n">
        <v>7</v>
      </c>
      <c r="G182" s="0" t="n">
        <v>10.6</v>
      </c>
      <c r="H182" s="0" t="n">
        <v>0.54</v>
      </c>
      <c r="I182" s="10" t="n">
        <v>0.649</v>
      </c>
      <c r="J182" s="0" t="n">
        <v>0.78</v>
      </c>
      <c r="K182" s="13" t="n">
        <f aca="false">IF(H182&lt;&gt;"",H182,IFERROR(G182/INDEX(Players!$M$2:$M$124,MATCH(B182,Players!$A$2:$A$124,0)),""))</f>
        <v>0.54</v>
      </c>
    </row>
    <row r="183" customFormat="false" ht="15" hidden="false" customHeight="false" outlineLevel="0" collapsed="false">
      <c r="A183" s="0" t="s">
        <v>1961</v>
      </c>
      <c r="B183" s="0" t="s">
        <v>1564</v>
      </c>
      <c r="C183" s="0" t="s">
        <v>1370</v>
      </c>
      <c r="D183" s="0" t="s">
        <v>988</v>
      </c>
      <c r="E183" s="0" t="s">
        <v>142</v>
      </c>
      <c r="F183" s="0" t="n">
        <v>4</v>
      </c>
      <c r="G183" s="0" t="n">
        <v>16.3</v>
      </c>
      <c r="H183" s="0" t="n">
        <v>0.78</v>
      </c>
      <c r="I183" s="10" t="n">
        <v>0.492</v>
      </c>
      <c r="J183" s="0" t="n">
        <v>1.41</v>
      </c>
      <c r="K183" s="13" t="n">
        <f aca="false">IF(H183&lt;&gt;"",H183,IFERROR(G183/INDEX(Players!$M$2:$M$124,MATCH(B183,Players!$A$2:$A$124,0)),""))</f>
        <v>0.78</v>
      </c>
    </row>
    <row r="184" customFormat="false" ht="15" hidden="false" customHeight="false" outlineLevel="0" collapsed="false">
      <c r="A184" s="0" t="s">
        <v>1962</v>
      </c>
      <c r="B184" s="0" t="s">
        <v>1564</v>
      </c>
      <c r="C184" s="0" t="s">
        <v>1370</v>
      </c>
      <c r="D184" s="0" t="s">
        <v>988</v>
      </c>
      <c r="E184" s="0" t="s">
        <v>80</v>
      </c>
      <c r="F184" s="0" t="n">
        <v>3</v>
      </c>
      <c r="G184" s="0" t="n">
        <v>12</v>
      </c>
      <c r="H184" s="0" t="n">
        <v>0.62</v>
      </c>
      <c r="I184" s="10" t="n">
        <v>0.583</v>
      </c>
      <c r="J184" s="0" t="n">
        <v>0.82</v>
      </c>
      <c r="K184" s="13" t="n">
        <f aca="false">IF(H184&lt;&gt;"",H184,IFERROR(G184/INDEX(Players!$M$2:$M$124,MATCH(B184,Players!$A$2:$A$124,0)),""))</f>
        <v>0.62</v>
      </c>
    </row>
    <row r="185" customFormat="false" ht="15" hidden="false" customHeight="false" outlineLevel="0" collapsed="false">
      <c r="A185" s="0" t="s">
        <v>1963</v>
      </c>
      <c r="B185" s="0" t="s">
        <v>1466</v>
      </c>
      <c r="C185" s="0" t="s">
        <v>1139</v>
      </c>
      <c r="D185" s="0" t="s">
        <v>988</v>
      </c>
      <c r="E185" s="0" t="s">
        <v>80</v>
      </c>
      <c r="F185" s="0" t="n">
        <v>11</v>
      </c>
      <c r="G185" s="0" t="n">
        <v>15</v>
      </c>
      <c r="H185" s="0" t="n">
        <v>0.66</v>
      </c>
      <c r="I185" s="10" t="n">
        <v>0.37</v>
      </c>
      <c r="J185" s="0" t="n">
        <v>1.17</v>
      </c>
      <c r="K185" s="13" t="n">
        <f aca="false">IF(H185&lt;&gt;"",H185,IFERROR(G185/INDEX(Players!$M$2:$M$124,MATCH(B185,Players!$A$2:$A$124,0)),""))</f>
        <v>0.66</v>
      </c>
    </row>
    <row r="186" customFormat="false" ht="15" hidden="false" customHeight="false" outlineLevel="0" collapsed="false">
      <c r="A186" s="0" t="s">
        <v>1964</v>
      </c>
      <c r="B186" s="0" t="s">
        <v>1466</v>
      </c>
      <c r="C186" s="0" t="s">
        <v>1139</v>
      </c>
      <c r="D186" s="0" t="s">
        <v>988</v>
      </c>
      <c r="E186" s="0" t="s">
        <v>150</v>
      </c>
      <c r="F186" s="0" t="n">
        <v>7</v>
      </c>
      <c r="G186" s="0" t="n">
        <v>19.1</v>
      </c>
      <c r="H186" s="0" t="n">
        <v>0.87</v>
      </c>
      <c r="I186" s="10" t="n">
        <v>0.321</v>
      </c>
      <c r="J186" s="0" t="n">
        <v>1.46</v>
      </c>
      <c r="K186" s="13" t="n">
        <f aca="false">IF(H186&lt;&gt;"",H186,IFERROR(G186/INDEX(Players!$M$2:$M$124,MATCH(B186,Players!$A$2:$A$124,0)),""))</f>
        <v>0.87</v>
      </c>
    </row>
    <row r="187" customFormat="false" ht="15" hidden="false" customHeight="false" outlineLevel="0" collapsed="false">
      <c r="A187" s="0" t="s">
        <v>1965</v>
      </c>
      <c r="B187" s="0" t="s">
        <v>1466</v>
      </c>
      <c r="C187" s="0" t="s">
        <v>1139</v>
      </c>
      <c r="D187" s="0" t="s">
        <v>988</v>
      </c>
      <c r="E187" s="0" t="s">
        <v>131</v>
      </c>
      <c r="F187" s="0" t="n">
        <v>5</v>
      </c>
      <c r="G187" s="0" t="n">
        <v>15.6</v>
      </c>
      <c r="H187" s="0" t="n">
        <v>0.74</v>
      </c>
      <c r="I187" s="10" t="n">
        <v>0.346</v>
      </c>
      <c r="J187" s="0" t="n">
        <v>1.22</v>
      </c>
      <c r="K187" s="13" t="n">
        <f aca="false">IF(H187&lt;&gt;"",H187,IFERROR(G187/INDEX(Players!$M$2:$M$124,MATCH(B187,Players!$A$2:$A$124,0)),""))</f>
        <v>0.74</v>
      </c>
    </row>
    <row r="188" customFormat="false" ht="15" hidden="false" customHeight="false" outlineLevel="0" collapsed="false">
      <c r="A188" s="0" t="s">
        <v>1966</v>
      </c>
      <c r="B188" s="0" t="s">
        <v>1466</v>
      </c>
      <c r="C188" s="0" t="s">
        <v>1139</v>
      </c>
      <c r="D188" s="0" t="s">
        <v>988</v>
      </c>
      <c r="E188" s="0" t="s">
        <v>142</v>
      </c>
      <c r="F188" s="0" t="n">
        <v>3</v>
      </c>
      <c r="G188" s="0" t="n">
        <v>14.3</v>
      </c>
      <c r="H188" s="0" t="n">
        <v>0.7</v>
      </c>
      <c r="I188" s="10" t="n">
        <v>0.465</v>
      </c>
      <c r="J188" s="0" t="n">
        <v>1.16</v>
      </c>
      <c r="K188" s="13" t="n">
        <f aca="false">IF(H188&lt;&gt;"",H188,IFERROR(G188/INDEX(Players!$M$2:$M$124,MATCH(B188,Players!$A$2:$A$124,0)),""))</f>
        <v>0.7</v>
      </c>
    </row>
    <row r="189" customFormat="false" ht="15" hidden="false" customHeight="false" outlineLevel="0" collapsed="false">
      <c r="A189" s="0" t="s">
        <v>1967</v>
      </c>
      <c r="B189" s="0" t="s">
        <v>1466</v>
      </c>
      <c r="C189" s="0" t="s">
        <v>1139</v>
      </c>
      <c r="D189" s="0" t="s">
        <v>988</v>
      </c>
      <c r="E189" s="0" t="s">
        <v>94</v>
      </c>
      <c r="F189" s="0" t="n">
        <v>3</v>
      </c>
      <c r="G189" s="0" t="n">
        <v>11</v>
      </c>
      <c r="H189" s="0" t="n">
        <v>0.52</v>
      </c>
      <c r="I189" s="10" t="n">
        <v>0.515</v>
      </c>
      <c r="J189" s="0" t="n">
        <v>0.97</v>
      </c>
      <c r="K189" s="13" t="n">
        <f aca="false">IF(H189&lt;&gt;"",H189,IFERROR(G189/INDEX(Players!$M$2:$M$124,MATCH(B189,Players!$A$2:$A$124,0)),""))</f>
        <v>0.52</v>
      </c>
    </row>
    <row r="190" customFormat="false" ht="15" hidden="false" customHeight="false" outlineLevel="0" collapsed="false">
      <c r="A190" s="0" t="s">
        <v>1968</v>
      </c>
      <c r="B190" s="0" t="s">
        <v>1466</v>
      </c>
      <c r="C190" s="0" t="s">
        <v>1139</v>
      </c>
      <c r="D190" s="0" t="s">
        <v>988</v>
      </c>
      <c r="E190" s="0" t="s">
        <v>121</v>
      </c>
      <c r="F190" s="0" t="n">
        <v>2</v>
      </c>
      <c r="G190" s="0" t="n">
        <v>16</v>
      </c>
      <c r="H190" s="0" t="n">
        <v>0.76</v>
      </c>
      <c r="I190" s="10" t="n">
        <v>0.313</v>
      </c>
      <c r="J190" s="0" t="n">
        <v>1.14</v>
      </c>
      <c r="K190" s="13" t="n">
        <f aca="false">IF(H190&lt;&gt;"",H190,IFERROR(G190/INDEX(Players!$M$2:$M$124,MATCH(B190,Players!$A$2:$A$124,0)),""))</f>
        <v>0.76</v>
      </c>
    </row>
    <row r="191" customFormat="false" ht="15" hidden="false" customHeight="false" outlineLevel="0" collapsed="false">
      <c r="A191" s="0" t="s">
        <v>1969</v>
      </c>
      <c r="B191" s="0" t="s">
        <v>1530</v>
      </c>
      <c r="C191" s="0" t="s">
        <v>1297</v>
      </c>
      <c r="D191" s="0" t="s">
        <v>988</v>
      </c>
      <c r="E191" s="0" t="s">
        <v>150</v>
      </c>
      <c r="F191" s="0" t="n">
        <v>9</v>
      </c>
      <c r="G191" s="0" t="n">
        <v>13.8</v>
      </c>
      <c r="H191" s="0" t="n">
        <v>0.63</v>
      </c>
      <c r="I191" s="10" t="n">
        <v>0.444</v>
      </c>
      <c r="J191" s="0" t="n">
        <v>1</v>
      </c>
      <c r="K191" s="13" t="n">
        <f aca="false">IF(H191&lt;&gt;"",H191,IFERROR(G191/INDEX(Players!$M$2:$M$124,MATCH(B191,Players!$A$2:$A$124,0)),""))</f>
        <v>0.63</v>
      </c>
    </row>
    <row r="192" customFormat="false" ht="15" hidden="false" customHeight="false" outlineLevel="0" collapsed="false">
      <c r="A192" s="0" t="s">
        <v>1970</v>
      </c>
      <c r="B192" s="0" t="s">
        <v>1530</v>
      </c>
      <c r="C192" s="0" t="s">
        <v>1297</v>
      </c>
      <c r="D192" s="0" t="s">
        <v>988</v>
      </c>
      <c r="E192" s="0" t="s">
        <v>131</v>
      </c>
      <c r="F192" s="0" t="n">
        <v>7</v>
      </c>
      <c r="G192" s="0" t="n">
        <v>13.3</v>
      </c>
      <c r="H192" s="0" t="n">
        <v>0.62</v>
      </c>
      <c r="I192" s="10" t="n">
        <v>0.473</v>
      </c>
      <c r="J192" s="0" t="n">
        <v>1.03</v>
      </c>
      <c r="K192" s="13" t="n">
        <f aca="false">IF(H192&lt;&gt;"",H192,IFERROR(G192/INDEX(Players!$M$2:$M$124,MATCH(B192,Players!$A$2:$A$124,0)),""))</f>
        <v>0.62</v>
      </c>
    </row>
    <row r="193" customFormat="false" ht="15" hidden="false" customHeight="false" outlineLevel="0" collapsed="false">
      <c r="A193" s="0" t="s">
        <v>1971</v>
      </c>
      <c r="B193" s="0" t="s">
        <v>1530</v>
      </c>
      <c r="C193" s="0" t="s">
        <v>1297</v>
      </c>
      <c r="D193" s="0" t="s">
        <v>988</v>
      </c>
      <c r="E193" s="0" t="s">
        <v>142</v>
      </c>
      <c r="F193" s="0" t="n">
        <v>6</v>
      </c>
      <c r="G193" s="0" t="n">
        <v>11.8</v>
      </c>
      <c r="H193" s="0" t="n">
        <v>0.56</v>
      </c>
      <c r="I193" s="10" t="n">
        <v>0.465</v>
      </c>
      <c r="J193" s="0" t="n">
        <v>0.87</v>
      </c>
      <c r="K193" s="13" t="n">
        <f aca="false">IF(H193&lt;&gt;"",H193,IFERROR(G193/INDEX(Players!$M$2:$M$124,MATCH(B193,Players!$A$2:$A$124,0)),""))</f>
        <v>0.56</v>
      </c>
    </row>
    <row r="194" customFormat="false" ht="15" hidden="false" customHeight="false" outlineLevel="0" collapsed="false">
      <c r="A194" s="0" t="s">
        <v>1972</v>
      </c>
      <c r="B194" s="0" t="s">
        <v>1530</v>
      </c>
      <c r="C194" s="0" t="s">
        <v>1297</v>
      </c>
      <c r="D194" s="0" t="s">
        <v>988</v>
      </c>
      <c r="E194" s="0" t="s">
        <v>121</v>
      </c>
      <c r="F194" s="0" t="n">
        <v>5</v>
      </c>
      <c r="G194" s="0" t="n">
        <v>13.4</v>
      </c>
      <c r="H194" s="0" t="n">
        <v>0.59</v>
      </c>
      <c r="I194" s="10" t="n">
        <v>0.388</v>
      </c>
      <c r="J194" s="0" t="n">
        <v>0.91</v>
      </c>
      <c r="K194" s="13" t="n">
        <f aca="false">IF(H194&lt;&gt;"",H194,IFERROR(G194/INDEX(Players!$M$2:$M$124,MATCH(B194,Players!$A$2:$A$124,0)),""))</f>
        <v>0.59</v>
      </c>
    </row>
    <row r="195" customFormat="false" ht="15" hidden="false" customHeight="false" outlineLevel="0" collapsed="false">
      <c r="A195" s="0" t="s">
        <v>1973</v>
      </c>
      <c r="B195" s="0" t="s">
        <v>1530</v>
      </c>
      <c r="C195" s="0" t="s">
        <v>1297</v>
      </c>
      <c r="D195" s="0" t="s">
        <v>988</v>
      </c>
      <c r="E195" s="0" t="s">
        <v>80</v>
      </c>
      <c r="F195" s="0" t="n">
        <v>5</v>
      </c>
      <c r="G195" s="0" t="n">
        <v>12</v>
      </c>
      <c r="H195" s="0" t="n">
        <v>0.54</v>
      </c>
      <c r="I195" s="10" t="n">
        <v>0.55</v>
      </c>
      <c r="J195" s="0" t="n">
        <v>0.8</v>
      </c>
      <c r="K195" s="13" t="n">
        <f aca="false">IF(H195&lt;&gt;"",H195,IFERROR(G195/INDEX(Players!$M$2:$M$124,MATCH(B195,Players!$A$2:$A$124,0)),""))</f>
        <v>0.54</v>
      </c>
    </row>
    <row r="196" customFormat="false" ht="15" hidden="false" customHeight="false" outlineLevel="0" collapsed="false">
      <c r="A196" s="0" t="s">
        <v>1974</v>
      </c>
      <c r="B196" s="0" t="s">
        <v>1530</v>
      </c>
      <c r="C196" s="0" t="s">
        <v>1297</v>
      </c>
      <c r="D196" s="0" t="s">
        <v>988</v>
      </c>
      <c r="E196" s="0" t="s">
        <v>94</v>
      </c>
      <c r="F196" s="0" t="n">
        <v>4</v>
      </c>
      <c r="G196" s="0" t="n">
        <v>6.5</v>
      </c>
      <c r="H196" s="0" t="n">
        <v>0.31</v>
      </c>
      <c r="I196" s="10" t="n">
        <v>0.538</v>
      </c>
      <c r="J196" s="0" t="n">
        <v>0.47</v>
      </c>
      <c r="K196" s="13" t="n">
        <f aca="false">IF(H196&lt;&gt;"",H196,IFERROR(G196/INDEX(Players!$M$2:$M$124,MATCH(B196,Players!$A$2:$A$124,0)),""))</f>
        <v>0.31</v>
      </c>
    </row>
    <row r="197" customFormat="false" ht="15" hidden="false" customHeight="false" outlineLevel="0" collapsed="false">
      <c r="A197" s="0" t="s">
        <v>1975</v>
      </c>
      <c r="B197" s="0" t="s">
        <v>1477</v>
      </c>
      <c r="C197" s="0" t="s">
        <v>1169</v>
      </c>
      <c r="D197" s="0" t="s">
        <v>988</v>
      </c>
      <c r="E197" s="0" t="s">
        <v>121</v>
      </c>
      <c r="F197" s="0" t="n">
        <v>11</v>
      </c>
      <c r="G197" s="0" t="n">
        <v>15.7</v>
      </c>
      <c r="H197" s="0" t="n">
        <v>0.75</v>
      </c>
      <c r="I197" s="10" t="n">
        <v>0.613</v>
      </c>
      <c r="J197" s="0" t="n">
        <v>1.23</v>
      </c>
      <c r="K197" s="13" t="n">
        <f aca="false">IF(H197&lt;&gt;"",H197,IFERROR(G197/INDEX(Players!$M$2:$M$124,MATCH(B197,Players!$A$2:$A$124,0)),""))</f>
        <v>0.75</v>
      </c>
    </row>
    <row r="198" customFormat="false" ht="15" hidden="false" customHeight="false" outlineLevel="0" collapsed="false">
      <c r="A198" s="0" t="s">
        <v>1976</v>
      </c>
      <c r="B198" s="0" t="s">
        <v>1477</v>
      </c>
      <c r="C198" s="0" t="s">
        <v>1169</v>
      </c>
      <c r="D198" s="0" t="s">
        <v>988</v>
      </c>
      <c r="E198" s="0" t="s">
        <v>142</v>
      </c>
      <c r="F198" s="0" t="n">
        <v>8</v>
      </c>
      <c r="G198" s="0" t="n">
        <v>14.5</v>
      </c>
      <c r="H198" s="0" t="n">
        <v>0.64</v>
      </c>
      <c r="I198" s="10" t="n">
        <v>0.638</v>
      </c>
      <c r="J198" s="0" t="n">
        <v>1.02</v>
      </c>
      <c r="K198" s="13" t="n">
        <f aca="false">IF(H198&lt;&gt;"",H198,IFERROR(G198/INDEX(Players!$M$2:$M$124,MATCH(B198,Players!$A$2:$A$124,0)),""))</f>
        <v>0.64</v>
      </c>
    </row>
    <row r="199" customFormat="false" ht="15" hidden="false" customHeight="false" outlineLevel="0" collapsed="false">
      <c r="A199" s="0" t="s">
        <v>1977</v>
      </c>
      <c r="B199" s="0" t="s">
        <v>1477</v>
      </c>
      <c r="C199" s="0" t="s">
        <v>1169</v>
      </c>
      <c r="D199" s="0" t="s">
        <v>988</v>
      </c>
      <c r="E199" s="0" t="s">
        <v>107</v>
      </c>
      <c r="F199" s="0" t="n">
        <v>7</v>
      </c>
      <c r="G199" s="0" t="n">
        <v>16.9</v>
      </c>
      <c r="H199" s="0" t="n">
        <v>0.72</v>
      </c>
      <c r="I199" s="10" t="n">
        <v>0.619</v>
      </c>
      <c r="J199" s="0" t="n">
        <v>1.08</v>
      </c>
      <c r="K199" s="13" t="n">
        <f aca="false">IF(H199&lt;&gt;"",H199,IFERROR(G199/INDEX(Players!$M$2:$M$124,MATCH(B199,Players!$A$2:$A$124,0)),""))</f>
        <v>0.72</v>
      </c>
    </row>
    <row r="200" customFormat="false" ht="15" hidden="false" customHeight="false" outlineLevel="0" collapsed="false">
      <c r="A200" s="0" t="s">
        <v>1978</v>
      </c>
      <c r="B200" s="0" t="s">
        <v>1477</v>
      </c>
      <c r="C200" s="0" t="s">
        <v>1169</v>
      </c>
      <c r="D200" s="0" t="s">
        <v>988</v>
      </c>
      <c r="E200" s="0" t="s">
        <v>150</v>
      </c>
      <c r="F200" s="0" t="n">
        <v>6</v>
      </c>
      <c r="G200" s="0" t="n">
        <v>13.2</v>
      </c>
      <c r="H200" s="0" t="n">
        <v>0.59</v>
      </c>
      <c r="I200" s="10" t="n">
        <v>0.506</v>
      </c>
      <c r="J200" s="0" t="n">
        <v>0.85</v>
      </c>
      <c r="K200" s="13" t="n">
        <f aca="false">IF(H200&lt;&gt;"",H200,IFERROR(G200/INDEX(Players!$M$2:$M$124,MATCH(B200,Players!$A$2:$A$124,0)),""))</f>
        <v>0.59</v>
      </c>
    </row>
    <row r="201" customFormat="false" ht="15" hidden="false" customHeight="false" outlineLevel="0" collapsed="false">
      <c r="A201" s="0" t="s">
        <v>1979</v>
      </c>
      <c r="B201" s="0" t="s">
        <v>1477</v>
      </c>
      <c r="C201" s="0" t="s">
        <v>1169</v>
      </c>
      <c r="D201" s="0" t="s">
        <v>988</v>
      </c>
      <c r="E201" s="0" t="s">
        <v>94</v>
      </c>
      <c r="F201" s="0" t="n">
        <v>3</v>
      </c>
      <c r="G201" s="0" t="n">
        <v>16.3</v>
      </c>
      <c r="H201" s="0" t="n">
        <v>0.69</v>
      </c>
      <c r="I201" s="10" t="n">
        <v>0.469</v>
      </c>
      <c r="J201" s="0" t="n">
        <v>1.22</v>
      </c>
      <c r="K201" s="13" t="n">
        <f aca="false">IF(H201&lt;&gt;"",H201,IFERROR(G201/INDEX(Players!$M$2:$M$124,MATCH(B201,Players!$A$2:$A$124,0)),""))</f>
        <v>0.69</v>
      </c>
    </row>
    <row r="202" customFormat="false" ht="15" hidden="false" customHeight="false" outlineLevel="0" collapsed="false">
      <c r="A202" s="0" t="s">
        <v>1980</v>
      </c>
      <c r="B202" s="0" t="s">
        <v>1477</v>
      </c>
      <c r="C202" s="0" t="s">
        <v>1169</v>
      </c>
      <c r="D202" s="0" t="s">
        <v>988</v>
      </c>
      <c r="E202" s="0" t="s">
        <v>131</v>
      </c>
      <c r="F202" s="0" t="n">
        <v>2</v>
      </c>
      <c r="G202" s="0" t="n">
        <v>11.5</v>
      </c>
      <c r="H202" s="0" t="n">
        <v>0.56</v>
      </c>
      <c r="I202" s="10" t="n">
        <v>0.696</v>
      </c>
      <c r="J202" s="0" t="n">
        <v>0.92</v>
      </c>
      <c r="K202" s="13" t="n">
        <f aca="false">IF(H202&lt;&gt;"",H202,IFERROR(G202/INDEX(Players!$M$2:$M$124,MATCH(B202,Players!$A$2:$A$124,0)),""))</f>
        <v>0.56</v>
      </c>
    </row>
    <row r="203" customFormat="false" ht="15" hidden="false" customHeight="false" outlineLevel="0" collapsed="false">
      <c r="A203" s="0" t="s">
        <v>1981</v>
      </c>
      <c r="B203" s="0" t="s">
        <v>1477</v>
      </c>
      <c r="C203" s="0" t="s">
        <v>1169</v>
      </c>
      <c r="D203" s="0" t="s">
        <v>988</v>
      </c>
      <c r="E203" s="0" t="s">
        <v>80</v>
      </c>
      <c r="F203" s="0" t="n">
        <v>1</v>
      </c>
      <c r="G203" s="0" t="n">
        <v>12</v>
      </c>
      <c r="H203" s="0" t="n">
        <v>0.5</v>
      </c>
      <c r="I203" s="10" t="n">
        <v>0.5</v>
      </c>
      <c r="J203" s="0" t="n">
        <v>0.75</v>
      </c>
      <c r="K203" s="13" t="n">
        <f aca="false">IF(H203&lt;&gt;"",H203,IFERROR(G203/INDEX(Players!$M$2:$M$124,MATCH(B203,Players!$A$2:$A$124,0)),""))</f>
        <v>0.5</v>
      </c>
    </row>
    <row r="204" customFormat="false" ht="15" hidden="false" customHeight="false" outlineLevel="0" collapsed="false">
      <c r="A204" s="0" t="s">
        <v>1982</v>
      </c>
      <c r="B204" s="0" t="s">
        <v>1492</v>
      </c>
      <c r="C204" s="0" t="s">
        <v>1209</v>
      </c>
      <c r="D204" s="0" t="s">
        <v>988</v>
      </c>
      <c r="E204" s="0" t="s">
        <v>107</v>
      </c>
      <c r="F204" s="0" t="n">
        <v>9</v>
      </c>
      <c r="G204" s="0" t="n">
        <v>12</v>
      </c>
      <c r="H204" s="0" t="n">
        <v>0.57</v>
      </c>
      <c r="I204" s="10" t="n">
        <v>0.611</v>
      </c>
      <c r="J204" s="0" t="n">
        <v>0.92</v>
      </c>
      <c r="K204" s="13" t="n">
        <f aca="false">IF(H204&lt;&gt;"",H204,IFERROR(G204/INDEX(Players!$M$2:$M$124,MATCH(B204,Players!$A$2:$A$124,0)),""))</f>
        <v>0.57</v>
      </c>
    </row>
    <row r="205" customFormat="false" ht="15" hidden="false" customHeight="false" outlineLevel="0" collapsed="false">
      <c r="A205" s="0" t="s">
        <v>1983</v>
      </c>
      <c r="B205" s="0" t="s">
        <v>1492</v>
      </c>
      <c r="C205" s="0" t="s">
        <v>1209</v>
      </c>
      <c r="D205" s="0" t="s">
        <v>988</v>
      </c>
      <c r="E205" s="0" t="s">
        <v>131</v>
      </c>
      <c r="F205" s="0" t="n">
        <v>7</v>
      </c>
      <c r="G205" s="0" t="n">
        <v>16.6</v>
      </c>
      <c r="H205" s="0" t="n">
        <v>0.91</v>
      </c>
      <c r="I205" s="10" t="n">
        <v>0.672</v>
      </c>
      <c r="J205" s="0" t="n">
        <v>1.81</v>
      </c>
      <c r="K205" s="13" t="n">
        <f aca="false">IF(H205&lt;&gt;"",H205,IFERROR(G205/INDEX(Players!$M$2:$M$124,MATCH(B205,Players!$A$2:$A$124,0)),""))</f>
        <v>0.91</v>
      </c>
    </row>
    <row r="206" customFormat="false" ht="15" hidden="false" customHeight="false" outlineLevel="0" collapsed="false">
      <c r="A206" s="0" t="s">
        <v>1984</v>
      </c>
      <c r="B206" s="0" t="s">
        <v>1492</v>
      </c>
      <c r="C206" s="0" t="s">
        <v>1209</v>
      </c>
      <c r="D206" s="0" t="s">
        <v>988</v>
      </c>
      <c r="E206" s="0" t="s">
        <v>94</v>
      </c>
      <c r="F206" s="0" t="n">
        <v>5</v>
      </c>
      <c r="G206" s="0" t="n">
        <v>16.2</v>
      </c>
      <c r="H206" s="0" t="n">
        <v>0.76</v>
      </c>
      <c r="I206" s="10" t="n">
        <v>0.704</v>
      </c>
      <c r="J206" s="0" t="n">
        <v>1.23</v>
      </c>
      <c r="K206" s="13" t="n">
        <f aca="false">IF(H206&lt;&gt;"",H206,IFERROR(G206/INDEX(Players!$M$2:$M$124,MATCH(B206,Players!$A$2:$A$124,0)),""))</f>
        <v>0.76</v>
      </c>
    </row>
    <row r="207" customFormat="false" ht="15" hidden="false" customHeight="false" outlineLevel="0" collapsed="false">
      <c r="A207" s="0" t="s">
        <v>1985</v>
      </c>
      <c r="B207" s="0" t="s">
        <v>1492</v>
      </c>
      <c r="C207" s="0" t="s">
        <v>1209</v>
      </c>
      <c r="D207" s="0" t="s">
        <v>988</v>
      </c>
      <c r="E207" s="0" t="s">
        <v>150</v>
      </c>
      <c r="F207" s="0" t="n">
        <v>4</v>
      </c>
      <c r="G207" s="0" t="n">
        <v>20</v>
      </c>
      <c r="H207" s="0" t="n">
        <v>0.83</v>
      </c>
      <c r="I207" s="10" t="n">
        <v>0.637</v>
      </c>
      <c r="J207" s="0" t="n">
        <v>1.43</v>
      </c>
      <c r="K207" s="13" t="n">
        <f aca="false">IF(H207&lt;&gt;"",H207,IFERROR(G207/INDEX(Players!$M$2:$M$124,MATCH(B207,Players!$A$2:$A$124,0)),""))</f>
        <v>0.83</v>
      </c>
    </row>
    <row r="208" customFormat="false" ht="15" hidden="false" customHeight="false" outlineLevel="0" collapsed="false">
      <c r="A208" s="0" t="s">
        <v>1986</v>
      </c>
      <c r="B208" s="0" t="s">
        <v>1492</v>
      </c>
      <c r="C208" s="0" t="s">
        <v>1209</v>
      </c>
      <c r="D208" s="0" t="s">
        <v>988</v>
      </c>
      <c r="E208" s="0" t="s">
        <v>80</v>
      </c>
      <c r="F208" s="0" t="n">
        <v>4</v>
      </c>
      <c r="G208" s="0" t="n">
        <v>21.8</v>
      </c>
      <c r="H208" s="0" t="n">
        <v>0.74</v>
      </c>
      <c r="I208" s="10" t="n">
        <v>0.655</v>
      </c>
      <c r="J208" s="0" t="n">
        <v>1.19</v>
      </c>
      <c r="K208" s="13" t="n">
        <f aca="false">IF(H208&lt;&gt;"",H208,IFERROR(G208/INDEX(Players!$M$2:$M$124,MATCH(B208,Players!$A$2:$A$124,0)),""))</f>
        <v>0.74</v>
      </c>
    </row>
    <row r="209" customFormat="false" ht="15" hidden="false" customHeight="false" outlineLevel="0" collapsed="false">
      <c r="A209" s="0" t="s">
        <v>1987</v>
      </c>
      <c r="B209" s="0" t="s">
        <v>1492</v>
      </c>
      <c r="C209" s="0" t="s">
        <v>1209</v>
      </c>
      <c r="D209" s="0" t="s">
        <v>988</v>
      </c>
      <c r="E209" s="0" t="s">
        <v>121</v>
      </c>
      <c r="F209" s="0" t="n">
        <v>4</v>
      </c>
      <c r="G209" s="0" t="n">
        <v>13</v>
      </c>
      <c r="H209" s="0" t="n">
        <v>0.66</v>
      </c>
      <c r="I209" s="10" t="n">
        <v>0.654</v>
      </c>
      <c r="J209" s="0" t="n">
        <v>1.08</v>
      </c>
      <c r="K209" s="13" t="n">
        <f aca="false">IF(H209&lt;&gt;"",H209,IFERROR(G209/INDEX(Players!$M$2:$M$124,MATCH(B209,Players!$A$2:$A$124,0)),""))</f>
        <v>0.66</v>
      </c>
    </row>
    <row r="210" customFormat="false" ht="15" hidden="false" customHeight="false" outlineLevel="0" collapsed="false">
      <c r="A210" s="0" t="s">
        <v>1988</v>
      </c>
      <c r="B210" s="0" t="s">
        <v>1540</v>
      </c>
      <c r="C210" s="0" t="s">
        <v>1318</v>
      </c>
      <c r="D210" s="0" t="s">
        <v>988</v>
      </c>
      <c r="E210" s="0" t="s">
        <v>80</v>
      </c>
      <c r="F210" s="0" t="n">
        <v>9</v>
      </c>
      <c r="G210" s="0" t="n">
        <v>11.8</v>
      </c>
      <c r="H210" s="0" t="n">
        <v>0.61</v>
      </c>
      <c r="I210" s="10" t="n">
        <v>0.566</v>
      </c>
      <c r="J210" s="0" t="n">
        <v>0.85</v>
      </c>
      <c r="K210" s="13" t="n">
        <f aca="false">IF(H210&lt;&gt;"",H210,IFERROR(G210/INDEX(Players!$M$2:$M$124,MATCH(B210,Players!$A$2:$A$124,0)),""))</f>
        <v>0.61</v>
      </c>
    </row>
    <row r="211" customFormat="false" ht="15" hidden="false" customHeight="false" outlineLevel="0" collapsed="false">
      <c r="A211" s="0" t="s">
        <v>1989</v>
      </c>
      <c r="B211" s="0" t="s">
        <v>1540</v>
      </c>
      <c r="C211" s="0" t="s">
        <v>1318</v>
      </c>
      <c r="D211" s="0" t="s">
        <v>988</v>
      </c>
      <c r="E211" s="0" t="s">
        <v>150</v>
      </c>
      <c r="F211" s="0" t="n">
        <v>6</v>
      </c>
      <c r="G211" s="0" t="n">
        <v>13.7</v>
      </c>
      <c r="H211" s="0" t="n">
        <v>0.66</v>
      </c>
      <c r="I211" s="10" t="n">
        <v>0.598</v>
      </c>
      <c r="J211" s="0" t="n">
        <v>1.05</v>
      </c>
      <c r="K211" s="13" t="n">
        <f aca="false">IF(H211&lt;&gt;"",H211,IFERROR(G211/INDEX(Players!$M$2:$M$124,MATCH(B211,Players!$A$2:$A$124,0)),""))</f>
        <v>0.66</v>
      </c>
    </row>
    <row r="212" customFormat="false" ht="15" hidden="false" customHeight="false" outlineLevel="0" collapsed="false">
      <c r="A212" s="0" t="s">
        <v>1990</v>
      </c>
      <c r="B212" s="0" t="s">
        <v>1540</v>
      </c>
      <c r="C212" s="0" t="s">
        <v>1318</v>
      </c>
      <c r="D212" s="0" t="s">
        <v>988</v>
      </c>
      <c r="E212" s="0" t="s">
        <v>107</v>
      </c>
      <c r="F212" s="0" t="n">
        <v>6</v>
      </c>
      <c r="G212" s="0" t="n">
        <v>14.8</v>
      </c>
      <c r="H212" s="0" t="n">
        <v>0.74</v>
      </c>
      <c r="I212" s="10" t="n">
        <v>0.652</v>
      </c>
      <c r="J212" s="0" t="n">
        <v>1.03</v>
      </c>
      <c r="K212" s="13" t="n">
        <f aca="false">IF(H212&lt;&gt;"",H212,IFERROR(G212/INDEX(Players!$M$2:$M$124,MATCH(B212,Players!$A$2:$A$124,0)),""))</f>
        <v>0.74</v>
      </c>
    </row>
    <row r="213" customFormat="false" ht="15" hidden="false" customHeight="false" outlineLevel="0" collapsed="false">
      <c r="A213" s="0" t="s">
        <v>1991</v>
      </c>
      <c r="B213" s="0" t="s">
        <v>1540</v>
      </c>
      <c r="C213" s="0" t="s">
        <v>1318</v>
      </c>
      <c r="D213" s="0" t="s">
        <v>988</v>
      </c>
      <c r="E213" s="0" t="s">
        <v>131</v>
      </c>
      <c r="F213" s="0" t="n">
        <v>5</v>
      </c>
      <c r="G213" s="0" t="n">
        <v>11</v>
      </c>
      <c r="H213" s="0" t="n">
        <v>0.56</v>
      </c>
      <c r="I213" s="10" t="n">
        <v>0.655</v>
      </c>
      <c r="J213" s="0" t="n">
        <v>0.86</v>
      </c>
      <c r="K213" s="13" t="n">
        <f aca="false">IF(H213&lt;&gt;"",H213,IFERROR(G213/INDEX(Players!$M$2:$M$124,MATCH(B213,Players!$A$2:$A$124,0)),""))</f>
        <v>0.56</v>
      </c>
    </row>
    <row r="214" customFormat="false" ht="15" hidden="false" customHeight="false" outlineLevel="0" collapsed="false">
      <c r="A214" s="0" t="s">
        <v>1992</v>
      </c>
      <c r="B214" s="0" t="s">
        <v>1540</v>
      </c>
      <c r="C214" s="0" t="s">
        <v>1318</v>
      </c>
      <c r="D214" s="0" t="s">
        <v>988</v>
      </c>
      <c r="E214" s="0" t="s">
        <v>142</v>
      </c>
      <c r="F214" s="0" t="n">
        <v>5</v>
      </c>
      <c r="G214" s="0" t="n">
        <v>13.4</v>
      </c>
      <c r="H214" s="0" t="n">
        <v>0.65</v>
      </c>
      <c r="I214" s="10" t="n">
        <v>0.761</v>
      </c>
      <c r="J214" s="0" t="n">
        <v>0.83</v>
      </c>
      <c r="K214" s="13" t="n">
        <f aca="false">IF(H214&lt;&gt;"",H214,IFERROR(G214/INDEX(Players!$M$2:$M$124,MATCH(B214,Players!$A$2:$A$124,0)),""))</f>
        <v>0.65</v>
      </c>
    </row>
    <row r="215" customFormat="false" ht="15" hidden="false" customHeight="false" outlineLevel="0" collapsed="false">
      <c r="A215" s="0" t="s">
        <v>1993</v>
      </c>
      <c r="B215" s="0" t="s">
        <v>1540</v>
      </c>
      <c r="C215" s="0" t="s">
        <v>1318</v>
      </c>
      <c r="D215" s="0" t="s">
        <v>988</v>
      </c>
      <c r="E215" s="0" t="s">
        <v>121</v>
      </c>
      <c r="F215" s="0" t="n">
        <v>2</v>
      </c>
      <c r="G215" s="0" t="n">
        <v>21</v>
      </c>
      <c r="H215" s="0" t="n">
        <v>0.74</v>
      </c>
      <c r="I215" s="10" t="n">
        <v>0.548</v>
      </c>
      <c r="J215" s="0" t="n">
        <v>1.02</v>
      </c>
      <c r="K215" s="13" t="n">
        <f aca="false">IF(H215&lt;&gt;"",H215,IFERROR(G215/INDEX(Players!$M$2:$M$124,MATCH(B215,Players!$A$2:$A$124,0)),""))</f>
        <v>0.74</v>
      </c>
    </row>
    <row r="216" customFormat="false" ht="15" hidden="false" customHeight="false" outlineLevel="0" collapsed="false">
      <c r="A216" s="0" t="s">
        <v>1994</v>
      </c>
      <c r="B216" s="0" t="s">
        <v>1478</v>
      </c>
      <c r="C216" s="0" t="s">
        <v>1172</v>
      </c>
      <c r="D216" s="0" t="s">
        <v>988</v>
      </c>
      <c r="E216" s="0" t="s">
        <v>121</v>
      </c>
      <c r="F216" s="0" t="n">
        <v>11</v>
      </c>
      <c r="G216" s="0" t="n">
        <v>13</v>
      </c>
      <c r="H216" s="0" t="n">
        <v>0.62</v>
      </c>
      <c r="I216" s="10" t="n">
        <v>0.615</v>
      </c>
      <c r="J216" s="0" t="n">
        <v>0.95</v>
      </c>
      <c r="K216" s="13" t="n">
        <f aca="false">IF(H216&lt;&gt;"",H216,IFERROR(G216/INDEX(Players!$M$2:$M$124,MATCH(B216,Players!$A$2:$A$124,0)),""))</f>
        <v>0.62</v>
      </c>
    </row>
    <row r="217" customFormat="false" ht="15" hidden="false" customHeight="false" outlineLevel="0" collapsed="false">
      <c r="A217" s="0" t="s">
        <v>1995</v>
      </c>
      <c r="B217" s="0" t="s">
        <v>1478</v>
      </c>
      <c r="C217" s="0" t="s">
        <v>1172</v>
      </c>
      <c r="D217" s="0" t="s">
        <v>988</v>
      </c>
      <c r="E217" s="0" t="s">
        <v>142</v>
      </c>
      <c r="F217" s="0" t="n">
        <v>8</v>
      </c>
      <c r="G217" s="0" t="n">
        <v>13.4</v>
      </c>
      <c r="H217" s="0" t="n">
        <v>0.59</v>
      </c>
      <c r="I217" s="10" t="n">
        <v>0.57</v>
      </c>
      <c r="J217" s="0" t="n">
        <v>0.88</v>
      </c>
      <c r="K217" s="13" t="n">
        <f aca="false">IF(H217&lt;&gt;"",H217,IFERROR(G217/INDEX(Players!$M$2:$M$124,MATCH(B217,Players!$A$2:$A$124,0)),""))</f>
        <v>0.59</v>
      </c>
    </row>
    <row r="218" customFormat="false" ht="15" hidden="false" customHeight="false" outlineLevel="0" collapsed="false">
      <c r="A218" s="0" t="s">
        <v>1996</v>
      </c>
      <c r="B218" s="0" t="s">
        <v>1478</v>
      </c>
      <c r="C218" s="0" t="s">
        <v>1172</v>
      </c>
      <c r="D218" s="0" t="s">
        <v>988</v>
      </c>
      <c r="E218" s="0" t="s">
        <v>107</v>
      </c>
      <c r="F218" s="0" t="n">
        <v>7</v>
      </c>
      <c r="G218" s="0" t="n">
        <v>17.3</v>
      </c>
      <c r="H218" s="0" t="n">
        <v>0.74</v>
      </c>
      <c r="I218" s="10" t="n">
        <v>0.562</v>
      </c>
      <c r="J218" s="0" t="n">
        <v>1.11</v>
      </c>
      <c r="K218" s="13" t="n">
        <f aca="false">IF(H218&lt;&gt;"",H218,IFERROR(G218/INDEX(Players!$M$2:$M$124,MATCH(B218,Players!$A$2:$A$124,0)),""))</f>
        <v>0.74</v>
      </c>
    </row>
    <row r="219" customFormat="false" ht="15" hidden="false" customHeight="false" outlineLevel="0" collapsed="false">
      <c r="A219" s="0" t="s">
        <v>1997</v>
      </c>
      <c r="B219" s="0" t="s">
        <v>1478</v>
      </c>
      <c r="C219" s="0" t="s">
        <v>1172</v>
      </c>
      <c r="D219" s="0" t="s">
        <v>988</v>
      </c>
      <c r="E219" s="0" t="s">
        <v>150</v>
      </c>
      <c r="F219" s="0" t="n">
        <v>6</v>
      </c>
      <c r="G219" s="0" t="n">
        <v>14.3</v>
      </c>
      <c r="H219" s="0" t="n">
        <v>0.64</v>
      </c>
      <c r="I219" s="10" t="n">
        <v>0.628</v>
      </c>
      <c r="J219" s="0" t="n">
        <v>0.92</v>
      </c>
      <c r="K219" s="13" t="n">
        <f aca="false">IF(H219&lt;&gt;"",H219,IFERROR(G219/INDEX(Players!$M$2:$M$124,MATCH(B219,Players!$A$2:$A$124,0)),""))</f>
        <v>0.64</v>
      </c>
    </row>
    <row r="220" customFormat="false" ht="15" hidden="false" customHeight="false" outlineLevel="0" collapsed="false">
      <c r="A220" s="0" t="s">
        <v>1998</v>
      </c>
      <c r="B220" s="0" t="s">
        <v>1478</v>
      </c>
      <c r="C220" s="0" t="s">
        <v>1172</v>
      </c>
      <c r="D220" s="0" t="s">
        <v>988</v>
      </c>
      <c r="E220" s="0" t="s">
        <v>94</v>
      </c>
      <c r="F220" s="0" t="n">
        <v>3</v>
      </c>
      <c r="G220" s="0" t="n">
        <v>16.7</v>
      </c>
      <c r="H220" s="0" t="n">
        <v>0.7</v>
      </c>
      <c r="I220" s="10" t="n">
        <v>0.6</v>
      </c>
      <c r="J220" s="0" t="n">
        <v>1.02</v>
      </c>
      <c r="K220" s="13" t="n">
        <f aca="false">IF(H220&lt;&gt;"",H220,IFERROR(G220/INDEX(Players!$M$2:$M$124,MATCH(B220,Players!$A$2:$A$124,0)),""))</f>
        <v>0.7</v>
      </c>
    </row>
    <row r="221" customFormat="false" ht="15" hidden="false" customHeight="false" outlineLevel="0" collapsed="false">
      <c r="A221" s="0" t="s">
        <v>1999</v>
      </c>
      <c r="B221" s="0" t="s">
        <v>1478</v>
      </c>
      <c r="C221" s="0" t="s">
        <v>1172</v>
      </c>
      <c r="D221" s="0" t="s">
        <v>988</v>
      </c>
      <c r="E221" s="0" t="s">
        <v>131</v>
      </c>
      <c r="F221" s="0" t="n">
        <v>2</v>
      </c>
      <c r="G221" s="0" t="n">
        <v>7</v>
      </c>
      <c r="H221" s="0" t="n">
        <v>0.34</v>
      </c>
      <c r="I221" s="10" t="n">
        <v>0.643</v>
      </c>
      <c r="J221" s="0" t="n">
        <v>0.45</v>
      </c>
      <c r="K221" s="13" t="n">
        <f aca="false">IF(H221&lt;&gt;"",H221,IFERROR(G221/INDEX(Players!$M$2:$M$124,MATCH(B221,Players!$A$2:$A$124,0)),""))</f>
        <v>0.34</v>
      </c>
    </row>
    <row r="222" customFormat="false" ht="15" hidden="false" customHeight="false" outlineLevel="0" collapsed="false">
      <c r="A222" s="0" t="s">
        <v>2000</v>
      </c>
      <c r="B222" s="0" t="s">
        <v>1478</v>
      </c>
      <c r="C222" s="0" t="s">
        <v>1172</v>
      </c>
      <c r="D222" s="0" t="s">
        <v>988</v>
      </c>
      <c r="E222" s="0" t="s">
        <v>80</v>
      </c>
      <c r="F222" s="0" t="n">
        <v>1</v>
      </c>
      <c r="G222" s="0" t="n">
        <v>12</v>
      </c>
      <c r="H222" s="0" t="n">
        <v>0.5</v>
      </c>
      <c r="I222" s="10" t="n">
        <v>0.667</v>
      </c>
      <c r="J222" s="0" t="n">
        <v>0.67</v>
      </c>
      <c r="K222" s="13" t="n">
        <f aca="false">IF(H222&lt;&gt;"",H222,IFERROR(G222/INDEX(Players!$M$2:$M$124,MATCH(B222,Players!$A$2:$A$124,0)),""))</f>
        <v>0.5</v>
      </c>
    </row>
    <row r="223" customFormat="false" ht="15" hidden="false" customHeight="false" outlineLevel="0" collapsed="false">
      <c r="A223" s="0" t="s">
        <v>2001</v>
      </c>
      <c r="B223" s="0" t="s">
        <v>1509</v>
      </c>
      <c r="C223" s="0" t="s">
        <v>1253</v>
      </c>
      <c r="D223" s="0" t="s">
        <v>988</v>
      </c>
      <c r="E223" s="0" t="s">
        <v>142</v>
      </c>
      <c r="F223" s="0" t="n">
        <v>10</v>
      </c>
      <c r="G223" s="0" t="n">
        <v>15.5</v>
      </c>
      <c r="H223" s="0" t="n">
        <v>0.72</v>
      </c>
      <c r="I223" s="10" t="n">
        <v>0.503</v>
      </c>
      <c r="J223" s="0" t="n">
        <v>1.11</v>
      </c>
      <c r="K223" s="13" t="n">
        <f aca="false">IF(H223&lt;&gt;"",H223,IFERROR(G223/INDEX(Players!$M$2:$M$124,MATCH(B223,Players!$A$2:$A$124,0)),""))</f>
        <v>0.72</v>
      </c>
    </row>
    <row r="224" customFormat="false" ht="15" hidden="false" customHeight="false" outlineLevel="0" collapsed="false">
      <c r="A224" s="0" t="s">
        <v>2002</v>
      </c>
      <c r="B224" s="0" t="s">
        <v>1509</v>
      </c>
      <c r="C224" s="0" t="s">
        <v>1253</v>
      </c>
      <c r="D224" s="0" t="s">
        <v>988</v>
      </c>
      <c r="E224" s="0" t="s">
        <v>150</v>
      </c>
      <c r="F224" s="0" t="n">
        <v>9</v>
      </c>
      <c r="G224" s="0" t="n">
        <v>13</v>
      </c>
      <c r="H224" s="0" t="n">
        <v>0.62</v>
      </c>
      <c r="I224" s="10" t="n">
        <v>0.444</v>
      </c>
      <c r="J224" s="0" t="n">
        <v>0.85</v>
      </c>
      <c r="K224" s="13" t="n">
        <f aca="false">IF(H224&lt;&gt;"",H224,IFERROR(G224/INDEX(Players!$M$2:$M$124,MATCH(B224,Players!$A$2:$A$124,0)),""))</f>
        <v>0.62</v>
      </c>
    </row>
    <row r="225" customFormat="false" ht="15" hidden="false" customHeight="false" outlineLevel="0" collapsed="false">
      <c r="A225" s="0" t="s">
        <v>2003</v>
      </c>
      <c r="B225" s="0" t="s">
        <v>1509</v>
      </c>
      <c r="C225" s="0" t="s">
        <v>1253</v>
      </c>
      <c r="D225" s="0" t="s">
        <v>988</v>
      </c>
      <c r="E225" s="0" t="s">
        <v>80</v>
      </c>
      <c r="F225" s="0" t="n">
        <v>5</v>
      </c>
      <c r="G225" s="0" t="n">
        <v>13</v>
      </c>
      <c r="H225" s="0" t="n">
        <v>0.63</v>
      </c>
      <c r="I225" s="10" t="n">
        <v>0.523</v>
      </c>
      <c r="J225" s="0" t="n">
        <v>1</v>
      </c>
      <c r="K225" s="13" t="n">
        <f aca="false">IF(H225&lt;&gt;"",H225,IFERROR(G225/INDEX(Players!$M$2:$M$124,MATCH(B225,Players!$A$2:$A$124,0)),""))</f>
        <v>0.63</v>
      </c>
    </row>
    <row r="226" customFormat="false" ht="15" hidden="false" customHeight="false" outlineLevel="0" collapsed="false">
      <c r="A226" s="0" t="s">
        <v>2004</v>
      </c>
      <c r="B226" s="0" t="s">
        <v>1509</v>
      </c>
      <c r="C226" s="0" t="s">
        <v>1253</v>
      </c>
      <c r="D226" s="0" t="s">
        <v>988</v>
      </c>
      <c r="E226" s="0" t="s">
        <v>131</v>
      </c>
      <c r="F226" s="0" t="n">
        <v>4</v>
      </c>
      <c r="G226" s="0" t="n">
        <v>13.5</v>
      </c>
      <c r="H226" s="0" t="n">
        <v>0.64</v>
      </c>
      <c r="I226" s="10" t="n">
        <v>0.389</v>
      </c>
      <c r="J226" s="0" t="n">
        <v>0.95</v>
      </c>
      <c r="K226" s="13" t="n">
        <f aca="false">IF(H226&lt;&gt;"",H226,IFERROR(G226/INDEX(Players!$M$2:$M$124,MATCH(B226,Players!$A$2:$A$124,0)),""))</f>
        <v>0.64</v>
      </c>
    </row>
    <row r="227" customFormat="false" ht="15" hidden="false" customHeight="false" outlineLevel="0" collapsed="false">
      <c r="A227" s="0" t="s">
        <v>2005</v>
      </c>
      <c r="B227" s="0" t="s">
        <v>1509</v>
      </c>
      <c r="C227" s="0" t="s">
        <v>1253</v>
      </c>
      <c r="D227" s="0" t="s">
        <v>988</v>
      </c>
      <c r="E227" s="0" t="s">
        <v>94</v>
      </c>
      <c r="F227" s="0" t="n">
        <v>3</v>
      </c>
      <c r="G227" s="0" t="n">
        <v>13</v>
      </c>
      <c r="H227" s="0" t="n">
        <v>0.57</v>
      </c>
      <c r="I227" s="10" t="n">
        <v>0.462</v>
      </c>
      <c r="J227" s="0" t="n">
        <v>0.85</v>
      </c>
      <c r="K227" s="13" t="n">
        <f aca="false">IF(H227&lt;&gt;"",H227,IFERROR(G227/INDEX(Players!$M$2:$M$124,MATCH(B227,Players!$A$2:$A$124,0)),""))</f>
        <v>0.57</v>
      </c>
    </row>
    <row r="228" customFormat="false" ht="15" hidden="false" customHeight="false" outlineLevel="0" collapsed="false">
      <c r="A228" s="0" t="s">
        <v>2006</v>
      </c>
      <c r="B228" s="0" t="s">
        <v>1509</v>
      </c>
      <c r="C228" s="0" t="s">
        <v>1253</v>
      </c>
      <c r="D228" s="0" t="s">
        <v>988</v>
      </c>
      <c r="E228" s="0" t="s">
        <v>121</v>
      </c>
      <c r="F228" s="0" t="n">
        <v>3</v>
      </c>
      <c r="G228" s="0" t="n">
        <v>11.7</v>
      </c>
      <c r="H228" s="0" t="n">
        <v>0.63</v>
      </c>
      <c r="I228" s="10" t="n">
        <v>0.4</v>
      </c>
      <c r="J228" s="0" t="n">
        <v>0.81</v>
      </c>
      <c r="K228" s="13" t="n">
        <f aca="false">IF(H228&lt;&gt;"",H228,IFERROR(G228/INDEX(Players!$M$2:$M$124,MATCH(B228,Players!$A$2:$A$124,0)),""))</f>
        <v>0.63</v>
      </c>
    </row>
    <row r="229" customFormat="false" ht="15" hidden="false" customHeight="false" outlineLevel="0" collapsed="false">
      <c r="A229" s="0" t="s">
        <v>2007</v>
      </c>
      <c r="B229" s="0" t="s">
        <v>1509</v>
      </c>
      <c r="C229" s="0" t="s">
        <v>1253</v>
      </c>
      <c r="D229" s="0" t="s">
        <v>988</v>
      </c>
      <c r="E229" s="0" t="s">
        <v>107</v>
      </c>
      <c r="F229" s="0" t="n">
        <v>2</v>
      </c>
      <c r="G229" s="0" t="n">
        <v>22.5</v>
      </c>
      <c r="H229" s="0" t="n">
        <v>0.69</v>
      </c>
      <c r="I229" s="10" t="n">
        <v>0.489</v>
      </c>
      <c r="J229" s="0" t="n">
        <v>0.98</v>
      </c>
      <c r="K229" s="13" t="n">
        <f aca="false">IF(H229&lt;&gt;"",H229,IFERROR(G229/INDEX(Players!$M$2:$M$124,MATCH(B229,Players!$A$2:$A$124,0)),""))</f>
        <v>0.69</v>
      </c>
    </row>
    <row r="230" customFormat="false" ht="15" hidden="false" customHeight="false" outlineLevel="0" collapsed="false">
      <c r="A230" s="0" t="s">
        <v>2008</v>
      </c>
      <c r="B230" s="0" t="s">
        <v>1499</v>
      </c>
      <c r="C230" s="0" t="s">
        <v>1225</v>
      </c>
      <c r="D230" s="0" t="s">
        <v>988</v>
      </c>
      <c r="E230" s="0" t="s">
        <v>150</v>
      </c>
      <c r="F230" s="0" t="n">
        <v>9</v>
      </c>
      <c r="G230" s="0" t="n">
        <v>13.8</v>
      </c>
      <c r="H230" s="0" t="n">
        <v>0.6</v>
      </c>
      <c r="I230" s="10" t="n">
        <v>0.556</v>
      </c>
      <c r="J230" s="0" t="n">
        <v>0.89</v>
      </c>
      <c r="K230" s="13" t="n">
        <f aca="false">IF(H230&lt;&gt;"",H230,IFERROR(G230/INDEX(Players!$M$2:$M$124,MATCH(B230,Players!$A$2:$A$124,0)),""))</f>
        <v>0.6</v>
      </c>
    </row>
    <row r="231" customFormat="false" ht="15" hidden="false" customHeight="false" outlineLevel="0" collapsed="false">
      <c r="A231" s="0" t="s">
        <v>2009</v>
      </c>
      <c r="B231" s="0" t="s">
        <v>1499</v>
      </c>
      <c r="C231" s="0" t="s">
        <v>1225</v>
      </c>
      <c r="D231" s="0" t="s">
        <v>988</v>
      </c>
      <c r="E231" s="0" t="s">
        <v>121</v>
      </c>
      <c r="F231" s="0" t="n">
        <v>7</v>
      </c>
      <c r="G231" s="0" t="n">
        <v>13.6</v>
      </c>
      <c r="H231" s="0" t="n">
        <v>0.66</v>
      </c>
      <c r="I231" s="10" t="n">
        <v>0.526</v>
      </c>
      <c r="J231" s="0" t="n">
        <v>1</v>
      </c>
      <c r="K231" s="13" t="n">
        <f aca="false">IF(H231&lt;&gt;"",H231,IFERROR(G231/INDEX(Players!$M$2:$M$124,MATCH(B231,Players!$A$2:$A$124,0)),""))</f>
        <v>0.66</v>
      </c>
    </row>
    <row r="232" customFormat="false" ht="15" hidden="false" customHeight="false" outlineLevel="0" collapsed="false">
      <c r="A232" s="0" t="s">
        <v>2010</v>
      </c>
      <c r="B232" s="0" t="s">
        <v>1499</v>
      </c>
      <c r="C232" s="0" t="s">
        <v>1225</v>
      </c>
      <c r="D232" s="0" t="s">
        <v>988</v>
      </c>
      <c r="E232" s="0" t="s">
        <v>107</v>
      </c>
      <c r="F232" s="0" t="n">
        <v>7</v>
      </c>
      <c r="G232" s="0" t="n">
        <v>9.1</v>
      </c>
      <c r="H232" s="0" t="n">
        <v>0.44</v>
      </c>
      <c r="I232" s="10" t="n">
        <v>0.484</v>
      </c>
      <c r="J232" s="0" t="n">
        <v>0.67</v>
      </c>
      <c r="K232" s="13" t="n">
        <f aca="false">IF(H232&lt;&gt;"",H232,IFERROR(G232/INDEX(Players!$M$2:$M$124,MATCH(B232,Players!$A$2:$A$124,0)),""))</f>
        <v>0.44</v>
      </c>
    </row>
    <row r="233" customFormat="false" ht="15" hidden="false" customHeight="false" outlineLevel="0" collapsed="false">
      <c r="A233" s="0" t="s">
        <v>2011</v>
      </c>
      <c r="B233" s="0" t="s">
        <v>1499</v>
      </c>
      <c r="C233" s="0" t="s">
        <v>1225</v>
      </c>
      <c r="D233" s="0" t="s">
        <v>988</v>
      </c>
      <c r="E233" s="0" t="s">
        <v>80</v>
      </c>
      <c r="F233" s="0" t="n">
        <v>6</v>
      </c>
      <c r="G233" s="0" t="n">
        <v>16.7</v>
      </c>
      <c r="H233" s="0" t="n">
        <v>0.69</v>
      </c>
      <c r="I233" s="10" t="n">
        <v>0.57</v>
      </c>
      <c r="J233" s="0" t="n">
        <v>1.03</v>
      </c>
      <c r="K233" s="13" t="n">
        <f aca="false">IF(H233&lt;&gt;"",H233,IFERROR(G233/INDEX(Players!$M$2:$M$124,MATCH(B233,Players!$A$2:$A$124,0)),""))</f>
        <v>0.69</v>
      </c>
    </row>
    <row r="234" customFormat="false" ht="15" hidden="false" customHeight="false" outlineLevel="0" collapsed="false">
      <c r="A234" s="0" t="s">
        <v>2012</v>
      </c>
      <c r="B234" s="0" t="s">
        <v>1499</v>
      </c>
      <c r="C234" s="0" t="s">
        <v>1225</v>
      </c>
      <c r="D234" s="0" t="s">
        <v>988</v>
      </c>
      <c r="E234" s="0" t="s">
        <v>142</v>
      </c>
      <c r="F234" s="0" t="n">
        <v>4</v>
      </c>
      <c r="G234" s="0" t="n">
        <v>15.8</v>
      </c>
      <c r="H234" s="0" t="n">
        <v>0.69</v>
      </c>
      <c r="I234" s="10" t="n">
        <v>0.587</v>
      </c>
      <c r="J234" s="0" t="n">
        <v>1.13</v>
      </c>
      <c r="K234" s="13" t="n">
        <f aca="false">IF(H234&lt;&gt;"",H234,IFERROR(G234/INDEX(Players!$M$2:$M$124,MATCH(B234,Players!$A$2:$A$124,0)),""))</f>
        <v>0.69</v>
      </c>
    </row>
    <row r="235" customFormat="false" ht="15" hidden="false" customHeight="false" outlineLevel="0" collapsed="false">
      <c r="A235" s="0" t="s">
        <v>2013</v>
      </c>
      <c r="B235" s="0" t="s">
        <v>1499</v>
      </c>
      <c r="C235" s="0" t="s">
        <v>1225</v>
      </c>
      <c r="D235" s="0" t="s">
        <v>988</v>
      </c>
      <c r="E235" s="0" t="s">
        <v>94</v>
      </c>
      <c r="F235" s="0" t="n">
        <v>1</v>
      </c>
      <c r="G235" s="0" t="n">
        <v>10</v>
      </c>
      <c r="H235" s="0" t="n">
        <v>0.5</v>
      </c>
      <c r="I235" s="10" t="n">
        <v>0.4</v>
      </c>
      <c r="J235" s="0" t="n">
        <v>0.63</v>
      </c>
      <c r="K235" s="13" t="n">
        <f aca="false">IF(H235&lt;&gt;"",H235,IFERROR(G235/INDEX(Players!$M$2:$M$124,MATCH(B235,Players!$A$2:$A$124,0)),""))</f>
        <v>0.5</v>
      </c>
    </row>
    <row r="236" customFormat="false" ht="15" hidden="false" customHeight="false" outlineLevel="0" collapsed="false">
      <c r="A236" s="0" t="s">
        <v>2014</v>
      </c>
      <c r="B236" s="0" t="s">
        <v>1554</v>
      </c>
      <c r="C236" s="0" t="s">
        <v>1346</v>
      </c>
      <c r="D236" s="0" t="s">
        <v>988</v>
      </c>
      <c r="E236" s="0" t="s">
        <v>150</v>
      </c>
      <c r="F236" s="0" t="n">
        <v>9</v>
      </c>
      <c r="G236" s="0" t="n">
        <v>15</v>
      </c>
      <c r="H236" s="0" t="n">
        <v>0.76</v>
      </c>
      <c r="I236" s="10" t="n">
        <v>0.585</v>
      </c>
      <c r="J236" s="0" t="n">
        <v>1.31</v>
      </c>
      <c r="K236" s="13" t="n">
        <f aca="false">IF(H236&lt;&gt;"",H236,IFERROR(G236/INDEX(Players!$M$2:$M$124,MATCH(B236,Players!$A$2:$A$124,0)),""))</f>
        <v>0.76</v>
      </c>
    </row>
    <row r="237" customFormat="false" ht="15" hidden="false" customHeight="false" outlineLevel="0" collapsed="false">
      <c r="A237" s="0" t="s">
        <v>2015</v>
      </c>
      <c r="B237" s="0" t="s">
        <v>1554</v>
      </c>
      <c r="C237" s="0" t="s">
        <v>1346</v>
      </c>
      <c r="D237" s="0" t="s">
        <v>988</v>
      </c>
      <c r="E237" s="0" t="s">
        <v>121</v>
      </c>
      <c r="F237" s="0" t="n">
        <v>7</v>
      </c>
      <c r="G237" s="0" t="n">
        <v>14.3</v>
      </c>
      <c r="H237" s="0" t="n">
        <v>0.75</v>
      </c>
      <c r="I237" s="10" t="n">
        <v>0.6</v>
      </c>
      <c r="J237" s="0" t="n">
        <v>1.37</v>
      </c>
      <c r="K237" s="13" t="n">
        <f aca="false">IF(H237&lt;&gt;"",H237,IFERROR(G237/INDEX(Players!$M$2:$M$124,MATCH(B237,Players!$A$2:$A$124,0)),""))</f>
        <v>0.75</v>
      </c>
    </row>
    <row r="238" customFormat="false" ht="15" hidden="false" customHeight="false" outlineLevel="0" collapsed="false">
      <c r="A238" s="0" t="s">
        <v>2016</v>
      </c>
      <c r="B238" s="0" t="s">
        <v>1554</v>
      </c>
      <c r="C238" s="0" t="s">
        <v>1346</v>
      </c>
      <c r="D238" s="0" t="s">
        <v>988</v>
      </c>
      <c r="E238" s="0" t="s">
        <v>142</v>
      </c>
      <c r="F238" s="0" t="n">
        <v>6</v>
      </c>
      <c r="G238" s="0" t="n">
        <v>17.7</v>
      </c>
      <c r="H238" s="0" t="n">
        <v>0.88</v>
      </c>
      <c r="I238" s="10" t="n">
        <v>0.698</v>
      </c>
      <c r="J238" s="0" t="n">
        <v>1.49</v>
      </c>
      <c r="K238" s="13" t="n">
        <f aca="false">IF(H238&lt;&gt;"",H238,IFERROR(G238/INDEX(Players!$M$2:$M$124,MATCH(B238,Players!$A$2:$A$124,0)),""))</f>
        <v>0.88</v>
      </c>
    </row>
    <row r="239" customFormat="false" ht="15" hidden="false" customHeight="false" outlineLevel="0" collapsed="false">
      <c r="A239" s="0" t="s">
        <v>2017</v>
      </c>
      <c r="B239" s="0" t="s">
        <v>1554</v>
      </c>
      <c r="C239" s="0" t="s">
        <v>1346</v>
      </c>
      <c r="D239" s="0" t="s">
        <v>988</v>
      </c>
      <c r="E239" s="0" t="s">
        <v>131</v>
      </c>
      <c r="F239" s="0" t="n">
        <v>4</v>
      </c>
      <c r="G239" s="0" t="n">
        <v>16.5</v>
      </c>
      <c r="H239" s="0" t="n">
        <v>0.88</v>
      </c>
      <c r="I239" s="10" t="n">
        <v>0.697</v>
      </c>
      <c r="J239" s="0" t="n">
        <v>1.47</v>
      </c>
      <c r="K239" s="13" t="n">
        <f aca="false">IF(H239&lt;&gt;"",H239,IFERROR(G239/INDEX(Players!$M$2:$M$124,MATCH(B239,Players!$A$2:$A$124,0)),""))</f>
        <v>0.88</v>
      </c>
    </row>
    <row r="240" customFormat="false" ht="15" hidden="false" customHeight="false" outlineLevel="0" collapsed="false">
      <c r="A240" s="0" t="s">
        <v>2018</v>
      </c>
      <c r="B240" s="0" t="s">
        <v>1554</v>
      </c>
      <c r="C240" s="0" t="s">
        <v>1346</v>
      </c>
      <c r="D240" s="0" t="s">
        <v>988</v>
      </c>
      <c r="E240" s="0" t="s">
        <v>80</v>
      </c>
      <c r="F240" s="0" t="n">
        <v>4</v>
      </c>
      <c r="G240" s="0" t="n">
        <v>11</v>
      </c>
      <c r="H240" s="0" t="n">
        <v>0.49</v>
      </c>
      <c r="I240" s="10" t="n">
        <v>0.591</v>
      </c>
      <c r="J240" s="0" t="n">
        <v>0.75</v>
      </c>
      <c r="K240" s="13" t="n">
        <f aca="false">IF(H240&lt;&gt;"",H240,IFERROR(G240/INDEX(Players!$M$2:$M$124,MATCH(B240,Players!$A$2:$A$124,0)),""))</f>
        <v>0.49</v>
      </c>
    </row>
    <row r="241" customFormat="false" ht="15" hidden="false" customHeight="false" outlineLevel="0" collapsed="false">
      <c r="A241" s="0" t="s">
        <v>2019</v>
      </c>
      <c r="B241" s="0" t="s">
        <v>1554</v>
      </c>
      <c r="C241" s="0" t="s">
        <v>1346</v>
      </c>
      <c r="D241" s="0" t="s">
        <v>988</v>
      </c>
      <c r="E241" s="0" t="s">
        <v>94</v>
      </c>
      <c r="F241" s="0" t="n">
        <v>2</v>
      </c>
      <c r="G241" s="0" t="n">
        <v>10.5</v>
      </c>
      <c r="H241" s="0" t="n">
        <v>0.51</v>
      </c>
      <c r="I241" s="10" t="n">
        <v>0.619</v>
      </c>
      <c r="J241" s="0" t="n">
        <v>0.64</v>
      </c>
      <c r="K241" s="13" t="n">
        <f aca="false">IF(H241&lt;&gt;"",H241,IFERROR(G241/INDEX(Players!$M$2:$M$124,MATCH(B241,Players!$A$2:$A$124,0)),""))</f>
        <v>0.51</v>
      </c>
    </row>
    <row r="242" customFormat="false" ht="15" hidden="false" customHeight="false" outlineLevel="0" collapsed="false">
      <c r="A242" s="0" t="s">
        <v>2020</v>
      </c>
      <c r="B242" s="0" t="s">
        <v>1555</v>
      </c>
      <c r="C242" s="0" t="s">
        <v>1348</v>
      </c>
      <c r="D242" s="0" t="s">
        <v>988</v>
      </c>
      <c r="E242" s="0" t="s">
        <v>150</v>
      </c>
      <c r="F242" s="0" t="n">
        <v>9</v>
      </c>
      <c r="G242" s="0" t="n">
        <v>12.8</v>
      </c>
      <c r="H242" s="0" t="n">
        <v>0.65</v>
      </c>
      <c r="I242" s="10" t="n">
        <v>0.313</v>
      </c>
      <c r="J242" s="0" t="n">
        <v>1.1</v>
      </c>
      <c r="K242" s="13" t="n">
        <f aca="false">IF(H242&lt;&gt;"",H242,IFERROR(G242/INDEX(Players!$M$2:$M$124,MATCH(B242,Players!$A$2:$A$124,0)),""))</f>
        <v>0.65</v>
      </c>
    </row>
    <row r="243" customFormat="false" ht="15" hidden="false" customHeight="false" outlineLevel="0" collapsed="false">
      <c r="A243" s="0" t="s">
        <v>2021</v>
      </c>
      <c r="B243" s="0" t="s">
        <v>1555</v>
      </c>
      <c r="C243" s="0" t="s">
        <v>1348</v>
      </c>
      <c r="D243" s="0" t="s">
        <v>988</v>
      </c>
      <c r="E243" s="0" t="s">
        <v>121</v>
      </c>
      <c r="F243" s="0" t="n">
        <v>7</v>
      </c>
      <c r="G243" s="0" t="n">
        <v>13.9</v>
      </c>
      <c r="H243" s="0" t="n">
        <v>0.73</v>
      </c>
      <c r="I243" s="10" t="n">
        <v>0.351</v>
      </c>
      <c r="J243" s="0" t="n">
        <v>1.24</v>
      </c>
      <c r="K243" s="13" t="n">
        <f aca="false">IF(H243&lt;&gt;"",H243,IFERROR(G243/INDEX(Players!$M$2:$M$124,MATCH(B243,Players!$A$2:$A$124,0)),""))</f>
        <v>0.73</v>
      </c>
    </row>
    <row r="244" customFormat="false" ht="15" hidden="false" customHeight="false" outlineLevel="0" collapsed="false">
      <c r="A244" s="0" t="s">
        <v>2022</v>
      </c>
      <c r="B244" s="0" t="s">
        <v>1555</v>
      </c>
      <c r="C244" s="0" t="s">
        <v>1348</v>
      </c>
      <c r="D244" s="0" t="s">
        <v>988</v>
      </c>
      <c r="E244" s="0" t="s">
        <v>142</v>
      </c>
      <c r="F244" s="0" t="n">
        <v>6</v>
      </c>
      <c r="G244" s="0" t="n">
        <v>15.3</v>
      </c>
      <c r="H244" s="0" t="n">
        <v>0.76</v>
      </c>
      <c r="I244" s="10" t="n">
        <v>0.359</v>
      </c>
      <c r="J244" s="0" t="n">
        <v>1.33</v>
      </c>
      <c r="K244" s="13" t="n">
        <f aca="false">IF(H244&lt;&gt;"",H244,IFERROR(G244/INDEX(Players!$M$2:$M$124,MATCH(B244,Players!$A$2:$A$124,0)),""))</f>
        <v>0.76</v>
      </c>
    </row>
    <row r="245" customFormat="false" ht="15" hidden="false" customHeight="false" outlineLevel="0" collapsed="false">
      <c r="A245" s="0" t="s">
        <v>2023</v>
      </c>
      <c r="B245" s="0" t="s">
        <v>1555</v>
      </c>
      <c r="C245" s="0" t="s">
        <v>1348</v>
      </c>
      <c r="D245" s="0" t="s">
        <v>988</v>
      </c>
      <c r="E245" s="0" t="s">
        <v>131</v>
      </c>
      <c r="F245" s="0" t="n">
        <v>4</v>
      </c>
      <c r="G245" s="0" t="n">
        <v>12.3</v>
      </c>
      <c r="H245" s="0" t="n">
        <v>0.65</v>
      </c>
      <c r="I245" s="10" t="n">
        <v>0.306</v>
      </c>
      <c r="J245" s="0" t="n">
        <v>0.98</v>
      </c>
      <c r="K245" s="13" t="n">
        <f aca="false">IF(H245&lt;&gt;"",H245,IFERROR(G245/INDEX(Players!$M$2:$M$124,MATCH(B245,Players!$A$2:$A$124,0)),""))</f>
        <v>0.65</v>
      </c>
    </row>
    <row r="246" customFormat="false" ht="15" hidden="false" customHeight="false" outlineLevel="0" collapsed="false">
      <c r="A246" s="0" t="s">
        <v>2024</v>
      </c>
      <c r="B246" s="0" t="s">
        <v>1555</v>
      </c>
      <c r="C246" s="0" t="s">
        <v>1348</v>
      </c>
      <c r="D246" s="0" t="s">
        <v>988</v>
      </c>
      <c r="E246" s="0" t="s">
        <v>80</v>
      </c>
      <c r="F246" s="0" t="n">
        <v>4</v>
      </c>
      <c r="G246" s="0" t="n">
        <v>12.5</v>
      </c>
      <c r="H246" s="0" t="n">
        <v>0.56</v>
      </c>
      <c r="I246" s="10" t="n">
        <v>0.36</v>
      </c>
      <c r="J246" s="0" t="n">
        <v>0.86</v>
      </c>
      <c r="K246" s="13" t="n">
        <f aca="false">IF(H246&lt;&gt;"",H246,IFERROR(G246/INDEX(Players!$M$2:$M$124,MATCH(B246,Players!$A$2:$A$124,0)),""))</f>
        <v>0.56</v>
      </c>
    </row>
    <row r="247" customFormat="false" ht="15" hidden="false" customHeight="false" outlineLevel="0" collapsed="false">
      <c r="A247" s="0" t="s">
        <v>2025</v>
      </c>
      <c r="B247" s="0" t="s">
        <v>1555</v>
      </c>
      <c r="C247" s="0" t="s">
        <v>1348</v>
      </c>
      <c r="D247" s="0" t="s">
        <v>988</v>
      </c>
      <c r="E247" s="0" t="s">
        <v>94</v>
      </c>
      <c r="F247" s="0" t="n">
        <v>2</v>
      </c>
      <c r="G247" s="0" t="n">
        <v>15.5</v>
      </c>
      <c r="H247" s="0" t="n">
        <v>0.76</v>
      </c>
      <c r="I247" s="10" t="n">
        <v>0.226</v>
      </c>
      <c r="J247" s="0" t="n">
        <v>1</v>
      </c>
      <c r="K247" s="13" t="n">
        <f aca="false">IF(H247&lt;&gt;"",H247,IFERROR(G247/INDEX(Players!$M$2:$M$124,MATCH(B247,Players!$A$2:$A$124,0)),""))</f>
        <v>0.76</v>
      </c>
    </row>
    <row r="248" customFormat="false" ht="15" hidden="false" customHeight="false" outlineLevel="0" collapsed="false">
      <c r="A248" s="0" t="s">
        <v>2026</v>
      </c>
      <c r="B248" s="0" t="s">
        <v>1472</v>
      </c>
      <c r="C248" s="0" t="s">
        <v>1151</v>
      </c>
      <c r="D248" s="0" t="s">
        <v>988</v>
      </c>
      <c r="E248" s="0" t="s">
        <v>107</v>
      </c>
      <c r="F248" s="0" t="n">
        <v>8</v>
      </c>
      <c r="G248" s="0" t="n">
        <v>16.5</v>
      </c>
      <c r="H248" s="0" t="n">
        <v>0.73</v>
      </c>
      <c r="I248" s="10" t="n">
        <v>0.606</v>
      </c>
      <c r="J248" s="0" t="n">
        <v>1.21</v>
      </c>
      <c r="K248" s="13" t="n">
        <f aca="false">IF(H248&lt;&gt;"",H248,IFERROR(G248/INDEX(Players!$M$2:$M$124,MATCH(B248,Players!$A$2:$A$124,0)),""))</f>
        <v>0.73</v>
      </c>
    </row>
    <row r="249" customFormat="false" ht="15" hidden="false" customHeight="false" outlineLevel="0" collapsed="false">
      <c r="A249" s="0" t="s">
        <v>2027</v>
      </c>
      <c r="B249" s="0" t="s">
        <v>1472</v>
      </c>
      <c r="C249" s="0" t="s">
        <v>1151</v>
      </c>
      <c r="D249" s="0" t="s">
        <v>988</v>
      </c>
      <c r="E249" s="0" t="s">
        <v>94</v>
      </c>
      <c r="F249" s="0" t="n">
        <v>7</v>
      </c>
      <c r="G249" s="0" t="n">
        <v>15.9</v>
      </c>
      <c r="H249" s="0" t="n">
        <v>0.8</v>
      </c>
      <c r="I249" s="10" t="n">
        <v>0.577</v>
      </c>
      <c r="J249" s="0" t="n">
        <v>1.28</v>
      </c>
      <c r="K249" s="13" t="n">
        <f aca="false">IF(H249&lt;&gt;"",H249,IFERROR(G249/INDEX(Players!$M$2:$M$124,MATCH(B249,Players!$A$2:$A$124,0)),""))</f>
        <v>0.8</v>
      </c>
    </row>
    <row r="250" customFormat="false" ht="15" hidden="false" customHeight="false" outlineLevel="0" collapsed="false">
      <c r="A250" s="0" t="s">
        <v>2028</v>
      </c>
      <c r="B250" s="0" t="s">
        <v>1472</v>
      </c>
      <c r="C250" s="0" t="s">
        <v>1151</v>
      </c>
      <c r="D250" s="0" t="s">
        <v>988</v>
      </c>
      <c r="E250" s="0" t="s">
        <v>150</v>
      </c>
      <c r="F250" s="0" t="n">
        <v>7</v>
      </c>
      <c r="G250" s="0" t="n">
        <v>11.3</v>
      </c>
      <c r="H250" s="0" t="n">
        <v>0.56</v>
      </c>
      <c r="I250" s="10" t="n">
        <v>0.519</v>
      </c>
      <c r="J250" s="0" t="n">
        <v>0.88</v>
      </c>
      <c r="K250" s="13" t="n">
        <f aca="false">IF(H250&lt;&gt;"",H250,IFERROR(G250/INDEX(Players!$M$2:$M$124,MATCH(B250,Players!$A$2:$A$124,0)),""))</f>
        <v>0.56</v>
      </c>
    </row>
    <row r="251" customFormat="false" ht="15" hidden="false" customHeight="false" outlineLevel="0" collapsed="false">
      <c r="A251" s="0" t="s">
        <v>2029</v>
      </c>
      <c r="B251" s="0" t="s">
        <v>1472</v>
      </c>
      <c r="C251" s="0" t="s">
        <v>1151</v>
      </c>
      <c r="D251" s="0" t="s">
        <v>988</v>
      </c>
      <c r="E251" s="0" t="s">
        <v>142</v>
      </c>
      <c r="F251" s="0" t="n">
        <v>6</v>
      </c>
      <c r="G251" s="0" t="n">
        <v>16.3</v>
      </c>
      <c r="H251" s="0" t="n">
        <v>0.7</v>
      </c>
      <c r="I251" s="10" t="n">
        <v>0.571</v>
      </c>
      <c r="J251" s="0" t="n">
        <v>1.2</v>
      </c>
      <c r="K251" s="13" t="n">
        <f aca="false">IF(H251&lt;&gt;"",H251,IFERROR(G251/INDEX(Players!$M$2:$M$124,MATCH(B251,Players!$A$2:$A$124,0)),""))</f>
        <v>0.7</v>
      </c>
    </row>
    <row r="252" customFormat="false" ht="15" hidden="false" customHeight="false" outlineLevel="0" collapsed="false">
      <c r="A252" s="0" t="s">
        <v>2030</v>
      </c>
      <c r="B252" s="0" t="s">
        <v>1472</v>
      </c>
      <c r="C252" s="0" t="s">
        <v>1151</v>
      </c>
      <c r="D252" s="0" t="s">
        <v>988</v>
      </c>
      <c r="E252" s="0" t="s">
        <v>80</v>
      </c>
      <c r="F252" s="0" t="n">
        <v>6</v>
      </c>
      <c r="G252" s="0" t="n">
        <v>13.8</v>
      </c>
      <c r="H252" s="0" t="n">
        <v>0.73</v>
      </c>
      <c r="I252" s="10" t="n">
        <v>0.627</v>
      </c>
      <c r="J252" s="0" t="n">
        <v>1.08</v>
      </c>
      <c r="K252" s="13" t="n">
        <f aca="false">IF(H252&lt;&gt;"",H252,IFERROR(G252/INDEX(Players!$M$2:$M$124,MATCH(B252,Players!$A$2:$A$124,0)),""))</f>
        <v>0.73</v>
      </c>
    </row>
    <row r="253" customFormat="false" ht="15" hidden="false" customHeight="false" outlineLevel="0" collapsed="false">
      <c r="A253" s="0" t="s">
        <v>2031</v>
      </c>
      <c r="B253" s="0" t="s">
        <v>1472</v>
      </c>
      <c r="C253" s="0" t="s">
        <v>1151</v>
      </c>
      <c r="D253" s="0" t="s">
        <v>988</v>
      </c>
      <c r="E253" s="0" t="s">
        <v>131</v>
      </c>
      <c r="F253" s="0" t="n">
        <v>4</v>
      </c>
      <c r="G253" s="0" t="n">
        <v>11</v>
      </c>
      <c r="H253" s="0" t="n">
        <v>0.51</v>
      </c>
      <c r="I253" s="10" t="n">
        <v>0.5</v>
      </c>
      <c r="J253" s="0" t="n">
        <v>0.88</v>
      </c>
      <c r="K253" s="13" t="n">
        <f aca="false">IF(H253&lt;&gt;"",H253,IFERROR(G253/INDEX(Players!$M$2:$M$124,MATCH(B253,Players!$A$2:$A$124,0)),""))</f>
        <v>0.51</v>
      </c>
    </row>
    <row r="254" customFormat="false" ht="15" hidden="false" customHeight="false" outlineLevel="0" collapsed="false">
      <c r="A254" s="0" t="s">
        <v>2032</v>
      </c>
      <c r="B254" s="0" t="s">
        <v>1565</v>
      </c>
      <c r="C254" s="0" t="s">
        <v>1373</v>
      </c>
      <c r="D254" s="0" t="s">
        <v>988</v>
      </c>
      <c r="E254" s="0" t="s">
        <v>150</v>
      </c>
      <c r="F254" s="0" t="n">
        <v>7</v>
      </c>
      <c r="G254" s="0" t="n">
        <v>14.7</v>
      </c>
      <c r="H254" s="0" t="n">
        <v>0.73</v>
      </c>
      <c r="I254" s="10" t="n">
        <v>0.534</v>
      </c>
      <c r="J254" s="0" t="n">
        <v>1.11</v>
      </c>
      <c r="K254" s="13" t="n">
        <f aca="false">IF(H254&lt;&gt;"",H254,IFERROR(G254/INDEX(Players!$M$2:$M$124,MATCH(B254,Players!$A$2:$A$124,0)),""))</f>
        <v>0.73</v>
      </c>
    </row>
    <row r="255" customFormat="false" ht="15" hidden="false" customHeight="false" outlineLevel="0" collapsed="false">
      <c r="A255" s="0" t="s">
        <v>2033</v>
      </c>
      <c r="B255" s="0" t="s">
        <v>1565</v>
      </c>
      <c r="C255" s="0" t="s">
        <v>1373</v>
      </c>
      <c r="D255" s="0" t="s">
        <v>988</v>
      </c>
      <c r="E255" s="0" t="s">
        <v>107</v>
      </c>
      <c r="F255" s="0" t="n">
        <v>6</v>
      </c>
      <c r="G255" s="0" t="n">
        <v>13.5</v>
      </c>
      <c r="H255" s="0" t="n">
        <v>0.69</v>
      </c>
      <c r="I255" s="10" t="n">
        <v>0.63</v>
      </c>
      <c r="J255" s="0" t="n">
        <v>1.21</v>
      </c>
      <c r="K255" s="13" t="n">
        <f aca="false">IF(H255&lt;&gt;"",H255,IFERROR(G255/INDEX(Players!$M$2:$M$124,MATCH(B255,Players!$A$2:$A$124,0)),""))</f>
        <v>0.69</v>
      </c>
    </row>
    <row r="256" customFormat="false" ht="15" hidden="false" customHeight="false" outlineLevel="0" collapsed="false">
      <c r="A256" s="0" t="s">
        <v>2034</v>
      </c>
      <c r="B256" s="0" t="s">
        <v>1565</v>
      </c>
      <c r="C256" s="0" t="s">
        <v>1373</v>
      </c>
      <c r="D256" s="0" t="s">
        <v>988</v>
      </c>
      <c r="E256" s="0" t="s">
        <v>80</v>
      </c>
      <c r="F256" s="0" t="n">
        <v>6</v>
      </c>
      <c r="G256" s="0" t="n">
        <v>12.7</v>
      </c>
      <c r="H256" s="0" t="n">
        <v>0.6</v>
      </c>
      <c r="I256" s="10" t="n">
        <v>0.579</v>
      </c>
      <c r="J256" s="0" t="n">
        <v>0.94</v>
      </c>
      <c r="K256" s="13" t="n">
        <f aca="false">IF(H256&lt;&gt;"",H256,IFERROR(G256/INDEX(Players!$M$2:$M$124,MATCH(B256,Players!$A$2:$A$124,0)),""))</f>
        <v>0.6</v>
      </c>
    </row>
    <row r="257" customFormat="false" ht="15" hidden="false" customHeight="false" outlineLevel="0" collapsed="false">
      <c r="A257" s="0" t="s">
        <v>2035</v>
      </c>
      <c r="B257" s="0" t="s">
        <v>1565</v>
      </c>
      <c r="C257" s="0" t="s">
        <v>1373</v>
      </c>
      <c r="D257" s="0" t="s">
        <v>988</v>
      </c>
      <c r="E257" s="0" t="s">
        <v>1599</v>
      </c>
      <c r="F257" s="0" t="n">
        <v>4</v>
      </c>
      <c r="G257" s="0" t="n">
        <v>13.8</v>
      </c>
      <c r="H257" s="0" t="n">
        <v>0.75</v>
      </c>
      <c r="I257" s="10" t="n">
        <v>0.527</v>
      </c>
      <c r="J257" s="0" t="n">
        <v>1.28</v>
      </c>
      <c r="K257" s="13" t="n">
        <f aca="false">IF(H257&lt;&gt;"",H257,IFERROR(G257/INDEX(Players!$M$2:$M$124,MATCH(B257,Players!$A$2:$A$124,0)),""))</f>
        <v>0.75</v>
      </c>
    </row>
    <row r="258" customFormat="false" ht="15" hidden="false" customHeight="false" outlineLevel="0" collapsed="false">
      <c r="A258" s="0" t="s">
        <v>2036</v>
      </c>
      <c r="B258" s="0" t="s">
        <v>1565</v>
      </c>
      <c r="C258" s="0" t="s">
        <v>1373</v>
      </c>
      <c r="D258" s="0" t="s">
        <v>988</v>
      </c>
      <c r="E258" s="0" t="s">
        <v>121</v>
      </c>
      <c r="F258" s="0" t="n">
        <v>3</v>
      </c>
      <c r="G258" s="0" t="n">
        <v>17.3</v>
      </c>
      <c r="H258" s="0" t="n">
        <v>0.66</v>
      </c>
      <c r="I258" s="10" t="n">
        <v>0.481</v>
      </c>
      <c r="J258" s="0" t="n">
        <v>1.08</v>
      </c>
      <c r="K258" s="13" t="n">
        <f aca="false">IF(H258&lt;&gt;"",H258,IFERROR(G258/INDEX(Players!$M$2:$M$124,MATCH(B258,Players!$A$2:$A$124,0)),""))</f>
        <v>0.66</v>
      </c>
    </row>
    <row r="259" customFormat="false" ht="15" hidden="false" customHeight="false" outlineLevel="0" collapsed="false">
      <c r="A259" s="0" t="s">
        <v>2037</v>
      </c>
      <c r="B259" s="0" t="s">
        <v>1565</v>
      </c>
      <c r="C259" s="0" t="s">
        <v>1373</v>
      </c>
      <c r="D259" s="0" t="s">
        <v>988</v>
      </c>
      <c r="E259" s="0" t="s">
        <v>131</v>
      </c>
      <c r="F259" s="0" t="n">
        <v>3</v>
      </c>
      <c r="G259" s="0" t="n">
        <v>14.7</v>
      </c>
      <c r="H259" s="0" t="n">
        <v>0.58</v>
      </c>
      <c r="I259" s="10" t="n">
        <v>0.523</v>
      </c>
      <c r="J259" s="0" t="n">
        <v>0.96</v>
      </c>
      <c r="K259" s="13" t="n">
        <f aca="false">IF(H259&lt;&gt;"",H259,IFERROR(G259/INDEX(Players!$M$2:$M$124,MATCH(B259,Players!$A$2:$A$124,0)),""))</f>
        <v>0.58</v>
      </c>
    </row>
    <row r="260" customFormat="false" ht="15" hidden="false" customHeight="false" outlineLevel="0" collapsed="false">
      <c r="A260" s="0" t="s">
        <v>2038</v>
      </c>
      <c r="B260" s="0" t="s">
        <v>1565</v>
      </c>
      <c r="C260" s="0" t="s">
        <v>1373</v>
      </c>
      <c r="D260" s="0" t="s">
        <v>988</v>
      </c>
      <c r="E260" s="0" t="s">
        <v>142</v>
      </c>
      <c r="F260" s="0" t="n">
        <v>3</v>
      </c>
      <c r="G260" s="0" t="n">
        <v>10.7</v>
      </c>
      <c r="H260" s="0" t="n">
        <v>0.48</v>
      </c>
      <c r="I260" s="10" t="n">
        <v>0.656</v>
      </c>
      <c r="J260" s="0" t="n">
        <v>0.76</v>
      </c>
      <c r="K260" s="13" t="n">
        <f aca="false">IF(H260&lt;&gt;"",H260,IFERROR(G260/INDEX(Players!$M$2:$M$124,MATCH(B260,Players!$A$2:$A$124,0)),""))</f>
        <v>0.48</v>
      </c>
    </row>
    <row r="261" customFormat="false" ht="15" hidden="false" customHeight="false" outlineLevel="0" collapsed="false">
      <c r="A261" s="0" t="s">
        <v>2039</v>
      </c>
      <c r="B261" s="0" t="s">
        <v>1565</v>
      </c>
      <c r="C261" s="0" t="s">
        <v>1373</v>
      </c>
      <c r="D261" s="0" t="s">
        <v>988</v>
      </c>
      <c r="E261" s="0" t="s">
        <v>94</v>
      </c>
      <c r="F261" s="0" t="n">
        <v>2</v>
      </c>
      <c r="G261" s="0" t="n">
        <v>14.5</v>
      </c>
      <c r="H261" s="0" t="n">
        <v>0.71</v>
      </c>
      <c r="I261" s="10" t="n">
        <v>0.414</v>
      </c>
      <c r="J261" s="0" t="n">
        <v>1.21</v>
      </c>
      <c r="K261" s="13" t="n">
        <f aca="false">IF(H261&lt;&gt;"",H261,IFERROR(G261/INDEX(Players!$M$2:$M$124,MATCH(B261,Players!$A$2:$A$124,0)),""))</f>
        <v>0.71</v>
      </c>
    </row>
    <row r="262" customFormat="false" ht="15" hidden="false" customHeight="false" outlineLevel="0" collapsed="false">
      <c r="A262" s="0" t="s">
        <v>2040</v>
      </c>
      <c r="B262" s="0" t="s">
        <v>1518</v>
      </c>
      <c r="C262" s="0" t="s">
        <v>1273</v>
      </c>
      <c r="D262" s="0" t="s">
        <v>988</v>
      </c>
      <c r="E262" s="0" t="s">
        <v>150</v>
      </c>
      <c r="F262" s="0" t="n">
        <v>7</v>
      </c>
      <c r="G262" s="0" t="n">
        <v>17.1</v>
      </c>
      <c r="H262" s="0" t="n">
        <v>0.72</v>
      </c>
      <c r="I262" s="10" t="n">
        <v>0.3</v>
      </c>
      <c r="J262" s="0" t="n">
        <v>1.25</v>
      </c>
      <c r="K262" s="13" t="n">
        <f aca="false">IF(H262&lt;&gt;"",H262,IFERROR(G262/INDEX(Players!$M$2:$M$124,MATCH(B262,Players!$A$2:$A$124,0)),""))</f>
        <v>0.72</v>
      </c>
    </row>
    <row r="263" customFormat="false" ht="15" hidden="false" customHeight="false" outlineLevel="0" collapsed="false">
      <c r="A263" s="0" t="s">
        <v>2041</v>
      </c>
      <c r="B263" s="0" t="s">
        <v>1518</v>
      </c>
      <c r="C263" s="0" t="s">
        <v>1273</v>
      </c>
      <c r="D263" s="0" t="s">
        <v>988</v>
      </c>
      <c r="E263" s="0" t="s">
        <v>131</v>
      </c>
      <c r="F263" s="0" t="n">
        <v>7</v>
      </c>
      <c r="G263" s="0" t="n">
        <v>14.7</v>
      </c>
      <c r="H263" s="0" t="n">
        <v>0.66</v>
      </c>
      <c r="I263" s="10" t="n">
        <v>0.398</v>
      </c>
      <c r="J263" s="0" t="n">
        <v>1.13</v>
      </c>
      <c r="K263" s="13" t="n">
        <f aca="false">IF(H263&lt;&gt;"",H263,IFERROR(G263/INDEX(Players!$M$2:$M$124,MATCH(B263,Players!$A$2:$A$124,0)),""))</f>
        <v>0.66</v>
      </c>
    </row>
    <row r="264" customFormat="false" ht="15" hidden="false" customHeight="false" outlineLevel="0" collapsed="false">
      <c r="A264" s="0" t="s">
        <v>2042</v>
      </c>
      <c r="B264" s="0" t="s">
        <v>1518</v>
      </c>
      <c r="C264" s="0" t="s">
        <v>1273</v>
      </c>
      <c r="D264" s="0" t="s">
        <v>988</v>
      </c>
      <c r="E264" s="0" t="s">
        <v>142</v>
      </c>
      <c r="F264" s="0" t="n">
        <v>5</v>
      </c>
      <c r="G264" s="0" t="n">
        <v>14.2</v>
      </c>
      <c r="H264" s="0" t="n">
        <v>0.7</v>
      </c>
      <c r="I264" s="10" t="n">
        <v>0.296</v>
      </c>
      <c r="J264" s="0" t="n">
        <v>1.31</v>
      </c>
      <c r="K264" s="13" t="n">
        <f aca="false">IF(H264&lt;&gt;"",H264,IFERROR(G264/INDEX(Players!$M$2:$M$124,MATCH(B264,Players!$A$2:$A$124,0)),""))</f>
        <v>0.7</v>
      </c>
    </row>
    <row r="265" customFormat="false" ht="15" hidden="false" customHeight="false" outlineLevel="0" collapsed="false">
      <c r="A265" s="0" t="s">
        <v>2043</v>
      </c>
      <c r="B265" s="0" t="s">
        <v>1518</v>
      </c>
      <c r="C265" s="0" t="s">
        <v>1273</v>
      </c>
      <c r="D265" s="0" t="s">
        <v>988</v>
      </c>
      <c r="E265" s="0" t="s">
        <v>80</v>
      </c>
      <c r="F265" s="0" t="n">
        <v>4</v>
      </c>
      <c r="G265" s="0" t="n">
        <v>16</v>
      </c>
      <c r="H265" s="0" t="n">
        <v>0.77</v>
      </c>
      <c r="I265" s="10" t="n">
        <v>0.234</v>
      </c>
      <c r="J265" s="0" t="n">
        <v>1.21</v>
      </c>
      <c r="K265" s="13" t="n">
        <f aca="false">IF(H265&lt;&gt;"",H265,IFERROR(G265/INDEX(Players!$M$2:$M$124,MATCH(B265,Players!$A$2:$A$124,0)),""))</f>
        <v>0.77</v>
      </c>
    </row>
    <row r="266" customFormat="false" ht="15" hidden="false" customHeight="false" outlineLevel="0" collapsed="false">
      <c r="A266" s="0" t="s">
        <v>2044</v>
      </c>
      <c r="B266" s="0" t="s">
        <v>1518</v>
      </c>
      <c r="C266" s="0" t="s">
        <v>1273</v>
      </c>
      <c r="D266" s="0" t="s">
        <v>988</v>
      </c>
      <c r="E266" s="0" t="s">
        <v>94</v>
      </c>
      <c r="F266" s="0" t="n">
        <v>3</v>
      </c>
      <c r="G266" s="0" t="n">
        <v>16</v>
      </c>
      <c r="H266" s="0" t="n">
        <v>0.8</v>
      </c>
      <c r="I266" s="10" t="n">
        <v>0.333</v>
      </c>
      <c r="J266" s="0" t="n">
        <v>1.66</v>
      </c>
      <c r="K266" s="13" t="n">
        <f aca="false">IF(H266&lt;&gt;"",H266,IFERROR(G266/INDEX(Players!$M$2:$M$124,MATCH(B266,Players!$A$2:$A$124,0)),""))</f>
        <v>0.8</v>
      </c>
    </row>
    <row r="267" customFormat="false" ht="15" hidden="false" customHeight="false" outlineLevel="0" collapsed="false">
      <c r="A267" s="0" t="s">
        <v>2045</v>
      </c>
      <c r="B267" s="0" t="s">
        <v>1518</v>
      </c>
      <c r="C267" s="0" t="s">
        <v>1273</v>
      </c>
      <c r="D267" s="0" t="s">
        <v>988</v>
      </c>
      <c r="E267" s="0" t="s">
        <v>107</v>
      </c>
      <c r="F267" s="0" t="n">
        <v>3</v>
      </c>
      <c r="G267" s="0" t="n">
        <v>12.7</v>
      </c>
      <c r="H267" s="0" t="n">
        <v>0.63</v>
      </c>
      <c r="I267" s="10" t="n">
        <v>0.368</v>
      </c>
      <c r="J267" s="0" t="n">
        <v>0.97</v>
      </c>
      <c r="K267" s="13" t="n">
        <f aca="false">IF(H267&lt;&gt;"",H267,IFERROR(G267/INDEX(Players!$M$2:$M$124,MATCH(B267,Players!$A$2:$A$124,0)),""))</f>
        <v>0.63</v>
      </c>
    </row>
    <row r="268" customFormat="false" ht="15" hidden="false" customHeight="false" outlineLevel="0" collapsed="false">
      <c r="A268" s="0" t="s">
        <v>2046</v>
      </c>
      <c r="B268" s="0" t="s">
        <v>1518</v>
      </c>
      <c r="C268" s="0" t="s">
        <v>1273</v>
      </c>
      <c r="D268" s="0" t="s">
        <v>988</v>
      </c>
      <c r="E268" s="0" t="s">
        <v>121</v>
      </c>
      <c r="F268" s="0" t="n">
        <v>1</v>
      </c>
      <c r="G268" s="0" t="n">
        <v>13</v>
      </c>
      <c r="H268" s="0" t="n">
        <v>0.45</v>
      </c>
      <c r="I268" s="10" t="n">
        <v>0.538</v>
      </c>
      <c r="J268" s="0" t="n">
        <v>0.72</v>
      </c>
      <c r="K268" s="13" t="n">
        <f aca="false">IF(H268&lt;&gt;"",H268,IFERROR(G268/INDEX(Players!$M$2:$M$124,MATCH(B268,Players!$A$2:$A$124,0)),""))</f>
        <v>0.45</v>
      </c>
    </row>
    <row r="269" customFormat="false" ht="15" hidden="false" customHeight="false" outlineLevel="0" collapsed="false">
      <c r="A269" s="0" t="s">
        <v>2047</v>
      </c>
      <c r="B269" s="0" t="s">
        <v>1519</v>
      </c>
      <c r="C269" s="0" t="s">
        <v>1275</v>
      </c>
      <c r="D269" s="0" t="s">
        <v>988</v>
      </c>
      <c r="E269" s="0" t="s">
        <v>131</v>
      </c>
      <c r="F269" s="0" t="n">
        <v>7</v>
      </c>
      <c r="G269" s="0" t="n">
        <v>12.7</v>
      </c>
      <c r="H269" s="0" t="n">
        <v>0.57</v>
      </c>
      <c r="I269" s="10" t="n">
        <v>0.573</v>
      </c>
      <c r="J269" s="0" t="n">
        <v>0.88</v>
      </c>
      <c r="K269" s="13" t="n">
        <f aca="false">IF(H269&lt;&gt;"",H269,IFERROR(G269/INDEX(Players!$M$2:$M$124,MATCH(B269,Players!$A$2:$A$124,0)),""))</f>
        <v>0.57</v>
      </c>
    </row>
    <row r="270" customFormat="false" ht="15" hidden="false" customHeight="false" outlineLevel="0" collapsed="false">
      <c r="A270" s="0" t="s">
        <v>2048</v>
      </c>
      <c r="B270" s="0" t="s">
        <v>1519</v>
      </c>
      <c r="C270" s="0" t="s">
        <v>1275</v>
      </c>
      <c r="D270" s="0" t="s">
        <v>988</v>
      </c>
      <c r="E270" s="0" t="s">
        <v>150</v>
      </c>
      <c r="F270" s="0" t="n">
        <v>7</v>
      </c>
      <c r="G270" s="0" t="n">
        <v>11.3</v>
      </c>
      <c r="H270" s="0" t="n">
        <v>0.48</v>
      </c>
      <c r="I270" s="10" t="n">
        <v>0.456</v>
      </c>
      <c r="J270" s="0" t="n">
        <v>0.69</v>
      </c>
      <c r="K270" s="13" t="n">
        <f aca="false">IF(H270&lt;&gt;"",H270,IFERROR(G270/INDEX(Players!$M$2:$M$124,MATCH(B270,Players!$A$2:$A$124,0)),""))</f>
        <v>0.48</v>
      </c>
    </row>
    <row r="271" customFormat="false" ht="15" hidden="false" customHeight="false" outlineLevel="0" collapsed="false">
      <c r="A271" s="0" t="s">
        <v>2049</v>
      </c>
      <c r="B271" s="0" t="s">
        <v>1519</v>
      </c>
      <c r="C271" s="0" t="s">
        <v>1275</v>
      </c>
      <c r="D271" s="0" t="s">
        <v>988</v>
      </c>
      <c r="E271" s="0" t="s">
        <v>142</v>
      </c>
      <c r="F271" s="0" t="n">
        <v>5</v>
      </c>
      <c r="G271" s="0" t="n">
        <v>10.8</v>
      </c>
      <c r="H271" s="0" t="n">
        <v>0.53</v>
      </c>
      <c r="I271" s="10" t="n">
        <v>0.704</v>
      </c>
      <c r="J271" s="0" t="n">
        <v>1</v>
      </c>
      <c r="K271" s="13" t="n">
        <f aca="false">IF(H271&lt;&gt;"",H271,IFERROR(G271/INDEX(Players!$M$2:$M$124,MATCH(B271,Players!$A$2:$A$124,0)),""))</f>
        <v>0.53</v>
      </c>
    </row>
    <row r="272" customFormat="false" ht="15" hidden="false" customHeight="false" outlineLevel="0" collapsed="false">
      <c r="A272" s="0" t="s">
        <v>2050</v>
      </c>
      <c r="B272" s="0" t="s">
        <v>1519</v>
      </c>
      <c r="C272" s="0" t="s">
        <v>1275</v>
      </c>
      <c r="D272" s="0" t="s">
        <v>988</v>
      </c>
      <c r="E272" s="0" t="s">
        <v>80</v>
      </c>
      <c r="F272" s="0" t="n">
        <v>4</v>
      </c>
      <c r="G272" s="0" t="n">
        <v>12.3</v>
      </c>
      <c r="H272" s="0" t="n">
        <v>0.59</v>
      </c>
      <c r="I272" s="10" t="n">
        <v>0.49</v>
      </c>
      <c r="J272" s="0" t="n">
        <v>0.73</v>
      </c>
      <c r="K272" s="13" t="n">
        <f aca="false">IF(H272&lt;&gt;"",H272,IFERROR(G272/INDEX(Players!$M$2:$M$124,MATCH(B272,Players!$A$2:$A$124,0)),""))</f>
        <v>0.59</v>
      </c>
    </row>
    <row r="273" customFormat="false" ht="15" hidden="false" customHeight="false" outlineLevel="0" collapsed="false">
      <c r="A273" s="0" t="s">
        <v>2051</v>
      </c>
      <c r="B273" s="0" t="s">
        <v>1519</v>
      </c>
      <c r="C273" s="0" t="s">
        <v>1275</v>
      </c>
      <c r="D273" s="0" t="s">
        <v>988</v>
      </c>
      <c r="E273" s="0" t="s">
        <v>107</v>
      </c>
      <c r="F273" s="0" t="n">
        <v>3</v>
      </c>
      <c r="G273" s="0" t="n">
        <v>11</v>
      </c>
      <c r="H273" s="0" t="n">
        <v>0.55</v>
      </c>
      <c r="I273" s="10" t="n">
        <v>0.576</v>
      </c>
      <c r="J273" s="0" t="n">
        <v>0.8</v>
      </c>
      <c r="K273" s="13" t="n">
        <f aca="false">IF(H273&lt;&gt;"",H273,IFERROR(G273/INDEX(Players!$M$2:$M$124,MATCH(B273,Players!$A$2:$A$124,0)),""))</f>
        <v>0.55</v>
      </c>
    </row>
    <row r="274" customFormat="false" ht="15" hidden="false" customHeight="false" outlineLevel="0" collapsed="false">
      <c r="A274" s="0" t="s">
        <v>2052</v>
      </c>
      <c r="B274" s="0" t="s">
        <v>1519</v>
      </c>
      <c r="C274" s="0" t="s">
        <v>1275</v>
      </c>
      <c r="D274" s="0" t="s">
        <v>988</v>
      </c>
      <c r="E274" s="0" t="s">
        <v>94</v>
      </c>
      <c r="F274" s="0" t="n">
        <v>3</v>
      </c>
      <c r="G274" s="0" t="n">
        <v>8.7</v>
      </c>
      <c r="H274" s="0" t="n">
        <v>0.43</v>
      </c>
      <c r="I274" s="10" t="n">
        <v>0.577</v>
      </c>
      <c r="J274" s="0" t="n">
        <v>0.58</v>
      </c>
      <c r="K274" s="13" t="n">
        <f aca="false">IF(H274&lt;&gt;"",H274,IFERROR(G274/INDEX(Players!$M$2:$M$124,MATCH(B274,Players!$A$2:$A$124,0)),""))</f>
        <v>0.43</v>
      </c>
    </row>
    <row r="275" customFormat="false" ht="15" hidden="false" customHeight="false" outlineLevel="0" collapsed="false">
      <c r="A275" s="0" t="s">
        <v>2053</v>
      </c>
      <c r="B275" s="0" t="s">
        <v>1519</v>
      </c>
      <c r="C275" s="0" t="s">
        <v>1275</v>
      </c>
      <c r="D275" s="0" t="s">
        <v>988</v>
      </c>
      <c r="E275" s="0" t="s">
        <v>121</v>
      </c>
      <c r="F275" s="0" t="n">
        <v>1</v>
      </c>
      <c r="G275" s="0" t="n">
        <v>10</v>
      </c>
      <c r="H275" s="0" t="n">
        <v>0.34</v>
      </c>
      <c r="I275" s="10" t="n">
        <v>0.6</v>
      </c>
      <c r="J275" s="0" t="n">
        <v>0.48</v>
      </c>
      <c r="K275" s="13" t="n">
        <f aca="false">IF(H275&lt;&gt;"",H275,IFERROR(G275/INDEX(Players!$M$2:$M$124,MATCH(B275,Players!$A$2:$A$124,0)),""))</f>
        <v>0.34</v>
      </c>
    </row>
    <row r="276" customFormat="false" ht="15" hidden="false" customHeight="false" outlineLevel="0" collapsed="false">
      <c r="A276" s="0" t="s">
        <v>2054</v>
      </c>
      <c r="B276" s="0" t="s">
        <v>1457</v>
      </c>
      <c r="C276" s="0" t="s">
        <v>1117</v>
      </c>
      <c r="D276" s="0" t="s">
        <v>988</v>
      </c>
      <c r="E276" s="0" t="s">
        <v>121</v>
      </c>
      <c r="F276" s="0" t="n">
        <v>8</v>
      </c>
      <c r="G276" s="0" t="n">
        <v>14.3</v>
      </c>
      <c r="H276" s="0" t="n">
        <v>0.66</v>
      </c>
      <c r="I276" s="10" t="n">
        <v>0.482</v>
      </c>
      <c r="J276" s="0" t="n">
        <v>0.96</v>
      </c>
      <c r="K276" s="13" t="n">
        <f aca="false">IF(H276&lt;&gt;"",H276,IFERROR(G276/INDEX(Players!$M$2:$M$124,MATCH(B276,Players!$A$2:$A$124,0)),""))</f>
        <v>0.66</v>
      </c>
    </row>
    <row r="277" customFormat="false" ht="15" hidden="false" customHeight="false" outlineLevel="0" collapsed="false">
      <c r="A277" s="0" t="s">
        <v>2055</v>
      </c>
      <c r="B277" s="0" t="s">
        <v>1457</v>
      </c>
      <c r="C277" s="0" t="s">
        <v>1117</v>
      </c>
      <c r="D277" s="0" t="s">
        <v>988</v>
      </c>
      <c r="E277" s="0" t="s">
        <v>80</v>
      </c>
      <c r="F277" s="0" t="n">
        <v>8</v>
      </c>
      <c r="G277" s="0" t="n">
        <v>11.1</v>
      </c>
      <c r="H277" s="0" t="n">
        <v>0.6</v>
      </c>
      <c r="I277" s="10" t="n">
        <v>0.584</v>
      </c>
      <c r="J277" s="0" t="n">
        <v>0.75</v>
      </c>
      <c r="K277" s="13" t="n">
        <f aca="false">IF(H277&lt;&gt;"",H277,IFERROR(G277/INDEX(Players!$M$2:$M$124,MATCH(B277,Players!$A$2:$A$124,0)),""))</f>
        <v>0.6</v>
      </c>
    </row>
    <row r="278" customFormat="false" ht="15" hidden="false" customHeight="false" outlineLevel="0" collapsed="false">
      <c r="A278" s="0" t="s">
        <v>2056</v>
      </c>
      <c r="B278" s="0" t="s">
        <v>1457</v>
      </c>
      <c r="C278" s="0" t="s">
        <v>1117</v>
      </c>
      <c r="D278" s="0" t="s">
        <v>988</v>
      </c>
      <c r="E278" s="0" t="s">
        <v>107</v>
      </c>
      <c r="F278" s="0" t="n">
        <v>7</v>
      </c>
      <c r="G278" s="0" t="n">
        <v>19</v>
      </c>
      <c r="H278" s="0" t="n">
        <v>0.8</v>
      </c>
      <c r="I278" s="10" t="n">
        <v>0.586</v>
      </c>
      <c r="J278" s="0" t="n">
        <v>1.2</v>
      </c>
      <c r="K278" s="13" t="n">
        <f aca="false">IF(H278&lt;&gt;"",H278,IFERROR(G278/INDEX(Players!$M$2:$M$124,MATCH(B278,Players!$A$2:$A$124,0)),""))</f>
        <v>0.8</v>
      </c>
    </row>
    <row r="279" customFormat="false" ht="15" hidden="false" customHeight="false" outlineLevel="0" collapsed="false">
      <c r="A279" s="0" t="s">
        <v>2057</v>
      </c>
      <c r="B279" s="0" t="s">
        <v>1457</v>
      </c>
      <c r="C279" s="0" t="s">
        <v>1117</v>
      </c>
      <c r="D279" s="0" t="s">
        <v>988</v>
      </c>
      <c r="E279" s="0" t="s">
        <v>142</v>
      </c>
      <c r="F279" s="0" t="n">
        <v>7</v>
      </c>
      <c r="G279" s="0" t="n">
        <v>14.7</v>
      </c>
      <c r="H279" s="0" t="n">
        <v>0.67</v>
      </c>
      <c r="I279" s="10" t="n">
        <v>0.476</v>
      </c>
      <c r="J279" s="0" t="n">
        <v>1.1</v>
      </c>
      <c r="K279" s="13" t="n">
        <f aca="false">IF(H279&lt;&gt;"",H279,IFERROR(G279/INDEX(Players!$M$2:$M$124,MATCH(B279,Players!$A$2:$A$124,0)),""))</f>
        <v>0.67</v>
      </c>
    </row>
    <row r="280" customFormat="false" ht="15" hidden="false" customHeight="false" outlineLevel="0" collapsed="false">
      <c r="A280" s="0" t="s">
        <v>2058</v>
      </c>
      <c r="B280" s="0" t="s">
        <v>1457</v>
      </c>
      <c r="C280" s="0" t="s">
        <v>1117</v>
      </c>
      <c r="D280" s="0" t="s">
        <v>988</v>
      </c>
      <c r="E280" s="0" t="s">
        <v>131</v>
      </c>
      <c r="F280" s="0" t="n">
        <v>4</v>
      </c>
      <c r="G280" s="0" t="n">
        <v>11</v>
      </c>
      <c r="H280" s="0" t="n">
        <v>0.52</v>
      </c>
      <c r="I280" s="10" t="n">
        <v>0.5</v>
      </c>
      <c r="J280" s="0" t="n">
        <v>0.64</v>
      </c>
      <c r="K280" s="13" t="n">
        <f aca="false">IF(H280&lt;&gt;"",H280,IFERROR(G280/INDEX(Players!$M$2:$M$124,MATCH(B280,Players!$A$2:$A$124,0)),""))</f>
        <v>0.52</v>
      </c>
    </row>
    <row r="281" customFormat="false" ht="15" hidden="false" customHeight="false" outlineLevel="0" collapsed="false">
      <c r="A281" s="0" t="s">
        <v>2059</v>
      </c>
      <c r="B281" s="0" t="s">
        <v>1457</v>
      </c>
      <c r="C281" s="0" t="s">
        <v>1117</v>
      </c>
      <c r="D281" s="0" t="s">
        <v>988</v>
      </c>
      <c r="E281" s="0" t="s">
        <v>94</v>
      </c>
      <c r="F281" s="0" t="n">
        <v>1</v>
      </c>
      <c r="G281" s="0" t="n">
        <v>18</v>
      </c>
      <c r="H281" s="0" t="n">
        <v>0.86</v>
      </c>
      <c r="I281" s="10" t="n">
        <v>0.389</v>
      </c>
      <c r="J281" s="0" t="n">
        <v>1.29</v>
      </c>
      <c r="K281" s="13" t="n">
        <f aca="false">IF(H281&lt;&gt;"",H281,IFERROR(G281/INDEX(Players!$M$2:$M$124,MATCH(B281,Players!$A$2:$A$124,0)),""))</f>
        <v>0.86</v>
      </c>
    </row>
    <row r="282" customFormat="false" ht="15" hidden="false" customHeight="false" outlineLevel="0" collapsed="false">
      <c r="A282" s="0" t="s">
        <v>2060</v>
      </c>
      <c r="B282" s="0" t="s">
        <v>1458</v>
      </c>
      <c r="C282" s="0" t="s">
        <v>1120</v>
      </c>
      <c r="D282" s="0" t="s">
        <v>988</v>
      </c>
      <c r="E282" s="0" t="s">
        <v>121</v>
      </c>
      <c r="F282" s="0" t="n">
        <v>8</v>
      </c>
      <c r="G282" s="0" t="n">
        <v>15</v>
      </c>
      <c r="H282" s="0" t="n">
        <v>0.69</v>
      </c>
      <c r="I282" s="10" t="n">
        <v>0.517</v>
      </c>
      <c r="J282" s="0" t="n">
        <v>0.98</v>
      </c>
      <c r="K282" s="13" t="n">
        <f aca="false">IF(H282&lt;&gt;"",H282,IFERROR(G282/INDEX(Players!$M$2:$M$124,MATCH(B282,Players!$A$2:$A$124,0)),""))</f>
        <v>0.69</v>
      </c>
    </row>
    <row r="283" customFormat="false" ht="15" hidden="false" customHeight="false" outlineLevel="0" collapsed="false">
      <c r="A283" s="0" t="s">
        <v>2061</v>
      </c>
      <c r="B283" s="0" t="s">
        <v>1458</v>
      </c>
      <c r="C283" s="0" t="s">
        <v>1120</v>
      </c>
      <c r="D283" s="0" t="s">
        <v>988</v>
      </c>
      <c r="E283" s="0" t="s">
        <v>80</v>
      </c>
      <c r="F283" s="0" t="n">
        <v>8</v>
      </c>
      <c r="G283" s="0" t="n">
        <v>12.3</v>
      </c>
      <c r="H283" s="0" t="n">
        <v>0.66</v>
      </c>
      <c r="I283" s="10" t="n">
        <v>0.51</v>
      </c>
      <c r="J283" s="0" t="n">
        <v>0.8</v>
      </c>
      <c r="K283" s="13" t="n">
        <f aca="false">IF(H283&lt;&gt;"",H283,IFERROR(G283/INDEX(Players!$M$2:$M$124,MATCH(B283,Players!$A$2:$A$124,0)),""))</f>
        <v>0.66</v>
      </c>
    </row>
    <row r="284" customFormat="false" ht="15" hidden="false" customHeight="false" outlineLevel="0" collapsed="false">
      <c r="A284" s="0" t="s">
        <v>2062</v>
      </c>
      <c r="B284" s="0" t="s">
        <v>1458</v>
      </c>
      <c r="C284" s="0" t="s">
        <v>1120</v>
      </c>
      <c r="D284" s="0" t="s">
        <v>988</v>
      </c>
      <c r="E284" s="0" t="s">
        <v>142</v>
      </c>
      <c r="F284" s="0" t="n">
        <v>7</v>
      </c>
      <c r="G284" s="0" t="n">
        <v>12.9</v>
      </c>
      <c r="H284" s="0" t="n">
        <v>0.59</v>
      </c>
      <c r="I284" s="10" t="n">
        <v>0.522</v>
      </c>
      <c r="J284" s="0" t="n">
        <v>0.86</v>
      </c>
      <c r="K284" s="13" t="n">
        <f aca="false">IF(H284&lt;&gt;"",H284,IFERROR(G284/INDEX(Players!$M$2:$M$124,MATCH(B284,Players!$A$2:$A$124,0)),""))</f>
        <v>0.59</v>
      </c>
    </row>
    <row r="285" customFormat="false" ht="15" hidden="false" customHeight="false" outlineLevel="0" collapsed="false">
      <c r="A285" s="0" t="s">
        <v>2063</v>
      </c>
      <c r="B285" s="0" t="s">
        <v>1458</v>
      </c>
      <c r="C285" s="0" t="s">
        <v>1120</v>
      </c>
      <c r="D285" s="0" t="s">
        <v>988</v>
      </c>
      <c r="E285" s="0" t="s">
        <v>107</v>
      </c>
      <c r="F285" s="0" t="n">
        <v>7</v>
      </c>
      <c r="G285" s="0" t="n">
        <v>13.6</v>
      </c>
      <c r="H285" s="0" t="n">
        <v>0.57</v>
      </c>
      <c r="I285" s="10" t="n">
        <v>0.516</v>
      </c>
      <c r="J285" s="0" t="n">
        <v>0.79</v>
      </c>
      <c r="K285" s="13" t="n">
        <f aca="false">IF(H285&lt;&gt;"",H285,IFERROR(G285/INDEX(Players!$M$2:$M$124,MATCH(B285,Players!$A$2:$A$124,0)),""))</f>
        <v>0.57</v>
      </c>
    </row>
    <row r="286" customFormat="false" ht="15" hidden="false" customHeight="false" outlineLevel="0" collapsed="false">
      <c r="A286" s="0" t="s">
        <v>2064</v>
      </c>
      <c r="B286" s="0" t="s">
        <v>1458</v>
      </c>
      <c r="C286" s="0" t="s">
        <v>1120</v>
      </c>
      <c r="D286" s="0" t="s">
        <v>988</v>
      </c>
      <c r="E286" s="0" t="s">
        <v>131</v>
      </c>
      <c r="F286" s="0" t="n">
        <v>4</v>
      </c>
      <c r="G286" s="0" t="n">
        <v>14.5</v>
      </c>
      <c r="H286" s="0" t="n">
        <v>0.68</v>
      </c>
      <c r="I286" s="10" t="n">
        <v>0.397</v>
      </c>
      <c r="J286" s="0" t="n">
        <v>1</v>
      </c>
      <c r="K286" s="13" t="n">
        <f aca="false">IF(H286&lt;&gt;"",H286,IFERROR(G286/INDEX(Players!$M$2:$M$124,MATCH(B286,Players!$A$2:$A$124,0)),""))</f>
        <v>0.68</v>
      </c>
    </row>
    <row r="287" customFormat="false" ht="15" hidden="false" customHeight="false" outlineLevel="0" collapsed="false">
      <c r="A287" s="0" t="s">
        <v>2065</v>
      </c>
      <c r="B287" s="0" t="s">
        <v>1458</v>
      </c>
      <c r="C287" s="0" t="s">
        <v>1120</v>
      </c>
      <c r="D287" s="0" t="s">
        <v>988</v>
      </c>
      <c r="E287" s="0" t="s">
        <v>94</v>
      </c>
      <c r="F287" s="0" t="n">
        <v>1</v>
      </c>
      <c r="G287" s="0" t="n">
        <v>11</v>
      </c>
      <c r="H287" s="0" t="n">
        <v>0.52</v>
      </c>
      <c r="I287" s="10" t="n">
        <v>0.273</v>
      </c>
      <c r="J287" s="0" t="n">
        <v>0.65</v>
      </c>
      <c r="K287" s="13" t="n">
        <f aca="false">IF(H287&lt;&gt;"",H287,IFERROR(G287/INDEX(Players!$M$2:$M$124,MATCH(B287,Players!$A$2:$A$124,0)),""))</f>
        <v>0.52</v>
      </c>
    </row>
    <row r="288" customFormat="false" ht="15" hidden="false" customHeight="false" outlineLevel="0" collapsed="false">
      <c r="A288" s="0" t="s">
        <v>2066</v>
      </c>
      <c r="B288" s="0" t="s">
        <v>1487</v>
      </c>
      <c r="C288" s="0" t="s">
        <v>1198</v>
      </c>
      <c r="D288" s="0" t="s">
        <v>988</v>
      </c>
      <c r="E288" s="0" t="s">
        <v>121</v>
      </c>
      <c r="F288" s="0" t="n">
        <v>8</v>
      </c>
      <c r="G288" s="0" t="n">
        <v>19.9</v>
      </c>
      <c r="H288" s="0" t="n">
        <v>0.77</v>
      </c>
      <c r="I288" s="10" t="n">
        <v>0.572</v>
      </c>
      <c r="J288" s="0" t="n">
        <v>1.01</v>
      </c>
      <c r="K288" s="13" t="n">
        <f aca="false">IF(H288&lt;&gt;"",H288,IFERROR(G288/INDEX(Players!$M$2:$M$124,MATCH(B288,Players!$A$2:$A$124,0)),""))</f>
        <v>0.77</v>
      </c>
    </row>
    <row r="289" customFormat="false" ht="15" hidden="false" customHeight="false" outlineLevel="0" collapsed="false">
      <c r="A289" s="0" t="s">
        <v>2067</v>
      </c>
      <c r="B289" s="0" t="s">
        <v>1487</v>
      </c>
      <c r="C289" s="0" t="s">
        <v>1198</v>
      </c>
      <c r="D289" s="0" t="s">
        <v>988</v>
      </c>
      <c r="E289" s="0" t="s">
        <v>131</v>
      </c>
      <c r="F289" s="0" t="n">
        <v>8</v>
      </c>
      <c r="G289" s="0" t="n">
        <v>14.8</v>
      </c>
      <c r="H289" s="0" t="n">
        <v>0.66</v>
      </c>
      <c r="I289" s="10" t="n">
        <v>0.602</v>
      </c>
      <c r="J289" s="0" t="n">
        <v>0.89</v>
      </c>
      <c r="K289" s="13" t="n">
        <f aca="false">IF(H289&lt;&gt;"",H289,IFERROR(G289/INDEX(Players!$M$2:$M$124,MATCH(B289,Players!$A$2:$A$124,0)),""))</f>
        <v>0.66</v>
      </c>
    </row>
    <row r="290" customFormat="false" ht="15" hidden="false" customHeight="false" outlineLevel="0" collapsed="false">
      <c r="A290" s="0" t="s">
        <v>2068</v>
      </c>
      <c r="B290" s="0" t="s">
        <v>1487</v>
      </c>
      <c r="C290" s="0" t="s">
        <v>1198</v>
      </c>
      <c r="D290" s="0" t="s">
        <v>988</v>
      </c>
      <c r="E290" s="0" t="s">
        <v>150</v>
      </c>
      <c r="F290" s="0" t="n">
        <v>7</v>
      </c>
      <c r="G290" s="0" t="n">
        <v>20.4</v>
      </c>
      <c r="H290" s="0" t="n">
        <v>0.82</v>
      </c>
      <c r="I290" s="10" t="n">
        <v>0.608</v>
      </c>
      <c r="J290" s="0" t="n">
        <v>1.14</v>
      </c>
      <c r="K290" s="13" t="n">
        <f aca="false">IF(H290&lt;&gt;"",H290,IFERROR(G290/INDEX(Players!$M$2:$M$124,MATCH(B290,Players!$A$2:$A$124,0)),""))</f>
        <v>0.82</v>
      </c>
    </row>
    <row r="291" customFormat="false" ht="15" hidden="false" customHeight="false" outlineLevel="0" collapsed="false">
      <c r="A291" s="0" t="s">
        <v>2069</v>
      </c>
      <c r="B291" s="0" t="s">
        <v>1487</v>
      </c>
      <c r="C291" s="0" t="s">
        <v>1198</v>
      </c>
      <c r="D291" s="0" t="s">
        <v>988</v>
      </c>
      <c r="E291" s="0" t="s">
        <v>107</v>
      </c>
      <c r="F291" s="0" t="n">
        <v>7</v>
      </c>
      <c r="G291" s="0" t="n">
        <v>18.3</v>
      </c>
      <c r="H291" s="0" t="n">
        <v>0.77</v>
      </c>
      <c r="I291" s="10" t="n">
        <v>0.648</v>
      </c>
      <c r="J291" s="0" t="n">
        <v>1.12</v>
      </c>
      <c r="K291" s="13" t="n">
        <f aca="false">IF(H291&lt;&gt;"",H291,IFERROR(G291/INDEX(Players!$M$2:$M$124,MATCH(B291,Players!$A$2:$A$124,0)),""))</f>
        <v>0.77</v>
      </c>
    </row>
    <row r="292" customFormat="false" ht="15" hidden="false" customHeight="false" outlineLevel="0" collapsed="false">
      <c r="A292" s="0" t="s">
        <v>2070</v>
      </c>
      <c r="B292" s="0" t="s">
        <v>1487</v>
      </c>
      <c r="C292" s="0" t="s">
        <v>1198</v>
      </c>
      <c r="D292" s="0" t="s">
        <v>988</v>
      </c>
      <c r="E292" s="0" t="s">
        <v>80</v>
      </c>
      <c r="F292" s="0" t="n">
        <v>4</v>
      </c>
      <c r="G292" s="0" t="n">
        <v>13</v>
      </c>
      <c r="H292" s="0" t="n">
        <v>0.64</v>
      </c>
      <c r="I292" s="10" t="n">
        <v>0.654</v>
      </c>
      <c r="J292" s="0" t="n">
        <v>0.91</v>
      </c>
      <c r="K292" s="13" t="n">
        <f aca="false">IF(H292&lt;&gt;"",H292,IFERROR(G292/INDEX(Players!$M$2:$M$124,MATCH(B292,Players!$A$2:$A$124,0)),""))</f>
        <v>0.64</v>
      </c>
    </row>
    <row r="293" customFormat="false" ht="15" hidden="false" customHeight="false" outlineLevel="0" collapsed="false">
      <c r="A293" s="0" t="s">
        <v>2071</v>
      </c>
      <c r="B293" s="0" t="s">
        <v>1487</v>
      </c>
      <c r="C293" s="0" t="s">
        <v>1198</v>
      </c>
      <c r="D293" s="0" t="s">
        <v>988</v>
      </c>
      <c r="E293" s="0" t="s">
        <v>94</v>
      </c>
      <c r="F293" s="0" t="n">
        <v>3</v>
      </c>
      <c r="G293" s="0" t="n">
        <v>18</v>
      </c>
      <c r="H293" s="0" t="n">
        <v>0.71</v>
      </c>
      <c r="I293" s="10" t="n">
        <v>0.759</v>
      </c>
      <c r="J293" s="0" t="n">
        <v>1.2</v>
      </c>
      <c r="K293" s="13" t="n">
        <f aca="false">IF(H293&lt;&gt;"",H293,IFERROR(G293/INDEX(Players!$M$2:$M$124,MATCH(B293,Players!$A$2:$A$124,0)),""))</f>
        <v>0.71</v>
      </c>
    </row>
    <row r="294" customFormat="false" ht="15" hidden="false" customHeight="false" outlineLevel="0" collapsed="false">
      <c r="A294" s="0" t="s">
        <v>2072</v>
      </c>
      <c r="B294" s="0" t="s">
        <v>1572</v>
      </c>
      <c r="C294" s="0" t="s">
        <v>1391</v>
      </c>
      <c r="D294" s="0" t="s">
        <v>988</v>
      </c>
      <c r="E294" s="0" t="s">
        <v>150</v>
      </c>
      <c r="F294" s="0" t="n">
        <v>10</v>
      </c>
      <c r="G294" s="0" t="n">
        <v>17.7</v>
      </c>
      <c r="H294" s="0" t="n">
        <v>0.82</v>
      </c>
      <c r="I294" s="10" t="n">
        <v>0.582</v>
      </c>
      <c r="J294" s="0" t="n">
        <v>1.3</v>
      </c>
      <c r="K294" s="13" t="n">
        <f aca="false">IF(H294&lt;&gt;"",H294,IFERROR(G294/INDEX(Players!$M$2:$M$124,MATCH(B294,Players!$A$2:$A$124,0)),""))</f>
        <v>0.82</v>
      </c>
    </row>
    <row r="295" customFormat="false" ht="15" hidden="false" customHeight="false" outlineLevel="0" collapsed="false">
      <c r="A295" s="0" t="s">
        <v>2073</v>
      </c>
      <c r="B295" s="0" t="s">
        <v>1572</v>
      </c>
      <c r="C295" s="0" t="s">
        <v>1391</v>
      </c>
      <c r="D295" s="0" t="s">
        <v>988</v>
      </c>
      <c r="E295" s="0" t="s">
        <v>121</v>
      </c>
      <c r="F295" s="0" t="n">
        <v>6</v>
      </c>
      <c r="G295" s="0" t="n">
        <v>12.7</v>
      </c>
      <c r="H295" s="0" t="n">
        <v>0.6</v>
      </c>
      <c r="I295" s="10" t="n">
        <v>0.487</v>
      </c>
      <c r="J295" s="0" t="n">
        <v>0.97</v>
      </c>
      <c r="K295" s="13" t="n">
        <f aca="false">IF(H295&lt;&gt;"",H295,IFERROR(G295/INDEX(Players!$M$2:$M$124,MATCH(B295,Players!$A$2:$A$124,0)),""))</f>
        <v>0.6</v>
      </c>
    </row>
    <row r="296" customFormat="false" ht="15" hidden="false" customHeight="false" outlineLevel="0" collapsed="false">
      <c r="A296" s="0" t="s">
        <v>2074</v>
      </c>
      <c r="B296" s="0" t="s">
        <v>1572</v>
      </c>
      <c r="C296" s="0" t="s">
        <v>1391</v>
      </c>
      <c r="D296" s="0" t="s">
        <v>988</v>
      </c>
      <c r="E296" s="0" t="s">
        <v>142</v>
      </c>
      <c r="F296" s="0" t="n">
        <v>5</v>
      </c>
      <c r="G296" s="0" t="n">
        <v>20.2</v>
      </c>
      <c r="H296" s="0" t="n">
        <v>0.81</v>
      </c>
      <c r="I296" s="10" t="n">
        <v>0.554</v>
      </c>
      <c r="J296" s="0" t="n">
        <v>1.31</v>
      </c>
      <c r="K296" s="13" t="n">
        <f aca="false">IF(H296&lt;&gt;"",H296,IFERROR(G296/INDEX(Players!$M$2:$M$124,MATCH(B296,Players!$A$2:$A$124,0)),""))</f>
        <v>0.81</v>
      </c>
    </row>
    <row r="297" customFormat="false" ht="15" hidden="false" customHeight="false" outlineLevel="0" collapsed="false">
      <c r="A297" s="0" t="s">
        <v>2075</v>
      </c>
      <c r="B297" s="0" t="s">
        <v>1572</v>
      </c>
      <c r="C297" s="0" t="s">
        <v>1391</v>
      </c>
      <c r="D297" s="0" t="s">
        <v>988</v>
      </c>
      <c r="E297" s="0" t="s">
        <v>107</v>
      </c>
      <c r="F297" s="0" t="n">
        <v>5</v>
      </c>
      <c r="G297" s="0" t="n">
        <v>9.6</v>
      </c>
      <c r="H297" s="0" t="n">
        <v>0.44</v>
      </c>
      <c r="I297" s="10" t="n">
        <v>0.625</v>
      </c>
      <c r="J297" s="0" t="n">
        <v>0.65</v>
      </c>
      <c r="K297" s="13" t="n">
        <f aca="false">IF(H297&lt;&gt;"",H297,IFERROR(G297/INDEX(Players!$M$2:$M$124,MATCH(B297,Players!$A$2:$A$124,0)),""))</f>
        <v>0.44</v>
      </c>
    </row>
    <row r="298" customFormat="false" ht="15" hidden="false" customHeight="false" outlineLevel="0" collapsed="false">
      <c r="A298" s="0" t="s">
        <v>2076</v>
      </c>
      <c r="B298" s="0" t="s">
        <v>1572</v>
      </c>
      <c r="C298" s="0" t="s">
        <v>1391</v>
      </c>
      <c r="D298" s="0" t="s">
        <v>988</v>
      </c>
      <c r="E298" s="0" t="s">
        <v>131</v>
      </c>
      <c r="F298" s="0" t="n">
        <v>4</v>
      </c>
      <c r="G298" s="0" t="n">
        <v>11.3</v>
      </c>
      <c r="H298" s="0" t="n">
        <v>0.52</v>
      </c>
      <c r="I298" s="10" t="n">
        <v>0.733</v>
      </c>
      <c r="J298" s="0" t="n">
        <v>0.74</v>
      </c>
      <c r="K298" s="13" t="n">
        <f aca="false">IF(H298&lt;&gt;"",H298,IFERROR(G298/INDEX(Players!$M$2:$M$124,MATCH(B298,Players!$A$2:$A$124,0)),""))</f>
        <v>0.52</v>
      </c>
    </row>
    <row r="299" customFormat="false" ht="15" hidden="false" customHeight="false" outlineLevel="0" collapsed="false">
      <c r="A299" s="0" t="s">
        <v>2077</v>
      </c>
      <c r="B299" s="0" t="s">
        <v>1572</v>
      </c>
      <c r="C299" s="0" t="s">
        <v>1391</v>
      </c>
      <c r="D299" s="0" t="s">
        <v>988</v>
      </c>
      <c r="E299" s="0" t="s">
        <v>80</v>
      </c>
      <c r="F299" s="0" t="n">
        <v>2</v>
      </c>
      <c r="G299" s="0" t="n">
        <v>10.5</v>
      </c>
      <c r="H299" s="0" t="n">
        <v>0.55</v>
      </c>
      <c r="I299" s="10" t="n">
        <v>0.476</v>
      </c>
      <c r="J299" s="0" t="n">
        <v>0.72</v>
      </c>
      <c r="K299" s="13" t="n">
        <f aca="false">IF(H299&lt;&gt;"",H299,IFERROR(G299/INDEX(Players!$M$2:$M$124,MATCH(B299,Players!$A$2:$A$124,0)),""))</f>
        <v>0.55</v>
      </c>
    </row>
    <row r="300" customFormat="false" ht="15" hidden="false" customHeight="false" outlineLevel="0" collapsed="false">
      <c r="A300" s="0" t="s">
        <v>2078</v>
      </c>
      <c r="B300" s="0" t="s">
        <v>1572</v>
      </c>
      <c r="C300" s="0" t="s">
        <v>1391</v>
      </c>
      <c r="D300" s="0" t="s">
        <v>988</v>
      </c>
      <c r="E300" s="0" t="s">
        <v>1599</v>
      </c>
      <c r="F300" s="0" t="n">
        <v>1</v>
      </c>
      <c r="G300" s="0" t="n">
        <v>6</v>
      </c>
      <c r="H300" s="0" t="n">
        <v>0.4</v>
      </c>
      <c r="I300" s="10" t="n">
        <v>0.5</v>
      </c>
      <c r="J300" s="0" t="n">
        <v>0.5</v>
      </c>
      <c r="K300" s="13" t="n">
        <f aca="false">IF(H300&lt;&gt;"",H300,IFERROR(G300/INDEX(Players!$M$2:$M$124,MATCH(B300,Players!$A$2:$A$124,0)),""))</f>
        <v>0.4</v>
      </c>
    </row>
    <row r="301" customFormat="false" ht="15" hidden="false" customHeight="false" outlineLevel="0" collapsed="false">
      <c r="A301" s="0" t="s">
        <v>2079</v>
      </c>
      <c r="B301" s="0" t="s">
        <v>1488</v>
      </c>
      <c r="C301" s="0" t="s">
        <v>1200</v>
      </c>
      <c r="D301" s="0" t="s">
        <v>988</v>
      </c>
      <c r="E301" s="0" t="s">
        <v>131</v>
      </c>
      <c r="F301" s="0" t="n">
        <v>8</v>
      </c>
      <c r="G301" s="0" t="n">
        <v>16.6</v>
      </c>
      <c r="H301" s="0" t="n">
        <v>0.75</v>
      </c>
      <c r="I301" s="10" t="n">
        <v>0.316</v>
      </c>
      <c r="J301" s="0" t="n">
        <v>1.21</v>
      </c>
      <c r="K301" s="13" t="n">
        <f aca="false">IF(H301&lt;&gt;"",H301,IFERROR(G301/INDEX(Players!$M$2:$M$124,MATCH(B301,Players!$A$2:$A$124,0)),""))</f>
        <v>0.75</v>
      </c>
    </row>
    <row r="302" customFormat="false" ht="15" hidden="false" customHeight="false" outlineLevel="0" collapsed="false">
      <c r="A302" s="0" t="s">
        <v>2080</v>
      </c>
      <c r="B302" s="0" t="s">
        <v>1488</v>
      </c>
      <c r="C302" s="0" t="s">
        <v>1200</v>
      </c>
      <c r="D302" s="0" t="s">
        <v>988</v>
      </c>
      <c r="E302" s="0" t="s">
        <v>121</v>
      </c>
      <c r="F302" s="0" t="n">
        <v>8</v>
      </c>
      <c r="G302" s="0" t="n">
        <v>15.8</v>
      </c>
      <c r="H302" s="0" t="n">
        <v>0.61</v>
      </c>
      <c r="I302" s="10" t="n">
        <v>0.317</v>
      </c>
      <c r="J302" s="0" t="n">
        <v>0.99</v>
      </c>
      <c r="K302" s="13" t="n">
        <f aca="false">IF(H302&lt;&gt;"",H302,IFERROR(G302/INDEX(Players!$M$2:$M$124,MATCH(B302,Players!$A$2:$A$124,0)),""))</f>
        <v>0.61</v>
      </c>
    </row>
    <row r="303" customFormat="false" ht="15" hidden="false" customHeight="false" outlineLevel="0" collapsed="false">
      <c r="A303" s="0" t="s">
        <v>2081</v>
      </c>
      <c r="B303" s="0" t="s">
        <v>1488</v>
      </c>
      <c r="C303" s="0" t="s">
        <v>1200</v>
      </c>
      <c r="D303" s="0" t="s">
        <v>988</v>
      </c>
      <c r="E303" s="0" t="s">
        <v>107</v>
      </c>
      <c r="F303" s="0" t="n">
        <v>7</v>
      </c>
      <c r="G303" s="0" t="n">
        <v>19</v>
      </c>
      <c r="H303" s="0" t="n">
        <v>0.8</v>
      </c>
      <c r="I303" s="10" t="n">
        <v>0.331</v>
      </c>
      <c r="J303" s="0" t="n">
        <v>1.3</v>
      </c>
      <c r="K303" s="13" t="n">
        <f aca="false">IF(H303&lt;&gt;"",H303,IFERROR(G303/INDEX(Players!$M$2:$M$124,MATCH(B303,Players!$A$2:$A$124,0)),""))</f>
        <v>0.8</v>
      </c>
    </row>
    <row r="304" customFormat="false" ht="15" hidden="false" customHeight="false" outlineLevel="0" collapsed="false">
      <c r="A304" s="0" t="s">
        <v>2082</v>
      </c>
      <c r="B304" s="0" t="s">
        <v>1488</v>
      </c>
      <c r="C304" s="0" t="s">
        <v>1200</v>
      </c>
      <c r="D304" s="0" t="s">
        <v>988</v>
      </c>
      <c r="E304" s="0" t="s">
        <v>150</v>
      </c>
      <c r="F304" s="0" t="n">
        <v>7</v>
      </c>
      <c r="G304" s="0" t="n">
        <v>17.1</v>
      </c>
      <c r="H304" s="0" t="n">
        <v>0.69</v>
      </c>
      <c r="I304" s="10" t="n">
        <v>0.225</v>
      </c>
      <c r="J304" s="0" t="n">
        <v>1.04</v>
      </c>
      <c r="K304" s="13" t="n">
        <f aca="false">IF(H304&lt;&gt;"",H304,IFERROR(G304/INDEX(Players!$M$2:$M$124,MATCH(B304,Players!$A$2:$A$124,0)),""))</f>
        <v>0.69</v>
      </c>
    </row>
    <row r="305" customFormat="false" ht="15" hidden="false" customHeight="false" outlineLevel="0" collapsed="false">
      <c r="A305" s="0" t="s">
        <v>2083</v>
      </c>
      <c r="B305" s="0" t="s">
        <v>1488</v>
      </c>
      <c r="C305" s="0" t="s">
        <v>1200</v>
      </c>
      <c r="D305" s="0" t="s">
        <v>988</v>
      </c>
      <c r="E305" s="0" t="s">
        <v>80</v>
      </c>
      <c r="F305" s="0" t="n">
        <v>4</v>
      </c>
      <c r="G305" s="0" t="n">
        <v>11</v>
      </c>
      <c r="H305" s="0" t="n">
        <v>0.54</v>
      </c>
      <c r="I305" s="10" t="n">
        <v>0.341</v>
      </c>
      <c r="J305" s="0" t="n">
        <v>0.86</v>
      </c>
      <c r="K305" s="13" t="n">
        <f aca="false">IF(H305&lt;&gt;"",H305,IFERROR(G305/INDEX(Players!$M$2:$M$124,MATCH(B305,Players!$A$2:$A$124,0)),""))</f>
        <v>0.54</v>
      </c>
    </row>
    <row r="306" customFormat="false" ht="15" hidden="false" customHeight="false" outlineLevel="0" collapsed="false">
      <c r="A306" s="0" t="s">
        <v>2084</v>
      </c>
      <c r="B306" s="0" t="s">
        <v>1488</v>
      </c>
      <c r="C306" s="0" t="s">
        <v>1200</v>
      </c>
      <c r="D306" s="0" t="s">
        <v>988</v>
      </c>
      <c r="E306" s="0" t="s">
        <v>94</v>
      </c>
      <c r="F306" s="0" t="n">
        <v>3</v>
      </c>
      <c r="G306" s="0" t="n">
        <v>18.3</v>
      </c>
      <c r="H306" s="0" t="n">
        <v>0.72</v>
      </c>
      <c r="I306" s="10" t="n">
        <v>0.418</v>
      </c>
      <c r="J306" s="0" t="n">
        <v>1.34</v>
      </c>
      <c r="K306" s="13" t="n">
        <f aca="false">IF(H306&lt;&gt;"",H306,IFERROR(G306/INDEX(Players!$M$2:$M$124,MATCH(B306,Players!$A$2:$A$124,0)),""))</f>
        <v>0.72</v>
      </c>
    </row>
    <row r="307" customFormat="false" ht="15" hidden="false" customHeight="false" outlineLevel="0" collapsed="false">
      <c r="A307" s="0" t="s">
        <v>2085</v>
      </c>
      <c r="B307" s="0" t="s">
        <v>1531</v>
      </c>
      <c r="C307" s="0" t="s">
        <v>1300</v>
      </c>
      <c r="D307" s="0" t="s">
        <v>988</v>
      </c>
      <c r="E307" s="0" t="s">
        <v>150</v>
      </c>
      <c r="F307" s="0" t="n">
        <v>9</v>
      </c>
      <c r="G307" s="0" t="n">
        <v>14.3</v>
      </c>
      <c r="H307" s="0" t="n">
        <v>0.66</v>
      </c>
      <c r="I307" s="10" t="n">
        <v>0.496</v>
      </c>
      <c r="J307" s="0" t="n">
        <v>1.12</v>
      </c>
      <c r="K307" s="13" t="n">
        <f aca="false">IF(H307&lt;&gt;"",H307,IFERROR(G307/INDEX(Players!$M$2:$M$124,MATCH(B307,Players!$A$2:$A$124,0)),""))</f>
        <v>0.66</v>
      </c>
    </row>
    <row r="308" customFormat="false" ht="15" hidden="false" customHeight="false" outlineLevel="0" collapsed="false">
      <c r="A308" s="0" t="s">
        <v>2086</v>
      </c>
      <c r="B308" s="0" t="s">
        <v>1531</v>
      </c>
      <c r="C308" s="0" t="s">
        <v>1300</v>
      </c>
      <c r="D308" s="0" t="s">
        <v>988</v>
      </c>
      <c r="E308" s="0" t="s">
        <v>131</v>
      </c>
      <c r="F308" s="0" t="n">
        <v>7</v>
      </c>
      <c r="G308" s="0" t="n">
        <v>13.3</v>
      </c>
      <c r="H308" s="0" t="n">
        <v>0.62</v>
      </c>
      <c r="I308" s="10" t="n">
        <v>0.473</v>
      </c>
      <c r="J308" s="0" t="n">
        <v>1.02</v>
      </c>
      <c r="K308" s="13" t="n">
        <f aca="false">IF(H308&lt;&gt;"",H308,IFERROR(G308/INDEX(Players!$M$2:$M$124,MATCH(B308,Players!$A$2:$A$124,0)),""))</f>
        <v>0.62</v>
      </c>
    </row>
    <row r="309" customFormat="false" ht="15" hidden="false" customHeight="false" outlineLevel="0" collapsed="false">
      <c r="A309" s="0" t="s">
        <v>2087</v>
      </c>
      <c r="B309" s="0" t="s">
        <v>1531</v>
      </c>
      <c r="C309" s="0" t="s">
        <v>1300</v>
      </c>
      <c r="D309" s="0" t="s">
        <v>988</v>
      </c>
      <c r="E309" s="0" t="s">
        <v>142</v>
      </c>
      <c r="F309" s="0" t="n">
        <v>6</v>
      </c>
      <c r="G309" s="0" t="n">
        <v>21</v>
      </c>
      <c r="H309" s="0" t="n">
        <v>1</v>
      </c>
      <c r="I309" s="10" t="n">
        <v>0.468</v>
      </c>
      <c r="J309" s="0" t="n">
        <v>1.68</v>
      </c>
      <c r="K309" s="13" t="n">
        <f aca="false">IF(H309&lt;&gt;"",H309,IFERROR(G309/INDEX(Players!$M$2:$M$124,MATCH(B309,Players!$A$2:$A$124,0)),""))</f>
        <v>1</v>
      </c>
    </row>
    <row r="310" customFormat="false" ht="15" hidden="false" customHeight="false" outlineLevel="0" collapsed="false">
      <c r="A310" s="0" t="s">
        <v>2088</v>
      </c>
      <c r="B310" s="0" t="s">
        <v>1531</v>
      </c>
      <c r="C310" s="0" t="s">
        <v>1300</v>
      </c>
      <c r="D310" s="0" t="s">
        <v>988</v>
      </c>
      <c r="E310" s="0" t="s">
        <v>121</v>
      </c>
      <c r="F310" s="0" t="n">
        <v>5</v>
      </c>
      <c r="G310" s="0" t="n">
        <v>18</v>
      </c>
      <c r="H310" s="0" t="n">
        <v>0.8</v>
      </c>
      <c r="I310" s="10" t="n">
        <v>0.544</v>
      </c>
      <c r="J310" s="0" t="n">
        <v>1.15</v>
      </c>
      <c r="K310" s="13" t="n">
        <f aca="false">IF(H310&lt;&gt;"",H310,IFERROR(G310/INDEX(Players!$M$2:$M$124,MATCH(B310,Players!$A$2:$A$124,0)),""))</f>
        <v>0.8</v>
      </c>
    </row>
    <row r="311" customFormat="false" ht="15" hidden="false" customHeight="false" outlineLevel="0" collapsed="false">
      <c r="A311" s="0" t="s">
        <v>2089</v>
      </c>
      <c r="B311" s="0" t="s">
        <v>1531</v>
      </c>
      <c r="C311" s="0" t="s">
        <v>1300</v>
      </c>
      <c r="D311" s="0" t="s">
        <v>988</v>
      </c>
      <c r="E311" s="0" t="s">
        <v>80</v>
      </c>
      <c r="F311" s="0" t="n">
        <v>5</v>
      </c>
      <c r="G311" s="0" t="n">
        <v>15</v>
      </c>
      <c r="H311" s="0" t="n">
        <v>0.67</v>
      </c>
      <c r="I311" s="10" t="n">
        <v>0.52</v>
      </c>
      <c r="J311" s="0" t="n">
        <v>0.97</v>
      </c>
      <c r="K311" s="13" t="n">
        <f aca="false">IF(H311&lt;&gt;"",H311,IFERROR(G311/INDEX(Players!$M$2:$M$124,MATCH(B311,Players!$A$2:$A$124,0)),""))</f>
        <v>0.67</v>
      </c>
    </row>
    <row r="312" customFormat="false" ht="15" hidden="false" customHeight="false" outlineLevel="0" collapsed="false">
      <c r="A312" s="0" t="s">
        <v>2090</v>
      </c>
      <c r="B312" s="0" t="s">
        <v>1531</v>
      </c>
      <c r="C312" s="0" t="s">
        <v>1300</v>
      </c>
      <c r="D312" s="0" t="s">
        <v>988</v>
      </c>
      <c r="E312" s="0" t="s">
        <v>94</v>
      </c>
      <c r="F312" s="0" t="n">
        <v>4</v>
      </c>
      <c r="G312" s="0" t="n">
        <v>15.3</v>
      </c>
      <c r="H312" s="0" t="n">
        <v>0.73</v>
      </c>
      <c r="I312" s="10" t="n">
        <v>0.508</v>
      </c>
      <c r="J312" s="0" t="n">
        <v>1.11</v>
      </c>
      <c r="K312" s="13" t="n">
        <f aca="false">IF(H312&lt;&gt;"",H312,IFERROR(G312/INDEX(Players!$M$2:$M$124,MATCH(B312,Players!$A$2:$A$124,0)),""))</f>
        <v>0.73</v>
      </c>
    </row>
    <row r="313" customFormat="false" ht="15" hidden="false" customHeight="false" outlineLevel="0" collapsed="false">
      <c r="A313" s="0" t="s">
        <v>2091</v>
      </c>
      <c r="B313" s="0" t="s">
        <v>1514</v>
      </c>
      <c r="C313" s="0" t="s">
        <v>1264</v>
      </c>
      <c r="D313" s="0" t="s">
        <v>988</v>
      </c>
      <c r="E313" s="0" t="s">
        <v>121</v>
      </c>
      <c r="F313" s="0" t="n">
        <v>11</v>
      </c>
      <c r="G313" s="0" t="n">
        <v>15.8</v>
      </c>
      <c r="H313" s="0" t="n">
        <v>0.75</v>
      </c>
      <c r="I313" s="10" t="n">
        <v>0.534</v>
      </c>
      <c r="J313" s="0" t="n">
        <v>1.05</v>
      </c>
      <c r="K313" s="13" t="n">
        <f aca="false">IF(H313&lt;&gt;"",H313,IFERROR(G313/INDEX(Players!$M$2:$M$124,MATCH(B313,Players!$A$2:$A$124,0)),""))</f>
        <v>0.75</v>
      </c>
    </row>
    <row r="314" customFormat="false" ht="15" hidden="false" customHeight="false" outlineLevel="0" collapsed="false">
      <c r="A314" s="0" t="s">
        <v>2092</v>
      </c>
      <c r="B314" s="0" t="s">
        <v>1514</v>
      </c>
      <c r="C314" s="0" t="s">
        <v>1264</v>
      </c>
      <c r="D314" s="0" t="s">
        <v>988</v>
      </c>
      <c r="E314" s="0" t="s">
        <v>107</v>
      </c>
      <c r="F314" s="0" t="n">
        <v>7</v>
      </c>
      <c r="G314" s="0" t="n">
        <v>16.3</v>
      </c>
      <c r="H314" s="0" t="n">
        <v>0.67</v>
      </c>
      <c r="I314" s="10" t="n">
        <v>0.553</v>
      </c>
      <c r="J314" s="0" t="n">
        <v>0.92</v>
      </c>
      <c r="K314" s="13" t="n">
        <f aca="false">IF(H314&lt;&gt;"",H314,IFERROR(G314/INDEX(Players!$M$2:$M$124,MATCH(B314,Players!$A$2:$A$124,0)),""))</f>
        <v>0.67</v>
      </c>
    </row>
    <row r="315" customFormat="false" ht="15" hidden="false" customHeight="false" outlineLevel="0" collapsed="false">
      <c r="A315" s="0" t="s">
        <v>2093</v>
      </c>
      <c r="B315" s="0" t="s">
        <v>1514</v>
      </c>
      <c r="C315" s="0" t="s">
        <v>1264</v>
      </c>
      <c r="D315" s="0" t="s">
        <v>988</v>
      </c>
      <c r="E315" s="0" t="s">
        <v>150</v>
      </c>
      <c r="F315" s="0" t="n">
        <v>6</v>
      </c>
      <c r="G315" s="0" t="n">
        <v>17.2</v>
      </c>
      <c r="H315" s="0" t="n">
        <v>0.79</v>
      </c>
      <c r="I315" s="10" t="n">
        <v>0.485</v>
      </c>
      <c r="J315" s="0" t="n">
        <v>1.1</v>
      </c>
      <c r="K315" s="13" t="n">
        <f aca="false">IF(H315&lt;&gt;"",H315,IFERROR(G315/INDEX(Players!$M$2:$M$124,MATCH(B315,Players!$A$2:$A$124,0)),""))</f>
        <v>0.79</v>
      </c>
    </row>
    <row r="316" customFormat="false" ht="15" hidden="false" customHeight="false" outlineLevel="0" collapsed="false">
      <c r="A316" s="0" t="s">
        <v>2094</v>
      </c>
      <c r="B316" s="0" t="s">
        <v>1514</v>
      </c>
      <c r="C316" s="0" t="s">
        <v>1264</v>
      </c>
      <c r="D316" s="0" t="s">
        <v>988</v>
      </c>
      <c r="E316" s="0" t="s">
        <v>94</v>
      </c>
      <c r="F316" s="0" t="n">
        <v>5</v>
      </c>
      <c r="G316" s="0" t="n">
        <v>17.2</v>
      </c>
      <c r="H316" s="0" t="n">
        <v>0.8</v>
      </c>
      <c r="I316" s="10" t="n">
        <v>0.535</v>
      </c>
      <c r="J316" s="0" t="n">
        <v>1.13</v>
      </c>
      <c r="K316" s="13" t="n">
        <f aca="false">IF(H316&lt;&gt;"",H316,IFERROR(G316/INDEX(Players!$M$2:$M$124,MATCH(B316,Players!$A$2:$A$124,0)),""))</f>
        <v>0.8</v>
      </c>
    </row>
    <row r="317" customFormat="false" ht="15" hidden="false" customHeight="false" outlineLevel="0" collapsed="false">
      <c r="A317" s="0" t="s">
        <v>2095</v>
      </c>
      <c r="B317" s="0" t="s">
        <v>1514</v>
      </c>
      <c r="C317" s="0" t="s">
        <v>1264</v>
      </c>
      <c r="D317" s="0" t="s">
        <v>988</v>
      </c>
      <c r="E317" s="0" t="s">
        <v>80</v>
      </c>
      <c r="F317" s="0" t="n">
        <v>5</v>
      </c>
      <c r="G317" s="0" t="n">
        <v>12.8</v>
      </c>
      <c r="H317" s="0" t="n">
        <v>0.6</v>
      </c>
      <c r="I317" s="10" t="n">
        <v>0.531</v>
      </c>
      <c r="J317" s="0" t="n">
        <v>0.79</v>
      </c>
      <c r="K317" s="13" t="n">
        <f aca="false">IF(H317&lt;&gt;"",H317,IFERROR(G317/INDEX(Players!$M$2:$M$124,MATCH(B317,Players!$A$2:$A$124,0)),""))</f>
        <v>0.6</v>
      </c>
    </row>
    <row r="318" customFormat="false" ht="15" hidden="false" customHeight="false" outlineLevel="0" collapsed="false">
      <c r="A318" s="0" t="s">
        <v>2096</v>
      </c>
      <c r="B318" s="0" t="s">
        <v>1514</v>
      </c>
      <c r="C318" s="0" t="s">
        <v>1264</v>
      </c>
      <c r="D318" s="0" t="s">
        <v>988</v>
      </c>
      <c r="E318" s="0" t="s">
        <v>131</v>
      </c>
      <c r="F318" s="0" t="n">
        <v>1</v>
      </c>
      <c r="G318" s="0" t="n">
        <v>18</v>
      </c>
      <c r="H318" s="0" t="n">
        <v>0.78</v>
      </c>
      <c r="I318" s="10" t="n">
        <v>0.722</v>
      </c>
      <c r="J318" s="0" t="n">
        <v>1.2</v>
      </c>
      <c r="K318" s="13" t="n">
        <f aca="false">IF(H318&lt;&gt;"",H318,IFERROR(G318/INDEX(Players!$M$2:$M$124,MATCH(B318,Players!$A$2:$A$124,0)),""))</f>
        <v>0.78</v>
      </c>
    </row>
    <row r="319" customFormat="false" ht="15" hidden="false" customHeight="false" outlineLevel="0" collapsed="false">
      <c r="A319" s="0" t="s">
        <v>2097</v>
      </c>
      <c r="B319" s="0" t="s">
        <v>1514</v>
      </c>
      <c r="C319" s="0" t="s">
        <v>1264</v>
      </c>
      <c r="D319" s="0" t="s">
        <v>988</v>
      </c>
      <c r="E319" s="0" t="s">
        <v>142</v>
      </c>
      <c r="F319" s="0" t="n">
        <v>1</v>
      </c>
      <c r="G319" s="0" t="n">
        <v>15</v>
      </c>
      <c r="H319" s="0" t="n">
        <v>0.63</v>
      </c>
      <c r="I319" s="10" t="n">
        <v>0.533</v>
      </c>
      <c r="J319" s="0" t="n">
        <v>0.88</v>
      </c>
      <c r="K319" s="13" t="n">
        <f aca="false">IF(H319&lt;&gt;"",H319,IFERROR(G319/INDEX(Players!$M$2:$M$124,MATCH(B319,Players!$A$2:$A$124,0)),""))</f>
        <v>0.63</v>
      </c>
    </row>
    <row r="320" customFormat="false" ht="15" hidden="false" customHeight="false" outlineLevel="0" collapsed="false">
      <c r="A320" s="0" t="s">
        <v>2098</v>
      </c>
      <c r="B320" s="0" t="s">
        <v>1503</v>
      </c>
      <c r="C320" s="0" t="s">
        <v>1235</v>
      </c>
      <c r="D320" s="0" t="s">
        <v>988</v>
      </c>
      <c r="E320" s="0" t="s">
        <v>150</v>
      </c>
      <c r="F320" s="0" t="n">
        <v>10</v>
      </c>
      <c r="G320" s="0" t="n">
        <v>17.4</v>
      </c>
      <c r="H320" s="0" t="n">
        <v>0.78</v>
      </c>
      <c r="I320" s="10" t="n">
        <v>0.489</v>
      </c>
      <c r="J320" s="0" t="n">
        <v>1.28</v>
      </c>
      <c r="K320" s="13" t="n">
        <f aca="false">IF(H320&lt;&gt;"",H320,IFERROR(G320/INDEX(Players!$M$2:$M$124,MATCH(B320,Players!$A$2:$A$124,0)),""))</f>
        <v>0.78</v>
      </c>
    </row>
    <row r="321" customFormat="false" ht="15" hidden="false" customHeight="false" outlineLevel="0" collapsed="false">
      <c r="A321" s="0" t="s">
        <v>2099</v>
      </c>
      <c r="B321" s="0" t="s">
        <v>1503</v>
      </c>
      <c r="C321" s="0" t="s">
        <v>1235</v>
      </c>
      <c r="D321" s="0" t="s">
        <v>988</v>
      </c>
      <c r="E321" s="0" t="s">
        <v>142</v>
      </c>
      <c r="F321" s="0" t="n">
        <v>6</v>
      </c>
      <c r="G321" s="0" t="n">
        <v>14.3</v>
      </c>
      <c r="H321" s="0" t="n">
        <v>0.7</v>
      </c>
      <c r="I321" s="10" t="n">
        <v>0.512</v>
      </c>
      <c r="J321" s="0" t="n">
        <v>1.39</v>
      </c>
      <c r="K321" s="13" t="n">
        <f aca="false">IF(H321&lt;&gt;"",H321,IFERROR(G321/INDEX(Players!$M$2:$M$124,MATCH(B321,Players!$A$2:$A$124,0)),""))</f>
        <v>0.7</v>
      </c>
    </row>
    <row r="322" customFormat="false" ht="15" hidden="false" customHeight="false" outlineLevel="0" collapsed="false">
      <c r="A322" s="0" t="s">
        <v>2100</v>
      </c>
      <c r="B322" s="0" t="s">
        <v>1503</v>
      </c>
      <c r="C322" s="0" t="s">
        <v>1235</v>
      </c>
      <c r="D322" s="0" t="s">
        <v>988</v>
      </c>
      <c r="E322" s="0" t="s">
        <v>80</v>
      </c>
      <c r="F322" s="0" t="n">
        <v>6</v>
      </c>
      <c r="G322" s="0" t="n">
        <v>15.3</v>
      </c>
      <c r="H322" s="0" t="n">
        <v>0.7</v>
      </c>
      <c r="I322" s="10" t="n">
        <v>0.522</v>
      </c>
      <c r="J322" s="0" t="n">
        <v>1.24</v>
      </c>
      <c r="K322" s="13" t="n">
        <f aca="false">IF(H322&lt;&gt;"",H322,IFERROR(G322/INDEX(Players!$M$2:$M$124,MATCH(B322,Players!$A$2:$A$124,0)),""))</f>
        <v>0.7</v>
      </c>
    </row>
    <row r="323" customFormat="false" ht="15" hidden="false" customHeight="false" outlineLevel="0" collapsed="false">
      <c r="A323" s="0" t="s">
        <v>2101</v>
      </c>
      <c r="B323" s="0" t="s">
        <v>1503</v>
      </c>
      <c r="C323" s="0" t="s">
        <v>1235</v>
      </c>
      <c r="D323" s="0" t="s">
        <v>988</v>
      </c>
      <c r="E323" s="0" t="s">
        <v>131</v>
      </c>
      <c r="F323" s="0" t="n">
        <v>6</v>
      </c>
      <c r="G323" s="0" t="n">
        <v>14</v>
      </c>
      <c r="H323" s="0" t="n">
        <v>0.66</v>
      </c>
      <c r="I323" s="10" t="n">
        <v>0.5</v>
      </c>
      <c r="J323" s="0" t="n">
        <v>1.09</v>
      </c>
      <c r="K323" s="13" t="n">
        <f aca="false">IF(H323&lt;&gt;"",H323,IFERROR(G323/INDEX(Players!$M$2:$M$124,MATCH(B323,Players!$A$2:$A$124,0)),""))</f>
        <v>0.66</v>
      </c>
    </row>
    <row r="324" customFormat="false" ht="15" hidden="false" customHeight="false" outlineLevel="0" collapsed="false">
      <c r="A324" s="0" t="s">
        <v>2102</v>
      </c>
      <c r="B324" s="0" t="s">
        <v>1503</v>
      </c>
      <c r="C324" s="0" t="s">
        <v>1235</v>
      </c>
      <c r="D324" s="0" t="s">
        <v>988</v>
      </c>
      <c r="E324" s="0" t="s">
        <v>107</v>
      </c>
      <c r="F324" s="0" t="n">
        <v>4</v>
      </c>
      <c r="G324" s="0" t="n">
        <v>18.3</v>
      </c>
      <c r="H324" s="0" t="n">
        <v>0.92</v>
      </c>
      <c r="I324" s="10" t="n">
        <v>0.548</v>
      </c>
      <c r="J324" s="0" t="n">
        <v>1.74</v>
      </c>
      <c r="K324" s="13" t="n">
        <f aca="false">IF(H324&lt;&gt;"",H324,IFERROR(G324/INDEX(Players!$M$2:$M$124,MATCH(B324,Players!$A$2:$A$124,0)),""))</f>
        <v>0.92</v>
      </c>
    </row>
    <row r="325" customFormat="false" ht="15" hidden="false" customHeight="false" outlineLevel="0" collapsed="false">
      <c r="A325" s="0" t="s">
        <v>2103</v>
      </c>
      <c r="B325" s="0" t="s">
        <v>1503</v>
      </c>
      <c r="C325" s="0" t="s">
        <v>1235</v>
      </c>
      <c r="D325" s="0" t="s">
        <v>988</v>
      </c>
      <c r="E325" s="0" t="s">
        <v>121</v>
      </c>
      <c r="F325" s="0" t="n">
        <v>4</v>
      </c>
      <c r="G325" s="0" t="n">
        <v>15</v>
      </c>
      <c r="H325" s="0" t="n">
        <v>0.61</v>
      </c>
      <c r="I325" s="10" t="n">
        <v>0.467</v>
      </c>
      <c r="J325" s="0" t="n">
        <v>1.05</v>
      </c>
      <c r="K325" s="13" t="n">
        <f aca="false">IF(H325&lt;&gt;"",H325,IFERROR(G325/INDEX(Players!$M$2:$M$124,MATCH(B325,Players!$A$2:$A$124,0)),""))</f>
        <v>0.61</v>
      </c>
    </row>
    <row r="326" customFormat="false" ht="15" hidden="false" customHeight="false" outlineLevel="0" collapsed="false">
      <c r="A326" s="0" t="s">
        <v>2104</v>
      </c>
      <c r="B326" s="0" t="s">
        <v>1503</v>
      </c>
      <c r="C326" s="0" t="s">
        <v>1235</v>
      </c>
      <c r="D326" s="0" t="s">
        <v>988</v>
      </c>
      <c r="E326" s="0" t="s">
        <v>94</v>
      </c>
      <c r="F326" s="0" t="n">
        <v>1</v>
      </c>
      <c r="G326" s="0" t="n">
        <v>16</v>
      </c>
      <c r="H326" s="0" t="n">
        <v>0.76</v>
      </c>
      <c r="I326" s="10" t="n">
        <v>0.5</v>
      </c>
      <c r="J326" s="0" t="n">
        <v>1.14</v>
      </c>
      <c r="K326" s="13" t="n">
        <f aca="false">IF(H326&lt;&gt;"",H326,IFERROR(G326/INDEX(Players!$M$2:$M$124,MATCH(B326,Players!$A$2:$A$124,0)),""))</f>
        <v>0.76</v>
      </c>
    </row>
    <row r="327" customFormat="false" ht="15" hidden="false" customHeight="false" outlineLevel="0" collapsed="false">
      <c r="A327" s="0" t="s">
        <v>2105</v>
      </c>
      <c r="B327" s="0" t="s">
        <v>1493</v>
      </c>
      <c r="C327" s="0" t="s">
        <v>1211</v>
      </c>
      <c r="D327" s="0" t="s">
        <v>988</v>
      </c>
      <c r="E327" s="0" t="s">
        <v>107</v>
      </c>
      <c r="F327" s="0" t="n">
        <v>9</v>
      </c>
      <c r="G327" s="0" t="n">
        <v>13</v>
      </c>
      <c r="H327" s="0" t="n">
        <v>0.62</v>
      </c>
      <c r="I327" s="10" t="n">
        <v>0.487</v>
      </c>
      <c r="J327" s="0" t="n">
        <v>0.93</v>
      </c>
      <c r="K327" s="13" t="n">
        <f aca="false">IF(H327&lt;&gt;"",H327,IFERROR(G327/INDEX(Players!$M$2:$M$124,MATCH(B327,Players!$A$2:$A$124,0)),""))</f>
        <v>0.62</v>
      </c>
    </row>
    <row r="328" customFormat="false" ht="15" hidden="false" customHeight="false" outlineLevel="0" collapsed="false">
      <c r="A328" s="0" t="s">
        <v>2106</v>
      </c>
      <c r="B328" s="0" t="s">
        <v>1493</v>
      </c>
      <c r="C328" s="0" t="s">
        <v>1211</v>
      </c>
      <c r="D328" s="0" t="s">
        <v>988</v>
      </c>
      <c r="E328" s="0" t="s">
        <v>131</v>
      </c>
      <c r="F328" s="0" t="n">
        <v>7</v>
      </c>
      <c r="G328" s="0" t="n">
        <v>14.1</v>
      </c>
      <c r="H328" s="0" t="n">
        <v>0.77</v>
      </c>
      <c r="I328" s="10" t="n">
        <v>0.535</v>
      </c>
      <c r="J328" s="0" t="n">
        <v>1.48</v>
      </c>
      <c r="K328" s="13" t="n">
        <f aca="false">IF(H328&lt;&gt;"",H328,IFERROR(G328/INDEX(Players!$M$2:$M$124,MATCH(B328,Players!$A$2:$A$124,0)),""))</f>
        <v>0.77</v>
      </c>
    </row>
    <row r="329" customFormat="false" ht="15" hidden="false" customHeight="false" outlineLevel="0" collapsed="false">
      <c r="A329" s="0" t="s">
        <v>2107</v>
      </c>
      <c r="B329" s="0" t="s">
        <v>1493</v>
      </c>
      <c r="C329" s="0" t="s">
        <v>1211</v>
      </c>
      <c r="D329" s="0" t="s">
        <v>988</v>
      </c>
      <c r="E329" s="0" t="s">
        <v>94</v>
      </c>
      <c r="F329" s="0" t="n">
        <v>5</v>
      </c>
      <c r="G329" s="0" t="n">
        <v>12.8</v>
      </c>
      <c r="H329" s="0" t="n">
        <v>0.6</v>
      </c>
      <c r="I329" s="10" t="n">
        <v>0.594</v>
      </c>
      <c r="J329" s="0" t="n">
        <v>0.88</v>
      </c>
      <c r="K329" s="13" t="n">
        <f aca="false">IF(H329&lt;&gt;"",H329,IFERROR(G329/INDEX(Players!$M$2:$M$124,MATCH(B329,Players!$A$2:$A$124,0)),""))</f>
        <v>0.6</v>
      </c>
    </row>
    <row r="330" customFormat="false" ht="15" hidden="false" customHeight="false" outlineLevel="0" collapsed="false">
      <c r="A330" s="0" t="s">
        <v>2108</v>
      </c>
      <c r="B330" s="0" t="s">
        <v>1493</v>
      </c>
      <c r="C330" s="0" t="s">
        <v>1211</v>
      </c>
      <c r="D330" s="0" t="s">
        <v>988</v>
      </c>
      <c r="E330" s="0" t="s">
        <v>150</v>
      </c>
      <c r="F330" s="0" t="n">
        <v>4</v>
      </c>
      <c r="G330" s="0" t="n">
        <v>18.3</v>
      </c>
      <c r="H330" s="0" t="n">
        <v>0.76</v>
      </c>
      <c r="I330" s="10" t="n">
        <v>0.575</v>
      </c>
      <c r="J330" s="0" t="n">
        <v>1.28</v>
      </c>
      <c r="K330" s="13" t="n">
        <f aca="false">IF(H330&lt;&gt;"",H330,IFERROR(G330/INDEX(Players!$M$2:$M$124,MATCH(B330,Players!$A$2:$A$124,0)),""))</f>
        <v>0.76</v>
      </c>
    </row>
    <row r="331" customFormat="false" ht="15" hidden="false" customHeight="false" outlineLevel="0" collapsed="false">
      <c r="A331" s="0" t="s">
        <v>2109</v>
      </c>
      <c r="B331" s="0" t="s">
        <v>1493</v>
      </c>
      <c r="C331" s="0" t="s">
        <v>1211</v>
      </c>
      <c r="D331" s="0" t="s">
        <v>988</v>
      </c>
      <c r="E331" s="0" t="s">
        <v>80</v>
      </c>
      <c r="F331" s="0" t="n">
        <v>4</v>
      </c>
      <c r="G331" s="0" t="n">
        <v>20.8</v>
      </c>
      <c r="H331" s="0" t="n">
        <v>0.7</v>
      </c>
      <c r="I331" s="10" t="n">
        <v>0.506</v>
      </c>
      <c r="J331" s="0" t="n">
        <v>1.04</v>
      </c>
      <c r="K331" s="13" t="n">
        <f aca="false">IF(H331&lt;&gt;"",H331,IFERROR(G331/INDEX(Players!$M$2:$M$124,MATCH(B331,Players!$A$2:$A$124,0)),""))</f>
        <v>0.7</v>
      </c>
    </row>
    <row r="332" customFormat="false" ht="15" hidden="false" customHeight="false" outlineLevel="0" collapsed="false">
      <c r="A332" s="0" t="s">
        <v>2110</v>
      </c>
      <c r="B332" s="0" t="s">
        <v>1493</v>
      </c>
      <c r="C332" s="0" t="s">
        <v>1211</v>
      </c>
      <c r="D332" s="0" t="s">
        <v>988</v>
      </c>
      <c r="E332" s="0" t="s">
        <v>121</v>
      </c>
      <c r="F332" s="0" t="n">
        <v>4</v>
      </c>
      <c r="G332" s="0" t="n">
        <v>12.5</v>
      </c>
      <c r="H332" s="0" t="n">
        <v>0.63</v>
      </c>
      <c r="I332" s="10" t="n">
        <v>0.5</v>
      </c>
      <c r="J332" s="0" t="n">
        <v>0.89</v>
      </c>
      <c r="K332" s="13" t="n">
        <f aca="false">IF(H332&lt;&gt;"",H332,IFERROR(G332/INDEX(Players!$M$2:$M$124,MATCH(B332,Players!$A$2:$A$124,0)),""))</f>
        <v>0.63</v>
      </c>
    </row>
    <row r="333" customFormat="false" ht="15" hidden="false" customHeight="false" outlineLevel="0" collapsed="false">
      <c r="A333" s="0" t="s">
        <v>2111</v>
      </c>
      <c r="B333" s="0" t="s">
        <v>1462</v>
      </c>
      <c r="C333" s="0" t="s">
        <v>1130</v>
      </c>
      <c r="D333" s="0" t="s">
        <v>988</v>
      </c>
      <c r="E333" s="0" t="s">
        <v>150</v>
      </c>
      <c r="F333" s="0" t="n">
        <v>9</v>
      </c>
      <c r="G333" s="0" t="n">
        <v>14.4</v>
      </c>
      <c r="H333" s="0" t="n">
        <v>0.69</v>
      </c>
      <c r="I333" s="10" t="n">
        <v>0.662</v>
      </c>
      <c r="J333" s="0" t="n">
        <v>1.1</v>
      </c>
      <c r="K333" s="13" t="n">
        <f aca="false">IF(H333&lt;&gt;"",H333,IFERROR(G333/INDEX(Players!$M$2:$M$124,MATCH(B333,Players!$A$2:$A$124,0)),""))</f>
        <v>0.69</v>
      </c>
    </row>
    <row r="334" customFormat="false" ht="15" hidden="false" customHeight="false" outlineLevel="0" collapsed="false">
      <c r="A334" s="0" t="s">
        <v>2112</v>
      </c>
      <c r="B334" s="0" t="s">
        <v>1462</v>
      </c>
      <c r="C334" s="0" t="s">
        <v>1130</v>
      </c>
      <c r="D334" s="0" t="s">
        <v>988</v>
      </c>
      <c r="E334" s="0" t="s">
        <v>107</v>
      </c>
      <c r="F334" s="0" t="n">
        <v>8</v>
      </c>
      <c r="G334" s="0" t="n">
        <v>16.8</v>
      </c>
      <c r="H334" s="0" t="n">
        <v>0.81</v>
      </c>
      <c r="I334" s="10" t="n">
        <v>0.739</v>
      </c>
      <c r="J334" s="0" t="n">
        <v>1.24</v>
      </c>
      <c r="K334" s="13" t="n">
        <f aca="false">IF(H334&lt;&gt;"",H334,IFERROR(G334/INDEX(Players!$M$2:$M$124,MATCH(B334,Players!$A$2:$A$124,0)),""))</f>
        <v>0.81</v>
      </c>
    </row>
    <row r="335" customFormat="false" ht="15" hidden="false" customHeight="false" outlineLevel="0" collapsed="false">
      <c r="A335" s="0" t="s">
        <v>2113</v>
      </c>
      <c r="B335" s="0" t="s">
        <v>1462</v>
      </c>
      <c r="C335" s="0" t="s">
        <v>1130</v>
      </c>
      <c r="D335" s="0" t="s">
        <v>988</v>
      </c>
      <c r="E335" s="0" t="s">
        <v>131</v>
      </c>
      <c r="F335" s="0" t="n">
        <v>7</v>
      </c>
      <c r="G335" s="0" t="n">
        <v>14.1</v>
      </c>
      <c r="H335" s="0" t="n">
        <v>0.7</v>
      </c>
      <c r="I335" s="10" t="n">
        <v>0.646</v>
      </c>
      <c r="J335" s="0" t="n">
        <v>1.1</v>
      </c>
      <c r="K335" s="13" t="n">
        <f aca="false">IF(H335&lt;&gt;"",H335,IFERROR(G335/INDEX(Players!$M$2:$M$124,MATCH(B335,Players!$A$2:$A$124,0)),""))</f>
        <v>0.7</v>
      </c>
    </row>
    <row r="336" customFormat="false" ht="15" hidden="false" customHeight="false" outlineLevel="0" collapsed="false">
      <c r="A336" s="0" t="s">
        <v>2114</v>
      </c>
      <c r="B336" s="0" t="s">
        <v>1462</v>
      </c>
      <c r="C336" s="0" t="s">
        <v>1130</v>
      </c>
      <c r="D336" s="0" t="s">
        <v>988</v>
      </c>
      <c r="E336" s="0" t="s">
        <v>121</v>
      </c>
      <c r="F336" s="0" t="n">
        <v>6</v>
      </c>
      <c r="G336" s="0" t="n">
        <v>19.3</v>
      </c>
      <c r="H336" s="0" t="n">
        <v>0.76</v>
      </c>
      <c r="I336" s="10" t="n">
        <v>0.698</v>
      </c>
      <c r="J336" s="0" t="n">
        <v>1.08</v>
      </c>
      <c r="K336" s="13" t="n">
        <f aca="false">IF(H336&lt;&gt;"",H336,IFERROR(G336/INDEX(Players!$M$2:$M$124,MATCH(B336,Players!$A$2:$A$124,0)),""))</f>
        <v>0.76</v>
      </c>
    </row>
    <row r="337" customFormat="false" ht="15" hidden="false" customHeight="false" outlineLevel="0" collapsed="false">
      <c r="A337" s="0" t="s">
        <v>2115</v>
      </c>
      <c r="B337" s="0" t="s">
        <v>1462</v>
      </c>
      <c r="C337" s="0" t="s">
        <v>1130</v>
      </c>
      <c r="D337" s="0" t="s">
        <v>988</v>
      </c>
      <c r="E337" s="0" t="s">
        <v>142</v>
      </c>
      <c r="F337" s="0" t="n">
        <v>5</v>
      </c>
      <c r="G337" s="0" t="n">
        <v>13</v>
      </c>
      <c r="H337" s="0" t="n">
        <v>0.64</v>
      </c>
      <c r="I337" s="10" t="n">
        <v>0.631</v>
      </c>
      <c r="J337" s="0" t="n">
        <v>1.08</v>
      </c>
      <c r="K337" s="13" t="n">
        <f aca="false">IF(H337&lt;&gt;"",H337,IFERROR(G337/INDEX(Players!$M$2:$M$124,MATCH(B337,Players!$A$2:$A$124,0)),""))</f>
        <v>0.64</v>
      </c>
    </row>
    <row r="338" customFormat="false" ht="15" hidden="false" customHeight="false" outlineLevel="0" collapsed="false">
      <c r="A338" s="0" t="s">
        <v>2116</v>
      </c>
      <c r="B338" s="0" t="s">
        <v>1462</v>
      </c>
      <c r="C338" s="0" t="s">
        <v>1130</v>
      </c>
      <c r="D338" s="0" t="s">
        <v>988</v>
      </c>
      <c r="E338" s="0" t="s">
        <v>94</v>
      </c>
      <c r="F338" s="0" t="n">
        <v>1</v>
      </c>
      <c r="G338" s="0" t="n">
        <v>16</v>
      </c>
      <c r="H338" s="0" t="n">
        <v>0.73</v>
      </c>
      <c r="I338" s="10" t="n">
        <v>0.5</v>
      </c>
      <c r="J338" s="0" t="n">
        <v>1</v>
      </c>
      <c r="K338" s="13" t="n">
        <f aca="false">IF(H338&lt;&gt;"",H338,IFERROR(G338/INDEX(Players!$M$2:$M$124,MATCH(B338,Players!$A$2:$A$124,0)),""))</f>
        <v>0.73</v>
      </c>
    </row>
    <row r="339" customFormat="false" ht="15" hidden="false" customHeight="false" outlineLevel="0" collapsed="false">
      <c r="A339" s="0" t="s">
        <v>2117</v>
      </c>
      <c r="B339" s="0" t="s">
        <v>1525</v>
      </c>
      <c r="C339" s="0" t="s">
        <v>1287</v>
      </c>
      <c r="D339" s="0" t="s">
        <v>988</v>
      </c>
      <c r="E339" s="0" t="s">
        <v>121</v>
      </c>
      <c r="F339" s="0" t="n">
        <v>10</v>
      </c>
      <c r="G339" s="0" t="n">
        <v>14.5</v>
      </c>
      <c r="H339" s="0" t="n">
        <v>0.65</v>
      </c>
      <c r="I339" s="10" t="n">
        <v>0.628</v>
      </c>
      <c r="J339" s="0" t="n">
        <v>1.05</v>
      </c>
      <c r="K339" s="13" t="n">
        <f aca="false">IF(H339&lt;&gt;"",H339,IFERROR(G339/INDEX(Players!$M$2:$M$124,MATCH(B339,Players!$A$2:$A$124,0)),""))</f>
        <v>0.65</v>
      </c>
    </row>
    <row r="340" customFormat="false" ht="15" hidden="false" customHeight="false" outlineLevel="0" collapsed="false">
      <c r="A340" s="0" t="s">
        <v>2118</v>
      </c>
      <c r="B340" s="0" t="s">
        <v>1525</v>
      </c>
      <c r="C340" s="0" t="s">
        <v>1287</v>
      </c>
      <c r="D340" s="0" t="s">
        <v>988</v>
      </c>
      <c r="E340" s="0" t="s">
        <v>107</v>
      </c>
      <c r="F340" s="0" t="n">
        <v>6</v>
      </c>
      <c r="G340" s="0" t="n">
        <v>17.8</v>
      </c>
      <c r="H340" s="0" t="n">
        <v>0.7</v>
      </c>
      <c r="I340" s="10" t="n">
        <v>0.533</v>
      </c>
      <c r="J340" s="0" t="n">
        <v>0.96</v>
      </c>
      <c r="K340" s="13" t="n">
        <f aca="false">IF(H340&lt;&gt;"",H340,IFERROR(G340/INDEX(Players!$M$2:$M$124,MATCH(B340,Players!$A$2:$A$124,0)),""))</f>
        <v>0.7</v>
      </c>
    </row>
    <row r="341" customFormat="false" ht="15" hidden="false" customHeight="false" outlineLevel="0" collapsed="false">
      <c r="A341" s="0" t="s">
        <v>2119</v>
      </c>
      <c r="B341" s="0" t="s">
        <v>1525</v>
      </c>
      <c r="C341" s="0" t="s">
        <v>1287</v>
      </c>
      <c r="D341" s="0" t="s">
        <v>988</v>
      </c>
      <c r="E341" s="0" t="s">
        <v>150</v>
      </c>
      <c r="F341" s="0" t="n">
        <v>4</v>
      </c>
      <c r="G341" s="0" t="n">
        <v>17.8</v>
      </c>
      <c r="H341" s="0" t="n">
        <v>0.66</v>
      </c>
      <c r="I341" s="10" t="n">
        <v>0.521</v>
      </c>
      <c r="J341" s="0" t="n">
        <v>1.01</v>
      </c>
      <c r="K341" s="13" t="n">
        <f aca="false">IF(H341&lt;&gt;"",H341,IFERROR(G341/INDEX(Players!$M$2:$M$124,MATCH(B341,Players!$A$2:$A$124,0)),""))</f>
        <v>0.66</v>
      </c>
    </row>
    <row r="342" customFormat="false" ht="15" hidden="false" customHeight="false" outlineLevel="0" collapsed="false">
      <c r="A342" s="0" t="s">
        <v>2120</v>
      </c>
      <c r="B342" s="0" t="s">
        <v>1525</v>
      </c>
      <c r="C342" s="0" t="s">
        <v>1287</v>
      </c>
      <c r="D342" s="0" t="s">
        <v>988</v>
      </c>
      <c r="E342" s="0" t="s">
        <v>80</v>
      </c>
      <c r="F342" s="0" t="n">
        <v>3</v>
      </c>
      <c r="G342" s="0" t="n">
        <v>16.3</v>
      </c>
      <c r="H342" s="0" t="n">
        <v>0.77</v>
      </c>
      <c r="I342" s="10" t="n">
        <v>0.551</v>
      </c>
      <c r="J342" s="0" t="n">
        <v>1.26</v>
      </c>
      <c r="K342" s="13" t="n">
        <f aca="false">IF(H342&lt;&gt;"",H342,IFERROR(G342/INDEX(Players!$M$2:$M$124,MATCH(B342,Players!$A$2:$A$124,0)),""))</f>
        <v>0.77</v>
      </c>
    </row>
    <row r="343" customFormat="false" ht="15" hidden="false" customHeight="false" outlineLevel="0" collapsed="false">
      <c r="A343" s="0" t="s">
        <v>2121</v>
      </c>
      <c r="B343" s="0" t="s">
        <v>1525</v>
      </c>
      <c r="C343" s="0" t="s">
        <v>1287</v>
      </c>
      <c r="D343" s="0" t="s">
        <v>988</v>
      </c>
      <c r="E343" s="0" t="s">
        <v>142</v>
      </c>
      <c r="F343" s="0" t="n">
        <v>3</v>
      </c>
      <c r="G343" s="0" t="n">
        <v>15</v>
      </c>
      <c r="H343" s="0" t="n">
        <v>0.66</v>
      </c>
      <c r="I343" s="10" t="n">
        <v>0.622</v>
      </c>
      <c r="J343" s="0" t="n">
        <v>1.1</v>
      </c>
      <c r="K343" s="13" t="n">
        <f aca="false">IF(H343&lt;&gt;"",H343,IFERROR(G343/INDEX(Players!$M$2:$M$124,MATCH(B343,Players!$A$2:$A$124,0)),""))</f>
        <v>0.66</v>
      </c>
    </row>
    <row r="344" customFormat="false" ht="15" hidden="false" customHeight="false" outlineLevel="0" collapsed="false">
      <c r="A344" s="0" t="s">
        <v>2122</v>
      </c>
      <c r="B344" s="0" t="s">
        <v>1525</v>
      </c>
      <c r="C344" s="0" t="s">
        <v>1287</v>
      </c>
      <c r="D344" s="0" t="s">
        <v>988</v>
      </c>
      <c r="E344" s="0" t="s">
        <v>131</v>
      </c>
      <c r="F344" s="0" t="n">
        <v>2</v>
      </c>
      <c r="G344" s="0" t="n">
        <v>8.5</v>
      </c>
      <c r="H344" s="0" t="n">
        <v>0.49</v>
      </c>
      <c r="I344" s="10" t="n">
        <v>0.647</v>
      </c>
      <c r="J344" s="0" t="n">
        <v>0.65</v>
      </c>
      <c r="K344" s="13" t="n">
        <f aca="false">IF(H344&lt;&gt;"",H344,IFERROR(G344/INDEX(Players!$M$2:$M$124,MATCH(B344,Players!$A$2:$A$124,0)),""))</f>
        <v>0.49</v>
      </c>
    </row>
    <row r="345" customFormat="false" ht="15" hidden="false" customHeight="false" outlineLevel="0" collapsed="false">
      <c r="A345" s="0" t="s">
        <v>2123</v>
      </c>
      <c r="B345" s="0" t="s">
        <v>1473</v>
      </c>
      <c r="C345" s="0" t="s">
        <v>1155</v>
      </c>
      <c r="D345" s="0" t="s">
        <v>988</v>
      </c>
      <c r="E345" s="0" t="s">
        <v>107</v>
      </c>
      <c r="F345" s="0" t="n">
        <v>8</v>
      </c>
      <c r="G345" s="0" t="n">
        <v>10.9</v>
      </c>
      <c r="H345" s="0" t="n">
        <v>0.48</v>
      </c>
      <c r="I345" s="10" t="n">
        <v>0.529</v>
      </c>
      <c r="J345" s="0" t="n">
        <v>0.7</v>
      </c>
      <c r="K345" s="13" t="n">
        <f aca="false">IF(H345&lt;&gt;"",H345,IFERROR(G345/INDEX(Players!$M$2:$M$124,MATCH(B345,Players!$A$2:$A$124,0)),""))</f>
        <v>0.48</v>
      </c>
    </row>
    <row r="346" customFormat="false" ht="15" hidden="false" customHeight="false" outlineLevel="0" collapsed="false">
      <c r="A346" s="0" t="s">
        <v>2124</v>
      </c>
      <c r="B346" s="0" t="s">
        <v>1473</v>
      </c>
      <c r="C346" s="0" t="s">
        <v>1155</v>
      </c>
      <c r="D346" s="0" t="s">
        <v>988</v>
      </c>
      <c r="E346" s="0" t="s">
        <v>150</v>
      </c>
      <c r="F346" s="0" t="n">
        <v>7</v>
      </c>
      <c r="G346" s="0" t="n">
        <v>11.1</v>
      </c>
      <c r="H346" s="0" t="n">
        <v>0.56</v>
      </c>
      <c r="I346" s="10" t="n">
        <v>0.577</v>
      </c>
      <c r="J346" s="0" t="n">
        <v>0.86</v>
      </c>
      <c r="K346" s="13" t="n">
        <f aca="false">IF(H346&lt;&gt;"",H346,IFERROR(G346/INDEX(Players!$M$2:$M$124,MATCH(B346,Players!$A$2:$A$124,0)),""))</f>
        <v>0.56</v>
      </c>
    </row>
    <row r="347" customFormat="false" ht="15" hidden="false" customHeight="false" outlineLevel="0" collapsed="false">
      <c r="A347" s="0" t="s">
        <v>2125</v>
      </c>
      <c r="B347" s="0" t="s">
        <v>1473</v>
      </c>
      <c r="C347" s="0" t="s">
        <v>1155</v>
      </c>
      <c r="D347" s="0" t="s">
        <v>988</v>
      </c>
      <c r="E347" s="0" t="s">
        <v>94</v>
      </c>
      <c r="F347" s="0" t="n">
        <v>7</v>
      </c>
      <c r="G347" s="0" t="n">
        <v>10.3</v>
      </c>
      <c r="H347" s="0" t="n">
        <v>0.52</v>
      </c>
      <c r="I347" s="10" t="n">
        <v>0.667</v>
      </c>
      <c r="J347" s="0" t="n">
        <v>0.73</v>
      </c>
      <c r="K347" s="13" t="n">
        <f aca="false">IF(H347&lt;&gt;"",H347,IFERROR(G347/INDEX(Players!$M$2:$M$124,MATCH(B347,Players!$A$2:$A$124,0)),""))</f>
        <v>0.52</v>
      </c>
    </row>
    <row r="348" customFormat="false" ht="15" hidden="false" customHeight="false" outlineLevel="0" collapsed="false">
      <c r="A348" s="0" t="s">
        <v>2126</v>
      </c>
      <c r="B348" s="0" t="s">
        <v>1473</v>
      </c>
      <c r="C348" s="0" t="s">
        <v>1155</v>
      </c>
      <c r="D348" s="0" t="s">
        <v>988</v>
      </c>
      <c r="E348" s="0" t="s">
        <v>142</v>
      </c>
      <c r="F348" s="0" t="n">
        <v>6</v>
      </c>
      <c r="G348" s="0" t="n">
        <v>11.3</v>
      </c>
      <c r="H348" s="0" t="n">
        <v>0.49</v>
      </c>
      <c r="I348" s="10" t="n">
        <v>0.618</v>
      </c>
      <c r="J348" s="0" t="n">
        <v>0.75</v>
      </c>
      <c r="K348" s="13" t="n">
        <f aca="false">IF(H348&lt;&gt;"",H348,IFERROR(G348/INDEX(Players!$M$2:$M$124,MATCH(B348,Players!$A$2:$A$124,0)),""))</f>
        <v>0.49</v>
      </c>
    </row>
    <row r="349" customFormat="false" ht="15" hidden="false" customHeight="false" outlineLevel="0" collapsed="false">
      <c r="A349" s="0" t="s">
        <v>2127</v>
      </c>
      <c r="B349" s="0" t="s">
        <v>1473</v>
      </c>
      <c r="C349" s="0" t="s">
        <v>1155</v>
      </c>
      <c r="D349" s="0" t="s">
        <v>988</v>
      </c>
      <c r="E349" s="0" t="s">
        <v>80</v>
      </c>
      <c r="F349" s="0" t="n">
        <v>6</v>
      </c>
      <c r="G349" s="0" t="n">
        <v>8.3</v>
      </c>
      <c r="H349" s="0" t="n">
        <v>0.44</v>
      </c>
      <c r="I349" s="10" t="n">
        <v>0.54</v>
      </c>
      <c r="J349" s="0" t="n">
        <v>0.56</v>
      </c>
      <c r="K349" s="13" t="n">
        <f aca="false">IF(H349&lt;&gt;"",H349,IFERROR(G349/INDEX(Players!$M$2:$M$124,MATCH(B349,Players!$A$2:$A$124,0)),""))</f>
        <v>0.44</v>
      </c>
    </row>
    <row r="350" customFormat="false" ht="15" hidden="false" customHeight="false" outlineLevel="0" collapsed="false">
      <c r="A350" s="0" t="s">
        <v>2128</v>
      </c>
      <c r="B350" s="0" t="s">
        <v>1473</v>
      </c>
      <c r="C350" s="0" t="s">
        <v>1155</v>
      </c>
      <c r="D350" s="0" t="s">
        <v>988</v>
      </c>
      <c r="E350" s="0" t="s">
        <v>131</v>
      </c>
      <c r="F350" s="0" t="n">
        <v>4</v>
      </c>
      <c r="G350" s="0" t="n">
        <v>13.8</v>
      </c>
      <c r="H350" s="0" t="n">
        <v>0.64</v>
      </c>
      <c r="I350" s="10" t="n">
        <v>0.509</v>
      </c>
      <c r="J350" s="0" t="n">
        <v>1.1</v>
      </c>
      <c r="K350" s="13" t="n">
        <f aca="false">IF(H350&lt;&gt;"",H350,IFERROR(G350/INDEX(Players!$M$2:$M$124,MATCH(B350,Players!$A$2:$A$124,0)),""))</f>
        <v>0.64</v>
      </c>
    </row>
    <row r="351" customFormat="false" ht="15" hidden="false" customHeight="false" outlineLevel="0" collapsed="false">
      <c r="A351" s="0" t="s">
        <v>2129</v>
      </c>
      <c r="B351" s="0" t="s">
        <v>1494</v>
      </c>
      <c r="C351" s="0" t="s">
        <v>1213</v>
      </c>
      <c r="D351" s="0" t="s">
        <v>988</v>
      </c>
      <c r="E351" s="0" t="s">
        <v>107</v>
      </c>
      <c r="F351" s="0" t="n">
        <v>9</v>
      </c>
      <c r="G351" s="0" t="n">
        <v>13.3</v>
      </c>
      <c r="H351" s="0" t="n">
        <v>0.64</v>
      </c>
      <c r="I351" s="10" t="n">
        <v>0.542</v>
      </c>
      <c r="J351" s="0" t="n">
        <v>0.9</v>
      </c>
      <c r="K351" s="13" t="n">
        <f aca="false">IF(H351&lt;&gt;"",H351,IFERROR(G351/INDEX(Players!$M$2:$M$124,MATCH(B351,Players!$A$2:$A$124,0)),""))</f>
        <v>0.64</v>
      </c>
    </row>
    <row r="352" customFormat="false" ht="15" hidden="false" customHeight="false" outlineLevel="0" collapsed="false">
      <c r="A352" s="0" t="s">
        <v>2130</v>
      </c>
      <c r="B352" s="0" t="s">
        <v>1494</v>
      </c>
      <c r="C352" s="0" t="s">
        <v>1213</v>
      </c>
      <c r="D352" s="0" t="s">
        <v>988</v>
      </c>
      <c r="E352" s="0" t="s">
        <v>131</v>
      </c>
      <c r="F352" s="0" t="n">
        <v>7</v>
      </c>
      <c r="G352" s="0" t="n">
        <v>11.9</v>
      </c>
      <c r="H352" s="0" t="n">
        <v>0.65</v>
      </c>
      <c r="I352" s="10" t="n">
        <v>0.627</v>
      </c>
      <c r="J352" s="0" t="n">
        <v>1.05</v>
      </c>
      <c r="K352" s="13" t="n">
        <f aca="false">IF(H352&lt;&gt;"",H352,IFERROR(G352/INDEX(Players!$M$2:$M$124,MATCH(B352,Players!$A$2:$A$124,0)),""))</f>
        <v>0.65</v>
      </c>
    </row>
    <row r="353" customFormat="false" ht="15" hidden="false" customHeight="false" outlineLevel="0" collapsed="false">
      <c r="A353" s="0" t="s">
        <v>2131</v>
      </c>
      <c r="B353" s="0" t="s">
        <v>1494</v>
      </c>
      <c r="C353" s="0" t="s">
        <v>1213</v>
      </c>
      <c r="D353" s="0" t="s">
        <v>988</v>
      </c>
      <c r="E353" s="0" t="s">
        <v>94</v>
      </c>
      <c r="F353" s="0" t="n">
        <v>5</v>
      </c>
      <c r="G353" s="0" t="n">
        <v>11.8</v>
      </c>
      <c r="H353" s="0" t="n">
        <v>0.55</v>
      </c>
      <c r="I353" s="10" t="n">
        <v>0.475</v>
      </c>
      <c r="J353" s="0" t="n">
        <v>0.74</v>
      </c>
      <c r="K353" s="13" t="n">
        <f aca="false">IF(H353&lt;&gt;"",H353,IFERROR(G353/INDEX(Players!$M$2:$M$124,MATCH(B353,Players!$A$2:$A$124,0)),""))</f>
        <v>0.55</v>
      </c>
    </row>
    <row r="354" customFormat="false" ht="15" hidden="false" customHeight="false" outlineLevel="0" collapsed="false">
      <c r="A354" s="0" t="s">
        <v>2132</v>
      </c>
      <c r="B354" s="0" t="s">
        <v>1494</v>
      </c>
      <c r="C354" s="0" t="s">
        <v>1213</v>
      </c>
      <c r="D354" s="0" t="s">
        <v>988</v>
      </c>
      <c r="E354" s="0" t="s">
        <v>80</v>
      </c>
      <c r="F354" s="0" t="n">
        <v>4</v>
      </c>
      <c r="G354" s="0" t="n">
        <v>24</v>
      </c>
      <c r="H354" s="0" t="n">
        <v>0.81</v>
      </c>
      <c r="I354" s="10" t="n">
        <v>0.594</v>
      </c>
      <c r="J354" s="0" t="n">
        <v>1.26</v>
      </c>
      <c r="K354" s="13" t="n">
        <f aca="false">IF(H354&lt;&gt;"",H354,IFERROR(G354/INDEX(Players!$M$2:$M$124,MATCH(B354,Players!$A$2:$A$124,0)),""))</f>
        <v>0.81</v>
      </c>
    </row>
    <row r="355" customFormat="false" ht="15" hidden="false" customHeight="false" outlineLevel="0" collapsed="false">
      <c r="A355" s="0" t="s">
        <v>2133</v>
      </c>
      <c r="B355" s="0" t="s">
        <v>1494</v>
      </c>
      <c r="C355" s="0" t="s">
        <v>1213</v>
      </c>
      <c r="D355" s="0" t="s">
        <v>988</v>
      </c>
      <c r="E355" s="0" t="s">
        <v>150</v>
      </c>
      <c r="F355" s="0" t="n">
        <v>4</v>
      </c>
      <c r="G355" s="0" t="n">
        <v>15.8</v>
      </c>
      <c r="H355" s="0" t="n">
        <v>0.66</v>
      </c>
      <c r="I355" s="10" t="n">
        <v>0.492</v>
      </c>
      <c r="J355" s="0" t="n">
        <v>1</v>
      </c>
      <c r="K355" s="13" t="n">
        <f aca="false">IF(H355&lt;&gt;"",H355,IFERROR(G355/INDEX(Players!$M$2:$M$124,MATCH(B355,Players!$A$2:$A$124,0)),""))</f>
        <v>0.66</v>
      </c>
    </row>
    <row r="356" customFormat="false" ht="15" hidden="false" customHeight="false" outlineLevel="0" collapsed="false">
      <c r="A356" s="0" t="s">
        <v>2134</v>
      </c>
      <c r="B356" s="0" t="s">
        <v>1494</v>
      </c>
      <c r="C356" s="0" t="s">
        <v>1213</v>
      </c>
      <c r="D356" s="0" t="s">
        <v>988</v>
      </c>
      <c r="E356" s="0" t="s">
        <v>121</v>
      </c>
      <c r="F356" s="0" t="n">
        <v>4</v>
      </c>
      <c r="G356" s="0" t="n">
        <v>12.3</v>
      </c>
      <c r="H356" s="0" t="n">
        <v>0.62</v>
      </c>
      <c r="I356" s="10" t="n">
        <v>0.571</v>
      </c>
      <c r="J356" s="0" t="n">
        <v>0.91</v>
      </c>
      <c r="K356" s="13" t="n">
        <f aca="false">IF(H356&lt;&gt;"",H356,IFERROR(G356/INDEX(Players!$M$2:$M$124,MATCH(B356,Players!$A$2:$A$124,0)),""))</f>
        <v>0.62</v>
      </c>
    </row>
    <row r="357" customFormat="false" ht="15" hidden="false" customHeight="false" outlineLevel="0" collapsed="false">
      <c r="A357" s="0" t="s">
        <v>2135</v>
      </c>
      <c r="B357" s="0" t="s">
        <v>1536</v>
      </c>
      <c r="C357" s="0" t="s">
        <v>1310</v>
      </c>
      <c r="D357" s="0" t="s">
        <v>988</v>
      </c>
      <c r="E357" s="0" t="s">
        <v>107</v>
      </c>
      <c r="F357" s="0" t="n">
        <v>11</v>
      </c>
      <c r="G357" s="0" t="n">
        <v>15.6</v>
      </c>
      <c r="H357" s="0" t="n">
        <v>0.77</v>
      </c>
      <c r="I357" s="10" t="n">
        <v>0.587</v>
      </c>
      <c r="J357" s="0" t="n">
        <v>1.21</v>
      </c>
      <c r="K357" s="13" t="n">
        <f aca="false">IF(H357&lt;&gt;"",H357,IFERROR(G357/INDEX(Players!$M$2:$M$124,MATCH(B357,Players!$A$2:$A$124,0)),""))</f>
        <v>0.77</v>
      </c>
    </row>
    <row r="358" customFormat="false" ht="15" hidden="false" customHeight="false" outlineLevel="0" collapsed="false">
      <c r="A358" s="0" t="s">
        <v>2136</v>
      </c>
      <c r="B358" s="0" t="s">
        <v>1536</v>
      </c>
      <c r="C358" s="0" t="s">
        <v>1310</v>
      </c>
      <c r="D358" s="0" t="s">
        <v>988</v>
      </c>
      <c r="E358" s="0" t="s">
        <v>150</v>
      </c>
      <c r="F358" s="0" t="n">
        <v>10</v>
      </c>
      <c r="G358" s="0" t="n">
        <v>16.5</v>
      </c>
      <c r="H358" s="0" t="n">
        <v>0.7</v>
      </c>
      <c r="I358" s="10" t="n">
        <v>0.606</v>
      </c>
      <c r="J358" s="0" t="n">
        <v>1.18</v>
      </c>
      <c r="K358" s="13" t="n">
        <f aca="false">IF(H358&lt;&gt;"",H358,IFERROR(G358/INDEX(Players!$M$2:$M$124,MATCH(B358,Players!$A$2:$A$124,0)),""))</f>
        <v>0.7</v>
      </c>
    </row>
    <row r="359" customFormat="false" ht="15" hidden="false" customHeight="false" outlineLevel="0" collapsed="false">
      <c r="A359" s="0" t="s">
        <v>2137</v>
      </c>
      <c r="B359" s="0" t="s">
        <v>1536</v>
      </c>
      <c r="C359" s="0" t="s">
        <v>1310</v>
      </c>
      <c r="D359" s="0" t="s">
        <v>988</v>
      </c>
      <c r="E359" s="0" t="s">
        <v>121</v>
      </c>
      <c r="F359" s="0" t="n">
        <v>8</v>
      </c>
      <c r="G359" s="0" t="n">
        <v>20.6</v>
      </c>
      <c r="H359" s="0" t="n">
        <v>0.79</v>
      </c>
      <c r="I359" s="10" t="n">
        <v>0.515</v>
      </c>
      <c r="J359" s="0" t="n">
        <v>1.34</v>
      </c>
      <c r="K359" s="13" t="n">
        <f aca="false">IF(H359&lt;&gt;"",H359,IFERROR(G359/INDEX(Players!$M$2:$M$124,MATCH(B359,Players!$A$2:$A$124,0)),""))</f>
        <v>0.79</v>
      </c>
    </row>
    <row r="360" customFormat="false" ht="15" hidden="false" customHeight="false" outlineLevel="0" collapsed="false">
      <c r="A360" s="0" t="s">
        <v>2138</v>
      </c>
      <c r="B360" s="0" t="s">
        <v>1536</v>
      </c>
      <c r="C360" s="0" t="s">
        <v>1310</v>
      </c>
      <c r="D360" s="0" t="s">
        <v>988</v>
      </c>
      <c r="E360" s="0" t="s">
        <v>80</v>
      </c>
      <c r="F360" s="0" t="n">
        <v>4</v>
      </c>
      <c r="G360" s="0" t="n">
        <v>19.5</v>
      </c>
      <c r="H360" s="0" t="n">
        <v>0.76</v>
      </c>
      <c r="I360" s="10" t="n">
        <v>0.551</v>
      </c>
      <c r="J360" s="0" t="n">
        <v>1.32</v>
      </c>
      <c r="K360" s="13" t="n">
        <f aca="false">IF(H360&lt;&gt;"",H360,IFERROR(G360/INDEX(Players!$M$2:$M$124,MATCH(B360,Players!$A$2:$A$124,0)),""))</f>
        <v>0.76</v>
      </c>
    </row>
    <row r="361" customFormat="false" ht="15" hidden="false" customHeight="false" outlineLevel="0" collapsed="false">
      <c r="A361" s="0" t="s">
        <v>2139</v>
      </c>
      <c r="B361" s="0" t="s">
        <v>1536</v>
      </c>
      <c r="C361" s="0" t="s">
        <v>1310</v>
      </c>
      <c r="D361" s="0" t="s">
        <v>988</v>
      </c>
      <c r="E361" s="0" t="s">
        <v>142</v>
      </c>
      <c r="F361" s="0" t="n">
        <v>4</v>
      </c>
      <c r="G361" s="0" t="n">
        <v>15</v>
      </c>
      <c r="H361" s="0" t="n">
        <v>0.75</v>
      </c>
      <c r="I361" s="10" t="n">
        <v>0.533</v>
      </c>
      <c r="J361" s="0" t="n">
        <v>1.22</v>
      </c>
      <c r="K361" s="13" t="n">
        <f aca="false">IF(H361&lt;&gt;"",H361,IFERROR(G361/INDEX(Players!$M$2:$M$124,MATCH(B361,Players!$A$2:$A$124,0)),""))</f>
        <v>0.75</v>
      </c>
    </row>
    <row r="362" customFormat="false" ht="15" hidden="false" customHeight="false" outlineLevel="0" collapsed="false">
      <c r="A362" s="0" t="s">
        <v>2140</v>
      </c>
      <c r="B362" s="0" t="s">
        <v>1536</v>
      </c>
      <c r="C362" s="0" t="s">
        <v>1310</v>
      </c>
      <c r="D362" s="0" t="s">
        <v>988</v>
      </c>
      <c r="E362" s="0" t="s">
        <v>131</v>
      </c>
      <c r="F362" s="0" t="n">
        <v>2</v>
      </c>
      <c r="G362" s="0" t="n">
        <v>12.5</v>
      </c>
      <c r="H362" s="0" t="n">
        <v>0.63</v>
      </c>
      <c r="I362" s="10" t="n">
        <v>0.44</v>
      </c>
      <c r="J362" s="0" t="n">
        <v>0.86</v>
      </c>
      <c r="K362" s="13" t="n">
        <f aca="false">IF(H362&lt;&gt;"",H362,IFERROR(G362/INDEX(Players!$M$2:$M$124,MATCH(B362,Players!$A$2:$A$124,0)),""))</f>
        <v>0.63</v>
      </c>
    </row>
    <row r="363" customFormat="false" ht="15" hidden="false" customHeight="false" outlineLevel="0" collapsed="false">
      <c r="A363" s="0" t="s">
        <v>2141</v>
      </c>
      <c r="B363" s="0" t="s">
        <v>1541</v>
      </c>
      <c r="C363" s="0" t="s">
        <v>1320</v>
      </c>
      <c r="D363" s="0" t="s">
        <v>988</v>
      </c>
      <c r="E363" s="0" t="s">
        <v>80</v>
      </c>
      <c r="F363" s="0" t="n">
        <v>9</v>
      </c>
      <c r="G363" s="0" t="n">
        <v>13.9</v>
      </c>
      <c r="H363" s="0" t="n">
        <v>0.72</v>
      </c>
      <c r="I363" s="10" t="n">
        <v>0.624</v>
      </c>
      <c r="J363" s="0" t="n">
        <v>0.98</v>
      </c>
      <c r="K363" s="13" t="n">
        <f aca="false">IF(H363&lt;&gt;"",H363,IFERROR(G363/INDEX(Players!$M$2:$M$124,MATCH(B363,Players!$A$2:$A$124,0)),""))</f>
        <v>0.72</v>
      </c>
    </row>
    <row r="364" customFormat="false" ht="15" hidden="false" customHeight="false" outlineLevel="0" collapsed="false">
      <c r="A364" s="0" t="s">
        <v>2142</v>
      </c>
      <c r="B364" s="0" t="s">
        <v>1541</v>
      </c>
      <c r="C364" s="0" t="s">
        <v>1320</v>
      </c>
      <c r="D364" s="0" t="s">
        <v>988</v>
      </c>
      <c r="E364" s="0" t="s">
        <v>150</v>
      </c>
      <c r="F364" s="0" t="n">
        <v>6</v>
      </c>
      <c r="G364" s="0" t="n">
        <v>17.3</v>
      </c>
      <c r="H364" s="0" t="n">
        <v>0.84</v>
      </c>
      <c r="I364" s="10" t="n">
        <v>0.596</v>
      </c>
      <c r="J364" s="0" t="n">
        <v>1.3</v>
      </c>
      <c r="K364" s="13" t="n">
        <f aca="false">IF(H364&lt;&gt;"",H364,IFERROR(G364/INDEX(Players!$M$2:$M$124,MATCH(B364,Players!$A$2:$A$124,0)),""))</f>
        <v>0.84</v>
      </c>
    </row>
    <row r="365" customFormat="false" ht="15" hidden="false" customHeight="false" outlineLevel="0" collapsed="false">
      <c r="A365" s="0" t="s">
        <v>2143</v>
      </c>
      <c r="B365" s="0" t="s">
        <v>1541</v>
      </c>
      <c r="C365" s="0" t="s">
        <v>1320</v>
      </c>
      <c r="D365" s="0" t="s">
        <v>988</v>
      </c>
      <c r="E365" s="0" t="s">
        <v>107</v>
      </c>
      <c r="F365" s="0" t="n">
        <v>6</v>
      </c>
      <c r="G365" s="0" t="n">
        <v>10</v>
      </c>
      <c r="H365" s="0" t="n">
        <v>0.5</v>
      </c>
      <c r="I365" s="10" t="n">
        <v>0.5</v>
      </c>
      <c r="J365" s="0" t="n">
        <v>0.65</v>
      </c>
      <c r="K365" s="13" t="n">
        <f aca="false">IF(H365&lt;&gt;"",H365,IFERROR(G365/INDEX(Players!$M$2:$M$124,MATCH(B365,Players!$A$2:$A$124,0)),""))</f>
        <v>0.5</v>
      </c>
    </row>
    <row r="366" customFormat="false" ht="15" hidden="false" customHeight="false" outlineLevel="0" collapsed="false">
      <c r="A366" s="0" t="s">
        <v>2144</v>
      </c>
      <c r="B366" s="0" t="s">
        <v>1541</v>
      </c>
      <c r="C366" s="0" t="s">
        <v>1320</v>
      </c>
      <c r="D366" s="0" t="s">
        <v>988</v>
      </c>
      <c r="E366" s="0" t="s">
        <v>131</v>
      </c>
      <c r="F366" s="0" t="n">
        <v>5</v>
      </c>
      <c r="G366" s="0" t="n">
        <v>13.8</v>
      </c>
      <c r="H366" s="0" t="n">
        <v>0.7</v>
      </c>
      <c r="I366" s="10" t="n">
        <v>0.681</v>
      </c>
      <c r="J366" s="0" t="n">
        <v>1.05</v>
      </c>
      <c r="K366" s="13" t="n">
        <f aca="false">IF(H366&lt;&gt;"",H366,IFERROR(G366/INDEX(Players!$M$2:$M$124,MATCH(B366,Players!$A$2:$A$124,0)),""))</f>
        <v>0.7</v>
      </c>
    </row>
    <row r="367" customFormat="false" ht="15" hidden="false" customHeight="false" outlineLevel="0" collapsed="false">
      <c r="A367" s="0" t="s">
        <v>2145</v>
      </c>
      <c r="B367" s="0" t="s">
        <v>1541</v>
      </c>
      <c r="C367" s="0" t="s">
        <v>1320</v>
      </c>
      <c r="D367" s="0" t="s">
        <v>988</v>
      </c>
      <c r="E367" s="0" t="s">
        <v>142</v>
      </c>
      <c r="F367" s="0" t="n">
        <v>5</v>
      </c>
      <c r="G367" s="0" t="n">
        <v>9.4</v>
      </c>
      <c r="H367" s="0" t="n">
        <v>0.46</v>
      </c>
      <c r="I367" s="10" t="n">
        <v>0.66</v>
      </c>
      <c r="J367" s="0" t="n">
        <v>0.57</v>
      </c>
      <c r="K367" s="13" t="n">
        <f aca="false">IF(H367&lt;&gt;"",H367,IFERROR(G367/INDEX(Players!$M$2:$M$124,MATCH(B367,Players!$A$2:$A$124,0)),""))</f>
        <v>0.46</v>
      </c>
    </row>
    <row r="368" customFormat="false" ht="15" hidden="false" customHeight="false" outlineLevel="0" collapsed="false">
      <c r="A368" s="0" t="s">
        <v>2146</v>
      </c>
      <c r="B368" s="0" t="s">
        <v>1541</v>
      </c>
      <c r="C368" s="0" t="s">
        <v>1320</v>
      </c>
      <c r="D368" s="0" t="s">
        <v>988</v>
      </c>
      <c r="E368" s="0" t="s">
        <v>121</v>
      </c>
      <c r="F368" s="0" t="n">
        <v>2</v>
      </c>
      <c r="G368" s="0" t="n">
        <v>16.5</v>
      </c>
      <c r="H368" s="0" t="n">
        <v>0.58</v>
      </c>
      <c r="I368" s="10" t="n">
        <v>0.485</v>
      </c>
      <c r="J368" s="0" t="n">
        <v>0.8</v>
      </c>
      <c r="K368" s="13" t="n">
        <f aca="false">IF(H368&lt;&gt;"",H368,IFERROR(G368/INDEX(Players!$M$2:$M$124,MATCH(B368,Players!$A$2:$A$124,0)),""))</f>
        <v>0.58</v>
      </c>
    </row>
    <row r="369" customFormat="false" ht="15" hidden="false" customHeight="false" outlineLevel="0" collapsed="false">
      <c r="A369" s="0" t="s">
        <v>2147</v>
      </c>
      <c r="B369" s="0" t="s">
        <v>1463</v>
      </c>
      <c r="C369" s="0" t="s">
        <v>1133</v>
      </c>
      <c r="D369" s="0" t="s">
        <v>988</v>
      </c>
      <c r="E369" s="0" t="s">
        <v>150</v>
      </c>
      <c r="F369" s="0" t="n">
        <v>9</v>
      </c>
      <c r="G369" s="0" t="n">
        <v>16.6</v>
      </c>
      <c r="H369" s="0" t="n">
        <v>0.79</v>
      </c>
      <c r="I369" s="10" t="n">
        <v>0.456</v>
      </c>
      <c r="J369" s="0" t="n">
        <v>1.32</v>
      </c>
      <c r="K369" s="13" t="n">
        <f aca="false">IF(H369&lt;&gt;"",H369,IFERROR(G369/INDEX(Players!$M$2:$M$124,MATCH(B369,Players!$A$2:$A$124,0)),""))</f>
        <v>0.79</v>
      </c>
    </row>
    <row r="370" customFormat="false" ht="15" hidden="false" customHeight="false" outlineLevel="0" collapsed="false">
      <c r="A370" s="0" t="s">
        <v>2148</v>
      </c>
      <c r="B370" s="0" t="s">
        <v>1463</v>
      </c>
      <c r="C370" s="0" t="s">
        <v>1133</v>
      </c>
      <c r="D370" s="0" t="s">
        <v>988</v>
      </c>
      <c r="E370" s="0" t="s">
        <v>107</v>
      </c>
      <c r="F370" s="0" t="n">
        <v>8</v>
      </c>
      <c r="G370" s="0" t="n">
        <v>16.1</v>
      </c>
      <c r="H370" s="0" t="n">
        <v>0.78</v>
      </c>
      <c r="I370" s="10" t="n">
        <v>0.488</v>
      </c>
      <c r="J370" s="0" t="n">
        <v>1.21</v>
      </c>
      <c r="K370" s="13" t="n">
        <f aca="false">IF(H370&lt;&gt;"",H370,IFERROR(G370/INDEX(Players!$M$2:$M$124,MATCH(B370,Players!$A$2:$A$124,0)),""))</f>
        <v>0.78</v>
      </c>
    </row>
    <row r="371" customFormat="false" ht="15" hidden="false" customHeight="false" outlineLevel="0" collapsed="false">
      <c r="A371" s="0" t="s">
        <v>2149</v>
      </c>
      <c r="B371" s="0" t="s">
        <v>1463</v>
      </c>
      <c r="C371" s="0" t="s">
        <v>1133</v>
      </c>
      <c r="D371" s="0" t="s">
        <v>988</v>
      </c>
      <c r="E371" s="0" t="s">
        <v>131</v>
      </c>
      <c r="F371" s="0" t="n">
        <v>7</v>
      </c>
      <c r="G371" s="0" t="n">
        <v>13.1</v>
      </c>
      <c r="H371" s="0" t="n">
        <v>0.65</v>
      </c>
      <c r="I371" s="10" t="n">
        <v>0.457</v>
      </c>
      <c r="J371" s="0" t="n">
        <v>0.92</v>
      </c>
      <c r="K371" s="13" t="n">
        <f aca="false">IF(H371&lt;&gt;"",H371,IFERROR(G371/INDEX(Players!$M$2:$M$124,MATCH(B371,Players!$A$2:$A$124,0)),""))</f>
        <v>0.65</v>
      </c>
    </row>
    <row r="372" customFormat="false" ht="15" hidden="false" customHeight="false" outlineLevel="0" collapsed="false">
      <c r="A372" s="0" t="s">
        <v>2150</v>
      </c>
      <c r="B372" s="0" t="s">
        <v>1463</v>
      </c>
      <c r="C372" s="0" t="s">
        <v>1133</v>
      </c>
      <c r="D372" s="0" t="s">
        <v>988</v>
      </c>
      <c r="E372" s="0" t="s">
        <v>121</v>
      </c>
      <c r="F372" s="0" t="n">
        <v>6</v>
      </c>
      <c r="G372" s="0" t="n">
        <v>17.8</v>
      </c>
      <c r="H372" s="0" t="n">
        <v>0.7</v>
      </c>
      <c r="I372" s="10" t="n">
        <v>0.607</v>
      </c>
      <c r="J372" s="0" t="n">
        <v>1.05</v>
      </c>
      <c r="K372" s="13" t="n">
        <f aca="false">IF(H372&lt;&gt;"",H372,IFERROR(G372/INDEX(Players!$M$2:$M$124,MATCH(B372,Players!$A$2:$A$124,0)),""))</f>
        <v>0.7</v>
      </c>
    </row>
    <row r="373" customFormat="false" ht="15" hidden="false" customHeight="false" outlineLevel="0" collapsed="false">
      <c r="A373" s="0" t="s">
        <v>2151</v>
      </c>
      <c r="B373" s="0" t="s">
        <v>1463</v>
      </c>
      <c r="C373" s="0" t="s">
        <v>1133</v>
      </c>
      <c r="D373" s="0" t="s">
        <v>988</v>
      </c>
      <c r="E373" s="0" t="s">
        <v>142</v>
      </c>
      <c r="F373" s="0" t="n">
        <v>5</v>
      </c>
      <c r="G373" s="0" t="n">
        <v>15.8</v>
      </c>
      <c r="H373" s="0" t="n">
        <v>0.78</v>
      </c>
      <c r="I373" s="10" t="n">
        <v>0.544</v>
      </c>
      <c r="J373" s="0" t="n">
        <v>1.46</v>
      </c>
      <c r="K373" s="13" t="n">
        <f aca="false">IF(H373&lt;&gt;"",H373,IFERROR(G373/INDEX(Players!$M$2:$M$124,MATCH(B373,Players!$A$2:$A$124,0)),""))</f>
        <v>0.78</v>
      </c>
    </row>
    <row r="374" customFormat="false" ht="15" hidden="false" customHeight="false" outlineLevel="0" collapsed="false">
      <c r="A374" s="0" t="s">
        <v>2152</v>
      </c>
      <c r="B374" s="0" t="s">
        <v>1463</v>
      </c>
      <c r="C374" s="0" t="s">
        <v>1133</v>
      </c>
      <c r="D374" s="0" t="s">
        <v>988</v>
      </c>
      <c r="E374" s="0" t="s">
        <v>94</v>
      </c>
      <c r="F374" s="0" t="n">
        <v>1</v>
      </c>
      <c r="G374" s="0" t="n">
        <v>14</v>
      </c>
      <c r="H374" s="0" t="n">
        <v>0.64</v>
      </c>
      <c r="I374" s="10" t="n">
        <v>0.357</v>
      </c>
      <c r="J374" s="0" t="n">
        <v>0.74</v>
      </c>
      <c r="K374" s="13" t="n">
        <f aca="false">IF(H374&lt;&gt;"",H374,IFERROR(G374/INDEX(Players!$M$2:$M$124,MATCH(B374,Players!$A$2:$A$124,0)),""))</f>
        <v>0.64</v>
      </c>
    </row>
    <row r="375" customFormat="false" ht="15" hidden="false" customHeight="false" outlineLevel="0" collapsed="false">
      <c r="A375" s="0" t="s">
        <v>2153</v>
      </c>
      <c r="B375" s="0" t="s">
        <v>1459</v>
      </c>
      <c r="C375" s="0" t="s">
        <v>1123</v>
      </c>
      <c r="D375" s="0" t="s">
        <v>988</v>
      </c>
      <c r="E375" s="0" t="s">
        <v>107</v>
      </c>
      <c r="F375" s="0" t="n">
        <v>13</v>
      </c>
      <c r="G375" s="0" t="n">
        <v>10.2</v>
      </c>
      <c r="H375" s="0" t="n">
        <v>0.49</v>
      </c>
      <c r="I375" s="10" t="n">
        <v>0.534</v>
      </c>
      <c r="J375" s="0" t="n">
        <v>0.7</v>
      </c>
      <c r="K375" s="13" t="n">
        <f aca="false">IF(H375&lt;&gt;"",H375,IFERROR(G375/INDEX(Players!$M$2:$M$124,MATCH(B375,Players!$A$2:$A$124,0)),""))</f>
        <v>0.49</v>
      </c>
    </row>
    <row r="376" customFormat="false" ht="15" hidden="false" customHeight="false" outlineLevel="0" collapsed="false">
      <c r="A376" s="0" t="s">
        <v>2154</v>
      </c>
      <c r="B376" s="0" t="s">
        <v>1459</v>
      </c>
      <c r="C376" s="0" t="s">
        <v>1123</v>
      </c>
      <c r="D376" s="0" t="s">
        <v>988</v>
      </c>
      <c r="E376" s="0" t="s">
        <v>142</v>
      </c>
      <c r="F376" s="0" t="n">
        <v>8</v>
      </c>
      <c r="G376" s="0" t="n">
        <v>16.4</v>
      </c>
      <c r="H376" s="0" t="n">
        <v>0.77</v>
      </c>
      <c r="I376" s="10" t="n">
        <v>0.504</v>
      </c>
      <c r="J376" s="0" t="n">
        <v>1.25</v>
      </c>
      <c r="K376" s="13" t="n">
        <f aca="false">IF(H376&lt;&gt;"",H376,IFERROR(G376/INDEX(Players!$M$2:$M$124,MATCH(B376,Players!$A$2:$A$124,0)),""))</f>
        <v>0.77</v>
      </c>
    </row>
    <row r="377" customFormat="false" ht="15" hidden="false" customHeight="false" outlineLevel="0" collapsed="false">
      <c r="A377" s="0" t="s">
        <v>2155</v>
      </c>
      <c r="B377" s="0" t="s">
        <v>1459</v>
      </c>
      <c r="C377" s="0" t="s">
        <v>1123</v>
      </c>
      <c r="D377" s="0" t="s">
        <v>988</v>
      </c>
      <c r="E377" s="0" t="s">
        <v>121</v>
      </c>
      <c r="F377" s="0" t="n">
        <v>7</v>
      </c>
      <c r="G377" s="0" t="n">
        <v>13.3</v>
      </c>
      <c r="H377" s="0" t="n">
        <v>0.63</v>
      </c>
      <c r="I377" s="10" t="n">
        <v>0.473</v>
      </c>
      <c r="J377" s="0" t="n">
        <v>0.91</v>
      </c>
      <c r="K377" s="13" t="n">
        <f aca="false">IF(H377&lt;&gt;"",H377,IFERROR(G377/INDEX(Players!$M$2:$M$124,MATCH(B377,Players!$A$2:$A$124,0)),""))</f>
        <v>0.63</v>
      </c>
    </row>
    <row r="378" customFormat="false" ht="15" hidden="false" customHeight="false" outlineLevel="0" collapsed="false">
      <c r="A378" s="0" t="s">
        <v>2156</v>
      </c>
      <c r="B378" s="0" t="s">
        <v>1459</v>
      </c>
      <c r="C378" s="0" t="s">
        <v>1123</v>
      </c>
      <c r="D378" s="0" t="s">
        <v>988</v>
      </c>
      <c r="E378" s="0" t="s">
        <v>94</v>
      </c>
      <c r="F378" s="0" t="n">
        <v>5</v>
      </c>
      <c r="G378" s="0" t="n">
        <v>13.2</v>
      </c>
      <c r="H378" s="0" t="n">
        <v>0.64</v>
      </c>
      <c r="I378" s="10" t="n">
        <v>0.424</v>
      </c>
      <c r="J378" s="0" t="n">
        <v>0.87</v>
      </c>
      <c r="K378" s="13" t="n">
        <f aca="false">IF(H378&lt;&gt;"",H378,IFERROR(G378/INDEX(Players!$M$2:$M$124,MATCH(B378,Players!$A$2:$A$124,0)),""))</f>
        <v>0.64</v>
      </c>
    </row>
    <row r="379" customFormat="false" ht="15" hidden="false" customHeight="false" outlineLevel="0" collapsed="false">
      <c r="A379" s="0" t="s">
        <v>2157</v>
      </c>
      <c r="B379" s="0" t="s">
        <v>1459</v>
      </c>
      <c r="C379" s="0" t="s">
        <v>1123</v>
      </c>
      <c r="D379" s="0" t="s">
        <v>988</v>
      </c>
      <c r="E379" s="0" t="s">
        <v>150</v>
      </c>
      <c r="F379" s="0" t="n">
        <v>2</v>
      </c>
      <c r="G379" s="0" t="n">
        <v>13</v>
      </c>
      <c r="H379" s="0" t="n">
        <v>0.68</v>
      </c>
      <c r="I379" s="10" t="n">
        <v>0.654</v>
      </c>
      <c r="J379" s="0" t="n">
        <v>0.9</v>
      </c>
      <c r="K379" s="13" t="n">
        <f aca="false">IF(H379&lt;&gt;"",H379,IFERROR(G379/INDEX(Players!$M$2:$M$124,MATCH(B379,Players!$A$2:$A$124,0)),""))</f>
        <v>0.68</v>
      </c>
    </row>
    <row r="380" customFormat="false" ht="15" hidden="false" customHeight="false" outlineLevel="0" collapsed="false">
      <c r="A380" s="0" t="s">
        <v>2158</v>
      </c>
      <c r="B380" s="0" t="s">
        <v>1459</v>
      </c>
      <c r="C380" s="0" t="s">
        <v>1123</v>
      </c>
      <c r="D380" s="0" t="s">
        <v>988</v>
      </c>
      <c r="E380" s="0" t="s">
        <v>80</v>
      </c>
      <c r="F380" s="0" t="n">
        <v>2</v>
      </c>
      <c r="G380" s="0" t="n">
        <v>11</v>
      </c>
      <c r="H380" s="0" t="n">
        <v>0.59</v>
      </c>
      <c r="I380" s="10" t="n">
        <v>0.636</v>
      </c>
      <c r="J380" s="0" t="n">
        <v>0.76</v>
      </c>
      <c r="K380" s="13" t="n">
        <f aca="false">IF(H380&lt;&gt;"",H380,IFERROR(G380/INDEX(Players!$M$2:$M$124,MATCH(B380,Players!$A$2:$A$124,0)),""))</f>
        <v>0.59</v>
      </c>
    </row>
    <row r="381" customFormat="false" ht="15" hidden="false" customHeight="false" outlineLevel="0" collapsed="false">
      <c r="A381" s="0" t="s">
        <v>2159</v>
      </c>
      <c r="B381" s="0" t="s">
        <v>1459</v>
      </c>
      <c r="C381" s="0" t="s">
        <v>1123</v>
      </c>
      <c r="D381" s="0" t="s">
        <v>988</v>
      </c>
      <c r="E381" s="0" t="s">
        <v>131</v>
      </c>
      <c r="F381" s="0" t="n">
        <v>2</v>
      </c>
      <c r="G381" s="0" t="n">
        <v>12.5</v>
      </c>
      <c r="H381" s="0" t="n">
        <v>0.5</v>
      </c>
      <c r="I381" s="10" t="n">
        <v>0.6</v>
      </c>
      <c r="J381" s="0" t="n">
        <v>0.64</v>
      </c>
      <c r="K381" s="13" t="n">
        <f aca="false">IF(H381&lt;&gt;"",H381,IFERROR(G381/INDEX(Players!$M$2:$M$124,MATCH(B381,Players!$A$2:$A$124,0)),""))</f>
        <v>0.5</v>
      </c>
    </row>
    <row r="382" customFormat="false" ht="15" hidden="false" customHeight="false" outlineLevel="0" collapsed="false">
      <c r="A382" s="0" t="s">
        <v>2160</v>
      </c>
      <c r="B382" s="0" t="s">
        <v>1550</v>
      </c>
      <c r="C382" s="0" t="s">
        <v>1338</v>
      </c>
      <c r="D382" s="0" t="s">
        <v>988</v>
      </c>
      <c r="E382" s="0" t="s">
        <v>121</v>
      </c>
      <c r="F382" s="0" t="n">
        <v>7</v>
      </c>
      <c r="G382" s="0" t="n">
        <v>13</v>
      </c>
      <c r="H382" s="0" t="n">
        <v>0.59</v>
      </c>
      <c r="I382" s="10" t="n">
        <v>0.593</v>
      </c>
      <c r="J382" s="0" t="n">
        <v>0.93</v>
      </c>
      <c r="K382" s="13" t="n">
        <f aca="false">IF(H382&lt;&gt;"",H382,IFERROR(G382/INDEX(Players!$M$2:$M$124,MATCH(B382,Players!$A$2:$A$124,0)),""))</f>
        <v>0.59</v>
      </c>
    </row>
    <row r="383" customFormat="false" ht="15" hidden="false" customHeight="false" outlineLevel="0" collapsed="false">
      <c r="A383" s="0" t="s">
        <v>2161</v>
      </c>
      <c r="B383" s="0" t="s">
        <v>1550</v>
      </c>
      <c r="C383" s="0" t="s">
        <v>1338</v>
      </c>
      <c r="D383" s="0" t="s">
        <v>988</v>
      </c>
      <c r="E383" s="0" t="s">
        <v>150</v>
      </c>
      <c r="F383" s="0" t="n">
        <v>7</v>
      </c>
      <c r="G383" s="0" t="n">
        <v>13</v>
      </c>
      <c r="H383" s="0" t="n">
        <v>0.58</v>
      </c>
      <c r="I383" s="10" t="n">
        <v>0.44</v>
      </c>
      <c r="J383" s="0" t="n">
        <v>0.89</v>
      </c>
      <c r="K383" s="13" t="n">
        <f aca="false">IF(H383&lt;&gt;"",H383,IFERROR(G383/INDEX(Players!$M$2:$M$124,MATCH(B383,Players!$A$2:$A$124,0)),""))</f>
        <v>0.58</v>
      </c>
    </row>
    <row r="384" customFormat="false" ht="15" hidden="false" customHeight="false" outlineLevel="0" collapsed="false">
      <c r="A384" s="0" t="s">
        <v>2162</v>
      </c>
      <c r="B384" s="0" t="s">
        <v>1550</v>
      </c>
      <c r="C384" s="0" t="s">
        <v>1338</v>
      </c>
      <c r="D384" s="0" t="s">
        <v>988</v>
      </c>
      <c r="E384" s="0" t="s">
        <v>107</v>
      </c>
      <c r="F384" s="0" t="n">
        <v>7</v>
      </c>
      <c r="G384" s="0" t="n">
        <v>11</v>
      </c>
      <c r="H384" s="0" t="n">
        <v>0.55</v>
      </c>
      <c r="I384" s="10" t="n">
        <v>0.61</v>
      </c>
      <c r="J384" s="0" t="n">
        <v>0.8</v>
      </c>
      <c r="K384" s="13" t="n">
        <f aca="false">IF(H384&lt;&gt;"",H384,IFERROR(G384/INDEX(Players!$M$2:$M$124,MATCH(B384,Players!$A$2:$A$124,0)),""))</f>
        <v>0.55</v>
      </c>
    </row>
    <row r="385" customFormat="false" ht="15" hidden="false" customHeight="false" outlineLevel="0" collapsed="false">
      <c r="A385" s="0" t="s">
        <v>2163</v>
      </c>
      <c r="B385" s="0" t="s">
        <v>1550</v>
      </c>
      <c r="C385" s="0" t="s">
        <v>1338</v>
      </c>
      <c r="D385" s="0" t="s">
        <v>988</v>
      </c>
      <c r="E385" s="0" t="s">
        <v>131</v>
      </c>
      <c r="F385" s="0" t="n">
        <v>6</v>
      </c>
      <c r="G385" s="0" t="n">
        <v>12.3</v>
      </c>
      <c r="H385" s="0" t="n">
        <v>0.6</v>
      </c>
      <c r="I385" s="10" t="n">
        <v>0.459</v>
      </c>
      <c r="J385" s="0" t="n">
        <v>1.04</v>
      </c>
      <c r="K385" s="13" t="n">
        <f aca="false">IF(H385&lt;&gt;"",H385,IFERROR(G385/INDEX(Players!$M$2:$M$124,MATCH(B385,Players!$A$2:$A$124,0)),""))</f>
        <v>0.6</v>
      </c>
    </row>
    <row r="386" customFormat="false" ht="15" hidden="false" customHeight="false" outlineLevel="0" collapsed="false">
      <c r="A386" s="0" t="s">
        <v>2164</v>
      </c>
      <c r="B386" s="0" t="s">
        <v>1550</v>
      </c>
      <c r="C386" s="0" t="s">
        <v>1338</v>
      </c>
      <c r="D386" s="0" t="s">
        <v>988</v>
      </c>
      <c r="E386" s="0" t="s">
        <v>94</v>
      </c>
      <c r="F386" s="0" t="n">
        <v>6</v>
      </c>
      <c r="G386" s="0" t="n">
        <v>14.3</v>
      </c>
      <c r="H386" s="0" t="n">
        <v>0.64</v>
      </c>
      <c r="I386" s="10" t="n">
        <v>0.442</v>
      </c>
      <c r="J386" s="0" t="n">
        <v>0.89</v>
      </c>
      <c r="K386" s="13" t="n">
        <f aca="false">IF(H386&lt;&gt;"",H386,IFERROR(G386/INDEX(Players!$M$2:$M$124,MATCH(B386,Players!$A$2:$A$124,0)),""))</f>
        <v>0.64</v>
      </c>
    </row>
    <row r="387" customFormat="false" ht="15" hidden="false" customHeight="false" outlineLevel="0" collapsed="false">
      <c r="A387" s="0" t="s">
        <v>2165</v>
      </c>
      <c r="B387" s="0" t="s">
        <v>1550</v>
      </c>
      <c r="C387" s="0" t="s">
        <v>1338</v>
      </c>
      <c r="D387" s="0" t="s">
        <v>988</v>
      </c>
      <c r="E387" s="0" t="s">
        <v>80</v>
      </c>
      <c r="F387" s="0" t="n">
        <v>5</v>
      </c>
      <c r="G387" s="0" t="n">
        <v>11.4</v>
      </c>
      <c r="H387" s="0" t="n">
        <v>0.54</v>
      </c>
      <c r="I387" s="10" t="n">
        <v>0.456</v>
      </c>
      <c r="J387" s="0" t="n">
        <v>0.93</v>
      </c>
      <c r="K387" s="13" t="n">
        <f aca="false">IF(H387&lt;&gt;"",H387,IFERROR(G387/INDEX(Players!$M$2:$M$124,MATCH(B387,Players!$A$2:$A$124,0)),""))</f>
        <v>0.54</v>
      </c>
    </row>
    <row r="388" customFormat="false" ht="15" hidden="false" customHeight="false" outlineLevel="0" collapsed="false">
      <c r="A388" s="0" t="s">
        <v>2166</v>
      </c>
      <c r="B388" s="0" t="s">
        <v>1484</v>
      </c>
      <c r="C388" s="0" t="s">
        <v>1190</v>
      </c>
      <c r="D388" s="0" t="s">
        <v>988</v>
      </c>
      <c r="E388" s="0" t="s">
        <v>150</v>
      </c>
      <c r="F388" s="0" t="n">
        <v>11</v>
      </c>
      <c r="G388" s="0" t="n">
        <v>18.4</v>
      </c>
      <c r="H388" s="0" t="n">
        <v>0.85</v>
      </c>
      <c r="I388" s="10" t="n">
        <v>0.51</v>
      </c>
      <c r="J388" s="0" t="n">
        <v>1.2</v>
      </c>
      <c r="K388" s="13" t="n">
        <f aca="false">IF(H388&lt;&gt;"",H388,IFERROR(G388/INDEX(Players!$M$2:$M$124,MATCH(B388,Players!$A$2:$A$124,0)),""))</f>
        <v>0.85</v>
      </c>
    </row>
    <row r="389" customFormat="false" ht="15" hidden="false" customHeight="false" outlineLevel="0" collapsed="false">
      <c r="A389" s="0" t="s">
        <v>2167</v>
      </c>
      <c r="B389" s="0" t="s">
        <v>1484</v>
      </c>
      <c r="C389" s="0" t="s">
        <v>1190</v>
      </c>
      <c r="D389" s="0" t="s">
        <v>988</v>
      </c>
      <c r="E389" s="0" t="s">
        <v>94</v>
      </c>
      <c r="F389" s="0" t="n">
        <v>9</v>
      </c>
      <c r="G389" s="0" t="n">
        <v>13.7</v>
      </c>
      <c r="H389" s="0" t="n">
        <v>0.59</v>
      </c>
      <c r="I389" s="10" t="n">
        <v>0.472</v>
      </c>
      <c r="J389" s="0" t="n">
        <v>0.84</v>
      </c>
      <c r="K389" s="13" t="n">
        <f aca="false">IF(H389&lt;&gt;"",H389,IFERROR(G389/INDEX(Players!$M$2:$M$124,MATCH(B389,Players!$A$2:$A$124,0)),""))</f>
        <v>0.59</v>
      </c>
    </row>
    <row r="390" customFormat="false" ht="15" hidden="false" customHeight="false" outlineLevel="0" collapsed="false">
      <c r="A390" s="0" t="s">
        <v>2168</v>
      </c>
      <c r="B390" s="0" t="s">
        <v>1484</v>
      </c>
      <c r="C390" s="0" t="s">
        <v>1190</v>
      </c>
      <c r="D390" s="0" t="s">
        <v>988</v>
      </c>
      <c r="E390" s="0" t="s">
        <v>121</v>
      </c>
      <c r="F390" s="0" t="n">
        <v>6</v>
      </c>
      <c r="G390" s="0" t="n">
        <v>16.5</v>
      </c>
      <c r="H390" s="0" t="n">
        <v>0.67</v>
      </c>
      <c r="I390" s="10" t="n">
        <v>0.606</v>
      </c>
      <c r="J390" s="0" t="n">
        <v>0.96</v>
      </c>
      <c r="K390" s="13" t="n">
        <f aca="false">IF(H390&lt;&gt;"",H390,IFERROR(G390/INDEX(Players!$M$2:$M$124,MATCH(B390,Players!$A$2:$A$124,0)),""))</f>
        <v>0.67</v>
      </c>
    </row>
    <row r="391" customFormat="false" ht="15" hidden="false" customHeight="false" outlineLevel="0" collapsed="false">
      <c r="A391" s="0" t="s">
        <v>2169</v>
      </c>
      <c r="B391" s="0" t="s">
        <v>1484</v>
      </c>
      <c r="C391" s="0" t="s">
        <v>1190</v>
      </c>
      <c r="D391" s="0" t="s">
        <v>988</v>
      </c>
      <c r="E391" s="0" t="s">
        <v>80</v>
      </c>
      <c r="F391" s="0" t="n">
        <v>5</v>
      </c>
      <c r="G391" s="0" t="n">
        <v>17.6</v>
      </c>
      <c r="H391" s="0" t="n">
        <v>0.81</v>
      </c>
      <c r="I391" s="10" t="n">
        <v>0.58</v>
      </c>
      <c r="J391" s="0" t="n">
        <v>1.38</v>
      </c>
      <c r="K391" s="13" t="n">
        <f aca="false">IF(H391&lt;&gt;"",H391,IFERROR(G391/INDEX(Players!$M$2:$M$124,MATCH(B391,Players!$A$2:$A$124,0)),""))</f>
        <v>0.81</v>
      </c>
    </row>
    <row r="392" customFormat="false" ht="15" hidden="false" customHeight="false" outlineLevel="0" collapsed="false">
      <c r="A392" s="0" t="s">
        <v>2170</v>
      </c>
      <c r="B392" s="0" t="s">
        <v>1484</v>
      </c>
      <c r="C392" s="0" t="s">
        <v>1190</v>
      </c>
      <c r="D392" s="0" t="s">
        <v>988</v>
      </c>
      <c r="E392" s="0" t="s">
        <v>131</v>
      </c>
      <c r="F392" s="0" t="n">
        <v>4</v>
      </c>
      <c r="G392" s="0" t="n">
        <v>18.5</v>
      </c>
      <c r="H392" s="0" t="n">
        <v>0.74</v>
      </c>
      <c r="I392" s="10" t="n">
        <v>0.527</v>
      </c>
      <c r="J392" s="0" t="n">
        <v>1.04</v>
      </c>
      <c r="K392" s="13" t="n">
        <f aca="false">IF(H392&lt;&gt;"",H392,IFERROR(G392/INDEX(Players!$M$2:$M$124,MATCH(B392,Players!$A$2:$A$124,0)),""))</f>
        <v>0.74</v>
      </c>
    </row>
    <row r="393" customFormat="false" ht="15" hidden="false" customHeight="false" outlineLevel="0" collapsed="false">
      <c r="A393" s="0" t="s">
        <v>2171</v>
      </c>
      <c r="B393" s="0" t="s">
        <v>1484</v>
      </c>
      <c r="C393" s="0" t="s">
        <v>1190</v>
      </c>
      <c r="D393" s="0" t="s">
        <v>988</v>
      </c>
      <c r="E393" s="0" t="s">
        <v>107</v>
      </c>
      <c r="F393" s="0" t="n">
        <v>4</v>
      </c>
      <c r="G393" s="0" t="n">
        <v>13.8</v>
      </c>
      <c r="H393" s="0" t="n">
        <v>0.59</v>
      </c>
      <c r="I393" s="10" t="n">
        <v>0.527</v>
      </c>
      <c r="J393" s="0" t="n">
        <v>0.83</v>
      </c>
      <c r="K393" s="13" t="n">
        <f aca="false">IF(H393&lt;&gt;"",H393,IFERROR(G393/INDEX(Players!$M$2:$M$124,MATCH(B393,Players!$A$2:$A$124,0)),""))</f>
        <v>0.59</v>
      </c>
    </row>
    <row r="394" customFormat="false" ht="15" hidden="false" customHeight="false" outlineLevel="0" collapsed="false">
      <c r="A394" s="0" t="s">
        <v>2172</v>
      </c>
      <c r="B394" s="0" t="s">
        <v>1467</v>
      </c>
      <c r="C394" s="0" t="s">
        <v>1141</v>
      </c>
      <c r="D394" s="0" t="s">
        <v>988</v>
      </c>
      <c r="E394" s="0" t="s">
        <v>80</v>
      </c>
      <c r="F394" s="0" t="n">
        <v>11</v>
      </c>
      <c r="G394" s="0" t="n">
        <v>16.3</v>
      </c>
      <c r="H394" s="0" t="n">
        <v>0.71</v>
      </c>
      <c r="I394" s="10" t="n">
        <v>0.687</v>
      </c>
      <c r="J394" s="0" t="n">
        <v>1.1</v>
      </c>
      <c r="K394" s="13" t="n">
        <f aca="false">IF(H394&lt;&gt;"",H394,IFERROR(G394/INDEX(Players!$M$2:$M$124,MATCH(B394,Players!$A$2:$A$124,0)),""))</f>
        <v>0.71</v>
      </c>
    </row>
    <row r="395" customFormat="false" ht="15" hidden="false" customHeight="false" outlineLevel="0" collapsed="false">
      <c r="A395" s="0" t="s">
        <v>2173</v>
      </c>
      <c r="B395" s="0" t="s">
        <v>1467</v>
      </c>
      <c r="C395" s="0" t="s">
        <v>1141</v>
      </c>
      <c r="D395" s="0" t="s">
        <v>988</v>
      </c>
      <c r="E395" s="0" t="s">
        <v>150</v>
      </c>
      <c r="F395" s="0" t="n">
        <v>7</v>
      </c>
      <c r="G395" s="0" t="n">
        <v>15.7</v>
      </c>
      <c r="H395" s="0" t="n">
        <v>0.71</v>
      </c>
      <c r="I395" s="10" t="n">
        <v>0.682</v>
      </c>
      <c r="J395" s="0" t="n">
        <v>1.12</v>
      </c>
      <c r="K395" s="13" t="n">
        <f aca="false">IF(H395&lt;&gt;"",H395,IFERROR(G395/INDEX(Players!$M$2:$M$124,MATCH(B395,Players!$A$2:$A$124,0)),""))</f>
        <v>0.71</v>
      </c>
    </row>
    <row r="396" customFormat="false" ht="15" hidden="false" customHeight="false" outlineLevel="0" collapsed="false">
      <c r="A396" s="0" t="s">
        <v>2174</v>
      </c>
      <c r="B396" s="0" t="s">
        <v>1467</v>
      </c>
      <c r="C396" s="0" t="s">
        <v>1141</v>
      </c>
      <c r="D396" s="0" t="s">
        <v>988</v>
      </c>
      <c r="E396" s="0" t="s">
        <v>131</v>
      </c>
      <c r="F396" s="0" t="n">
        <v>5</v>
      </c>
      <c r="G396" s="0" t="n">
        <v>14.6</v>
      </c>
      <c r="H396" s="0" t="n">
        <v>0.7</v>
      </c>
      <c r="I396" s="10" t="n">
        <v>0.521</v>
      </c>
      <c r="J396" s="0" t="n">
        <v>1.06</v>
      </c>
      <c r="K396" s="13" t="n">
        <f aca="false">IF(H396&lt;&gt;"",H396,IFERROR(G396/INDEX(Players!$M$2:$M$124,MATCH(B396,Players!$A$2:$A$124,0)),""))</f>
        <v>0.7</v>
      </c>
    </row>
    <row r="397" customFormat="false" ht="15" hidden="false" customHeight="false" outlineLevel="0" collapsed="false">
      <c r="A397" s="0" t="s">
        <v>2175</v>
      </c>
      <c r="B397" s="0" t="s">
        <v>1467</v>
      </c>
      <c r="C397" s="0" t="s">
        <v>1141</v>
      </c>
      <c r="D397" s="0" t="s">
        <v>988</v>
      </c>
      <c r="E397" s="0" t="s">
        <v>142</v>
      </c>
      <c r="F397" s="0" t="n">
        <v>3</v>
      </c>
      <c r="G397" s="0" t="n">
        <v>15</v>
      </c>
      <c r="H397" s="0" t="n">
        <v>0.74</v>
      </c>
      <c r="I397" s="10" t="n">
        <v>0.689</v>
      </c>
      <c r="J397" s="0" t="n">
        <v>1.36</v>
      </c>
      <c r="K397" s="13" t="n">
        <f aca="false">IF(H397&lt;&gt;"",H397,IFERROR(G397/INDEX(Players!$M$2:$M$124,MATCH(B397,Players!$A$2:$A$124,0)),""))</f>
        <v>0.74</v>
      </c>
    </row>
    <row r="398" customFormat="false" ht="15" hidden="false" customHeight="false" outlineLevel="0" collapsed="false">
      <c r="A398" s="0" t="s">
        <v>2176</v>
      </c>
      <c r="B398" s="0" t="s">
        <v>1467</v>
      </c>
      <c r="C398" s="0" t="s">
        <v>1141</v>
      </c>
      <c r="D398" s="0" t="s">
        <v>988</v>
      </c>
      <c r="E398" s="0" t="s">
        <v>94</v>
      </c>
      <c r="F398" s="0" t="n">
        <v>3</v>
      </c>
      <c r="G398" s="0" t="n">
        <v>13.3</v>
      </c>
      <c r="H398" s="0" t="n">
        <v>0.63</v>
      </c>
      <c r="I398" s="10" t="n">
        <v>0.775</v>
      </c>
      <c r="J398" s="0" t="n">
        <v>1.08</v>
      </c>
      <c r="K398" s="13" t="n">
        <f aca="false">IF(H398&lt;&gt;"",H398,IFERROR(G398/INDEX(Players!$M$2:$M$124,MATCH(B398,Players!$A$2:$A$124,0)),""))</f>
        <v>0.63</v>
      </c>
    </row>
    <row r="399" customFormat="false" ht="15" hidden="false" customHeight="false" outlineLevel="0" collapsed="false">
      <c r="A399" s="0" t="s">
        <v>2177</v>
      </c>
      <c r="B399" s="0" t="s">
        <v>1467</v>
      </c>
      <c r="C399" s="0" t="s">
        <v>1141</v>
      </c>
      <c r="D399" s="0" t="s">
        <v>988</v>
      </c>
      <c r="E399" s="0" t="s">
        <v>121</v>
      </c>
      <c r="F399" s="0" t="n">
        <v>2</v>
      </c>
      <c r="G399" s="0" t="n">
        <v>17.5</v>
      </c>
      <c r="H399" s="0" t="n">
        <v>0.83</v>
      </c>
      <c r="I399" s="10" t="n">
        <v>0.743</v>
      </c>
      <c r="J399" s="0" t="n">
        <v>1.25</v>
      </c>
      <c r="K399" s="13" t="n">
        <f aca="false">IF(H399&lt;&gt;"",H399,IFERROR(G399/INDEX(Players!$M$2:$M$124,MATCH(B399,Players!$A$2:$A$124,0)),""))</f>
        <v>0.83</v>
      </c>
    </row>
    <row r="400" customFormat="false" ht="15" hidden="false" customHeight="false" outlineLevel="0" collapsed="false">
      <c r="A400" s="0" t="s">
        <v>2178</v>
      </c>
      <c r="B400" s="0" t="s">
        <v>1510</v>
      </c>
      <c r="C400" s="0" t="s">
        <v>1256</v>
      </c>
      <c r="D400" s="0" t="s">
        <v>988</v>
      </c>
      <c r="E400" s="0" t="s">
        <v>142</v>
      </c>
      <c r="F400" s="0" t="n">
        <v>10</v>
      </c>
      <c r="G400" s="0" t="n">
        <v>11.2</v>
      </c>
      <c r="H400" s="0" t="n">
        <v>0.52</v>
      </c>
      <c r="I400" s="10" t="n">
        <v>0.554</v>
      </c>
      <c r="J400" s="0" t="n">
        <v>0.69</v>
      </c>
      <c r="K400" s="13" t="n">
        <f aca="false">IF(H400&lt;&gt;"",H400,IFERROR(G400/INDEX(Players!$M$2:$M$124,MATCH(B400,Players!$A$2:$A$124,0)),""))</f>
        <v>0.52</v>
      </c>
    </row>
    <row r="401" customFormat="false" ht="15" hidden="false" customHeight="false" outlineLevel="0" collapsed="false">
      <c r="A401" s="0" t="s">
        <v>2179</v>
      </c>
      <c r="B401" s="0" t="s">
        <v>1510</v>
      </c>
      <c r="C401" s="0" t="s">
        <v>1256</v>
      </c>
      <c r="D401" s="0" t="s">
        <v>988</v>
      </c>
      <c r="E401" s="0" t="s">
        <v>150</v>
      </c>
      <c r="F401" s="0" t="n">
        <v>9</v>
      </c>
      <c r="G401" s="0" t="n">
        <v>14.9</v>
      </c>
      <c r="H401" s="0" t="n">
        <v>0.71</v>
      </c>
      <c r="I401" s="10" t="n">
        <v>0.53</v>
      </c>
      <c r="J401" s="0" t="n">
        <v>0.98</v>
      </c>
      <c r="K401" s="13" t="n">
        <f aca="false">IF(H401&lt;&gt;"",H401,IFERROR(G401/INDEX(Players!$M$2:$M$124,MATCH(B401,Players!$A$2:$A$124,0)),""))</f>
        <v>0.71</v>
      </c>
    </row>
    <row r="402" customFormat="false" ht="15" hidden="false" customHeight="false" outlineLevel="0" collapsed="false">
      <c r="A402" s="0" t="s">
        <v>2180</v>
      </c>
      <c r="B402" s="0" t="s">
        <v>1510</v>
      </c>
      <c r="C402" s="0" t="s">
        <v>1256</v>
      </c>
      <c r="D402" s="0" t="s">
        <v>988</v>
      </c>
      <c r="E402" s="0" t="s">
        <v>80</v>
      </c>
      <c r="F402" s="0" t="n">
        <v>5</v>
      </c>
      <c r="G402" s="0" t="n">
        <v>14.8</v>
      </c>
      <c r="H402" s="0" t="n">
        <v>0.71</v>
      </c>
      <c r="I402" s="10" t="n">
        <v>0.459</v>
      </c>
      <c r="J402" s="0" t="n">
        <v>1.06</v>
      </c>
      <c r="K402" s="13" t="n">
        <f aca="false">IF(H402&lt;&gt;"",H402,IFERROR(G402/INDEX(Players!$M$2:$M$124,MATCH(B402,Players!$A$2:$A$124,0)),""))</f>
        <v>0.71</v>
      </c>
    </row>
    <row r="403" customFormat="false" ht="15" hidden="false" customHeight="false" outlineLevel="0" collapsed="false">
      <c r="A403" s="0" t="s">
        <v>2181</v>
      </c>
      <c r="B403" s="0" t="s">
        <v>1510</v>
      </c>
      <c r="C403" s="0" t="s">
        <v>1256</v>
      </c>
      <c r="D403" s="0" t="s">
        <v>988</v>
      </c>
      <c r="E403" s="0" t="s">
        <v>131</v>
      </c>
      <c r="F403" s="0" t="n">
        <v>4</v>
      </c>
      <c r="G403" s="0" t="n">
        <v>16.5</v>
      </c>
      <c r="H403" s="0" t="n">
        <v>0.78</v>
      </c>
      <c r="I403" s="10" t="n">
        <v>0.545</v>
      </c>
      <c r="J403" s="0" t="n">
        <v>1.27</v>
      </c>
      <c r="K403" s="13" t="n">
        <f aca="false">IF(H403&lt;&gt;"",H403,IFERROR(G403/INDEX(Players!$M$2:$M$124,MATCH(B403,Players!$A$2:$A$124,0)),""))</f>
        <v>0.78</v>
      </c>
    </row>
    <row r="404" customFormat="false" ht="15" hidden="false" customHeight="false" outlineLevel="0" collapsed="false">
      <c r="A404" s="0" t="s">
        <v>2182</v>
      </c>
      <c r="B404" s="0" t="s">
        <v>1510</v>
      </c>
      <c r="C404" s="0" t="s">
        <v>1256</v>
      </c>
      <c r="D404" s="0" t="s">
        <v>988</v>
      </c>
      <c r="E404" s="0" t="s">
        <v>94</v>
      </c>
      <c r="F404" s="0" t="n">
        <v>3</v>
      </c>
      <c r="G404" s="0" t="n">
        <v>19</v>
      </c>
      <c r="H404" s="0" t="n">
        <v>0.83</v>
      </c>
      <c r="I404" s="10" t="n">
        <v>0.684</v>
      </c>
      <c r="J404" s="0" t="n">
        <v>1.14</v>
      </c>
      <c r="K404" s="13" t="n">
        <f aca="false">IF(H404&lt;&gt;"",H404,IFERROR(G404/INDEX(Players!$M$2:$M$124,MATCH(B404,Players!$A$2:$A$124,0)),""))</f>
        <v>0.83</v>
      </c>
    </row>
    <row r="405" customFormat="false" ht="15" hidden="false" customHeight="false" outlineLevel="0" collapsed="false">
      <c r="A405" s="0" t="s">
        <v>2183</v>
      </c>
      <c r="B405" s="0" t="s">
        <v>1510</v>
      </c>
      <c r="C405" s="0" t="s">
        <v>1256</v>
      </c>
      <c r="D405" s="0" t="s">
        <v>988</v>
      </c>
      <c r="E405" s="0" t="s">
        <v>121</v>
      </c>
      <c r="F405" s="0" t="n">
        <v>3</v>
      </c>
      <c r="G405" s="0" t="n">
        <v>13.7</v>
      </c>
      <c r="H405" s="0" t="n">
        <v>0.73</v>
      </c>
      <c r="I405" s="10" t="n">
        <v>0.512</v>
      </c>
      <c r="J405" s="0" t="n">
        <v>0.95</v>
      </c>
      <c r="K405" s="13" t="n">
        <f aca="false">IF(H405&lt;&gt;"",H405,IFERROR(G405/INDEX(Players!$M$2:$M$124,MATCH(B405,Players!$A$2:$A$124,0)),""))</f>
        <v>0.73</v>
      </c>
    </row>
    <row r="406" customFormat="false" ht="15" hidden="false" customHeight="false" outlineLevel="0" collapsed="false">
      <c r="A406" s="0" t="s">
        <v>2184</v>
      </c>
      <c r="B406" s="0" t="s">
        <v>1510</v>
      </c>
      <c r="C406" s="0" t="s">
        <v>1256</v>
      </c>
      <c r="D406" s="0" t="s">
        <v>988</v>
      </c>
      <c r="E406" s="0" t="s">
        <v>107</v>
      </c>
      <c r="F406" s="0" t="n">
        <v>2</v>
      </c>
      <c r="G406" s="0" t="n">
        <v>20</v>
      </c>
      <c r="H406" s="0" t="n">
        <v>0.62</v>
      </c>
      <c r="I406" s="10" t="n">
        <v>0.45</v>
      </c>
      <c r="J406" s="0" t="n">
        <v>0.78</v>
      </c>
      <c r="K406" s="13" t="n">
        <f aca="false">IF(H406&lt;&gt;"",H406,IFERROR(G406/INDEX(Players!$M$2:$M$124,MATCH(B406,Players!$A$2:$A$124,0)),""))</f>
        <v>0.62</v>
      </c>
    </row>
    <row r="407" customFormat="false" ht="15" hidden="false" customHeight="false" outlineLevel="0" collapsed="false">
      <c r="A407" s="0" t="s">
        <v>2185</v>
      </c>
      <c r="B407" s="0" t="s">
        <v>1520</v>
      </c>
      <c r="C407" s="0" t="s">
        <v>1277</v>
      </c>
      <c r="D407" s="0" t="s">
        <v>988</v>
      </c>
      <c r="E407" s="0" t="s">
        <v>142</v>
      </c>
      <c r="F407" s="0" t="n">
        <v>7</v>
      </c>
      <c r="G407" s="0" t="n">
        <v>16.6</v>
      </c>
      <c r="H407" s="0" t="n">
        <v>0.78</v>
      </c>
      <c r="I407" s="10" t="n">
        <v>0.595</v>
      </c>
      <c r="J407" s="0" t="n">
        <v>1.25</v>
      </c>
      <c r="K407" s="13" t="n">
        <f aca="false">IF(H407&lt;&gt;"",H407,IFERROR(G407/INDEX(Players!$M$2:$M$124,MATCH(B407,Players!$A$2:$A$124,0)),""))</f>
        <v>0.78</v>
      </c>
    </row>
    <row r="408" customFormat="false" ht="15" hidden="false" customHeight="false" outlineLevel="0" collapsed="false">
      <c r="A408" s="0" t="s">
        <v>2186</v>
      </c>
      <c r="B408" s="0" t="s">
        <v>1520</v>
      </c>
      <c r="C408" s="0" t="s">
        <v>1277</v>
      </c>
      <c r="D408" s="0" t="s">
        <v>988</v>
      </c>
      <c r="E408" s="0" t="s">
        <v>150</v>
      </c>
      <c r="F408" s="0" t="n">
        <v>7</v>
      </c>
      <c r="G408" s="0" t="n">
        <v>18.1</v>
      </c>
      <c r="H408" s="0" t="n">
        <v>0.79</v>
      </c>
      <c r="I408" s="10" t="n">
        <v>0.677</v>
      </c>
      <c r="J408" s="0" t="n">
        <v>1.25</v>
      </c>
      <c r="K408" s="13" t="n">
        <f aca="false">IF(H408&lt;&gt;"",H408,IFERROR(G408/INDEX(Players!$M$2:$M$124,MATCH(B408,Players!$A$2:$A$124,0)),""))</f>
        <v>0.79</v>
      </c>
    </row>
    <row r="409" customFormat="false" ht="15" hidden="false" customHeight="false" outlineLevel="0" collapsed="false">
      <c r="A409" s="0" t="s">
        <v>2187</v>
      </c>
      <c r="B409" s="0" t="s">
        <v>1520</v>
      </c>
      <c r="C409" s="0" t="s">
        <v>1277</v>
      </c>
      <c r="D409" s="0" t="s">
        <v>988</v>
      </c>
      <c r="E409" s="0" t="s">
        <v>131</v>
      </c>
      <c r="F409" s="0" t="n">
        <v>7</v>
      </c>
      <c r="G409" s="0" t="n">
        <v>14.7</v>
      </c>
      <c r="H409" s="0" t="n">
        <v>0.66</v>
      </c>
      <c r="I409" s="10" t="n">
        <v>0.583</v>
      </c>
      <c r="J409" s="0" t="n">
        <v>0.98</v>
      </c>
      <c r="K409" s="13" t="n">
        <f aca="false">IF(H409&lt;&gt;"",H409,IFERROR(G409/INDEX(Players!$M$2:$M$124,MATCH(B409,Players!$A$2:$A$124,0)),""))</f>
        <v>0.66</v>
      </c>
    </row>
    <row r="410" customFormat="false" ht="15" hidden="false" customHeight="false" outlineLevel="0" collapsed="false">
      <c r="A410" s="0" t="s">
        <v>2188</v>
      </c>
      <c r="B410" s="0" t="s">
        <v>1520</v>
      </c>
      <c r="C410" s="0" t="s">
        <v>1277</v>
      </c>
      <c r="D410" s="0" t="s">
        <v>988</v>
      </c>
      <c r="E410" s="0" t="s">
        <v>80</v>
      </c>
      <c r="F410" s="0" t="n">
        <v>6</v>
      </c>
      <c r="G410" s="0" t="n">
        <v>14.5</v>
      </c>
      <c r="H410" s="0" t="n">
        <v>0.69</v>
      </c>
      <c r="I410" s="10" t="n">
        <v>0.655</v>
      </c>
      <c r="J410" s="0" t="n">
        <v>0.95</v>
      </c>
      <c r="K410" s="13" t="n">
        <f aca="false">IF(H410&lt;&gt;"",H410,IFERROR(G410/INDEX(Players!$M$2:$M$124,MATCH(B410,Players!$A$2:$A$124,0)),""))</f>
        <v>0.69</v>
      </c>
    </row>
    <row r="411" customFormat="false" ht="15" hidden="false" customHeight="false" outlineLevel="0" collapsed="false">
      <c r="A411" s="0" t="s">
        <v>2189</v>
      </c>
      <c r="B411" s="0" t="s">
        <v>1520</v>
      </c>
      <c r="C411" s="0" t="s">
        <v>1277</v>
      </c>
      <c r="D411" s="0" t="s">
        <v>988</v>
      </c>
      <c r="E411" s="0" t="s">
        <v>94</v>
      </c>
      <c r="F411" s="0" t="n">
        <v>5</v>
      </c>
      <c r="G411" s="0" t="n">
        <v>15.2</v>
      </c>
      <c r="H411" s="0" t="n">
        <v>0.72</v>
      </c>
      <c r="I411" s="10" t="n">
        <v>0.697</v>
      </c>
      <c r="J411" s="0" t="n">
        <v>1.13</v>
      </c>
      <c r="K411" s="13" t="n">
        <f aca="false">IF(H411&lt;&gt;"",H411,IFERROR(G411/INDEX(Players!$M$2:$M$124,MATCH(B411,Players!$A$2:$A$124,0)),""))</f>
        <v>0.72</v>
      </c>
    </row>
    <row r="412" customFormat="false" ht="15" hidden="false" customHeight="false" outlineLevel="0" collapsed="false">
      <c r="A412" s="0" t="s">
        <v>2190</v>
      </c>
      <c r="B412" s="0" t="s">
        <v>1520</v>
      </c>
      <c r="C412" s="0" t="s">
        <v>1277</v>
      </c>
      <c r="D412" s="0" t="s">
        <v>988</v>
      </c>
      <c r="E412" s="0" t="s">
        <v>107</v>
      </c>
      <c r="F412" s="0" t="n">
        <v>5</v>
      </c>
      <c r="G412" s="0" t="n">
        <v>9.8</v>
      </c>
      <c r="H412" s="0" t="n">
        <v>0.49</v>
      </c>
      <c r="I412" s="10" t="n">
        <v>0.735</v>
      </c>
      <c r="J412" s="0" t="n">
        <v>0.63</v>
      </c>
      <c r="K412" s="13" t="n">
        <f aca="false">IF(H412&lt;&gt;"",H412,IFERROR(G412/INDEX(Players!$M$2:$M$124,MATCH(B412,Players!$A$2:$A$124,0)),""))</f>
        <v>0.49</v>
      </c>
    </row>
    <row r="413" customFormat="false" ht="15" hidden="false" customHeight="false" outlineLevel="0" collapsed="false">
      <c r="A413" s="0" t="s">
        <v>2191</v>
      </c>
      <c r="B413" s="0" t="s">
        <v>1520</v>
      </c>
      <c r="C413" s="0" t="s">
        <v>1277</v>
      </c>
      <c r="D413" s="0" t="s">
        <v>988</v>
      </c>
      <c r="E413" s="0" t="s">
        <v>121</v>
      </c>
      <c r="F413" s="0" t="n">
        <v>2</v>
      </c>
      <c r="G413" s="0" t="n">
        <v>15.5</v>
      </c>
      <c r="H413" s="0" t="n">
        <v>0.6</v>
      </c>
      <c r="I413" s="10" t="n">
        <v>0.645</v>
      </c>
      <c r="J413" s="0" t="n">
        <v>0.72</v>
      </c>
      <c r="K413" s="13" t="n">
        <f aca="false">IF(H413&lt;&gt;"",H413,IFERROR(G413/INDEX(Players!$M$2:$M$124,MATCH(B413,Players!$A$2:$A$124,0)),""))</f>
        <v>0.6</v>
      </c>
    </row>
    <row r="414" customFormat="false" ht="15" hidden="false" customHeight="false" outlineLevel="0" collapsed="false">
      <c r="A414" s="0" t="s">
        <v>2192</v>
      </c>
      <c r="B414" s="0" t="s">
        <v>1479</v>
      </c>
      <c r="C414" s="0" t="s">
        <v>1175</v>
      </c>
      <c r="D414" s="0" t="s">
        <v>988</v>
      </c>
      <c r="E414" s="0" t="s">
        <v>121</v>
      </c>
      <c r="F414" s="0" t="n">
        <v>11</v>
      </c>
      <c r="G414" s="0" t="n">
        <v>13.7</v>
      </c>
      <c r="H414" s="0" t="n">
        <v>0.66</v>
      </c>
      <c r="I414" s="10" t="n">
        <v>0.642</v>
      </c>
      <c r="J414" s="0" t="n">
        <v>1.04</v>
      </c>
      <c r="K414" s="13" t="n">
        <f aca="false">IF(H414&lt;&gt;"",H414,IFERROR(G414/INDEX(Players!$M$2:$M$124,MATCH(B414,Players!$A$2:$A$124,0)),""))</f>
        <v>0.66</v>
      </c>
    </row>
    <row r="415" customFormat="false" ht="15" hidden="false" customHeight="false" outlineLevel="0" collapsed="false">
      <c r="A415" s="0" t="s">
        <v>2193</v>
      </c>
      <c r="B415" s="0" t="s">
        <v>1479</v>
      </c>
      <c r="C415" s="0" t="s">
        <v>1175</v>
      </c>
      <c r="D415" s="0" t="s">
        <v>988</v>
      </c>
      <c r="E415" s="0" t="s">
        <v>142</v>
      </c>
      <c r="F415" s="0" t="n">
        <v>8</v>
      </c>
      <c r="G415" s="0" t="n">
        <v>16.8</v>
      </c>
      <c r="H415" s="0" t="n">
        <v>0.74</v>
      </c>
      <c r="I415" s="10" t="n">
        <v>0.709</v>
      </c>
      <c r="J415" s="0" t="n">
        <v>1.09</v>
      </c>
      <c r="K415" s="13" t="n">
        <f aca="false">IF(H415&lt;&gt;"",H415,IFERROR(G415/INDEX(Players!$M$2:$M$124,MATCH(B415,Players!$A$2:$A$124,0)),""))</f>
        <v>0.74</v>
      </c>
    </row>
    <row r="416" customFormat="false" ht="15" hidden="false" customHeight="false" outlineLevel="0" collapsed="false">
      <c r="A416" s="0" t="s">
        <v>2194</v>
      </c>
      <c r="B416" s="0" t="s">
        <v>1479</v>
      </c>
      <c r="C416" s="0" t="s">
        <v>1175</v>
      </c>
      <c r="D416" s="0" t="s">
        <v>988</v>
      </c>
      <c r="E416" s="0" t="s">
        <v>107</v>
      </c>
      <c r="F416" s="0" t="n">
        <v>7</v>
      </c>
      <c r="G416" s="0" t="n">
        <v>12</v>
      </c>
      <c r="H416" s="0" t="n">
        <v>0.52</v>
      </c>
      <c r="I416" s="10" t="n">
        <v>0.679</v>
      </c>
      <c r="J416" s="0" t="n">
        <v>0.81</v>
      </c>
      <c r="K416" s="13" t="n">
        <f aca="false">IF(H416&lt;&gt;"",H416,IFERROR(G416/INDEX(Players!$M$2:$M$124,MATCH(B416,Players!$A$2:$A$124,0)),""))</f>
        <v>0.52</v>
      </c>
    </row>
    <row r="417" customFormat="false" ht="15" hidden="false" customHeight="false" outlineLevel="0" collapsed="false">
      <c r="A417" s="0" t="s">
        <v>2195</v>
      </c>
      <c r="B417" s="0" t="s">
        <v>1479</v>
      </c>
      <c r="C417" s="0" t="s">
        <v>1175</v>
      </c>
      <c r="D417" s="0" t="s">
        <v>988</v>
      </c>
      <c r="E417" s="0" t="s">
        <v>150</v>
      </c>
      <c r="F417" s="0" t="n">
        <v>6</v>
      </c>
      <c r="G417" s="0" t="n">
        <v>16.2</v>
      </c>
      <c r="H417" s="0" t="n">
        <v>0.72</v>
      </c>
      <c r="I417" s="10" t="n">
        <v>0.608</v>
      </c>
      <c r="J417" s="0" t="n">
        <v>1.01</v>
      </c>
      <c r="K417" s="13" t="n">
        <f aca="false">IF(H417&lt;&gt;"",H417,IFERROR(G417/INDEX(Players!$M$2:$M$124,MATCH(B417,Players!$A$2:$A$124,0)),""))</f>
        <v>0.72</v>
      </c>
    </row>
    <row r="418" customFormat="false" ht="15" hidden="false" customHeight="false" outlineLevel="0" collapsed="false">
      <c r="A418" s="0" t="s">
        <v>2196</v>
      </c>
      <c r="B418" s="0" t="s">
        <v>1479</v>
      </c>
      <c r="C418" s="0" t="s">
        <v>1175</v>
      </c>
      <c r="D418" s="0" t="s">
        <v>988</v>
      </c>
      <c r="E418" s="0" t="s">
        <v>94</v>
      </c>
      <c r="F418" s="0" t="n">
        <v>3</v>
      </c>
      <c r="G418" s="0" t="n">
        <v>15.3</v>
      </c>
      <c r="H418" s="0" t="n">
        <v>0.65</v>
      </c>
      <c r="I418" s="10" t="n">
        <v>0.63</v>
      </c>
      <c r="J418" s="0" t="n">
        <v>0.92</v>
      </c>
      <c r="K418" s="13" t="n">
        <f aca="false">IF(H418&lt;&gt;"",H418,IFERROR(G418/INDEX(Players!$M$2:$M$124,MATCH(B418,Players!$A$2:$A$124,0)),""))</f>
        <v>0.65</v>
      </c>
    </row>
    <row r="419" customFormat="false" ht="15" hidden="false" customHeight="false" outlineLevel="0" collapsed="false">
      <c r="A419" s="0" t="s">
        <v>2197</v>
      </c>
      <c r="B419" s="0" t="s">
        <v>1479</v>
      </c>
      <c r="C419" s="0" t="s">
        <v>1175</v>
      </c>
      <c r="D419" s="0" t="s">
        <v>988</v>
      </c>
      <c r="E419" s="0" t="s">
        <v>131</v>
      </c>
      <c r="F419" s="0" t="n">
        <v>2</v>
      </c>
      <c r="G419" s="0" t="n">
        <v>6.5</v>
      </c>
      <c r="H419" s="0" t="n">
        <v>0.32</v>
      </c>
      <c r="I419" s="10" t="n">
        <v>0.692</v>
      </c>
      <c r="J419" s="0" t="n">
        <v>0.43</v>
      </c>
      <c r="K419" s="13" t="n">
        <f aca="false">IF(H419&lt;&gt;"",H419,IFERROR(G419/INDEX(Players!$M$2:$M$124,MATCH(B419,Players!$A$2:$A$124,0)),""))</f>
        <v>0.32</v>
      </c>
    </row>
    <row r="420" customFormat="false" ht="15" hidden="false" customHeight="false" outlineLevel="0" collapsed="false">
      <c r="A420" s="0" t="s">
        <v>2198</v>
      </c>
      <c r="B420" s="0" t="s">
        <v>1479</v>
      </c>
      <c r="C420" s="0" t="s">
        <v>1175</v>
      </c>
      <c r="D420" s="0" t="s">
        <v>988</v>
      </c>
      <c r="E420" s="0" t="s">
        <v>80</v>
      </c>
      <c r="F420" s="0" t="n">
        <v>1</v>
      </c>
      <c r="G420" s="0" t="n">
        <v>16</v>
      </c>
      <c r="H420" s="0" t="n">
        <v>0.67</v>
      </c>
      <c r="I420" s="10" t="n">
        <v>0.75</v>
      </c>
      <c r="J420" s="0" t="n">
        <v>1.23</v>
      </c>
      <c r="K420" s="13" t="n">
        <f aca="false">IF(H420&lt;&gt;"",H420,IFERROR(G420/INDEX(Players!$M$2:$M$124,MATCH(B420,Players!$A$2:$A$124,0)),""))</f>
        <v>0.67</v>
      </c>
    </row>
    <row r="421" customFormat="false" ht="15" hidden="false" customHeight="false" outlineLevel="0" collapsed="false">
      <c r="A421" s="0" t="s">
        <v>2199</v>
      </c>
      <c r="B421" s="0" t="s">
        <v>1542</v>
      </c>
      <c r="C421" s="0" t="s">
        <v>1322</v>
      </c>
      <c r="D421" s="0" t="s">
        <v>988</v>
      </c>
      <c r="E421" s="0" t="s">
        <v>80</v>
      </c>
      <c r="F421" s="0" t="n">
        <v>9</v>
      </c>
      <c r="G421" s="0" t="n">
        <v>12.2</v>
      </c>
      <c r="H421" s="0" t="n">
        <v>0.63</v>
      </c>
      <c r="I421" s="10" t="n">
        <v>0.5</v>
      </c>
      <c r="J421" s="0" t="n">
        <v>0.96</v>
      </c>
      <c r="K421" s="13" t="n">
        <f aca="false">IF(H421&lt;&gt;"",H421,IFERROR(G421/INDEX(Players!$M$2:$M$124,MATCH(B421,Players!$A$2:$A$124,0)),""))</f>
        <v>0.63</v>
      </c>
    </row>
    <row r="422" customFormat="false" ht="15" hidden="false" customHeight="false" outlineLevel="0" collapsed="false">
      <c r="A422" s="0" t="s">
        <v>2200</v>
      </c>
      <c r="B422" s="0" t="s">
        <v>1542</v>
      </c>
      <c r="C422" s="0" t="s">
        <v>1322</v>
      </c>
      <c r="D422" s="0" t="s">
        <v>988</v>
      </c>
      <c r="E422" s="0" t="s">
        <v>107</v>
      </c>
      <c r="F422" s="0" t="n">
        <v>6</v>
      </c>
      <c r="G422" s="0" t="n">
        <v>11</v>
      </c>
      <c r="H422" s="0" t="n">
        <v>0.55</v>
      </c>
      <c r="I422" s="10" t="n">
        <v>0.485</v>
      </c>
      <c r="J422" s="0" t="n">
        <v>0.84</v>
      </c>
      <c r="K422" s="13" t="n">
        <f aca="false">IF(H422&lt;&gt;"",H422,IFERROR(G422/INDEX(Players!$M$2:$M$124,MATCH(B422,Players!$A$2:$A$124,0)),""))</f>
        <v>0.55</v>
      </c>
    </row>
    <row r="423" customFormat="false" ht="15" hidden="false" customHeight="false" outlineLevel="0" collapsed="false">
      <c r="A423" s="0" t="s">
        <v>2201</v>
      </c>
      <c r="B423" s="0" t="s">
        <v>1542</v>
      </c>
      <c r="C423" s="0" t="s">
        <v>1322</v>
      </c>
      <c r="D423" s="0" t="s">
        <v>988</v>
      </c>
      <c r="E423" s="0" t="s">
        <v>150</v>
      </c>
      <c r="F423" s="0" t="n">
        <v>6</v>
      </c>
      <c r="G423" s="0" t="n">
        <v>9.2</v>
      </c>
      <c r="H423" s="0" t="n">
        <v>0.44</v>
      </c>
      <c r="I423" s="10" t="n">
        <v>0.418</v>
      </c>
      <c r="J423" s="0" t="n">
        <v>0.72</v>
      </c>
      <c r="K423" s="13" t="n">
        <f aca="false">IF(H423&lt;&gt;"",H423,IFERROR(G423/INDEX(Players!$M$2:$M$124,MATCH(B423,Players!$A$2:$A$124,0)),""))</f>
        <v>0.44</v>
      </c>
    </row>
    <row r="424" customFormat="false" ht="15" hidden="false" customHeight="false" outlineLevel="0" collapsed="false">
      <c r="A424" s="0" t="s">
        <v>2202</v>
      </c>
      <c r="B424" s="0" t="s">
        <v>1542</v>
      </c>
      <c r="C424" s="0" t="s">
        <v>1322</v>
      </c>
      <c r="D424" s="0" t="s">
        <v>988</v>
      </c>
      <c r="E424" s="0" t="s">
        <v>131</v>
      </c>
      <c r="F424" s="0" t="n">
        <v>5</v>
      </c>
      <c r="G424" s="0" t="n">
        <v>8.4</v>
      </c>
      <c r="H424" s="0" t="n">
        <v>0.42</v>
      </c>
      <c r="I424" s="10" t="n">
        <v>0.619</v>
      </c>
      <c r="J424" s="0" t="n">
        <v>0.63</v>
      </c>
      <c r="K424" s="13" t="n">
        <f aca="false">IF(H424&lt;&gt;"",H424,IFERROR(G424/INDEX(Players!$M$2:$M$124,MATCH(B424,Players!$A$2:$A$124,0)),""))</f>
        <v>0.42</v>
      </c>
    </row>
    <row r="425" customFormat="false" ht="15" hidden="false" customHeight="false" outlineLevel="0" collapsed="false">
      <c r="A425" s="0" t="s">
        <v>2203</v>
      </c>
      <c r="B425" s="0" t="s">
        <v>1542</v>
      </c>
      <c r="C425" s="0" t="s">
        <v>1322</v>
      </c>
      <c r="D425" s="0" t="s">
        <v>988</v>
      </c>
      <c r="E425" s="0" t="s">
        <v>142</v>
      </c>
      <c r="F425" s="0" t="n">
        <v>5</v>
      </c>
      <c r="G425" s="0" t="n">
        <v>9.4</v>
      </c>
      <c r="H425" s="0" t="n">
        <v>0.46</v>
      </c>
      <c r="I425" s="10" t="n">
        <v>0.468</v>
      </c>
      <c r="J425" s="0" t="n">
        <v>0.63</v>
      </c>
      <c r="K425" s="13" t="n">
        <f aca="false">IF(H425&lt;&gt;"",H425,IFERROR(G425/INDEX(Players!$M$2:$M$124,MATCH(B425,Players!$A$2:$A$124,0)),""))</f>
        <v>0.46</v>
      </c>
    </row>
    <row r="426" customFormat="false" ht="15" hidden="false" customHeight="false" outlineLevel="0" collapsed="false">
      <c r="A426" s="0" t="s">
        <v>2204</v>
      </c>
      <c r="B426" s="0" t="s">
        <v>1542</v>
      </c>
      <c r="C426" s="0" t="s">
        <v>1322</v>
      </c>
      <c r="D426" s="0" t="s">
        <v>988</v>
      </c>
      <c r="E426" s="0" t="s">
        <v>121</v>
      </c>
      <c r="F426" s="0" t="n">
        <v>2</v>
      </c>
      <c r="G426" s="0" t="n">
        <v>13.5</v>
      </c>
      <c r="H426" s="0" t="n">
        <v>0.47</v>
      </c>
      <c r="I426" s="10" t="n">
        <v>0.63</v>
      </c>
      <c r="J426" s="0" t="n">
        <v>0.66</v>
      </c>
      <c r="K426" s="13" t="n">
        <f aca="false">IF(H426&lt;&gt;"",H426,IFERROR(G426/INDEX(Players!$M$2:$M$124,MATCH(B426,Players!$A$2:$A$124,0)),""))</f>
        <v>0.47</v>
      </c>
    </row>
    <row r="427" customFormat="false" ht="15" hidden="false" customHeight="false" outlineLevel="0" collapsed="false">
      <c r="A427" s="0" t="s">
        <v>2205</v>
      </c>
      <c r="B427" s="0" t="s">
        <v>1532</v>
      </c>
      <c r="C427" s="0" t="s">
        <v>1302</v>
      </c>
      <c r="D427" s="0" t="s">
        <v>988</v>
      </c>
      <c r="E427" s="0" t="s">
        <v>150</v>
      </c>
      <c r="F427" s="0" t="n">
        <v>9</v>
      </c>
      <c r="G427" s="0" t="n">
        <v>14.1</v>
      </c>
      <c r="H427" s="0" t="n">
        <v>0.65</v>
      </c>
      <c r="I427" s="10" t="n">
        <v>0.291</v>
      </c>
      <c r="J427" s="0" t="n">
        <v>1.18</v>
      </c>
      <c r="K427" s="13" t="n">
        <f aca="false">IF(H427&lt;&gt;"",H427,IFERROR(G427/INDEX(Players!$M$2:$M$124,MATCH(B427,Players!$A$2:$A$124,0)),""))</f>
        <v>0.65</v>
      </c>
    </row>
    <row r="428" customFormat="false" ht="15" hidden="false" customHeight="false" outlineLevel="0" collapsed="false">
      <c r="A428" s="0" t="s">
        <v>2206</v>
      </c>
      <c r="B428" s="0" t="s">
        <v>1532</v>
      </c>
      <c r="C428" s="0" t="s">
        <v>1302</v>
      </c>
      <c r="D428" s="0" t="s">
        <v>988</v>
      </c>
      <c r="E428" s="0" t="s">
        <v>131</v>
      </c>
      <c r="F428" s="0" t="n">
        <v>7</v>
      </c>
      <c r="G428" s="0" t="n">
        <v>13</v>
      </c>
      <c r="H428" s="0" t="n">
        <v>0.6</v>
      </c>
      <c r="I428" s="10" t="n">
        <v>0.264</v>
      </c>
      <c r="J428" s="0" t="n">
        <v>1.12</v>
      </c>
      <c r="K428" s="13" t="n">
        <f aca="false">IF(H428&lt;&gt;"",H428,IFERROR(G428/INDEX(Players!$M$2:$M$124,MATCH(B428,Players!$A$2:$A$124,0)),""))</f>
        <v>0.6</v>
      </c>
    </row>
    <row r="429" customFormat="false" ht="15" hidden="false" customHeight="false" outlineLevel="0" collapsed="false">
      <c r="A429" s="0" t="s">
        <v>2207</v>
      </c>
      <c r="B429" s="0" t="s">
        <v>1532</v>
      </c>
      <c r="C429" s="0" t="s">
        <v>1302</v>
      </c>
      <c r="D429" s="0" t="s">
        <v>988</v>
      </c>
      <c r="E429" s="0" t="s">
        <v>142</v>
      </c>
      <c r="F429" s="0" t="n">
        <v>6</v>
      </c>
      <c r="G429" s="0" t="n">
        <v>14.7</v>
      </c>
      <c r="H429" s="0" t="n">
        <v>0.7</v>
      </c>
      <c r="I429" s="10" t="n">
        <v>0.307</v>
      </c>
      <c r="J429" s="0" t="n">
        <v>1.1</v>
      </c>
      <c r="K429" s="13" t="n">
        <f aca="false">IF(H429&lt;&gt;"",H429,IFERROR(G429/INDEX(Players!$M$2:$M$124,MATCH(B429,Players!$A$2:$A$124,0)),""))</f>
        <v>0.7</v>
      </c>
    </row>
    <row r="430" customFormat="false" ht="15" hidden="false" customHeight="false" outlineLevel="0" collapsed="false">
      <c r="A430" s="0" t="s">
        <v>2208</v>
      </c>
      <c r="B430" s="0" t="s">
        <v>1532</v>
      </c>
      <c r="C430" s="0" t="s">
        <v>1302</v>
      </c>
      <c r="D430" s="0" t="s">
        <v>988</v>
      </c>
      <c r="E430" s="0" t="s">
        <v>121</v>
      </c>
      <c r="F430" s="0" t="n">
        <v>5</v>
      </c>
      <c r="G430" s="0" t="n">
        <v>17.6</v>
      </c>
      <c r="H430" s="0" t="n">
        <v>0.78</v>
      </c>
      <c r="I430" s="10" t="n">
        <v>0.193</v>
      </c>
      <c r="J430" s="0" t="n">
        <v>1.52</v>
      </c>
      <c r="K430" s="13" t="n">
        <f aca="false">IF(H430&lt;&gt;"",H430,IFERROR(G430/INDEX(Players!$M$2:$M$124,MATCH(B430,Players!$A$2:$A$124,0)),""))</f>
        <v>0.78</v>
      </c>
    </row>
    <row r="431" customFormat="false" ht="15" hidden="false" customHeight="false" outlineLevel="0" collapsed="false">
      <c r="A431" s="0" t="s">
        <v>2209</v>
      </c>
      <c r="B431" s="0" t="s">
        <v>1532</v>
      </c>
      <c r="C431" s="0" t="s">
        <v>1302</v>
      </c>
      <c r="D431" s="0" t="s">
        <v>988</v>
      </c>
      <c r="E431" s="0" t="s">
        <v>80</v>
      </c>
      <c r="F431" s="0" t="n">
        <v>5</v>
      </c>
      <c r="G431" s="0" t="n">
        <v>13.4</v>
      </c>
      <c r="H431" s="0" t="n">
        <v>0.6</v>
      </c>
      <c r="I431" s="10" t="n">
        <v>0.448</v>
      </c>
      <c r="J431" s="0" t="n">
        <v>1.08</v>
      </c>
      <c r="K431" s="13" t="n">
        <f aca="false">IF(H431&lt;&gt;"",H431,IFERROR(G431/INDEX(Players!$M$2:$M$124,MATCH(B431,Players!$A$2:$A$124,0)),""))</f>
        <v>0.6</v>
      </c>
    </row>
    <row r="432" customFormat="false" ht="15" hidden="false" customHeight="false" outlineLevel="0" collapsed="false">
      <c r="A432" s="0" t="s">
        <v>2210</v>
      </c>
      <c r="B432" s="0" t="s">
        <v>1532</v>
      </c>
      <c r="C432" s="0" t="s">
        <v>1302</v>
      </c>
      <c r="D432" s="0" t="s">
        <v>988</v>
      </c>
      <c r="E432" s="0" t="s">
        <v>94</v>
      </c>
      <c r="F432" s="0" t="n">
        <v>4</v>
      </c>
      <c r="G432" s="0" t="n">
        <v>12</v>
      </c>
      <c r="H432" s="0" t="n">
        <v>0.57</v>
      </c>
      <c r="I432" s="10" t="n">
        <v>0.375</v>
      </c>
      <c r="J432" s="0" t="n">
        <v>0.89</v>
      </c>
      <c r="K432" s="13" t="n">
        <f aca="false">IF(H432&lt;&gt;"",H432,IFERROR(G432/INDEX(Players!$M$2:$M$124,MATCH(B432,Players!$A$2:$A$124,0)),""))</f>
        <v>0.57</v>
      </c>
    </row>
    <row r="433" customFormat="false" ht="15" hidden="false" customHeight="false" outlineLevel="0" collapsed="false">
      <c r="A433" s="0" t="s">
        <v>2211</v>
      </c>
      <c r="B433" s="0" t="s">
        <v>1556</v>
      </c>
      <c r="C433" s="0" t="s">
        <v>1350</v>
      </c>
      <c r="D433" s="0" t="s">
        <v>988</v>
      </c>
      <c r="E433" s="0" t="s">
        <v>150</v>
      </c>
      <c r="F433" s="0" t="n">
        <v>9</v>
      </c>
      <c r="G433" s="0" t="n">
        <v>13.2</v>
      </c>
      <c r="H433" s="0" t="n">
        <v>0.67</v>
      </c>
      <c r="I433" s="10" t="n">
        <v>0.613</v>
      </c>
      <c r="J433" s="0" t="n">
        <v>1.01</v>
      </c>
      <c r="K433" s="13" t="n">
        <f aca="false">IF(H433&lt;&gt;"",H433,IFERROR(G433/INDEX(Players!$M$2:$M$124,MATCH(B433,Players!$A$2:$A$124,0)),""))</f>
        <v>0.67</v>
      </c>
    </row>
    <row r="434" customFormat="false" ht="15" hidden="false" customHeight="false" outlineLevel="0" collapsed="false">
      <c r="A434" s="0" t="s">
        <v>2212</v>
      </c>
      <c r="B434" s="0" t="s">
        <v>1556</v>
      </c>
      <c r="C434" s="0" t="s">
        <v>1350</v>
      </c>
      <c r="D434" s="0" t="s">
        <v>988</v>
      </c>
      <c r="E434" s="0" t="s">
        <v>121</v>
      </c>
      <c r="F434" s="0" t="n">
        <v>7</v>
      </c>
      <c r="G434" s="0" t="n">
        <v>10.4</v>
      </c>
      <c r="H434" s="0" t="n">
        <v>0.55</v>
      </c>
      <c r="I434" s="10" t="n">
        <v>0.767</v>
      </c>
      <c r="J434" s="0" t="n">
        <v>0.94</v>
      </c>
      <c r="K434" s="13" t="n">
        <f aca="false">IF(H434&lt;&gt;"",H434,IFERROR(G434/INDEX(Players!$M$2:$M$124,MATCH(B434,Players!$A$2:$A$124,0)),""))</f>
        <v>0.55</v>
      </c>
    </row>
    <row r="435" customFormat="false" ht="15" hidden="false" customHeight="false" outlineLevel="0" collapsed="false">
      <c r="A435" s="0" t="s">
        <v>2213</v>
      </c>
      <c r="B435" s="0" t="s">
        <v>1556</v>
      </c>
      <c r="C435" s="0" t="s">
        <v>1350</v>
      </c>
      <c r="D435" s="0" t="s">
        <v>988</v>
      </c>
      <c r="E435" s="0" t="s">
        <v>142</v>
      </c>
      <c r="F435" s="0" t="n">
        <v>6</v>
      </c>
      <c r="G435" s="0" t="n">
        <v>11.5</v>
      </c>
      <c r="H435" s="0" t="n">
        <v>0.57</v>
      </c>
      <c r="I435" s="10" t="n">
        <v>0.58</v>
      </c>
      <c r="J435" s="0" t="n">
        <v>0.99</v>
      </c>
      <c r="K435" s="13" t="n">
        <f aca="false">IF(H435&lt;&gt;"",H435,IFERROR(G435/INDEX(Players!$M$2:$M$124,MATCH(B435,Players!$A$2:$A$124,0)),""))</f>
        <v>0.57</v>
      </c>
    </row>
    <row r="436" customFormat="false" ht="15" hidden="false" customHeight="false" outlineLevel="0" collapsed="false">
      <c r="A436" s="0" t="s">
        <v>2214</v>
      </c>
      <c r="B436" s="0" t="s">
        <v>1556</v>
      </c>
      <c r="C436" s="0" t="s">
        <v>1350</v>
      </c>
      <c r="D436" s="0" t="s">
        <v>988</v>
      </c>
      <c r="E436" s="0" t="s">
        <v>131</v>
      </c>
      <c r="F436" s="0" t="n">
        <v>4</v>
      </c>
      <c r="G436" s="0" t="n">
        <v>16.5</v>
      </c>
      <c r="H436" s="0" t="n">
        <v>0.88</v>
      </c>
      <c r="I436" s="10" t="n">
        <v>0.606</v>
      </c>
      <c r="J436" s="0" t="n">
        <v>1.53</v>
      </c>
      <c r="K436" s="13" t="n">
        <f aca="false">IF(H436&lt;&gt;"",H436,IFERROR(G436/INDEX(Players!$M$2:$M$124,MATCH(B436,Players!$A$2:$A$124,0)),""))</f>
        <v>0.88</v>
      </c>
    </row>
    <row r="437" customFormat="false" ht="15" hidden="false" customHeight="false" outlineLevel="0" collapsed="false">
      <c r="A437" s="0" t="s">
        <v>2215</v>
      </c>
      <c r="B437" s="0" t="s">
        <v>1556</v>
      </c>
      <c r="C437" s="0" t="s">
        <v>1350</v>
      </c>
      <c r="D437" s="0" t="s">
        <v>988</v>
      </c>
      <c r="E437" s="0" t="s">
        <v>80</v>
      </c>
      <c r="F437" s="0" t="n">
        <v>4</v>
      </c>
      <c r="G437" s="0" t="n">
        <v>13.5</v>
      </c>
      <c r="H437" s="0" t="n">
        <v>0.61</v>
      </c>
      <c r="I437" s="10" t="n">
        <v>0.519</v>
      </c>
      <c r="J437" s="0" t="n">
        <v>0.86</v>
      </c>
      <c r="K437" s="13" t="n">
        <f aca="false">IF(H437&lt;&gt;"",H437,IFERROR(G437/INDEX(Players!$M$2:$M$124,MATCH(B437,Players!$A$2:$A$124,0)),""))</f>
        <v>0.61</v>
      </c>
    </row>
    <row r="438" customFormat="false" ht="15" hidden="false" customHeight="false" outlineLevel="0" collapsed="false">
      <c r="A438" s="0" t="s">
        <v>2216</v>
      </c>
      <c r="B438" s="0" t="s">
        <v>1556</v>
      </c>
      <c r="C438" s="0" t="s">
        <v>1350</v>
      </c>
      <c r="D438" s="0" t="s">
        <v>988</v>
      </c>
      <c r="E438" s="0" t="s">
        <v>94</v>
      </c>
      <c r="F438" s="0" t="n">
        <v>2</v>
      </c>
      <c r="G438" s="0" t="n">
        <v>5.5</v>
      </c>
      <c r="H438" s="0" t="n">
        <v>0.27</v>
      </c>
      <c r="I438" s="10" t="n">
        <v>0.727</v>
      </c>
      <c r="J438" s="0" t="n">
        <v>0.32</v>
      </c>
      <c r="K438" s="13" t="n">
        <f aca="false">IF(H438&lt;&gt;"",H438,IFERROR(G438/INDEX(Players!$M$2:$M$124,MATCH(B438,Players!$A$2:$A$124,0)),""))</f>
        <v>0.27</v>
      </c>
    </row>
    <row r="439" customFormat="false" ht="15" hidden="false" customHeight="false" outlineLevel="0" collapsed="false">
      <c r="A439" s="0" t="s">
        <v>2217</v>
      </c>
      <c r="B439" s="0" t="s">
        <v>1543</v>
      </c>
      <c r="C439" s="0" t="s">
        <v>1324</v>
      </c>
      <c r="D439" s="0" t="s">
        <v>988</v>
      </c>
      <c r="E439" s="0" t="s">
        <v>80</v>
      </c>
      <c r="F439" s="0" t="n">
        <v>9</v>
      </c>
      <c r="G439" s="0" t="n">
        <v>10.2</v>
      </c>
      <c r="H439" s="0" t="n">
        <v>0.53</v>
      </c>
      <c r="I439" s="10" t="n">
        <v>0.391</v>
      </c>
      <c r="J439" s="0" t="n">
        <v>0.79</v>
      </c>
      <c r="K439" s="13" t="n">
        <f aca="false">IF(H439&lt;&gt;"",H439,IFERROR(G439/INDEX(Players!$M$2:$M$124,MATCH(B439,Players!$A$2:$A$124,0)),""))</f>
        <v>0.53</v>
      </c>
    </row>
    <row r="440" customFormat="false" ht="15" hidden="false" customHeight="false" outlineLevel="0" collapsed="false">
      <c r="A440" s="0" t="s">
        <v>2218</v>
      </c>
      <c r="B440" s="0" t="s">
        <v>1543</v>
      </c>
      <c r="C440" s="0" t="s">
        <v>1324</v>
      </c>
      <c r="D440" s="0" t="s">
        <v>988</v>
      </c>
      <c r="E440" s="0" t="s">
        <v>150</v>
      </c>
      <c r="F440" s="0" t="n">
        <v>6</v>
      </c>
      <c r="G440" s="0" t="n">
        <v>13</v>
      </c>
      <c r="H440" s="0" t="n">
        <v>0.63</v>
      </c>
      <c r="I440" s="10" t="n">
        <v>0.397</v>
      </c>
      <c r="J440" s="0" t="n">
        <v>1.34</v>
      </c>
      <c r="K440" s="13" t="n">
        <f aca="false">IF(H440&lt;&gt;"",H440,IFERROR(G440/INDEX(Players!$M$2:$M$124,MATCH(B440,Players!$A$2:$A$124,0)),""))</f>
        <v>0.63</v>
      </c>
    </row>
    <row r="441" customFormat="false" ht="15" hidden="false" customHeight="false" outlineLevel="0" collapsed="false">
      <c r="A441" s="0" t="s">
        <v>2219</v>
      </c>
      <c r="B441" s="0" t="s">
        <v>1543</v>
      </c>
      <c r="C441" s="0" t="s">
        <v>1324</v>
      </c>
      <c r="D441" s="0" t="s">
        <v>988</v>
      </c>
      <c r="E441" s="0" t="s">
        <v>107</v>
      </c>
      <c r="F441" s="0" t="n">
        <v>6</v>
      </c>
      <c r="G441" s="0" t="n">
        <v>12.8</v>
      </c>
      <c r="H441" s="0" t="n">
        <v>0.64</v>
      </c>
      <c r="I441" s="10" t="n">
        <v>0.325</v>
      </c>
      <c r="J441" s="0" t="n">
        <v>1.1</v>
      </c>
      <c r="K441" s="13" t="n">
        <f aca="false">IF(H441&lt;&gt;"",H441,IFERROR(G441/INDEX(Players!$M$2:$M$124,MATCH(B441,Players!$A$2:$A$124,0)),""))</f>
        <v>0.64</v>
      </c>
    </row>
    <row r="442" customFormat="false" ht="15" hidden="false" customHeight="false" outlineLevel="0" collapsed="false">
      <c r="A442" s="0" t="s">
        <v>2220</v>
      </c>
      <c r="B442" s="0" t="s">
        <v>1543</v>
      </c>
      <c r="C442" s="0" t="s">
        <v>1324</v>
      </c>
      <c r="D442" s="0" t="s">
        <v>988</v>
      </c>
      <c r="E442" s="0" t="s">
        <v>131</v>
      </c>
      <c r="F442" s="0" t="n">
        <v>5</v>
      </c>
      <c r="G442" s="0" t="n">
        <v>11.4</v>
      </c>
      <c r="H442" s="0" t="n">
        <v>0.58</v>
      </c>
      <c r="I442" s="10" t="n">
        <v>0.386</v>
      </c>
      <c r="J442" s="0" t="n">
        <v>1.04</v>
      </c>
      <c r="K442" s="13" t="n">
        <f aca="false">IF(H442&lt;&gt;"",H442,IFERROR(G442/INDEX(Players!$M$2:$M$124,MATCH(B442,Players!$A$2:$A$124,0)),""))</f>
        <v>0.58</v>
      </c>
    </row>
    <row r="443" customFormat="false" ht="15" hidden="false" customHeight="false" outlineLevel="0" collapsed="false">
      <c r="A443" s="0" t="s">
        <v>2221</v>
      </c>
      <c r="B443" s="0" t="s">
        <v>1543</v>
      </c>
      <c r="C443" s="0" t="s">
        <v>1324</v>
      </c>
      <c r="D443" s="0" t="s">
        <v>988</v>
      </c>
      <c r="E443" s="0" t="s">
        <v>142</v>
      </c>
      <c r="F443" s="0" t="n">
        <v>5</v>
      </c>
      <c r="G443" s="0" t="n">
        <v>14.2</v>
      </c>
      <c r="H443" s="0" t="n">
        <v>0.69</v>
      </c>
      <c r="I443" s="10" t="n">
        <v>0.521</v>
      </c>
      <c r="J443" s="0" t="n">
        <v>1.03</v>
      </c>
      <c r="K443" s="13" t="n">
        <f aca="false">IF(H443&lt;&gt;"",H443,IFERROR(G443/INDEX(Players!$M$2:$M$124,MATCH(B443,Players!$A$2:$A$124,0)),""))</f>
        <v>0.69</v>
      </c>
    </row>
    <row r="444" customFormat="false" ht="15" hidden="false" customHeight="false" outlineLevel="0" collapsed="false">
      <c r="A444" s="0" t="s">
        <v>2222</v>
      </c>
      <c r="B444" s="0" t="s">
        <v>1543</v>
      </c>
      <c r="C444" s="0" t="s">
        <v>1324</v>
      </c>
      <c r="D444" s="0" t="s">
        <v>988</v>
      </c>
      <c r="E444" s="0" t="s">
        <v>121</v>
      </c>
      <c r="F444" s="0" t="n">
        <v>2</v>
      </c>
      <c r="G444" s="0" t="n">
        <v>16.5</v>
      </c>
      <c r="H444" s="0" t="n">
        <v>0.58</v>
      </c>
      <c r="I444" s="10" t="n">
        <v>0.273</v>
      </c>
      <c r="J444" s="0" t="n">
        <v>1</v>
      </c>
      <c r="K444" s="13" t="n">
        <f aca="false">IF(H444&lt;&gt;"",H444,IFERROR(G444/INDEX(Players!$M$2:$M$124,MATCH(B444,Players!$A$2:$A$124,0)),""))</f>
        <v>0.58</v>
      </c>
    </row>
    <row r="445" customFormat="false" ht="15" hidden="false" customHeight="false" outlineLevel="0" collapsed="false">
      <c r="A445" s="0" t="s">
        <v>2223</v>
      </c>
      <c r="B445" s="0" t="s">
        <v>1566</v>
      </c>
      <c r="C445" s="0" t="s">
        <v>1375</v>
      </c>
      <c r="D445" s="0" t="s">
        <v>988</v>
      </c>
      <c r="E445" s="0" t="s">
        <v>150</v>
      </c>
      <c r="F445" s="0" t="n">
        <v>8</v>
      </c>
      <c r="G445" s="0" t="n">
        <v>14.1</v>
      </c>
      <c r="H445" s="0" t="n">
        <v>0.73</v>
      </c>
      <c r="I445" s="10" t="n">
        <v>0.628</v>
      </c>
      <c r="J445" s="0" t="n">
        <v>1.33</v>
      </c>
      <c r="K445" s="13" t="n">
        <f aca="false">IF(H445&lt;&gt;"",H445,IFERROR(G445/INDEX(Players!$M$2:$M$124,MATCH(B445,Players!$A$2:$A$124,0)),""))</f>
        <v>0.73</v>
      </c>
    </row>
    <row r="446" customFormat="false" ht="15" hidden="false" customHeight="false" outlineLevel="0" collapsed="false">
      <c r="A446" s="0" t="s">
        <v>2224</v>
      </c>
      <c r="B446" s="0" t="s">
        <v>1566</v>
      </c>
      <c r="C446" s="0" t="s">
        <v>1375</v>
      </c>
      <c r="D446" s="0" t="s">
        <v>988</v>
      </c>
      <c r="E446" s="0" t="s">
        <v>107</v>
      </c>
      <c r="F446" s="0" t="n">
        <v>8</v>
      </c>
      <c r="G446" s="0" t="n">
        <v>13.1</v>
      </c>
      <c r="H446" s="0" t="n">
        <v>0.65</v>
      </c>
      <c r="I446" s="10" t="n">
        <v>0.61</v>
      </c>
      <c r="J446" s="0" t="n">
        <v>1.17</v>
      </c>
      <c r="K446" s="13" t="n">
        <f aca="false">IF(H446&lt;&gt;"",H446,IFERROR(G446/INDEX(Players!$M$2:$M$124,MATCH(B446,Players!$A$2:$A$124,0)),""))</f>
        <v>0.65</v>
      </c>
    </row>
    <row r="447" customFormat="false" ht="15" hidden="false" customHeight="false" outlineLevel="0" collapsed="false">
      <c r="A447" s="0" t="s">
        <v>2225</v>
      </c>
      <c r="B447" s="0" t="s">
        <v>1566</v>
      </c>
      <c r="C447" s="0" t="s">
        <v>1375</v>
      </c>
      <c r="D447" s="0" t="s">
        <v>988</v>
      </c>
      <c r="E447" s="0" t="s">
        <v>94</v>
      </c>
      <c r="F447" s="0" t="n">
        <v>7</v>
      </c>
      <c r="G447" s="0" t="n">
        <v>14.1</v>
      </c>
      <c r="H447" s="0" t="n">
        <v>0.7</v>
      </c>
      <c r="I447" s="10" t="n">
        <v>0.566</v>
      </c>
      <c r="J447" s="0" t="n">
        <v>1.1</v>
      </c>
      <c r="K447" s="13" t="n">
        <f aca="false">IF(H447&lt;&gt;"",H447,IFERROR(G447/INDEX(Players!$M$2:$M$124,MATCH(B447,Players!$A$2:$A$124,0)),""))</f>
        <v>0.7</v>
      </c>
    </row>
    <row r="448" customFormat="false" ht="15" hidden="false" customHeight="false" outlineLevel="0" collapsed="false">
      <c r="A448" s="0" t="s">
        <v>2226</v>
      </c>
      <c r="B448" s="0" t="s">
        <v>1566</v>
      </c>
      <c r="C448" s="0" t="s">
        <v>1375</v>
      </c>
      <c r="D448" s="0" t="s">
        <v>988</v>
      </c>
      <c r="E448" s="0" t="s">
        <v>131</v>
      </c>
      <c r="F448" s="0" t="n">
        <v>7</v>
      </c>
      <c r="G448" s="0" t="n">
        <v>9.9</v>
      </c>
      <c r="H448" s="0" t="n">
        <v>0.5</v>
      </c>
      <c r="I448" s="10" t="n">
        <v>0.565</v>
      </c>
      <c r="J448" s="0" t="n">
        <v>0.86</v>
      </c>
      <c r="K448" s="13" t="n">
        <f aca="false">IF(H448&lt;&gt;"",H448,IFERROR(G448/INDEX(Players!$M$2:$M$124,MATCH(B448,Players!$A$2:$A$124,0)),""))</f>
        <v>0.5</v>
      </c>
    </row>
    <row r="449" customFormat="false" ht="15" hidden="false" customHeight="false" outlineLevel="0" collapsed="false">
      <c r="A449" s="0" t="s">
        <v>2227</v>
      </c>
      <c r="B449" s="0" t="s">
        <v>1566</v>
      </c>
      <c r="C449" s="0" t="s">
        <v>1375</v>
      </c>
      <c r="D449" s="0" t="s">
        <v>988</v>
      </c>
      <c r="E449" s="0" t="s">
        <v>142</v>
      </c>
      <c r="F449" s="0" t="n">
        <v>5</v>
      </c>
      <c r="G449" s="0" t="n">
        <v>13.4</v>
      </c>
      <c r="H449" s="0" t="n">
        <v>0.66</v>
      </c>
      <c r="I449" s="10" t="n">
        <v>0.522</v>
      </c>
      <c r="J449" s="0" t="n">
        <v>1.31</v>
      </c>
      <c r="K449" s="13" t="n">
        <f aca="false">IF(H449&lt;&gt;"",H449,IFERROR(G449/INDEX(Players!$M$2:$M$124,MATCH(B449,Players!$A$2:$A$124,0)),""))</f>
        <v>0.66</v>
      </c>
    </row>
    <row r="450" customFormat="false" ht="15" hidden="false" customHeight="false" outlineLevel="0" collapsed="false">
      <c r="A450" s="0" t="s">
        <v>2228</v>
      </c>
      <c r="B450" s="0" t="s">
        <v>1566</v>
      </c>
      <c r="C450" s="0" t="s">
        <v>1375</v>
      </c>
      <c r="D450" s="0" t="s">
        <v>988</v>
      </c>
      <c r="E450" s="0" t="s">
        <v>80</v>
      </c>
      <c r="F450" s="0" t="n">
        <v>3</v>
      </c>
      <c r="G450" s="0" t="n">
        <v>12.3</v>
      </c>
      <c r="H450" s="0" t="n">
        <v>0.54</v>
      </c>
      <c r="I450" s="10" t="n">
        <v>0.514</v>
      </c>
      <c r="J450" s="0" t="n">
        <v>0.77</v>
      </c>
      <c r="K450" s="13" t="n">
        <f aca="false">IF(H450&lt;&gt;"",H450,IFERROR(G450/INDEX(Players!$M$2:$M$124,MATCH(B450,Players!$A$2:$A$124,0)),""))</f>
        <v>0.54</v>
      </c>
    </row>
    <row r="451" customFormat="false" ht="15" hidden="false" customHeight="false" outlineLevel="0" collapsed="false">
      <c r="A451" s="0" t="s">
        <v>2229</v>
      </c>
      <c r="B451" s="0" t="s">
        <v>1504</v>
      </c>
      <c r="C451" s="0" t="s">
        <v>1238</v>
      </c>
      <c r="D451" s="0" t="s">
        <v>988</v>
      </c>
      <c r="E451" s="0" t="s">
        <v>150</v>
      </c>
      <c r="F451" s="0" t="n">
        <v>10</v>
      </c>
      <c r="G451" s="0" t="n">
        <v>16.8</v>
      </c>
      <c r="H451" s="0" t="n">
        <v>0.76</v>
      </c>
      <c r="I451" s="10" t="n">
        <v>0.345</v>
      </c>
      <c r="J451" s="0" t="n">
        <v>1.32</v>
      </c>
      <c r="K451" s="13" t="n">
        <f aca="false">IF(H451&lt;&gt;"",H451,IFERROR(G451/INDEX(Players!$M$2:$M$124,MATCH(B451,Players!$A$2:$A$124,0)),""))</f>
        <v>0.76</v>
      </c>
    </row>
    <row r="452" customFormat="false" ht="15" hidden="false" customHeight="false" outlineLevel="0" collapsed="false">
      <c r="A452" s="0" t="s">
        <v>2230</v>
      </c>
      <c r="B452" s="0" t="s">
        <v>1504</v>
      </c>
      <c r="C452" s="0" t="s">
        <v>1238</v>
      </c>
      <c r="D452" s="0" t="s">
        <v>988</v>
      </c>
      <c r="E452" s="0" t="s">
        <v>142</v>
      </c>
      <c r="F452" s="0" t="n">
        <v>6</v>
      </c>
      <c r="G452" s="0" t="n">
        <v>15.3</v>
      </c>
      <c r="H452" s="0" t="n">
        <v>0.75</v>
      </c>
      <c r="I452" s="10" t="n">
        <v>0.413</v>
      </c>
      <c r="J452" s="0" t="n">
        <v>1.28</v>
      </c>
      <c r="K452" s="13" t="n">
        <f aca="false">IF(H452&lt;&gt;"",H452,IFERROR(G452/INDEX(Players!$M$2:$M$124,MATCH(B452,Players!$A$2:$A$124,0)),""))</f>
        <v>0.75</v>
      </c>
    </row>
    <row r="453" customFormat="false" ht="15" hidden="false" customHeight="false" outlineLevel="0" collapsed="false">
      <c r="A453" s="0" t="s">
        <v>2231</v>
      </c>
      <c r="B453" s="0" t="s">
        <v>1504</v>
      </c>
      <c r="C453" s="0" t="s">
        <v>1238</v>
      </c>
      <c r="D453" s="0" t="s">
        <v>988</v>
      </c>
      <c r="E453" s="0" t="s">
        <v>80</v>
      </c>
      <c r="F453" s="0" t="n">
        <v>6</v>
      </c>
      <c r="G453" s="0" t="n">
        <v>15.5</v>
      </c>
      <c r="H453" s="0" t="n">
        <v>0.71</v>
      </c>
      <c r="I453" s="10" t="n">
        <v>0.409</v>
      </c>
      <c r="J453" s="0" t="n">
        <v>1.15</v>
      </c>
      <c r="K453" s="13" t="n">
        <f aca="false">IF(H453&lt;&gt;"",H453,IFERROR(G453/INDEX(Players!$M$2:$M$124,MATCH(B453,Players!$A$2:$A$124,0)),""))</f>
        <v>0.71</v>
      </c>
    </row>
    <row r="454" customFormat="false" ht="15" hidden="false" customHeight="false" outlineLevel="0" collapsed="false">
      <c r="A454" s="0" t="s">
        <v>2232</v>
      </c>
      <c r="B454" s="0" t="s">
        <v>1504</v>
      </c>
      <c r="C454" s="0" t="s">
        <v>1238</v>
      </c>
      <c r="D454" s="0" t="s">
        <v>988</v>
      </c>
      <c r="E454" s="0" t="s">
        <v>131</v>
      </c>
      <c r="F454" s="0" t="n">
        <v>6</v>
      </c>
      <c r="G454" s="0" t="n">
        <v>15.2</v>
      </c>
      <c r="H454" s="0" t="n">
        <v>0.71</v>
      </c>
      <c r="I454" s="10" t="n">
        <v>0.352</v>
      </c>
      <c r="J454" s="0" t="n">
        <v>1.05</v>
      </c>
      <c r="K454" s="13" t="n">
        <f aca="false">IF(H454&lt;&gt;"",H454,IFERROR(G454/INDEX(Players!$M$2:$M$124,MATCH(B454,Players!$A$2:$A$124,0)),""))</f>
        <v>0.71</v>
      </c>
    </row>
    <row r="455" customFormat="false" ht="15" hidden="false" customHeight="false" outlineLevel="0" collapsed="false">
      <c r="A455" s="0" t="s">
        <v>2233</v>
      </c>
      <c r="B455" s="0" t="s">
        <v>1504</v>
      </c>
      <c r="C455" s="0" t="s">
        <v>1238</v>
      </c>
      <c r="D455" s="0" t="s">
        <v>988</v>
      </c>
      <c r="E455" s="0" t="s">
        <v>107</v>
      </c>
      <c r="F455" s="0" t="n">
        <v>4</v>
      </c>
      <c r="G455" s="0" t="n">
        <v>16.3</v>
      </c>
      <c r="H455" s="0" t="n">
        <v>0.82</v>
      </c>
      <c r="I455" s="10" t="n">
        <v>0.4</v>
      </c>
      <c r="J455" s="0" t="n">
        <v>1.38</v>
      </c>
      <c r="K455" s="13" t="n">
        <f aca="false">IF(H455&lt;&gt;"",H455,IFERROR(G455/INDEX(Players!$M$2:$M$124,MATCH(B455,Players!$A$2:$A$124,0)),""))</f>
        <v>0.82</v>
      </c>
    </row>
    <row r="456" customFormat="false" ht="15" hidden="false" customHeight="false" outlineLevel="0" collapsed="false">
      <c r="A456" s="0" t="s">
        <v>2234</v>
      </c>
      <c r="B456" s="0" t="s">
        <v>1504</v>
      </c>
      <c r="C456" s="0" t="s">
        <v>1238</v>
      </c>
      <c r="D456" s="0" t="s">
        <v>988</v>
      </c>
      <c r="E456" s="0" t="s">
        <v>121</v>
      </c>
      <c r="F456" s="0" t="n">
        <v>4</v>
      </c>
      <c r="G456" s="0" t="n">
        <v>18</v>
      </c>
      <c r="H456" s="0" t="n">
        <v>0.73</v>
      </c>
      <c r="I456" s="10" t="n">
        <v>0.347</v>
      </c>
      <c r="J456" s="0" t="n">
        <v>1.2</v>
      </c>
      <c r="K456" s="13" t="n">
        <f aca="false">IF(H456&lt;&gt;"",H456,IFERROR(G456/INDEX(Players!$M$2:$M$124,MATCH(B456,Players!$A$2:$A$124,0)),""))</f>
        <v>0.73</v>
      </c>
    </row>
    <row r="457" customFormat="false" ht="15" hidden="false" customHeight="false" outlineLevel="0" collapsed="false">
      <c r="A457" s="0" t="s">
        <v>2235</v>
      </c>
      <c r="B457" s="0" t="s">
        <v>1504</v>
      </c>
      <c r="C457" s="0" t="s">
        <v>1238</v>
      </c>
      <c r="D457" s="0" t="s">
        <v>988</v>
      </c>
      <c r="E457" s="0" t="s">
        <v>94</v>
      </c>
      <c r="F457" s="0" t="n">
        <v>1</v>
      </c>
      <c r="G457" s="0" t="n">
        <v>9</v>
      </c>
      <c r="H457" s="0" t="n">
        <v>0.43</v>
      </c>
      <c r="I457" s="10" t="n">
        <v>0.444</v>
      </c>
      <c r="J457" s="0" t="n">
        <v>0.69</v>
      </c>
      <c r="K457" s="13" t="n">
        <f aca="false">IF(H457&lt;&gt;"",H457,IFERROR(G457/INDEX(Players!$M$2:$M$124,MATCH(B457,Players!$A$2:$A$124,0)),""))</f>
        <v>0.43</v>
      </c>
    </row>
    <row r="458" customFormat="false" ht="15" hidden="false" customHeight="false" outlineLevel="0" collapsed="false">
      <c r="A458" s="0" t="s">
        <v>2236</v>
      </c>
      <c r="B458" s="0" t="s">
        <v>1557</v>
      </c>
      <c r="C458" s="0" t="s">
        <v>1352</v>
      </c>
      <c r="D458" s="0" t="s">
        <v>988</v>
      </c>
      <c r="E458" s="0" t="s">
        <v>150</v>
      </c>
      <c r="F458" s="0" t="n">
        <v>9</v>
      </c>
      <c r="G458" s="0" t="n">
        <v>10.9</v>
      </c>
      <c r="H458" s="0" t="n">
        <v>0.55</v>
      </c>
      <c r="I458" s="10" t="n">
        <v>0.663</v>
      </c>
      <c r="J458" s="0" t="n">
        <v>0.84</v>
      </c>
      <c r="K458" s="13" t="n">
        <f aca="false">IF(H458&lt;&gt;"",H458,IFERROR(G458/INDEX(Players!$M$2:$M$124,MATCH(B458,Players!$A$2:$A$124,0)),""))</f>
        <v>0.55</v>
      </c>
    </row>
    <row r="459" customFormat="false" ht="15" hidden="false" customHeight="false" outlineLevel="0" collapsed="false">
      <c r="A459" s="0" t="s">
        <v>2237</v>
      </c>
      <c r="B459" s="0" t="s">
        <v>1557</v>
      </c>
      <c r="C459" s="0" t="s">
        <v>1352</v>
      </c>
      <c r="D459" s="0" t="s">
        <v>988</v>
      </c>
      <c r="E459" s="0" t="s">
        <v>121</v>
      </c>
      <c r="F459" s="0" t="n">
        <v>7</v>
      </c>
      <c r="G459" s="0" t="n">
        <v>13</v>
      </c>
      <c r="H459" s="0" t="n">
        <v>0.68</v>
      </c>
      <c r="I459" s="10" t="n">
        <v>0.648</v>
      </c>
      <c r="J459" s="0" t="n">
        <v>1.14</v>
      </c>
      <c r="K459" s="13" t="n">
        <f aca="false">IF(H459&lt;&gt;"",H459,IFERROR(G459/INDEX(Players!$M$2:$M$124,MATCH(B459,Players!$A$2:$A$124,0)),""))</f>
        <v>0.68</v>
      </c>
    </row>
    <row r="460" customFormat="false" ht="15" hidden="false" customHeight="false" outlineLevel="0" collapsed="false">
      <c r="A460" s="0" t="s">
        <v>2238</v>
      </c>
      <c r="B460" s="0" t="s">
        <v>1557</v>
      </c>
      <c r="C460" s="0" t="s">
        <v>1352</v>
      </c>
      <c r="D460" s="0" t="s">
        <v>988</v>
      </c>
      <c r="E460" s="0" t="s">
        <v>142</v>
      </c>
      <c r="F460" s="0" t="n">
        <v>6</v>
      </c>
      <c r="G460" s="0" t="n">
        <v>8.5</v>
      </c>
      <c r="H460" s="0" t="n">
        <v>0.42</v>
      </c>
      <c r="I460" s="10" t="n">
        <v>0.49</v>
      </c>
      <c r="J460" s="0" t="n">
        <v>0.7</v>
      </c>
      <c r="K460" s="13" t="n">
        <f aca="false">IF(H460&lt;&gt;"",H460,IFERROR(G460/INDEX(Players!$M$2:$M$124,MATCH(B460,Players!$A$2:$A$124,0)),""))</f>
        <v>0.42</v>
      </c>
    </row>
    <row r="461" customFormat="false" ht="15" hidden="false" customHeight="false" outlineLevel="0" collapsed="false">
      <c r="A461" s="0" t="s">
        <v>2239</v>
      </c>
      <c r="B461" s="0" t="s">
        <v>1557</v>
      </c>
      <c r="C461" s="0" t="s">
        <v>1352</v>
      </c>
      <c r="D461" s="0" t="s">
        <v>988</v>
      </c>
      <c r="E461" s="0" t="s">
        <v>131</v>
      </c>
      <c r="F461" s="0" t="n">
        <v>4</v>
      </c>
      <c r="G461" s="0" t="n">
        <v>14.5</v>
      </c>
      <c r="H461" s="0" t="n">
        <v>0.77</v>
      </c>
      <c r="I461" s="10" t="n">
        <v>0.69</v>
      </c>
      <c r="J461" s="0" t="n">
        <v>1.45</v>
      </c>
      <c r="K461" s="13" t="n">
        <f aca="false">IF(H461&lt;&gt;"",H461,IFERROR(G461/INDEX(Players!$M$2:$M$124,MATCH(B461,Players!$A$2:$A$124,0)),""))</f>
        <v>0.77</v>
      </c>
    </row>
    <row r="462" customFormat="false" ht="15" hidden="false" customHeight="false" outlineLevel="0" collapsed="false">
      <c r="A462" s="0" t="s">
        <v>2240</v>
      </c>
      <c r="B462" s="0" t="s">
        <v>1557</v>
      </c>
      <c r="C462" s="0" t="s">
        <v>1352</v>
      </c>
      <c r="D462" s="0" t="s">
        <v>988</v>
      </c>
      <c r="E462" s="0" t="s">
        <v>80</v>
      </c>
      <c r="F462" s="0" t="n">
        <v>4</v>
      </c>
      <c r="G462" s="0" t="n">
        <v>14.8</v>
      </c>
      <c r="H462" s="0" t="n">
        <v>0.66</v>
      </c>
      <c r="I462" s="10" t="n">
        <v>0.644</v>
      </c>
      <c r="J462" s="0" t="n">
        <v>0.86</v>
      </c>
      <c r="K462" s="13" t="n">
        <f aca="false">IF(H462&lt;&gt;"",H462,IFERROR(G462/INDEX(Players!$M$2:$M$124,MATCH(B462,Players!$A$2:$A$124,0)),""))</f>
        <v>0.66</v>
      </c>
    </row>
    <row r="463" customFormat="false" ht="15" hidden="false" customHeight="false" outlineLevel="0" collapsed="false">
      <c r="A463" s="0" t="s">
        <v>2241</v>
      </c>
      <c r="B463" s="0" t="s">
        <v>1557</v>
      </c>
      <c r="C463" s="0" t="s">
        <v>1352</v>
      </c>
      <c r="D463" s="0" t="s">
        <v>988</v>
      </c>
      <c r="E463" s="0" t="s">
        <v>94</v>
      </c>
      <c r="F463" s="0" t="n">
        <v>2</v>
      </c>
      <c r="G463" s="0" t="n">
        <v>14</v>
      </c>
      <c r="H463" s="0" t="n">
        <v>0.68</v>
      </c>
      <c r="I463" s="10" t="n">
        <v>0.714</v>
      </c>
      <c r="J463" s="0" t="n">
        <v>0.8</v>
      </c>
      <c r="K463" s="13" t="n">
        <f aca="false">IF(H463&lt;&gt;"",H463,IFERROR(G463/INDEX(Players!$M$2:$M$124,MATCH(B463,Players!$A$2:$A$124,0)),""))</f>
        <v>0.68</v>
      </c>
    </row>
    <row r="464" customFormat="false" ht="15" hidden="false" customHeight="false" outlineLevel="0" collapsed="false">
      <c r="A464" s="0" t="s">
        <v>2242</v>
      </c>
      <c r="B464" s="0" t="s">
        <v>1537</v>
      </c>
      <c r="C464" s="0" t="s">
        <v>1312</v>
      </c>
      <c r="D464" s="0" t="s">
        <v>988</v>
      </c>
      <c r="E464" s="0" t="s">
        <v>107</v>
      </c>
      <c r="F464" s="0" t="n">
        <v>11</v>
      </c>
      <c r="G464" s="0" t="n">
        <v>11.6</v>
      </c>
      <c r="H464" s="0" t="n">
        <v>0.57</v>
      </c>
      <c r="I464" s="10" t="n">
        <v>0.531</v>
      </c>
      <c r="J464" s="0" t="n">
        <v>0.86</v>
      </c>
      <c r="K464" s="13" t="n">
        <f aca="false">IF(H464&lt;&gt;"",H464,IFERROR(G464/INDEX(Players!$M$2:$M$124,MATCH(B464,Players!$A$2:$A$124,0)),""))</f>
        <v>0.57</v>
      </c>
    </row>
    <row r="465" customFormat="false" ht="15" hidden="false" customHeight="false" outlineLevel="0" collapsed="false">
      <c r="A465" s="0" t="s">
        <v>2243</v>
      </c>
      <c r="B465" s="0" t="s">
        <v>1537</v>
      </c>
      <c r="C465" s="0" t="s">
        <v>1312</v>
      </c>
      <c r="D465" s="0" t="s">
        <v>988</v>
      </c>
      <c r="E465" s="0" t="s">
        <v>150</v>
      </c>
      <c r="F465" s="0" t="n">
        <v>10</v>
      </c>
      <c r="G465" s="0" t="n">
        <v>15.6</v>
      </c>
      <c r="H465" s="0" t="n">
        <v>0.66</v>
      </c>
      <c r="I465" s="10" t="n">
        <v>0.506</v>
      </c>
      <c r="J465" s="0" t="n">
        <v>1.08</v>
      </c>
      <c r="K465" s="13" t="n">
        <f aca="false">IF(H465&lt;&gt;"",H465,IFERROR(G465/INDEX(Players!$M$2:$M$124,MATCH(B465,Players!$A$2:$A$124,0)),""))</f>
        <v>0.66</v>
      </c>
    </row>
    <row r="466" customFormat="false" ht="15" hidden="false" customHeight="false" outlineLevel="0" collapsed="false">
      <c r="A466" s="0" t="s">
        <v>2244</v>
      </c>
      <c r="B466" s="0" t="s">
        <v>1537</v>
      </c>
      <c r="C466" s="0" t="s">
        <v>1312</v>
      </c>
      <c r="D466" s="0" t="s">
        <v>988</v>
      </c>
      <c r="E466" s="0" t="s">
        <v>121</v>
      </c>
      <c r="F466" s="0" t="n">
        <v>8</v>
      </c>
      <c r="G466" s="0" t="n">
        <v>17.3</v>
      </c>
      <c r="H466" s="0" t="n">
        <v>0.66</v>
      </c>
      <c r="I466" s="10" t="n">
        <v>0.5</v>
      </c>
      <c r="J466" s="0" t="n">
        <v>1.04</v>
      </c>
      <c r="K466" s="13" t="n">
        <f aca="false">IF(H466&lt;&gt;"",H466,IFERROR(G466/INDEX(Players!$M$2:$M$124,MATCH(B466,Players!$A$2:$A$124,0)),""))</f>
        <v>0.66</v>
      </c>
    </row>
    <row r="467" customFormat="false" ht="15" hidden="false" customHeight="false" outlineLevel="0" collapsed="false">
      <c r="A467" s="0" t="s">
        <v>2245</v>
      </c>
      <c r="B467" s="0" t="s">
        <v>1537</v>
      </c>
      <c r="C467" s="0" t="s">
        <v>1312</v>
      </c>
      <c r="D467" s="0" t="s">
        <v>988</v>
      </c>
      <c r="E467" s="0" t="s">
        <v>80</v>
      </c>
      <c r="F467" s="0" t="n">
        <v>4</v>
      </c>
      <c r="G467" s="0" t="n">
        <v>18</v>
      </c>
      <c r="H467" s="0" t="n">
        <v>0.7</v>
      </c>
      <c r="I467" s="10" t="n">
        <v>0.556</v>
      </c>
      <c r="J467" s="0" t="n">
        <v>1.14</v>
      </c>
      <c r="K467" s="13" t="n">
        <f aca="false">IF(H467&lt;&gt;"",H467,IFERROR(G467/INDEX(Players!$M$2:$M$124,MATCH(B467,Players!$A$2:$A$124,0)),""))</f>
        <v>0.7</v>
      </c>
    </row>
    <row r="468" customFormat="false" ht="15" hidden="false" customHeight="false" outlineLevel="0" collapsed="false">
      <c r="A468" s="0" t="s">
        <v>2246</v>
      </c>
      <c r="B468" s="0" t="s">
        <v>1537</v>
      </c>
      <c r="C468" s="0" t="s">
        <v>1312</v>
      </c>
      <c r="D468" s="0" t="s">
        <v>988</v>
      </c>
      <c r="E468" s="0" t="s">
        <v>142</v>
      </c>
      <c r="F468" s="0" t="n">
        <v>4</v>
      </c>
      <c r="G468" s="0" t="n">
        <v>10.8</v>
      </c>
      <c r="H468" s="0" t="n">
        <v>0.54</v>
      </c>
      <c r="I468" s="10" t="n">
        <v>0.558</v>
      </c>
      <c r="J468" s="0" t="n">
        <v>0.83</v>
      </c>
      <c r="K468" s="13" t="n">
        <f aca="false">IF(H468&lt;&gt;"",H468,IFERROR(G468/INDEX(Players!$M$2:$M$124,MATCH(B468,Players!$A$2:$A$124,0)),""))</f>
        <v>0.54</v>
      </c>
    </row>
    <row r="469" customFormat="false" ht="15" hidden="false" customHeight="false" outlineLevel="0" collapsed="false">
      <c r="A469" s="0" t="s">
        <v>2247</v>
      </c>
      <c r="B469" s="0" t="s">
        <v>1537</v>
      </c>
      <c r="C469" s="0" t="s">
        <v>1312</v>
      </c>
      <c r="D469" s="0" t="s">
        <v>988</v>
      </c>
      <c r="E469" s="0" t="s">
        <v>131</v>
      </c>
      <c r="F469" s="0" t="n">
        <v>2</v>
      </c>
      <c r="G469" s="0" t="n">
        <v>10</v>
      </c>
      <c r="H469" s="0" t="n">
        <v>0.5</v>
      </c>
      <c r="I469" s="10" t="n">
        <v>0.65</v>
      </c>
      <c r="J469" s="0" t="n">
        <v>0.77</v>
      </c>
      <c r="K469" s="13" t="n">
        <f aca="false">IF(H469&lt;&gt;"",H469,IFERROR(G469/INDEX(Players!$M$2:$M$124,MATCH(B469,Players!$A$2:$A$124,0)),""))</f>
        <v>0.5</v>
      </c>
    </row>
    <row r="470" customFormat="false" ht="15" hidden="false" customHeight="false" outlineLevel="0" collapsed="false">
      <c r="A470" s="0" t="s">
        <v>2248</v>
      </c>
      <c r="B470" s="0" t="s">
        <v>1521</v>
      </c>
      <c r="C470" s="0" t="s">
        <v>1279</v>
      </c>
      <c r="D470" s="0" t="s">
        <v>988</v>
      </c>
      <c r="E470" s="0" t="s">
        <v>150</v>
      </c>
      <c r="F470" s="0" t="n">
        <v>7</v>
      </c>
      <c r="G470" s="0" t="n">
        <v>16.3</v>
      </c>
      <c r="H470" s="0" t="n">
        <v>0.69</v>
      </c>
      <c r="I470" s="10" t="n">
        <v>0.5</v>
      </c>
      <c r="J470" s="0" t="n">
        <v>1.19</v>
      </c>
      <c r="K470" s="13" t="n">
        <f aca="false">IF(H470&lt;&gt;"",H470,IFERROR(G470/INDEX(Players!$M$2:$M$124,MATCH(B470,Players!$A$2:$A$124,0)),""))</f>
        <v>0.69</v>
      </c>
    </row>
    <row r="471" customFormat="false" ht="15" hidden="false" customHeight="false" outlineLevel="0" collapsed="false">
      <c r="A471" s="0" t="s">
        <v>2249</v>
      </c>
      <c r="B471" s="0" t="s">
        <v>1521</v>
      </c>
      <c r="C471" s="0" t="s">
        <v>1279</v>
      </c>
      <c r="D471" s="0" t="s">
        <v>988</v>
      </c>
      <c r="E471" s="0" t="s">
        <v>131</v>
      </c>
      <c r="F471" s="0" t="n">
        <v>7</v>
      </c>
      <c r="G471" s="0" t="n">
        <v>13.7</v>
      </c>
      <c r="H471" s="0" t="n">
        <v>0.62</v>
      </c>
      <c r="I471" s="10" t="n">
        <v>0.542</v>
      </c>
      <c r="J471" s="0" t="n">
        <v>0.96</v>
      </c>
      <c r="K471" s="13" t="n">
        <f aca="false">IF(H471&lt;&gt;"",H471,IFERROR(G471/INDEX(Players!$M$2:$M$124,MATCH(B471,Players!$A$2:$A$124,0)),""))</f>
        <v>0.62</v>
      </c>
    </row>
    <row r="472" customFormat="false" ht="15" hidden="false" customHeight="false" outlineLevel="0" collapsed="false">
      <c r="A472" s="0" t="s">
        <v>2250</v>
      </c>
      <c r="B472" s="0" t="s">
        <v>1521</v>
      </c>
      <c r="C472" s="0" t="s">
        <v>1279</v>
      </c>
      <c r="D472" s="0" t="s">
        <v>988</v>
      </c>
      <c r="E472" s="0" t="s">
        <v>142</v>
      </c>
      <c r="F472" s="0" t="n">
        <v>5</v>
      </c>
      <c r="G472" s="0" t="n">
        <v>15</v>
      </c>
      <c r="H472" s="0" t="n">
        <v>0.74</v>
      </c>
      <c r="I472" s="10" t="n">
        <v>0.64</v>
      </c>
      <c r="J472" s="0" t="n">
        <v>1.7</v>
      </c>
      <c r="K472" s="13" t="n">
        <f aca="false">IF(H472&lt;&gt;"",H472,IFERROR(G472/INDEX(Players!$M$2:$M$124,MATCH(B472,Players!$A$2:$A$124,0)),""))</f>
        <v>0.74</v>
      </c>
    </row>
    <row r="473" customFormat="false" ht="15" hidden="false" customHeight="false" outlineLevel="0" collapsed="false">
      <c r="A473" s="0" t="s">
        <v>2251</v>
      </c>
      <c r="B473" s="0" t="s">
        <v>1521</v>
      </c>
      <c r="C473" s="0" t="s">
        <v>1279</v>
      </c>
      <c r="D473" s="0" t="s">
        <v>988</v>
      </c>
      <c r="E473" s="0" t="s">
        <v>80</v>
      </c>
      <c r="F473" s="0" t="n">
        <v>4</v>
      </c>
      <c r="G473" s="0" t="n">
        <v>12.5</v>
      </c>
      <c r="H473" s="0" t="n">
        <v>0.6</v>
      </c>
      <c r="I473" s="10" t="n">
        <v>0.52</v>
      </c>
      <c r="J473" s="0" t="n">
        <v>0.85</v>
      </c>
      <c r="K473" s="13" t="n">
        <f aca="false">IF(H473&lt;&gt;"",H473,IFERROR(G473/INDEX(Players!$M$2:$M$124,MATCH(B473,Players!$A$2:$A$124,0)),""))</f>
        <v>0.6</v>
      </c>
    </row>
    <row r="474" customFormat="false" ht="15" hidden="false" customHeight="false" outlineLevel="0" collapsed="false">
      <c r="A474" s="0" t="s">
        <v>2252</v>
      </c>
      <c r="B474" s="0" t="s">
        <v>1521</v>
      </c>
      <c r="C474" s="0" t="s">
        <v>1279</v>
      </c>
      <c r="D474" s="0" t="s">
        <v>988</v>
      </c>
      <c r="E474" s="0" t="s">
        <v>94</v>
      </c>
      <c r="F474" s="0" t="n">
        <v>3</v>
      </c>
      <c r="G474" s="0" t="n">
        <v>16.3</v>
      </c>
      <c r="H474" s="0" t="n">
        <v>0.82</v>
      </c>
      <c r="I474" s="10" t="n">
        <v>0.592</v>
      </c>
      <c r="J474" s="0" t="n">
        <v>1.48</v>
      </c>
      <c r="K474" s="13" t="n">
        <f aca="false">IF(H474&lt;&gt;"",H474,IFERROR(G474/INDEX(Players!$M$2:$M$124,MATCH(B474,Players!$A$2:$A$124,0)),""))</f>
        <v>0.82</v>
      </c>
    </row>
    <row r="475" customFormat="false" ht="15" hidden="false" customHeight="false" outlineLevel="0" collapsed="false">
      <c r="A475" s="0" t="s">
        <v>2253</v>
      </c>
      <c r="B475" s="0" t="s">
        <v>1521</v>
      </c>
      <c r="C475" s="0" t="s">
        <v>1279</v>
      </c>
      <c r="D475" s="0" t="s">
        <v>988</v>
      </c>
      <c r="E475" s="0" t="s">
        <v>107</v>
      </c>
      <c r="F475" s="0" t="n">
        <v>3</v>
      </c>
      <c r="G475" s="0" t="n">
        <v>12</v>
      </c>
      <c r="H475" s="0" t="n">
        <v>0.6</v>
      </c>
      <c r="I475" s="10" t="n">
        <v>0.472</v>
      </c>
      <c r="J475" s="0" t="n">
        <v>1.06</v>
      </c>
      <c r="K475" s="13" t="n">
        <f aca="false">IF(H475&lt;&gt;"",H475,IFERROR(G475/INDEX(Players!$M$2:$M$124,MATCH(B475,Players!$A$2:$A$124,0)),""))</f>
        <v>0.6</v>
      </c>
    </row>
    <row r="476" customFormat="false" ht="15" hidden="false" customHeight="false" outlineLevel="0" collapsed="false">
      <c r="A476" s="0" t="s">
        <v>2254</v>
      </c>
      <c r="B476" s="0" t="s">
        <v>1521</v>
      </c>
      <c r="C476" s="0" t="s">
        <v>1279</v>
      </c>
      <c r="D476" s="0" t="s">
        <v>988</v>
      </c>
      <c r="E476" s="0" t="s">
        <v>121</v>
      </c>
      <c r="F476" s="0" t="n">
        <v>1</v>
      </c>
      <c r="G476" s="0" t="n">
        <v>21</v>
      </c>
      <c r="H476" s="0" t="n">
        <v>0.72</v>
      </c>
      <c r="I476" s="10" t="n">
        <v>0.476</v>
      </c>
      <c r="J476" s="0" t="n">
        <v>1.11</v>
      </c>
      <c r="K476" s="13" t="n">
        <f aca="false">IF(H476&lt;&gt;"",H476,IFERROR(G476/INDEX(Players!$M$2:$M$124,MATCH(B476,Players!$A$2:$A$124,0)),""))</f>
        <v>0.72</v>
      </c>
    </row>
    <row r="477" customFormat="false" ht="15" hidden="false" customHeight="false" outlineLevel="0" collapsed="false">
      <c r="A477" s="0" t="s">
        <v>2255</v>
      </c>
      <c r="B477" s="0" t="s">
        <v>1522</v>
      </c>
      <c r="C477" s="0" t="s">
        <v>1281</v>
      </c>
      <c r="D477" s="0" t="s">
        <v>988</v>
      </c>
      <c r="E477" s="0" t="s">
        <v>150</v>
      </c>
      <c r="F477" s="0" t="n">
        <v>11</v>
      </c>
      <c r="G477" s="0" t="n">
        <v>13.1</v>
      </c>
      <c r="H477" s="0" t="n">
        <v>0.64</v>
      </c>
      <c r="I477" s="10" t="n">
        <v>0.535</v>
      </c>
      <c r="J477" s="0" t="n">
        <v>0.94</v>
      </c>
      <c r="K477" s="13" t="n">
        <f aca="false">IF(H477&lt;&gt;"",H477,IFERROR(G477/INDEX(Players!$M$2:$M$124,MATCH(B477,Players!$A$2:$A$124,0)),""))</f>
        <v>0.64</v>
      </c>
    </row>
    <row r="478" customFormat="false" ht="15" hidden="false" customHeight="false" outlineLevel="0" collapsed="false">
      <c r="A478" s="0" t="s">
        <v>2256</v>
      </c>
      <c r="B478" s="0" t="s">
        <v>1522</v>
      </c>
      <c r="C478" s="0" t="s">
        <v>1281</v>
      </c>
      <c r="D478" s="0" t="s">
        <v>988</v>
      </c>
      <c r="E478" s="0" t="s">
        <v>107</v>
      </c>
      <c r="F478" s="0" t="n">
        <v>6</v>
      </c>
      <c r="G478" s="0" t="n">
        <v>16.3</v>
      </c>
      <c r="H478" s="0" t="n">
        <v>0.73</v>
      </c>
      <c r="I478" s="10" t="n">
        <v>0.418</v>
      </c>
      <c r="J478" s="0" t="n">
        <v>1.15</v>
      </c>
      <c r="K478" s="13" t="n">
        <f aca="false">IF(H478&lt;&gt;"",H478,IFERROR(G478/INDEX(Players!$M$2:$M$124,MATCH(B478,Players!$A$2:$A$124,0)),""))</f>
        <v>0.73</v>
      </c>
    </row>
    <row r="479" customFormat="false" ht="15" hidden="false" customHeight="false" outlineLevel="0" collapsed="false">
      <c r="A479" s="0" t="s">
        <v>2257</v>
      </c>
      <c r="B479" s="0" t="s">
        <v>1522</v>
      </c>
      <c r="C479" s="0" t="s">
        <v>1281</v>
      </c>
      <c r="D479" s="0" t="s">
        <v>988</v>
      </c>
      <c r="E479" s="0" t="s">
        <v>94</v>
      </c>
      <c r="F479" s="0" t="n">
        <v>6</v>
      </c>
      <c r="G479" s="0" t="n">
        <v>16.2</v>
      </c>
      <c r="H479" s="0" t="n">
        <v>0.69</v>
      </c>
      <c r="I479" s="10" t="n">
        <v>0.464</v>
      </c>
      <c r="J479" s="0" t="n">
        <v>0.94</v>
      </c>
      <c r="K479" s="13" t="n">
        <f aca="false">IF(H479&lt;&gt;"",H479,IFERROR(G479/INDEX(Players!$M$2:$M$124,MATCH(B479,Players!$A$2:$A$124,0)),""))</f>
        <v>0.69</v>
      </c>
    </row>
    <row r="480" customFormat="false" ht="15" hidden="false" customHeight="false" outlineLevel="0" collapsed="false">
      <c r="A480" s="0" t="s">
        <v>2258</v>
      </c>
      <c r="B480" s="0" t="s">
        <v>1522</v>
      </c>
      <c r="C480" s="0" t="s">
        <v>1281</v>
      </c>
      <c r="D480" s="0" t="s">
        <v>988</v>
      </c>
      <c r="E480" s="0" t="s">
        <v>142</v>
      </c>
      <c r="F480" s="0" t="n">
        <v>6</v>
      </c>
      <c r="G480" s="0" t="n">
        <v>13.5</v>
      </c>
      <c r="H480" s="0" t="n">
        <v>0.55</v>
      </c>
      <c r="I480" s="10" t="n">
        <v>0.506</v>
      </c>
      <c r="J480" s="0" t="n">
        <v>0.87</v>
      </c>
      <c r="K480" s="13" t="n">
        <f aca="false">IF(H480&lt;&gt;"",H480,IFERROR(G480/INDEX(Players!$M$2:$M$124,MATCH(B480,Players!$A$2:$A$124,0)),""))</f>
        <v>0.55</v>
      </c>
    </row>
    <row r="481" customFormat="false" ht="15" hidden="false" customHeight="false" outlineLevel="0" collapsed="false">
      <c r="A481" s="0" t="s">
        <v>2259</v>
      </c>
      <c r="B481" s="0" t="s">
        <v>1522</v>
      </c>
      <c r="C481" s="0" t="s">
        <v>1281</v>
      </c>
      <c r="D481" s="0" t="s">
        <v>988</v>
      </c>
      <c r="E481" s="0" t="s">
        <v>80</v>
      </c>
      <c r="F481" s="0" t="n">
        <v>4</v>
      </c>
      <c r="G481" s="0" t="n">
        <v>13.5</v>
      </c>
      <c r="H481" s="0" t="n">
        <v>0.71</v>
      </c>
      <c r="I481" s="10" t="n">
        <v>0.37</v>
      </c>
      <c r="J481" s="0" t="n">
        <v>1.04</v>
      </c>
      <c r="K481" s="13" t="n">
        <f aca="false">IF(H481&lt;&gt;"",H481,IFERROR(G481/INDEX(Players!$M$2:$M$124,MATCH(B481,Players!$A$2:$A$124,0)),""))</f>
        <v>0.71</v>
      </c>
    </row>
    <row r="482" customFormat="false" ht="15" hidden="false" customHeight="false" outlineLevel="0" collapsed="false">
      <c r="A482" s="0" t="s">
        <v>2260</v>
      </c>
      <c r="B482" s="0" t="s">
        <v>1522</v>
      </c>
      <c r="C482" s="0" t="s">
        <v>1281</v>
      </c>
      <c r="D482" s="0" t="s">
        <v>988</v>
      </c>
      <c r="E482" s="0" t="s">
        <v>131</v>
      </c>
      <c r="F482" s="0" t="n">
        <v>3</v>
      </c>
      <c r="G482" s="0" t="n">
        <v>12.7</v>
      </c>
      <c r="H482" s="0" t="n">
        <v>0.52</v>
      </c>
      <c r="I482" s="10" t="n">
        <v>0.553</v>
      </c>
      <c r="J482" s="0" t="n">
        <v>0.79</v>
      </c>
      <c r="K482" s="13" t="n">
        <f aca="false">IF(H482&lt;&gt;"",H482,IFERROR(G482/INDEX(Players!$M$2:$M$124,MATCH(B482,Players!$A$2:$A$124,0)),""))</f>
        <v>0.52</v>
      </c>
    </row>
    <row r="483" customFormat="false" ht="15" hidden="false" customHeight="false" outlineLevel="0" collapsed="false">
      <c r="A483" s="0" t="s">
        <v>2261</v>
      </c>
      <c r="B483" s="0" t="s">
        <v>1522</v>
      </c>
      <c r="C483" s="0" t="s">
        <v>1281</v>
      </c>
      <c r="D483" s="0" t="s">
        <v>988</v>
      </c>
      <c r="E483" s="0" t="s">
        <v>121</v>
      </c>
      <c r="F483" s="0" t="n">
        <v>2</v>
      </c>
      <c r="G483" s="0" t="n">
        <v>17.5</v>
      </c>
      <c r="H483" s="0" t="n">
        <v>0.85</v>
      </c>
      <c r="I483" s="10" t="n">
        <v>0.629</v>
      </c>
      <c r="J483" s="0" t="n">
        <v>1.13</v>
      </c>
      <c r="K483" s="13" t="n">
        <f aca="false">IF(H483&lt;&gt;"",H483,IFERROR(G483/INDEX(Players!$M$2:$M$124,MATCH(B483,Players!$A$2:$A$124,0)),""))</f>
        <v>0.85</v>
      </c>
    </row>
    <row r="484" customFormat="false" ht="15" hidden="false" customHeight="false" outlineLevel="0" collapsed="false">
      <c r="A484" s="0" t="s">
        <v>2262</v>
      </c>
      <c r="B484" s="0" t="s">
        <v>1480</v>
      </c>
      <c r="C484" s="0" t="s">
        <v>1178</v>
      </c>
      <c r="D484" s="0" t="s">
        <v>988</v>
      </c>
      <c r="E484" s="0" t="s">
        <v>121</v>
      </c>
      <c r="F484" s="0" t="n">
        <v>11</v>
      </c>
      <c r="G484" s="0" t="n">
        <v>16</v>
      </c>
      <c r="H484" s="0" t="n">
        <v>0.77</v>
      </c>
      <c r="I484" s="10" t="n">
        <v>0.534</v>
      </c>
      <c r="J484" s="0" t="n">
        <v>1.14</v>
      </c>
      <c r="K484" s="13" t="n">
        <f aca="false">IF(H484&lt;&gt;"",H484,IFERROR(G484/INDEX(Players!$M$2:$M$124,MATCH(B484,Players!$A$2:$A$124,0)),""))</f>
        <v>0.77</v>
      </c>
    </row>
    <row r="485" customFormat="false" ht="15" hidden="false" customHeight="false" outlineLevel="0" collapsed="false">
      <c r="A485" s="0" t="s">
        <v>2263</v>
      </c>
      <c r="B485" s="0" t="s">
        <v>1480</v>
      </c>
      <c r="C485" s="0" t="s">
        <v>1178</v>
      </c>
      <c r="D485" s="0" t="s">
        <v>988</v>
      </c>
      <c r="E485" s="0" t="s">
        <v>142</v>
      </c>
      <c r="F485" s="0" t="n">
        <v>8</v>
      </c>
      <c r="G485" s="0" t="n">
        <v>13.6</v>
      </c>
      <c r="H485" s="0" t="n">
        <v>0.6</v>
      </c>
      <c r="I485" s="10" t="n">
        <v>0.514</v>
      </c>
      <c r="J485" s="0" t="n">
        <v>0.82</v>
      </c>
      <c r="K485" s="13" t="n">
        <f aca="false">IF(H485&lt;&gt;"",H485,IFERROR(G485/INDEX(Players!$M$2:$M$124,MATCH(B485,Players!$A$2:$A$124,0)),""))</f>
        <v>0.6</v>
      </c>
    </row>
    <row r="486" customFormat="false" ht="15" hidden="false" customHeight="false" outlineLevel="0" collapsed="false">
      <c r="A486" s="0" t="s">
        <v>2264</v>
      </c>
      <c r="B486" s="0" t="s">
        <v>1480</v>
      </c>
      <c r="C486" s="0" t="s">
        <v>1178</v>
      </c>
      <c r="D486" s="0" t="s">
        <v>988</v>
      </c>
      <c r="E486" s="0" t="s">
        <v>107</v>
      </c>
      <c r="F486" s="0" t="n">
        <v>7</v>
      </c>
      <c r="G486" s="0" t="n">
        <v>17.1</v>
      </c>
      <c r="H486" s="0" t="n">
        <v>0.74</v>
      </c>
      <c r="I486" s="10" t="n">
        <v>0.567</v>
      </c>
      <c r="J486" s="0" t="n">
        <v>1.08</v>
      </c>
      <c r="K486" s="13" t="n">
        <f aca="false">IF(H486&lt;&gt;"",H486,IFERROR(G486/INDEX(Players!$M$2:$M$124,MATCH(B486,Players!$A$2:$A$124,0)),""))</f>
        <v>0.74</v>
      </c>
    </row>
    <row r="487" customFormat="false" ht="15" hidden="false" customHeight="false" outlineLevel="0" collapsed="false">
      <c r="A487" s="0" t="s">
        <v>2265</v>
      </c>
      <c r="B487" s="0" t="s">
        <v>1480</v>
      </c>
      <c r="C487" s="0" t="s">
        <v>1178</v>
      </c>
      <c r="D487" s="0" t="s">
        <v>988</v>
      </c>
      <c r="E487" s="0" t="s">
        <v>150</v>
      </c>
      <c r="F487" s="0" t="n">
        <v>6</v>
      </c>
      <c r="G487" s="0" t="n">
        <v>16.3</v>
      </c>
      <c r="H487" s="0" t="n">
        <v>0.73</v>
      </c>
      <c r="I487" s="10" t="n">
        <v>0.469</v>
      </c>
      <c r="J487" s="0" t="n">
        <v>1.09</v>
      </c>
      <c r="K487" s="13" t="n">
        <f aca="false">IF(H487&lt;&gt;"",H487,IFERROR(G487/INDEX(Players!$M$2:$M$124,MATCH(B487,Players!$A$2:$A$124,0)),""))</f>
        <v>0.73</v>
      </c>
    </row>
    <row r="488" customFormat="false" ht="15" hidden="false" customHeight="false" outlineLevel="0" collapsed="false">
      <c r="A488" s="0" t="s">
        <v>2266</v>
      </c>
      <c r="B488" s="0" t="s">
        <v>1480</v>
      </c>
      <c r="C488" s="0" t="s">
        <v>1178</v>
      </c>
      <c r="D488" s="0" t="s">
        <v>988</v>
      </c>
      <c r="E488" s="0" t="s">
        <v>94</v>
      </c>
      <c r="F488" s="0" t="n">
        <v>3</v>
      </c>
      <c r="G488" s="0" t="n">
        <v>21</v>
      </c>
      <c r="H488" s="0" t="n">
        <v>0.89</v>
      </c>
      <c r="I488" s="10" t="n">
        <v>0.556</v>
      </c>
      <c r="J488" s="0" t="n">
        <v>1.43</v>
      </c>
      <c r="K488" s="13" t="n">
        <f aca="false">IF(H488&lt;&gt;"",H488,IFERROR(G488/INDEX(Players!$M$2:$M$124,MATCH(B488,Players!$A$2:$A$124,0)),""))</f>
        <v>0.89</v>
      </c>
    </row>
    <row r="489" customFormat="false" ht="15" hidden="false" customHeight="false" outlineLevel="0" collapsed="false">
      <c r="A489" s="0" t="s">
        <v>2267</v>
      </c>
      <c r="B489" s="0" t="s">
        <v>1480</v>
      </c>
      <c r="C489" s="0" t="s">
        <v>1178</v>
      </c>
      <c r="D489" s="0" t="s">
        <v>988</v>
      </c>
      <c r="E489" s="0" t="s">
        <v>131</v>
      </c>
      <c r="F489" s="0" t="n">
        <v>2</v>
      </c>
      <c r="G489" s="0" t="n">
        <v>15.5</v>
      </c>
      <c r="H489" s="0" t="n">
        <v>0.76</v>
      </c>
      <c r="I489" s="10" t="n">
        <v>0.71</v>
      </c>
      <c r="J489" s="0" t="n">
        <v>1.03</v>
      </c>
      <c r="K489" s="13" t="n">
        <f aca="false">IF(H489&lt;&gt;"",H489,IFERROR(G489/INDEX(Players!$M$2:$M$124,MATCH(B489,Players!$A$2:$A$124,0)),""))</f>
        <v>0.76</v>
      </c>
    </row>
    <row r="490" customFormat="false" ht="15" hidden="false" customHeight="false" outlineLevel="0" collapsed="false">
      <c r="A490" s="0" t="s">
        <v>2268</v>
      </c>
      <c r="B490" s="0" t="s">
        <v>1480</v>
      </c>
      <c r="C490" s="0" t="s">
        <v>1178</v>
      </c>
      <c r="D490" s="0" t="s">
        <v>988</v>
      </c>
      <c r="E490" s="0" t="s">
        <v>80</v>
      </c>
      <c r="F490" s="0" t="n">
        <v>1</v>
      </c>
      <c r="G490" s="0" t="n">
        <v>16</v>
      </c>
      <c r="H490" s="0" t="n">
        <v>0.67</v>
      </c>
      <c r="I490" s="10" t="n">
        <v>0.625</v>
      </c>
      <c r="J490" s="0" t="n">
        <v>1.07</v>
      </c>
      <c r="K490" s="13" t="n">
        <f aca="false">IF(H490&lt;&gt;"",H490,IFERROR(G490/INDEX(Players!$M$2:$M$124,MATCH(B490,Players!$A$2:$A$124,0)),""))</f>
        <v>0.67</v>
      </c>
    </row>
    <row r="491" customFormat="false" ht="15" hidden="false" customHeight="false" outlineLevel="0" collapsed="false">
      <c r="A491" s="0" t="s">
        <v>2269</v>
      </c>
      <c r="B491" s="0" t="s">
        <v>1495</v>
      </c>
      <c r="C491" s="0" t="s">
        <v>1215</v>
      </c>
      <c r="D491" s="0" t="s">
        <v>988</v>
      </c>
      <c r="E491" s="0" t="s">
        <v>107</v>
      </c>
      <c r="F491" s="0" t="n">
        <v>14</v>
      </c>
      <c r="G491" s="0" t="n">
        <v>13.5</v>
      </c>
      <c r="H491" s="0" t="n">
        <v>0.61</v>
      </c>
      <c r="I491" s="10" t="n">
        <v>0.497</v>
      </c>
      <c r="J491" s="0" t="n">
        <v>0.87</v>
      </c>
      <c r="K491" s="13" t="n">
        <f aca="false">IF(H491&lt;&gt;"",H491,IFERROR(G491/INDEX(Players!$M$2:$M$124,MATCH(B491,Players!$A$2:$A$124,0)),""))</f>
        <v>0.61</v>
      </c>
    </row>
    <row r="492" customFormat="false" ht="15" hidden="false" customHeight="false" outlineLevel="0" collapsed="false">
      <c r="A492" s="0" t="s">
        <v>2270</v>
      </c>
      <c r="B492" s="0" t="s">
        <v>1495</v>
      </c>
      <c r="C492" s="0" t="s">
        <v>1215</v>
      </c>
      <c r="D492" s="0" t="s">
        <v>988</v>
      </c>
      <c r="E492" s="0" t="s">
        <v>131</v>
      </c>
      <c r="F492" s="0" t="n">
        <v>6</v>
      </c>
      <c r="G492" s="0" t="n">
        <v>13.3</v>
      </c>
      <c r="H492" s="0" t="n">
        <v>0.68</v>
      </c>
      <c r="I492" s="10" t="n">
        <v>0.388</v>
      </c>
      <c r="J492" s="0" t="n">
        <v>1.14</v>
      </c>
      <c r="K492" s="13" t="n">
        <f aca="false">IF(H492&lt;&gt;"",H492,IFERROR(G492/INDEX(Players!$M$2:$M$124,MATCH(B492,Players!$A$2:$A$124,0)),""))</f>
        <v>0.68</v>
      </c>
    </row>
    <row r="493" customFormat="false" ht="15" hidden="false" customHeight="false" outlineLevel="0" collapsed="false">
      <c r="A493" s="0" t="s">
        <v>2271</v>
      </c>
      <c r="B493" s="0" t="s">
        <v>1495</v>
      </c>
      <c r="C493" s="0" t="s">
        <v>1215</v>
      </c>
      <c r="D493" s="0" t="s">
        <v>988</v>
      </c>
      <c r="E493" s="0" t="s">
        <v>150</v>
      </c>
      <c r="F493" s="0" t="n">
        <v>6</v>
      </c>
      <c r="G493" s="0" t="n">
        <v>19</v>
      </c>
      <c r="H493" s="0" t="n">
        <v>0.7</v>
      </c>
      <c r="I493" s="10" t="n">
        <v>0.421</v>
      </c>
      <c r="J493" s="0" t="n">
        <v>0.95</v>
      </c>
      <c r="K493" s="13" t="n">
        <f aca="false">IF(H493&lt;&gt;"",H493,IFERROR(G493/INDEX(Players!$M$2:$M$124,MATCH(B493,Players!$A$2:$A$124,0)),""))</f>
        <v>0.7</v>
      </c>
    </row>
    <row r="494" customFormat="false" ht="15" hidden="false" customHeight="false" outlineLevel="0" collapsed="false">
      <c r="A494" s="0" t="s">
        <v>2272</v>
      </c>
      <c r="B494" s="0" t="s">
        <v>1495</v>
      </c>
      <c r="C494" s="0" t="s">
        <v>1215</v>
      </c>
      <c r="D494" s="0" t="s">
        <v>988</v>
      </c>
      <c r="E494" s="0" t="s">
        <v>142</v>
      </c>
      <c r="F494" s="0" t="n">
        <v>3</v>
      </c>
      <c r="G494" s="0" t="n">
        <v>9.7</v>
      </c>
      <c r="H494" s="0" t="n">
        <v>0.45</v>
      </c>
      <c r="I494" s="10" t="n">
        <v>0.517</v>
      </c>
      <c r="J494" s="0" t="n">
        <v>0.66</v>
      </c>
      <c r="K494" s="13" t="n">
        <f aca="false">IF(H494&lt;&gt;"",H494,IFERROR(G494/INDEX(Players!$M$2:$M$124,MATCH(B494,Players!$A$2:$A$124,0)),""))</f>
        <v>0.45</v>
      </c>
    </row>
    <row r="495" customFormat="false" ht="15" hidden="false" customHeight="false" outlineLevel="0" collapsed="false">
      <c r="A495" s="0" t="s">
        <v>2273</v>
      </c>
      <c r="B495" s="0" t="s">
        <v>1495</v>
      </c>
      <c r="C495" s="0" t="s">
        <v>1215</v>
      </c>
      <c r="D495" s="0" t="s">
        <v>988</v>
      </c>
      <c r="E495" s="0" t="s">
        <v>80</v>
      </c>
      <c r="F495" s="0" t="n">
        <v>3</v>
      </c>
      <c r="G495" s="0" t="n">
        <v>6.7</v>
      </c>
      <c r="H495" s="0" t="n">
        <v>0.3</v>
      </c>
      <c r="I495" s="10" t="n">
        <v>0.5</v>
      </c>
      <c r="J495" s="0" t="n">
        <v>0.38</v>
      </c>
      <c r="K495" s="13" t="n">
        <f aca="false">IF(H495&lt;&gt;"",H495,IFERROR(G495/INDEX(Players!$M$2:$M$124,MATCH(B495,Players!$A$2:$A$124,0)),""))</f>
        <v>0.3</v>
      </c>
    </row>
    <row r="496" customFormat="false" ht="15" hidden="false" customHeight="false" outlineLevel="0" collapsed="false">
      <c r="A496" s="0" t="s">
        <v>2274</v>
      </c>
      <c r="B496" s="0" t="s">
        <v>1495</v>
      </c>
      <c r="C496" s="0" t="s">
        <v>1215</v>
      </c>
      <c r="D496" s="0" t="s">
        <v>988</v>
      </c>
      <c r="E496" s="0" t="s">
        <v>121</v>
      </c>
      <c r="F496" s="0" t="n">
        <v>2</v>
      </c>
      <c r="G496" s="0" t="n">
        <v>15</v>
      </c>
      <c r="H496" s="0" t="n">
        <v>0.55</v>
      </c>
      <c r="I496" s="10" t="n">
        <v>0.5</v>
      </c>
      <c r="J496" s="0" t="n">
        <v>0.83</v>
      </c>
      <c r="K496" s="13" t="n">
        <f aca="false">IF(H496&lt;&gt;"",H496,IFERROR(G496/INDEX(Players!$M$2:$M$124,MATCH(B496,Players!$A$2:$A$124,0)),""))</f>
        <v>0.55</v>
      </c>
    </row>
    <row r="497" customFormat="false" ht="15" hidden="false" customHeight="false" outlineLevel="0" collapsed="false">
      <c r="A497" s="0" t="s">
        <v>2275</v>
      </c>
      <c r="B497" s="0" t="s">
        <v>1495</v>
      </c>
      <c r="C497" s="0" t="s">
        <v>1215</v>
      </c>
      <c r="D497" s="0" t="s">
        <v>988</v>
      </c>
      <c r="E497" s="0" t="s">
        <v>94</v>
      </c>
      <c r="F497" s="0" t="n">
        <v>1</v>
      </c>
      <c r="G497" s="0" t="n">
        <v>8</v>
      </c>
      <c r="H497" s="0" t="n">
        <v>0.47</v>
      </c>
      <c r="I497" s="10" t="n">
        <v>0.25</v>
      </c>
      <c r="J497" s="0" t="n">
        <v>0.47</v>
      </c>
      <c r="K497" s="13" t="n">
        <f aca="false">IF(H497&lt;&gt;"",H497,IFERROR(G497/INDEX(Players!$M$2:$M$124,MATCH(B497,Players!$A$2:$A$124,0)),""))</f>
        <v>0.47</v>
      </c>
    </row>
    <row r="498" customFormat="false" ht="15" hidden="false" customHeight="false" outlineLevel="0" collapsed="false">
      <c r="A498" s="0" t="s">
        <v>2276</v>
      </c>
      <c r="B498" s="0" t="s">
        <v>1562</v>
      </c>
      <c r="C498" s="0" t="s">
        <v>1365</v>
      </c>
      <c r="D498" s="0" t="s">
        <v>988</v>
      </c>
      <c r="E498" s="0" t="s">
        <v>121</v>
      </c>
      <c r="F498" s="0" t="n">
        <v>8</v>
      </c>
      <c r="G498" s="0" t="n">
        <v>14.8</v>
      </c>
      <c r="H498" s="0" t="n">
        <v>0.72</v>
      </c>
      <c r="I498" s="10" t="n">
        <v>0.576</v>
      </c>
      <c r="J498" s="0" t="n">
        <v>1.12</v>
      </c>
      <c r="K498" s="13" t="n">
        <f aca="false">IF(H498&lt;&gt;"",H498,IFERROR(G498/INDEX(Players!$M$2:$M$124,MATCH(B498,Players!$A$2:$A$124,0)),""))</f>
        <v>0.72</v>
      </c>
    </row>
    <row r="499" customFormat="false" ht="15" hidden="false" customHeight="false" outlineLevel="0" collapsed="false">
      <c r="A499" s="0" t="s">
        <v>2277</v>
      </c>
      <c r="B499" s="0" t="s">
        <v>1562</v>
      </c>
      <c r="C499" s="0" t="s">
        <v>1365</v>
      </c>
      <c r="D499" s="0" t="s">
        <v>988</v>
      </c>
      <c r="E499" s="0" t="s">
        <v>142</v>
      </c>
      <c r="F499" s="0" t="n">
        <v>8</v>
      </c>
      <c r="G499" s="0" t="n">
        <v>13.5</v>
      </c>
      <c r="H499" s="0" t="n">
        <v>0.63</v>
      </c>
      <c r="I499" s="10" t="n">
        <v>0.556</v>
      </c>
      <c r="J499" s="0" t="n">
        <v>0.95</v>
      </c>
      <c r="K499" s="13" t="n">
        <f aca="false">IF(H499&lt;&gt;"",H499,IFERROR(G499/INDEX(Players!$M$2:$M$124,MATCH(B499,Players!$A$2:$A$124,0)),""))</f>
        <v>0.63</v>
      </c>
    </row>
    <row r="500" customFormat="false" ht="15" hidden="false" customHeight="false" outlineLevel="0" collapsed="false">
      <c r="A500" s="0" t="s">
        <v>2278</v>
      </c>
      <c r="B500" s="0" t="s">
        <v>1562</v>
      </c>
      <c r="C500" s="0" t="s">
        <v>1365</v>
      </c>
      <c r="D500" s="0" t="s">
        <v>988</v>
      </c>
      <c r="E500" s="0" t="s">
        <v>107</v>
      </c>
      <c r="F500" s="0" t="n">
        <v>7</v>
      </c>
      <c r="G500" s="0" t="n">
        <v>14.4</v>
      </c>
      <c r="H500" s="0" t="n">
        <v>0.72</v>
      </c>
      <c r="I500" s="10" t="n">
        <v>0.574</v>
      </c>
      <c r="J500" s="0" t="n">
        <v>1.1</v>
      </c>
      <c r="K500" s="13" t="n">
        <f aca="false">IF(H500&lt;&gt;"",H500,IFERROR(G500/INDEX(Players!$M$2:$M$124,MATCH(B500,Players!$A$2:$A$124,0)),""))</f>
        <v>0.72</v>
      </c>
    </row>
    <row r="501" customFormat="false" ht="15" hidden="false" customHeight="false" outlineLevel="0" collapsed="false">
      <c r="A501" s="0" t="s">
        <v>2279</v>
      </c>
      <c r="B501" s="0" t="s">
        <v>1562</v>
      </c>
      <c r="C501" s="0" t="s">
        <v>1365</v>
      </c>
      <c r="D501" s="0" t="s">
        <v>988</v>
      </c>
      <c r="E501" s="0" t="s">
        <v>150</v>
      </c>
      <c r="F501" s="0" t="n">
        <v>7</v>
      </c>
      <c r="G501" s="0" t="n">
        <v>12.6</v>
      </c>
      <c r="H501" s="0" t="n">
        <v>0.63</v>
      </c>
      <c r="I501" s="10" t="n">
        <v>0.557</v>
      </c>
      <c r="J501" s="0" t="n">
        <v>0.98</v>
      </c>
      <c r="K501" s="13" t="n">
        <f aca="false">IF(H501&lt;&gt;"",H501,IFERROR(G501/INDEX(Players!$M$2:$M$124,MATCH(B501,Players!$A$2:$A$124,0)),""))</f>
        <v>0.63</v>
      </c>
    </row>
    <row r="502" customFormat="false" ht="15" hidden="false" customHeight="false" outlineLevel="0" collapsed="false">
      <c r="A502" s="0" t="s">
        <v>2280</v>
      </c>
      <c r="B502" s="0" t="s">
        <v>1562</v>
      </c>
      <c r="C502" s="0" t="s">
        <v>1365</v>
      </c>
      <c r="D502" s="0" t="s">
        <v>988</v>
      </c>
      <c r="E502" s="0" t="s">
        <v>80</v>
      </c>
      <c r="F502" s="0" t="n">
        <v>5</v>
      </c>
      <c r="G502" s="0" t="n">
        <v>17.8</v>
      </c>
      <c r="H502" s="0" t="n">
        <v>0.72</v>
      </c>
      <c r="I502" s="10" t="n">
        <v>0.528</v>
      </c>
      <c r="J502" s="0" t="n">
        <v>1.03</v>
      </c>
      <c r="K502" s="13" t="n">
        <f aca="false">IF(H502&lt;&gt;"",H502,IFERROR(G502/INDEX(Players!$M$2:$M$124,MATCH(B502,Players!$A$2:$A$124,0)),""))</f>
        <v>0.72</v>
      </c>
    </row>
    <row r="503" customFormat="false" ht="15" hidden="false" customHeight="false" outlineLevel="0" collapsed="false">
      <c r="A503" s="0" t="s">
        <v>2281</v>
      </c>
      <c r="B503" s="0" t="s">
        <v>1562</v>
      </c>
      <c r="C503" s="0" t="s">
        <v>1365</v>
      </c>
      <c r="D503" s="0" t="s">
        <v>988</v>
      </c>
      <c r="E503" s="0" t="s">
        <v>131</v>
      </c>
      <c r="F503" s="0" t="n">
        <v>2</v>
      </c>
      <c r="G503" s="0" t="n">
        <v>8.5</v>
      </c>
      <c r="H503" s="0" t="n">
        <v>0.45</v>
      </c>
      <c r="I503" s="10" t="n">
        <v>0.471</v>
      </c>
      <c r="J503" s="0" t="n">
        <v>0.59</v>
      </c>
      <c r="K503" s="13" t="n">
        <f aca="false">IF(H503&lt;&gt;"",H503,IFERROR(G503/INDEX(Players!$M$2:$M$124,MATCH(B503,Players!$A$2:$A$124,0)),""))</f>
        <v>0.45</v>
      </c>
    </row>
    <row r="504" customFormat="false" ht="15" hidden="false" customHeight="false" outlineLevel="0" collapsed="false">
      <c r="A504" s="0" t="s">
        <v>2282</v>
      </c>
      <c r="B504" s="0" t="s">
        <v>1471</v>
      </c>
      <c r="C504" s="0" t="s">
        <v>1149</v>
      </c>
      <c r="D504" s="0" t="s">
        <v>988</v>
      </c>
      <c r="E504" s="0" t="s">
        <v>107</v>
      </c>
      <c r="F504" s="0" t="n">
        <v>13</v>
      </c>
      <c r="G504" s="0" t="n">
        <v>16</v>
      </c>
      <c r="H504" s="0" t="n">
        <v>0.68</v>
      </c>
      <c r="I504" s="10" t="n">
        <v>0.625</v>
      </c>
      <c r="J504" s="0" t="n">
        <v>1.01</v>
      </c>
      <c r="K504" s="13" t="n">
        <f aca="false">IF(H504&lt;&gt;"",H504,IFERROR(G504/INDEX(Players!$M$2:$M$124,MATCH(B504,Players!$A$2:$A$124,0)),""))</f>
        <v>0.68</v>
      </c>
    </row>
    <row r="505" customFormat="false" ht="15" hidden="false" customHeight="false" outlineLevel="0" collapsed="false">
      <c r="A505" s="0" t="s">
        <v>2283</v>
      </c>
      <c r="B505" s="0" t="s">
        <v>1471</v>
      </c>
      <c r="C505" s="0" t="s">
        <v>1149</v>
      </c>
      <c r="D505" s="0" t="s">
        <v>988</v>
      </c>
      <c r="E505" s="0" t="s">
        <v>150</v>
      </c>
      <c r="F505" s="0" t="n">
        <v>7</v>
      </c>
      <c r="G505" s="0" t="n">
        <v>17.7</v>
      </c>
      <c r="H505" s="0" t="n">
        <v>0.73</v>
      </c>
      <c r="I505" s="10" t="n">
        <v>0.621</v>
      </c>
      <c r="J505" s="0" t="n">
        <v>1.1</v>
      </c>
      <c r="K505" s="13" t="n">
        <f aca="false">IF(H505&lt;&gt;"",H505,IFERROR(G505/INDEX(Players!$M$2:$M$124,MATCH(B505,Players!$A$2:$A$124,0)),""))</f>
        <v>0.73</v>
      </c>
    </row>
    <row r="506" customFormat="false" ht="15" hidden="false" customHeight="false" outlineLevel="0" collapsed="false">
      <c r="A506" s="0" t="s">
        <v>2284</v>
      </c>
      <c r="B506" s="0" t="s">
        <v>1471</v>
      </c>
      <c r="C506" s="0" t="s">
        <v>1149</v>
      </c>
      <c r="D506" s="0" t="s">
        <v>988</v>
      </c>
      <c r="E506" s="0" t="s">
        <v>94</v>
      </c>
      <c r="F506" s="0" t="n">
        <v>5</v>
      </c>
      <c r="G506" s="0" t="n">
        <v>20.4</v>
      </c>
      <c r="H506" s="0" t="n">
        <v>0.77</v>
      </c>
      <c r="I506" s="10" t="n">
        <v>0.618</v>
      </c>
      <c r="J506" s="0" t="n">
        <v>1.11</v>
      </c>
      <c r="K506" s="13" t="n">
        <f aca="false">IF(H506&lt;&gt;"",H506,IFERROR(G506/INDEX(Players!$M$2:$M$124,MATCH(B506,Players!$A$2:$A$124,0)),""))</f>
        <v>0.77</v>
      </c>
    </row>
    <row r="507" customFormat="false" ht="15" hidden="false" customHeight="false" outlineLevel="0" collapsed="false">
      <c r="A507" s="0" t="s">
        <v>2285</v>
      </c>
      <c r="B507" s="0" t="s">
        <v>1471</v>
      </c>
      <c r="C507" s="0" t="s">
        <v>1149</v>
      </c>
      <c r="D507" s="0" t="s">
        <v>988</v>
      </c>
      <c r="E507" s="0" t="s">
        <v>121</v>
      </c>
      <c r="F507" s="0" t="n">
        <v>4</v>
      </c>
      <c r="G507" s="0" t="n">
        <v>17</v>
      </c>
      <c r="H507" s="0" t="n">
        <v>0.81</v>
      </c>
      <c r="I507" s="10" t="n">
        <v>0.676</v>
      </c>
      <c r="J507" s="0" t="n">
        <v>1.33</v>
      </c>
      <c r="K507" s="13" t="n">
        <f aca="false">IF(H507&lt;&gt;"",H507,IFERROR(G507/INDEX(Players!$M$2:$M$124,MATCH(B507,Players!$A$2:$A$124,0)),""))</f>
        <v>0.81</v>
      </c>
    </row>
    <row r="508" customFormat="false" ht="15" hidden="false" customHeight="false" outlineLevel="0" collapsed="false">
      <c r="A508" s="0" t="s">
        <v>2286</v>
      </c>
      <c r="B508" s="0" t="s">
        <v>1471</v>
      </c>
      <c r="C508" s="0" t="s">
        <v>1149</v>
      </c>
      <c r="D508" s="0" t="s">
        <v>988</v>
      </c>
      <c r="E508" s="0" t="s">
        <v>142</v>
      </c>
      <c r="F508" s="0" t="n">
        <v>4</v>
      </c>
      <c r="G508" s="0" t="n">
        <v>13.3</v>
      </c>
      <c r="H508" s="0" t="n">
        <v>0.76</v>
      </c>
      <c r="I508" s="10" t="n">
        <v>0.66</v>
      </c>
      <c r="J508" s="0" t="n">
        <v>1.2</v>
      </c>
      <c r="K508" s="13" t="n">
        <f aca="false">IF(H508&lt;&gt;"",H508,IFERROR(G508/INDEX(Players!$M$2:$M$124,MATCH(B508,Players!$A$2:$A$124,0)),""))</f>
        <v>0.76</v>
      </c>
    </row>
    <row r="509" customFormat="false" ht="15" hidden="false" customHeight="false" outlineLevel="0" collapsed="false">
      <c r="A509" s="0" t="s">
        <v>2287</v>
      </c>
      <c r="B509" s="0" t="s">
        <v>1471</v>
      </c>
      <c r="C509" s="0" t="s">
        <v>1149</v>
      </c>
      <c r="D509" s="0" t="s">
        <v>988</v>
      </c>
      <c r="E509" s="0" t="s">
        <v>131</v>
      </c>
      <c r="F509" s="0" t="n">
        <v>4</v>
      </c>
      <c r="G509" s="0" t="n">
        <v>12</v>
      </c>
      <c r="H509" s="0" t="n">
        <v>0.6</v>
      </c>
      <c r="I509" s="10" t="n">
        <v>0.604</v>
      </c>
      <c r="J509" s="0" t="n">
        <v>0.89</v>
      </c>
      <c r="K509" s="13" t="n">
        <f aca="false">IF(H509&lt;&gt;"",H509,IFERROR(G509/INDEX(Players!$M$2:$M$124,MATCH(B509,Players!$A$2:$A$124,0)),""))</f>
        <v>0.6</v>
      </c>
    </row>
    <row r="510" customFormat="false" ht="15" hidden="false" customHeight="false" outlineLevel="0" collapsed="false">
      <c r="A510" s="0" t="s">
        <v>2288</v>
      </c>
      <c r="B510" s="0" t="s">
        <v>1468</v>
      </c>
      <c r="C510" s="0" t="s">
        <v>1143</v>
      </c>
      <c r="D510" s="0" t="s">
        <v>988</v>
      </c>
      <c r="E510" s="0" t="s">
        <v>80</v>
      </c>
      <c r="F510" s="0" t="n">
        <v>11</v>
      </c>
      <c r="G510" s="0" t="n">
        <v>16.3</v>
      </c>
      <c r="H510" s="0" t="n">
        <v>0.71</v>
      </c>
      <c r="I510" s="10" t="n">
        <v>0.542</v>
      </c>
      <c r="J510" s="0" t="n">
        <v>1.02</v>
      </c>
      <c r="K510" s="13" t="n">
        <f aca="false">IF(H510&lt;&gt;"",H510,IFERROR(G510/INDEX(Players!$M$2:$M$124,MATCH(B510,Players!$A$2:$A$124,0)),""))</f>
        <v>0.71</v>
      </c>
    </row>
    <row r="511" customFormat="false" ht="15" hidden="false" customHeight="false" outlineLevel="0" collapsed="false">
      <c r="A511" s="0" t="s">
        <v>2289</v>
      </c>
      <c r="B511" s="0" t="s">
        <v>1468</v>
      </c>
      <c r="C511" s="0" t="s">
        <v>1143</v>
      </c>
      <c r="D511" s="0" t="s">
        <v>988</v>
      </c>
      <c r="E511" s="0" t="s">
        <v>150</v>
      </c>
      <c r="F511" s="0" t="n">
        <v>7</v>
      </c>
      <c r="G511" s="0" t="n">
        <v>15.3</v>
      </c>
      <c r="H511" s="0" t="n">
        <v>0.69</v>
      </c>
      <c r="I511" s="10" t="n">
        <v>0.486</v>
      </c>
      <c r="J511" s="0" t="n">
        <v>0.96</v>
      </c>
      <c r="K511" s="13" t="n">
        <f aca="false">IF(H511&lt;&gt;"",H511,IFERROR(G511/INDEX(Players!$M$2:$M$124,MATCH(B511,Players!$A$2:$A$124,0)),""))</f>
        <v>0.69</v>
      </c>
    </row>
    <row r="512" customFormat="false" ht="15" hidden="false" customHeight="false" outlineLevel="0" collapsed="false">
      <c r="A512" s="0" t="s">
        <v>2290</v>
      </c>
      <c r="B512" s="0" t="s">
        <v>1468</v>
      </c>
      <c r="C512" s="0" t="s">
        <v>1143</v>
      </c>
      <c r="D512" s="0" t="s">
        <v>988</v>
      </c>
      <c r="E512" s="0" t="s">
        <v>131</v>
      </c>
      <c r="F512" s="0" t="n">
        <v>5</v>
      </c>
      <c r="G512" s="0" t="n">
        <v>14.6</v>
      </c>
      <c r="H512" s="0" t="n">
        <v>0.7</v>
      </c>
      <c r="I512" s="10" t="n">
        <v>0.479</v>
      </c>
      <c r="J512" s="0" t="n">
        <v>1.14</v>
      </c>
      <c r="K512" s="13" t="n">
        <f aca="false">IF(H512&lt;&gt;"",H512,IFERROR(G512/INDEX(Players!$M$2:$M$124,MATCH(B512,Players!$A$2:$A$124,0)),""))</f>
        <v>0.7</v>
      </c>
    </row>
    <row r="513" customFormat="false" ht="15" hidden="false" customHeight="false" outlineLevel="0" collapsed="false">
      <c r="A513" s="0" t="s">
        <v>2291</v>
      </c>
      <c r="B513" s="0" t="s">
        <v>1468</v>
      </c>
      <c r="C513" s="0" t="s">
        <v>1143</v>
      </c>
      <c r="D513" s="0" t="s">
        <v>988</v>
      </c>
      <c r="E513" s="0" t="s">
        <v>94</v>
      </c>
      <c r="F513" s="0" t="n">
        <v>3</v>
      </c>
      <c r="G513" s="0" t="n">
        <v>14.3</v>
      </c>
      <c r="H513" s="0" t="n">
        <v>0.67</v>
      </c>
      <c r="I513" s="10" t="n">
        <v>0.512</v>
      </c>
      <c r="J513" s="0" t="n">
        <v>1.16</v>
      </c>
      <c r="K513" s="13" t="n">
        <f aca="false">IF(H513&lt;&gt;"",H513,IFERROR(G513/INDEX(Players!$M$2:$M$124,MATCH(B513,Players!$A$2:$A$124,0)),""))</f>
        <v>0.67</v>
      </c>
    </row>
    <row r="514" customFormat="false" ht="15" hidden="false" customHeight="false" outlineLevel="0" collapsed="false">
      <c r="A514" s="0" t="s">
        <v>2292</v>
      </c>
      <c r="B514" s="0" t="s">
        <v>1468</v>
      </c>
      <c r="C514" s="0" t="s">
        <v>1143</v>
      </c>
      <c r="D514" s="0" t="s">
        <v>988</v>
      </c>
      <c r="E514" s="0" t="s">
        <v>142</v>
      </c>
      <c r="F514" s="0" t="n">
        <v>3</v>
      </c>
      <c r="G514" s="0" t="n">
        <v>14.3</v>
      </c>
      <c r="H514" s="0" t="n">
        <v>0.7</v>
      </c>
      <c r="I514" s="10" t="n">
        <v>0.488</v>
      </c>
      <c r="J514" s="0" t="n">
        <v>1.07</v>
      </c>
      <c r="K514" s="13" t="n">
        <f aca="false">IF(H514&lt;&gt;"",H514,IFERROR(G514/INDEX(Players!$M$2:$M$124,MATCH(B514,Players!$A$2:$A$124,0)),""))</f>
        <v>0.7</v>
      </c>
    </row>
    <row r="515" customFormat="false" ht="15" hidden="false" customHeight="false" outlineLevel="0" collapsed="false">
      <c r="A515" s="0" t="s">
        <v>2293</v>
      </c>
      <c r="B515" s="0" t="s">
        <v>1468</v>
      </c>
      <c r="C515" s="0" t="s">
        <v>1143</v>
      </c>
      <c r="D515" s="0" t="s">
        <v>988</v>
      </c>
      <c r="E515" s="0" t="s">
        <v>121</v>
      </c>
      <c r="F515" s="0" t="n">
        <v>2</v>
      </c>
      <c r="G515" s="0" t="n">
        <v>15</v>
      </c>
      <c r="H515" s="0" t="n">
        <v>0.71</v>
      </c>
      <c r="I515" s="10" t="n">
        <v>0.5</v>
      </c>
      <c r="J515" s="0" t="n">
        <v>1.15</v>
      </c>
      <c r="K515" s="13" t="n">
        <f aca="false">IF(H515&lt;&gt;"",H515,IFERROR(G515/INDEX(Players!$M$2:$M$124,MATCH(B515,Players!$A$2:$A$124,0)),""))</f>
        <v>0.71</v>
      </c>
    </row>
    <row r="516" customFormat="false" ht="15" hidden="false" customHeight="false" outlineLevel="0" collapsed="false">
      <c r="A516" s="0" t="s">
        <v>2294</v>
      </c>
      <c r="B516" s="0" t="s">
        <v>1544</v>
      </c>
      <c r="C516" s="0" t="s">
        <v>1326</v>
      </c>
      <c r="D516" s="0" t="s">
        <v>988</v>
      </c>
      <c r="E516" s="0" t="s">
        <v>150</v>
      </c>
      <c r="F516" s="0" t="n">
        <v>10</v>
      </c>
      <c r="G516" s="0" t="n">
        <v>14.2</v>
      </c>
      <c r="H516" s="0" t="n">
        <v>0.64</v>
      </c>
      <c r="I516" s="10" t="n">
        <v>0.5</v>
      </c>
      <c r="J516" s="0" t="n">
        <v>1.05</v>
      </c>
      <c r="K516" s="13" t="n">
        <f aca="false">IF(H516&lt;&gt;"",H516,IFERROR(G516/INDEX(Players!$M$2:$M$124,MATCH(B516,Players!$A$2:$A$124,0)),""))</f>
        <v>0.64</v>
      </c>
    </row>
    <row r="517" customFormat="false" ht="15" hidden="false" customHeight="false" outlineLevel="0" collapsed="false">
      <c r="A517" s="0" t="s">
        <v>2295</v>
      </c>
      <c r="B517" s="0" t="s">
        <v>1544</v>
      </c>
      <c r="C517" s="0" t="s">
        <v>1326</v>
      </c>
      <c r="D517" s="0" t="s">
        <v>988</v>
      </c>
      <c r="E517" s="0" t="s">
        <v>131</v>
      </c>
      <c r="F517" s="0" t="n">
        <v>7</v>
      </c>
      <c r="G517" s="0" t="n">
        <v>13.1</v>
      </c>
      <c r="H517" s="0" t="n">
        <v>0.63</v>
      </c>
      <c r="I517" s="10" t="n">
        <v>0.467</v>
      </c>
      <c r="J517" s="0" t="n">
        <v>1.02</v>
      </c>
      <c r="K517" s="13" t="n">
        <f aca="false">IF(H517&lt;&gt;"",H517,IFERROR(G517/INDEX(Players!$M$2:$M$124,MATCH(B517,Players!$A$2:$A$124,0)),""))</f>
        <v>0.63</v>
      </c>
    </row>
    <row r="518" customFormat="false" ht="15" hidden="false" customHeight="false" outlineLevel="0" collapsed="false">
      <c r="A518" s="0" t="s">
        <v>2296</v>
      </c>
      <c r="B518" s="0" t="s">
        <v>1544</v>
      </c>
      <c r="C518" s="0" t="s">
        <v>1326</v>
      </c>
      <c r="D518" s="0" t="s">
        <v>988</v>
      </c>
      <c r="E518" s="0" t="s">
        <v>142</v>
      </c>
      <c r="F518" s="0" t="n">
        <v>6</v>
      </c>
      <c r="G518" s="0" t="n">
        <v>13.2</v>
      </c>
      <c r="H518" s="0" t="n">
        <v>0.64</v>
      </c>
      <c r="I518" s="10" t="n">
        <v>0.532</v>
      </c>
      <c r="J518" s="0" t="n">
        <v>1.16</v>
      </c>
      <c r="K518" s="13" t="n">
        <f aca="false">IF(H518&lt;&gt;"",H518,IFERROR(G518/INDEX(Players!$M$2:$M$124,MATCH(B518,Players!$A$2:$A$124,0)),""))</f>
        <v>0.64</v>
      </c>
    </row>
    <row r="519" customFormat="false" ht="15" hidden="false" customHeight="false" outlineLevel="0" collapsed="false">
      <c r="A519" s="0" t="s">
        <v>2297</v>
      </c>
      <c r="B519" s="0" t="s">
        <v>1544</v>
      </c>
      <c r="C519" s="0" t="s">
        <v>1326</v>
      </c>
      <c r="D519" s="0" t="s">
        <v>988</v>
      </c>
      <c r="E519" s="0" t="s">
        <v>80</v>
      </c>
      <c r="F519" s="0" t="n">
        <v>6</v>
      </c>
      <c r="G519" s="0" t="n">
        <v>15.3</v>
      </c>
      <c r="H519" s="0" t="n">
        <v>0.74</v>
      </c>
      <c r="I519" s="10" t="n">
        <v>0.533</v>
      </c>
      <c r="J519" s="0" t="n">
        <v>1.11</v>
      </c>
      <c r="K519" s="13" t="n">
        <f aca="false">IF(H519&lt;&gt;"",H519,IFERROR(G519/INDEX(Players!$M$2:$M$124,MATCH(B519,Players!$A$2:$A$124,0)),""))</f>
        <v>0.74</v>
      </c>
    </row>
    <row r="520" customFormat="false" ht="15" hidden="false" customHeight="false" outlineLevel="0" collapsed="false">
      <c r="A520" s="0" t="s">
        <v>2298</v>
      </c>
      <c r="B520" s="0" t="s">
        <v>1544</v>
      </c>
      <c r="C520" s="0" t="s">
        <v>1326</v>
      </c>
      <c r="D520" s="0" t="s">
        <v>988</v>
      </c>
      <c r="E520" s="0" t="s">
        <v>107</v>
      </c>
      <c r="F520" s="0" t="n">
        <v>6</v>
      </c>
      <c r="G520" s="0" t="n">
        <v>12.3</v>
      </c>
      <c r="H520" s="0" t="n">
        <v>0.55</v>
      </c>
      <c r="I520" s="10" t="n">
        <v>0.595</v>
      </c>
      <c r="J520" s="0" t="n">
        <v>0.89</v>
      </c>
      <c r="K520" s="13" t="n">
        <f aca="false">IF(H520&lt;&gt;"",H520,IFERROR(G520/INDEX(Players!$M$2:$M$124,MATCH(B520,Players!$A$2:$A$124,0)),""))</f>
        <v>0.55</v>
      </c>
    </row>
    <row r="521" customFormat="false" ht="15" hidden="false" customHeight="false" outlineLevel="0" collapsed="false">
      <c r="A521" s="0" t="s">
        <v>2299</v>
      </c>
      <c r="B521" s="0" t="s">
        <v>1544</v>
      </c>
      <c r="C521" s="0" t="s">
        <v>1326</v>
      </c>
      <c r="D521" s="0" t="s">
        <v>988</v>
      </c>
      <c r="E521" s="0" t="s">
        <v>121</v>
      </c>
      <c r="F521" s="0" t="n">
        <v>4</v>
      </c>
      <c r="G521" s="0" t="n">
        <v>15.3</v>
      </c>
      <c r="H521" s="0" t="n">
        <v>0.75</v>
      </c>
      <c r="I521" s="10" t="n">
        <v>0.492</v>
      </c>
      <c r="J521" s="0" t="n">
        <v>1.24</v>
      </c>
      <c r="K521" s="13" t="n">
        <f aca="false">IF(H521&lt;&gt;"",H521,IFERROR(G521/INDEX(Players!$M$2:$M$124,MATCH(B521,Players!$A$2:$A$124,0)),""))</f>
        <v>0.75</v>
      </c>
    </row>
    <row r="522" customFormat="false" ht="15" hidden="false" customHeight="false" outlineLevel="0" collapsed="false">
      <c r="A522" s="0" t="s">
        <v>2300</v>
      </c>
      <c r="B522" s="0" t="s">
        <v>1481</v>
      </c>
      <c r="C522" s="0" t="s">
        <v>1181</v>
      </c>
      <c r="D522" s="0" t="s">
        <v>988</v>
      </c>
      <c r="E522" s="0" t="s">
        <v>121</v>
      </c>
      <c r="F522" s="0" t="n">
        <v>11</v>
      </c>
      <c r="G522" s="0" t="n">
        <v>13</v>
      </c>
      <c r="H522" s="0" t="n">
        <v>0.62</v>
      </c>
      <c r="I522" s="10" t="n">
        <v>0.336</v>
      </c>
      <c r="J522" s="0" t="n">
        <v>1.15</v>
      </c>
      <c r="K522" s="13" t="n">
        <f aca="false">IF(H522&lt;&gt;"",H522,IFERROR(G522/INDEX(Players!$M$2:$M$124,MATCH(B522,Players!$A$2:$A$124,0)),""))</f>
        <v>0.62</v>
      </c>
    </row>
    <row r="523" customFormat="false" ht="15" hidden="false" customHeight="false" outlineLevel="0" collapsed="false">
      <c r="A523" s="0" t="s">
        <v>2301</v>
      </c>
      <c r="B523" s="0" t="s">
        <v>1481</v>
      </c>
      <c r="C523" s="0" t="s">
        <v>1181</v>
      </c>
      <c r="D523" s="0" t="s">
        <v>988</v>
      </c>
      <c r="E523" s="0" t="s">
        <v>142</v>
      </c>
      <c r="F523" s="0" t="n">
        <v>8</v>
      </c>
      <c r="G523" s="0" t="n">
        <v>11.5</v>
      </c>
      <c r="H523" s="0" t="n">
        <v>0.51</v>
      </c>
      <c r="I523" s="10" t="n">
        <v>0.348</v>
      </c>
      <c r="J523" s="0" t="n">
        <v>0.87</v>
      </c>
      <c r="K523" s="13" t="n">
        <f aca="false">IF(H523&lt;&gt;"",H523,IFERROR(G523/INDEX(Players!$M$2:$M$124,MATCH(B523,Players!$A$2:$A$124,0)),""))</f>
        <v>0.51</v>
      </c>
    </row>
    <row r="524" customFormat="false" ht="15" hidden="false" customHeight="false" outlineLevel="0" collapsed="false">
      <c r="A524" s="0" t="s">
        <v>2302</v>
      </c>
      <c r="B524" s="0" t="s">
        <v>1481</v>
      </c>
      <c r="C524" s="0" t="s">
        <v>1181</v>
      </c>
      <c r="D524" s="0" t="s">
        <v>988</v>
      </c>
      <c r="E524" s="0" t="s">
        <v>107</v>
      </c>
      <c r="F524" s="0" t="n">
        <v>7</v>
      </c>
      <c r="G524" s="0" t="n">
        <v>13.9</v>
      </c>
      <c r="H524" s="0" t="n">
        <v>0.6</v>
      </c>
      <c r="I524" s="10" t="n">
        <v>0.33</v>
      </c>
      <c r="J524" s="0" t="n">
        <v>0.96</v>
      </c>
      <c r="K524" s="13" t="n">
        <f aca="false">IF(H524&lt;&gt;"",H524,IFERROR(G524/INDEX(Players!$M$2:$M$124,MATCH(B524,Players!$A$2:$A$124,0)),""))</f>
        <v>0.6</v>
      </c>
    </row>
    <row r="525" customFormat="false" ht="15" hidden="false" customHeight="false" outlineLevel="0" collapsed="false">
      <c r="A525" s="0" t="s">
        <v>2303</v>
      </c>
      <c r="B525" s="0" t="s">
        <v>1481</v>
      </c>
      <c r="C525" s="0" t="s">
        <v>1181</v>
      </c>
      <c r="D525" s="0" t="s">
        <v>988</v>
      </c>
      <c r="E525" s="0" t="s">
        <v>150</v>
      </c>
      <c r="F525" s="0" t="n">
        <v>6</v>
      </c>
      <c r="G525" s="0" t="n">
        <v>15.5</v>
      </c>
      <c r="H525" s="0" t="n">
        <v>0.69</v>
      </c>
      <c r="I525" s="10" t="n">
        <v>0.215</v>
      </c>
      <c r="J525" s="0" t="n">
        <v>1.13</v>
      </c>
      <c r="K525" s="13" t="n">
        <f aca="false">IF(H525&lt;&gt;"",H525,IFERROR(G525/INDEX(Players!$M$2:$M$124,MATCH(B525,Players!$A$2:$A$124,0)),""))</f>
        <v>0.69</v>
      </c>
    </row>
    <row r="526" customFormat="false" ht="15" hidden="false" customHeight="false" outlineLevel="0" collapsed="false">
      <c r="A526" s="0" t="s">
        <v>2304</v>
      </c>
      <c r="B526" s="0" t="s">
        <v>1481</v>
      </c>
      <c r="C526" s="0" t="s">
        <v>1181</v>
      </c>
      <c r="D526" s="0" t="s">
        <v>988</v>
      </c>
      <c r="E526" s="0" t="s">
        <v>94</v>
      </c>
      <c r="F526" s="0" t="n">
        <v>3</v>
      </c>
      <c r="G526" s="0" t="n">
        <v>13.7</v>
      </c>
      <c r="H526" s="0" t="n">
        <v>0.58</v>
      </c>
      <c r="I526" s="10" t="n">
        <v>0.244</v>
      </c>
      <c r="J526" s="0" t="n">
        <v>0.89</v>
      </c>
      <c r="K526" s="13" t="n">
        <f aca="false">IF(H526&lt;&gt;"",H526,IFERROR(G526/INDEX(Players!$M$2:$M$124,MATCH(B526,Players!$A$2:$A$124,0)),""))</f>
        <v>0.58</v>
      </c>
    </row>
    <row r="527" customFormat="false" ht="15" hidden="false" customHeight="false" outlineLevel="0" collapsed="false">
      <c r="A527" s="0" t="s">
        <v>2305</v>
      </c>
      <c r="B527" s="0" t="s">
        <v>1481</v>
      </c>
      <c r="C527" s="0" t="s">
        <v>1181</v>
      </c>
      <c r="D527" s="0" t="s">
        <v>988</v>
      </c>
      <c r="E527" s="0" t="s">
        <v>131</v>
      </c>
      <c r="F527" s="0" t="n">
        <v>2</v>
      </c>
      <c r="G527" s="0" t="n">
        <v>11</v>
      </c>
      <c r="H527" s="0" t="n">
        <v>0.54</v>
      </c>
      <c r="I527" s="10" t="n">
        <v>0.318</v>
      </c>
      <c r="J527" s="0" t="n">
        <v>0.79</v>
      </c>
      <c r="K527" s="13" t="n">
        <f aca="false">IF(H527&lt;&gt;"",H527,IFERROR(G527/INDEX(Players!$M$2:$M$124,MATCH(B527,Players!$A$2:$A$124,0)),""))</f>
        <v>0.54</v>
      </c>
    </row>
    <row r="528" customFormat="false" ht="15" hidden="false" customHeight="false" outlineLevel="0" collapsed="false">
      <c r="A528" s="0" t="s">
        <v>2306</v>
      </c>
      <c r="B528" s="0" t="s">
        <v>1481</v>
      </c>
      <c r="C528" s="0" t="s">
        <v>1181</v>
      </c>
      <c r="D528" s="0" t="s">
        <v>988</v>
      </c>
      <c r="E528" s="0" t="s">
        <v>80</v>
      </c>
      <c r="F528" s="0" t="n">
        <v>1</v>
      </c>
      <c r="G528" s="0" t="n">
        <v>9</v>
      </c>
      <c r="H528" s="0" t="n">
        <v>0.38</v>
      </c>
      <c r="I528" s="10" t="n">
        <v>0.222</v>
      </c>
      <c r="J528" s="0" t="n">
        <v>0.64</v>
      </c>
      <c r="K528" s="13" t="n">
        <f aca="false">IF(H528&lt;&gt;"",H528,IFERROR(G528/INDEX(Players!$M$2:$M$124,MATCH(B528,Players!$A$2:$A$124,0)),""))</f>
        <v>0.38</v>
      </c>
    </row>
    <row r="529" customFormat="false" ht="15" hidden="false" customHeight="false" outlineLevel="0" collapsed="false">
      <c r="A529" s="0" t="s">
        <v>2307</v>
      </c>
      <c r="B529" s="0" t="s">
        <v>1533</v>
      </c>
      <c r="C529" s="0" t="s">
        <v>1304</v>
      </c>
      <c r="D529" s="0" t="s">
        <v>988</v>
      </c>
      <c r="E529" s="0" t="s">
        <v>150</v>
      </c>
      <c r="F529" s="0" t="n">
        <v>9</v>
      </c>
      <c r="G529" s="0" t="n">
        <v>14.7</v>
      </c>
      <c r="H529" s="0" t="n">
        <v>0.67</v>
      </c>
      <c r="I529" s="10" t="n">
        <v>0.53</v>
      </c>
      <c r="J529" s="0" t="n">
        <v>1.04</v>
      </c>
      <c r="K529" s="13" t="n">
        <f aca="false">IF(H529&lt;&gt;"",H529,IFERROR(G529/INDEX(Players!$M$2:$M$124,MATCH(B529,Players!$A$2:$A$124,0)),""))</f>
        <v>0.67</v>
      </c>
    </row>
    <row r="530" customFormat="false" ht="15" hidden="false" customHeight="false" outlineLevel="0" collapsed="false">
      <c r="A530" s="0" t="s">
        <v>2308</v>
      </c>
      <c r="B530" s="0" t="s">
        <v>1533</v>
      </c>
      <c r="C530" s="0" t="s">
        <v>1304</v>
      </c>
      <c r="D530" s="0" t="s">
        <v>988</v>
      </c>
      <c r="E530" s="0" t="s">
        <v>131</v>
      </c>
      <c r="F530" s="0" t="n">
        <v>7</v>
      </c>
      <c r="G530" s="0" t="n">
        <v>17.6</v>
      </c>
      <c r="H530" s="0" t="n">
        <v>0.81</v>
      </c>
      <c r="I530" s="10" t="n">
        <v>0.618</v>
      </c>
      <c r="J530" s="0" t="n">
        <v>1.24</v>
      </c>
      <c r="K530" s="13" t="n">
        <f aca="false">IF(H530&lt;&gt;"",H530,IFERROR(G530/INDEX(Players!$M$2:$M$124,MATCH(B530,Players!$A$2:$A$124,0)),""))</f>
        <v>0.81</v>
      </c>
    </row>
    <row r="531" customFormat="false" ht="15" hidden="false" customHeight="false" outlineLevel="0" collapsed="false">
      <c r="A531" s="0" t="s">
        <v>2309</v>
      </c>
      <c r="B531" s="0" t="s">
        <v>1533</v>
      </c>
      <c r="C531" s="0" t="s">
        <v>1304</v>
      </c>
      <c r="D531" s="0" t="s">
        <v>988</v>
      </c>
      <c r="E531" s="0" t="s">
        <v>142</v>
      </c>
      <c r="F531" s="0" t="n">
        <v>6</v>
      </c>
      <c r="G531" s="0" t="n">
        <v>13.2</v>
      </c>
      <c r="H531" s="0" t="n">
        <v>0.63</v>
      </c>
      <c r="I531" s="10" t="n">
        <v>0.595</v>
      </c>
      <c r="J531" s="0" t="n">
        <v>0.98</v>
      </c>
      <c r="K531" s="13" t="n">
        <f aca="false">IF(H531&lt;&gt;"",H531,IFERROR(G531/INDEX(Players!$M$2:$M$124,MATCH(B531,Players!$A$2:$A$124,0)),""))</f>
        <v>0.63</v>
      </c>
    </row>
    <row r="532" customFormat="false" ht="15" hidden="false" customHeight="false" outlineLevel="0" collapsed="false">
      <c r="A532" s="0" t="s">
        <v>2310</v>
      </c>
      <c r="B532" s="0" t="s">
        <v>1533</v>
      </c>
      <c r="C532" s="0" t="s">
        <v>1304</v>
      </c>
      <c r="D532" s="0" t="s">
        <v>988</v>
      </c>
      <c r="E532" s="0" t="s">
        <v>80</v>
      </c>
      <c r="F532" s="0" t="n">
        <v>5</v>
      </c>
      <c r="G532" s="0" t="n">
        <v>14.2</v>
      </c>
      <c r="H532" s="0" t="n">
        <v>0.63</v>
      </c>
      <c r="I532" s="10" t="n">
        <v>0.493</v>
      </c>
      <c r="J532" s="0" t="n">
        <v>0.92</v>
      </c>
      <c r="K532" s="13" t="n">
        <f aca="false">IF(H532&lt;&gt;"",H532,IFERROR(G532/INDEX(Players!$M$2:$M$124,MATCH(B532,Players!$A$2:$A$124,0)),""))</f>
        <v>0.63</v>
      </c>
    </row>
    <row r="533" customFormat="false" ht="15" hidden="false" customHeight="false" outlineLevel="0" collapsed="false">
      <c r="A533" s="0" t="s">
        <v>2311</v>
      </c>
      <c r="B533" s="0" t="s">
        <v>1533</v>
      </c>
      <c r="C533" s="0" t="s">
        <v>1304</v>
      </c>
      <c r="D533" s="0" t="s">
        <v>988</v>
      </c>
      <c r="E533" s="0" t="s">
        <v>121</v>
      </c>
      <c r="F533" s="0" t="n">
        <v>5</v>
      </c>
      <c r="G533" s="0" t="n">
        <v>12.2</v>
      </c>
      <c r="H533" s="0" t="n">
        <v>0.54</v>
      </c>
      <c r="I533" s="10" t="n">
        <v>0.541</v>
      </c>
      <c r="J533" s="0" t="n">
        <v>0.78</v>
      </c>
      <c r="K533" s="13" t="n">
        <f aca="false">IF(H533&lt;&gt;"",H533,IFERROR(G533/INDEX(Players!$M$2:$M$124,MATCH(B533,Players!$A$2:$A$124,0)),""))</f>
        <v>0.54</v>
      </c>
    </row>
    <row r="534" customFormat="false" ht="15" hidden="false" customHeight="false" outlineLevel="0" collapsed="false">
      <c r="A534" s="0" t="s">
        <v>2312</v>
      </c>
      <c r="B534" s="0" t="s">
        <v>1533</v>
      </c>
      <c r="C534" s="0" t="s">
        <v>1304</v>
      </c>
      <c r="D534" s="0" t="s">
        <v>988</v>
      </c>
      <c r="E534" s="0" t="s">
        <v>94</v>
      </c>
      <c r="F534" s="0" t="n">
        <v>4</v>
      </c>
      <c r="G534" s="0" t="n">
        <v>12.3</v>
      </c>
      <c r="H534" s="0" t="n">
        <v>0.58</v>
      </c>
      <c r="I534" s="10" t="n">
        <v>0.714</v>
      </c>
      <c r="J534" s="0" t="n">
        <v>0.77</v>
      </c>
      <c r="K534" s="13" t="n">
        <f aca="false">IF(H534&lt;&gt;"",H534,IFERROR(G534/INDEX(Players!$M$2:$M$124,MATCH(B534,Players!$A$2:$A$124,0)),""))</f>
        <v>0.58</v>
      </c>
    </row>
    <row r="535" customFormat="false" ht="15" hidden="false" customHeight="false" outlineLevel="0" collapsed="false">
      <c r="A535" s="0" t="s">
        <v>2313</v>
      </c>
      <c r="B535" s="0" t="s">
        <v>1575</v>
      </c>
      <c r="C535" s="0" t="s">
        <v>1397</v>
      </c>
      <c r="D535" s="0" t="s">
        <v>988</v>
      </c>
      <c r="E535" s="0" t="s">
        <v>107</v>
      </c>
      <c r="F535" s="0" t="n">
        <v>12</v>
      </c>
      <c r="G535" s="0" t="n">
        <v>19.3</v>
      </c>
      <c r="H535" s="0" t="n">
        <v>0.81</v>
      </c>
      <c r="I535" s="10" t="n">
        <v>0.616</v>
      </c>
      <c r="J535" s="0" t="n">
        <v>1.42</v>
      </c>
      <c r="K535" s="13" t="n">
        <f aca="false">IF(H535&lt;&gt;"",H535,IFERROR(G535/INDEX(Players!$M$2:$M$124,MATCH(B535,Players!$A$2:$A$124,0)),""))</f>
        <v>0.81</v>
      </c>
    </row>
    <row r="536" customFormat="false" ht="15" hidden="false" customHeight="false" outlineLevel="0" collapsed="false">
      <c r="A536" s="0" t="s">
        <v>2314</v>
      </c>
      <c r="B536" s="0" t="s">
        <v>1575</v>
      </c>
      <c r="C536" s="0" t="s">
        <v>1397</v>
      </c>
      <c r="D536" s="0" t="s">
        <v>988</v>
      </c>
      <c r="E536" s="0" t="s">
        <v>150</v>
      </c>
      <c r="F536" s="0" t="n">
        <v>8</v>
      </c>
      <c r="G536" s="0" t="n">
        <v>12.4</v>
      </c>
      <c r="H536" s="0" t="n">
        <v>0.56</v>
      </c>
      <c r="I536" s="10" t="n">
        <v>0.545</v>
      </c>
      <c r="J536" s="0" t="n">
        <v>0.92</v>
      </c>
      <c r="K536" s="13" t="n">
        <f aca="false">IF(H536&lt;&gt;"",H536,IFERROR(G536/INDEX(Players!$M$2:$M$124,MATCH(B536,Players!$A$2:$A$124,0)),""))</f>
        <v>0.56</v>
      </c>
    </row>
    <row r="537" customFormat="false" ht="15" hidden="false" customHeight="false" outlineLevel="0" collapsed="false">
      <c r="A537" s="0" t="s">
        <v>2315</v>
      </c>
      <c r="B537" s="0" t="s">
        <v>1575</v>
      </c>
      <c r="C537" s="0" t="s">
        <v>1397</v>
      </c>
      <c r="D537" s="0" t="s">
        <v>988</v>
      </c>
      <c r="E537" s="0" t="s">
        <v>94</v>
      </c>
      <c r="F537" s="0" t="n">
        <v>7</v>
      </c>
      <c r="G537" s="0" t="n">
        <v>14.3</v>
      </c>
      <c r="H537" s="0" t="n">
        <v>0.6</v>
      </c>
      <c r="I537" s="10" t="n">
        <v>0.54</v>
      </c>
      <c r="J537" s="0" t="n">
        <v>0.9</v>
      </c>
      <c r="K537" s="13" t="n">
        <f aca="false">IF(H537&lt;&gt;"",H537,IFERROR(G537/INDEX(Players!$M$2:$M$124,MATCH(B537,Players!$A$2:$A$124,0)),""))</f>
        <v>0.6</v>
      </c>
    </row>
    <row r="538" customFormat="false" ht="15" hidden="false" customHeight="false" outlineLevel="0" collapsed="false">
      <c r="A538" s="0" t="s">
        <v>2316</v>
      </c>
      <c r="B538" s="0" t="s">
        <v>1575</v>
      </c>
      <c r="C538" s="0" t="s">
        <v>1397</v>
      </c>
      <c r="D538" s="0" t="s">
        <v>988</v>
      </c>
      <c r="E538" s="0" t="s">
        <v>142</v>
      </c>
      <c r="F538" s="0" t="n">
        <v>6</v>
      </c>
      <c r="G538" s="0" t="n">
        <v>12</v>
      </c>
      <c r="H538" s="0" t="n">
        <v>0.63</v>
      </c>
      <c r="I538" s="10" t="n">
        <v>0.569</v>
      </c>
      <c r="J538" s="0" t="n">
        <v>1.01</v>
      </c>
      <c r="K538" s="13" t="n">
        <f aca="false">IF(H538&lt;&gt;"",H538,IFERROR(G538/INDEX(Players!$M$2:$M$124,MATCH(B538,Players!$A$2:$A$124,0)),""))</f>
        <v>0.63</v>
      </c>
    </row>
    <row r="539" customFormat="false" ht="15" hidden="false" customHeight="false" outlineLevel="0" collapsed="false">
      <c r="A539" s="0" t="s">
        <v>2317</v>
      </c>
      <c r="B539" s="0" t="s">
        <v>1575</v>
      </c>
      <c r="C539" s="0" t="s">
        <v>1397</v>
      </c>
      <c r="D539" s="0" t="s">
        <v>988</v>
      </c>
      <c r="E539" s="0" t="s">
        <v>131</v>
      </c>
      <c r="F539" s="0" t="n">
        <v>5</v>
      </c>
      <c r="G539" s="0" t="n">
        <v>15.2</v>
      </c>
      <c r="H539" s="0" t="n">
        <v>0.71</v>
      </c>
      <c r="I539" s="10" t="n">
        <v>0.592</v>
      </c>
      <c r="J539" s="0" t="n">
        <v>1.13</v>
      </c>
      <c r="K539" s="13" t="n">
        <f aca="false">IF(H539&lt;&gt;"",H539,IFERROR(G539/INDEX(Players!$M$2:$M$124,MATCH(B539,Players!$A$2:$A$124,0)),""))</f>
        <v>0.71</v>
      </c>
    </row>
    <row r="540" customFormat="false" ht="15" hidden="false" customHeight="false" outlineLevel="0" collapsed="false">
      <c r="A540" s="0" t="s">
        <v>2318</v>
      </c>
      <c r="B540" s="0" t="s">
        <v>1575</v>
      </c>
      <c r="C540" s="0" t="s">
        <v>1397</v>
      </c>
      <c r="D540" s="0" t="s">
        <v>988</v>
      </c>
      <c r="E540" s="0" t="s">
        <v>80</v>
      </c>
      <c r="F540" s="0" t="n">
        <v>1</v>
      </c>
      <c r="G540" s="0" t="n">
        <v>18</v>
      </c>
      <c r="H540" s="0" t="n">
        <v>0.62</v>
      </c>
      <c r="I540" s="10" t="n">
        <v>0.611</v>
      </c>
      <c r="J540" s="0" t="n">
        <v>0.82</v>
      </c>
      <c r="K540" s="13" t="n">
        <f aca="false">IF(H540&lt;&gt;"",H540,IFERROR(G540/INDEX(Players!$M$2:$M$124,MATCH(B540,Players!$A$2:$A$124,0)),""))</f>
        <v>0.62</v>
      </c>
    </row>
    <row r="541" customFormat="false" ht="15" hidden="false" customHeight="false" outlineLevel="0" collapsed="false">
      <c r="A541" s="0" t="s">
        <v>2319</v>
      </c>
      <c r="B541" s="0" t="s">
        <v>1489</v>
      </c>
      <c r="C541" s="0" t="s">
        <v>1202</v>
      </c>
      <c r="D541" s="0" t="s">
        <v>988</v>
      </c>
      <c r="E541" s="0" t="s">
        <v>131</v>
      </c>
      <c r="F541" s="0" t="n">
        <v>8</v>
      </c>
      <c r="G541" s="0" t="n">
        <v>14.9</v>
      </c>
      <c r="H541" s="0" t="n">
        <v>0.67</v>
      </c>
      <c r="I541" s="10" t="n">
        <v>0.471</v>
      </c>
      <c r="J541" s="0" t="n">
        <v>1.02</v>
      </c>
      <c r="K541" s="13" t="n">
        <f aca="false">IF(H541&lt;&gt;"",H541,IFERROR(G541/INDEX(Players!$M$2:$M$124,MATCH(B541,Players!$A$2:$A$124,0)),""))</f>
        <v>0.67</v>
      </c>
    </row>
    <row r="542" customFormat="false" ht="15" hidden="false" customHeight="false" outlineLevel="0" collapsed="false">
      <c r="A542" s="0" t="s">
        <v>2320</v>
      </c>
      <c r="B542" s="0" t="s">
        <v>1489</v>
      </c>
      <c r="C542" s="0" t="s">
        <v>1202</v>
      </c>
      <c r="D542" s="0" t="s">
        <v>988</v>
      </c>
      <c r="E542" s="0" t="s">
        <v>121</v>
      </c>
      <c r="F542" s="0" t="n">
        <v>8</v>
      </c>
      <c r="G542" s="0" t="n">
        <v>17</v>
      </c>
      <c r="H542" s="0" t="n">
        <v>0.66</v>
      </c>
      <c r="I542" s="10" t="n">
        <v>0.566</v>
      </c>
      <c r="J542" s="0" t="n">
        <v>0.91</v>
      </c>
      <c r="K542" s="13" t="n">
        <f aca="false">IF(H542&lt;&gt;"",H542,IFERROR(G542/INDEX(Players!$M$2:$M$124,MATCH(B542,Players!$A$2:$A$124,0)),""))</f>
        <v>0.66</v>
      </c>
    </row>
    <row r="543" customFormat="false" ht="15" hidden="false" customHeight="false" outlineLevel="0" collapsed="false">
      <c r="A543" s="0" t="s">
        <v>2321</v>
      </c>
      <c r="B543" s="0" t="s">
        <v>1489</v>
      </c>
      <c r="C543" s="0" t="s">
        <v>1202</v>
      </c>
      <c r="D543" s="0" t="s">
        <v>988</v>
      </c>
      <c r="E543" s="0" t="s">
        <v>107</v>
      </c>
      <c r="F543" s="0" t="n">
        <v>7</v>
      </c>
      <c r="G543" s="0" t="n">
        <v>16.3</v>
      </c>
      <c r="H543" s="0" t="n">
        <v>0.69</v>
      </c>
      <c r="I543" s="10" t="n">
        <v>0.518</v>
      </c>
      <c r="J543" s="0" t="n">
        <v>1.03</v>
      </c>
      <c r="K543" s="13" t="n">
        <f aca="false">IF(H543&lt;&gt;"",H543,IFERROR(G543/INDEX(Players!$M$2:$M$124,MATCH(B543,Players!$A$2:$A$124,0)),""))</f>
        <v>0.69</v>
      </c>
    </row>
    <row r="544" customFormat="false" ht="15" hidden="false" customHeight="false" outlineLevel="0" collapsed="false">
      <c r="A544" s="0" t="s">
        <v>2322</v>
      </c>
      <c r="B544" s="0" t="s">
        <v>1489</v>
      </c>
      <c r="C544" s="0" t="s">
        <v>1202</v>
      </c>
      <c r="D544" s="0" t="s">
        <v>988</v>
      </c>
      <c r="E544" s="0" t="s">
        <v>150</v>
      </c>
      <c r="F544" s="0" t="n">
        <v>7</v>
      </c>
      <c r="G544" s="0" t="n">
        <v>15.4</v>
      </c>
      <c r="H544" s="0" t="n">
        <v>0.62</v>
      </c>
      <c r="I544" s="10" t="n">
        <v>0.546</v>
      </c>
      <c r="J544" s="0" t="n">
        <v>0.81</v>
      </c>
      <c r="K544" s="13" t="n">
        <f aca="false">IF(H544&lt;&gt;"",H544,IFERROR(G544/INDEX(Players!$M$2:$M$124,MATCH(B544,Players!$A$2:$A$124,0)),""))</f>
        <v>0.62</v>
      </c>
    </row>
    <row r="545" customFormat="false" ht="15" hidden="false" customHeight="false" outlineLevel="0" collapsed="false">
      <c r="A545" s="0" t="s">
        <v>2323</v>
      </c>
      <c r="B545" s="0" t="s">
        <v>1489</v>
      </c>
      <c r="C545" s="0" t="s">
        <v>1202</v>
      </c>
      <c r="D545" s="0" t="s">
        <v>988</v>
      </c>
      <c r="E545" s="0" t="s">
        <v>80</v>
      </c>
      <c r="F545" s="0" t="n">
        <v>4</v>
      </c>
      <c r="G545" s="0" t="n">
        <v>12.8</v>
      </c>
      <c r="H545" s="0" t="n">
        <v>0.63</v>
      </c>
      <c r="I545" s="10" t="n">
        <v>0.608</v>
      </c>
      <c r="J545" s="0" t="n">
        <v>0.94</v>
      </c>
      <c r="K545" s="13" t="n">
        <f aca="false">IF(H545&lt;&gt;"",H545,IFERROR(G545/INDEX(Players!$M$2:$M$124,MATCH(B545,Players!$A$2:$A$124,0)),""))</f>
        <v>0.63</v>
      </c>
    </row>
    <row r="546" customFormat="false" ht="15" hidden="false" customHeight="false" outlineLevel="0" collapsed="false">
      <c r="A546" s="0" t="s">
        <v>2324</v>
      </c>
      <c r="B546" s="0" t="s">
        <v>1489</v>
      </c>
      <c r="C546" s="0" t="s">
        <v>1202</v>
      </c>
      <c r="D546" s="0" t="s">
        <v>988</v>
      </c>
      <c r="E546" s="0" t="s">
        <v>94</v>
      </c>
      <c r="F546" s="0" t="n">
        <v>3</v>
      </c>
      <c r="G546" s="0" t="n">
        <v>18.7</v>
      </c>
      <c r="H546" s="0" t="n">
        <v>0.74</v>
      </c>
      <c r="I546" s="10" t="n">
        <v>0.446</v>
      </c>
      <c r="J546" s="0" t="n">
        <v>1.19</v>
      </c>
      <c r="K546" s="13" t="n">
        <f aca="false">IF(H546&lt;&gt;"",H546,IFERROR(G546/INDEX(Players!$M$2:$M$124,MATCH(B546,Players!$A$2:$A$124,0)),""))</f>
        <v>0.74</v>
      </c>
    </row>
    <row r="547" customFormat="false" ht="15" hidden="false" customHeight="false" outlineLevel="0" collapsed="false">
      <c r="A547" s="0" t="s">
        <v>2325</v>
      </c>
      <c r="B547" s="0" t="s">
        <v>1567</v>
      </c>
      <c r="C547" s="0" t="s">
        <v>1377</v>
      </c>
      <c r="D547" s="0" t="s">
        <v>988</v>
      </c>
      <c r="E547" s="0" t="s">
        <v>107</v>
      </c>
      <c r="F547" s="0" t="n">
        <v>9</v>
      </c>
      <c r="G547" s="0" t="n">
        <v>15.2</v>
      </c>
      <c r="H547" s="0" t="n">
        <v>0.74</v>
      </c>
      <c r="I547" s="10" t="n">
        <v>0.526</v>
      </c>
      <c r="J547" s="0" t="n">
        <v>1.32</v>
      </c>
      <c r="K547" s="13" t="n">
        <f aca="false">IF(H547&lt;&gt;"",H547,IFERROR(G547/INDEX(Players!$M$2:$M$124,MATCH(B547,Players!$A$2:$A$124,0)),""))</f>
        <v>0.74</v>
      </c>
    </row>
    <row r="548" customFormat="false" ht="15" hidden="false" customHeight="false" outlineLevel="0" collapsed="false">
      <c r="A548" s="0" t="s">
        <v>2326</v>
      </c>
      <c r="B548" s="0" t="s">
        <v>1567</v>
      </c>
      <c r="C548" s="0" t="s">
        <v>1377</v>
      </c>
      <c r="D548" s="0" t="s">
        <v>988</v>
      </c>
      <c r="E548" s="0" t="s">
        <v>150</v>
      </c>
      <c r="F548" s="0" t="n">
        <v>8</v>
      </c>
      <c r="G548" s="0" t="n">
        <v>15.8</v>
      </c>
      <c r="H548" s="0" t="n">
        <v>0.79</v>
      </c>
      <c r="I548" s="10" t="n">
        <v>0.563</v>
      </c>
      <c r="J548" s="0" t="n">
        <v>1.34</v>
      </c>
      <c r="K548" s="13" t="n">
        <f aca="false">IF(H548&lt;&gt;"",H548,IFERROR(G548/INDEX(Players!$M$2:$M$124,MATCH(B548,Players!$A$2:$A$124,0)),""))</f>
        <v>0.79</v>
      </c>
    </row>
    <row r="549" customFormat="false" ht="15" hidden="false" customHeight="false" outlineLevel="0" collapsed="false">
      <c r="A549" s="0" t="s">
        <v>2327</v>
      </c>
      <c r="B549" s="0" t="s">
        <v>1567</v>
      </c>
      <c r="C549" s="0" t="s">
        <v>1377</v>
      </c>
      <c r="D549" s="0" t="s">
        <v>988</v>
      </c>
      <c r="E549" s="0" t="s">
        <v>131</v>
      </c>
      <c r="F549" s="0" t="n">
        <v>7</v>
      </c>
      <c r="G549" s="0" t="n">
        <v>15</v>
      </c>
      <c r="H549" s="0" t="n">
        <v>0.73</v>
      </c>
      <c r="I549" s="10" t="n">
        <v>0.486</v>
      </c>
      <c r="J549" s="0" t="n">
        <v>1.28</v>
      </c>
      <c r="K549" s="13" t="n">
        <f aca="false">IF(H549&lt;&gt;"",H549,IFERROR(G549/INDEX(Players!$M$2:$M$124,MATCH(B549,Players!$A$2:$A$124,0)),""))</f>
        <v>0.73</v>
      </c>
    </row>
    <row r="550" customFormat="false" ht="15" hidden="false" customHeight="false" outlineLevel="0" collapsed="false">
      <c r="A550" s="0" t="s">
        <v>2328</v>
      </c>
      <c r="B550" s="0" t="s">
        <v>1567</v>
      </c>
      <c r="C550" s="0" t="s">
        <v>1377</v>
      </c>
      <c r="D550" s="0" t="s">
        <v>988</v>
      </c>
      <c r="E550" s="0" t="s">
        <v>94</v>
      </c>
      <c r="F550" s="0" t="n">
        <v>7</v>
      </c>
      <c r="G550" s="0" t="n">
        <v>14.4</v>
      </c>
      <c r="H550" s="0" t="n">
        <v>0.73</v>
      </c>
      <c r="I550" s="10" t="n">
        <v>0.554</v>
      </c>
      <c r="J550" s="0" t="n">
        <v>1.28</v>
      </c>
      <c r="K550" s="13" t="n">
        <f aca="false">IF(H550&lt;&gt;"",H550,IFERROR(G550/INDEX(Players!$M$2:$M$124,MATCH(B550,Players!$A$2:$A$124,0)),""))</f>
        <v>0.73</v>
      </c>
    </row>
    <row r="551" customFormat="false" ht="15" hidden="false" customHeight="false" outlineLevel="0" collapsed="false">
      <c r="A551" s="0" t="s">
        <v>2329</v>
      </c>
      <c r="B551" s="0" t="s">
        <v>1567</v>
      </c>
      <c r="C551" s="0" t="s">
        <v>1377</v>
      </c>
      <c r="D551" s="0" t="s">
        <v>988</v>
      </c>
      <c r="E551" s="0" t="s">
        <v>142</v>
      </c>
      <c r="F551" s="0" t="n">
        <v>4</v>
      </c>
      <c r="G551" s="0" t="n">
        <v>15.3</v>
      </c>
      <c r="H551" s="0" t="n">
        <v>0.73</v>
      </c>
      <c r="I551" s="10" t="n">
        <v>0.623</v>
      </c>
      <c r="J551" s="0" t="n">
        <v>1.52</v>
      </c>
      <c r="K551" s="13" t="n">
        <f aca="false">IF(H551&lt;&gt;"",H551,IFERROR(G551/INDEX(Players!$M$2:$M$124,MATCH(B551,Players!$A$2:$A$124,0)),""))</f>
        <v>0.73</v>
      </c>
    </row>
    <row r="552" customFormat="false" ht="15" hidden="false" customHeight="false" outlineLevel="0" collapsed="false">
      <c r="A552" s="0" t="s">
        <v>2330</v>
      </c>
      <c r="B552" s="0" t="s">
        <v>1567</v>
      </c>
      <c r="C552" s="0" t="s">
        <v>1377</v>
      </c>
      <c r="D552" s="0" t="s">
        <v>988</v>
      </c>
      <c r="E552" s="0" t="s">
        <v>80</v>
      </c>
      <c r="F552" s="0" t="n">
        <v>3</v>
      </c>
      <c r="G552" s="0" t="n">
        <v>10</v>
      </c>
      <c r="H552" s="0" t="n">
        <v>0.52</v>
      </c>
      <c r="I552" s="10" t="n">
        <v>0.4</v>
      </c>
      <c r="J552" s="0" t="n">
        <v>0.7</v>
      </c>
      <c r="K552" s="13" t="n">
        <f aca="false">IF(H552&lt;&gt;"",H552,IFERROR(G552/INDEX(Players!$M$2:$M$124,MATCH(B552,Players!$A$2:$A$124,0)),""))</f>
        <v>0.52</v>
      </c>
    </row>
    <row r="553" customFormat="false" ht="15" hidden="false" customHeight="false" outlineLevel="0" collapsed="false">
      <c r="A553" s="0" t="s">
        <v>2331</v>
      </c>
      <c r="B553" s="0" t="s">
        <v>1485</v>
      </c>
      <c r="C553" s="0" t="s">
        <v>1193</v>
      </c>
      <c r="D553" s="0" t="s">
        <v>988</v>
      </c>
      <c r="E553" s="0" t="s">
        <v>150</v>
      </c>
      <c r="F553" s="0" t="n">
        <v>12</v>
      </c>
      <c r="G553" s="0" t="n">
        <v>13.3</v>
      </c>
      <c r="H553" s="0" t="n">
        <v>0.62</v>
      </c>
      <c r="I553" s="10" t="n">
        <v>0.591</v>
      </c>
      <c r="J553" s="0" t="n">
        <v>1.01</v>
      </c>
      <c r="K553" s="13" t="n">
        <f aca="false">IF(H553&lt;&gt;"",H553,IFERROR(G553/INDEX(Players!$M$2:$M$124,MATCH(B553,Players!$A$2:$A$124,0)),""))</f>
        <v>0.62</v>
      </c>
    </row>
    <row r="554" customFormat="false" ht="15" hidden="false" customHeight="false" outlineLevel="0" collapsed="false">
      <c r="A554" s="0" t="s">
        <v>2332</v>
      </c>
      <c r="B554" s="0" t="s">
        <v>1485</v>
      </c>
      <c r="C554" s="0" t="s">
        <v>1193</v>
      </c>
      <c r="D554" s="0" t="s">
        <v>988</v>
      </c>
      <c r="E554" s="0" t="s">
        <v>94</v>
      </c>
      <c r="F554" s="0" t="n">
        <v>8</v>
      </c>
      <c r="G554" s="0" t="n">
        <v>15</v>
      </c>
      <c r="H554" s="0" t="n">
        <v>0.66</v>
      </c>
      <c r="I554" s="10" t="n">
        <v>0.617</v>
      </c>
      <c r="J554" s="0" t="n">
        <v>1.03</v>
      </c>
      <c r="K554" s="13" t="n">
        <f aca="false">IF(H554&lt;&gt;"",H554,IFERROR(G554/INDEX(Players!$M$2:$M$124,MATCH(B554,Players!$A$2:$A$124,0)),""))</f>
        <v>0.66</v>
      </c>
    </row>
    <row r="555" customFormat="false" ht="15" hidden="false" customHeight="false" outlineLevel="0" collapsed="false">
      <c r="A555" s="0" t="s">
        <v>2333</v>
      </c>
      <c r="B555" s="0" t="s">
        <v>1485</v>
      </c>
      <c r="C555" s="0" t="s">
        <v>1193</v>
      </c>
      <c r="D555" s="0" t="s">
        <v>988</v>
      </c>
      <c r="E555" s="0" t="s">
        <v>121</v>
      </c>
      <c r="F555" s="0" t="n">
        <v>6</v>
      </c>
      <c r="G555" s="0" t="n">
        <v>18.7</v>
      </c>
      <c r="H555" s="0" t="n">
        <v>0.76</v>
      </c>
      <c r="I555" s="10" t="n">
        <v>0.518</v>
      </c>
      <c r="J555" s="0" t="n">
        <v>1.22</v>
      </c>
      <c r="K555" s="13" t="n">
        <f aca="false">IF(H555&lt;&gt;"",H555,IFERROR(G555/INDEX(Players!$M$2:$M$124,MATCH(B555,Players!$A$2:$A$124,0)),""))</f>
        <v>0.76</v>
      </c>
    </row>
    <row r="556" customFormat="false" ht="15" hidden="false" customHeight="false" outlineLevel="0" collapsed="false">
      <c r="A556" s="0" t="s">
        <v>2334</v>
      </c>
      <c r="B556" s="0" t="s">
        <v>1485</v>
      </c>
      <c r="C556" s="0" t="s">
        <v>1193</v>
      </c>
      <c r="D556" s="0" t="s">
        <v>988</v>
      </c>
      <c r="E556" s="0" t="s">
        <v>107</v>
      </c>
      <c r="F556" s="0" t="n">
        <v>5</v>
      </c>
      <c r="G556" s="0" t="n">
        <v>15.8</v>
      </c>
      <c r="H556" s="0" t="n">
        <v>0.69</v>
      </c>
      <c r="I556" s="10" t="n">
        <v>0.62</v>
      </c>
      <c r="J556" s="0" t="n">
        <v>1.11</v>
      </c>
      <c r="K556" s="13" t="n">
        <f aca="false">IF(H556&lt;&gt;"",H556,IFERROR(G556/INDEX(Players!$M$2:$M$124,MATCH(B556,Players!$A$2:$A$124,0)),""))</f>
        <v>0.69</v>
      </c>
    </row>
    <row r="557" customFormat="false" ht="15" hidden="false" customHeight="false" outlineLevel="0" collapsed="false">
      <c r="A557" s="0" t="s">
        <v>2335</v>
      </c>
      <c r="B557" s="0" t="s">
        <v>1485</v>
      </c>
      <c r="C557" s="0" t="s">
        <v>1193</v>
      </c>
      <c r="D557" s="0" t="s">
        <v>988</v>
      </c>
      <c r="E557" s="0" t="s">
        <v>80</v>
      </c>
      <c r="F557" s="0" t="n">
        <v>4</v>
      </c>
      <c r="G557" s="0" t="n">
        <v>14</v>
      </c>
      <c r="H557" s="0" t="n">
        <v>0.6</v>
      </c>
      <c r="I557" s="10" t="n">
        <v>0.482</v>
      </c>
      <c r="J557" s="0" t="n">
        <v>0.97</v>
      </c>
      <c r="K557" s="13" t="n">
        <f aca="false">IF(H557&lt;&gt;"",H557,IFERROR(G557/INDEX(Players!$M$2:$M$124,MATCH(B557,Players!$A$2:$A$124,0)),""))</f>
        <v>0.6</v>
      </c>
    </row>
    <row r="558" customFormat="false" ht="15" hidden="false" customHeight="false" outlineLevel="0" collapsed="false">
      <c r="A558" s="0" t="s">
        <v>2336</v>
      </c>
      <c r="B558" s="0" t="s">
        <v>1485</v>
      </c>
      <c r="C558" s="0" t="s">
        <v>1193</v>
      </c>
      <c r="D558" s="0" t="s">
        <v>988</v>
      </c>
      <c r="E558" s="0" t="s">
        <v>131</v>
      </c>
      <c r="F558" s="0" t="n">
        <v>4</v>
      </c>
      <c r="G558" s="0" t="n">
        <v>17.5</v>
      </c>
      <c r="H558" s="0" t="n">
        <v>0.7</v>
      </c>
      <c r="I558" s="10" t="n">
        <v>0.586</v>
      </c>
      <c r="J558" s="0" t="n">
        <v>0.96</v>
      </c>
      <c r="K558" s="13" t="n">
        <f aca="false">IF(H558&lt;&gt;"",H558,IFERROR(G558/INDEX(Players!$M$2:$M$124,MATCH(B558,Players!$A$2:$A$124,0)),""))</f>
        <v>0.7</v>
      </c>
    </row>
    <row r="559" customFormat="false" ht="15" hidden="false" customHeight="false" outlineLevel="0" collapsed="false">
      <c r="A559" s="0" t="s">
        <v>2337</v>
      </c>
      <c r="B559" s="0" t="s">
        <v>1576</v>
      </c>
      <c r="C559" s="0" t="s">
        <v>1399</v>
      </c>
      <c r="D559" s="0" t="s">
        <v>988</v>
      </c>
      <c r="E559" s="0" t="s">
        <v>107</v>
      </c>
      <c r="F559" s="0" t="n">
        <v>11</v>
      </c>
      <c r="G559" s="0" t="n">
        <v>15.5</v>
      </c>
      <c r="H559" s="0" t="n">
        <v>0.66</v>
      </c>
      <c r="I559" s="10" t="n">
        <v>0.259</v>
      </c>
      <c r="J559" s="0" t="n">
        <v>1.12</v>
      </c>
      <c r="K559" s="13" t="n">
        <f aca="false">IF(H559&lt;&gt;"",H559,IFERROR(G559/INDEX(Players!$M$2:$M$124,MATCH(B559,Players!$A$2:$A$124,0)),""))</f>
        <v>0.66</v>
      </c>
    </row>
    <row r="560" customFormat="false" ht="15" hidden="false" customHeight="false" outlineLevel="0" collapsed="false">
      <c r="A560" s="0" t="s">
        <v>2338</v>
      </c>
      <c r="B560" s="0" t="s">
        <v>1576</v>
      </c>
      <c r="C560" s="0" t="s">
        <v>1399</v>
      </c>
      <c r="D560" s="0" t="s">
        <v>988</v>
      </c>
      <c r="E560" s="0" t="s">
        <v>131</v>
      </c>
      <c r="F560" s="0" t="n">
        <v>7</v>
      </c>
      <c r="G560" s="0" t="n">
        <v>14.3</v>
      </c>
      <c r="H560" s="0" t="n">
        <v>0.66</v>
      </c>
      <c r="I560" s="10" t="n">
        <v>0.32</v>
      </c>
      <c r="J560" s="0" t="n">
        <v>1.01</v>
      </c>
      <c r="K560" s="13" t="n">
        <f aca="false">IF(H560&lt;&gt;"",H560,IFERROR(G560/INDEX(Players!$M$2:$M$124,MATCH(B560,Players!$A$2:$A$124,0)),""))</f>
        <v>0.66</v>
      </c>
    </row>
    <row r="561" customFormat="false" ht="15" hidden="false" customHeight="false" outlineLevel="0" collapsed="false">
      <c r="A561" s="0" t="s">
        <v>2339</v>
      </c>
      <c r="B561" s="0" t="s">
        <v>1576</v>
      </c>
      <c r="C561" s="0" t="s">
        <v>1399</v>
      </c>
      <c r="D561" s="0" t="s">
        <v>988</v>
      </c>
      <c r="E561" s="0" t="s">
        <v>150</v>
      </c>
      <c r="F561" s="0" t="n">
        <v>6</v>
      </c>
      <c r="G561" s="0" t="n">
        <v>14.2</v>
      </c>
      <c r="H561" s="0" t="n">
        <v>0.65</v>
      </c>
      <c r="I561" s="10" t="n">
        <v>0.282</v>
      </c>
      <c r="J561" s="0" t="n">
        <v>1.04</v>
      </c>
      <c r="K561" s="13" t="n">
        <f aca="false">IF(H561&lt;&gt;"",H561,IFERROR(G561/INDEX(Players!$M$2:$M$124,MATCH(B561,Players!$A$2:$A$124,0)),""))</f>
        <v>0.65</v>
      </c>
    </row>
    <row r="562" customFormat="false" ht="15" hidden="false" customHeight="false" outlineLevel="0" collapsed="false">
      <c r="A562" s="0" t="s">
        <v>2340</v>
      </c>
      <c r="B562" s="0" t="s">
        <v>1576</v>
      </c>
      <c r="C562" s="0" t="s">
        <v>1399</v>
      </c>
      <c r="D562" s="0" t="s">
        <v>988</v>
      </c>
      <c r="E562" s="0" t="s">
        <v>94</v>
      </c>
      <c r="F562" s="0" t="n">
        <v>6</v>
      </c>
      <c r="G562" s="0" t="n">
        <v>13.5</v>
      </c>
      <c r="H562" s="0" t="n">
        <v>0.61</v>
      </c>
      <c r="I562" s="10" t="n">
        <v>0.21</v>
      </c>
      <c r="J562" s="0" t="n">
        <v>0.96</v>
      </c>
      <c r="K562" s="13" t="n">
        <f aca="false">IF(H562&lt;&gt;"",H562,IFERROR(G562/INDEX(Players!$M$2:$M$124,MATCH(B562,Players!$A$2:$A$124,0)),""))</f>
        <v>0.61</v>
      </c>
    </row>
    <row r="563" customFormat="false" ht="15" hidden="false" customHeight="false" outlineLevel="0" collapsed="false">
      <c r="A563" s="0" t="s">
        <v>2341</v>
      </c>
      <c r="B563" s="0" t="s">
        <v>1576</v>
      </c>
      <c r="C563" s="0" t="s">
        <v>1399</v>
      </c>
      <c r="D563" s="0" t="s">
        <v>988</v>
      </c>
      <c r="E563" s="0" t="s">
        <v>142</v>
      </c>
      <c r="F563" s="0" t="n">
        <v>5</v>
      </c>
      <c r="G563" s="0" t="n">
        <v>10.8</v>
      </c>
      <c r="H563" s="0" t="n">
        <v>0.6</v>
      </c>
      <c r="I563" s="10" t="n">
        <v>0.315</v>
      </c>
      <c r="J563" s="0" t="n">
        <v>0.86</v>
      </c>
      <c r="K563" s="13" t="n">
        <f aca="false">IF(H563&lt;&gt;"",H563,IFERROR(G563/INDEX(Players!$M$2:$M$124,MATCH(B563,Players!$A$2:$A$124,0)),""))</f>
        <v>0.6</v>
      </c>
    </row>
    <row r="564" customFormat="false" ht="15" hidden="false" customHeight="false" outlineLevel="0" collapsed="false">
      <c r="A564" s="0" t="s">
        <v>2342</v>
      </c>
      <c r="B564" s="0" t="s">
        <v>1576</v>
      </c>
      <c r="C564" s="0" t="s">
        <v>1399</v>
      </c>
      <c r="D564" s="0" t="s">
        <v>988</v>
      </c>
      <c r="E564" s="0" t="s">
        <v>80</v>
      </c>
      <c r="F564" s="0" t="n">
        <v>2</v>
      </c>
      <c r="G564" s="0" t="n">
        <v>15.5</v>
      </c>
      <c r="H564" s="0" t="n">
        <v>0.67</v>
      </c>
      <c r="I564" s="10" t="n">
        <v>0.226</v>
      </c>
      <c r="J564" s="0" t="n">
        <v>0.84</v>
      </c>
      <c r="K564" s="13" t="n">
        <f aca="false">IF(H564&lt;&gt;"",H564,IFERROR(G564/INDEX(Players!$M$2:$M$124,MATCH(B564,Players!$A$2:$A$124,0)),""))</f>
        <v>0.67</v>
      </c>
    </row>
    <row r="565" customFormat="false" ht="15" hidden="false" customHeight="false" outlineLevel="0" collapsed="false">
      <c r="A565" s="0" t="s">
        <v>2343</v>
      </c>
      <c r="B565" s="0" t="s">
        <v>1526</v>
      </c>
      <c r="C565" s="0" t="s">
        <v>1289</v>
      </c>
      <c r="D565" s="0" t="s">
        <v>988</v>
      </c>
      <c r="E565" s="0" t="s">
        <v>150</v>
      </c>
      <c r="F565" s="0" t="n">
        <v>7</v>
      </c>
      <c r="G565" s="0" t="n">
        <v>11.9</v>
      </c>
      <c r="H565" s="0" t="n">
        <v>0.49</v>
      </c>
      <c r="I565" s="10" t="n">
        <v>0.494</v>
      </c>
      <c r="J565" s="0" t="n">
        <v>0.72</v>
      </c>
      <c r="K565" s="13" t="n">
        <f aca="false">IF(H565&lt;&gt;"",H565,IFERROR(G565/INDEX(Players!$M$2:$M$124,MATCH(B565,Players!$A$2:$A$124,0)),""))</f>
        <v>0.49</v>
      </c>
    </row>
    <row r="566" customFormat="false" ht="15" hidden="false" customHeight="false" outlineLevel="0" collapsed="false">
      <c r="A566" s="0" t="s">
        <v>2344</v>
      </c>
      <c r="B566" s="0" t="s">
        <v>1526</v>
      </c>
      <c r="C566" s="0" t="s">
        <v>1289</v>
      </c>
      <c r="D566" s="0" t="s">
        <v>988</v>
      </c>
      <c r="E566" s="0" t="s">
        <v>107</v>
      </c>
      <c r="F566" s="0" t="n">
        <v>7</v>
      </c>
      <c r="G566" s="0" t="n">
        <v>9</v>
      </c>
      <c r="H566" s="0" t="n">
        <v>0.39</v>
      </c>
      <c r="I566" s="10" t="n">
        <v>0.492</v>
      </c>
      <c r="J566" s="0" t="n">
        <v>0.51</v>
      </c>
      <c r="K566" s="13" t="n">
        <f aca="false">IF(H566&lt;&gt;"",H566,IFERROR(G566/INDEX(Players!$M$2:$M$124,MATCH(B566,Players!$A$2:$A$124,0)),""))</f>
        <v>0.39</v>
      </c>
    </row>
    <row r="567" customFormat="false" ht="15" hidden="false" customHeight="false" outlineLevel="0" collapsed="false">
      <c r="A567" s="0" t="s">
        <v>2345</v>
      </c>
      <c r="B567" s="0" t="s">
        <v>1526</v>
      </c>
      <c r="C567" s="0" t="s">
        <v>1289</v>
      </c>
      <c r="D567" s="0" t="s">
        <v>988</v>
      </c>
      <c r="E567" s="0" t="s">
        <v>142</v>
      </c>
      <c r="F567" s="0" t="n">
        <v>5</v>
      </c>
      <c r="G567" s="0" t="n">
        <v>13</v>
      </c>
      <c r="H567" s="0" t="n">
        <v>0.6</v>
      </c>
      <c r="I567" s="10" t="n">
        <v>0.369</v>
      </c>
      <c r="J567" s="0" t="n">
        <v>0.9</v>
      </c>
      <c r="K567" s="13" t="n">
        <f aca="false">IF(H567&lt;&gt;"",H567,IFERROR(G567/INDEX(Players!$M$2:$M$124,MATCH(B567,Players!$A$2:$A$124,0)),""))</f>
        <v>0.6</v>
      </c>
    </row>
    <row r="568" customFormat="false" ht="15" hidden="false" customHeight="false" outlineLevel="0" collapsed="false">
      <c r="A568" s="0" t="s">
        <v>2346</v>
      </c>
      <c r="B568" s="0" t="s">
        <v>1526</v>
      </c>
      <c r="C568" s="0" t="s">
        <v>1289</v>
      </c>
      <c r="D568" s="0" t="s">
        <v>988</v>
      </c>
      <c r="E568" s="0" t="s">
        <v>121</v>
      </c>
      <c r="F568" s="0" t="n">
        <v>3</v>
      </c>
      <c r="G568" s="0" t="n">
        <v>11.3</v>
      </c>
      <c r="H568" s="0" t="n">
        <v>0.6</v>
      </c>
      <c r="I568" s="10" t="n">
        <v>0.559</v>
      </c>
      <c r="J568" s="0" t="n">
        <v>0.94</v>
      </c>
      <c r="K568" s="13" t="n">
        <f aca="false">IF(H568&lt;&gt;"",H568,IFERROR(G568/INDEX(Players!$M$2:$M$124,MATCH(B568,Players!$A$2:$A$124,0)),""))</f>
        <v>0.6</v>
      </c>
    </row>
    <row r="569" customFormat="false" ht="15" hidden="false" customHeight="false" outlineLevel="0" collapsed="false">
      <c r="A569" s="0" t="s">
        <v>2347</v>
      </c>
      <c r="B569" s="0" t="s">
        <v>1526</v>
      </c>
      <c r="C569" s="0" t="s">
        <v>1289</v>
      </c>
      <c r="D569" s="0" t="s">
        <v>988</v>
      </c>
      <c r="E569" s="0" t="s">
        <v>80</v>
      </c>
      <c r="F569" s="0" t="n">
        <v>2</v>
      </c>
      <c r="G569" s="0" t="n">
        <v>12</v>
      </c>
      <c r="H569" s="0" t="n">
        <v>0.55</v>
      </c>
      <c r="I569" s="10" t="n">
        <v>0.417</v>
      </c>
      <c r="J569" s="0" t="n">
        <v>0.75</v>
      </c>
      <c r="K569" s="13" t="n">
        <f aca="false">IF(H569&lt;&gt;"",H569,IFERROR(G569/INDEX(Players!$M$2:$M$124,MATCH(B569,Players!$A$2:$A$124,0)),""))</f>
        <v>0.55</v>
      </c>
    </row>
    <row r="570" customFormat="false" ht="15" hidden="false" customHeight="false" outlineLevel="0" collapsed="false">
      <c r="A570" s="0" t="s">
        <v>2348</v>
      </c>
      <c r="B570" s="0" t="s">
        <v>1526</v>
      </c>
      <c r="C570" s="0" t="s">
        <v>1289</v>
      </c>
      <c r="D570" s="0" t="s">
        <v>988</v>
      </c>
      <c r="E570" s="0" t="s">
        <v>94</v>
      </c>
      <c r="F570" s="0" t="n">
        <v>1</v>
      </c>
      <c r="G570" s="0" t="n">
        <v>9</v>
      </c>
      <c r="H570" s="0" t="n">
        <v>0.53</v>
      </c>
      <c r="I570" s="10" t="n">
        <v>0.444</v>
      </c>
      <c r="J570" s="0" t="n">
        <v>0.56</v>
      </c>
      <c r="K570" s="13" t="n">
        <f aca="false">IF(H570&lt;&gt;"",H570,IFERROR(G570/INDEX(Players!$M$2:$M$124,MATCH(B570,Players!$A$2:$A$124,0)),""))</f>
        <v>0.53</v>
      </c>
    </row>
    <row r="571" customFormat="false" ht="15" hidden="false" customHeight="false" outlineLevel="0" collapsed="false">
      <c r="A571" s="0" t="s">
        <v>2349</v>
      </c>
      <c r="B571" s="0" t="s">
        <v>1526</v>
      </c>
      <c r="C571" s="0" t="s">
        <v>1289</v>
      </c>
      <c r="D571" s="0" t="s">
        <v>988</v>
      </c>
      <c r="E571" s="0" t="s">
        <v>131</v>
      </c>
      <c r="F571" s="0" t="n">
        <v>1</v>
      </c>
      <c r="G571" s="0" t="n">
        <v>5</v>
      </c>
      <c r="H571" s="0" t="n">
        <v>0.36</v>
      </c>
      <c r="I571" s="10" t="n">
        <v>0.8</v>
      </c>
      <c r="J571" s="0" t="n">
        <v>0.36</v>
      </c>
      <c r="K571" s="13" t="n">
        <f aca="false">IF(H571&lt;&gt;"",H571,IFERROR(G571/INDEX(Players!$M$2:$M$124,MATCH(B571,Players!$A$2:$A$124,0)),""))</f>
        <v>0.36</v>
      </c>
    </row>
    <row r="572" customFormat="false" ht="15" hidden="false" customHeight="false" outlineLevel="0" collapsed="false">
      <c r="A572" s="0" t="s">
        <v>2350</v>
      </c>
      <c r="B572" s="0" t="s">
        <v>1526</v>
      </c>
      <c r="C572" s="0" t="s">
        <v>1289</v>
      </c>
      <c r="D572" s="0" t="s">
        <v>988</v>
      </c>
      <c r="E572" s="0" t="s">
        <v>1599</v>
      </c>
      <c r="F572" s="0" t="n">
        <v>1</v>
      </c>
      <c r="G572" s="0" t="n">
        <v>1</v>
      </c>
      <c r="H572" s="0" t="n">
        <v>0.07</v>
      </c>
      <c r="I572" s="10" t="n">
        <v>1</v>
      </c>
      <c r="J572" s="0" t="n">
        <v>0.07</v>
      </c>
      <c r="K572" s="13" t="n">
        <f aca="false">IF(H572&lt;&gt;"",H572,IFERROR(G572/INDEX(Players!$M$2:$M$124,MATCH(B572,Players!$A$2:$A$124,0)),""))</f>
        <v>0.07</v>
      </c>
    </row>
    <row r="573" customFormat="false" ht="15" hidden="false" customHeight="false" outlineLevel="0" collapsed="false">
      <c r="A573" s="0" t="s">
        <v>2351</v>
      </c>
      <c r="B573" s="0" t="s">
        <v>1551</v>
      </c>
      <c r="C573" s="0" t="s">
        <v>1340</v>
      </c>
      <c r="D573" s="0" t="s">
        <v>988</v>
      </c>
      <c r="E573" s="0" t="s">
        <v>107</v>
      </c>
      <c r="F573" s="0" t="n">
        <v>7</v>
      </c>
      <c r="G573" s="0" t="n">
        <v>14.9</v>
      </c>
      <c r="H573" s="0" t="n">
        <v>0.74</v>
      </c>
      <c r="I573" s="10" t="n">
        <v>0.385</v>
      </c>
      <c r="J573" s="0" t="n">
        <v>1.32</v>
      </c>
      <c r="K573" s="13" t="n">
        <f aca="false">IF(H573&lt;&gt;"",H573,IFERROR(G573/INDEX(Players!$M$2:$M$124,MATCH(B573,Players!$A$2:$A$124,0)),""))</f>
        <v>0.74</v>
      </c>
    </row>
    <row r="574" customFormat="false" ht="15" hidden="false" customHeight="false" outlineLevel="0" collapsed="false">
      <c r="A574" s="0" t="s">
        <v>2352</v>
      </c>
      <c r="B574" s="0" t="s">
        <v>1551</v>
      </c>
      <c r="C574" s="0" t="s">
        <v>1340</v>
      </c>
      <c r="D574" s="0" t="s">
        <v>988</v>
      </c>
      <c r="E574" s="0" t="s">
        <v>121</v>
      </c>
      <c r="F574" s="0" t="n">
        <v>7</v>
      </c>
      <c r="G574" s="0" t="n">
        <v>14.6</v>
      </c>
      <c r="H574" s="0" t="n">
        <v>0.66</v>
      </c>
      <c r="I574" s="10" t="n">
        <v>0.333</v>
      </c>
      <c r="J574" s="0" t="n">
        <v>1.23</v>
      </c>
      <c r="K574" s="13" t="n">
        <f aca="false">IF(H574&lt;&gt;"",H574,IFERROR(G574/INDEX(Players!$M$2:$M$124,MATCH(B574,Players!$A$2:$A$124,0)),""))</f>
        <v>0.66</v>
      </c>
    </row>
    <row r="575" customFormat="false" ht="15" hidden="false" customHeight="false" outlineLevel="0" collapsed="false">
      <c r="A575" s="0" t="s">
        <v>2353</v>
      </c>
      <c r="B575" s="0" t="s">
        <v>1551</v>
      </c>
      <c r="C575" s="0" t="s">
        <v>1340</v>
      </c>
      <c r="D575" s="0" t="s">
        <v>988</v>
      </c>
      <c r="E575" s="0" t="s">
        <v>150</v>
      </c>
      <c r="F575" s="0" t="n">
        <v>7</v>
      </c>
      <c r="G575" s="0" t="n">
        <v>16</v>
      </c>
      <c r="H575" s="0" t="n">
        <v>0.72</v>
      </c>
      <c r="I575" s="10" t="n">
        <v>0.348</v>
      </c>
      <c r="J575" s="0" t="n">
        <v>1.2</v>
      </c>
      <c r="K575" s="13" t="n">
        <f aca="false">IF(H575&lt;&gt;"",H575,IFERROR(G575/INDEX(Players!$M$2:$M$124,MATCH(B575,Players!$A$2:$A$124,0)),""))</f>
        <v>0.72</v>
      </c>
    </row>
    <row r="576" customFormat="false" ht="15" hidden="false" customHeight="false" outlineLevel="0" collapsed="false">
      <c r="A576" s="0" t="s">
        <v>2354</v>
      </c>
      <c r="B576" s="0" t="s">
        <v>1551</v>
      </c>
      <c r="C576" s="0" t="s">
        <v>1340</v>
      </c>
      <c r="D576" s="0" t="s">
        <v>988</v>
      </c>
      <c r="E576" s="0" t="s">
        <v>94</v>
      </c>
      <c r="F576" s="0" t="n">
        <v>6</v>
      </c>
      <c r="G576" s="0" t="n">
        <v>17.5</v>
      </c>
      <c r="H576" s="0" t="n">
        <v>0.78</v>
      </c>
      <c r="I576" s="10" t="n">
        <v>0.267</v>
      </c>
      <c r="J576" s="0" t="n">
        <v>1.52</v>
      </c>
      <c r="K576" s="13" t="n">
        <f aca="false">IF(H576&lt;&gt;"",H576,IFERROR(G576/INDEX(Players!$M$2:$M$124,MATCH(B576,Players!$A$2:$A$124,0)),""))</f>
        <v>0.78</v>
      </c>
    </row>
    <row r="577" customFormat="false" ht="15" hidden="false" customHeight="false" outlineLevel="0" collapsed="false">
      <c r="A577" s="0" t="s">
        <v>2355</v>
      </c>
      <c r="B577" s="0" t="s">
        <v>1551</v>
      </c>
      <c r="C577" s="0" t="s">
        <v>1340</v>
      </c>
      <c r="D577" s="0" t="s">
        <v>988</v>
      </c>
      <c r="E577" s="0" t="s">
        <v>131</v>
      </c>
      <c r="F577" s="0" t="n">
        <v>6</v>
      </c>
      <c r="G577" s="0" t="n">
        <v>13.7</v>
      </c>
      <c r="H577" s="0" t="n">
        <v>0.66</v>
      </c>
      <c r="I577" s="10" t="n">
        <v>0.402</v>
      </c>
      <c r="J577" s="0" t="n">
        <v>1.22</v>
      </c>
      <c r="K577" s="13" t="n">
        <f aca="false">IF(H577&lt;&gt;"",H577,IFERROR(G577/INDEX(Players!$M$2:$M$124,MATCH(B577,Players!$A$2:$A$124,0)),""))</f>
        <v>0.66</v>
      </c>
    </row>
    <row r="578" customFormat="false" ht="15" hidden="false" customHeight="false" outlineLevel="0" collapsed="false">
      <c r="A578" s="0" t="s">
        <v>2356</v>
      </c>
      <c r="B578" s="0" t="s">
        <v>1551</v>
      </c>
      <c r="C578" s="0" t="s">
        <v>1340</v>
      </c>
      <c r="D578" s="0" t="s">
        <v>988</v>
      </c>
      <c r="E578" s="0" t="s">
        <v>80</v>
      </c>
      <c r="F578" s="0" t="n">
        <v>5</v>
      </c>
      <c r="G578" s="0" t="n">
        <v>16.4</v>
      </c>
      <c r="H578" s="0" t="n">
        <v>0.77</v>
      </c>
      <c r="I578" s="10" t="n">
        <v>0.329</v>
      </c>
      <c r="J578" s="0" t="n">
        <v>1.34</v>
      </c>
      <c r="K578" s="13" t="n">
        <f aca="false">IF(H578&lt;&gt;"",H578,IFERROR(G578/INDEX(Players!$M$2:$M$124,MATCH(B578,Players!$A$2:$A$124,0)),""))</f>
        <v>0.77</v>
      </c>
    </row>
    <row r="579" customFormat="false" ht="15" hidden="false" customHeight="false" outlineLevel="0" collapsed="false">
      <c r="A579" s="0" t="s">
        <v>2357</v>
      </c>
      <c r="B579" s="0" t="s">
        <v>1527</v>
      </c>
      <c r="C579" s="0" t="s">
        <v>1291</v>
      </c>
      <c r="D579" s="0" t="s">
        <v>988</v>
      </c>
      <c r="E579" s="0" t="s">
        <v>121</v>
      </c>
      <c r="F579" s="0" t="n">
        <v>10</v>
      </c>
      <c r="G579" s="0" t="n">
        <v>18.7</v>
      </c>
      <c r="H579" s="0" t="n">
        <v>0.84</v>
      </c>
      <c r="I579" s="10" t="n">
        <v>0.294</v>
      </c>
      <c r="J579" s="0" t="n">
        <v>1.36</v>
      </c>
      <c r="K579" s="13" t="n">
        <f aca="false">IF(H579&lt;&gt;"",H579,IFERROR(G579/INDEX(Players!$M$2:$M$124,MATCH(B579,Players!$A$2:$A$124,0)),""))</f>
        <v>0.84</v>
      </c>
    </row>
    <row r="580" customFormat="false" ht="15" hidden="false" customHeight="false" outlineLevel="0" collapsed="false">
      <c r="A580" s="0" t="s">
        <v>2358</v>
      </c>
      <c r="B580" s="0" t="s">
        <v>1527</v>
      </c>
      <c r="C580" s="0" t="s">
        <v>1291</v>
      </c>
      <c r="D580" s="0" t="s">
        <v>988</v>
      </c>
      <c r="E580" s="0" t="s">
        <v>107</v>
      </c>
      <c r="F580" s="0" t="n">
        <v>6</v>
      </c>
      <c r="G580" s="0" t="n">
        <v>17.7</v>
      </c>
      <c r="H580" s="0" t="n">
        <v>0.69</v>
      </c>
      <c r="I580" s="10" t="n">
        <v>0.264</v>
      </c>
      <c r="J580" s="0" t="n">
        <v>1.03</v>
      </c>
      <c r="K580" s="13" t="n">
        <f aca="false">IF(H580&lt;&gt;"",H580,IFERROR(G580/INDEX(Players!$M$2:$M$124,MATCH(B580,Players!$A$2:$A$124,0)),""))</f>
        <v>0.69</v>
      </c>
    </row>
    <row r="581" customFormat="false" ht="15" hidden="false" customHeight="false" outlineLevel="0" collapsed="false">
      <c r="A581" s="0" t="s">
        <v>2359</v>
      </c>
      <c r="B581" s="0" t="s">
        <v>1527</v>
      </c>
      <c r="C581" s="0" t="s">
        <v>1291</v>
      </c>
      <c r="D581" s="0" t="s">
        <v>988</v>
      </c>
      <c r="E581" s="0" t="s">
        <v>150</v>
      </c>
      <c r="F581" s="0" t="n">
        <v>4</v>
      </c>
      <c r="G581" s="0" t="n">
        <v>23</v>
      </c>
      <c r="H581" s="0" t="n">
        <v>0.86</v>
      </c>
      <c r="I581" s="10" t="n">
        <v>0.391</v>
      </c>
      <c r="J581" s="0" t="n">
        <v>1.31</v>
      </c>
      <c r="K581" s="13" t="n">
        <f aca="false">IF(H581&lt;&gt;"",H581,IFERROR(G581/INDEX(Players!$M$2:$M$124,MATCH(B581,Players!$A$2:$A$124,0)),""))</f>
        <v>0.86</v>
      </c>
    </row>
    <row r="582" customFormat="false" ht="15" hidden="false" customHeight="false" outlineLevel="0" collapsed="false">
      <c r="A582" s="0" t="s">
        <v>2360</v>
      </c>
      <c r="B582" s="0" t="s">
        <v>1527</v>
      </c>
      <c r="C582" s="0" t="s">
        <v>1291</v>
      </c>
      <c r="D582" s="0" t="s">
        <v>988</v>
      </c>
      <c r="E582" s="0" t="s">
        <v>142</v>
      </c>
      <c r="F582" s="0" t="n">
        <v>3</v>
      </c>
      <c r="G582" s="0" t="n">
        <v>19.3</v>
      </c>
      <c r="H582" s="0" t="n">
        <v>0.85</v>
      </c>
      <c r="I582" s="10" t="n">
        <v>0.224</v>
      </c>
      <c r="J582" s="0" t="n">
        <v>1.45</v>
      </c>
      <c r="K582" s="13" t="n">
        <f aca="false">IF(H582&lt;&gt;"",H582,IFERROR(G582/INDEX(Players!$M$2:$M$124,MATCH(B582,Players!$A$2:$A$124,0)),""))</f>
        <v>0.85</v>
      </c>
    </row>
    <row r="583" customFormat="false" ht="15" hidden="false" customHeight="false" outlineLevel="0" collapsed="false">
      <c r="A583" s="0" t="s">
        <v>2361</v>
      </c>
      <c r="B583" s="0" t="s">
        <v>1527</v>
      </c>
      <c r="C583" s="0" t="s">
        <v>1291</v>
      </c>
      <c r="D583" s="0" t="s">
        <v>988</v>
      </c>
      <c r="E583" s="0" t="s">
        <v>80</v>
      </c>
      <c r="F583" s="0" t="n">
        <v>3</v>
      </c>
      <c r="G583" s="0" t="n">
        <v>12.3</v>
      </c>
      <c r="H583" s="0" t="n">
        <v>0.58</v>
      </c>
      <c r="I583" s="10" t="n">
        <v>0.27</v>
      </c>
      <c r="J583" s="0" t="n">
        <v>1.12</v>
      </c>
      <c r="K583" s="13" t="n">
        <f aca="false">IF(H583&lt;&gt;"",H583,IFERROR(G583/INDEX(Players!$M$2:$M$124,MATCH(B583,Players!$A$2:$A$124,0)),""))</f>
        <v>0.58</v>
      </c>
    </row>
    <row r="584" customFormat="false" ht="15" hidden="false" customHeight="false" outlineLevel="0" collapsed="false">
      <c r="A584" s="0" t="s">
        <v>2362</v>
      </c>
      <c r="B584" s="0" t="s">
        <v>1527</v>
      </c>
      <c r="C584" s="0" t="s">
        <v>1291</v>
      </c>
      <c r="D584" s="0" t="s">
        <v>988</v>
      </c>
      <c r="E584" s="0" t="s">
        <v>131</v>
      </c>
      <c r="F584" s="0" t="n">
        <v>2</v>
      </c>
      <c r="G584" s="0" t="n">
        <v>12</v>
      </c>
      <c r="H584" s="0" t="n">
        <v>0.69</v>
      </c>
      <c r="I584" s="10" t="n">
        <v>0.292</v>
      </c>
      <c r="J584" s="0" t="n">
        <v>1</v>
      </c>
      <c r="K584" s="13" t="n">
        <f aca="false">IF(H584&lt;&gt;"",H584,IFERROR(G584/INDEX(Players!$M$2:$M$124,MATCH(B584,Players!$A$2:$A$124,0)),""))</f>
        <v>0.69</v>
      </c>
    </row>
    <row r="585" customFormat="false" ht="15" hidden="false" customHeight="false" outlineLevel="0" collapsed="false">
      <c r="A585" s="0" t="s">
        <v>2363</v>
      </c>
      <c r="B585" s="0" t="s">
        <v>1464</v>
      </c>
      <c r="C585" s="0" t="s">
        <v>1135</v>
      </c>
      <c r="D585" s="0" t="s">
        <v>988</v>
      </c>
      <c r="E585" s="0" t="s">
        <v>150</v>
      </c>
      <c r="F585" s="0" t="n">
        <v>9</v>
      </c>
      <c r="G585" s="0" t="n">
        <v>16.6</v>
      </c>
      <c r="H585" s="0" t="n">
        <v>0.79</v>
      </c>
      <c r="I585" s="10" t="n">
        <v>0.362</v>
      </c>
      <c r="J585" s="0" t="n">
        <v>1.37</v>
      </c>
      <c r="K585" s="13" t="n">
        <f aca="false">IF(H585&lt;&gt;"",H585,IFERROR(G585/INDEX(Players!$M$2:$M$124,MATCH(B585,Players!$A$2:$A$124,0)),""))</f>
        <v>0.79</v>
      </c>
    </row>
    <row r="586" customFormat="false" ht="15" hidden="false" customHeight="false" outlineLevel="0" collapsed="false">
      <c r="A586" s="0" t="s">
        <v>2364</v>
      </c>
      <c r="B586" s="0" t="s">
        <v>1464</v>
      </c>
      <c r="C586" s="0" t="s">
        <v>1135</v>
      </c>
      <c r="D586" s="0" t="s">
        <v>988</v>
      </c>
      <c r="E586" s="0" t="s">
        <v>107</v>
      </c>
      <c r="F586" s="0" t="n">
        <v>8</v>
      </c>
      <c r="G586" s="0" t="n">
        <v>13.6</v>
      </c>
      <c r="H586" s="0" t="n">
        <v>0.66</v>
      </c>
      <c r="I586" s="10" t="n">
        <v>0.312</v>
      </c>
      <c r="J586" s="0" t="n">
        <v>1.14</v>
      </c>
      <c r="K586" s="13" t="n">
        <f aca="false">IF(H586&lt;&gt;"",H586,IFERROR(G586/INDEX(Players!$M$2:$M$124,MATCH(B586,Players!$A$2:$A$124,0)),""))</f>
        <v>0.66</v>
      </c>
    </row>
    <row r="587" customFormat="false" ht="15" hidden="false" customHeight="false" outlineLevel="0" collapsed="false">
      <c r="A587" s="0" t="s">
        <v>2365</v>
      </c>
      <c r="B587" s="0" t="s">
        <v>1464</v>
      </c>
      <c r="C587" s="0" t="s">
        <v>1135</v>
      </c>
      <c r="D587" s="0" t="s">
        <v>988</v>
      </c>
      <c r="E587" s="0" t="s">
        <v>131</v>
      </c>
      <c r="F587" s="0" t="n">
        <v>7</v>
      </c>
      <c r="G587" s="0" t="n">
        <v>11.4</v>
      </c>
      <c r="H587" s="0" t="n">
        <v>0.57</v>
      </c>
      <c r="I587" s="10" t="n">
        <v>0.325</v>
      </c>
      <c r="J587" s="0" t="n">
        <v>0.96</v>
      </c>
      <c r="K587" s="13" t="n">
        <f aca="false">IF(H587&lt;&gt;"",H587,IFERROR(G587/INDEX(Players!$M$2:$M$124,MATCH(B587,Players!$A$2:$A$124,0)),""))</f>
        <v>0.57</v>
      </c>
    </row>
    <row r="588" customFormat="false" ht="15" hidden="false" customHeight="false" outlineLevel="0" collapsed="false">
      <c r="A588" s="0" t="s">
        <v>2366</v>
      </c>
      <c r="B588" s="0" t="s">
        <v>1464</v>
      </c>
      <c r="C588" s="0" t="s">
        <v>1135</v>
      </c>
      <c r="D588" s="0" t="s">
        <v>988</v>
      </c>
      <c r="E588" s="0" t="s">
        <v>121</v>
      </c>
      <c r="F588" s="0" t="n">
        <v>6</v>
      </c>
      <c r="G588" s="0" t="n">
        <v>18</v>
      </c>
      <c r="H588" s="0" t="n">
        <v>0.71</v>
      </c>
      <c r="I588" s="10" t="n">
        <v>0.333</v>
      </c>
      <c r="J588" s="0" t="n">
        <v>1.26</v>
      </c>
      <c r="K588" s="13" t="n">
        <f aca="false">IF(H588&lt;&gt;"",H588,IFERROR(G588/INDEX(Players!$M$2:$M$124,MATCH(B588,Players!$A$2:$A$124,0)),""))</f>
        <v>0.71</v>
      </c>
    </row>
    <row r="589" customFormat="false" ht="15" hidden="false" customHeight="false" outlineLevel="0" collapsed="false">
      <c r="A589" s="0" t="s">
        <v>2367</v>
      </c>
      <c r="B589" s="0" t="s">
        <v>1464</v>
      </c>
      <c r="C589" s="0" t="s">
        <v>1135</v>
      </c>
      <c r="D589" s="0" t="s">
        <v>988</v>
      </c>
      <c r="E589" s="0" t="s">
        <v>142</v>
      </c>
      <c r="F589" s="0" t="n">
        <v>5</v>
      </c>
      <c r="G589" s="0" t="n">
        <v>14.8</v>
      </c>
      <c r="H589" s="0" t="n">
        <v>0.73</v>
      </c>
      <c r="I589" s="10" t="n">
        <v>0.459</v>
      </c>
      <c r="J589" s="0" t="n">
        <v>1.35</v>
      </c>
      <c r="K589" s="13" t="n">
        <f aca="false">IF(H589&lt;&gt;"",H589,IFERROR(G589/INDEX(Players!$M$2:$M$124,MATCH(B589,Players!$A$2:$A$124,0)),""))</f>
        <v>0.73</v>
      </c>
    </row>
    <row r="590" customFormat="false" ht="15" hidden="false" customHeight="false" outlineLevel="0" collapsed="false">
      <c r="A590" s="0" t="s">
        <v>2368</v>
      </c>
      <c r="B590" s="0" t="s">
        <v>1464</v>
      </c>
      <c r="C590" s="0" t="s">
        <v>1135</v>
      </c>
      <c r="D590" s="0" t="s">
        <v>988</v>
      </c>
      <c r="E590" s="0" t="s">
        <v>94</v>
      </c>
      <c r="F590" s="0" t="n">
        <v>1</v>
      </c>
      <c r="G590" s="0" t="n">
        <v>14</v>
      </c>
      <c r="H590" s="0" t="n">
        <v>0.64</v>
      </c>
      <c r="I590" s="10" t="n">
        <v>0.429</v>
      </c>
      <c r="J590" s="0" t="n">
        <v>1</v>
      </c>
      <c r="K590" s="13" t="n">
        <f aca="false">IF(H590&lt;&gt;"",H590,IFERROR(G590/INDEX(Players!$M$2:$M$124,MATCH(B590,Players!$A$2:$A$124,0)),""))</f>
        <v>0.64</v>
      </c>
    </row>
    <row r="591" customFormat="false" ht="15" hidden="false" customHeight="false" outlineLevel="0" collapsed="false">
      <c r="A591" s="0" t="s">
        <v>2369</v>
      </c>
      <c r="B591" s="0" t="s">
        <v>1545</v>
      </c>
      <c r="C591" s="0" t="s">
        <v>1328</v>
      </c>
      <c r="D591" s="0" t="s">
        <v>988</v>
      </c>
      <c r="E591" s="0" t="s">
        <v>150</v>
      </c>
      <c r="F591" s="0" t="n">
        <v>10</v>
      </c>
      <c r="G591" s="0" t="n">
        <v>16.5</v>
      </c>
      <c r="H591" s="0" t="n">
        <v>0.74</v>
      </c>
      <c r="I591" s="10" t="n">
        <v>0.6</v>
      </c>
      <c r="J591" s="0" t="n">
        <v>1.33</v>
      </c>
      <c r="K591" s="13" t="n">
        <f aca="false">IF(H591&lt;&gt;"",H591,IFERROR(G591/INDEX(Players!$M$2:$M$124,MATCH(B591,Players!$A$2:$A$124,0)),""))</f>
        <v>0.74</v>
      </c>
    </row>
    <row r="592" customFormat="false" ht="15" hidden="false" customHeight="false" outlineLevel="0" collapsed="false">
      <c r="A592" s="0" t="s">
        <v>2370</v>
      </c>
      <c r="B592" s="0" t="s">
        <v>1545</v>
      </c>
      <c r="C592" s="0" t="s">
        <v>1328</v>
      </c>
      <c r="D592" s="0" t="s">
        <v>988</v>
      </c>
      <c r="E592" s="0" t="s">
        <v>131</v>
      </c>
      <c r="F592" s="0" t="n">
        <v>7</v>
      </c>
      <c r="G592" s="0" t="n">
        <v>14.6</v>
      </c>
      <c r="H592" s="0" t="n">
        <v>0.7</v>
      </c>
      <c r="I592" s="10" t="n">
        <v>0.539</v>
      </c>
      <c r="J592" s="0" t="n">
        <v>1.26</v>
      </c>
      <c r="K592" s="13" t="n">
        <f aca="false">IF(H592&lt;&gt;"",H592,IFERROR(G592/INDEX(Players!$M$2:$M$124,MATCH(B592,Players!$A$2:$A$124,0)),""))</f>
        <v>0.7</v>
      </c>
    </row>
    <row r="593" customFormat="false" ht="15" hidden="false" customHeight="false" outlineLevel="0" collapsed="false">
      <c r="A593" s="0" t="s">
        <v>2371</v>
      </c>
      <c r="B593" s="0" t="s">
        <v>1545</v>
      </c>
      <c r="C593" s="0" t="s">
        <v>1328</v>
      </c>
      <c r="D593" s="0" t="s">
        <v>988</v>
      </c>
      <c r="E593" s="0" t="s">
        <v>142</v>
      </c>
      <c r="F593" s="0" t="n">
        <v>6</v>
      </c>
      <c r="G593" s="0" t="n">
        <v>13.7</v>
      </c>
      <c r="H593" s="0" t="n">
        <v>0.66</v>
      </c>
      <c r="I593" s="10" t="n">
        <v>0.585</v>
      </c>
      <c r="J593" s="0" t="n">
        <v>1.19</v>
      </c>
      <c r="K593" s="13" t="n">
        <f aca="false">IF(H593&lt;&gt;"",H593,IFERROR(G593/INDEX(Players!$M$2:$M$124,MATCH(B593,Players!$A$2:$A$124,0)),""))</f>
        <v>0.66</v>
      </c>
    </row>
    <row r="594" customFormat="false" ht="15" hidden="false" customHeight="false" outlineLevel="0" collapsed="false">
      <c r="A594" s="0" t="s">
        <v>2372</v>
      </c>
      <c r="B594" s="0" t="s">
        <v>1545</v>
      </c>
      <c r="C594" s="0" t="s">
        <v>1328</v>
      </c>
      <c r="D594" s="0" t="s">
        <v>988</v>
      </c>
      <c r="E594" s="0" t="s">
        <v>107</v>
      </c>
      <c r="F594" s="0" t="n">
        <v>6</v>
      </c>
      <c r="G594" s="0" t="n">
        <v>16.2</v>
      </c>
      <c r="H594" s="0" t="n">
        <v>0.72</v>
      </c>
      <c r="I594" s="10" t="n">
        <v>0.639</v>
      </c>
      <c r="J594" s="0" t="n">
        <v>1.17</v>
      </c>
      <c r="K594" s="13" t="n">
        <f aca="false">IF(H594&lt;&gt;"",H594,IFERROR(G594/INDEX(Players!$M$2:$M$124,MATCH(B594,Players!$A$2:$A$124,0)),""))</f>
        <v>0.72</v>
      </c>
    </row>
    <row r="595" customFormat="false" ht="15" hidden="false" customHeight="false" outlineLevel="0" collapsed="false">
      <c r="A595" s="0" t="s">
        <v>2373</v>
      </c>
      <c r="B595" s="0" t="s">
        <v>1545</v>
      </c>
      <c r="C595" s="0" t="s">
        <v>1328</v>
      </c>
      <c r="D595" s="0" t="s">
        <v>988</v>
      </c>
      <c r="E595" s="0" t="s">
        <v>80</v>
      </c>
      <c r="F595" s="0" t="n">
        <v>6</v>
      </c>
      <c r="G595" s="0" t="n">
        <v>11.8</v>
      </c>
      <c r="H595" s="0" t="n">
        <v>0.57</v>
      </c>
      <c r="I595" s="10" t="n">
        <v>0.577</v>
      </c>
      <c r="J595" s="0" t="n">
        <v>0.83</v>
      </c>
      <c r="K595" s="13" t="n">
        <f aca="false">IF(H595&lt;&gt;"",H595,IFERROR(G595/INDEX(Players!$M$2:$M$124,MATCH(B595,Players!$A$2:$A$124,0)),""))</f>
        <v>0.57</v>
      </c>
    </row>
    <row r="596" customFormat="false" ht="15" hidden="false" customHeight="false" outlineLevel="0" collapsed="false">
      <c r="A596" s="0" t="s">
        <v>2374</v>
      </c>
      <c r="B596" s="0" t="s">
        <v>1545</v>
      </c>
      <c r="C596" s="0" t="s">
        <v>1328</v>
      </c>
      <c r="D596" s="0" t="s">
        <v>988</v>
      </c>
      <c r="E596" s="0" t="s">
        <v>121</v>
      </c>
      <c r="F596" s="0" t="n">
        <v>4</v>
      </c>
      <c r="G596" s="0" t="n">
        <v>14.8</v>
      </c>
      <c r="H596" s="0" t="n">
        <v>0.73</v>
      </c>
      <c r="I596" s="10" t="n">
        <v>0.61</v>
      </c>
      <c r="J596" s="0" t="n">
        <v>1.34</v>
      </c>
      <c r="K596" s="13" t="n">
        <f aca="false">IF(H596&lt;&gt;"",H596,IFERROR(G596/INDEX(Players!$M$2:$M$124,MATCH(B596,Players!$A$2:$A$124,0)),""))</f>
        <v>0.73</v>
      </c>
    </row>
    <row r="597" customFormat="false" ht="15" hidden="false" customHeight="false" outlineLevel="0" collapsed="false">
      <c r="A597" s="0" t="s">
        <v>2375</v>
      </c>
      <c r="B597" s="0" t="s">
        <v>1469</v>
      </c>
      <c r="C597" s="0" t="s">
        <v>1145</v>
      </c>
      <c r="D597" s="0" t="s">
        <v>988</v>
      </c>
      <c r="E597" s="0" t="s">
        <v>80</v>
      </c>
      <c r="F597" s="0" t="n">
        <v>11</v>
      </c>
      <c r="G597" s="0" t="n">
        <v>12.5</v>
      </c>
      <c r="H597" s="0" t="n">
        <v>0.55</v>
      </c>
      <c r="I597" s="10" t="n">
        <v>0.5</v>
      </c>
      <c r="J597" s="0" t="n">
        <v>0.87</v>
      </c>
      <c r="K597" s="13" t="n">
        <f aca="false">IF(H597&lt;&gt;"",H597,IFERROR(G597/INDEX(Players!$M$2:$M$124,MATCH(B597,Players!$A$2:$A$124,0)),""))</f>
        <v>0.55</v>
      </c>
    </row>
    <row r="598" customFormat="false" ht="15" hidden="false" customHeight="false" outlineLevel="0" collapsed="false">
      <c r="A598" s="0" t="s">
        <v>2376</v>
      </c>
      <c r="B598" s="0" t="s">
        <v>1469</v>
      </c>
      <c r="C598" s="0" t="s">
        <v>1145</v>
      </c>
      <c r="D598" s="0" t="s">
        <v>988</v>
      </c>
      <c r="E598" s="0" t="s">
        <v>150</v>
      </c>
      <c r="F598" s="0" t="n">
        <v>7</v>
      </c>
      <c r="G598" s="0" t="n">
        <v>10.9</v>
      </c>
      <c r="H598" s="0" t="n">
        <v>0.49</v>
      </c>
      <c r="I598" s="10" t="n">
        <v>0.539</v>
      </c>
      <c r="J598" s="0" t="n">
        <v>0.79</v>
      </c>
      <c r="K598" s="13" t="n">
        <f aca="false">IF(H598&lt;&gt;"",H598,IFERROR(G598/INDEX(Players!$M$2:$M$124,MATCH(B598,Players!$A$2:$A$124,0)),""))</f>
        <v>0.49</v>
      </c>
    </row>
    <row r="599" customFormat="false" ht="15" hidden="false" customHeight="false" outlineLevel="0" collapsed="false">
      <c r="A599" s="0" t="s">
        <v>2377</v>
      </c>
      <c r="B599" s="0" t="s">
        <v>1469</v>
      </c>
      <c r="C599" s="0" t="s">
        <v>1145</v>
      </c>
      <c r="D599" s="0" t="s">
        <v>988</v>
      </c>
      <c r="E599" s="0" t="s">
        <v>131</v>
      </c>
      <c r="F599" s="0" t="n">
        <v>5</v>
      </c>
      <c r="G599" s="0" t="n">
        <v>12.4</v>
      </c>
      <c r="H599" s="0" t="n">
        <v>0.59</v>
      </c>
      <c r="I599" s="10" t="n">
        <v>0.548</v>
      </c>
      <c r="J599" s="0" t="n">
        <v>0.98</v>
      </c>
      <c r="K599" s="13" t="n">
        <f aca="false">IF(H599&lt;&gt;"",H599,IFERROR(G599/INDEX(Players!$M$2:$M$124,MATCH(B599,Players!$A$2:$A$124,0)),""))</f>
        <v>0.59</v>
      </c>
    </row>
    <row r="600" customFormat="false" ht="15" hidden="false" customHeight="false" outlineLevel="0" collapsed="false">
      <c r="A600" s="0" t="s">
        <v>2378</v>
      </c>
      <c r="B600" s="0" t="s">
        <v>1469</v>
      </c>
      <c r="C600" s="0" t="s">
        <v>1145</v>
      </c>
      <c r="D600" s="0" t="s">
        <v>988</v>
      </c>
      <c r="E600" s="0" t="s">
        <v>94</v>
      </c>
      <c r="F600" s="0" t="n">
        <v>3</v>
      </c>
      <c r="G600" s="0" t="n">
        <v>12.7</v>
      </c>
      <c r="H600" s="0" t="n">
        <v>0.59</v>
      </c>
      <c r="I600" s="10" t="n">
        <v>0.579</v>
      </c>
      <c r="J600" s="0" t="n">
        <v>0.97</v>
      </c>
      <c r="K600" s="13" t="n">
        <f aca="false">IF(H600&lt;&gt;"",H600,IFERROR(G600/INDEX(Players!$M$2:$M$124,MATCH(B600,Players!$A$2:$A$124,0)),""))</f>
        <v>0.59</v>
      </c>
    </row>
    <row r="601" customFormat="false" ht="15" hidden="false" customHeight="false" outlineLevel="0" collapsed="false">
      <c r="A601" s="0" t="s">
        <v>2379</v>
      </c>
      <c r="B601" s="0" t="s">
        <v>1469</v>
      </c>
      <c r="C601" s="0" t="s">
        <v>1145</v>
      </c>
      <c r="D601" s="0" t="s">
        <v>988</v>
      </c>
      <c r="E601" s="0" t="s">
        <v>142</v>
      </c>
      <c r="F601" s="0" t="n">
        <v>3</v>
      </c>
      <c r="G601" s="0" t="n">
        <v>11</v>
      </c>
      <c r="H601" s="0" t="n">
        <v>0.54</v>
      </c>
      <c r="I601" s="10" t="n">
        <v>0.576</v>
      </c>
      <c r="J601" s="0" t="n">
        <v>0.89</v>
      </c>
      <c r="K601" s="13" t="n">
        <f aca="false">IF(H601&lt;&gt;"",H601,IFERROR(G601/INDEX(Players!$M$2:$M$124,MATCH(B601,Players!$A$2:$A$124,0)),""))</f>
        <v>0.54</v>
      </c>
    </row>
    <row r="602" customFormat="false" ht="15" hidden="false" customHeight="false" outlineLevel="0" collapsed="false">
      <c r="A602" s="0" t="s">
        <v>2380</v>
      </c>
      <c r="B602" s="0" t="s">
        <v>1469</v>
      </c>
      <c r="C602" s="0" t="s">
        <v>1145</v>
      </c>
      <c r="D602" s="0" t="s">
        <v>988</v>
      </c>
      <c r="E602" s="0" t="s">
        <v>121</v>
      </c>
      <c r="F602" s="0" t="n">
        <v>2</v>
      </c>
      <c r="G602" s="0" t="n">
        <v>10</v>
      </c>
      <c r="H602" s="0" t="n">
        <v>0.48</v>
      </c>
      <c r="I602" s="10" t="n">
        <v>0.65</v>
      </c>
      <c r="J602" s="0" t="n">
        <v>0.67</v>
      </c>
      <c r="K602" s="13" t="n">
        <f aca="false">IF(H602&lt;&gt;"",H602,IFERROR(G602/INDEX(Players!$M$2:$M$124,MATCH(B602,Players!$A$2:$A$124,0)),""))</f>
        <v>0.48</v>
      </c>
    </row>
    <row r="603" customFormat="false" ht="15" hidden="false" customHeight="false" outlineLevel="0" collapsed="false">
      <c r="A603" s="0" t="s">
        <v>2381</v>
      </c>
      <c r="B603" s="0" t="s">
        <v>1515</v>
      </c>
      <c r="C603" s="0" t="s">
        <v>1266</v>
      </c>
      <c r="D603" s="0" t="s">
        <v>988</v>
      </c>
      <c r="E603" s="0" t="s">
        <v>107</v>
      </c>
      <c r="F603" s="0" t="n">
        <v>8</v>
      </c>
      <c r="G603" s="0" t="n">
        <v>12.1</v>
      </c>
      <c r="H603" s="0" t="n">
        <v>0.57</v>
      </c>
      <c r="I603" s="10" t="n">
        <v>0.32</v>
      </c>
      <c r="J603" s="0" t="n">
        <v>0.9</v>
      </c>
      <c r="K603" s="13" t="n">
        <f aca="false">IF(H603&lt;&gt;"",H603,IFERROR(G603/INDEX(Players!$M$2:$M$124,MATCH(B603,Players!$A$2:$A$124,0)),""))</f>
        <v>0.57</v>
      </c>
    </row>
    <row r="604" customFormat="false" ht="15" hidden="false" customHeight="false" outlineLevel="0" collapsed="false">
      <c r="A604" s="0" t="s">
        <v>2382</v>
      </c>
      <c r="B604" s="0" t="s">
        <v>1515</v>
      </c>
      <c r="C604" s="0" t="s">
        <v>1266</v>
      </c>
      <c r="D604" s="0" t="s">
        <v>988</v>
      </c>
      <c r="E604" s="0" t="s">
        <v>150</v>
      </c>
      <c r="F604" s="0" t="n">
        <v>7</v>
      </c>
      <c r="G604" s="0" t="n">
        <v>18.9</v>
      </c>
      <c r="H604" s="0" t="n">
        <v>0.68</v>
      </c>
      <c r="I604" s="10" t="n">
        <v>0.371</v>
      </c>
      <c r="J604" s="0" t="n">
        <v>1.27</v>
      </c>
      <c r="K604" s="13" t="n">
        <f aca="false">IF(H604&lt;&gt;"",H604,IFERROR(G604/INDEX(Players!$M$2:$M$124,MATCH(B604,Players!$A$2:$A$124,0)),""))</f>
        <v>0.68</v>
      </c>
    </row>
    <row r="605" customFormat="false" ht="15" hidden="false" customHeight="false" outlineLevel="0" collapsed="false">
      <c r="A605" s="0" t="s">
        <v>2383</v>
      </c>
      <c r="B605" s="0" t="s">
        <v>1515</v>
      </c>
      <c r="C605" s="0" t="s">
        <v>1266</v>
      </c>
      <c r="D605" s="0" t="s">
        <v>988</v>
      </c>
      <c r="E605" s="0" t="s">
        <v>121</v>
      </c>
      <c r="F605" s="0" t="n">
        <v>7</v>
      </c>
      <c r="G605" s="0" t="n">
        <v>15.4</v>
      </c>
      <c r="H605" s="0" t="n">
        <v>0.72</v>
      </c>
      <c r="I605" s="10" t="n">
        <v>0.37</v>
      </c>
      <c r="J605" s="0" t="n">
        <v>1.23</v>
      </c>
      <c r="K605" s="13" t="n">
        <f aca="false">IF(H605&lt;&gt;"",H605,IFERROR(G605/INDEX(Players!$M$2:$M$124,MATCH(B605,Players!$A$2:$A$124,0)),""))</f>
        <v>0.72</v>
      </c>
    </row>
    <row r="606" customFormat="false" ht="15" hidden="false" customHeight="false" outlineLevel="0" collapsed="false">
      <c r="A606" s="0" t="s">
        <v>2384</v>
      </c>
      <c r="B606" s="0" t="s">
        <v>1515</v>
      </c>
      <c r="C606" s="0" t="s">
        <v>1266</v>
      </c>
      <c r="D606" s="0" t="s">
        <v>988</v>
      </c>
      <c r="E606" s="0" t="s">
        <v>1599</v>
      </c>
      <c r="F606" s="0" t="n">
        <v>5</v>
      </c>
      <c r="G606" s="0" t="n">
        <v>13.6</v>
      </c>
      <c r="H606" s="0" t="n">
        <v>0.69</v>
      </c>
      <c r="I606" s="10" t="n">
        <v>0.368</v>
      </c>
      <c r="J606" s="0" t="n">
        <v>1.45</v>
      </c>
      <c r="K606" s="13" t="n">
        <f aca="false">IF(H606&lt;&gt;"",H606,IFERROR(G606/INDEX(Players!$M$2:$M$124,MATCH(B606,Players!$A$2:$A$124,0)),""))</f>
        <v>0.69</v>
      </c>
    </row>
    <row r="607" customFormat="false" ht="15" hidden="false" customHeight="false" outlineLevel="0" collapsed="false">
      <c r="A607" s="0" t="s">
        <v>2385</v>
      </c>
      <c r="B607" s="0" t="s">
        <v>1515</v>
      </c>
      <c r="C607" s="0" t="s">
        <v>1266</v>
      </c>
      <c r="D607" s="0" t="s">
        <v>988</v>
      </c>
      <c r="E607" s="0" t="s">
        <v>142</v>
      </c>
      <c r="F607" s="0" t="n">
        <v>4</v>
      </c>
      <c r="G607" s="0" t="n">
        <v>18.3</v>
      </c>
      <c r="H607" s="0" t="n">
        <v>0.71</v>
      </c>
      <c r="I607" s="10" t="n">
        <v>0.37</v>
      </c>
      <c r="J607" s="0" t="n">
        <v>1.12</v>
      </c>
      <c r="K607" s="13" t="n">
        <f aca="false">IF(H607&lt;&gt;"",H607,IFERROR(G607/INDEX(Players!$M$2:$M$124,MATCH(B607,Players!$A$2:$A$124,0)),""))</f>
        <v>0.71</v>
      </c>
    </row>
    <row r="608" customFormat="false" ht="15" hidden="false" customHeight="false" outlineLevel="0" collapsed="false">
      <c r="A608" s="0" t="s">
        <v>2386</v>
      </c>
      <c r="B608" s="0" t="s">
        <v>1515</v>
      </c>
      <c r="C608" s="0" t="s">
        <v>1266</v>
      </c>
      <c r="D608" s="0" t="s">
        <v>988</v>
      </c>
      <c r="E608" s="0" t="s">
        <v>94</v>
      </c>
      <c r="F608" s="0" t="n">
        <v>2</v>
      </c>
      <c r="G608" s="0" t="n">
        <v>14.5</v>
      </c>
      <c r="H608" s="0" t="n">
        <v>0.66</v>
      </c>
      <c r="I608" s="10" t="n">
        <v>0.207</v>
      </c>
      <c r="J608" s="0" t="n">
        <v>0.97</v>
      </c>
      <c r="K608" s="13" t="n">
        <f aca="false">IF(H608&lt;&gt;"",H608,IFERROR(G608/INDEX(Players!$M$2:$M$124,MATCH(B608,Players!$A$2:$A$124,0)),""))</f>
        <v>0.66</v>
      </c>
    </row>
    <row r="609" customFormat="false" ht="15" hidden="false" customHeight="false" outlineLevel="0" collapsed="false">
      <c r="A609" s="0" t="s">
        <v>2387</v>
      </c>
      <c r="B609" s="0" t="s">
        <v>1515</v>
      </c>
      <c r="C609" s="0" t="s">
        <v>1266</v>
      </c>
      <c r="D609" s="0" t="s">
        <v>988</v>
      </c>
      <c r="E609" s="0" t="s">
        <v>80</v>
      </c>
      <c r="F609" s="0" t="n">
        <v>1</v>
      </c>
      <c r="G609" s="0" t="n">
        <v>19</v>
      </c>
      <c r="H609" s="0" t="n">
        <v>0.86</v>
      </c>
      <c r="I609" s="10" t="n">
        <v>0.368</v>
      </c>
      <c r="J609" s="0" t="n">
        <v>2.11</v>
      </c>
      <c r="K609" s="13" t="n">
        <f aca="false">IF(H609&lt;&gt;"",H609,IFERROR(G609/INDEX(Players!$M$2:$M$124,MATCH(B609,Players!$A$2:$A$124,0)),""))</f>
        <v>0.86</v>
      </c>
    </row>
    <row r="610" customFormat="false" ht="15" hidden="false" customHeight="false" outlineLevel="0" collapsed="false">
      <c r="A610" s="0" t="s">
        <v>2388</v>
      </c>
      <c r="B610" s="0" t="s">
        <v>1490</v>
      </c>
      <c r="C610" s="0" t="s">
        <v>1204</v>
      </c>
      <c r="D610" s="0" t="s">
        <v>988</v>
      </c>
      <c r="E610" s="0" t="s">
        <v>121</v>
      </c>
      <c r="F610" s="0" t="n">
        <v>8</v>
      </c>
      <c r="G610" s="0" t="n">
        <v>20.1</v>
      </c>
      <c r="H610" s="0" t="n">
        <v>0.78</v>
      </c>
      <c r="I610" s="10" t="n">
        <v>0.615</v>
      </c>
      <c r="J610" s="0" t="n">
        <v>1.23</v>
      </c>
      <c r="K610" s="13" t="n">
        <f aca="false">IF(H610&lt;&gt;"",H610,IFERROR(G610/INDEX(Players!$M$2:$M$124,MATCH(B610,Players!$A$2:$A$124,0)),""))</f>
        <v>0.78</v>
      </c>
    </row>
    <row r="611" customFormat="false" ht="15" hidden="false" customHeight="false" outlineLevel="0" collapsed="false">
      <c r="A611" s="0" t="s">
        <v>2389</v>
      </c>
      <c r="B611" s="0" t="s">
        <v>1490</v>
      </c>
      <c r="C611" s="0" t="s">
        <v>1204</v>
      </c>
      <c r="D611" s="0" t="s">
        <v>988</v>
      </c>
      <c r="E611" s="0" t="s">
        <v>131</v>
      </c>
      <c r="F611" s="0" t="n">
        <v>8</v>
      </c>
      <c r="G611" s="0" t="n">
        <v>14.3</v>
      </c>
      <c r="H611" s="0" t="n">
        <v>0.64</v>
      </c>
      <c r="I611" s="10" t="n">
        <v>0.474</v>
      </c>
      <c r="J611" s="0" t="n">
        <v>1.02</v>
      </c>
      <c r="K611" s="13" t="n">
        <f aca="false">IF(H611&lt;&gt;"",H611,IFERROR(G611/INDEX(Players!$M$2:$M$124,MATCH(B611,Players!$A$2:$A$124,0)),""))</f>
        <v>0.64</v>
      </c>
    </row>
    <row r="612" customFormat="false" ht="15" hidden="false" customHeight="false" outlineLevel="0" collapsed="false">
      <c r="A612" s="0" t="s">
        <v>2390</v>
      </c>
      <c r="B612" s="0" t="s">
        <v>1490</v>
      </c>
      <c r="C612" s="0" t="s">
        <v>1204</v>
      </c>
      <c r="D612" s="0" t="s">
        <v>988</v>
      </c>
      <c r="E612" s="0" t="s">
        <v>150</v>
      </c>
      <c r="F612" s="0" t="n">
        <v>7</v>
      </c>
      <c r="G612" s="0" t="n">
        <v>18.3</v>
      </c>
      <c r="H612" s="0" t="n">
        <v>0.73</v>
      </c>
      <c r="I612" s="10" t="n">
        <v>0.469</v>
      </c>
      <c r="J612" s="0" t="n">
        <v>1.16</v>
      </c>
      <c r="K612" s="13" t="n">
        <f aca="false">IF(H612&lt;&gt;"",H612,IFERROR(G612/INDEX(Players!$M$2:$M$124,MATCH(B612,Players!$A$2:$A$124,0)),""))</f>
        <v>0.73</v>
      </c>
    </row>
    <row r="613" customFormat="false" ht="15" hidden="false" customHeight="false" outlineLevel="0" collapsed="false">
      <c r="A613" s="0" t="s">
        <v>2391</v>
      </c>
      <c r="B613" s="0" t="s">
        <v>1490</v>
      </c>
      <c r="C613" s="0" t="s">
        <v>1204</v>
      </c>
      <c r="D613" s="0" t="s">
        <v>988</v>
      </c>
      <c r="E613" s="0" t="s">
        <v>107</v>
      </c>
      <c r="F613" s="0" t="n">
        <v>7</v>
      </c>
      <c r="G613" s="0" t="n">
        <v>15.3</v>
      </c>
      <c r="H613" s="0" t="n">
        <v>0.64</v>
      </c>
      <c r="I613" s="10" t="n">
        <v>0.523</v>
      </c>
      <c r="J613" s="0" t="n">
        <v>0.97</v>
      </c>
      <c r="K613" s="13" t="n">
        <f aca="false">IF(H613&lt;&gt;"",H613,IFERROR(G613/INDEX(Players!$M$2:$M$124,MATCH(B613,Players!$A$2:$A$124,0)),""))</f>
        <v>0.64</v>
      </c>
    </row>
    <row r="614" customFormat="false" ht="15" hidden="false" customHeight="false" outlineLevel="0" collapsed="false">
      <c r="A614" s="0" t="s">
        <v>2392</v>
      </c>
      <c r="B614" s="0" t="s">
        <v>1490</v>
      </c>
      <c r="C614" s="0" t="s">
        <v>1204</v>
      </c>
      <c r="D614" s="0" t="s">
        <v>988</v>
      </c>
      <c r="E614" s="0" t="s">
        <v>80</v>
      </c>
      <c r="F614" s="0" t="n">
        <v>4</v>
      </c>
      <c r="G614" s="0" t="n">
        <v>17.8</v>
      </c>
      <c r="H614" s="0" t="n">
        <v>0.88</v>
      </c>
      <c r="I614" s="10" t="n">
        <v>0.62</v>
      </c>
      <c r="J614" s="0" t="n">
        <v>1.34</v>
      </c>
      <c r="K614" s="13" t="n">
        <f aca="false">IF(H614&lt;&gt;"",H614,IFERROR(G614/INDEX(Players!$M$2:$M$124,MATCH(B614,Players!$A$2:$A$124,0)),""))</f>
        <v>0.88</v>
      </c>
    </row>
    <row r="615" customFormat="false" ht="15" hidden="false" customHeight="false" outlineLevel="0" collapsed="false">
      <c r="A615" s="0" t="s">
        <v>2393</v>
      </c>
      <c r="B615" s="0" t="s">
        <v>1490</v>
      </c>
      <c r="C615" s="0" t="s">
        <v>1204</v>
      </c>
      <c r="D615" s="0" t="s">
        <v>988</v>
      </c>
      <c r="E615" s="0" t="s">
        <v>94</v>
      </c>
      <c r="F615" s="0" t="n">
        <v>3</v>
      </c>
      <c r="G615" s="0" t="n">
        <v>21.3</v>
      </c>
      <c r="H615" s="0" t="n">
        <v>0.84</v>
      </c>
      <c r="I615" s="10" t="n">
        <v>0.5</v>
      </c>
      <c r="J615" s="0" t="n">
        <v>1.49</v>
      </c>
      <c r="K615" s="13" t="n">
        <f aca="false">IF(H615&lt;&gt;"",H615,IFERROR(G615/INDEX(Players!$M$2:$M$124,MATCH(B615,Players!$A$2:$A$124,0)),""))</f>
        <v>0.84</v>
      </c>
    </row>
    <row r="616" customFormat="false" ht="15" hidden="false" customHeight="false" outlineLevel="0" collapsed="false">
      <c r="A616" s="0" t="s">
        <v>2394</v>
      </c>
      <c r="B616" s="0" t="s">
        <v>1523</v>
      </c>
      <c r="C616" s="0" t="s">
        <v>1283</v>
      </c>
      <c r="D616" s="0" t="s">
        <v>988</v>
      </c>
      <c r="E616" s="0" t="s">
        <v>150</v>
      </c>
      <c r="F616" s="0" t="n">
        <v>11</v>
      </c>
      <c r="G616" s="0" t="n">
        <v>16.3</v>
      </c>
      <c r="H616" s="0" t="n">
        <v>0.79</v>
      </c>
      <c r="I616" s="10" t="n">
        <v>0.547</v>
      </c>
      <c r="J616" s="0" t="n">
        <v>1.24</v>
      </c>
      <c r="K616" s="13" t="n">
        <f aca="false">IF(H616&lt;&gt;"",H616,IFERROR(G616/INDEX(Players!$M$2:$M$124,MATCH(B616,Players!$A$2:$A$124,0)),""))</f>
        <v>0.79</v>
      </c>
    </row>
    <row r="617" customFormat="false" ht="15" hidden="false" customHeight="false" outlineLevel="0" collapsed="false">
      <c r="A617" s="0" t="s">
        <v>2395</v>
      </c>
      <c r="B617" s="0" t="s">
        <v>1523</v>
      </c>
      <c r="C617" s="0" t="s">
        <v>1283</v>
      </c>
      <c r="D617" s="0" t="s">
        <v>988</v>
      </c>
      <c r="E617" s="0" t="s">
        <v>107</v>
      </c>
      <c r="F617" s="0" t="n">
        <v>6</v>
      </c>
      <c r="G617" s="0" t="n">
        <v>17</v>
      </c>
      <c r="H617" s="0" t="n">
        <v>0.76</v>
      </c>
      <c r="I617" s="10" t="n">
        <v>0.51</v>
      </c>
      <c r="J617" s="0" t="n">
        <v>1.17</v>
      </c>
      <c r="K617" s="13" t="n">
        <f aca="false">IF(H617&lt;&gt;"",H617,IFERROR(G617/INDEX(Players!$M$2:$M$124,MATCH(B617,Players!$A$2:$A$124,0)),""))</f>
        <v>0.76</v>
      </c>
    </row>
    <row r="618" customFormat="false" ht="15" hidden="false" customHeight="false" outlineLevel="0" collapsed="false">
      <c r="A618" s="0" t="s">
        <v>2396</v>
      </c>
      <c r="B618" s="0" t="s">
        <v>1523</v>
      </c>
      <c r="C618" s="0" t="s">
        <v>1283</v>
      </c>
      <c r="D618" s="0" t="s">
        <v>988</v>
      </c>
      <c r="E618" s="0" t="s">
        <v>94</v>
      </c>
      <c r="F618" s="0" t="n">
        <v>6</v>
      </c>
      <c r="G618" s="0" t="n">
        <v>16.5</v>
      </c>
      <c r="H618" s="0" t="n">
        <v>0.7</v>
      </c>
      <c r="I618" s="10" t="n">
        <v>0.515</v>
      </c>
      <c r="J618" s="0" t="n">
        <v>1.15</v>
      </c>
      <c r="K618" s="13" t="n">
        <f aca="false">IF(H618&lt;&gt;"",H618,IFERROR(G618/INDEX(Players!$M$2:$M$124,MATCH(B618,Players!$A$2:$A$124,0)),""))</f>
        <v>0.7</v>
      </c>
    </row>
    <row r="619" customFormat="false" ht="15" hidden="false" customHeight="false" outlineLevel="0" collapsed="false">
      <c r="A619" s="0" t="s">
        <v>2397</v>
      </c>
      <c r="B619" s="0" t="s">
        <v>1523</v>
      </c>
      <c r="C619" s="0" t="s">
        <v>1283</v>
      </c>
      <c r="D619" s="0" t="s">
        <v>988</v>
      </c>
      <c r="E619" s="0" t="s">
        <v>142</v>
      </c>
      <c r="F619" s="0" t="n">
        <v>6</v>
      </c>
      <c r="G619" s="0" t="n">
        <v>17.3</v>
      </c>
      <c r="H619" s="0" t="n">
        <v>0.71</v>
      </c>
      <c r="I619" s="10" t="n">
        <v>0.577</v>
      </c>
      <c r="J619" s="0" t="n">
        <v>1.11</v>
      </c>
      <c r="K619" s="13" t="n">
        <f aca="false">IF(H619&lt;&gt;"",H619,IFERROR(G619/INDEX(Players!$M$2:$M$124,MATCH(B619,Players!$A$2:$A$124,0)),""))</f>
        <v>0.71</v>
      </c>
    </row>
    <row r="620" customFormat="false" ht="15" hidden="false" customHeight="false" outlineLevel="0" collapsed="false">
      <c r="A620" s="0" t="s">
        <v>2398</v>
      </c>
      <c r="B620" s="0" t="s">
        <v>1523</v>
      </c>
      <c r="C620" s="0" t="s">
        <v>1283</v>
      </c>
      <c r="D620" s="0" t="s">
        <v>988</v>
      </c>
      <c r="E620" s="0" t="s">
        <v>80</v>
      </c>
      <c r="F620" s="0" t="n">
        <v>4</v>
      </c>
      <c r="G620" s="0" t="n">
        <v>13.3</v>
      </c>
      <c r="H620" s="0" t="n">
        <v>0.7</v>
      </c>
      <c r="I620" s="10" t="n">
        <v>0.472</v>
      </c>
      <c r="J620" s="0" t="n">
        <v>1.26</v>
      </c>
      <c r="K620" s="13" t="n">
        <f aca="false">IF(H620&lt;&gt;"",H620,IFERROR(G620/INDEX(Players!$M$2:$M$124,MATCH(B620,Players!$A$2:$A$124,0)),""))</f>
        <v>0.7</v>
      </c>
    </row>
    <row r="621" customFormat="false" ht="15" hidden="false" customHeight="false" outlineLevel="0" collapsed="false">
      <c r="A621" s="0" t="s">
        <v>2399</v>
      </c>
      <c r="B621" s="0" t="s">
        <v>1523</v>
      </c>
      <c r="C621" s="0" t="s">
        <v>1283</v>
      </c>
      <c r="D621" s="0" t="s">
        <v>988</v>
      </c>
      <c r="E621" s="0" t="s">
        <v>131</v>
      </c>
      <c r="F621" s="0" t="n">
        <v>3</v>
      </c>
      <c r="G621" s="0" t="n">
        <v>12.3</v>
      </c>
      <c r="H621" s="0" t="n">
        <v>0.51</v>
      </c>
      <c r="I621" s="10" t="n">
        <v>0.541</v>
      </c>
      <c r="J621" s="0" t="n">
        <v>0.71</v>
      </c>
      <c r="K621" s="13" t="n">
        <f aca="false">IF(H621&lt;&gt;"",H621,IFERROR(G621/INDEX(Players!$M$2:$M$124,MATCH(B621,Players!$A$2:$A$124,0)),""))</f>
        <v>0.51</v>
      </c>
    </row>
    <row r="622" customFormat="false" ht="15" hidden="false" customHeight="false" outlineLevel="0" collapsed="false">
      <c r="A622" s="0" t="s">
        <v>2400</v>
      </c>
      <c r="B622" s="0" t="s">
        <v>1523</v>
      </c>
      <c r="C622" s="0" t="s">
        <v>1283</v>
      </c>
      <c r="D622" s="0" t="s">
        <v>988</v>
      </c>
      <c r="E622" s="0" t="s">
        <v>121</v>
      </c>
      <c r="F622" s="0" t="n">
        <v>2</v>
      </c>
      <c r="G622" s="0" t="n">
        <v>13.5</v>
      </c>
      <c r="H622" s="0" t="n">
        <v>0.66</v>
      </c>
      <c r="I622" s="10" t="n">
        <v>0.556</v>
      </c>
      <c r="J622" s="0" t="n">
        <v>0.82</v>
      </c>
      <c r="K622" s="13" t="n">
        <f aca="false">IF(H622&lt;&gt;"",H622,IFERROR(G622/INDEX(Players!$M$2:$M$124,MATCH(B622,Players!$A$2:$A$124,0)),""))</f>
        <v>0.66</v>
      </c>
    </row>
    <row r="623" customFormat="false" ht="15" hidden="false" customHeight="false" outlineLevel="0" collapsed="false">
      <c r="A623" s="0" t="s">
        <v>2401</v>
      </c>
      <c r="B623" s="0" t="s">
        <v>1577</v>
      </c>
      <c r="C623" s="0" t="s">
        <v>1401</v>
      </c>
      <c r="D623" s="0" t="s">
        <v>988</v>
      </c>
      <c r="E623" s="0" t="s">
        <v>107</v>
      </c>
      <c r="F623" s="0" t="n">
        <v>9</v>
      </c>
      <c r="G623" s="0" t="n">
        <v>16</v>
      </c>
      <c r="H623" s="0" t="n">
        <v>0.68</v>
      </c>
      <c r="I623" s="10" t="n">
        <v>0.75</v>
      </c>
      <c r="J623" s="0" t="n">
        <v>1.13</v>
      </c>
      <c r="K623" s="13" t="n">
        <f aca="false">IF(H623&lt;&gt;"",H623,IFERROR(G623/INDEX(Players!$M$2:$M$124,MATCH(B623,Players!$A$2:$A$124,0)),""))</f>
        <v>0.68</v>
      </c>
    </row>
    <row r="624" customFormat="false" ht="15" hidden="false" customHeight="false" outlineLevel="0" collapsed="false">
      <c r="A624" s="0" t="s">
        <v>2402</v>
      </c>
      <c r="B624" s="0" t="s">
        <v>1577</v>
      </c>
      <c r="C624" s="0" t="s">
        <v>1401</v>
      </c>
      <c r="D624" s="0" t="s">
        <v>988</v>
      </c>
      <c r="E624" s="0" t="s">
        <v>150</v>
      </c>
      <c r="F624" s="0" t="n">
        <v>9</v>
      </c>
      <c r="G624" s="0" t="n">
        <v>12.4</v>
      </c>
      <c r="H624" s="0" t="n">
        <v>0.6</v>
      </c>
      <c r="I624" s="10" t="n">
        <v>0.589</v>
      </c>
      <c r="J624" s="0" t="n">
        <v>0.88</v>
      </c>
      <c r="K624" s="13" t="n">
        <f aca="false">IF(H624&lt;&gt;"",H624,IFERROR(G624/INDEX(Players!$M$2:$M$124,MATCH(B624,Players!$A$2:$A$124,0)),""))</f>
        <v>0.6</v>
      </c>
    </row>
    <row r="625" customFormat="false" ht="15" hidden="false" customHeight="false" outlineLevel="0" collapsed="false">
      <c r="A625" s="0" t="s">
        <v>2403</v>
      </c>
      <c r="B625" s="0" t="s">
        <v>1577</v>
      </c>
      <c r="C625" s="0" t="s">
        <v>1401</v>
      </c>
      <c r="D625" s="0" t="s">
        <v>988</v>
      </c>
      <c r="E625" s="0" t="s">
        <v>94</v>
      </c>
      <c r="F625" s="0" t="n">
        <v>7</v>
      </c>
      <c r="G625" s="0" t="n">
        <v>17.7</v>
      </c>
      <c r="H625" s="0" t="n">
        <v>0.74</v>
      </c>
      <c r="I625" s="10" t="n">
        <v>0.581</v>
      </c>
      <c r="J625" s="0" t="n">
        <v>1.11</v>
      </c>
      <c r="K625" s="13" t="n">
        <f aca="false">IF(H625&lt;&gt;"",H625,IFERROR(G625/INDEX(Players!$M$2:$M$124,MATCH(B625,Players!$A$2:$A$124,0)),""))</f>
        <v>0.74</v>
      </c>
    </row>
    <row r="626" customFormat="false" ht="15" hidden="false" customHeight="false" outlineLevel="0" collapsed="false">
      <c r="A626" s="0" t="s">
        <v>2404</v>
      </c>
      <c r="B626" s="0" t="s">
        <v>1577</v>
      </c>
      <c r="C626" s="0" t="s">
        <v>1401</v>
      </c>
      <c r="D626" s="0" t="s">
        <v>988</v>
      </c>
      <c r="E626" s="0" t="s">
        <v>131</v>
      </c>
      <c r="F626" s="0" t="n">
        <v>6</v>
      </c>
      <c r="G626" s="0" t="n">
        <v>12.8</v>
      </c>
      <c r="H626" s="0" t="n">
        <v>0.59</v>
      </c>
      <c r="I626" s="10" t="n">
        <v>0.675</v>
      </c>
      <c r="J626" s="0" t="n">
        <v>0.88</v>
      </c>
      <c r="K626" s="13" t="n">
        <f aca="false">IF(H626&lt;&gt;"",H626,IFERROR(G626/INDEX(Players!$M$2:$M$124,MATCH(B626,Players!$A$2:$A$124,0)),""))</f>
        <v>0.59</v>
      </c>
    </row>
    <row r="627" customFormat="false" ht="15" hidden="false" customHeight="false" outlineLevel="0" collapsed="false">
      <c r="A627" s="0" t="s">
        <v>2405</v>
      </c>
      <c r="B627" s="0" t="s">
        <v>1577</v>
      </c>
      <c r="C627" s="0" t="s">
        <v>1401</v>
      </c>
      <c r="D627" s="0" t="s">
        <v>988</v>
      </c>
      <c r="E627" s="0" t="s">
        <v>142</v>
      </c>
      <c r="F627" s="0" t="n">
        <v>5</v>
      </c>
      <c r="G627" s="0" t="n">
        <v>11.4</v>
      </c>
      <c r="H627" s="0" t="n">
        <v>0.59</v>
      </c>
      <c r="I627" s="10" t="n">
        <v>0.649</v>
      </c>
      <c r="J627" s="0" t="n">
        <v>0.78</v>
      </c>
      <c r="K627" s="13" t="n">
        <f aca="false">IF(H627&lt;&gt;"",H627,IFERROR(G627/INDEX(Players!$M$2:$M$124,MATCH(B627,Players!$A$2:$A$124,0)),""))</f>
        <v>0.59</v>
      </c>
    </row>
    <row r="628" customFormat="false" ht="15" hidden="false" customHeight="false" outlineLevel="0" collapsed="false">
      <c r="A628" s="0" t="s">
        <v>2406</v>
      </c>
      <c r="B628" s="0" t="s">
        <v>1577</v>
      </c>
      <c r="C628" s="0" t="s">
        <v>1401</v>
      </c>
      <c r="D628" s="0" t="s">
        <v>988</v>
      </c>
      <c r="E628" s="0" t="s">
        <v>80</v>
      </c>
      <c r="F628" s="0" t="n">
        <v>2</v>
      </c>
      <c r="G628" s="0" t="n">
        <v>13.5</v>
      </c>
      <c r="H628" s="0" t="n">
        <v>0.82</v>
      </c>
      <c r="I628" s="10" t="n">
        <v>0.667</v>
      </c>
      <c r="J628" s="0" t="n">
        <v>1.5</v>
      </c>
      <c r="K628" s="13" t="n">
        <f aca="false">IF(H628&lt;&gt;"",H628,IFERROR(G628/INDEX(Players!$M$2:$M$124,MATCH(B628,Players!$A$2:$A$124,0)),""))</f>
        <v>0.82</v>
      </c>
    </row>
    <row r="629" customFormat="false" ht="15" hidden="false" customHeight="false" outlineLevel="0" collapsed="false">
      <c r="A629" s="0" t="s">
        <v>2407</v>
      </c>
      <c r="B629" s="0" t="s">
        <v>1563</v>
      </c>
      <c r="C629" s="0" t="s">
        <v>1367</v>
      </c>
      <c r="D629" s="0" t="s">
        <v>988</v>
      </c>
      <c r="E629" s="0" t="s">
        <v>142</v>
      </c>
      <c r="F629" s="0" t="n">
        <v>9</v>
      </c>
      <c r="G629" s="0" t="n">
        <v>13</v>
      </c>
      <c r="H629" s="0" t="n">
        <v>0.65</v>
      </c>
      <c r="I629" s="10" t="n">
        <v>0.573</v>
      </c>
      <c r="J629" s="0" t="n">
        <v>0.98</v>
      </c>
      <c r="K629" s="13" t="n">
        <f aca="false">IF(H629&lt;&gt;"",H629,IFERROR(G629/INDEX(Players!$M$2:$M$124,MATCH(B629,Players!$A$2:$A$124,0)),""))</f>
        <v>0.65</v>
      </c>
    </row>
    <row r="630" customFormat="false" ht="15" hidden="false" customHeight="false" outlineLevel="0" collapsed="false">
      <c r="A630" s="0" t="s">
        <v>2408</v>
      </c>
      <c r="B630" s="0" t="s">
        <v>1563</v>
      </c>
      <c r="C630" s="0" t="s">
        <v>1367</v>
      </c>
      <c r="D630" s="0" t="s">
        <v>988</v>
      </c>
      <c r="E630" s="0" t="s">
        <v>150</v>
      </c>
      <c r="F630" s="0" t="n">
        <v>7</v>
      </c>
      <c r="G630" s="0" t="n">
        <v>9</v>
      </c>
      <c r="H630" s="0" t="n">
        <v>0.45</v>
      </c>
      <c r="I630" s="10" t="n">
        <v>0.73</v>
      </c>
      <c r="J630" s="0" t="n">
        <v>0.7</v>
      </c>
      <c r="K630" s="13" t="n">
        <f aca="false">IF(H630&lt;&gt;"",H630,IFERROR(G630/INDEX(Players!$M$2:$M$124,MATCH(B630,Players!$A$2:$A$124,0)),""))</f>
        <v>0.45</v>
      </c>
    </row>
    <row r="631" customFormat="false" ht="15" hidden="false" customHeight="false" outlineLevel="0" collapsed="false">
      <c r="A631" s="0" t="s">
        <v>2409</v>
      </c>
      <c r="B631" s="0" t="s">
        <v>1563</v>
      </c>
      <c r="C631" s="0" t="s">
        <v>1367</v>
      </c>
      <c r="D631" s="0" t="s">
        <v>988</v>
      </c>
      <c r="E631" s="0" t="s">
        <v>107</v>
      </c>
      <c r="F631" s="0" t="n">
        <v>6</v>
      </c>
      <c r="G631" s="0" t="n">
        <v>15.5</v>
      </c>
      <c r="H631" s="0" t="n">
        <v>0.66</v>
      </c>
      <c r="I631" s="10" t="n">
        <v>0.645</v>
      </c>
      <c r="J631" s="0" t="n">
        <v>1.18</v>
      </c>
      <c r="K631" s="13" t="n">
        <f aca="false">IF(H631&lt;&gt;"",H631,IFERROR(G631/INDEX(Players!$M$2:$M$124,MATCH(B631,Players!$A$2:$A$124,0)),""))</f>
        <v>0.66</v>
      </c>
    </row>
    <row r="632" customFormat="false" ht="15" hidden="false" customHeight="false" outlineLevel="0" collapsed="false">
      <c r="A632" s="0" t="s">
        <v>2410</v>
      </c>
      <c r="B632" s="0" t="s">
        <v>1563</v>
      </c>
      <c r="C632" s="0" t="s">
        <v>1367</v>
      </c>
      <c r="D632" s="0" t="s">
        <v>988</v>
      </c>
      <c r="E632" s="0" t="s">
        <v>121</v>
      </c>
      <c r="F632" s="0" t="n">
        <v>5</v>
      </c>
      <c r="G632" s="0" t="n">
        <v>12.4</v>
      </c>
      <c r="H632" s="0" t="n">
        <v>0.59</v>
      </c>
      <c r="I632" s="10" t="n">
        <v>0.661</v>
      </c>
      <c r="J632" s="0" t="n">
        <v>0.93</v>
      </c>
      <c r="K632" s="13" t="n">
        <f aca="false">IF(H632&lt;&gt;"",H632,IFERROR(G632/INDEX(Players!$M$2:$M$124,MATCH(B632,Players!$A$2:$A$124,0)),""))</f>
        <v>0.59</v>
      </c>
    </row>
    <row r="633" customFormat="false" ht="15" hidden="false" customHeight="false" outlineLevel="0" collapsed="false">
      <c r="A633" s="0" t="s">
        <v>2411</v>
      </c>
      <c r="B633" s="0" t="s">
        <v>1563</v>
      </c>
      <c r="C633" s="0" t="s">
        <v>1367</v>
      </c>
      <c r="D633" s="0" t="s">
        <v>988</v>
      </c>
      <c r="E633" s="0" t="s">
        <v>80</v>
      </c>
      <c r="F633" s="0" t="n">
        <v>4</v>
      </c>
      <c r="G633" s="0" t="n">
        <v>10.5</v>
      </c>
      <c r="H633" s="0" t="n">
        <v>0.5</v>
      </c>
      <c r="I633" s="10" t="n">
        <v>0.643</v>
      </c>
      <c r="J633" s="0" t="n">
        <v>0.78</v>
      </c>
      <c r="K633" s="13" t="n">
        <f aca="false">IF(H633&lt;&gt;"",H633,IFERROR(G633/INDEX(Players!$M$2:$M$124,MATCH(B633,Players!$A$2:$A$124,0)),""))</f>
        <v>0.5</v>
      </c>
    </row>
    <row r="634" customFormat="false" ht="15" hidden="false" customHeight="false" outlineLevel="0" collapsed="false">
      <c r="A634" s="0" t="s">
        <v>2412</v>
      </c>
      <c r="B634" s="0" t="s">
        <v>1563</v>
      </c>
      <c r="C634" s="0" t="s">
        <v>1367</v>
      </c>
      <c r="D634" s="0" t="s">
        <v>988</v>
      </c>
      <c r="E634" s="0" t="s">
        <v>131</v>
      </c>
      <c r="F634" s="0" t="n">
        <v>3</v>
      </c>
      <c r="G634" s="0" t="n">
        <v>9.7</v>
      </c>
      <c r="H634" s="0" t="n">
        <v>0.49</v>
      </c>
      <c r="I634" s="10" t="n">
        <v>0.586</v>
      </c>
      <c r="J634" s="0" t="n">
        <v>0.69</v>
      </c>
      <c r="K634" s="13" t="n">
        <f aca="false">IF(H634&lt;&gt;"",H634,IFERROR(G634/INDEX(Players!$M$2:$M$124,MATCH(B634,Players!$A$2:$A$124,0)),""))</f>
        <v>0.49</v>
      </c>
    </row>
    <row r="635" customFormat="false" ht="15" hidden="false" customHeight="false" outlineLevel="0" collapsed="false">
      <c r="A635" s="0" t="s">
        <v>2413</v>
      </c>
      <c r="B635" s="0" t="s">
        <v>1563</v>
      </c>
      <c r="C635" s="0" t="s">
        <v>1367</v>
      </c>
      <c r="D635" s="0" t="s">
        <v>988</v>
      </c>
      <c r="E635" s="0" t="s">
        <v>1599</v>
      </c>
      <c r="F635" s="0" t="n">
        <v>1</v>
      </c>
      <c r="G635" s="0" t="n">
        <v>9</v>
      </c>
      <c r="H635" s="0" t="n">
        <v>0.43</v>
      </c>
      <c r="I635" s="10" t="n">
        <v>0.556</v>
      </c>
      <c r="J635" s="0" t="n">
        <v>0.6</v>
      </c>
      <c r="K635" s="13" t="n">
        <f aca="false">IF(H635&lt;&gt;"",H635,IFERROR(G635/INDEX(Players!$M$2:$M$124,MATCH(B635,Players!$A$2:$A$124,0)),""))</f>
        <v>0.43</v>
      </c>
    </row>
    <row r="636" customFormat="false" ht="15" hidden="false" customHeight="false" outlineLevel="0" collapsed="false">
      <c r="A636" s="0" t="s">
        <v>2414</v>
      </c>
      <c r="B636" s="0" t="s">
        <v>1573</v>
      </c>
      <c r="C636" s="0" t="s">
        <v>1393</v>
      </c>
      <c r="D636" s="0" t="s">
        <v>988</v>
      </c>
      <c r="E636" s="0" t="s">
        <v>150</v>
      </c>
      <c r="F636" s="0" t="n">
        <v>10</v>
      </c>
      <c r="G636" s="0" t="n">
        <v>13.4</v>
      </c>
      <c r="H636" s="0" t="n">
        <v>0.63</v>
      </c>
      <c r="I636" s="10" t="n">
        <v>0.59</v>
      </c>
      <c r="J636" s="0" t="n">
        <v>0.98</v>
      </c>
      <c r="K636" s="13" t="n">
        <f aca="false">IF(H636&lt;&gt;"",H636,IFERROR(G636/INDEX(Players!$M$2:$M$124,MATCH(B636,Players!$A$2:$A$124,0)),""))</f>
        <v>0.63</v>
      </c>
    </row>
    <row r="637" customFormat="false" ht="15" hidden="false" customHeight="false" outlineLevel="0" collapsed="false">
      <c r="A637" s="0" t="s">
        <v>2415</v>
      </c>
      <c r="B637" s="0" t="s">
        <v>1573</v>
      </c>
      <c r="C637" s="0" t="s">
        <v>1393</v>
      </c>
      <c r="D637" s="0" t="s">
        <v>988</v>
      </c>
      <c r="E637" s="0" t="s">
        <v>142</v>
      </c>
      <c r="F637" s="0" t="n">
        <v>6</v>
      </c>
      <c r="G637" s="0" t="n">
        <v>18.2</v>
      </c>
      <c r="H637" s="0" t="n">
        <v>0.75</v>
      </c>
      <c r="I637" s="10" t="n">
        <v>0.587</v>
      </c>
      <c r="J637" s="0" t="n">
        <v>1.17</v>
      </c>
      <c r="K637" s="13" t="n">
        <f aca="false">IF(H637&lt;&gt;"",H637,IFERROR(G637/INDEX(Players!$M$2:$M$124,MATCH(B637,Players!$A$2:$A$124,0)),""))</f>
        <v>0.75</v>
      </c>
    </row>
    <row r="638" customFormat="false" ht="15" hidden="false" customHeight="false" outlineLevel="0" collapsed="false">
      <c r="A638" s="0" t="s">
        <v>2416</v>
      </c>
      <c r="B638" s="0" t="s">
        <v>1573</v>
      </c>
      <c r="C638" s="0" t="s">
        <v>1393</v>
      </c>
      <c r="D638" s="0" t="s">
        <v>988</v>
      </c>
      <c r="E638" s="0" t="s">
        <v>121</v>
      </c>
      <c r="F638" s="0" t="n">
        <v>5</v>
      </c>
      <c r="G638" s="0" t="n">
        <v>14.8</v>
      </c>
      <c r="H638" s="0" t="n">
        <v>0.7</v>
      </c>
      <c r="I638" s="10" t="n">
        <v>0.473</v>
      </c>
      <c r="J638" s="0" t="n">
        <v>1.01</v>
      </c>
      <c r="K638" s="13" t="n">
        <f aca="false">IF(H638&lt;&gt;"",H638,IFERROR(G638/INDEX(Players!$M$2:$M$124,MATCH(B638,Players!$A$2:$A$124,0)),""))</f>
        <v>0.7</v>
      </c>
    </row>
    <row r="639" customFormat="false" ht="15" hidden="false" customHeight="false" outlineLevel="0" collapsed="false">
      <c r="A639" s="0" t="s">
        <v>2417</v>
      </c>
      <c r="B639" s="0" t="s">
        <v>1573</v>
      </c>
      <c r="C639" s="0" t="s">
        <v>1393</v>
      </c>
      <c r="D639" s="0" t="s">
        <v>988</v>
      </c>
      <c r="E639" s="0" t="s">
        <v>107</v>
      </c>
      <c r="F639" s="0" t="n">
        <v>5</v>
      </c>
      <c r="G639" s="0" t="n">
        <v>13</v>
      </c>
      <c r="H639" s="0" t="n">
        <v>0.6</v>
      </c>
      <c r="I639" s="10" t="n">
        <v>0.615</v>
      </c>
      <c r="J639" s="0" t="n">
        <v>0.9</v>
      </c>
      <c r="K639" s="13" t="n">
        <f aca="false">IF(H639&lt;&gt;"",H639,IFERROR(G639/INDEX(Players!$M$2:$M$124,MATCH(B639,Players!$A$2:$A$124,0)),""))</f>
        <v>0.6</v>
      </c>
    </row>
    <row r="640" customFormat="false" ht="15" hidden="false" customHeight="false" outlineLevel="0" collapsed="false">
      <c r="A640" s="0" t="s">
        <v>2418</v>
      </c>
      <c r="B640" s="0" t="s">
        <v>1573</v>
      </c>
      <c r="C640" s="0" t="s">
        <v>1393</v>
      </c>
      <c r="D640" s="0" t="s">
        <v>988</v>
      </c>
      <c r="E640" s="0" t="s">
        <v>131</v>
      </c>
      <c r="F640" s="0" t="n">
        <v>4</v>
      </c>
      <c r="G640" s="0" t="n">
        <v>14.5</v>
      </c>
      <c r="H640" s="0" t="n">
        <v>0.67</v>
      </c>
      <c r="I640" s="10" t="n">
        <v>0.603</v>
      </c>
      <c r="J640" s="0" t="n">
        <v>0.91</v>
      </c>
      <c r="K640" s="13" t="n">
        <f aca="false">IF(H640&lt;&gt;"",H640,IFERROR(G640/INDEX(Players!$M$2:$M$124,MATCH(B640,Players!$A$2:$A$124,0)),""))</f>
        <v>0.67</v>
      </c>
    </row>
    <row r="641" customFormat="false" ht="15" hidden="false" customHeight="false" outlineLevel="0" collapsed="false">
      <c r="A641" s="0" t="s">
        <v>2419</v>
      </c>
      <c r="B641" s="0" t="s">
        <v>1573</v>
      </c>
      <c r="C641" s="0" t="s">
        <v>1393</v>
      </c>
      <c r="D641" s="0" t="s">
        <v>988</v>
      </c>
      <c r="E641" s="0" t="s">
        <v>80</v>
      </c>
      <c r="F641" s="0" t="n">
        <v>3</v>
      </c>
      <c r="G641" s="0" t="n">
        <v>11.7</v>
      </c>
      <c r="H641" s="0" t="n">
        <v>0.57</v>
      </c>
      <c r="I641" s="10" t="n">
        <v>0.743</v>
      </c>
      <c r="J641" s="0" t="n">
        <v>0.8</v>
      </c>
      <c r="K641" s="13" t="n">
        <f aca="false">IF(H641&lt;&gt;"",H641,IFERROR(G641/INDEX(Players!$M$2:$M$124,MATCH(B641,Players!$A$2:$A$124,0)),""))</f>
        <v>0.57</v>
      </c>
    </row>
    <row r="642" customFormat="false" ht="15" hidden="false" customHeight="false" outlineLevel="0" collapsed="false">
      <c r="A642" s="0" t="s">
        <v>2420</v>
      </c>
      <c r="B642" s="0" t="s">
        <v>1552</v>
      </c>
      <c r="C642" s="0" t="s">
        <v>1342</v>
      </c>
      <c r="D642" s="0" t="s">
        <v>988</v>
      </c>
      <c r="E642" s="0" t="s">
        <v>107</v>
      </c>
      <c r="F642" s="0" t="n">
        <v>7</v>
      </c>
      <c r="G642" s="0" t="n">
        <v>14.9</v>
      </c>
      <c r="H642" s="0" t="n">
        <v>0.74</v>
      </c>
      <c r="I642" s="10" t="n">
        <v>0.596</v>
      </c>
      <c r="J642" s="0" t="n">
        <v>1.13</v>
      </c>
      <c r="K642" s="13" t="n">
        <f aca="false">IF(H642&lt;&gt;"",H642,IFERROR(G642/INDEX(Players!$M$2:$M$124,MATCH(B642,Players!$A$2:$A$124,0)),""))</f>
        <v>0.74</v>
      </c>
    </row>
    <row r="643" customFormat="false" ht="15" hidden="false" customHeight="false" outlineLevel="0" collapsed="false">
      <c r="A643" s="0" t="s">
        <v>2421</v>
      </c>
      <c r="B643" s="0" t="s">
        <v>1552</v>
      </c>
      <c r="C643" s="0" t="s">
        <v>1342</v>
      </c>
      <c r="D643" s="0" t="s">
        <v>988</v>
      </c>
      <c r="E643" s="0" t="s">
        <v>150</v>
      </c>
      <c r="F643" s="0" t="n">
        <v>7</v>
      </c>
      <c r="G643" s="0" t="n">
        <v>15.6</v>
      </c>
      <c r="H643" s="0" t="n">
        <v>0.7</v>
      </c>
      <c r="I643" s="10" t="n">
        <v>0.56</v>
      </c>
      <c r="J643" s="0" t="n">
        <v>1.1</v>
      </c>
      <c r="K643" s="13" t="n">
        <f aca="false">IF(H643&lt;&gt;"",H643,IFERROR(G643/INDEX(Players!$M$2:$M$124,MATCH(B643,Players!$A$2:$A$124,0)),""))</f>
        <v>0.7</v>
      </c>
    </row>
    <row r="644" customFormat="false" ht="15" hidden="false" customHeight="false" outlineLevel="0" collapsed="false">
      <c r="A644" s="0" t="s">
        <v>2422</v>
      </c>
      <c r="B644" s="0" t="s">
        <v>1552</v>
      </c>
      <c r="C644" s="0" t="s">
        <v>1342</v>
      </c>
      <c r="D644" s="0" t="s">
        <v>988</v>
      </c>
      <c r="E644" s="0" t="s">
        <v>121</v>
      </c>
      <c r="F644" s="0" t="n">
        <v>7</v>
      </c>
      <c r="G644" s="0" t="n">
        <v>13.1</v>
      </c>
      <c r="H644" s="0" t="n">
        <v>0.6</v>
      </c>
      <c r="I644" s="10" t="n">
        <v>0.554</v>
      </c>
      <c r="J644" s="0" t="n">
        <v>0.87</v>
      </c>
      <c r="K644" s="13" t="n">
        <f aca="false">IF(H644&lt;&gt;"",H644,IFERROR(G644/INDEX(Players!$M$2:$M$124,MATCH(B644,Players!$A$2:$A$124,0)),""))</f>
        <v>0.6</v>
      </c>
    </row>
    <row r="645" customFormat="false" ht="15" hidden="false" customHeight="false" outlineLevel="0" collapsed="false">
      <c r="A645" s="0" t="s">
        <v>2423</v>
      </c>
      <c r="B645" s="0" t="s">
        <v>1552</v>
      </c>
      <c r="C645" s="0" t="s">
        <v>1342</v>
      </c>
      <c r="D645" s="0" t="s">
        <v>988</v>
      </c>
      <c r="E645" s="0" t="s">
        <v>131</v>
      </c>
      <c r="F645" s="0" t="n">
        <v>6</v>
      </c>
      <c r="G645" s="0" t="n">
        <v>13.2</v>
      </c>
      <c r="H645" s="0" t="n">
        <v>0.64</v>
      </c>
      <c r="I645" s="10" t="n">
        <v>0.608</v>
      </c>
      <c r="J645" s="0" t="n">
        <v>0.94</v>
      </c>
      <c r="K645" s="13" t="n">
        <f aca="false">IF(H645&lt;&gt;"",H645,IFERROR(G645/INDEX(Players!$M$2:$M$124,MATCH(B645,Players!$A$2:$A$124,0)),""))</f>
        <v>0.64</v>
      </c>
    </row>
    <row r="646" customFormat="false" ht="15" hidden="false" customHeight="false" outlineLevel="0" collapsed="false">
      <c r="A646" s="0" t="s">
        <v>2424</v>
      </c>
      <c r="B646" s="0" t="s">
        <v>1552</v>
      </c>
      <c r="C646" s="0" t="s">
        <v>1342</v>
      </c>
      <c r="D646" s="0" t="s">
        <v>988</v>
      </c>
      <c r="E646" s="0" t="s">
        <v>94</v>
      </c>
      <c r="F646" s="0" t="n">
        <v>6</v>
      </c>
      <c r="G646" s="0" t="n">
        <v>14</v>
      </c>
      <c r="H646" s="0" t="n">
        <v>0.63</v>
      </c>
      <c r="I646" s="10" t="n">
        <v>0.536</v>
      </c>
      <c r="J646" s="0" t="n">
        <v>0.92</v>
      </c>
      <c r="K646" s="13" t="n">
        <f aca="false">IF(H646&lt;&gt;"",H646,IFERROR(G646/INDEX(Players!$M$2:$M$124,MATCH(B646,Players!$A$2:$A$124,0)),""))</f>
        <v>0.63</v>
      </c>
    </row>
    <row r="647" customFormat="false" ht="15" hidden="false" customHeight="false" outlineLevel="0" collapsed="false">
      <c r="A647" s="0" t="s">
        <v>2425</v>
      </c>
      <c r="B647" s="0" t="s">
        <v>1552</v>
      </c>
      <c r="C647" s="0" t="s">
        <v>1342</v>
      </c>
      <c r="D647" s="0" t="s">
        <v>988</v>
      </c>
      <c r="E647" s="0" t="s">
        <v>80</v>
      </c>
      <c r="F647" s="0" t="n">
        <v>5</v>
      </c>
      <c r="G647" s="0" t="n">
        <v>16</v>
      </c>
      <c r="H647" s="0" t="n">
        <v>0.75</v>
      </c>
      <c r="I647" s="10" t="n">
        <v>0.663</v>
      </c>
      <c r="J647" s="0" t="n">
        <v>1.29</v>
      </c>
      <c r="K647" s="13" t="n">
        <f aca="false">IF(H647&lt;&gt;"",H647,IFERROR(G647/INDEX(Players!$M$2:$M$124,MATCH(B647,Players!$A$2:$A$124,0)),""))</f>
        <v>0.75</v>
      </c>
    </row>
    <row r="648" customFormat="false" ht="15" hidden="false" customHeight="false" outlineLevel="0" collapsed="false">
      <c r="A648" s="0" t="s">
        <v>2426</v>
      </c>
      <c r="B648" s="0" t="s">
        <v>1546</v>
      </c>
      <c r="C648" s="0" t="s">
        <v>1330</v>
      </c>
      <c r="D648" s="0" t="s">
        <v>988</v>
      </c>
      <c r="E648" s="0" t="s">
        <v>150</v>
      </c>
      <c r="F648" s="0" t="n">
        <v>10</v>
      </c>
      <c r="G648" s="0" t="n">
        <v>13.4</v>
      </c>
      <c r="H648" s="0" t="n">
        <v>0.6</v>
      </c>
      <c r="I648" s="10" t="n">
        <v>0.231</v>
      </c>
      <c r="J648" s="0" t="n">
        <v>1.07</v>
      </c>
      <c r="K648" s="13" t="n">
        <f aca="false">IF(H648&lt;&gt;"",H648,IFERROR(G648/INDEX(Players!$M$2:$M$124,MATCH(B648,Players!$A$2:$A$124,0)),""))</f>
        <v>0.6</v>
      </c>
    </row>
    <row r="649" customFormat="false" ht="15" hidden="false" customHeight="false" outlineLevel="0" collapsed="false">
      <c r="A649" s="0" t="s">
        <v>2427</v>
      </c>
      <c r="B649" s="0" t="s">
        <v>1546</v>
      </c>
      <c r="C649" s="0" t="s">
        <v>1330</v>
      </c>
      <c r="D649" s="0" t="s">
        <v>988</v>
      </c>
      <c r="E649" s="0" t="s">
        <v>131</v>
      </c>
      <c r="F649" s="0" t="n">
        <v>7</v>
      </c>
      <c r="G649" s="0" t="n">
        <v>13.3</v>
      </c>
      <c r="H649" s="0" t="n">
        <v>0.64</v>
      </c>
      <c r="I649" s="10" t="n">
        <v>0.344</v>
      </c>
      <c r="J649" s="0" t="n">
        <v>1.19</v>
      </c>
      <c r="K649" s="13" t="n">
        <f aca="false">IF(H649&lt;&gt;"",H649,IFERROR(G649/INDEX(Players!$M$2:$M$124,MATCH(B649,Players!$A$2:$A$124,0)),""))</f>
        <v>0.64</v>
      </c>
    </row>
    <row r="650" customFormat="false" ht="15" hidden="false" customHeight="false" outlineLevel="0" collapsed="false">
      <c r="A650" s="0" t="s">
        <v>2428</v>
      </c>
      <c r="B650" s="0" t="s">
        <v>1546</v>
      </c>
      <c r="C650" s="0" t="s">
        <v>1330</v>
      </c>
      <c r="D650" s="0" t="s">
        <v>988</v>
      </c>
      <c r="E650" s="0" t="s">
        <v>107</v>
      </c>
      <c r="F650" s="0" t="n">
        <v>6</v>
      </c>
      <c r="G650" s="0" t="n">
        <v>17.5</v>
      </c>
      <c r="H650" s="0" t="n">
        <v>0.78</v>
      </c>
      <c r="I650" s="10" t="n">
        <v>0.305</v>
      </c>
      <c r="J650" s="0" t="n">
        <v>1.46</v>
      </c>
      <c r="K650" s="13" t="n">
        <f aca="false">IF(H650&lt;&gt;"",H650,IFERROR(G650/INDEX(Players!$M$2:$M$124,MATCH(B650,Players!$A$2:$A$124,0)),""))</f>
        <v>0.78</v>
      </c>
    </row>
    <row r="651" customFormat="false" ht="15" hidden="false" customHeight="false" outlineLevel="0" collapsed="false">
      <c r="A651" s="0" t="s">
        <v>2429</v>
      </c>
      <c r="B651" s="0" t="s">
        <v>1546</v>
      </c>
      <c r="C651" s="0" t="s">
        <v>1330</v>
      </c>
      <c r="D651" s="0" t="s">
        <v>988</v>
      </c>
      <c r="E651" s="0" t="s">
        <v>142</v>
      </c>
      <c r="F651" s="0" t="n">
        <v>6</v>
      </c>
      <c r="G651" s="0" t="n">
        <v>15</v>
      </c>
      <c r="H651" s="0" t="n">
        <v>0.73</v>
      </c>
      <c r="I651" s="10" t="n">
        <v>0.322</v>
      </c>
      <c r="J651" s="0" t="n">
        <v>1.22</v>
      </c>
      <c r="K651" s="13" t="n">
        <f aca="false">IF(H651&lt;&gt;"",H651,IFERROR(G651/INDEX(Players!$M$2:$M$124,MATCH(B651,Players!$A$2:$A$124,0)),""))</f>
        <v>0.73</v>
      </c>
    </row>
    <row r="652" customFormat="false" ht="15" hidden="false" customHeight="false" outlineLevel="0" collapsed="false">
      <c r="A652" s="0" t="s">
        <v>2430</v>
      </c>
      <c r="B652" s="0" t="s">
        <v>1546</v>
      </c>
      <c r="C652" s="0" t="s">
        <v>1330</v>
      </c>
      <c r="D652" s="0" t="s">
        <v>988</v>
      </c>
      <c r="E652" s="0" t="s">
        <v>80</v>
      </c>
      <c r="F652" s="0" t="n">
        <v>6</v>
      </c>
      <c r="G652" s="0" t="n">
        <v>13.2</v>
      </c>
      <c r="H652" s="0" t="n">
        <v>0.63</v>
      </c>
      <c r="I652" s="10" t="n">
        <v>0.354</v>
      </c>
      <c r="J652" s="0" t="n">
        <v>1.01</v>
      </c>
      <c r="K652" s="13" t="n">
        <f aca="false">IF(H652&lt;&gt;"",H652,IFERROR(G652/INDEX(Players!$M$2:$M$124,MATCH(B652,Players!$A$2:$A$124,0)),""))</f>
        <v>0.63</v>
      </c>
    </row>
    <row r="653" customFormat="false" ht="15" hidden="false" customHeight="false" outlineLevel="0" collapsed="false">
      <c r="A653" s="0" t="s">
        <v>2431</v>
      </c>
      <c r="B653" s="0" t="s">
        <v>1546</v>
      </c>
      <c r="C653" s="0" t="s">
        <v>1330</v>
      </c>
      <c r="D653" s="0" t="s">
        <v>988</v>
      </c>
      <c r="E653" s="0" t="s">
        <v>121</v>
      </c>
      <c r="F653" s="0" t="n">
        <v>4</v>
      </c>
      <c r="G653" s="0" t="n">
        <v>14.3</v>
      </c>
      <c r="H653" s="0" t="n">
        <v>0.7</v>
      </c>
      <c r="I653" s="10" t="n">
        <v>0.439</v>
      </c>
      <c r="J653" s="0" t="n">
        <v>1.16</v>
      </c>
      <c r="K653" s="13" t="n">
        <f aca="false">IF(H653&lt;&gt;"",H653,IFERROR(G653/INDEX(Players!$M$2:$M$124,MATCH(B653,Players!$A$2:$A$124,0)),""))</f>
        <v>0.7</v>
      </c>
    </row>
    <row r="654" customFormat="false" ht="15" hidden="false" customHeight="false" outlineLevel="0" collapsed="false">
      <c r="A654" s="0" t="s">
        <v>2432</v>
      </c>
      <c r="B654" s="0" t="s">
        <v>1538</v>
      </c>
      <c r="C654" s="0" t="s">
        <v>1314</v>
      </c>
      <c r="D654" s="0" t="s">
        <v>988</v>
      </c>
      <c r="E654" s="0" t="s">
        <v>107</v>
      </c>
      <c r="F654" s="0" t="n">
        <v>11</v>
      </c>
      <c r="G654" s="0" t="n">
        <v>14.5</v>
      </c>
      <c r="H654" s="0" t="n">
        <v>0.71</v>
      </c>
      <c r="I654" s="10" t="n">
        <v>0.319</v>
      </c>
      <c r="J654" s="0" t="n">
        <v>1.14</v>
      </c>
      <c r="K654" s="13" t="n">
        <f aca="false">IF(H654&lt;&gt;"",H654,IFERROR(G654/INDEX(Players!$M$2:$M$124,MATCH(B654,Players!$A$2:$A$124,0)),""))</f>
        <v>0.71</v>
      </c>
    </row>
    <row r="655" customFormat="false" ht="15" hidden="false" customHeight="false" outlineLevel="0" collapsed="false">
      <c r="A655" s="0" t="s">
        <v>2433</v>
      </c>
      <c r="B655" s="0" t="s">
        <v>1538</v>
      </c>
      <c r="C655" s="0" t="s">
        <v>1314</v>
      </c>
      <c r="D655" s="0" t="s">
        <v>988</v>
      </c>
      <c r="E655" s="0" t="s">
        <v>150</v>
      </c>
      <c r="F655" s="0" t="n">
        <v>10</v>
      </c>
      <c r="G655" s="0" t="n">
        <v>15.8</v>
      </c>
      <c r="H655" s="0" t="n">
        <v>0.67</v>
      </c>
      <c r="I655" s="10" t="n">
        <v>0.304</v>
      </c>
      <c r="J655" s="0" t="n">
        <v>1.11</v>
      </c>
      <c r="K655" s="13" t="n">
        <f aca="false">IF(H655&lt;&gt;"",H655,IFERROR(G655/INDEX(Players!$M$2:$M$124,MATCH(B655,Players!$A$2:$A$124,0)),""))</f>
        <v>0.67</v>
      </c>
    </row>
    <row r="656" customFormat="false" ht="15" hidden="false" customHeight="false" outlineLevel="0" collapsed="false">
      <c r="A656" s="0" t="s">
        <v>2434</v>
      </c>
      <c r="B656" s="0" t="s">
        <v>1538</v>
      </c>
      <c r="C656" s="0" t="s">
        <v>1314</v>
      </c>
      <c r="D656" s="0" t="s">
        <v>988</v>
      </c>
      <c r="E656" s="0" t="s">
        <v>121</v>
      </c>
      <c r="F656" s="0" t="n">
        <v>8</v>
      </c>
      <c r="G656" s="0" t="n">
        <v>18</v>
      </c>
      <c r="H656" s="0" t="n">
        <v>0.69</v>
      </c>
      <c r="I656" s="10" t="n">
        <v>0.319</v>
      </c>
      <c r="J656" s="0" t="n">
        <v>1.09</v>
      </c>
      <c r="K656" s="13" t="n">
        <f aca="false">IF(H656&lt;&gt;"",H656,IFERROR(G656/INDEX(Players!$M$2:$M$124,MATCH(B656,Players!$A$2:$A$124,0)),""))</f>
        <v>0.69</v>
      </c>
    </row>
    <row r="657" customFormat="false" ht="15" hidden="false" customHeight="false" outlineLevel="0" collapsed="false">
      <c r="A657" s="0" t="s">
        <v>2435</v>
      </c>
      <c r="B657" s="0" t="s">
        <v>1538</v>
      </c>
      <c r="C657" s="0" t="s">
        <v>1314</v>
      </c>
      <c r="D657" s="0" t="s">
        <v>988</v>
      </c>
      <c r="E657" s="0" t="s">
        <v>80</v>
      </c>
      <c r="F657" s="0" t="n">
        <v>4</v>
      </c>
      <c r="G657" s="0" t="n">
        <v>20</v>
      </c>
      <c r="H657" s="0" t="n">
        <v>0.78</v>
      </c>
      <c r="I657" s="10" t="n">
        <v>0.313</v>
      </c>
      <c r="J657" s="0" t="n">
        <v>1.31</v>
      </c>
      <c r="K657" s="13" t="n">
        <f aca="false">IF(H657&lt;&gt;"",H657,IFERROR(G657/INDEX(Players!$M$2:$M$124,MATCH(B657,Players!$A$2:$A$124,0)),""))</f>
        <v>0.78</v>
      </c>
    </row>
    <row r="658" customFormat="false" ht="15" hidden="false" customHeight="false" outlineLevel="0" collapsed="false">
      <c r="A658" s="0" t="s">
        <v>2436</v>
      </c>
      <c r="B658" s="0" t="s">
        <v>1538</v>
      </c>
      <c r="C658" s="0" t="s">
        <v>1314</v>
      </c>
      <c r="D658" s="0" t="s">
        <v>988</v>
      </c>
      <c r="E658" s="0" t="s">
        <v>142</v>
      </c>
      <c r="F658" s="0" t="n">
        <v>4</v>
      </c>
      <c r="G658" s="0" t="n">
        <v>12.3</v>
      </c>
      <c r="H658" s="0" t="n">
        <v>0.61</v>
      </c>
      <c r="I658" s="10" t="n">
        <v>0.367</v>
      </c>
      <c r="J658" s="0" t="n">
        <v>1.04</v>
      </c>
      <c r="K658" s="13" t="n">
        <f aca="false">IF(H658&lt;&gt;"",H658,IFERROR(G658/INDEX(Players!$M$2:$M$124,MATCH(B658,Players!$A$2:$A$124,0)),""))</f>
        <v>0.61</v>
      </c>
    </row>
    <row r="659" customFormat="false" ht="15" hidden="false" customHeight="false" outlineLevel="0" collapsed="false">
      <c r="A659" s="0" t="s">
        <v>2437</v>
      </c>
      <c r="B659" s="0" t="s">
        <v>1538</v>
      </c>
      <c r="C659" s="0" t="s">
        <v>1314</v>
      </c>
      <c r="D659" s="0" t="s">
        <v>988</v>
      </c>
      <c r="E659" s="0" t="s">
        <v>131</v>
      </c>
      <c r="F659" s="0" t="n">
        <v>2</v>
      </c>
      <c r="G659" s="0" t="n">
        <v>12.5</v>
      </c>
      <c r="H659" s="0" t="n">
        <v>0.63</v>
      </c>
      <c r="I659" s="10" t="n">
        <v>0.32</v>
      </c>
      <c r="J659" s="0" t="n">
        <v>1.19</v>
      </c>
      <c r="K659" s="13" t="n">
        <f aca="false">IF(H659&lt;&gt;"",H659,IFERROR(G659/INDEX(Players!$M$2:$M$124,MATCH(B659,Players!$A$2:$A$124,0)),""))</f>
        <v>0.63</v>
      </c>
    </row>
    <row r="660" customFormat="false" ht="15" hidden="false" customHeight="false" outlineLevel="0" collapsed="false">
      <c r="A660" s="0" t="s">
        <v>2438</v>
      </c>
      <c r="B660" s="0" t="s">
        <v>1528</v>
      </c>
      <c r="C660" s="0" t="s">
        <v>1293</v>
      </c>
      <c r="D660" s="0" t="s">
        <v>988</v>
      </c>
      <c r="E660" s="0" t="s">
        <v>121</v>
      </c>
      <c r="F660" s="0" t="n">
        <v>10</v>
      </c>
      <c r="G660" s="0" t="n">
        <v>14.2</v>
      </c>
      <c r="H660" s="0" t="n">
        <v>0.64</v>
      </c>
      <c r="I660" s="10" t="n">
        <v>0.606</v>
      </c>
      <c r="J660" s="0" t="n">
        <v>0.95</v>
      </c>
      <c r="K660" s="13" t="n">
        <f aca="false">IF(H660&lt;&gt;"",H660,IFERROR(G660/INDEX(Players!$M$2:$M$124,MATCH(B660,Players!$A$2:$A$124,0)),""))</f>
        <v>0.64</v>
      </c>
    </row>
    <row r="661" customFormat="false" ht="15" hidden="false" customHeight="false" outlineLevel="0" collapsed="false">
      <c r="A661" s="0" t="s">
        <v>2439</v>
      </c>
      <c r="B661" s="0" t="s">
        <v>1528</v>
      </c>
      <c r="C661" s="0" t="s">
        <v>1293</v>
      </c>
      <c r="D661" s="0" t="s">
        <v>988</v>
      </c>
      <c r="E661" s="0" t="s">
        <v>107</v>
      </c>
      <c r="F661" s="0" t="n">
        <v>6</v>
      </c>
      <c r="G661" s="0" t="n">
        <v>16</v>
      </c>
      <c r="H661" s="0" t="n">
        <v>0.63</v>
      </c>
      <c r="I661" s="10" t="n">
        <v>0.615</v>
      </c>
      <c r="J661" s="0" t="n">
        <v>0.86</v>
      </c>
      <c r="K661" s="13" t="n">
        <f aca="false">IF(H661&lt;&gt;"",H661,IFERROR(G661/INDEX(Players!$M$2:$M$124,MATCH(B661,Players!$A$2:$A$124,0)),""))</f>
        <v>0.63</v>
      </c>
    </row>
    <row r="662" customFormat="false" ht="15" hidden="false" customHeight="false" outlineLevel="0" collapsed="false">
      <c r="A662" s="0" t="s">
        <v>2440</v>
      </c>
      <c r="B662" s="0" t="s">
        <v>1528</v>
      </c>
      <c r="C662" s="0" t="s">
        <v>1293</v>
      </c>
      <c r="D662" s="0" t="s">
        <v>988</v>
      </c>
      <c r="E662" s="0" t="s">
        <v>150</v>
      </c>
      <c r="F662" s="0" t="n">
        <v>4</v>
      </c>
      <c r="G662" s="0" t="n">
        <v>14</v>
      </c>
      <c r="H662" s="0" t="n">
        <v>0.52</v>
      </c>
      <c r="I662" s="10" t="n">
        <v>0.571</v>
      </c>
      <c r="J662" s="0" t="n">
        <v>0.79</v>
      </c>
      <c r="K662" s="13" t="n">
        <f aca="false">IF(H662&lt;&gt;"",H662,IFERROR(G662/INDEX(Players!$M$2:$M$124,MATCH(B662,Players!$A$2:$A$124,0)),""))</f>
        <v>0.52</v>
      </c>
    </row>
    <row r="663" customFormat="false" ht="15" hidden="false" customHeight="false" outlineLevel="0" collapsed="false">
      <c r="A663" s="0" t="s">
        <v>2441</v>
      </c>
      <c r="B663" s="0" t="s">
        <v>1528</v>
      </c>
      <c r="C663" s="0" t="s">
        <v>1293</v>
      </c>
      <c r="D663" s="0" t="s">
        <v>988</v>
      </c>
      <c r="E663" s="0" t="s">
        <v>80</v>
      </c>
      <c r="F663" s="0" t="n">
        <v>3</v>
      </c>
      <c r="G663" s="0" t="n">
        <v>14</v>
      </c>
      <c r="H663" s="0" t="n">
        <v>0.66</v>
      </c>
      <c r="I663" s="10" t="n">
        <v>0.524</v>
      </c>
      <c r="J663" s="0" t="n">
        <v>1.05</v>
      </c>
      <c r="K663" s="13" t="n">
        <f aca="false">IF(H663&lt;&gt;"",H663,IFERROR(G663/INDEX(Players!$M$2:$M$124,MATCH(B663,Players!$A$2:$A$124,0)),""))</f>
        <v>0.66</v>
      </c>
    </row>
    <row r="664" customFormat="false" ht="15" hidden="false" customHeight="false" outlineLevel="0" collapsed="false">
      <c r="A664" s="0" t="s">
        <v>2442</v>
      </c>
      <c r="B664" s="0" t="s">
        <v>1528</v>
      </c>
      <c r="C664" s="0" t="s">
        <v>1293</v>
      </c>
      <c r="D664" s="0" t="s">
        <v>988</v>
      </c>
      <c r="E664" s="0" t="s">
        <v>142</v>
      </c>
      <c r="F664" s="0" t="n">
        <v>3</v>
      </c>
      <c r="G664" s="0" t="n">
        <v>13</v>
      </c>
      <c r="H664" s="0" t="n">
        <v>0.57</v>
      </c>
      <c r="I664" s="10" t="n">
        <v>0.308</v>
      </c>
      <c r="J664" s="0" t="n">
        <v>0.89</v>
      </c>
      <c r="K664" s="13" t="n">
        <f aca="false">IF(H664&lt;&gt;"",H664,IFERROR(G664/INDEX(Players!$M$2:$M$124,MATCH(B664,Players!$A$2:$A$124,0)),""))</f>
        <v>0.57</v>
      </c>
    </row>
    <row r="665" customFormat="false" ht="15" hidden="false" customHeight="false" outlineLevel="0" collapsed="false">
      <c r="A665" s="0" t="s">
        <v>2443</v>
      </c>
      <c r="B665" s="0" t="s">
        <v>1528</v>
      </c>
      <c r="C665" s="0" t="s">
        <v>1293</v>
      </c>
      <c r="D665" s="0" t="s">
        <v>988</v>
      </c>
      <c r="E665" s="0" t="s">
        <v>131</v>
      </c>
      <c r="F665" s="0" t="n">
        <v>2</v>
      </c>
      <c r="G665" s="0" t="n">
        <v>7.5</v>
      </c>
      <c r="H665" s="0" t="n">
        <v>0.43</v>
      </c>
      <c r="I665" s="10" t="n">
        <v>0.4</v>
      </c>
      <c r="J665" s="0" t="n">
        <v>0.6</v>
      </c>
      <c r="K665" s="13" t="n">
        <f aca="false">IF(H665&lt;&gt;"",H665,IFERROR(G665/INDEX(Players!$M$2:$M$124,MATCH(B665,Players!$A$2:$A$124,0)),""))</f>
        <v>0.43</v>
      </c>
    </row>
    <row r="666" customFormat="false" ht="15" hidden="false" customHeight="false" outlineLevel="0" collapsed="false">
      <c r="A666" s="0" t="s">
        <v>2444</v>
      </c>
      <c r="B666" s="0" t="s">
        <v>1511</v>
      </c>
      <c r="C666" s="0" t="s">
        <v>1258</v>
      </c>
      <c r="D666" s="0" t="s">
        <v>988</v>
      </c>
      <c r="E666" s="0" t="s">
        <v>142</v>
      </c>
      <c r="F666" s="0" t="n">
        <v>10</v>
      </c>
      <c r="G666" s="0" t="n">
        <v>15.2</v>
      </c>
      <c r="H666" s="0" t="n">
        <v>0.71</v>
      </c>
      <c r="I666" s="10" t="n">
        <v>0.441</v>
      </c>
      <c r="J666" s="0" t="n">
        <v>1.28</v>
      </c>
      <c r="K666" s="13" t="n">
        <f aca="false">IF(H666&lt;&gt;"",H666,IFERROR(G666/INDEX(Players!$M$2:$M$124,MATCH(B666,Players!$A$2:$A$124,0)),""))</f>
        <v>0.71</v>
      </c>
    </row>
    <row r="667" customFormat="false" ht="15" hidden="false" customHeight="false" outlineLevel="0" collapsed="false">
      <c r="A667" s="0" t="s">
        <v>2445</v>
      </c>
      <c r="B667" s="0" t="s">
        <v>1511</v>
      </c>
      <c r="C667" s="0" t="s">
        <v>1258</v>
      </c>
      <c r="D667" s="0" t="s">
        <v>988</v>
      </c>
      <c r="E667" s="0" t="s">
        <v>150</v>
      </c>
      <c r="F667" s="0" t="n">
        <v>9</v>
      </c>
      <c r="G667" s="0" t="n">
        <v>14.2</v>
      </c>
      <c r="H667" s="0" t="n">
        <v>0.67</v>
      </c>
      <c r="I667" s="10" t="n">
        <v>0.383</v>
      </c>
      <c r="J667" s="0" t="n">
        <v>1.03</v>
      </c>
      <c r="K667" s="13" t="n">
        <f aca="false">IF(H667&lt;&gt;"",H667,IFERROR(G667/INDEX(Players!$M$2:$M$124,MATCH(B667,Players!$A$2:$A$124,0)),""))</f>
        <v>0.67</v>
      </c>
    </row>
    <row r="668" customFormat="false" ht="15" hidden="false" customHeight="false" outlineLevel="0" collapsed="false">
      <c r="A668" s="0" t="s">
        <v>2446</v>
      </c>
      <c r="B668" s="0" t="s">
        <v>1511</v>
      </c>
      <c r="C668" s="0" t="s">
        <v>1258</v>
      </c>
      <c r="D668" s="0" t="s">
        <v>988</v>
      </c>
      <c r="E668" s="0" t="s">
        <v>80</v>
      </c>
      <c r="F668" s="0" t="n">
        <v>5</v>
      </c>
      <c r="G668" s="0" t="n">
        <v>14.8</v>
      </c>
      <c r="H668" s="0" t="n">
        <v>0.71</v>
      </c>
      <c r="I668" s="10" t="n">
        <v>0.419</v>
      </c>
      <c r="J668" s="0" t="n">
        <v>1.35</v>
      </c>
      <c r="K668" s="13" t="n">
        <f aca="false">IF(H668&lt;&gt;"",H668,IFERROR(G668/INDEX(Players!$M$2:$M$124,MATCH(B668,Players!$A$2:$A$124,0)),""))</f>
        <v>0.71</v>
      </c>
    </row>
    <row r="669" customFormat="false" ht="15" hidden="false" customHeight="false" outlineLevel="0" collapsed="false">
      <c r="A669" s="0" t="s">
        <v>2447</v>
      </c>
      <c r="B669" s="0" t="s">
        <v>1511</v>
      </c>
      <c r="C669" s="0" t="s">
        <v>1258</v>
      </c>
      <c r="D669" s="0" t="s">
        <v>988</v>
      </c>
      <c r="E669" s="0" t="s">
        <v>131</v>
      </c>
      <c r="F669" s="0" t="n">
        <v>4</v>
      </c>
      <c r="G669" s="0" t="n">
        <v>20.3</v>
      </c>
      <c r="H669" s="0" t="n">
        <v>0.95</v>
      </c>
      <c r="I669" s="10" t="n">
        <v>0.358</v>
      </c>
      <c r="J669" s="0" t="n">
        <v>1.93</v>
      </c>
      <c r="K669" s="13" t="n">
        <f aca="false">IF(H669&lt;&gt;"",H669,IFERROR(G669/INDEX(Players!$M$2:$M$124,MATCH(B669,Players!$A$2:$A$124,0)),""))</f>
        <v>0.95</v>
      </c>
    </row>
    <row r="670" customFormat="false" ht="15" hidden="false" customHeight="false" outlineLevel="0" collapsed="false">
      <c r="A670" s="0" t="s">
        <v>2448</v>
      </c>
      <c r="B670" s="0" t="s">
        <v>1511</v>
      </c>
      <c r="C670" s="0" t="s">
        <v>1258</v>
      </c>
      <c r="D670" s="0" t="s">
        <v>988</v>
      </c>
      <c r="E670" s="0" t="s">
        <v>94</v>
      </c>
      <c r="F670" s="0" t="n">
        <v>3</v>
      </c>
      <c r="G670" s="0" t="n">
        <v>20</v>
      </c>
      <c r="H670" s="0" t="n">
        <v>0.87</v>
      </c>
      <c r="I670" s="10" t="n">
        <v>0.367</v>
      </c>
      <c r="J670" s="0" t="n">
        <v>1.43</v>
      </c>
      <c r="K670" s="13" t="n">
        <f aca="false">IF(H670&lt;&gt;"",H670,IFERROR(G670/INDEX(Players!$M$2:$M$124,MATCH(B670,Players!$A$2:$A$124,0)),""))</f>
        <v>0.87</v>
      </c>
    </row>
    <row r="671" customFormat="false" ht="15" hidden="false" customHeight="false" outlineLevel="0" collapsed="false">
      <c r="A671" s="0" t="s">
        <v>2449</v>
      </c>
      <c r="B671" s="0" t="s">
        <v>1511</v>
      </c>
      <c r="C671" s="0" t="s">
        <v>1258</v>
      </c>
      <c r="D671" s="0" t="s">
        <v>988</v>
      </c>
      <c r="E671" s="0" t="s">
        <v>121</v>
      </c>
      <c r="F671" s="0" t="n">
        <v>3</v>
      </c>
      <c r="G671" s="0" t="n">
        <v>9</v>
      </c>
      <c r="H671" s="0" t="n">
        <v>0.48</v>
      </c>
      <c r="I671" s="10" t="n">
        <v>0.481</v>
      </c>
      <c r="J671" s="0" t="n">
        <v>0.61</v>
      </c>
      <c r="K671" s="13" t="n">
        <f aca="false">IF(H671&lt;&gt;"",H671,IFERROR(G671/INDEX(Players!$M$2:$M$124,MATCH(B671,Players!$A$2:$A$124,0)),""))</f>
        <v>0.48</v>
      </c>
    </row>
    <row r="672" customFormat="false" ht="15" hidden="false" customHeight="false" outlineLevel="0" collapsed="false">
      <c r="A672" s="0" t="s">
        <v>2450</v>
      </c>
      <c r="B672" s="0" t="s">
        <v>1511</v>
      </c>
      <c r="C672" s="0" t="s">
        <v>1258</v>
      </c>
      <c r="D672" s="0" t="s">
        <v>988</v>
      </c>
      <c r="E672" s="0" t="s">
        <v>107</v>
      </c>
      <c r="F672" s="0" t="n">
        <v>2</v>
      </c>
      <c r="G672" s="0" t="n">
        <v>28</v>
      </c>
      <c r="H672" s="0" t="n">
        <v>0.86</v>
      </c>
      <c r="I672" s="10" t="n">
        <v>0.357</v>
      </c>
      <c r="J672" s="0" t="n">
        <v>1.47</v>
      </c>
      <c r="K672" s="13" t="n">
        <f aca="false">IF(H672&lt;&gt;"",H672,IFERROR(G672/INDEX(Players!$M$2:$M$124,MATCH(B672,Players!$A$2:$A$124,0)),""))</f>
        <v>0.86</v>
      </c>
    </row>
    <row r="673" customFormat="false" ht="15" hidden="false" customHeight="false" outlineLevel="0" collapsed="false">
      <c r="A673" s="0" t="s">
        <v>2451</v>
      </c>
      <c r="B673" s="0" t="s">
        <v>1474</v>
      </c>
      <c r="C673" s="0" t="s">
        <v>1159</v>
      </c>
      <c r="D673" s="0" t="s">
        <v>988</v>
      </c>
      <c r="E673" s="0" t="s">
        <v>107</v>
      </c>
      <c r="F673" s="0" t="n">
        <v>8</v>
      </c>
      <c r="G673" s="0" t="n">
        <v>16.3</v>
      </c>
      <c r="H673" s="0" t="n">
        <v>0.72</v>
      </c>
      <c r="I673" s="10" t="n">
        <v>0.477</v>
      </c>
      <c r="J673" s="0" t="n">
        <v>1.07</v>
      </c>
      <c r="K673" s="13" t="n">
        <f aca="false">IF(H673&lt;&gt;"",H673,IFERROR(G673/INDEX(Players!$M$2:$M$124,MATCH(B673,Players!$A$2:$A$124,0)),""))</f>
        <v>0.72</v>
      </c>
    </row>
    <row r="674" customFormat="false" ht="15" hidden="false" customHeight="false" outlineLevel="0" collapsed="false">
      <c r="A674" s="0" t="s">
        <v>2452</v>
      </c>
      <c r="B674" s="0" t="s">
        <v>1474</v>
      </c>
      <c r="C674" s="0" t="s">
        <v>1159</v>
      </c>
      <c r="D674" s="0" t="s">
        <v>988</v>
      </c>
      <c r="E674" s="0" t="s">
        <v>150</v>
      </c>
      <c r="F674" s="0" t="n">
        <v>7</v>
      </c>
      <c r="G674" s="0" t="n">
        <v>17.4</v>
      </c>
      <c r="H674" s="0" t="n">
        <v>0.87</v>
      </c>
      <c r="I674" s="10" t="n">
        <v>0.516</v>
      </c>
      <c r="J674" s="0" t="n">
        <v>1.33</v>
      </c>
      <c r="K674" s="13" t="n">
        <f aca="false">IF(H674&lt;&gt;"",H674,IFERROR(G674/INDEX(Players!$M$2:$M$124,MATCH(B674,Players!$A$2:$A$124,0)),""))</f>
        <v>0.87</v>
      </c>
    </row>
    <row r="675" customFormat="false" ht="15" hidden="false" customHeight="false" outlineLevel="0" collapsed="false">
      <c r="A675" s="0" t="s">
        <v>2453</v>
      </c>
      <c r="B675" s="0" t="s">
        <v>1474</v>
      </c>
      <c r="C675" s="0" t="s">
        <v>1159</v>
      </c>
      <c r="D675" s="0" t="s">
        <v>988</v>
      </c>
      <c r="E675" s="0" t="s">
        <v>94</v>
      </c>
      <c r="F675" s="0" t="n">
        <v>7</v>
      </c>
      <c r="G675" s="0" t="n">
        <v>14.6</v>
      </c>
      <c r="H675" s="0" t="n">
        <v>0.73</v>
      </c>
      <c r="I675" s="10" t="n">
        <v>0.608</v>
      </c>
      <c r="J675" s="0" t="n">
        <v>1.21</v>
      </c>
      <c r="K675" s="13" t="n">
        <f aca="false">IF(H675&lt;&gt;"",H675,IFERROR(G675/INDEX(Players!$M$2:$M$124,MATCH(B675,Players!$A$2:$A$124,0)),""))</f>
        <v>0.73</v>
      </c>
    </row>
    <row r="676" customFormat="false" ht="15" hidden="false" customHeight="false" outlineLevel="0" collapsed="false">
      <c r="A676" s="0" t="s">
        <v>2454</v>
      </c>
      <c r="B676" s="0" t="s">
        <v>1474</v>
      </c>
      <c r="C676" s="0" t="s">
        <v>1159</v>
      </c>
      <c r="D676" s="0" t="s">
        <v>988</v>
      </c>
      <c r="E676" s="0" t="s">
        <v>142</v>
      </c>
      <c r="F676" s="0" t="n">
        <v>6</v>
      </c>
      <c r="G676" s="0" t="n">
        <v>19.3</v>
      </c>
      <c r="H676" s="0" t="n">
        <v>0.83</v>
      </c>
      <c r="I676" s="10" t="n">
        <v>0.603</v>
      </c>
      <c r="J676" s="0" t="n">
        <v>1.26</v>
      </c>
      <c r="K676" s="13" t="n">
        <f aca="false">IF(H676&lt;&gt;"",H676,IFERROR(G676/INDEX(Players!$M$2:$M$124,MATCH(B676,Players!$A$2:$A$124,0)),""))</f>
        <v>0.83</v>
      </c>
    </row>
    <row r="677" customFormat="false" ht="15" hidden="false" customHeight="false" outlineLevel="0" collapsed="false">
      <c r="A677" s="0" t="s">
        <v>2455</v>
      </c>
      <c r="B677" s="0" t="s">
        <v>1474</v>
      </c>
      <c r="C677" s="0" t="s">
        <v>1159</v>
      </c>
      <c r="D677" s="0" t="s">
        <v>988</v>
      </c>
      <c r="E677" s="0" t="s">
        <v>80</v>
      </c>
      <c r="F677" s="0" t="n">
        <v>6</v>
      </c>
      <c r="G677" s="0" t="n">
        <v>14.2</v>
      </c>
      <c r="H677" s="0" t="n">
        <v>0.75</v>
      </c>
      <c r="I677" s="10" t="n">
        <v>0.529</v>
      </c>
      <c r="J677" s="0" t="n">
        <v>0.98</v>
      </c>
      <c r="K677" s="13" t="n">
        <f aca="false">IF(H677&lt;&gt;"",H677,IFERROR(G677/INDEX(Players!$M$2:$M$124,MATCH(B677,Players!$A$2:$A$124,0)),""))</f>
        <v>0.75</v>
      </c>
    </row>
    <row r="678" customFormat="false" ht="15" hidden="false" customHeight="false" outlineLevel="0" collapsed="false">
      <c r="A678" s="0" t="s">
        <v>2456</v>
      </c>
      <c r="B678" s="0" t="s">
        <v>1474</v>
      </c>
      <c r="C678" s="0" t="s">
        <v>1159</v>
      </c>
      <c r="D678" s="0" t="s">
        <v>988</v>
      </c>
      <c r="E678" s="0" t="s">
        <v>131</v>
      </c>
      <c r="F678" s="0" t="n">
        <v>4</v>
      </c>
      <c r="G678" s="0" t="n">
        <v>16.3</v>
      </c>
      <c r="H678" s="0" t="n">
        <v>0.76</v>
      </c>
      <c r="I678" s="10" t="n">
        <v>0.585</v>
      </c>
      <c r="J678" s="0" t="n">
        <v>1.03</v>
      </c>
      <c r="K678" s="13" t="n">
        <f aca="false">IF(H678&lt;&gt;"",H678,IFERROR(G678/INDEX(Players!$M$2:$M$124,MATCH(B678,Players!$A$2:$A$124,0)),""))</f>
        <v>0.76</v>
      </c>
    </row>
    <row r="679" customFormat="false" ht="15" hidden="false" customHeight="false" outlineLevel="0" collapsed="false">
      <c r="A679" s="0" t="s">
        <v>2457</v>
      </c>
      <c r="B679" s="0" t="s">
        <v>1475</v>
      </c>
      <c r="C679" s="0" t="s">
        <v>1163</v>
      </c>
      <c r="D679" s="0" t="s">
        <v>988</v>
      </c>
      <c r="E679" s="0" t="s">
        <v>107</v>
      </c>
      <c r="F679" s="0" t="n">
        <v>8</v>
      </c>
      <c r="G679" s="0" t="n">
        <v>16.3</v>
      </c>
      <c r="H679" s="0" t="n">
        <v>0.72</v>
      </c>
      <c r="I679" s="10" t="n">
        <v>0.354</v>
      </c>
      <c r="J679" s="0" t="n">
        <v>1.17</v>
      </c>
      <c r="K679" s="13" t="n">
        <f aca="false">IF(H679&lt;&gt;"",H679,IFERROR(G679/INDEX(Players!$M$2:$M$124,MATCH(B679,Players!$A$2:$A$124,0)),""))</f>
        <v>0.72</v>
      </c>
    </row>
    <row r="680" customFormat="false" ht="15" hidden="false" customHeight="false" outlineLevel="0" collapsed="false">
      <c r="A680" s="0" t="s">
        <v>2458</v>
      </c>
      <c r="B680" s="0" t="s">
        <v>1475</v>
      </c>
      <c r="C680" s="0" t="s">
        <v>1163</v>
      </c>
      <c r="D680" s="0" t="s">
        <v>988</v>
      </c>
      <c r="E680" s="0" t="s">
        <v>94</v>
      </c>
      <c r="F680" s="0" t="n">
        <v>7</v>
      </c>
      <c r="G680" s="0" t="n">
        <v>14.6</v>
      </c>
      <c r="H680" s="0" t="n">
        <v>0.73</v>
      </c>
      <c r="I680" s="10" t="n">
        <v>0.343</v>
      </c>
      <c r="J680" s="0" t="n">
        <v>1.24</v>
      </c>
      <c r="K680" s="13" t="n">
        <f aca="false">IF(H680&lt;&gt;"",H680,IFERROR(G680/INDEX(Players!$M$2:$M$124,MATCH(B680,Players!$A$2:$A$124,0)),""))</f>
        <v>0.73</v>
      </c>
    </row>
    <row r="681" customFormat="false" ht="15" hidden="false" customHeight="false" outlineLevel="0" collapsed="false">
      <c r="A681" s="0" t="s">
        <v>2459</v>
      </c>
      <c r="B681" s="0" t="s">
        <v>1475</v>
      </c>
      <c r="C681" s="0" t="s">
        <v>1163</v>
      </c>
      <c r="D681" s="0" t="s">
        <v>988</v>
      </c>
      <c r="E681" s="0" t="s">
        <v>150</v>
      </c>
      <c r="F681" s="0" t="n">
        <v>7</v>
      </c>
      <c r="G681" s="0" t="n">
        <v>12.3</v>
      </c>
      <c r="H681" s="0" t="n">
        <v>0.61</v>
      </c>
      <c r="I681" s="10" t="n">
        <v>0.302</v>
      </c>
      <c r="J681" s="0" t="n">
        <v>0.91</v>
      </c>
      <c r="K681" s="13" t="n">
        <f aca="false">IF(H681&lt;&gt;"",H681,IFERROR(G681/INDEX(Players!$M$2:$M$124,MATCH(B681,Players!$A$2:$A$124,0)),""))</f>
        <v>0.61</v>
      </c>
    </row>
    <row r="682" customFormat="false" ht="15" hidden="false" customHeight="false" outlineLevel="0" collapsed="false">
      <c r="A682" s="0" t="s">
        <v>2460</v>
      </c>
      <c r="B682" s="0" t="s">
        <v>1475</v>
      </c>
      <c r="C682" s="0" t="s">
        <v>1163</v>
      </c>
      <c r="D682" s="0" t="s">
        <v>988</v>
      </c>
      <c r="E682" s="0" t="s">
        <v>142</v>
      </c>
      <c r="F682" s="0" t="n">
        <v>6</v>
      </c>
      <c r="G682" s="0" t="n">
        <v>15.7</v>
      </c>
      <c r="H682" s="0" t="n">
        <v>0.67</v>
      </c>
      <c r="I682" s="10" t="n">
        <v>0.33</v>
      </c>
      <c r="J682" s="0" t="n">
        <v>1.16</v>
      </c>
      <c r="K682" s="13" t="n">
        <f aca="false">IF(H682&lt;&gt;"",H682,IFERROR(G682/INDEX(Players!$M$2:$M$124,MATCH(B682,Players!$A$2:$A$124,0)),""))</f>
        <v>0.67</v>
      </c>
    </row>
    <row r="683" customFormat="false" ht="15" hidden="false" customHeight="false" outlineLevel="0" collapsed="false">
      <c r="A683" s="0" t="s">
        <v>2461</v>
      </c>
      <c r="B683" s="0" t="s">
        <v>1475</v>
      </c>
      <c r="C683" s="0" t="s">
        <v>1163</v>
      </c>
      <c r="D683" s="0" t="s">
        <v>988</v>
      </c>
      <c r="E683" s="0" t="s">
        <v>80</v>
      </c>
      <c r="F683" s="0" t="n">
        <v>6</v>
      </c>
      <c r="G683" s="0" t="n">
        <v>12.5</v>
      </c>
      <c r="H683" s="0" t="n">
        <v>0.66</v>
      </c>
      <c r="I683" s="10" t="n">
        <v>0.387</v>
      </c>
      <c r="J683" s="0" t="n">
        <v>0.99</v>
      </c>
      <c r="K683" s="13" t="n">
        <f aca="false">IF(H683&lt;&gt;"",H683,IFERROR(G683/INDEX(Players!$M$2:$M$124,MATCH(B683,Players!$A$2:$A$124,0)),""))</f>
        <v>0.66</v>
      </c>
    </row>
    <row r="684" customFormat="false" ht="15" hidden="false" customHeight="false" outlineLevel="0" collapsed="false">
      <c r="A684" s="0" t="s">
        <v>2462</v>
      </c>
      <c r="B684" s="0" t="s">
        <v>1475</v>
      </c>
      <c r="C684" s="0" t="s">
        <v>1163</v>
      </c>
      <c r="D684" s="0" t="s">
        <v>988</v>
      </c>
      <c r="E684" s="0" t="s">
        <v>131</v>
      </c>
      <c r="F684" s="0" t="n">
        <v>4</v>
      </c>
      <c r="G684" s="0" t="n">
        <v>12.8</v>
      </c>
      <c r="H684" s="0" t="n">
        <v>0.59</v>
      </c>
      <c r="I684" s="10" t="n">
        <v>0.314</v>
      </c>
      <c r="J684" s="0" t="n">
        <v>0.96</v>
      </c>
      <c r="K684" s="13" t="n">
        <f aca="false">IF(H684&lt;&gt;"",H684,IFERROR(G684/INDEX(Players!$M$2:$M$124,MATCH(B684,Players!$A$2:$A$124,0)),""))</f>
        <v>0.59</v>
      </c>
    </row>
    <row r="685" customFormat="false" ht="15" hidden="false" customHeight="false" outlineLevel="0" collapsed="false">
      <c r="A685" s="0" t="s">
        <v>2463</v>
      </c>
      <c r="B685" s="0" t="s">
        <v>1491</v>
      </c>
      <c r="C685" s="0" t="s">
        <v>1206</v>
      </c>
      <c r="D685" s="0" t="s">
        <v>988</v>
      </c>
      <c r="E685" s="0" t="s">
        <v>131</v>
      </c>
      <c r="F685" s="0" t="n">
        <v>8</v>
      </c>
      <c r="G685" s="0" t="n">
        <v>17.5</v>
      </c>
      <c r="H685" s="0" t="n">
        <v>0.79</v>
      </c>
      <c r="I685" s="10" t="n">
        <v>0.457</v>
      </c>
      <c r="J685" s="0" t="n">
        <v>1.23</v>
      </c>
      <c r="K685" s="13" t="n">
        <f aca="false">IF(H685&lt;&gt;"",H685,IFERROR(G685/INDEX(Players!$M$2:$M$124,MATCH(B685,Players!$A$2:$A$124,0)),""))</f>
        <v>0.79</v>
      </c>
    </row>
    <row r="686" customFormat="false" ht="15" hidden="false" customHeight="false" outlineLevel="0" collapsed="false">
      <c r="A686" s="0" t="s">
        <v>2464</v>
      </c>
      <c r="B686" s="0" t="s">
        <v>1491</v>
      </c>
      <c r="C686" s="0" t="s">
        <v>1206</v>
      </c>
      <c r="D686" s="0" t="s">
        <v>988</v>
      </c>
      <c r="E686" s="0" t="s">
        <v>121</v>
      </c>
      <c r="F686" s="0" t="n">
        <v>8</v>
      </c>
      <c r="G686" s="0" t="n">
        <v>20.1</v>
      </c>
      <c r="H686" s="0" t="n">
        <v>0.78</v>
      </c>
      <c r="I686" s="10" t="n">
        <v>0.534</v>
      </c>
      <c r="J686" s="0" t="n">
        <v>1.22</v>
      </c>
      <c r="K686" s="13" t="n">
        <f aca="false">IF(H686&lt;&gt;"",H686,IFERROR(G686/INDEX(Players!$M$2:$M$124,MATCH(B686,Players!$A$2:$A$124,0)),""))</f>
        <v>0.78</v>
      </c>
    </row>
    <row r="687" customFormat="false" ht="15" hidden="false" customHeight="false" outlineLevel="0" collapsed="false">
      <c r="A687" s="0" t="s">
        <v>2465</v>
      </c>
      <c r="B687" s="0" t="s">
        <v>1491</v>
      </c>
      <c r="C687" s="0" t="s">
        <v>1206</v>
      </c>
      <c r="D687" s="0" t="s">
        <v>988</v>
      </c>
      <c r="E687" s="0" t="s">
        <v>107</v>
      </c>
      <c r="F687" s="0" t="n">
        <v>7</v>
      </c>
      <c r="G687" s="0" t="n">
        <v>17.4</v>
      </c>
      <c r="H687" s="0" t="n">
        <v>0.73</v>
      </c>
      <c r="I687" s="10" t="n">
        <v>0.541</v>
      </c>
      <c r="J687" s="0" t="n">
        <v>1.11</v>
      </c>
      <c r="K687" s="13" t="n">
        <f aca="false">IF(H687&lt;&gt;"",H687,IFERROR(G687/INDEX(Players!$M$2:$M$124,MATCH(B687,Players!$A$2:$A$124,0)),""))</f>
        <v>0.73</v>
      </c>
    </row>
    <row r="688" customFormat="false" ht="15" hidden="false" customHeight="false" outlineLevel="0" collapsed="false">
      <c r="A688" s="0" t="s">
        <v>2466</v>
      </c>
      <c r="B688" s="0" t="s">
        <v>1491</v>
      </c>
      <c r="C688" s="0" t="s">
        <v>1206</v>
      </c>
      <c r="D688" s="0" t="s">
        <v>988</v>
      </c>
      <c r="E688" s="0" t="s">
        <v>150</v>
      </c>
      <c r="F688" s="0" t="n">
        <v>7</v>
      </c>
      <c r="G688" s="0" t="n">
        <v>16</v>
      </c>
      <c r="H688" s="0" t="n">
        <v>0.64</v>
      </c>
      <c r="I688" s="10" t="n">
        <v>0.634</v>
      </c>
      <c r="J688" s="0" t="n">
        <v>0.9</v>
      </c>
      <c r="K688" s="13" t="n">
        <f aca="false">IF(H688&lt;&gt;"",H688,IFERROR(G688/INDEX(Players!$M$2:$M$124,MATCH(B688,Players!$A$2:$A$124,0)),""))</f>
        <v>0.64</v>
      </c>
    </row>
    <row r="689" customFormat="false" ht="15" hidden="false" customHeight="false" outlineLevel="0" collapsed="false">
      <c r="A689" s="0" t="s">
        <v>2467</v>
      </c>
      <c r="B689" s="0" t="s">
        <v>1491</v>
      </c>
      <c r="C689" s="0" t="s">
        <v>1206</v>
      </c>
      <c r="D689" s="0" t="s">
        <v>988</v>
      </c>
      <c r="E689" s="0" t="s">
        <v>80</v>
      </c>
      <c r="F689" s="0" t="n">
        <v>4</v>
      </c>
      <c r="G689" s="0" t="n">
        <v>16</v>
      </c>
      <c r="H689" s="0" t="n">
        <v>0.79</v>
      </c>
      <c r="I689" s="10" t="n">
        <v>0.609</v>
      </c>
      <c r="J689" s="0" t="n">
        <v>1.12</v>
      </c>
      <c r="K689" s="13" t="n">
        <f aca="false">IF(H689&lt;&gt;"",H689,IFERROR(G689/INDEX(Players!$M$2:$M$124,MATCH(B689,Players!$A$2:$A$124,0)),""))</f>
        <v>0.79</v>
      </c>
    </row>
    <row r="690" customFormat="false" ht="15" hidden="false" customHeight="false" outlineLevel="0" collapsed="false">
      <c r="A690" s="0" t="s">
        <v>2468</v>
      </c>
      <c r="B690" s="0" t="s">
        <v>1491</v>
      </c>
      <c r="C690" s="0" t="s">
        <v>1206</v>
      </c>
      <c r="D690" s="0" t="s">
        <v>988</v>
      </c>
      <c r="E690" s="0" t="s">
        <v>94</v>
      </c>
      <c r="F690" s="0" t="n">
        <v>3</v>
      </c>
      <c r="G690" s="0" t="n">
        <v>15.7</v>
      </c>
      <c r="H690" s="0" t="n">
        <v>0.62</v>
      </c>
      <c r="I690" s="10" t="n">
        <v>0.574</v>
      </c>
      <c r="J690" s="0" t="n">
        <v>1.12</v>
      </c>
      <c r="K690" s="13" t="n">
        <f aca="false">IF(H690&lt;&gt;"",H690,IFERROR(G690/INDEX(Players!$M$2:$M$124,MATCH(B690,Players!$A$2:$A$124,0)),""))</f>
        <v>0.62</v>
      </c>
    </row>
    <row r="691" customFormat="false" ht="15" hidden="false" customHeight="false" outlineLevel="0" collapsed="false">
      <c r="A691" s="0" t="s">
        <v>2469</v>
      </c>
      <c r="B691" s="0" t="s">
        <v>1476</v>
      </c>
      <c r="C691" s="0" t="s">
        <v>1166</v>
      </c>
      <c r="D691" s="0" t="s">
        <v>988</v>
      </c>
      <c r="E691" s="0" t="s">
        <v>107</v>
      </c>
      <c r="F691" s="0" t="n">
        <v>8</v>
      </c>
      <c r="G691" s="0" t="n">
        <v>15</v>
      </c>
      <c r="H691" s="0" t="n">
        <v>0.66</v>
      </c>
      <c r="I691" s="10" t="n">
        <v>0.475</v>
      </c>
      <c r="J691" s="0" t="n">
        <v>0.95</v>
      </c>
      <c r="K691" s="13" t="n">
        <f aca="false">IF(H691&lt;&gt;"",H691,IFERROR(G691/INDEX(Players!$M$2:$M$124,MATCH(B691,Players!$A$2:$A$124,0)),""))</f>
        <v>0.66</v>
      </c>
    </row>
    <row r="692" customFormat="false" ht="15" hidden="false" customHeight="false" outlineLevel="0" collapsed="false">
      <c r="A692" s="0" t="s">
        <v>2470</v>
      </c>
      <c r="B692" s="0" t="s">
        <v>1476</v>
      </c>
      <c r="C692" s="0" t="s">
        <v>1166</v>
      </c>
      <c r="D692" s="0" t="s">
        <v>988</v>
      </c>
      <c r="E692" s="0" t="s">
        <v>94</v>
      </c>
      <c r="F692" s="0" t="n">
        <v>7</v>
      </c>
      <c r="G692" s="0" t="n">
        <v>13.4</v>
      </c>
      <c r="H692" s="0" t="n">
        <v>0.68</v>
      </c>
      <c r="I692" s="10" t="n">
        <v>0.553</v>
      </c>
      <c r="J692" s="0" t="n">
        <v>1.02</v>
      </c>
      <c r="K692" s="13" t="n">
        <f aca="false">IF(H692&lt;&gt;"",H692,IFERROR(G692/INDEX(Players!$M$2:$M$124,MATCH(B692,Players!$A$2:$A$124,0)),""))</f>
        <v>0.68</v>
      </c>
    </row>
    <row r="693" customFormat="false" ht="15" hidden="false" customHeight="false" outlineLevel="0" collapsed="false">
      <c r="A693" s="0" t="s">
        <v>2471</v>
      </c>
      <c r="B693" s="0" t="s">
        <v>1476</v>
      </c>
      <c r="C693" s="0" t="s">
        <v>1166</v>
      </c>
      <c r="D693" s="0" t="s">
        <v>988</v>
      </c>
      <c r="E693" s="0" t="s">
        <v>150</v>
      </c>
      <c r="F693" s="0" t="n">
        <v>7</v>
      </c>
      <c r="G693" s="0" t="n">
        <v>12</v>
      </c>
      <c r="H693" s="0" t="n">
        <v>0.6</v>
      </c>
      <c r="I693" s="10" t="n">
        <v>0.56</v>
      </c>
      <c r="J693" s="0" t="n">
        <v>0.85</v>
      </c>
      <c r="K693" s="13" t="n">
        <f aca="false">IF(H693&lt;&gt;"",H693,IFERROR(G693/INDEX(Players!$M$2:$M$124,MATCH(B693,Players!$A$2:$A$124,0)),""))</f>
        <v>0.6</v>
      </c>
    </row>
    <row r="694" customFormat="false" ht="15" hidden="false" customHeight="false" outlineLevel="0" collapsed="false">
      <c r="A694" s="0" t="s">
        <v>2472</v>
      </c>
      <c r="B694" s="0" t="s">
        <v>1476</v>
      </c>
      <c r="C694" s="0" t="s">
        <v>1166</v>
      </c>
      <c r="D694" s="0" t="s">
        <v>988</v>
      </c>
      <c r="E694" s="0" t="s">
        <v>142</v>
      </c>
      <c r="F694" s="0" t="n">
        <v>6</v>
      </c>
      <c r="G694" s="0" t="n">
        <v>14.2</v>
      </c>
      <c r="H694" s="0" t="n">
        <v>0.61</v>
      </c>
      <c r="I694" s="10" t="n">
        <v>0.541</v>
      </c>
      <c r="J694" s="0" t="n">
        <v>1</v>
      </c>
      <c r="K694" s="13" t="n">
        <f aca="false">IF(H694&lt;&gt;"",H694,IFERROR(G694/INDEX(Players!$M$2:$M$124,MATCH(B694,Players!$A$2:$A$124,0)),""))</f>
        <v>0.61</v>
      </c>
    </row>
    <row r="695" customFormat="false" ht="15" hidden="false" customHeight="false" outlineLevel="0" collapsed="false">
      <c r="A695" s="0" t="s">
        <v>2473</v>
      </c>
      <c r="B695" s="0" t="s">
        <v>1476</v>
      </c>
      <c r="C695" s="0" t="s">
        <v>1166</v>
      </c>
      <c r="D695" s="0" t="s">
        <v>988</v>
      </c>
      <c r="E695" s="0" t="s">
        <v>80</v>
      </c>
      <c r="F695" s="0" t="n">
        <v>6</v>
      </c>
      <c r="G695" s="0" t="n">
        <v>9.5</v>
      </c>
      <c r="H695" s="0" t="n">
        <v>0.5</v>
      </c>
      <c r="I695" s="10" t="n">
        <v>0.614</v>
      </c>
      <c r="J695" s="0" t="n">
        <v>0.67</v>
      </c>
      <c r="K695" s="13" t="n">
        <f aca="false">IF(H695&lt;&gt;"",H695,IFERROR(G695/INDEX(Players!$M$2:$M$124,MATCH(B695,Players!$A$2:$A$124,0)),""))</f>
        <v>0.5</v>
      </c>
    </row>
    <row r="696" customFormat="false" ht="15" hidden="false" customHeight="false" outlineLevel="0" collapsed="false">
      <c r="A696" s="0" t="s">
        <v>2474</v>
      </c>
      <c r="B696" s="0" t="s">
        <v>1476</v>
      </c>
      <c r="C696" s="0" t="s">
        <v>1166</v>
      </c>
      <c r="D696" s="0" t="s">
        <v>988</v>
      </c>
      <c r="E696" s="0" t="s">
        <v>131</v>
      </c>
      <c r="F696" s="0" t="n">
        <v>4</v>
      </c>
      <c r="G696" s="0" t="n">
        <v>14.3</v>
      </c>
      <c r="H696" s="0" t="n">
        <v>0.66</v>
      </c>
      <c r="I696" s="10" t="n">
        <v>0.561</v>
      </c>
      <c r="J696" s="0" t="n">
        <v>0.98</v>
      </c>
      <c r="K696" s="13" t="n">
        <f aca="false">IF(H696&lt;&gt;"",H696,IFERROR(G696/INDEX(Players!$M$2:$M$124,MATCH(B696,Players!$A$2:$A$124,0)),""))</f>
        <v>0.66</v>
      </c>
    </row>
    <row r="697" customFormat="false" ht="15" hidden="false" customHeight="false" outlineLevel="0" collapsed="false">
      <c r="A697" s="0" t="s">
        <v>2475</v>
      </c>
      <c r="B697" s="0" t="s">
        <v>1547</v>
      </c>
      <c r="C697" s="0" t="s">
        <v>1332</v>
      </c>
      <c r="D697" s="0" t="s">
        <v>988</v>
      </c>
      <c r="E697" s="0" t="s">
        <v>150</v>
      </c>
      <c r="F697" s="0" t="n">
        <v>10</v>
      </c>
      <c r="G697" s="0" t="n">
        <v>16.9</v>
      </c>
      <c r="H697" s="0" t="n">
        <v>0.76</v>
      </c>
      <c r="I697" s="10" t="n">
        <v>0.615</v>
      </c>
      <c r="J697" s="0" t="n">
        <v>1.13</v>
      </c>
      <c r="K697" s="13" t="n">
        <f aca="false">IF(H697&lt;&gt;"",H697,IFERROR(G697/INDEX(Players!$M$2:$M$124,MATCH(B697,Players!$A$2:$A$124,0)),""))</f>
        <v>0.76</v>
      </c>
    </row>
    <row r="698" customFormat="false" ht="15" hidden="false" customHeight="false" outlineLevel="0" collapsed="false">
      <c r="A698" s="0" t="s">
        <v>2476</v>
      </c>
      <c r="B698" s="0" t="s">
        <v>1547</v>
      </c>
      <c r="C698" s="0" t="s">
        <v>1332</v>
      </c>
      <c r="D698" s="0" t="s">
        <v>988</v>
      </c>
      <c r="E698" s="0" t="s">
        <v>131</v>
      </c>
      <c r="F698" s="0" t="n">
        <v>7</v>
      </c>
      <c r="G698" s="0" t="n">
        <v>12.6</v>
      </c>
      <c r="H698" s="0" t="n">
        <v>0.61</v>
      </c>
      <c r="I698" s="10" t="n">
        <v>0.67</v>
      </c>
      <c r="J698" s="0" t="n">
        <v>0.99</v>
      </c>
      <c r="K698" s="13" t="n">
        <f aca="false">IF(H698&lt;&gt;"",H698,IFERROR(G698/INDEX(Players!$M$2:$M$124,MATCH(B698,Players!$A$2:$A$124,0)),""))</f>
        <v>0.61</v>
      </c>
    </row>
    <row r="699" customFormat="false" ht="15" hidden="false" customHeight="false" outlineLevel="0" collapsed="false">
      <c r="A699" s="0" t="s">
        <v>2477</v>
      </c>
      <c r="B699" s="0" t="s">
        <v>1547</v>
      </c>
      <c r="C699" s="0" t="s">
        <v>1332</v>
      </c>
      <c r="D699" s="0" t="s">
        <v>988</v>
      </c>
      <c r="E699" s="0" t="s">
        <v>142</v>
      </c>
      <c r="F699" s="0" t="n">
        <v>6</v>
      </c>
      <c r="G699" s="0" t="n">
        <v>14.8</v>
      </c>
      <c r="H699" s="0" t="n">
        <v>0.72</v>
      </c>
      <c r="I699" s="10" t="n">
        <v>0.674</v>
      </c>
      <c r="J699" s="0" t="n">
        <v>1.03</v>
      </c>
      <c r="K699" s="13" t="n">
        <f aca="false">IF(H699&lt;&gt;"",H699,IFERROR(G699/INDEX(Players!$M$2:$M$124,MATCH(B699,Players!$A$2:$A$124,0)),""))</f>
        <v>0.72</v>
      </c>
    </row>
    <row r="700" customFormat="false" ht="15" hidden="false" customHeight="false" outlineLevel="0" collapsed="false">
      <c r="A700" s="0" t="s">
        <v>2478</v>
      </c>
      <c r="B700" s="0" t="s">
        <v>1547</v>
      </c>
      <c r="C700" s="0" t="s">
        <v>1332</v>
      </c>
      <c r="D700" s="0" t="s">
        <v>988</v>
      </c>
      <c r="E700" s="0" t="s">
        <v>80</v>
      </c>
      <c r="F700" s="0" t="n">
        <v>6</v>
      </c>
      <c r="G700" s="0" t="n">
        <v>13.8</v>
      </c>
      <c r="H700" s="0" t="n">
        <v>0.66</v>
      </c>
      <c r="I700" s="10" t="n">
        <v>0.723</v>
      </c>
      <c r="J700" s="0" t="n">
        <v>0.99</v>
      </c>
      <c r="K700" s="13" t="n">
        <f aca="false">IF(H700&lt;&gt;"",H700,IFERROR(G700/INDEX(Players!$M$2:$M$124,MATCH(B700,Players!$A$2:$A$124,0)),""))</f>
        <v>0.66</v>
      </c>
    </row>
    <row r="701" customFormat="false" ht="15" hidden="false" customHeight="false" outlineLevel="0" collapsed="false">
      <c r="A701" s="0" t="s">
        <v>2479</v>
      </c>
      <c r="B701" s="0" t="s">
        <v>1547</v>
      </c>
      <c r="C701" s="0" t="s">
        <v>1332</v>
      </c>
      <c r="D701" s="0" t="s">
        <v>988</v>
      </c>
      <c r="E701" s="0" t="s">
        <v>107</v>
      </c>
      <c r="F701" s="0" t="n">
        <v>6</v>
      </c>
      <c r="G701" s="0" t="n">
        <v>13.2</v>
      </c>
      <c r="H701" s="0" t="n">
        <v>0.59</v>
      </c>
      <c r="I701" s="10" t="n">
        <v>0.658</v>
      </c>
      <c r="J701" s="0" t="n">
        <v>0.9</v>
      </c>
      <c r="K701" s="13" t="n">
        <f aca="false">IF(H701&lt;&gt;"",H701,IFERROR(G701/INDEX(Players!$M$2:$M$124,MATCH(B701,Players!$A$2:$A$124,0)),""))</f>
        <v>0.59</v>
      </c>
    </row>
    <row r="702" customFormat="false" ht="15" hidden="false" customHeight="false" outlineLevel="0" collapsed="false">
      <c r="A702" s="0" t="s">
        <v>2480</v>
      </c>
      <c r="B702" s="0" t="s">
        <v>1547</v>
      </c>
      <c r="C702" s="0" t="s">
        <v>1332</v>
      </c>
      <c r="D702" s="0" t="s">
        <v>988</v>
      </c>
      <c r="E702" s="0" t="s">
        <v>121</v>
      </c>
      <c r="F702" s="0" t="n">
        <v>4</v>
      </c>
      <c r="G702" s="0" t="n">
        <v>14.8</v>
      </c>
      <c r="H702" s="0" t="n">
        <v>0.73</v>
      </c>
      <c r="I702" s="10" t="n">
        <v>0.61</v>
      </c>
      <c r="J702" s="0" t="n">
        <v>1.13</v>
      </c>
      <c r="K702" s="13" t="n">
        <f aca="false">IF(H702&lt;&gt;"",H702,IFERROR(G702/INDEX(Players!$M$2:$M$124,MATCH(B702,Players!$A$2:$A$124,0)),""))</f>
        <v>0.73</v>
      </c>
    </row>
    <row r="703" customFormat="false" ht="15" hidden="false" customHeight="false" outlineLevel="0" collapsed="false">
      <c r="A703" s="0" t="s">
        <v>2481</v>
      </c>
      <c r="B703" s="0" t="s">
        <v>1548</v>
      </c>
      <c r="C703" s="0" t="s">
        <v>1334</v>
      </c>
      <c r="D703" s="0" t="s">
        <v>988</v>
      </c>
      <c r="E703" s="0" t="s">
        <v>150</v>
      </c>
      <c r="F703" s="0" t="n">
        <v>10</v>
      </c>
      <c r="G703" s="0" t="n">
        <v>16.8</v>
      </c>
      <c r="H703" s="0" t="n">
        <v>0.75</v>
      </c>
      <c r="I703" s="10" t="n">
        <v>0.512</v>
      </c>
      <c r="J703" s="0" t="n">
        <v>1.06</v>
      </c>
      <c r="K703" s="13" t="n">
        <f aca="false">IF(H703&lt;&gt;"",H703,IFERROR(G703/INDEX(Players!$M$2:$M$124,MATCH(B703,Players!$A$2:$A$124,0)),""))</f>
        <v>0.75</v>
      </c>
    </row>
    <row r="704" customFormat="false" ht="15" hidden="false" customHeight="false" outlineLevel="0" collapsed="false">
      <c r="A704" s="0" t="s">
        <v>2482</v>
      </c>
      <c r="B704" s="0" t="s">
        <v>1548</v>
      </c>
      <c r="C704" s="0" t="s">
        <v>1334</v>
      </c>
      <c r="D704" s="0" t="s">
        <v>988</v>
      </c>
      <c r="E704" s="0" t="s">
        <v>131</v>
      </c>
      <c r="F704" s="0" t="n">
        <v>7</v>
      </c>
      <c r="G704" s="0" t="n">
        <v>13.7</v>
      </c>
      <c r="H704" s="0" t="n">
        <v>0.66</v>
      </c>
      <c r="I704" s="10" t="n">
        <v>0.51</v>
      </c>
      <c r="J704" s="0" t="n">
        <v>0.99</v>
      </c>
      <c r="K704" s="13" t="n">
        <f aca="false">IF(H704&lt;&gt;"",H704,IFERROR(G704/INDEX(Players!$M$2:$M$124,MATCH(B704,Players!$A$2:$A$124,0)),""))</f>
        <v>0.66</v>
      </c>
    </row>
    <row r="705" customFormat="false" ht="15" hidden="false" customHeight="false" outlineLevel="0" collapsed="false">
      <c r="A705" s="0" t="s">
        <v>2483</v>
      </c>
      <c r="B705" s="0" t="s">
        <v>1548</v>
      </c>
      <c r="C705" s="0" t="s">
        <v>1334</v>
      </c>
      <c r="D705" s="0" t="s">
        <v>988</v>
      </c>
      <c r="E705" s="0" t="s">
        <v>107</v>
      </c>
      <c r="F705" s="0" t="n">
        <v>6</v>
      </c>
      <c r="G705" s="0" t="n">
        <v>16.8</v>
      </c>
      <c r="H705" s="0" t="n">
        <v>0.75</v>
      </c>
      <c r="I705" s="10" t="n">
        <v>0.594</v>
      </c>
      <c r="J705" s="0" t="n">
        <v>1.06</v>
      </c>
      <c r="K705" s="13" t="n">
        <f aca="false">IF(H705&lt;&gt;"",H705,IFERROR(G705/INDEX(Players!$M$2:$M$124,MATCH(B705,Players!$A$2:$A$124,0)),""))</f>
        <v>0.75</v>
      </c>
    </row>
    <row r="706" customFormat="false" ht="15" hidden="false" customHeight="false" outlineLevel="0" collapsed="false">
      <c r="A706" s="0" t="s">
        <v>2484</v>
      </c>
      <c r="B706" s="0" t="s">
        <v>1548</v>
      </c>
      <c r="C706" s="0" t="s">
        <v>1334</v>
      </c>
      <c r="D706" s="0" t="s">
        <v>988</v>
      </c>
      <c r="E706" s="0" t="s">
        <v>142</v>
      </c>
      <c r="F706" s="0" t="n">
        <v>6</v>
      </c>
      <c r="G706" s="0" t="n">
        <v>13.3</v>
      </c>
      <c r="H706" s="0" t="n">
        <v>0.65</v>
      </c>
      <c r="I706" s="10" t="n">
        <v>0.463</v>
      </c>
      <c r="J706" s="0" t="n">
        <v>0.96</v>
      </c>
      <c r="K706" s="13" t="n">
        <f aca="false">IF(H706&lt;&gt;"",H706,IFERROR(G706/INDEX(Players!$M$2:$M$124,MATCH(B706,Players!$A$2:$A$124,0)),""))</f>
        <v>0.65</v>
      </c>
    </row>
    <row r="707" customFormat="false" ht="15" hidden="false" customHeight="false" outlineLevel="0" collapsed="false">
      <c r="A707" s="0" t="s">
        <v>2485</v>
      </c>
      <c r="B707" s="0" t="s">
        <v>1548</v>
      </c>
      <c r="C707" s="0" t="s">
        <v>1334</v>
      </c>
      <c r="D707" s="0" t="s">
        <v>988</v>
      </c>
      <c r="E707" s="0" t="s">
        <v>80</v>
      </c>
      <c r="F707" s="0" t="n">
        <v>6</v>
      </c>
      <c r="G707" s="0" t="n">
        <v>11.7</v>
      </c>
      <c r="H707" s="0" t="n">
        <v>0.56</v>
      </c>
      <c r="I707" s="10" t="n">
        <v>0.5</v>
      </c>
      <c r="J707" s="0" t="n">
        <v>0.71</v>
      </c>
      <c r="K707" s="13" t="n">
        <f aca="false">IF(H707&lt;&gt;"",H707,IFERROR(G707/INDEX(Players!$M$2:$M$124,MATCH(B707,Players!$A$2:$A$124,0)),""))</f>
        <v>0.56</v>
      </c>
    </row>
    <row r="708" customFormat="false" ht="15" hidden="false" customHeight="false" outlineLevel="0" collapsed="false">
      <c r="A708" s="0" t="s">
        <v>2486</v>
      </c>
      <c r="B708" s="0" t="s">
        <v>1548</v>
      </c>
      <c r="C708" s="0" t="s">
        <v>1334</v>
      </c>
      <c r="D708" s="0" t="s">
        <v>988</v>
      </c>
      <c r="E708" s="0" t="s">
        <v>121</v>
      </c>
      <c r="F708" s="0" t="n">
        <v>4</v>
      </c>
      <c r="G708" s="0" t="n">
        <v>16</v>
      </c>
      <c r="H708" s="0" t="n">
        <v>0.79</v>
      </c>
      <c r="I708" s="10" t="n">
        <v>0.625</v>
      </c>
      <c r="J708" s="0" t="n">
        <v>1.28</v>
      </c>
      <c r="K708" s="13" t="n">
        <f aca="false">IF(H708&lt;&gt;"",H708,IFERROR(G708/INDEX(Players!$M$2:$M$124,MATCH(B708,Players!$A$2:$A$124,0)),""))</f>
        <v>0.79</v>
      </c>
    </row>
    <row r="709" customFormat="false" ht="15" hidden="false" customHeight="false" outlineLevel="0" collapsed="false">
      <c r="A709" s="0" t="s">
        <v>2487</v>
      </c>
      <c r="B709" s="0" t="s">
        <v>1516</v>
      </c>
      <c r="C709" s="0" t="s">
        <v>1269</v>
      </c>
      <c r="D709" s="0" t="s">
        <v>988</v>
      </c>
      <c r="E709" s="0" t="s">
        <v>121</v>
      </c>
      <c r="F709" s="0" t="n">
        <v>10</v>
      </c>
      <c r="G709" s="0" t="n">
        <v>15.2</v>
      </c>
      <c r="H709" s="0" t="n">
        <v>0.71</v>
      </c>
      <c r="I709" s="10" t="n">
        <v>0.546</v>
      </c>
      <c r="J709" s="0" t="n">
        <v>1.01</v>
      </c>
      <c r="K709" s="13" t="n">
        <f aca="false">IF(H709&lt;&gt;"",H709,IFERROR(G709/INDEX(Players!$M$2:$M$124,MATCH(B709,Players!$A$2:$A$124,0)),""))</f>
        <v>0.71</v>
      </c>
    </row>
    <row r="710" customFormat="false" ht="15" hidden="false" customHeight="false" outlineLevel="0" collapsed="false">
      <c r="A710" s="0" t="s">
        <v>2488</v>
      </c>
      <c r="B710" s="0" t="s">
        <v>1516</v>
      </c>
      <c r="C710" s="0" t="s">
        <v>1269</v>
      </c>
      <c r="D710" s="0" t="s">
        <v>988</v>
      </c>
      <c r="E710" s="0" t="s">
        <v>107</v>
      </c>
      <c r="F710" s="0" t="n">
        <v>8</v>
      </c>
      <c r="G710" s="0" t="n">
        <v>14.3</v>
      </c>
      <c r="H710" s="0" t="n">
        <v>0.61</v>
      </c>
      <c r="I710" s="10" t="n">
        <v>0.596</v>
      </c>
      <c r="J710" s="0" t="n">
        <v>0.88</v>
      </c>
      <c r="K710" s="13" t="n">
        <f aca="false">IF(H710&lt;&gt;"",H710,IFERROR(G710/INDEX(Players!$M$2:$M$124,MATCH(B710,Players!$A$2:$A$124,0)),""))</f>
        <v>0.61</v>
      </c>
    </row>
    <row r="711" customFormat="false" ht="15" hidden="false" customHeight="false" outlineLevel="0" collapsed="false">
      <c r="A711" s="0" t="s">
        <v>2489</v>
      </c>
      <c r="B711" s="0" t="s">
        <v>1516</v>
      </c>
      <c r="C711" s="0" t="s">
        <v>1269</v>
      </c>
      <c r="D711" s="0" t="s">
        <v>988</v>
      </c>
      <c r="E711" s="0" t="s">
        <v>80</v>
      </c>
      <c r="F711" s="0" t="n">
        <v>6</v>
      </c>
      <c r="G711" s="0" t="n">
        <v>14.2</v>
      </c>
      <c r="H711" s="0" t="n">
        <v>0.69</v>
      </c>
      <c r="I711" s="10" t="n">
        <v>0.553</v>
      </c>
      <c r="J711" s="0" t="n">
        <v>0.92</v>
      </c>
      <c r="K711" s="13" t="n">
        <f aca="false">IF(H711&lt;&gt;"",H711,IFERROR(G711/INDEX(Players!$M$2:$M$124,MATCH(B711,Players!$A$2:$A$124,0)),""))</f>
        <v>0.69</v>
      </c>
    </row>
    <row r="712" customFormat="false" ht="15" hidden="false" customHeight="false" outlineLevel="0" collapsed="false">
      <c r="A712" s="0" t="s">
        <v>2490</v>
      </c>
      <c r="B712" s="0" t="s">
        <v>1516</v>
      </c>
      <c r="C712" s="0" t="s">
        <v>1269</v>
      </c>
      <c r="D712" s="0" t="s">
        <v>988</v>
      </c>
      <c r="E712" s="0" t="s">
        <v>150</v>
      </c>
      <c r="F712" s="0" t="n">
        <v>5</v>
      </c>
      <c r="G712" s="0" t="n">
        <v>14.2</v>
      </c>
      <c r="H712" s="0" t="n">
        <v>0.64</v>
      </c>
      <c r="I712" s="10" t="n">
        <v>0.606</v>
      </c>
      <c r="J712" s="0" t="n">
        <v>0.99</v>
      </c>
      <c r="K712" s="13" t="n">
        <f aca="false">IF(H712&lt;&gt;"",H712,IFERROR(G712/INDEX(Players!$M$2:$M$124,MATCH(B712,Players!$A$2:$A$124,0)),""))</f>
        <v>0.64</v>
      </c>
    </row>
    <row r="713" customFormat="false" ht="15" hidden="false" customHeight="false" outlineLevel="0" collapsed="false">
      <c r="A713" s="0" t="s">
        <v>2491</v>
      </c>
      <c r="B713" s="0" t="s">
        <v>1516</v>
      </c>
      <c r="C713" s="0" t="s">
        <v>1269</v>
      </c>
      <c r="D713" s="0" t="s">
        <v>988</v>
      </c>
      <c r="E713" s="0" t="s">
        <v>94</v>
      </c>
      <c r="F713" s="0" t="n">
        <v>4</v>
      </c>
      <c r="G713" s="0" t="n">
        <v>11.8</v>
      </c>
      <c r="H713" s="0" t="n">
        <v>0.55</v>
      </c>
      <c r="I713" s="10" t="n">
        <v>0.468</v>
      </c>
      <c r="J713" s="0" t="n">
        <v>0.78</v>
      </c>
      <c r="K713" s="13" t="n">
        <f aca="false">IF(H713&lt;&gt;"",H713,IFERROR(G713/INDEX(Players!$M$2:$M$124,MATCH(B713,Players!$A$2:$A$124,0)),""))</f>
        <v>0.55</v>
      </c>
    </row>
    <row r="714" customFormat="false" ht="15" hidden="false" customHeight="false" outlineLevel="0" collapsed="false">
      <c r="A714" s="0" t="s">
        <v>2492</v>
      </c>
      <c r="B714" s="0" t="s">
        <v>1516</v>
      </c>
      <c r="C714" s="0" t="s">
        <v>1269</v>
      </c>
      <c r="D714" s="0" t="s">
        <v>988</v>
      </c>
      <c r="E714" s="0" t="s">
        <v>142</v>
      </c>
      <c r="F714" s="0" t="n">
        <v>2</v>
      </c>
      <c r="G714" s="0" t="n">
        <v>7</v>
      </c>
      <c r="H714" s="0" t="n">
        <v>0.33</v>
      </c>
      <c r="I714" s="10" t="n">
        <v>0.5</v>
      </c>
      <c r="J714" s="0" t="n">
        <v>0.47</v>
      </c>
      <c r="K714" s="13" t="n">
        <f aca="false">IF(H714&lt;&gt;"",H714,IFERROR(G714/INDEX(Players!$M$2:$M$124,MATCH(B714,Players!$A$2:$A$124,0)),""))</f>
        <v>0.33</v>
      </c>
    </row>
    <row r="715" customFormat="false" ht="15" hidden="false" customHeight="false" outlineLevel="0" collapsed="false">
      <c r="A715" s="0" t="s">
        <v>2493</v>
      </c>
      <c r="B715" s="0" t="s">
        <v>1516</v>
      </c>
      <c r="C715" s="0" t="s">
        <v>1269</v>
      </c>
      <c r="D715" s="0" t="s">
        <v>988</v>
      </c>
      <c r="E715" s="0" t="s">
        <v>131</v>
      </c>
      <c r="F715" s="0" t="n">
        <v>1</v>
      </c>
      <c r="G715" s="0" t="n">
        <v>25</v>
      </c>
      <c r="H715" s="0" t="n">
        <v>1.09</v>
      </c>
      <c r="I715" s="10" t="n">
        <v>0.56</v>
      </c>
      <c r="J715" s="0" t="n">
        <v>1.79</v>
      </c>
      <c r="K715" s="13" t="n">
        <f aca="false">IF(H715&lt;&gt;"",H715,IFERROR(G715/INDEX(Players!$M$2:$M$124,MATCH(B715,Players!$A$2:$A$124,0)),""))</f>
        <v>1.09</v>
      </c>
    </row>
    <row r="716" customFormat="false" ht="15" hidden="false" customHeight="false" outlineLevel="0" collapsed="false">
      <c r="A716" s="0" t="s">
        <v>2494</v>
      </c>
      <c r="B716" s="0" t="s">
        <v>1505</v>
      </c>
      <c r="C716" s="0" t="s">
        <v>1241</v>
      </c>
      <c r="D716" s="0" t="s">
        <v>988</v>
      </c>
      <c r="E716" s="0" t="s">
        <v>150</v>
      </c>
      <c r="F716" s="0" t="n">
        <v>10</v>
      </c>
      <c r="G716" s="0" t="n">
        <v>14.1</v>
      </c>
      <c r="H716" s="0" t="n">
        <v>0.64</v>
      </c>
      <c r="I716" s="10" t="n">
        <v>0.624</v>
      </c>
      <c r="J716" s="0" t="n">
        <v>0.94</v>
      </c>
      <c r="K716" s="13" t="n">
        <f aca="false">IF(H716&lt;&gt;"",H716,IFERROR(G716/INDEX(Players!$M$2:$M$124,MATCH(B716,Players!$A$2:$A$124,0)),""))</f>
        <v>0.64</v>
      </c>
    </row>
    <row r="717" customFormat="false" ht="15" hidden="false" customHeight="false" outlineLevel="0" collapsed="false">
      <c r="A717" s="0" t="s">
        <v>2495</v>
      </c>
      <c r="B717" s="0" t="s">
        <v>1505</v>
      </c>
      <c r="C717" s="0" t="s">
        <v>1241</v>
      </c>
      <c r="D717" s="0" t="s">
        <v>988</v>
      </c>
      <c r="E717" s="0" t="s">
        <v>142</v>
      </c>
      <c r="F717" s="0" t="n">
        <v>6</v>
      </c>
      <c r="G717" s="0" t="n">
        <v>14.8</v>
      </c>
      <c r="H717" s="0" t="n">
        <v>0.72</v>
      </c>
      <c r="I717" s="10" t="n">
        <v>0.483</v>
      </c>
      <c r="J717" s="0" t="n">
        <v>1.14</v>
      </c>
      <c r="K717" s="13" t="n">
        <f aca="false">IF(H717&lt;&gt;"",H717,IFERROR(G717/INDEX(Players!$M$2:$M$124,MATCH(B717,Players!$A$2:$A$124,0)),""))</f>
        <v>0.72</v>
      </c>
    </row>
    <row r="718" customFormat="false" ht="15" hidden="false" customHeight="false" outlineLevel="0" collapsed="false">
      <c r="A718" s="0" t="s">
        <v>2496</v>
      </c>
      <c r="B718" s="0" t="s">
        <v>1505</v>
      </c>
      <c r="C718" s="0" t="s">
        <v>1241</v>
      </c>
      <c r="D718" s="0" t="s">
        <v>988</v>
      </c>
      <c r="E718" s="0" t="s">
        <v>80</v>
      </c>
      <c r="F718" s="0" t="n">
        <v>6</v>
      </c>
      <c r="G718" s="0" t="n">
        <v>15.5</v>
      </c>
      <c r="H718" s="0" t="n">
        <v>0.71</v>
      </c>
      <c r="I718" s="10" t="n">
        <v>0.602</v>
      </c>
      <c r="J718" s="0" t="n">
        <v>1.01</v>
      </c>
      <c r="K718" s="13" t="n">
        <f aca="false">IF(H718&lt;&gt;"",H718,IFERROR(G718/INDEX(Players!$M$2:$M$124,MATCH(B718,Players!$A$2:$A$124,0)),""))</f>
        <v>0.71</v>
      </c>
    </row>
    <row r="719" customFormat="false" ht="15" hidden="false" customHeight="false" outlineLevel="0" collapsed="false">
      <c r="A719" s="0" t="s">
        <v>2497</v>
      </c>
      <c r="B719" s="0" t="s">
        <v>1505</v>
      </c>
      <c r="C719" s="0" t="s">
        <v>1241</v>
      </c>
      <c r="D719" s="0" t="s">
        <v>988</v>
      </c>
      <c r="E719" s="0" t="s">
        <v>131</v>
      </c>
      <c r="F719" s="0" t="n">
        <v>6</v>
      </c>
      <c r="G719" s="0" t="n">
        <v>15.7</v>
      </c>
      <c r="H719" s="0" t="n">
        <v>0.73</v>
      </c>
      <c r="I719" s="10" t="n">
        <v>0.596</v>
      </c>
      <c r="J719" s="0" t="n">
        <v>1.01</v>
      </c>
      <c r="K719" s="13" t="n">
        <f aca="false">IF(H719&lt;&gt;"",H719,IFERROR(G719/INDEX(Players!$M$2:$M$124,MATCH(B719,Players!$A$2:$A$124,0)),""))</f>
        <v>0.73</v>
      </c>
    </row>
    <row r="720" customFormat="false" ht="15" hidden="false" customHeight="false" outlineLevel="0" collapsed="false">
      <c r="A720" s="0" t="s">
        <v>2498</v>
      </c>
      <c r="B720" s="0" t="s">
        <v>1505</v>
      </c>
      <c r="C720" s="0" t="s">
        <v>1241</v>
      </c>
      <c r="D720" s="0" t="s">
        <v>988</v>
      </c>
      <c r="E720" s="0" t="s">
        <v>107</v>
      </c>
      <c r="F720" s="0" t="n">
        <v>4</v>
      </c>
      <c r="G720" s="0" t="n">
        <v>15.8</v>
      </c>
      <c r="H720" s="0" t="n">
        <v>0.8</v>
      </c>
      <c r="I720" s="10" t="n">
        <v>0.587</v>
      </c>
      <c r="J720" s="0" t="n">
        <v>1.29</v>
      </c>
      <c r="K720" s="13" t="n">
        <f aca="false">IF(H720&lt;&gt;"",H720,IFERROR(G720/INDEX(Players!$M$2:$M$124,MATCH(B720,Players!$A$2:$A$124,0)),""))</f>
        <v>0.8</v>
      </c>
    </row>
    <row r="721" customFormat="false" ht="15" hidden="false" customHeight="false" outlineLevel="0" collapsed="false">
      <c r="A721" s="0" t="s">
        <v>2499</v>
      </c>
      <c r="B721" s="0" t="s">
        <v>1505</v>
      </c>
      <c r="C721" s="0" t="s">
        <v>1241</v>
      </c>
      <c r="D721" s="0" t="s">
        <v>988</v>
      </c>
      <c r="E721" s="0" t="s">
        <v>121</v>
      </c>
      <c r="F721" s="0" t="n">
        <v>4</v>
      </c>
      <c r="G721" s="0" t="n">
        <v>17</v>
      </c>
      <c r="H721" s="0" t="n">
        <v>0.69</v>
      </c>
      <c r="I721" s="10" t="n">
        <v>0.647</v>
      </c>
      <c r="J721" s="0" t="n">
        <v>0.93</v>
      </c>
      <c r="K721" s="13" t="n">
        <f aca="false">IF(H721&lt;&gt;"",H721,IFERROR(G721/INDEX(Players!$M$2:$M$124,MATCH(B721,Players!$A$2:$A$124,0)),""))</f>
        <v>0.69</v>
      </c>
    </row>
    <row r="722" customFormat="false" ht="15" hidden="false" customHeight="false" outlineLevel="0" collapsed="false">
      <c r="A722" s="0" t="s">
        <v>2500</v>
      </c>
      <c r="B722" s="0" t="s">
        <v>1505</v>
      </c>
      <c r="C722" s="0" t="s">
        <v>1241</v>
      </c>
      <c r="D722" s="0" t="s">
        <v>988</v>
      </c>
      <c r="E722" s="0" t="s">
        <v>94</v>
      </c>
      <c r="F722" s="0" t="n">
        <v>1</v>
      </c>
      <c r="G722" s="0" t="n">
        <v>10</v>
      </c>
      <c r="H722" s="0" t="n">
        <v>0.48</v>
      </c>
      <c r="I722" s="10" t="n">
        <v>0.6</v>
      </c>
      <c r="J722" s="0" t="n">
        <v>0.56</v>
      </c>
      <c r="K722" s="13" t="n">
        <f aca="false">IF(H722&lt;&gt;"",H722,IFERROR(G722/INDEX(Players!$M$2:$M$124,MATCH(B722,Players!$A$2:$A$124,0)),""))</f>
        <v>0.48</v>
      </c>
    </row>
    <row r="723" customFormat="false" ht="15" hidden="false" customHeight="false" outlineLevel="0" collapsed="false">
      <c r="A723" s="0" t="s">
        <v>2501</v>
      </c>
      <c r="B723" s="0" t="s">
        <v>1500</v>
      </c>
      <c r="C723" s="0" t="s">
        <v>1227</v>
      </c>
      <c r="D723" s="0" t="s">
        <v>988</v>
      </c>
      <c r="E723" s="0" t="s">
        <v>107</v>
      </c>
      <c r="F723" s="0" t="n">
        <v>9</v>
      </c>
      <c r="G723" s="0" t="n">
        <v>15.3</v>
      </c>
      <c r="H723" s="0" t="n">
        <v>0.73</v>
      </c>
      <c r="I723" s="10" t="n">
        <v>0.594</v>
      </c>
      <c r="J723" s="0" t="n">
        <v>1.12</v>
      </c>
      <c r="K723" s="13" t="n">
        <f aca="false">IF(H723&lt;&gt;"",H723,IFERROR(G723/INDEX(Players!$M$2:$M$124,MATCH(B723,Players!$A$2:$A$124,0)),""))</f>
        <v>0.73</v>
      </c>
    </row>
    <row r="724" customFormat="false" ht="15" hidden="false" customHeight="false" outlineLevel="0" collapsed="false">
      <c r="A724" s="0" t="s">
        <v>2502</v>
      </c>
      <c r="B724" s="0" t="s">
        <v>1500</v>
      </c>
      <c r="C724" s="0" t="s">
        <v>1227</v>
      </c>
      <c r="D724" s="0" t="s">
        <v>988</v>
      </c>
      <c r="E724" s="0" t="s">
        <v>121</v>
      </c>
      <c r="F724" s="0" t="n">
        <v>8</v>
      </c>
      <c r="G724" s="0" t="n">
        <v>21.1</v>
      </c>
      <c r="H724" s="0" t="n">
        <v>0.95</v>
      </c>
      <c r="I724" s="10" t="n">
        <v>0.669</v>
      </c>
      <c r="J724" s="0" t="n">
        <v>1.41</v>
      </c>
      <c r="K724" s="13" t="n">
        <f aca="false">IF(H724&lt;&gt;"",H724,IFERROR(G724/INDEX(Players!$M$2:$M$124,MATCH(B724,Players!$A$2:$A$124,0)),""))</f>
        <v>0.95</v>
      </c>
    </row>
    <row r="725" customFormat="false" ht="15" hidden="false" customHeight="false" outlineLevel="0" collapsed="false">
      <c r="A725" s="0" t="s">
        <v>2503</v>
      </c>
      <c r="B725" s="0" t="s">
        <v>1500</v>
      </c>
      <c r="C725" s="0" t="s">
        <v>1227</v>
      </c>
      <c r="D725" s="0" t="s">
        <v>988</v>
      </c>
      <c r="E725" s="0" t="s">
        <v>94</v>
      </c>
      <c r="F725" s="0" t="n">
        <v>7</v>
      </c>
      <c r="G725" s="0" t="n">
        <v>13</v>
      </c>
      <c r="H725" s="0" t="n">
        <v>0.66</v>
      </c>
      <c r="I725" s="10" t="n">
        <v>0.659</v>
      </c>
      <c r="J725" s="0" t="n">
        <v>0.98</v>
      </c>
      <c r="K725" s="13" t="n">
        <f aca="false">IF(H725&lt;&gt;"",H725,IFERROR(G725/INDEX(Players!$M$2:$M$124,MATCH(B725,Players!$A$2:$A$124,0)),""))</f>
        <v>0.66</v>
      </c>
    </row>
    <row r="726" customFormat="false" ht="15" hidden="false" customHeight="false" outlineLevel="0" collapsed="false">
      <c r="A726" s="0" t="s">
        <v>2504</v>
      </c>
      <c r="B726" s="0" t="s">
        <v>1500</v>
      </c>
      <c r="C726" s="0" t="s">
        <v>1227</v>
      </c>
      <c r="D726" s="0" t="s">
        <v>988</v>
      </c>
      <c r="E726" s="0" t="s">
        <v>80</v>
      </c>
      <c r="F726" s="0" t="n">
        <v>6</v>
      </c>
      <c r="G726" s="0" t="n">
        <v>16.7</v>
      </c>
      <c r="H726" s="0" t="n">
        <v>0.78</v>
      </c>
      <c r="I726" s="10" t="n">
        <v>0.69</v>
      </c>
      <c r="J726" s="0" t="n">
        <v>1.04</v>
      </c>
      <c r="K726" s="13" t="n">
        <f aca="false">IF(H726&lt;&gt;"",H726,IFERROR(G726/INDEX(Players!$M$2:$M$124,MATCH(B726,Players!$A$2:$A$124,0)),""))</f>
        <v>0.78</v>
      </c>
    </row>
    <row r="727" customFormat="false" ht="15" hidden="false" customHeight="false" outlineLevel="0" collapsed="false">
      <c r="A727" s="0" t="s">
        <v>2505</v>
      </c>
      <c r="B727" s="0" t="s">
        <v>1500</v>
      </c>
      <c r="C727" s="0" t="s">
        <v>1227</v>
      </c>
      <c r="D727" s="0" t="s">
        <v>988</v>
      </c>
      <c r="E727" s="0" t="s">
        <v>150</v>
      </c>
      <c r="F727" s="0" t="n">
        <v>3</v>
      </c>
      <c r="G727" s="0" t="n">
        <v>18.3</v>
      </c>
      <c r="H727" s="0" t="n">
        <v>0.81</v>
      </c>
      <c r="I727" s="10" t="n">
        <v>0.727</v>
      </c>
      <c r="J727" s="0" t="n">
        <v>1.15</v>
      </c>
      <c r="K727" s="13" t="n">
        <f aca="false">IF(H727&lt;&gt;"",H727,IFERROR(G727/INDEX(Players!$M$2:$M$124,MATCH(B727,Players!$A$2:$A$124,0)),""))</f>
        <v>0.81</v>
      </c>
    </row>
    <row r="728" customFormat="false" ht="15" hidden="false" customHeight="false" outlineLevel="0" collapsed="false">
      <c r="A728" s="0" t="s">
        <v>2506</v>
      </c>
      <c r="B728" s="0" t="s">
        <v>1500</v>
      </c>
      <c r="C728" s="0" t="s">
        <v>1227</v>
      </c>
      <c r="D728" s="0" t="s">
        <v>988</v>
      </c>
      <c r="E728" s="0" t="s">
        <v>131</v>
      </c>
      <c r="F728" s="0" t="n">
        <v>2</v>
      </c>
      <c r="G728" s="0" t="n">
        <v>11.5</v>
      </c>
      <c r="H728" s="0" t="n">
        <v>0.61</v>
      </c>
      <c r="I728" s="10" t="n">
        <v>0.609</v>
      </c>
      <c r="J728" s="0" t="n">
        <v>0.79</v>
      </c>
      <c r="K728" s="13" t="n">
        <f aca="false">IF(H728&lt;&gt;"",H728,IFERROR(G728/INDEX(Players!$M$2:$M$124,MATCH(B728,Players!$A$2:$A$124,0)),""))</f>
        <v>0.61</v>
      </c>
    </row>
    <row r="729" customFormat="false" ht="15" hidden="false" customHeight="false" outlineLevel="0" collapsed="false">
      <c r="A729" s="0" t="s">
        <v>2507</v>
      </c>
      <c r="B729" s="0" t="s">
        <v>1501</v>
      </c>
      <c r="C729" s="0" t="s">
        <v>1229</v>
      </c>
      <c r="D729" s="0" t="s">
        <v>988</v>
      </c>
      <c r="E729" s="0" t="s">
        <v>80</v>
      </c>
      <c r="F729" s="0" t="n">
        <v>10</v>
      </c>
      <c r="G729" s="0" t="n">
        <v>15.2</v>
      </c>
      <c r="H729" s="0" t="n">
        <v>0.67</v>
      </c>
      <c r="I729" s="10" t="n">
        <v>0.467</v>
      </c>
      <c r="J729" s="0" t="n">
        <v>1.03</v>
      </c>
      <c r="K729" s="13" t="n">
        <f aca="false">IF(H729&lt;&gt;"",H729,IFERROR(G729/INDEX(Players!$M$2:$M$124,MATCH(B729,Players!$A$2:$A$124,0)),""))</f>
        <v>0.67</v>
      </c>
    </row>
    <row r="730" customFormat="false" ht="15" hidden="false" customHeight="false" outlineLevel="0" collapsed="false">
      <c r="A730" s="0" t="s">
        <v>2508</v>
      </c>
      <c r="B730" s="0" t="s">
        <v>1501</v>
      </c>
      <c r="C730" s="0" t="s">
        <v>1229</v>
      </c>
      <c r="D730" s="0" t="s">
        <v>988</v>
      </c>
      <c r="E730" s="0" t="s">
        <v>94</v>
      </c>
      <c r="F730" s="0" t="n">
        <v>8</v>
      </c>
      <c r="G730" s="0" t="n">
        <v>16.3</v>
      </c>
      <c r="H730" s="0" t="n">
        <v>0.87</v>
      </c>
      <c r="I730" s="10" t="n">
        <v>0.354</v>
      </c>
      <c r="J730" s="0" t="n">
        <v>1.67</v>
      </c>
      <c r="K730" s="13" t="n">
        <f aca="false">IF(H730&lt;&gt;"",H730,IFERROR(G730/INDEX(Players!$M$2:$M$124,MATCH(B730,Players!$A$2:$A$124,0)),""))</f>
        <v>0.87</v>
      </c>
    </row>
    <row r="731" customFormat="false" ht="15" hidden="false" customHeight="false" outlineLevel="0" collapsed="false">
      <c r="A731" s="0" t="s">
        <v>2509</v>
      </c>
      <c r="B731" s="0" t="s">
        <v>1501</v>
      </c>
      <c r="C731" s="0" t="s">
        <v>1229</v>
      </c>
      <c r="D731" s="0" t="s">
        <v>988</v>
      </c>
      <c r="E731" s="0" t="s">
        <v>121</v>
      </c>
      <c r="F731" s="0" t="n">
        <v>7</v>
      </c>
      <c r="G731" s="0" t="n">
        <v>13.1</v>
      </c>
      <c r="H731" s="0" t="n">
        <v>0.6</v>
      </c>
      <c r="I731" s="10" t="n">
        <v>0.37</v>
      </c>
      <c r="J731" s="0" t="n">
        <v>1</v>
      </c>
      <c r="K731" s="13" t="n">
        <f aca="false">IF(H731&lt;&gt;"",H731,IFERROR(G731/INDEX(Players!$M$2:$M$124,MATCH(B731,Players!$A$2:$A$124,0)),""))</f>
        <v>0.6</v>
      </c>
    </row>
    <row r="732" customFormat="false" ht="15" hidden="false" customHeight="false" outlineLevel="0" collapsed="false">
      <c r="A732" s="0" t="s">
        <v>2510</v>
      </c>
      <c r="B732" s="0" t="s">
        <v>1501</v>
      </c>
      <c r="C732" s="0" t="s">
        <v>1229</v>
      </c>
      <c r="D732" s="0" t="s">
        <v>988</v>
      </c>
      <c r="E732" s="0" t="s">
        <v>107</v>
      </c>
      <c r="F732" s="0" t="n">
        <v>4</v>
      </c>
      <c r="G732" s="0" t="n">
        <v>16.3</v>
      </c>
      <c r="H732" s="0" t="n">
        <v>0.74</v>
      </c>
      <c r="I732" s="10" t="n">
        <v>0.415</v>
      </c>
      <c r="J732" s="0" t="n">
        <v>1.2</v>
      </c>
      <c r="K732" s="13" t="n">
        <f aca="false">IF(H732&lt;&gt;"",H732,IFERROR(G732/INDEX(Players!$M$2:$M$124,MATCH(B732,Players!$A$2:$A$124,0)),""))</f>
        <v>0.74</v>
      </c>
    </row>
    <row r="733" customFormat="false" ht="15" hidden="false" customHeight="false" outlineLevel="0" collapsed="false">
      <c r="A733" s="0" t="s">
        <v>2511</v>
      </c>
      <c r="B733" s="0" t="s">
        <v>1501</v>
      </c>
      <c r="C733" s="0" t="s">
        <v>1229</v>
      </c>
      <c r="D733" s="0" t="s">
        <v>988</v>
      </c>
      <c r="E733" s="0" t="s">
        <v>150</v>
      </c>
      <c r="F733" s="0" t="n">
        <v>3</v>
      </c>
      <c r="G733" s="0" t="n">
        <v>19</v>
      </c>
      <c r="H733" s="0" t="n">
        <v>0.7</v>
      </c>
      <c r="I733" s="10" t="n">
        <v>0.333</v>
      </c>
      <c r="J733" s="0" t="n">
        <v>1.19</v>
      </c>
      <c r="K733" s="13" t="n">
        <f aca="false">IF(H733&lt;&gt;"",H733,IFERROR(G733/INDEX(Players!$M$2:$M$124,MATCH(B733,Players!$A$2:$A$124,0)),""))</f>
        <v>0.7</v>
      </c>
    </row>
    <row r="734" customFormat="false" ht="15" hidden="false" customHeight="false" outlineLevel="0" collapsed="false">
      <c r="A734" s="0" t="s">
        <v>2512</v>
      </c>
      <c r="B734" s="0" t="s">
        <v>1501</v>
      </c>
      <c r="C734" s="0" t="s">
        <v>1229</v>
      </c>
      <c r="D734" s="0" t="s">
        <v>988</v>
      </c>
      <c r="E734" s="0" t="s">
        <v>142</v>
      </c>
      <c r="F734" s="0" t="n">
        <v>2</v>
      </c>
      <c r="G734" s="0" t="n">
        <v>11.5</v>
      </c>
      <c r="H734" s="0" t="n">
        <v>0.55</v>
      </c>
      <c r="I734" s="10" t="n">
        <v>0.391</v>
      </c>
      <c r="J734" s="0" t="n">
        <v>1.05</v>
      </c>
      <c r="K734" s="13" t="n">
        <f aca="false">IF(H734&lt;&gt;"",H734,IFERROR(G734/INDEX(Players!$M$2:$M$124,MATCH(B734,Players!$A$2:$A$124,0)),""))</f>
        <v>0.55</v>
      </c>
    </row>
    <row r="735" customFormat="false" ht="15" hidden="false" customHeight="false" outlineLevel="0" collapsed="false">
      <c r="A735" s="0" t="s">
        <v>2513</v>
      </c>
      <c r="B735" s="0" t="s">
        <v>1501</v>
      </c>
      <c r="C735" s="0" t="s">
        <v>1229</v>
      </c>
      <c r="D735" s="0" t="s">
        <v>988</v>
      </c>
      <c r="E735" s="0" t="s">
        <v>131</v>
      </c>
      <c r="F735" s="0" t="n">
        <v>1</v>
      </c>
      <c r="G735" s="0" t="n">
        <v>10</v>
      </c>
      <c r="H735" s="0" t="n">
        <v>0.63</v>
      </c>
      <c r="I735" s="10" t="n">
        <v>0.4</v>
      </c>
      <c r="J735" s="0" t="n">
        <v>1.43</v>
      </c>
      <c r="K735" s="13" t="n">
        <f aca="false">IF(H735&lt;&gt;"",H735,IFERROR(G735/INDEX(Players!$M$2:$M$124,MATCH(B735,Players!$A$2:$A$124,0)),""))</f>
        <v>0.63</v>
      </c>
    </row>
    <row r="736" customFormat="false" ht="15" hidden="false" customHeight="false" outlineLevel="0" collapsed="false">
      <c r="A736" s="0" t="s">
        <v>2514</v>
      </c>
      <c r="B736" s="0" t="s">
        <v>1496</v>
      </c>
      <c r="C736" s="0" t="s">
        <v>1217</v>
      </c>
      <c r="D736" s="0" t="s">
        <v>988</v>
      </c>
      <c r="E736" s="0" t="s">
        <v>107</v>
      </c>
      <c r="F736" s="0" t="n">
        <v>9</v>
      </c>
      <c r="G736" s="0" t="n">
        <v>17.3</v>
      </c>
      <c r="H736" s="0" t="n">
        <v>0.83</v>
      </c>
      <c r="I736" s="10" t="n">
        <v>0.301</v>
      </c>
      <c r="J736" s="0" t="n">
        <v>1.53</v>
      </c>
      <c r="K736" s="13" t="n">
        <f aca="false">IF(H736&lt;&gt;"",H736,IFERROR(G736/INDEX(Players!$M$2:$M$124,MATCH(B736,Players!$A$2:$A$124,0)),""))</f>
        <v>0.83</v>
      </c>
    </row>
    <row r="737" customFormat="false" ht="15" hidden="false" customHeight="false" outlineLevel="0" collapsed="false">
      <c r="A737" s="0" t="s">
        <v>2515</v>
      </c>
      <c r="B737" s="0" t="s">
        <v>1496</v>
      </c>
      <c r="C737" s="0" t="s">
        <v>1217</v>
      </c>
      <c r="D737" s="0" t="s">
        <v>988</v>
      </c>
      <c r="E737" s="0" t="s">
        <v>131</v>
      </c>
      <c r="F737" s="0" t="n">
        <v>7</v>
      </c>
      <c r="G737" s="0" t="n">
        <v>14</v>
      </c>
      <c r="H737" s="0" t="n">
        <v>0.77</v>
      </c>
      <c r="I737" s="10" t="n">
        <v>0.286</v>
      </c>
      <c r="J737" s="0" t="n">
        <v>1.51</v>
      </c>
      <c r="K737" s="13" t="n">
        <f aca="false">IF(H737&lt;&gt;"",H737,IFERROR(G737/INDEX(Players!$M$2:$M$124,MATCH(B737,Players!$A$2:$A$124,0)),""))</f>
        <v>0.77</v>
      </c>
    </row>
    <row r="738" customFormat="false" ht="15" hidden="false" customHeight="false" outlineLevel="0" collapsed="false">
      <c r="A738" s="0" t="s">
        <v>2516</v>
      </c>
      <c r="B738" s="0" t="s">
        <v>1496</v>
      </c>
      <c r="C738" s="0" t="s">
        <v>1217</v>
      </c>
      <c r="D738" s="0" t="s">
        <v>988</v>
      </c>
      <c r="E738" s="0" t="s">
        <v>94</v>
      </c>
      <c r="F738" s="0" t="n">
        <v>5</v>
      </c>
      <c r="G738" s="0" t="n">
        <v>11.6</v>
      </c>
      <c r="H738" s="0" t="n">
        <v>0.54</v>
      </c>
      <c r="I738" s="10" t="n">
        <v>0.31</v>
      </c>
      <c r="J738" s="0" t="n">
        <v>0.85</v>
      </c>
      <c r="K738" s="13" t="n">
        <f aca="false">IF(H738&lt;&gt;"",H738,IFERROR(G738/INDEX(Players!$M$2:$M$124,MATCH(B738,Players!$A$2:$A$124,0)),""))</f>
        <v>0.54</v>
      </c>
    </row>
    <row r="739" customFormat="false" ht="15" hidden="false" customHeight="false" outlineLevel="0" collapsed="false">
      <c r="A739" s="0" t="s">
        <v>2517</v>
      </c>
      <c r="B739" s="0" t="s">
        <v>1496</v>
      </c>
      <c r="C739" s="0" t="s">
        <v>1217</v>
      </c>
      <c r="D739" s="0" t="s">
        <v>988</v>
      </c>
      <c r="E739" s="0" t="s">
        <v>121</v>
      </c>
      <c r="F739" s="0" t="n">
        <v>4</v>
      </c>
      <c r="G739" s="0" t="n">
        <v>16</v>
      </c>
      <c r="H739" s="0" t="n">
        <v>0.81</v>
      </c>
      <c r="I739" s="10" t="n">
        <v>0.203</v>
      </c>
      <c r="J739" s="0" t="n">
        <v>1.52</v>
      </c>
      <c r="K739" s="13" t="n">
        <f aca="false">IF(H739&lt;&gt;"",H739,IFERROR(G739/INDEX(Players!$M$2:$M$124,MATCH(B739,Players!$A$2:$A$124,0)),""))</f>
        <v>0.81</v>
      </c>
    </row>
    <row r="740" customFormat="false" ht="15" hidden="false" customHeight="false" outlineLevel="0" collapsed="false">
      <c r="A740" s="0" t="s">
        <v>2518</v>
      </c>
      <c r="B740" s="0" t="s">
        <v>1496</v>
      </c>
      <c r="C740" s="0" t="s">
        <v>1217</v>
      </c>
      <c r="D740" s="0" t="s">
        <v>988</v>
      </c>
      <c r="E740" s="0" t="s">
        <v>80</v>
      </c>
      <c r="F740" s="0" t="n">
        <v>4</v>
      </c>
      <c r="G740" s="0" t="n">
        <v>23.5</v>
      </c>
      <c r="H740" s="0" t="n">
        <v>0.8</v>
      </c>
      <c r="I740" s="10" t="n">
        <v>0.255</v>
      </c>
      <c r="J740" s="0" t="n">
        <v>1.31</v>
      </c>
      <c r="K740" s="13" t="n">
        <f aca="false">IF(H740&lt;&gt;"",H740,IFERROR(G740/INDEX(Players!$M$2:$M$124,MATCH(B740,Players!$A$2:$A$124,0)),""))</f>
        <v>0.8</v>
      </c>
    </row>
    <row r="741" customFormat="false" ht="15" hidden="false" customHeight="false" outlineLevel="0" collapsed="false">
      <c r="A741" s="0" t="s">
        <v>2519</v>
      </c>
      <c r="B741" s="0" t="s">
        <v>1496</v>
      </c>
      <c r="C741" s="0" t="s">
        <v>1217</v>
      </c>
      <c r="D741" s="0" t="s">
        <v>988</v>
      </c>
      <c r="E741" s="0" t="s">
        <v>150</v>
      </c>
      <c r="F741" s="0" t="n">
        <v>4</v>
      </c>
      <c r="G741" s="0" t="n">
        <v>15.5</v>
      </c>
      <c r="H741" s="0" t="n">
        <v>0.65</v>
      </c>
      <c r="I741" s="10" t="n">
        <v>0.323</v>
      </c>
      <c r="J741" s="0" t="n">
        <v>0.98</v>
      </c>
      <c r="K741" s="13" t="n">
        <f aca="false">IF(H741&lt;&gt;"",H741,IFERROR(G741/INDEX(Players!$M$2:$M$124,MATCH(B741,Players!$A$2:$A$124,0)),""))</f>
        <v>0.65</v>
      </c>
    </row>
    <row r="742" customFormat="false" ht="15" hidden="false" customHeight="false" outlineLevel="0" collapsed="false">
      <c r="A742" s="0" t="s">
        <v>2520</v>
      </c>
      <c r="B742" s="0" t="s">
        <v>1506</v>
      </c>
      <c r="C742" s="0" t="s">
        <v>1244</v>
      </c>
      <c r="D742" s="0" t="s">
        <v>988</v>
      </c>
      <c r="E742" s="0" t="s">
        <v>150</v>
      </c>
      <c r="F742" s="0" t="n">
        <v>10</v>
      </c>
      <c r="G742" s="0" t="n">
        <v>12</v>
      </c>
      <c r="H742" s="0" t="n">
        <v>0.54</v>
      </c>
      <c r="I742" s="10" t="n">
        <v>0.467</v>
      </c>
      <c r="J742" s="0" t="n">
        <v>0.94</v>
      </c>
      <c r="K742" s="13" t="n">
        <f aca="false">IF(H742&lt;&gt;"",H742,IFERROR(G742/INDEX(Players!$M$2:$M$124,MATCH(B742,Players!$A$2:$A$124,0)),""))</f>
        <v>0.54</v>
      </c>
    </row>
    <row r="743" customFormat="false" ht="15" hidden="false" customHeight="false" outlineLevel="0" collapsed="false">
      <c r="A743" s="0" t="s">
        <v>2521</v>
      </c>
      <c r="B743" s="0" t="s">
        <v>1506</v>
      </c>
      <c r="C743" s="0" t="s">
        <v>1244</v>
      </c>
      <c r="D743" s="0" t="s">
        <v>988</v>
      </c>
      <c r="E743" s="0" t="s">
        <v>80</v>
      </c>
      <c r="F743" s="0" t="n">
        <v>6</v>
      </c>
      <c r="G743" s="0" t="n">
        <v>13</v>
      </c>
      <c r="H743" s="0" t="n">
        <v>0.6</v>
      </c>
      <c r="I743" s="10" t="n">
        <v>0.487</v>
      </c>
      <c r="J743" s="0" t="n">
        <v>1.07</v>
      </c>
      <c r="K743" s="13" t="n">
        <f aca="false">IF(H743&lt;&gt;"",H743,IFERROR(G743/INDEX(Players!$M$2:$M$124,MATCH(B743,Players!$A$2:$A$124,0)),""))</f>
        <v>0.6</v>
      </c>
    </row>
    <row r="744" customFormat="false" ht="15" hidden="false" customHeight="false" outlineLevel="0" collapsed="false">
      <c r="A744" s="0" t="s">
        <v>2522</v>
      </c>
      <c r="B744" s="0" t="s">
        <v>1506</v>
      </c>
      <c r="C744" s="0" t="s">
        <v>1244</v>
      </c>
      <c r="D744" s="0" t="s">
        <v>988</v>
      </c>
      <c r="E744" s="0" t="s">
        <v>142</v>
      </c>
      <c r="F744" s="0" t="n">
        <v>6</v>
      </c>
      <c r="G744" s="0" t="n">
        <v>11.8</v>
      </c>
      <c r="H744" s="0" t="n">
        <v>0.58</v>
      </c>
      <c r="I744" s="10" t="n">
        <v>0.479</v>
      </c>
      <c r="J744" s="0" t="n">
        <v>0.99</v>
      </c>
      <c r="K744" s="13" t="n">
        <f aca="false">IF(H744&lt;&gt;"",H744,IFERROR(G744/INDEX(Players!$M$2:$M$124,MATCH(B744,Players!$A$2:$A$124,0)),""))</f>
        <v>0.58</v>
      </c>
    </row>
    <row r="745" customFormat="false" ht="15" hidden="false" customHeight="false" outlineLevel="0" collapsed="false">
      <c r="A745" s="0" t="s">
        <v>2523</v>
      </c>
      <c r="B745" s="0" t="s">
        <v>1506</v>
      </c>
      <c r="C745" s="0" t="s">
        <v>1244</v>
      </c>
      <c r="D745" s="0" t="s">
        <v>988</v>
      </c>
      <c r="E745" s="0" t="s">
        <v>131</v>
      </c>
      <c r="F745" s="0" t="n">
        <v>6</v>
      </c>
      <c r="G745" s="0" t="n">
        <v>12.5</v>
      </c>
      <c r="H745" s="0" t="n">
        <v>0.59</v>
      </c>
      <c r="I745" s="10" t="n">
        <v>0.453</v>
      </c>
      <c r="J745" s="0" t="n">
        <v>0.93</v>
      </c>
      <c r="K745" s="13" t="n">
        <f aca="false">IF(H745&lt;&gt;"",H745,IFERROR(G745/INDEX(Players!$M$2:$M$124,MATCH(B745,Players!$A$2:$A$124,0)),""))</f>
        <v>0.59</v>
      </c>
    </row>
    <row r="746" customFormat="false" ht="15" hidden="false" customHeight="false" outlineLevel="0" collapsed="false">
      <c r="A746" s="0" t="s">
        <v>2524</v>
      </c>
      <c r="B746" s="0" t="s">
        <v>1506</v>
      </c>
      <c r="C746" s="0" t="s">
        <v>1244</v>
      </c>
      <c r="D746" s="0" t="s">
        <v>988</v>
      </c>
      <c r="E746" s="0" t="s">
        <v>107</v>
      </c>
      <c r="F746" s="0" t="n">
        <v>4</v>
      </c>
      <c r="G746" s="0" t="n">
        <v>11.3</v>
      </c>
      <c r="H746" s="0" t="n">
        <v>0.57</v>
      </c>
      <c r="I746" s="10" t="n">
        <v>0.578</v>
      </c>
      <c r="J746" s="0" t="n">
        <v>1.18</v>
      </c>
      <c r="K746" s="13" t="n">
        <f aca="false">IF(H746&lt;&gt;"",H746,IFERROR(G746/INDEX(Players!$M$2:$M$124,MATCH(B746,Players!$A$2:$A$124,0)),""))</f>
        <v>0.57</v>
      </c>
    </row>
    <row r="747" customFormat="false" ht="15" hidden="false" customHeight="false" outlineLevel="0" collapsed="false">
      <c r="A747" s="0" t="s">
        <v>2525</v>
      </c>
      <c r="B747" s="0" t="s">
        <v>1506</v>
      </c>
      <c r="C747" s="0" t="s">
        <v>1244</v>
      </c>
      <c r="D747" s="0" t="s">
        <v>988</v>
      </c>
      <c r="E747" s="0" t="s">
        <v>121</v>
      </c>
      <c r="F747" s="0" t="n">
        <v>4</v>
      </c>
      <c r="G747" s="0" t="n">
        <v>16</v>
      </c>
      <c r="H747" s="0" t="n">
        <v>0.65</v>
      </c>
      <c r="I747" s="10" t="n">
        <v>0.359</v>
      </c>
      <c r="J747" s="0" t="n">
        <v>1.02</v>
      </c>
      <c r="K747" s="13" t="n">
        <f aca="false">IF(H747&lt;&gt;"",H747,IFERROR(G747/INDEX(Players!$M$2:$M$124,MATCH(B747,Players!$A$2:$A$124,0)),""))</f>
        <v>0.65</v>
      </c>
    </row>
    <row r="748" customFormat="false" ht="15" hidden="false" customHeight="false" outlineLevel="0" collapsed="false">
      <c r="A748" s="0" t="s">
        <v>2526</v>
      </c>
      <c r="B748" s="0" t="s">
        <v>1506</v>
      </c>
      <c r="C748" s="0" t="s">
        <v>1244</v>
      </c>
      <c r="D748" s="0" t="s">
        <v>988</v>
      </c>
      <c r="E748" s="0" t="s">
        <v>94</v>
      </c>
      <c r="F748" s="0" t="n">
        <v>1</v>
      </c>
      <c r="G748" s="0" t="n">
        <v>13</v>
      </c>
      <c r="H748" s="0" t="n">
        <v>0.62</v>
      </c>
      <c r="I748" s="10" t="n">
        <v>0.462</v>
      </c>
      <c r="J748" s="0" t="n">
        <v>0.76</v>
      </c>
      <c r="K748" s="13" t="n">
        <f aca="false">IF(H748&lt;&gt;"",H748,IFERROR(G748/INDEX(Players!$M$2:$M$124,MATCH(B748,Players!$A$2:$A$124,0)),""))</f>
        <v>0.62</v>
      </c>
    </row>
    <row r="749" customFormat="false" ht="15" hidden="false" customHeight="false" outlineLevel="0" collapsed="false">
      <c r="A749" s="0" t="s">
        <v>2527</v>
      </c>
      <c r="B749" s="0" t="s">
        <v>1524</v>
      </c>
      <c r="C749" s="0" t="s">
        <v>1285</v>
      </c>
      <c r="D749" s="0" t="s">
        <v>988</v>
      </c>
      <c r="E749" s="0" t="s">
        <v>150</v>
      </c>
      <c r="F749" s="0" t="n">
        <v>11</v>
      </c>
      <c r="G749" s="0" t="n">
        <v>13.8</v>
      </c>
      <c r="H749" s="0" t="n">
        <v>0.67</v>
      </c>
      <c r="I749" s="10" t="n">
        <v>0.559</v>
      </c>
      <c r="J749" s="0" t="n">
        <v>1.12</v>
      </c>
      <c r="K749" s="13" t="n">
        <f aca="false">IF(H749&lt;&gt;"",H749,IFERROR(G749/INDEX(Players!$M$2:$M$124,MATCH(B749,Players!$A$2:$A$124,0)),""))</f>
        <v>0.67</v>
      </c>
    </row>
    <row r="750" customFormat="false" ht="15" hidden="false" customHeight="false" outlineLevel="0" collapsed="false">
      <c r="A750" s="0" t="s">
        <v>2528</v>
      </c>
      <c r="B750" s="0" t="s">
        <v>1524</v>
      </c>
      <c r="C750" s="0" t="s">
        <v>1285</v>
      </c>
      <c r="D750" s="0" t="s">
        <v>988</v>
      </c>
      <c r="E750" s="0" t="s">
        <v>142</v>
      </c>
      <c r="F750" s="0" t="n">
        <v>6</v>
      </c>
      <c r="G750" s="0" t="n">
        <v>15.5</v>
      </c>
      <c r="H750" s="0" t="n">
        <v>0.64</v>
      </c>
      <c r="I750" s="10" t="n">
        <v>0.581</v>
      </c>
      <c r="J750" s="0" t="n">
        <v>1.07</v>
      </c>
      <c r="K750" s="13" t="n">
        <f aca="false">IF(H750&lt;&gt;"",H750,IFERROR(G750/INDEX(Players!$M$2:$M$124,MATCH(B750,Players!$A$2:$A$124,0)),""))</f>
        <v>0.64</v>
      </c>
    </row>
    <row r="751" customFormat="false" ht="15" hidden="false" customHeight="false" outlineLevel="0" collapsed="false">
      <c r="A751" s="0" t="s">
        <v>2529</v>
      </c>
      <c r="B751" s="0" t="s">
        <v>1524</v>
      </c>
      <c r="C751" s="0" t="s">
        <v>1285</v>
      </c>
      <c r="D751" s="0" t="s">
        <v>988</v>
      </c>
      <c r="E751" s="0" t="s">
        <v>107</v>
      </c>
      <c r="F751" s="0" t="n">
        <v>6</v>
      </c>
      <c r="G751" s="0" t="n">
        <v>13.3</v>
      </c>
      <c r="H751" s="0" t="n">
        <v>0.6</v>
      </c>
      <c r="I751" s="10" t="n">
        <v>0.6</v>
      </c>
      <c r="J751" s="0" t="n">
        <v>0.99</v>
      </c>
      <c r="K751" s="13" t="n">
        <f aca="false">IF(H751&lt;&gt;"",H751,IFERROR(G751/INDEX(Players!$M$2:$M$124,MATCH(B751,Players!$A$2:$A$124,0)),""))</f>
        <v>0.6</v>
      </c>
    </row>
    <row r="752" customFormat="false" ht="15" hidden="false" customHeight="false" outlineLevel="0" collapsed="false">
      <c r="A752" s="0" t="s">
        <v>2530</v>
      </c>
      <c r="B752" s="0" t="s">
        <v>1524</v>
      </c>
      <c r="C752" s="0" t="s">
        <v>1285</v>
      </c>
      <c r="D752" s="0" t="s">
        <v>988</v>
      </c>
      <c r="E752" s="0" t="s">
        <v>94</v>
      </c>
      <c r="F752" s="0" t="n">
        <v>6</v>
      </c>
      <c r="G752" s="0" t="n">
        <v>13.2</v>
      </c>
      <c r="H752" s="0" t="n">
        <v>0.56</v>
      </c>
      <c r="I752" s="10" t="n">
        <v>0.519</v>
      </c>
      <c r="J752" s="0" t="n">
        <v>0.86</v>
      </c>
      <c r="K752" s="13" t="n">
        <f aca="false">IF(H752&lt;&gt;"",H752,IFERROR(G752/INDEX(Players!$M$2:$M$124,MATCH(B752,Players!$A$2:$A$124,0)),""))</f>
        <v>0.56</v>
      </c>
    </row>
    <row r="753" customFormat="false" ht="15" hidden="false" customHeight="false" outlineLevel="0" collapsed="false">
      <c r="A753" s="0" t="s">
        <v>2531</v>
      </c>
      <c r="B753" s="0" t="s">
        <v>1524</v>
      </c>
      <c r="C753" s="0" t="s">
        <v>1285</v>
      </c>
      <c r="D753" s="0" t="s">
        <v>988</v>
      </c>
      <c r="E753" s="0" t="s">
        <v>80</v>
      </c>
      <c r="F753" s="0" t="n">
        <v>4</v>
      </c>
      <c r="G753" s="0" t="n">
        <v>16</v>
      </c>
      <c r="H753" s="0" t="n">
        <v>0.84</v>
      </c>
      <c r="I753" s="10" t="n">
        <v>0.5</v>
      </c>
      <c r="J753" s="0" t="n">
        <v>1.83</v>
      </c>
      <c r="K753" s="13" t="n">
        <f aca="false">IF(H753&lt;&gt;"",H753,IFERROR(G753/INDEX(Players!$M$2:$M$124,MATCH(B753,Players!$A$2:$A$124,0)),""))</f>
        <v>0.84</v>
      </c>
    </row>
    <row r="754" customFormat="false" ht="15" hidden="false" customHeight="false" outlineLevel="0" collapsed="false">
      <c r="A754" s="0" t="s">
        <v>2532</v>
      </c>
      <c r="B754" s="0" t="s">
        <v>1524</v>
      </c>
      <c r="C754" s="0" t="s">
        <v>1285</v>
      </c>
      <c r="D754" s="0" t="s">
        <v>988</v>
      </c>
      <c r="E754" s="0" t="s">
        <v>131</v>
      </c>
      <c r="F754" s="0" t="n">
        <v>3</v>
      </c>
      <c r="G754" s="0" t="n">
        <v>17.3</v>
      </c>
      <c r="H754" s="0" t="n">
        <v>0.71</v>
      </c>
      <c r="I754" s="10" t="n">
        <v>0.519</v>
      </c>
      <c r="J754" s="0" t="n">
        <v>1.18</v>
      </c>
      <c r="K754" s="13" t="n">
        <f aca="false">IF(H754&lt;&gt;"",H754,IFERROR(G754/INDEX(Players!$M$2:$M$124,MATCH(B754,Players!$A$2:$A$124,0)),""))</f>
        <v>0.71</v>
      </c>
    </row>
    <row r="755" customFormat="false" ht="15" hidden="false" customHeight="false" outlineLevel="0" collapsed="false">
      <c r="A755" s="0" t="s">
        <v>2533</v>
      </c>
      <c r="B755" s="0" t="s">
        <v>1524</v>
      </c>
      <c r="C755" s="0" t="s">
        <v>1285</v>
      </c>
      <c r="D755" s="0" t="s">
        <v>988</v>
      </c>
      <c r="E755" s="0" t="s">
        <v>121</v>
      </c>
      <c r="F755" s="0" t="n">
        <v>2</v>
      </c>
      <c r="G755" s="0" t="n">
        <v>14</v>
      </c>
      <c r="H755" s="0" t="n">
        <v>0.68</v>
      </c>
      <c r="I755" s="10" t="n">
        <v>0.571</v>
      </c>
      <c r="J755" s="0" t="n">
        <v>1.04</v>
      </c>
      <c r="K755" s="13" t="n">
        <f aca="false">IF(H755&lt;&gt;"",H755,IFERROR(G755/INDEX(Players!$M$2:$M$124,MATCH(B755,Players!$A$2:$A$124,0)),""))</f>
        <v>0.68</v>
      </c>
    </row>
    <row r="756" customFormat="false" ht="15" hidden="false" customHeight="false" outlineLevel="0" collapsed="false">
      <c r="A756" s="0" t="s">
        <v>2534</v>
      </c>
      <c r="B756" s="0" t="s">
        <v>1558</v>
      </c>
      <c r="C756" s="0" t="s">
        <v>1354</v>
      </c>
      <c r="D756" s="0" t="s">
        <v>988</v>
      </c>
      <c r="E756" s="0" t="s">
        <v>150</v>
      </c>
      <c r="F756" s="0" t="n">
        <v>9</v>
      </c>
      <c r="G756" s="0" t="n">
        <v>13</v>
      </c>
      <c r="H756" s="0" t="n">
        <v>0.66</v>
      </c>
      <c r="I756" s="10" t="n">
        <v>0.487</v>
      </c>
      <c r="J756" s="0" t="n">
        <v>0.99</v>
      </c>
      <c r="K756" s="13" t="n">
        <f aca="false">IF(H756&lt;&gt;"",H756,IFERROR(G756/INDEX(Players!$M$2:$M$124,MATCH(B756,Players!$A$2:$A$124,0)),""))</f>
        <v>0.66</v>
      </c>
    </row>
    <row r="757" customFormat="false" ht="15" hidden="false" customHeight="false" outlineLevel="0" collapsed="false">
      <c r="A757" s="0" t="s">
        <v>2535</v>
      </c>
      <c r="B757" s="0" t="s">
        <v>1558</v>
      </c>
      <c r="C757" s="0" t="s">
        <v>1354</v>
      </c>
      <c r="D757" s="0" t="s">
        <v>988</v>
      </c>
      <c r="E757" s="0" t="s">
        <v>121</v>
      </c>
      <c r="F757" s="0" t="n">
        <v>7</v>
      </c>
      <c r="G757" s="0" t="n">
        <v>13.6</v>
      </c>
      <c r="H757" s="0" t="n">
        <v>0.71</v>
      </c>
      <c r="I757" s="10" t="n">
        <v>0.537</v>
      </c>
      <c r="J757" s="0" t="n">
        <v>1.09</v>
      </c>
      <c r="K757" s="13" t="n">
        <f aca="false">IF(H757&lt;&gt;"",H757,IFERROR(G757/INDEX(Players!$M$2:$M$124,MATCH(B757,Players!$A$2:$A$124,0)),""))</f>
        <v>0.71</v>
      </c>
    </row>
    <row r="758" customFormat="false" ht="15" hidden="false" customHeight="false" outlineLevel="0" collapsed="false">
      <c r="A758" s="0" t="s">
        <v>2536</v>
      </c>
      <c r="B758" s="0" t="s">
        <v>1558</v>
      </c>
      <c r="C758" s="0" t="s">
        <v>1354</v>
      </c>
      <c r="D758" s="0" t="s">
        <v>988</v>
      </c>
      <c r="E758" s="0" t="s">
        <v>142</v>
      </c>
      <c r="F758" s="0" t="n">
        <v>6</v>
      </c>
      <c r="G758" s="0" t="n">
        <v>13.2</v>
      </c>
      <c r="H758" s="0" t="n">
        <v>0.65</v>
      </c>
      <c r="I758" s="10" t="n">
        <v>0.532</v>
      </c>
      <c r="J758" s="0" t="n">
        <v>1.14</v>
      </c>
      <c r="K758" s="13" t="n">
        <f aca="false">IF(H758&lt;&gt;"",H758,IFERROR(G758/INDEX(Players!$M$2:$M$124,MATCH(B758,Players!$A$2:$A$124,0)),""))</f>
        <v>0.65</v>
      </c>
    </row>
    <row r="759" customFormat="false" ht="15" hidden="false" customHeight="false" outlineLevel="0" collapsed="false">
      <c r="A759" s="0" t="s">
        <v>2537</v>
      </c>
      <c r="B759" s="0" t="s">
        <v>1558</v>
      </c>
      <c r="C759" s="0" t="s">
        <v>1354</v>
      </c>
      <c r="D759" s="0" t="s">
        <v>988</v>
      </c>
      <c r="E759" s="0" t="s">
        <v>80</v>
      </c>
      <c r="F759" s="0" t="n">
        <v>4</v>
      </c>
      <c r="G759" s="0" t="n">
        <v>14</v>
      </c>
      <c r="H759" s="0" t="n">
        <v>0.63</v>
      </c>
      <c r="I759" s="10" t="n">
        <v>0.696</v>
      </c>
      <c r="J759" s="0" t="n">
        <v>0.88</v>
      </c>
      <c r="K759" s="13" t="n">
        <f aca="false">IF(H759&lt;&gt;"",H759,IFERROR(G759/INDEX(Players!$M$2:$M$124,MATCH(B759,Players!$A$2:$A$124,0)),""))</f>
        <v>0.63</v>
      </c>
    </row>
    <row r="760" customFormat="false" ht="15" hidden="false" customHeight="false" outlineLevel="0" collapsed="false">
      <c r="A760" s="0" t="s">
        <v>2538</v>
      </c>
      <c r="B760" s="0" t="s">
        <v>1558</v>
      </c>
      <c r="C760" s="0" t="s">
        <v>1354</v>
      </c>
      <c r="D760" s="0" t="s">
        <v>988</v>
      </c>
      <c r="E760" s="0" t="s">
        <v>131</v>
      </c>
      <c r="F760" s="0" t="n">
        <v>4</v>
      </c>
      <c r="G760" s="0" t="n">
        <v>6.5</v>
      </c>
      <c r="H760" s="0" t="n">
        <v>0.35</v>
      </c>
      <c r="I760" s="10" t="n">
        <v>0.538</v>
      </c>
      <c r="J760" s="0" t="n">
        <v>0.48</v>
      </c>
      <c r="K760" s="13" t="n">
        <f aca="false">IF(H760&lt;&gt;"",H760,IFERROR(G760/INDEX(Players!$M$2:$M$124,MATCH(B760,Players!$A$2:$A$124,0)),""))</f>
        <v>0.35</v>
      </c>
    </row>
    <row r="761" customFormat="false" ht="15" hidden="false" customHeight="false" outlineLevel="0" collapsed="false">
      <c r="A761" s="0" t="s">
        <v>2539</v>
      </c>
      <c r="B761" s="0" t="s">
        <v>1558</v>
      </c>
      <c r="C761" s="0" t="s">
        <v>1354</v>
      </c>
      <c r="D761" s="0" t="s">
        <v>988</v>
      </c>
      <c r="E761" s="0" t="s">
        <v>94</v>
      </c>
      <c r="F761" s="0" t="n">
        <v>2</v>
      </c>
      <c r="G761" s="0" t="n">
        <v>15</v>
      </c>
      <c r="H761" s="0" t="n">
        <v>0.73</v>
      </c>
      <c r="I761" s="10" t="n">
        <v>0.567</v>
      </c>
      <c r="J761" s="0" t="n">
        <v>1</v>
      </c>
      <c r="K761" s="13" t="n">
        <f aca="false">IF(H761&lt;&gt;"",H761,IFERROR(G761/INDEX(Players!$M$2:$M$124,MATCH(B761,Players!$A$2:$A$124,0)),""))</f>
        <v>0.73</v>
      </c>
    </row>
    <row r="762" customFormat="false" ht="15" hidden="false" customHeight="false" outlineLevel="0" collapsed="false">
      <c r="A762" s="0" t="s">
        <v>2540</v>
      </c>
      <c r="B762" s="0" t="s">
        <v>1553</v>
      </c>
      <c r="C762" s="0" t="s">
        <v>1344</v>
      </c>
      <c r="D762" s="0" t="s">
        <v>988</v>
      </c>
      <c r="E762" s="0" t="s">
        <v>150</v>
      </c>
      <c r="F762" s="0" t="n">
        <v>7</v>
      </c>
      <c r="G762" s="0" t="n">
        <v>14.7</v>
      </c>
      <c r="H762" s="0" t="n">
        <v>0.66</v>
      </c>
      <c r="I762" s="10" t="n">
        <v>0.379</v>
      </c>
      <c r="J762" s="0" t="n">
        <v>0.97</v>
      </c>
      <c r="K762" s="13" t="n">
        <f aca="false">IF(H762&lt;&gt;"",H762,IFERROR(G762/INDEX(Players!$M$2:$M$124,MATCH(B762,Players!$A$2:$A$124,0)),""))</f>
        <v>0.66</v>
      </c>
    </row>
    <row r="763" customFormat="false" ht="15" hidden="false" customHeight="false" outlineLevel="0" collapsed="false">
      <c r="A763" s="0" t="s">
        <v>2541</v>
      </c>
      <c r="B763" s="0" t="s">
        <v>1553</v>
      </c>
      <c r="C763" s="0" t="s">
        <v>1344</v>
      </c>
      <c r="D763" s="0" t="s">
        <v>988</v>
      </c>
      <c r="E763" s="0" t="s">
        <v>107</v>
      </c>
      <c r="F763" s="0" t="n">
        <v>7</v>
      </c>
      <c r="G763" s="0" t="n">
        <v>10.9</v>
      </c>
      <c r="H763" s="0" t="n">
        <v>0.54</v>
      </c>
      <c r="I763" s="10" t="n">
        <v>0.395</v>
      </c>
      <c r="J763" s="0" t="n">
        <v>0.93</v>
      </c>
      <c r="K763" s="13" t="n">
        <f aca="false">IF(H763&lt;&gt;"",H763,IFERROR(G763/INDEX(Players!$M$2:$M$124,MATCH(B763,Players!$A$2:$A$124,0)),""))</f>
        <v>0.54</v>
      </c>
    </row>
    <row r="764" customFormat="false" ht="15" hidden="false" customHeight="false" outlineLevel="0" collapsed="false">
      <c r="A764" s="0" t="s">
        <v>2542</v>
      </c>
      <c r="B764" s="0" t="s">
        <v>1553</v>
      </c>
      <c r="C764" s="0" t="s">
        <v>1344</v>
      </c>
      <c r="D764" s="0" t="s">
        <v>988</v>
      </c>
      <c r="E764" s="0" t="s">
        <v>121</v>
      </c>
      <c r="F764" s="0" t="n">
        <v>7</v>
      </c>
      <c r="G764" s="0" t="n">
        <v>13.7</v>
      </c>
      <c r="H764" s="0" t="n">
        <v>0.62</v>
      </c>
      <c r="I764" s="10" t="n">
        <v>0.417</v>
      </c>
      <c r="J764" s="0" t="n">
        <v>0.89</v>
      </c>
      <c r="K764" s="13" t="n">
        <f aca="false">IF(H764&lt;&gt;"",H764,IFERROR(G764/INDEX(Players!$M$2:$M$124,MATCH(B764,Players!$A$2:$A$124,0)),""))</f>
        <v>0.62</v>
      </c>
    </row>
    <row r="765" customFormat="false" ht="15" hidden="false" customHeight="false" outlineLevel="0" collapsed="false">
      <c r="A765" s="0" t="s">
        <v>2543</v>
      </c>
      <c r="B765" s="0" t="s">
        <v>1553</v>
      </c>
      <c r="C765" s="0" t="s">
        <v>1344</v>
      </c>
      <c r="D765" s="0" t="s">
        <v>988</v>
      </c>
      <c r="E765" s="0" t="s">
        <v>94</v>
      </c>
      <c r="F765" s="0" t="n">
        <v>6</v>
      </c>
      <c r="G765" s="0" t="n">
        <v>12.2</v>
      </c>
      <c r="H765" s="0" t="n">
        <v>0.54</v>
      </c>
      <c r="I765" s="10" t="n">
        <v>0.384</v>
      </c>
      <c r="J765" s="0" t="n">
        <v>0.88</v>
      </c>
      <c r="K765" s="13" t="n">
        <f aca="false">IF(H765&lt;&gt;"",H765,IFERROR(G765/INDEX(Players!$M$2:$M$124,MATCH(B765,Players!$A$2:$A$124,0)),""))</f>
        <v>0.54</v>
      </c>
    </row>
    <row r="766" customFormat="false" ht="15" hidden="false" customHeight="false" outlineLevel="0" collapsed="false">
      <c r="A766" s="0" t="s">
        <v>2544</v>
      </c>
      <c r="B766" s="0" t="s">
        <v>1553</v>
      </c>
      <c r="C766" s="0" t="s">
        <v>1344</v>
      </c>
      <c r="D766" s="0" t="s">
        <v>988</v>
      </c>
      <c r="E766" s="0" t="s">
        <v>131</v>
      </c>
      <c r="F766" s="0" t="n">
        <v>6</v>
      </c>
      <c r="G766" s="0" t="n">
        <v>11</v>
      </c>
      <c r="H766" s="0" t="n">
        <v>0.53</v>
      </c>
      <c r="I766" s="10" t="n">
        <v>0.455</v>
      </c>
      <c r="J766" s="0" t="n">
        <v>0.86</v>
      </c>
      <c r="K766" s="13" t="n">
        <f aca="false">IF(H766&lt;&gt;"",H766,IFERROR(G766/INDEX(Players!$M$2:$M$124,MATCH(B766,Players!$A$2:$A$124,0)),""))</f>
        <v>0.53</v>
      </c>
    </row>
    <row r="767" customFormat="false" ht="15" hidden="false" customHeight="false" outlineLevel="0" collapsed="false">
      <c r="A767" s="0" t="s">
        <v>2545</v>
      </c>
      <c r="B767" s="0" t="s">
        <v>1553</v>
      </c>
      <c r="C767" s="0" t="s">
        <v>1344</v>
      </c>
      <c r="D767" s="0" t="s">
        <v>988</v>
      </c>
      <c r="E767" s="0" t="s">
        <v>80</v>
      </c>
      <c r="F767" s="0" t="n">
        <v>5</v>
      </c>
      <c r="G767" s="0" t="n">
        <v>14.6</v>
      </c>
      <c r="H767" s="0" t="n">
        <v>0.69</v>
      </c>
      <c r="I767" s="10" t="n">
        <v>0.301</v>
      </c>
      <c r="J767" s="0" t="n">
        <v>1.12</v>
      </c>
      <c r="K767" s="13" t="n">
        <f aca="false">IF(H767&lt;&gt;"",H767,IFERROR(G767/INDEX(Players!$M$2:$M$124,MATCH(B767,Players!$A$2:$A$124,0)),""))</f>
        <v>0.69</v>
      </c>
    </row>
    <row r="768" customFormat="false" ht="15" hidden="false" customHeight="false" outlineLevel="0" collapsed="false">
      <c r="A768" s="0" t="s">
        <v>2546</v>
      </c>
      <c r="B768" s="0" t="s">
        <v>1486</v>
      </c>
      <c r="C768" s="0" t="s">
        <v>1196</v>
      </c>
      <c r="D768" s="0" t="s">
        <v>988</v>
      </c>
      <c r="E768" s="0" t="s">
        <v>150</v>
      </c>
      <c r="F768" s="0" t="n">
        <v>11</v>
      </c>
      <c r="G768" s="0" t="n">
        <v>15.4</v>
      </c>
      <c r="H768" s="0" t="n">
        <v>0.71</v>
      </c>
      <c r="I768" s="10" t="n">
        <v>0.278</v>
      </c>
      <c r="J768" s="0" t="n">
        <v>1.13</v>
      </c>
      <c r="K768" s="13" t="n">
        <f aca="false">IF(H768&lt;&gt;"",H768,IFERROR(G768/INDEX(Players!$M$2:$M$124,MATCH(B768,Players!$A$2:$A$124,0)),""))</f>
        <v>0.71</v>
      </c>
    </row>
    <row r="769" customFormat="false" ht="15" hidden="false" customHeight="false" outlineLevel="0" collapsed="false">
      <c r="A769" s="0" t="s">
        <v>2547</v>
      </c>
      <c r="B769" s="0" t="s">
        <v>1486</v>
      </c>
      <c r="C769" s="0" t="s">
        <v>1196</v>
      </c>
      <c r="D769" s="0" t="s">
        <v>988</v>
      </c>
      <c r="E769" s="0" t="s">
        <v>94</v>
      </c>
      <c r="F769" s="0" t="n">
        <v>9</v>
      </c>
      <c r="G769" s="0" t="n">
        <v>15.3</v>
      </c>
      <c r="H769" s="0" t="n">
        <v>0.67</v>
      </c>
      <c r="I769" s="10" t="n">
        <v>0.246</v>
      </c>
      <c r="J769" s="0" t="n">
        <v>1.1</v>
      </c>
      <c r="K769" s="13" t="n">
        <f aca="false">IF(H769&lt;&gt;"",H769,IFERROR(G769/INDEX(Players!$M$2:$M$124,MATCH(B769,Players!$A$2:$A$124,0)),""))</f>
        <v>0.67</v>
      </c>
    </row>
    <row r="770" customFormat="false" ht="15" hidden="false" customHeight="false" outlineLevel="0" collapsed="false">
      <c r="A770" s="0" t="s">
        <v>2548</v>
      </c>
      <c r="B770" s="0" t="s">
        <v>1486</v>
      </c>
      <c r="C770" s="0" t="s">
        <v>1196</v>
      </c>
      <c r="D770" s="0" t="s">
        <v>988</v>
      </c>
      <c r="E770" s="0" t="s">
        <v>121</v>
      </c>
      <c r="F770" s="0" t="n">
        <v>6</v>
      </c>
      <c r="G770" s="0" t="n">
        <v>17</v>
      </c>
      <c r="H770" s="0" t="n">
        <v>0.69</v>
      </c>
      <c r="I770" s="10" t="n">
        <v>0.255</v>
      </c>
      <c r="J770" s="0" t="n">
        <v>1.16</v>
      </c>
      <c r="K770" s="13" t="n">
        <f aca="false">IF(H770&lt;&gt;"",H770,IFERROR(G770/INDEX(Players!$M$2:$M$124,MATCH(B770,Players!$A$2:$A$124,0)),""))</f>
        <v>0.69</v>
      </c>
    </row>
    <row r="771" customFormat="false" ht="15" hidden="false" customHeight="false" outlineLevel="0" collapsed="false">
      <c r="A771" s="0" t="s">
        <v>2549</v>
      </c>
      <c r="B771" s="0" t="s">
        <v>1486</v>
      </c>
      <c r="C771" s="0" t="s">
        <v>1196</v>
      </c>
      <c r="D771" s="0" t="s">
        <v>988</v>
      </c>
      <c r="E771" s="0" t="s">
        <v>80</v>
      </c>
      <c r="F771" s="0" t="n">
        <v>5</v>
      </c>
      <c r="G771" s="0" t="n">
        <v>15.4</v>
      </c>
      <c r="H771" s="0" t="n">
        <v>0.71</v>
      </c>
      <c r="I771" s="10" t="n">
        <v>0.377</v>
      </c>
      <c r="J771" s="0" t="n">
        <v>1.38</v>
      </c>
      <c r="K771" s="13" t="n">
        <f aca="false">IF(H771&lt;&gt;"",H771,IFERROR(G771/INDEX(Players!$M$2:$M$124,MATCH(B771,Players!$A$2:$A$124,0)),""))</f>
        <v>0.71</v>
      </c>
    </row>
    <row r="772" customFormat="false" ht="15" hidden="false" customHeight="false" outlineLevel="0" collapsed="false">
      <c r="A772" s="0" t="s">
        <v>2550</v>
      </c>
      <c r="B772" s="0" t="s">
        <v>1486</v>
      </c>
      <c r="C772" s="0" t="s">
        <v>1196</v>
      </c>
      <c r="D772" s="0" t="s">
        <v>988</v>
      </c>
      <c r="E772" s="0" t="s">
        <v>107</v>
      </c>
      <c r="F772" s="0" t="n">
        <v>4</v>
      </c>
      <c r="G772" s="0" t="n">
        <v>15.5</v>
      </c>
      <c r="H772" s="0" t="n">
        <v>0.66</v>
      </c>
      <c r="I772" s="10" t="n">
        <v>0.435</v>
      </c>
      <c r="J772" s="0" t="n">
        <v>1.03</v>
      </c>
      <c r="K772" s="13" t="n">
        <f aca="false">IF(H772&lt;&gt;"",H772,IFERROR(G772/INDEX(Players!$M$2:$M$124,MATCH(B772,Players!$A$2:$A$124,0)),""))</f>
        <v>0.66</v>
      </c>
    </row>
    <row r="773" customFormat="false" ht="15" hidden="false" customHeight="false" outlineLevel="0" collapsed="false">
      <c r="A773" s="0" t="s">
        <v>2551</v>
      </c>
      <c r="B773" s="0" t="s">
        <v>1486</v>
      </c>
      <c r="C773" s="0" t="s">
        <v>1196</v>
      </c>
      <c r="D773" s="0" t="s">
        <v>988</v>
      </c>
      <c r="E773" s="0" t="s">
        <v>131</v>
      </c>
      <c r="F773" s="0" t="n">
        <v>4</v>
      </c>
      <c r="G773" s="0" t="n">
        <v>16.5</v>
      </c>
      <c r="H773" s="0" t="n">
        <v>0.66</v>
      </c>
      <c r="I773" s="10" t="n">
        <v>0.424</v>
      </c>
      <c r="J773" s="0" t="n">
        <v>0.99</v>
      </c>
      <c r="K773" s="13" t="n">
        <f aca="false">IF(H773&lt;&gt;"",H773,IFERROR(G773/INDEX(Players!$M$2:$M$124,MATCH(B773,Players!$A$2:$A$124,0)),""))</f>
        <v>0.66</v>
      </c>
    </row>
    <row r="774" customFormat="false" ht="15" hidden="false" customHeight="false" outlineLevel="0" collapsed="false">
      <c r="A774" s="0" t="s">
        <v>2552</v>
      </c>
      <c r="B774" s="0" t="s">
        <v>1568</v>
      </c>
      <c r="C774" s="0" t="s">
        <v>1381</v>
      </c>
      <c r="D774" s="0" t="s">
        <v>988</v>
      </c>
      <c r="E774" s="0" t="s">
        <v>107</v>
      </c>
      <c r="F774" s="0" t="n">
        <v>9</v>
      </c>
      <c r="G774" s="0" t="n">
        <v>18.1</v>
      </c>
      <c r="H774" s="0" t="n">
        <v>0.89</v>
      </c>
      <c r="I774" s="10" t="n">
        <v>0.344</v>
      </c>
      <c r="J774" s="0" t="n">
        <v>1.83</v>
      </c>
      <c r="K774" s="13" t="n">
        <f aca="false">IF(H774&lt;&gt;"",H774,IFERROR(G774/INDEX(Players!$M$2:$M$124,MATCH(B774,Players!$A$2:$A$124,0)),""))</f>
        <v>0.89</v>
      </c>
    </row>
    <row r="775" customFormat="false" ht="15" hidden="false" customHeight="false" outlineLevel="0" collapsed="false">
      <c r="A775" s="0" t="s">
        <v>2553</v>
      </c>
      <c r="B775" s="0" t="s">
        <v>1568</v>
      </c>
      <c r="C775" s="0" t="s">
        <v>1381</v>
      </c>
      <c r="D775" s="0" t="s">
        <v>988</v>
      </c>
      <c r="E775" s="0" t="s">
        <v>150</v>
      </c>
      <c r="F775" s="0" t="n">
        <v>8</v>
      </c>
      <c r="G775" s="0" t="n">
        <v>17.6</v>
      </c>
      <c r="H775" s="0" t="n">
        <v>0.89</v>
      </c>
      <c r="I775" s="10" t="n">
        <v>0.362</v>
      </c>
      <c r="J775" s="0" t="n">
        <v>1.64</v>
      </c>
      <c r="K775" s="13" t="n">
        <f aca="false">IF(H775&lt;&gt;"",H775,IFERROR(G775/INDEX(Players!$M$2:$M$124,MATCH(B775,Players!$A$2:$A$124,0)),""))</f>
        <v>0.89</v>
      </c>
    </row>
    <row r="776" customFormat="false" ht="15" hidden="false" customHeight="false" outlineLevel="0" collapsed="false">
      <c r="A776" s="0" t="s">
        <v>2554</v>
      </c>
      <c r="B776" s="0" t="s">
        <v>1568</v>
      </c>
      <c r="C776" s="0" t="s">
        <v>1381</v>
      </c>
      <c r="D776" s="0" t="s">
        <v>988</v>
      </c>
      <c r="E776" s="0" t="s">
        <v>131</v>
      </c>
      <c r="F776" s="0" t="n">
        <v>7</v>
      </c>
      <c r="G776" s="0" t="n">
        <v>19.7</v>
      </c>
      <c r="H776" s="0" t="n">
        <v>0.96</v>
      </c>
      <c r="I776" s="10" t="n">
        <v>0.478</v>
      </c>
      <c r="J776" s="0" t="n">
        <v>1.97</v>
      </c>
      <c r="K776" s="13" t="n">
        <f aca="false">IF(H776&lt;&gt;"",H776,IFERROR(G776/INDEX(Players!$M$2:$M$124,MATCH(B776,Players!$A$2:$A$124,0)),""))</f>
        <v>0.96</v>
      </c>
    </row>
    <row r="777" customFormat="false" ht="15" hidden="false" customHeight="false" outlineLevel="0" collapsed="false">
      <c r="A777" s="0" t="s">
        <v>2555</v>
      </c>
      <c r="B777" s="0" t="s">
        <v>1568</v>
      </c>
      <c r="C777" s="0" t="s">
        <v>1381</v>
      </c>
      <c r="D777" s="0" t="s">
        <v>988</v>
      </c>
      <c r="E777" s="0" t="s">
        <v>94</v>
      </c>
      <c r="F777" s="0" t="n">
        <v>7</v>
      </c>
      <c r="G777" s="0" t="n">
        <v>16.3</v>
      </c>
      <c r="H777" s="0" t="n">
        <v>0.83</v>
      </c>
      <c r="I777" s="10" t="n">
        <v>0.5</v>
      </c>
      <c r="J777" s="0" t="n">
        <v>1.41</v>
      </c>
      <c r="K777" s="13" t="n">
        <f aca="false">IF(H777&lt;&gt;"",H777,IFERROR(G777/INDEX(Players!$M$2:$M$124,MATCH(B777,Players!$A$2:$A$124,0)),""))</f>
        <v>0.83</v>
      </c>
    </row>
    <row r="778" customFormat="false" ht="15" hidden="false" customHeight="false" outlineLevel="0" collapsed="false">
      <c r="A778" s="0" t="s">
        <v>2556</v>
      </c>
      <c r="B778" s="0" t="s">
        <v>1568</v>
      </c>
      <c r="C778" s="0" t="s">
        <v>1381</v>
      </c>
      <c r="D778" s="0" t="s">
        <v>988</v>
      </c>
      <c r="E778" s="0" t="s">
        <v>142</v>
      </c>
      <c r="F778" s="0" t="n">
        <v>4</v>
      </c>
      <c r="G778" s="0" t="n">
        <v>15</v>
      </c>
      <c r="H778" s="0" t="n">
        <v>0.72</v>
      </c>
      <c r="I778" s="10" t="n">
        <v>0.5</v>
      </c>
      <c r="J778" s="0" t="n">
        <v>1.36</v>
      </c>
      <c r="K778" s="13" t="n">
        <f aca="false">IF(H778&lt;&gt;"",H778,IFERROR(G778/INDEX(Players!$M$2:$M$124,MATCH(B778,Players!$A$2:$A$124,0)),""))</f>
        <v>0.72</v>
      </c>
    </row>
    <row r="779" customFormat="false" ht="15" hidden="false" customHeight="false" outlineLevel="0" collapsed="false">
      <c r="A779" s="0" t="s">
        <v>2557</v>
      </c>
      <c r="B779" s="0" t="s">
        <v>1568</v>
      </c>
      <c r="C779" s="0" t="s">
        <v>1381</v>
      </c>
      <c r="D779" s="0" t="s">
        <v>988</v>
      </c>
      <c r="E779" s="0" t="s">
        <v>80</v>
      </c>
      <c r="F779" s="0" t="n">
        <v>3</v>
      </c>
      <c r="G779" s="0" t="n">
        <v>10.7</v>
      </c>
      <c r="H779" s="0" t="n">
        <v>0.55</v>
      </c>
      <c r="I779" s="10" t="n">
        <v>0.438</v>
      </c>
      <c r="J779" s="0" t="n">
        <v>0.7</v>
      </c>
      <c r="K779" s="13" t="n">
        <f aca="false">IF(H779&lt;&gt;"",H779,IFERROR(G779/INDEX(Players!$M$2:$M$124,MATCH(B779,Players!$A$2:$A$124,0)),""))</f>
        <v>0.55</v>
      </c>
    </row>
  </sheetData>
  <autoFilter ref="A1:K77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18"/>
  </cols>
  <sheetData>
    <row r="1" customFormat="false" ht="28.35" hidden="false" customHeight="false" outlineLevel="0" collapsed="false">
      <c r="A1" s="12" t="s">
        <v>950</v>
      </c>
      <c r="B1" s="12" t="s">
        <v>2558</v>
      </c>
      <c r="C1" s="12" t="s">
        <v>2559</v>
      </c>
      <c r="D1" s="12" t="s">
        <v>2560</v>
      </c>
      <c r="E1" s="12" t="s">
        <v>2561</v>
      </c>
      <c r="F1" s="12" t="s">
        <v>2562</v>
      </c>
      <c r="G1" s="12" t="s">
        <v>2563</v>
      </c>
      <c r="H1" s="12" t="s">
        <v>2564</v>
      </c>
    </row>
    <row r="2" customFormat="false" ht="15" hidden="false" customHeight="false" outlineLevel="0" collapsed="false">
      <c r="A2" s="0" t="s">
        <v>905</v>
      </c>
      <c r="B2" s="0" t="s">
        <v>2565</v>
      </c>
      <c r="C2" s="0" t="n">
        <v>15.68</v>
      </c>
      <c r="D2" s="0" t="n">
        <v>3</v>
      </c>
      <c r="E2" s="0" t="n">
        <v>15.5</v>
      </c>
      <c r="F2" s="0" t="n">
        <v>3</v>
      </c>
      <c r="G2" s="0" t="n">
        <v>31.18</v>
      </c>
      <c r="H2" s="0" t="s">
        <v>1512</v>
      </c>
    </row>
    <row r="3" customFormat="false" ht="15" hidden="false" customHeight="false" outlineLevel="0" collapsed="false">
      <c r="A3" s="0" t="s">
        <v>905</v>
      </c>
      <c r="B3" s="0" t="s">
        <v>1262</v>
      </c>
      <c r="C3" s="0" t="n">
        <v>13.85</v>
      </c>
      <c r="D3" s="0" t="n">
        <v>3</v>
      </c>
      <c r="E3" s="0" t="n">
        <v>14.26</v>
      </c>
      <c r="F3" s="0" t="n">
        <v>3</v>
      </c>
      <c r="G3" s="0" t="n">
        <v>28.11</v>
      </c>
      <c r="H3" s="0" t="s">
        <v>1513</v>
      </c>
    </row>
    <row r="4" customFormat="false" ht="15" hidden="false" customHeight="false" outlineLevel="0" collapsed="false">
      <c r="A4" s="0" t="s">
        <v>905</v>
      </c>
      <c r="B4" s="0" t="s">
        <v>2566</v>
      </c>
      <c r="C4" s="0" t="n">
        <v>15.68</v>
      </c>
      <c r="D4" s="0" t="n">
        <v>3</v>
      </c>
      <c r="E4" s="0" t="n">
        <v>15.71</v>
      </c>
      <c r="F4" s="0" t="n">
        <v>3</v>
      </c>
      <c r="G4" s="0" t="n">
        <v>31.4</v>
      </c>
      <c r="H4" s="0" t="s">
        <v>1517</v>
      </c>
    </row>
    <row r="5" customFormat="false" ht="15" hidden="false" customHeight="false" outlineLevel="0" collapsed="false">
      <c r="A5" s="0" t="s">
        <v>905</v>
      </c>
      <c r="B5" s="0" t="s">
        <v>2567</v>
      </c>
      <c r="C5" s="0" t="n">
        <v>13.68</v>
      </c>
      <c r="D5" s="0" t="n">
        <v>3</v>
      </c>
      <c r="E5" s="0" t="n">
        <v>14.22</v>
      </c>
      <c r="F5" s="0" t="n">
        <v>3</v>
      </c>
      <c r="G5" s="0" t="n">
        <v>27.91</v>
      </c>
      <c r="H5" s="0" t="s">
        <v>1518</v>
      </c>
    </row>
    <row r="6" customFormat="false" ht="15" hidden="false" customHeight="false" outlineLevel="0" collapsed="false">
      <c r="A6" s="0" t="s">
        <v>905</v>
      </c>
      <c r="B6" s="0" t="s">
        <v>2568</v>
      </c>
      <c r="C6" s="0" t="n">
        <v>11.85</v>
      </c>
      <c r="D6" s="0" t="n">
        <v>3</v>
      </c>
      <c r="E6" s="0" t="n">
        <v>11.32</v>
      </c>
      <c r="F6" s="0" t="n">
        <v>3</v>
      </c>
      <c r="G6" s="0" t="n">
        <v>23.17</v>
      </c>
      <c r="H6" s="0" t="s">
        <v>1519</v>
      </c>
    </row>
    <row r="7" customFormat="false" ht="15" hidden="false" customHeight="false" outlineLevel="0" collapsed="false">
      <c r="A7" s="0" t="s">
        <v>905</v>
      </c>
      <c r="B7" s="0" t="s">
        <v>2569</v>
      </c>
      <c r="C7" s="0" t="n">
        <v>15.5</v>
      </c>
      <c r="D7" s="0" t="n">
        <v>3</v>
      </c>
      <c r="E7" s="0" t="n">
        <v>15.68</v>
      </c>
      <c r="F7" s="0" t="n">
        <v>3</v>
      </c>
      <c r="G7" s="0" t="n">
        <v>31.18</v>
      </c>
      <c r="H7" s="0" t="s">
        <v>1514</v>
      </c>
    </row>
    <row r="8" customFormat="false" ht="15" hidden="false" customHeight="false" outlineLevel="0" collapsed="false">
      <c r="A8" s="0" t="s">
        <v>905</v>
      </c>
      <c r="B8" s="0" t="s">
        <v>2570</v>
      </c>
      <c r="C8" s="0" t="n">
        <v>13.26</v>
      </c>
      <c r="D8" s="0" t="n">
        <v>3</v>
      </c>
      <c r="E8" s="0" t="n">
        <v>13.5</v>
      </c>
      <c r="F8" s="0" t="n">
        <v>3</v>
      </c>
      <c r="G8" s="0" t="n">
        <v>26.76</v>
      </c>
      <c r="H8" s="0" t="s">
        <v>1520</v>
      </c>
    </row>
    <row r="9" customFormat="false" ht="15" hidden="false" customHeight="false" outlineLevel="0" collapsed="false">
      <c r="A9" s="0" t="s">
        <v>905</v>
      </c>
      <c r="B9" s="0" t="s">
        <v>2571</v>
      </c>
      <c r="C9" s="0" t="n">
        <v>13.38</v>
      </c>
      <c r="D9" s="0" t="n">
        <v>3</v>
      </c>
      <c r="E9" s="0" t="n">
        <v>13.68</v>
      </c>
      <c r="F9" s="0" t="n">
        <v>3</v>
      </c>
      <c r="G9" s="0" t="n">
        <v>27.06</v>
      </c>
      <c r="H9" s="0" t="s">
        <v>1521</v>
      </c>
    </row>
    <row r="10" customFormat="false" ht="15" hidden="false" customHeight="false" outlineLevel="0" collapsed="false">
      <c r="A10" s="0" t="s">
        <v>905</v>
      </c>
      <c r="B10" s="0" t="s">
        <v>2572</v>
      </c>
      <c r="C10" s="0" t="n">
        <v>14.68</v>
      </c>
      <c r="D10" s="0" t="n">
        <v>3</v>
      </c>
      <c r="E10" s="0" t="n">
        <v>14.5</v>
      </c>
      <c r="F10" s="0" t="n">
        <v>3</v>
      </c>
      <c r="G10" s="0" t="n">
        <v>29.18</v>
      </c>
      <c r="H10" s="0" t="s">
        <v>1515</v>
      </c>
    </row>
    <row r="11" customFormat="false" ht="15" hidden="false" customHeight="false" outlineLevel="0" collapsed="false">
      <c r="A11" s="0" t="s">
        <v>905</v>
      </c>
      <c r="B11" s="0" t="s">
        <v>1269</v>
      </c>
      <c r="C11" s="0" t="n">
        <v>14.5</v>
      </c>
      <c r="D11" s="0" t="n">
        <v>3</v>
      </c>
      <c r="E11" s="0" t="n">
        <v>14.4</v>
      </c>
      <c r="F11" s="0" t="n">
        <v>3</v>
      </c>
      <c r="G11" s="0" t="n">
        <v>28.9</v>
      </c>
      <c r="H11" s="0" t="s">
        <v>1516</v>
      </c>
    </row>
    <row r="12" customFormat="false" ht="15" hidden="false" customHeight="false" outlineLevel="0" collapsed="false">
      <c r="A12" s="0" t="s">
        <v>996</v>
      </c>
      <c r="B12" s="0" t="s">
        <v>1336</v>
      </c>
      <c r="C12" s="0" t="n">
        <v>19.5</v>
      </c>
      <c r="D12" s="0" t="n">
        <v>3</v>
      </c>
      <c r="E12" s="0" t="n">
        <v>19.5</v>
      </c>
      <c r="F12" s="0" t="n">
        <v>3</v>
      </c>
      <c r="G12" s="0" t="n">
        <v>39</v>
      </c>
      <c r="H12" s="0" t="s">
        <v>1549</v>
      </c>
    </row>
    <row r="13" customFormat="false" ht="15" hidden="false" customHeight="false" outlineLevel="0" collapsed="false">
      <c r="A13" s="0" t="s">
        <v>996</v>
      </c>
      <c r="B13" s="0" t="s">
        <v>2573</v>
      </c>
      <c r="C13" s="0" t="n">
        <v>12.5</v>
      </c>
      <c r="D13" s="0" t="n">
        <v>3</v>
      </c>
      <c r="E13" s="0" t="n">
        <v>12.32</v>
      </c>
      <c r="F13" s="0" t="n">
        <v>3</v>
      </c>
      <c r="G13" s="0" t="n">
        <v>24.82</v>
      </c>
      <c r="H13" s="0" t="s">
        <v>1554</v>
      </c>
    </row>
    <row r="14" customFormat="false" ht="15" hidden="false" customHeight="false" outlineLevel="0" collapsed="false">
      <c r="A14" s="0" t="s">
        <v>996</v>
      </c>
      <c r="B14" s="0" t="s">
        <v>2574</v>
      </c>
      <c r="C14" s="0" t="n">
        <v>12.26</v>
      </c>
      <c r="D14" s="0" t="n">
        <v>3</v>
      </c>
      <c r="E14" s="0" t="n">
        <v>12.32</v>
      </c>
      <c r="F14" s="0" t="n">
        <v>3</v>
      </c>
      <c r="G14" s="0" t="n">
        <v>24.58</v>
      </c>
      <c r="H14" s="0" t="s">
        <v>1555</v>
      </c>
    </row>
    <row r="15" customFormat="false" ht="15" hidden="false" customHeight="false" outlineLevel="0" collapsed="false">
      <c r="A15" s="0" t="s">
        <v>996</v>
      </c>
      <c r="B15" s="0" t="s">
        <v>1338</v>
      </c>
      <c r="C15" s="0" t="n">
        <v>12.5</v>
      </c>
      <c r="D15" s="0" t="n">
        <v>3</v>
      </c>
      <c r="E15" s="0" t="n">
        <v>12.5</v>
      </c>
      <c r="F15" s="0" t="n">
        <v>3</v>
      </c>
      <c r="G15" s="0" t="n">
        <v>25</v>
      </c>
      <c r="H15" s="0" t="s">
        <v>1550</v>
      </c>
    </row>
    <row r="16" customFormat="false" ht="15" hidden="false" customHeight="false" outlineLevel="0" collapsed="false">
      <c r="A16" s="0" t="s">
        <v>996</v>
      </c>
      <c r="B16" s="0" t="s">
        <v>2575</v>
      </c>
      <c r="C16" s="0" t="n">
        <v>11.15</v>
      </c>
      <c r="D16" s="0" t="n">
        <v>3</v>
      </c>
      <c r="E16" s="0" t="n">
        <v>10.5</v>
      </c>
      <c r="F16" s="0" t="n">
        <v>3</v>
      </c>
      <c r="G16" s="0" t="n">
        <v>21.65</v>
      </c>
      <c r="H16" s="0" t="s">
        <v>1556</v>
      </c>
    </row>
    <row r="17" customFormat="false" ht="15" hidden="false" customHeight="false" outlineLevel="0" collapsed="false">
      <c r="A17" s="0" t="s">
        <v>996</v>
      </c>
      <c r="B17" s="0" t="s">
        <v>2576</v>
      </c>
      <c r="C17" s="0" t="n">
        <v>11.38</v>
      </c>
      <c r="D17" s="0" t="n">
        <v>3</v>
      </c>
      <c r="E17" s="0" t="n">
        <v>11.68</v>
      </c>
      <c r="F17" s="0" t="n">
        <v>3</v>
      </c>
      <c r="G17" s="0" t="n">
        <v>23.06</v>
      </c>
      <c r="H17" s="0" t="s">
        <v>1557</v>
      </c>
    </row>
    <row r="18" customFormat="false" ht="15" hidden="false" customHeight="false" outlineLevel="0" collapsed="false">
      <c r="A18" s="0" t="s">
        <v>996</v>
      </c>
      <c r="B18" s="0" t="s">
        <v>1340</v>
      </c>
      <c r="C18" s="0" t="n">
        <v>15.74</v>
      </c>
      <c r="D18" s="0" t="n">
        <v>3</v>
      </c>
      <c r="E18" s="0" t="n">
        <v>15.85</v>
      </c>
      <c r="F18" s="0" t="n">
        <v>3</v>
      </c>
      <c r="G18" s="0" t="n">
        <v>31.59</v>
      </c>
      <c r="H18" s="0" t="s">
        <v>1551</v>
      </c>
    </row>
    <row r="19" customFormat="false" ht="15" hidden="false" customHeight="false" outlineLevel="0" collapsed="false">
      <c r="A19" s="0" t="s">
        <v>996</v>
      </c>
      <c r="B19" s="0" t="s">
        <v>2577</v>
      </c>
      <c r="C19" s="0" t="n">
        <v>14.68</v>
      </c>
      <c r="D19" s="0" t="n">
        <v>3</v>
      </c>
      <c r="E19" s="0" t="n">
        <v>14.5</v>
      </c>
      <c r="F19" s="0" t="n">
        <v>3</v>
      </c>
      <c r="G19" s="0" t="n">
        <v>29.18</v>
      </c>
      <c r="H19" s="0" t="s">
        <v>1552</v>
      </c>
    </row>
    <row r="20" customFormat="false" ht="15" hidden="false" customHeight="false" outlineLevel="0" collapsed="false">
      <c r="A20" s="0" t="s">
        <v>996</v>
      </c>
      <c r="B20" s="0" t="s">
        <v>1354</v>
      </c>
      <c r="C20" s="0" t="n">
        <v>11.92</v>
      </c>
      <c r="D20" s="0" t="n">
        <v>3</v>
      </c>
      <c r="E20" s="0" t="n">
        <v>11.78</v>
      </c>
      <c r="F20" s="0" t="n">
        <v>3</v>
      </c>
      <c r="G20" s="0" t="n">
        <v>23.69</v>
      </c>
      <c r="H20" s="0" t="s">
        <v>1558</v>
      </c>
    </row>
    <row r="21" customFormat="false" ht="15" hidden="false" customHeight="false" outlineLevel="0" collapsed="false">
      <c r="A21" s="0" t="s">
        <v>996</v>
      </c>
      <c r="B21" s="0" t="s">
        <v>1344</v>
      </c>
      <c r="C21" s="0" t="n">
        <v>13.11</v>
      </c>
      <c r="D21" s="0" t="n">
        <v>3</v>
      </c>
      <c r="E21" s="0" t="n">
        <v>12.89</v>
      </c>
      <c r="F21" s="0" t="n">
        <v>3</v>
      </c>
      <c r="G21" s="0" t="n">
        <v>26</v>
      </c>
      <c r="H21" s="0" t="s">
        <v>1553</v>
      </c>
    </row>
    <row r="22" customFormat="false" ht="15" hidden="false" customHeight="false" outlineLevel="0" collapsed="false">
      <c r="A22" s="0" t="s">
        <v>1008</v>
      </c>
      <c r="B22" s="0" t="s">
        <v>2578</v>
      </c>
      <c r="C22" s="0" t="n">
        <v>12.68</v>
      </c>
      <c r="D22" s="0" t="n">
        <v>3</v>
      </c>
      <c r="E22" s="0" t="n">
        <v>12.5</v>
      </c>
      <c r="F22" s="0" t="n">
        <v>3</v>
      </c>
      <c r="G22" s="0" t="n">
        <v>25.18</v>
      </c>
      <c r="H22" s="0" t="s">
        <v>1482</v>
      </c>
    </row>
    <row r="23" customFormat="false" ht="15" hidden="false" customHeight="false" outlineLevel="0" collapsed="false">
      <c r="A23" s="0" t="s">
        <v>1008</v>
      </c>
      <c r="B23" s="0" t="s">
        <v>2579</v>
      </c>
      <c r="C23" s="0" t="n">
        <v>14.68</v>
      </c>
      <c r="D23" s="0" t="n">
        <v>3</v>
      </c>
      <c r="E23" s="0" t="n">
        <v>14.5</v>
      </c>
      <c r="F23" s="0" t="n">
        <v>3</v>
      </c>
      <c r="G23" s="0" t="n">
        <v>29.18</v>
      </c>
      <c r="H23" s="0" t="s">
        <v>1483</v>
      </c>
    </row>
    <row r="24" customFormat="false" ht="15" hidden="false" customHeight="false" outlineLevel="0" collapsed="false">
      <c r="A24" s="0" t="s">
        <v>1008</v>
      </c>
      <c r="B24" s="0" t="s">
        <v>2580</v>
      </c>
      <c r="C24" s="0" t="n">
        <v>14.78</v>
      </c>
      <c r="D24" s="0" t="n">
        <v>3</v>
      </c>
      <c r="E24" s="0" t="n">
        <v>15</v>
      </c>
      <c r="F24" s="0" t="n">
        <v>3</v>
      </c>
      <c r="G24" s="0" t="n">
        <v>29.78</v>
      </c>
    </row>
    <row r="25" customFormat="false" ht="15" hidden="false" customHeight="false" outlineLevel="0" collapsed="false">
      <c r="A25" s="0" t="s">
        <v>1008</v>
      </c>
      <c r="B25" s="0" t="s">
        <v>2581</v>
      </c>
      <c r="C25" s="0" t="n">
        <v>14.32</v>
      </c>
      <c r="D25" s="0" t="n">
        <v>3</v>
      </c>
      <c r="E25" s="0" t="n">
        <v>14.08</v>
      </c>
      <c r="F25" s="0" t="n">
        <v>3</v>
      </c>
      <c r="G25" s="0" t="n">
        <v>28.4</v>
      </c>
      <c r="H25" s="0" t="s">
        <v>1488</v>
      </c>
    </row>
    <row r="26" customFormat="false" ht="15" hidden="false" customHeight="false" outlineLevel="0" collapsed="false">
      <c r="A26" s="0" t="s">
        <v>1008</v>
      </c>
      <c r="B26" s="0" t="s">
        <v>2582</v>
      </c>
      <c r="C26" s="0" t="n">
        <v>16.5</v>
      </c>
      <c r="D26" s="0" t="n">
        <v>3</v>
      </c>
      <c r="E26" s="0" t="n">
        <v>16.5</v>
      </c>
      <c r="F26" s="0" t="n">
        <v>3</v>
      </c>
      <c r="G26" s="0" t="n">
        <v>33</v>
      </c>
      <c r="H26" s="0" t="s">
        <v>1484</v>
      </c>
    </row>
    <row r="27" customFormat="false" ht="15" hidden="false" customHeight="false" outlineLevel="0" collapsed="false">
      <c r="A27" s="0" t="s">
        <v>1008</v>
      </c>
      <c r="B27" s="0" t="s">
        <v>1202</v>
      </c>
      <c r="C27" s="0" t="n">
        <v>13.26</v>
      </c>
      <c r="D27" s="0" t="n">
        <v>3</v>
      </c>
      <c r="E27" s="0" t="n">
        <v>12.85</v>
      </c>
      <c r="F27" s="0" t="n">
        <v>3</v>
      </c>
      <c r="G27" s="0" t="n">
        <v>26.11</v>
      </c>
      <c r="H27" s="0" t="s">
        <v>1489</v>
      </c>
    </row>
    <row r="28" customFormat="false" ht="15" hidden="false" customHeight="false" outlineLevel="0" collapsed="false">
      <c r="A28" s="0" t="s">
        <v>1008</v>
      </c>
      <c r="B28" s="0" t="s">
        <v>1193</v>
      </c>
      <c r="C28" s="0" t="n">
        <v>14.15</v>
      </c>
      <c r="D28" s="0" t="n">
        <v>3</v>
      </c>
      <c r="E28" s="0" t="n">
        <v>13.85</v>
      </c>
      <c r="F28" s="0" t="n">
        <v>3</v>
      </c>
      <c r="G28" s="0" t="n">
        <v>28</v>
      </c>
      <c r="H28" s="0" t="s">
        <v>1485</v>
      </c>
    </row>
    <row r="29" customFormat="false" ht="15" hidden="false" customHeight="false" outlineLevel="0" collapsed="false">
      <c r="A29" s="0" t="s">
        <v>1008</v>
      </c>
      <c r="B29" s="0" t="s">
        <v>1204</v>
      </c>
      <c r="C29" s="0" t="n">
        <v>14.15</v>
      </c>
      <c r="D29" s="0" t="n">
        <v>3</v>
      </c>
      <c r="E29" s="0" t="n">
        <v>14</v>
      </c>
      <c r="F29" s="0" t="n">
        <v>3</v>
      </c>
      <c r="G29" s="0" t="n">
        <v>28.15</v>
      </c>
      <c r="H29" s="0" t="s">
        <v>1490</v>
      </c>
    </row>
    <row r="30" customFormat="false" ht="15" hidden="false" customHeight="false" outlineLevel="0" collapsed="false">
      <c r="A30" s="0" t="s">
        <v>1008</v>
      </c>
      <c r="B30" s="0" t="s">
        <v>2583</v>
      </c>
      <c r="C30" s="0" t="n">
        <v>13.85</v>
      </c>
      <c r="D30" s="0" t="n">
        <v>3</v>
      </c>
      <c r="E30" s="0" t="n">
        <v>13.68</v>
      </c>
      <c r="F30" s="0" t="n">
        <v>3</v>
      </c>
      <c r="G30" s="0" t="n">
        <v>27.54</v>
      </c>
      <c r="H30" s="0" t="s">
        <v>1491</v>
      </c>
    </row>
    <row r="31" customFormat="false" ht="15" hidden="false" customHeight="false" outlineLevel="0" collapsed="false">
      <c r="A31" s="0" t="s">
        <v>1008</v>
      </c>
      <c r="B31" s="0" t="s">
        <v>1196</v>
      </c>
      <c r="C31" s="0" t="n">
        <v>14.74</v>
      </c>
      <c r="D31" s="0" t="n">
        <v>3</v>
      </c>
      <c r="E31" s="0" t="n">
        <v>14.5</v>
      </c>
      <c r="F31" s="0" t="n">
        <v>3</v>
      </c>
      <c r="G31" s="0" t="n">
        <v>29.24</v>
      </c>
      <c r="H31" s="0" t="s">
        <v>1486</v>
      </c>
    </row>
    <row r="32" customFormat="false" ht="15" hidden="false" customHeight="false" outlineLevel="0" collapsed="false">
      <c r="A32" s="0" t="s">
        <v>1015</v>
      </c>
      <c r="B32" s="0" t="s">
        <v>1356</v>
      </c>
      <c r="C32" s="0" t="n">
        <v>15.08</v>
      </c>
      <c r="D32" s="0" t="n">
        <v>3</v>
      </c>
      <c r="E32" s="0" t="n">
        <v>14.68</v>
      </c>
      <c r="F32" s="0" t="n">
        <v>3</v>
      </c>
      <c r="G32" s="0" t="n">
        <v>29.77</v>
      </c>
      <c r="H32" s="0" t="s">
        <v>1559</v>
      </c>
    </row>
    <row r="33" customFormat="false" ht="15" hidden="false" customHeight="false" outlineLevel="0" collapsed="false">
      <c r="A33" s="0" t="s">
        <v>1015</v>
      </c>
      <c r="B33" s="0" t="s">
        <v>2584</v>
      </c>
      <c r="C33" s="0" t="n">
        <v>12.68</v>
      </c>
      <c r="D33" s="0" t="n">
        <v>3</v>
      </c>
      <c r="E33" s="0" t="n">
        <v>12.78</v>
      </c>
      <c r="F33" s="0" t="n">
        <v>3</v>
      </c>
      <c r="G33" s="0" t="n">
        <v>25.46</v>
      </c>
      <c r="H33" s="0" t="s">
        <v>1560</v>
      </c>
    </row>
    <row r="34" customFormat="false" ht="15" hidden="false" customHeight="false" outlineLevel="0" collapsed="false">
      <c r="A34" s="0" t="s">
        <v>1015</v>
      </c>
      <c r="B34" s="0" t="s">
        <v>1363</v>
      </c>
      <c r="C34" s="0" t="n">
        <v>12.92</v>
      </c>
      <c r="D34" s="0" t="n">
        <v>3</v>
      </c>
      <c r="E34" s="0" t="n">
        <v>12.68</v>
      </c>
      <c r="F34" s="0" t="n">
        <v>3</v>
      </c>
      <c r="G34" s="0" t="n">
        <v>25.6</v>
      </c>
      <c r="H34" s="0" t="s">
        <v>1561</v>
      </c>
    </row>
    <row r="35" customFormat="false" ht="15" hidden="false" customHeight="false" outlineLevel="0" collapsed="false">
      <c r="A35" s="0" t="s">
        <v>1015</v>
      </c>
      <c r="B35" s="0" t="s">
        <v>2585</v>
      </c>
      <c r="C35" s="0" t="n">
        <v>15.5</v>
      </c>
      <c r="D35" s="0" t="n">
        <v>3</v>
      </c>
      <c r="E35" s="0" t="n">
        <v>15.32</v>
      </c>
      <c r="F35" s="0" t="n">
        <v>3</v>
      </c>
      <c r="G35" s="0" t="n">
        <v>30.82</v>
      </c>
      <c r="H35" s="0" t="s">
        <v>1564</v>
      </c>
    </row>
    <row r="36" customFormat="false" ht="15" hidden="false" customHeight="false" outlineLevel="0" collapsed="false">
      <c r="A36" s="0" t="s">
        <v>1015</v>
      </c>
      <c r="B36" s="0" t="s">
        <v>2586</v>
      </c>
      <c r="C36" s="0" t="n">
        <v>14.6</v>
      </c>
      <c r="D36" s="0" t="n">
        <v>3</v>
      </c>
      <c r="E36" s="0" t="n">
        <v>14.4</v>
      </c>
      <c r="F36" s="0" t="n">
        <v>3</v>
      </c>
      <c r="G36" s="0" t="n">
        <v>29</v>
      </c>
      <c r="H36" s="0" t="s">
        <v>1565</v>
      </c>
    </row>
    <row r="37" customFormat="false" ht="15" hidden="false" customHeight="false" outlineLevel="0" collapsed="false">
      <c r="A37" s="0" t="s">
        <v>1015</v>
      </c>
      <c r="B37" s="0" t="s">
        <v>1375</v>
      </c>
      <c r="C37" s="0" t="n">
        <v>13.32</v>
      </c>
      <c r="D37" s="0" t="n">
        <v>3</v>
      </c>
      <c r="E37" s="0" t="n">
        <v>12.89</v>
      </c>
      <c r="F37" s="0" t="n">
        <v>3</v>
      </c>
      <c r="G37" s="0" t="n">
        <v>26.2</v>
      </c>
      <c r="H37" s="0" t="s">
        <v>1566</v>
      </c>
    </row>
    <row r="38" customFormat="false" ht="15" hidden="false" customHeight="false" outlineLevel="0" collapsed="false">
      <c r="A38" s="0" t="s">
        <v>1015</v>
      </c>
      <c r="B38" s="0" t="s">
        <v>1365</v>
      </c>
      <c r="C38" s="0" t="n">
        <v>12.32</v>
      </c>
      <c r="D38" s="0" t="n">
        <v>3</v>
      </c>
      <c r="E38" s="0" t="n">
        <v>12.22</v>
      </c>
      <c r="F38" s="0" t="n">
        <v>3</v>
      </c>
      <c r="G38" s="0" t="n">
        <v>24.54</v>
      </c>
      <c r="H38" s="0" t="s">
        <v>1562</v>
      </c>
    </row>
    <row r="39" customFormat="false" ht="15" hidden="false" customHeight="false" outlineLevel="0" collapsed="false">
      <c r="A39" s="0" t="s">
        <v>1015</v>
      </c>
      <c r="B39" s="0" t="s">
        <v>1377</v>
      </c>
      <c r="C39" s="0" t="n">
        <v>15.4</v>
      </c>
      <c r="D39" s="0" t="n">
        <v>3</v>
      </c>
      <c r="E39" s="0" t="n">
        <v>15.68</v>
      </c>
      <c r="F39" s="0" t="n">
        <v>3</v>
      </c>
      <c r="G39" s="0" t="n">
        <v>31.08</v>
      </c>
      <c r="H39" s="0" t="s">
        <v>1567</v>
      </c>
    </row>
    <row r="40" customFormat="false" ht="15" hidden="false" customHeight="false" outlineLevel="0" collapsed="false">
      <c r="A40" s="0" t="s">
        <v>1015</v>
      </c>
      <c r="B40" s="0" t="s">
        <v>2587</v>
      </c>
      <c r="C40" s="0" t="n">
        <v>11.5</v>
      </c>
      <c r="D40" s="0" t="n">
        <v>3</v>
      </c>
      <c r="E40" s="0" t="n">
        <v>11.5</v>
      </c>
      <c r="F40" s="0" t="n">
        <v>3</v>
      </c>
      <c r="G40" s="0" t="n">
        <v>23</v>
      </c>
      <c r="H40" s="0" t="s">
        <v>1563</v>
      </c>
    </row>
    <row r="41" customFormat="false" ht="15" hidden="false" customHeight="false" outlineLevel="0" collapsed="false">
      <c r="A41" s="0" t="s">
        <v>1015</v>
      </c>
      <c r="B41" s="0" t="s">
        <v>2588</v>
      </c>
      <c r="C41" s="0" t="n">
        <v>18.5</v>
      </c>
      <c r="D41" s="0" t="n">
        <v>3</v>
      </c>
      <c r="E41" s="0" t="n">
        <v>18.5</v>
      </c>
      <c r="F41" s="0" t="n">
        <v>3</v>
      </c>
      <c r="G41" s="0" t="n">
        <v>37</v>
      </c>
      <c r="H41" s="0" t="s">
        <v>1568</v>
      </c>
    </row>
    <row r="42" customFormat="false" ht="15" hidden="false" customHeight="false" outlineLevel="0" collapsed="false">
      <c r="A42" s="0" t="s">
        <v>1034</v>
      </c>
      <c r="B42" s="0" t="s">
        <v>1316</v>
      </c>
      <c r="C42" s="0" t="n">
        <v>13.92</v>
      </c>
      <c r="D42" s="0" t="n">
        <v>3</v>
      </c>
      <c r="E42" s="0" t="n">
        <v>13.78</v>
      </c>
      <c r="F42" s="0" t="n">
        <v>3</v>
      </c>
      <c r="G42" s="0" t="n">
        <v>27.69</v>
      </c>
      <c r="H42" s="0" t="s">
        <v>1539</v>
      </c>
    </row>
    <row r="43" customFormat="false" ht="15" hidden="false" customHeight="false" outlineLevel="0" collapsed="false">
      <c r="A43" s="0" t="s">
        <v>1034</v>
      </c>
      <c r="B43" s="0" t="s">
        <v>2589</v>
      </c>
      <c r="C43" s="0" t="n">
        <v>14.22</v>
      </c>
      <c r="D43" s="0" t="n">
        <v>3</v>
      </c>
      <c r="E43" s="0" t="n">
        <v>13.92</v>
      </c>
      <c r="F43" s="0" t="n">
        <v>3</v>
      </c>
      <c r="G43" s="0" t="n">
        <v>28.14</v>
      </c>
      <c r="H43" s="0" t="s">
        <v>1540</v>
      </c>
    </row>
    <row r="44" customFormat="false" ht="15" hidden="false" customHeight="false" outlineLevel="0" collapsed="false">
      <c r="A44" s="0" t="s">
        <v>1034</v>
      </c>
      <c r="B44" s="0" t="s">
        <v>1320</v>
      </c>
      <c r="C44" s="0" t="n">
        <v>13.92</v>
      </c>
      <c r="D44" s="0" t="n">
        <v>3</v>
      </c>
      <c r="E44" s="0" t="n">
        <v>13.68</v>
      </c>
      <c r="F44" s="0" t="n">
        <v>3</v>
      </c>
      <c r="G44" s="0" t="n">
        <v>27.6</v>
      </c>
      <c r="H44" s="0" t="s">
        <v>1541</v>
      </c>
    </row>
    <row r="45" customFormat="false" ht="15" hidden="false" customHeight="false" outlineLevel="0" collapsed="false">
      <c r="A45" s="0" t="s">
        <v>1034</v>
      </c>
      <c r="B45" s="0" t="s">
        <v>1322</v>
      </c>
      <c r="C45" s="0" t="n">
        <v>10.6</v>
      </c>
      <c r="D45" s="0" t="n">
        <v>3</v>
      </c>
      <c r="E45" s="0" t="n">
        <v>10.19</v>
      </c>
      <c r="F45" s="0" t="n">
        <v>3</v>
      </c>
      <c r="G45" s="0" t="n">
        <v>20.79</v>
      </c>
      <c r="H45" s="0" t="s">
        <v>1542</v>
      </c>
    </row>
    <row r="46" customFormat="false" ht="15" hidden="false" customHeight="false" outlineLevel="0" collapsed="false">
      <c r="A46" s="0" t="s">
        <v>1034</v>
      </c>
      <c r="B46" s="0" t="s">
        <v>1324</v>
      </c>
      <c r="C46" s="0" t="n">
        <v>12.85</v>
      </c>
      <c r="D46" s="0" t="n">
        <v>3</v>
      </c>
      <c r="E46" s="0" t="n">
        <v>12.68</v>
      </c>
      <c r="F46" s="0" t="n">
        <v>3</v>
      </c>
      <c r="G46" s="0" t="n">
        <v>25.54</v>
      </c>
      <c r="H46" s="0" t="s">
        <v>1543</v>
      </c>
    </row>
    <row r="47" customFormat="false" ht="15" hidden="false" customHeight="false" outlineLevel="0" collapsed="false">
      <c r="A47" s="0" t="s">
        <v>1034</v>
      </c>
      <c r="B47" s="0" t="s">
        <v>2590</v>
      </c>
      <c r="C47" s="0" t="n">
        <v>14.26</v>
      </c>
      <c r="D47" s="0" t="n">
        <v>3</v>
      </c>
      <c r="E47" s="0" t="n">
        <v>14.26</v>
      </c>
      <c r="F47" s="0" t="n">
        <v>3</v>
      </c>
      <c r="G47" s="0" t="n">
        <v>28.52</v>
      </c>
      <c r="H47" s="0" t="s">
        <v>1544</v>
      </c>
    </row>
    <row r="48" customFormat="false" ht="15" hidden="false" customHeight="false" outlineLevel="0" collapsed="false">
      <c r="A48" s="0" t="s">
        <v>1034</v>
      </c>
      <c r="B48" s="0" t="s">
        <v>2591</v>
      </c>
      <c r="C48" s="0" t="n">
        <v>15.38</v>
      </c>
      <c r="D48" s="0" t="n">
        <v>3</v>
      </c>
      <c r="E48" s="0" t="n">
        <v>15.26</v>
      </c>
      <c r="F48" s="0" t="n">
        <v>3</v>
      </c>
      <c r="G48" s="0" t="n">
        <v>30.64</v>
      </c>
      <c r="H48" s="0" t="s">
        <v>1545</v>
      </c>
    </row>
    <row r="49" customFormat="false" ht="15" hidden="false" customHeight="false" outlineLevel="0" collapsed="false">
      <c r="A49" s="0" t="s">
        <v>1034</v>
      </c>
      <c r="B49" s="0" t="s">
        <v>1330</v>
      </c>
      <c r="C49" s="0" t="n">
        <v>15.26</v>
      </c>
      <c r="D49" s="0" t="n">
        <v>3</v>
      </c>
      <c r="E49" s="0" t="n">
        <v>14.74</v>
      </c>
      <c r="F49" s="0" t="n">
        <v>3</v>
      </c>
      <c r="G49" s="0" t="n">
        <v>30</v>
      </c>
      <c r="H49" s="0" t="s">
        <v>1546</v>
      </c>
    </row>
    <row r="50" customFormat="false" ht="15" hidden="false" customHeight="false" outlineLevel="0" collapsed="false">
      <c r="A50" s="0" t="s">
        <v>1034</v>
      </c>
      <c r="B50" s="0" t="s">
        <v>1332</v>
      </c>
      <c r="C50" s="0" t="n">
        <v>14.5</v>
      </c>
      <c r="D50" s="0" t="n">
        <v>3</v>
      </c>
      <c r="E50" s="0" t="n">
        <v>14.6</v>
      </c>
      <c r="F50" s="0" t="n">
        <v>3</v>
      </c>
      <c r="G50" s="0" t="n">
        <v>29.1</v>
      </c>
      <c r="H50" s="0" t="s">
        <v>1547</v>
      </c>
    </row>
    <row r="51" customFormat="false" ht="15" hidden="false" customHeight="false" outlineLevel="0" collapsed="false">
      <c r="A51" s="0" t="s">
        <v>1034</v>
      </c>
      <c r="B51" s="0" t="s">
        <v>2592</v>
      </c>
      <c r="C51" s="0" t="n">
        <v>15.15</v>
      </c>
      <c r="D51" s="0" t="n">
        <v>3</v>
      </c>
      <c r="E51" s="0" t="n">
        <v>14.85</v>
      </c>
      <c r="F51" s="0" t="n">
        <v>3</v>
      </c>
      <c r="G51" s="0" t="n">
        <v>30</v>
      </c>
      <c r="H51" s="0" t="s">
        <v>1548</v>
      </c>
    </row>
    <row r="52" customFormat="false" ht="15" hidden="false" customHeight="false" outlineLevel="0" collapsed="false">
      <c r="A52" s="0" t="s">
        <v>1041</v>
      </c>
      <c r="B52" s="0" t="s">
        <v>2593</v>
      </c>
      <c r="C52" s="0" t="n">
        <v>14.5</v>
      </c>
      <c r="D52" s="0" t="n">
        <v>3</v>
      </c>
      <c r="E52" s="0" t="n">
        <v>14.26</v>
      </c>
      <c r="F52" s="0" t="n">
        <v>3</v>
      </c>
      <c r="G52" s="0" t="n">
        <v>28.76</v>
      </c>
      <c r="H52" s="0" t="s">
        <v>1477</v>
      </c>
    </row>
    <row r="53" customFormat="false" ht="15" hidden="false" customHeight="false" outlineLevel="0" collapsed="false">
      <c r="A53" s="0" t="s">
        <v>1041</v>
      </c>
      <c r="B53" s="0" t="s">
        <v>2594</v>
      </c>
      <c r="C53" s="0" t="n">
        <v>13.26</v>
      </c>
      <c r="D53" s="0" t="n">
        <v>3</v>
      </c>
      <c r="E53" s="0" t="n">
        <v>13.4</v>
      </c>
      <c r="F53" s="0" t="n">
        <v>3</v>
      </c>
      <c r="G53" s="0" t="n">
        <v>26.66</v>
      </c>
      <c r="H53" s="0" t="s">
        <v>1478</v>
      </c>
    </row>
    <row r="54" customFormat="false" ht="15" hidden="false" customHeight="false" outlineLevel="0" collapsed="false">
      <c r="A54" s="0" t="s">
        <v>1041</v>
      </c>
      <c r="B54" s="0" t="s">
        <v>2595</v>
      </c>
      <c r="C54" s="0" t="n">
        <v>15.26</v>
      </c>
      <c r="D54" s="0" t="n">
        <v>3</v>
      </c>
      <c r="E54" s="0" t="n">
        <v>14.92</v>
      </c>
      <c r="F54" s="0" t="n">
        <v>3</v>
      </c>
      <c r="G54" s="0" t="n">
        <v>30.18</v>
      </c>
      <c r="H54" s="0" t="s">
        <v>1472</v>
      </c>
    </row>
    <row r="55" customFormat="false" ht="15" hidden="false" customHeight="false" outlineLevel="0" collapsed="false">
      <c r="A55" s="0" t="s">
        <v>1041</v>
      </c>
      <c r="B55" s="0" t="s">
        <v>1155</v>
      </c>
      <c r="C55" s="0" t="n">
        <v>11.81</v>
      </c>
      <c r="D55" s="0" t="n">
        <v>3</v>
      </c>
      <c r="E55" s="0" t="n">
        <v>11.5</v>
      </c>
      <c r="F55" s="0" t="n">
        <v>3</v>
      </c>
      <c r="G55" s="0" t="n">
        <v>23.31</v>
      </c>
      <c r="H55" s="0" t="s">
        <v>1473</v>
      </c>
    </row>
    <row r="56" customFormat="false" ht="15" hidden="false" customHeight="false" outlineLevel="0" collapsed="false">
      <c r="A56" s="0" t="s">
        <v>1041</v>
      </c>
      <c r="B56" s="0" t="s">
        <v>2596</v>
      </c>
      <c r="C56" s="0" t="n">
        <v>13.26</v>
      </c>
      <c r="D56" s="0" t="n">
        <v>3</v>
      </c>
      <c r="E56" s="0" t="n">
        <v>13.5</v>
      </c>
      <c r="F56" s="0" t="n">
        <v>3</v>
      </c>
      <c r="G56" s="0" t="n">
        <v>26.76</v>
      </c>
      <c r="H56" s="0" t="s">
        <v>1479</v>
      </c>
    </row>
    <row r="57" customFormat="false" ht="15" hidden="false" customHeight="false" outlineLevel="0" collapsed="false">
      <c r="A57" s="0" t="s">
        <v>1041</v>
      </c>
      <c r="B57" s="0" t="s">
        <v>2597</v>
      </c>
      <c r="C57" s="0" t="n">
        <v>15.32</v>
      </c>
      <c r="D57" s="0" t="n">
        <v>3</v>
      </c>
      <c r="E57" s="0" t="n">
        <v>15.08</v>
      </c>
      <c r="F57" s="0" t="n">
        <v>3</v>
      </c>
      <c r="G57" s="0" t="n">
        <v>30.4</v>
      </c>
      <c r="H57" s="0" t="s">
        <v>1480</v>
      </c>
    </row>
    <row r="58" customFormat="false" ht="15" hidden="false" customHeight="false" outlineLevel="0" collapsed="false">
      <c r="A58" s="0" t="s">
        <v>1041</v>
      </c>
      <c r="B58" s="0" t="s">
        <v>1181</v>
      </c>
      <c r="C58" s="0" t="n">
        <v>13.5</v>
      </c>
      <c r="D58" s="0" t="n">
        <v>3</v>
      </c>
      <c r="E58" s="0" t="n">
        <v>13.4</v>
      </c>
      <c r="F58" s="0" t="n">
        <v>3</v>
      </c>
      <c r="G58" s="0" t="n">
        <v>26.9</v>
      </c>
      <c r="H58" s="0" t="s">
        <v>1481</v>
      </c>
    </row>
    <row r="59" customFormat="false" ht="15" hidden="false" customHeight="false" outlineLevel="0" collapsed="false">
      <c r="A59" s="0" t="s">
        <v>1041</v>
      </c>
      <c r="B59" s="0" t="s">
        <v>2598</v>
      </c>
      <c r="C59" s="0" t="n">
        <v>15.92</v>
      </c>
      <c r="D59" s="0" t="n">
        <v>3</v>
      </c>
      <c r="E59" s="0" t="n">
        <v>16.22</v>
      </c>
      <c r="F59" s="0" t="n">
        <v>3</v>
      </c>
      <c r="G59" s="0" t="n">
        <v>32.14</v>
      </c>
      <c r="H59" s="0" t="s">
        <v>1474</v>
      </c>
    </row>
    <row r="60" customFormat="false" ht="15" hidden="false" customHeight="false" outlineLevel="0" collapsed="false">
      <c r="A60" s="0" t="s">
        <v>1041</v>
      </c>
      <c r="B60" s="0" t="s">
        <v>1163</v>
      </c>
      <c r="C60" s="0" t="n">
        <v>15</v>
      </c>
      <c r="D60" s="0" t="n">
        <v>3</v>
      </c>
      <c r="E60" s="0" t="n">
        <v>14.74</v>
      </c>
      <c r="F60" s="0" t="n">
        <v>3</v>
      </c>
      <c r="G60" s="0" t="n">
        <v>29.74</v>
      </c>
      <c r="H60" s="0" t="s">
        <v>1475</v>
      </c>
    </row>
    <row r="61" customFormat="false" ht="15" hidden="false" customHeight="false" outlineLevel="0" collapsed="false">
      <c r="A61" s="0" t="s">
        <v>1041</v>
      </c>
      <c r="B61" s="0" t="s">
        <v>2599</v>
      </c>
      <c r="C61" s="0" t="n">
        <v>14.68</v>
      </c>
      <c r="D61" s="0" t="n">
        <v>3</v>
      </c>
      <c r="E61" s="0" t="n">
        <v>15</v>
      </c>
      <c r="F61" s="0" t="n">
        <v>3</v>
      </c>
      <c r="G61" s="0" t="n">
        <v>29.68</v>
      </c>
      <c r="H61" s="0" t="s">
        <v>1476</v>
      </c>
    </row>
    <row r="62" customFormat="false" ht="15" hidden="false" customHeight="false" outlineLevel="0" collapsed="false">
      <c r="A62" s="0" t="s">
        <v>1054</v>
      </c>
      <c r="B62" s="0" t="s">
        <v>2600</v>
      </c>
      <c r="C62" s="0" t="n">
        <v>12.19</v>
      </c>
      <c r="D62" s="0" t="n">
        <v>3</v>
      </c>
      <c r="E62" s="0" t="n">
        <v>12.41</v>
      </c>
      <c r="F62" s="0" t="n">
        <v>3</v>
      </c>
      <c r="G62" s="0" t="n">
        <v>24.6</v>
      </c>
      <c r="H62" s="0" t="s">
        <v>1534</v>
      </c>
    </row>
    <row r="63" customFormat="false" ht="15" hidden="false" customHeight="false" outlineLevel="0" collapsed="false">
      <c r="A63" s="0" t="s">
        <v>1054</v>
      </c>
      <c r="B63" s="0" t="s">
        <v>1295</v>
      </c>
      <c r="C63" s="0" t="n">
        <v>14.5</v>
      </c>
      <c r="D63" s="0" t="n">
        <v>3</v>
      </c>
      <c r="E63" s="0" t="n">
        <v>14.32</v>
      </c>
      <c r="F63" s="0" t="n">
        <v>3</v>
      </c>
      <c r="G63" s="0" t="n">
        <v>28.82</v>
      </c>
      <c r="H63" s="0" t="s">
        <v>1529</v>
      </c>
    </row>
    <row r="64" customFormat="false" ht="15" hidden="false" customHeight="false" outlineLevel="0" collapsed="false">
      <c r="A64" s="0" t="s">
        <v>1054</v>
      </c>
      <c r="B64" s="0" t="s">
        <v>1308</v>
      </c>
      <c r="C64" s="0" t="n">
        <v>15.74</v>
      </c>
      <c r="D64" s="0" t="n">
        <v>3</v>
      </c>
      <c r="E64" s="0" t="n">
        <v>15.5</v>
      </c>
      <c r="F64" s="0" t="n">
        <v>3</v>
      </c>
      <c r="G64" s="0" t="n">
        <v>31.24</v>
      </c>
      <c r="H64" s="0" t="s">
        <v>1535</v>
      </c>
    </row>
    <row r="65" customFormat="false" ht="15" hidden="false" customHeight="false" outlineLevel="0" collapsed="false">
      <c r="A65" s="0" t="s">
        <v>1054</v>
      </c>
      <c r="B65" s="0" t="s">
        <v>2601</v>
      </c>
      <c r="C65" s="0" t="n">
        <v>11.5</v>
      </c>
      <c r="D65" s="0" t="n">
        <v>3</v>
      </c>
      <c r="E65" s="0" t="n">
        <v>11.32</v>
      </c>
      <c r="F65" s="0" t="n">
        <v>3</v>
      </c>
      <c r="G65" s="0" t="n">
        <v>22.82</v>
      </c>
      <c r="H65" s="0" t="s">
        <v>1530</v>
      </c>
    </row>
    <row r="66" customFormat="false" ht="15" hidden="false" customHeight="false" outlineLevel="0" collapsed="false">
      <c r="A66" s="0" t="s">
        <v>1054</v>
      </c>
      <c r="B66" s="0" t="s">
        <v>1300</v>
      </c>
      <c r="C66" s="0" t="n">
        <v>13.68</v>
      </c>
      <c r="D66" s="0" t="n">
        <v>3</v>
      </c>
      <c r="E66" s="0" t="n">
        <v>13.92</v>
      </c>
      <c r="F66" s="0" t="n">
        <v>3</v>
      </c>
      <c r="G66" s="0" t="n">
        <v>27.6</v>
      </c>
      <c r="H66" s="0" t="s">
        <v>1531</v>
      </c>
    </row>
    <row r="67" customFormat="false" ht="15" hidden="false" customHeight="false" outlineLevel="0" collapsed="false">
      <c r="A67" s="0" t="s">
        <v>1054</v>
      </c>
      <c r="B67" s="0" t="s">
        <v>1310</v>
      </c>
      <c r="C67" s="0" t="n">
        <v>16.08</v>
      </c>
      <c r="D67" s="0" t="n">
        <v>3</v>
      </c>
      <c r="E67" s="0" t="n">
        <v>15.74</v>
      </c>
      <c r="F67" s="0" t="n">
        <v>3</v>
      </c>
      <c r="G67" s="0" t="n">
        <v>31.82</v>
      </c>
      <c r="H67" s="0" t="s">
        <v>1536</v>
      </c>
    </row>
    <row r="68" customFormat="false" ht="15" hidden="false" customHeight="false" outlineLevel="0" collapsed="false">
      <c r="A68" s="0" t="s">
        <v>1054</v>
      </c>
      <c r="B68" s="0" t="s">
        <v>1302</v>
      </c>
      <c r="C68" s="0" t="n">
        <v>12.5</v>
      </c>
      <c r="D68" s="0" t="n">
        <v>3</v>
      </c>
      <c r="E68" s="0" t="n">
        <v>12.5</v>
      </c>
      <c r="F68" s="0" t="n">
        <v>3</v>
      </c>
      <c r="G68" s="0" t="n">
        <v>25</v>
      </c>
      <c r="H68" s="0" t="s">
        <v>1532</v>
      </c>
    </row>
    <row r="69" customFormat="false" ht="15" hidden="false" customHeight="false" outlineLevel="0" collapsed="false">
      <c r="A69" s="0" t="s">
        <v>1054</v>
      </c>
      <c r="B69" s="0" t="s">
        <v>1312</v>
      </c>
      <c r="C69" s="0" t="n">
        <v>13.85</v>
      </c>
      <c r="D69" s="0" t="n">
        <v>3</v>
      </c>
      <c r="E69" s="0" t="n">
        <v>13.68</v>
      </c>
      <c r="F69" s="0" t="n">
        <v>3</v>
      </c>
      <c r="G69" s="0" t="n">
        <v>27.54</v>
      </c>
      <c r="H69" s="0" t="s">
        <v>1537</v>
      </c>
    </row>
    <row r="70" customFormat="false" ht="15" hidden="false" customHeight="false" outlineLevel="0" collapsed="false">
      <c r="A70" s="0" t="s">
        <v>1054</v>
      </c>
      <c r="B70" s="0" t="s">
        <v>1304</v>
      </c>
      <c r="C70" s="0" t="n">
        <v>13.38</v>
      </c>
      <c r="D70" s="0" t="n">
        <v>3</v>
      </c>
      <c r="E70" s="0" t="n">
        <v>12.68</v>
      </c>
      <c r="F70" s="0" t="n">
        <v>3</v>
      </c>
      <c r="G70" s="0" t="n">
        <v>26.06</v>
      </c>
      <c r="H70" s="0" t="s">
        <v>1533</v>
      </c>
    </row>
    <row r="71" customFormat="false" ht="15" hidden="false" customHeight="false" outlineLevel="0" collapsed="false">
      <c r="A71" s="0" t="s">
        <v>1054</v>
      </c>
      <c r="B71" s="0" t="s">
        <v>1314</v>
      </c>
      <c r="C71" s="0" t="n">
        <v>15.74</v>
      </c>
      <c r="D71" s="0" t="n">
        <v>3</v>
      </c>
      <c r="E71" s="0" t="n">
        <v>15.5</v>
      </c>
      <c r="F71" s="0" t="n">
        <v>3</v>
      </c>
      <c r="G71" s="0" t="n">
        <v>31.24</v>
      </c>
      <c r="H71" s="0" t="s">
        <v>1538</v>
      </c>
    </row>
    <row r="72" customFormat="false" ht="15" hidden="false" customHeight="false" outlineLevel="0" collapsed="false">
      <c r="A72" s="0" t="s">
        <v>1060</v>
      </c>
      <c r="B72" s="0" t="s">
        <v>2602</v>
      </c>
      <c r="C72" s="0" t="n">
        <v>10.5</v>
      </c>
      <c r="D72" s="0" t="n">
        <v>3</v>
      </c>
      <c r="E72" s="0" t="n">
        <v>10.5</v>
      </c>
      <c r="F72" s="0" t="n">
        <v>3</v>
      </c>
      <c r="G72" s="0" t="n">
        <v>21</v>
      </c>
      <c r="H72" s="0" t="s">
        <v>1507</v>
      </c>
    </row>
    <row r="73" customFormat="false" ht="15" hidden="false" customHeight="false" outlineLevel="0" collapsed="false">
      <c r="A73" s="0" t="s">
        <v>1060</v>
      </c>
      <c r="B73" s="0" t="s">
        <v>1251</v>
      </c>
      <c r="C73" s="0" t="n">
        <v>14.74</v>
      </c>
      <c r="D73" s="0" t="n">
        <v>3</v>
      </c>
      <c r="E73" s="0" t="n">
        <v>14.5</v>
      </c>
      <c r="F73" s="0" t="n">
        <v>3</v>
      </c>
      <c r="G73" s="0" t="n">
        <v>29.24</v>
      </c>
      <c r="H73" s="0" t="s">
        <v>1508</v>
      </c>
    </row>
    <row r="74" customFormat="false" ht="15" hidden="false" customHeight="false" outlineLevel="0" collapsed="false">
      <c r="A74" s="0" t="s">
        <v>1060</v>
      </c>
      <c r="B74" s="0" t="s">
        <v>2603</v>
      </c>
      <c r="C74" s="0" t="n">
        <v>11.68</v>
      </c>
      <c r="D74" s="0" t="n">
        <v>3</v>
      </c>
      <c r="E74" s="0" t="n">
        <v>11.93</v>
      </c>
      <c r="F74" s="0" t="n">
        <v>3</v>
      </c>
      <c r="G74" s="0" t="n">
        <v>23.62</v>
      </c>
      <c r="H74" s="0" t="s">
        <v>1502</v>
      </c>
    </row>
    <row r="75" customFormat="false" ht="15" hidden="false" customHeight="false" outlineLevel="0" collapsed="false">
      <c r="A75" s="0" t="s">
        <v>1060</v>
      </c>
      <c r="B75" s="0" t="s">
        <v>2604</v>
      </c>
      <c r="C75" s="0" t="n">
        <v>13.85</v>
      </c>
      <c r="D75" s="0" t="n">
        <v>3</v>
      </c>
      <c r="E75" s="0" t="n">
        <v>14.22</v>
      </c>
      <c r="F75" s="0" t="n">
        <v>3</v>
      </c>
      <c r="G75" s="0" t="n">
        <v>28.08</v>
      </c>
      <c r="H75" s="0" t="s">
        <v>1509</v>
      </c>
    </row>
    <row r="76" customFormat="false" ht="15" hidden="false" customHeight="false" outlineLevel="0" collapsed="false">
      <c r="A76" s="0" t="s">
        <v>1060</v>
      </c>
      <c r="B76" s="0" t="s">
        <v>2605</v>
      </c>
      <c r="C76" s="0" t="n">
        <v>15.5</v>
      </c>
      <c r="D76" s="0" t="n">
        <v>3</v>
      </c>
      <c r="E76" s="0" t="n">
        <v>15.68</v>
      </c>
      <c r="F76" s="0" t="n">
        <v>3</v>
      </c>
      <c r="G76" s="0" t="n">
        <v>31.18</v>
      </c>
      <c r="H76" s="0" t="s">
        <v>1503</v>
      </c>
    </row>
    <row r="77" customFormat="false" ht="15" hidden="false" customHeight="false" outlineLevel="0" collapsed="false">
      <c r="A77" s="0" t="s">
        <v>1060</v>
      </c>
      <c r="B77" s="0" t="s">
        <v>1256</v>
      </c>
      <c r="C77" s="0" t="n">
        <v>14.68</v>
      </c>
      <c r="D77" s="0" t="n">
        <v>3</v>
      </c>
      <c r="E77" s="0" t="n">
        <v>14.5</v>
      </c>
      <c r="F77" s="0" t="n">
        <v>3</v>
      </c>
      <c r="G77" s="0" t="n">
        <v>29.18</v>
      </c>
      <c r="H77" s="0" t="s">
        <v>1510</v>
      </c>
    </row>
    <row r="78" customFormat="false" ht="15" hidden="false" customHeight="false" outlineLevel="0" collapsed="false">
      <c r="A78" s="0" t="s">
        <v>1060</v>
      </c>
      <c r="B78" s="0" t="s">
        <v>1238</v>
      </c>
      <c r="C78" s="0" t="n">
        <v>16.22</v>
      </c>
      <c r="D78" s="0" t="n">
        <v>3</v>
      </c>
      <c r="E78" s="0" t="n">
        <v>16.5</v>
      </c>
      <c r="F78" s="0" t="n">
        <v>3</v>
      </c>
      <c r="G78" s="0" t="n">
        <v>32.72</v>
      </c>
      <c r="H78" s="0" t="s">
        <v>1504</v>
      </c>
    </row>
    <row r="79" customFormat="false" ht="15" hidden="false" customHeight="false" outlineLevel="0" collapsed="false">
      <c r="A79" s="0" t="s">
        <v>1060</v>
      </c>
      <c r="B79" s="0" t="s">
        <v>1258</v>
      </c>
      <c r="C79" s="0" t="n">
        <v>16.5</v>
      </c>
      <c r="D79" s="0" t="n">
        <v>3</v>
      </c>
      <c r="E79" s="0" t="n">
        <v>16.32</v>
      </c>
      <c r="F79" s="0" t="n">
        <v>3</v>
      </c>
      <c r="G79" s="0" t="n">
        <v>32.82</v>
      </c>
      <c r="H79" s="0" t="s">
        <v>1511</v>
      </c>
    </row>
    <row r="80" customFormat="false" ht="15" hidden="false" customHeight="false" outlineLevel="0" collapsed="false">
      <c r="A80" s="0" t="s">
        <v>1060</v>
      </c>
      <c r="B80" s="0" t="s">
        <v>2606</v>
      </c>
      <c r="C80" s="0" t="n">
        <v>15.22</v>
      </c>
      <c r="D80" s="0" t="n">
        <v>3</v>
      </c>
      <c r="E80" s="0" t="n">
        <v>14.74</v>
      </c>
      <c r="F80" s="0" t="n">
        <v>3</v>
      </c>
      <c r="G80" s="0" t="n">
        <v>29.96</v>
      </c>
      <c r="H80" s="0" t="s">
        <v>1505</v>
      </c>
    </row>
    <row r="81" customFormat="false" ht="15" hidden="false" customHeight="false" outlineLevel="0" collapsed="false">
      <c r="A81" s="0" t="s">
        <v>1060</v>
      </c>
      <c r="B81" s="0" t="s">
        <v>1244</v>
      </c>
      <c r="C81" s="0" t="n">
        <v>13.15</v>
      </c>
      <c r="D81" s="0" t="n">
        <v>3</v>
      </c>
      <c r="E81" s="0" t="n">
        <v>12.74</v>
      </c>
      <c r="F81" s="0" t="n">
        <v>3</v>
      </c>
      <c r="G81" s="0" t="n">
        <v>25.89</v>
      </c>
      <c r="H81" s="0" t="s">
        <v>1506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28.35" hidden="false" customHeight="false" outlineLevel="0" collapsed="false">
      <c r="A1" s="12" t="s">
        <v>950</v>
      </c>
      <c r="B1" s="12" t="s">
        <v>64</v>
      </c>
      <c r="C1" s="12" t="s">
        <v>2607</v>
      </c>
      <c r="D1" s="12" t="s">
        <v>2608</v>
      </c>
      <c r="E1" s="12" t="s">
        <v>2609</v>
      </c>
      <c r="F1" s="12" t="s">
        <v>2610</v>
      </c>
      <c r="G1" s="12" t="s">
        <v>2611</v>
      </c>
    </row>
    <row r="2" customFormat="false" ht="15" hidden="false" customHeight="false" outlineLevel="0" collapsed="false">
      <c r="A2" s="0" t="s">
        <v>905</v>
      </c>
      <c r="B2" s="0" t="n">
        <v>1</v>
      </c>
      <c r="C2" s="0" t="n">
        <v>17.5</v>
      </c>
      <c r="D2" s="0" t="n">
        <v>1.12</v>
      </c>
      <c r="E2" s="0" t="n">
        <v>5.3</v>
      </c>
      <c r="F2" s="10" t="n">
        <v>0.8255</v>
      </c>
      <c r="G2" s="0" t="n">
        <v>21.42</v>
      </c>
    </row>
    <row r="3" customFormat="false" ht="15" hidden="false" customHeight="false" outlineLevel="0" collapsed="false">
      <c r="A3" s="0" t="s">
        <v>905</v>
      </c>
      <c r="B3" s="0" t="n">
        <v>1</v>
      </c>
      <c r="C3" s="0" t="n">
        <v>18.5</v>
      </c>
      <c r="D3" s="0" t="n">
        <v>1.22</v>
      </c>
      <c r="E3" s="0" t="n">
        <v>3.8</v>
      </c>
      <c r="F3" s="10" t="n">
        <v>0.757</v>
      </c>
      <c r="G3" s="0" t="n">
        <v>21.42</v>
      </c>
    </row>
    <row r="4" customFormat="false" ht="15" hidden="false" customHeight="false" outlineLevel="0" collapsed="false">
      <c r="A4" s="0" t="s">
        <v>905</v>
      </c>
      <c r="B4" s="0" t="n">
        <v>1</v>
      </c>
      <c r="C4" s="0" t="n">
        <v>19.5</v>
      </c>
      <c r="D4" s="0" t="n">
        <v>1.35</v>
      </c>
      <c r="E4" s="0" t="n">
        <v>2.9</v>
      </c>
      <c r="F4" s="10" t="n">
        <v>0.6824</v>
      </c>
      <c r="G4" s="0" t="n">
        <v>21.42</v>
      </c>
    </row>
    <row r="5" customFormat="false" ht="15" hidden="false" customHeight="false" outlineLevel="0" collapsed="false">
      <c r="A5" s="0" t="s">
        <v>905</v>
      </c>
      <c r="B5" s="0" t="n">
        <v>1</v>
      </c>
      <c r="C5" s="0" t="n">
        <v>20.5</v>
      </c>
      <c r="D5" s="0" t="n">
        <v>1.55</v>
      </c>
      <c r="E5" s="0" t="n">
        <v>2.3</v>
      </c>
      <c r="F5" s="10" t="n">
        <v>0.5974</v>
      </c>
      <c r="G5" s="0" t="n">
        <v>21.42</v>
      </c>
    </row>
    <row r="6" customFormat="false" ht="15" hidden="false" customHeight="false" outlineLevel="0" collapsed="false">
      <c r="A6" s="0" t="s">
        <v>905</v>
      </c>
      <c r="B6" s="0" t="n">
        <v>1</v>
      </c>
      <c r="C6" s="0" t="n">
        <v>21.5</v>
      </c>
      <c r="D6" s="0" t="n">
        <v>1.88</v>
      </c>
      <c r="E6" s="0" t="n">
        <v>1.82</v>
      </c>
      <c r="F6" s="10" t="n">
        <v>0.4919</v>
      </c>
      <c r="G6" s="0" t="n">
        <v>21.42</v>
      </c>
    </row>
    <row r="7" customFormat="false" ht="15" hidden="false" customHeight="false" outlineLevel="0" collapsed="false">
      <c r="A7" s="0" t="s">
        <v>905</v>
      </c>
      <c r="B7" s="0" t="n">
        <v>1</v>
      </c>
      <c r="C7" s="0" t="n">
        <v>22.5</v>
      </c>
      <c r="D7" s="0" t="n">
        <v>2.4</v>
      </c>
      <c r="E7" s="0" t="n">
        <v>1.5</v>
      </c>
      <c r="F7" s="10" t="n">
        <v>0.3846</v>
      </c>
      <c r="G7" s="0" t="n">
        <v>21.42</v>
      </c>
    </row>
    <row r="8" customFormat="false" ht="15" hidden="false" customHeight="false" outlineLevel="0" collapsed="false">
      <c r="A8" s="0" t="s">
        <v>905</v>
      </c>
      <c r="B8" s="0" t="n">
        <v>2</v>
      </c>
      <c r="C8" s="0" t="n">
        <v>17.5</v>
      </c>
      <c r="D8" s="0" t="n">
        <v>1.13</v>
      </c>
      <c r="E8" s="0" t="n">
        <v>5</v>
      </c>
      <c r="F8" s="10" t="n">
        <v>0.8157</v>
      </c>
      <c r="G8" s="0" t="n">
        <v>21.22</v>
      </c>
    </row>
    <row r="9" customFormat="false" ht="15" hidden="false" customHeight="false" outlineLevel="0" collapsed="false">
      <c r="A9" s="0" t="s">
        <v>905</v>
      </c>
      <c r="B9" s="0" t="n">
        <v>2</v>
      </c>
      <c r="C9" s="0" t="n">
        <v>18.5</v>
      </c>
      <c r="D9" s="0" t="n">
        <v>1.22</v>
      </c>
      <c r="E9" s="0" t="n">
        <v>3.8</v>
      </c>
      <c r="F9" s="10" t="n">
        <v>0.757</v>
      </c>
      <c r="G9" s="0" t="n">
        <v>21.22</v>
      </c>
    </row>
    <row r="10" customFormat="false" ht="15" hidden="false" customHeight="false" outlineLevel="0" collapsed="false">
      <c r="A10" s="0" t="s">
        <v>905</v>
      </c>
      <c r="B10" s="0" t="n">
        <v>2</v>
      </c>
      <c r="C10" s="0" t="n">
        <v>19.5</v>
      </c>
      <c r="D10" s="0" t="n">
        <v>1.38</v>
      </c>
      <c r="E10" s="0" t="n">
        <v>2.8</v>
      </c>
      <c r="F10" s="10" t="n">
        <v>0.6699</v>
      </c>
      <c r="G10" s="0" t="n">
        <v>21.22</v>
      </c>
    </row>
    <row r="11" customFormat="false" ht="15" hidden="false" customHeight="false" outlineLevel="0" collapsed="false">
      <c r="A11" s="0" t="s">
        <v>905</v>
      </c>
      <c r="B11" s="0" t="n">
        <v>2</v>
      </c>
      <c r="C11" s="0" t="n">
        <v>20.5</v>
      </c>
      <c r="D11" s="0" t="n">
        <v>1.62</v>
      </c>
      <c r="E11" s="0" t="n">
        <v>2.15</v>
      </c>
      <c r="F11" s="10" t="n">
        <v>0.5703</v>
      </c>
      <c r="G11" s="0" t="n">
        <v>21.22</v>
      </c>
    </row>
    <row r="12" customFormat="false" ht="15" hidden="false" customHeight="false" outlineLevel="0" collapsed="false">
      <c r="A12" s="0" t="s">
        <v>905</v>
      </c>
      <c r="B12" s="0" t="n">
        <v>2</v>
      </c>
      <c r="C12" s="0" t="n">
        <v>21.5</v>
      </c>
      <c r="D12" s="0" t="n">
        <v>1.95</v>
      </c>
      <c r="E12" s="0" t="n">
        <v>1.75</v>
      </c>
      <c r="F12" s="10" t="n">
        <v>0.473</v>
      </c>
      <c r="G12" s="0" t="n">
        <v>21.22</v>
      </c>
    </row>
    <row r="13" customFormat="false" ht="15" hidden="false" customHeight="false" outlineLevel="0" collapsed="false">
      <c r="A13" s="0" t="s">
        <v>905</v>
      </c>
      <c r="B13" s="0" t="n">
        <v>2</v>
      </c>
      <c r="C13" s="0" t="n">
        <v>22.5</v>
      </c>
      <c r="D13" s="0" t="n">
        <v>2.5</v>
      </c>
      <c r="E13" s="0" t="n">
        <v>1.48</v>
      </c>
      <c r="F13" s="10" t="n">
        <v>0.3719</v>
      </c>
      <c r="G13" s="0" t="n">
        <v>21.22</v>
      </c>
    </row>
    <row r="14" customFormat="false" ht="15" hidden="false" customHeight="false" outlineLevel="0" collapsed="false">
      <c r="A14" s="0" t="s">
        <v>905</v>
      </c>
      <c r="B14" s="0" t="n">
        <v>3</v>
      </c>
      <c r="C14" s="0" t="n">
        <v>17.5</v>
      </c>
      <c r="D14" s="0" t="n">
        <v>1.12</v>
      </c>
      <c r="E14" s="0" t="n">
        <v>5.3</v>
      </c>
      <c r="F14" s="10" t="n">
        <v>0.8255</v>
      </c>
      <c r="G14" s="0" t="n">
        <v>21.31</v>
      </c>
    </row>
    <row r="15" customFormat="false" ht="15" hidden="false" customHeight="false" outlineLevel="0" collapsed="false">
      <c r="A15" s="0" t="s">
        <v>905</v>
      </c>
      <c r="B15" s="0" t="n">
        <v>3</v>
      </c>
      <c r="C15" s="0" t="n">
        <v>18.5</v>
      </c>
      <c r="D15" s="0" t="n">
        <v>1.22</v>
      </c>
      <c r="E15" s="0" t="n">
        <v>3.8</v>
      </c>
      <c r="F15" s="10" t="n">
        <v>0.757</v>
      </c>
      <c r="G15" s="0" t="n">
        <v>21.31</v>
      </c>
    </row>
    <row r="16" customFormat="false" ht="15" hidden="false" customHeight="false" outlineLevel="0" collapsed="false">
      <c r="A16" s="0" t="s">
        <v>905</v>
      </c>
      <c r="B16" s="0" t="n">
        <v>3</v>
      </c>
      <c r="C16" s="0" t="n">
        <v>19.5</v>
      </c>
      <c r="D16" s="0" t="n">
        <v>1.38</v>
      </c>
      <c r="E16" s="0" t="n">
        <v>2.8</v>
      </c>
      <c r="F16" s="10" t="n">
        <v>0.6699</v>
      </c>
      <c r="G16" s="0" t="n">
        <v>21.31</v>
      </c>
    </row>
    <row r="17" customFormat="false" ht="15" hidden="false" customHeight="false" outlineLevel="0" collapsed="false">
      <c r="A17" s="0" t="s">
        <v>905</v>
      </c>
      <c r="B17" s="0" t="n">
        <v>3</v>
      </c>
      <c r="C17" s="0" t="n">
        <v>20.5</v>
      </c>
      <c r="D17" s="0" t="n">
        <v>1.58</v>
      </c>
      <c r="E17" s="0" t="n">
        <v>2.2</v>
      </c>
      <c r="F17" s="10" t="n">
        <v>0.582</v>
      </c>
      <c r="G17" s="0" t="n">
        <v>21.31</v>
      </c>
    </row>
    <row r="18" customFormat="false" ht="15" hidden="false" customHeight="false" outlineLevel="0" collapsed="false">
      <c r="A18" s="0" t="s">
        <v>905</v>
      </c>
      <c r="B18" s="0" t="n">
        <v>3</v>
      </c>
      <c r="C18" s="0" t="n">
        <v>21.5</v>
      </c>
      <c r="D18" s="0" t="n">
        <v>1.92</v>
      </c>
      <c r="E18" s="0" t="n">
        <v>1.78</v>
      </c>
      <c r="F18" s="10" t="n">
        <v>0.4811</v>
      </c>
      <c r="G18" s="0" t="n">
        <v>21.31</v>
      </c>
    </row>
    <row r="19" customFormat="false" ht="15" hidden="false" customHeight="false" outlineLevel="0" collapsed="false">
      <c r="A19" s="0" t="s">
        <v>905</v>
      </c>
      <c r="B19" s="0" t="n">
        <v>3</v>
      </c>
      <c r="C19" s="0" t="n">
        <v>22.5</v>
      </c>
      <c r="D19" s="0" t="n">
        <v>2.5</v>
      </c>
      <c r="E19" s="0" t="n">
        <v>1.48</v>
      </c>
      <c r="F19" s="10" t="n">
        <v>0.3719</v>
      </c>
      <c r="G19" s="0" t="n">
        <v>21.31</v>
      </c>
    </row>
    <row r="20" customFormat="false" ht="15" hidden="false" customHeight="false" outlineLevel="0" collapsed="false">
      <c r="A20" s="0" t="s">
        <v>996</v>
      </c>
      <c r="B20" s="0" t="n">
        <v>1</v>
      </c>
      <c r="C20" s="0" t="n">
        <v>17.5</v>
      </c>
      <c r="D20" s="0" t="n">
        <v>1.2</v>
      </c>
      <c r="E20" s="0" t="n">
        <v>4</v>
      </c>
      <c r="F20" s="10" t="n">
        <v>0.7692</v>
      </c>
      <c r="G20" s="0" t="n">
        <v>20.59</v>
      </c>
    </row>
    <row r="21" customFormat="false" ht="15" hidden="false" customHeight="false" outlineLevel="0" collapsed="false">
      <c r="A21" s="0" t="s">
        <v>996</v>
      </c>
      <c r="B21" s="0" t="n">
        <v>1</v>
      </c>
      <c r="C21" s="0" t="n">
        <v>18.5</v>
      </c>
      <c r="D21" s="0" t="n">
        <v>1.32</v>
      </c>
      <c r="E21" s="0" t="n">
        <v>3.1</v>
      </c>
      <c r="F21" s="10" t="n">
        <v>0.7014</v>
      </c>
      <c r="G21" s="0" t="n">
        <v>20.59</v>
      </c>
    </row>
    <row r="22" customFormat="false" ht="15" hidden="false" customHeight="false" outlineLevel="0" collapsed="false">
      <c r="A22" s="0" t="s">
        <v>996</v>
      </c>
      <c r="B22" s="0" t="n">
        <v>1</v>
      </c>
      <c r="C22" s="0" t="n">
        <v>19.5</v>
      </c>
      <c r="D22" s="0" t="n">
        <v>1.52</v>
      </c>
      <c r="E22" s="0" t="n">
        <v>2.35</v>
      </c>
      <c r="F22" s="10" t="n">
        <v>0.6072</v>
      </c>
      <c r="G22" s="0" t="n">
        <v>20.59</v>
      </c>
    </row>
    <row r="23" customFormat="false" ht="15" hidden="false" customHeight="false" outlineLevel="0" collapsed="false">
      <c r="A23" s="0" t="s">
        <v>996</v>
      </c>
      <c r="B23" s="0" t="n">
        <v>1</v>
      </c>
      <c r="C23" s="0" t="n">
        <v>20.5</v>
      </c>
      <c r="D23" s="0" t="n">
        <v>1.82</v>
      </c>
      <c r="E23" s="0" t="n">
        <v>1.88</v>
      </c>
      <c r="F23" s="10" t="n">
        <v>0.5081</v>
      </c>
      <c r="G23" s="0" t="n">
        <v>20.59</v>
      </c>
    </row>
    <row r="24" customFormat="false" ht="15" hidden="false" customHeight="false" outlineLevel="0" collapsed="false">
      <c r="A24" s="0" t="s">
        <v>996</v>
      </c>
      <c r="B24" s="0" t="n">
        <v>1</v>
      </c>
      <c r="C24" s="0" t="n">
        <v>21.5</v>
      </c>
      <c r="D24" s="0" t="n">
        <v>2.2</v>
      </c>
      <c r="E24" s="0" t="n">
        <v>1.58</v>
      </c>
      <c r="F24" s="10" t="n">
        <v>0.418</v>
      </c>
      <c r="G24" s="0" t="n">
        <v>20.59</v>
      </c>
    </row>
    <row r="25" customFormat="false" ht="15" hidden="false" customHeight="false" outlineLevel="0" collapsed="false">
      <c r="A25" s="0" t="s">
        <v>996</v>
      </c>
      <c r="B25" s="0" t="n">
        <v>1</v>
      </c>
      <c r="C25" s="0" t="n">
        <v>22.5</v>
      </c>
      <c r="D25" s="0" t="n">
        <v>2.9</v>
      </c>
      <c r="E25" s="0" t="n">
        <v>1.35</v>
      </c>
      <c r="F25" s="10" t="n">
        <v>0.3176</v>
      </c>
      <c r="G25" s="0" t="n">
        <v>20.59</v>
      </c>
    </row>
    <row r="26" customFormat="false" ht="15" hidden="false" customHeight="false" outlineLevel="0" collapsed="false">
      <c r="A26" s="0" t="s">
        <v>996</v>
      </c>
      <c r="B26" s="0" t="n">
        <v>2</v>
      </c>
      <c r="C26" s="0" t="n">
        <v>17.5</v>
      </c>
      <c r="D26" s="0" t="n">
        <v>1.22</v>
      </c>
      <c r="E26" s="0" t="n">
        <v>3.8</v>
      </c>
      <c r="F26" s="10" t="n">
        <v>0.757</v>
      </c>
      <c r="G26" s="0" t="n">
        <v>20.29</v>
      </c>
    </row>
    <row r="27" customFormat="false" ht="15" hidden="false" customHeight="false" outlineLevel="0" collapsed="false">
      <c r="A27" s="0" t="s">
        <v>996</v>
      </c>
      <c r="B27" s="0" t="n">
        <v>2</v>
      </c>
      <c r="C27" s="0" t="n">
        <v>18.5</v>
      </c>
      <c r="D27" s="0" t="n">
        <v>1.38</v>
      </c>
      <c r="E27" s="0" t="n">
        <v>2.8</v>
      </c>
      <c r="F27" s="10" t="n">
        <v>0.6699</v>
      </c>
      <c r="G27" s="0" t="n">
        <v>20.29</v>
      </c>
    </row>
    <row r="28" customFormat="false" ht="15" hidden="false" customHeight="false" outlineLevel="0" collapsed="false">
      <c r="A28" s="0" t="s">
        <v>996</v>
      </c>
      <c r="B28" s="0" t="n">
        <v>2</v>
      </c>
      <c r="C28" s="0" t="n">
        <v>19.5</v>
      </c>
      <c r="D28" s="0" t="n">
        <v>1.62</v>
      </c>
      <c r="E28" s="0" t="n">
        <v>2.15</v>
      </c>
      <c r="F28" s="10" t="n">
        <v>0.5703</v>
      </c>
      <c r="G28" s="0" t="n">
        <v>20.29</v>
      </c>
    </row>
    <row r="29" customFormat="false" ht="15" hidden="false" customHeight="false" outlineLevel="0" collapsed="false">
      <c r="A29" s="0" t="s">
        <v>996</v>
      </c>
      <c r="B29" s="0" t="n">
        <v>2</v>
      </c>
      <c r="C29" s="0" t="n">
        <v>20.5</v>
      </c>
      <c r="D29" s="0" t="n">
        <v>1.92</v>
      </c>
      <c r="E29" s="0" t="n">
        <v>1.78</v>
      </c>
      <c r="F29" s="10" t="n">
        <v>0.4811</v>
      </c>
      <c r="G29" s="0" t="n">
        <v>20.29</v>
      </c>
    </row>
    <row r="30" customFormat="false" ht="15" hidden="false" customHeight="false" outlineLevel="0" collapsed="false">
      <c r="A30" s="0" t="s">
        <v>996</v>
      </c>
      <c r="B30" s="0" t="n">
        <v>2</v>
      </c>
      <c r="C30" s="0" t="n">
        <v>21.5</v>
      </c>
      <c r="D30" s="0" t="n">
        <v>2.4</v>
      </c>
      <c r="E30" s="0" t="n">
        <v>1.5</v>
      </c>
      <c r="F30" s="10" t="n">
        <v>0.3846</v>
      </c>
      <c r="G30" s="0" t="n">
        <v>20.29</v>
      </c>
    </row>
    <row r="31" customFormat="false" ht="15" hidden="false" customHeight="false" outlineLevel="0" collapsed="false">
      <c r="A31" s="0" t="s">
        <v>996</v>
      </c>
      <c r="B31" s="0" t="n">
        <v>2</v>
      </c>
      <c r="C31" s="0" t="n">
        <v>22.5</v>
      </c>
      <c r="D31" s="0" t="n">
        <v>3.2</v>
      </c>
      <c r="E31" s="0" t="n">
        <v>1.3</v>
      </c>
      <c r="F31" s="10" t="n">
        <v>0.2889</v>
      </c>
      <c r="G31" s="0" t="n">
        <v>20.29</v>
      </c>
    </row>
    <row r="32" customFormat="false" ht="15" hidden="false" customHeight="false" outlineLevel="0" collapsed="false">
      <c r="A32" s="0" t="s">
        <v>996</v>
      </c>
      <c r="B32" s="0" t="n">
        <v>3</v>
      </c>
      <c r="C32" s="0" t="n">
        <v>17.5</v>
      </c>
      <c r="D32" s="0" t="n">
        <v>1.2</v>
      </c>
      <c r="E32" s="0" t="n">
        <v>4</v>
      </c>
      <c r="F32" s="10" t="n">
        <v>0.7692</v>
      </c>
      <c r="G32" s="0" t="n">
        <v>20.59</v>
      </c>
    </row>
    <row r="33" customFormat="false" ht="15" hidden="false" customHeight="false" outlineLevel="0" collapsed="false">
      <c r="A33" s="0" t="s">
        <v>996</v>
      </c>
      <c r="B33" s="0" t="n">
        <v>3</v>
      </c>
      <c r="C33" s="0" t="n">
        <v>18.5</v>
      </c>
      <c r="D33" s="0" t="n">
        <v>1.32</v>
      </c>
      <c r="E33" s="0" t="n">
        <v>3.1</v>
      </c>
      <c r="F33" s="10" t="n">
        <v>0.7014</v>
      </c>
      <c r="G33" s="0" t="n">
        <v>20.59</v>
      </c>
    </row>
    <row r="34" customFormat="false" ht="15" hidden="false" customHeight="false" outlineLevel="0" collapsed="false">
      <c r="A34" s="0" t="s">
        <v>996</v>
      </c>
      <c r="B34" s="0" t="n">
        <v>3</v>
      </c>
      <c r="C34" s="0" t="n">
        <v>19.5</v>
      </c>
      <c r="D34" s="0" t="n">
        <v>1.52</v>
      </c>
      <c r="E34" s="0" t="n">
        <v>2.35</v>
      </c>
      <c r="F34" s="10" t="n">
        <v>0.6072</v>
      </c>
      <c r="G34" s="0" t="n">
        <v>20.59</v>
      </c>
    </row>
    <row r="35" customFormat="false" ht="15" hidden="false" customHeight="false" outlineLevel="0" collapsed="false">
      <c r="A35" s="0" t="s">
        <v>996</v>
      </c>
      <c r="B35" s="0" t="n">
        <v>3</v>
      </c>
      <c r="C35" s="0" t="n">
        <v>20.5</v>
      </c>
      <c r="D35" s="0" t="n">
        <v>1.82</v>
      </c>
      <c r="E35" s="0" t="n">
        <v>1.88</v>
      </c>
      <c r="F35" s="10" t="n">
        <v>0.5081</v>
      </c>
      <c r="G35" s="0" t="n">
        <v>20.59</v>
      </c>
    </row>
    <row r="36" customFormat="false" ht="15" hidden="false" customHeight="false" outlineLevel="0" collapsed="false">
      <c r="A36" s="0" t="s">
        <v>996</v>
      </c>
      <c r="B36" s="0" t="n">
        <v>3</v>
      </c>
      <c r="C36" s="0" t="n">
        <v>21.5</v>
      </c>
      <c r="D36" s="0" t="n">
        <v>2.2</v>
      </c>
      <c r="E36" s="0" t="n">
        <v>1.58</v>
      </c>
      <c r="F36" s="10" t="n">
        <v>0.418</v>
      </c>
      <c r="G36" s="0" t="n">
        <v>20.59</v>
      </c>
    </row>
    <row r="37" customFormat="false" ht="15" hidden="false" customHeight="false" outlineLevel="0" collapsed="false">
      <c r="A37" s="0" t="s">
        <v>996</v>
      </c>
      <c r="B37" s="0" t="n">
        <v>3</v>
      </c>
      <c r="C37" s="0" t="n">
        <v>22.5</v>
      </c>
      <c r="D37" s="0" t="n">
        <v>2.9</v>
      </c>
      <c r="E37" s="0" t="n">
        <v>1.35</v>
      </c>
      <c r="F37" s="10" t="n">
        <v>0.3176</v>
      </c>
      <c r="G37" s="0" t="n">
        <v>20.59</v>
      </c>
    </row>
    <row r="38" customFormat="false" ht="15" hidden="false" customHeight="false" outlineLevel="0" collapsed="false">
      <c r="A38" s="0" t="s">
        <v>1008</v>
      </c>
      <c r="B38" s="0" t="n">
        <v>1</v>
      </c>
      <c r="C38" s="0" t="n">
        <v>17.5</v>
      </c>
      <c r="D38" s="0" t="n">
        <v>1.1</v>
      </c>
      <c r="E38" s="0" t="n">
        <v>5.8</v>
      </c>
      <c r="F38" s="10" t="n">
        <v>0.8406</v>
      </c>
      <c r="G38" s="0" t="n">
        <v>21.5</v>
      </c>
    </row>
    <row r="39" customFormat="false" ht="15" hidden="false" customHeight="false" outlineLevel="0" collapsed="false">
      <c r="A39" s="0" t="s">
        <v>1008</v>
      </c>
      <c r="B39" s="0" t="n">
        <v>1</v>
      </c>
      <c r="C39" s="0" t="n">
        <v>18.5</v>
      </c>
      <c r="D39" s="0" t="n">
        <v>1.2</v>
      </c>
      <c r="E39" s="0" t="n">
        <v>4</v>
      </c>
      <c r="F39" s="10" t="n">
        <v>0.7692</v>
      </c>
      <c r="G39" s="0" t="n">
        <v>21.5</v>
      </c>
    </row>
    <row r="40" customFormat="false" ht="15" hidden="false" customHeight="false" outlineLevel="0" collapsed="false">
      <c r="A40" s="0" t="s">
        <v>1008</v>
      </c>
      <c r="B40" s="0" t="n">
        <v>1</v>
      </c>
      <c r="C40" s="0" t="n">
        <v>19.5</v>
      </c>
      <c r="D40" s="0" t="n">
        <v>1.32</v>
      </c>
      <c r="E40" s="0" t="n">
        <v>3.1</v>
      </c>
      <c r="F40" s="10" t="n">
        <v>0.7014</v>
      </c>
      <c r="G40" s="0" t="n">
        <v>21.5</v>
      </c>
    </row>
    <row r="41" customFormat="false" ht="15" hidden="false" customHeight="false" outlineLevel="0" collapsed="false">
      <c r="A41" s="0" t="s">
        <v>1008</v>
      </c>
      <c r="B41" s="0" t="n">
        <v>1</v>
      </c>
      <c r="C41" s="0" t="n">
        <v>20.5</v>
      </c>
      <c r="D41" s="0" t="n">
        <v>1.52</v>
      </c>
      <c r="E41" s="0" t="n">
        <v>2.35</v>
      </c>
      <c r="F41" s="10" t="n">
        <v>0.6072</v>
      </c>
      <c r="G41" s="0" t="n">
        <v>21.5</v>
      </c>
    </row>
    <row r="42" customFormat="false" ht="15" hidden="false" customHeight="false" outlineLevel="0" collapsed="false">
      <c r="A42" s="0" t="s">
        <v>1008</v>
      </c>
      <c r="B42" s="0" t="n">
        <v>1</v>
      </c>
      <c r="C42" s="0" t="n">
        <v>21.5</v>
      </c>
      <c r="D42" s="0" t="n">
        <v>1.85</v>
      </c>
      <c r="E42" s="0" t="n">
        <v>1.85</v>
      </c>
      <c r="F42" s="10" t="n">
        <v>0.5</v>
      </c>
      <c r="G42" s="0" t="n">
        <v>21.5</v>
      </c>
    </row>
    <row r="43" customFormat="false" ht="15" hidden="false" customHeight="false" outlineLevel="0" collapsed="false">
      <c r="A43" s="0" t="s">
        <v>1008</v>
      </c>
      <c r="B43" s="0" t="n">
        <v>1</v>
      </c>
      <c r="C43" s="0" t="n">
        <v>22.5</v>
      </c>
      <c r="D43" s="0" t="n">
        <v>2.4</v>
      </c>
      <c r="E43" s="0" t="n">
        <v>1.5</v>
      </c>
      <c r="F43" s="10" t="n">
        <v>0.3846</v>
      </c>
      <c r="G43" s="0" t="n">
        <v>21.5</v>
      </c>
    </row>
    <row r="44" customFormat="false" ht="15" hidden="false" customHeight="false" outlineLevel="0" collapsed="false">
      <c r="A44" s="0" t="s">
        <v>1008</v>
      </c>
      <c r="B44" s="0" t="n">
        <v>2</v>
      </c>
      <c r="C44" s="0" t="n">
        <v>17.5</v>
      </c>
      <c r="D44" s="0" t="n">
        <v>1.12</v>
      </c>
      <c r="E44" s="0" t="n">
        <v>5.3</v>
      </c>
      <c r="F44" s="10" t="n">
        <v>0.8255</v>
      </c>
      <c r="G44" s="0" t="n">
        <v>21.36</v>
      </c>
    </row>
    <row r="45" customFormat="false" ht="15" hidden="false" customHeight="false" outlineLevel="0" collapsed="false">
      <c r="A45" s="0" t="s">
        <v>1008</v>
      </c>
      <c r="B45" s="0" t="n">
        <v>2</v>
      </c>
      <c r="C45" s="0" t="n">
        <v>18.5</v>
      </c>
      <c r="D45" s="0" t="n">
        <v>1.22</v>
      </c>
      <c r="E45" s="0" t="n">
        <v>3.8</v>
      </c>
      <c r="F45" s="10" t="n">
        <v>0.757</v>
      </c>
      <c r="G45" s="0" t="n">
        <v>21.36</v>
      </c>
    </row>
    <row r="46" customFormat="false" ht="15" hidden="false" customHeight="false" outlineLevel="0" collapsed="false">
      <c r="A46" s="0" t="s">
        <v>1008</v>
      </c>
      <c r="B46" s="0" t="n">
        <v>2</v>
      </c>
      <c r="C46" s="0" t="n">
        <v>19.5</v>
      </c>
      <c r="D46" s="0" t="n">
        <v>1.35</v>
      </c>
      <c r="E46" s="0" t="n">
        <v>2.9</v>
      </c>
      <c r="F46" s="10" t="n">
        <v>0.6824</v>
      </c>
      <c r="G46" s="0" t="n">
        <v>21.36</v>
      </c>
    </row>
    <row r="47" customFormat="false" ht="15" hidden="false" customHeight="false" outlineLevel="0" collapsed="false">
      <c r="A47" s="0" t="s">
        <v>1008</v>
      </c>
      <c r="B47" s="0" t="n">
        <v>2</v>
      </c>
      <c r="C47" s="0" t="n">
        <v>20.5</v>
      </c>
      <c r="D47" s="0" t="n">
        <v>1.58</v>
      </c>
      <c r="E47" s="0" t="n">
        <v>2.2</v>
      </c>
      <c r="F47" s="10" t="n">
        <v>0.582</v>
      </c>
      <c r="G47" s="0" t="n">
        <v>21.36</v>
      </c>
    </row>
    <row r="48" customFormat="false" ht="15" hidden="false" customHeight="false" outlineLevel="0" collapsed="false">
      <c r="A48" s="0" t="s">
        <v>1008</v>
      </c>
      <c r="B48" s="0" t="n">
        <v>2</v>
      </c>
      <c r="C48" s="0" t="n">
        <v>21.5</v>
      </c>
      <c r="D48" s="0" t="n">
        <v>1.9</v>
      </c>
      <c r="E48" s="0" t="n">
        <v>1.8</v>
      </c>
      <c r="F48" s="10" t="n">
        <v>0.4865</v>
      </c>
      <c r="G48" s="0" t="n">
        <v>21.36</v>
      </c>
    </row>
    <row r="49" customFormat="false" ht="15" hidden="false" customHeight="false" outlineLevel="0" collapsed="false">
      <c r="A49" s="0" t="s">
        <v>1008</v>
      </c>
      <c r="B49" s="0" t="n">
        <v>2</v>
      </c>
      <c r="C49" s="0" t="n">
        <v>22.5</v>
      </c>
      <c r="D49" s="0" t="n">
        <v>2.4</v>
      </c>
      <c r="E49" s="0" t="n">
        <v>1.5</v>
      </c>
      <c r="F49" s="10" t="n">
        <v>0.3846</v>
      </c>
      <c r="G49" s="0" t="n">
        <v>21.36</v>
      </c>
    </row>
    <row r="50" customFormat="false" ht="15" hidden="false" customHeight="false" outlineLevel="0" collapsed="false">
      <c r="A50" s="0" t="s">
        <v>1008</v>
      </c>
      <c r="B50" s="0" t="n">
        <v>3</v>
      </c>
      <c r="C50" s="0" t="n">
        <v>17.5</v>
      </c>
      <c r="D50" s="0" t="n">
        <v>1.1</v>
      </c>
      <c r="E50" s="0" t="n">
        <v>5.8</v>
      </c>
      <c r="F50" s="10" t="n">
        <v>0.8406</v>
      </c>
      <c r="G50" s="0" t="n">
        <v>21.5</v>
      </c>
    </row>
    <row r="51" customFormat="false" ht="15" hidden="false" customHeight="false" outlineLevel="0" collapsed="false">
      <c r="A51" s="0" t="s">
        <v>1008</v>
      </c>
      <c r="B51" s="0" t="n">
        <v>3</v>
      </c>
      <c r="C51" s="0" t="n">
        <v>18.5</v>
      </c>
      <c r="D51" s="0" t="n">
        <v>1.2</v>
      </c>
      <c r="E51" s="0" t="n">
        <v>4</v>
      </c>
      <c r="F51" s="10" t="n">
        <v>0.7692</v>
      </c>
      <c r="G51" s="0" t="n">
        <v>21.5</v>
      </c>
    </row>
    <row r="52" customFormat="false" ht="15" hidden="false" customHeight="false" outlineLevel="0" collapsed="false">
      <c r="A52" s="0" t="s">
        <v>1008</v>
      </c>
      <c r="B52" s="0" t="n">
        <v>3</v>
      </c>
      <c r="C52" s="0" t="n">
        <v>19.5</v>
      </c>
      <c r="D52" s="0" t="n">
        <v>1.35</v>
      </c>
      <c r="E52" s="0" t="n">
        <v>2.9</v>
      </c>
      <c r="F52" s="10" t="n">
        <v>0.6824</v>
      </c>
      <c r="G52" s="0" t="n">
        <v>21.5</v>
      </c>
    </row>
    <row r="53" customFormat="false" ht="15" hidden="false" customHeight="false" outlineLevel="0" collapsed="false">
      <c r="A53" s="0" t="s">
        <v>1008</v>
      </c>
      <c r="B53" s="0" t="n">
        <v>3</v>
      </c>
      <c r="C53" s="0" t="n">
        <v>20.5</v>
      </c>
      <c r="D53" s="0" t="n">
        <v>1.52</v>
      </c>
      <c r="E53" s="0" t="n">
        <v>2.35</v>
      </c>
      <c r="F53" s="10" t="n">
        <v>0.6072</v>
      </c>
      <c r="G53" s="0" t="n">
        <v>21.5</v>
      </c>
    </row>
    <row r="54" customFormat="false" ht="15" hidden="false" customHeight="false" outlineLevel="0" collapsed="false">
      <c r="A54" s="0" t="s">
        <v>1008</v>
      </c>
      <c r="B54" s="0" t="n">
        <v>3</v>
      </c>
      <c r="C54" s="0" t="n">
        <v>21.5</v>
      </c>
      <c r="D54" s="0" t="n">
        <v>1.85</v>
      </c>
      <c r="E54" s="0" t="n">
        <v>1.85</v>
      </c>
      <c r="F54" s="10" t="n">
        <v>0.5</v>
      </c>
      <c r="G54" s="0" t="n">
        <v>21.5</v>
      </c>
    </row>
    <row r="55" customFormat="false" ht="15" hidden="false" customHeight="false" outlineLevel="0" collapsed="false">
      <c r="A55" s="0" t="s">
        <v>1008</v>
      </c>
      <c r="B55" s="0" t="n">
        <v>3</v>
      </c>
      <c r="C55" s="0" t="n">
        <v>22.5</v>
      </c>
      <c r="D55" s="0" t="n">
        <v>2.4</v>
      </c>
      <c r="E55" s="0" t="n">
        <v>1.5</v>
      </c>
      <c r="F55" s="10" t="n">
        <v>0.3846</v>
      </c>
      <c r="G55" s="0" t="n">
        <v>21.5</v>
      </c>
    </row>
    <row r="56" customFormat="false" ht="15" hidden="false" customHeight="false" outlineLevel="0" collapsed="false">
      <c r="A56" s="0" t="s">
        <v>1015</v>
      </c>
      <c r="B56" s="0" t="n">
        <v>1</v>
      </c>
      <c r="C56" s="0" t="n">
        <v>17.5</v>
      </c>
      <c r="D56" s="0" t="n">
        <v>1.13</v>
      </c>
      <c r="E56" s="0" t="n">
        <v>5</v>
      </c>
      <c r="F56" s="10" t="n">
        <v>0.8157</v>
      </c>
      <c r="G56" s="0" t="n">
        <v>21.05</v>
      </c>
    </row>
    <row r="57" customFormat="false" ht="15" hidden="false" customHeight="false" outlineLevel="0" collapsed="false">
      <c r="A57" s="0" t="s">
        <v>1015</v>
      </c>
      <c r="B57" s="0" t="n">
        <v>1</v>
      </c>
      <c r="C57" s="0" t="n">
        <v>18.5</v>
      </c>
      <c r="D57" s="0" t="n">
        <v>1.25</v>
      </c>
      <c r="E57" s="0" t="n">
        <v>3.5</v>
      </c>
      <c r="F57" s="10" t="n">
        <v>0.7368</v>
      </c>
      <c r="G57" s="0" t="n">
        <v>21.05</v>
      </c>
    </row>
    <row r="58" customFormat="false" ht="15" hidden="false" customHeight="false" outlineLevel="0" collapsed="false">
      <c r="A58" s="0" t="s">
        <v>1015</v>
      </c>
      <c r="B58" s="0" t="n">
        <v>1</v>
      </c>
      <c r="C58" s="0" t="n">
        <v>19.5</v>
      </c>
      <c r="D58" s="0" t="n">
        <v>1.42</v>
      </c>
      <c r="E58" s="0" t="n">
        <v>2.7</v>
      </c>
      <c r="F58" s="10" t="n">
        <v>0.6553</v>
      </c>
      <c r="G58" s="0" t="n">
        <v>21.05</v>
      </c>
    </row>
    <row r="59" customFormat="false" ht="15" hidden="false" customHeight="false" outlineLevel="0" collapsed="false">
      <c r="A59" s="0" t="s">
        <v>1015</v>
      </c>
      <c r="B59" s="0" t="n">
        <v>1</v>
      </c>
      <c r="C59" s="0" t="n">
        <v>20.5</v>
      </c>
      <c r="D59" s="0" t="n">
        <v>1.65</v>
      </c>
      <c r="E59" s="0" t="n">
        <v>2.1</v>
      </c>
      <c r="F59" s="10" t="n">
        <v>0.56</v>
      </c>
      <c r="G59" s="0" t="n">
        <v>21.05</v>
      </c>
    </row>
    <row r="60" customFormat="false" ht="15" hidden="false" customHeight="false" outlineLevel="0" collapsed="false">
      <c r="A60" s="0" t="s">
        <v>1015</v>
      </c>
      <c r="B60" s="0" t="n">
        <v>1</v>
      </c>
      <c r="C60" s="0" t="n">
        <v>21.5</v>
      </c>
      <c r="D60" s="0" t="n">
        <v>2.05</v>
      </c>
      <c r="E60" s="0" t="n">
        <v>1.68</v>
      </c>
      <c r="F60" s="10" t="n">
        <v>0.4504</v>
      </c>
      <c r="G60" s="0" t="n">
        <v>21.05</v>
      </c>
    </row>
    <row r="61" customFormat="false" ht="15" hidden="false" customHeight="false" outlineLevel="0" collapsed="false">
      <c r="A61" s="0" t="s">
        <v>1015</v>
      </c>
      <c r="B61" s="0" t="n">
        <v>1</v>
      </c>
      <c r="C61" s="0" t="n">
        <v>22.5</v>
      </c>
      <c r="D61" s="0" t="n">
        <v>2.7</v>
      </c>
      <c r="E61" s="0" t="n">
        <v>1.42</v>
      </c>
      <c r="F61" s="10" t="n">
        <v>0.3447</v>
      </c>
      <c r="G61" s="0" t="n">
        <v>21.05</v>
      </c>
    </row>
    <row r="62" customFormat="false" ht="15" hidden="false" customHeight="false" outlineLevel="0" collapsed="false">
      <c r="A62" s="0" t="s">
        <v>1015</v>
      </c>
      <c r="B62" s="0" t="n">
        <v>2</v>
      </c>
      <c r="C62" s="0" t="n">
        <v>17.5</v>
      </c>
      <c r="D62" s="0" t="n">
        <v>1.17</v>
      </c>
      <c r="E62" s="0" t="n">
        <v>4.4</v>
      </c>
      <c r="F62" s="10" t="n">
        <v>0.7899</v>
      </c>
      <c r="G62" s="0" t="n">
        <v>20.71</v>
      </c>
    </row>
    <row r="63" customFormat="false" ht="15" hidden="false" customHeight="false" outlineLevel="0" collapsed="false">
      <c r="A63" s="0" t="s">
        <v>1015</v>
      </c>
      <c r="B63" s="0" t="n">
        <v>2</v>
      </c>
      <c r="C63" s="0" t="n">
        <v>18.5</v>
      </c>
      <c r="D63" s="0" t="n">
        <v>1.32</v>
      </c>
      <c r="E63" s="0" t="n">
        <v>3.1</v>
      </c>
      <c r="F63" s="10" t="n">
        <v>0.7014</v>
      </c>
      <c r="G63" s="0" t="n">
        <v>20.71</v>
      </c>
    </row>
    <row r="64" customFormat="false" ht="15" hidden="false" customHeight="false" outlineLevel="0" collapsed="false">
      <c r="A64" s="0" t="s">
        <v>1015</v>
      </c>
      <c r="B64" s="0" t="n">
        <v>2</v>
      </c>
      <c r="C64" s="0" t="n">
        <v>19.5</v>
      </c>
      <c r="D64" s="0" t="n">
        <v>1.5</v>
      </c>
      <c r="E64" s="0" t="n">
        <v>2.4</v>
      </c>
      <c r="F64" s="10" t="n">
        <v>0.6154</v>
      </c>
      <c r="G64" s="0" t="n">
        <v>20.71</v>
      </c>
    </row>
    <row r="65" customFormat="false" ht="15" hidden="false" customHeight="false" outlineLevel="0" collapsed="false">
      <c r="A65" s="0" t="s">
        <v>1015</v>
      </c>
      <c r="B65" s="0" t="n">
        <v>2</v>
      </c>
      <c r="C65" s="0" t="n">
        <v>20.5</v>
      </c>
      <c r="D65" s="0" t="n">
        <v>1.78</v>
      </c>
      <c r="E65" s="0" t="n">
        <v>1.92</v>
      </c>
      <c r="F65" s="10" t="n">
        <v>0.5189</v>
      </c>
      <c r="G65" s="0" t="n">
        <v>20.71</v>
      </c>
    </row>
    <row r="66" customFormat="false" ht="15" hidden="false" customHeight="false" outlineLevel="0" collapsed="false">
      <c r="A66" s="0" t="s">
        <v>1015</v>
      </c>
      <c r="B66" s="0" t="n">
        <v>2</v>
      </c>
      <c r="C66" s="0" t="n">
        <v>21.5</v>
      </c>
      <c r="D66" s="0" t="n">
        <v>2.15</v>
      </c>
      <c r="E66" s="0" t="n">
        <v>1.62</v>
      </c>
      <c r="F66" s="10" t="n">
        <v>0.4297</v>
      </c>
      <c r="G66" s="0" t="n">
        <v>20.71</v>
      </c>
    </row>
    <row r="67" customFormat="false" ht="15" hidden="false" customHeight="false" outlineLevel="0" collapsed="false">
      <c r="A67" s="0" t="s">
        <v>1015</v>
      </c>
      <c r="B67" s="0" t="n">
        <v>2</v>
      </c>
      <c r="C67" s="0" t="n">
        <v>22.5</v>
      </c>
      <c r="D67" s="0" t="n">
        <v>2.8</v>
      </c>
      <c r="E67" s="0" t="n">
        <v>1.38</v>
      </c>
      <c r="F67" s="10" t="n">
        <v>0.3301</v>
      </c>
      <c r="G67" s="0" t="n">
        <v>20.71</v>
      </c>
    </row>
    <row r="68" customFormat="false" ht="15" hidden="false" customHeight="false" outlineLevel="0" collapsed="false">
      <c r="A68" s="0" t="s">
        <v>1015</v>
      </c>
      <c r="B68" s="0" t="n">
        <v>3</v>
      </c>
      <c r="C68" s="0" t="n">
        <v>17.5</v>
      </c>
      <c r="D68" s="0" t="n">
        <v>1.15</v>
      </c>
      <c r="E68" s="0" t="n">
        <v>4.8</v>
      </c>
      <c r="F68" s="10" t="n">
        <v>0.8067</v>
      </c>
      <c r="G68" s="0" t="n">
        <v>20.89</v>
      </c>
    </row>
    <row r="69" customFormat="false" ht="15" hidden="false" customHeight="false" outlineLevel="0" collapsed="false">
      <c r="A69" s="0" t="s">
        <v>1015</v>
      </c>
      <c r="B69" s="0" t="n">
        <v>3</v>
      </c>
      <c r="C69" s="0" t="n">
        <v>18.5</v>
      </c>
      <c r="D69" s="0" t="n">
        <v>1.28</v>
      </c>
      <c r="E69" s="0" t="n">
        <v>3.3</v>
      </c>
      <c r="F69" s="10" t="n">
        <v>0.7205</v>
      </c>
      <c r="G69" s="0" t="n">
        <v>20.89</v>
      </c>
    </row>
    <row r="70" customFormat="false" ht="15" hidden="false" customHeight="false" outlineLevel="0" collapsed="false">
      <c r="A70" s="0" t="s">
        <v>1015</v>
      </c>
      <c r="B70" s="0" t="n">
        <v>3</v>
      </c>
      <c r="C70" s="0" t="n">
        <v>19.5</v>
      </c>
      <c r="D70" s="0" t="n">
        <v>1.48</v>
      </c>
      <c r="E70" s="0" t="n">
        <v>2.5</v>
      </c>
      <c r="F70" s="10" t="n">
        <v>0.6281</v>
      </c>
      <c r="G70" s="0" t="n">
        <v>20.89</v>
      </c>
    </row>
    <row r="71" customFormat="false" ht="15" hidden="false" customHeight="false" outlineLevel="0" collapsed="false">
      <c r="A71" s="0" t="s">
        <v>1015</v>
      </c>
      <c r="B71" s="0" t="n">
        <v>3</v>
      </c>
      <c r="C71" s="0" t="n">
        <v>20.5</v>
      </c>
      <c r="D71" s="0" t="n">
        <v>1.72</v>
      </c>
      <c r="E71" s="0" t="n">
        <v>2</v>
      </c>
      <c r="F71" s="10" t="n">
        <v>0.5376</v>
      </c>
      <c r="G71" s="0" t="n">
        <v>20.89</v>
      </c>
    </row>
    <row r="72" customFormat="false" ht="15" hidden="false" customHeight="false" outlineLevel="0" collapsed="false">
      <c r="A72" s="0" t="s">
        <v>1015</v>
      </c>
      <c r="B72" s="0" t="n">
        <v>3</v>
      </c>
      <c r="C72" s="0" t="n">
        <v>21.5</v>
      </c>
      <c r="D72" s="0" t="n">
        <v>2.1</v>
      </c>
      <c r="E72" s="0" t="n">
        <v>1.65</v>
      </c>
      <c r="F72" s="10" t="n">
        <v>0.44</v>
      </c>
      <c r="G72" s="0" t="n">
        <v>20.89</v>
      </c>
    </row>
    <row r="73" customFormat="false" ht="15" hidden="false" customHeight="false" outlineLevel="0" collapsed="false">
      <c r="A73" s="0" t="s">
        <v>1015</v>
      </c>
      <c r="B73" s="0" t="n">
        <v>3</v>
      </c>
      <c r="C73" s="0" t="n">
        <v>22.5</v>
      </c>
      <c r="D73" s="0" t="n">
        <v>2.7</v>
      </c>
      <c r="E73" s="0" t="n">
        <v>1.4</v>
      </c>
      <c r="F73" s="10" t="n">
        <v>0.3415</v>
      </c>
      <c r="G73" s="0" t="n">
        <v>20.89</v>
      </c>
    </row>
    <row r="74" customFormat="false" ht="15" hidden="false" customHeight="false" outlineLevel="0" collapsed="false">
      <c r="A74" s="0" t="s">
        <v>1034</v>
      </c>
      <c r="B74" s="0" t="n">
        <v>1</v>
      </c>
      <c r="C74" s="0" t="n">
        <v>17.5</v>
      </c>
      <c r="D74" s="0" t="n">
        <v>1.12</v>
      </c>
      <c r="E74" s="0" t="n">
        <v>5.3</v>
      </c>
      <c r="F74" s="10" t="n">
        <v>0.8255</v>
      </c>
      <c r="G74" s="0" t="n">
        <v>21.31</v>
      </c>
    </row>
    <row r="75" customFormat="false" ht="15" hidden="false" customHeight="false" outlineLevel="0" collapsed="false">
      <c r="A75" s="0" t="s">
        <v>1034</v>
      </c>
      <c r="B75" s="0" t="n">
        <v>1</v>
      </c>
      <c r="C75" s="0" t="n">
        <v>18.5</v>
      </c>
      <c r="D75" s="0" t="n">
        <v>1.22</v>
      </c>
      <c r="E75" s="0" t="n">
        <v>3.8</v>
      </c>
      <c r="F75" s="10" t="n">
        <v>0.757</v>
      </c>
      <c r="G75" s="0" t="n">
        <v>21.31</v>
      </c>
    </row>
    <row r="76" customFormat="false" ht="15" hidden="false" customHeight="false" outlineLevel="0" collapsed="false">
      <c r="A76" s="0" t="s">
        <v>1034</v>
      </c>
      <c r="B76" s="0" t="n">
        <v>1</v>
      </c>
      <c r="C76" s="0" t="n">
        <v>19.5</v>
      </c>
      <c r="D76" s="0" t="n">
        <v>1.38</v>
      </c>
      <c r="E76" s="0" t="n">
        <v>2.8</v>
      </c>
      <c r="F76" s="10" t="n">
        <v>0.6699</v>
      </c>
      <c r="G76" s="0" t="n">
        <v>21.31</v>
      </c>
    </row>
    <row r="77" customFormat="false" ht="15" hidden="false" customHeight="false" outlineLevel="0" collapsed="false">
      <c r="A77" s="0" t="s">
        <v>1034</v>
      </c>
      <c r="B77" s="0" t="n">
        <v>1</v>
      </c>
      <c r="C77" s="0" t="n">
        <v>20.5</v>
      </c>
      <c r="D77" s="0" t="n">
        <v>1.58</v>
      </c>
      <c r="E77" s="0" t="n">
        <v>2.2</v>
      </c>
      <c r="F77" s="10" t="n">
        <v>0.582</v>
      </c>
      <c r="G77" s="0" t="n">
        <v>21.31</v>
      </c>
    </row>
    <row r="78" customFormat="false" ht="15" hidden="false" customHeight="false" outlineLevel="0" collapsed="false">
      <c r="A78" s="0" t="s">
        <v>1034</v>
      </c>
      <c r="B78" s="0" t="n">
        <v>1</v>
      </c>
      <c r="C78" s="0" t="n">
        <v>21.5</v>
      </c>
      <c r="D78" s="0" t="n">
        <v>1.92</v>
      </c>
      <c r="E78" s="0" t="n">
        <v>1.78</v>
      </c>
      <c r="F78" s="10" t="n">
        <v>0.4811</v>
      </c>
      <c r="G78" s="0" t="n">
        <v>21.31</v>
      </c>
    </row>
    <row r="79" customFormat="false" ht="15" hidden="false" customHeight="false" outlineLevel="0" collapsed="false">
      <c r="A79" s="0" t="s">
        <v>1034</v>
      </c>
      <c r="B79" s="0" t="n">
        <v>1</v>
      </c>
      <c r="C79" s="0" t="n">
        <v>22.5</v>
      </c>
      <c r="D79" s="0" t="n">
        <v>2.5</v>
      </c>
      <c r="E79" s="0" t="n">
        <v>1.48</v>
      </c>
      <c r="F79" s="10" t="n">
        <v>0.3719</v>
      </c>
      <c r="G79" s="0" t="n">
        <v>21.31</v>
      </c>
    </row>
    <row r="80" customFormat="false" ht="15" hidden="false" customHeight="false" outlineLevel="0" collapsed="false">
      <c r="A80" s="0" t="s">
        <v>1034</v>
      </c>
      <c r="B80" s="0" t="n">
        <v>2</v>
      </c>
      <c r="C80" s="0" t="n">
        <v>17.5</v>
      </c>
      <c r="D80" s="0" t="n">
        <v>1.15</v>
      </c>
      <c r="E80" s="0" t="n">
        <v>4.8</v>
      </c>
      <c r="F80" s="10" t="n">
        <v>0.8067</v>
      </c>
      <c r="G80" s="0" t="n">
        <v>21.05</v>
      </c>
    </row>
    <row r="81" customFormat="false" ht="15" hidden="false" customHeight="false" outlineLevel="0" collapsed="false">
      <c r="A81" s="0" t="s">
        <v>1034</v>
      </c>
      <c r="B81" s="0" t="n">
        <v>2</v>
      </c>
      <c r="C81" s="0" t="n">
        <v>18.5</v>
      </c>
      <c r="D81" s="0" t="n">
        <v>1.26</v>
      </c>
      <c r="E81" s="0" t="n">
        <v>3.4</v>
      </c>
      <c r="F81" s="10" t="n">
        <v>0.7296</v>
      </c>
      <c r="G81" s="0" t="n">
        <v>21.05</v>
      </c>
    </row>
    <row r="82" customFormat="false" ht="15" hidden="false" customHeight="false" outlineLevel="0" collapsed="false">
      <c r="A82" s="0" t="s">
        <v>1034</v>
      </c>
      <c r="B82" s="0" t="n">
        <v>2</v>
      </c>
      <c r="C82" s="0" t="n">
        <v>19.5</v>
      </c>
      <c r="D82" s="0" t="n">
        <v>1.42</v>
      </c>
      <c r="E82" s="0" t="n">
        <v>2.7</v>
      </c>
      <c r="F82" s="10" t="n">
        <v>0.6553</v>
      </c>
      <c r="G82" s="0" t="n">
        <v>21.05</v>
      </c>
    </row>
    <row r="83" customFormat="false" ht="15" hidden="false" customHeight="false" outlineLevel="0" collapsed="false">
      <c r="A83" s="0" t="s">
        <v>1034</v>
      </c>
      <c r="B83" s="0" t="n">
        <v>2</v>
      </c>
      <c r="C83" s="0" t="n">
        <v>20.5</v>
      </c>
      <c r="D83" s="0" t="n">
        <v>1.65</v>
      </c>
      <c r="E83" s="0" t="n">
        <v>2.1</v>
      </c>
      <c r="F83" s="10" t="n">
        <v>0.56</v>
      </c>
      <c r="G83" s="0" t="n">
        <v>21.05</v>
      </c>
    </row>
    <row r="84" customFormat="false" ht="15" hidden="false" customHeight="false" outlineLevel="0" collapsed="false">
      <c r="A84" s="0" t="s">
        <v>1034</v>
      </c>
      <c r="B84" s="0" t="n">
        <v>2</v>
      </c>
      <c r="C84" s="0" t="n">
        <v>21.5</v>
      </c>
      <c r="D84" s="0" t="n">
        <v>2.05</v>
      </c>
      <c r="E84" s="0" t="n">
        <v>1.68</v>
      </c>
      <c r="F84" s="10" t="n">
        <v>0.4504</v>
      </c>
      <c r="G84" s="0" t="n">
        <v>21.05</v>
      </c>
    </row>
    <row r="85" customFormat="false" ht="15" hidden="false" customHeight="false" outlineLevel="0" collapsed="false">
      <c r="A85" s="0" t="s">
        <v>1034</v>
      </c>
      <c r="B85" s="0" t="n">
        <v>2</v>
      </c>
      <c r="C85" s="0" t="n">
        <v>22.5</v>
      </c>
      <c r="D85" s="0" t="n">
        <v>2.7</v>
      </c>
      <c r="E85" s="0" t="n">
        <v>1.42</v>
      </c>
      <c r="F85" s="10" t="n">
        <v>0.3447</v>
      </c>
      <c r="G85" s="0" t="n">
        <v>21.05</v>
      </c>
    </row>
    <row r="86" customFormat="false" ht="15" hidden="false" customHeight="false" outlineLevel="0" collapsed="false">
      <c r="A86" s="0" t="s">
        <v>1034</v>
      </c>
      <c r="B86" s="0" t="n">
        <v>3</v>
      </c>
      <c r="C86" s="0" t="n">
        <v>17.5</v>
      </c>
      <c r="D86" s="0" t="n">
        <v>1.13</v>
      </c>
      <c r="E86" s="0" t="n">
        <v>5</v>
      </c>
      <c r="F86" s="10" t="n">
        <v>0.8157</v>
      </c>
      <c r="G86" s="0" t="n">
        <v>21.11</v>
      </c>
    </row>
    <row r="87" customFormat="false" ht="15" hidden="false" customHeight="false" outlineLevel="0" collapsed="false">
      <c r="A87" s="0" t="s">
        <v>1034</v>
      </c>
      <c r="B87" s="0" t="n">
        <v>3</v>
      </c>
      <c r="C87" s="0" t="n">
        <v>18.5</v>
      </c>
      <c r="D87" s="0" t="n">
        <v>1.22</v>
      </c>
      <c r="E87" s="0" t="n">
        <v>3.8</v>
      </c>
      <c r="F87" s="10" t="n">
        <v>0.757</v>
      </c>
      <c r="G87" s="0" t="n">
        <v>21.11</v>
      </c>
    </row>
    <row r="88" customFormat="false" ht="15" hidden="false" customHeight="false" outlineLevel="0" collapsed="false">
      <c r="A88" s="0" t="s">
        <v>1034</v>
      </c>
      <c r="B88" s="0" t="n">
        <v>3</v>
      </c>
      <c r="C88" s="0" t="n">
        <v>19.5</v>
      </c>
      <c r="D88" s="0" t="n">
        <v>1.38</v>
      </c>
      <c r="E88" s="0" t="n">
        <v>2.8</v>
      </c>
      <c r="F88" s="10" t="n">
        <v>0.6699</v>
      </c>
      <c r="G88" s="0" t="n">
        <v>21.11</v>
      </c>
    </row>
    <row r="89" customFormat="false" ht="15" hidden="false" customHeight="false" outlineLevel="0" collapsed="false">
      <c r="A89" s="0" t="s">
        <v>1034</v>
      </c>
      <c r="B89" s="0" t="n">
        <v>3</v>
      </c>
      <c r="C89" s="0" t="n">
        <v>20.5</v>
      </c>
      <c r="D89" s="0" t="n">
        <v>1.65</v>
      </c>
      <c r="E89" s="0" t="n">
        <v>2.1</v>
      </c>
      <c r="F89" s="10" t="n">
        <v>0.56</v>
      </c>
      <c r="G89" s="0" t="n">
        <v>21.11</v>
      </c>
    </row>
    <row r="90" customFormat="false" ht="15" hidden="false" customHeight="false" outlineLevel="0" collapsed="false">
      <c r="A90" s="0" t="s">
        <v>1034</v>
      </c>
      <c r="B90" s="0" t="n">
        <v>3</v>
      </c>
      <c r="C90" s="0" t="n">
        <v>21.5</v>
      </c>
      <c r="D90" s="0" t="n">
        <v>2</v>
      </c>
      <c r="E90" s="0" t="n">
        <v>1.72</v>
      </c>
      <c r="F90" s="10" t="n">
        <v>0.4624</v>
      </c>
      <c r="G90" s="0" t="n">
        <v>21.11</v>
      </c>
    </row>
    <row r="91" customFormat="false" ht="15" hidden="false" customHeight="false" outlineLevel="0" collapsed="false">
      <c r="A91" s="0" t="s">
        <v>1034</v>
      </c>
      <c r="B91" s="0" t="n">
        <v>3</v>
      </c>
      <c r="C91" s="0" t="n">
        <v>22.5</v>
      </c>
      <c r="D91" s="0" t="n">
        <v>2.6</v>
      </c>
      <c r="E91" s="0" t="n">
        <v>1.45</v>
      </c>
      <c r="F91" s="10" t="n">
        <v>0.358</v>
      </c>
      <c r="G91" s="0" t="n">
        <v>21.11</v>
      </c>
    </row>
    <row r="92" customFormat="false" ht="15" hidden="false" customHeight="false" outlineLevel="0" collapsed="false">
      <c r="A92" s="0" t="s">
        <v>1041</v>
      </c>
      <c r="B92" s="0" t="n">
        <v>1</v>
      </c>
      <c r="C92" s="0" t="n">
        <v>17.5</v>
      </c>
      <c r="D92" s="0" t="n">
        <v>1.12</v>
      </c>
      <c r="E92" s="0" t="n">
        <v>5.3</v>
      </c>
      <c r="F92" s="10" t="n">
        <v>0.8255</v>
      </c>
      <c r="G92" s="0" t="n">
        <v>21.42</v>
      </c>
    </row>
    <row r="93" customFormat="false" ht="15" hidden="false" customHeight="false" outlineLevel="0" collapsed="false">
      <c r="A93" s="0" t="s">
        <v>1041</v>
      </c>
      <c r="B93" s="0" t="n">
        <v>1</v>
      </c>
      <c r="C93" s="0" t="n">
        <v>18.5</v>
      </c>
      <c r="D93" s="0" t="n">
        <v>1.22</v>
      </c>
      <c r="E93" s="0" t="n">
        <v>3.8</v>
      </c>
      <c r="F93" s="10" t="n">
        <v>0.757</v>
      </c>
      <c r="G93" s="0" t="n">
        <v>21.42</v>
      </c>
    </row>
    <row r="94" customFormat="false" ht="15" hidden="false" customHeight="false" outlineLevel="0" collapsed="false">
      <c r="A94" s="0" t="s">
        <v>1041</v>
      </c>
      <c r="B94" s="0" t="n">
        <v>1</v>
      </c>
      <c r="C94" s="0" t="n">
        <v>19.5</v>
      </c>
      <c r="D94" s="0" t="n">
        <v>1.35</v>
      </c>
      <c r="E94" s="0" t="n">
        <v>2.9</v>
      </c>
      <c r="F94" s="10" t="n">
        <v>0.6824</v>
      </c>
      <c r="G94" s="0" t="n">
        <v>21.42</v>
      </c>
    </row>
    <row r="95" customFormat="false" ht="15" hidden="false" customHeight="false" outlineLevel="0" collapsed="false">
      <c r="A95" s="0" t="s">
        <v>1041</v>
      </c>
      <c r="B95" s="0" t="n">
        <v>1</v>
      </c>
      <c r="C95" s="0" t="n">
        <v>20.5</v>
      </c>
      <c r="D95" s="0" t="n">
        <v>1.55</v>
      </c>
      <c r="E95" s="0" t="n">
        <v>2.3</v>
      </c>
      <c r="F95" s="10" t="n">
        <v>0.5974</v>
      </c>
      <c r="G95" s="0" t="n">
        <v>21.42</v>
      </c>
    </row>
    <row r="96" customFormat="false" ht="15" hidden="false" customHeight="false" outlineLevel="0" collapsed="false">
      <c r="A96" s="0" t="s">
        <v>1041</v>
      </c>
      <c r="B96" s="0" t="n">
        <v>1</v>
      </c>
      <c r="C96" s="0" t="n">
        <v>21.5</v>
      </c>
      <c r="D96" s="0" t="n">
        <v>1.88</v>
      </c>
      <c r="E96" s="0" t="n">
        <v>1.82</v>
      </c>
      <c r="F96" s="10" t="n">
        <v>0.4919</v>
      </c>
      <c r="G96" s="0" t="n">
        <v>21.42</v>
      </c>
    </row>
    <row r="97" customFormat="false" ht="15" hidden="false" customHeight="false" outlineLevel="0" collapsed="false">
      <c r="A97" s="0" t="s">
        <v>1041</v>
      </c>
      <c r="B97" s="0" t="n">
        <v>1</v>
      </c>
      <c r="C97" s="0" t="n">
        <v>22.5</v>
      </c>
      <c r="D97" s="0" t="n">
        <v>2.4</v>
      </c>
      <c r="E97" s="0" t="n">
        <v>1.5</v>
      </c>
      <c r="F97" s="10" t="n">
        <v>0.3846</v>
      </c>
      <c r="G97" s="0" t="n">
        <v>21.42</v>
      </c>
    </row>
    <row r="98" customFormat="false" ht="15" hidden="false" customHeight="false" outlineLevel="0" collapsed="false">
      <c r="A98" s="0" t="s">
        <v>1041</v>
      </c>
      <c r="B98" s="0" t="n">
        <v>2</v>
      </c>
      <c r="C98" s="0" t="n">
        <v>17.5</v>
      </c>
      <c r="D98" s="0" t="n">
        <v>1.1</v>
      </c>
      <c r="E98" s="0" t="n">
        <v>5.8</v>
      </c>
      <c r="F98" s="10" t="n">
        <v>0.8406</v>
      </c>
      <c r="G98" s="0" t="n">
        <v>21.5</v>
      </c>
    </row>
    <row r="99" customFormat="false" ht="15" hidden="false" customHeight="false" outlineLevel="0" collapsed="false">
      <c r="A99" s="0" t="s">
        <v>1041</v>
      </c>
      <c r="B99" s="0" t="n">
        <v>2</v>
      </c>
      <c r="C99" s="0" t="n">
        <v>18.5</v>
      </c>
      <c r="D99" s="0" t="n">
        <v>1.2</v>
      </c>
      <c r="E99" s="0" t="n">
        <v>4</v>
      </c>
      <c r="F99" s="10" t="n">
        <v>0.7692</v>
      </c>
      <c r="G99" s="0" t="n">
        <v>21.5</v>
      </c>
    </row>
    <row r="100" customFormat="false" ht="15" hidden="false" customHeight="false" outlineLevel="0" collapsed="false">
      <c r="A100" s="0" t="s">
        <v>1041</v>
      </c>
      <c r="B100" s="0" t="n">
        <v>2</v>
      </c>
      <c r="C100" s="0" t="n">
        <v>19.5</v>
      </c>
      <c r="D100" s="0" t="n">
        <v>1.32</v>
      </c>
      <c r="E100" s="0" t="n">
        <v>3.1</v>
      </c>
      <c r="F100" s="10" t="n">
        <v>0.7014</v>
      </c>
      <c r="G100" s="0" t="n">
        <v>21.5</v>
      </c>
    </row>
    <row r="101" customFormat="false" ht="15" hidden="false" customHeight="false" outlineLevel="0" collapsed="false">
      <c r="A101" s="0" t="s">
        <v>1041</v>
      </c>
      <c r="B101" s="0" t="n">
        <v>2</v>
      </c>
      <c r="C101" s="0" t="n">
        <v>20.5</v>
      </c>
      <c r="D101" s="0" t="n">
        <v>1.52</v>
      </c>
      <c r="E101" s="0" t="n">
        <v>2.35</v>
      </c>
      <c r="F101" s="10" t="n">
        <v>0.6072</v>
      </c>
      <c r="G101" s="0" t="n">
        <v>21.5</v>
      </c>
    </row>
    <row r="102" customFormat="false" ht="15" hidden="false" customHeight="false" outlineLevel="0" collapsed="false">
      <c r="A102" s="0" t="s">
        <v>1041</v>
      </c>
      <c r="B102" s="0" t="n">
        <v>2</v>
      </c>
      <c r="C102" s="0" t="n">
        <v>21.5</v>
      </c>
      <c r="D102" s="0" t="n">
        <v>1.85</v>
      </c>
      <c r="E102" s="0" t="n">
        <v>1.85</v>
      </c>
      <c r="F102" s="10" t="n">
        <v>0.5</v>
      </c>
      <c r="G102" s="0" t="n">
        <v>21.5</v>
      </c>
    </row>
    <row r="103" customFormat="false" ht="15" hidden="false" customHeight="false" outlineLevel="0" collapsed="false">
      <c r="A103" s="0" t="s">
        <v>1041</v>
      </c>
      <c r="B103" s="0" t="n">
        <v>2</v>
      </c>
      <c r="C103" s="0" t="n">
        <v>22.5</v>
      </c>
      <c r="D103" s="0" t="n">
        <v>2.4</v>
      </c>
      <c r="E103" s="0" t="n">
        <v>1.5</v>
      </c>
      <c r="F103" s="10" t="n">
        <v>0.3846</v>
      </c>
      <c r="G103" s="0" t="n">
        <v>21.5</v>
      </c>
    </row>
    <row r="104" customFormat="false" ht="15" hidden="false" customHeight="false" outlineLevel="0" collapsed="false">
      <c r="A104" s="0" t="s">
        <v>1041</v>
      </c>
      <c r="B104" s="0" t="n">
        <v>3</v>
      </c>
      <c r="C104" s="0" t="n">
        <v>17.5</v>
      </c>
      <c r="D104" s="0" t="n">
        <v>1.1</v>
      </c>
      <c r="E104" s="0" t="n">
        <v>5.8</v>
      </c>
      <c r="F104" s="10" t="n">
        <v>0.8406</v>
      </c>
      <c r="G104" s="0" t="n">
        <v>21.5</v>
      </c>
    </row>
    <row r="105" customFormat="false" ht="15" hidden="false" customHeight="false" outlineLevel="0" collapsed="false">
      <c r="A105" s="0" t="s">
        <v>1041</v>
      </c>
      <c r="B105" s="0" t="n">
        <v>3</v>
      </c>
      <c r="C105" s="0" t="n">
        <v>18.5</v>
      </c>
      <c r="D105" s="0" t="n">
        <v>1.2</v>
      </c>
      <c r="E105" s="0" t="n">
        <v>4</v>
      </c>
      <c r="F105" s="10" t="n">
        <v>0.7692</v>
      </c>
      <c r="G105" s="0" t="n">
        <v>21.5</v>
      </c>
    </row>
    <row r="106" customFormat="false" ht="15" hidden="false" customHeight="false" outlineLevel="0" collapsed="false">
      <c r="A106" s="0" t="s">
        <v>1041</v>
      </c>
      <c r="B106" s="0" t="n">
        <v>3</v>
      </c>
      <c r="C106" s="0" t="n">
        <v>19.5</v>
      </c>
      <c r="D106" s="0" t="n">
        <v>1.35</v>
      </c>
      <c r="E106" s="0" t="n">
        <v>2.9</v>
      </c>
      <c r="F106" s="10" t="n">
        <v>0.6824</v>
      </c>
      <c r="G106" s="0" t="n">
        <v>21.5</v>
      </c>
    </row>
    <row r="107" customFormat="false" ht="15" hidden="false" customHeight="false" outlineLevel="0" collapsed="false">
      <c r="A107" s="0" t="s">
        <v>1041</v>
      </c>
      <c r="B107" s="0" t="n">
        <v>3</v>
      </c>
      <c r="C107" s="0" t="n">
        <v>20.5</v>
      </c>
      <c r="D107" s="0" t="n">
        <v>1.55</v>
      </c>
      <c r="E107" s="0" t="n">
        <v>2.3</v>
      </c>
      <c r="F107" s="10" t="n">
        <v>0.5974</v>
      </c>
      <c r="G107" s="0" t="n">
        <v>21.5</v>
      </c>
    </row>
    <row r="108" customFormat="false" ht="15" hidden="false" customHeight="false" outlineLevel="0" collapsed="false">
      <c r="A108" s="0" t="s">
        <v>1041</v>
      </c>
      <c r="B108" s="0" t="n">
        <v>3</v>
      </c>
      <c r="C108" s="0" t="n">
        <v>21.5</v>
      </c>
      <c r="D108" s="0" t="n">
        <v>1.85</v>
      </c>
      <c r="E108" s="0" t="n">
        <v>1.85</v>
      </c>
      <c r="F108" s="10" t="n">
        <v>0.5</v>
      </c>
      <c r="G108" s="0" t="n">
        <v>21.5</v>
      </c>
    </row>
    <row r="109" customFormat="false" ht="15" hidden="false" customHeight="false" outlineLevel="0" collapsed="false">
      <c r="A109" s="0" t="s">
        <v>1041</v>
      </c>
      <c r="B109" s="0" t="n">
        <v>3</v>
      </c>
      <c r="C109" s="0" t="n">
        <v>22.5</v>
      </c>
      <c r="D109" s="0" t="n">
        <v>2.4</v>
      </c>
      <c r="E109" s="0" t="n">
        <v>1.5</v>
      </c>
      <c r="F109" s="10" t="n">
        <v>0.3846</v>
      </c>
      <c r="G109" s="0" t="n">
        <v>21.5</v>
      </c>
    </row>
    <row r="110" customFormat="false" ht="15" hidden="false" customHeight="false" outlineLevel="0" collapsed="false">
      <c r="A110" s="0" t="s">
        <v>1047</v>
      </c>
      <c r="B110" s="0" t="n">
        <v>1</v>
      </c>
      <c r="C110" s="0" t="n">
        <v>17.5</v>
      </c>
      <c r="D110" s="0" t="n">
        <v>1.1</v>
      </c>
      <c r="E110" s="0" t="n">
        <v>5.8</v>
      </c>
      <c r="F110" s="10" t="n">
        <v>0.8406</v>
      </c>
      <c r="G110" s="0" t="n">
        <v>21.5</v>
      </c>
    </row>
    <row r="111" customFormat="false" ht="15" hidden="false" customHeight="false" outlineLevel="0" collapsed="false">
      <c r="A111" s="0" t="s">
        <v>1047</v>
      </c>
      <c r="B111" s="0" t="n">
        <v>1</v>
      </c>
      <c r="C111" s="0" t="n">
        <v>18.5</v>
      </c>
      <c r="D111" s="0" t="n">
        <v>1.2</v>
      </c>
      <c r="E111" s="0" t="n">
        <v>4</v>
      </c>
      <c r="F111" s="10" t="n">
        <v>0.7692</v>
      </c>
      <c r="G111" s="0" t="n">
        <v>21.5</v>
      </c>
    </row>
    <row r="112" customFormat="false" ht="15" hidden="false" customHeight="false" outlineLevel="0" collapsed="false">
      <c r="A112" s="0" t="s">
        <v>1047</v>
      </c>
      <c r="B112" s="0" t="n">
        <v>1</v>
      </c>
      <c r="C112" s="0" t="n">
        <v>19.5</v>
      </c>
      <c r="D112" s="0" t="n">
        <v>1.32</v>
      </c>
      <c r="E112" s="0" t="n">
        <v>3.1</v>
      </c>
      <c r="F112" s="10" t="n">
        <v>0.7014</v>
      </c>
      <c r="G112" s="0" t="n">
        <v>21.5</v>
      </c>
    </row>
    <row r="113" customFormat="false" ht="15" hidden="false" customHeight="false" outlineLevel="0" collapsed="false">
      <c r="A113" s="0" t="s">
        <v>1047</v>
      </c>
      <c r="B113" s="0" t="n">
        <v>1</v>
      </c>
      <c r="C113" s="0" t="n">
        <v>20.5</v>
      </c>
      <c r="D113" s="0" t="n">
        <v>1.52</v>
      </c>
      <c r="E113" s="0" t="n">
        <v>2.35</v>
      </c>
      <c r="F113" s="10" t="n">
        <v>0.6072</v>
      </c>
      <c r="G113" s="0" t="n">
        <v>21.5</v>
      </c>
    </row>
    <row r="114" customFormat="false" ht="15" hidden="false" customHeight="false" outlineLevel="0" collapsed="false">
      <c r="A114" s="0" t="s">
        <v>1047</v>
      </c>
      <c r="B114" s="0" t="n">
        <v>1</v>
      </c>
      <c r="C114" s="0" t="n">
        <v>21.5</v>
      </c>
      <c r="D114" s="0" t="n">
        <v>1.85</v>
      </c>
      <c r="E114" s="0" t="n">
        <v>1.85</v>
      </c>
      <c r="F114" s="10" t="n">
        <v>0.5</v>
      </c>
      <c r="G114" s="0" t="n">
        <v>21.5</v>
      </c>
    </row>
    <row r="115" customFormat="false" ht="15" hidden="false" customHeight="false" outlineLevel="0" collapsed="false">
      <c r="A115" s="0" t="s">
        <v>1047</v>
      </c>
      <c r="B115" s="0" t="n">
        <v>1</v>
      </c>
      <c r="C115" s="0" t="n">
        <v>22.5</v>
      </c>
      <c r="D115" s="0" t="n">
        <v>2.4</v>
      </c>
      <c r="E115" s="0" t="n">
        <v>1.5</v>
      </c>
      <c r="F115" s="10" t="n">
        <v>0.3846</v>
      </c>
      <c r="G115" s="0" t="n">
        <v>21.5</v>
      </c>
    </row>
    <row r="116" customFormat="false" ht="15" hidden="false" customHeight="false" outlineLevel="0" collapsed="false">
      <c r="A116" s="0" t="s">
        <v>1047</v>
      </c>
      <c r="B116" s="0" t="n">
        <v>2</v>
      </c>
      <c r="C116" s="0" t="n">
        <v>17.5</v>
      </c>
      <c r="D116" s="0" t="n">
        <v>1.1</v>
      </c>
      <c r="E116" s="0" t="n">
        <v>5.8</v>
      </c>
      <c r="F116" s="10" t="n">
        <v>0.8406</v>
      </c>
      <c r="G116" s="0" t="n">
        <v>21.5</v>
      </c>
    </row>
    <row r="117" customFormat="false" ht="15" hidden="false" customHeight="false" outlineLevel="0" collapsed="false">
      <c r="A117" s="0" t="s">
        <v>1047</v>
      </c>
      <c r="B117" s="0" t="n">
        <v>2</v>
      </c>
      <c r="C117" s="0" t="n">
        <v>18.5</v>
      </c>
      <c r="D117" s="0" t="n">
        <v>1.2</v>
      </c>
      <c r="E117" s="0" t="n">
        <v>4</v>
      </c>
      <c r="F117" s="10" t="n">
        <v>0.7692</v>
      </c>
      <c r="G117" s="0" t="n">
        <v>21.5</v>
      </c>
    </row>
    <row r="118" customFormat="false" ht="15" hidden="false" customHeight="false" outlineLevel="0" collapsed="false">
      <c r="A118" s="0" t="s">
        <v>1047</v>
      </c>
      <c r="B118" s="0" t="n">
        <v>2</v>
      </c>
      <c r="C118" s="0" t="n">
        <v>19.5</v>
      </c>
      <c r="D118" s="0" t="n">
        <v>1.32</v>
      </c>
      <c r="E118" s="0" t="n">
        <v>3.1</v>
      </c>
      <c r="F118" s="10" t="n">
        <v>0.7014</v>
      </c>
      <c r="G118" s="0" t="n">
        <v>21.5</v>
      </c>
    </row>
    <row r="119" customFormat="false" ht="15" hidden="false" customHeight="false" outlineLevel="0" collapsed="false">
      <c r="A119" s="0" t="s">
        <v>1047</v>
      </c>
      <c r="B119" s="0" t="n">
        <v>2</v>
      </c>
      <c r="C119" s="0" t="n">
        <v>20.5</v>
      </c>
      <c r="D119" s="0" t="n">
        <v>1.52</v>
      </c>
      <c r="E119" s="0" t="n">
        <v>2.35</v>
      </c>
      <c r="F119" s="10" t="n">
        <v>0.6072</v>
      </c>
      <c r="G119" s="0" t="n">
        <v>21.5</v>
      </c>
    </row>
    <row r="120" customFormat="false" ht="15" hidden="false" customHeight="false" outlineLevel="0" collapsed="false">
      <c r="A120" s="0" t="s">
        <v>1047</v>
      </c>
      <c r="B120" s="0" t="n">
        <v>2</v>
      </c>
      <c r="C120" s="0" t="n">
        <v>21.5</v>
      </c>
      <c r="D120" s="0" t="n">
        <v>1.85</v>
      </c>
      <c r="E120" s="0" t="n">
        <v>1.85</v>
      </c>
      <c r="F120" s="10" t="n">
        <v>0.5</v>
      </c>
      <c r="G120" s="0" t="n">
        <v>21.5</v>
      </c>
    </row>
    <row r="121" customFormat="false" ht="15" hidden="false" customHeight="false" outlineLevel="0" collapsed="false">
      <c r="A121" s="0" t="s">
        <v>1047</v>
      </c>
      <c r="B121" s="0" t="n">
        <v>2</v>
      </c>
      <c r="C121" s="0" t="n">
        <v>22.5</v>
      </c>
      <c r="D121" s="0" t="n">
        <v>2.4</v>
      </c>
      <c r="E121" s="0" t="n">
        <v>1.5</v>
      </c>
      <c r="F121" s="10" t="n">
        <v>0.3846</v>
      </c>
      <c r="G121" s="0" t="n">
        <v>21.5</v>
      </c>
    </row>
    <row r="122" customFormat="false" ht="15" hidden="false" customHeight="false" outlineLevel="0" collapsed="false">
      <c r="A122" s="0" t="s">
        <v>1047</v>
      </c>
      <c r="B122" s="0" t="n">
        <v>3</v>
      </c>
      <c r="C122" s="0" t="n">
        <v>17.5</v>
      </c>
      <c r="D122" s="0" t="n">
        <v>1.1</v>
      </c>
      <c r="E122" s="0" t="n">
        <v>5.8</v>
      </c>
      <c r="F122" s="10" t="n">
        <v>0.8406</v>
      </c>
      <c r="G122" s="0" t="n">
        <v>21.5</v>
      </c>
    </row>
    <row r="123" customFormat="false" ht="15" hidden="false" customHeight="false" outlineLevel="0" collapsed="false">
      <c r="A123" s="0" t="s">
        <v>1047</v>
      </c>
      <c r="B123" s="0" t="n">
        <v>3</v>
      </c>
      <c r="C123" s="0" t="n">
        <v>18.5</v>
      </c>
      <c r="D123" s="0" t="n">
        <v>1.2</v>
      </c>
      <c r="E123" s="0" t="n">
        <v>4</v>
      </c>
      <c r="F123" s="10" t="n">
        <v>0.7692</v>
      </c>
      <c r="G123" s="0" t="n">
        <v>21.5</v>
      </c>
    </row>
    <row r="124" customFormat="false" ht="15" hidden="false" customHeight="false" outlineLevel="0" collapsed="false">
      <c r="A124" s="0" t="s">
        <v>1047</v>
      </c>
      <c r="B124" s="0" t="n">
        <v>3</v>
      </c>
      <c r="C124" s="0" t="n">
        <v>19.5</v>
      </c>
      <c r="D124" s="0" t="n">
        <v>1.32</v>
      </c>
      <c r="E124" s="0" t="n">
        <v>3.1</v>
      </c>
      <c r="F124" s="10" t="n">
        <v>0.7014</v>
      </c>
      <c r="G124" s="0" t="n">
        <v>21.5</v>
      </c>
    </row>
    <row r="125" customFormat="false" ht="15" hidden="false" customHeight="false" outlineLevel="0" collapsed="false">
      <c r="A125" s="0" t="s">
        <v>1047</v>
      </c>
      <c r="B125" s="0" t="n">
        <v>3</v>
      </c>
      <c r="C125" s="0" t="n">
        <v>20.5</v>
      </c>
      <c r="D125" s="0" t="n">
        <v>1.52</v>
      </c>
      <c r="E125" s="0" t="n">
        <v>2.35</v>
      </c>
      <c r="F125" s="10" t="n">
        <v>0.6072</v>
      </c>
      <c r="G125" s="0" t="n">
        <v>21.5</v>
      </c>
    </row>
    <row r="126" customFormat="false" ht="15" hidden="false" customHeight="false" outlineLevel="0" collapsed="false">
      <c r="A126" s="0" t="s">
        <v>1047</v>
      </c>
      <c r="B126" s="0" t="n">
        <v>3</v>
      </c>
      <c r="C126" s="0" t="n">
        <v>21.5</v>
      </c>
      <c r="D126" s="0" t="n">
        <v>1.85</v>
      </c>
      <c r="E126" s="0" t="n">
        <v>1.85</v>
      </c>
      <c r="F126" s="10" t="n">
        <v>0.5</v>
      </c>
      <c r="G126" s="0" t="n">
        <v>21.5</v>
      </c>
    </row>
    <row r="127" customFormat="false" ht="15" hidden="false" customHeight="false" outlineLevel="0" collapsed="false">
      <c r="A127" s="0" t="s">
        <v>1047</v>
      </c>
      <c r="B127" s="0" t="n">
        <v>3</v>
      </c>
      <c r="C127" s="0" t="n">
        <v>22.5</v>
      </c>
      <c r="D127" s="0" t="n">
        <v>2.4</v>
      </c>
      <c r="E127" s="0" t="n">
        <v>1.5</v>
      </c>
      <c r="F127" s="10" t="n">
        <v>0.3846</v>
      </c>
      <c r="G127" s="0" t="n">
        <v>21.5</v>
      </c>
    </row>
    <row r="128" customFormat="false" ht="15" hidden="false" customHeight="false" outlineLevel="0" collapsed="false">
      <c r="A128" s="0" t="s">
        <v>1054</v>
      </c>
      <c r="B128" s="0" t="n">
        <v>1</v>
      </c>
      <c r="C128" s="0" t="n">
        <v>17.5</v>
      </c>
      <c r="D128" s="0" t="n">
        <v>1.12</v>
      </c>
      <c r="E128" s="0" t="n">
        <v>5.3</v>
      </c>
      <c r="F128" s="10" t="n">
        <v>0.8255</v>
      </c>
      <c r="G128" s="0" t="n">
        <v>21.36</v>
      </c>
    </row>
    <row r="129" customFormat="false" ht="15" hidden="false" customHeight="false" outlineLevel="0" collapsed="false">
      <c r="A129" s="0" t="s">
        <v>1054</v>
      </c>
      <c r="B129" s="0" t="n">
        <v>1</v>
      </c>
      <c r="C129" s="0" t="n">
        <v>18.5</v>
      </c>
      <c r="D129" s="0" t="n">
        <v>1.22</v>
      </c>
      <c r="E129" s="0" t="n">
        <v>3.8</v>
      </c>
      <c r="F129" s="10" t="n">
        <v>0.757</v>
      </c>
      <c r="G129" s="0" t="n">
        <v>21.36</v>
      </c>
    </row>
    <row r="130" customFormat="false" ht="15" hidden="false" customHeight="false" outlineLevel="0" collapsed="false">
      <c r="A130" s="0" t="s">
        <v>1054</v>
      </c>
      <c r="B130" s="0" t="n">
        <v>1</v>
      </c>
      <c r="C130" s="0" t="n">
        <v>19.5</v>
      </c>
      <c r="D130" s="0" t="n">
        <v>1.38</v>
      </c>
      <c r="E130" s="0" t="n">
        <v>2.8</v>
      </c>
      <c r="F130" s="10" t="n">
        <v>0.6699</v>
      </c>
      <c r="G130" s="0" t="n">
        <v>21.36</v>
      </c>
    </row>
    <row r="131" customFormat="false" ht="15" hidden="false" customHeight="false" outlineLevel="0" collapsed="false">
      <c r="A131" s="0" t="s">
        <v>1054</v>
      </c>
      <c r="B131" s="0" t="n">
        <v>1</v>
      </c>
      <c r="C131" s="0" t="n">
        <v>20.5</v>
      </c>
      <c r="D131" s="0" t="n">
        <v>1.58</v>
      </c>
      <c r="E131" s="0" t="n">
        <v>2.2</v>
      </c>
      <c r="F131" s="10" t="n">
        <v>0.582</v>
      </c>
      <c r="G131" s="0" t="n">
        <v>21.36</v>
      </c>
    </row>
    <row r="132" customFormat="false" ht="15" hidden="false" customHeight="false" outlineLevel="0" collapsed="false">
      <c r="A132" s="0" t="s">
        <v>1054</v>
      </c>
      <c r="B132" s="0" t="n">
        <v>1</v>
      </c>
      <c r="C132" s="0" t="n">
        <v>21.5</v>
      </c>
      <c r="D132" s="0" t="n">
        <v>1.9</v>
      </c>
      <c r="E132" s="0" t="n">
        <v>1.8</v>
      </c>
      <c r="F132" s="10" t="n">
        <v>0.4865</v>
      </c>
      <c r="G132" s="0" t="n">
        <v>21.36</v>
      </c>
    </row>
    <row r="133" customFormat="false" ht="15" hidden="false" customHeight="false" outlineLevel="0" collapsed="false">
      <c r="A133" s="0" t="s">
        <v>1054</v>
      </c>
      <c r="B133" s="0" t="n">
        <v>1</v>
      </c>
      <c r="C133" s="0" t="n">
        <v>22.5</v>
      </c>
      <c r="D133" s="0" t="n">
        <v>2.4</v>
      </c>
      <c r="E133" s="0" t="n">
        <v>1.5</v>
      </c>
      <c r="F133" s="10" t="n">
        <v>0.3846</v>
      </c>
      <c r="G133" s="0" t="n">
        <v>21.36</v>
      </c>
    </row>
    <row r="134" customFormat="false" ht="15" hidden="false" customHeight="false" outlineLevel="0" collapsed="false">
      <c r="A134" s="0" t="s">
        <v>1054</v>
      </c>
      <c r="B134" s="0" t="n">
        <v>2</v>
      </c>
      <c r="C134" s="0" t="n">
        <v>17.5</v>
      </c>
      <c r="D134" s="0" t="n">
        <v>1.13</v>
      </c>
      <c r="E134" s="0" t="n">
        <v>5</v>
      </c>
      <c r="F134" s="10" t="n">
        <v>0.8157</v>
      </c>
      <c r="G134" s="0" t="n">
        <v>21.11</v>
      </c>
    </row>
    <row r="135" customFormat="false" ht="15" hidden="false" customHeight="false" outlineLevel="0" collapsed="false">
      <c r="A135" s="0" t="s">
        <v>1054</v>
      </c>
      <c r="B135" s="0" t="n">
        <v>2</v>
      </c>
      <c r="C135" s="0" t="n">
        <v>18.5</v>
      </c>
      <c r="D135" s="0" t="n">
        <v>1.25</v>
      </c>
      <c r="E135" s="0" t="n">
        <v>3.5</v>
      </c>
      <c r="F135" s="10" t="n">
        <v>0.7368</v>
      </c>
      <c r="G135" s="0" t="n">
        <v>21.11</v>
      </c>
    </row>
    <row r="136" customFormat="false" ht="15" hidden="false" customHeight="false" outlineLevel="0" collapsed="false">
      <c r="A136" s="0" t="s">
        <v>1054</v>
      </c>
      <c r="B136" s="0" t="n">
        <v>2</v>
      </c>
      <c r="C136" s="0" t="n">
        <v>19.5</v>
      </c>
      <c r="D136" s="0" t="n">
        <v>1.4</v>
      </c>
      <c r="E136" s="0" t="n">
        <v>2.7</v>
      </c>
      <c r="F136" s="10" t="n">
        <v>0.6585</v>
      </c>
      <c r="G136" s="0" t="n">
        <v>21.11</v>
      </c>
    </row>
    <row r="137" customFormat="false" ht="15" hidden="false" customHeight="false" outlineLevel="0" collapsed="false">
      <c r="A137" s="0" t="s">
        <v>1054</v>
      </c>
      <c r="B137" s="0" t="n">
        <v>2</v>
      </c>
      <c r="C137" s="0" t="n">
        <v>20.5</v>
      </c>
      <c r="D137" s="0" t="n">
        <v>1.65</v>
      </c>
      <c r="E137" s="0" t="n">
        <v>2.1</v>
      </c>
      <c r="F137" s="10" t="n">
        <v>0.56</v>
      </c>
      <c r="G137" s="0" t="n">
        <v>21.11</v>
      </c>
    </row>
    <row r="138" customFormat="false" ht="15" hidden="false" customHeight="false" outlineLevel="0" collapsed="false">
      <c r="A138" s="0" t="s">
        <v>1054</v>
      </c>
      <c r="B138" s="0" t="n">
        <v>2</v>
      </c>
      <c r="C138" s="0" t="n">
        <v>21.5</v>
      </c>
      <c r="D138" s="0" t="n">
        <v>2</v>
      </c>
      <c r="E138" s="0" t="n">
        <v>1.72</v>
      </c>
      <c r="F138" s="10" t="n">
        <v>0.4624</v>
      </c>
      <c r="G138" s="0" t="n">
        <v>21.11</v>
      </c>
    </row>
    <row r="139" customFormat="false" ht="15" hidden="false" customHeight="false" outlineLevel="0" collapsed="false">
      <c r="A139" s="0" t="s">
        <v>1054</v>
      </c>
      <c r="B139" s="0" t="n">
        <v>2</v>
      </c>
      <c r="C139" s="0" t="n">
        <v>22.5</v>
      </c>
      <c r="D139" s="0" t="n">
        <v>2.6</v>
      </c>
      <c r="E139" s="0" t="n">
        <v>1.45</v>
      </c>
      <c r="F139" s="10" t="n">
        <v>0.358</v>
      </c>
      <c r="G139" s="0" t="n">
        <v>21.11</v>
      </c>
    </row>
    <row r="140" customFormat="false" ht="15" hidden="false" customHeight="false" outlineLevel="0" collapsed="false">
      <c r="A140" s="0" t="s">
        <v>1054</v>
      </c>
      <c r="B140" s="0" t="n">
        <v>3</v>
      </c>
      <c r="C140" s="0" t="n">
        <v>17.5</v>
      </c>
      <c r="D140" s="0" t="n">
        <v>1.12</v>
      </c>
      <c r="E140" s="0" t="n">
        <v>5.3</v>
      </c>
      <c r="F140" s="10" t="n">
        <v>0.8255</v>
      </c>
      <c r="G140" s="0" t="n">
        <v>21.22</v>
      </c>
    </row>
    <row r="141" customFormat="false" ht="15" hidden="false" customHeight="false" outlineLevel="0" collapsed="false">
      <c r="A141" s="0" t="s">
        <v>1054</v>
      </c>
      <c r="B141" s="0" t="n">
        <v>3</v>
      </c>
      <c r="C141" s="0" t="n">
        <v>18.5</v>
      </c>
      <c r="D141" s="0" t="n">
        <v>1.22</v>
      </c>
      <c r="E141" s="0" t="n">
        <v>3.8</v>
      </c>
      <c r="F141" s="10" t="n">
        <v>0.757</v>
      </c>
      <c r="G141" s="0" t="n">
        <v>21.22</v>
      </c>
    </row>
    <row r="142" customFormat="false" ht="15" hidden="false" customHeight="false" outlineLevel="0" collapsed="false">
      <c r="A142" s="0" t="s">
        <v>1054</v>
      </c>
      <c r="B142" s="0" t="n">
        <v>3</v>
      </c>
      <c r="C142" s="0" t="n">
        <v>19.5</v>
      </c>
      <c r="D142" s="0" t="n">
        <v>1.38</v>
      </c>
      <c r="E142" s="0" t="n">
        <v>2.8</v>
      </c>
      <c r="F142" s="10" t="n">
        <v>0.6699</v>
      </c>
      <c r="G142" s="0" t="n">
        <v>21.22</v>
      </c>
    </row>
    <row r="143" customFormat="false" ht="15" hidden="false" customHeight="false" outlineLevel="0" collapsed="false">
      <c r="A143" s="0" t="s">
        <v>1054</v>
      </c>
      <c r="B143" s="0" t="n">
        <v>3</v>
      </c>
      <c r="C143" s="0" t="n">
        <v>20.5</v>
      </c>
      <c r="D143" s="0" t="n">
        <v>1.62</v>
      </c>
      <c r="E143" s="0" t="n">
        <v>2.15</v>
      </c>
      <c r="F143" s="10" t="n">
        <v>0.5703</v>
      </c>
      <c r="G143" s="0" t="n">
        <v>21.22</v>
      </c>
    </row>
    <row r="144" customFormat="false" ht="15" hidden="false" customHeight="false" outlineLevel="0" collapsed="false">
      <c r="A144" s="0" t="s">
        <v>1054</v>
      </c>
      <c r="B144" s="0" t="n">
        <v>3</v>
      </c>
      <c r="C144" s="0" t="n">
        <v>21.5</v>
      </c>
      <c r="D144" s="0" t="n">
        <v>1.95</v>
      </c>
      <c r="E144" s="0" t="n">
        <v>1.75</v>
      </c>
      <c r="F144" s="10" t="n">
        <v>0.473</v>
      </c>
      <c r="G144" s="0" t="n">
        <v>21.22</v>
      </c>
    </row>
    <row r="145" customFormat="false" ht="15" hidden="false" customHeight="false" outlineLevel="0" collapsed="false">
      <c r="A145" s="0" t="s">
        <v>1054</v>
      </c>
      <c r="B145" s="0" t="n">
        <v>3</v>
      </c>
      <c r="C145" s="0" t="n">
        <v>22.5</v>
      </c>
      <c r="D145" s="0" t="n">
        <v>2.5</v>
      </c>
      <c r="E145" s="0" t="n">
        <v>1.48</v>
      </c>
      <c r="F145" s="10" t="n">
        <v>0.3719</v>
      </c>
      <c r="G145" s="0" t="n">
        <v>21.22</v>
      </c>
    </row>
    <row r="146" customFormat="false" ht="15" hidden="false" customHeight="false" outlineLevel="0" collapsed="false">
      <c r="A146" s="0" t="s">
        <v>1060</v>
      </c>
      <c r="B146" s="0" t="n">
        <v>1</v>
      </c>
      <c r="C146" s="0" t="n">
        <v>17.5</v>
      </c>
      <c r="D146" s="0" t="n">
        <v>1.1</v>
      </c>
      <c r="E146" s="0" t="n">
        <v>5.8</v>
      </c>
      <c r="F146" s="10" t="n">
        <v>0.8406</v>
      </c>
      <c r="G146" s="0" t="n">
        <v>21.5</v>
      </c>
    </row>
    <row r="147" customFormat="false" ht="15" hidden="false" customHeight="false" outlineLevel="0" collapsed="false">
      <c r="A147" s="0" t="s">
        <v>1060</v>
      </c>
      <c r="B147" s="0" t="n">
        <v>1</v>
      </c>
      <c r="C147" s="0" t="n">
        <v>18.5</v>
      </c>
      <c r="D147" s="0" t="n">
        <v>1.2</v>
      </c>
      <c r="E147" s="0" t="n">
        <v>4</v>
      </c>
      <c r="F147" s="10" t="n">
        <v>0.7692</v>
      </c>
      <c r="G147" s="0" t="n">
        <v>21.5</v>
      </c>
    </row>
    <row r="148" customFormat="false" ht="15" hidden="false" customHeight="false" outlineLevel="0" collapsed="false">
      <c r="A148" s="0" t="s">
        <v>1060</v>
      </c>
      <c r="B148" s="0" t="n">
        <v>1</v>
      </c>
      <c r="C148" s="0" t="n">
        <v>19.5</v>
      </c>
      <c r="D148" s="0" t="n">
        <v>1.32</v>
      </c>
      <c r="E148" s="0" t="n">
        <v>3.1</v>
      </c>
      <c r="F148" s="10" t="n">
        <v>0.7014</v>
      </c>
      <c r="G148" s="0" t="n">
        <v>21.5</v>
      </c>
    </row>
    <row r="149" customFormat="false" ht="15" hidden="false" customHeight="false" outlineLevel="0" collapsed="false">
      <c r="A149" s="0" t="s">
        <v>1060</v>
      </c>
      <c r="B149" s="0" t="n">
        <v>1</v>
      </c>
      <c r="C149" s="0" t="n">
        <v>20.5</v>
      </c>
      <c r="D149" s="0" t="n">
        <v>1.52</v>
      </c>
      <c r="E149" s="0" t="n">
        <v>2.35</v>
      </c>
      <c r="F149" s="10" t="n">
        <v>0.6072</v>
      </c>
      <c r="G149" s="0" t="n">
        <v>21.5</v>
      </c>
    </row>
    <row r="150" customFormat="false" ht="15" hidden="false" customHeight="false" outlineLevel="0" collapsed="false">
      <c r="A150" s="0" t="s">
        <v>1060</v>
      </c>
      <c r="B150" s="0" t="n">
        <v>1</v>
      </c>
      <c r="C150" s="0" t="n">
        <v>21.5</v>
      </c>
      <c r="D150" s="0" t="n">
        <v>1.85</v>
      </c>
      <c r="E150" s="0" t="n">
        <v>1.85</v>
      </c>
      <c r="F150" s="10" t="n">
        <v>0.5</v>
      </c>
      <c r="G150" s="0" t="n">
        <v>21.5</v>
      </c>
    </row>
    <row r="151" customFormat="false" ht="15" hidden="false" customHeight="false" outlineLevel="0" collapsed="false">
      <c r="A151" s="0" t="s">
        <v>1060</v>
      </c>
      <c r="B151" s="0" t="n">
        <v>1</v>
      </c>
      <c r="C151" s="0" t="n">
        <v>22.5</v>
      </c>
      <c r="D151" s="0" t="n">
        <v>2.4</v>
      </c>
      <c r="E151" s="0" t="n">
        <v>1.5</v>
      </c>
      <c r="F151" s="10" t="n">
        <v>0.3846</v>
      </c>
      <c r="G151" s="0" t="n">
        <v>21.5</v>
      </c>
    </row>
    <row r="152" customFormat="false" ht="15" hidden="false" customHeight="false" outlineLevel="0" collapsed="false">
      <c r="A152" s="0" t="s">
        <v>1060</v>
      </c>
      <c r="B152" s="0" t="n">
        <v>2</v>
      </c>
      <c r="C152" s="0" t="n">
        <v>17.5</v>
      </c>
      <c r="D152" s="0" t="n">
        <v>1.1</v>
      </c>
      <c r="E152" s="0" t="n">
        <v>5.8</v>
      </c>
      <c r="F152" s="10" t="n">
        <v>0.8406</v>
      </c>
      <c r="G152" s="0" t="n">
        <v>21.42</v>
      </c>
    </row>
    <row r="153" customFormat="false" ht="15" hidden="false" customHeight="false" outlineLevel="0" collapsed="false">
      <c r="A153" s="0" t="s">
        <v>1060</v>
      </c>
      <c r="B153" s="0" t="n">
        <v>2</v>
      </c>
      <c r="C153" s="0" t="n">
        <v>18.5</v>
      </c>
      <c r="D153" s="0" t="n">
        <v>1.22</v>
      </c>
      <c r="E153" s="0" t="n">
        <v>3.8</v>
      </c>
      <c r="F153" s="10" t="n">
        <v>0.757</v>
      </c>
      <c r="G153" s="0" t="n">
        <v>21.42</v>
      </c>
    </row>
    <row r="154" customFormat="false" ht="15" hidden="false" customHeight="false" outlineLevel="0" collapsed="false">
      <c r="A154" s="0" t="s">
        <v>1060</v>
      </c>
      <c r="B154" s="0" t="n">
        <v>2</v>
      </c>
      <c r="C154" s="0" t="n">
        <v>19.5</v>
      </c>
      <c r="D154" s="0" t="n">
        <v>1.35</v>
      </c>
      <c r="E154" s="0" t="n">
        <v>2.9</v>
      </c>
      <c r="F154" s="10" t="n">
        <v>0.6824</v>
      </c>
      <c r="G154" s="0" t="n">
        <v>21.42</v>
      </c>
    </row>
    <row r="155" customFormat="false" ht="15" hidden="false" customHeight="false" outlineLevel="0" collapsed="false">
      <c r="A155" s="0" t="s">
        <v>1060</v>
      </c>
      <c r="B155" s="0" t="n">
        <v>2</v>
      </c>
      <c r="C155" s="0" t="n">
        <v>20.5</v>
      </c>
      <c r="D155" s="0" t="n">
        <v>1.55</v>
      </c>
      <c r="E155" s="0" t="n">
        <v>2.3</v>
      </c>
      <c r="F155" s="10" t="n">
        <v>0.5974</v>
      </c>
      <c r="G155" s="0" t="n">
        <v>21.42</v>
      </c>
    </row>
    <row r="156" customFormat="false" ht="15" hidden="false" customHeight="false" outlineLevel="0" collapsed="false">
      <c r="A156" s="0" t="s">
        <v>1060</v>
      </c>
      <c r="B156" s="0" t="n">
        <v>2</v>
      </c>
      <c r="C156" s="0" t="n">
        <v>21.5</v>
      </c>
      <c r="D156" s="0" t="n">
        <v>1.88</v>
      </c>
      <c r="E156" s="0" t="n">
        <v>1.82</v>
      </c>
      <c r="F156" s="10" t="n">
        <v>0.4919</v>
      </c>
      <c r="G156" s="0" t="n">
        <v>21.42</v>
      </c>
    </row>
    <row r="157" customFormat="false" ht="15" hidden="false" customHeight="false" outlineLevel="0" collapsed="false">
      <c r="A157" s="0" t="s">
        <v>1060</v>
      </c>
      <c r="B157" s="0" t="n">
        <v>2</v>
      </c>
      <c r="C157" s="0" t="n">
        <v>22.5</v>
      </c>
      <c r="D157" s="0" t="n">
        <v>2.4</v>
      </c>
      <c r="E157" s="0" t="n">
        <v>1.5</v>
      </c>
      <c r="F157" s="10" t="n">
        <v>0.3846</v>
      </c>
      <c r="G157" s="0" t="n">
        <v>21.42</v>
      </c>
    </row>
    <row r="158" customFormat="false" ht="15" hidden="false" customHeight="false" outlineLevel="0" collapsed="false">
      <c r="A158" s="0" t="s">
        <v>1060</v>
      </c>
      <c r="B158" s="0" t="n">
        <v>3</v>
      </c>
      <c r="C158" s="0" t="n">
        <v>17.5</v>
      </c>
      <c r="D158" s="0" t="n">
        <v>1.1</v>
      </c>
      <c r="E158" s="0" t="n">
        <v>5.8</v>
      </c>
      <c r="F158" s="10" t="n">
        <v>0.8406</v>
      </c>
      <c r="G158" s="0" t="n">
        <v>21.5</v>
      </c>
    </row>
    <row r="159" customFormat="false" ht="15" hidden="false" customHeight="false" outlineLevel="0" collapsed="false">
      <c r="A159" s="0" t="s">
        <v>1060</v>
      </c>
      <c r="B159" s="0" t="n">
        <v>3</v>
      </c>
      <c r="C159" s="0" t="n">
        <v>18.5</v>
      </c>
      <c r="D159" s="0" t="n">
        <v>1.2</v>
      </c>
      <c r="E159" s="0" t="n">
        <v>4</v>
      </c>
      <c r="F159" s="10" t="n">
        <v>0.7692</v>
      </c>
      <c r="G159" s="0" t="n">
        <v>21.5</v>
      </c>
    </row>
    <row r="160" customFormat="false" ht="15" hidden="false" customHeight="false" outlineLevel="0" collapsed="false">
      <c r="A160" s="0" t="s">
        <v>1060</v>
      </c>
      <c r="B160" s="0" t="n">
        <v>3</v>
      </c>
      <c r="C160" s="0" t="n">
        <v>19.5</v>
      </c>
      <c r="D160" s="0" t="n">
        <v>1.35</v>
      </c>
      <c r="E160" s="0" t="n">
        <v>2.9</v>
      </c>
      <c r="F160" s="10" t="n">
        <v>0.6824</v>
      </c>
      <c r="G160" s="0" t="n">
        <v>21.5</v>
      </c>
    </row>
    <row r="161" customFormat="false" ht="15" hidden="false" customHeight="false" outlineLevel="0" collapsed="false">
      <c r="A161" s="0" t="s">
        <v>1060</v>
      </c>
      <c r="B161" s="0" t="n">
        <v>3</v>
      </c>
      <c r="C161" s="0" t="n">
        <v>20.5</v>
      </c>
      <c r="D161" s="0" t="n">
        <v>1.52</v>
      </c>
      <c r="E161" s="0" t="n">
        <v>2.35</v>
      </c>
      <c r="F161" s="10" t="n">
        <v>0.6072</v>
      </c>
      <c r="G161" s="0" t="n">
        <v>21.5</v>
      </c>
    </row>
    <row r="162" customFormat="false" ht="15" hidden="false" customHeight="false" outlineLevel="0" collapsed="false">
      <c r="A162" s="0" t="s">
        <v>1060</v>
      </c>
      <c r="B162" s="0" t="n">
        <v>3</v>
      </c>
      <c r="C162" s="0" t="n">
        <v>21.5</v>
      </c>
      <c r="D162" s="0" t="n">
        <v>1.85</v>
      </c>
      <c r="E162" s="0" t="n">
        <v>1.85</v>
      </c>
      <c r="F162" s="10" t="n">
        <v>0.5</v>
      </c>
      <c r="G162" s="0" t="n">
        <v>21.5</v>
      </c>
    </row>
    <row r="163" customFormat="false" ht="15" hidden="false" customHeight="false" outlineLevel="0" collapsed="false">
      <c r="A163" s="0" t="s">
        <v>1060</v>
      </c>
      <c r="B163" s="0" t="n">
        <v>3</v>
      </c>
      <c r="C163" s="0" t="n">
        <v>22.5</v>
      </c>
      <c r="D163" s="0" t="n">
        <v>2.4</v>
      </c>
      <c r="E163" s="0" t="n">
        <v>1.5</v>
      </c>
      <c r="F163" s="10" t="n">
        <v>0.3846</v>
      </c>
      <c r="G163" s="0" t="n">
        <v>21.5</v>
      </c>
    </row>
    <row r="164" customFormat="false" ht="15" hidden="false" customHeight="false" outlineLevel="0" collapsed="false">
      <c r="A164" s="0" t="s">
        <v>1066</v>
      </c>
      <c r="B164" s="0" t="n">
        <v>1</v>
      </c>
      <c r="C164" s="0" t="n">
        <v>17.5</v>
      </c>
      <c r="D164" s="0" t="n">
        <v>1.1</v>
      </c>
      <c r="E164" s="0" t="n">
        <v>5.8</v>
      </c>
      <c r="F164" s="10" t="n">
        <v>0.8406</v>
      </c>
      <c r="G164" s="0" t="n">
        <v>21.5</v>
      </c>
    </row>
    <row r="165" customFormat="false" ht="15" hidden="false" customHeight="false" outlineLevel="0" collapsed="false">
      <c r="A165" s="0" t="s">
        <v>1066</v>
      </c>
      <c r="B165" s="0" t="n">
        <v>1</v>
      </c>
      <c r="C165" s="0" t="n">
        <v>18.5</v>
      </c>
      <c r="D165" s="0" t="n">
        <v>1.2</v>
      </c>
      <c r="E165" s="0" t="n">
        <v>4</v>
      </c>
      <c r="F165" s="10" t="n">
        <v>0.7692</v>
      </c>
      <c r="G165" s="0" t="n">
        <v>21.5</v>
      </c>
    </row>
    <row r="166" customFormat="false" ht="15" hidden="false" customHeight="false" outlineLevel="0" collapsed="false">
      <c r="A166" s="0" t="s">
        <v>1066</v>
      </c>
      <c r="B166" s="0" t="n">
        <v>1</v>
      </c>
      <c r="C166" s="0" t="n">
        <v>19.5</v>
      </c>
      <c r="D166" s="0" t="n">
        <v>1.32</v>
      </c>
      <c r="E166" s="0" t="n">
        <v>3.1</v>
      </c>
      <c r="F166" s="10" t="n">
        <v>0.7014</v>
      </c>
      <c r="G166" s="0" t="n">
        <v>21.5</v>
      </c>
    </row>
    <row r="167" customFormat="false" ht="15" hidden="false" customHeight="false" outlineLevel="0" collapsed="false">
      <c r="A167" s="0" t="s">
        <v>1066</v>
      </c>
      <c r="B167" s="0" t="n">
        <v>1</v>
      </c>
      <c r="C167" s="0" t="n">
        <v>20.5</v>
      </c>
      <c r="D167" s="0" t="n">
        <v>1.52</v>
      </c>
      <c r="E167" s="0" t="n">
        <v>2.35</v>
      </c>
      <c r="F167" s="10" t="n">
        <v>0.6072</v>
      </c>
      <c r="G167" s="0" t="n">
        <v>21.5</v>
      </c>
    </row>
    <row r="168" customFormat="false" ht="15" hidden="false" customHeight="false" outlineLevel="0" collapsed="false">
      <c r="A168" s="0" t="s">
        <v>1066</v>
      </c>
      <c r="B168" s="0" t="n">
        <v>1</v>
      </c>
      <c r="C168" s="0" t="n">
        <v>21.5</v>
      </c>
      <c r="D168" s="0" t="n">
        <v>1.85</v>
      </c>
      <c r="E168" s="0" t="n">
        <v>1.85</v>
      </c>
      <c r="F168" s="10" t="n">
        <v>0.5</v>
      </c>
      <c r="G168" s="0" t="n">
        <v>21.5</v>
      </c>
    </row>
    <row r="169" customFormat="false" ht="15" hidden="false" customHeight="false" outlineLevel="0" collapsed="false">
      <c r="A169" s="0" t="s">
        <v>1066</v>
      </c>
      <c r="B169" s="0" t="n">
        <v>1</v>
      </c>
      <c r="C169" s="0" t="n">
        <v>22.5</v>
      </c>
      <c r="D169" s="0" t="n">
        <v>2.4</v>
      </c>
      <c r="E169" s="0" t="n">
        <v>1.5</v>
      </c>
      <c r="F169" s="10" t="n">
        <v>0.3846</v>
      </c>
      <c r="G169" s="0" t="n">
        <v>21.5</v>
      </c>
    </row>
    <row r="170" customFormat="false" ht="15" hidden="false" customHeight="false" outlineLevel="0" collapsed="false">
      <c r="A170" s="0" t="s">
        <v>1066</v>
      </c>
      <c r="B170" s="0" t="n">
        <v>2</v>
      </c>
      <c r="C170" s="0" t="n">
        <v>17.5</v>
      </c>
      <c r="D170" s="0" t="n">
        <v>1.1</v>
      </c>
      <c r="E170" s="0" t="n">
        <v>5.8</v>
      </c>
      <c r="F170" s="10" t="n">
        <v>0.8406</v>
      </c>
      <c r="G170" s="0" t="n">
        <v>21.5</v>
      </c>
    </row>
    <row r="171" customFormat="false" ht="15" hidden="false" customHeight="false" outlineLevel="0" collapsed="false">
      <c r="A171" s="0" t="s">
        <v>1066</v>
      </c>
      <c r="B171" s="0" t="n">
        <v>2</v>
      </c>
      <c r="C171" s="0" t="n">
        <v>18.5</v>
      </c>
      <c r="D171" s="0" t="n">
        <v>1.2</v>
      </c>
      <c r="E171" s="0" t="n">
        <v>4</v>
      </c>
      <c r="F171" s="10" t="n">
        <v>0.7692</v>
      </c>
      <c r="G171" s="0" t="n">
        <v>21.5</v>
      </c>
    </row>
    <row r="172" customFormat="false" ht="15" hidden="false" customHeight="false" outlineLevel="0" collapsed="false">
      <c r="A172" s="0" t="s">
        <v>1066</v>
      </c>
      <c r="B172" s="0" t="n">
        <v>2</v>
      </c>
      <c r="C172" s="0" t="n">
        <v>19.5</v>
      </c>
      <c r="D172" s="0" t="n">
        <v>1.35</v>
      </c>
      <c r="E172" s="0" t="n">
        <v>2.9</v>
      </c>
      <c r="F172" s="10" t="n">
        <v>0.6824</v>
      </c>
      <c r="G172" s="0" t="n">
        <v>21.5</v>
      </c>
    </row>
    <row r="173" customFormat="false" ht="15" hidden="false" customHeight="false" outlineLevel="0" collapsed="false">
      <c r="A173" s="0" t="s">
        <v>1066</v>
      </c>
      <c r="B173" s="0" t="n">
        <v>2</v>
      </c>
      <c r="C173" s="0" t="n">
        <v>20.5</v>
      </c>
      <c r="D173" s="0" t="n">
        <v>1.55</v>
      </c>
      <c r="E173" s="0" t="n">
        <v>2.3</v>
      </c>
      <c r="F173" s="10" t="n">
        <v>0.5974</v>
      </c>
      <c r="G173" s="0" t="n">
        <v>21.5</v>
      </c>
    </row>
    <row r="174" customFormat="false" ht="15" hidden="false" customHeight="false" outlineLevel="0" collapsed="false">
      <c r="A174" s="0" t="s">
        <v>1066</v>
      </c>
      <c r="B174" s="0" t="n">
        <v>2</v>
      </c>
      <c r="C174" s="0" t="n">
        <v>21.5</v>
      </c>
      <c r="D174" s="0" t="n">
        <v>1.85</v>
      </c>
      <c r="E174" s="0" t="n">
        <v>1.85</v>
      </c>
      <c r="F174" s="10" t="n">
        <v>0.5</v>
      </c>
      <c r="G174" s="0" t="n">
        <v>21.5</v>
      </c>
    </row>
    <row r="175" customFormat="false" ht="15" hidden="false" customHeight="false" outlineLevel="0" collapsed="false">
      <c r="A175" s="0" t="s">
        <v>1066</v>
      </c>
      <c r="B175" s="0" t="n">
        <v>2</v>
      </c>
      <c r="C175" s="0" t="n">
        <v>22.5</v>
      </c>
      <c r="D175" s="0" t="n">
        <v>2.4</v>
      </c>
      <c r="E175" s="0" t="n">
        <v>1.5</v>
      </c>
      <c r="F175" s="10" t="n">
        <v>0.3846</v>
      </c>
      <c r="G175" s="0" t="n">
        <v>21.5</v>
      </c>
    </row>
    <row r="176" customFormat="false" ht="15" hidden="false" customHeight="false" outlineLevel="0" collapsed="false">
      <c r="A176" s="0" t="s">
        <v>1066</v>
      </c>
      <c r="B176" s="0" t="n">
        <v>3</v>
      </c>
      <c r="C176" s="0" t="n">
        <v>17.5</v>
      </c>
      <c r="D176" s="0" t="n">
        <v>1.1</v>
      </c>
      <c r="E176" s="0" t="n">
        <v>5.8</v>
      </c>
      <c r="F176" s="10" t="n">
        <v>0.8406</v>
      </c>
      <c r="G176" s="0" t="n">
        <v>21.5</v>
      </c>
    </row>
    <row r="177" customFormat="false" ht="15" hidden="false" customHeight="false" outlineLevel="0" collapsed="false">
      <c r="A177" s="0" t="s">
        <v>1066</v>
      </c>
      <c r="B177" s="0" t="n">
        <v>3</v>
      </c>
      <c r="C177" s="0" t="n">
        <v>18.5</v>
      </c>
      <c r="D177" s="0" t="n">
        <v>1.2</v>
      </c>
      <c r="E177" s="0" t="n">
        <v>4</v>
      </c>
      <c r="F177" s="10" t="n">
        <v>0.7692</v>
      </c>
      <c r="G177" s="0" t="n">
        <v>21.5</v>
      </c>
    </row>
    <row r="178" customFormat="false" ht="15" hidden="false" customHeight="false" outlineLevel="0" collapsed="false">
      <c r="A178" s="0" t="s">
        <v>1066</v>
      </c>
      <c r="B178" s="0" t="n">
        <v>3</v>
      </c>
      <c r="C178" s="0" t="n">
        <v>19.5</v>
      </c>
      <c r="D178" s="0" t="n">
        <v>1.32</v>
      </c>
      <c r="E178" s="0" t="n">
        <v>3.1</v>
      </c>
      <c r="F178" s="10" t="n">
        <v>0.7014</v>
      </c>
      <c r="G178" s="0" t="n">
        <v>21.5</v>
      </c>
    </row>
    <row r="179" customFormat="false" ht="15" hidden="false" customHeight="false" outlineLevel="0" collapsed="false">
      <c r="A179" s="0" t="s">
        <v>1066</v>
      </c>
      <c r="B179" s="0" t="n">
        <v>3</v>
      </c>
      <c r="C179" s="0" t="n">
        <v>20.5</v>
      </c>
      <c r="D179" s="0" t="n">
        <v>1.52</v>
      </c>
      <c r="E179" s="0" t="n">
        <v>2.35</v>
      </c>
      <c r="F179" s="10" t="n">
        <v>0.6072</v>
      </c>
      <c r="G179" s="0" t="n">
        <v>21.5</v>
      </c>
    </row>
    <row r="180" customFormat="false" ht="15" hidden="false" customHeight="false" outlineLevel="0" collapsed="false">
      <c r="A180" s="0" t="s">
        <v>1066</v>
      </c>
      <c r="B180" s="0" t="n">
        <v>3</v>
      </c>
      <c r="C180" s="0" t="n">
        <v>21.5</v>
      </c>
      <c r="D180" s="0" t="n">
        <v>1.85</v>
      </c>
      <c r="E180" s="0" t="n">
        <v>1.85</v>
      </c>
      <c r="F180" s="10" t="n">
        <v>0.5</v>
      </c>
      <c r="G180" s="0" t="n">
        <v>21.5</v>
      </c>
    </row>
    <row r="181" customFormat="false" ht="15" hidden="false" customHeight="false" outlineLevel="0" collapsed="false">
      <c r="A181" s="0" t="s">
        <v>1066</v>
      </c>
      <c r="B181" s="0" t="n">
        <v>3</v>
      </c>
      <c r="C181" s="0" t="n">
        <v>22.5</v>
      </c>
      <c r="D181" s="0" t="n">
        <v>2.4</v>
      </c>
      <c r="E181" s="0" t="n">
        <v>1.5</v>
      </c>
      <c r="F181" s="10" t="n">
        <v>0.3846</v>
      </c>
      <c r="G181" s="0" t="n">
        <v>21.5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5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7" min="6" style="0" width="10"/>
    <col collapsed="false" customWidth="true" hidden="false" outlineLevel="0" max="11" min="8" style="0" width="7"/>
    <col collapsed="false" customWidth="true" hidden="false" outlineLevel="0" max="12" min="12" style="0" width="6"/>
    <col collapsed="false" customWidth="true" hidden="false" outlineLevel="0" max="13" min="13" style="0" width="9"/>
    <col collapsed="false" customWidth="true" hidden="false" outlineLevel="0" max="14" min="14" style="0" width="10"/>
  </cols>
  <sheetData>
    <row r="1" customFormat="false" ht="41.75" hidden="false" customHeight="false" outlineLevel="0" collapsed="false">
      <c r="A1" s="12" t="s">
        <v>1403</v>
      </c>
      <c r="B1" s="12" t="s">
        <v>950</v>
      </c>
      <c r="C1" s="12" t="s">
        <v>1436</v>
      </c>
      <c r="D1" s="12" t="s">
        <v>2612</v>
      </c>
      <c r="E1" s="12" t="s">
        <v>2613</v>
      </c>
      <c r="F1" s="12" t="s">
        <v>2614</v>
      </c>
      <c r="G1" s="12" t="s">
        <v>2615</v>
      </c>
      <c r="H1" s="12" t="s">
        <v>2616</v>
      </c>
      <c r="I1" s="12" t="s">
        <v>2617</v>
      </c>
      <c r="J1" s="12" t="s">
        <v>2618</v>
      </c>
      <c r="K1" s="12" t="s">
        <v>2619</v>
      </c>
      <c r="L1" s="12" t="s">
        <v>2620</v>
      </c>
      <c r="M1" s="12" t="s">
        <v>2621</v>
      </c>
      <c r="N1" s="12" t="s">
        <v>2622</v>
      </c>
    </row>
    <row r="2" customFormat="false" ht="15" hidden="false" customHeight="false" outlineLevel="0" collapsed="false">
      <c r="A2" s="0" t="s">
        <v>2623</v>
      </c>
      <c r="B2" s="0" t="s">
        <v>905</v>
      </c>
      <c r="C2" s="0" t="s">
        <v>2624</v>
      </c>
      <c r="D2" s="0" t="s">
        <v>994</v>
      </c>
      <c r="F2" s="0" t="n">
        <v>8.14</v>
      </c>
      <c r="G2" s="0" t="n">
        <v>9.3</v>
      </c>
      <c r="H2" s="10" t="n">
        <v>0.3</v>
      </c>
      <c r="I2" s="10" t="n">
        <v>0.4</v>
      </c>
      <c r="J2" s="10" t="n">
        <v>0.3</v>
      </c>
      <c r="K2" s="10" t="n">
        <v>0</v>
      </c>
      <c r="L2" s="10" t="n">
        <v>0</v>
      </c>
      <c r="M2" s="10" t="n">
        <f aca="false">IFERROR((2*H2+2*I2+K2)/(2*H2+3*I2+2*J2+3*K2),"")</f>
        <v>0.583333333333333</v>
      </c>
      <c r="N2" s="10" t="n">
        <f aca="false">IFERROR((M2*13+(1-M2)*G2)/((M2*13+(1-M2)*G2)+(M2*F2+(1-M2)*13)),"")</f>
        <v>0.529905965777709</v>
      </c>
    </row>
    <row r="3" customFormat="false" ht="15" hidden="false" customHeight="false" outlineLevel="0" collapsed="false">
      <c r="A3" s="0" t="s">
        <v>2625</v>
      </c>
      <c r="B3" s="0" t="s">
        <v>905</v>
      </c>
      <c r="C3" s="0" t="s">
        <v>2626</v>
      </c>
      <c r="D3" s="0" t="s">
        <v>2627</v>
      </c>
      <c r="F3" s="0" t="n">
        <v>7.58</v>
      </c>
      <c r="G3" s="0" t="n">
        <v>8.24</v>
      </c>
      <c r="H3" s="10" t="n">
        <v>0.458</v>
      </c>
      <c r="I3" s="10" t="n">
        <v>0.208</v>
      </c>
      <c r="J3" s="10" t="n">
        <v>0.167</v>
      </c>
      <c r="K3" s="10" t="n">
        <v>0.167</v>
      </c>
      <c r="L3" s="10" t="n">
        <v>0</v>
      </c>
      <c r="M3" s="10" t="n">
        <f aca="false">IFERROR((2*H3+2*I3+K3)/(2*H3+3*I3+2*J3+3*K3),"")</f>
        <v>0.631157894736842</v>
      </c>
      <c r="N3" s="10" t="n">
        <f aca="false">IFERROR((M3*13+(1-M3)*G3)/((M3*13+(1-M3)*G3)+(M3*F3+(1-M3)*13)),"")</f>
        <v>0.539983492283795</v>
      </c>
    </row>
    <row r="4" customFormat="false" ht="15" hidden="false" customHeight="false" outlineLevel="0" collapsed="false">
      <c r="A4" s="0" t="s">
        <v>2628</v>
      </c>
      <c r="B4" s="0" t="s">
        <v>996</v>
      </c>
      <c r="C4" s="0" t="s">
        <v>2624</v>
      </c>
      <c r="D4" s="0" t="s">
        <v>2629</v>
      </c>
      <c r="F4" s="0" t="n">
        <v>7.71</v>
      </c>
      <c r="G4" s="0" t="n">
        <v>8.62</v>
      </c>
      <c r="H4" s="10" t="n">
        <v>0.476</v>
      </c>
      <c r="I4" s="10" t="n">
        <v>0.286</v>
      </c>
      <c r="J4" s="10" t="n">
        <v>0.143</v>
      </c>
      <c r="K4" s="10" t="n">
        <v>0.095</v>
      </c>
      <c r="L4" s="10" t="n">
        <v>0.02</v>
      </c>
      <c r="M4" s="10" t="n">
        <f aca="false">IFERROR((2*H4+2*I4+K4)/(2*H4+3*I4+2*J4+3*K4),"")</f>
        <v>0.679966400671987</v>
      </c>
      <c r="N4" s="10" t="n">
        <f aca="false">IFERROR((M4*13+(1-M4)*G4)/((M4*13+(1-M4)*G4)+(M4*F4+(1-M4)*13)),"")</f>
        <v>0.552265391940194</v>
      </c>
    </row>
    <row r="5" customFormat="false" ht="15" hidden="false" customHeight="false" outlineLevel="0" collapsed="false">
      <c r="A5" s="0" t="s">
        <v>2630</v>
      </c>
      <c r="B5" s="0" t="s">
        <v>996</v>
      </c>
      <c r="C5" s="0" t="s">
        <v>2626</v>
      </c>
      <c r="D5" s="0" t="s">
        <v>1001</v>
      </c>
      <c r="F5" s="0" t="n">
        <v>5.57</v>
      </c>
      <c r="G5" s="0" t="n">
        <v>7.93</v>
      </c>
      <c r="H5" s="10" t="n">
        <v>0.385</v>
      </c>
      <c r="I5" s="10" t="n">
        <v>0.077</v>
      </c>
      <c r="J5" s="10" t="n">
        <v>0.462</v>
      </c>
      <c r="K5" s="10" t="n">
        <v>0.077</v>
      </c>
      <c r="L5" s="10" t="n">
        <v>0</v>
      </c>
      <c r="M5" s="10" t="n">
        <f aca="false">IFERROR((2*H5+2*I5+K5)/(2*H5+3*I5+2*J5+3*K5),"")</f>
        <v>0.464285714285714</v>
      </c>
      <c r="N5" s="10" t="n">
        <f aca="false">IFERROR((M5*13+(1-M5)*G5)/((M5*13+(1-M5)*G5)+(M5*F5+(1-M5)*13)),"")</f>
        <v>0.518492509363296</v>
      </c>
    </row>
    <row r="6" customFormat="false" ht="15" hidden="false" customHeight="false" outlineLevel="0" collapsed="false">
      <c r="A6" s="0" t="s">
        <v>2631</v>
      </c>
      <c r="B6" s="0" t="s">
        <v>1002</v>
      </c>
      <c r="C6" s="0" t="s">
        <v>2624</v>
      </c>
      <c r="D6" s="0" t="s">
        <v>2632</v>
      </c>
      <c r="F6" s="0" t="n">
        <v>7.04</v>
      </c>
      <c r="G6" s="0" t="n">
        <v>6.69</v>
      </c>
      <c r="H6" s="10" t="n">
        <v>0.286</v>
      </c>
      <c r="I6" s="10" t="n">
        <v>0.19</v>
      </c>
      <c r="J6" s="10" t="n">
        <v>0.381</v>
      </c>
      <c r="K6" s="10" t="n">
        <v>0.143</v>
      </c>
      <c r="L6" s="10" t="n">
        <v>0</v>
      </c>
      <c r="M6" s="10" t="n">
        <f aca="false">IFERROR((2*H6+2*I6+K6)/(2*H6+3*I6+2*J6+3*K6),"")</f>
        <v>0.469352764680669</v>
      </c>
      <c r="N6" s="10" t="n">
        <f aca="false">IFERROR((M6*13+(1-M6)*G6)/((M6*13+(1-M6)*G6)+(M6*F6+(1-M6)*13)),"")</f>
        <v>0.486122847097216</v>
      </c>
    </row>
    <row r="7" customFormat="false" ht="15" hidden="false" customHeight="false" outlineLevel="0" collapsed="false">
      <c r="A7" s="0" t="s">
        <v>2633</v>
      </c>
      <c r="B7" s="0" t="s">
        <v>1002</v>
      </c>
      <c r="C7" s="0" t="s">
        <v>2626</v>
      </c>
      <c r="D7" s="0" t="s">
        <v>1007</v>
      </c>
      <c r="F7" s="0" t="n">
        <v>8.12</v>
      </c>
      <c r="G7" s="0" t="n">
        <v>9.07</v>
      </c>
      <c r="H7" s="10" t="n">
        <v>0.409</v>
      </c>
      <c r="I7" s="10" t="n">
        <v>0.25</v>
      </c>
      <c r="J7" s="10" t="n">
        <v>0.227</v>
      </c>
      <c r="K7" s="10" t="n">
        <v>0.114</v>
      </c>
      <c r="L7" s="10" t="n">
        <v>0.048</v>
      </c>
      <c r="M7" s="10" t="n">
        <f aca="false">IFERROR((2*H7+2*I7+K7)/(2*H7+3*I7+2*J7+3*K7),"")</f>
        <v>0.60575296108291</v>
      </c>
      <c r="N7" s="10" t="n">
        <f aca="false">IFERROR((M7*13+(1-M7)*G7)/((M7*13+(1-M7)*G7)+(M7*F7+(1-M7)*13)),"")</f>
        <v>0.532721889718159</v>
      </c>
    </row>
    <row r="8" customFormat="false" ht="15" hidden="false" customHeight="false" outlineLevel="0" collapsed="false">
      <c r="A8" s="0" t="s">
        <v>2634</v>
      </c>
      <c r="B8" s="0" t="s">
        <v>1008</v>
      </c>
      <c r="C8" s="0" t="s">
        <v>2624</v>
      </c>
      <c r="D8" s="0" t="s">
        <v>2635</v>
      </c>
      <c r="F8" s="0" t="n">
        <v>9.67</v>
      </c>
      <c r="G8" s="0" t="n">
        <v>8.56</v>
      </c>
      <c r="H8" s="10" t="n">
        <v>0.286</v>
      </c>
      <c r="I8" s="10" t="n">
        <v>0.286</v>
      </c>
      <c r="J8" s="10" t="n">
        <v>0.286</v>
      </c>
      <c r="K8" s="10" t="n">
        <v>0.143</v>
      </c>
      <c r="L8" s="10" t="n">
        <v>0</v>
      </c>
      <c r="M8" s="10" t="n">
        <f aca="false">IFERROR((2*H8+2*I8+K8)/(2*H8+3*I8+2*J8+3*K8),"")</f>
        <v>0.529411764705882</v>
      </c>
      <c r="N8" s="10" t="n">
        <f aca="false">IFERROR((M8*13+(1-M8)*G8)/((M8*13+(1-M8)*G8)+(M8*F8+(1-M8)*13)),"")</f>
        <v>0.492629677830602</v>
      </c>
    </row>
    <row r="9" customFormat="false" ht="15" hidden="false" customHeight="false" outlineLevel="0" collapsed="false">
      <c r="A9" s="0" t="s">
        <v>2636</v>
      </c>
      <c r="B9" s="0" t="s">
        <v>1008</v>
      </c>
      <c r="C9" s="0" t="s">
        <v>2626</v>
      </c>
      <c r="D9" s="0" t="s">
        <v>2637</v>
      </c>
      <c r="F9" s="0" t="n">
        <v>8.58</v>
      </c>
      <c r="G9" s="0" t="n">
        <v>8.81</v>
      </c>
      <c r="H9" s="10" t="n">
        <v>0.545</v>
      </c>
      <c r="I9" s="10" t="n">
        <v>0.205</v>
      </c>
      <c r="J9" s="10" t="n">
        <v>0.136</v>
      </c>
      <c r="K9" s="10" t="n">
        <v>0.114</v>
      </c>
      <c r="L9" s="10" t="n">
        <v>0.058</v>
      </c>
      <c r="M9" s="10" t="n">
        <f aca="false">IFERROR((2*H9+2*I9+K9)/(2*H9+3*I9+2*J9+3*K9),"")</f>
        <v>0.695989650711514</v>
      </c>
      <c r="N9" s="10" t="n">
        <f aca="false">IFERROR((M9*13+(1-M9)*G9)/((M9*13+(1-M9)*G9)+(M9*F9+(1-M9)*13)),"")</f>
        <v>0.541627652537527</v>
      </c>
    </row>
    <row r="10" customFormat="false" ht="15" hidden="false" customHeight="false" outlineLevel="0" collapsed="false">
      <c r="A10" s="0" t="s">
        <v>2638</v>
      </c>
      <c r="B10" s="0" t="s">
        <v>1015</v>
      </c>
      <c r="C10" s="0" t="s">
        <v>2624</v>
      </c>
      <c r="D10" s="0" t="s">
        <v>2639</v>
      </c>
      <c r="F10" s="0" t="n">
        <v>7.15</v>
      </c>
      <c r="G10" s="0" t="n">
        <v>7.93</v>
      </c>
      <c r="H10" s="10" t="n">
        <v>0.5</v>
      </c>
      <c r="I10" s="10" t="n">
        <v>0.25</v>
      </c>
      <c r="J10" s="10" t="n">
        <v>0.1</v>
      </c>
      <c r="K10" s="10" t="n">
        <v>0.15</v>
      </c>
      <c r="L10" s="10" t="n">
        <v>0</v>
      </c>
      <c r="M10" s="10" t="n">
        <f aca="false">IFERROR((2*H10+2*I10+K10)/(2*H10+3*I10+2*J10+3*K10),"")</f>
        <v>0.6875</v>
      </c>
      <c r="N10" s="10" t="n">
        <f aca="false">IFERROR((M10*13+(1-M10)*G10)/((M10*13+(1-M10)*G10)+(M10*F10+(1-M10)*13)),"")</f>
        <v>0.559760956175299</v>
      </c>
    </row>
    <row r="11" customFormat="false" ht="15" hidden="false" customHeight="false" outlineLevel="0" collapsed="false">
      <c r="A11" s="0" t="s">
        <v>2640</v>
      </c>
      <c r="B11" s="0" t="s">
        <v>1015</v>
      </c>
      <c r="C11" s="0" t="s">
        <v>2626</v>
      </c>
      <c r="D11" s="0" t="s">
        <v>2641</v>
      </c>
      <c r="F11" s="0" t="n">
        <v>7.24</v>
      </c>
      <c r="G11" s="0" t="n">
        <v>8.21</v>
      </c>
      <c r="H11" s="10" t="n">
        <v>0.385</v>
      </c>
      <c r="I11" s="10" t="n">
        <v>0.154</v>
      </c>
      <c r="J11" s="10" t="n">
        <v>0.231</v>
      </c>
      <c r="K11" s="10" t="n">
        <v>0.231</v>
      </c>
      <c r="L11" s="10" t="n">
        <v>0</v>
      </c>
      <c r="M11" s="10" t="n">
        <f aca="false">IFERROR((2*H11+2*I11+K11)/(2*H11+3*I11+2*J11+3*K11),"")</f>
        <v>0.548387096774194</v>
      </c>
      <c r="N11" s="10" t="n">
        <f aca="false">IFERROR((M11*13+(1-M11)*G11)/((M11*13+(1-M11)*G11)+(M11*F11+(1-M11)*13)),"")</f>
        <v>0.524071011824904</v>
      </c>
    </row>
    <row r="12" customFormat="false" ht="15" hidden="false" customHeight="false" outlineLevel="0" collapsed="false">
      <c r="A12" s="0" t="s">
        <v>2642</v>
      </c>
      <c r="B12" s="0" t="s">
        <v>1027</v>
      </c>
      <c r="C12" s="0" t="s">
        <v>2624</v>
      </c>
      <c r="D12" s="0" t="s">
        <v>1032</v>
      </c>
      <c r="F12" s="0" t="n">
        <v>7.79</v>
      </c>
      <c r="G12" s="0" t="n">
        <v>7.95</v>
      </c>
      <c r="H12" s="10" t="n">
        <v>0.243</v>
      </c>
      <c r="I12" s="10" t="n">
        <v>0.324</v>
      </c>
      <c r="J12" s="10" t="n">
        <v>0.189</v>
      </c>
      <c r="K12" s="10" t="n">
        <v>0.243</v>
      </c>
      <c r="L12" s="10" t="n">
        <v>0.042</v>
      </c>
      <c r="M12" s="10" t="n">
        <f aca="false">IFERROR((2*H12+2*I12+K12)/(2*H12+3*I12+2*J12+3*K12),"")</f>
        <v>0.536842105263158</v>
      </c>
      <c r="N12" s="10" t="n">
        <f aca="false">IFERROR((M12*13+(1-M12)*G12)/((M12*13+(1-M12)*G12)+(M12*F12+(1-M12)*13)),"")</f>
        <v>0.51097578818318</v>
      </c>
    </row>
    <row r="13" customFormat="false" ht="15" hidden="false" customHeight="false" outlineLevel="0" collapsed="false">
      <c r="A13" s="0" t="s">
        <v>2643</v>
      </c>
      <c r="B13" s="0" t="s">
        <v>1027</v>
      </c>
      <c r="C13" s="0" t="s">
        <v>2626</v>
      </c>
      <c r="D13" s="0" t="s">
        <v>2644</v>
      </c>
      <c r="F13" s="0" t="n">
        <v>8.67</v>
      </c>
      <c r="G13" s="0" t="n">
        <v>8.81</v>
      </c>
      <c r="H13" s="10" t="n">
        <v>0.414</v>
      </c>
      <c r="I13" s="10" t="n">
        <v>0.276</v>
      </c>
      <c r="J13" s="10" t="n">
        <v>0.103</v>
      </c>
      <c r="K13" s="10" t="n">
        <v>0.207</v>
      </c>
      <c r="L13" s="10" t="n">
        <v>0.028</v>
      </c>
      <c r="M13" s="10" t="n">
        <f aca="false">IFERROR((2*H13+2*I13+K13)/(2*H13+3*I13+2*J13+3*K13),"")</f>
        <v>0.639146194120016</v>
      </c>
      <c r="N13" s="10" t="n">
        <f aca="false">IFERROR((M13*13+(1-M13)*G13)/((M13*13+(1-M13)*G13)+(M13*F13+(1-M13)*13)),"")</f>
        <v>0.528901831100431</v>
      </c>
    </row>
    <row r="14" customFormat="false" ht="15" hidden="false" customHeight="false" outlineLevel="0" collapsed="false">
      <c r="A14" s="0" t="s">
        <v>2645</v>
      </c>
      <c r="B14" s="0" t="s">
        <v>1034</v>
      </c>
      <c r="C14" s="0" t="s">
        <v>2624</v>
      </c>
      <c r="D14" s="0" t="s">
        <v>1039</v>
      </c>
      <c r="F14" s="0" t="n">
        <v>8.26</v>
      </c>
      <c r="G14" s="0" t="n">
        <v>9.31</v>
      </c>
      <c r="H14" s="10" t="n">
        <v>0.45</v>
      </c>
      <c r="I14" s="10" t="n">
        <v>0.3</v>
      </c>
      <c r="J14" s="10" t="n">
        <v>0.05</v>
      </c>
      <c r="K14" s="10" t="n">
        <v>0.2</v>
      </c>
      <c r="L14" s="10" t="n">
        <v>0.06</v>
      </c>
      <c r="M14" s="10" t="n">
        <f aca="false">IFERROR((2*H14+2*I14+K14)/(2*H14+3*I14+2*J14+3*K14),"")</f>
        <v>0.68</v>
      </c>
      <c r="N14" s="10" t="n">
        <f aca="false">IFERROR((M14*13+(1-M14)*G14)/((M14*13+(1-M14)*G14)+(M14*F14+(1-M14)*13)),"")</f>
        <v>0.547286534543434</v>
      </c>
    </row>
    <row r="15" customFormat="false" ht="15" hidden="false" customHeight="false" outlineLevel="0" collapsed="false">
      <c r="A15" s="0" t="s">
        <v>2646</v>
      </c>
      <c r="B15" s="0" t="s">
        <v>1034</v>
      </c>
      <c r="C15" s="0" t="s">
        <v>2626</v>
      </c>
      <c r="D15" s="0" t="s">
        <v>1040</v>
      </c>
      <c r="F15" s="0" t="n">
        <v>7.5</v>
      </c>
      <c r="G15" s="0" t="n">
        <v>7.42</v>
      </c>
      <c r="H15" s="10" t="n">
        <v>0.25</v>
      </c>
      <c r="I15" s="10" t="n">
        <v>0</v>
      </c>
      <c r="J15" s="10" t="n">
        <v>0.5</v>
      </c>
      <c r="K15" s="10" t="n">
        <v>0.25</v>
      </c>
      <c r="L15" s="10" t="n">
        <v>0.028</v>
      </c>
      <c r="M15" s="10" t="n">
        <f aca="false">IFERROR((2*H15+2*I15+K15)/(2*H15+3*I15+2*J15+3*K15),"")</f>
        <v>0.333333333333333</v>
      </c>
      <c r="N15" s="10" t="n">
        <f aca="false">IFERROR((M15*13+(1-M15)*G15)/((M15*13+(1-M15)*G15)+(M15*F15+(1-M15)*13)),"")</f>
        <v>0.453863710466254</v>
      </c>
    </row>
    <row r="16" customFormat="false" ht="15" hidden="false" customHeight="false" outlineLevel="0" collapsed="false">
      <c r="A16" s="0" t="s">
        <v>2647</v>
      </c>
      <c r="B16" s="0" t="s">
        <v>1041</v>
      </c>
      <c r="C16" s="0" t="s">
        <v>2624</v>
      </c>
      <c r="D16" s="0" t="s">
        <v>2648</v>
      </c>
      <c r="F16" s="0" t="n">
        <v>8.32</v>
      </c>
      <c r="G16" s="0" t="n">
        <v>7.95</v>
      </c>
      <c r="H16" s="10" t="n">
        <v>0.48</v>
      </c>
      <c r="I16" s="10" t="n">
        <v>0.2</v>
      </c>
      <c r="J16" s="10" t="n">
        <v>0.16</v>
      </c>
      <c r="K16" s="10" t="n">
        <v>0.16</v>
      </c>
      <c r="L16" s="10" t="n">
        <v>0.051</v>
      </c>
      <c r="M16" s="10" t="n">
        <f aca="false">IFERROR((2*H16+2*I16+K16)/(2*H16+3*I16+2*J16+3*K16),"")</f>
        <v>0.644067796610169</v>
      </c>
      <c r="N16" s="10" t="n">
        <f aca="false">IFERROR((M16*13+(1-M16)*G16)/((M16*13+(1-M16)*G16)+(M16*F16+(1-M16)*13)),"")</f>
        <v>0.528713473214357</v>
      </c>
    </row>
    <row r="17" customFormat="false" ht="15" hidden="false" customHeight="false" outlineLevel="0" collapsed="false">
      <c r="A17" s="0" t="s">
        <v>2649</v>
      </c>
      <c r="B17" s="0" t="s">
        <v>1041</v>
      </c>
      <c r="C17" s="0" t="s">
        <v>2626</v>
      </c>
      <c r="D17" s="0" t="s">
        <v>1046</v>
      </c>
      <c r="F17" s="0" t="n">
        <v>7.65</v>
      </c>
      <c r="G17" s="0" t="n">
        <v>8</v>
      </c>
      <c r="H17" s="10" t="n">
        <v>0.25</v>
      </c>
      <c r="I17" s="10" t="n">
        <v>0.3</v>
      </c>
      <c r="J17" s="10" t="n">
        <v>0.25</v>
      </c>
      <c r="K17" s="10" t="n">
        <v>0.2</v>
      </c>
      <c r="L17" s="10" t="n">
        <v>0.06</v>
      </c>
      <c r="M17" s="10" t="n">
        <f aca="false">IFERROR((2*H17+2*I17+K17)/(2*H17+3*I17+2*J17+3*K17),"")</f>
        <v>0.52</v>
      </c>
      <c r="N17" s="10" t="n">
        <f aca="false">IFERROR((M17*13+(1-M17)*G17)/((M17*13+(1-M17)*G17)+(M17*F17+(1-M17)*13)),"")</f>
        <v>0.509174752617927</v>
      </c>
    </row>
    <row r="18" customFormat="false" ht="15" hidden="false" customHeight="false" outlineLevel="0" collapsed="false">
      <c r="A18" s="0" t="s">
        <v>2650</v>
      </c>
      <c r="B18" s="0" t="s">
        <v>1047</v>
      </c>
      <c r="C18" s="0" t="s">
        <v>2624</v>
      </c>
      <c r="D18" s="0" t="s">
        <v>2651</v>
      </c>
      <c r="F18" s="0" t="n">
        <v>8.43</v>
      </c>
      <c r="G18" s="0" t="n">
        <v>8.81</v>
      </c>
      <c r="H18" s="10" t="n">
        <v>0.259</v>
      </c>
      <c r="I18" s="10" t="n">
        <v>0.111</v>
      </c>
      <c r="J18" s="10" t="n">
        <v>0.556</v>
      </c>
      <c r="K18" s="10" t="n">
        <v>0.074</v>
      </c>
      <c r="L18" s="10" t="n">
        <v>0.067</v>
      </c>
      <c r="M18" s="10" t="n">
        <f aca="false">IFERROR((2*H18+2*I18+K18)/(2*H18+3*I18+2*J18+3*K18),"")</f>
        <v>0.37254004576659</v>
      </c>
      <c r="N18" s="10" t="n">
        <f aca="false">IFERROR((M18*13+(1-M18)*G18)/((M18*13+(1-M18)*G18)+(M18*F18+(1-M18)*13)),"")</f>
        <v>0.478619840141192</v>
      </c>
    </row>
    <row r="19" customFormat="false" ht="15" hidden="false" customHeight="false" outlineLevel="0" collapsed="false">
      <c r="A19" s="0" t="s">
        <v>2652</v>
      </c>
      <c r="B19" s="0" t="s">
        <v>1047</v>
      </c>
      <c r="C19" s="0" t="s">
        <v>2626</v>
      </c>
      <c r="D19" s="0" t="s">
        <v>1053</v>
      </c>
      <c r="F19" s="0" t="n">
        <v>8.58</v>
      </c>
      <c r="G19" s="0" t="n">
        <v>7.67</v>
      </c>
      <c r="H19" s="10" t="n">
        <v>0.346</v>
      </c>
      <c r="I19" s="10" t="n">
        <v>0.192</v>
      </c>
      <c r="J19" s="10" t="n">
        <v>0.154</v>
      </c>
      <c r="K19" s="10" t="n">
        <v>0.308</v>
      </c>
      <c r="L19" s="10" t="n">
        <v>0.03</v>
      </c>
      <c r="M19" s="10" t="n">
        <f aca="false">IFERROR((2*H19+2*I19+K19)/(2*H19+3*I19+2*J19+3*K19),"")</f>
        <v>0.5536</v>
      </c>
      <c r="N19" s="10" t="n">
        <f aca="false">IFERROR((M19*13+(1-M19)*G19)/((M19*13+(1-M19)*G19)+(M19*F19+(1-M19)*13)),"")</f>
        <v>0.501596314233229</v>
      </c>
    </row>
    <row r="20" customFormat="false" ht="15" hidden="false" customHeight="false" outlineLevel="0" collapsed="false">
      <c r="A20" s="0" t="s">
        <v>2653</v>
      </c>
      <c r="B20" s="0" t="s">
        <v>1054</v>
      </c>
      <c r="C20" s="0" t="s">
        <v>2624</v>
      </c>
      <c r="D20" s="0" t="s">
        <v>2654</v>
      </c>
      <c r="F20" s="0" t="n">
        <v>9.11</v>
      </c>
      <c r="G20" s="0" t="n">
        <v>8.7</v>
      </c>
      <c r="H20" s="10" t="n">
        <v>0.381</v>
      </c>
      <c r="I20" s="10" t="n">
        <v>0.143</v>
      </c>
      <c r="J20" s="10" t="n">
        <v>0.19</v>
      </c>
      <c r="K20" s="10" t="n">
        <v>0.286</v>
      </c>
      <c r="L20" s="10" t="n">
        <v>0.02</v>
      </c>
      <c r="M20" s="10" t="n">
        <f aca="false">IFERROR((2*H20+2*I20+K20)/(2*H20+3*I20+2*J20+3*K20),"")</f>
        <v>0.549197200494031</v>
      </c>
      <c r="N20" s="10" t="n">
        <f aca="false">IFERROR((M20*13+(1-M20)*G20)/((M20*13+(1-M20)*G20)+(M20*F20+(1-M20)*13)),"")</f>
        <v>0.504513649480324</v>
      </c>
    </row>
    <row r="21" customFormat="false" ht="15" hidden="false" customHeight="false" outlineLevel="0" collapsed="false">
      <c r="A21" s="0" t="s">
        <v>2655</v>
      </c>
      <c r="B21" s="0" t="s">
        <v>1054</v>
      </c>
      <c r="C21" s="0" t="s">
        <v>2626</v>
      </c>
      <c r="D21" s="0" t="s">
        <v>2656</v>
      </c>
      <c r="F21" s="0" t="n">
        <v>7.59</v>
      </c>
      <c r="G21" s="0" t="n">
        <v>8.57</v>
      </c>
      <c r="H21" s="10" t="n">
        <v>0.389</v>
      </c>
      <c r="I21" s="10" t="n">
        <v>0.056</v>
      </c>
      <c r="J21" s="10" t="n">
        <v>0.222</v>
      </c>
      <c r="K21" s="10" t="n">
        <v>0.333</v>
      </c>
      <c r="L21" s="10" t="n">
        <v>0.023</v>
      </c>
      <c r="M21" s="10" t="n">
        <f aca="false">IFERROR((2*H21+2*I21+K21)/(2*H21+3*I21+2*J21+3*K21),"")</f>
        <v>0.51192967768941</v>
      </c>
      <c r="N21" s="10" t="n">
        <f aca="false">IFERROR((M21*13+(1-M21)*G21)/((M21*13+(1-M21)*G21)+(M21*F21+(1-M21)*13)),"")</f>
        <v>0.514414731407475</v>
      </c>
    </row>
    <row r="22" customFormat="false" ht="15" hidden="false" customHeight="false" outlineLevel="0" collapsed="false">
      <c r="A22" s="0" t="s">
        <v>2657</v>
      </c>
      <c r="B22" s="0" t="s">
        <v>1060</v>
      </c>
      <c r="C22" s="0" t="s">
        <v>2624</v>
      </c>
      <c r="D22" s="0" t="s">
        <v>1064</v>
      </c>
      <c r="F22" s="0" t="n">
        <v>7.32</v>
      </c>
      <c r="G22" s="0" t="n">
        <v>8.73</v>
      </c>
      <c r="H22" s="10" t="n">
        <v>0.321</v>
      </c>
      <c r="I22" s="10" t="n">
        <v>0.286</v>
      </c>
      <c r="J22" s="10" t="n">
        <v>0.25</v>
      </c>
      <c r="K22" s="10" t="n">
        <v>0.143</v>
      </c>
      <c r="L22" s="10" t="n">
        <v>0.015</v>
      </c>
      <c r="M22" s="10" t="n">
        <f aca="false">IFERROR((2*H22+2*I22+K22)/(2*H22+3*I22+2*J22+3*K22),"")</f>
        <v>0.558666117743928</v>
      </c>
      <c r="N22" s="10" t="n">
        <f aca="false">IFERROR((M22*13+(1-M22)*G22)/((M22*13+(1-M22)*G22)+(M22*F22+(1-M22)*13)),"")</f>
        <v>0.53076856540748</v>
      </c>
    </row>
    <row r="23" customFormat="false" ht="15" hidden="false" customHeight="false" outlineLevel="0" collapsed="false">
      <c r="A23" s="0" t="s">
        <v>2658</v>
      </c>
      <c r="B23" s="0" t="s">
        <v>1060</v>
      </c>
      <c r="C23" s="0" t="s">
        <v>2626</v>
      </c>
      <c r="D23" s="0" t="s">
        <v>2659</v>
      </c>
      <c r="F23" s="0" t="n">
        <v>8.53</v>
      </c>
      <c r="G23" s="0" t="n">
        <v>7.35</v>
      </c>
      <c r="H23" s="10" t="n">
        <v>0.308</v>
      </c>
      <c r="I23" s="10" t="n">
        <v>0.077</v>
      </c>
      <c r="J23" s="10" t="n">
        <v>0.231</v>
      </c>
      <c r="K23" s="10" t="n">
        <v>0.385</v>
      </c>
      <c r="L23" s="10" t="n">
        <v>0.062</v>
      </c>
      <c r="M23" s="10" t="n">
        <f aca="false">IFERROR((2*H23+2*I23+K23)/(2*H23+3*I23+2*J23+3*K23),"")</f>
        <v>0.46875</v>
      </c>
      <c r="N23" s="10" t="n">
        <f aca="false">IFERROR((M23*13+(1-M23)*G23)/((M23*13+(1-M23)*G23)+(M23*F23+(1-M23)*13)),"")</f>
        <v>0.478322619225594</v>
      </c>
    </row>
    <row r="24" customFormat="false" ht="15" hidden="false" customHeight="false" outlineLevel="0" collapsed="false">
      <c r="A24" s="0" t="s">
        <v>2660</v>
      </c>
      <c r="B24" s="0" t="s">
        <v>1066</v>
      </c>
      <c r="C24" s="0" t="s">
        <v>2624</v>
      </c>
      <c r="D24" s="0" t="s">
        <v>1070</v>
      </c>
      <c r="F24" s="0" t="n">
        <v>8.96</v>
      </c>
      <c r="G24" s="0" t="n">
        <v>8.25</v>
      </c>
      <c r="H24" s="10" t="n">
        <v>0.3</v>
      </c>
      <c r="I24" s="10" t="n">
        <v>0.2</v>
      </c>
      <c r="J24" s="10" t="n">
        <v>0.3</v>
      </c>
      <c r="K24" s="10" t="n">
        <v>0.2</v>
      </c>
      <c r="L24" s="10" t="n">
        <v>0.042</v>
      </c>
      <c r="M24" s="10" t="n">
        <f aca="false">IFERROR((2*H24+2*I24+K24)/(2*H24+3*I24+2*J24+3*K24),"")</f>
        <v>0.5</v>
      </c>
      <c r="N24" s="10" t="n">
        <f aca="false">IFERROR((M24*13+(1-M24)*G24)/((M24*13+(1-M24)*G24)+(M24*F24+(1-M24)*13)),"")</f>
        <v>0.491784309187688</v>
      </c>
    </row>
    <row r="25" customFormat="false" ht="15" hidden="false" customHeight="false" outlineLevel="0" collapsed="false">
      <c r="A25" s="0" t="s">
        <v>2661</v>
      </c>
      <c r="B25" s="0" t="s">
        <v>1066</v>
      </c>
      <c r="C25" s="0" t="s">
        <v>2626</v>
      </c>
      <c r="D25" s="0" t="s">
        <v>2662</v>
      </c>
      <c r="F25" s="0" t="n">
        <v>9.39</v>
      </c>
      <c r="G25" s="0" t="n">
        <v>7.76</v>
      </c>
      <c r="H25" s="10" t="n">
        <v>0.423</v>
      </c>
      <c r="I25" s="10" t="n">
        <v>0.192</v>
      </c>
      <c r="J25" s="10" t="n">
        <v>0.346</v>
      </c>
      <c r="K25" s="10" t="n">
        <v>0.038</v>
      </c>
      <c r="L25" s="10" t="n">
        <v>0.086</v>
      </c>
      <c r="M25" s="10" t="n">
        <f aca="false">IFERROR((2*H25+2*I25+K25)/(2*H25+3*I25+2*J25+3*K25),"")</f>
        <v>0.569120287253142</v>
      </c>
      <c r="N25" s="10" t="n">
        <f aca="false">IFERROR((M25*13+(1-M25)*G25)/((M25*13+(1-M25)*G25)+(M25*F25+(1-M25)*13)),"")</f>
        <v>0.495313339453627</v>
      </c>
    </row>
    <row r="26" customFormat="false" ht="15" hidden="false" customHeight="false" outlineLevel="0" collapsed="false">
      <c r="A26" s="0" t="s">
        <v>2663</v>
      </c>
      <c r="B26" s="0" t="s">
        <v>1072</v>
      </c>
      <c r="C26" s="0" t="s">
        <v>2624</v>
      </c>
      <c r="D26" s="0" t="s">
        <v>2664</v>
      </c>
      <c r="F26" s="0" t="n">
        <v>7.09</v>
      </c>
      <c r="G26" s="0" t="n">
        <v>8.75</v>
      </c>
      <c r="H26" s="10" t="n">
        <v>0.595</v>
      </c>
      <c r="I26" s="10" t="n">
        <v>0.054</v>
      </c>
      <c r="J26" s="10" t="n">
        <v>0.216</v>
      </c>
      <c r="K26" s="10" t="n">
        <v>0.135</v>
      </c>
      <c r="L26" s="10" t="n">
        <v>0.037</v>
      </c>
      <c r="M26" s="10" t="n">
        <f aca="false">IFERROR((2*H26+2*I26+K26)/(2*H26+3*I26+2*J26+3*K26),"")</f>
        <v>0.654636820465966</v>
      </c>
      <c r="N26" s="10" t="n">
        <f aca="false">IFERROR((M26*13+(1-M26)*G26)/((M26*13+(1-M26)*G26)+(M26*F26+(1-M26)*13)),"")</f>
        <v>0.558100830010278</v>
      </c>
    </row>
    <row r="27" customFormat="false" ht="15" hidden="false" customHeight="false" outlineLevel="0" collapsed="false">
      <c r="A27" s="0" t="s">
        <v>2665</v>
      </c>
      <c r="B27" s="0" t="s">
        <v>1072</v>
      </c>
      <c r="C27" s="0" t="s">
        <v>2626</v>
      </c>
      <c r="D27" s="0" t="s">
        <v>1077</v>
      </c>
      <c r="F27" s="0" t="n">
        <v>8.07</v>
      </c>
      <c r="G27" s="0" t="n">
        <v>8.51</v>
      </c>
      <c r="H27" s="10" t="n">
        <v>0.32</v>
      </c>
      <c r="I27" s="10" t="n">
        <v>0.307</v>
      </c>
      <c r="J27" s="10" t="n">
        <v>0.253</v>
      </c>
      <c r="K27" s="10" t="n">
        <v>0.12</v>
      </c>
      <c r="L27" s="10" t="n">
        <v>0.049</v>
      </c>
      <c r="M27" s="10" t="n">
        <f aca="false">IFERROR((2*H27+2*I27+K27)/(2*H27+3*I27+2*J27+3*K27),"")</f>
        <v>0.566131025957973</v>
      </c>
      <c r="N27" s="10" t="n">
        <f aca="false">IFERROR((M27*13+(1-M27)*G27)/((M27*13+(1-M27)*G27)+(M27*F27+(1-M27)*13)),"")</f>
        <v>0.519824047227715</v>
      </c>
    </row>
    <row r="28" customFormat="false" ht="15" hidden="false" customHeight="false" outlineLevel="0" collapsed="false">
      <c r="A28" s="0" t="s">
        <v>2666</v>
      </c>
      <c r="B28" s="0" t="s">
        <v>1078</v>
      </c>
      <c r="C28" s="0" t="s">
        <v>2624</v>
      </c>
      <c r="D28" s="0" t="s">
        <v>1081</v>
      </c>
      <c r="F28" s="0" t="n">
        <v>8.23</v>
      </c>
      <c r="G28" s="0" t="n">
        <v>9.43</v>
      </c>
      <c r="H28" s="10" t="n">
        <v>0.387</v>
      </c>
      <c r="I28" s="10" t="n">
        <v>0.258</v>
      </c>
      <c r="J28" s="10" t="n">
        <v>0.129</v>
      </c>
      <c r="K28" s="10" t="n">
        <v>0.226</v>
      </c>
      <c r="L28" s="10" t="n">
        <v>0.038</v>
      </c>
      <c r="M28" s="10" t="n">
        <f aca="false">IFERROR((2*H28+2*I28+K28)/(2*H28+3*I28+2*J28+3*K28),"")</f>
        <v>0.610305958132045</v>
      </c>
      <c r="N28" s="10" t="n">
        <f aca="false">IFERROR((M28*13+(1-M28)*G28)/((M28*13+(1-M28)*G28)+(M28*F28+(1-M28)*13)),"")</f>
        <v>0.535025749152271</v>
      </c>
    </row>
    <row r="29" customFormat="false" ht="15" hidden="false" customHeight="false" outlineLevel="0" collapsed="false">
      <c r="A29" s="0" t="s">
        <v>2667</v>
      </c>
      <c r="B29" s="0" t="s">
        <v>1078</v>
      </c>
      <c r="C29" s="0" t="s">
        <v>2626</v>
      </c>
      <c r="D29" s="0" t="s">
        <v>2668</v>
      </c>
      <c r="F29" s="0" t="n">
        <v>7.42</v>
      </c>
      <c r="G29" s="0" t="n">
        <v>7.65</v>
      </c>
      <c r="H29" s="10" t="n">
        <v>0.491</v>
      </c>
      <c r="I29" s="10" t="n">
        <v>0.2</v>
      </c>
      <c r="J29" s="10" t="n">
        <v>0.127</v>
      </c>
      <c r="K29" s="10" t="n">
        <v>0.182</v>
      </c>
      <c r="L29" s="10" t="n">
        <v>0</v>
      </c>
      <c r="M29" s="10" t="n">
        <f aca="false">IFERROR((2*H29+2*I29+K29)/(2*H29+3*I29+2*J29+3*K29),"")</f>
        <v>0.656591099916037</v>
      </c>
      <c r="N29" s="10" t="n">
        <f aca="false">IFERROR((M29*13+(1-M29)*G29)/((M29*13+(1-M29)*G29)+(M29*F29+(1-M29)*13)),"")</f>
        <v>0.544551981646814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8"/>
  </cols>
  <sheetData>
    <row r="1" customFormat="false" ht="15" hidden="false" customHeight="false" outlineLevel="0" collapsed="false">
      <c r="A1" s="12" t="s">
        <v>2669</v>
      </c>
      <c r="B1" s="12" t="s">
        <v>1580</v>
      </c>
    </row>
    <row r="2" customFormat="false" ht="15" hidden="false" customHeight="false" outlineLevel="0" collapsed="false">
      <c r="A2" s="0" t="s">
        <v>2670</v>
      </c>
      <c r="B2" s="0" t="n">
        <v>8.14</v>
      </c>
    </row>
    <row r="3" customFormat="false" ht="15" hidden="false" customHeight="false" outlineLevel="0" collapsed="false">
      <c r="A3" s="0" t="s">
        <v>2671</v>
      </c>
      <c r="B3" s="0" t="n">
        <v>9.3</v>
      </c>
    </row>
    <row r="4" customFormat="false" ht="15" hidden="false" customHeight="false" outlineLevel="0" collapsed="false">
      <c r="A4" s="0" t="s">
        <v>2672</v>
      </c>
      <c r="B4" s="0" t="n">
        <v>13</v>
      </c>
    </row>
    <row r="5" customFormat="false" ht="15" hidden="false" customHeight="false" outlineLevel="0" collapsed="false">
      <c r="A5" s="0" t="s">
        <v>2673</v>
      </c>
      <c r="B5" s="0" t="n">
        <v>10</v>
      </c>
    </row>
    <row r="6" customFormat="false" ht="15" hidden="false" customHeight="false" outlineLevel="0" collapsed="false">
      <c r="A6" s="0" t="s">
        <v>2674</v>
      </c>
      <c r="B6" s="0" t="n">
        <v>9.33</v>
      </c>
    </row>
    <row r="7" customFormat="false" ht="15" hidden="false" customHeight="false" outlineLevel="0" collapsed="false">
      <c r="A7" s="0" t="s">
        <v>2675</v>
      </c>
      <c r="B7" s="0" t="n">
        <v>7.5</v>
      </c>
    </row>
    <row r="8" customFormat="false" ht="15" hidden="false" customHeight="false" outlineLevel="0" collapsed="false">
      <c r="A8" s="0" t="s">
        <v>2676</v>
      </c>
      <c r="B8" s="0" t="n">
        <v>9</v>
      </c>
    </row>
    <row r="9" customFormat="false" ht="15" hidden="false" customHeight="false" outlineLevel="0" collapsed="false">
      <c r="A9" s="0" t="s">
        <v>2677</v>
      </c>
      <c r="B9" s="0" t="n">
        <v>7</v>
      </c>
    </row>
    <row r="10" customFormat="false" ht="15" hidden="false" customHeight="false" outlineLevel="0" collapsed="false">
      <c r="A10" s="0" t="s">
        <v>2678</v>
      </c>
      <c r="B10" s="0" t="n">
        <v>9.33</v>
      </c>
    </row>
    <row r="11" customFormat="false" ht="15" hidden="false" customHeight="false" outlineLevel="0" collapsed="false">
      <c r="A11" s="0" t="s">
        <v>2679</v>
      </c>
      <c r="B11" s="0" t="n">
        <v>5</v>
      </c>
    </row>
    <row r="12" customFormat="false" ht="15" hidden="false" customHeight="false" outlineLevel="0" collapsed="false">
      <c r="A12" s="0" t="s">
        <v>2680</v>
      </c>
      <c r="B12" s="0" t="n">
        <v>7</v>
      </c>
    </row>
    <row r="13" customFormat="false" ht="15" hidden="false" customHeight="false" outlineLevel="0" collapsed="false">
      <c r="A13" s="0" t="s">
        <v>2681</v>
      </c>
      <c r="B13" s="0" t="n">
        <v>7.58</v>
      </c>
    </row>
    <row r="14" customFormat="false" ht="15" hidden="false" customHeight="false" outlineLevel="0" collapsed="false">
      <c r="A14" s="0" t="s">
        <v>2682</v>
      </c>
      <c r="B14" s="0" t="n">
        <v>8.24</v>
      </c>
    </row>
    <row r="15" customFormat="false" ht="15" hidden="false" customHeight="false" outlineLevel="0" collapsed="false">
      <c r="A15" s="0" t="s">
        <v>2683</v>
      </c>
      <c r="B15" s="0" t="n">
        <v>8.14</v>
      </c>
    </row>
    <row r="16" customFormat="false" ht="15" hidden="false" customHeight="false" outlineLevel="0" collapsed="false">
      <c r="A16" s="0" t="s">
        <v>2684</v>
      </c>
      <c r="B16" s="0" t="n">
        <v>9</v>
      </c>
    </row>
    <row r="17" customFormat="false" ht="15" hidden="false" customHeight="false" outlineLevel="0" collapsed="false">
      <c r="A17" s="0" t="s">
        <v>2685</v>
      </c>
      <c r="B17" s="0" t="n">
        <v>8.33</v>
      </c>
    </row>
    <row r="18" customFormat="false" ht="15" hidden="false" customHeight="false" outlineLevel="0" collapsed="false">
      <c r="A18" s="0" t="s">
        <v>2686</v>
      </c>
      <c r="B18" s="0" t="n">
        <v>5.6</v>
      </c>
    </row>
    <row r="19" customFormat="false" ht="15" hidden="false" customHeight="false" outlineLevel="0" collapsed="false">
      <c r="A19" s="0" t="s">
        <v>2687</v>
      </c>
      <c r="B19" s="0" t="n">
        <v>8.29</v>
      </c>
    </row>
    <row r="20" customFormat="false" ht="15" hidden="false" customHeight="false" outlineLevel="0" collapsed="false">
      <c r="A20" s="0" t="s">
        <v>2688</v>
      </c>
      <c r="B20" s="0" t="n">
        <v>9</v>
      </c>
    </row>
    <row r="21" customFormat="false" ht="15" hidden="false" customHeight="false" outlineLevel="0" collapsed="false">
      <c r="A21" s="0" t="s">
        <v>2689</v>
      </c>
      <c r="B21" s="0" t="n">
        <v>8.33</v>
      </c>
    </row>
    <row r="22" customFormat="false" ht="15" hidden="false" customHeight="false" outlineLevel="0" collapsed="false">
      <c r="A22" s="0" t="s">
        <v>2690</v>
      </c>
      <c r="B22" s="0" t="n">
        <v>7</v>
      </c>
    </row>
    <row r="23" customFormat="false" ht="15" hidden="false" customHeight="false" outlineLevel="0" collapsed="false">
      <c r="A23" s="0" t="s">
        <v>2691</v>
      </c>
      <c r="B23" s="0" t="n">
        <v>6.2</v>
      </c>
    </row>
    <row r="24" customFormat="false" ht="15" hidden="false" customHeight="false" outlineLevel="0" collapsed="false">
      <c r="A24" s="0" t="s">
        <v>2692</v>
      </c>
      <c r="B24" s="0" t="n">
        <v>8.75</v>
      </c>
    </row>
    <row r="25" customFormat="false" ht="15" hidden="false" customHeight="false" outlineLevel="0" collapsed="false">
      <c r="A25" s="0" t="s">
        <v>2693</v>
      </c>
      <c r="B25" s="0" t="n">
        <v>11.5</v>
      </c>
    </row>
    <row r="26" customFormat="false" ht="15" hidden="false" customHeight="false" outlineLevel="0" collapsed="false">
      <c r="A26" s="0" t="s">
        <v>2694</v>
      </c>
      <c r="B26" s="0" t="n">
        <v>6.5</v>
      </c>
    </row>
    <row r="27" customFormat="false" ht="15" hidden="false" customHeight="false" outlineLevel="0" collapsed="false">
      <c r="A27" s="0" t="s">
        <v>2695</v>
      </c>
      <c r="B27" s="0" t="n">
        <v>8.75</v>
      </c>
    </row>
    <row r="28" customFormat="false" ht="15" hidden="false" customHeight="false" outlineLevel="0" collapsed="false">
      <c r="A28" s="0" t="s">
        <v>2696</v>
      </c>
      <c r="B28" s="0" t="n">
        <v>7.71</v>
      </c>
    </row>
    <row r="29" customFormat="false" ht="15" hidden="false" customHeight="false" outlineLevel="0" collapsed="false">
      <c r="A29" s="0" t="s">
        <v>2697</v>
      </c>
      <c r="B29" s="0" t="n">
        <v>8.62</v>
      </c>
    </row>
    <row r="30" customFormat="false" ht="15" hidden="false" customHeight="false" outlineLevel="0" collapsed="false">
      <c r="A30" s="0" t="s">
        <v>2698</v>
      </c>
      <c r="B30" s="0" t="n">
        <v>7.75</v>
      </c>
    </row>
    <row r="31" customFormat="false" ht="15" hidden="false" customHeight="false" outlineLevel="0" collapsed="false">
      <c r="A31" s="0" t="s">
        <v>2699</v>
      </c>
      <c r="B31" s="0" t="n">
        <v>7.67</v>
      </c>
    </row>
    <row r="32" customFormat="false" ht="15" hidden="false" customHeight="false" outlineLevel="0" collapsed="false">
      <c r="A32" s="0" t="s">
        <v>2700</v>
      </c>
      <c r="B32" s="0" t="n">
        <v>7.2</v>
      </c>
    </row>
    <row r="33" customFormat="false" ht="15" hidden="false" customHeight="false" outlineLevel="0" collapsed="false">
      <c r="A33" s="0" t="s">
        <v>2701</v>
      </c>
      <c r="B33" s="0" t="n">
        <v>7.67</v>
      </c>
    </row>
    <row r="34" customFormat="false" ht="15" hidden="false" customHeight="false" outlineLevel="0" collapsed="false">
      <c r="A34" s="0" t="s">
        <v>2702</v>
      </c>
      <c r="B34" s="0" t="n">
        <v>6</v>
      </c>
    </row>
    <row r="35" customFormat="false" ht="15" hidden="false" customHeight="false" outlineLevel="0" collapsed="false">
      <c r="A35" s="0" t="s">
        <v>2703</v>
      </c>
      <c r="B35" s="0" t="n">
        <v>9.5</v>
      </c>
    </row>
    <row r="36" customFormat="false" ht="15" hidden="false" customHeight="false" outlineLevel="0" collapsed="false">
      <c r="A36" s="0" t="s">
        <v>2704</v>
      </c>
      <c r="B36" s="0" t="n">
        <v>9.5</v>
      </c>
    </row>
    <row r="37" customFormat="false" ht="15" hidden="false" customHeight="false" outlineLevel="0" collapsed="false">
      <c r="A37" s="0" t="s">
        <v>2705</v>
      </c>
      <c r="B37" s="0" t="n">
        <v>12.5</v>
      </c>
    </row>
    <row r="38" customFormat="false" ht="15" hidden="false" customHeight="false" outlineLevel="0" collapsed="false">
      <c r="A38" s="0" t="s">
        <v>2706</v>
      </c>
      <c r="B38" s="0" t="n">
        <v>8.2</v>
      </c>
    </row>
    <row r="39" customFormat="false" ht="15" hidden="false" customHeight="false" outlineLevel="0" collapsed="false">
      <c r="A39" s="0" t="s">
        <v>2707</v>
      </c>
      <c r="B39" s="0" t="n">
        <v>7</v>
      </c>
    </row>
    <row r="40" customFormat="false" ht="15" hidden="false" customHeight="false" outlineLevel="0" collapsed="false">
      <c r="A40" s="0" t="s">
        <v>2708</v>
      </c>
      <c r="B40" s="0" t="n">
        <v>9</v>
      </c>
    </row>
    <row r="41" customFormat="false" ht="15" hidden="false" customHeight="false" outlineLevel="0" collapsed="false">
      <c r="A41" s="0" t="s">
        <v>2709</v>
      </c>
      <c r="B41" s="0" t="n">
        <v>7.5</v>
      </c>
    </row>
    <row r="42" customFormat="false" ht="15" hidden="false" customHeight="false" outlineLevel="0" collapsed="false">
      <c r="A42" s="0" t="s">
        <v>2710</v>
      </c>
      <c r="B42" s="0" t="n">
        <v>5.57</v>
      </c>
    </row>
    <row r="43" customFormat="false" ht="15" hidden="false" customHeight="false" outlineLevel="0" collapsed="false">
      <c r="A43" s="0" t="s">
        <v>2711</v>
      </c>
      <c r="B43" s="0" t="n">
        <v>7.93</v>
      </c>
    </row>
    <row r="44" customFormat="false" ht="15" hidden="false" customHeight="false" outlineLevel="0" collapsed="false">
      <c r="A44" s="0" t="s">
        <v>2712</v>
      </c>
      <c r="B44" s="0" t="n">
        <v>7.5</v>
      </c>
    </row>
    <row r="45" customFormat="false" ht="15" hidden="false" customHeight="false" outlineLevel="0" collapsed="false">
      <c r="A45" s="0" t="s">
        <v>2713</v>
      </c>
      <c r="B45" s="0" t="n">
        <v>7</v>
      </c>
    </row>
    <row r="46" customFormat="false" ht="15" hidden="false" customHeight="false" outlineLevel="0" collapsed="false">
      <c r="A46" s="0" t="s">
        <v>2714</v>
      </c>
      <c r="B46" s="0" t="n">
        <v>5.8</v>
      </c>
    </row>
    <row r="47" customFormat="false" ht="15" hidden="false" customHeight="false" outlineLevel="0" collapsed="false">
      <c r="A47" s="0" t="s">
        <v>2715</v>
      </c>
      <c r="B47" s="0" t="n">
        <v>6.5</v>
      </c>
    </row>
    <row r="48" customFormat="false" ht="15" hidden="false" customHeight="false" outlineLevel="0" collapsed="false">
      <c r="A48" s="0" t="s">
        <v>2716</v>
      </c>
      <c r="B48" s="0" t="n">
        <v>5.67</v>
      </c>
    </row>
    <row r="49" customFormat="false" ht="15" hidden="false" customHeight="false" outlineLevel="0" collapsed="false">
      <c r="A49" s="0" t="s">
        <v>2717</v>
      </c>
      <c r="B49" s="0" t="n">
        <v>8.67</v>
      </c>
    </row>
    <row r="50" customFormat="false" ht="15" hidden="false" customHeight="false" outlineLevel="0" collapsed="false">
      <c r="A50" s="0" t="s">
        <v>2718</v>
      </c>
      <c r="B50" s="0" t="n">
        <v>9.25</v>
      </c>
    </row>
    <row r="51" customFormat="false" ht="15" hidden="false" customHeight="false" outlineLevel="0" collapsed="false">
      <c r="A51" s="0" t="s">
        <v>2719</v>
      </c>
      <c r="B51" s="0" t="n">
        <v>5.67</v>
      </c>
    </row>
    <row r="52" customFormat="false" ht="15" hidden="false" customHeight="false" outlineLevel="0" collapsed="false">
      <c r="A52" s="0" t="s">
        <v>2720</v>
      </c>
      <c r="B52" s="0" t="n">
        <v>7</v>
      </c>
    </row>
    <row r="53" customFormat="false" ht="15" hidden="false" customHeight="false" outlineLevel="0" collapsed="false">
      <c r="A53" s="0" t="s">
        <v>2721</v>
      </c>
      <c r="B53" s="0" t="n">
        <v>7.5</v>
      </c>
    </row>
    <row r="54" customFormat="false" ht="15" hidden="false" customHeight="false" outlineLevel="0" collapsed="false">
      <c r="A54" s="0" t="s">
        <v>2722</v>
      </c>
      <c r="B54" s="0" t="n">
        <v>7.04</v>
      </c>
    </row>
    <row r="55" customFormat="false" ht="15" hidden="false" customHeight="false" outlineLevel="0" collapsed="false">
      <c r="A55" s="0" t="s">
        <v>2723</v>
      </c>
      <c r="B55" s="0" t="n">
        <v>6.69</v>
      </c>
    </row>
    <row r="56" customFormat="false" ht="15" hidden="false" customHeight="false" outlineLevel="0" collapsed="false">
      <c r="A56" s="0" t="s">
        <v>2724</v>
      </c>
      <c r="B56" s="0" t="n">
        <v>2</v>
      </c>
    </row>
    <row r="57" customFormat="false" ht="15" hidden="false" customHeight="false" outlineLevel="0" collapsed="false">
      <c r="A57" s="0" t="s">
        <v>2725</v>
      </c>
      <c r="B57" s="0" t="n">
        <v>6</v>
      </c>
    </row>
    <row r="58" customFormat="false" ht="15" hidden="false" customHeight="false" outlineLevel="0" collapsed="false">
      <c r="A58" s="0" t="s">
        <v>2726</v>
      </c>
      <c r="B58" s="0" t="n">
        <v>7.2</v>
      </c>
    </row>
    <row r="59" customFormat="false" ht="15" hidden="false" customHeight="false" outlineLevel="0" collapsed="false">
      <c r="A59" s="0" t="s">
        <v>2727</v>
      </c>
      <c r="B59" s="0" t="n">
        <v>8.17</v>
      </c>
    </row>
    <row r="60" customFormat="false" ht="15" hidden="false" customHeight="false" outlineLevel="0" collapsed="false">
      <c r="A60" s="0" t="s">
        <v>2728</v>
      </c>
      <c r="B60" s="0" t="n">
        <v>8</v>
      </c>
    </row>
    <row r="61" customFormat="false" ht="15" hidden="false" customHeight="false" outlineLevel="0" collapsed="false">
      <c r="A61" s="0" t="s">
        <v>2729</v>
      </c>
      <c r="B61" s="0" t="n">
        <v>7.75</v>
      </c>
    </row>
    <row r="62" customFormat="false" ht="15" hidden="false" customHeight="false" outlineLevel="0" collapsed="false">
      <c r="A62" s="0" t="s">
        <v>2730</v>
      </c>
      <c r="B62" s="0" t="n">
        <v>8</v>
      </c>
    </row>
    <row r="63" customFormat="false" ht="15" hidden="false" customHeight="false" outlineLevel="0" collapsed="false">
      <c r="A63" s="0" t="s">
        <v>2731</v>
      </c>
      <c r="B63" s="0" t="n">
        <v>7</v>
      </c>
    </row>
    <row r="64" customFormat="false" ht="15" hidden="false" customHeight="false" outlineLevel="0" collapsed="false">
      <c r="A64" s="0" t="s">
        <v>2732</v>
      </c>
      <c r="B64" s="0" t="n">
        <v>6.5</v>
      </c>
    </row>
    <row r="65" customFormat="false" ht="15" hidden="false" customHeight="false" outlineLevel="0" collapsed="false">
      <c r="A65" s="0" t="s">
        <v>2733</v>
      </c>
      <c r="B65" s="0" t="n">
        <v>2.5</v>
      </c>
    </row>
    <row r="66" customFormat="false" ht="15" hidden="false" customHeight="false" outlineLevel="0" collapsed="false">
      <c r="A66" s="0" t="s">
        <v>2734</v>
      </c>
      <c r="B66" s="0" t="n">
        <v>8</v>
      </c>
    </row>
    <row r="67" customFormat="false" ht="15" hidden="false" customHeight="false" outlineLevel="0" collapsed="false">
      <c r="A67" s="0" t="s">
        <v>2735</v>
      </c>
      <c r="B67" s="0" t="n">
        <v>6.33</v>
      </c>
    </row>
    <row r="68" customFormat="false" ht="15" hidden="false" customHeight="false" outlineLevel="0" collapsed="false">
      <c r="A68" s="0" t="s">
        <v>2736</v>
      </c>
      <c r="B68" s="0" t="n">
        <v>8.12</v>
      </c>
    </row>
    <row r="69" customFormat="false" ht="15" hidden="false" customHeight="false" outlineLevel="0" collapsed="false">
      <c r="A69" s="0" t="s">
        <v>2737</v>
      </c>
      <c r="B69" s="0" t="n">
        <v>9.07</v>
      </c>
    </row>
    <row r="70" customFormat="false" ht="15" hidden="false" customHeight="false" outlineLevel="0" collapsed="false">
      <c r="A70" s="0" t="s">
        <v>2738</v>
      </c>
      <c r="B70" s="0" t="n">
        <v>9.43</v>
      </c>
    </row>
    <row r="71" customFormat="false" ht="15" hidden="false" customHeight="false" outlineLevel="0" collapsed="false">
      <c r="A71" s="0" t="s">
        <v>2739</v>
      </c>
      <c r="B71" s="0" t="n">
        <v>8</v>
      </c>
    </row>
    <row r="72" customFormat="false" ht="15" hidden="false" customHeight="false" outlineLevel="0" collapsed="false">
      <c r="A72" s="0" t="s">
        <v>2740</v>
      </c>
      <c r="B72" s="0" t="n">
        <v>6.8</v>
      </c>
    </row>
    <row r="73" customFormat="false" ht="15" hidden="false" customHeight="false" outlineLevel="0" collapsed="false">
      <c r="A73" s="0" t="s">
        <v>2741</v>
      </c>
      <c r="B73" s="0" t="n">
        <v>7.71</v>
      </c>
    </row>
    <row r="74" customFormat="false" ht="15" hidden="false" customHeight="false" outlineLevel="0" collapsed="false">
      <c r="A74" s="0" t="s">
        <v>2742</v>
      </c>
      <c r="B74" s="0" t="n">
        <v>8.36</v>
      </c>
    </row>
    <row r="75" customFormat="false" ht="15" hidden="false" customHeight="false" outlineLevel="0" collapsed="false">
      <c r="A75" s="0" t="s">
        <v>2743</v>
      </c>
      <c r="B75" s="0" t="n">
        <v>11.29</v>
      </c>
    </row>
    <row r="76" customFormat="false" ht="15" hidden="false" customHeight="false" outlineLevel="0" collapsed="false">
      <c r="A76" s="0" t="s">
        <v>2744</v>
      </c>
      <c r="B76" s="0" t="n">
        <v>7.36</v>
      </c>
    </row>
    <row r="77" customFormat="false" ht="15" hidden="false" customHeight="false" outlineLevel="0" collapsed="false">
      <c r="A77" s="0" t="s">
        <v>2745</v>
      </c>
      <c r="B77" s="0" t="n">
        <v>7.17</v>
      </c>
    </row>
    <row r="78" customFormat="false" ht="15" hidden="false" customHeight="false" outlineLevel="0" collapsed="false">
      <c r="A78" s="0" t="s">
        <v>2746</v>
      </c>
      <c r="B78" s="0" t="n">
        <v>7</v>
      </c>
    </row>
    <row r="79" customFormat="false" ht="15" hidden="false" customHeight="false" outlineLevel="0" collapsed="false">
      <c r="A79" s="0" t="s">
        <v>2747</v>
      </c>
      <c r="B79" s="0" t="n">
        <v>9.07</v>
      </c>
    </row>
    <row r="80" customFormat="false" ht="15" hidden="false" customHeight="false" outlineLevel="0" collapsed="false">
      <c r="A80" s="0" t="s">
        <v>2748</v>
      </c>
      <c r="B80" s="0" t="n">
        <v>11.17</v>
      </c>
    </row>
    <row r="81" customFormat="false" ht="15" hidden="false" customHeight="false" outlineLevel="0" collapsed="false">
      <c r="A81" s="0" t="s">
        <v>2749</v>
      </c>
      <c r="B81" s="0" t="n">
        <v>8.67</v>
      </c>
    </row>
    <row r="82" customFormat="false" ht="15" hidden="false" customHeight="false" outlineLevel="0" collapsed="false">
      <c r="A82" s="0" t="s">
        <v>2750</v>
      </c>
      <c r="B82" s="0" t="n">
        <v>14.67</v>
      </c>
    </row>
    <row r="83" customFormat="false" ht="15" hidden="false" customHeight="false" outlineLevel="0" collapsed="false">
      <c r="A83" s="0" t="s">
        <v>2751</v>
      </c>
      <c r="B83" s="0" t="n">
        <v>9.67</v>
      </c>
    </row>
    <row r="84" customFormat="false" ht="15" hidden="false" customHeight="false" outlineLevel="0" collapsed="false">
      <c r="A84" s="0" t="s">
        <v>2752</v>
      </c>
      <c r="B84" s="0" t="n">
        <v>8.56</v>
      </c>
    </row>
    <row r="85" customFormat="false" ht="15" hidden="false" customHeight="false" outlineLevel="0" collapsed="false">
      <c r="A85" s="0" t="s">
        <v>2753</v>
      </c>
      <c r="B85" s="0" t="n">
        <v>11</v>
      </c>
    </row>
    <row r="86" customFormat="false" ht="15" hidden="false" customHeight="false" outlineLevel="0" collapsed="false">
      <c r="A86" s="0" t="s">
        <v>2754</v>
      </c>
      <c r="B86" s="0" t="n">
        <v>14</v>
      </c>
    </row>
    <row r="87" customFormat="false" ht="15" hidden="false" customHeight="false" outlineLevel="0" collapsed="false">
      <c r="A87" s="0" t="s">
        <v>2755</v>
      </c>
      <c r="B87" s="0" t="n">
        <v>14</v>
      </c>
    </row>
    <row r="88" customFormat="false" ht="15" hidden="false" customHeight="false" outlineLevel="0" collapsed="false">
      <c r="A88" s="0" t="s">
        <v>2756</v>
      </c>
      <c r="B88" s="0" t="n">
        <v>9.5</v>
      </c>
    </row>
    <row r="89" customFormat="false" ht="15" hidden="false" customHeight="false" outlineLevel="0" collapsed="false">
      <c r="A89" s="0" t="s">
        <v>2757</v>
      </c>
      <c r="B89" s="0" t="n">
        <v>9.17</v>
      </c>
    </row>
    <row r="90" customFormat="false" ht="15" hidden="false" customHeight="false" outlineLevel="0" collapsed="false">
      <c r="A90" s="0" t="s">
        <v>2758</v>
      </c>
      <c r="B90" s="0" t="n">
        <v>6.75</v>
      </c>
    </row>
    <row r="91" customFormat="false" ht="15" hidden="false" customHeight="false" outlineLevel="0" collapsed="false">
      <c r="A91" s="0" t="s">
        <v>2759</v>
      </c>
      <c r="B91" s="0" t="n">
        <v>9.67</v>
      </c>
    </row>
    <row r="92" customFormat="false" ht="15" hidden="false" customHeight="false" outlineLevel="0" collapsed="false">
      <c r="A92" s="0" t="s">
        <v>2760</v>
      </c>
      <c r="B92" s="0" t="n">
        <v>3</v>
      </c>
    </row>
    <row r="93" customFormat="false" ht="15" hidden="false" customHeight="false" outlineLevel="0" collapsed="false">
      <c r="A93" s="0" t="s">
        <v>2761</v>
      </c>
      <c r="B93" s="0" t="n">
        <v>8.5</v>
      </c>
    </row>
    <row r="94" customFormat="false" ht="15" hidden="false" customHeight="false" outlineLevel="0" collapsed="false">
      <c r="A94" s="0" t="s">
        <v>2762</v>
      </c>
      <c r="B94" s="0" t="n">
        <v>9</v>
      </c>
    </row>
    <row r="95" customFormat="false" ht="15" hidden="false" customHeight="false" outlineLevel="0" collapsed="false">
      <c r="A95" s="0" t="s">
        <v>2763</v>
      </c>
      <c r="B95" s="0" t="n">
        <v>9.25</v>
      </c>
    </row>
    <row r="96" customFormat="false" ht="15" hidden="false" customHeight="false" outlineLevel="0" collapsed="false">
      <c r="A96" s="0" t="s">
        <v>2764</v>
      </c>
      <c r="B96" s="0" t="n">
        <v>9.4</v>
      </c>
    </row>
    <row r="97" customFormat="false" ht="15" hidden="false" customHeight="false" outlineLevel="0" collapsed="false">
      <c r="A97" s="0" t="s">
        <v>2765</v>
      </c>
      <c r="B97" s="0" t="n">
        <v>8.58</v>
      </c>
    </row>
    <row r="98" customFormat="false" ht="15" hidden="false" customHeight="false" outlineLevel="0" collapsed="false">
      <c r="A98" s="0" t="s">
        <v>2766</v>
      </c>
      <c r="B98" s="0" t="n">
        <v>8.81</v>
      </c>
    </row>
    <row r="99" customFormat="false" ht="15" hidden="false" customHeight="false" outlineLevel="0" collapsed="false">
      <c r="A99" s="0" t="s">
        <v>2767</v>
      </c>
      <c r="B99" s="0" t="n">
        <v>7.8</v>
      </c>
    </row>
    <row r="100" customFormat="false" ht="15" hidden="false" customHeight="false" outlineLevel="0" collapsed="false">
      <c r="A100" s="0" t="s">
        <v>2768</v>
      </c>
      <c r="B100" s="0" t="n">
        <v>9</v>
      </c>
    </row>
    <row r="101" customFormat="false" ht="15" hidden="false" customHeight="false" outlineLevel="0" collapsed="false">
      <c r="A101" s="0" t="s">
        <v>2769</v>
      </c>
      <c r="B101" s="0" t="n">
        <v>6.69</v>
      </c>
    </row>
    <row r="102" customFormat="false" ht="15" hidden="false" customHeight="false" outlineLevel="0" collapsed="false">
      <c r="A102" s="0" t="s">
        <v>2770</v>
      </c>
      <c r="B102" s="0" t="n">
        <v>7.5</v>
      </c>
    </row>
    <row r="103" customFormat="false" ht="15" hidden="false" customHeight="false" outlineLevel="0" collapsed="false">
      <c r="A103" s="0" t="s">
        <v>2771</v>
      </c>
      <c r="B103" s="0" t="n">
        <v>10.92</v>
      </c>
    </row>
    <row r="104" customFormat="false" ht="15" hidden="false" customHeight="false" outlineLevel="0" collapsed="false">
      <c r="A104" s="0" t="s">
        <v>2772</v>
      </c>
      <c r="B104" s="0" t="n">
        <v>10.33</v>
      </c>
    </row>
    <row r="105" customFormat="false" ht="15" hidden="false" customHeight="false" outlineLevel="0" collapsed="false">
      <c r="A105" s="0" t="s">
        <v>2773</v>
      </c>
      <c r="B105" s="0" t="n">
        <v>7</v>
      </c>
    </row>
    <row r="106" customFormat="false" ht="15" hidden="false" customHeight="false" outlineLevel="0" collapsed="false">
      <c r="A106" s="0" t="s">
        <v>2774</v>
      </c>
      <c r="B106" s="0" t="n">
        <v>9</v>
      </c>
    </row>
    <row r="107" customFormat="false" ht="15" hidden="false" customHeight="false" outlineLevel="0" collapsed="false">
      <c r="A107" s="0" t="s">
        <v>2775</v>
      </c>
      <c r="B107" s="0" t="n">
        <v>8.5</v>
      </c>
    </row>
    <row r="108" customFormat="false" ht="15" hidden="false" customHeight="false" outlineLevel="0" collapsed="false">
      <c r="A108" s="0" t="s">
        <v>2776</v>
      </c>
      <c r="B108" s="0" t="n">
        <v>9</v>
      </c>
    </row>
    <row r="109" customFormat="false" ht="15" hidden="false" customHeight="false" outlineLevel="0" collapsed="false">
      <c r="A109" s="0" t="s">
        <v>2777</v>
      </c>
      <c r="B109" s="0" t="n">
        <v>9.67</v>
      </c>
    </row>
    <row r="110" customFormat="false" ht="15" hidden="false" customHeight="false" outlineLevel="0" collapsed="false">
      <c r="A110" s="0" t="s">
        <v>2778</v>
      </c>
      <c r="B110" s="0" t="n">
        <v>9</v>
      </c>
    </row>
    <row r="111" customFormat="false" ht="15" hidden="false" customHeight="false" outlineLevel="0" collapsed="false">
      <c r="A111" s="0" t="s">
        <v>2779</v>
      </c>
      <c r="B111" s="0" t="n">
        <v>11.33</v>
      </c>
    </row>
    <row r="112" customFormat="false" ht="15" hidden="false" customHeight="false" outlineLevel="0" collapsed="false">
      <c r="A112" s="0" t="s">
        <v>2780</v>
      </c>
      <c r="B112" s="0" t="n">
        <v>7.15</v>
      </c>
    </row>
    <row r="113" customFormat="false" ht="15" hidden="false" customHeight="false" outlineLevel="0" collapsed="false">
      <c r="A113" s="0" t="s">
        <v>2781</v>
      </c>
      <c r="B113" s="0" t="n">
        <v>7.93</v>
      </c>
    </row>
    <row r="114" customFormat="false" ht="15" hidden="false" customHeight="false" outlineLevel="0" collapsed="false">
      <c r="A114" s="0" t="s">
        <v>2782</v>
      </c>
      <c r="B114" s="0" t="n">
        <v>7.33</v>
      </c>
    </row>
    <row r="115" customFormat="false" ht="15" hidden="false" customHeight="false" outlineLevel="0" collapsed="false">
      <c r="A115" s="0" t="s">
        <v>2783</v>
      </c>
      <c r="B115" s="0" t="n">
        <v>13</v>
      </c>
    </row>
    <row r="116" customFormat="false" ht="15" hidden="false" customHeight="false" outlineLevel="0" collapsed="false">
      <c r="A116" s="0" t="s">
        <v>2784</v>
      </c>
      <c r="B116" s="0" t="n">
        <v>5.82</v>
      </c>
    </row>
    <row r="117" customFormat="false" ht="15" hidden="false" customHeight="false" outlineLevel="0" collapsed="false">
      <c r="A117" s="0" t="s">
        <v>2785</v>
      </c>
      <c r="B117" s="0" t="n">
        <v>7.5</v>
      </c>
    </row>
    <row r="118" customFormat="false" ht="15" hidden="false" customHeight="false" outlineLevel="0" collapsed="false">
      <c r="A118" s="0" t="s">
        <v>2786</v>
      </c>
      <c r="B118" s="0" t="n">
        <v>8</v>
      </c>
    </row>
    <row r="119" customFormat="false" ht="15" hidden="false" customHeight="false" outlineLevel="0" collapsed="false">
      <c r="A119" s="0" t="s">
        <v>2787</v>
      </c>
      <c r="B119" s="0" t="n">
        <v>6.33</v>
      </c>
    </row>
    <row r="120" customFormat="false" ht="15" hidden="false" customHeight="false" outlineLevel="0" collapsed="false">
      <c r="A120" s="0" t="s">
        <v>2788</v>
      </c>
      <c r="B120" s="0" t="n">
        <v>6</v>
      </c>
    </row>
    <row r="121" customFormat="false" ht="15" hidden="false" customHeight="false" outlineLevel="0" collapsed="false">
      <c r="A121" s="0" t="s">
        <v>2789</v>
      </c>
      <c r="B121" s="0" t="n">
        <v>11</v>
      </c>
    </row>
    <row r="122" customFormat="false" ht="15" hidden="false" customHeight="false" outlineLevel="0" collapsed="false">
      <c r="A122" s="0" t="s">
        <v>2790</v>
      </c>
      <c r="B122" s="0" t="n">
        <v>11.33</v>
      </c>
    </row>
    <row r="123" customFormat="false" ht="15" hidden="false" customHeight="false" outlineLevel="0" collapsed="false">
      <c r="A123" s="0" t="s">
        <v>2791</v>
      </c>
      <c r="B123" s="0" t="n">
        <v>6.33</v>
      </c>
    </row>
    <row r="124" customFormat="false" ht="15" hidden="false" customHeight="false" outlineLevel="0" collapsed="false">
      <c r="A124" s="0" t="s">
        <v>2792</v>
      </c>
      <c r="B124" s="0" t="n">
        <v>6.67</v>
      </c>
    </row>
    <row r="125" customFormat="false" ht="15" hidden="false" customHeight="false" outlineLevel="0" collapsed="false">
      <c r="A125" s="0" t="s">
        <v>2793</v>
      </c>
      <c r="B125" s="0" t="n">
        <v>8.4</v>
      </c>
    </row>
    <row r="126" customFormat="false" ht="15" hidden="false" customHeight="false" outlineLevel="0" collapsed="false">
      <c r="A126" s="0" t="s">
        <v>2794</v>
      </c>
      <c r="B126" s="0" t="n">
        <v>7.24</v>
      </c>
    </row>
    <row r="127" customFormat="false" ht="15" hidden="false" customHeight="false" outlineLevel="0" collapsed="false">
      <c r="A127" s="0" t="s">
        <v>2795</v>
      </c>
      <c r="B127" s="0" t="n">
        <v>8.21</v>
      </c>
    </row>
    <row r="128" customFormat="false" ht="15" hidden="false" customHeight="false" outlineLevel="0" collapsed="false">
      <c r="A128" s="0" t="s">
        <v>2796</v>
      </c>
      <c r="B128" s="0" t="n">
        <v>6</v>
      </c>
    </row>
    <row r="129" customFormat="false" ht="15" hidden="false" customHeight="false" outlineLevel="0" collapsed="false">
      <c r="A129" s="0" t="s">
        <v>2797</v>
      </c>
      <c r="B129" s="0" t="n">
        <v>9</v>
      </c>
    </row>
    <row r="130" customFormat="false" ht="15" hidden="false" customHeight="false" outlineLevel="0" collapsed="false">
      <c r="A130" s="0" t="s">
        <v>2798</v>
      </c>
      <c r="B130" s="0" t="n">
        <v>9</v>
      </c>
    </row>
    <row r="131" customFormat="false" ht="15" hidden="false" customHeight="false" outlineLevel="0" collapsed="false">
      <c r="A131" s="0" t="s">
        <v>2799</v>
      </c>
      <c r="B131" s="0" t="n">
        <v>6.67</v>
      </c>
    </row>
    <row r="132" customFormat="false" ht="15" hidden="false" customHeight="false" outlineLevel="0" collapsed="false">
      <c r="A132" s="0" t="s">
        <v>2800</v>
      </c>
      <c r="B132" s="0" t="n">
        <v>7.33</v>
      </c>
    </row>
    <row r="133" customFormat="false" ht="15" hidden="false" customHeight="false" outlineLevel="0" collapsed="false">
      <c r="A133" s="0" t="s">
        <v>2801</v>
      </c>
      <c r="B133" s="0" t="n">
        <v>6.6</v>
      </c>
    </row>
    <row r="134" customFormat="false" ht="15" hidden="false" customHeight="false" outlineLevel="0" collapsed="false">
      <c r="A134" s="0" t="s">
        <v>2802</v>
      </c>
      <c r="B134" s="0" t="n">
        <v>8.2</v>
      </c>
    </row>
    <row r="135" customFormat="false" ht="15" hidden="false" customHeight="false" outlineLevel="0" collapsed="false">
      <c r="A135" s="0" t="s">
        <v>2803</v>
      </c>
      <c r="B135" s="0" t="n">
        <v>6</v>
      </c>
    </row>
    <row r="136" customFormat="false" ht="15" hidden="false" customHeight="false" outlineLevel="0" collapsed="false">
      <c r="A136" s="0" t="s">
        <v>2804</v>
      </c>
      <c r="B136" s="0" t="n">
        <v>11.5</v>
      </c>
    </row>
    <row r="137" customFormat="false" ht="15" hidden="false" customHeight="false" outlineLevel="0" collapsed="false">
      <c r="A137" s="0" t="s">
        <v>2805</v>
      </c>
      <c r="B137" s="0" t="n">
        <v>7.75</v>
      </c>
    </row>
    <row r="138" customFormat="false" ht="15" hidden="false" customHeight="false" outlineLevel="0" collapsed="false">
      <c r="A138" s="0" t="s">
        <v>2806</v>
      </c>
      <c r="B138" s="0" t="n">
        <v>8</v>
      </c>
    </row>
    <row r="139" customFormat="false" ht="15" hidden="false" customHeight="false" outlineLevel="0" collapsed="false">
      <c r="A139" s="0" t="s">
        <v>2807</v>
      </c>
      <c r="B139" s="0" t="n">
        <v>7.79</v>
      </c>
    </row>
    <row r="140" customFormat="false" ht="15" hidden="false" customHeight="false" outlineLevel="0" collapsed="false">
      <c r="A140" s="0" t="s">
        <v>2808</v>
      </c>
      <c r="B140" s="0" t="n">
        <v>7.95</v>
      </c>
    </row>
    <row r="141" customFormat="false" ht="15" hidden="false" customHeight="false" outlineLevel="0" collapsed="false">
      <c r="A141" s="0" t="s">
        <v>2809</v>
      </c>
      <c r="B141" s="0" t="n">
        <v>7.65</v>
      </c>
    </row>
    <row r="142" customFormat="false" ht="15" hidden="false" customHeight="false" outlineLevel="0" collapsed="false">
      <c r="A142" s="0" t="s">
        <v>2810</v>
      </c>
      <c r="B142" s="0" t="n">
        <v>8.83</v>
      </c>
    </row>
    <row r="143" customFormat="false" ht="15" hidden="false" customHeight="false" outlineLevel="0" collapsed="false">
      <c r="A143" s="0" t="s">
        <v>2811</v>
      </c>
      <c r="B143" s="0" t="n">
        <v>7.25</v>
      </c>
    </row>
    <row r="144" customFormat="false" ht="15" hidden="false" customHeight="false" outlineLevel="0" collapsed="false">
      <c r="A144" s="0" t="s">
        <v>2812</v>
      </c>
      <c r="B144" s="0" t="n">
        <v>7.42</v>
      </c>
    </row>
    <row r="145" customFormat="false" ht="15" hidden="false" customHeight="false" outlineLevel="0" collapsed="false">
      <c r="A145" s="0" t="s">
        <v>2813</v>
      </c>
      <c r="B145" s="0" t="n">
        <v>6.75</v>
      </c>
    </row>
    <row r="146" customFormat="false" ht="15" hidden="false" customHeight="false" outlineLevel="0" collapsed="false">
      <c r="A146" s="0" t="s">
        <v>2814</v>
      </c>
      <c r="B146" s="0" t="n">
        <v>6</v>
      </c>
    </row>
    <row r="147" customFormat="false" ht="15" hidden="false" customHeight="false" outlineLevel="0" collapsed="false">
      <c r="A147" s="0" t="s">
        <v>2815</v>
      </c>
      <c r="B147" s="0" t="n">
        <v>8.5</v>
      </c>
    </row>
    <row r="148" customFormat="false" ht="15" hidden="false" customHeight="false" outlineLevel="0" collapsed="false">
      <c r="A148" s="0" t="s">
        <v>2816</v>
      </c>
      <c r="B148" s="0" t="n">
        <v>7.57</v>
      </c>
    </row>
    <row r="149" customFormat="false" ht="15" hidden="false" customHeight="false" outlineLevel="0" collapsed="false">
      <c r="A149" s="0" t="s">
        <v>2817</v>
      </c>
      <c r="B149" s="0" t="n">
        <v>10</v>
      </c>
    </row>
    <row r="150" customFormat="false" ht="15" hidden="false" customHeight="false" outlineLevel="0" collapsed="false">
      <c r="A150" s="0" t="s">
        <v>2818</v>
      </c>
      <c r="B150" s="0" t="n">
        <v>8.78</v>
      </c>
    </row>
    <row r="151" customFormat="false" ht="15" hidden="false" customHeight="false" outlineLevel="0" collapsed="false">
      <c r="A151" s="0" t="s">
        <v>2819</v>
      </c>
      <c r="B151" s="0" t="n">
        <v>10.5</v>
      </c>
    </row>
    <row r="152" customFormat="false" ht="15" hidden="false" customHeight="false" outlineLevel="0" collapsed="false">
      <c r="A152" s="0" t="s">
        <v>2820</v>
      </c>
      <c r="B152" s="0" t="n">
        <v>5.5</v>
      </c>
    </row>
    <row r="153" customFormat="false" ht="15" hidden="false" customHeight="false" outlineLevel="0" collapsed="false">
      <c r="A153" s="0" t="s">
        <v>2821</v>
      </c>
      <c r="B153" s="0" t="n">
        <v>8.67</v>
      </c>
    </row>
    <row r="154" customFormat="false" ht="15" hidden="false" customHeight="false" outlineLevel="0" collapsed="false">
      <c r="A154" s="0" t="s">
        <v>2822</v>
      </c>
      <c r="B154" s="0" t="n">
        <v>8.81</v>
      </c>
    </row>
    <row r="155" customFormat="false" ht="15" hidden="false" customHeight="false" outlineLevel="0" collapsed="false">
      <c r="A155" s="0" t="s">
        <v>2823</v>
      </c>
      <c r="B155" s="0" t="n">
        <v>9.4</v>
      </c>
    </row>
    <row r="156" customFormat="false" ht="15" hidden="false" customHeight="false" outlineLevel="0" collapsed="false">
      <c r="A156" s="0" t="s">
        <v>2824</v>
      </c>
      <c r="B156" s="0" t="n">
        <v>8</v>
      </c>
    </row>
    <row r="157" customFormat="false" ht="15" hidden="false" customHeight="false" outlineLevel="0" collapsed="false">
      <c r="A157" s="0" t="s">
        <v>2825</v>
      </c>
      <c r="B157" s="0" t="n">
        <v>9.25</v>
      </c>
    </row>
    <row r="158" customFormat="false" ht="15" hidden="false" customHeight="false" outlineLevel="0" collapsed="false">
      <c r="A158" s="0" t="s">
        <v>2826</v>
      </c>
      <c r="B158" s="0" t="n">
        <v>9.2</v>
      </c>
    </row>
    <row r="159" customFormat="false" ht="15" hidden="false" customHeight="false" outlineLevel="0" collapsed="false">
      <c r="A159" s="0" t="s">
        <v>2827</v>
      </c>
      <c r="B159" s="0" t="n">
        <v>8.56</v>
      </c>
    </row>
    <row r="160" customFormat="false" ht="15" hidden="false" customHeight="false" outlineLevel="0" collapsed="false">
      <c r="A160" s="0" t="s">
        <v>2828</v>
      </c>
      <c r="B160" s="0" t="n">
        <v>7.6</v>
      </c>
    </row>
    <row r="161" customFormat="false" ht="15" hidden="false" customHeight="false" outlineLevel="0" collapsed="false">
      <c r="A161" s="0" t="s">
        <v>2829</v>
      </c>
      <c r="B161" s="0" t="n">
        <v>9.17</v>
      </c>
    </row>
    <row r="162" customFormat="false" ht="15" hidden="false" customHeight="false" outlineLevel="0" collapsed="false">
      <c r="A162" s="0" t="s">
        <v>2830</v>
      </c>
      <c r="B162" s="0" t="n">
        <v>9.25</v>
      </c>
    </row>
    <row r="163" customFormat="false" ht="15" hidden="false" customHeight="false" outlineLevel="0" collapsed="false">
      <c r="A163" s="0" t="s">
        <v>2831</v>
      </c>
      <c r="B163" s="0" t="n">
        <v>6.33</v>
      </c>
    </row>
    <row r="164" customFormat="false" ht="15" hidden="false" customHeight="false" outlineLevel="0" collapsed="false">
      <c r="A164" s="0" t="s">
        <v>2832</v>
      </c>
      <c r="B164" s="0" t="n">
        <v>9.67</v>
      </c>
    </row>
    <row r="165" customFormat="false" ht="15" hidden="false" customHeight="false" outlineLevel="0" collapsed="false">
      <c r="A165" s="0" t="s">
        <v>2833</v>
      </c>
      <c r="B165" s="0" t="n">
        <v>8.83</v>
      </c>
    </row>
    <row r="166" customFormat="false" ht="15" hidden="false" customHeight="false" outlineLevel="0" collapsed="false">
      <c r="A166" s="0" t="s">
        <v>2834</v>
      </c>
      <c r="B166" s="0" t="n">
        <v>9</v>
      </c>
    </row>
    <row r="167" customFormat="false" ht="15" hidden="false" customHeight="false" outlineLevel="0" collapsed="false">
      <c r="A167" s="0" t="s">
        <v>2835</v>
      </c>
      <c r="B167" s="0" t="n">
        <v>8.26</v>
      </c>
    </row>
    <row r="168" customFormat="false" ht="15" hidden="false" customHeight="false" outlineLevel="0" collapsed="false">
      <c r="A168" s="0" t="s">
        <v>2836</v>
      </c>
      <c r="B168" s="0" t="n">
        <v>9.31</v>
      </c>
    </row>
    <row r="169" customFormat="false" ht="15" hidden="false" customHeight="false" outlineLevel="0" collapsed="false">
      <c r="A169" s="0" t="s">
        <v>2837</v>
      </c>
      <c r="B169" s="0" t="n">
        <v>5.67</v>
      </c>
    </row>
    <row r="170" customFormat="false" ht="15" hidden="false" customHeight="false" outlineLevel="0" collapsed="false">
      <c r="A170" s="0" t="s">
        <v>2838</v>
      </c>
      <c r="B170" s="0" t="n">
        <v>9.67</v>
      </c>
    </row>
    <row r="171" customFormat="false" ht="15" hidden="false" customHeight="false" outlineLevel="0" collapsed="false">
      <c r="A171" s="0" t="s">
        <v>2839</v>
      </c>
      <c r="B171" s="0" t="n">
        <v>7.67</v>
      </c>
    </row>
    <row r="172" customFormat="false" ht="15" hidden="false" customHeight="false" outlineLevel="0" collapsed="false">
      <c r="A172" s="0" t="s">
        <v>2840</v>
      </c>
      <c r="B172" s="0" t="n">
        <v>11</v>
      </c>
    </row>
    <row r="173" customFormat="false" ht="15" hidden="false" customHeight="false" outlineLevel="0" collapsed="false">
      <c r="A173" s="0" t="s">
        <v>2841</v>
      </c>
      <c r="B173" s="0" t="n">
        <v>8.8</v>
      </c>
    </row>
    <row r="174" customFormat="false" ht="15" hidden="false" customHeight="false" outlineLevel="0" collapsed="false">
      <c r="A174" s="0" t="s">
        <v>2842</v>
      </c>
      <c r="B174" s="0" t="n">
        <v>9</v>
      </c>
    </row>
    <row r="175" customFormat="false" ht="15" hidden="false" customHeight="false" outlineLevel="0" collapsed="false">
      <c r="A175" s="0" t="s">
        <v>2843</v>
      </c>
      <c r="B175" s="0" t="n">
        <v>6.17</v>
      </c>
    </row>
    <row r="176" customFormat="false" ht="15" hidden="false" customHeight="false" outlineLevel="0" collapsed="false">
      <c r="A176" s="0" t="s">
        <v>2844</v>
      </c>
      <c r="B176" s="0" t="n">
        <v>12</v>
      </c>
    </row>
    <row r="177" customFormat="false" ht="15" hidden="false" customHeight="false" outlineLevel="0" collapsed="false">
      <c r="A177" s="0" t="s">
        <v>2845</v>
      </c>
      <c r="B177" s="0" t="n">
        <v>11.67</v>
      </c>
    </row>
    <row r="178" customFormat="false" ht="15" hidden="false" customHeight="false" outlineLevel="0" collapsed="false">
      <c r="A178" s="0" t="s">
        <v>2846</v>
      </c>
      <c r="B178" s="0" t="n">
        <v>6</v>
      </c>
    </row>
    <row r="179" customFormat="false" ht="15" hidden="false" customHeight="false" outlineLevel="0" collapsed="false">
      <c r="A179" s="0" t="s">
        <v>2847</v>
      </c>
      <c r="B179" s="0" t="n">
        <v>7.67</v>
      </c>
    </row>
    <row r="180" customFormat="false" ht="15" hidden="false" customHeight="false" outlineLevel="0" collapsed="false">
      <c r="A180" s="0" t="s">
        <v>2848</v>
      </c>
      <c r="B180" s="0" t="n">
        <v>9</v>
      </c>
    </row>
    <row r="181" customFormat="false" ht="15" hidden="false" customHeight="false" outlineLevel="0" collapsed="false">
      <c r="A181" s="0" t="s">
        <v>2849</v>
      </c>
      <c r="B181" s="0" t="n">
        <v>7.5</v>
      </c>
    </row>
    <row r="182" customFormat="false" ht="15" hidden="false" customHeight="false" outlineLevel="0" collapsed="false">
      <c r="A182" s="0" t="s">
        <v>2850</v>
      </c>
      <c r="B182" s="0" t="n">
        <v>7.42</v>
      </c>
    </row>
    <row r="183" customFormat="false" ht="15" hidden="false" customHeight="false" outlineLevel="0" collapsed="false">
      <c r="A183" s="0" t="s">
        <v>2851</v>
      </c>
      <c r="B183" s="0" t="n">
        <v>3</v>
      </c>
    </row>
    <row r="184" customFormat="false" ht="15" hidden="false" customHeight="false" outlineLevel="0" collapsed="false">
      <c r="A184" s="0" t="s">
        <v>2852</v>
      </c>
      <c r="B184" s="0" t="n">
        <v>7.75</v>
      </c>
    </row>
    <row r="185" customFormat="false" ht="15" hidden="false" customHeight="false" outlineLevel="0" collapsed="false">
      <c r="A185" s="0" t="s">
        <v>2853</v>
      </c>
      <c r="B185" s="0" t="n">
        <v>9.67</v>
      </c>
    </row>
    <row r="186" customFormat="false" ht="15" hidden="false" customHeight="false" outlineLevel="0" collapsed="false">
      <c r="A186" s="0" t="s">
        <v>2854</v>
      </c>
      <c r="B186" s="0" t="n">
        <v>5</v>
      </c>
    </row>
    <row r="187" customFormat="false" ht="15" hidden="false" customHeight="false" outlineLevel="0" collapsed="false">
      <c r="A187" s="0" t="s">
        <v>2855</v>
      </c>
      <c r="B187" s="0" t="n">
        <v>8</v>
      </c>
    </row>
    <row r="188" customFormat="false" ht="15" hidden="false" customHeight="false" outlineLevel="0" collapsed="false">
      <c r="A188" s="0" t="s">
        <v>2856</v>
      </c>
      <c r="B188" s="0" t="n">
        <v>9</v>
      </c>
    </row>
    <row r="189" customFormat="false" ht="15" hidden="false" customHeight="false" outlineLevel="0" collapsed="false">
      <c r="A189" s="0" t="s">
        <v>2857</v>
      </c>
      <c r="B189" s="0" t="n">
        <v>11</v>
      </c>
    </row>
    <row r="190" customFormat="false" ht="15" hidden="false" customHeight="false" outlineLevel="0" collapsed="false">
      <c r="A190" s="0" t="s">
        <v>2858</v>
      </c>
      <c r="B190" s="0" t="n">
        <v>6.75</v>
      </c>
    </row>
    <row r="191" customFormat="false" ht="15" hidden="false" customHeight="false" outlineLevel="0" collapsed="false">
      <c r="A191" s="0" t="s">
        <v>2859</v>
      </c>
      <c r="B191" s="0" t="n">
        <v>5</v>
      </c>
    </row>
    <row r="192" customFormat="false" ht="15" hidden="false" customHeight="false" outlineLevel="0" collapsed="false">
      <c r="A192" s="0" t="s">
        <v>2860</v>
      </c>
      <c r="B192" s="0" t="n">
        <v>6.86</v>
      </c>
    </row>
    <row r="193" customFormat="false" ht="15" hidden="false" customHeight="false" outlineLevel="0" collapsed="false">
      <c r="A193" s="0" t="s">
        <v>2861</v>
      </c>
      <c r="B193" s="0" t="n">
        <v>12.5</v>
      </c>
    </row>
    <row r="194" customFormat="false" ht="15" hidden="false" customHeight="false" outlineLevel="0" collapsed="false">
      <c r="A194" s="0" t="s">
        <v>2862</v>
      </c>
      <c r="B194" s="0" t="n">
        <v>8.32</v>
      </c>
    </row>
    <row r="195" customFormat="false" ht="15" hidden="false" customHeight="false" outlineLevel="0" collapsed="false">
      <c r="A195" s="0" t="s">
        <v>2863</v>
      </c>
      <c r="B195" s="0" t="n">
        <v>7.95</v>
      </c>
    </row>
    <row r="196" customFormat="false" ht="15" hidden="false" customHeight="false" outlineLevel="0" collapsed="false">
      <c r="A196" s="0" t="s">
        <v>2864</v>
      </c>
      <c r="B196" s="0" t="n">
        <v>9</v>
      </c>
    </row>
    <row r="197" customFormat="false" ht="15" hidden="false" customHeight="false" outlineLevel="0" collapsed="false">
      <c r="A197" s="0" t="s">
        <v>2865</v>
      </c>
      <c r="B197" s="0" t="n">
        <v>7</v>
      </c>
    </row>
    <row r="198" customFormat="false" ht="15" hidden="false" customHeight="false" outlineLevel="0" collapsed="false">
      <c r="A198" s="0" t="s">
        <v>2866</v>
      </c>
      <c r="B198" s="0" t="n">
        <v>8</v>
      </c>
    </row>
    <row r="199" customFormat="false" ht="15" hidden="false" customHeight="false" outlineLevel="0" collapsed="false">
      <c r="A199" s="0" t="s">
        <v>2867</v>
      </c>
      <c r="B199" s="0" t="n">
        <v>8.75</v>
      </c>
    </row>
    <row r="200" customFormat="false" ht="15" hidden="false" customHeight="false" outlineLevel="0" collapsed="false">
      <c r="A200" s="0" t="s">
        <v>2868</v>
      </c>
      <c r="B200" s="0" t="n">
        <v>9.33</v>
      </c>
    </row>
    <row r="201" customFormat="false" ht="15" hidden="false" customHeight="false" outlineLevel="0" collapsed="false">
      <c r="A201" s="0" t="s">
        <v>2869</v>
      </c>
      <c r="B201" s="0" t="n">
        <v>5.5</v>
      </c>
    </row>
    <row r="202" customFormat="false" ht="15" hidden="false" customHeight="false" outlineLevel="0" collapsed="false">
      <c r="A202" s="0" t="s">
        <v>2870</v>
      </c>
      <c r="B202" s="0" t="n">
        <v>8</v>
      </c>
    </row>
    <row r="203" customFormat="false" ht="15" hidden="false" customHeight="false" outlineLevel="0" collapsed="false">
      <c r="A203" s="0" t="s">
        <v>2871</v>
      </c>
      <c r="B203" s="0" t="n">
        <v>10.6</v>
      </c>
    </row>
    <row r="204" customFormat="false" ht="15" hidden="false" customHeight="false" outlineLevel="0" collapsed="false">
      <c r="A204" s="0" t="s">
        <v>2872</v>
      </c>
      <c r="B204" s="0" t="n">
        <v>9.6</v>
      </c>
    </row>
    <row r="205" customFormat="false" ht="15" hidden="false" customHeight="false" outlineLevel="0" collapsed="false">
      <c r="A205" s="0" t="s">
        <v>2873</v>
      </c>
      <c r="B205" s="0" t="n">
        <v>3.33</v>
      </c>
    </row>
    <row r="206" customFormat="false" ht="15" hidden="false" customHeight="false" outlineLevel="0" collapsed="false">
      <c r="A206" s="0" t="s">
        <v>2874</v>
      </c>
      <c r="B206" s="0" t="n">
        <v>11</v>
      </c>
    </row>
    <row r="207" customFormat="false" ht="15" hidden="false" customHeight="false" outlineLevel="0" collapsed="false">
      <c r="A207" s="0" t="s">
        <v>2875</v>
      </c>
      <c r="B207" s="0" t="n">
        <v>6.38</v>
      </c>
    </row>
    <row r="208" customFormat="false" ht="15" hidden="false" customHeight="false" outlineLevel="0" collapsed="false">
      <c r="A208" s="0" t="s">
        <v>2876</v>
      </c>
      <c r="B208" s="0" t="n">
        <v>9.67</v>
      </c>
    </row>
    <row r="209" customFormat="false" ht="15" hidden="false" customHeight="false" outlineLevel="0" collapsed="false">
      <c r="A209" s="0" t="s">
        <v>2877</v>
      </c>
      <c r="B209" s="0" t="n">
        <v>7.65</v>
      </c>
    </row>
    <row r="210" customFormat="false" ht="15" hidden="false" customHeight="false" outlineLevel="0" collapsed="false">
      <c r="A210" s="0" t="s">
        <v>2878</v>
      </c>
      <c r="B210" s="0" t="n">
        <v>8</v>
      </c>
    </row>
    <row r="211" customFormat="false" ht="15" hidden="false" customHeight="false" outlineLevel="0" collapsed="false">
      <c r="A211" s="0" t="s">
        <v>2879</v>
      </c>
      <c r="B211" s="0" t="n">
        <v>5</v>
      </c>
    </row>
    <row r="212" customFormat="false" ht="15" hidden="false" customHeight="false" outlineLevel="0" collapsed="false">
      <c r="A212" s="0" t="s">
        <v>2880</v>
      </c>
      <c r="B212" s="0" t="n">
        <v>8</v>
      </c>
    </row>
    <row r="213" customFormat="false" ht="15" hidden="false" customHeight="false" outlineLevel="0" collapsed="false">
      <c r="A213" s="0" t="s">
        <v>2881</v>
      </c>
      <c r="B213" s="0" t="n">
        <v>5</v>
      </c>
    </row>
    <row r="214" customFormat="false" ht="15" hidden="false" customHeight="false" outlineLevel="0" collapsed="false">
      <c r="A214" s="0" t="s">
        <v>2882</v>
      </c>
      <c r="B214" s="0" t="n">
        <v>10</v>
      </c>
    </row>
    <row r="215" customFormat="false" ht="15" hidden="false" customHeight="false" outlineLevel="0" collapsed="false">
      <c r="A215" s="0" t="s">
        <v>2883</v>
      </c>
      <c r="B215" s="0" t="n">
        <v>8.33</v>
      </c>
    </row>
    <row r="216" customFormat="false" ht="15" hidden="false" customHeight="false" outlineLevel="0" collapsed="false">
      <c r="A216" s="0" t="s">
        <v>2884</v>
      </c>
      <c r="B216" s="0" t="n">
        <v>6.67</v>
      </c>
    </row>
    <row r="217" customFormat="false" ht="15" hidden="false" customHeight="false" outlineLevel="0" collapsed="false">
      <c r="A217" s="0" t="s">
        <v>2885</v>
      </c>
      <c r="B217" s="0" t="n">
        <v>8.29</v>
      </c>
    </row>
    <row r="218" customFormat="false" ht="15" hidden="false" customHeight="false" outlineLevel="0" collapsed="false">
      <c r="A218" s="0" t="s">
        <v>2886</v>
      </c>
      <c r="B218" s="0" t="n">
        <v>6.5</v>
      </c>
    </row>
    <row r="219" customFormat="false" ht="15" hidden="false" customHeight="false" outlineLevel="0" collapsed="false">
      <c r="A219" s="0" t="s">
        <v>2887</v>
      </c>
      <c r="B219" s="0" t="n">
        <v>11</v>
      </c>
    </row>
    <row r="220" customFormat="false" ht="15" hidden="false" customHeight="false" outlineLevel="0" collapsed="false">
      <c r="A220" s="0" t="s">
        <v>2888</v>
      </c>
      <c r="B220" s="0" t="n">
        <v>7.38</v>
      </c>
    </row>
    <row r="221" customFormat="false" ht="15" hidden="false" customHeight="false" outlineLevel="0" collapsed="false">
      <c r="A221" s="0" t="s">
        <v>2889</v>
      </c>
      <c r="B221" s="0" t="n">
        <v>7.6</v>
      </c>
    </row>
    <row r="222" customFormat="false" ht="15" hidden="false" customHeight="false" outlineLevel="0" collapsed="false">
      <c r="A222" s="0" t="s">
        <v>2890</v>
      </c>
      <c r="B222" s="0" t="n">
        <v>9.25</v>
      </c>
    </row>
    <row r="223" customFormat="false" ht="15" hidden="false" customHeight="false" outlineLevel="0" collapsed="false">
      <c r="A223" s="0" t="s">
        <v>2891</v>
      </c>
      <c r="B223" s="0" t="n">
        <v>6.5</v>
      </c>
    </row>
    <row r="224" customFormat="false" ht="15" hidden="false" customHeight="false" outlineLevel="0" collapsed="false">
      <c r="A224" s="0" t="s">
        <v>2892</v>
      </c>
      <c r="B224" s="0" t="n">
        <v>8.43</v>
      </c>
    </row>
    <row r="225" customFormat="false" ht="15" hidden="false" customHeight="false" outlineLevel="0" collapsed="false">
      <c r="A225" s="0" t="s">
        <v>2893</v>
      </c>
      <c r="B225" s="0" t="n">
        <v>8.81</v>
      </c>
    </row>
    <row r="226" customFormat="false" ht="15" hidden="false" customHeight="false" outlineLevel="0" collapsed="false">
      <c r="A226" s="0" t="s">
        <v>2894</v>
      </c>
      <c r="B226" s="0" t="n">
        <v>6</v>
      </c>
    </row>
    <row r="227" customFormat="false" ht="15" hidden="false" customHeight="false" outlineLevel="0" collapsed="false">
      <c r="A227" s="0" t="s">
        <v>2895</v>
      </c>
      <c r="B227" s="0" t="n">
        <v>9.33</v>
      </c>
    </row>
    <row r="228" customFormat="false" ht="15" hidden="false" customHeight="false" outlineLevel="0" collapsed="false">
      <c r="A228" s="0" t="s">
        <v>2896</v>
      </c>
      <c r="B228" s="0" t="n">
        <v>12</v>
      </c>
    </row>
    <row r="229" customFormat="false" ht="15" hidden="false" customHeight="false" outlineLevel="0" collapsed="false">
      <c r="A229" s="0" t="s">
        <v>2897</v>
      </c>
      <c r="B229" s="0" t="n">
        <v>9</v>
      </c>
    </row>
    <row r="230" customFormat="false" ht="15" hidden="false" customHeight="false" outlineLevel="0" collapsed="false">
      <c r="A230" s="0" t="s">
        <v>2898</v>
      </c>
      <c r="B230" s="0" t="n">
        <v>10</v>
      </c>
    </row>
    <row r="231" customFormat="false" ht="15" hidden="false" customHeight="false" outlineLevel="0" collapsed="false">
      <c r="A231" s="0" t="s">
        <v>2899</v>
      </c>
      <c r="B231" s="0" t="n">
        <v>10.8</v>
      </c>
    </row>
    <row r="232" customFormat="false" ht="15" hidden="false" customHeight="false" outlineLevel="0" collapsed="false">
      <c r="A232" s="0" t="s">
        <v>2900</v>
      </c>
      <c r="B232" s="0" t="n">
        <v>9</v>
      </c>
    </row>
    <row r="233" customFormat="false" ht="15" hidden="false" customHeight="false" outlineLevel="0" collapsed="false">
      <c r="A233" s="0" t="s">
        <v>2901</v>
      </c>
      <c r="B233" s="0" t="n">
        <v>7</v>
      </c>
    </row>
    <row r="234" customFormat="false" ht="15" hidden="false" customHeight="false" outlineLevel="0" collapsed="false">
      <c r="A234" s="0" t="s">
        <v>2902</v>
      </c>
      <c r="B234" s="0" t="n">
        <v>8</v>
      </c>
    </row>
    <row r="235" customFormat="false" ht="15" hidden="false" customHeight="false" outlineLevel="0" collapsed="false">
      <c r="A235" s="0" t="s">
        <v>2903</v>
      </c>
      <c r="B235" s="0" t="n">
        <v>7.75</v>
      </c>
    </row>
    <row r="236" customFormat="false" ht="15" hidden="false" customHeight="false" outlineLevel="0" collapsed="false">
      <c r="A236" s="0" t="s">
        <v>2904</v>
      </c>
      <c r="B236" s="0" t="n">
        <v>9</v>
      </c>
    </row>
    <row r="237" customFormat="false" ht="15" hidden="false" customHeight="false" outlineLevel="0" collapsed="false">
      <c r="A237" s="0" t="s">
        <v>2905</v>
      </c>
      <c r="B237" s="0" t="n">
        <v>9.25</v>
      </c>
    </row>
    <row r="238" customFormat="false" ht="15" hidden="false" customHeight="false" outlineLevel="0" collapsed="false">
      <c r="A238" s="0" t="s">
        <v>2906</v>
      </c>
      <c r="B238" s="0" t="n">
        <v>5</v>
      </c>
    </row>
    <row r="239" customFormat="false" ht="15" hidden="false" customHeight="false" outlineLevel="0" collapsed="false">
      <c r="A239" s="0" t="s">
        <v>2907</v>
      </c>
      <c r="B239" s="0" t="n">
        <v>8.58</v>
      </c>
    </row>
    <row r="240" customFormat="false" ht="15" hidden="false" customHeight="false" outlineLevel="0" collapsed="false">
      <c r="A240" s="0" t="s">
        <v>2908</v>
      </c>
      <c r="B240" s="0" t="n">
        <v>7.67</v>
      </c>
    </row>
    <row r="241" customFormat="false" ht="15" hidden="false" customHeight="false" outlineLevel="0" collapsed="false">
      <c r="A241" s="0" t="s">
        <v>2909</v>
      </c>
      <c r="B241" s="0" t="n">
        <v>10.75</v>
      </c>
    </row>
    <row r="242" customFormat="false" ht="15" hidden="false" customHeight="false" outlineLevel="0" collapsed="false">
      <c r="A242" s="0" t="s">
        <v>2910</v>
      </c>
      <c r="B242" s="0" t="n">
        <v>7.5</v>
      </c>
    </row>
    <row r="243" customFormat="false" ht="15" hidden="false" customHeight="false" outlineLevel="0" collapsed="false">
      <c r="A243" s="0" t="s">
        <v>2911</v>
      </c>
      <c r="B243" s="0" t="n">
        <v>9.67</v>
      </c>
    </row>
    <row r="244" customFormat="false" ht="15" hidden="false" customHeight="false" outlineLevel="0" collapsed="false">
      <c r="A244" s="0" t="s">
        <v>2912</v>
      </c>
      <c r="B244" s="0" t="n">
        <v>8.33</v>
      </c>
    </row>
    <row r="245" customFormat="false" ht="15" hidden="false" customHeight="false" outlineLevel="0" collapsed="false">
      <c r="A245" s="0" t="s">
        <v>2913</v>
      </c>
      <c r="B245" s="0" t="n">
        <v>5.75</v>
      </c>
    </row>
    <row r="246" customFormat="false" ht="15" hidden="false" customHeight="false" outlineLevel="0" collapsed="false">
      <c r="A246" s="0" t="s">
        <v>2914</v>
      </c>
      <c r="B246" s="0" t="n">
        <v>7.67</v>
      </c>
    </row>
    <row r="247" customFormat="false" ht="15" hidden="false" customHeight="false" outlineLevel="0" collapsed="false">
      <c r="A247" s="0" t="s">
        <v>2915</v>
      </c>
      <c r="B247" s="0" t="n">
        <v>10.75</v>
      </c>
    </row>
    <row r="248" customFormat="false" ht="15" hidden="false" customHeight="false" outlineLevel="0" collapsed="false">
      <c r="A248" s="0" t="s">
        <v>2916</v>
      </c>
      <c r="B248" s="0" t="n">
        <v>8</v>
      </c>
    </row>
    <row r="249" customFormat="false" ht="15" hidden="false" customHeight="false" outlineLevel="0" collapsed="false">
      <c r="A249" s="0" t="s">
        <v>2917</v>
      </c>
      <c r="B249" s="0" t="n">
        <v>6.8</v>
      </c>
    </row>
    <row r="250" customFormat="false" ht="15" hidden="false" customHeight="false" outlineLevel="0" collapsed="false">
      <c r="A250" s="0" t="s">
        <v>2918</v>
      </c>
      <c r="B250" s="0" t="n">
        <v>7.67</v>
      </c>
    </row>
    <row r="251" customFormat="false" ht="15" hidden="false" customHeight="false" outlineLevel="0" collapsed="false">
      <c r="A251" s="0" t="s">
        <v>2919</v>
      </c>
      <c r="B251" s="0" t="n">
        <v>7.5</v>
      </c>
    </row>
    <row r="252" customFormat="false" ht="15" hidden="false" customHeight="false" outlineLevel="0" collapsed="false">
      <c r="A252" s="0" t="s">
        <v>2920</v>
      </c>
      <c r="B252" s="0" t="n">
        <v>9.33</v>
      </c>
    </row>
    <row r="253" customFormat="false" ht="15" hidden="false" customHeight="false" outlineLevel="0" collapsed="false">
      <c r="A253" s="0" t="s">
        <v>2921</v>
      </c>
      <c r="B253" s="0" t="n">
        <v>8.12</v>
      </c>
    </row>
    <row r="254" customFormat="false" ht="15" hidden="false" customHeight="false" outlineLevel="0" collapsed="false">
      <c r="A254" s="0" t="s">
        <v>2922</v>
      </c>
      <c r="B254" s="0" t="n">
        <v>9.11</v>
      </c>
    </row>
    <row r="255" customFormat="false" ht="15" hidden="false" customHeight="false" outlineLevel="0" collapsed="false">
      <c r="A255" s="0" t="s">
        <v>2923</v>
      </c>
      <c r="B255" s="0" t="n">
        <v>8.7</v>
      </c>
    </row>
    <row r="256" customFormat="false" ht="15" hidden="false" customHeight="false" outlineLevel="0" collapsed="false">
      <c r="A256" s="0" t="s">
        <v>2924</v>
      </c>
      <c r="B256" s="0" t="n">
        <v>10</v>
      </c>
    </row>
    <row r="257" customFormat="false" ht="15" hidden="false" customHeight="false" outlineLevel="0" collapsed="false">
      <c r="A257" s="0" t="s">
        <v>2925</v>
      </c>
      <c r="B257" s="0" t="n">
        <v>5</v>
      </c>
    </row>
    <row r="258" customFormat="false" ht="15" hidden="false" customHeight="false" outlineLevel="0" collapsed="false">
      <c r="A258" s="0" t="s">
        <v>2926</v>
      </c>
      <c r="B258" s="0" t="n">
        <v>9</v>
      </c>
    </row>
    <row r="259" customFormat="false" ht="15" hidden="false" customHeight="false" outlineLevel="0" collapsed="false">
      <c r="A259" s="0" t="s">
        <v>2927</v>
      </c>
      <c r="B259" s="0" t="n">
        <v>7.29</v>
      </c>
    </row>
    <row r="260" customFormat="false" ht="15" hidden="false" customHeight="false" outlineLevel="0" collapsed="false">
      <c r="A260" s="0" t="s">
        <v>2928</v>
      </c>
      <c r="B260" s="0" t="n">
        <v>10.14</v>
      </c>
    </row>
    <row r="261" customFormat="false" ht="15" hidden="false" customHeight="false" outlineLevel="0" collapsed="false">
      <c r="A261" s="0" t="s">
        <v>2929</v>
      </c>
      <c r="B261" s="0" t="n">
        <v>8.25</v>
      </c>
    </row>
    <row r="262" customFormat="false" ht="15" hidden="false" customHeight="false" outlineLevel="0" collapsed="false">
      <c r="A262" s="0" t="s">
        <v>2930</v>
      </c>
      <c r="B262" s="0" t="n">
        <v>8.75</v>
      </c>
    </row>
    <row r="263" customFormat="false" ht="15" hidden="false" customHeight="false" outlineLevel="0" collapsed="false">
      <c r="A263" s="0" t="s">
        <v>2931</v>
      </c>
      <c r="B263" s="0" t="n">
        <v>3.5</v>
      </c>
    </row>
    <row r="264" customFormat="false" ht="15" hidden="false" customHeight="false" outlineLevel="0" collapsed="false">
      <c r="A264" s="0" t="s">
        <v>2932</v>
      </c>
      <c r="B264" s="0" t="n">
        <v>9.5</v>
      </c>
    </row>
    <row r="265" customFormat="false" ht="15" hidden="false" customHeight="false" outlineLevel="0" collapsed="false">
      <c r="A265" s="0" t="s">
        <v>2933</v>
      </c>
      <c r="B265" s="0" t="n">
        <v>13.5</v>
      </c>
    </row>
    <row r="266" customFormat="false" ht="15" hidden="false" customHeight="false" outlineLevel="0" collapsed="false">
      <c r="A266" s="0" t="s">
        <v>2934</v>
      </c>
      <c r="B266" s="0" t="n">
        <v>7.6</v>
      </c>
    </row>
    <row r="267" customFormat="false" ht="15" hidden="false" customHeight="false" outlineLevel="0" collapsed="false">
      <c r="A267" s="0" t="s">
        <v>2935</v>
      </c>
      <c r="B267" s="0" t="n">
        <v>12</v>
      </c>
    </row>
    <row r="268" customFormat="false" ht="15" hidden="false" customHeight="false" outlineLevel="0" collapsed="false">
      <c r="A268" s="0" t="s">
        <v>2936</v>
      </c>
      <c r="B268" s="0" t="n">
        <v>7.59</v>
      </c>
    </row>
    <row r="269" customFormat="false" ht="15" hidden="false" customHeight="false" outlineLevel="0" collapsed="false">
      <c r="A269" s="0" t="s">
        <v>2937</v>
      </c>
      <c r="B269" s="0" t="n">
        <v>8.57</v>
      </c>
    </row>
    <row r="270" customFormat="false" ht="15" hidden="false" customHeight="false" outlineLevel="0" collapsed="false">
      <c r="A270" s="0" t="s">
        <v>2938</v>
      </c>
      <c r="B270" s="0" t="n">
        <v>6</v>
      </c>
    </row>
    <row r="271" customFormat="false" ht="15" hidden="false" customHeight="false" outlineLevel="0" collapsed="false">
      <c r="A271" s="0" t="s">
        <v>2939</v>
      </c>
      <c r="B271" s="0" t="n">
        <v>8</v>
      </c>
    </row>
    <row r="272" customFormat="false" ht="15" hidden="false" customHeight="false" outlineLevel="0" collapsed="false">
      <c r="A272" s="0" t="s">
        <v>2940</v>
      </c>
      <c r="B272" s="0" t="n">
        <v>9.6</v>
      </c>
    </row>
    <row r="273" customFormat="false" ht="15" hidden="false" customHeight="false" outlineLevel="0" collapsed="false">
      <c r="A273" s="0" t="s">
        <v>2941</v>
      </c>
      <c r="B273" s="0" t="n">
        <v>9.6</v>
      </c>
    </row>
    <row r="274" customFormat="false" ht="15" hidden="false" customHeight="false" outlineLevel="0" collapsed="false">
      <c r="A274" s="0" t="s">
        <v>2942</v>
      </c>
      <c r="B274" s="0" t="n">
        <v>7.75</v>
      </c>
    </row>
    <row r="275" customFormat="false" ht="15" hidden="false" customHeight="false" outlineLevel="0" collapsed="false">
      <c r="A275" s="0" t="s">
        <v>2943</v>
      </c>
      <c r="B275" s="0" t="n">
        <v>11</v>
      </c>
    </row>
    <row r="276" customFormat="false" ht="15" hidden="false" customHeight="false" outlineLevel="0" collapsed="false">
      <c r="A276" s="0" t="s">
        <v>2944</v>
      </c>
      <c r="B276" s="0" t="n">
        <v>4.33</v>
      </c>
    </row>
    <row r="277" customFormat="false" ht="15" hidden="false" customHeight="false" outlineLevel="0" collapsed="false">
      <c r="A277" s="0" t="s">
        <v>2945</v>
      </c>
      <c r="B277" s="0" t="n">
        <v>6</v>
      </c>
    </row>
    <row r="278" customFormat="false" ht="15" hidden="false" customHeight="false" outlineLevel="0" collapsed="false">
      <c r="A278" s="0" t="s">
        <v>2946</v>
      </c>
      <c r="B278" s="0" t="n">
        <v>10.67</v>
      </c>
    </row>
    <row r="279" customFormat="false" ht="15" hidden="false" customHeight="false" outlineLevel="0" collapsed="false">
      <c r="A279" s="0" t="s">
        <v>2947</v>
      </c>
      <c r="B279" s="0" t="n">
        <v>8.5</v>
      </c>
    </row>
    <row r="280" customFormat="false" ht="15" hidden="false" customHeight="false" outlineLevel="0" collapsed="false">
      <c r="A280" s="0" t="s">
        <v>2948</v>
      </c>
      <c r="B280" s="0" t="n">
        <v>6.5</v>
      </c>
    </row>
    <row r="281" customFormat="false" ht="15" hidden="false" customHeight="false" outlineLevel="0" collapsed="false">
      <c r="A281" s="0" t="s">
        <v>2949</v>
      </c>
      <c r="B281" s="0" t="n">
        <v>6.5</v>
      </c>
    </row>
    <row r="282" customFormat="false" ht="15" hidden="false" customHeight="false" outlineLevel="0" collapsed="false">
      <c r="A282" s="0" t="s">
        <v>2950</v>
      </c>
      <c r="B282" s="0" t="n">
        <v>7.32</v>
      </c>
    </row>
    <row r="283" customFormat="false" ht="15" hidden="false" customHeight="false" outlineLevel="0" collapsed="false">
      <c r="A283" s="0" t="s">
        <v>2951</v>
      </c>
      <c r="B283" s="0" t="n">
        <v>8.73</v>
      </c>
    </row>
    <row r="284" customFormat="false" ht="15" hidden="false" customHeight="false" outlineLevel="0" collapsed="false">
      <c r="A284" s="0" t="s">
        <v>2952</v>
      </c>
      <c r="B284" s="0" t="n">
        <v>9.4</v>
      </c>
    </row>
    <row r="285" customFormat="false" ht="15" hidden="false" customHeight="false" outlineLevel="0" collapsed="false">
      <c r="A285" s="0" t="s">
        <v>2953</v>
      </c>
      <c r="B285" s="0" t="n">
        <v>7.67</v>
      </c>
    </row>
    <row r="286" customFormat="false" ht="15" hidden="false" customHeight="false" outlineLevel="0" collapsed="false">
      <c r="A286" s="0" t="s">
        <v>2954</v>
      </c>
      <c r="B286" s="0" t="n">
        <v>5.67</v>
      </c>
    </row>
    <row r="287" customFormat="false" ht="15" hidden="false" customHeight="false" outlineLevel="0" collapsed="false">
      <c r="A287" s="0" t="s">
        <v>2955</v>
      </c>
      <c r="B287" s="0" t="n">
        <v>6.8</v>
      </c>
    </row>
    <row r="288" customFormat="false" ht="15" hidden="false" customHeight="false" outlineLevel="0" collapsed="false">
      <c r="A288" s="0" t="s">
        <v>2956</v>
      </c>
      <c r="B288" s="0" t="n">
        <v>7</v>
      </c>
    </row>
    <row r="289" customFormat="false" ht="15" hidden="false" customHeight="false" outlineLevel="0" collapsed="false">
      <c r="A289" s="0" t="s">
        <v>2957</v>
      </c>
      <c r="B289" s="0" t="n">
        <v>10</v>
      </c>
    </row>
    <row r="290" customFormat="false" ht="15" hidden="false" customHeight="false" outlineLevel="0" collapsed="false">
      <c r="A290" s="0" t="s">
        <v>2958</v>
      </c>
      <c r="B290" s="0" t="n">
        <v>8.33</v>
      </c>
    </row>
    <row r="291" customFormat="false" ht="15" hidden="false" customHeight="false" outlineLevel="0" collapsed="false">
      <c r="A291" s="0" t="s">
        <v>2959</v>
      </c>
      <c r="B291" s="0" t="n">
        <v>8.5</v>
      </c>
    </row>
    <row r="292" customFormat="false" ht="15" hidden="false" customHeight="false" outlineLevel="0" collapsed="false">
      <c r="A292" s="0" t="s">
        <v>2960</v>
      </c>
      <c r="B292" s="0" t="n">
        <v>6.86</v>
      </c>
    </row>
    <row r="293" customFormat="false" ht="15" hidden="false" customHeight="false" outlineLevel="0" collapsed="false">
      <c r="A293" s="0" t="s">
        <v>2961</v>
      </c>
      <c r="B293" s="0" t="n">
        <v>10.75</v>
      </c>
    </row>
    <row r="294" customFormat="false" ht="15" hidden="false" customHeight="false" outlineLevel="0" collapsed="false">
      <c r="A294" s="0" t="s">
        <v>2962</v>
      </c>
      <c r="B294" s="0" t="n">
        <v>7.17</v>
      </c>
    </row>
    <row r="295" customFormat="false" ht="15" hidden="false" customHeight="false" outlineLevel="0" collapsed="false">
      <c r="A295" s="0" t="s">
        <v>2963</v>
      </c>
      <c r="B295" s="0" t="n">
        <v>10.2</v>
      </c>
    </row>
    <row r="296" customFormat="false" ht="15" hidden="false" customHeight="false" outlineLevel="0" collapsed="false">
      <c r="A296" s="0" t="s">
        <v>2964</v>
      </c>
      <c r="B296" s="0" t="n">
        <v>5.5</v>
      </c>
    </row>
    <row r="297" customFormat="false" ht="15" hidden="false" customHeight="false" outlineLevel="0" collapsed="false">
      <c r="A297" s="0" t="s">
        <v>2965</v>
      </c>
      <c r="B297" s="0" t="n">
        <v>8.53</v>
      </c>
    </row>
    <row r="298" customFormat="false" ht="15" hidden="false" customHeight="false" outlineLevel="0" collapsed="false">
      <c r="A298" s="0" t="s">
        <v>2966</v>
      </c>
      <c r="B298" s="0" t="n">
        <v>7.35</v>
      </c>
    </row>
    <row r="299" customFormat="false" ht="15" hidden="false" customHeight="false" outlineLevel="0" collapsed="false">
      <c r="A299" s="0" t="s">
        <v>2967</v>
      </c>
      <c r="B299" s="0" t="n">
        <v>7.67</v>
      </c>
    </row>
    <row r="300" customFormat="false" ht="15" hidden="false" customHeight="false" outlineLevel="0" collapsed="false">
      <c r="A300" s="0" t="s">
        <v>2968</v>
      </c>
      <c r="B300" s="0" t="n">
        <v>10</v>
      </c>
    </row>
    <row r="301" customFormat="false" ht="15" hidden="false" customHeight="false" outlineLevel="0" collapsed="false">
      <c r="A301" s="0" t="s">
        <v>2969</v>
      </c>
      <c r="B301" s="0" t="n">
        <v>19</v>
      </c>
    </row>
    <row r="302" customFormat="false" ht="15" hidden="false" customHeight="false" outlineLevel="0" collapsed="false">
      <c r="A302" s="0" t="s">
        <v>2970</v>
      </c>
      <c r="B302" s="0" t="n">
        <v>9.5</v>
      </c>
    </row>
    <row r="303" customFormat="false" ht="15" hidden="false" customHeight="false" outlineLevel="0" collapsed="false">
      <c r="A303" s="0" t="s">
        <v>2971</v>
      </c>
      <c r="B303" s="0" t="n">
        <v>7.33</v>
      </c>
    </row>
    <row r="304" customFormat="false" ht="15" hidden="false" customHeight="false" outlineLevel="0" collapsed="false">
      <c r="A304" s="0" t="s">
        <v>2972</v>
      </c>
      <c r="B304" s="0" t="n">
        <v>5.67</v>
      </c>
    </row>
    <row r="305" customFormat="false" ht="15" hidden="false" customHeight="false" outlineLevel="0" collapsed="false">
      <c r="A305" s="0" t="s">
        <v>2973</v>
      </c>
      <c r="B305" s="0" t="n">
        <v>8.2</v>
      </c>
    </row>
    <row r="306" customFormat="false" ht="15" hidden="false" customHeight="false" outlineLevel="0" collapsed="false">
      <c r="A306" s="0" t="s">
        <v>2974</v>
      </c>
      <c r="B306" s="0" t="n">
        <v>7.75</v>
      </c>
    </row>
    <row r="307" customFormat="false" ht="15" hidden="false" customHeight="false" outlineLevel="0" collapsed="false">
      <c r="A307" s="0" t="s">
        <v>2975</v>
      </c>
      <c r="B307" s="0" t="n">
        <v>8</v>
      </c>
    </row>
    <row r="308" customFormat="false" ht="15" hidden="false" customHeight="false" outlineLevel="0" collapsed="false">
      <c r="A308" s="0" t="s">
        <v>2976</v>
      </c>
      <c r="B308" s="0" t="n">
        <v>5.67</v>
      </c>
    </row>
    <row r="309" customFormat="false" ht="15" hidden="false" customHeight="false" outlineLevel="0" collapsed="false">
      <c r="A309" s="0" t="s">
        <v>2977</v>
      </c>
      <c r="B309" s="0" t="n">
        <v>9.5</v>
      </c>
    </row>
    <row r="310" customFormat="false" ht="15" hidden="false" customHeight="false" outlineLevel="0" collapsed="false">
      <c r="A310" s="0" t="s">
        <v>2978</v>
      </c>
      <c r="B310" s="0" t="n">
        <v>5</v>
      </c>
    </row>
    <row r="311" customFormat="false" ht="15" hidden="false" customHeight="false" outlineLevel="0" collapsed="false">
      <c r="A311" s="0" t="s">
        <v>2979</v>
      </c>
      <c r="B311" s="0" t="n">
        <v>8.96</v>
      </c>
    </row>
    <row r="312" customFormat="false" ht="15" hidden="false" customHeight="false" outlineLevel="0" collapsed="false">
      <c r="A312" s="0" t="s">
        <v>2980</v>
      </c>
      <c r="B312" s="0" t="n">
        <v>8.25</v>
      </c>
    </row>
    <row r="313" customFormat="false" ht="15" hidden="false" customHeight="false" outlineLevel="0" collapsed="false">
      <c r="A313" s="0" t="s">
        <v>2981</v>
      </c>
      <c r="B313" s="0" t="n">
        <v>8</v>
      </c>
    </row>
    <row r="314" customFormat="false" ht="15" hidden="false" customHeight="false" outlineLevel="0" collapsed="false">
      <c r="A314" s="0" t="s">
        <v>2982</v>
      </c>
      <c r="B314" s="0" t="n">
        <v>8</v>
      </c>
    </row>
    <row r="315" customFormat="false" ht="15" hidden="false" customHeight="false" outlineLevel="0" collapsed="false">
      <c r="A315" s="0" t="s">
        <v>2983</v>
      </c>
      <c r="B315" s="0" t="n">
        <v>9.44</v>
      </c>
    </row>
    <row r="316" customFormat="false" ht="15" hidden="false" customHeight="false" outlineLevel="0" collapsed="false">
      <c r="A316" s="0" t="s">
        <v>2984</v>
      </c>
      <c r="B316" s="0" t="n">
        <v>8</v>
      </c>
    </row>
    <row r="317" customFormat="false" ht="15" hidden="false" customHeight="false" outlineLevel="0" collapsed="false">
      <c r="A317" s="0" t="s">
        <v>2985</v>
      </c>
      <c r="B317" s="0" t="n">
        <v>9.8</v>
      </c>
    </row>
    <row r="318" customFormat="false" ht="15" hidden="false" customHeight="false" outlineLevel="0" collapsed="false">
      <c r="A318" s="0" t="s">
        <v>2986</v>
      </c>
      <c r="B318" s="0" t="n">
        <v>9.2</v>
      </c>
    </row>
    <row r="319" customFormat="false" ht="15" hidden="false" customHeight="false" outlineLevel="0" collapsed="false">
      <c r="A319" s="0" t="s">
        <v>2987</v>
      </c>
      <c r="B319" s="0" t="n">
        <v>7.25</v>
      </c>
    </row>
    <row r="320" customFormat="false" ht="15" hidden="false" customHeight="false" outlineLevel="0" collapsed="false">
      <c r="A320" s="0" t="s">
        <v>2988</v>
      </c>
      <c r="B320" s="0" t="n">
        <v>6.33</v>
      </c>
    </row>
    <row r="321" customFormat="false" ht="15" hidden="false" customHeight="false" outlineLevel="0" collapsed="false">
      <c r="A321" s="0" t="s">
        <v>2989</v>
      </c>
      <c r="B321" s="0" t="n">
        <v>9</v>
      </c>
    </row>
    <row r="322" customFormat="false" ht="15" hidden="false" customHeight="false" outlineLevel="0" collapsed="false">
      <c r="A322" s="0" t="s">
        <v>2990</v>
      </c>
      <c r="B322" s="0" t="n">
        <v>9.5</v>
      </c>
    </row>
    <row r="323" customFormat="false" ht="15" hidden="false" customHeight="false" outlineLevel="0" collapsed="false">
      <c r="A323" s="0" t="s">
        <v>2991</v>
      </c>
      <c r="B323" s="0" t="n">
        <v>10</v>
      </c>
    </row>
    <row r="324" customFormat="false" ht="15" hidden="false" customHeight="false" outlineLevel="0" collapsed="false">
      <c r="A324" s="0" t="s">
        <v>2992</v>
      </c>
      <c r="B324" s="0" t="n">
        <v>9.39</v>
      </c>
    </row>
    <row r="325" customFormat="false" ht="15" hidden="false" customHeight="false" outlineLevel="0" collapsed="false">
      <c r="A325" s="0" t="s">
        <v>2993</v>
      </c>
      <c r="B325" s="0" t="n">
        <v>7.76</v>
      </c>
    </row>
    <row r="326" customFormat="false" ht="15" hidden="false" customHeight="false" outlineLevel="0" collapsed="false">
      <c r="A326" s="0" t="s">
        <v>2994</v>
      </c>
      <c r="B326" s="0" t="n">
        <v>12.67</v>
      </c>
    </row>
    <row r="327" customFormat="false" ht="15" hidden="false" customHeight="false" outlineLevel="0" collapsed="false">
      <c r="A327" s="0" t="s">
        <v>2995</v>
      </c>
      <c r="B327" s="0" t="n">
        <v>7.4</v>
      </c>
    </row>
    <row r="328" customFormat="false" ht="15" hidden="false" customHeight="false" outlineLevel="0" collapsed="false">
      <c r="A328" s="0" t="s">
        <v>2996</v>
      </c>
      <c r="B328" s="0" t="n">
        <v>9.33</v>
      </c>
    </row>
    <row r="329" customFormat="false" ht="15" hidden="false" customHeight="false" outlineLevel="0" collapsed="false">
      <c r="A329" s="0" t="s">
        <v>2997</v>
      </c>
      <c r="B329" s="0" t="n">
        <v>9.17</v>
      </c>
    </row>
    <row r="330" customFormat="false" ht="15" hidden="false" customHeight="false" outlineLevel="0" collapsed="false">
      <c r="A330" s="0" t="s">
        <v>2998</v>
      </c>
      <c r="B330" s="0" t="n">
        <v>7.86</v>
      </c>
    </row>
    <row r="331" customFormat="false" ht="15" hidden="false" customHeight="false" outlineLevel="0" collapsed="false">
      <c r="A331" s="0" t="s">
        <v>2999</v>
      </c>
      <c r="B331" s="0" t="n">
        <v>6.4</v>
      </c>
    </row>
    <row r="332" customFormat="false" ht="15" hidden="false" customHeight="false" outlineLevel="0" collapsed="false">
      <c r="A332" s="0" t="s">
        <v>3000</v>
      </c>
      <c r="B332" s="0" t="n">
        <v>9.29</v>
      </c>
    </row>
    <row r="333" customFormat="false" ht="15" hidden="false" customHeight="false" outlineLevel="0" collapsed="false">
      <c r="A333" s="0" t="s">
        <v>3001</v>
      </c>
      <c r="B333" s="0" t="n">
        <v>6</v>
      </c>
    </row>
    <row r="334" customFormat="false" ht="15" hidden="false" customHeight="false" outlineLevel="0" collapsed="false">
      <c r="A334" s="0" t="s">
        <v>3002</v>
      </c>
      <c r="B334" s="0" t="n">
        <v>10.67</v>
      </c>
    </row>
    <row r="335" customFormat="false" ht="15" hidden="false" customHeight="false" outlineLevel="0" collapsed="false">
      <c r="A335" s="0" t="s">
        <v>3003</v>
      </c>
      <c r="B335" s="0" t="n">
        <v>7.33</v>
      </c>
    </row>
    <row r="336" customFormat="false" ht="15" hidden="false" customHeight="false" outlineLevel="0" collapsed="false">
      <c r="A336" s="0" t="s">
        <v>3004</v>
      </c>
      <c r="B336" s="0" t="n">
        <v>9</v>
      </c>
    </row>
    <row r="337" customFormat="false" ht="15" hidden="false" customHeight="false" outlineLevel="0" collapsed="false">
      <c r="A337" s="0" t="s">
        <v>3005</v>
      </c>
      <c r="B337" s="0" t="n">
        <v>9</v>
      </c>
    </row>
    <row r="338" customFormat="false" ht="15" hidden="false" customHeight="false" outlineLevel="0" collapsed="false">
      <c r="A338" s="0" t="s">
        <v>3006</v>
      </c>
      <c r="B338" s="0" t="n">
        <v>7.09</v>
      </c>
    </row>
    <row r="339" customFormat="false" ht="15" hidden="false" customHeight="false" outlineLevel="0" collapsed="false">
      <c r="A339" s="0" t="s">
        <v>3007</v>
      </c>
      <c r="B339" s="0" t="n">
        <v>8.75</v>
      </c>
    </row>
    <row r="340" customFormat="false" ht="15" hidden="false" customHeight="false" outlineLevel="0" collapsed="false">
      <c r="A340" s="0" t="s">
        <v>3008</v>
      </c>
      <c r="B340" s="0" t="n">
        <v>6.42</v>
      </c>
    </row>
    <row r="341" customFormat="false" ht="15" hidden="false" customHeight="false" outlineLevel="0" collapsed="false">
      <c r="A341" s="0" t="s">
        <v>3009</v>
      </c>
      <c r="B341" s="0" t="n">
        <v>6</v>
      </c>
    </row>
    <row r="342" customFormat="false" ht="15" hidden="false" customHeight="false" outlineLevel="0" collapsed="false">
      <c r="A342" s="0" t="s">
        <v>3010</v>
      </c>
      <c r="B342" s="0" t="n">
        <v>7.15</v>
      </c>
    </row>
    <row r="343" customFormat="false" ht="15" hidden="false" customHeight="false" outlineLevel="0" collapsed="false">
      <c r="A343" s="0" t="s">
        <v>3011</v>
      </c>
      <c r="B343" s="0" t="n">
        <v>9.17</v>
      </c>
    </row>
    <row r="344" customFormat="false" ht="15" hidden="false" customHeight="false" outlineLevel="0" collapsed="false">
      <c r="A344" s="0" t="s">
        <v>3012</v>
      </c>
      <c r="B344" s="0" t="n">
        <v>8.38</v>
      </c>
    </row>
    <row r="345" customFormat="false" ht="15" hidden="false" customHeight="false" outlineLevel="0" collapsed="false">
      <c r="A345" s="0" t="s">
        <v>3013</v>
      </c>
      <c r="B345" s="0" t="n">
        <v>9.6</v>
      </c>
    </row>
    <row r="346" customFormat="false" ht="15" hidden="false" customHeight="false" outlineLevel="0" collapsed="false">
      <c r="A346" s="0" t="s">
        <v>3014</v>
      </c>
      <c r="B346" s="0" t="n">
        <v>7.38</v>
      </c>
    </row>
    <row r="347" customFormat="false" ht="15" hidden="false" customHeight="false" outlineLevel="0" collapsed="false">
      <c r="A347" s="0" t="s">
        <v>3015</v>
      </c>
      <c r="B347" s="0" t="n">
        <v>15.25</v>
      </c>
    </row>
    <row r="348" customFormat="false" ht="15" hidden="false" customHeight="false" outlineLevel="0" collapsed="false">
      <c r="A348" s="0" t="s">
        <v>3016</v>
      </c>
      <c r="B348" s="0" t="n">
        <v>7.5</v>
      </c>
    </row>
    <row r="349" customFormat="false" ht="15" hidden="false" customHeight="false" outlineLevel="0" collapsed="false">
      <c r="A349" s="0" t="s">
        <v>3017</v>
      </c>
      <c r="B349" s="0" t="n">
        <v>6.67</v>
      </c>
    </row>
    <row r="350" customFormat="false" ht="15" hidden="false" customHeight="false" outlineLevel="0" collapsed="false">
      <c r="A350" s="0" t="s">
        <v>3018</v>
      </c>
      <c r="B350" s="0" t="n">
        <v>7</v>
      </c>
    </row>
    <row r="351" customFormat="false" ht="15" hidden="false" customHeight="false" outlineLevel="0" collapsed="false">
      <c r="A351" s="0" t="s">
        <v>3019</v>
      </c>
      <c r="B351" s="0" t="n">
        <v>7.17</v>
      </c>
    </row>
    <row r="352" customFormat="false" ht="15" hidden="false" customHeight="false" outlineLevel="0" collapsed="false">
      <c r="A352" s="0" t="s">
        <v>3020</v>
      </c>
      <c r="B352" s="0" t="n">
        <v>8.07</v>
      </c>
    </row>
    <row r="353" customFormat="false" ht="15" hidden="false" customHeight="false" outlineLevel="0" collapsed="false">
      <c r="A353" s="0" t="s">
        <v>3021</v>
      </c>
      <c r="B353" s="0" t="n">
        <v>8.51</v>
      </c>
    </row>
    <row r="354" customFormat="false" ht="15" hidden="false" customHeight="false" outlineLevel="0" collapsed="false">
      <c r="A354" s="0" t="s">
        <v>3022</v>
      </c>
      <c r="B354" s="0" t="n">
        <v>5.86</v>
      </c>
    </row>
    <row r="355" customFormat="false" ht="15" hidden="false" customHeight="false" outlineLevel="0" collapsed="false">
      <c r="A355" s="0" t="s">
        <v>3023</v>
      </c>
      <c r="B355" s="0" t="n">
        <v>9.38</v>
      </c>
    </row>
    <row r="356" customFormat="false" ht="15" hidden="false" customHeight="false" outlineLevel="0" collapsed="false">
      <c r="A356" s="0" t="s">
        <v>3024</v>
      </c>
      <c r="B356" s="0" t="n">
        <v>8.12</v>
      </c>
    </row>
    <row r="357" customFormat="false" ht="15" hidden="false" customHeight="false" outlineLevel="0" collapsed="false">
      <c r="A357" s="0" t="s">
        <v>3025</v>
      </c>
      <c r="B357" s="0" t="n">
        <v>9.57</v>
      </c>
    </row>
    <row r="358" customFormat="false" ht="15" hidden="false" customHeight="false" outlineLevel="0" collapsed="false">
      <c r="A358" s="0" t="s">
        <v>3026</v>
      </c>
      <c r="B358" s="0" t="n">
        <v>7.5</v>
      </c>
    </row>
    <row r="359" customFormat="false" ht="15" hidden="false" customHeight="false" outlineLevel="0" collapsed="false">
      <c r="A359" s="0" t="s">
        <v>3027</v>
      </c>
      <c r="B359" s="0" t="n">
        <v>10.1</v>
      </c>
    </row>
    <row r="360" customFormat="false" ht="15" hidden="false" customHeight="false" outlineLevel="0" collapsed="false">
      <c r="A360" s="0" t="s">
        <v>3028</v>
      </c>
      <c r="B360" s="0" t="n">
        <v>9.44</v>
      </c>
    </row>
    <row r="361" customFormat="false" ht="15" hidden="false" customHeight="false" outlineLevel="0" collapsed="false">
      <c r="A361" s="0" t="s">
        <v>3029</v>
      </c>
      <c r="B361" s="0" t="n">
        <v>7.29</v>
      </c>
    </row>
    <row r="362" customFormat="false" ht="15" hidden="false" customHeight="false" outlineLevel="0" collapsed="false">
      <c r="A362" s="0" t="s">
        <v>3030</v>
      </c>
      <c r="B362" s="0" t="n">
        <v>9.71</v>
      </c>
    </row>
    <row r="363" customFormat="false" ht="15" hidden="false" customHeight="false" outlineLevel="0" collapsed="false">
      <c r="A363" s="0" t="s">
        <v>3031</v>
      </c>
      <c r="B363" s="0" t="n">
        <v>8.47</v>
      </c>
    </row>
    <row r="364" customFormat="false" ht="15" hidden="false" customHeight="false" outlineLevel="0" collapsed="false">
      <c r="A364" s="0" t="s">
        <v>3032</v>
      </c>
      <c r="B364" s="0" t="n">
        <v>8</v>
      </c>
    </row>
    <row r="365" customFormat="false" ht="15" hidden="false" customHeight="false" outlineLevel="0" collapsed="false">
      <c r="A365" s="0" t="s">
        <v>3033</v>
      </c>
      <c r="B365" s="0" t="n">
        <v>5.75</v>
      </c>
    </row>
    <row r="366" customFormat="false" ht="15" hidden="false" customHeight="false" outlineLevel="0" collapsed="false">
      <c r="A366" s="0" t="s">
        <v>3034</v>
      </c>
      <c r="B366" s="0" t="n">
        <v>7.59</v>
      </c>
    </row>
    <row r="367" customFormat="false" ht="15" hidden="false" customHeight="false" outlineLevel="0" collapsed="false">
      <c r="A367" s="0" t="s">
        <v>3035</v>
      </c>
      <c r="B367" s="0" t="n">
        <v>7.5</v>
      </c>
    </row>
    <row r="368" customFormat="false" ht="15" hidden="false" customHeight="false" outlineLevel="0" collapsed="false">
      <c r="A368" s="0" t="s">
        <v>3036</v>
      </c>
      <c r="B368" s="0" t="n">
        <v>8.23</v>
      </c>
    </row>
    <row r="369" customFormat="false" ht="15" hidden="false" customHeight="false" outlineLevel="0" collapsed="false">
      <c r="A369" s="0" t="s">
        <v>3037</v>
      </c>
      <c r="B369" s="0" t="n">
        <v>9.43</v>
      </c>
    </row>
    <row r="370" customFormat="false" ht="15" hidden="false" customHeight="false" outlineLevel="0" collapsed="false">
      <c r="A370" s="0" t="s">
        <v>3038</v>
      </c>
      <c r="B370" s="0" t="n">
        <v>5.67</v>
      </c>
    </row>
    <row r="371" customFormat="false" ht="15" hidden="false" customHeight="false" outlineLevel="0" collapsed="false">
      <c r="A371" s="0" t="s">
        <v>3039</v>
      </c>
      <c r="B371" s="0" t="n">
        <v>7.17</v>
      </c>
    </row>
    <row r="372" customFormat="false" ht="15" hidden="false" customHeight="false" outlineLevel="0" collapsed="false">
      <c r="A372" s="0" t="s">
        <v>3040</v>
      </c>
      <c r="B372" s="0" t="n">
        <v>9.31</v>
      </c>
    </row>
    <row r="373" customFormat="false" ht="15" hidden="false" customHeight="false" outlineLevel="0" collapsed="false">
      <c r="A373" s="0" t="s">
        <v>3041</v>
      </c>
      <c r="B373" s="0" t="n">
        <v>11.38</v>
      </c>
    </row>
    <row r="374" customFormat="false" ht="15" hidden="false" customHeight="false" outlineLevel="0" collapsed="false">
      <c r="A374" s="0" t="s">
        <v>3042</v>
      </c>
      <c r="B374" s="0" t="n">
        <v>9.75</v>
      </c>
    </row>
    <row r="375" customFormat="false" ht="15" hidden="false" customHeight="false" outlineLevel="0" collapsed="false">
      <c r="A375" s="0" t="s">
        <v>3043</v>
      </c>
      <c r="B375" s="0" t="n">
        <v>12</v>
      </c>
    </row>
    <row r="376" customFormat="false" ht="15" hidden="false" customHeight="false" outlineLevel="0" collapsed="false">
      <c r="A376" s="0" t="s">
        <v>3044</v>
      </c>
      <c r="B376" s="0" t="n">
        <v>6.33</v>
      </c>
    </row>
    <row r="377" customFormat="false" ht="15" hidden="false" customHeight="false" outlineLevel="0" collapsed="false">
      <c r="A377" s="0" t="s">
        <v>3045</v>
      </c>
      <c r="B377" s="0" t="n">
        <v>6</v>
      </c>
    </row>
    <row r="378" customFormat="false" ht="15" hidden="false" customHeight="false" outlineLevel="0" collapsed="false">
      <c r="A378" s="0" t="s">
        <v>3046</v>
      </c>
      <c r="B378" s="0" t="n">
        <v>7.29</v>
      </c>
    </row>
    <row r="379" customFormat="false" ht="15" hidden="false" customHeight="false" outlineLevel="0" collapsed="false">
      <c r="A379" s="0" t="s">
        <v>3047</v>
      </c>
      <c r="B379" s="0" t="n">
        <v>8.2</v>
      </c>
    </row>
    <row r="380" customFormat="false" ht="15" hidden="false" customHeight="false" outlineLevel="0" collapsed="false">
      <c r="A380" s="0" t="s">
        <v>3048</v>
      </c>
      <c r="B380" s="0" t="n">
        <v>8.4</v>
      </c>
    </row>
    <row r="381" customFormat="false" ht="15" hidden="false" customHeight="false" outlineLevel="0" collapsed="false">
      <c r="A381" s="0" t="s">
        <v>3049</v>
      </c>
      <c r="B381" s="0" t="n">
        <v>14</v>
      </c>
    </row>
    <row r="382" customFormat="false" ht="15" hidden="false" customHeight="false" outlineLevel="0" collapsed="false">
      <c r="A382" s="0" t="s">
        <v>3050</v>
      </c>
      <c r="B382" s="0" t="n">
        <v>7.42</v>
      </c>
    </row>
    <row r="383" customFormat="false" ht="15" hidden="false" customHeight="false" outlineLevel="0" collapsed="false">
      <c r="A383" s="0" t="s">
        <v>3051</v>
      </c>
      <c r="B383" s="0" t="n">
        <v>7.65</v>
      </c>
    </row>
    <row r="384" customFormat="false" ht="15" hidden="false" customHeight="false" outlineLevel="0" collapsed="false">
      <c r="A384" s="0" t="s">
        <v>3052</v>
      </c>
      <c r="B384" s="0" t="n">
        <v>6.65</v>
      </c>
    </row>
    <row r="385" customFormat="false" ht="15" hidden="false" customHeight="false" outlineLevel="0" collapsed="false">
      <c r="A385" s="0" t="s">
        <v>3053</v>
      </c>
      <c r="B385" s="0" t="n">
        <v>8.44</v>
      </c>
    </row>
    <row r="386" customFormat="false" ht="15" hidden="false" customHeight="false" outlineLevel="0" collapsed="false">
      <c r="A386" s="0" t="s">
        <v>3054</v>
      </c>
      <c r="B386" s="0" t="n">
        <v>8.11</v>
      </c>
    </row>
    <row r="387" customFormat="false" ht="15" hidden="false" customHeight="false" outlineLevel="0" collapsed="false">
      <c r="A387" s="0" t="s">
        <v>3055</v>
      </c>
      <c r="B387" s="0" t="n">
        <v>9.12</v>
      </c>
    </row>
    <row r="388" customFormat="false" ht="15" hidden="false" customHeight="false" outlineLevel="0" collapsed="false">
      <c r="A388" s="0" t="s">
        <v>3056</v>
      </c>
      <c r="B388" s="0" t="n">
        <v>6.67</v>
      </c>
    </row>
    <row r="389" customFormat="false" ht="15" hidden="false" customHeight="false" outlineLevel="0" collapsed="false">
      <c r="A389" s="0" t="s">
        <v>3057</v>
      </c>
      <c r="B389" s="0" t="n">
        <v>5.62</v>
      </c>
    </row>
    <row r="390" customFormat="false" ht="15" hidden="false" customHeight="false" outlineLevel="0" collapsed="false">
      <c r="A390" s="0" t="s">
        <v>3058</v>
      </c>
      <c r="B390" s="0" t="n">
        <v>7.54</v>
      </c>
    </row>
    <row r="391" customFormat="false" ht="15" hidden="false" customHeight="false" outlineLevel="0" collapsed="false">
      <c r="A391" s="0" t="s">
        <v>3059</v>
      </c>
      <c r="B391" s="0" t="n">
        <v>8.43</v>
      </c>
    </row>
    <row r="392" customFormat="false" ht="15" hidden="false" customHeight="false" outlineLevel="0" collapsed="false">
      <c r="A392" s="0" t="s">
        <v>3060</v>
      </c>
      <c r="B392" s="0" t="n">
        <v>9</v>
      </c>
    </row>
    <row r="393" customFormat="false" ht="15" hidden="false" customHeight="false" outlineLevel="0" collapsed="false">
      <c r="A393" s="0" t="s">
        <v>3061</v>
      </c>
      <c r="B393" s="0" t="n">
        <v>8.7</v>
      </c>
    </row>
    <row r="394" customFormat="false" ht="15" hidden="false" customHeight="false" outlineLevel="0" collapsed="false">
      <c r="A394" s="0" t="s">
        <v>3062</v>
      </c>
      <c r="B394" s="0" t="n">
        <v>8</v>
      </c>
    </row>
    <row r="395" customFormat="false" ht="15" hidden="false" customHeight="false" outlineLevel="0" collapsed="false">
      <c r="A395" s="0" t="s">
        <v>3063</v>
      </c>
      <c r="B395" s="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18"/>
    <col collapsed="false" customWidth="true" hidden="false" outlineLevel="0" max="5" min="4" style="0" width="10"/>
    <col collapsed="false" customWidth="true" hidden="false" outlineLevel="0" max="6" min="6" style="0" width="7"/>
    <col collapsed="false" customWidth="true" hidden="false" outlineLevel="0" max="7" min="7" style="0" width="10"/>
  </cols>
  <sheetData>
    <row r="1" customFormat="false" ht="55.2" hidden="false" customHeight="false" outlineLevel="0" collapsed="false">
      <c r="A1" s="12" t="s">
        <v>950</v>
      </c>
      <c r="B1" s="12" t="s">
        <v>64</v>
      </c>
      <c r="C1" s="12" t="s">
        <v>925</v>
      </c>
      <c r="D1" s="12" t="s">
        <v>3064</v>
      </c>
      <c r="E1" s="12" t="s">
        <v>3065</v>
      </c>
      <c r="F1" s="12" t="s">
        <v>3066</v>
      </c>
      <c r="G1" s="12" t="s">
        <v>3067</v>
      </c>
    </row>
    <row r="2" customFormat="false" ht="15" hidden="false" customHeight="false" outlineLevel="0" collapsed="false">
      <c r="A2" s="0" t="s">
        <v>905</v>
      </c>
      <c r="B2" s="0" t="s">
        <v>131</v>
      </c>
      <c r="C2" s="0" t="s">
        <v>994</v>
      </c>
      <c r="D2" s="0" t="n">
        <v>4</v>
      </c>
      <c r="E2" s="0" t="n">
        <v>0</v>
      </c>
      <c r="F2" s="0" t="n">
        <v>100</v>
      </c>
      <c r="G2" s="0" t="n">
        <v>1</v>
      </c>
    </row>
    <row r="3" customFormat="false" ht="15" hidden="false" customHeight="false" outlineLevel="0" collapsed="false">
      <c r="A3" s="0" t="s">
        <v>905</v>
      </c>
      <c r="B3" s="0" t="s">
        <v>131</v>
      </c>
      <c r="C3" s="0" t="s">
        <v>2627</v>
      </c>
      <c r="D3" s="0" t="n">
        <v>8</v>
      </c>
      <c r="E3" s="0" t="n">
        <v>3</v>
      </c>
      <c r="F3" s="0" t="n">
        <v>62</v>
      </c>
      <c r="G3" s="0" t="n">
        <v>13</v>
      </c>
    </row>
    <row r="4" customFormat="false" ht="15" hidden="false" customHeight="false" outlineLevel="0" collapsed="false">
      <c r="A4" s="0" t="s">
        <v>905</v>
      </c>
      <c r="B4" s="0" t="s">
        <v>107</v>
      </c>
      <c r="C4" s="0" t="s">
        <v>994</v>
      </c>
      <c r="D4" s="0" t="n">
        <v>4</v>
      </c>
      <c r="E4" s="0" t="n">
        <v>12</v>
      </c>
      <c r="F4" s="0" t="n">
        <v>33</v>
      </c>
      <c r="G4" s="0" t="n">
        <v>6</v>
      </c>
    </row>
    <row r="5" customFormat="false" ht="15" hidden="false" customHeight="false" outlineLevel="0" collapsed="false">
      <c r="A5" s="0" t="s">
        <v>905</v>
      </c>
      <c r="B5" s="0" t="s">
        <v>107</v>
      </c>
      <c r="C5" s="0" t="s">
        <v>2627</v>
      </c>
      <c r="D5" s="0" t="n">
        <v>8</v>
      </c>
      <c r="E5" s="0" t="n">
        <v>11</v>
      </c>
      <c r="F5" s="0" t="n">
        <v>33</v>
      </c>
      <c r="G5" s="0" t="n">
        <v>9</v>
      </c>
    </row>
    <row r="6" customFormat="false" ht="15" hidden="false" customHeight="false" outlineLevel="0" collapsed="false">
      <c r="A6" s="0" t="s">
        <v>905</v>
      </c>
      <c r="B6" s="0" t="s">
        <v>150</v>
      </c>
      <c r="C6" s="0" t="s">
        <v>994</v>
      </c>
      <c r="D6" s="0" t="n">
        <v>16</v>
      </c>
      <c r="E6" s="0" t="n">
        <v>0</v>
      </c>
      <c r="F6" s="0" t="n">
        <v>100</v>
      </c>
      <c r="G6" s="0" t="n">
        <v>4</v>
      </c>
    </row>
    <row r="7" customFormat="false" ht="15" hidden="false" customHeight="false" outlineLevel="0" collapsed="false">
      <c r="A7" s="0" t="s">
        <v>905</v>
      </c>
      <c r="B7" s="0" t="s">
        <v>150</v>
      </c>
      <c r="C7" s="0" t="s">
        <v>2627</v>
      </c>
      <c r="D7" s="0" t="n">
        <v>14</v>
      </c>
      <c r="E7" s="0" t="n">
        <v>0</v>
      </c>
      <c r="F7" s="0" t="n">
        <v>82</v>
      </c>
      <c r="G7" s="0" t="n">
        <v>11</v>
      </c>
    </row>
    <row r="8" customFormat="false" ht="15" hidden="false" customHeight="false" outlineLevel="0" collapsed="false">
      <c r="A8" s="0" t="s">
        <v>905</v>
      </c>
      <c r="B8" s="0" t="s">
        <v>142</v>
      </c>
      <c r="C8" s="0" t="s">
        <v>994</v>
      </c>
      <c r="D8" s="0" t="n">
        <v>0</v>
      </c>
      <c r="E8" s="0" t="n">
        <v>84</v>
      </c>
      <c r="G8" s="0" t="n">
        <v>0</v>
      </c>
    </row>
    <row r="9" customFormat="false" ht="15" hidden="false" customHeight="false" outlineLevel="0" collapsed="false">
      <c r="A9" s="0" t="s">
        <v>905</v>
      </c>
      <c r="B9" s="0" t="s">
        <v>142</v>
      </c>
      <c r="C9" s="0" t="s">
        <v>2627</v>
      </c>
      <c r="D9" s="0" t="n">
        <v>14</v>
      </c>
      <c r="E9" s="0" t="n">
        <v>3</v>
      </c>
      <c r="F9" s="0" t="n">
        <v>88</v>
      </c>
      <c r="G9" s="0" t="n">
        <v>8</v>
      </c>
    </row>
    <row r="10" customFormat="false" ht="15" hidden="false" customHeight="false" outlineLevel="0" collapsed="false">
      <c r="A10" s="0" t="s">
        <v>905</v>
      </c>
      <c r="B10" s="0" t="s">
        <v>80</v>
      </c>
      <c r="C10" s="0" t="s">
        <v>994</v>
      </c>
      <c r="D10" s="0" t="n">
        <v>0</v>
      </c>
      <c r="E10" s="0" t="n">
        <v>4</v>
      </c>
      <c r="F10" s="0" t="n">
        <v>40</v>
      </c>
      <c r="G10" s="0" t="n">
        <v>5</v>
      </c>
    </row>
    <row r="11" customFormat="false" ht="15" hidden="false" customHeight="false" outlineLevel="0" collapsed="false">
      <c r="A11" s="0" t="s">
        <v>905</v>
      </c>
      <c r="B11" s="0" t="s">
        <v>80</v>
      </c>
      <c r="C11" s="0" t="s">
        <v>2627</v>
      </c>
      <c r="D11" s="0" t="n">
        <v>14</v>
      </c>
      <c r="E11" s="0" t="n">
        <v>0</v>
      </c>
      <c r="F11" s="0" t="n">
        <v>50</v>
      </c>
      <c r="G11" s="0" t="n">
        <v>12</v>
      </c>
    </row>
    <row r="12" customFormat="false" ht="15" hidden="false" customHeight="false" outlineLevel="0" collapsed="false">
      <c r="A12" s="0" t="s">
        <v>905</v>
      </c>
      <c r="B12" s="0" t="s">
        <v>121</v>
      </c>
      <c r="C12" s="0" t="s">
        <v>994</v>
      </c>
      <c r="D12" s="0" t="n">
        <v>36</v>
      </c>
      <c r="E12" s="0" t="n">
        <v>0</v>
      </c>
      <c r="F12" s="0" t="n">
        <v>56</v>
      </c>
      <c r="G12" s="0" t="n">
        <v>9</v>
      </c>
    </row>
    <row r="13" customFormat="false" ht="15" hidden="false" customHeight="false" outlineLevel="0" collapsed="false">
      <c r="A13" s="0" t="s">
        <v>905</v>
      </c>
      <c r="B13" s="0" t="s">
        <v>121</v>
      </c>
      <c r="C13" s="0" t="s">
        <v>2627</v>
      </c>
      <c r="D13" s="0" t="n">
        <v>0</v>
      </c>
      <c r="E13" s="0" t="n">
        <v>62</v>
      </c>
      <c r="F13" s="0" t="n">
        <v>0</v>
      </c>
      <c r="G13" s="0" t="n">
        <v>2</v>
      </c>
    </row>
    <row r="14" customFormat="false" ht="15" hidden="false" customHeight="false" outlineLevel="0" collapsed="false">
      <c r="A14" s="0" t="s">
        <v>905</v>
      </c>
      <c r="B14" s="0" t="s">
        <v>94</v>
      </c>
      <c r="C14" s="0" t="s">
        <v>994</v>
      </c>
      <c r="D14" s="0" t="n">
        <v>20</v>
      </c>
      <c r="E14" s="0" t="n">
        <v>0</v>
      </c>
      <c r="F14" s="0" t="n">
        <v>50</v>
      </c>
      <c r="G14" s="0" t="n">
        <v>4</v>
      </c>
    </row>
    <row r="15" customFormat="false" ht="15" hidden="false" customHeight="false" outlineLevel="0" collapsed="false">
      <c r="A15" s="0" t="s">
        <v>905</v>
      </c>
      <c r="B15" s="0" t="s">
        <v>94</v>
      </c>
      <c r="C15" s="0" t="s">
        <v>2627</v>
      </c>
      <c r="D15" s="0" t="n">
        <v>32</v>
      </c>
      <c r="E15" s="0" t="n">
        <v>0</v>
      </c>
      <c r="F15" s="0" t="n">
        <v>67</v>
      </c>
      <c r="G15" s="0" t="n">
        <v>12</v>
      </c>
    </row>
    <row r="16" customFormat="false" ht="15" hidden="false" customHeight="false" outlineLevel="0" collapsed="false">
      <c r="A16" s="0" t="s">
        <v>996</v>
      </c>
      <c r="B16" s="0" t="s">
        <v>131</v>
      </c>
      <c r="C16" s="0" t="s">
        <v>2629</v>
      </c>
      <c r="D16" s="0" t="n">
        <v>0</v>
      </c>
      <c r="E16" s="0" t="n">
        <v>0</v>
      </c>
      <c r="F16" s="0" t="n">
        <v>50</v>
      </c>
      <c r="G16" s="0" t="n">
        <v>8</v>
      </c>
    </row>
    <row r="17" customFormat="false" ht="15" hidden="false" customHeight="false" outlineLevel="0" collapsed="false">
      <c r="A17" s="0" t="s">
        <v>996</v>
      </c>
      <c r="B17" s="0" t="s">
        <v>131</v>
      </c>
      <c r="C17" s="0" t="s">
        <v>1001</v>
      </c>
      <c r="D17" s="0" t="n">
        <v>5</v>
      </c>
      <c r="E17" s="0" t="n">
        <v>0</v>
      </c>
      <c r="F17" s="0" t="n">
        <v>75</v>
      </c>
      <c r="G17" s="0" t="n">
        <v>4</v>
      </c>
    </row>
    <row r="18" customFormat="false" ht="15" hidden="false" customHeight="false" outlineLevel="0" collapsed="false">
      <c r="A18" s="0" t="s">
        <v>996</v>
      </c>
      <c r="B18" s="0" t="s">
        <v>107</v>
      </c>
      <c r="C18" s="0" t="s">
        <v>2629</v>
      </c>
      <c r="D18" s="0" t="n">
        <v>63</v>
      </c>
      <c r="E18" s="0" t="n">
        <v>0</v>
      </c>
      <c r="F18" s="0" t="n">
        <v>73</v>
      </c>
      <c r="G18" s="0" t="n">
        <v>15</v>
      </c>
    </row>
    <row r="19" customFormat="false" ht="15" hidden="false" customHeight="false" outlineLevel="0" collapsed="false">
      <c r="A19" s="0" t="s">
        <v>996</v>
      </c>
      <c r="B19" s="0" t="s">
        <v>107</v>
      </c>
      <c r="C19" s="0" t="s">
        <v>1001</v>
      </c>
      <c r="D19" s="0" t="n">
        <v>0</v>
      </c>
      <c r="E19" s="0" t="n">
        <v>95</v>
      </c>
      <c r="G19" s="0" t="n">
        <v>0</v>
      </c>
    </row>
    <row r="20" customFormat="false" ht="15" hidden="false" customHeight="false" outlineLevel="0" collapsed="false">
      <c r="A20" s="0" t="s">
        <v>996</v>
      </c>
      <c r="B20" s="0" t="s">
        <v>150</v>
      </c>
      <c r="C20" s="0" t="s">
        <v>2629</v>
      </c>
      <c r="D20" s="0" t="n">
        <v>16</v>
      </c>
      <c r="E20" s="0" t="n">
        <v>0</v>
      </c>
      <c r="F20" s="0" t="n">
        <v>46</v>
      </c>
      <c r="G20" s="0" t="n">
        <v>13</v>
      </c>
    </row>
    <row r="21" customFormat="false" ht="15" hidden="false" customHeight="false" outlineLevel="0" collapsed="false">
      <c r="A21" s="0" t="s">
        <v>996</v>
      </c>
      <c r="B21" s="0" t="s">
        <v>150</v>
      </c>
      <c r="C21" s="0" t="s">
        <v>1001</v>
      </c>
      <c r="D21" s="0" t="n">
        <v>26</v>
      </c>
      <c r="E21" s="0" t="n">
        <v>0</v>
      </c>
      <c r="F21" s="0" t="n">
        <v>67</v>
      </c>
      <c r="G21" s="0" t="n">
        <v>9</v>
      </c>
    </row>
    <row r="22" customFormat="false" ht="15" hidden="false" customHeight="false" outlineLevel="0" collapsed="false">
      <c r="A22" s="0" t="s">
        <v>996</v>
      </c>
      <c r="B22" s="0" t="s">
        <v>142</v>
      </c>
      <c r="C22" s="0" t="s">
        <v>2629</v>
      </c>
      <c r="D22" s="0" t="n">
        <v>0</v>
      </c>
      <c r="E22" s="0" t="n">
        <v>100</v>
      </c>
      <c r="G22" s="0" t="n">
        <v>0</v>
      </c>
    </row>
    <row r="23" customFormat="false" ht="15" hidden="false" customHeight="false" outlineLevel="0" collapsed="false">
      <c r="A23" s="0" t="s">
        <v>996</v>
      </c>
      <c r="B23" s="0" t="s">
        <v>142</v>
      </c>
      <c r="C23" s="0" t="s">
        <v>1001</v>
      </c>
      <c r="D23" s="0" t="n">
        <v>43</v>
      </c>
      <c r="E23" s="0" t="n">
        <v>2</v>
      </c>
      <c r="F23" s="0" t="n">
        <v>50</v>
      </c>
      <c r="G23" s="0" t="n">
        <v>6</v>
      </c>
    </row>
    <row r="24" customFormat="false" ht="15" hidden="false" customHeight="false" outlineLevel="0" collapsed="false">
      <c r="A24" s="0" t="s">
        <v>996</v>
      </c>
      <c r="B24" s="0" t="s">
        <v>80</v>
      </c>
      <c r="C24" s="0" t="s">
        <v>2629</v>
      </c>
      <c r="D24" s="0" t="n">
        <v>0</v>
      </c>
      <c r="E24" s="0" t="n">
        <v>0</v>
      </c>
      <c r="F24" s="0" t="n">
        <v>57</v>
      </c>
      <c r="G24" s="0" t="n">
        <v>7</v>
      </c>
    </row>
    <row r="25" customFormat="false" ht="15" hidden="false" customHeight="false" outlineLevel="0" collapsed="false">
      <c r="A25" s="0" t="s">
        <v>996</v>
      </c>
      <c r="B25" s="0" t="s">
        <v>80</v>
      </c>
      <c r="C25" s="0" t="s">
        <v>1001</v>
      </c>
      <c r="D25" s="0" t="n">
        <v>7</v>
      </c>
      <c r="E25" s="0" t="n">
        <v>0</v>
      </c>
      <c r="F25" s="0" t="n">
        <v>0</v>
      </c>
      <c r="G25" s="0" t="n">
        <v>4</v>
      </c>
    </row>
    <row r="26" customFormat="false" ht="15" hidden="false" customHeight="false" outlineLevel="0" collapsed="false">
      <c r="A26" s="0" t="s">
        <v>996</v>
      </c>
      <c r="B26" s="0" t="s">
        <v>121</v>
      </c>
      <c r="C26" s="0" t="s">
        <v>2629</v>
      </c>
      <c r="D26" s="0" t="n">
        <v>11</v>
      </c>
      <c r="E26" s="0" t="n">
        <v>0</v>
      </c>
      <c r="F26" s="0" t="n">
        <v>80</v>
      </c>
      <c r="G26" s="0" t="n">
        <v>10</v>
      </c>
    </row>
    <row r="27" customFormat="false" ht="15" hidden="false" customHeight="false" outlineLevel="0" collapsed="false">
      <c r="A27" s="0" t="s">
        <v>996</v>
      </c>
      <c r="B27" s="0" t="s">
        <v>121</v>
      </c>
      <c r="C27" s="0" t="s">
        <v>1001</v>
      </c>
      <c r="D27" s="0" t="n">
        <v>0</v>
      </c>
      <c r="E27" s="0" t="n">
        <v>2</v>
      </c>
      <c r="F27" s="0" t="n">
        <v>57</v>
      </c>
      <c r="G27" s="0" t="n">
        <v>7</v>
      </c>
    </row>
    <row r="28" customFormat="false" ht="15" hidden="false" customHeight="false" outlineLevel="0" collapsed="false">
      <c r="A28" s="0" t="s">
        <v>996</v>
      </c>
      <c r="B28" s="0" t="s">
        <v>94</v>
      </c>
      <c r="C28" s="0" t="s">
        <v>2629</v>
      </c>
      <c r="D28" s="0" t="n">
        <v>8</v>
      </c>
      <c r="E28" s="0" t="n">
        <v>0</v>
      </c>
      <c r="F28" s="0" t="n">
        <v>80</v>
      </c>
      <c r="G28" s="0" t="n">
        <v>10</v>
      </c>
    </row>
    <row r="29" customFormat="false" ht="15" hidden="false" customHeight="false" outlineLevel="0" collapsed="false">
      <c r="A29" s="0" t="s">
        <v>996</v>
      </c>
      <c r="B29" s="0" t="s">
        <v>94</v>
      </c>
      <c r="C29" s="0" t="s">
        <v>1001</v>
      </c>
      <c r="D29" s="0" t="n">
        <v>0</v>
      </c>
      <c r="E29" s="0" t="n">
        <v>0</v>
      </c>
      <c r="F29" s="0" t="n">
        <v>0</v>
      </c>
      <c r="G29" s="0" t="n">
        <v>2</v>
      </c>
    </row>
    <row r="30" customFormat="false" ht="15" hidden="false" customHeight="false" outlineLevel="0" collapsed="false">
      <c r="A30" s="0" t="s">
        <v>1002</v>
      </c>
      <c r="B30" s="0" t="s">
        <v>131</v>
      </c>
      <c r="C30" s="0" t="s">
        <v>2632</v>
      </c>
      <c r="D30" s="0" t="n">
        <v>0</v>
      </c>
      <c r="E30" s="0" t="n">
        <v>2</v>
      </c>
      <c r="F30" s="0" t="n">
        <v>22</v>
      </c>
      <c r="G30" s="0" t="n">
        <v>9</v>
      </c>
    </row>
    <row r="31" customFormat="false" ht="15" hidden="false" customHeight="false" outlineLevel="0" collapsed="false">
      <c r="A31" s="0" t="s">
        <v>1002</v>
      </c>
      <c r="B31" s="0" t="s">
        <v>131</v>
      </c>
      <c r="C31" s="0" t="s">
        <v>1007</v>
      </c>
      <c r="D31" s="0" t="n">
        <v>5</v>
      </c>
      <c r="E31" s="0" t="n">
        <v>2</v>
      </c>
      <c r="F31" s="0" t="n">
        <v>47</v>
      </c>
      <c r="G31" s="0" t="n">
        <v>15</v>
      </c>
    </row>
    <row r="32" customFormat="false" ht="15" hidden="false" customHeight="false" outlineLevel="0" collapsed="false">
      <c r="A32" s="0" t="s">
        <v>1002</v>
      </c>
      <c r="B32" s="0" t="s">
        <v>107</v>
      </c>
      <c r="C32" s="0" t="s">
        <v>2632</v>
      </c>
      <c r="D32" s="0" t="n">
        <v>6</v>
      </c>
      <c r="E32" s="0" t="n">
        <v>0</v>
      </c>
      <c r="F32" s="0" t="n">
        <v>45</v>
      </c>
      <c r="G32" s="0" t="n">
        <v>11</v>
      </c>
    </row>
    <row r="33" customFormat="false" ht="15" hidden="false" customHeight="false" outlineLevel="0" collapsed="false">
      <c r="A33" s="0" t="s">
        <v>1002</v>
      </c>
      <c r="B33" s="0" t="s">
        <v>107</v>
      </c>
      <c r="C33" s="0" t="s">
        <v>1007</v>
      </c>
      <c r="D33" s="0" t="n">
        <v>2</v>
      </c>
      <c r="E33" s="0" t="n">
        <v>15</v>
      </c>
      <c r="F33" s="0" t="n">
        <v>59</v>
      </c>
      <c r="G33" s="0" t="n">
        <v>17</v>
      </c>
    </row>
    <row r="34" customFormat="false" ht="15" hidden="false" customHeight="false" outlineLevel="0" collapsed="false">
      <c r="A34" s="0" t="s">
        <v>1002</v>
      </c>
      <c r="B34" s="0" t="s">
        <v>150</v>
      </c>
      <c r="C34" s="0" t="s">
        <v>2632</v>
      </c>
      <c r="D34" s="0" t="n">
        <v>43</v>
      </c>
      <c r="E34" s="0" t="n">
        <v>0</v>
      </c>
      <c r="F34" s="0" t="n">
        <v>33</v>
      </c>
      <c r="G34" s="0" t="n">
        <v>6</v>
      </c>
    </row>
    <row r="35" customFormat="false" ht="15" hidden="false" customHeight="false" outlineLevel="0" collapsed="false">
      <c r="A35" s="0" t="s">
        <v>1002</v>
      </c>
      <c r="B35" s="0" t="s">
        <v>150</v>
      </c>
      <c r="C35" s="0" t="s">
        <v>1007</v>
      </c>
      <c r="D35" s="0" t="n">
        <v>21</v>
      </c>
      <c r="E35" s="0" t="n">
        <v>2</v>
      </c>
      <c r="F35" s="0" t="n">
        <v>67</v>
      </c>
      <c r="G35" s="0" t="n">
        <v>21</v>
      </c>
    </row>
    <row r="36" customFormat="false" ht="15" hidden="false" customHeight="false" outlineLevel="0" collapsed="false">
      <c r="A36" s="0" t="s">
        <v>1002</v>
      </c>
      <c r="B36" s="0" t="s">
        <v>142</v>
      </c>
      <c r="C36" s="0" t="s">
        <v>2632</v>
      </c>
      <c r="D36" s="0" t="n">
        <v>34</v>
      </c>
      <c r="E36" s="0" t="n">
        <v>0</v>
      </c>
      <c r="F36" s="0" t="n">
        <v>69</v>
      </c>
      <c r="G36" s="0" t="n">
        <v>13</v>
      </c>
    </row>
    <row r="37" customFormat="false" ht="15" hidden="false" customHeight="false" outlineLevel="0" collapsed="false">
      <c r="A37" s="0" t="s">
        <v>1002</v>
      </c>
      <c r="B37" s="0" t="s">
        <v>142</v>
      </c>
      <c r="C37" s="0" t="s">
        <v>1007</v>
      </c>
      <c r="D37" s="0" t="n">
        <v>24</v>
      </c>
      <c r="E37" s="0" t="n">
        <v>0</v>
      </c>
      <c r="F37" s="0" t="n">
        <v>65</v>
      </c>
      <c r="G37" s="0" t="n">
        <v>17</v>
      </c>
    </row>
    <row r="38" customFormat="false" ht="15" hidden="false" customHeight="false" outlineLevel="0" collapsed="false">
      <c r="A38" s="0" t="s">
        <v>1002</v>
      </c>
      <c r="B38" s="0" t="s">
        <v>80</v>
      </c>
      <c r="C38" s="0" t="s">
        <v>2632</v>
      </c>
      <c r="D38" s="0" t="n">
        <v>0</v>
      </c>
      <c r="E38" s="0" t="n">
        <v>96</v>
      </c>
      <c r="G38" s="0" t="n">
        <v>0</v>
      </c>
    </row>
    <row r="39" customFormat="false" ht="15" hidden="false" customHeight="false" outlineLevel="0" collapsed="false">
      <c r="A39" s="0" t="s">
        <v>1002</v>
      </c>
      <c r="B39" s="0" t="s">
        <v>80</v>
      </c>
      <c r="C39" s="0" t="s">
        <v>1007</v>
      </c>
      <c r="D39" s="0" t="n">
        <v>0</v>
      </c>
      <c r="E39" s="0" t="n">
        <v>73</v>
      </c>
      <c r="F39" s="0" t="n">
        <v>0</v>
      </c>
      <c r="G39" s="0" t="n">
        <v>3</v>
      </c>
    </row>
    <row r="40" customFormat="false" ht="15" hidden="false" customHeight="false" outlineLevel="0" collapsed="false">
      <c r="A40" s="0" t="s">
        <v>1002</v>
      </c>
      <c r="B40" s="0" t="s">
        <v>121</v>
      </c>
      <c r="C40" s="0" t="s">
        <v>2632</v>
      </c>
      <c r="D40" s="0" t="n">
        <v>6</v>
      </c>
      <c r="E40" s="0" t="n">
        <v>0</v>
      </c>
      <c r="F40" s="0" t="n">
        <v>71</v>
      </c>
      <c r="G40" s="0" t="n">
        <v>7</v>
      </c>
    </row>
    <row r="41" customFormat="false" ht="15" hidden="false" customHeight="false" outlineLevel="0" collapsed="false">
      <c r="A41" s="0" t="s">
        <v>1002</v>
      </c>
      <c r="B41" s="0" t="s">
        <v>121</v>
      </c>
      <c r="C41" s="0" t="s">
        <v>1007</v>
      </c>
      <c r="D41" s="0" t="n">
        <v>40</v>
      </c>
      <c r="E41" s="0" t="n">
        <v>0</v>
      </c>
      <c r="F41" s="0" t="n">
        <v>71</v>
      </c>
      <c r="G41" s="0" t="n">
        <v>21</v>
      </c>
    </row>
    <row r="42" customFormat="false" ht="15" hidden="false" customHeight="false" outlineLevel="0" collapsed="false">
      <c r="A42" s="0" t="s">
        <v>1002</v>
      </c>
      <c r="B42" s="0" t="s">
        <v>94</v>
      </c>
      <c r="C42" s="0" t="s">
        <v>2632</v>
      </c>
      <c r="D42" s="0" t="n">
        <v>2</v>
      </c>
      <c r="E42" s="0" t="n">
        <v>2</v>
      </c>
      <c r="F42" s="0" t="n">
        <v>25</v>
      </c>
      <c r="G42" s="0" t="n">
        <v>4</v>
      </c>
    </row>
    <row r="43" customFormat="false" ht="15" hidden="false" customHeight="false" outlineLevel="0" collapsed="false">
      <c r="A43" s="0" t="s">
        <v>1002</v>
      </c>
      <c r="B43" s="0" t="s">
        <v>94</v>
      </c>
      <c r="C43" s="0" t="s">
        <v>1007</v>
      </c>
      <c r="D43" s="0" t="n">
        <v>8</v>
      </c>
      <c r="E43" s="0" t="n">
        <v>5</v>
      </c>
      <c r="F43" s="0" t="n">
        <v>67</v>
      </c>
      <c r="G43" s="0" t="n">
        <v>9</v>
      </c>
    </row>
    <row r="44" customFormat="false" ht="15" hidden="false" customHeight="false" outlineLevel="0" collapsed="false">
      <c r="A44" s="0" t="s">
        <v>1008</v>
      </c>
      <c r="B44" s="0" t="s">
        <v>131</v>
      </c>
      <c r="C44" s="0" t="s">
        <v>2635</v>
      </c>
      <c r="D44" s="0" t="n">
        <v>0</v>
      </c>
      <c r="E44" s="0" t="n">
        <v>0</v>
      </c>
      <c r="F44" s="0" t="n">
        <v>50</v>
      </c>
      <c r="G44" s="0" t="n">
        <v>4</v>
      </c>
    </row>
    <row r="45" customFormat="false" ht="15" hidden="false" customHeight="false" outlineLevel="0" collapsed="false">
      <c r="A45" s="0" t="s">
        <v>1008</v>
      </c>
      <c r="B45" s="0" t="s">
        <v>131</v>
      </c>
      <c r="C45" s="0" t="s">
        <v>2637</v>
      </c>
      <c r="D45" s="0" t="n">
        <v>16</v>
      </c>
      <c r="E45" s="0" t="n">
        <v>1</v>
      </c>
      <c r="F45" s="0" t="n">
        <v>69</v>
      </c>
      <c r="G45" s="0" t="n">
        <v>16</v>
      </c>
    </row>
    <row r="46" customFormat="false" ht="15" hidden="false" customHeight="false" outlineLevel="0" collapsed="false">
      <c r="A46" s="0" t="s">
        <v>1008</v>
      </c>
      <c r="B46" s="0" t="s">
        <v>107</v>
      </c>
      <c r="C46" s="0" t="s">
        <v>2635</v>
      </c>
      <c r="D46" s="0" t="n">
        <v>16</v>
      </c>
      <c r="E46" s="0" t="n">
        <v>3</v>
      </c>
      <c r="F46" s="0" t="n">
        <v>25</v>
      </c>
      <c r="G46" s="0" t="n">
        <v>4</v>
      </c>
    </row>
    <row r="47" customFormat="false" ht="15" hidden="false" customHeight="false" outlineLevel="0" collapsed="false">
      <c r="A47" s="0" t="s">
        <v>1008</v>
      </c>
      <c r="B47" s="0" t="s">
        <v>107</v>
      </c>
      <c r="C47" s="0" t="s">
        <v>2637</v>
      </c>
      <c r="D47" s="0" t="n">
        <v>6</v>
      </c>
      <c r="E47" s="0" t="n">
        <v>15</v>
      </c>
      <c r="F47" s="0" t="n">
        <v>64</v>
      </c>
      <c r="G47" s="0" t="n">
        <v>22</v>
      </c>
    </row>
    <row r="48" customFormat="false" ht="15" hidden="false" customHeight="false" outlineLevel="0" collapsed="false">
      <c r="A48" s="0" t="s">
        <v>1008</v>
      </c>
      <c r="B48" s="0" t="s">
        <v>150</v>
      </c>
      <c r="C48" s="0" t="s">
        <v>2635</v>
      </c>
      <c r="D48" s="0" t="n">
        <v>9</v>
      </c>
      <c r="E48" s="0" t="n">
        <v>0</v>
      </c>
      <c r="F48" s="0" t="n">
        <v>55</v>
      </c>
      <c r="G48" s="0" t="n">
        <v>11</v>
      </c>
    </row>
    <row r="49" customFormat="false" ht="15" hidden="false" customHeight="false" outlineLevel="0" collapsed="false">
      <c r="A49" s="0" t="s">
        <v>1008</v>
      </c>
      <c r="B49" s="0" t="s">
        <v>150</v>
      </c>
      <c r="C49" s="0" t="s">
        <v>2637</v>
      </c>
      <c r="D49" s="0" t="n">
        <v>13</v>
      </c>
      <c r="E49" s="0" t="n">
        <v>6</v>
      </c>
      <c r="F49" s="0" t="n">
        <v>78</v>
      </c>
      <c r="G49" s="0" t="n">
        <v>18</v>
      </c>
    </row>
    <row r="50" customFormat="false" ht="15" hidden="false" customHeight="false" outlineLevel="0" collapsed="false">
      <c r="A50" s="0" t="s">
        <v>1008</v>
      </c>
      <c r="B50" s="0" t="s">
        <v>142</v>
      </c>
      <c r="C50" s="0" t="s">
        <v>2635</v>
      </c>
      <c r="D50" s="0" t="n">
        <v>0</v>
      </c>
      <c r="E50" s="0" t="n">
        <v>94</v>
      </c>
      <c r="G50" s="0" t="n">
        <v>0</v>
      </c>
    </row>
    <row r="51" customFormat="false" ht="15" hidden="false" customHeight="false" outlineLevel="0" collapsed="false">
      <c r="A51" s="0" t="s">
        <v>1008</v>
      </c>
      <c r="B51" s="0" t="s">
        <v>142</v>
      </c>
      <c r="C51" s="0" t="s">
        <v>2637</v>
      </c>
      <c r="D51" s="0" t="n">
        <v>0</v>
      </c>
      <c r="E51" s="0" t="n">
        <v>75</v>
      </c>
      <c r="F51" s="0" t="n">
        <v>100</v>
      </c>
      <c r="G51" s="0" t="n">
        <v>1</v>
      </c>
    </row>
    <row r="52" customFormat="false" ht="15" hidden="false" customHeight="false" outlineLevel="0" collapsed="false">
      <c r="A52" s="0" t="s">
        <v>1008</v>
      </c>
      <c r="B52" s="0" t="s">
        <v>80</v>
      </c>
      <c r="C52" s="0" t="s">
        <v>2635</v>
      </c>
      <c r="D52" s="0" t="n">
        <v>31</v>
      </c>
      <c r="E52" s="0" t="n">
        <v>0</v>
      </c>
      <c r="F52" s="0" t="n">
        <v>67</v>
      </c>
      <c r="G52" s="0" t="n">
        <v>6</v>
      </c>
    </row>
    <row r="53" customFormat="false" ht="15" hidden="false" customHeight="false" outlineLevel="0" collapsed="false">
      <c r="A53" s="0" t="s">
        <v>1008</v>
      </c>
      <c r="B53" s="0" t="s">
        <v>80</v>
      </c>
      <c r="C53" s="0" t="s">
        <v>2637</v>
      </c>
      <c r="D53" s="0" t="n">
        <v>9</v>
      </c>
      <c r="E53" s="0" t="n">
        <v>1</v>
      </c>
      <c r="F53" s="0" t="n">
        <v>69</v>
      </c>
      <c r="G53" s="0" t="n">
        <v>16</v>
      </c>
    </row>
    <row r="54" customFormat="false" ht="15" hidden="false" customHeight="false" outlineLevel="0" collapsed="false">
      <c r="A54" s="0" t="s">
        <v>1008</v>
      </c>
      <c r="B54" s="0" t="s">
        <v>121</v>
      </c>
      <c r="C54" s="0" t="s">
        <v>2635</v>
      </c>
      <c r="D54" s="0" t="n">
        <v>9</v>
      </c>
      <c r="E54" s="0" t="n">
        <v>3</v>
      </c>
      <c r="F54" s="0" t="n">
        <v>50</v>
      </c>
      <c r="G54" s="0" t="n">
        <v>6</v>
      </c>
    </row>
    <row r="55" customFormat="false" ht="15" hidden="false" customHeight="false" outlineLevel="0" collapsed="false">
      <c r="A55" s="0" t="s">
        <v>1008</v>
      </c>
      <c r="B55" s="0" t="s">
        <v>121</v>
      </c>
      <c r="C55" s="0" t="s">
        <v>2637</v>
      </c>
      <c r="D55" s="0" t="n">
        <v>22</v>
      </c>
      <c r="E55" s="0" t="n">
        <v>1</v>
      </c>
      <c r="F55" s="0" t="n">
        <v>65</v>
      </c>
      <c r="G55" s="0" t="n">
        <v>26</v>
      </c>
    </row>
    <row r="56" customFormat="false" ht="15" hidden="false" customHeight="false" outlineLevel="0" collapsed="false">
      <c r="A56" s="0" t="s">
        <v>1008</v>
      </c>
      <c r="B56" s="0" t="s">
        <v>94</v>
      </c>
      <c r="C56" s="0" t="s">
        <v>2635</v>
      </c>
      <c r="D56" s="0" t="n">
        <v>28</v>
      </c>
      <c r="E56" s="0" t="n">
        <v>0</v>
      </c>
      <c r="F56" s="0" t="n">
        <v>44</v>
      </c>
      <c r="G56" s="0" t="n">
        <v>9</v>
      </c>
    </row>
    <row r="57" customFormat="false" ht="15" hidden="false" customHeight="false" outlineLevel="0" collapsed="false">
      <c r="A57" s="0" t="s">
        <v>1008</v>
      </c>
      <c r="B57" s="0" t="s">
        <v>94</v>
      </c>
      <c r="C57" s="0" t="s">
        <v>2637</v>
      </c>
      <c r="D57" s="0" t="n">
        <v>25</v>
      </c>
      <c r="E57" s="0" t="n">
        <v>0</v>
      </c>
      <c r="F57" s="0" t="n">
        <v>80</v>
      </c>
      <c r="G57" s="0" t="n">
        <v>15</v>
      </c>
    </row>
    <row r="58" customFormat="false" ht="15" hidden="false" customHeight="false" outlineLevel="0" collapsed="false">
      <c r="A58" s="0" t="s">
        <v>1015</v>
      </c>
      <c r="B58" s="0" t="s">
        <v>131</v>
      </c>
      <c r="C58" s="0" t="s">
        <v>2639</v>
      </c>
      <c r="D58" s="0" t="n">
        <v>14</v>
      </c>
      <c r="E58" s="0" t="n">
        <v>0</v>
      </c>
      <c r="F58" s="0" t="n">
        <v>89</v>
      </c>
      <c r="G58" s="0" t="n">
        <v>9</v>
      </c>
    </row>
    <row r="59" customFormat="false" ht="15" hidden="false" customHeight="false" outlineLevel="0" collapsed="false">
      <c r="A59" s="0" t="s">
        <v>1015</v>
      </c>
      <c r="B59" s="0" t="s">
        <v>131</v>
      </c>
      <c r="C59" s="0" t="s">
        <v>2641</v>
      </c>
      <c r="D59" s="0" t="n">
        <v>3</v>
      </c>
      <c r="E59" s="0" t="n">
        <v>0</v>
      </c>
      <c r="F59" s="0" t="n">
        <v>0</v>
      </c>
      <c r="G59" s="0" t="n">
        <v>2</v>
      </c>
    </row>
    <row r="60" customFormat="false" ht="15" hidden="false" customHeight="false" outlineLevel="0" collapsed="false">
      <c r="A60" s="0" t="s">
        <v>1015</v>
      </c>
      <c r="B60" s="0" t="s">
        <v>107</v>
      </c>
      <c r="C60" s="0" t="s">
        <v>2639</v>
      </c>
      <c r="D60" s="0" t="n">
        <v>35</v>
      </c>
      <c r="E60" s="0" t="n">
        <v>0</v>
      </c>
      <c r="F60" s="0" t="n">
        <v>86</v>
      </c>
      <c r="G60" s="0" t="n">
        <v>14</v>
      </c>
    </row>
    <row r="61" customFormat="false" ht="15" hidden="false" customHeight="false" outlineLevel="0" collapsed="false">
      <c r="A61" s="0" t="s">
        <v>1015</v>
      </c>
      <c r="B61" s="0" t="s">
        <v>107</v>
      </c>
      <c r="C61" s="0" t="s">
        <v>2641</v>
      </c>
      <c r="D61" s="0" t="n">
        <v>3</v>
      </c>
      <c r="E61" s="0" t="n">
        <v>0</v>
      </c>
      <c r="F61" s="0" t="n">
        <v>80</v>
      </c>
      <c r="G61" s="0" t="n">
        <v>5</v>
      </c>
    </row>
    <row r="62" customFormat="false" ht="15" hidden="false" customHeight="false" outlineLevel="0" collapsed="false">
      <c r="A62" s="0" t="s">
        <v>1015</v>
      </c>
      <c r="B62" s="0" t="s">
        <v>150</v>
      </c>
      <c r="C62" s="0" t="s">
        <v>2639</v>
      </c>
      <c r="D62" s="0" t="n">
        <v>3</v>
      </c>
      <c r="E62" s="0" t="n">
        <v>0</v>
      </c>
      <c r="F62" s="0" t="n">
        <v>73</v>
      </c>
      <c r="G62" s="0" t="n">
        <v>11</v>
      </c>
    </row>
    <row r="63" customFormat="false" ht="15" hidden="false" customHeight="false" outlineLevel="0" collapsed="false">
      <c r="A63" s="0" t="s">
        <v>1015</v>
      </c>
      <c r="B63" s="0" t="s">
        <v>150</v>
      </c>
      <c r="C63" s="0" t="s">
        <v>2641</v>
      </c>
      <c r="D63" s="0" t="n">
        <v>27</v>
      </c>
      <c r="E63" s="0" t="n">
        <v>0</v>
      </c>
      <c r="F63" s="0" t="n">
        <v>62</v>
      </c>
      <c r="G63" s="0" t="n">
        <v>8</v>
      </c>
    </row>
    <row r="64" customFormat="false" ht="15" hidden="false" customHeight="false" outlineLevel="0" collapsed="false">
      <c r="A64" s="0" t="s">
        <v>1015</v>
      </c>
      <c r="B64" s="0" t="s">
        <v>142</v>
      </c>
      <c r="C64" s="0" t="s">
        <v>2639</v>
      </c>
      <c r="D64" s="0" t="n">
        <v>14</v>
      </c>
      <c r="E64" s="0" t="n">
        <v>0</v>
      </c>
      <c r="F64" s="0" t="n">
        <v>67</v>
      </c>
      <c r="G64" s="0" t="n">
        <v>6</v>
      </c>
    </row>
    <row r="65" customFormat="false" ht="15" hidden="false" customHeight="false" outlineLevel="0" collapsed="false">
      <c r="A65" s="0" t="s">
        <v>1015</v>
      </c>
      <c r="B65" s="0" t="s">
        <v>142</v>
      </c>
      <c r="C65" s="0" t="s">
        <v>2641</v>
      </c>
      <c r="D65" s="0" t="n">
        <v>47</v>
      </c>
      <c r="E65" s="0" t="n">
        <v>0</v>
      </c>
      <c r="F65" s="0" t="n">
        <v>50</v>
      </c>
      <c r="G65" s="0" t="n">
        <v>10</v>
      </c>
    </row>
    <row r="66" customFormat="false" ht="15" hidden="false" customHeight="false" outlineLevel="0" collapsed="false">
      <c r="A66" s="0" t="s">
        <v>1015</v>
      </c>
      <c r="B66" s="0" t="s">
        <v>80</v>
      </c>
      <c r="C66" s="0" t="s">
        <v>2639</v>
      </c>
      <c r="D66" s="0" t="n">
        <v>19</v>
      </c>
      <c r="E66" s="0" t="n">
        <v>0</v>
      </c>
      <c r="F66" s="0" t="n">
        <v>57</v>
      </c>
      <c r="G66" s="0" t="n">
        <v>7</v>
      </c>
    </row>
    <row r="67" customFormat="false" ht="15" hidden="false" customHeight="false" outlineLevel="0" collapsed="false">
      <c r="A67" s="0" t="s">
        <v>1015</v>
      </c>
      <c r="B67" s="0" t="s">
        <v>80</v>
      </c>
      <c r="C67" s="0" t="s">
        <v>2641</v>
      </c>
      <c r="D67" s="0" t="n">
        <v>10</v>
      </c>
      <c r="E67" s="0" t="n">
        <v>0</v>
      </c>
      <c r="F67" s="0" t="n">
        <v>50</v>
      </c>
      <c r="G67" s="0" t="n">
        <v>4</v>
      </c>
    </row>
    <row r="68" customFormat="false" ht="15" hidden="false" customHeight="false" outlineLevel="0" collapsed="false">
      <c r="A68" s="0" t="s">
        <v>1015</v>
      </c>
      <c r="B68" s="0" t="s">
        <v>121</v>
      </c>
      <c r="C68" s="0" t="s">
        <v>2639</v>
      </c>
      <c r="D68" s="0" t="n">
        <v>0</v>
      </c>
      <c r="E68" s="0" t="n">
        <v>100</v>
      </c>
      <c r="G68" s="0" t="n">
        <v>0</v>
      </c>
    </row>
    <row r="69" customFormat="false" ht="15" hidden="false" customHeight="false" outlineLevel="0" collapsed="false">
      <c r="A69" s="0" t="s">
        <v>1015</v>
      </c>
      <c r="B69" s="0" t="s">
        <v>121</v>
      </c>
      <c r="C69" s="0" t="s">
        <v>2641</v>
      </c>
      <c r="D69" s="0" t="n">
        <v>3</v>
      </c>
      <c r="E69" s="0" t="n">
        <v>3</v>
      </c>
      <c r="F69" s="0" t="n">
        <v>83</v>
      </c>
      <c r="G69" s="0" t="n">
        <v>6</v>
      </c>
    </row>
    <row r="70" customFormat="false" ht="15" hidden="false" customHeight="false" outlineLevel="0" collapsed="false">
      <c r="A70" s="0" t="s">
        <v>1015</v>
      </c>
      <c r="B70" s="0" t="s">
        <v>94</v>
      </c>
      <c r="C70" s="0" t="s">
        <v>2639</v>
      </c>
      <c r="D70" s="0" t="n">
        <v>3</v>
      </c>
      <c r="E70" s="0" t="n">
        <v>0</v>
      </c>
      <c r="F70" s="0" t="n">
        <v>44</v>
      </c>
      <c r="G70" s="0" t="n">
        <v>9</v>
      </c>
    </row>
    <row r="71" customFormat="false" ht="15" hidden="false" customHeight="false" outlineLevel="0" collapsed="false">
      <c r="A71" s="0" t="s">
        <v>1015</v>
      </c>
      <c r="B71" s="0" t="s">
        <v>94</v>
      </c>
      <c r="C71" s="0" t="s">
        <v>2641</v>
      </c>
      <c r="D71" s="0" t="n">
        <v>0</v>
      </c>
      <c r="E71" s="0" t="n">
        <v>97</v>
      </c>
      <c r="G71" s="0" t="n">
        <v>0</v>
      </c>
    </row>
    <row r="72" customFormat="false" ht="15" hidden="false" customHeight="false" outlineLevel="0" collapsed="false">
      <c r="A72" s="0" t="s">
        <v>1027</v>
      </c>
      <c r="B72" s="0" t="s">
        <v>131</v>
      </c>
      <c r="C72" s="0" t="s">
        <v>1032</v>
      </c>
      <c r="D72" s="0" t="n">
        <v>69</v>
      </c>
      <c r="E72" s="0" t="n">
        <v>0</v>
      </c>
      <c r="F72" s="0" t="n">
        <v>62</v>
      </c>
      <c r="G72" s="0" t="n">
        <v>32</v>
      </c>
    </row>
    <row r="73" customFormat="false" ht="15" hidden="false" customHeight="false" outlineLevel="0" collapsed="false">
      <c r="A73" s="0" t="s">
        <v>1027</v>
      </c>
      <c r="B73" s="0" t="s">
        <v>131</v>
      </c>
      <c r="C73" s="0" t="s">
        <v>2644</v>
      </c>
      <c r="D73" s="0" t="n">
        <v>0</v>
      </c>
      <c r="E73" s="0" t="n">
        <v>0</v>
      </c>
      <c r="F73" s="0" t="n">
        <v>56</v>
      </c>
      <c r="G73" s="0" t="n">
        <v>9</v>
      </c>
    </row>
    <row r="74" customFormat="false" ht="15" hidden="false" customHeight="false" outlineLevel="0" collapsed="false">
      <c r="A74" s="0" t="s">
        <v>1027</v>
      </c>
      <c r="B74" s="0" t="s">
        <v>107</v>
      </c>
      <c r="C74" s="0" t="s">
        <v>1032</v>
      </c>
      <c r="D74" s="0" t="n">
        <v>7</v>
      </c>
      <c r="E74" s="0" t="n">
        <v>2</v>
      </c>
      <c r="F74" s="0" t="n">
        <v>40</v>
      </c>
      <c r="G74" s="0" t="n">
        <v>20</v>
      </c>
    </row>
    <row r="75" customFormat="false" ht="15" hidden="false" customHeight="false" outlineLevel="0" collapsed="false">
      <c r="A75" s="0" t="s">
        <v>1027</v>
      </c>
      <c r="B75" s="0" t="s">
        <v>107</v>
      </c>
      <c r="C75" s="0" t="s">
        <v>2644</v>
      </c>
      <c r="D75" s="0" t="n">
        <v>0</v>
      </c>
      <c r="E75" s="0" t="n">
        <v>100</v>
      </c>
      <c r="G75" s="0" t="n">
        <v>0</v>
      </c>
    </row>
    <row r="76" customFormat="false" ht="15" hidden="false" customHeight="false" outlineLevel="0" collapsed="false">
      <c r="A76" s="0" t="s">
        <v>1027</v>
      </c>
      <c r="B76" s="0" t="s">
        <v>150</v>
      </c>
      <c r="C76" s="0" t="s">
        <v>1032</v>
      </c>
      <c r="D76" s="0" t="n">
        <v>5</v>
      </c>
      <c r="E76" s="0" t="n">
        <v>0</v>
      </c>
      <c r="F76" s="0" t="n">
        <v>80</v>
      </c>
      <c r="G76" s="0" t="n">
        <v>10</v>
      </c>
    </row>
    <row r="77" customFormat="false" ht="15" hidden="false" customHeight="false" outlineLevel="0" collapsed="false">
      <c r="A77" s="0" t="s">
        <v>1027</v>
      </c>
      <c r="B77" s="0" t="s">
        <v>150</v>
      </c>
      <c r="C77" s="0" t="s">
        <v>2644</v>
      </c>
      <c r="D77" s="0" t="n">
        <v>0</v>
      </c>
      <c r="E77" s="0" t="n">
        <v>0</v>
      </c>
      <c r="F77" s="0" t="n">
        <v>57</v>
      </c>
      <c r="G77" s="0" t="n">
        <v>14</v>
      </c>
    </row>
    <row r="78" customFormat="false" ht="15" hidden="false" customHeight="false" outlineLevel="0" collapsed="false">
      <c r="A78" s="0" t="s">
        <v>1027</v>
      </c>
      <c r="B78" s="0" t="s">
        <v>142</v>
      </c>
      <c r="C78" s="0" t="s">
        <v>1032</v>
      </c>
      <c r="D78" s="0" t="n">
        <v>5</v>
      </c>
      <c r="E78" s="0" t="n">
        <v>0</v>
      </c>
      <c r="F78" s="0" t="n">
        <v>20</v>
      </c>
      <c r="G78" s="0" t="n">
        <v>10</v>
      </c>
    </row>
    <row r="79" customFormat="false" ht="15" hidden="false" customHeight="false" outlineLevel="0" collapsed="false">
      <c r="A79" s="0" t="s">
        <v>1027</v>
      </c>
      <c r="B79" s="0" t="s">
        <v>142</v>
      </c>
      <c r="C79" s="0" t="s">
        <v>2644</v>
      </c>
      <c r="D79" s="0" t="n">
        <v>29</v>
      </c>
      <c r="E79" s="0" t="n">
        <v>0</v>
      </c>
      <c r="F79" s="0" t="n">
        <v>64</v>
      </c>
      <c r="G79" s="0" t="n">
        <v>14</v>
      </c>
    </row>
    <row r="80" customFormat="false" ht="15" hidden="false" customHeight="false" outlineLevel="0" collapsed="false">
      <c r="A80" s="0" t="s">
        <v>1027</v>
      </c>
      <c r="B80" s="0" t="s">
        <v>80</v>
      </c>
      <c r="C80" s="0" t="s">
        <v>1032</v>
      </c>
      <c r="D80" s="0" t="n">
        <v>5</v>
      </c>
      <c r="E80" s="0" t="n">
        <v>0</v>
      </c>
      <c r="F80" s="0" t="n">
        <v>40</v>
      </c>
      <c r="G80" s="0" t="n">
        <v>15</v>
      </c>
    </row>
    <row r="81" customFormat="false" ht="15" hidden="false" customHeight="false" outlineLevel="0" collapsed="false">
      <c r="A81" s="0" t="s">
        <v>1027</v>
      </c>
      <c r="B81" s="0" t="s">
        <v>80</v>
      </c>
      <c r="C81" s="0" t="s">
        <v>2644</v>
      </c>
      <c r="D81" s="0" t="n">
        <v>57</v>
      </c>
      <c r="E81" s="0" t="n">
        <v>0</v>
      </c>
      <c r="F81" s="0" t="n">
        <v>59</v>
      </c>
      <c r="G81" s="0" t="n">
        <v>22</v>
      </c>
    </row>
    <row r="82" customFormat="false" ht="15" hidden="false" customHeight="false" outlineLevel="0" collapsed="false">
      <c r="A82" s="0" t="s">
        <v>1027</v>
      </c>
      <c r="B82" s="0" t="s">
        <v>121</v>
      </c>
      <c r="C82" s="0" t="s">
        <v>1032</v>
      </c>
      <c r="D82" s="0" t="n">
        <v>7</v>
      </c>
      <c r="E82" s="0" t="n">
        <v>2</v>
      </c>
      <c r="F82" s="0" t="n">
        <v>75</v>
      </c>
      <c r="G82" s="0" t="n">
        <v>8</v>
      </c>
    </row>
    <row r="83" customFormat="false" ht="15" hidden="false" customHeight="false" outlineLevel="0" collapsed="false">
      <c r="A83" s="0" t="s">
        <v>1027</v>
      </c>
      <c r="B83" s="0" t="s">
        <v>121</v>
      </c>
      <c r="C83" s="0" t="s">
        <v>2644</v>
      </c>
      <c r="D83" s="0" t="n">
        <v>6</v>
      </c>
      <c r="E83" s="0" t="n">
        <v>0</v>
      </c>
      <c r="F83" s="0" t="n">
        <v>67</v>
      </c>
      <c r="G83" s="0" t="n">
        <v>9</v>
      </c>
    </row>
    <row r="84" customFormat="false" ht="15" hidden="false" customHeight="false" outlineLevel="0" collapsed="false">
      <c r="A84" s="0" t="s">
        <v>1027</v>
      </c>
      <c r="B84" s="0" t="s">
        <v>94</v>
      </c>
      <c r="C84" s="0" t="s">
        <v>1032</v>
      </c>
      <c r="D84" s="0" t="n">
        <v>0</v>
      </c>
      <c r="E84" s="0" t="n">
        <v>95</v>
      </c>
      <c r="G84" s="0" t="n">
        <v>0</v>
      </c>
    </row>
    <row r="85" customFormat="false" ht="15" hidden="false" customHeight="false" outlineLevel="0" collapsed="false">
      <c r="A85" s="0" t="s">
        <v>1027</v>
      </c>
      <c r="B85" s="0" t="s">
        <v>94</v>
      </c>
      <c r="C85" s="0" t="s">
        <v>2644</v>
      </c>
      <c r="D85" s="0" t="n">
        <v>3</v>
      </c>
      <c r="E85" s="0" t="n">
        <v>0</v>
      </c>
      <c r="F85" s="0" t="n">
        <v>60</v>
      </c>
      <c r="G85" s="0" t="n">
        <v>10</v>
      </c>
    </row>
    <row r="86" customFormat="false" ht="15" hidden="false" customHeight="false" outlineLevel="0" collapsed="false">
      <c r="A86" s="0" t="s">
        <v>1034</v>
      </c>
      <c r="B86" s="0" t="s">
        <v>131</v>
      </c>
      <c r="C86" s="0" t="s">
        <v>1039</v>
      </c>
      <c r="D86" s="0" t="n">
        <v>0</v>
      </c>
      <c r="E86" s="0" t="n">
        <v>0</v>
      </c>
      <c r="F86" s="0" t="n">
        <v>43</v>
      </c>
      <c r="G86" s="0" t="n">
        <v>7</v>
      </c>
    </row>
    <row r="87" customFormat="false" ht="15" hidden="false" customHeight="false" outlineLevel="0" collapsed="false">
      <c r="A87" s="0" t="s">
        <v>1034</v>
      </c>
      <c r="B87" s="0" t="s">
        <v>131</v>
      </c>
      <c r="C87" s="0" t="s">
        <v>1040</v>
      </c>
      <c r="D87" s="0" t="n">
        <v>2</v>
      </c>
      <c r="E87" s="0" t="n">
        <v>0</v>
      </c>
      <c r="F87" s="0" t="n">
        <v>33</v>
      </c>
      <c r="G87" s="0" t="n">
        <v>6</v>
      </c>
    </row>
    <row r="88" customFormat="false" ht="15" hidden="false" customHeight="false" outlineLevel="0" collapsed="false">
      <c r="A88" s="0" t="s">
        <v>1034</v>
      </c>
      <c r="B88" s="0" t="s">
        <v>107</v>
      </c>
      <c r="C88" s="0" t="s">
        <v>1039</v>
      </c>
      <c r="D88" s="0" t="n">
        <v>2</v>
      </c>
      <c r="E88" s="0" t="n">
        <v>0</v>
      </c>
      <c r="F88" s="0" t="n">
        <v>62</v>
      </c>
      <c r="G88" s="0" t="n">
        <v>13</v>
      </c>
    </row>
    <row r="89" customFormat="false" ht="15" hidden="false" customHeight="false" outlineLevel="0" collapsed="false">
      <c r="A89" s="0" t="s">
        <v>1034</v>
      </c>
      <c r="B89" s="0" t="s">
        <v>107</v>
      </c>
      <c r="C89" s="0" t="s">
        <v>1040</v>
      </c>
      <c r="D89" s="0" t="n">
        <v>24</v>
      </c>
      <c r="E89" s="0" t="n">
        <v>0</v>
      </c>
      <c r="F89" s="0" t="n">
        <v>43</v>
      </c>
      <c r="G89" s="0" t="n">
        <v>7</v>
      </c>
    </row>
    <row r="90" customFormat="false" ht="15" hidden="false" customHeight="false" outlineLevel="0" collapsed="false">
      <c r="A90" s="0" t="s">
        <v>1034</v>
      </c>
      <c r="B90" s="0" t="s">
        <v>150</v>
      </c>
      <c r="C90" s="0" t="s">
        <v>1039</v>
      </c>
      <c r="D90" s="0" t="n">
        <v>38</v>
      </c>
      <c r="E90" s="0" t="n">
        <v>0</v>
      </c>
      <c r="F90" s="0" t="n">
        <v>80</v>
      </c>
      <c r="G90" s="0" t="n">
        <v>15</v>
      </c>
    </row>
    <row r="91" customFormat="false" ht="15" hidden="false" customHeight="false" outlineLevel="0" collapsed="false">
      <c r="A91" s="0" t="s">
        <v>1034</v>
      </c>
      <c r="B91" s="0" t="s">
        <v>150</v>
      </c>
      <c r="C91" s="0" t="s">
        <v>1040</v>
      </c>
      <c r="D91" s="0" t="n">
        <v>2</v>
      </c>
      <c r="E91" s="0" t="n">
        <v>12</v>
      </c>
      <c r="F91" s="0" t="n">
        <v>57</v>
      </c>
      <c r="G91" s="0" t="n">
        <v>7</v>
      </c>
    </row>
    <row r="92" customFormat="false" ht="15" hidden="false" customHeight="false" outlineLevel="0" collapsed="false">
      <c r="A92" s="0" t="s">
        <v>1034</v>
      </c>
      <c r="B92" s="0" t="s">
        <v>142</v>
      </c>
      <c r="C92" s="0" t="s">
        <v>1039</v>
      </c>
      <c r="D92" s="0" t="n">
        <v>19</v>
      </c>
      <c r="E92" s="0" t="n">
        <v>0</v>
      </c>
      <c r="F92" s="0" t="n">
        <v>75</v>
      </c>
      <c r="G92" s="0" t="n">
        <v>8</v>
      </c>
    </row>
    <row r="93" customFormat="false" ht="15" hidden="false" customHeight="false" outlineLevel="0" collapsed="false">
      <c r="A93" s="0" t="s">
        <v>1034</v>
      </c>
      <c r="B93" s="0" t="s">
        <v>142</v>
      </c>
      <c r="C93" s="0" t="s">
        <v>1040</v>
      </c>
      <c r="D93" s="0" t="n">
        <v>12</v>
      </c>
      <c r="E93" s="0" t="n">
        <v>2</v>
      </c>
      <c r="F93" s="0" t="n">
        <v>20</v>
      </c>
      <c r="G93" s="0" t="n">
        <v>5</v>
      </c>
    </row>
    <row r="94" customFormat="false" ht="15" hidden="false" customHeight="false" outlineLevel="0" collapsed="false">
      <c r="A94" s="0" t="s">
        <v>1034</v>
      </c>
      <c r="B94" s="0" t="s">
        <v>80</v>
      </c>
      <c r="C94" s="0" t="s">
        <v>1039</v>
      </c>
      <c r="D94" s="0" t="n">
        <v>29</v>
      </c>
      <c r="E94" s="0" t="n">
        <v>0</v>
      </c>
      <c r="F94" s="0" t="n">
        <v>70</v>
      </c>
      <c r="G94" s="0" t="n">
        <v>10</v>
      </c>
    </row>
    <row r="95" customFormat="false" ht="15" hidden="false" customHeight="false" outlineLevel="0" collapsed="false">
      <c r="A95" s="0" t="s">
        <v>1034</v>
      </c>
      <c r="B95" s="0" t="s">
        <v>80</v>
      </c>
      <c r="C95" s="0" t="s">
        <v>1040</v>
      </c>
      <c r="D95" s="0" t="n">
        <v>31</v>
      </c>
      <c r="E95" s="0" t="n">
        <v>0</v>
      </c>
      <c r="F95" s="0" t="n">
        <v>30</v>
      </c>
      <c r="G95" s="0" t="n">
        <v>10</v>
      </c>
    </row>
    <row r="96" customFormat="false" ht="15" hidden="false" customHeight="false" outlineLevel="0" collapsed="false">
      <c r="A96" s="0" t="s">
        <v>1034</v>
      </c>
      <c r="B96" s="0" t="s">
        <v>121</v>
      </c>
      <c r="C96" s="0" t="s">
        <v>1039</v>
      </c>
      <c r="D96" s="0" t="n">
        <v>2</v>
      </c>
      <c r="E96" s="0" t="n">
        <v>0</v>
      </c>
      <c r="F96" s="0" t="n">
        <v>33</v>
      </c>
      <c r="G96" s="0" t="n">
        <v>9</v>
      </c>
    </row>
    <row r="97" customFormat="false" ht="15" hidden="false" customHeight="false" outlineLevel="0" collapsed="false">
      <c r="A97" s="0" t="s">
        <v>1034</v>
      </c>
      <c r="B97" s="0" t="s">
        <v>121</v>
      </c>
      <c r="C97" s="0" t="s">
        <v>1040</v>
      </c>
      <c r="D97" s="0" t="n">
        <v>0</v>
      </c>
      <c r="E97" s="0" t="n">
        <v>0</v>
      </c>
      <c r="F97" s="0" t="n">
        <v>0</v>
      </c>
      <c r="G97" s="0" t="n">
        <v>2</v>
      </c>
    </row>
    <row r="98" customFormat="false" ht="15" hidden="false" customHeight="false" outlineLevel="0" collapsed="false">
      <c r="A98" s="0" t="s">
        <v>1034</v>
      </c>
      <c r="B98" s="0" t="s">
        <v>94</v>
      </c>
      <c r="C98" s="0" t="s">
        <v>1039</v>
      </c>
      <c r="D98" s="0" t="n">
        <v>0</v>
      </c>
      <c r="E98" s="0" t="n">
        <v>100</v>
      </c>
      <c r="G98" s="0" t="n">
        <v>0</v>
      </c>
    </row>
    <row r="99" customFormat="false" ht="15" hidden="false" customHeight="false" outlineLevel="0" collapsed="false">
      <c r="A99" s="0" t="s">
        <v>1034</v>
      </c>
      <c r="B99" s="0" t="s">
        <v>94</v>
      </c>
      <c r="C99" s="0" t="s">
        <v>1040</v>
      </c>
      <c r="D99" s="0" t="n">
        <v>0</v>
      </c>
      <c r="E99" s="0" t="n">
        <v>86</v>
      </c>
      <c r="G99" s="0" t="n">
        <v>0</v>
      </c>
    </row>
    <row r="100" customFormat="false" ht="15" hidden="false" customHeight="false" outlineLevel="0" collapsed="false">
      <c r="A100" s="0" t="s">
        <v>1041</v>
      </c>
      <c r="B100" s="0" t="s">
        <v>131</v>
      </c>
      <c r="C100" s="0" t="s">
        <v>2648</v>
      </c>
      <c r="D100" s="0" t="n">
        <v>2</v>
      </c>
      <c r="E100" s="0" t="n">
        <v>0</v>
      </c>
      <c r="F100" s="0" t="n">
        <v>62</v>
      </c>
      <c r="G100" s="0" t="n">
        <v>8</v>
      </c>
    </row>
    <row r="101" customFormat="false" ht="15" hidden="false" customHeight="false" outlineLevel="0" collapsed="false">
      <c r="A101" s="0" t="s">
        <v>1041</v>
      </c>
      <c r="B101" s="0" t="s">
        <v>131</v>
      </c>
      <c r="C101" s="0" t="s">
        <v>1046</v>
      </c>
      <c r="D101" s="0" t="n">
        <v>2</v>
      </c>
      <c r="E101" s="0" t="n">
        <v>5</v>
      </c>
      <c r="F101" s="0" t="n">
        <v>25</v>
      </c>
      <c r="G101" s="0" t="n">
        <v>4</v>
      </c>
    </row>
    <row r="102" customFormat="false" ht="15" hidden="false" customHeight="false" outlineLevel="0" collapsed="false">
      <c r="A102" s="0" t="s">
        <v>1041</v>
      </c>
      <c r="B102" s="0" t="s">
        <v>107</v>
      </c>
      <c r="C102" s="0" t="s">
        <v>2648</v>
      </c>
      <c r="D102" s="0" t="n">
        <v>29</v>
      </c>
      <c r="E102" s="0" t="n">
        <v>7</v>
      </c>
      <c r="F102" s="0" t="n">
        <v>60</v>
      </c>
      <c r="G102" s="0" t="n">
        <v>10</v>
      </c>
    </row>
    <row r="103" customFormat="false" ht="15" hidden="false" customHeight="false" outlineLevel="0" collapsed="false">
      <c r="A103" s="0" t="s">
        <v>1041</v>
      </c>
      <c r="B103" s="0" t="s">
        <v>107</v>
      </c>
      <c r="C103" s="0" t="s">
        <v>1046</v>
      </c>
      <c r="D103" s="0" t="n">
        <v>14</v>
      </c>
      <c r="E103" s="0" t="n">
        <v>2</v>
      </c>
      <c r="F103" s="0" t="n">
        <v>30</v>
      </c>
      <c r="G103" s="0" t="n">
        <v>10</v>
      </c>
    </row>
    <row r="104" customFormat="false" ht="15" hidden="false" customHeight="false" outlineLevel="0" collapsed="false">
      <c r="A104" s="0" t="s">
        <v>1041</v>
      </c>
      <c r="B104" s="0" t="s">
        <v>150</v>
      </c>
      <c r="C104" s="0" t="s">
        <v>2648</v>
      </c>
      <c r="D104" s="0" t="n">
        <v>10</v>
      </c>
      <c r="E104" s="0" t="n">
        <v>0</v>
      </c>
      <c r="F104" s="0" t="n">
        <v>64</v>
      </c>
      <c r="G104" s="0" t="n">
        <v>14</v>
      </c>
    </row>
    <row r="105" customFormat="false" ht="15" hidden="false" customHeight="false" outlineLevel="0" collapsed="false">
      <c r="A105" s="0" t="s">
        <v>1041</v>
      </c>
      <c r="B105" s="0" t="s">
        <v>150</v>
      </c>
      <c r="C105" s="0" t="s">
        <v>1046</v>
      </c>
      <c r="D105" s="0" t="n">
        <v>21</v>
      </c>
      <c r="E105" s="0" t="n">
        <v>0</v>
      </c>
      <c r="F105" s="0" t="n">
        <v>50</v>
      </c>
      <c r="G105" s="0" t="n">
        <v>8</v>
      </c>
    </row>
    <row r="106" customFormat="false" ht="15" hidden="false" customHeight="false" outlineLevel="0" collapsed="false">
      <c r="A106" s="0" t="s">
        <v>1041</v>
      </c>
      <c r="B106" s="0" t="s">
        <v>142</v>
      </c>
      <c r="C106" s="0" t="s">
        <v>2648</v>
      </c>
      <c r="D106" s="0" t="n">
        <v>0</v>
      </c>
      <c r="E106" s="0" t="n">
        <v>2</v>
      </c>
      <c r="F106" s="0" t="n">
        <v>55</v>
      </c>
      <c r="G106" s="0" t="n">
        <v>11</v>
      </c>
    </row>
    <row r="107" customFormat="false" ht="15" hidden="false" customHeight="false" outlineLevel="0" collapsed="false">
      <c r="A107" s="0" t="s">
        <v>1041</v>
      </c>
      <c r="B107" s="0" t="s">
        <v>142</v>
      </c>
      <c r="C107" s="0" t="s">
        <v>1046</v>
      </c>
      <c r="D107" s="0" t="n">
        <v>17</v>
      </c>
      <c r="E107" s="0" t="n">
        <v>0</v>
      </c>
      <c r="F107" s="0" t="n">
        <v>64</v>
      </c>
      <c r="G107" s="0" t="n">
        <v>11</v>
      </c>
    </row>
    <row r="108" customFormat="false" ht="15" hidden="false" customHeight="false" outlineLevel="0" collapsed="false">
      <c r="A108" s="0" t="s">
        <v>1041</v>
      </c>
      <c r="B108" s="0" t="s">
        <v>80</v>
      </c>
      <c r="C108" s="0" t="s">
        <v>2648</v>
      </c>
      <c r="D108" s="0" t="n">
        <v>12</v>
      </c>
      <c r="E108" s="0" t="n">
        <v>0</v>
      </c>
      <c r="F108" s="0" t="n">
        <v>62</v>
      </c>
      <c r="G108" s="0" t="n">
        <v>8</v>
      </c>
    </row>
    <row r="109" customFormat="false" ht="15" hidden="false" customHeight="false" outlineLevel="0" collapsed="false">
      <c r="A109" s="0" t="s">
        <v>1041</v>
      </c>
      <c r="B109" s="0" t="s">
        <v>80</v>
      </c>
      <c r="C109" s="0" t="s">
        <v>1046</v>
      </c>
      <c r="D109" s="0" t="n">
        <v>0</v>
      </c>
      <c r="E109" s="0" t="n">
        <v>86</v>
      </c>
      <c r="F109" s="0" t="n">
        <v>0</v>
      </c>
      <c r="G109" s="0" t="n">
        <v>1</v>
      </c>
    </row>
    <row r="110" customFormat="false" ht="15" hidden="false" customHeight="false" outlineLevel="0" collapsed="false">
      <c r="A110" s="0" t="s">
        <v>1041</v>
      </c>
      <c r="B110" s="0" t="s">
        <v>121</v>
      </c>
      <c r="C110" s="0" t="s">
        <v>2648</v>
      </c>
      <c r="D110" s="0" t="n">
        <v>2</v>
      </c>
      <c r="E110" s="0" t="n">
        <v>88</v>
      </c>
      <c r="F110" s="0" t="n">
        <v>0</v>
      </c>
      <c r="G110" s="0" t="n">
        <v>1</v>
      </c>
    </row>
    <row r="111" customFormat="false" ht="15" hidden="false" customHeight="false" outlineLevel="0" collapsed="false">
      <c r="A111" s="0" t="s">
        <v>1041</v>
      </c>
      <c r="B111" s="0" t="s">
        <v>121</v>
      </c>
      <c r="C111" s="0" t="s">
        <v>1046</v>
      </c>
      <c r="D111" s="0" t="n">
        <v>24</v>
      </c>
      <c r="E111" s="0" t="n">
        <v>0</v>
      </c>
      <c r="F111" s="0" t="n">
        <v>57</v>
      </c>
      <c r="G111" s="0" t="n">
        <v>14</v>
      </c>
    </row>
    <row r="112" customFormat="false" ht="15" hidden="false" customHeight="false" outlineLevel="0" collapsed="false">
      <c r="A112" s="0" t="s">
        <v>1041</v>
      </c>
      <c r="B112" s="0" t="s">
        <v>94</v>
      </c>
      <c r="C112" s="0" t="s">
        <v>2648</v>
      </c>
      <c r="D112" s="0" t="n">
        <v>40</v>
      </c>
      <c r="E112" s="0" t="n">
        <v>0</v>
      </c>
      <c r="F112" s="0" t="n">
        <v>67</v>
      </c>
      <c r="G112" s="0" t="n">
        <v>12</v>
      </c>
    </row>
    <row r="113" customFormat="false" ht="15" hidden="false" customHeight="false" outlineLevel="0" collapsed="false">
      <c r="A113" s="0" t="s">
        <v>1041</v>
      </c>
      <c r="B113" s="0" t="s">
        <v>94</v>
      </c>
      <c r="C113" s="0" t="s">
        <v>1046</v>
      </c>
      <c r="D113" s="0" t="n">
        <v>2</v>
      </c>
      <c r="E113" s="0" t="n">
        <v>7</v>
      </c>
      <c r="F113" s="0" t="n">
        <v>67</v>
      </c>
      <c r="G113" s="0" t="n">
        <v>6</v>
      </c>
    </row>
    <row r="114" customFormat="false" ht="15" hidden="false" customHeight="false" outlineLevel="0" collapsed="false">
      <c r="A114" s="0" t="s">
        <v>1047</v>
      </c>
      <c r="B114" s="0" t="s">
        <v>131</v>
      </c>
      <c r="C114" s="0" t="s">
        <v>2651</v>
      </c>
      <c r="D114" s="0" t="n">
        <v>2</v>
      </c>
      <c r="E114" s="0" t="n">
        <v>7</v>
      </c>
      <c r="F114" s="0" t="n">
        <v>50</v>
      </c>
      <c r="G114" s="0" t="n">
        <v>6</v>
      </c>
    </row>
    <row r="115" customFormat="false" ht="15" hidden="false" customHeight="false" outlineLevel="0" collapsed="false">
      <c r="A115" s="0" t="s">
        <v>1047</v>
      </c>
      <c r="B115" s="0" t="s">
        <v>131</v>
      </c>
      <c r="C115" s="0" t="s">
        <v>1053</v>
      </c>
      <c r="D115" s="0" t="n">
        <v>6</v>
      </c>
      <c r="E115" s="0" t="n">
        <v>0</v>
      </c>
      <c r="F115" s="0" t="n">
        <v>71</v>
      </c>
      <c r="G115" s="0" t="n">
        <v>7</v>
      </c>
    </row>
    <row r="116" customFormat="false" ht="15" hidden="false" customHeight="false" outlineLevel="0" collapsed="false">
      <c r="A116" s="0" t="s">
        <v>1047</v>
      </c>
      <c r="B116" s="0" t="s">
        <v>107</v>
      </c>
      <c r="C116" s="0" t="s">
        <v>2651</v>
      </c>
      <c r="D116" s="0" t="n">
        <v>20</v>
      </c>
      <c r="E116" s="0" t="n">
        <v>0</v>
      </c>
      <c r="F116" s="0" t="n">
        <v>19</v>
      </c>
      <c r="G116" s="0" t="n">
        <v>16</v>
      </c>
    </row>
    <row r="117" customFormat="false" ht="15" hidden="false" customHeight="false" outlineLevel="0" collapsed="false">
      <c r="A117" s="0" t="s">
        <v>1047</v>
      </c>
      <c r="B117" s="0" t="s">
        <v>107</v>
      </c>
      <c r="C117" s="0" t="s">
        <v>1053</v>
      </c>
      <c r="D117" s="0" t="n">
        <v>33</v>
      </c>
      <c r="E117" s="0" t="n">
        <v>0</v>
      </c>
      <c r="F117" s="0" t="n">
        <v>62</v>
      </c>
      <c r="G117" s="0" t="n">
        <v>16</v>
      </c>
    </row>
    <row r="118" customFormat="false" ht="15" hidden="false" customHeight="false" outlineLevel="0" collapsed="false">
      <c r="A118" s="0" t="s">
        <v>1047</v>
      </c>
      <c r="B118" s="0" t="s">
        <v>150</v>
      </c>
      <c r="C118" s="0" t="s">
        <v>2651</v>
      </c>
      <c r="D118" s="0" t="n">
        <v>33</v>
      </c>
      <c r="E118" s="0" t="n">
        <v>0</v>
      </c>
      <c r="F118" s="0" t="n">
        <v>53</v>
      </c>
      <c r="G118" s="0" t="n">
        <v>15</v>
      </c>
    </row>
    <row r="119" customFormat="false" ht="15" hidden="false" customHeight="false" outlineLevel="0" collapsed="false">
      <c r="A119" s="0" t="s">
        <v>1047</v>
      </c>
      <c r="B119" s="0" t="s">
        <v>150</v>
      </c>
      <c r="C119" s="0" t="s">
        <v>1053</v>
      </c>
      <c r="D119" s="0" t="n">
        <v>23</v>
      </c>
      <c r="E119" s="0" t="n">
        <v>0</v>
      </c>
      <c r="F119" s="0" t="n">
        <v>60</v>
      </c>
      <c r="G119" s="0" t="n">
        <v>15</v>
      </c>
    </row>
    <row r="120" customFormat="false" ht="15" hidden="false" customHeight="false" outlineLevel="0" collapsed="false">
      <c r="A120" s="0" t="s">
        <v>1047</v>
      </c>
      <c r="B120" s="0" t="s">
        <v>142</v>
      </c>
      <c r="C120" s="0" t="s">
        <v>2651</v>
      </c>
      <c r="D120" s="0" t="n">
        <v>2</v>
      </c>
      <c r="E120" s="0" t="n">
        <v>4</v>
      </c>
      <c r="F120" s="0" t="n">
        <v>29</v>
      </c>
      <c r="G120" s="0" t="n">
        <v>7</v>
      </c>
    </row>
    <row r="121" customFormat="false" ht="15" hidden="false" customHeight="false" outlineLevel="0" collapsed="false">
      <c r="A121" s="0" t="s">
        <v>1047</v>
      </c>
      <c r="B121" s="0" t="s">
        <v>142</v>
      </c>
      <c r="C121" s="0" t="s">
        <v>1053</v>
      </c>
      <c r="D121" s="0" t="n">
        <v>12</v>
      </c>
      <c r="E121" s="0" t="n">
        <v>6</v>
      </c>
      <c r="F121" s="0" t="n">
        <v>67</v>
      </c>
      <c r="G121" s="0" t="n">
        <v>6</v>
      </c>
    </row>
    <row r="122" customFormat="false" ht="15" hidden="false" customHeight="false" outlineLevel="0" collapsed="false">
      <c r="A122" s="0" t="s">
        <v>1047</v>
      </c>
      <c r="B122" s="0" t="s">
        <v>80</v>
      </c>
      <c r="C122" s="0" t="s">
        <v>2651</v>
      </c>
      <c r="D122" s="0" t="n">
        <v>7</v>
      </c>
      <c r="E122" s="0" t="n">
        <v>7</v>
      </c>
      <c r="F122" s="0" t="n">
        <v>29</v>
      </c>
      <c r="G122" s="0" t="n">
        <v>7</v>
      </c>
    </row>
    <row r="123" customFormat="false" ht="15" hidden="false" customHeight="false" outlineLevel="0" collapsed="false">
      <c r="A123" s="0" t="s">
        <v>1047</v>
      </c>
      <c r="B123" s="0" t="s">
        <v>80</v>
      </c>
      <c r="C123" s="0" t="s">
        <v>1053</v>
      </c>
      <c r="D123" s="0" t="n">
        <v>4</v>
      </c>
      <c r="E123" s="0" t="n">
        <v>6</v>
      </c>
      <c r="F123" s="0" t="n">
        <v>67</v>
      </c>
      <c r="G123" s="0" t="n">
        <v>9</v>
      </c>
    </row>
    <row r="124" customFormat="false" ht="15" hidden="false" customHeight="false" outlineLevel="0" collapsed="false">
      <c r="A124" s="0" t="s">
        <v>1047</v>
      </c>
      <c r="B124" s="0" t="s">
        <v>121</v>
      </c>
      <c r="C124" s="0" t="s">
        <v>2651</v>
      </c>
      <c r="D124" s="0" t="n">
        <v>33</v>
      </c>
      <c r="E124" s="0" t="n">
        <v>0</v>
      </c>
      <c r="F124" s="0" t="n">
        <v>38</v>
      </c>
      <c r="G124" s="0" t="n">
        <v>13</v>
      </c>
    </row>
    <row r="125" customFormat="false" ht="15" hidden="false" customHeight="false" outlineLevel="0" collapsed="false">
      <c r="A125" s="0" t="s">
        <v>1047</v>
      </c>
      <c r="B125" s="0" t="s">
        <v>121</v>
      </c>
      <c r="C125" s="0" t="s">
        <v>1053</v>
      </c>
      <c r="D125" s="0" t="n">
        <v>0</v>
      </c>
      <c r="E125" s="0" t="n">
        <v>88</v>
      </c>
      <c r="F125" s="0" t="n">
        <v>0</v>
      </c>
      <c r="G125" s="0" t="n">
        <v>2</v>
      </c>
    </row>
    <row r="126" customFormat="false" ht="15" hidden="false" customHeight="false" outlineLevel="0" collapsed="false">
      <c r="A126" s="0" t="s">
        <v>1047</v>
      </c>
      <c r="B126" s="0" t="s">
        <v>94</v>
      </c>
      <c r="C126" s="0" t="s">
        <v>2651</v>
      </c>
      <c r="D126" s="0" t="n">
        <v>0</v>
      </c>
      <c r="E126" s="0" t="n">
        <v>80</v>
      </c>
      <c r="F126" s="0" t="n">
        <v>0</v>
      </c>
      <c r="G126" s="0" t="n">
        <v>1</v>
      </c>
    </row>
    <row r="127" customFormat="false" ht="15" hidden="false" customHeight="false" outlineLevel="0" collapsed="false">
      <c r="A127" s="0" t="s">
        <v>1047</v>
      </c>
      <c r="B127" s="0" t="s">
        <v>94</v>
      </c>
      <c r="C127" s="0" t="s">
        <v>1053</v>
      </c>
      <c r="D127" s="0" t="n">
        <v>6</v>
      </c>
      <c r="E127" s="0" t="n">
        <v>0</v>
      </c>
      <c r="F127" s="0" t="n">
        <v>43</v>
      </c>
      <c r="G127" s="0" t="n">
        <v>14</v>
      </c>
    </row>
    <row r="128" customFormat="false" ht="15" hidden="false" customHeight="false" outlineLevel="0" collapsed="false">
      <c r="A128" s="0" t="s">
        <v>1054</v>
      </c>
      <c r="B128" s="0" t="s">
        <v>131</v>
      </c>
      <c r="C128" s="0" t="s">
        <v>2654</v>
      </c>
      <c r="D128" s="0" t="n">
        <v>0</v>
      </c>
      <c r="E128" s="0" t="n">
        <v>0</v>
      </c>
      <c r="F128" s="0" t="n">
        <v>50</v>
      </c>
      <c r="G128" s="0" t="n">
        <v>4</v>
      </c>
    </row>
    <row r="129" customFormat="false" ht="15" hidden="false" customHeight="false" outlineLevel="0" collapsed="false">
      <c r="A129" s="0" t="s">
        <v>1054</v>
      </c>
      <c r="B129" s="0" t="s">
        <v>131</v>
      </c>
      <c r="C129" s="0" t="s">
        <v>2656</v>
      </c>
      <c r="D129" s="0" t="n">
        <v>38</v>
      </c>
      <c r="E129" s="0" t="n">
        <v>0</v>
      </c>
      <c r="F129" s="0" t="n">
        <v>58</v>
      </c>
      <c r="G129" s="0" t="n">
        <v>12</v>
      </c>
    </row>
    <row r="130" customFormat="false" ht="15" hidden="false" customHeight="false" outlineLevel="0" collapsed="false">
      <c r="A130" s="0" t="s">
        <v>1054</v>
      </c>
      <c r="B130" s="0" t="s">
        <v>107</v>
      </c>
      <c r="C130" s="0" t="s">
        <v>2654</v>
      </c>
      <c r="D130" s="0" t="n">
        <v>24</v>
      </c>
      <c r="E130" s="0" t="n">
        <v>0</v>
      </c>
      <c r="F130" s="0" t="n">
        <v>53</v>
      </c>
      <c r="G130" s="0" t="n">
        <v>15</v>
      </c>
    </row>
    <row r="131" customFormat="false" ht="15" hidden="false" customHeight="false" outlineLevel="0" collapsed="false">
      <c r="A131" s="0" t="s">
        <v>1054</v>
      </c>
      <c r="B131" s="0" t="s">
        <v>107</v>
      </c>
      <c r="C131" s="0" t="s">
        <v>2656</v>
      </c>
      <c r="D131" s="0" t="n">
        <v>0</v>
      </c>
      <c r="E131" s="0" t="n">
        <v>100</v>
      </c>
      <c r="G131" s="0" t="n">
        <v>0</v>
      </c>
    </row>
    <row r="132" customFormat="false" ht="15" hidden="false" customHeight="false" outlineLevel="0" collapsed="false">
      <c r="A132" s="0" t="s">
        <v>1054</v>
      </c>
      <c r="B132" s="0" t="s">
        <v>150</v>
      </c>
      <c r="C132" s="0" t="s">
        <v>2654</v>
      </c>
      <c r="D132" s="0" t="n">
        <v>32</v>
      </c>
      <c r="E132" s="0" t="n">
        <v>0</v>
      </c>
      <c r="F132" s="0" t="n">
        <v>67</v>
      </c>
      <c r="G132" s="0" t="n">
        <v>12</v>
      </c>
    </row>
    <row r="133" customFormat="false" ht="15" hidden="false" customHeight="false" outlineLevel="0" collapsed="false">
      <c r="A133" s="0" t="s">
        <v>1054</v>
      </c>
      <c r="B133" s="0" t="s">
        <v>150</v>
      </c>
      <c r="C133" s="0" t="s">
        <v>2656</v>
      </c>
      <c r="D133" s="0" t="n">
        <v>5</v>
      </c>
      <c r="E133" s="0" t="n">
        <v>0</v>
      </c>
      <c r="F133" s="0" t="n">
        <v>58</v>
      </c>
      <c r="G133" s="0" t="n">
        <v>12</v>
      </c>
    </row>
    <row r="134" customFormat="false" ht="15" hidden="false" customHeight="false" outlineLevel="0" collapsed="false">
      <c r="A134" s="0" t="s">
        <v>1054</v>
      </c>
      <c r="B134" s="0" t="s">
        <v>142</v>
      </c>
      <c r="C134" s="0" t="s">
        <v>2654</v>
      </c>
      <c r="D134" s="0" t="n">
        <v>17</v>
      </c>
      <c r="E134" s="0" t="n">
        <v>2</v>
      </c>
      <c r="F134" s="0" t="n">
        <v>67</v>
      </c>
      <c r="G134" s="0" t="n">
        <v>6</v>
      </c>
    </row>
    <row r="135" customFormat="false" ht="15" hidden="false" customHeight="false" outlineLevel="0" collapsed="false">
      <c r="A135" s="0" t="s">
        <v>1054</v>
      </c>
      <c r="B135" s="0" t="s">
        <v>142</v>
      </c>
      <c r="C135" s="0" t="s">
        <v>2656</v>
      </c>
      <c r="D135" s="0" t="n">
        <v>5</v>
      </c>
      <c r="E135" s="0" t="n">
        <v>0</v>
      </c>
      <c r="F135" s="0" t="n">
        <v>62</v>
      </c>
      <c r="G135" s="0" t="n">
        <v>8</v>
      </c>
    </row>
    <row r="136" customFormat="false" ht="15" hidden="false" customHeight="false" outlineLevel="0" collapsed="false">
      <c r="A136" s="0" t="s">
        <v>1054</v>
      </c>
      <c r="B136" s="0" t="s">
        <v>80</v>
      </c>
      <c r="C136" s="0" t="s">
        <v>2654</v>
      </c>
      <c r="D136" s="0" t="n">
        <v>2</v>
      </c>
      <c r="E136" s="0" t="n">
        <v>0</v>
      </c>
      <c r="F136" s="0" t="n">
        <v>67</v>
      </c>
      <c r="G136" s="0" t="n">
        <v>6</v>
      </c>
    </row>
    <row r="137" customFormat="false" ht="15" hidden="false" customHeight="false" outlineLevel="0" collapsed="false">
      <c r="A137" s="0" t="s">
        <v>1054</v>
      </c>
      <c r="B137" s="0" t="s">
        <v>80</v>
      </c>
      <c r="C137" s="0" t="s">
        <v>2656</v>
      </c>
      <c r="D137" s="0" t="n">
        <v>24</v>
      </c>
      <c r="E137" s="0" t="n">
        <v>0</v>
      </c>
      <c r="F137" s="0" t="n">
        <v>43</v>
      </c>
      <c r="G137" s="0" t="n">
        <v>7</v>
      </c>
    </row>
    <row r="138" customFormat="false" ht="15" hidden="false" customHeight="false" outlineLevel="0" collapsed="false">
      <c r="A138" s="0" t="s">
        <v>1054</v>
      </c>
      <c r="B138" s="0" t="s">
        <v>121</v>
      </c>
      <c r="C138" s="0" t="s">
        <v>2654</v>
      </c>
      <c r="D138" s="0" t="n">
        <v>20</v>
      </c>
      <c r="E138" s="0" t="n">
        <v>5</v>
      </c>
      <c r="F138" s="0" t="n">
        <v>50</v>
      </c>
      <c r="G138" s="0" t="n">
        <v>12</v>
      </c>
    </row>
    <row r="139" customFormat="false" ht="15" hidden="false" customHeight="false" outlineLevel="0" collapsed="false">
      <c r="A139" s="0" t="s">
        <v>1054</v>
      </c>
      <c r="B139" s="0" t="s">
        <v>121</v>
      </c>
      <c r="C139" s="0" t="s">
        <v>2656</v>
      </c>
      <c r="D139" s="0" t="n">
        <v>10</v>
      </c>
      <c r="E139" s="0" t="n">
        <v>0</v>
      </c>
      <c r="F139" s="0" t="n">
        <v>50</v>
      </c>
      <c r="G139" s="0" t="n">
        <v>8</v>
      </c>
    </row>
    <row r="140" customFormat="false" ht="15" hidden="false" customHeight="false" outlineLevel="0" collapsed="false">
      <c r="A140" s="0" t="s">
        <v>1054</v>
      </c>
      <c r="B140" s="0" t="s">
        <v>94</v>
      </c>
      <c r="C140" s="0" t="s">
        <v>2654</v>
      </c>
      <c r="D140" s="0" t="n">
        <v>0</v>
      </c>
      <c r="E140" s="0" t="n">
        <v>88</v>
      </c>
      <c r="G140" s="0" t="n">
        <v>0</v>
      </c>
    </row>
    <row r="141" customFormat="false" ht="15" hidden="false" customHeight="false" outlineLevel="0" collapsed="false">
      <c r="A141" s="0" t="s">
        <v>1054</v>
      </c>
      <c r="B141" s="0" t="s">
        <v>94</v>
      </c>
      <c r="C141" s="0" t="s">
        <v>2656</v>
      </c>
      <c r="D141" s="0" t="n">
        <v>19</v>
      </c>
      <c r="E141" s="0" t="n">
        <v>0</v>
      </c>
      <c r="F141" s="0" t="n">
        <v>50</v>
      </c>
      <c r="G141" s="0" t="n">
        <v>6</v>
      </c>
    </row>
    <row r="142" customFormat="false" ht="15" hidden="false" customHeight="false" outlineLevel="0" collapsed="false">
      <c r="A142" s="0" t="s">
        <v>1060</v>
      </c>
      <c r="B142" s="0" t="s">
        <v>131</v>
      </c>
      <c r="C142" s="0" t="s">
        <v>1064</v>
      </c>
      <c r="D142" s="0" t="n">
        <v>19</v>
      </c>
      <c r="E142" s="0" t="n">
        <v>0</v>
      </c>
      <c r="F142" s="0" t="n">
        <v>50</v>
      </c>
      <c r="G142" s="0" t="n">
        <v>12</v>
      </c>
    </row>
    <row r="143" customFormat="false" ht="15" hidden="false" customHeight="false" outlineLevel="0" collapsed="false">
      <c r="A143" s="0" t="s">
        <v>1060</v>
      </c>
      <c r="B143" s="0" t="s">
        <v>131</v>
      </c>
      <c r="C143" s="0" t="s">
        <v>2659</v>
      </c>
      <c r="D143" s="0" t="n">
        <v>14</v>
      </c>
      <c r="E143" s="0" t="n">
        <v>7</v>
      </c>
      <c r="F143" s="0" t="n">
        <v>75</v>
      </c>
      <c r="G143" s="0" t="n">
        <v>4</v>
      </c>
    </row>
    <row r="144" customFormat="false" ht="15" hidden="false" customHeight="false" outlineLevel="0" collapsed="false">
      <c r="A144" s="0" t="s">
        <v>1060</v>
      </c>
      <c r="B144" s="0" t="s">
        <v>107</v>
      </c>
      <c r="C144" s="0" t="s">
        <v>1064</v>
      </c>
      <c r="D144" s="0" t="n">
        <v>7</v>
      </c>
      <c r="E144" s="0" t="n">
        <v>5</v>
      </c>
      <c r="F144" s="0" t="n">
        <v>58</v>
      </c>
      <c r="G144" s="0" t="n">
        <v>12</v>
      </c>
    </row>
    <row r="145" customFormat="false" ht="15" hidden="false" customHeight="false" outlineLevel="0" collapsed="false">
      <c r="A145" s="0" t="s">
        <v>1060</v>
      </c>
      <c r="B145" s="0" t="s">
        <v>107</v>
      </c>
      <c r="C145" s="0" t="s">
        <v>2659</v>
      </c>
      <c r="D145" s="0" t="n">
        <v>0</v>
      </c>
      <c r="E145" s="0" t="n">
        <v>25</v>
      </c>
      <c r="F145" s="0" t="n">
        <v>100</v>
      </c>
      <c r="G145" s="0" t="n">
        <v>1</v>
      </c>
    </row>
    <row r="146" customFormat="false" ht="15" hidden="false" customHeight="false" outlineLevel="0" collapsed="false">
      <c r="A146" s="0" t="s">
        <v>1060</v>
      </c>
      <c r="B146" s="0" t="s">
        <v>150</v>
      </c>
      <c r="C146" s="0" t="s">
        <v>1064</v>
      </c>
      <c r="D146" s="0" t="n">
        <v>26</v>
      </c>
      <c r="E146" s="0" t="n">
        <v>2</v>
      </c>
      <c r="F146" s="0" t="n">
        <v>60</v>
      </c>
      <c r="G146" s="0" t="n">
        <v>15</v>
      </c>
    </row>
    <row r="147" customFormat="false" ht="15" hidden="false" customHeight="false" outlineLevel="0" collapsed="false">
      <c r="A147" s="0" t="s">
        <v>1060</v>
      </c>
      <c r="B147" s="0" t="s">
        <v>150</v>
      </c>
      <c r="C147" s="0" t="s">
        <v>2659</v>
      </c>
      <c r="D147" s="0" t="n">
        <v>18</v>
      </c>
      <c r="E147" s="0" t="n">
        <v>0</v>
      </c>
      <c r="F147" s="0" t="n">
        <v>25</v>
      </c>
      <c r="G147" s="0" t="n">
        <v>8</v>
      </c>
    </row>
    <row r="148" customFormat="false" ht="15" hidden="false" customHeight="false" outlineLevel="0" collapsed="false">
      <c r="A148" s="0" t="s">
        <v>1060</v>
      </c>
      <c r="B148" s="0" t="s">
        <v>142</v>
      </c>
      <c r="C148" s="0" t="s">
        <v>1064</v>
      </c>
      <c r="D148" s="0" t="n">
        <v>16</v>
      </c>
      <c r="E148" s="0" t="n">
        <v>12</v>
      </c>
      <c r="F148" s="0" t="n">
        <v>78</v>
      </c>
      <c r="G148" s="0" t="n">
        <v>9</v>
      </c>
    </row>
    <row r="149" customFormat="false" ht="15" hidden="false" customHeight="false" outlineLevel="0" collapsed="false">
      <c r="A149" s="0" t="s">
        <v>1060</v>
      </c>
      <c r="B149" s="0" t="s">
        <v>142</v>
      </c>
      <c r="C149" s="0" t="s">
        <v>2659</v>
      </c>
      <c r="D149" s="0" t="n">
        <v>7</v>
      </c>
      <c r="E149" s="0" t="n">
        <v>0</v>
      </c>
      <c r="F149" s="0" t="n">
        <v>44</v>
      </c>
      <c r="G149" s="0" t="n">
        <v>9</v>
      </c>
    </row>
    <row r="150" customFormat="false" ht="15" hidden="false" customHeight="false" outlineLevel="0" collapsed="false">
      <c r="A150" s="0" t="s">
        <v>1060</v>
      </c>
      <c r="B150" s="0" t="s">
        <v>80</v>
      </c>
      <c r="C150" s="0" t="s">
        <v>1064</v>
      </c>
      <c r="D150" s="0" t="n">
        <v>21</v>
      </c>
      <c r="E150" s="0" t="n">
        <v>0</v>
      </c>
      <c r="F150" s="0" t="n">
        <v>58</v>
      </c>
      <c r="G150" s="0" t="n">
        <v>12</v>
      </c>
    </row>
    <row r="151" customFormat="false" ht="15" hidden="false" customHeight="false" outlineLevel="0" collapsed="false">
      <c r="A151" s="0" t="s">
        <v>1060</v>
      </c>
      <c r="B151" s="0" t="s">
        <v>80</v>
      </c>
      <c r="C151" s="0" t="s">
        <v>2659</v>
      </c>
      <c r="D151" s="0" t="n">
        <v>4</v>
      </c>
      <c r="E151" s="0" t="n">
        <v>7</v>
      </c>
      <c r="F151" s="0" t="n">
        <v>80</v>
      </c>
      <c r="G151" s="0" t="n">
        <v>5</v>
      </c>
    </row>
    <row r="152" customFormat="false" ht="15" hidden="false" customHeight="false" outlineLevel="0" collapsed="false">
      <c r="A152" s="0" t="s">
        <v>1060</v>
      </c>
      <c r="B152" s="0" t="s">
        <v>121</v>
      </c>
      <c r="C152" s="0" t="s">
        <v>1064</v>
      </c>
      <c r="D152" s="0" t="n">
        <v>0</v>
      </c>
      <c r="E152" s="0" t="n">
        <v>37</v>
      </c>
      <c r="F152" s="0" t="n">
        <v>50</v>
      </c>
      <c r="G152" s="0" t="n">
        <v>12</v>
      </c>
    </row>
    <row r="153" customFormat="false" ht="15" hidden="false" customHeight="false" outlineLevel="0" collapsed="false">
      <c r="A153" s="0" t="s">
        <v>1060</v>
      </c>
      <c r="B153" s="0" t="s">
        <v>121</v>
      </c>
      <c r="C153" s="0" t="s">
        <v>2659</v>
      </c>
      <c r="D153" s="0" t="n">
        <v>39</v>
      </c>
      <c r="E153" s="0" t="n">
        <v>11</v>
      </c>
      <c r="F153" s="0" t="n">
        <v>0</v>
      </c>
      <c r="G153" s="0" t="n">
        <v>3</v>
      </c>
    </row>
    <row r="154" customFormat="false" ht="15" hidden="false" customHeight="false" outlineLevel="0" collapsed="false">
      <c r="A154" s="0" t="s">
        <v>1060</v>
      </c>
      <c r="B154" s="0" t="s">
        <v>94</v>
      </c>
      <c r="C154" s="0" t="s">
        <v>1064</v>
      </c>
      <c r="D154" s="0" t="n">
        <v>2</v>
      </c>
      <c r="E154" s="0" t="n">
        <v>44</v>
      </c>
      <c r="F154" s="0" t="n">
        <v>0</v>
      </c>
      <c r="G154" s="0" t="n">
        <v>2</v>
      </c>
    </row>
    <row r="155" customFormat="false" ht="15" hidden="false" customHeight="false" outlineLevel="0" collapsed="false">
      <c r="A155" s="0" t="s">
        <v>1060</v>
      </c>
      <c r="B155" s="0" t="s">
        <v>94</v>
      </c>
      <c r="C155" s="0" t="s">
        <v>2659</v>
      </c>
      <c r="D155" s="0" t="n">
        <v>18</v>
      </c>
      <c r="E155" s="0" t="n">
        <v>0</v>
      </c>
      <c r="F155" s="0" t="n">
        <v>67</v>
      </c>
      <c r="G155" s="0" t="n">
        <v>3</v>
      </c>
    </row>
    <row r="156" customFormat="false" ht="15" hidden="false" customHeight="false" outlineLevel="0" collapsed="false">
      <c r="A156" s="0" t="s">
        <v>1066</v>
      </c>
      <c r="B156" s="0" t="s">
        <v>131</v>
      </c>
      <c r="C156" s="0" t="s">
        <v>1070</v>
      </c>
      <c r="D156" s="0" t="n">
        <v>0</v>
      </c>
      <c r="E156" s="0" t="n">
        <v>11</v>
      </c>
      <c r="F156" s="0" t="n">
        <v>33</v>
      </c>
      <c r="G156" s="0" t="n">
        <v>9</v>
      </c>
    </row>
    <row r="157" customFormat="false" ht="15" hidden="false" customHeight="false" outlineLevel="0" collapsed="false">
      <c r="A157" s="0" t="s">
        <v>1066</v>
      </c>
      <c r="B157" s="0" t="s">
        <v>131</v>
      </c>
      <c r="C157" s="0" t="s">
        <v>2662</v>
      </c>
      <c r="D157" s="0" t="n">
        <v>11</v>
      </c>
      <c r="E157" s="0" t="n">
        <v>0</v>
      </c>
      <c r="F157" s="0" t="n">
        <v>38</v>
      </c>
      <c r="G157" s="0" t="n">
        <v>8</v>
      </c>
    </row>
    <row r="158" customFormat="false" ht="15" hidden="false" customHeight="false" outlineLevel="0" collapsed="false">
      <c r="A158" s="0" t="s">
        <v>1066</v>
      </c>
      <c r="B158" s="0" t="s">
        <v>107</v>
      </c>
      <c r="C158" s="0" t="s">
        <v>1070</v>
      </c>
      <c r="D158" s="0" t="n">
        <v>32</v>
      </c>
      <c r="E158" s="0" t="n">
        <v>0</v>
      </c>
      <c r="F158" s="0" t="n">
        <v>82</v>
      </c>
      <c r="G158" s="0" t="n">
        <v>11</v>
      </c>
    </row>
    <row r="159" customFormat="false" ht="15" hidden="false" customHeight="false" outlineLevel="0" collapsed="false">
      <c r="A159" s="0" t="s">
        <v>1066</v>
      </c>
      <c r="B159" s="0" t="s">
        <v>107</v>
      </c>
      <c r="C159" s="0" t="s">
        <v>2662</v>
      </c>
      <c r="D159" s="0" t="n">
        <v>53</v>
      </c>
      <c r="E159" s="0" t="n">
        <v>0</v>
      </c>
      <c r="F159" s="0" t="n">
        <v>60</v>
      </c>
      <c r="G159" s="0" t="n">
        <v>15</v>
      </c>
    </row>
    <row r="160" customFormat="false" ht="15" hidden="false" customHeight="false" outlineLevel="0" collapsed="false">
      <c r="A160" s="0" t="s">
        <v>1066</v>
      </c>
      <c r="B160" s="0" t="s">
        <v>150</v>
      </c>
      <c r="C160" s="0" t="s">
        <v>1070</v>
      </c>
      <c r="D160" s="0" t="n">
        <v>5</v>
      </c>
      <c r="E160" s="0" t="n">
        <v>0</v>
      </c>
      <c r="F160" s="0" t="n">
        <v>45</v>
      </c>
      <c r="G160" s="0" t="n">
        <v>11</v>
      </c>
    </row>
    <row r="161" customFormat="false" ht="15" hidden="false" customHeight="false" outlineLevel="0" collapsed="false">
      <c r="A161" s="0" t="s">
        <v>1066</v>
      </c>
      <c r="B161" s="0" t="s">
        <v>150</v>
      </c>
      <c r="C161" s="0" t="s">
        <v>2662</v>
      </c>
      <c r="D161" s="0" t="n">
        <v>31</v>
      </c>
      <c r="E161" s="0" t="n">
        <v>0</v>
      </c>
      <c r="F161" s="0" t="n">
        <v>58</v>
      </c>
      <c r="G161" s="0" t="n">
        <v>12</v>
      </c>
    </row>
    <row r="162" customFormat="false" ht="15" hidden="false" customHeight="false" outlineLevel="0" collapsed="false">
      <c r="A162" s="0" t="s">
        <v>1066</v>
      </c>
      <c r="B162" s="0" t="s">
        <v>142</v>
      </c>
      <c r="C162" s="0" t="s">
        <v>1070</v>
      </c>
      <c r="D162" s="0" t="n">
        <v>3</v>
      </c>
      <c r="E162" s="0" t="n">
        <v>5</v>
      </c>
      <c r="F162" s="0" t="n">
        <v>0</v>
      </c>
      <c r="G162" s="0" t="n">
        <v>8</v>
      </c>
    </row>
    <row r="163" customFormat="false" ht="15" hidden="false" customHeight="false" outlineLevel="0" collapsed="false">
      <c r="A163" s="0" t="s">
        <v>1066</v>
      </c>
      <c r="B163" s="0" t="s">
        <v>142</v>
      </c>
      <c r="C163" s="0" t="s">
        <v>2662</v>
      </c>
      <c r="D163" s="0" t="n">
        <v>3</v>
      </c>
      <c r="E163" s="0" t="n">
        <v>11</v>
      </c>
      <c r="F163" s="0" t="n">
        <v>78</v>
      </c>
      <c r="G163" s="0" t="n">
        <v>9</v>
      </c>
    </row>
    <row r="164" customFormat="false" ht="15" hidden="false" customHeight="false" outlineLevel="0" collapsed="false">
      <c r="A164" s="0" t="s">
        <v>1066</v>
      </c>
      <c r="B164" s="0" t="s">
        <v>80</v>
      </c>
      <c r="C164" s="0" t="s">
        <v>1070</v>
      </c>
      <c r="D164" s="0" t="n">
        <v>43</v>
      </c>
      <c r="E164" s="0" t="n">
        <v>0</v>
      </c>
      <c r="F164" s="0" t="n">
        <v>43</v>
      </c>
      <c r="G164" s="0" t="n">
        <v>7</v>
      </c>
    </row>
    <row r="165" customFormat="false" ht="15" hidden="false" customHeight="false" outlineLevel="0" collapsed="false">
      <c r="A165" s="0" t="s">
        <v>1066</v>
      </c>
      <c r="B165" s="0" t="s">
        <v>80</v>
      </c>
      <c r="C165" s="0" t="s">
        <v>2662</v>
      </c>
      <c r="D165" s="0" t="n">
        <v>3</v>
      </c>
      <c r="E165" s="0" t="n">
        <v>6</v>
      </c>
      <c r="F165" s="0" t="n">
        <v>50</v>
      </c>
      <c r="G165" s="0" t="n">
        <v>6</v>
      </c>
    </row>
    <row r="166" customFormat="false" ht="15" hidden="false" customHeight="false" outlineLevel="0" collapsed="false">
      <c r="A166" s="0" t="s">
        <v>1066</v>
      </c>
      <c r="B166" s="0" t="s">
        <v>121</v>
      </c>
      <c r="C166" s="0" t="s">
        <v>1070</v>
      </c>
      <c r="D166" s="0" t="n">
        <v>0</v>
      </c>
      <c r="E166" s="0" t="n">
        <v>84</v>
      </c>
      <c r="G166" s="0" t="n">
        <v>0</v>
      </c>
    </row>
    <row r="167" customFormat="false" ht="15" hidden="false" customHeight="false" outlineLevel="0" collapsed="false">
      <c r="A167" s="0" t="s">
        <v>1066</v>
      </c>
      <c r="B167" s="0" t="s">
        <v>121</v>
      </c>
      <c r="C167" s="0" t="s">
        <v>2662</v>
      </c>
      <c r="D167" s="0" t="n">
        <v>0</v>
      </c>
      <c r="E167" s="0" t="n">
        <v>0</v>
      </c>
      <c r="F167" s="0" t="n">
        <v>50</v>
      </c>
      <c r="G167" s="0" t="n">
        <v>8</v>
      </c>
    </row>
    <row r="168" customFormat="false" ht="15" hidden="false" customHeight="false" outlineLevel="0" collapsed="false">
      <c r="A168" s="0" t="s">
        <v>1066</v>
      </c>
      <c r="B168" s="0" t="s">
        <v>94</v>
      </c>
      <c r="C168" s="0" t="s">
        <v>1070</v>
      </c>
      <c r="D168" s="0" t="n">
        <v>16</v>
      </c>
      <c r="E168" s="0" t="n">
        <v>0</v>
      </c>
      <c r="F168" s="0" t="n">
        <v>67</v>
      </c>
      <c r="G168" s="0" t="n">
        <v>6</v>
      </c>
    </row>
    <row r="169" customFormat="false" ht="15" hidden="false" customHeight="false" outlineLevel="0" collapsed="false">
      <c r="A169" s="0" t="s">
        <v>1066</v>
      </c>
      <c r="B169" s="0" t="s">
        <v>94</v>
      </c>
      <c r="C169" s="0" t="s">
        <v>2662</v>
      </c>
      <c r="D169" s="0" t="n">
        <v>0</v>
      </c>
      <c r="E169" s="0" t="n">
        <v>83</v>
      </c>
      <c r="G169" s="0" t="n">
        <v>0</v>
      </c>
    </row>
    <row r="170" customFormat="false" ht="15" hidden="false" customHeight="false" outlineLevel="0" collapsed="false">
      <c r="A170" s="0" t="s">
        <v>1072</v>
      </c>
      <c r="B170" s="0" t="s">
        <v>131</v>
      </c>
      <c r="C170" s="0" t="s">
        <v>2664</v>
      </c>
      <c r="D170" s="0" t="n">
        <v>22</v>
      </c>
      <c r="E170" s="0" t="n">
        <v>0</v>
      </c>
      <c r="F170" s="0" t="n">
        <v>80</v>
      </c>
      <c r="G170" s="0" t="n">
        <v>15</v>
      </c>
    </row>
    <row r="171" customFormat="false" ht="15" hidden="false" customHeight="false" outlineLevel="0" collapsed="false">
      <c r="A171" s="0" t="s">
        <v>1072</v>
      </c>
      <c r="B171" s="0" t="s">
        <v>131</v>
      </c>
      <c r="C171" s="0" t="s">
        <v>1077</v>
      </c>
      <c r="D171" s="0" t="n">
        <v>9</v>
      </c>
      <c r="E171" s="0" t="n">
        <v>11</v>
      </c>
      <c r="F171" s="0" t="n">
        <v>47</v>
      </c>
      <c r="G171" s="0" t="n">
        <v>15</v>
      </c>
    </row>
    <row r="172" customFormat="false" ht="15" hidden="false" customHeight="false" outlineLevel="0" collapsed="false">
      <c r="A172" s="0" t="s">
        <v>1072</v>
      </c>
      <c r="B172" s="0" t="s">
        <v>107</v>
      </c>
      <c r="C172" s="0" t="s">
        <v>2664</v>
      </c>
      <c r="D172" s="0" t="n">
        <v>31</v>
      </c>
      <c r="E172" s="0" t="n">
        <v>0</v>
      </c>
      <c r="F172" s="0" t="n">
        <v>68</v>
      </c>
      <c r="G172" s="0" t="n">
        <v>19</v>
      </c>
    </row>
    <row r="173" customFormat="false" ht="15" hidden="false" customHeight="false" outlineLevel="0" collapsed="false">
      <c r="A173" s="0" t="s">
        <v>1072</v>
      </c>
      <c r="B173" s="0" t="s">
        <v>107</v>
      </c>
      <c r="C173" s="0" t="s">
        <v>1077</v>
      </c>
      <c r="D173" s="0" t="n">
        <v>39</v>
      </c>
      <c r="E173" s="0" t="n">
        <v>0</v>
      </c>
      <c r="F173" s="0" t="n">
        <v>53</v>
      </c>
      <c r="G173" s="0" t="n">
        <v>45</v>
      </c>
    </row>
    <row r="174" customFormat="false" ht="15" hidden="false" customHeight="false" outlineLevel="0" collapsed="false">
      <c r="A174" s="0" t="s">
        <v>1072</v>
      </c>
      <c r="B174" s="0" t="s">
        <v>150</v>
      </c>
      <c r="C174" s="0" t="s">
        <v>2664</v>
      </c>
      <c r="D174" s="0" t="n">
        <v>19</v>
      </c>
      <c r="E174" s="0" t="n">
        <v>0</v>
      </c>
      <c r="F174" s="0" t="n">
        <v>62</v>
      </c>
      <c r="G174" s="0" t="n">
        <v>13</v>
      </c>
    </row>
    <row r="175" customFormat="false" ht="15" hidden="false" customHeight="false" outlineLevel="0" collapsed="false">
      <c r="A175" s="0" t="s">
        <v>1072</v>
      </c>
      <c r="B175" s="0" t="s">
        <v>150</v>
      </c>
      <c r="C175" s="0" t="s">
        <v>1077</v>
      </c>
      <c r="D175" s="0" t="n">
        <v>4</v>
      </c>
      <c r="E175" s="0" t="n">
        <v>6</v>
      </c>
      <c r="F175" s="0" t="n">
        <v>50</v>
      </c>
      <c r="G175" s="0" t="n">
        <v>20</v>
      </c>
    </row>
    <row r="176" customFormat="false" ht="15" hidden="false" customHeight="false" outlineLevel="0" collapsed="false">
      <c r="A176" s="0" t="s">
        <v>1072</v>
      </c>
      <c r="B176" s="0" t="s">
        <v>142</v>
      </c>
      <c r="C176" s="0" t="s">
        <v>2664</v>
      </c>
      <c r="D176" s="0" t="n">
        <v>0</v>
      </c>
      <c r="E176" s="0" t="n">
        <v>100</v>
      </c>
      <c r="G176" s="0" t="n">
        <v>0</v>
      </c>
    </row>
    <row r="177" customFormat="false" ht="15" hidden="false" customHeight="false" outlineLevel="0" collapsed="false">
      <c r="A177" s="0" t="s">
        <v>1072</v>
      </c>
      <c r="B177" s="0" t="s">
        <v>142</v>
      </c>
      <c r="C177" s="0" t="s">
        <v>1077</v>
      </c>
      <c r="D177" s="0" t="n">
        <v>3</v>
      </c>
      <c r="E177" s="0" t="n">
        <v>22</v>
      </c>
      <c r="F177" s="0" t="n">
        <v>56</v>
      </c>
      <c r="G177" s="0" t="n">
        <v>16</v>
      </c>
    </row>
    <row r="178" customFormat="false" ht="15" hidden="false" customHeight="false" outlineLevel="0" collapsed="false">
      <c r="A178" s="0" t="s">
        <v>1072</v>
      </c>
      <c r="B178" s="0" t="s">
        <v>80</v>
      </c>
      <c r="C178" s="0" t="s">
        <v>2664</v>
      </c>
      <c r="D178" s="0" t="n">
        <v>25</v>
      </c>
      <c r="E178" s="0" t="n">
        <v>0</v>
      </c>
      <c r="F178" s="0" t="n">
        <v>67</v>
      </c>
      <c r="G178" s="0" t="n">
        <v>12</v>
      </c>
    </row>
    <row r="179" customFormat="false" ht="15" hidden="false" customHeight="false" outlineLevel="0" collapsed="false">
      <c r="A179" s="0" t="s">
        <v>1072</v>
      </c>
      <c r="B179" s="0" t="s">
        <v>80</v>
      </c>
      <c r="C179" s="0" t="s">
        <v>1077</v>
      </c>
      <c r="D179" s="0" t="n">
        <v>28</v>
      </c>
      <c r="E179" s="0" t="n">
        <v>0</v>
      </c>
      <c r="F179" s="0" t="n">
        <v>52</v>
      </c>
      <c r="G179" s="0" t="n">
        <v>40</v>
      </c>
    </row>
    <row r="180" customFormat="false" ht="15" hidden="false" customHeight="false" outlineLevel="0" collapsed="false">
      <c r="A180" s="0" t="s">
        <v>1072</v>
      </c>
      <c r="B180" s="0" t="s">
        <v>121</v>
      </c>
      <c r="C180" s="0" t="s">
        <v>2664</v>
      </c>
      <c r="D180" s="0" t="n">
        <v>0</v>
      </c>
      <c r="E180" s="0" t="n">
        <v>0</v>
      </c>
      <c r="F180" s="0" t="n">
        <v>67</v>
      </c>
      <c r="G180" s="0" t="n">
        <v>9</v>
      </c>
    </row>
    <row r="181" customFormat="false" ht="15" hidden="false" customHeight="false" outlineLevel="0" collapsed="false">
      <c r="A181" s="0" t="s">
        <v>1072</v>
      </c>
      <c r="B181" s="0" t="s">
        <v>121</v>
      </c>
      <c r="C181" s="0" t="s">
        <v>1077</v>
      </c>
      <c r="D181" s="0" t="n">
        <v>1</v>
      </c>
      <c r="E181" s="0" t="n">
        <v>61</v>
      </c>
      <c r="F181" s="0" t="n">
        <v>67</v>
      </c>
      <c r="G181" s="0" t="n">
        <v>12</v>
      </c>
    </row>
    <row r="182" customFormat="false" ht="15" hidden="false" customHeight="false" outlineLevel="0" collapsed="false">
      <c r="A182" s="0" t="s">
        <v>1072</v>
      </c>
      <c r="B182" s="0" t="s">
        <v>94</v>
      </c>
      <c r="C182" s="0" t="s">
        <v>2664</v>
      </c>
      <c r="D182" s="0" t="n">
        <v>3</v>
      </c>
      <c r="E182" s="0" t="n">
        <v>0</v>
      </c>
      <c r="F182" s="0" t="n">
        <v>45</v>
      </c>
      <c r="G182" s="0" t="n">
        <v>11</v>
      </c>
    </row>
    <row r="183" customFormat="false" ht="15" hidden="false" customHeight="false" outlineLevel="0" collapsed="false">
      <c r="A183" s="0" t="s">
        <v>1072</v>
      </c>
      <c r="B183" s="0" t="s">
        <v>94</v>
      </c>
      <c r="C183" s="0" t="s">
        <v>1077</v>
      </c>
      <c r="D183" s="0" t="n">
        <v>16</v>
      </c>
      <c r="E183" s="0" t="n">
        <v>0</v>
      </c>
      <c r="F183" s="0" t="n">
        <v>74</v>
      </c>
      <c r="G183" s="0" t="n">
        <v>31</v>
      </c>
    </row>
    <row r="184" customFormat="false" ht="15" hidden="false" customHeight="false" outlineLevel="0" collapsed="false">
      <c r="A184" s="0" t="s">
        <v>1078</v>
      </c>
      <c r="B184" s="0" t="s">
        <v>131</v>
      </c>
      <c r="C184" s="0" t="s">
        <v>1081</v>
      </c>
      <c r="D184" s="0" t="n">
        <v>4</v>
      </c>
      <c r="E184" s="0" t="n">
        <v>0</v>
      </c>
      <c r="F184" s="0" t="n">
        <v>33</v>
      </c>
      <c r="G184" s="0" t="n">
        <v>9</v>
      </c>
    </row>
    <row r="185" customFormat="false" ht="15" hidden="false" customHeight="false" outlineLevel="0" collapsed="false">
      <c r="A185" s="0" t="s">
        <v>1078</v>
      </c>
      <c r="B185" s="0" t="s">
        <v>131</v>
      </c>
      <c r="C185" s="0" t="s">
        <v>2668</v>
      </c>
      <c r="D185" s="0" t="n">
        <v>34</v>
      </c>
      <c r="E185" s="0" t="n">
        <v>0</v>
      </c>
      <c r="F185" s="0" t="n">
        <v>72</v>
      </c>
      <c r="G185" s="0" t="n">
        <v>32</v>
      </c>
    </row>
    <row r="186" customFormat="false" ht="15" hidden="false" customHeight="false" outlineLevel="0" collapsed="false">
      <c r="A186" s="0" t="s">
        <v>1078</v>
      </c>
      <c r="B186" s="0" t="s">
        <v>107</v>
      </c>
      <c r="C186" s="0" t="s">
        <v>1081</v>
      </c>
      <c r="D186" s="0" t="n">
        <v>63</v>
      </c>
      <c r="E186" s="0" t="n">
        <v>0</v>
      </c>
      <c r="F186" s="0" t="n">
        <v>67</v>
      </c>
      <c r="G186" s="0" t="n">
        <v>24</v>
      </c>
    </row>
    <row r="187" customFormat="false" ht="15" hidden="false" customHeight="false" outlineLevel="0" collapsed="false">
      <c r="A187" s="0" t="s">
        <v>1078</v>
      </c>
      <c r="B187" s="0" t="s">
        <v>107</v>
      </c>
      <c r="C187" s="0" t="s">
        <v>2668</v>
      </c>
      <c r="D187" s="0" t="n">
        <v>19</v>
      </c>
      <c r="E187" s="0" t="n">
        <v>0</v>
      </c>
      <c r="F187" s="0" t="n">
        <v>68</v>
      </c>
      <c r="G187" s="0" t="n">
        <v>28</v>
      </c>
    </row>
    <row r="188" customFormat="false" ht="15" hidden="false" customHeight="false" outlineLevel="0" collapsed="false">
      <c r="A188" s="0" t="s">
        <v>1078</v>
      </c>
      <c r="B188" s="0" t="s">
        <v>150</v>
      </c>
      <c r="C188" s="0" t="s">
        <v>1081</v>
      </c>
      <c r="D188" s="0" t="n">
        <v>30</v>
      </c>
      <c r="E188" s="0" t="n">
        <v>0</v>
      </c>
      <c r="F188" s="0" t="n">
        <v>80</v>
      </c>
      <c r="G188" s="0" t="n">
        <v>15</v>
      </c>
    </row>
    <row r="189" customFormat="false" ht="15" hidden="false" customHeight="false" outlineLevel="0" collapsed="false">
      <c r="A189" s="0" t="s">
        <v>1078</v>
      </c>
      <c r="B189" s="0" t="s">
        <v>150</v>
      </c>
      <c r="C189" s="0" t="s">
        <v>2668</v>
      </c>
      <c r="D189" s="0" t="n">
        <v>6</v>
      </c>
      <c r="E189" s="0" t="n">
        <v>0</v>
      </c>
      <c r="F189" s="0" t="n">
        <v>53</v>
      </c>
      <c r="G189" s="0" t="n">
        <v>17</v>
      </c>
    </row>
    <row r="190" customFormat="false" ht="15" hidden="false" customHeight="false" outlineLevel="0" collapsed="false">
      <c r="A190" s="0" t="s">
        <v>1078</v>
      </c>
      <c r="B190" s="0" t="s">
        <v>142</v>
      </c>
      <c r="C190" s="0" t="s">
        <v>1081</v>
      </c>
      <c r="D190" s="0" t="n">
        <v>0</v>
      </c>
      <c r="E190" s="0" t="n">
        <v>0</v>
      </c>
      <c r="F190" s="0" t="n">
        <v>44</v>
      </c>
      <c r="G190" s="0" t="n">
        <v>9</v>
      </c>
    </row>
    <row r="191" customFormat="false" ht="15" hidden="false" customHeight="false" outlineLevel="0" collapsed="false">
      <c r="A191" s="0" t="s">
        <v>1078</v>
      </c>
      <c r="B191" s="0" t="s">
        <v>142</v>
      </c>
      <c r="C191" s="0" t="s">
        <v>2668</v>
      </c>
      <c r="D191" s="0" t="n">
        <v>24</v>
      </c>
      <c r="E191" s="0" t="n">
        <v>0</v>
      </c>
      <c r="F191" s="0" t="n">
        <v>65</v>
      </c>
      <c r="G191" s="0" t="n">
        <v>20</v>
      </c>
    </row>
    <row r="192" customFormat="false" ht="15" hidden="false" customHeight="false" outlineLevel="0" collapsed="false">
      <c r="A192" s="0" t="s">
        <v>1078</v>
      </c>
      <c r="B192" s="0" t="s">
        <v>80</v>
      </c>
      <c r="C192" s="0" t="s">
        <v>1081</v>
      </c>
      <c r="D192" s="0" t="n">
        <v>0</v>
      </c>
      <c r="E192" s="0" t="n">
        <v>100</v>
      </c>
      <c r="G192" s="0" t="n">
        <v>0</v>
      </c>
    </row>
    <row r="193" customFormat="false" ht="15" hidden="false" customHeight="false" outlineLevel="0" collapsed="false">
      <c r="A193" s="0" t="s">
        <v>1078</v>
      </c>
      <c r="B193" s="0" t="s">
        <v>80</v>
      </c>
      <c r="C193" s="0" t="s">
        <v>2668</v>
      </c>
      <c r="D193" s="0" t="n">
        <v>14</v>
      </c>
      <c r="E193" s="0" t="n">
        <v>0</v>
      </c>
      <c r="F193" s="0" t="n">
        <v>57</v>
      </c>
      <c r="G193" s="0" t="n">
        <v>23</v>
      </c>
    </row>
    <row r="194" customFormat="false" ht="15" hidden="false" customHeight="false" outlineLevel="0" collapsed="false">
      <c r="A194" s="0" t="s">
        <v>1078</v>
      </c>
      <c r="B194" s="0" t="s">
        <v>121</v>
      </c>
      <c r="C194" s="0" t="s">
        <v>1081</v>
      </c>
      <c r="D194" s="0" t="n">
        <v>0</v>
      </c>
      <c r="E194" s="0" t="n">
        <v>0</v>
      </c>
      <c r="F194" s="0" t="n">
        <v>58</v>
      </c>
      <c r="G194" s="0" t="n">
        <v>12</v>
      </c>
    </row>
    <row r="195" customFormat="false" ht="15" hidden="false" customHeight="false" outlineLevel="0" collapsed="false">
      <c r="A195" s="0" t="s">
        <v>1078</v>
      </c>
      <c r="B195" s="0" t="s">
        <v>121</v>
      </c>
      <c r="C195" s="0" t="s">
        <v>2668</v>
      </c>
      <c r="D195" s="0" t="n">
        <v>0</v>
      </c>
      <c r="E195" s="0" t="n">
        <v>99</v>
      </c>
      <c r="G195" s="0" t="n">
        <v>0</v>
      </c>
    </row>
    <row r="196" customFormat="false" ht="15" hidden="false" customHeight="false" outlineLevel="0" collapsed="false">
      <c r="A196" s="0" t="s">
        <v>1078</v>
      </c>
      <c r="B196" s="0" t="s">
        <v>94</v>
      </c>
      <c r="C196" s="0" t="s">
        <v>1081</v>
      </c>
      <c r="D196" s="0" t="n">
        <v>4</v>
      </c>
      <c r="E196" s="0" t="n">
        <v>0</v>
      </c>
      <c r="F196" s="0" t="n">
        <v>62</v>
      </c>
      <c r="G196" s="0" t="n">
        <v>8</v>
      </c>
    </row>
    <row r="197" customFormat="false" ht="15" hidden="false" customHeight="false" outlineLevel="0" collapsed="false">
      <c r="A197" s="0" t="s">
        <v>1078</v>
      </c>
      <c r="B197" s="0" t="s">
        <v>94</v>
      </c>
      <c r="C197" s="0" t="s">
        <v>2668</v>
      </c>
      <c r="D197" s="0" t="n">
        <v>3</v>
      </c>
      <c r="E197" s="0" t="n">
        <v>1</v>
      </c>
      <c r="F197" s="0" t="n">
        <v>70</v>
      </c>
      <c r="G197" s="0" t="n">
        <v>10</v>
      </c>
    </row>
  </sheetData>
  <autoFilter ref="A1:G19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5"/>
    <col collapsed="false" customWidth="true" hidden="false" outlineLevel="0" max="4" min="4" style="0" width="24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6"/>
    <col collapsed="false" customWidth="true" hidden="false" outlineLevel="0" max="8" min="8" style="0" width="7"/>
    <col collapsed="false" customWidth="true" hidden="false" outlineLevel="0" max="10" min="9" style="0" width="8"/>
    <col collapsed="false" customWidth="true" hidden="false" outlineLevel="0" max="11" min="11" style="0" width="22"/>
    <col collapsed="false" customWidth="true" hidden="false" outlineLevel="0" max="12" min="12" style="0" width="14"/>
    <col collapsed="false" customWidth="true" hidden="false" outlineLevel="0" max="13" min="13" style="0" width="9"/>
    <col collapsed="false" customWidth="true" hidden="false" outlineLevel="0" max="15" min="14" style="0" width="7"/>
    <col collapsed="false" customWidth="true" hidden="false" outlineLevel="0" max="17" min="16" style="0" width="8"/>
    <col collapsed="false" customWidth="true" hidden="false" outlineLevel="0" max="18" min="18" style="0" width="9"/>
    <col collapsed="false" customWidth="true" hidden="false" outlineLevel="0" max="19" min="19" style="0" width="8"/>
    <col collapsed="false" customWidth="true" hidden="false" outlineLevel="0" max="20" min="20" style="0" width="10"/>
    <col collapsed="false" customWidth="true" hidden="false" outlineLevel="0" max="21" min="21" style="0" width="11"/>
  </cols>
  <sheetData>
    <row r="1" customFormat="false" ht="28.35" hidden="false" customHeight="false" outlineLevel="0" collapsed="false">
      <c r="A1" s="12" t="s">
        <v>3068</v>
      </c>
      <c r="B1" s="12" t="s">
        <v>1608</v>
      </c>
      <c r="C1" s="12" t="s">
        <v>951</v>
      </c>
      <c r="D1" s="12" t="s">
        <v>950</v>
      </c>
      <c r="E1" s="12" t="s">
        <v>926</v>
      </c>
      <c r="F1" s="12" t="s">
        <v>1083</v>
      </c>
      <c r="G1" s="12" t="s">
        <v>1084</v>
      </c>
      <c r="H1" s="12" t="s">
        <v>1085</v>
      </c>
      <c r="I1" s="12" t="s">
        <v>935</v>
      </c>
      <c r="J1" s="12" t="s">
        <v>1087</v>
      </c>
      <c r="K1" s="12" t="s">
        <v>1096</v>
      </c>
      <c r="L1" s="12" t="s">
        <v>1097</v>
      </c>
      <c r="M1" s="12" t="s">
        <v>1090</v>
      </c>
      <c r="N1" s="12" t="s">
        <v>938</v>
      </c>
      <c r="O1" s="12" t="s">
        <v>3069</v>
      </c>
      <c r="P1" s="12" t="s">
        <v>3070</v>
      </c>
      <c r="Q1" s="12" t="s">
        <v>1101</v>
      </c>
      <c r="R1" s="12" t="s">
        <v>1103</v>
      </c>
      <c r="S1" s="12" t="s">
        <v>932</v>
      </c>
      <c r="T1" s="12" t="s">
        <v>3071</v>
      </c>
      <c r="U1" s="12" t="s">
        <v>3072</v>
      </c>
    </row>
    <row r="2" customFormat="false" ht="15" hidden="false" customHeight="false" outlineLevel="0" collapsed="false">
      <c r="A2" s="0" t="s">
        <v>1612</v>
      </c>
      <c r="B2" s="0" t="s">
        <v>1610</v>
      </c>
      <c r="C2" s="0" t="s">
        <v>988</v>
      </c>
      <c r="D2" s="0" t="s">
        <v>1021</v>
      </c>
      <c r="E2" s="0" t="s">
        <v>1106</v>
      </c>
      <c r="F2" s="0" t="s">
        <v>1107</v>
      </c>
      <c r="G2" s="0" t="n">
        <v>9.5</v>
      </c>
      <c r="H2" s="0" t="n">
        <v>9.78</v>
      </c>
      <c r="I2" s="10" t="n">
        <v>0.5337</v>
      </c>
      <c r="J2" s="10" t="n">
        <v>0.4663</v>
      </c>
      <c r="K2" s="9" t="s">
        <v>3073</v>
      </c>
      <c r="L2" s="9" t="s">
        <v>3074</v>
      </c>
      <c r="N2" s="10" t="n">
        <v>0.6</v>
      </c>
      <c r="O2" s="19"/>
      <c r="P2" s="0" t="str">
        <f aca="false">IF(O2="","",IF(O2&gt;G2,"OVER",IF(O2&lt;G2,"UNDER","PUSH")))</f>
        <v/>
      </c>
      <c r="Q2" s="0" t="n">
        <v>9.78</v>
      </c>
      <c r="R2" s="10" t="n">
        <v>0.5337</v>
      </c>
      <c r="S2" s="0" t="n">
        <v>1</v>
      </c>
      <c r="T2" s="0" t="n">
        <v>9.75</v>
      </c>
      <c r="U2" s="0" t="n">
        <v>9.75</v>
      </c>
    </row>
    <row r="3" customFormat="false" ht="15" hidden="false" customHeight="false" outlineLevel="0" collapsed="false">
      <c r="A3" s="0" t="s">
        <v>1612</v>
      </c>
      <c r="B3" s="0" t="s">
        <v>1610</v>
      </c>
      <c r="C3" s="0" t="s">
        <v>988</v>
      </c>
      <c r="D3" s="0" t="s">
        <v>1021</v>
      </c>
      <c r="E3" s="0" t="s">
        <v>1106</v>
      </c>
      <c r="F3" s="0" t="s">
        <v>1111</v>
      </c>
      <c r="G3" s="0" t="n">
        <v>32.5</v>
      </c>
      <c r="H3" s="0" t="n">
        <v>31.02</v>
      </c>
      <c r="I3" s="10" t="n">
        <v>0.411</v>
      </c>
      <c r="J3" s="10" t="n">
        <v>0.589</v>
      </c>
      <c r="K3" s="9" t="s">
        <v>3073</v>
      </c>
      <c r="L3" s="9" t="s">
        <v>3074</v>
      </c>
      <c r="N3" s="10" t="n">
        <v>0.5</v>
      </c>
      <c r="O3" s="19"/>
      <c r="P3" s="0" t="str">
        <f aca="false">IF(O3="","",IF(O3&gt;G3,"OVER",IF(O3&lt;G3,"UNDER","PUSH")))</f>
        <v/>
      </c>
      <c r="Q3" s="0" t="n">
        <v>31.02</v>
      </c>
      <c r="R3" s="10" t="n">
        <v>0.411</v>
      </c>
      <c r="S3" s="0" t="n">
        <v>1</v>
      </c>
      <c r="T3" s="0" t="n">
        <v>30.96</v>
      </c>
      <c r="U3" s="0" t="n">
        <v>30.96</v>
      </c>
    </row>
    <row r="4" customFormat="false" ht="15" hidden="false" customHeight="false" outlineLevel="0" collapsed="false">
      <c r="A4" s="0" t="s">
        <v>1612</v>
      </c>
      <c r="B4" s="0" t="s">
        <v>1610</v>
      </c>
      <c r="C4" s="0" t="s">
        <v>988</v>
      </c>
      <c r="D4" s="0" t="s">
        <v>1021</v>
      </c>
      <c r="E4" s="0" t="s">
        <v>1113</v>
      </c>
      <c r="F4" s="0" t="s">
        <v>1107</v>
      </c>
      <c r="G4" s="0" t="n">
        <v>15</v>
      </c>
      <c r="H4" s="0" t="n">
        <v>14.98</v>
      </c>
      <c r="I4" s="10" t="n">
        <v>0.4511</v>
      </c>
      <c r="J4" s="10" t="n">
        <v>0.4553</v>
      </c>
      <c r="K4" s="9" t="s">
        <v>3073</v>
      </c>
      <c r="L4" s="9" t="s">
        <v>3074</v>
      </c>
      <c r="N4" s="10" t="n">
        <v>0.5</v>
      </c>
      <c r="O4" s="19"/>
      <c r="P4" s="0" t="str">
        <f aca="false">IF(O4="","",IF(O4&gt;G4,"OVER",IF(O4&lt;G4,"UNDER","PUSH")))</f>
        <v/>
      </c>
      <c r="Q4" s="0" t="n">
        <v>14.98</v>
      </c>
      <c r="R4" s="10" t="n">
        <v>0.4511</v>
      </c>
      <c r="S4" s="0" t="n">
        <v>1</v>
      </c>
      <c r="T4" s="0" t="n">
        <v>14.56</v>
      </c>
      <c r="U4" s="0" t="n">
        <v>14.56</v>
      </c>
    </row>
    <row r="5" customFormat="false" ht="15" hidden="false" customHeight="false" outlineLevel="0" collapsed="false">
      <c r="A5" s="0" t="s">
        <v>1612</v>
      </c>
      <c r="B5" s="0" t="s">
        <v>1610</v>
      </c>
      <c r="C5" s="0" t="s">
        <v>988</v>
      </c>
      <c r="D5" s="0" t="s">
        <v>1021</v>
      </c>
      <c r="E5" s="0" t="s">
        <v>1113</v>
      </c>
      <c r="F5" s="0" t="s">
        <v>1111</v>
      </c>
      <c r="G5" s="0" t="n">
        <v>27.5</v>
      </c>
      <c r="H5" s="0" t="n">
        <v>29</v>
      </c>
      <c r="I5" s="10" t="n">
        <v>0.5928</v>
      </c>
      <c r="J5" s="10" t="n">
        <v>0.4072</v>
      </c>
      <c r="K5" s="9" t="s">
        <v>3073</v>
      </c>
      <c r="L5" s="9" t="s">
        <v>3074</v>
      </c>
      <c r="N5" s="10" t="n">
        <v>0.5</v>
      </c>
      <c r="O5" s="19"/>
      <c r="P5" s="0" t="str">
        <f aca="false">IF(O5="","",IF(O5&gt;G5,"OVER",IF(O5&lt;G5,"UNDER","PUSH")))</f>
        <v/>
      </c>
      <c r="Q5" s="0" t="n">
        <v>29</v>
      </c>
      <c r="R5" s="10" t="n">
        <v>0.5928</v>
      </c>
      <c r="S5" s="0" t="n">
        <v>1</v>
      </c>
      <c r="T5" s="0" t="n">
        <v>27.52</v>
      </c>
      <c r="U5" s="0" t="n">
        <v>27.52</v>
      </c>
    </row>
    <row r="6" customFormat="false" ht="15" hidden="false" customHeight="false" outlineLevel="0" collapsed="false">
      <c r="A6" s="0" t="s">
        <v>1612</v>
      </c>
      <c r="B6" s="0" t="s">
        <v>1610</v>
      </c>
      <c r="C6" s="0" t="s">
        <v>988</v>
      </c>
      <c r="D6" s="0" t="s">
        <v>1021</v>
      </c>
      <c r="E6" s="0" t="s">
        <v>1117</v>
      </c>
      <c r="F6" s="0" t="s">
        <v>1107</v>
      </c>
      <c r="G6" s="0" t="n">
        <v>15</v>
      </c>
      <c r="H6" s="0" t="n">
        <v>16.1</v>
      </c>
      <c r="I6" s="10" t="n">
        <v>0.5544</v>
      </c>
      <c r="J6" s="10" t="n">
        <v>0.3583</v>
      </c>
      <c r="K6" s="9" t="s">
        <v>3073</v>
      </c>
      <c r="L6" s="9" t="s">
        <v>3074</v>
      </c>
      <c r="N6" s="10" t="n">
        <v>0.5</v>
      </c>
      <c r="O6" s="19"/>
      <c r="P6" s="0" t="str">
        <f aca="false">IF(O6="","",IF(O6&gt;G6,"OVER",IF(O6&lt;G6,"UNDER","PUSH")))</f>
        <v/>
      </c>
      <c r="Q6" s="0" t="n">
        <v>16.1</v>
      </c>
      <c r="R6" s="10" t="n">
        <v>0.5544</v>
      </c>
      <c r="S6" s="0" t="n">
        <v>1</v>
      </c>
      <c r="T6" s="0" t="n">
        <v>15.13</v>
      </c>
      <c r="U6" s="0" t="n">
        <v>15.13</v>
      </c>
    </row>
    <row r="7" customFormat="false" ht="15" hidden="false" customHeight="false" outlineLevel="0" collapsed="false">
      <c r="A7" s="0" t="s">
        <v>1612</v>
      </c>
      <c r="B7" s="0" t="s">
        <v>1610</v>
      </c>
      <c r="C7" s="0" t="s">
        <v>988</v>
      </c>
      <c r="D7" s="0" t="s">
        <v>1021</v>
      </c>
      <c r="E7" s="0" t="s">
        <v>1117</v>
      </c>
      <c r="F7" s="0" t="s">
        <v>1111</v>
      </c>
      <c r="G7" s="0" t="n">
        <v>29</v>
      </c>
      <c r="H7" s="0" t="n">
        <v>30.31</v>
      </c>
      <c r="I7" s="10" t="n">
        <v>0.5494</v>
      </c>
      <c r="J7" s="10" t="n">
        <v>0.3907</v>
      </c>
      <c r="K7" s="9" t="s">
        <v>3073</v>
      </c>
      <c r="L7" s="9" t="s">
        <v>3074</v>
      </c>
      <c r="N7" s="10" t="n">
        <v>0.6</v>
      </c>
      <c r="O7" s="19"/>
      <c r="P7" s="0" t="str">
        <f aca="false">IF(O7="","",IF(O7&gt;G7,"OVER",IF(O7&lt;G7,"UNDER","PUSH")))</f>
        <v/>
      </c>
      <c r="Q7" s="0" t="n">
        <v>30.31</v>
      </c>
      <c r="R7" s="10" t="n">
        <v>0.5494</v>
      </c>
      <c r="S7" s="0" t="n">
        <v>1</v>
      </c>
      <c r="T7" s="0" t="n">
        <v>28.81</v>
      </c>
      <c r="U7" s="0" t="n">
        <v>28.81</v>
      </c>
    </row>
    <row r="8" customFormat="false" ht="15" hidden="false" customHeight="false" outlineLevel="0" collapsed="false">
      <c r="A8" s="0" t="s">
        <v>1612</v>
      </c>
      <c r="B8" s="0" t="s">
        <v>1610</v>
      </c>
      <c r="C8" s="0" t="s">
        <v>988</v>
      </c>
      <c r="D8" s="0" t="s">
        <v>1021</v>
      </c>
      <c r="E8" s="0" t="s">
        <v>1120</v>
      </c>
      <c r="F8" s="0" t="s">
        <v>1107</v>
      </c>
      <c r="G8" s="0" t="n">
        <v>15</v>
      </c>
      <c r="H8" s="0" t="n">
        <v>13.79</v>
      </c>
      <c r="I8" s="10" t="n">
        <v>0.3375</v>
      </c>
      <c r="J8" s="10" t="n">
        <v>0.569</v>
      </c>
      <c r="K8" s="9" t="s">
        <v>3073</v>
      </c>
      <c r="L8" s="9" t="s">
        <v>3074</v>
      </c>
      <c r="N8" s="10" t="n">
        <v>0.3</v>
      </c>
      <c r="O8" s="19"/>
      <c r="P8" s="0" t="str">
        <f aca="false">IF(O8="","",IF(O8&gt;G8,"OVER",IF(O8&lt;G8,"UNDER","PUSH")))</f>
        <v/>
      </c>
      <c r="Q8" s="0" t="n">
        <v>13.79</v>
      </c>
      <c r="R8" s="10" t="n">
        <v>0.3375</v>
      </c>
      <c r="S8" s="0" t="n">
        <v>1</v>
      </c>
      <c r="T8" s="0" t="n">
        <v>13.44</v>
      </c>
      <c r="U8" s="0" t="n">
        <v>13.44</v>
      </c>
    </row>
    <row r="9" customFormat="false" ht="15" hidden="false" customHeight="false" outlineLevel="0" collapsed="false">
      <c r="A9" s="0" t="s">
        <v>1612</v>
      </c>
      <c r="B9" s="0" t="s">
        <v>1610</v>
      </c>
      <c r="C9" s="0" t="s">
        <v>988</v>
      </c>
      <c r="D9" s="0" t="s">
        <v>1021</v>
      </c>
      <c r="E9" s="0" t="s">
        <v>1120</v>
      </c>
      <c r="F9" s="0" t="s">
        <v>1111</v>
      </c>
      <c r="G9" s="0" t="n">
        <v>29</v>
      </c>
      <c r="H9" s="0" t="n">
        <v>27.13</v>
      </c>
      <c r="I9" s="10" t="n">
        <v>0.3504</v>
      </c>
      <c r="J9" s="10" t="n">
        <v>0.5879</v>
      </c>
      <c r="K9" s="9" t="s">
        <v>3073</v>
      </c>
      <c r="L9" s="9" t="s">
        <v>3074</v>
      </c>
      <c r="N9" s="10" t="n">
        <v>0.3</v>
      </c>
      <c r="O9" s="19"/>
      <c r="P9" s="0" t="str">
        <f aca="false">IF(O9="","",IF(O9&gt;G9,"OVER",IF(O9&lt;G9,"UNDER","PUSH")))</f>
        <v/>
      </c>
      <c r="Q9" s="0" t="n">
        <v>27.13</v>
      </c>
      <c r="R9" s="10" t="n">
        <v>0.3504</v>
      </c>
      <c r="S9" s="0" t="n">
        <v>1</v>
      </c>
      <c r="T9" s="0" t="n">
        <v>27.09</v>
      </c>
      <c r="U9" s="0" t="n">
        <v>27.09</v>
      </c>
    </row>
    <row r="10" customFormat="false" ht="15" hidden="false" customHeight="false" outlineLevel="0" collapsed="false">
      <c r="A10" s="0" t="s">
        <v>1612</v>
      </c>
      <c r="B10" s="0" t="s">
        <v>1610</v>
      </c>
      <c r="C10" s="0" t="s">
        <v>988</v>
      </c>
      <c r="D10" s="0" t="s">
        <v>1021</v>
      </c>
      <c r="E10" s="0" t="s">
        <v>1123</v>
      </c>
      <c r="F10" s="0" t="s">
        <v>1107</v>
      </c>
      <c r="G10" s="0" t="n">
        <v>15.5</v>
      </c>
      <c r="H10" s="0" t="n">
        <v>12.5</v>
      </c>
      <c r="I10" s="10" t="n">
        <v>0.2193</v>
      </c>
      <c r="J10" s="10" t="n">
        <v>0.7807</v>
      </c>
      <c r="K10" s="9" t="s">
        <v>3073</v>
      </c>
      <c r="L10" s="9" t="s">
        <v>3074</v>
      </c>
      <c r="N10" s="10" t="n">
        <v>0.2</v>
      </c>
      <c r="O10" s="19"/>
      <c r="P10" s="0" t="str">
        <f aca="false">IF(O10="","",IF(O10&gt;G10,"OVER",IF(O10&lt;G10,"UNDER","PUSH")))</f>
        <v/>
      </c>
      <c r="Q10" s="0" t="n">
        <v>12.5</v>
      </c>
      <c r="R10" s="10" t="n">
        <v>0.2193</v>
      </c>
      <c r="S10" s="0" t="n">
        <v>1</v>
      </c>
      <c r="T10" s="0" t="n">
        <v>13.48</v>
      </c>
      <c r="U10" s="0" t="n">
        <v>13.48</v>
      </c>
    </row>
    <row r="11" customFormat="false" ht="15" hidden="false" customHeight="false" outlineLevel="0" collapsed="false">
      <c r="A11" s="0" t="s">
        <v>1612</v>
      </c>
      <c r="B11" s="0" t="s">
        <v>1610</v>
      </c>
      <c r="C11" s="0" t="s">
        <v>988</v>
      </c>
      <c r="D11" s="0" t="s">
        <v>1021</v>
      </c>
      <c r="E11" s="0" t="s">
        <v>1123</v>
      </c>
      <c r="F11" s="0" t="s">
        <v>1111</v>
      </c>
      <c r="G11" s="0" t="n">
        <v>29.5</v>
      </c>
      <c r="H11" s="0" t="n">
        <v>24.62</v>
      </c>
      <c r="I11" s="10" t="n">
        <v>0.2028</v>
      </c>
      <c r="J11" s="10" t="n">
        <v>0.7972</v>
      </c>
      <c r="K11" s="9" t="s">
        <v>3073</v>
      </c>
      <c r="L11" s="9" t="s">
        <v>3074</v>
      </c>
      <c r="N11" s="10" t="n">
        <v>0.2</v>
      </c>
      <c r="O11" s="19"/>
      <c r="P11" s="0" t="str">
        <f aca="false">IF(O11="","",IF(O11&gt;G11,"OVER",IF(O11&lt;G11,"UNDER","PUSH")))</f>
        <v/>
      </c>
      <c r="Q11" s="0" t="n">
        <v>24.62</v>
      </c>
      <c r="R11" s="10" t="n">
        <v>0.2028</v>
      </c>
      <c r="S11" s="0" t="n">
        <v>1</v>
      </c>
      <c r="T11" s="0" t="n">
        <v>26.23</v>
      </c>
      <c r="U11" s="0" t="n">
        <v>26.23</v>
      </c>
    </row>
    <row r="12" customFormat="false" ht="15" hidden="false" customHeight="false" outlineLevel="0" collapsed="false">
      <c r="A12" s="0" t="s">
        <v>1612</v>
      </c>
      <c r="B12" s="0" t="s">
        <v>1610</v>
      </c>
      <c r="C12" s="0" t="s">
        <v>988</v>
      </c>
      <c r="D12" s="0" t="s">
        <v>1002</v>
      </c>
      <c r="E12" s="0" t="s">
        <v>1126</v>
      </c>
      <c r="F12" s="0" t="s">
        <v>1107</v>
      </c>
      <c r="G12" s="0" t="n">
        <v>13</v>
      </c>
      <c r="H12" s="0" t="n">
        <v>12.54</v>
      </c>
      <c r="I12" s="10" t="n">
        <v>0.4019</v>
      </c>
      <c r="J12" s="10" t="n">
        <v>0.4957</v>
      </c>
      <c r="K12" s="9" t="s">
        <v>3075</v>
      </c>
      <c r="L12" s="9" t="s">
        <v>3074</v>
      </c>
      <c r="N12" s="10" t="n">
        <v>0.3</v>
      </c>
      <c r="O12" s="19"/>
      <c r="P12" s="0" t="str">
        <f aca="false">IF(O12="","",IF(O12&gt;G12,"OVER",IF(O12&lt;G12,"UNDER","PUSH")))</f>
        <v/>
      </c>
      <c r="Q12" s="0" t="n">
        <v>12.54</v>
      </c>
      <c r="R12" s="10" t="n">
        <v>0.4019</v>
      </c>
      <c r="S12" s="0" t="n">
        <v>1</v>
      </c>
      <c r="T12" s="0" t="n">
        <v>13.04</v>
      </c>
      <c r="U12" s="0" t="n">
        <v>13.04</v>
      </c>
    </row>
    <row r="13" customFormat="false" ht="15" hidden="false" customHeight="false" outlineLevel="0" collapsed="false">
      <c r="A13" s="0" t="s">
        <v>1612</v>
      </c>
      <c r="B13" s="0" t="s">
        <v>1610</v>
      </c>
      <c r="C13" s="0" t="s">
        <v>988</v>
      </c>
      <c r="D13" s="0" t="s">
        <v>1002</v>
      </c>
      <c r="E13" s="0" t="s">
        <v>1126</v>
      </c>
      <c r="F13" s="0" t="s">
        <v>1111</v>
      </c>
      <c r="G13" s="0" t="n">
        <v>27.5</v>
      </c>
      <c r="H13" s="0" t="n">
        <v>26.91</v>
      </c>
      <c r="I13" s="10" t="n">
        <v>0.4616</v>
      </c>
      <c r="J13" s="10" t="n">
        <v>0.5384</v>
      </c>
      <c r="K13" s="9" t="s">
        <v>3075</v>
      </c>
      <c r="L13" s="9" t="s">
        <v>3074</v>
      </c>
      <c r="N13" s="10" t="n">
        <v>0.3</v>
      </c>
      <c r="O13" s="19"/>
      <c r="P13" s="0" t="str">
        <f aca="false">IF(O13="","",IF(O13&gt;G13,"OVER",IF(O13&lt;G13,"UNDER","PUSH")))</f>
        <v/>
      </c>
      <c r="Q13" s="0" t="n">
        <v>26.91</v>
      </c>
      <c r="R13" s="10" t="n">
        <v>0.4616</v>
      </c>
      <c r="S13" s="0" t="n">
        <v>1</v>
      </c>
      <c r="T13" s="0" t="n">
        <v>26.66</v>
      </c>
      <c r="U13" s="0" t="n">
        <v>26.66</v>
      </c>
    </row>
    <row r="14" customFormat="false" ht="15" hidden="false" customHeight="false" outlineLevel="0" collapsed="false">
      <c r="A14" s="0" t="s">
        <v>1612</v>
      </c>
      <c r="B14" s="0" t="s">
        <v>1610</v>
      </c>
      <c r="C14" s="0" t="s">
        <v>988</v>
      </c>
      <c r="D14" s="0" t="s">
        <v>1002</v>
      </c>
      <c r="E14" s="0" t="s">
        <v>1128</v>
      </c>
      <c r="F14" s="0" t="s">
        <v>1107</v>
      </c>
      <c r="G14" s="0" t="n">
        <v>15</v>
      </c>
      <c r="H14" s="0" t="n">
        <v>16.16</v>
      </c>
      <c r="I14" s="10" t="n">
        <v>0.5591</v>
      </c>
      <c r="J14" s="10" t="n">
        <v>0.3539</v>
      </c>
      <c r="K14" s="9" t="s">
        <v>3075</v>
      </c>
      <c r="L14" s="9" t="s">
        <v>3074</v>
      </c>
      <c r="N14" s="10" t="n">
        <v>0.4</v>
      </c>
      <c r="O14" s="19"/>
      <c r="P14" s="0" t="str">
        <f aca="false">IF(O14="","",IF(O14&gt;G14,"OVER",IF(O14&lt;G14,"UNDER","PUSH")))</f>
        <v/>
      </c>
      <c r="Q14" s="0" t="n">
        <v>16.16</v>
      </c>
      <c r="R14" s="10" t="n">
        <v>0.5591</v>
      </c>
      <c r="S14" s="0" t="n">
        <v>1</v>
      </c>
      <c r="T14" s="0" t="n">
        <v>15.28</v>
      </c>
      <c r="U14" s="0" t="n">
        <v>15.28</v>
      </c>
    </row>
    <row r="15" customFormat="false" ht="15" hidden="false" customHeight="false" outlineLevel="0" collapsed="false">
      <c r="A15" s="0" t="s">
        <v>1612</v>
      </c>
      <c r="B15" s="0" t="s">
        <v>1610</v>
      </c>
      <c r="C15" s="0" t="s">
        <v>988</v>
      </c>
      <c r="D15" s="0" t="s">
        <v>1002</v>
      </c>
      <c r="E15" s="0" t="s">
        <v>1128</v>
      </c>
      <c r="F15" s="0" t="s">
        <v>1111</v>
      </c>
      <c r="G15" s="0" t="n">
        <v>28.5</v>
      </c>
      <c r="H15" s="0" t="n">
        <v>30.76</v>
      </c>
      <c r="I15" s="10" t="n">
        <v>0.6349</v>
      </c>
      <c r="J15" s="10" t="n">
        <v>0.3651</v>
      </c>
      <c r="K15" s="9" t="s">
        <v>3075</v>
      </c>
      <c r="L15" s="9" t="s">
        <v>3074</v>
      </c>
      <c r="N15" s="10" t="n">
        <v>0.2</v>
      </c>
      <c r="O15" s="19"/>
      <c r="P15" s="0" t="str">
        <f aca="false">IF(O15="","",IF(O15&gt;G15,"OVER",IF(O15&lt;G15,"UNDER","PUSH")))</f>
        <v/>
      </c>
      <c r="Q15" s="0" t="n">
        <v>30.76</v>
      </c>
      <c r="R15" s="10" t="n">
        <v>0.6349</v>
      </c>
      <c r="S15" s="0" t="n">
        <v>1</v>
      </c>
      <c r="T15" s="0" t="n">
        <v>29.67</v>
      </c>
      <c r="U15" s="0" t="n">
        <v>29.67</v>
      </c>
    </row>
    <row r="16" customFormat="false" ht="15" hidden="false" customHeight="false" outlineLevel="0" collapsed="false">
      <c r="A16" s="0" t="s">
        <v>1612</v>
      </c>
      <c r="B16" s="0" t="s">
        <v>1610</v>
      </c>
      <c r="C16" s="0" t="s">
        <v>988</v>
      </c>
      <c r="D16" s="0" t="s">
        <v>1002</v>
      </c>
      <c r="E16" s="0" t="s">
        <v>1130</v>
      </c>
      <c r="F16" s="0" t="s">
        <v>1107</v>
      </c>
      <c r="G16" s="0" t="n">
        <v>21.5</v>
      </c>
      <c r="H16" s="0" t="n">
        <v>21.61</v>
      </c>
      <c r="I16" s="10" t="n">
        <v>0.5086</v>
      </c>
      <c r="J16" s="10" t="n">
        <v>0.4914</v>
      </c>
      <c r="K16" s="9" t="s">
        <v>3075</v>
      </c>
      <c r="L16" s="9" t="s">
        <v>3074</v>
      </c>
      <c r="N16" s="10" t="n">
        <v>0.3</v>
      </c>
      <c r="O16" s="19"/>
      <c r="P16" s="0" t="str">
        <f aca="false">IF(O16="","",IF(O16&gt;G16,"OVER",IF(O16&lt;G16,"UNDER","PUSH")))</f>
        <v/>
      </c>
      <c r="Q16" s="0" t="n">
        <v>21.61</v>
      </c>
      <c r="R16" s="10" t="n">
        <v>0.5086</v>
      </c>
      <c r="S16" s="0" t="n">
        <v>1</v>
      </c>
      <c r="T16" s="0" t="n">
        <v>21.25</v>
      </c>
      <c r="U16" s="0" t="n">
        <v>21.25</v>
      </c>
    </row>
    <row r="17" customFormat="false" ht="15" hidden="false" customHeight="false" outlineLevel="0" collapsed="false">
      <c r="A17" s="0" t="s">
        <v>1612</v>
      </c>
      <c r="B17" s="0" t="s">
        <v>1610</v>
      </c>
      <c r="C17" s="0" t="s">
        <v>988</v>
      </c>
      <c r="D17" s="0" t="s">
        <v>1002</v>
      </c>
      <c r="E17" s="0" t="s">
        <v>1130</v>
      </c>
      <c r="F17" s="0" t="s">
        <v>1111</v>
      </c>
      <c r="G17" s="0" t="n">
        <v>31.5</v>
      </c>
      <c r="H17" s="0" t="n">
        <v>31.48</v>
      </c>
      <c r="I17" s="10" t="n">
        <v>0.4989</v>
      </c>
      <c r="J17" s="10" t="n">
        <v>0.5011</v>
      </c>
      <c r="K17" s="9" t="s">
        <v>3075</v>
      </c>
      <c r="L17" s="9" t="s">
        <v>3074</v>
      </c>
      <c r="N17" s="10" t="n">
        <v>0.3</v>
      </c>
      <c r="O17" s="19"/>
      <c r="P17" s="0" t="str">
        <f aca="false">IF(O17="","",IF(O17&gt;G17,"OVER",IF(O17&lt;G17,"UNDER","PUSH")))</f>
        <v/>
      </c>
      <c r="Q17" s="0" t="n">
        <v>31.48</v>
      </c>
      <c r="R17" s="10" t="n">
        <v>0.4989</v>
      </c>
      <c r="S17" s="0" t="n">
        <v>1</v>
      </c>
      <c r="T17" s="0" t="n">
        <v>31.39</v>
      </c>
      <c r="U17" s="0" t="n">
        <v>31.39</v>
      </c>
    </row>
    <row r="18" customFormat="false" ht="15" hidden="false" customHeight="false" outlineLevel="0" collapsed="false">
      <c r="A18" s="0" t="s">
        <v>1612</v>
      </c>
      <c r="B18" s="0" t="s">
        <v>1610</v>
      </c>
      <c r="C18" s="0" t="s">
        <v>988</v>
      </c>
      <c r="D18" s="0" t="s">
        <v>1002</v>
      </c>
      <c r="E18" s="0" t="s">
        <v>1133</v>
      </c>
      <c r="F18" s="0" t="s">
        <v>1107</v>
      </c>
      <c r="G18" s="0" t="n">
        <v>15.5</v>
      </c>
      <c r="H18" s="0" t="n">
        <v>16.66</v>
      </c>
      <c r="I18" s="10" t="n">
        <v>0.6019</v>
      </c>
      <c r="J18" s="10" t="n">
        <v>0.3981</v>
      </c>
      <c r="K18" s="9" t="s">
        <v>3075</v>
      </c>
      <c r="L18" s="9" t="s">
        <v>3074</v>
      </c>
      <c r="N18" s="10" t="n">
        <v>0.2</v>
      </c>
      <c r="O18" s="19"/>
      <c r="P18" s="0" t="str">
        <f aca="false">IF(O18="","",IF(O18&gt;G18,"OVER",IF(O18&lt;G18,"UNDER","PUSH")))</f>
        <v/>
      </c>
      <c r="Q18" s="0" t="n">
        <v>16.66</v>
      </c>
      <c r="R18" s="10" t="n">
        <v>0.6019</v>
      </c>
      <c r="S18" s="0" t="n">
        <v>1</v>
      </c>
      <c r="T18" s="0" t="n">
        <v>15.97</v>
      </c>
      <c r="U18" s="0" t="n">
        <v>15.97</v>
      </c>
    </row>
    <row r="19" customFormat="false" ht="15" hidden="false" customHeight="false" outlineLevel="0" collapsed="false">
      <c r="A19" s="0" t="s">
        <v>1612</v>
      </c>
      <c r="B19" s="0" t="s">
        <v>1610</v>
      </c>
      <c r="C19" s="0" t="s">
        <v>988</v>
      </c>
      <c r="D19" s="0" t="s">
        <v>1002</v>
      </c>
      <c r="E19" s="0" t="s">
        <v>1133</v>
      </c>
      <c r="F19" s="0" t="s">
        <v>1111</v>
      </c>
      <c r="G19" s="0" t="n">
        <v>29.5</v>
      </c>
      <c r="H19" s="0" t="n">
        <v>32.78</v>
      </c>
      <c r="I19" s="10" t="n">
        <v>0.6858</v>
      </c>
      <c r="J19" s="10" t="n">
        <v>0.3142</v>
      </c>
      <c r="K19" s="9" t="s">
        <v>3075</v>
      </c>
      <c r="L19" s="9" t="s">
        <v>3074</v>
      </c>
      <c r="N19" s="10" t="n">
        <v>0.5</v>
      </c>
      <c r="O19" s="19"/>
      <c r="P19" s="0" t="str">
        <f aca="false">IF(O19="","",IF(O19&gt;G19,"OVER",IF(O19&lt;G19,"UNDER","PUSH")))</f>
        <v/>
      </c>
      <c r="Q19" s="0" t="n">
        <v>32.78</v>
      </c>
      <c r="R19" s="10" t="n">
        <v>0.6858</v>
      </c>
      <c r="S19" s="0" t="n">
        <v>1</v>
      </c>
      <c r="T19" s="0" t="n">
        <v>31.82</v>
      </c>
      <c r="U19" s="0" t="n">
        <v>31.82</v>
      </c>
    </row>
    <row r="20" customFormat="false" ht="15" hidden="false" customHeight="false" outlineLevel="0" collapsed="false">
      <c r="A20" s="0" t="s">
        <v>1612</v>
      </c>
      <c r="B20" s="0" t="s">
        <v>1610</v>
      </c>
      <c r="C20" s="0" t="s">
        <v>988</v>
      </c>
      <c r="D20" s="0" t="s">
        <v>1002</v>
      </c>
      <c r="E20" s="0" t="s">
        <v>1135</v>
      </c>
      <c r="F20" s="0" t="s">
        <v>1107</v>
      </c>
      <c r="G20" s="0" t="n">
        <v>10.5</v>
      </c>
      <c r="H20" s="0" t="n">
        <v>10.97</v>
      </c>
      <c r="I20" s="10" t="n">
        <v>0.5526</v>
      </c>
      <c r="J20" s="10" t="n">
        <v>0.4474</v>
      </c>
      <c r="K20" s="9" t="s">
        <v>3075</v>
      </c>
      <c r="L20" s="9" t="s">
        <v>3074</v>
      </c>
      <c r="N20" s="10" t="n">
        <v>0.5</v>
      </c>
      <c r="O20" s="19"/>
      <c r="P20" s="0" t="str">
        <f aca="false">IF(O20="","",IF(O20&gt;G20,"OVER",IF(O20&lt;G20,"UNDER","PUSH")))</f>
        <v/>
      </c>
      <c r="Q20" s="0" t="n">
        <v>10.97</v>
      </c>
      <c r="R20" s="10" t="n">
        <v>0.5526</v>
      </c>
      <c r="S20" s="0" t="n">
        <v>1</v>
      </c>
      <c r="T20" s="0" t="n">
        <v>10.56</v>
      </c>
      <c r="U20" s="0" t="n">
        <v>10.56</v>
      </c>
    </row>
    <row r="21" customFormat="false" ht="15" hidden="false" customHeight="false" outlineLevel="0" collapsed="false">
      <c r="A21" s="0" t="s">
        <v>1612</v>
      </c>
      <c r="B21" s="0" t="s">
        <v>1610</v>
      </c>
      <c r="C21" s="0" t="s">
        <v>988</v>
      </c>
      <c r="D21" s="0" t="s">
        <v>1002</v>
      </c>
      <c r="E21" s="0" t="s">
        <v>1135</v>
      </c>
      <c r="F21" s="0" t="s">
        <v>1111</v>
      </c>
      <c r="G21" s="0" t="n">
        <v>30.5</v>
      </c>
      <c r="H21" s="0" t="n">
        <v>29.7</v>
      </c>
      <c r="I21" s="10" t="n">
        <v>0.4508</v>
      </c>
      <c r="J21" s="10" t="n">
        <v>0.5492</v>
      </c>
      <c r="K21" s="9" t="s">
        <v>3075</v>
      </c>
      <c r="L21" s="9" t="s">
        <v>3074</v>
      </c>
      <c r="N21" s="10" t="n">
        <v>0.3</v>
      </c>
      <c r="O21" s="19"/>
      <c r="P21" s="0" t="str">
        <f aca="false">IF(O21="","",IF(O21&gt;G21,"OVER",IF(O21&lt;G21,"UNDER","PUSH")))</f>
        <v/>
      </c>
      <c r="Q21" s="0" t="n">
        <v>29.7</v>
      </c>
      <c r="R21" s="10" t="n">
        <v>0.4508</v>
      </c>
      <c r="S21" s="0" t="n">
        <v>1</v>
      </c>
      <c r="T21" s="0" t="n">
        <v>29.67</v>
      </c>
      <c r="U21" s="0" t="n">
        <v>29.67</v>
      </c>
    </row>
    <row r="22" customFormat="false" ht="15" hidden="false" customHeight="false" outlineLevel="0" collapsed="false">
      <c r="A22" s="0" t="s">
        <v>1612</v>
      </c>
      <c r="B22" s="0" t="s">
        <v>1610</v>
      </c>
      <c r="C22" s="0" t="s">
        <v>988</v>
      </c>
      <c r="D22" s="0" t="s">
        <v>1027</v>
      </c>
      <c r="E22" s="0" t="s">
        <v>1137</v>
      </c>
      <c r="F22" s="0" t="s">
        <v>1107</v>
      </c>
      <c r="G22" s="0" t="n">
        <v>18.5</v>
      </c>
      <c r="H22" s="0" t="n">
        <v>17.36</v>
      </c>
      <c r="I22" s="10" t="n">
        <v>0.4028</v>
      </c>
      <c r="J22" s="10" t="n">
        <v>0.5972</v>
      </c>
      <c r="K22" s="9" t="s">
        <v>3076</v>
      </c>
      <c r="L22" s="9" t="s">
        <v>3074</v>
      </c>
      <c r="N22" s="10" t="n">
        <v>0.6</v>
      </c>
      <c r="O22" s="19"/>
      <c r="P22" s="0" t="str">
        <f aca="false">IF(O22="","",IF(O22&gt;G22,"OVER",IF(O22&lt;G22,"UNDER","PUSH")))</f>
        <v/>
      </c>
      <c r="Q22" s="0" t="n">
        <v>17.36</v>
      </c>
      <c r="R22" s="10" t="n">
        <v>0.4028</v>
      </c>
      <c r="S22" s="0" t="n">
        <v>1</v>
      </c>
      <c r="T22" s="0" t="n">
        <v>16.72</v>
      </c>
      <c r="U22" s="0" t="n">
        <v>16.72</v>
      </c>
    </row>
    <row r="23" customFormat="false" ht="15" hidden="false" customHeight="false" outlineLevel="0" collapsed="false">
      <c r="A23" s="0" t="s">
        <v>1612</v>
      </c>
      <c r="B23" s="0" t="s">
        <v>1610</v>
      </c>
      <c r="C23" s="0" t="s">
        <v>988</v>
      </c>
      <c r="D23" s="0" t="s">
        <v>1027</v>
      </c>
      <c r="E23" s="0" t="s">
        <v>1137</v>
      </c>
      <c r="F23" s="0" t="s">
        <v>1111</v>
      </c>
      <c r="G23" s="0" t="n">
        <v>31</v>
      </c>
      <c r="H23" s="0" t="n">
        <v>29.15</v>
      </c>
      <c r="I23" s="10" t="n">
        <v>0.3562</v>
      </c>
      <c r="J23" s="10" t="n">
        <v>0.5839</v>
      </c>
      <c r="K23" s="9" t="s">
        <v>3076</v>
      </c>
      <c r="L23" s="9" t="s">
        <v>3074</v>
      </c>
      <c r="N23" s="10" t="n">
        <v>0.6</v>
      </c>
      <c r="O23" s="19"/>
      <c r="P23" s="0" t="str">
        <f aca="false">IF(O23="","",IF(O23&gt;G23,"OVER",IF(O23&lt;G23,"UNDER","PUSH")))</f>
        <v/>
      </c>
      <c r="Q23" s="0" t="n">
        <v>29.15</v>
      </c>
      <c r="R23" s="10" t="n">
        <v>0.3562</v>
      </c>
      <c r="S23" s="0" t="n">
        <v>1</v>
      </c>
      <c r="T23" s="0" t="n">
        <v>28.38</v>
      </c>
      <c r="U23" s="0" t="n">
        <v>28.38</v>
      </c>
    </row>
    <row r="24" customFormat="false" ht="15" hidden="false" customHeight="false" outlineLevel="0" collapsed="false">
      <c r="A24" s="0" t="s">
        <v>1612</v>
      </c>
      <c r="B24" s="0" t="s">
        <v>1610</v>
      </c>
      <c r="C24" s="0" t="s">
        <v>988</v>
      </c>
      <c r="D24" s="0" t="s">
        <v>1027</v>
      </c>
      <c r="E24" s="0" t="s">
        <v>1139</v>
      </c>
      <c r="F24" s="0" t="s">
        <v>1107</v>
      </c>
      <c r="G24" s="0" t="n">
        <v>11</v>
      </c>
      <c r="H24" s="0" t="n">
        <v>10.98</v>
      </c>
      <c r="I24" s="10" t="n">
        <v>0.4418</v>
      </c>
      <c r="J24" s="10" t="n">
        <v>0.446</v>
      </c>
      <c r="K24" s="9" t="s">
        <v>3076</v>
      </c>
      <c r="L24" s="9" t="s">
        <v>3074</v>
      </c>
      <c r="N24" s="10" t="n">
        <v>0.5</v>
      </c>
      <c r="O24" s="19"/>
      <c r="P24" s="0" t="str">
        <f aca="false">IF(O24="","",IF(O24&gt;G24,"OVER",IF(O24&lt;G24,"UNDER","PUSH")))</f>
        <v/>
      </c>
      <c r="Q24" s="0" t="n">
        <v>10.98</v>
      </c>
      <c r="R24" s="10" t="n">
        <v>0.4418</v>
      </c>
      <c r="S24" s="0" t="n">
        <v>1</v>
      </c>
      <c r="T24" s="0" t="n">
        <v>11.36</v>
      </c>
      <c r="U24" s="0" t="n">
        <v>11.36</v>
      </c>
    </row>
    <row r="25" customFormat="false" ht="15" hidden="false" customHeight="false" outlineLevel="0" collapsed="false">
      <c r="A25" s="0" t="s">
        <v>1612</v>
      </c>
      <c r="B25" s="0" t="s">
        <v>1610</v>
      </c>
      <c r="C25" s="0" t="s">
        <v>988</v>
      </c>
      <c r="D25" s="0" t="s">
        <v>1027</v>
      </c>
      <c r="E25" s="0" t="s">
        <v>1139</v>
      </c>
      <c r="F25" s="0" t="s">
        <v>1111</v>
      </c>
      <c r="G25" s="0" t="n">
        <v>32.5</v>
      </c>
      <c r="H25" s="0" t="n">
        <v>30.29</v>
      </c>
      <c r="I25" s="10" t="n">
        <v>0.3671</v>
      </c>
      <c r="J25" s="10" t="n">
        <v>0.6329</v>
      </c>
      <c r="K25" s="9" t="s">
        <v>3076</v>
      </c>
      <c r="L25" s="9" t="s">
        <v>3074</v>
      </c>
      <c r="N25" s="10" t="n">
        <v>0.4</v>
      </c>
      <c r="O25" s="19"/>
      <c r="P25" s="0" t="str">
        <f aca="false">IF(O25="","",IF(O25&gt;G25,"OVER",IF(O25&lt;G25,"UNDER","PUSH")))</f>
        <v/>
      </c>
      <c r="Q25" s="0" t="n">
        <v>30.29</v>
      </c>
      <c r="R25" s="10" t="n">
        <v>0.3671</v>
      </c>
      <c r="S25" s="0" t="n">
        <v>1</v>
      </c>
      <c r="T25" s="0" t="n">
        <v>30.96</v>
      </c>
      <c r="U25" s="0" t="n">
        <v>30.96</v>
      </c>
    </row>
    <row r="26" customFormat="false" ht="15" hidden="false" customHeight="false" outlineLevel="0" collapsed="false">
      <c r="A26" s="0" t="s">
        <v>1612</v>
      </c>
      <c r="B26" s="0" t="s">
        <v>1610</v>
      </c>
      <c r="C26" s="0" t="s">
        <v>988</v>
      </c>
      <c r="D26" s="0" t="s">
        <v>1027</v>
      </c>
      <c r="E26" s="0" t="s">
        <v>1141</v>
      </c>
      <c r="F26" s="0" t="s">
        <v>1107</v>
      </c>
      <c r="G26" s="0" t="n">
        <v>20.5</v>
      </c>
      <c r="H26" s="0" t="n">
        <v>19.46</v>
      </c>
      <c r="I26" s="10" t="n">
        <v>0.4164</v>
      </c>
      <c r="J26" s="10" t="n">
        <v>0.5836</v>
      </c>
      <c r="K26" s="9" t="s">
        <v>3076</v>
      </c>
      <c r="L26" s="9" t="s">
        <v>3074</v>
      </c>
      <c r="N26" s="10" t="n">
        <v>0.6</v>
      </c>
      <c r="O26" s="19"/>
      <c r="P26" s="0" t="str">
        <f aca="false">IF(O26="","",IF(O26&gt;G26,"OVER",IF(O26&lt;G26,"UNDER","PUSH")))</f>
        <v/>
      </c>
      <c r="Q26" s="0" t="n">
        <v>19.46</v>
      </c>
      <c r="R26" s="10" t="n">
        <v>0.4164</v>
      </c>
      <c r="S26" s="0" t="n">
        <v>1</v>
      </c>
      <c r="T26" s="0" t="n">
        <v>20.52</v>
      </c>
      <c r="U26" s="0" t="n">
        <v>20.52</v>
      </c>
    </row>
    <row r="27" customFormat="false" ht="15" hidden="false" customHeight="false" outlineLevel="0" collapsed="false">
      <c r="A27" s="0" t="s">
        <v>1612</v>
      </c>
      <c r="B27" s="0" t="s">
        <v>1610</v>
      </c>
      <c r="C27" s="0" t="s">
        <v>988</v>
      </c>
      <c r="D27" s="0" t="s">
        <v>1027</v>
      </c>
      <c r="E27" s="0" t="s">
        <v>1141</v>
      </c>
      <c r="F27" s="0" t="s">
        <v>1111</v>
      </c>
      <c r="G27" s="0" t="n">
        <v>32</v>
      </c>
      <c r="H27" s="0" t="n">
        <v>30.42</v>
      </c>
      <c r="I27" s="10" t="n">
        <v>0.3751</v>
      </c>
      <c r="J27" s="10" t="n">
        <v>0.5656</v>
      </c>
      <c r="K27" s="9" t="s">
        <v>3076</v>
      </c>
      <c r="L27" s="9" t="s">
        <v>3074</v>
      </c>
      <c r="N27" s="10" t="n">
        <v>0.6</v>
      </c>
      <c r="O27" s="19"/>
      <c r="P27" s="0" t="str">
        <f aca="false">IF(O27="","",IF(O27&gt;G27,"OVER",IF(O27&lt;G27,"UNDER","PUSH")))</f>
        <v/>
      </c>
      <c r="Q27" s="0" t="n">
        <v>30.42</v>
      </c>
      <c r="R27" s="10" t="n">
        <v>0.3751</v>
      </c>
      <c r="S27" s="0" t="n">
        <v>1</v>
      </c>
      <c r="T27" s="0" t="n">
        <v>30.53</v>
      </c>
      <c r="U27" s="0" t="n">
        <v>30.53</v>
      </c>
    </row>
    <row r="28" customFormat="false" ht="15" hidden="false" customHeight="false" outlineLevel="0" collapsed="false">
      <c r="A28" s="0" t="s">
        <v>1612</v>
      </c>
      <c r="B28" s="0" t="s">
        <v>1610</v>
      </c>
      <c r="C28" s="0" t="s">
        <v>988</v>
      </c>
      <c r="D28" s="0" t="s">
        <v>1027</v>
      </c>
      <c r="E28" s="0" t="s">
        <v>1143</v>
      </c>
      <c r="F28" s="0" t="s">
        <v>1107</v>
      </c>
      <c r="G28" s="0" t="n">
        <v>16</v>
      </c>
      <c r="H28" s="0" t="n">
        <v>15.52</v>
      </c>
      <c r="I28" s="10" t="n">
        <v>0.4099</v>
      </c>
      <c r="J28" s="10" t="n">
        <v>0.4986</v>
      </c>
      <c r="K28" s="9" t="s">
        <v>3076</v>
      </c>
      <c r="L28" s="9" t="s">
        <v>3074</v>
      </c>
      <c r="N28" s="10" t="n">
        <v>0.7</v>
      </c>
      <c r="O28" s="19"/>
      <c r="P28" s="0" t="str">
        <f aca="false">IF(O28="","",IF(O28&gt;G28,"OVER",IF(O28&lt;G28,"UNDER","PUSH")))</f>
        <v/>
      </c>
      <c r="Q28" s="0" t="n">
        <v>15.52</v>
      </c>
      <c r="R28" s="10" t="n">
        <v>0.4099</v>
      </c>
      <c r="S28" s="0" t="n">
        <v>1</v>
      </c>
      <c r="T28" s="0" t="n">
        <v>15.32</v>
      </c>
      <c r="U28" s="0" t="n">
        <v>15.32</v>
      </c>
    </row>
    <row r="29" customFormat="false" ht="15" hidden="false" customHeight="false" outlineLevel="0" collapsed="false">
      <c r="A29" s="0" t="s">
        <v>1612</v>
      </c>
      <c r="B29" s="0" t="s">
        <v>1610</v>
      </c>
      <c r="C29" s="0" t="s">
        <v>988</v>
      </c>
      <c r="D29" s="0" t="s">
        <v>1027</v>
      </c>
      <c r="E29" s="0" t="s">
        <v>1143</v>
      </c>
      <c r="F29" s="0" t="s">
        <v>1111</v>
      </c>
      <c r="G29" s="0" t="n">
        <v>31</v>
      </c>
      <c r="H29" s="0" t="n">
        <v>30.25</v>
      </c>
      <c r="I29" s="10" t="n">
        <v>0.4237</v>
      </c>
      <c r="J29" s="10" t="n">
        <v>0.5155</v>
      </c>
      <c r="K29" s="9" t="s">
        <v>3076</v>
      </c>
      <c r="L29" s="9" t="s">
        <v>3074</v>
      </c>
      <c r="N29" s="10" t="n">
        <v>0.6</v>
      </c>
      <c r="O29" s="19"/>
      <c r="P29" s="0" t="str">
        <f aca="false">IF(O29="","",IF(O29&gt;G29,"OVER",IF(O29&lt;G29,"UNDER","PUSH")))</f>
        <v/>
      </c>
      <c r="Q29" s="0" t="n">
        <v>30.25</v>
      </c>
      <c r="R29" s="10" t="n">
        <v>0.4237</v>
      </c>
      <c r="S29" s="0" t="n">
        <v>1</v>
      </c>
      <c r="T29" s="0" t="n">
        <v>30.1</v>
      </c>
      <c r="U29" s="0" t="n">
        <v>30.1</v>
      </c>
    </row>
    <row r="30" customFormat="false" ht="15" hidden="false" customHeight="false" outlineLevel="0" collapsed="false">
      <c r="A30" s="0" t="s">
        <v>1612</v>
      </c>
      <c r="B30" s="0" t="s">
        <v>1610</v>
      </c>
      <c r="C30" s="0" t="s">
        <v>988</v>
      </c>
      <c r="D30" s="0" t="s">
        <v>1027</v>
      </c>
      <c r="E30" s="0" t="s">
        <v>1145</v>
      </c>
      <c r="F30" s="0" t="s">
        <v>1107</v>
      </c>
      <c r="G30" s="0" t="n">
        <v>13.5</v>
      </c>
      <c r="H30" s="0" t="n">
        <v>12.63</v>
      </c>
      <c r="I30" s="10" t="n">
        <v>0.4124</v>
      </c>
      <c r="J30" s="10" t="n">
        <v>0.5876</v>
      </c>
      <c r="K30" s="9" t="s">
        <v>3076</v>
      </c>
      <c r="L30" s="9" t="s">
        <v>3074</v>
      </c>
      <c r="N30" s="10" t="n">
        <v>0.6</v>
      </c>
      <c r="O30" s="19"/>
      <c r="P30" s="0" t="str">
        <f aca="false">IF(O30="","",IF(O30&gt;G30,"OVER",IF(O30&lt;G30,"UNDER","PUSH")))</f>
        <v/>
      </c>
      <c r="Q30" s="0" t="n">
        <v>12.63</v>
      </c>
      <c r="R30" s="10" t="n">
        <v>0.4124</v>
      </c>
      <c r="S30" s="0" t="n">
        <v>1</v>
      </c>
      <c r="T30" s="0" t="n">
        <v>12.54</v>
      </c>
      <c r="U30" s="0" t="n">
        <v>12.54</v>
      </c>
    </row>
    <row r="31" customFormat="false" ht="15" hidden="false" customHeight="false" outlineLevel="0" collapsed="false">
      <c r="A31" s="0" t="s">
        <v>1612</v>
      </c>
      <c r="B31" s="0" t="s">
        <v>1610</v>
      </c>
      <c r="C31" s="0" t="s">
        <v>988</v>
      </c>
      <c r="D31" s="0" t="s">
        <v>1027</v>
      </c>
      <c r="E31" s="0" t="s">
        <v>1145</v>
      </c>
      <c r="F31" s="0" t="s">
        <v>1111</v>
      </c>
      <c r="G31" s="0" t="n">
        <v>24.5</v>
      </c>
      <c r="H31" s="0" t="n">
        <v>23.91</v>
      </c>
      <c r="I31" s="10" t="n">
        <v>0.4591</v>
      </c>
      <c r="J31" s="10" t="n">
        <v>0.5409</v>
      </c>
      <c r="K31" s="9" t="s">
        <v>3076</v>
      </c>
      <c r="L31" s="9" t="s">
        <v>3074</v>
      </c>
      <c r="N31" s="10" t="n">
        <v>0.5</v>
      </c>
      <c r="O31" s="19"/>
      <c r="P31" s="0" t="str">
        <f aca="false">IF(O31="","",IF(O31&gt;G31,"OVER",IF(O31&lt;G31,"UNDER","PUSH")))</f>
        <v/>
      </c>
      <c r="Q31" s="0" t="n">
        <v>23.91</v>
      </c>
      <c r="R31" s="10" t="n">
        <v>0.4591</v>
      </c>
      <c r="S31" s="0" t="n">
        <v>1</v>
      </c>
      <c r="T31" s="0" t="n">
        <v>23.22</v>
      </c>
      <c r="U31" s="0" t="n">
        <v>23.22</v>
      </c>
    </row>
    <row r="32" customFormat="false" ht="15" hidden="false" customHeight="false" outlineLevel="0" collapsed="false">
      <c r="A32" s="0" t="s">
        <v>1612</v>
      </c>
      <c r="B32" s="0" t="s">
        <v>1610</v>
      </c>
      <c r="C32" s="0" t="s">
        <v>988</v>
      </c>
      <c r="D32" s="0" t="s">
        <v>1078</v>
      </c>
      <c r="E32" s="0" t="s">
        <v>1147</v>
      </c>
      <c r="F32" s="0" t="s">
        <v>1107</v>
      </c>
      <c r="G32" s="0" t="n">
        <v>18</v>
      </c>
      <c r="H32" s="0" t="n">
        <v>19.02</v>
      </c>
      <c r="I32" s="10" t="n">
        <v>0.5421</v>
      </c>
      <c r="J32" s="10" t="n">
        <v>0.3782</v>
      </c>
      <c r="K32" s="9" t="s">
        <v>3077</v>
      </c>
      <c r="L32" s="9" t="s">
        <v>3074</v>
      </c>
      <c r="N32" s="10" t="n">
        <v>0.7</v>
      </c>
      <c r="O32" s="19"/>
      <c r="P32" s="0" t="str">
        <f aca="false">IF(O32="","",IF(O32&gt;G32,"OVER",IF(O32&lt;G32,"UNDER","PUSH")))</f>
        <v/>
      </c>
      <c r="Q32" s="0" t="n">
        <v>19.02</v>
      </c>
      <c r="R32" s="10" t="n">
        <v>0.5421</v>
      </c>
      <c r="S32" s="0" t="n">
        <v>1</v>
      </c>
      <c r="T32" s="0" t="n">
        <v>19.23</v>
      </c>
      <c r="U32" s="0" t="n">
        <v>19.23</v>
      </c>
    </row>
    <row r="33" customFormat="false" ht="15" hidden="false" customHeight="false" outlineLevel="0" collapsed="false">
      <c r="A33" s="0" t="s">
        <v>1612</v>
      </c>
      <c r="B33" s="0" t="s">
        <v>1610</v>
      </c>
      <c r="C33" s="0" t="s">
        <v>988</v>
      </c>
      <c r="D33" s="0" t="s">
        <v>1078</v>
      </c>
      <c r="E33" s="0" t="s">
        <v>1147</v>
      </c>
      <c r="F33" s="0" t="s">
        <v>1111</v>
      </c>
      <c r="G33" s="0" t="n">
        <v>30.5</v>
      </c>
      <c r="H33" s="0" t="n">
        <v>29.6</v>
      </c>
      <c r="I33" s="10" t="n">
        <v>0.4443</v>
      </c>
      <c r="J33" s="10" t="n">
        <v>0.5557</v>
      </c>
      <c r="K33" s="9" t="s">
        <v>3077</v>
      </c>
      <c r="L33" s="9" t="s">
        <v>3074</v>
      </c>
      <c r="N33" s="10" t="n">
        <v>0.6</v>
      </c>
      <c r="O33" s="19"/>
      <c r="P33" s="0" t="str">
        <f aca="false">IF(O33="","",IF(O33&gt;G33,"OVER",IF(O33&lt;G33,"UNDER","PUSH")))</f>
        <v/>
      </c>
      <c r="Q33" s="0" t="n">
        <v>29.6</v>
      </c>
      <c r="R33" s="10" t="n">
        <v>0.4443</v>
      </c>
      <c r="S33" s="0" t="n">
        <v>1</v>
      </c>
      <c r="T33" s="0" t="n">
        <v>30.53</v>
      </c>
      <c r="U33" s="0" t="n">
        <v>30.53</v>
      </c>
    </row>
    <row r="34" customFormat="false" ht="15" hidden="false" customHeight="false" outlineLevel="0" collapsed="false">
      <c r="A34" s="0" t="s">
        <v>1612</v>
      </c>
      <c r="B34" s="0" t="s">
        <v>1610</v>
      </c>
      <c r="C34" s="0" t="s">
        <v>988</v>
      </c>
      <c r="D34" s="0" t="s">
        <v>1078</v>
      </c>
      <c r="E34" s="0" t="s">
        <v>1149</v>
      </c>
      <c r="F34" s="0" t="s">
        <v>1107</v>
      </c>
      <c r="G34" s="0" t="n">
        <v>17.5</v>
      </c>
      <c r="H34" s="0" t="n">
        <v>18.17</v>
      </c>
      <c r="I34" s="10" t="n">
        <v>0.5561</v>
      </c>
      <c r="J34" s="10" t="n">
        <v>0.4439</v>
      </c>
      <c r="K34" s="9" t="s">
        <v>3077</v>
      </c>
      <c r="L34" s="9" t="s">
        <v>3074</v>
      </c>
      <c r="N34" s="10" t="n">
        <v>0.5</v>
      </c>
      <c r="O34" s="19"/>
      <c r="P34" s="0" t="str">
        <f aca="false">IF(O34="","",IF(O34&gt;G34,"OVER",IF(O34&lt;G34,"UNDER","PUSH")))</f>
        <v/>
      </c>
      <c r="Q34" s="0" t="n">
        <v>18.17</v>
      </c>
      <c r="R34" s="10" t="n">
        <v>0.5561</v>
      </c>
      <c r="S34" s="0" t="n">
        <v>1</v>
      </c>
      <c r="T34" s="0" t="n">
        <v>19.5</v>
      </c>
      <c r="U34" s="0" t="n">
        <v>19.5</v>
      </c>
    </row>
    <row r="35" customFormat="false" ht="15" hidden="false" customHeight="false" outlineLevel="0" collapsed="false">
      <c r="A35" s="0" t="s">
        <v>1612</v>
      </c>
      <c r="B35" s="0" t="s">
        <v>1610</v>
      </c>
      <c r="C35" s="0" t="s">
        <v>988</v>
      </c>
      <c r="D35" s="0" t="s">
        <v>1078</v>
      </c>
      <c r="E35" s="0" t="s">
        <v>1149</v>
      </c>
      <c r="F35" s="0" t="s">
        <v>1111</v>
      </c>
      <c r="G35" s="0" t="n">
        <v>29</v>
      </c>
      <c r="H35" s="0" t="n">
        <v>29.19</v>
      </c>
      <c r="I35" s="10" t="n">
        <v>0.4808</v>
      </c>
      <c r="J35" s="10" t="n">
        <v>0.4569</v>
      </c>
      <c r="K35" s="9" t="s">
        <v>3077</v>
      </c>
      <c r="L35" s="9" t="s">
        <v>3074</v>
      </c>
      <c r="N35" s="10" t="n">
        <v>0.5</v>
      </c>
      <c r="O35" s="19"/>
      <c r="P35" s="0" t="str">
        <f aca="false">IF(O35="","",IF(O35&gt;G35,"OVER",IF(O35&lt;G35,"UNDER","PUSH")))</f>
        <v/>
      </c>
      <c r="Q35" s="0" t="n">
        <v>29.19</v>
      </c>
      <c r="R35" s="10" t="n">
        <v>0.4808</v>
      </c>
      <c r="S35" s="0" t="n">
        <v>1</v>
      </c>
      <c r="T35" s="0" t="n">
        <v>30.96</v>
      </c>
      <c r="U35" s="0" t="n">
        <v>30.96</v>
      </c>
    </row>
    <row r="36" customFormat="false" ht="15" hidden="false" customHeight="false" outlineLevel="0" collapsed="false">
      <c r="A36" s="0" t="s">
        <v>1612</v>
      </c>
      <c r="B36" s="0" t="s">
        <v>1610</v>
      </c>
      <c r="C36" s="0" t="s">
        <v>988</v>
      </c>
      <c r="D36" s="0" t="s">
        <v>1041</v>
      </c>
      <c r="E36" s="0" t="s">
        <v>1151</v>
      </c>
      <c r="F36" s="0" t="s">
        <v>1107</v>
      </c>
      <c r="G36" s="0" t="n">
        <v>16</v>
      </c>
      <c r="H36" s="0" t="n">
        <v>15.61</v>
      </c>
      <c r="I36" s="10" t="n">
        <v>0.4191</v>
      </c>
      <c r="J36" s="10" t="n">
        <v>0.4902</v>
      </c>
      <c r="K36" s="9" t="s">
        <v>3078</v>
      </c>
      <c r="L36" s="9" t="s">
        <v>3079</v>
      </c>
      <c r="N36" s="10" t="n">
        <v>0.4</v>
      </c>
      <c r="O36" s="19"/>
      <c r="P36" s="0" t="str">
        <f aca="false">IF(O36="","",IF(O36&gt;G36,"OVER",IF(O36&lt;G36,"UNDER","PUSH")))</f>
        <v/>
      </c>
      <c r="Q36" s="0" t="n">
        <v>15.52</v>
      </c>
      <c r="R36" s="10" t="n">
        <v>0.411</v>
      </c>
      <c r="S36" s="0" t="n">
        <v>0.9944</v>
      </c>
      <c r="T36" s="0" t="n">
        <v>16.81</v>
      </c>
      <c r="U36" s="0" t="n">
        <v>16.71</v>
      </c>
    </row>
    <row r="37" customFormat="false" ht="15" hidden="false" customHeight="false" outlineLevel="0" collapsed="false">
      <c r="A37" s="0" t="s">
        <v>1612</v>
      </c>
      <c r="B37" s="0" t="s">
        <v>1610</v>
      </c>
      <c r="C37" s="0" t="s">
        <v>988</v>
      </c>
      <c r="D37" s="0" t="s">
        <v>1041</v>
      </c>
      <c r="E37" s="0" t="s">
        <v>1151</v>
      </c>
      <c r="F37" s="0" t="s">
        <v>1111</v>
      </c>
      <c r="G37" s="0" t="n">
        <v>30</v>
      </c>
      <c r="H37" s="0" t="n">
        <v>27.92</v>
      </c>
      <c r="I37" s="10" t="n">
        <v>0.34</v>
      </c>
      <c r="J37" s="10" t="n">
        <v>0.5997</v>
      </c>
      <c r="K37" s="9" t="s">
        <v>3078</v>
      </c>
      <c r="L37" s="9" t="s">
        <v>3079</v>
      </c>
      <c r="M37" s="0" t="n">
        <v>30.18</v>
      </c>
      <c r="N37" s="10" t="n">
        <v>0.5</v>
      </c>
      <c r="O37" s="19"/>
      <c r="P37" s="0" t="str">
        <f aca="false">IF(O37="","",IF(O37&gt;G37,"OVER",IF(O37&lt;G37,"UNDER","PUSH")))</f>
        <v/>
      </c>
      <c r="Q37" s="0" t="n">
        <v>27.76</v>
      </c>
      <c r="R37" s="10" t="n">
        <v>0.33</v>
      </c>
      <c r="S37" s="0" t="n">
        <v>0.9942</v>
      </c>
      <c r="T37" s="0" t="n">
        <v>29.19</v>
      </c>
      <c r="U37" s="0" t="n">
        <v>29</v>
      </c>
    </row>
    <row r="38" customFormat="false" ht="15" hidden="false" customHeight="false" outlineLevel="0" collapsed="false">
      <c r="A38" s="0" t="s">
        <v>1612</v>
      </c>
      <c r="B38" s="0" t="s">
        <v>1610</v>
      </c>
      <c r="C38" s="0" t="s">
        <v>988</v>
      </c>
      <c r="D38" s="0" t="s">
        <v>1041</v>
      </c>
      <c r="E38" s="0" t="s">
        <v>1155</v>
      </c>
      <c r="F38" s="0" t="s">
        <v>1107</v>
      </c>
      <c r="G38" s="0" t="n">
        <v>13.5</v>
      </c>
      <c r="H38" s="0" t="n">
        <v>13.09</v>
      </c>
      <c r="I38" s="10" t="n">
        <v>0.4589</v>
      </c>
      <c r="J38" s="10" t="n">
        <v>0.5411</v>
      </c>
      <c r="K38" s="9" t="s">
        <v>3078</v>
      </c>
      <c r="L38" s="9" t="s">
        <v>3079</v>
      </c>
      <c r="N38" s="10" t="n">
        <v>0.4</v>
      </c>
      <c r="O38" s="19"/>
      <c r="P38" s="0" t="str">
        <f aca="false">IF(O38="","",IF(O38&gt;G38,"OVER",IF(O38&lt;G38,"UNDER","PUSH")))</f>
        <v/>
      </c>
      <c r="Q38" s="0" t="n">
        <v>13</v>
      </c>
      <c r="R38" s="10" t="n">
        <v>0.4505</v>
      </c>
      <c r="S38" s="0" t="n">
        <v>0.9936</v>
      </c>
      <c r="T38" s="0" t="n">
        <v>12.61</v>
      </c>
      <c r="U38" s="0" t="n">
        <v>12.53</v>
      </c>
    </row>
    <row r="39" customFormat="false" ht="15" hidden="false" customHeight="false" outlineLevel="0" collapsed="false">
      <c r="A39" s="0" t="s">
        <v>1612</v>
      </c>
      <c r="B39" s="0" t="s">
        <v>1610</v>
      </c>
      <c r="C39" s="0" t="s">
        <v>988</v>
      </c>
      <c r="D39" s="0" t="s">
        <v>1041</v>
      </c>
      <c r="E39" s="0" t="s">
        <v>1155</v>
      </c>
      <c r="F39" s="0" t="s">
        <v>1111</v>
      </c>
      <c r="G39" s="0" t="n">
        <v>24.5</v>
      </c>
      <c r="H39" s="0" t="n">
        <v>22.28</v>
      </c>
      <c r="I39" s="10" t="n">
        <v>0.3455</v>
      </c>
      <c r="J39" s="10" t="n">
        <v>0.6545</v>
      </c>
      <c r="K39" s="9" t="s">
        <v>3078</v>
      </c>
      <c r="L39" s="9" t="s">
        <v>3079</v>
      </c>
      <c r="M39" s="0" t="n">
        <v>23.31</v>
      </c>
      <c r="N39" s="10" t="n">
        <v>0.3</v>
      </c>
      <c r="O39" s="19"/>
      <c r="P39" s="0" t="str">
        <f aca="false">IF(O39="","",IF(O39&gt;G39,"OVER",IF(O39&lt;G39,"UNDER","PUSH")))</f>
        <v/>
      </c>
      <c r="Q39" s="0" t="n">
        <v>22.13</v>
      </c>
      <c r="R39" s="10" t="n">
        <v>0.3353</v>
      </c>
      <c r="S39" s="0" t="n">
        <v>0.9934</v>
      </c>
      <c r="T39" s="0" t="n">
        <v>21.89</v>
      </c>
      <c r="U39" s="0" t="n">
        <v>21.75</v>
      </c>
    </row>
    <row r="40" customFormat="false" ht="15" hidden="false" customHeight="false" outlineLevel="0" collapsed="false">
      <c r="A40" s="0" t="s">
        <v>1612</v>
      </c>
      <c r="B40" s="0" t="s">
        <v>1610</v>
      </c>
      <c r="C40" s="0" t="s">
        <v>988</v>
      </c>
      <c r="D40" s="0" t="s">
        <v>1041</v>
      </c>
      <c r="E40" s="0" t="s">
        <v>1159</v>
      </c>
      <c r="F40" s="0" t="s">
        <v>1107</v>
      </c>
      <c r="G40" s="0" t="n">
        <v>17.5</v>
      </c>
      <c r="H40" s="0" t="n">
        <v>19.47</v>
      </c>
      <c r="I40" s="10" t="n">
        <v>0.657</v>
      </c>
      <c r="J40" s="10" t="n">
        <v>0.343</v>
      </c>
      <c r="K40" s="9" t="s">
        <v>3078</v>
      </c>
      <c r="L40" s="9" t="s">
        <v>3079</v>
      </c>
      <c r="N40" s="10" t="n">
        <v>0.5</v>
      </c>
      <c r="O40" s="19"/>
      <c r="P40" s="0" t="str">
        <f aca="false">IF(O40="","",IF(O40&gt;G40,"OVER",IF(O40&lt;G40,"UNDER","PUSH")))</f>
        <v/>
      </c>
      <c r="Q40" s="0" t="n">
        <v>19.35</v>
      </c>
      <c r="R40" s="10" t="n">
        <v>0.6484</v>
      </c>
      <c r="S40" s="0" t="n">
        <v>0.9939</v>
      </c>
      <c r="T40" s="0" t="n">
        <v>18.35</v>
      </c>
      <c r="U40" s="0" t="n">
        <v>18.23</v>
      </c>
    </row>
    <row r="41" customFormat="false" ht="15" hidden="false" customHeight="false" outlineLevel="0" collapsed="false">
      <c r="A41" s="0" t="s">
        <v>1612</v>
      </c>
      <c r="B41" s="0" t="s">
        <v>1610</v>
      </c>
      <c r="C41" s="0" t="s">
        <v>988</v>
      </c>
      <c r="D41" s="0" t="s">
        <v>1041</v>
      </c>
      <c r="E41" s="0" t="s">
        <v>1159</v>
      </c>
      <c r="F41" s="0" t="s">
        <v>1111</v>
      </c>
      <c r="G41" s="0" t="n">
        <v>32.5</v>
      </c>
      <c r="H41" s="0" t="n">
        <v>35.19</v>
      </c>
      <c r="I41" s="10" t="n">
        <v>0.6492</v>
      </c>
      <c r="J41" s="10" t="n">
        <v>0.3508</v>
      </c>
      <c r="K41" s="9" t="s">
        <v>3078</v>
      </c>
      <c r="L41" s="9" t="s">
        <v>3079</v>
      </c>
      <c r="M41" s="0" t="n">
        <v>32.14</v>
      </c>
      <c r="N41" s="10" t="n">
        <v>0.6</v>
      </c>
      <c r="O41" s="19"/>
      <c r="P41" s="0" t="str">
        <f aca="false">IF(O41="","",IF(O41&gt;G41,"OVER",IF(O41&lt;G41,"UNDER","PUSH")))</f>
        <v/>
      </c>
      <c r="Q41" s="0" t="n">
        <v>34.96</v>
      </c>
      <c r="R41" s="10" t="n">
        <v>0.6376</v>
      </c>
      <c r="S41" s="0" t="n">
        <v>0.9936</v>
      </c>
      <c r="T41" s="0" t="n">
        <v>33.48</v>
      </c>
      <c r="U41" s="0" t="n">
        <v>33.27</v>
      </c>
    </row>
    <row r="42" customFormat="false" ht="15" hidden="false" customHeight="false" outlineLevel="0" collapsed="false">
      <c r="A42" s="0" t="s">
        <v>1612</v>
      </c>
      <c r="B42" s="0" t="s">
        <v>1610</v>
      </c>
      <c r="C42" s="0" t="s">
        <v>988</v>
      </c>
      <c r="D42" s="0" t="s">
        <v>1041</v>
      </c>
      <c r="E42" s="0" t="s">
        <v>1163</v>
      </c>
      <c r="F42" s="0" t="s">
        <v>1107</v>
      </c>
      <c r="G42" s="0" t="n">
        <v>10</v>
      </c>
      <c r="H42" s="0" t="n">
        <v>9.14</v>
      </c>
      <c r="I42" s="10" t="n">
        <v>0.3364</v>
      </c>
      <c r="J42" s="10" t="n">
        <v>0.5443</v>
      </c>
      <c r="K42" s="9" t="s">
        <v>3078</v>
      </c>
      <c r="L42" s="9" t="s">
        <v>3079</v>
      </c>
      <c r="N42" s="10" t="n">
        <v>0.7</v>
      </c>
      <c r="O42" s="19"/>
      <c r="P42" s="0" t="str">
        <f aca="false">IF(O42="","",IF(O42&gt;G42,"OVER",IF(O42&lt;G42,"UNDER","PUSH")))</f>
        <v/>
      </c>
      <c r="Q42" s="0" t="n">
        <v>9.09</v>
      </c>
      <c r="R42" s="10" t="n">
        <v>0.3298</v>
      </c>
      <c r="S42" s="0" t="n">
        <v>0.9941</v>
      </c>
      <c r="T42" s="0" t="n">
        <v>9.78</v>
      </c>
      <c r="U42" s="0" t="n">
        <v>9.72</v>
      </c>
    </row>
    <row r="43" customFormat="false" ht="15" hidden="false" customHeight="false" outlineLevel="0" collapsed="false">
      <c r="A43" s="0" t="s">
        <v>1612</v>
      </c>
      <c r="B43" s="0" t="s">
        <v>1610</v>
      </c>
      <c r="C43" s="0" t="s">
        <v>988</v>
      </c>
      <c r="D43" s="0" t="s">
        <v>1041</v>
      </c>
      <c r="E43" s="0" t="s">
        <v>1163</v>
      </c>
      <c r="F43" s="0" t="s">
        <v>1111</v>
      </c>
      <c r="G43" s="0" t="n">
        <v>30</v>
      </c>
      <c r="H43" s="0" t="n">
        <v>28.01</v>
      </c>
      <c r="I43" s="10" t="n">
        <v>0.3452</v>
      </c>
      <c r="J43" s="10" t="n">
        <v>0.5942</v>
      </c>
      <c r="K43" s="9" t="s">
        <v>3078</v>
      </c>
      <c r="L43" s="9" t="s">
        <v>3079</v>
      </c>
      <c r="M43" s="0" t="n">
        <v>29.74</v>
      </c>
      <c r="N43" s="10" t="n">
        <v>0.4</v>
      </c>
      <c r="O43" s="19"/>
      <c r="P43" s="0" t="str">
        <f aca="false">IF(O43="","",IF(O43&gt;G43,"OVER",IF(O43&lt;G43,"UNDER","PUSH")))</f>
        <v/>
      </c>
      <c r="Q43" s="0" t="n">
        <v>27.84</v>
      </c>
      <c r="R43" s="10" t="n">
        <v>0.3348</v>
      </c>
      <c r="S43" s="0" t="n">
        <v>0.9939</v>
      </c>
      <c r="T43" s="0" t="n">
        <v>28.76</v>
      </c>
      <c r="U43" s="0" t="n">
        <v>28.58</v>
      </c>
    </row>
    <row r="44" customFormat="false" ht="15" hidden="false" customHeight="false" outlineLevel="0" collapsed="false">
      <c r="A44" s="0" t="s">
        <v>1612</v>
      </c>
      <c r="B44" s="0" t="s">
        <v>1610</v>
      </c>
      <c r="C44" s="0" t="s">
        <v>988</v>
      </c>
      <c r="D44" s="0" t="s">
        <v>1041</v>
      </c>
      <c r="E44" s="0" t="s">
        <v>1166</v>
      </c>
      <c r="F44" s="0" t="s">
        <v>1107</v>
      </c>
      <c r="G44" s="0" t="n">
        <v>16.5</v>
      </c>
      <c r="H44" s="0" t="n">
        <v>14.34</v>
      </c>
      <c r="I44" s="10" t="n">
        <v>0.3029</v>
      </c>
      <c r="J44" s="10" t="n">
        <v>0.6971</v>
      </c>
      <c r="K44" s="9" t="s">
        <v>3078</v>
      </c>
      <c r="L44" s="9" t="s">
        <v>3079</v>
      </c>
      <c r="N44" s="10" t="n">
        <v>0.4</v>
      </c>
      <c r="O44" s="19"/>
      <c r="P44" s="0" t="str">
        <f aca="false">IF(O44="","",IF(O44&gt;G44,"OVER",IF(O44&lt;G44,"UNDER","PUSH")))</f>
        <v/>
      </c>
      <c r="Q44" s="0" t="n">
        <v>14.25</v>
      </c>
      <c r="R44" s="10" t="n">
        <v>0.2947</v>
      </c>
      <c r="S44" s="0" t="n">
        <v>0.9937</v>
      </c>
      <c r="T44" s="0" t="n">
        <v>14.4</v>
      </c>
      <c r="U44" s="0" t="n">
        <v>14.31</v>
      </c>
    </row>
    <row r="45" customFormat="false" ht="15" hidden="false" customHeight="false" outlineLevel="0" collapsed="false">
      <c r="A45" s="0" t="s">
        <v>1612</v>
      </c>
      <c r="B45" s="0" t="s">
        <v>1610</v>
      </c>
      <c r="C45" s="0" t="s">
        <v>988</v>
      </c>
      <c r="D45" s="0" t="s">
        <v>1041</v>
      </c>
      <c r="E45" s="0" t="s">
        <v>1166</v>
      </c>
      <c r="F45" s="0" t="s">
        <v>1111</v>
      </c>
      <c r="G45" s="0" t="n">
        <v>29.5</v>
      </c>
      <c r="H45" s="0" t="n">
        <v>26.24</v>
      </c>
      <c r="I45" s="10" t="n">
        <v>0.2955</v>
      </c>
      <c r="J45" s="10" t="n">
        <v>0.7045</v>
      </c>
      <c r="K45" s="9" t="s">
        <v>3078</v>
      </c>
      <c r="L45" s="9" t="s">
        <v>3079</v>
      </c>
      <c r="M45" s="0" t="n">
        <v>29.68</v>
      </c>
      <c r="N45" s="10" t="n">
        <v>0.5</v>
      </c>
      <c r="O45" s="19"/>
      <c r="P45" s="0" t="str">
        <f aca="false">IF(O45="","",IF(O45&gt;G45,"OVER",IF(O45&lt;G45,"UNDER","PUSH")))</f>
        <v/>
      </c>
      <c r="Q45" s="0" t="n">
        <v>26.08</v>
      </c>
      <c r="R45" s="10" t="n">
        <v>0.2856</v>
      </c>
      <c r="S45" s="0" t="n">
        <v>0.9937</v>
      </c>
      <c r="T45" s="0" t="n">
        <v>26.61</v>
      </c>
      <c r="U45" s="0" t="n">
        <v>26.44</v>
      </c>
    </row>
    <row r="46" customFormat="false" ht="15" hidden="false" customHeight="false" outlineLevel="0" collapsed="false">
      <c r="A46" s="0" t="s">
        <v>1612</v>
      </c>
      <c r="B46" s="0" t="s">
        <v>1610</v>
      </c>
      <c r="C46" s="0" t="s">
        <v>988</v>
      </c>
      <c r="D46" s="0" t="s">
        <v>1041</v>
      </c>
      <c r="E46" s="0" t="s">
        <v>1169</v>
      </c>
      <c r="F46" s="0" t="s">
        <v>1107</v>
      </c>
      <c r="G46" s="0" t="n">
        <v>16</v>
      </c>
      <c r="H46" s="0" t="n">
        <v>16.12</v>
      </c>
      <c r="I46" s="10" t="n">
        <v>0.4659</v>
      </c>
      <c r="J46" s="10" t="n">
        <v>0.4448</v>
      </c>
      <c r="K46" s="9" t="s">
        <v>3078</v>
      </c>
      <c r="L46" s="9" t="s">
        <v>3079</v>
      </c>
      <c r="N46" s="10" t="n">
        <v>0.7</v>
      </c>
      <c r="O46" s="19"/>
      <c r="P46" s="0" t="str">
        <f aca="false">IF(O46="","",IF(O46&gt;G46,"OVER",IF(O46&lt;G46,"UNDER","PUSH")))</f>
        <v/>
      </c>
      <c r="Q46" s="0" t="n">
        <v>15.67</v>
      </c>
      <c r="R46" s="10" t="n">
        <v>0.4252</v>
      </c>
      <c r="S46" s="0" t="n">
        <v>0.9722</v>
      </c>
      <c r="T46" s="0" t="n">
        <v>17.31</v>
      </c>
      <c r="U46" s="0" t="n">
        <v>16.84</v>
      </c>
    </row>
    <row r="47" customFormat="false" ht="15" hidden="false" customHeight="false" outlineLevel="0" collapsed="false">
      <c r="A47" s="0" t="s">
        <v>1612</v>
      </c>
      <c r="B47" s="0" t="s">
        <v>1610</v>
      </c>
      <c r="C47" s="0" t="s">
        <v>988</v>
      </c>
      <c r="D47" s="0" t="s">
        <v>1041</v>
      </c>
      <c r="E47" s="0" t="s">
        <v>1169</v>
      </c>
      <c r="F47" s="0" t="s">
        <v>1111</v>
      </c>
      <c r="G47" s="0" t="n">
        <v>28</v>
      </c>
      <c r="H47" s="0" t="n">
        <v>27.6</v>
      </c>
      <c r="I47" s="10" t="n">
        <v>0.4428</v>
      </c>
      <c r="J47" s="10" t="n">
        <v>0.4933</v>
      </c>
      <c r="K47" s="9" t="s">
        <v>3078</v>
      </c>
      <c r="L47" s="9" t="s">
        <v>3079</v>
      </c>
      <c r="M47" s="0" t="n">
        <v>28.76</v>
      </c>
      <c r="N47" s="10" t="n">
        <v>0.6</v>
      </c>
      <c r="O47" s="19"/>
      <c r="P47" s="0" t="str">
        <f aca="false">IF(O47="","",IF(O47&gt;G47,"OVER",IF(O47&lt;G47,"UNDER","PUSH")))</f>
        <v/>
      </c>
      <c r="Q47" s="0" t="n">
        <v>26.85</v>
      </c>
      <c r="R47" s="10" t="n">
        <v>0.394</v>
      </c>
      <c r="S47" s="0" t="n">
        <v>0.9727</v>
      </c>
      <c r="T47" s="0" t="n">
        <v>29.19</v>
      </c>
      <c r="U47" s="0" t="n">
        <v>28.39</v>
      </c>
    </row>
    <row r="48" customFormat="false" ht="15" hidden="false" customHeight="false" outlineLevel="0" collapsed="false">
      <c r="A48" s="0" t="s">
        <v>1612</v>
      </c>
      <c r="B48" s="0" t="s">
        <v>1610</v>
      </c>
      <c r="C48" s="0" t="s">
        <v>988</v>
      </c>
      <c r="D48" s="0" t="s">
        <v>1041</v>
      </c>
      <c r="E48" s="0" t="s">
        <v>1172</v>
      </c>
      <c r="F48" s="0" t="s">
        <v>1107</v>
      </c>
      <c r="G48" s="0" t="n">
        <v>15.5</v>
      </c>
      <c r="H48" s="0" t="n">
        <v>15.91</v>
      </c>
      <c r="I48" s="10" t="n">
        <v>0.5368</v>
      </c>
      <c r="J48" s="10" t="n">
        <v>0.4632</v>
      </c>
      <c r="K48" s="9" t="s">
        <v>3078</v>
      </c>
      <c r="L48" s="9" t="s">
        <v>3079</v>
      </c>
      <c r="N48" s="10" t="n">
        <v>0.7</v>
      </c>
      <c r="O48" s="19"/>
      <c r="P48" s="0" t="str">
        <f aca="false">IF(O48="","",IF(O48&gt;G48,"OVER",IF(O48&lt;G48,"UNDER","PUSH")))</f>
        <v/>
      </c>
      <c r="Q48" s="0" t="n">
        <v>15.48</v>
      </c>
      <c r="R48" s="10" t="n">
        <v>0.4986</v>
      </c>
      <c r="S48" s="0" t="n">
        <v>0.9732</v>
      </c>
      <c r="T48" s="0" t="n">
        <v>16.14</v>
      </c>
      <c r="U48" s="0" t="n">
        <v>15.7</v>
      </c>
    </row>
    <row r="49" customFormat="false" ht="15" hidden="false" customHeight="false" outlineLevel="0" collapsed="false">
      <c r="A49" s="0" t="s">
        <v>1612</v>
      </c>
      <c r="B49" s="0" t="s">
        <v>1610</v>
      </c>
      <c r="C49" s="0" t="s">
        <v>988</v>
      </c>
      <c r="D49" s="0" t="s">
        <v>1041</v>
      </c>
      <c r="E49" s="0" t="s">
        <v>1172</v>
      </c>
      <c r="F49" s="0" t="s">
        <v>1111</v>
      </c>
      <c r="G49" s="0" t="n">
        <v>26</v>
      </c>
      <c r="H49" s="0" t="n">
        <v>26.63</v>
      </c>
      <c r="I49" s="10" t="n">
        <v>0.5083</v>
      </c>
      <c r="J49" s="10" t="n">
        <v>0.4268</v>
      </c>
      <c r="K49" s="9" t="s">
        <v>3078</v>
      </c>
      <c r="L49" s="9" t="s">
        <v>3079</v>
      </c>
      <c r="M49" s="0" t="n">
        <v>26.66</v>
      </c>
      <c r="N49" s="10" t="n">
        <v>0.8</v>
      </c>
      <c r="O49" s="19"/>
      <c r="P49" s="0" t="str">
        <f aca="false">IF(O49="","",IF(O49&gt;G49,"OVER",IF(O49&lt;G49,"UNDER","PUSH")))</f>
        <v/>
      </c>
      <c r="Q49" s="0" t="n">
        <v>25.91</v>
      </c>
      <c r="R49" s="10" t="n">
        <v>0.4609</v>
      </c>
      <c r="S49" s="0" t="n">
        <v>0.973</v>
      </c>
      <c r="T49" s="0" t="n">
        <v>27.04</v>
      </c>
      <c r="U49" s="0" t="n">
        <v>26.3</v>
      </c>
    </row>
    <row r="50" customFormat="false" ht="15" hidden="false" customHeight="false" outlineLevel="0" collapsed="false">
      <c r="A50" s="0" t="s">
        <v>1612</v>
      </c>
      <c r="B50" s="0" t="s">
        <v>1610</v>
      </c>
      <c r="C50" s="0" t="s">
        <v>988</v>
      </c>
      <c r="D50" s="0" t="s">
        <v>1041</v>
      </c>
      <c r="E50" s="0" t="s">
        <v>1175</v>
      </c>
      <c r="F50" s="0" t="s">
        <v>1107</v>
      </c>
      <c r="G50" s="0" t="n">
        <v>16.5</v>
      </c>
      <c r="H50" s="0" t="n">
        <v>19.68</v>
      </c>
      <c r="I50" s="10" t="n">
        <v>0.7383</v>
      </c>
      <c r="J50" s="10" t="n">
        <v>0.2617</v>
      </c>
      <c r="K50" s="9" t="s">
        <v>3078</v>
      </c>
      <c r="L50" s="9" t="s">
        <v>3079</v>
      </c>
      <c r="N50" s="10" t="n">
        <v>0.6</v>
      </c>
      <c r="O50" s="19"/>
      <c r="P50" s="0" t="str">
        <f aca="false">IF(O50="","",IF(O50&gt;G50,"OVER",IF(O50&lt;G50,"UNDER","PUSH")))</f>
        <v/>
      </c>
      <c r="Q50" s="0" t="n">
        <v>19.14</v>
      </c>
      <c r="R50" s="10" t="n">
        <v>0.7042</v>
      </c>
      <c r="S50" s="0" t="n">
        <v>0.9724</v>
      </c>
      <c r="T50" s="0" t="n">
        <v>18.18</v>
      </c>
      <c r="U50" s="0" t="n">
        <v>17.69</v>
      </c>
    </row>
    <row r="51" customFormat="false" ht="15" hidden="false" customHeight="false" outlineLevel="0" collapsed="false">
      <c r="A51" s="0" t="s">
        <v>1612</v>
      </c>
      <c r="B51" s="0" t="s">
        <v>1610</v>
      </c>
      <c r="C51" s="0" t="s">
        <v>988</v>
      </c>
      <c r="D51" s="0" t="s">
        <v>1041</v>
      </c>
      <c r="E51" s="0" t="s">
        <v>1175</v>
      </c>
      <c r="F51" s="0" t="s">
        <v>1111</v>
      </c>
      <c r="G51" s="0" t="n">
        <v>26</v>
      </c>
      <c r="H51" s="0" t="n">
        <v>29.73</v>
      </c>
      <c r="I51" s="10" t="n">
        <v>0.6915</v>
      </c>
      <c r="J51" s="10" t="n">
        <v>0.2562</v>
      </c>
      <c r="K51" s="9" t="s">
        <v>3078</v>
      </c>
      <c r="L51" s="9" t="s">
        <v>3079</v>
      </c>
      <c r="M51" s="0" t="n">
        <v>26.76</v>
      </c>
      <c r="N51" s="10" t="n">
        <v>0.6</v>
      </c>
      <c r="O51" s="19"/>
      <c r="P51" s="0" t="str">
        <f aca="false">IF(O51="","",IF(O51&gt;G51,"OVER",IF(O51&lt;G51,"UNDER","PUSH")))</f>
        <v/>
      </c>
      <c r="Q51" s="0" t="n">
        <v>28.92</v>
      </c>
      <c r="R51" s="10" t="n">
        <v>0.6479</v>
      </c>
      <c r="S51" s="0" t="n">
        <v>0.9727</v>
      </c>
      <c r="T51" s="0" t="n">
        <v>27.47</v>
      </c>
      <c r="U51" s="0" t="n">
        <v>26.72</v>
      </c>
    </row>
    <row r="52" customFormat="false" ht="15" hidden="false" customHeight="false" outlineLevel="0" collapsed="false">
      <c r="A52" s="0" t="s">
        <v>1612</v>
      </c>
      <c r="B52" s="0" t="s">
        <v>1610</v>
      </c>
      <c r="C52" s="0" t="s">
        <v>988</v>
      </c>
      <c r="D52" s="0" t="s">
        <v>1041</v>
      </c>
      <c r="E52" s="0" t="s">
        <v>1178</v>
      </c>
      <c r="F52" s="0" t="s">
        <v>1107</v>
      </c>
      <c r="G52" s="0" t="n">
        <v>16</v>
      </c>
      <c r="H52" s="0" t="n">
        <v>15.16</v>
      </c>
      <c r="I52" s="10" t="n">
        <v>0.377</v>
      </c>
      <c r="J52" s="10" t="n">
        <v>0.5316</v>
      </c>
      <c r="K52" s="9" t="s">
        <v>3078</v>
      </c>
      <c r="L52" s="9" t="s">
        <v>3079</v>
      </c>
      <c r="N52" s="10" t="n">
        <v>0.7</v>
      </c>
      <c r="O52" s="19"/>
      <c r="P52" s="0" t="str">
        <f aca="false">IF(O52="","",IF(O52&gt;G52,"OVER",IF(O52&lt;G52,"UNDER","PUSH")))</f>
        <v/>
      </c>
      <c r="Q52" s="0" t="n">
        <v>14.75</v>
      </c>
      <c r="R52" s="10" t="n">
        <v>0.3393</v>
      </c>
      <c r="S52" s="0" t="n">
        <v>0.9731</v>
      </c>
      <c r="T52" s="0" t="n">
        <v>16.92</v>
      </c>
      <c r="U52" s="0" t="n">
        <v>16.46</v>
      </c>
    </row>
    <row r="53" customFormat="false" ht="15" hidden="false" customHeight="false" outlineLevel="0" collapsed="false">
      <c r="A53" s="0" t="s">
        <v>1612</v>
      </c>
      <c r="B53" s="0" t="s">
        <v>1610</v>
      </c>
      <c r="C53" s="0" t="s">
        <v>988</v>
      </c>
      <c r="D53" s="0" t="s">
        <v>1041</v>
      </c>
      <c r="E53" s="0" t="s">
        <v>1178</v>
      </c>
      <c r="F53" s="0" t="s">
        <v>1111</v>
      </c>
      <c r="G53" s="0" t="n">
        <v>31</v>
      </c>
      <c r="H53" s="0" t="n">
        <v>29.61</v>
      </c>
      <c r="I53" s="10" t="n">
        <v>0.3846</v>
      </c>
      <c r="J53" s="10" t="n">
        <v>0.5549</v>
      </c>
      <c r="K53" s="9" t="s">
        <v>3078</v>
      </c>
      <c r="L53" s="9" t="s">
        <v>3079</v>
      </c>
      <c r="M53" s="0" t="n">
        <v>30.4</v>
      </c>
      <c r="N53" s="10" t="n">
        <v>0.7</v>
      </c>
      <c r="O53" s="19"/>
      <c r="P53" s="0" t="str">
        <f aca="false">IF(O53="","",IF(O53&gt;G53,"OVER",IF(O53&lt;G53,"UNDER","PUSH")))</f>
        <v/>
      </c>
      <c r="Q53" s="0" t="n">
        <v>28.82</v>
      </c>
      <c r="R53" s="10" t="n">
        <v>0.3365</v>
      </c>
      <c r="S53" s="0" t="n">
        <v>0.9733</v>
      </c>
      <c r="T53" s="0" t="n">
        <v>31.33</v>
      </c>
      <c r="U53" s="0" t="n">
        <v>30.48</v>
      </c>
    </row>
    <row r="54" customFormat="false" ht="15" hidden="false" customHeight="false" outlineLevel="0" collapsed="false">
      <c r="A54" s="0" t="s">
        <v>1612</v>
      </c>
      <c r="B54" s="0" t="s">
        <v>1610</v>
      </c>
      <c r="C54" s="0" t="s">
        <v>988</v>
      </c>
      <c r="D54" s="0" t="s">
        <v>1041</v>
      </c>
      <c r="E54" s="0" t="s">
        <v>1181</v>
      </c>
      <c r="F54" s="0" t="s">
        <v>1107</v>
      </c>
      <c r="G54" s="0" t="n">
        <v>9.5</v>
      </c>
      <c r="H54" s="0" t="n">
        <v>7.38</v>
      </c>
      <c r="I54" s="10" t="n">
        <v>0.2296</v>
      </c>
      <c r="J54" s="10" t="n">
        <v>0.7704</v>
      </c>
      <c r="K54" s="9" t="s">
        <v>3078</v>
      </c>
      <c r="L54" s="9" t="s">
        <v>3079</v>
      </c>
      <c r="N54" s="10" t="n">
        <v>0.4</v>
      </c>
      <c r="O54" s="19"/>
      <c r="P54" s="0" t="str">
        <f aca="false">IF(O54="","",IF(O54&gt;G54,"OVER",IF(O54&lt;G54,"UNDER","PUSH")))</f>
        <v/>
      </c>
      <c r="Q54" s="0" t="n">
        <v>7.17</v>
      </c>
      <c r="R54" s="10" t="n">
        <v>0.2055</v>
      </c>
      <c r="S54" s="0" t="n">
        <v>0.9725</v>
      </c>
      <c r="T54" s="0" t="n">
        <v>7.7</v>
      </c>
      <c r="U54" s="0" t="n">
        <v>7.49</v>
      </c>
    </row>
    <row r="55" customFormat="false" ht="15" hidden="false" customHeight="false" outlineLevel="0" collapsed="false">
      <c r="A55" s="0" t="s">
        <v>1612</v>
      </c>
      <c r="B55" s="0" t="s">
        <v>1610</v>
      </c>
      <c r="C55" s="0" t="s">
        <v>988</v>
      </c>
      <c r="D55" s="0" t="s">
        <v>1041</v>
      </c>
      <c r="E55" s="0" t="s">
        <v>1181</v>
      </c>
      <c r="F55" s="0" t="s">
        <v>1111</v>
      </c>
      <c r="G55" s="0" t="n">
        <v>27</v>
      </c>
      <c r="H55" s="0" t="n">
        <v>25.43</v>
      </c>
      <c r="I55" s="10" t="n">
        <v>0.3645</v>
      </c>
      <c r="J55" s="10" t="n">
        <v>0.571</v>
      </c>
      <c r="K55" s="9" t="s">
        <v>3078</v>
      </c>
      <c r="L55" s="9" t="s">
        <v>3079</v>
      </c>
      <c r="M55" s="0" t="n">
        <v>26.9</v>
      </c>
      <c r="N55" s="10" t="n">
        <v>0.4</v>
      </c>
      <c r="O55" s="19"/>
      <c r="P55" s="0" t="str">
        <f aca="false">IF(O55="","",IF(O55&gt;G55,"OVER",IF(O55&lt;G55,"UNDER","PUSH")))</f>
        <v/>
      </c>
      <c r="Q55" s="0" t="n">
        <v>24.76</v>
      </c>
      <c r="R55" s="10" t="n">
        <v>0.3207</v>
      </c>
      <c r="S55" s="0" t="n">
        <v>0.9735</v>
      </c>
      <c r="T55" s="0" t="n">
        <v>25.32</v>
      </c>
      <c r="U55" s="0" t="n">
        <v>24.63</v>
      </c>
    </row>
    <row r="56" customFormat="false" ht="15" hidden="false" customHeight="false" outlineLevel="0" collapsed="false">
      <c r="A56" s="0" t="s">
        <v>1612</v>
      </c>
      <c r="B56" s="0" t="s">
        <v>1610</v>
      </c>
      <c r="C56" s="0" t="s">
        <v>988</v>
      </c>
      <c r="D56" s="0" t="s">
        <v>1008</v>
      </c>
      <c r="E56" s="0" t="s">
        <v>1185</v>
      </c>
      <c r="F56" s="0" t="s">
        <v>1107</v>
      </c>
      <c r="G56" s="0" t="n">
        <v>11.5</v>
      </c>
      <c r="H56" s="0" t="n">
        <v>9.85</v>
      </c>
      <c r="I56" s="10" t="n">
        <v>0.3144</v>
      </c>
      <c r="J56" s="10" t="n">
        <v>0.6856</v>
      </c>
      <c r="K56" s="9" t="s">
        <v>3080</v>
      </c>
      <c r="L56" s="9" t="s">
        <v>3081</v>
      </c>
      <c r="N56" s="10" t="n">
        <v>0.5</v>
      </c>
      <c r="O56" s="19"/>
      <c r="P56" s="0" t="str">
        <f aca="false">IF(O56="","",IF(O56&gt;G56,"OVER",IF(O56&lt;G56,"UNDER","PUSH")))</f>
        <v/>
      </c>
      <c r="Q56" s="0" t="n">
        <v>9.98</v>
      </c>
      <c r="R56" s="10" t="n">
        <v>0.3285</v>
      </c>
      <c r="S56" s="0" t="n">
        <v>1.0126</v>
      </c>
      <c r="T56" s="0" t="n">
        <v>10.65</v>
      </c>
      <c r="U56" s="0" t="n">
        <v>10.79</v>
      </c>
    </row>
    <row r="57" customFormat="false" ht="15" hidden="false" customHeight="false" outlineLevel="0" collapsed="false">
      <c r="A57" s="0" t="s">
        <v>1612</v>
      </c>
      <c r="B57" s="0" t="s">
        <v>1610</v>
      </c>
      <c r="C57" s="0" t="s">
        <v>988</v>
      </c>
      <c r="D57" s="0" t="s">
        <v>1008</v>
      </c>
      <c r="E57" s="0" t="s">
        <v>1185</v>
      </c>
      <c r="F57" s="0" t="s">
        <v>1111</v>
      </c>
      <c r="G57" s="0" t="n">
        <v>25</v>
      </c>
      <c r="H57" s="0" t="n">
        <v>22.28</v>
      </c>
      <c r="I57" s="10" t="n">
        <v>0.2823</v>
      </c>
      <c r="J57" s="10" t="n">
        <v>0.6544</v>
      </c>
      <c r="K57" s="9" t="s">
        <v>3080</v>
      </c>
      <c r="L57" s="9" t="s">
        <v>3081</v>
      </c>
      <c r="M57" s="0" t="n">
        <v>25.18</v>
      </c>
      <c r="N57" s="10" t="n">
        <v>0.4</v>
      </c>
      <c r="O57" s="19"/>
      <c r="P57" s="0" t="str">
        <f aca="false">IF(O57="","",IF(O57&gt;G57,"OVER",IF(O57&lt;G57,"UNDER","PUSH")))</f>
        <v/>
      </c>
      <c r="Q57" s="0" t="n">
        <v>22.56</v>
      </c>
      <c r="R57" s="10" t="n">
        <v>0.3007</v>
      </c>
      <c r="S57" s="0" t="n">
        <v>1.0126</v>
      </c>
      <c r="T57" s="0" t="n">
        <v>23.57</v>
      </c>
      <c r="U57" s="0" t="n">
        <v>23.87</v>
      </c>
    </row>
    <row r="58" customFormat="false" ht="15" hidden="false" customHeight="false" outlineLevel="0" collapsed="false">
      <c r="A58" s="0" t="s">
        <v>1612</v>
      </c>
      <c r="B58" s="0" t="s">
        <v>1610</v>
      </c>
      <c r="C58" s="0" t="s">
        <v>988</v>
      </c>
      <c r="D58" s="0" t="s">
        <v>1008</v>
      </c>
      <c r="E58" s="0" t="s">
        <v>1187</v>
      </c>
      <c r="F58" s="0" t="s">
        <v>1107</v>
      </c>
      <c r="G58" s="0" t="n">
        <v>17.5</v>
      </c>
      <c r="H58" s="0" t="n">
        <v>16.13</v>
      </c>
      <c r="I58" s="10" t="n">
        <v>0.379</v>
      </c>
      <c r="J58" s="10" t="n">
        <v>0.621</v>
      </c>
      <c r="K58" s="9" t="s">
        <v>3080</v>
      </c>
      <c r="L58" s="9" t="s">
        <v>3081</v>
      </c>
      <c r="N58" s="10" t="n">
        <v>0.6</v>
      </c>
      <c r="O58" s="19"/>
      <c r="P58" s="0" t="str">
        <f aca="false">IF(O58="","",IF(O58&gt;G58,"OVER",IF(O58&lt;G58,"UNDER","PUSH")))</f>
        <v/>
      </c>
      <c r="Q58" s="0" t="n">
        <v>16.33</v>
      </c>
      <c r="R58" s="10" t="n">
        <v>0.3971</v>
      </c>
      <c r="S58" s="0" t="n">
        <v>1.0126</v>
      </c>
      <c r="T58" s="0" t="n">
        <v>16.77</v>
      </c>
      <c r="U58" s="0" t="n">
        <v>16.98</v>
      </c>
    </row>
    <row r="59" customFormat="false" ht="15" hidden="false" customHeight="false" outlineLevel="0" collapsed="false">
      <c r="A59" s="0" t="s">
        <v>1612</v>
      </c>
      <c r="B59" s="0" t="s">
        <v>1610</v>
      </c>
      <c r="C59" s="0" t="s">
        <v>988</v>
      </c>
      <c r="D59" s="0" t="s">
        <v>1008</v>
      </c>
      <c r="E59" s="0" t="s">
        <v>1187</v>
      </c>
      <c r="F59" s="0" t="s">
        <v>1111</v>
      </c>
      <c r="G59" s="0" t="n">
        <v>30.5</v>
      </c>
      <c r="H59" s="0" t="n">
        <v>28.98</v>
      </c>
      <c r="I59" s="10" t="n">
        <v>0.4057</v>
      </c>
      <c r="J59" s="10" t="n">
        <v>0.5943</v>
      </c>
      <c r="K59" s="9" t="s">
        <v>3080</v>
      </c>
      <c r="L59" s="9" t="s">
        <v>3081</v>
      </c>
      <c r="M59" s="0" t="n">
        <v>29.18</v>
      </c>
      <c r="N59" s="10" t="n">
        <v>0.6</v>
      </c>
      <c r="O59" s="19"/>
      <c r="P59" s="0" t="str">
        <f aca="false">IF(O59="","",IF(O59&gt;G59,"OVER",IF(O59&lt;G59,"UNDER","PUSH")))</f>
        <v/>
      </c>
      <c r="Q59" s="0" t="n">
        <v>29.34</v>
      </c>
      <c r="R59" s="10" t="n">
        <v>0.4284</v>
      </c>
      <c r="S59" s="0" t="n">
        <v>1.0126</v>
      </c>
      <c r="T59" s="0" t="n">
        <v>28.72</v>
      </c>
      <c r="U59" s="0" t="n">
        <v>29.08</v>
      </c>
    </row>
    <row r="60" customFormat="false" ht="15" hidden="false" customHeight="false" outlineLevel="0" collapsed="false">
      <c r="A60" s="0" t="s">
        <v>1612</v>
      </c>
      <c r="B60" s="0" t="s">
        <v>1610</v>
      </c>
      <c r="C60" s="0" t="s">
        <v>988</v>
      </c>
      <c r="D60" s="0" t="s">
        <v>1008</v>
      </c>
      <c r="E60" s="0" t="s">
        <v>1190</v>
      </c>
      <c r="F60" s="0" t="s">
        <v>1107</v>
      </c>
      <c r="G60" s="0" t="n">
        <v>16.5</v>
      </c>
      <c r="H60" s="0" t="n">
        <v>17.44</v>
      </c>
      <c r="I60" s="10" t="n">
        <v>0.5805</v>
      </c>
      <c r="J60" s="10" t="n">
        <v>0.4195</v>
      </c>
      <c r="K60" s="9" t="s">
        <v>3080</v>
      </c>
      <c r="L60" s="9" t="s">
        <v>3081</v>
      </c>
      <c r="N60" s="10" t="n">
        <v>0.5</v>
      </c>
      <c r="O60" s="19"/>
      <c r="P60" s="0" t="str">
        <f aca="false">IF(O60="","",IF(O60&gt;G60,"OVER",IF(O60&lt;G60,"UNDER","PUSH")))</f>
        <v/>
      </c>
      <c r="Q60" s="0" t="n">
        <v>17.66</v>
      </c>
      <c r="R60" s="10" t="n">
        <v>0.5985</v>
      </c>
      <c r="S60" s="0" t="n">
        <v>1.0126</v>
      </c>
      <c r="T60" s="0" t="n">
        <v>16.36</v>
      </c>
      <c r="U60" s="0" t="n">
        <v>16.56</v>
      </c>
    </row>
    <row r="61" customFormat="false" ht="15" hidden="false" customHeight="false" outlineLevel="0" collapsed="false">
      <c r="A61" s="0" t="s">
        <v>1612</v>
      </c>
      <c r="B61" s="0" t="s">
        <v>1610</v>
      </c>
      <c r="C61" s="0" t="s">
        <v>988</v>
      </c>
      <c r="D61" s="0" t="s">
        <v>1008</v>
      </c>
      <c r="E61" s="0" t="s">
        <v>1190</v>
      </c>
      <c r="F61" s="0" t="s">
        <v>1111</v>
      </c>
      <c r="G61" s="0" t="n">
        <v>32.5</v>
      </c>
      <c r="H61" s="0" t="n">
        <v>32.18</v>
      </c>
      <c r="I61" s="10" t="n">
        <v>0.4811</v>
      </c>
      <c r="J61" s="10" t="n">
        <v>0.5189</v>
      </c>
      <c r="K61" s="9" t="s">
        <v>3080</v>
      </c>
      <c r="L61" s="9" t="s">
        <v>3081</v>
      </c>
      <c r="M61" s="0" t="n">
        <v>33</v>
      </c>
      <c r="N61" s="10" t="n">
        <v>0.4</v>
      </c>
      <c r="O61" s="19"/>
      <c r="P61" s="0" t="str">
        <f aca="false">IF(O61="","",IF(O61&gt;G61,"OVER",IF(O61&lt;G61,"UNDER","PUSH")))</f>
        <v/>
      </c>
      <c r="Q61" s="0" t="n">
        <v>32.59</v>
      </c>
      <c r="R61" s="10" t="n">
        <v>0.5053</v>
      </c>
      <c r="S61" s="0" t="n">
        <v>1.0127</v>
      </c>
      <c r="T61" s="0" t="n">
        <v>30.86</v>
      </c>
      <c r="U61" s="0" t="n">
        <v>31.25</v>
      </c>
    </row>
    <row r="62" customFormat="false" ht="15" hidden="false" customHeight="false" outlineLevel="0" collapsed="false">
      <c r="A62" s="0" t="s">
        <v>1612</v>
      </c>
      <c r="B62" s="0" t="s">
        <v>1610</v>
      </c>
      <c r="C62" s="0" t="s">
        <v>988</v>
      </c>
      <c r="D62" s="0" t="s">
        <v>1008</v>
      </c>
      <c r="E62" s="0" t="s">
        <v>1193</v>
      </c>
      <c r="F62" s="0" t="s">
        <v>1107</v>
      </c>
      <c r="G62" s="0" t="n">
        <v>17</v>
      </c>
      <c r="H62" s="0" t="n">
        <v>16.37</v>
      </c>
      <c r="I62" s="10" t="n">
        <v>0.4003</v>
      </c>
      <c r="J62" s="10" t="n">
        <v>0.5117</v>
      </c>
      <c r="K62" s="9" t="s">
        <v>3080</v>
      </c>
      <c r="L62" s="9" t="s">
        <v>3081</v>
      </c>
      <c r="N62" s="10" t="n">
        <v>0.5</v>
      </c>
      <c r="O62" s="19"/>
      <c r="P62" s="0" t="str">
        <f aca="false">IF(O62="","",IF(O62&gt;G62,"OVER",IF(O62&lt;G62,"UNDER","PUSH")))</f>
        <v/>
      </c>
      <c r="Q62" s="0" t="n">
        <v>16.57</v>
      </c>
      <c r="R62" s="10" t="n">
        <v>0.4187</v>
      </c>
      <c r="S62" s="0" t="n">
        <v>1.0126</v>
      </c>
      <c r="T62" s="0" t="n">
        <v>16.54</v>
      </c>
      <c r="U62" s="0" t="n">
        <v>16.75</v>
      </c>
    </row>
    <row r="63" customFormat="false" ht="15" hidden="false" customHeight="false" outlineLevel="0" collapsed="false">
      <c r="A63" s="0" t="s">
        <v>1612</v>
      </c>
      <c r="B63" s="0" t="s">
        <v>1610</v>
      </c>
      <c r="C63" s="0" t="s">
        <v>988</v>
      </c>
      <c r="D63" s="0" t="s">
        <v>1008</v>
      </c>
      <c r="E63" s="0" t="s">
        <v>1193</v>
      </c>
      <c r="F63" s="0" t="s">
        <v>1111</v>
      </c>
      <c r="G63" s="0" t="n">
        <v>29.5</v>
      </c>
      <c r="H63" s="0" t="n">
        <v>29.02</v>
      </c>
      <c r="I63" s="10" t="n">
        <v>0.4698</v>
      </c>
      <c r="J63" s="10" t="n">
        <v>0.5302</v>
      </c>
      <c r="K63" s="9" t="s">
        <v>3080</v>
      </c>
      <c r="L63" s="9" t="s">
        <v>3081</v>
      </c>
      <c r="M63" s="0" t="n">
        <v>28</v>
      </c>
      <c r="N63" s="10" t="n">
        <v>0.5</v>
      </c>
      <c r="O63" s="19"/>
      <c r="P63" s="0" t="str">
        <f aca="false">IF(O63="","",IF(O63&gt;G63,"OVER",IF(O63&lt;G63,"UNDER","PUSH")))</f>
        <v/>
      </c>
      <c r="Q63" s="0" t="n">
        <v>29.38</v>
      </c>
      <c r="R63" s="10" t="n">
        <v>0.4927</v>
      </c>
      <c r="S63" s="0" t="n">
        <v>1.0126</v>
      </c>
      <c r="T63" s="0" t="n">
        <v>28.72</v>
      </c>
      <c r="U63" s="0" t="n">
        <v>29.08</v>
      </c>
    </row>
    <row r="64" customFormat="false" ht="15" hidden="false" customHeight="false" outlineLevel="0" collapsed="false">
      <c r="A64" s="0" t="s">
        <v>1612</v>
      </c>
      <c r="B64" s="0" t="s">
        <v>1610</v>
      </c>
      <c r="C64" s="0" t="s">
        <v>988</v>
      </c>
      <c r="D64" s="0" t="s">
        <v>1008</v>
      </c>
      <c r="E64" s="0" t="s">
        <v>1196</v>
      </c>
      <c r="F64" s="0" t="s">
        <v>1107</v>
      </c>
      <c r="G64" s="0" t="n">
        <v>10</v>
      </c>
      <c r="H64" s="0" t="n">
        <v>8.49</v>
      </c>
      <c r="I64" s="10" t="n">
        <v>0.2572</v>
      </c>
      <c r="J64" s="10" t="n">
        <v>0.6281</v>
      </c>
      <c r="K64" s="9" t="s">
        <v>3080</v>
      </c>
      <c r="L64" s="9" t="s">
        <v>3081</v>
      </c>
      <c r="N64" s="10" t="n">
        <v>0.4</v>
      </c>
      <c r="O64" s="19"/>
      <c r="P64" s="0" t="str">
        <f aca="false">IF(O64="","",IF(O64&gt;G64,"OVER",IF(O64&lt;G64,"UNDER","PUSH")))</f>
        <v/>
      </c>
      <c r="Q64" s="0" t="n">
        <v>8.6</v>
      </c>
      <c r="R64" s="10" t="n">
        <v>0.2699</v>
      </c>
      <c r="S64" s="0" t="n">
        <v>1.0126</v>
      </c>
      <c r="T64" s="0" t="n">
        <v>9.2</v>
      </c>
      <c r="U64" s="0" t="n">
        <v>9.31</v>
      </c>
    </row>
    <row r="65" customFormat="false" ht="15" hidden="false" customHeight="false" outlineLevel="0" collapsed="false">
      <c r="A65" s="0" t="s">
        <v>1612</v>
      </c>
      <c r="B65" s="0" t="s">
        <v>1610</v>
      </c>
      <c r="C65" s="0" t="s">
        <v>988</v>
      </c>
      <c r="D65" s="0" t="s">
        <v>1008</v>
      </c>
      <c r="E65" s="0" t="s">
        <v>1196</v>
      </c>
      <c r="F65" s="0" t="s">
        <v>1111</v>
      </c>
      <c r="G65" s="0" t="n">
        <v>30.5</v>
      </c>
      <c r="H65" s="0" t="n">
        <v>29.87</v>
      </c>
      <c r="I65" s="10" t="n">
        <v>0.461</v>
      </c>
      <c r="J65" s="10" t="n">
        <v>0.539</v>
      </c>
      <c r="K65" s="9" t="s">
        <v>3080</v>
      </c>
      <c r="L65" s="9" t="s">
        <v>3081</v>
      </c>
      <c r="M65" s="0" t="n">
        <v>29.24</v>
      </c>
      <c r="N65" s="10" t="n">
        <v>0.5</v>
      </c>
      <c r="O65" s="19"/>
      <c r="P65" s="0" t="str">
        <f aca="false">IF(O65="","",IF(O65&gt;G65,"OVER",IF(O65&lt;G65,"UNDER","PUSH")))</f>
        <v/>
      </c>
      <c r="Q65" s="0" t="n">
        <v>30.24</v>
      </c>
      <c r="R65" s="10" t="n">
        <v>0.4843</v>
      </c>
      <c r="S65" s="0" t="n">
        <v>1.0126</v>
      </c>
      <c r="T65" s="0" t="n">
        <v>29.57</v>
      </c>
      <c r="U65" s="0" t="n">
        <v>29.95</v>
      </c>
    </row>
    <row r="66" customFormat="false" ht="15" hidden="false" customHeight="false" outlineLevel="0" collapsed="false">
      <c r="A66" s="0" t="s">
        <v>1612</v>
      </c>
      <c r="B66" s="0" t="s">
        <v>1610</v>
      </c>
      <c r="C66" s="0" t="s">
        <v>988</v>
      </c>
      <c r="D66" s="0" t="s">
        <v>1008</v>
      </c>
      <c r="E66" s="0" t="s">
        <v>1198</v>
      </c>
      <c r="F66" s="0" t="s">
        <v>1107</v>
      </c>
      <c r="G66" s="0" t="n">
        <v>18</v>
      </c>
      <c r="H66" s="0" t="n">
        <v>19.96</v>
      </c>
      <c r="I66" s="10" t="n">
        <v>0.615</v>
      </c>
      <c r="J66" s="10" t="n">
        <v>0.3109</v>
      </c>
      <c r="K66" s="9" t="s">
        <v>3080</v>
      </c>
      <c r="L66" s="9" t="s">
        <v>3081</v>
      </c>
      <c r="N66" s="10" t="n">
        <v>0.7</v>
      </c>
      <c r="O66" s="19"/>
      <c r="P66" s="0" t="str">
        <f aca="false">IF(O66="","",IF(O66&gt;G66,"OVER",IF(O66&lt;G66,"UNDER","PUSH")))</f>
        <v/>
      </c>
      <c r="Q66" s="0" t="n">
        <v>19.12</v>
      </c>
      <c r="R66" s="10" t="n">
        <v>0.551</v>
      </c>
      <c r="S66" s="0" t="n">
        <v>0.9584</v>
      </c>
      <c r="T66" s="0" t="n">
        <v>19.73</v>
      </c>
      <c r="U66" s="0" t="n">
        <v>18.91</v>
      </c>
    </row>
    <row r="67" customFormat="false" ht="15" hidden="false" customHeight="false" outlineLevel="0" collapsed="false">
      <c r="A67" s="0" t="s">
        <v>1612</v>
      </c>
      <c r="B67" s="0" t="s">
        <v>1610</v>
      </c>
      <c r="C67" s="0" t="s">
        <v>988</v>
      </c>
      <c r="D67" s="0" t="s">
        <v>1008</v>
      </c>
      <c r="E67" s="0" t="s">
        <v>1198</v>
      </c>
      <c r="F67" s="0" t="s">
        <v>1111</v>
      </c>
      <c r="G67" s="0" t="n">
        <v>29.5</v>
      </c>
      <c r="H67" s="0" t="n">
        <v>33.11</v>
      </c>
      <c r="I67" s="10" t="n">
        <v>0.702</v>
      </c>
      <c r="J67" s="10" t="n">
        <v>0.298</v>
      </c>
      <c r="K67" s="9" t="s">
        <v>3080</v>
      </c>
      <c r="L67" s="9" t="s">
        <v>3081</v>
      </c>
      <c r="N67" s="10" t="n">
        <v>0.6</v>
      </c>
      <c r="O67" s="19"/>
      <c r="P67" s="0" t="str">
        <f aca="false">IF(O67="","",IF(O67&gt;G67,"OVER",IF(O67&lt;G67,"UNDER","PUSH")))</f>
        <v/>
      </c>
      <c r="Q67" s="0" t="n">
        <v>31.73</v>
      </c>
      <c r="R67" s="10" t="n">
        <v>0.6312</v>
      </c>
      <c r="S67" s="0" t="n">
        <v>0.9584</v>
      </c>
      <c r="T67" s="0" t="n">
        <v>31.72</v>
      </c>
      <c r="U67" s="0" t="n">
        <v>30.4</v>
      </c>
    </row>
    <row r="68" customFormat="false" ht="15" hidden="false" customHeight="false" outlineLevel="0" collapsed="false">
      <c r="A68" s="0" t="s">
        <v>1612</v>
      </c>
      <c r="B68" s="0" t="s">
        <v>1610</v>
      </c>
      <c r="C68" s="0" t="s">
        <v>988</v>
      </c>
      <c r="D68" s="0" t="s">
        <v>1008</v>
      </c>
      <c r="E68" s="0" t="s">
        <v>1200</v>
      </c>
      <c r="F68" s="0" t="s">
        <v>1107</v>
      </c>
      <c r="G68" s="0" t="n">
        <v>9.5</v>
      </c>
      <c r="H68" s="0" t="n">
        <v>8.2</v>
      </c>
      <c r="I68" s="10" t="n">
        <v>0.334</v>
      </c>
      <c r="J68" s="10" t="n">
        <v>0.666</v>
      </c>
      <c r="K68" s="9" t="s">
        <v>3080</v>
      </c>
      <c r="L68" s="9" t="s">
        <v>3081</v>
      </c>
      <c r="N68" s="10" t="n">
        <v>0.5</v>
      </c>
      <c r="O68" s="19"/>
      <c r="P68" s="0" t="str">
        <f aca="false">IF(O68="","",IF(O68&gt;G68,"OVER",IF(O68&lt;G68,"UNDER","PUSH")))</f>
        <v/>
      </c>
      <c r="Q68" s="0" t="n">
        <v>7.86</v>
      </c>
      <c r="R68" s="10" t="n">
        <v>0.29</v>
      </c>
      <c r="S68" s="0" t="n">
        <v>0.9584</v>
      </c>
      <c r="T68" s="0" t="n">
        <v>9.26</v>
      </c>
      <c r="U68" s="0" t="n">
        <v>8.87</v>
      </c>
    </row>
    <row r="69" customFormat="false" ht="15" hidden="false" customHeight="false" outlineLevel="0" collapsed="false">
      <c r="A69" s="0" t="s">
        <v>1612</v>
      </c>
      <c r="B69" s="0" t="s">
        <v>1610</v>
      </c>
      <c r="C69" s="0" t="s">
        <v>988</v>
      </c>
      <c r="D69" s="0" t="s">
        <v>1008</v>
      </c>
      <c r="E69" s="0" t="s">
        <v>1200</v>
      </c>
      <c r="F69" s="0" t="s">
        <v>1111</v>
      </c>
      <c r="G69" s="0" t="n">
        <v>28</v>
      </c>
      <c r="H69" s="0" t="n">
        <v>28.51</v>
      </c>
      <c r="I69" s="10" t="n">
        <v>0.5009</v>
      </c>
      <c r="J69" s="10" t="n">
        <v>0.4362</v>
      </c>
      <c r="K69" s="9" t="s">
        <v>3080</v>
      </c>
      <c r="L69" s="9" t="s">
        <v>3081</v>
      </c>
      <c r="M69" s="0" t="n">
        <v>28.4</v>
      </c>
      <c r="N69" s="10" t="n">
        <v>0.7</v>
      </c>
      <c r="O69" s="19"/>
      <c r="P69" s="0" t="str">
        <f aca="false">IF(O69="","",IF(O69&gt;G69,"OVER",IF(O69&lt;G69,"UNDER","PUSH")))</f>
        <v/>
      </c>
      <c r="Q69" s="0" t="n">
        <v>27.33</v>
      </c>
      <c r="R69" s="10" t="n">
        <v>0.4249</v>
      </c>
      <c r="S69" s="0" t="n">
        <v>0.9584</v>
      </c>
      <c r="T69" s="0" t="n">
        <v>29.57</v>
      </c>
      <c r="U69" s="0" t="n">
        <v>28.34</v>
      </c>
    </row>
    <row r="70" customFormat="false" ht="15" hidden="false" customHeight="false" outlineLevel="0" collapsed="false">
      <c r="A70" s="0" t="s">
        <v>1612</v>
      </c>
      <c r="B70" s="0" t="s">
        <v>1610</v>
      </c>
      <c r="C70" s="0" t="s">
        <v>988</v>
      </c>
      <c r="D70" s="0" t="s">
        <v>1008</v>
      </c>
      <c r="E70" s="0" t="s">
        <v>1202</v>
      </c>
      <c r="F70" s="0" t="s">
        <v>1107</v>
      </c>
      <c r="G70" s="0" t="n">
        <v>14.5</v>
      </c>
      <c r="H70" s="0" t="n">
        <v>15.13</v>
      </c>
      <c r="I70" s="10" t="n">
        <v>0.5579</v>
      </c>
      <c r="J70" s="10" t="n">
        <v>0.4421</v>
      </c>
      <c r="K70" s="9" t="s">
        <v>3080</v>
      </c>
      <c r="L70" s="9" t="s">
        <v>3081</v>
      </c>
      <c r="N70" s="10" t="n">
        <v>0.9</v>
      </c>
      <c r="O70" s="19"/>
      <c r="P70" s="0" t="str">
        <f aca="false">IF(O70="","",IF(O70&gt;G70,"OVER",IF(O70&lt;G70,"UNDER","PUSH")))</f>
        <v/>
      </c>
      <c r="Q70" s="0" t="n">
        <v>14.5</v>
      </c>
      <c r="R70" s="10" t="n">
        <v>0.4996</v>
      </c>
      <c r="S70" s="0" t="n">
        <v>0.9584</v>
      </c>
      <c r="T70" s="0" t="n">
        <v>14.88</v>
      </c>
      <c r="U70" s="0" t="n">
        <v>14.26</v>
      </c>
    </row>
    <row r="71" customFormat="false" ht="15" hidden="false" customHeight="false" outlineLevel="0" collapsed="false">
      <c r="A71" s="0" t="s">
        <v>1612</v>
      </c>
      <c r="B71" s="0" t="s">
        <v>1610</v>
      </c>
      <c r="C71" s="0" t="s">
        <v>988</v>
      </c>
      <c r="D71" s="0" t="s">
        <v>1008</v>
      </c>
      <c r="E71" s="0" t="s">
        <v>1202</v>
      </c>
      <c r="F71" s="0" t="s">
        <v>1111</v>
      </c>
      <c r="G71" s="0" t="n">
        <v>26</v>
      </c>
      <c r="H71" s="0" t="n">
        <v>27.79</v>
      </c>
      <c r="I71" s="10" t="n">
        <v>0.5819</v>
      </c>
      <c r="J71" s="10" t="n">
        <v>0.3568</v>
      </c>
      <c r="K71" s="9" t="s">
        <v>3080</v>
      </c>
      <c r="L71" s="9" t="s">
        <v>3081</v>
      </c>
      <c r="M71" s="0" t="n">
        <v>26.11</v>
      </c>
      <c r="N71" s="10" t="n">
        <v>0.9</v>
      </c>
      <c r="O71" s="19"/>
      <c r="P71" s="0" t="str">
        <f aca="false">IF(O71="","",IF(O71&gt;G71,"OVER",IF(O71&lt;G71,"UNDER","PUSH")))</f>
        <v/>
      </c>
      <c r="Q71" s="0" t="n">
        <v>26.63</v>
      </c>
      <c r="R71" s="10" t="n">
        <v>0.5087</v>
      </c>
      <c r="S71" s="0" t="n">
        <v>0.9584</v>
      </c>
      <c r="T71" s="0" t="n">
        <v>28.29</v>
      </c>
      <c r="U71" s="0" t="n">
        <v>27.11</v>
      </c>
    </row>
    <row r="72" customFormat="false" ht="15" hidden="false" customHeight="false" outlineLevel="0" collapsed="false">
      <c r="A72" s="0" t="s">
        <v>1612</v>
      </c>
      <c r="B72" s="0" t="s">
        <v>1610</v>
      </c>
      <c r="C72" s="0" t="s">
        <v>988</v>
      </c>
      <c r="D72" s="0" t="s">
        <v>1008</v>
      </c>
      <c r="E72" s="0" t="s">
        <v>1204</v>
      </c>
      <c r="F72" s="0" t="s">
        <v>1107</v>
      </c>
      <c r="G72" s="0" t="n">
        <v>15.5</v>
      </c>
      <c r="H72" s="0" t="n">
        <v>17.3</v>
      </c>
      <c r="I72" s="10" t="n">
        <v>0.6524</v>
      </c>
      <c r="J72" s="10" t="n">
        <v>0.3476</v>
      </c>
      <c r="K72" s="9" t="s">
        <v>3080</v>
      </c>
      <c r="L72" s="9" t="s">
        <v>3081</v>
      </c>
      <c r="N72" s="10" t="n">
        <v>0.8</v>
      </c>
      <c r="O72" s="19"/>
      <c r="P72" s="0" t="str">
        <f aca="false">IF(O72="","",IF(O72&gt;G72,"OVER",IF(O72&lt;G72,"UNDER","PUSH")))</f>
        <v/>
      </c>
      <c r="Q72" s="0" t="n">
        <v>16.58</v>
      </c>
      <c r="R72" s="10" t="n">
        <v>0.595</v>
      </c>
      <c r="S72" s="0" t="n">
        <v>0.9585</v>
      </c>
      <c r="T72" s="0" t="n">
        <v>16.74</v>
      </c>
      <c r="U72" s="0" t="n">
        <v>16.04</v>
      </c>
    </row>
    <row r="73" customFormat="false" ht="15" hidden="false" customHeight="false" outlineLevel="0" collapsed="false">
      <c r="A73" s="0" t="s">
        <v>1612</v>
      </c>
      <c r="B73" s="0" t="s">
        <v>1610</v>
      </c>
      <c r="C73" s="0" t="s">
        <v>988</v>
      </c>
      <c r="D73" s="0" t="s">
        <v>1008</v>
      </c>
      <c r="E73" s="0" t="s">
        <v>1204</v>
      </c>
      <c r="F73" s="0" t="s">
        <v>1111</v>
      </c>
      <c r="G73" s="0" t="n">
        <v>28</v>
      </c>
      <c r="H73" s="0" t="n">
        <v>31.95</v>
      </c>
      <c r="I73" s="10" t="n">
        <v>0.697</v>
      </c>
      <c r="J73" s="10" t="n">
        <v>0.2529</v>
      </c>
      <c r="K73" s="9" t="s">
        <v>3080</v>
      </c>
      <c r="L73" s="9" t="s">
        <v>3081</v>
      </c>
      <c r="M73" s="0" t="n">
        <v>28.15</v>
      </c>
      <c r="N73" s="10" t="n">
        <v>0.9</v>
      </c>
      <c r="O73" s="19"/>
      <c r="P73" s="0" t="str">
        <f aca="false">IF(O73="","",IF(O73&gt;G73,"OVER",IF(O73&lt;G73,"UNDER","PUSH")))</f>
        <v/>
      </c>
      <c r="Q73" s="0" t="n">
        <v>30.62</v>
      </c>
      <c r="R73" s="10" t="n">
        <v>0.627</v>
      </c>
      <c r="S73" s="0" t="n">
        <v>0.9584</v>
      </c>
      <c r="T73" s="0" t="n">
        <v>31.29</v>
      </c>
      <c r="U73" s="0" t="n">
        <v>29.99</v>
      </c>
    </row>
    <row r="74" customFormat="false" ht="15" hidden="false" customHeight="false" outlineLevel="0" collapsed="false">
      <c r="A74" s="0" t="s">
        <v>1612</v>
      </c>
      <c r="B74" s="0" t="s">
        <v>1610</v>
      </c>
      <c r="C74" s="0" t="s">
        <v>988</v>
      </c>
      <c r="D74" s="0" t="s">
        <v>1008</v>
      </c>
      <c r="E74" s="0" t="s">
        <v>1206</v>
      </c>
      <c r="F74" s="0" t="s">
        <v>1107</v>
      </c>
      <c r="G74" s="0" t="n">
        <v>14.5</v>
      </c>
      <c r="H74" s="0" t="n">
        <v>17.45</v>
      </c>
      <c r="I74" s="10" t="n">
        <v>0.7384</v>
      </c>
      <c r="J74" s="10" t="n">
        <v>0.2616</v>
      </c>
      <c r="K74" s="9" t="s">
        <v>3080</v>
      </c>
      <c r="L74" s="9" t="s">
        <v>3081</v>
      </c>
      <c r="N74" s="10" t="n">
        <v>0.7</v>
      </c>
      <c r="O74" s="19"/>
      <c r="P74" s="0" t="str">
        <f aca="false">IF(O74="","",IF(O74&gt;G74,"OVER",IF(O74&lt;G74,"UNDER","PUSH")))</f>
        <v/>
      </c>
      <c r="Q74" s="0" t="n">
        <v>16.73</v>
      </c>
      <c r="R74" s="10" t="n">
        <v>0.6886</v>
      </c>
      <c r="S74" s="0" t="n">
        <v>0.9584</v>
      </c>
      <c r="T74" s="0" t="n">
        <v>17.08</v>
      </c>
      <c r="U74" s="0" t="n">
        <v>16.37</v>
      </c>
    </row>
    <row r="75" customFormat="false" ht="15" hidden="false" customHeight="false" outlineLevel="0" collapsed="false">
      <c r="A75" s="0" t="s">
        <v>1612</v>
      </c>
      <c r="B75" s="0" t="s">
        <v>1610</v>
      </c>
      <c r="C75" s="0" t="s">
        <v>988</v>
      </c>
      <c r="D75" s="0" t="s">
        <v>1008</v>
      </c>
      <c r="E75" s="0" t="s">
        <v>1206</v>
      </c>
      <c r="F75" s="0" t="s">
        <v>1111</v>
      </c>
      <c r="G75" s="0" t="n">
        <v>26.5</v>
      </c>
      <c r="H75" s="0" t="n">
        <v>30.83</v>
      </c>
      <c r="I75" s="10" t="n">
        <v>0.745</v>
      </c>
      <c r="J75" s="10" t="n">
        <v>0.255</v>
      </c>
      <c r="K75" s="9" t="s">
        <v>3080</v>
      </c>
      <c r="L75" s="9" t="s">
        <v>3081</v>
      </c>
      <c r="M75" s="0" t="n">
        <v>27.54</v>
      </c>
      <c r="N75" s="10" t="n">
        <v>0.9</v>
      </c>
      <c r="O75" s="19"/>
      <c r="P75" s="0" t="str">
        <f aca="false">IF(O75="","",IF(O75&gt;G75,"OVER",IF(O75&lt;G75,"UNDER","PUSH")))</f>
        <v/>
      </c>
      <c r="Q75" s="0" t="n">
        <v>29.55</v>
      </c>
      <c r="R75" s="10" t="n">
        <v>0.6822</v>
      </c>
      <c r="S75" s="0" t="n">
        <v>0.9584</v>
      </c>
      <c r="T75" s="0" t="n">
        <v>31.29</v>
      </c>
      <c r="U75" s="0" t="n">
        <v>29.99</v>
      </c>
    </row>
    <row r="76" customFormat="false" ht="15" hidden="false" customHeight="false" outlineLevel="0" collapsed="false">
      <c r="A76" s="0" t="s">
        <v>1612</v>
      </c>
      <c r="B76" s="0" t="s">
        <v>1610</v>
      </c>
      <c r="C76" s="0" t="s">
        <v>988</v>
      </c>
      <c r="D76" s="0" t="s">
        <v>1072</v>
      </c>
      <c r="E76" s="0" t="s">
        <v>1209</v>
      </c>
      <c r="F76" s="0" t="s">
        <v>1107</v>
      </c>
      <c r="G76" s="0" t="n">
        <v>19.5</v>
      </c>
      <c r="H76" s="0" t="n">
        <v>18.79</v>
      </c>
      <c r="I76" s="10" t="n">
        <v>0.4422</v>
      </c>
      <c r="J76" s="10" t="n">
        <v>0.5578</v>
      </c>
      <c r="K76" s="9" t="s">
        <v>3082</v>
      </c>
      <c r="L76" s="9" t="s">
        <v>3074</v>
      </c>
      <c r="N76" s="10" t="n">
        <v>0.5</v>
      </c>
      <c r="O76" s="19"/>
      <c r="P76" s="0" t="str">
        <f aca="false">IF(O76="","",IF(O76&gt;G76,"OVER",IF(O76&lt;G76,"UNDER","PUSH")))</f>
        <v/>
      </c>
      <c r="Q76" s="0" t="n">
        <v>18.45</v>
      </c>
      <c r="R76" s="10" t="n">
        <v>0.4139</v>
      </c>
      <c r="S76" s="0" t="n">
        <v>0.9819</v>
      </c>
      <c r="T76" s="0" t="n">
        <v>20.56</v>
      </c>
      <c r="U76" s="0" t="n">
        <v>20.15</v>
      </c>
    </row>
    <row r="77" customFormat="false" ht="15" hidden="false" customHeight="false" outlineLevel="0" collapsed="false">
      <c r="A77" s="0" t="s">
        <v>1612</v>
      </c>
      <c r="B77" s="0" t="s">
        <v>1610</v>
      </c>
      <c r="C77" s="0" t="s">
        <v>988</v>
      </c>
      <c r="D77" s="0" t="s">
        <v>1072</v>
      </c>
      <c r="E77" s="0" t="s">
        <v>1209</v>
      </c>
      <c r="F77" s="0" t="s">
        <v>1111</v>
      </c>
      <c r="G77" s="0" t="n">
        <v>32</v>
      </c>
      <c r="H77" s="0" t="n">
        <v>29.27</v>
      </c>
      <c r="I77" s="10" t="n">
        <v>0.3072</v>
      </c>
      <c r="J77" s="10" t="n">
        <v>0.636</v>
      </c>
      <c r="K77" s="9" t="s">
        <v>3082</v>
      </c>
      <c r="L77" s="9" t="s">
        <v>3074</v>
      </c>
      <c r="N77" s="10" t="n">
        <v>0.3</v>
      </c>
      <c r="O77" s="19"/>
      <c r="P77" s="0" t="str">
        <f aca="false">IF(O77="","",IF(O77&gt;G77,"OVER",IF(O77&lt;G77,"UNDER","PUSH")))</f>
        <v/>
      </c>
      <c r="Q77" s="0" t="n">
        <v>28.73</v>
      </c>
      <c r="R77" s="10" t="n">
        <v>0.2762</v>
      </c>
      <c r="S77" s="0" t="n">
        <v>0.9815</v>
      </c>
      <c r="T77" s="0" t="n">
        <v>31.39</v>
      </c>
      <c r="U77" s="0" t="n">
        <v>30.76</v>
      </c>
    </row>
    <row r="78" customFormat="false" ht="15" hidden="false" customHeight="false" outlineLevel="0" collapsed="false">
      <c r="A78" s="0" t="s">
        <v>1612</v>
      </c>
      <c r="B78" s="0" t="s">
        <v>1610</v>
      </c>
      <c r="C78" s="0" t="s">
        <v>988</v>
      </c>
      <c r="D78" s="0" t="s">
        <v>1072</v>
      </c>
      <c r="E78" s="0" t="s">
        <v>1211</v>
      </c>
      <c r="F78" s="0" t="s">
        <v>1107</v>
      </c>
      <c r="G78" s="0" t="n">
        <v>16</v>
      </c>
      <c r="H78" s="0" t="n">
        <v>14.61</v>
      </c>
      <c r="I78" s="10" t="n">
        <v>0.3258</v>
      </c>
      <c r="J78" s="10" t="n">
        <v>0.5843</v>
      </c>
      <c r="K78" s="9" t="s">
        <v>3082</v>
      </c>
      <c r="L78" s="9" t="s">
        <v>3074</v>
      </c>
      <c r="N78" s="10" t="n">
        <v>0.5</v>
      </c>
      <c r="O78" s="19"/>
      <c r="P78" s="0" t="str">
        <f aca="false">IF(O78="","",IF(O78&gt;G78,"OVER",IF(O78&lt;G78,"UNDER","PUSH")))</f>
        <v/>
      </c>
      <c r="Q78" s="0" t="n">
        <v>14.33</v>
      </c>
      <c r="R78" s="10" t="n">
        <v>0.3006</v>
      </c>
      <c r="S78" s="0" t="n">
        <v>0.981</v>
      </c>
      <c r="T78" s="0" t="n">
        <v>15.47</v>
      </c>
      <c r="U78" s="0" t="n">
        <v>15.16</v>
      </c>
    </row>
    <row r="79" customFormat="false" ht="15" hidden="false" customHeight="false" outlineLevel="0" collapsed="false">
      <c r="A79" s="0" t="s">
        <v>1612</v>
      </c>
      <c r="B79" s="0" t="s">
        <v>1610</v>
      </c>
      <c r="C79" s="0" t="s">
        <v>988</v>
      </c>
      <c r="D79" s="0" t="s">
        <v>1072</v>
      </c>
      <c r="E79" s="0" t="s">
        <v>1211</v>
      </c>
      <c r="F79" s="0" t="s">
        <v>1111</v>
      </c>
      <c r="G79" s="0" t="n">
        <v>29.5</v>
      </c>
      <c r="H79" s="0" t="n">
        <v>28.6</v>
      </c>
      <c r="I79" s="10" t="n">
        <v>0.4436</v>
      </c>
      <c r="J79" s="10" t="n">
        <v>0.5564</v>
      </c>
      <c r="K79" s="9" t="s">
        <v>3082</v>
      </c>
      <c r="L79" s="9" t="s">
        <v>3074</v>
      </c>
      <c r="N79" s="10" t="n">
        <v>0.2</v>
      </c>
      <c r="O79" s="19"/>
      <c r="P79" s="0" t="str">
        <f aca="false">IF(O79="","",IF(O79&gt;G79,"OVER",IF(O79&lt;G79,"UNDER","PUSH")))</f>
        <v/>
      </c>
      <c r="Q79" s="0" t="n">
        <v>28.05</v>
      </c>
      <c r="R79" s="10" t="n">
        <v>0.4085</v>
      </c>
      <c r="S79" s="0" t="n">
        <v>0.9807</v>
      </c>
      <c r="T79" s="0" t="n">
        <v>29.24</v>
      </c>
      <c r="U79" s="0" t="n">
        <v>28.66</v>
      </c>
    </row>
    <row r="80" customFormat="false" ht="15" hidden="false" customHeight="false" outlineLevel="0" collapsed="false">
      <c r="A80" s="0" t="s">
        <v>1612</v>
      </c>
      <c r="B80" s="0" t="s">
        <v>1610</v>
      </c>
      <c r="C80" s="0" t="s">
        <v>988</v>
      </c>
      <c r="D80" s="0" t="s">
        <v>1072</v>
      </c>
      <c r="E80" s="0" t="s">
        <v>1213</v>
      </c>
      <c r="F80" s="0" t="s">
        <v>1107</v>
      </c>
      <c r="G80" s="0" t="n">
        <v>17</v>
      </c>
      <c r="H80" s="0" t="n">
        <v>16.55</v>
      </c>
      <c r="I80" s="10" t="n">
        <v>0.4162</v>
      </c>
      <c r="J80" s="10" t="n">
        <v>0.4958</v>
      </c>
      <c r="K80" s="9" t="s">
        <v>3082</v>
      </c>
      <c r="L80" s="9" t="s">
        <v>3074</v>
      </c>
      <c r="N80" s="10" t="n">
        <v>0.4</v>
      </c>
      <c r="O80" s="19"/>
      <c r="P80" s="0" t="str">
        <f aca="false">IF(O80="","",IF(O80&gt;G80,"OVER",IF(O80&lt;G80,"UNDER","PUSH")))</f>
        <v/>
      </c>
      <c r="Q80" s="0" t="n">
        <v>16.24</v>
      </c>
      <c r="R80" s="10" t="n">
        <v>0.3889</v>
      </c>
      <c r="S80" s="0" t="n">
        <v>0.9815</v>
      </c>
      <c r="T80" s="0" t="n">
        <v>15.75</v>
      </c>
      <c r="U80" s="0" t="n">
        <v>15.44</v>
      </c>
    </row>
    <row r="81" customFormat="false" ht="15" hidden="false" customHeight="false" outlineLevel="0" collapsed="false">
      <c r="A81" s="0" t="s">
        <v>1612</v>
      </c>
      <c r="B81" s="0" t="s">
        <v>1610</v>
      </c>
      <c r="C81" s="0" t="s">
        <v>988</v>
      </c>
      <c r="D81" s="0" t="s">
        <v>1072</v>
      </c>
      <c r="E81" s="0" t="s">
        <v>1213</v>
      </c>
      <c r="F81" s="0" t="s">
        <v>1111</v>
      </c>
      <c r="G81" s="0" t="n">
        <v>29</v>
      </c>
      <c r="H81" s="0" t="n">
        <v>29.54</v>
      </c>
      <c r="I81" s="10" t="n">
        <v>0.5023</v>
      </c>
      <c r="J81" s="10" t="n">
        <v>0.4359</v>
      </c>
      <c r="K81" s="9" t="s">
        <v>3082</v>
      </c>
      <c r="L81" s="9" t="s">
        <v>3074</v>
      </c>
      <c r="N81" s="10" t="n">
        <v>0.4</v>
      </c>
      <c r="O81" s="19"/>
      <c r="P81" s="0" t="str">
        <f aca="false">IF(O81="","",IF(O81&gt;G81,"OVER",IF(O81&lt;G81,"UNDER","PUSH")))</f>
        <v/>
      </c>
      <c r="Q81" s="0" t="n">
        <v>28.98</v>
      </c>
      <c r="R81" s="10" t="n">
        <v>0.4674</v>
      </c>
      <c r="S81" s="0" t="n">
        <v>0.9811</v>
      </c>
      <c r="T81" s="0" t="n">
        <v>28.38</v>
      </c>
      <c r="U81" s="0" t="n">
        <v>27.81</v>
      </c>
    </row>
    <row r="82" customFormat="false" ht="15" hidden="false" customHeight="false" outlineLevel="0" collapsed="false">
      <c r="A82" s="0" t="s">
        <v>1612</v>
      </c>
      <c r="B82" s="0" t="s">
        <v>1610</v>
      </c>
      <c r="C82" s="0" t="s">
        <v>988</v>
      </c>
      <c r="D82" s="0" t="s">
        <v>1072</v>
      </c>
      <c r="E82" s="0" t="s">
        <v>1215</v>
      </c>
      <c r="F82" s="0" t="s">
        <v>1107</v>
      </c>
      <c r="G82" s="0" t="n">
        <v>12.5</v>
      </c>
      <c r="H82" s="0" t="n">
        <v>11.22</v>
      </c>
      <c r="I82" s="10" t="n">
        <v>0.3632</v>
      </c>
      <c r="J82" s="10" t="n">
        <v>0.6368</v>
      </c>
      <c r="K82" s="9" t="s">
        <v>3082</v>
      </c>
      <c r="L82" s="9" t="s">
        <v>3074</v>
      </c>
      <c r="N82" s="10" t="n">
        <v>0.3</v>
      </c>
      <c r="O82" s="19"/>
      <c r="P82" s="0" t="str">
        <f aca="false">IF(O82="","",IF(O82&gt;G82,"OVER",IF(O82&lt;G82,"UNDER","PUSH")))</f>
        <v/>
      </c>
      <c r="Q82" s="0" t="n">
        <v>10.97</v>
      </c>
      <c r="R82" s="10" t="n">
        <v>0.3363</v>
      </c>
      <c r="S82" s="0" t="n">
        <v>0.9778</v>
      </c>
      <c r="T82" s="0" t="n">
        <v>11.59</v>
      </c>
      <c r="U82" s="0" t="n">
        <v>11.36</v>
      </c>
    </row>
    <row r="83" customFormat="false" ht="15" hidden="false" customHeight="false" outlineLevel="0" collapsed="false">
      <c r="A83" s="0" t="s">
        <v>1612</v>
      </c>
      <c r="B83" s="0" t="s">
        <v>1610</v>
      </c>
      <c r="C83" s="0" t="s">
        <v>988</v>
      </c>
      <c r="D83" s="0" t="s">
        <v>1072</v>
      </c>
      <c r="E83" s="0" t="s">
        <v>1215</v>
      </c>
      <c r="F83" s="0" t="s">
        <v>1111</v>
      </c>
      <c r="G83" s="0" t="n">
        <v>25.5</v>
      </c>
      <c r="H83" s="0" t="n">
        <v>23.35</v>
      </c>
      <c r="I83" s="10" t="n">
        <v>0.3534</v>
      </c>
      <c r="J83" s="10" t="n">
        <v>0.6466</v>
      </c>
      <c r="K83" s="9" t="s">
        <v>3082</v>
      </c>
      <c r="L83" s="9" t="s">
        <v>3074</v>
      </c>
      <c r="N83" s="10" t="n">
        <v>0.6</v>
      </c>
      <c r="O83" s="19"/>
      <c r="P83" s="0" t="str">
        <f aca="false">IF(O83="","",IF(O83&gt;G83,"OVER",IF(O83&lt;G83,"UNDER","PUSH")))</f>
        <v/>
      </c>
      <c r="Q83" s="0" t="n">
        <v>22.84</v>
      </c>
      <c r="R83" s="10" t="n">
        <v>0.3188</v>
      </c>
      <c r="S83" s="0" t="n">
        <v>0.9781</v>
      </c>
      <c r="T83" s="0" t="n">
        <v>25.37</v>
      </c>
      <c r="U83" s="0" t="n">
        <v>24.86</v>
      </c>
    </row>
    <row r="84" customFormat="false" ht="15" hidden="false" customHeight="false" outlineLevel="0" collapsed="false">
      <c r="A84" s="0" t="s">
        <v>1612</v>
      </c>
      <c r="B84" s="0" t="s">
        <v>1610</v>
      </c>
      <c r="C84" s="0" t="s">
        <v>988</v>
      </c>
      <c r="D84" s="0" t="s">
        <v>1072</v>
      </c>
      <c r="E84" s="0" t="s">
        <v>1217</v>
      </c>
      <c r="F84" s="0" t="s">
        <v>1107</v>
      </c>
      <c r="G84" s="0" t="n">
        <v>10</v>
      </c>
      <c r="H84" s="0" t="n">
        <v>9.5</v>
      </c>
      <c r="I84" s="10" t="n">
        <v>0.3789</v>
      </c>
      <c r="J84" s="10" t="n">
        <v>0.5003</v>
      </c>
      <c r="K84" s="9" t="s">
        <v>3082</v>
      </c>
      <c r="L84" s="9" t="s">
        <v>3074</v>
      </c>
      <c r="N84" s="10" t="n">
        <v>0.3</v>
      </c>
      <c r="O84" s="19"/>
      <c r="P84" s="0" t="str">
        <f aca="false">IF(O84="","",IF(O84&gt;G84,"OVER",IF(O84&lt;G84,"UNDER","PUSH")))</f>
        <v/>
      </c>
      <c r="Q84" s="0" t="n">
        <v>9.3</v>
      </c>
      <c r="R84" s="10" t="n">
        <v>0.3543</v>
      </c>
      <c r="S84" s="0" t="n">
        <v>0.979</v>
      </c>
      <c r="T84" s="0" t="n">
        <v>8.97</v>
      </c>
      <c r="U84" s="0" t="n">
        <v>8.79</v>
      </c>
    </row>
    <row r="85" customFormat="false" ht="15" hidden="false" customHeight="false" outlineLevel="0" collapsed="false">
      <c r="A85" s="0" t="s">
        <v>1612</v>
      </c>
      <c r="B85" s="0" t="s">
        <v>1610</v>
      </c>
      <c r="C85" s="0" t="s">
        <v>988</v>
      </c>
      <c r="D85" s="0" t="s">
        <v>1072</v>
      </c>
      <c r="E85" s="0" t="s">
        <v>1217</v>
      </c>
      <c r="F85" s="0" t="s">
        <v>1111</v>
      </c>
      <c r="G85" s="0" t="n">
        <v>32</v>
      </c>
      <c r="H85" s="0" t="n">
        <v>33.64</v>
      </c>
      <c r="I85" s="10" t="n">
        <v>0.5658</v>
      </c>
      <c r="J85" s="10" t="n">
        <v>0.3777</v>
      </c>
      <c r="K85" s="9" t="s">
        <v>3082</v>
      </c>
      <c r="L85" s="9" t="s">
        <v>3074</v>
      </c>
      <c r="N85" s="10" t="n">
        <v>0.5</v>
      </c>
      <c r="O85" s="19"/>
      <c r="P85" s="0" t="str">
        <f aca="false">IF(O85="","",IF(O85&gt;G85,"OVER",IF(O85&lt;G85,"UNDER","PUSH")))</f>
        <v/>
      </c>
      <c r="Q85" s="0" t="n">
        <v>32.96</v>
      </c>
      <c r="R85" s="10" t="n">
        <v>0.5267</v>
      </c>
      <c r="S85" s="0" t="n">
        <v>0.9797</v>
      </c>
      <c r="T85" s="0" t="n">
        <v>31.82</v>
      </c>
      <c r="U85" s="0" t="n">
        <v>31.19</v>
      </c>
    </row>
    <row r="86" customFormat="false" ht="15" hidden="false" customHeight="false" outlineLevel="0" collapsed="false">
      <c r="A86" s="0" t="s">
        <v>1612</v>
      </c>
      <c r="B86" s="0" t="s">
        <v>1610</v>
      </c>
      <c r="C86" s="0" t="s">
        <v>988</v>
      </c>
      <c r="D86" s="0" t="s">
        <v>1072</v>
      </c>
      <c r="E86" s="0" t="s">
        <v>1219</v>
      </c>
      <c r="F86" s="0" t="s">
        <v>1107</v>
      </c>
      <c r="G86" s="0" t="n">
        <v>18</v>
      </c>
      <c r="H86" s="0" t="n">
        <v>17.31</v>
      </c>
      <c r="I86" s="10" t="n">
        <v>0.3991</v>
      </c>
      <c r="J86" s="10" t="n">
        <v>0.5163</v>
      </c>
      <c r="K86" s="9" t="s">
        <v>3082</v>
      </c>
      <c r="L86" s="9" t="s">
        <v>3074</v>
      </c>
      <c r="N86" s="10" t="n">
        <v>0.7</v>
      </c>
      <c r="O86" s="19"/>
      <c r="P86" s="0" t="str">
        <f aca="false">IF(O86="","",IF(O86&gt;G86,"OVER",IF(O86&lt;G86,"UNDER","PUSH")))</f>
        <v/>
      </c>
      <c r="Q86" s="0" t="n">
        <v>16.44</v>
      </c>
      <c r="R86" s="10" t="n">
        <v>0.3251</v>
      </c>
      <c r="S86" s="0" t="n">
        <v>0.9499</v>
      </c>
      <c r="T86" s="0" t="n">
        <v>20.02</v>
      </c>
      <c r="U86" s="0" t="n">
        <v>19.06</v>
      </c>
    </row>
    <row r="87" customFormat="false" ht="15" hidden="false" customHeight="false" outlineLevel="0" collapsed="false">
      <c r="A87" s="0" t="s">
        <v>1612</v>
      </c>
      <c r="B87" s="0" t="s">
        <v>1610</v>
      </c>
      <c r="C87" s="0" t="s">
        <v>988</v>
      </c>
      <c r="D87" s="0" t="s">
        <v>1072</v>
      </c>
      <c r="E87" s="0" t="s">
        <v>1219</v>
      </c>
      <c r="F87" s="0" t="s">
        <v>1111</v>
      </c>
      <c r="G87" s="0" t="n">
        <v>29</v>
      </c>
      <c r="H87" s="0" t="n">
        <v>27.21</v>
      </c>
      <c r="I87" s="10" t="n">
        <v>0.3551</v>
      </c>
      <c r="J87" s="10" t="n">
        <v>0.583</v>
      </c>
      <c r="K87" s="9" t="s">
        <v>3082</v>
      </c>
      <c r="L87" s="9" t="s">
        <v>3074</v>
      </c>
      <c r="N87" s="10" t="n">
        <v>0.4</v>
      </c>
      <c r="O87" s="19"/>
      <c r="P87" s="0" t="str">
        <f aca="false">IF(O87="","",IF(O87&gt;G87,"OVER",IF(O87&lt;G87,"UNDER","PUSH")))</f>
        <v/>
      </c>
      <c r="Q87" s="0" t="n">
        <v>25.87</v>
      </c>
      <c r="R87" s="10" t="n">
        <v>0.2731</v>
      </c>
      <c r="S87" s="0" t="n">
        <v>0.9508</v>
      </c>
      <c r="T87" s="0" t="n">
        <v>30.1</v>
      </c>
      <c r="U87" s="0" t="n">
        <v>28.66</v>
      </c>
    </row>
    <row r="88" customFormat="false" ht="15" hidden="false" customHeight="false" outlineLevel="0" collapsed="false">
      <c r="A88" s="0" t="s">
        <v>1612</v>
      </c>
      <c r="B88" s="0" t="s">
        <v>1610</v>
      </c>
      <c r="C88" s="0" t="s">
        <v>988</v>
      </c>
      <c r="D88" s="0" t="s">
        <v>1072</v>
      </c>
      <c r="E88" s="0" t="s">
        <v>1221</v>
      </c>
      <c r="F88" s="0" t="s">
        <v>1107</v>
      </c>
      <c r="G88" s="0" t="n">
        <v>14.5</v>
      </c>
      <c r="H88" s="0" t="n">
        <v>14.19</v>
      </c>
      <c r="I88" s="10" t="n">
        <v>0.4709</v>
      </c>
      <c r="J88" s="10" t="n">
        <v>0.5291</v>
      </c>
      <c r="K88" s="9" t="s">
        <v>3082</v>
      </c>
      <c r="L88" s="9" t="s">
        <v>3074</v>
      </c>
      <c r="N88" s="10" t="n">
        <v>0.4</v>
      </c>
      <c r="O88" s="19"/>
      <c r="P88" s="0" t="str">
        <f aca="false">IF(O88="","",IF(O88&gt;G88,"OVER",IF(O88&lt;G88,"UNDER","PUSH")))</f>
        <v/>
      </c>
      <c r="Q88" s="0" t="n">
        <v>13.51</v>
      </c>
      <c r="R88" s="10" t="n">
        <v>0.4038</v>
      </c>
      <c r="S88" s="0" t="n">
        <v>0.9515</v>
      </c>
      <c r="T88" s="0" t="n">
        <v>14.82</v>
      </c>
      <c r="U88" s="0" t="n">
        <v>14.11</v>
      </c>
    </row>
    <row r="89" customFormat="false" ht="15" hidden="false" customHeight="false" outlineLevel="0" collapsed="false">
      <c r="A89" s="0" t="s">
        <v>1612</v>
      </c>
      <c r="B89" s="0" t="s">
        <v>1610</v>
      </c>
      <c r="C89" s="0" t="s">
        <v>988</v>
      </c>
      <c r="D89" s="0" t="s">
        <v>1072</v>
      </c>
      <c r="E89" s="0" t="s">
        <v>1221</v>
      </c>
      <c r="F89" s="0" t="s">
        <v>1111</v>
      </c>
      <c r="G89" s="0" t="n">
        <v>25.5</v>
      </c>
      <c r="H89" s="0" t="n">
        <v>24.22</v>
      </c>
      <c r="I89" s="10" t="n">
        <v>0.4132</v>
      </c>
      <c r="J89" s="10" t="n">
        <v>0.5868</v>
      </c>
      <c r="K89" s="9" t="s">
        <v>3082</v>
      </c>
      <c r="L89" s="9" t="s">
        <v>3074</v>
      </c>
      <c r="N89" s="10" t="n">
        <v>0.4</v>
      </c>
      <c r="O89" s="19"/>
      <c r="P89" s="0" t="str">
        <f aca="false">IF(O89="","",IF(O89&gt;G89,"OVER",IF(O89&lt;G89,"UNDER","PUSH")))</f>
        <v/>
      </c>
      <c r="Q89" s="0" t="n">
        <v>23.05</v>
      </c>
      <c r="R89" s="10" t="n">
        <v>0.3334</v>
      </c>
      <c r="S89" s="0" t="n">
        <v>0.9517</v>
      </c>
      <c r="T89" s="0" t="n">
        <v>25.37</v>
      </c>
      <c r="U89" s="0" t="n">
        <v>24.16</v>
      </c>
    </row>
    <row r="90" customFormat="false" ht="15" hidden="false" customHeight="false" outlineLevel="0" collapsed="false">
      <c r="A90" s="0" t="s">
        <v>1612</v>
      </c>
      <c r="B90" s="0" t="s">
        <v>1610</v>
      </c>
      <c r="C90" s="0" t="s">
        <v>988</v>
      </c>
      <c r="D90" s="0" t="s">
        <v>1072</v>
      </c>
      <c r="E90" s="0" t="s">
        <v>1225</v>
      </c>
      <c r="F90" s="0" t="s">
        <v>1107</v>
      </c>
      <c r="G90" s="0" t="n">
        <v>14.5</v>
      </c>
      <c r="H90" s="0" t="n">
        <v>13.43</v>
      </c>
      <c r="I90" s="10" t="n">
        <v>0.396</v>
      </c>
      <c r="J90" s="10" t="n">
        <v>0.604</v>
      </c>
      <c r="K90" s="9" t="s">
        <v>3082</v>
      </c>
      <c r="L90" s="9" t="s">
        <v>3074</v>
      </c>
      <c r="N90" s="10" t="n">
        <v>0.4</v>
      </c>
      <c r="O90" s="19"/>
      <c r="P90" s="0" t="str">
        <f aca="false">IF(O90="","",IF(O90&gt;G90,"OVER",IF(O90&lt;G90,"UNDER","PUSH")))</f>
        <v/>
      </c>
      <c r="Q90" s="0" t="n">
        <v>12.75</v>
      </c>
      <c r="R90" s="10" t="n">
        <v>0.3283</v>
      </c>
      <c r="S90" s="0" t="n">
        <v>0.9491</v>
      </c>
      <c r="T90" s="0" t="n">
        <v>14.27</v>
      </c>
      <c r="U90" s="0" t="n">
        <v>13.59</v>
      </c>
    </row>
    <row r="91" customFormat="false" ht="15" hidden="false" customHeight="false" outlineLevel="0" collapsed="false">
      <c r="A91" s="0" t="s">
        <v>1612</v>
      </c>
      <c r="B91" s="0" t="s">
        <v>1610</v>
      </c>
      <c r="C91" s="0" t="s">
        <v>988</v>
      </c>
      <c r="D91" s="0" t="s">
        <v>1072</v>
      </c>
      <c r="E91" s="0" t="s">
        <v>1225</v>
      </c>
      <c r="F91" s="0" t="s">
        <v>1111</v>
      </c>
      <c r="G91" s="0" t="n">
        <v>26.5</v>
      </c>
      <c r="H91" s="0" t="n">
        <v>25.04</v>
      </c>
      <c r="I91" s="10" t="n">
        <v>0.4024</v>
      </c>
      <c r="J91" s="10" t="n">
        <v>0.5976</v>
      </c>
      <c r="K91" s="9" t="s">
        <v>3082</v>
      </c>
      <c r="L91" s="9" t="s">
        <v>3074</v>
      </c>
      <c r="N91" s="10" t="n">
        <v>0.4</v>
      </c>
      <c r="O91" s="19"/>
      <c r="P91" s="0" t="str">
        <f aca="false">IF(O91="","",IF(O91&gt;G91,"OVER",IF(O91&lt;G91,"UNDER","PUSH")))</f>
        <v/>
      </c>
      <c r="Q91" s="0" t="n">
        <v>23.78</v>
      </c>
      <c r="R91" s="10" t="n">
        <v>0.3188</v>
      </c>
      <c r="S91" s="0" t="n">
        <v>0.9499</v>
      </c>
      <c r="T91" s="0" t="n">
        <v>26.23</v>
      </c>
      <c r="U91" s="0" t="n">
        <v>24.98</v>
      </c>
    </row>
    <row r="92" customFormat="false" ht="15" hidden="false" customHeight="false" outlineLevel="0" collapsed="false">
      <c r="A92" s="0" t="s">
        <v>1612</v>
      </c>
      <c r="B92" s="0" t="s">
        <v>1610</v>
      </c>
      <c r="C92" s="0" t="s">
        <v>988</v>
      </c>
      <c r="D92" s="0" t="s">
        <v>1072</v>
      </c>
      <c r="E92" s="0" t="s">
        <v>1227</v>
      </c>
      <c r="F92" s="0" t="s">
        <v>1107</v>
      </c>
      <c r="G92" s="0" t="n">
        <v>20.5</v>
      </c>
      <c r="H92" s="0" t="n">
        <v>21.22</v>
      </c>
      <c r="I92" s="10" t="n">
        <v>0.5553</v>
      </c>
      <c r="J92" s="10" t="n">
        <v>0.4447</v>
      </c>
      <c r="K92" s="9" t="s">
        <v>3082</v>
      </c>
      <c r="L92" s="9" t="s">
        <v>3074</v>
      </c>
      <c r="N92" s="10" t="n">
        <v>0.6</v>
      </c>
      <c r="O92" s="19"/>
      <c r="P92" s="0" t="str">
        <f aca="false">IF(O92="","",IF(O92&gt;G92,"OVER",IF(O92&lt;G92,"UNDER","PUSH")))</f>
        <v/>
      </c>
      <c r="Q92" s="0" t="n">
        <v>20.18</v>
      </c>
      <c r="R92" s="10" t="n">
        <v>0.4745</v>
      </c>
      <c r="S92" s="0" t="n">
        <v>0.951</v>
      </c>
      <c r="T92" s="0" t="n">
        <v>22</v>
      </c>
      <c r="U92" s="0" t="n">
        <v>20.95</v>
      </c>
    </row>
    <row r="93" customFormat="false" ht="15" hidden="false" customHeight="false" outlineLevel="0" collapsed="false">
      <c r="A93" s="0" t="s">
        <v>1612</v>
      </c>
      <c r="B93" s="0" t="s">
        <v>1610</v>
      </c>
      <c r="C93" s="0" t="s">
        <v>988</v>
      </c>
      <c r="D93" s="0" t="s">
        <v>1072</v>
      </c>
      <c r="E93" s="0" t="s">
        <v>1227</v>
      </c>
      <c r="F93" s="0" t="s">
        <v>1111</v>
      </c>
      <c r="G93" s="0" t="n">
        <v>31.5</v>
      </c>
      <c r="H93" s="0" t="n">
        <v>32.85</v>
      </c>
      <c r="I93" s="10" t="n">
        <v>0.5788</v>
      </c>
      <c r="J93" s="10" t="n">
        <v>0.4212</v>
      </c>
      <c r="K93" s="9" t="s">
        <v>3082</v>
      </c>
      <c r="L93" s="9" t="s">
        <v>3074</v>
      </c>
      <c r="N93" s="10" t="n">
        <v>0.7</v>
      </c>
      <c r="O93" s="19"/>
      <c r="P93" s="0" t="str">
        <f aca="false">IF(O93="","",IF(O93&gt;G93,"OVER",IF(O93&lt;G93,"UNDER","PUSH")))</f>
        <v/>
      </c>
      <c r="Q93" s="0" t="n">
        <v>31.27</v>
      </c>
      <c r="R93" s="10" t="n">
        <v>0.4858</v>
      </c>
      <c r="S93" s="0" t="n">
        <v>0.9518</v>
      </c>
      <c r="T93" s="0" t="n">
        <v>33.54</v>
      </c>
      <c r="U93" s="0" t="n">
        <v>31.94</v>
      </c>
    </row>
    <row r="94" customFormat="false" ht="15" hidden="false" customHeight="false" outlineLevel="0" collapsed="false">
      <c r="A94" s="0" t="s">
        <v>1612</v>
      </c>
      <c r="B94" s="0" t="s">
        <v>1610</v>
      </c>
      <c r="C94" s="0" t="s">
        <v>988</v>
      </c>
      <c r="D94" s="0" t="s">
        <v>1072</v>
      </c>
      <c r="E94" s="0" t="s">
        <v>1229</v>
      </c>
      <c r="F94" s="0" t="s">
        <v>1107</v>
      </c>
      <c r="G94" s="0" t="n">
        <v>11</v>
      </c>
      <c r="H94" s="0" t="n">
        <v>12.74</v>
      </c>
      <c r="I94" s="10" t="n">
        <v>0.6257</v>
      </c>
      <c r="J94" s="10" t="n">
        <v>0.2811</v>
      </c>
      <c r="K94" s="9" t="s">
        <v>3082</v>
      </c>
      <c r="L94" s="9" t="s">
        <v>3074</v>
      </c>
      <c r="N94" s="10" t="n">
        <v>0.6</v>
      </c>
      <c r="O94" s="19"/>
      <c r="P94" s="0" t="str">
        <f aca="false">IF(O94="","",IF(O94&gt;G94,"OVER",IF(O94&lt;G94,"UNDER","PUSH")))</f>
        <v/>
      </c>
      <c r="Q94" s="0" t="n">
        <v>12.12</v>
      </c>
      <c r="R94" s="10" t="n">
        <v>0.5657</v>
      </c>
      <c r="S94" s="0" t="n">
        <v>0.9518</v>
      </c>
      <c r="T94" s="0" t="n">
        <v>11.95</v>
      </c>
      <c r="U94" s="0" t="n">
        <v>11.38</v>
      </c>
    </row>
    <row r="95" customFormat="false" ht="15" hidden="false" customHeight="false" outlineLevel="0" collapsed="false">
      <c r="A95" s="0" t="s">
        <v>1612</v>
      </c>
      <c r="B95" s="0" t="s">
        <v>1610</v>
      </c>
      <c r="C95" s="0" t="s">
        <v>988</v>
      </c>
      <c r="D95" s="0" t="s">
        <v>1072</v>
      </c>
      <c r="E95" s="0" t="s">
        <v>1229</v>
      </c>
      <c r="F95" s="0" t="s">
        <v>1111</v>
      </c>
      <c r="G95" s="0" t="n">
        <v>30.5</v>
      </c>
      <c r="H95" s="0" t="n">
        <v>30.05</v>
      </c>
      <c r="I95" s="10" t="n">
        <v>0.4725</v>
      </c>
      <c r="J95" s="10" t="n">
        <v>0.5275</v>
      </c>
      <c r="K95" s="9" t="s">
        <v>3082</v>
      </c>
      <c r="L95" s="9" t="s">
        <v>3074</v>
      </c>
      <c r="N95" s="10" t="n">
        <v>0.5</v>
      </c>
      <c r="O95" s="19"/>
      <c r="P95" s="0" t="str">
        <f aca="false">IF(O95="","",IF(O95&gt;G95,"OVER",IF(O95&lt;G95,"UNDER","PUSH")))</f>
        <v/>
      </c>
      <c r="Q95" s="0" t="n">
        <v>28.63</v>
      </c>
      <c r="R95" s="10" t="n">
        <v>0.3838</v>
      </c>
      <c r="S95" s="0" t="n">
        <v>0.9527</v>
      </c>
      <c r="T95" s="0" t="n">
        <v>30.1</v>
      </c>
      <c r="U95" s="0" t="n">
        <v>28.66</v>
      </c>
    </row>
    <row r="96" customFormat="false" ht="15" hidden="false" customHeight="false" outlineLevel="0" collapsed="false">
      <c r="A96" s="0" t="s">
        <v>1612</v>
      </c>
      <c r="B96" s="0" t="s">
        <v>1610</v>
      </c>
      <c r="C96" s="0" t="s">
        <v>988</v>
      </c>
      <c r="D96" s="0" t="s">
        <v>1060</v>
      </c>
      <c r="E96" s="0" t="s">
        <v>1231</v>
      </c>
      <c r="F96" s="0" t="s">
        <v>1107</v>
      </c>
      <c r="G96" s="0" t="n">
        <v>13</v>
      </c>
      <c r="H96" s="0" t="n">
        <v>12.32</v>
      </c>
      <c r="I96" s="10" t="n">
        <v>0.3792</v>
      </c>
      <c r="J96" s="10" t="n">
        <v>0.5191</v>
      </c>
      <c r="K96" s="9" t="s">
        <v>3078</v>
      </c>
      <c r="L96" s="9" t="s">
        <v>3081</v>
      </c>
      <c r="N96" s="10" t="n">
        <v>0.5</v>
      </c>
      <c r="O96" s="19"/>
      <c r="P96" s="0" t="str">
        <f aca="false">IF(O96="","",IF(O96&gt;G96,"OVER",IF(O96&lt;G96,"UNDER","PUSH")))</f>
        <v/>
      </c>
      <c r="Q96" s="0" t="n">
        <v>12.18</v>
      </c>
      <c r="R96" s="10" t="n">
        <v>0.3656</v>
      </c>
      <c r="S96" s="0" t="n">
        <v>0.9894</v>
      </c>
      <c r="T96" s="0" t="n">
        <v>11.87</v>
      </c>
      <c r="U96" s="0" t="n">
        <v>11.75</v>
      </c>
    </row>
    <row r="97" customFormat="false" ht="15" hidden="false" customHeight="false" outlineLevel="0" collapsed="false">
      <c r="A97" s="0" t="s">
        <v>1612</v>
      </c>
      <c r="B97" s="0" t="s">
        <v>1610</v>
      </c>
      <c r="C97" s="0" t="s">
        <v>988</v>
      </c>
      <c r="D97" s="0" t="s">
        <v>1060</v>
      </c>
      <c r="E97" s="0" t="s">
        <v>1231</v>
      </c>
      <c r="F97" s="0" t="s">
        <v>1111</v>
      </c>
      <c r="G97" s="0" t="n">
        <v>24.5</v>
      </c>
      <c r="H97" s="0" t="n">
        <v>24.37</v>
      </c>
      <c r="I97" s="10" t="n">
        <v>0.4912</v>
      </c>
      <c r="J97" s="10" t="n">
        <v>0.5088</v>
      </c>
      <c r="K97" s="9" t="s">
        <v>3078</v>
      </c>
      <c r="L97" s="9" t="s">
        <v>3081</v>
      </c>
      <c r="M97" s="0" t="n">
        <v>23.62</v>
      </c>
      <c r="N97" s="10" t="n">
        <v>0.5</v>
      </c>
      <c r="O97" s="19"/>
      <c r="P97" s="0" t="str">
        <f aca="false">IF(O97="","",IF(O97&gt;G97,"OVER",IF(O97&lt;G97,"UNDER","PUSH")))</f>
        <v/>
      </c>
      <c r="Q97" s="0" t="n">
        <v>24.12</v>
      </c>
      <c r="R97" s="10" t="n">
        <v>0.4739</v>
      </c>
      <c r="S97" s="0" t="n">
        <v>0.9897</v>
      </c>
      <c r="T97" s="0" t="n">
        <v>23.18</v>
      </c>
      <c r="U97" s="0" t="n">
        <v>22.95</v>
      </c>
    </row>
    <row r="98" customFormat="false" ht="15" hidden="false" customHeight="false" outlineLevel="0" collapsed="false">
      <c r="A98" s="0" t="s">
        <v>1612</v>
      </c>
      <c r="B98" s="0" t="s">
        <v>1610</v>
      </c>
      <c r="C98" s="0" t="s">
        <v>988</v>
      </c>
      <c r="D98" s="0" t="s">
        <v>1060</v>
      </c>
      <c r="E98" s="0" t="s">
        <v>1235</v>
      </c>
      <c r="F98" s="0" t="s">
        <v>1107</v>
      </c>
      <c r="G98" s="0" t="n">
        <v>17</v>
      </c>
      <c r="H98" s="0" t="n">
        <v>15.88</v>
      </c>
      <c r="I98" s="10" t="n">
        <v>0.3551</v>
      </c>
      <c r="J98" s="10" t="n">
        <v>0.5566</v>
      </c>
      <c r="K98" s="9" t="s">
        <v>3078</v>
      </c>
      <c r="L98" s="9" t="s">
        <v>3081</v>
      </c>
      <c r="N98" s="10" t="n">
        <v>0.4</v>
      </c>
      <c r="O98" s="19"/>
      <c r="P98" s="0" t="str">
        <f aca="false">IF(O98="","",IF(O98&gt;G98,"OVER",IF(O98&lt;G98,"UNDER","PUSH")))</f>
        <v/>
      </c>
      <c r="Q98" s="0" t="n">
        <v>15.72</v>
      </c>
      <c r="R98" s="10" t="n">
        <v>0.3414</v>
      </c>
      <c r="S98" s="0" t="n">
        <v>0.9903</v>
      </c>
      <c r="T98" s="0" t="n">
        <v>15.79</v>
      </c>
      <c r="U98" s="0" t="n">
        <v>15.63</v>
      </c>
    </row>
    <row r="99" customFormat="false" ht="15" hidden="false" customHeight="false" outlineLevel="0" collapsed="false">
      <c r="A99" s="0" t="s">
        <v>1612</v>
      </c>
      <c r="B99" s="0" t="s">
        <v>1610</v>
      </c>
      <c r="C99" s="0" t="s">
        <v>988</v>
      </c>
      <c r="D99" s="0" t="s">
        <v>1060</v>
      </c>
      <c r="E99" s="0" t="s">
        <v>1235</v>
      </c>
      <c r="F99" s="0" t="s">
        <v>1111</v>
      </c>
      <c r="G99" s="0" t="n">
        <v>33</v>
      </c>
      <c r="H99" s="0" t="n">
        <v>31.7</v>
      </c>
      <c r="I99" s="10" t="n">
        <v>0.3934</v>
      </c>
      <c r="J99" s="10" t="n">
        <v>0.5479</v>
      </c>
      <c r="K99" s="9" t="s">
        <v>3078</v>
      </c>
      <c r="L99" s="9" t="s">
        <v>3081</v>
      </c>
      <c r="M99" s="0" t="n">
        <v>31.18</v>
      </c>
      <c r="N99" s="10" t="n">
        <v>0.4</v>
      </c>
      <c r="O99" s="19"/>
      <c r="P99" s="0" t="str">
        <f aca="false">IF(O99="","",IF(O99&gt;G99,"OVER",IF(O99&lt;G99,"UNDER","PUSH")))</f>
        <v/>
      </c>
      <c r="Q99" s="0" t="n">
        <v>31.39</v>
      </c>
      <c r="R99" s="10" t="n">
        <v>0.3754</v>
      </c>
      <c r="S99" s="0" t="n">
        <v>0.9904</v>
      </c>
      <c r="T99" s="0" t="n">
        <v>31.33</v>
      </c>
      <c r="U99" s="0" t="n">
        <v>31.02</v>
      </c>
    </row>
    <row r="100" customFormat="false" ht="15" hidden="false" customHeight="false" outlineLevel="0" collapsed="false">
      <c r="A100" s="0" t="s">
        <v>1612</v>
      </c>
      <c r="B100" s="0" t="s">
        <v>1610</v>
      </c>
      <c r="C100" s="0" t="s">
        <v>988</v>
      </c>
      <c r="D100" s="0" t="s">
        <v>1060</v>
      </c>
      <c r="E100" s="0" t="s">
        <v>1238</v>
      </c>
      <c r="F100" s="0" t="s">
        <v>1107</v>
      </c>
      <c r="G100" s="0" t="n">
        <v>12</v>
      </c>
      <c r="H100" s="0" t="n">
        <v>12</v>
      </c>
      <c r="I100" s="10" t="n">
        <v>0.447</v>
      </c>
      <c r="J100" s="10" t="n">
        <v>0.446</v>
      </c>
      <c r="K100" s="9" t="s">
        <v>3078</v>
      </c>
      <c r="L100" s="9" t="s">
        <v>3081</v>
      </c>
      <c r="N100" s="10" t="n">
        <v>0.6</v>
      </c>
      <c r="O100" s="19"/>
      <c r="P100" s="0" t="str">
        <f aca="false">IF(O100="","",IF(O100&gt;G100,"OVER",IF(O100&lt;G100,"UNDER","PUSH")))</f>
        <v/>
      </c>
      <c r="Q100" s="0" t="n">
        <v>11.88</v>
      </c>
      <c r="R100" s="10" t="n">
        <v>0.4333</v>
      </c>
      <c r="S100" s="0" t="n">
        <v>0.9896</v>
      </c>
      <c r="T100" s="0" t="n">
        <v>11.75</v>
      </c>
      <c r="U100" s="0" t="n">
        <v>11.63</v>
      </c>
    </row>
    <row r="101" customFormat="false" ht="15" hidden="false" customHeight="false" outlineLevel="0" collapsed="false">
      <c r="A101" s="0" t="s">
        <v>1612</v>
      </c>
      <c r="B101" s="0" t="s">
        <v>1610</v>
      </c>
      <c r="C101" s="0" t="s">
        <v>988</v>
      </c>
      <c r="D101" s="0" t="s">
        <v>1060</v>
      </c>
      <c r="E101" s="0" t="s">
        <v>1238</v>
      </c>
      <c r="F101" s="0" t="s">
        <v>1111</v>
      </c>
      <c r="G101" s="0" t="n">
        <v>33.5</v>
      </c>
      <c r="H101" s="0" t="n">
        <v>32</v>
      </c>
      <c r="I101" s="10" t="n">
        <v>0.4111</v>
      </c>
      <c r="J101" s="10" t="n">
        <v>0.5889</v>
      </c>
      <c r="K101" s="9" t="s">
        <v>3078</v>
      </c>
      <c r="L101" s="9" t="s">
        <v>3081</v>
      </c>
      <c r="M101" s="0" t="n">
        <v>32.72</v>
      </c>
      <c r="N101" s="10" t="n">
        <v>0.4</v>
      </c>
      <c r="O101" s="19"/>
      <c r="P101" s="0" t="str">
        <f aca="false">IF(O101="","",IF(O101&gt;G101,"OVER",IF(O101&lt;G101,"UNDER","PUSH")))</f>
        <v/>
      </c>
      <c r="Q101" s="0" t="n">
        <v>31.68</v>
      </c>
      <c r="R101" s="10" t="n">
        <v>0.3923</v>
      </c>
      <c r="S101" s="0" t="n">
        <v>0.9901</v>
      </c>
      <c r="T101" s="0" t="n">
        <v>31.33</v>
      </c>
      <c r="U101" s="0" t="n">
        <v>31.02</v>
      </c>
    </row>
    <row r="102" customFormat="false" ht="15" hidden="false" customHeight="false" outlineLevel="0" collapsed="false">
      <c r="A102" s="0" t="s">
        <v>1612</v>
      </c>
      <c r="B102" s="0" t="s">
        <v>1610</v>
      </c>
      <c r="C102" s="0" t="s">
        <v>988</v>
      </c>
      <c r="D102" s="0" t="s">
        <v>1060</v>
      </c>
      <c r="E102" s="0" t="s">
        <v>1241</v>
      </c>
      <c r="F102" s="0" t="s">
        <v>1107</v>
      </c>
      <c r="G102" s="0" t="n">
        <v>18.5</v>
      </c>
      <c r="H102" s="0" t="n">
        <v>16.71</v>
      </c>
      <c r="I102" s="10" t="n">
        <v>0.346</v>
      </c>
      <c r="J102" s="10" t="n">
        <v>0.654</v>
      </c>
      <c r="K102" s="9" t="s">
        <v>3078</v>
      </c>
      <c r="L102" s="9" t="s">
        <v>3081</v>
      </c>
      <c r="N102" s="10" t="n">
        <v>0.2</v>
      </c>
      <c r="O102" s="19"/>
      <c r="P102" s="0" t="str">
        <f aca="false">IF(O102="","",IF(O102&gt;G102,"OVER",IF(O102&lt;G102,"UNDER","PUSH")))</f>
        <v/>
      </c>
      <c r="Q102" s="0" t="n">
        <v>16.55</v>
      </c>
      <c r="R102" s="10" t="n">
        <v>0.3323</v>
      </c>
      <c r="S102" s="0" t="n">
        <v>0.9905</v>
      </c>
      <c r="T102" s="0" t="n">
        <v>17.5</v>
      </c>
      <c r="U102" s="0" t="n">
        <v>17.33</v>
      </c>
    </row>
    <row r="103" customFormat="false" ht="15" hidden="false" customHeight="false" outlineLevel="0" collapsed="false">
      <c r="A103" s="0" t="s">
        <v>1612</v>
      </c>
      <c r="B103" s="0" t="s">
        <v>1610</v>
      </c>
      <c r="C103" s="0" t="s">
        <v>988</v>
      </c>
      <c r="D103" s="0" t="s">
        <v>1060</v>
      </c>
      <c r="E103" s="0" t="s">
        <v>1241</v>
      </c>
      <c r="F103" s="0" t="s">
        <v>1111</v>
      </c>
      <c r="G103" s="0" t="n">
        <v>30</v>
      </c>
      <c r="H103" s="0" t="n">
        <v>29.25</v>
      </c>
      <c r="I103" s="10" t="n">
        <v>0.4225</v>
      </c>
      <c r="J103" s="10" t="n">
        <v>0.5157</v>
      </c>
      <c r="K103" s="9" t="s">
        <v>3078</v>
      </c>
      <c r="L103" s="9" t="s">
        <v>3081</v>
      </c>
      <c r="M103" s="0" t="n">
        <v>29.96</v>
      </c>
      <c r="N103" s="10" t="n">
        <v>0.5</v>
      </c>
      <c r="O103" s="19"/>
      <c r="P103" s="0" t="str">
        <f aca="false">IF(O103="","",IF(O103&gt;G103,"OVER",IF(O103&lt;G103,"UNDER","PUSH")))</f>
        <v/>
      </c>
      <c r="Q103" s="0" t="n">
        <v>28.95</v>
      </c>
      <c r="R103" s="10" t="n">
        <v>0.4036</v>
      </c>
      <c r="S103" s="0" t="n">
        <v>0.9897</v>
      </c>
      <c r="T103" s="0" t="n">
        <v>29.61</v>
      </c>
      <c r="U103" s="0" t="n">
        <v>29.32</v>
      </c>
    </row>
    <row r="104" customFormat="false" ht="15" hidden="false" customHeight="false" outlineLevel="0" collapsed="false">
      <c r="A104" s="0" t="s">
        <v>1612</v>
      </c>
      <c r="B104" s="0" t="s">
        <v>1610</v>
      </c>
      <c r="C104" s="0" t="s">
        <v>988</v>
      </c>
      <c r="D104" s="0" t="s">
        <v>1060</v>
      </c>
      <c r="E104" s="0" t="s">
        <v>1244</v>
      </c>
      <c r="F104" s="0" t="s">
        <v>1107</v>
      </c>
      <c r="G104" s="0" t="n">
        <v>12.5</v>
      </c>
      <c r="H104" s="0" t="n">
        <v>11.43</v>
      </c>
      <c r="I104" s="10" t="n">
        <v>0.3857</v>
      </c>
      <c r="J104" s="10" t="n">
        <v>0.6143</v>
      </c>
      <c r="K104" s="9" t="s">
        <v>3078</v>
      </c>
      <c r="L104" s="9" t="s">
        <v>3081</v>
      </c>
      <c r="N104" s="10" t="n">
        <v>0.4</v>
      </c>
      <c r="O104" s="19"/>
      <c r="P104" s="0" t="str">
        <f aca="false">IF(O104="","",IF(O104&gt;G104,"OVER",IF(O104&lt;G104,"UNDER","PUSH")))</f>
        <v/>
      </c>
      <c r="Q104" s="0" t="n">
        <v>11.31</v>
      </c>
      <c r="R104" s="10" t="n">
        <v>0.373</v>
      </c>
      <c r="S104" s="0" t="n">
        <v>0.9898</v>
      </c>
      <c r="T104" s="0" t="n">
        <v>11.6</v>
      </c>
      <c r="U104" s="0" t="n">
        <v>11.49</v>
      </c>
    </row>
    <row r="105" customFormat="false" ht="15" hidden="false" customHeight="false" outlineLevel="0" collapsed="false">
      <c r="A105" s="0" t="s">
        <v>1612</v>
      </c>
      <c r="B105" s="0" t="s">
        <v>1610</v>
      </c>
      <c r="C105" s="0" t="s">
        <v>988</v>
      </c>
      <c r="D105" s="0" t="s">
        <v>1060</v>
      </c>
      <c r="E105" s="0" t="s">
        <v>1244</v>
      </c>
      <c r="F105" s="0" t="s">
        <v>1111</v>
      </c>
      <c r="G105" s="0" t="n">
        <v>25.5</v>
      </c>
      <c r="H105" s="0" t="n">
        <v>24.32</v>
      </c>
      <c r="I105" s="10" t="n">
        <v>0.4199</v>
      </c>
      <c r="J105" s="10" t="n">
        <v>0.5801</v>
      </c>
      <c r="K105" s="9" t="s">
        <v>3078</v>
      </c>
      <c r="L105" s="9" t="s">
        <v>3081</v>
      </c>
      <c r="M105" s="0" t="n">
        <v>25.89</v>
      </c>
      <c r="N105" s="10" t="n">
        <v>0.5</v>
      </c>
      <c r="O105" s="19"/>
      <c r="P105" s="0" t="str">
        <f aca="false">IF(O105="","",IF(O105&gt;G105,"OVER",IF(O105&lt;G105,"UNDER","PUSH")))</f>
        <v/>
      </c>
      <c r="Q105" s="0" t="n">
        <v>24.07</v>
      </c>
      <c r="R105" s="10" t="n">
        <v>0.4029</v>
      </c>
      <c r="S105" s="0" t="n">
        <v>0.9898</v>
      </c>
      <c r="T105" s="0" t="n">
        <v>24.89</v>
      </c>
      <c r="U105" s="0" t="n">
        <v>24.65</v>
      </c>
    </row>
    <row r="106" customFormat="false" ht="15" hidden="false" customHeight="false" outlineLevel="0" collapsed="false">
      <c r="A106" s="0" t="s">
        <v>1612</v>
      </c>
      <c r="B106" s="0" t="s">
        <v>1610</v>
      </c>
      <c r="C106" s="0" t="s">
        <v>988</v>
      </c>
      <c r="D106" s="0" t="s">
        <v>1060</v>
      </c>
      <c r="E106" s="0" t="s">
        <v>1247</v>
      </c>
      <c r="F106" s="0" t="s">
        <v>1107</v>
      </c>
      <c r="G106" s="0" t="n">
        <v>12</v>
      </c>
      <c r="H106" s="0" t="n">
        <v>11.2</v>
      </c>
      <c r="I106" s="10" t="n">
        <v>0.3617</v>
      </c>
      <c r="J106" s="10" t="n">
        <v>0.5328</v>
      </c>
      <c r="K106" s="9" t="s">
        <v>3078</v>
      </c>
      <c r="L106" s="9" t="s">
        <v>3081</v>
      </c>
      <c r="N106" s="10" t="n">
        <v>0.5</v>
      </c>
      <c r="O106" s="19"/>
      <c r="P106" s="0" t="str">
        <f aca="false">IF(O106="","",IF(O106&gt;G106,"OVER",IF(O106&lt;G106,"UNDER","PUSH")))</f>
        <v/>
      </c>
      <c r="Q106" s="0" t="n">
        <v>11.23</v>
      </c>
      <c r="R106" s="10" t="n">
        <v>0.3652</v>
      </c>
      <c r="S106" s="0" t="n">
        <v>1.0029</v>
      </c>
      <c r="T106" s="0" t="n">
        <v>11.42</v>
      </c>
      <c r="U106" s="0" t="n">
        <v>11.44</v>
      </c>
    </row>
    <row r="107" customFormat="false" ht="15" hidden="false" customHeight="false" outlineLevel="0" collapsed="false">
      <c r="A107" s="0" t="s">
        <v>1612</v>
      </c>
      <c r="B107" s="0" t="s">
        <v>1610</v>
      </c>
      <c r="C107" s="0" t="s">
        <v>988</v>
      </c>
      <c r="D107" s="0" t="s">
        <v>1060</v>
      </c>
      <c r="E107" s="0" t="s">
        <v>1247</v>
      </c>
      <c r="F107" s="0" t="s">
        <v>1111</v>
      </c>
      <c r="G107" s="0" t="n">
        <v>22</v>
      </c>
      <c r="H107" s="0" t="n">
        <v>21.19</v>
      </c>
      <c r="I107" s="10" t="n">
        <v>0.4052</v>
      </c>
      <c r="J107" s="10" t="n">
        <v>0.5225</v>
      </c>
      <c r="K107" s="9" t="s">
        <v>3078</v>
      </c>
      <c r="L107" s="9" t="s">
        <v>3081</v>
      </c>
      <c r="M107" s="0" t="n">
        <v>21</v>
      </c>
      <c r="N107" s="10" t="n">
        <v>0.4</v>
      </c>
      <c r="O107" s="19"/>
      <c r="P107" s="0" t="str">
        <f aca="false">IF(O107="","",IF(O107&gt;G107,"OVER",IF(O107&lt;G107,"UNDER","PUSH")))</f>
        <v/>
      </c>
      <c r="Q107" s="0" t="n">
        <v>21.25</v>
      </c>
      <c r="R107" s="10" t="n">
        <v>0.4091</v>
      </c>
      <c r="S107" s="0" t="n">
        <v>1.0026</v>
      </c>
      <c r="T107" s="0" t="n">
        <v>21.46</v>
      </c>
      <c r="U107" s="0" t="n">
        <v>21.51</v>
      </c>
    </row>
    <row r="108" customFormat="false" ht="15" hidden="false" customHeight="false" outlineLevel="0" collapsed="false">
      <c r="A108" s="0" t="s">
        <v>1612</v>
      </c>
      <c r="B108" s="0" t="s">
        <v>1610</v>
      </c>
      <c r="C108" s="0" t="s">
        <v>988</v>
      </c>
      <c r="D108" s="0" t="s">
        <v>1060</v>
      </c>
      <c r="E108" s="0" t="s">
        <v>1251</v>
      </c>
      <c r="F108" s="0" t="s">
        <v>1107</v>
      </c>
      <c r="G108" s="0" t="n">
        <v>17.5</v>
      </c>
      <c r="H108" s="0" t="n">
        <v>17.06</v>
      </c>
      <c r="I108" s="10" t="n">
        <v>0.4619</v>
      </c>
      <c r="J108" s="10" t="n">
        <v>0.5381</v>
      </c>
      <c r="K108" s="9" t="s">
        <v>3078</v>
      </c>
      <c r="L108" s="9" t="s">
        <v>3081</v>
      </c>
      <c r="N108" s="10" t="n">
        <v>0.5</v>
      </c>
      <c r="O108" s="19"/>
      <c r="P108" s="0" t="str">
        <f aca="false">IF(O108="","",IF(O108&gt;G108,"OVER",IF(O108&lt;G108,"UNDER","PUSH")))</f>
        <v/>
      </c>
      <c r="Q108" s="0" t="n">
        <v>17.1</v>
      </c>
      <c r="R108" s="10" t="n">
        <v>0.4656</v>
      </c>
      <c r="S108" s="0" t="n">
        <v>1.0025</v>
      </c>
      <c r="T108" s="0" t="n">
        <v>17.79</v>
      </c>
      <c r="U108" s="0" t="n">
        <v>17.83</v>
      </c>
    </row>
    <row r="109" customFormat="false" ht="15" hidden="false" customHeight="false" outlineLevel="0" collapsed="false">
      <c r="A109" s="0" t="s">
        <v>1612</v>
      </c>
      <c r="B109" s="0" t="s">
        <v>1610</v>
      </c>
      <c r="C109" s="0" t="s">
        <v>988</v>
      </c>
      <c r="D109" s="0" t="s">
        <v>1060</v>
      </c>
      <c r="E109" s="0" t="s">
        <v>1251</v>
      </c>
      <c r="F109" s="0" t="s">
        <v>1111</v>
      </c>
      <c r="G109" s="0" t="n">
        <v>29</v>
      </c>
      <c r="H109" s="0" t="n">
        <v>27.49</v>
      </c>
      <c r="I109" s="10" t="n">
        <v>0.3732</v>
      </c>
      <c r="J109" s="10" t="n">
        <v>0.5644</v>
      </c>
      <c r="K109" s="9" t="s">
        <v>3078</v>
      </c>
      <c r="L109" s="9" t="s">
        <v>3081</v>
      </c>
      <c r="M109" s="0" t="n">
        <v>29.24</v>
      </c>
      <c r="N109" s="10" t="n">
        <v>0.6</v>
      </c>
      <c r="O109" s="19"/>
      <c r="P109" s="0" t="str">
        <f aca="false">IF(O109="","",IF(O109&gt;G109,"OVER",IF(O109&lt;G109,"UNDER","PUSH")))</f>
        <v/>
      </c>
      <c r="Q109" s="0" t="n">
        <v>27.56</v>
      </c>
      <c r="R109" s="10" t="n">
        <v>0.3772</v>
      </c>
      <c r="S109" s="0" t="n">
        <v>1.0023</v>
      </c>
      <c r="T109" s="0" t="n">
        <v>28.33</v>
      </c>
      <c r="U109" s="0" t="n">
        <v>28.39</v>
      </c>
    </row>
    <row r="110" customFormat="false" ht="15" hidden="false" customHeight="false" outlineLevel="0" collapsed="false">
      <c r="A110" s="0" t="s">
        <v>1612</v>
      </c>
      <c r="B110" s="0" t="s">
        <v>1610</v>
      </c>
      <c r="C110" s="0" t="s">
        <v>988</v>
      </c>
      <c r="D110" s="0" t="s">
        <v>1060</v>
      </c>
      <c r="E110" s="0" t="s">
        <v>1253</v>
      </c>
      <c r="F110" s="0" t="s">
        <v>1107</v>
      </c>
      <c r="G110" s="0" t="n">
        <v>12.5</v>
      </c>
      <c r="H110" s="0" t="n">
        <v>13.48</v>
      </c>
      <c r="I110" s="10" t="n">
        <v>0.5966</v>
      </c>
      <c r="J110" s="10" t="n">
        <v>0.4034</v>
      </c>
      <c r="K110" s="9" t="s">
        <v>3078</v>
      </c>
      <c r="L110" s="9" t="s">
        <v>3081</v>
      </c>
      <c r="N110" s="10" t="n">
        <v>0.6</v>
      </c>
      <c r="O110" s="19"/>
      <c r="P110" s="0" t="str">
        <f aca="false">IF(O110="","",IF(O110&gt;G110,"OVER",IF(O110&lt;G110,"UNDER","PUSH")))</f>
        <v/>
      </c>
      <c r="Q110" s="0" t="n">
        <v>13.52</v>
      </c>
      <c r="R110" s="10" t="n">
        <v>0.6005</v>
      </c>
      <c r="S110" s="0" t="n">
        <v>1.0031</v>
      </c>
      <c r="T110" s="0" t="n">
        <v>13.08</v>
      </c>
      <c r="U110" s="0" t="n">
        <v>13.11</v>
      </c>
    </row>
    <row r="111" customFormat="false" ht="15" hidden="false" customHeight="false" outlineLevel="0" collapsed="false">
      <c r="A111" s="0" t="s">
        <v>1612</v>
      </c>
      <c r="B111" s="0" t="s">
        <v>1610</v>
      </c>
      <c r="C111" s="0" t="s">
        <v>988</v>
      </c>
      <c r="D111" s="0" t="s">
        <v>1060</v>
      </c>
      <c r="E111" s="0" t="s">
        <v>1253</v>
      </c>
      <c r="F111" s="0" t="s">
        <v>1111</v>
      </c>
      <c r="G111" s="0" t="n">
        <v>27.5</v>
      </c>
      <c r="H111" s="0" t="n">
        <v>28.48</v>
      </c>
      <c r="I111" s="10" t="n">
        <v>0.5618</v>
      </c>
      <c r="J111" s="10" t="n">
        <v>0.4382</v>
      </c>
      <c r="K111" s="9" t="s">
        <v>3078</v>
      </c>
      <c r="L111" s="9" t="s">
        <v>3081</v>
      </c>
      <c r="M111" s="0" t="n">
        <v>28.08</v>
      </c>
      <c r="N111" s="10" t="n">
        <v>0.7</v>
      </c>
      <c r="O111" s="19"/>
      <c r="P111" s="0" t="str">
        <f aca="false">IF(O111="","",IF(O111&gt;G111,"OVER",IF(O111&lt;G111,"UNDER","PUSH")))</f>
        <v/>
      </c>
      <c r="Q111" s="0" t="n">
        <v>28.56</v>
      </c>
      <c r="R111" s="10" t="n">
        <v>0.5665</v>
      </c>
      <c r="S111" s="0" t="n">
        <v>1.0027</v>
      </c>
      <c r="T111" s="0" t="n">
        <v>27.9</v>
      </c>
      <c r="U111" s="0" t="n">
        <v>27.96</v>
      </c>
    </row>
    <row r="112" customFormat="false" ht="15" hidden="false" customHeight="false" outlineLevel="0" collapsed="false">
      <c r="A112" s="0" t="s">
        <v>1612</v>
      </c>
      <c r="B112" s="0" t="s">
        <v>1610</v>
      </c>
      <c r="C112" s="0" t="s">
        <v>988</v>
      </c>
      <c r="D112" s="0" t="s">
        <v>1060</v>
      </c>
      <c r="E112" s="0" t="s">
        <v>1256</v>
      </c>
      <c r="F112" s="0" t="s">
        <v>1107</v>
      </c>
      <c r="G112" s="0" t="n">
        <v>16</v>
      </c>
      <c r="H112" s="0" t="n">
        <v>14.65</v>
      </c>
      <c r="I112" s="10" t="n">
        <v>0.3306</v>
      </c>
      <c r="J112" s="10" t="n">
        <v>0.5798</v>
      </c>
      <c r="K112" s="9" t="s">
        <v>3078</v>
      </c>
      <c r="L112" s="9" t="s">
        <v>3081</v>
      </c>
      <c r="N112" s="10" t="n">
        <v>0.4</v>
      </c>
      <c r="O112" s="19"/>
      <c r="P112" s="0" t="str">
        <f aca="false">IF(O112="","",IF(O112&gt;G112,"OVER",IF(O112&lt;G112,"UNDER","PUSH")))</f>
        <v/>
      </c>
      <c r="Q112" s="0" t="n">
        <v>14.67</v>
      </c>
      <c r="R112" s="10" t="n">
        <v>0.3321</v>
      </c>
      <c r="S112" s="0" t="n">
        <v>1.0011</v>
      </c>
      <c r="T112" s="0" t="n">
        <v>15.41</v>
      </c>
      <c r="U112" s="0" t="n">
        <v>15.45</v>
      </c>
    </row>
    <row r="113" customFormat="false" ht="15" hidden="false" customHeight="false" outlineLevel="0" collapsed="false">
      <c r="A113" s="0" t="s">
        <v>1612</v>
      </c>
      <c r="B113" s="0" t="s">
        <v>1610</v>
      </c>
      <c r="C113" s="0" t="s">
        <v>988</v>
      </c>
      <c r="D113" s="0" t="s">
        <v>1060</v>
      </c>
      <c r="E113" s="0" t="s">
        <v>1256</v>
      </c>
      <c r="F113" s="0" t="s">
        <v>1111</v>
      </c>
      <c r="G113" s="0" t="n">
        <v>29</v>
      </c>
      <c r="H113" s="0" t="n">
        <v>27.17</v>
      </c>
      <c r="I113" s="10" t="n">
        <v>0.3526</v>
      </c>
      <c r="J113" s="10" t="n">
        <v>0.5855</v>
      </c>
      <c r="K113" s="9" t="s">
        <v>3078</v>
      </c>
      <c r="L113" s="9" t="s">
        <v>3081</v>
      </c>
      <c r="M113" s="0" t="n">
        <v>29.18</v>
      </c>
      <c r="N113" s="10" t="n">
        <v>0.7</v>
      </c>
      <c r="O113" s="19"/>
      <c r="P113" s="0" t="str">
        <f aca="false">IF(O113="","",IF(O113&gt;G113,"OVER",IF(O113&lt;G113,"UNDER","PUSH")))</f>
        <v/>
      </c>
      <c r="Q113" s="0" t="n">
        <v>27.19</v>
      </c>
      <c r="R113" s="10" t="n">
        <v>0.3543</v>
      </c>
      <c r="S113" s="0" t="n">
        <v>1.001</v>
      </c>
      <c r="T113" s="0" t="n">
        <v>28.76</v>
      </c>
      <c r="U113" s="0" t="n">
        <v>28.82</v>
      </c>
    </row>
    <row r="114" customFormat="false" ht="15" hidden="false" customHeight="false" outlineLevel="0" collapsed="false">
      <c r="A114" s="0" t="s">
        <v>1612</v>
      </c>
      <c r="B114" s="0" t="s">
        <v>1610</v>
      </c>
      <c r="C114" s="0" t="s">
        <v>988</v>
      </c>
      <c r="D114" s="0" t="s">
        <v>1060</v>
      </c>
      <c r="E114" s="0" t="s">
        <v>1258</v>
      </c>
      <c r="F114" s="0" t="s">
        <v>1107</v>
      </c>
      <c r="G114" s="0" t="n">
        <v>12.5</v>
      </c>
      <c r="H114" s="0" t="n">
        <v>12.4</v>
      </c>
      <c r="I114" s="10" t="n">
        <v>0.4899</v>
      </c>
      <c r="J114" s="10" t="n">
        <v>0.5101</v>
      </c>
      <c r="K114" s="9" t="s">
        <v>3078</v>
      </c>
      <c r="L114" s="9" t="s">
        <v>3081</v>
      </c>
      <c r="N114" s="10" t="n">
        <v>0.6</v>
      </c>
      <c r="O114" s="19"/>
      <c r="P114" s="0" t="str">
        <f aca="false">IF(O114="","",IF(O114&gt;G114,"OVER",IF(O114&lt;G114,"UNDER","PUSH")))</f>
        <v/>
      </c>
      <c r="Q114" s="0" t="n">
        <v>12.44</v>
      </c>
      <c r="R114" s="10" t="n">
        <v>0.4937</v>
      </c>
      <c r="S114" s="0" t="n">
        <v>1.0028</v>
      </c>
      <c r="T114" s="0" t="n">
        <v>12.7</v>
      </c>
      <c r="U114" s="0" t="n">
        <v>12.73</v>
      </c>
    </row>
    <row r="115" customFormat="false" ht="15" hidden="false" customHeight="false" outlineLevel="0" collapsed="false">
      <c r="A115" s="0" t="s">
        <v>1612</v>
      </c>
      <c r="B115" s="0" t="s">
        <v>1610</v>
      </c>
      <c r="C115" s="0" t="s">
        <v>988</v>
      </c>
      <c r="D115" s="0" t="s">
        <v>1060</v>
      </c>
      <c r="E115" s="0" t="s">
        <v>1258</v>
      </c>
      <c r="F115" s="0" t="s">
        <v>1111</v>
      </c>
      <c r="G115" s="0" t="n">
        <v>32.5</v>
      </c>
      <c r="H115" s="0" t="n">
        <v>30.36</v>
      </c>
      <c r="I115" s="10" t="n">
        <v>0.3717</v>
      </c>
      <c r="J115" s="10" t="n">
        <v>0.6283</v>
      </c>
      <c r="K115" s="9" t="s">
        <v>3078</v>
      </c>
      <c r="L115" s="9" t="s">
        <v>3081</v>
      </c>
      <c r="M115" s="0" t="n">
        <v>32.82</v>
      </c>
      <c r="N115" s="10" t="n">
        <v>0.6</v>
      </c>
      <c r="O115" s="19"/>
      <c r="P115" s="0" t="str">
        <f aca="false">IF(O115="","",IF(O115&gt;G115,"OVER",IF(O115&lt;G115,"UNDER","PUSH")))</f>
        <v/>
      </c>
      <c r="Q115" s="0" t="n">
        <v>30.44</v>
      </c>
      <c r="R115" s="10" t="n">
        <v>0.3759</v>
      </c>
      <c r="S115" s="0" t="n">
        <v>1.0023</v>
      </c>
      <c r="T115" s="0" t="n">
        <v>31.76</v>
      </c>
      <c r="U115" s="0" t="n">
        <v>31.83</v>
      </c>
    </row>
    <row r="116" customFormat="false" ht="15" hidden="false" customHeight="false" outlineLevel="0" collapsed="false">
      <c r="A116" s="0" t="s">
        <v>1612</v>
      </c>
      <c r="B116" s="0" t="s">
        <v>1610</v>
      </c>
      <c r="C116" s="0" t="s">
        <v>988</v>
      </c>
      <c r="D116" s="0" t="s">
        <v>905</v>
      </c>
      <c r="E116" s="0" t="s">
        <v>1260</v>
      </c>
      <c r="F116" s="0" t="s">
        <v>1107</v>
      </c>
      <c r="G116" s="0" t="n">
        <v>21.5</v>
      </c>
      <c r="H116" s="0" t="n">
        <v>20.51</v>
      </c>
      <c r="I116" s="10" t="n">
        <v>0.4229</v>
      </c>
      <c r="J116" s="10" t="n">
        <v>0.5771</v>
      </c>
      <c r="K116" s="9" t="s">
        <v>3083</v>
      </c>
      <c r="L116" s="9" t="s">
        <v>3084</v>
      </c>
      <c r="N116" s="10" t="n">
        <v>0.4</v>
      </c>
      <c r="O116" s="19"/>
      <c r="P116" s="0" t="str">
        <f aca="false">IF(O116="","",IF(O116&gt;G116,"OVER",IF(O116&lt;G116,"UNDER","PUSH")))</f>
        <v/>
      </c>
      <c r="Q116" s="0" t="n">
        <v>20.56</v>
      </c>
      <c r="R116" s="10" t="n">
        <v>0.4268</v>
      </c>
      <c r="S116" s="0" t="n">
        <v>1.0025</v>
      </c>
      <c r="T116" s="0" t="n">
        <v>20.28</v>
      </c>
      <c r="U116" s="0" t="n">
        <v>20.33</v>
      </c>
    </row>
    <row r="117" customFormat="false" ht="15" hidden="false" customHeight="false" outlineLevel="0" collapsed="false">
      <c r="A117" s="0" t="s">
        <v>1612</v>
      </c>
      <c r="B117" s="0" t="s">
        <v>1610</v>
      </c>
      <c r="C117" s="0" t="s">
        <v>988</v>
      </c>
      <c r="D117" s="0" t="s">
        <v>905</v>
      </c>
      <c r="E117" s="0" t="s">
        <v>1260</v>
      </c>
      <c r="F117" s="0" t="s">
        <v>1111</v>
      </c>
      <c r="G117" s="0" t="n">
        <v>32</v>
      </c>
      <c r="H117" s="0" t="n">
        <v>30.67</v>
      </c>
      <c r="I117" s="10" t="n">
        <v>0.39</v>
      </c>
      <c r="J117" s="10" t="n">
        <v>0.5504</v>
      </c>
      <c r="K117" s="9" t="s">
        <v>3083</v>
      </c>
      <c r="L117" s="9" t="s">
        <v>3084</v>
      </c>
      <c r="M117" s="0" t="n">
        <v>31.18</v>
      </c>
      <c r="N117" s="10" t="n">
        <v>0.5</v>
      </c>
      <c r="O117" s="19"/>
      <c r="P117" s="0" t="str">
        <f aca="false">IF(O117="","",IF(O117&gt;G117,"OVER",IF(O117&lt;G117,"UNDER","PUSH")))</f>
        <v/>
      </c>
      <c r="Q117" s="0" t="n">
        <v>30.73</v>
      </c>
      <c r="R117" s="10" t="n">
        <v>0.3939</v>
      </c>
      <c r="S117" s="0" t="n">
        <v>1.0021</v>
      </c>
      <c r="T117" s="0" t="n">
        <v>30.27</v>
      </c>
      <c r="U117" s="0" t="n">
        <v>30.35</v>
      </c>
    </row>
    <row r="118" customFormat="false" ht="15" hidden="false" customHeight="false" outlineLevel="0" collapsed="false">
      <c r="A118" s="0" t="s">
        <v>1612</v>
      </c>
      <c r="B118" s="0" t="s">
        <v>1610</v>
      </c>
      <c r="C118" s="0" t="s">
        <v>988</v>
      </c>
      <c r="D118" s="0" t="s">
        <v>905</v>
      </c>
      <c r="E118" s="0" t="s">
        <v>1262</v>
      </c>
      <c r="F118" s="0" t="s">
        <v>1107</v>
      </c>
      <c r="G118" s="0" t="n">
        <v>16</v>
      </c>
      <c r="H118" s="0" t="n">
        <v>16.25</v>
      </c>
      <c r="I118" s="10" t="n">
        <v>0.4782</v>
      </c>
      <c r="J118" s="10" t="n">
        <v>0.4334</v>
      </c>
      <c r="K118" s="9" t="s">
        <v>3083</v>
      </c>
      <c r="L118" s="9" t="s">
        <v>3084</v>
      </c>
      <c r="N118" s="10" t="n">
        <v>0.3</v>
      </c>
      <c r="O118" s="19"/>
      <c r="P118" s="0" t="str">
        <f aca="false">IF(O118="","",IF(O118&gt;G118,"OVER",IF(O118&lt;G118,"UNDER","PUSH")))</f>
        <v/>
      </c>
      <c r="Q118" s="0" t="n">
        <v>16.3</v>
      </c>
      <c r="R118" s="10" t="n">
        <v>0.4826</v>
      </c>
      <c r="S118" s="0" t="n">
        <v>1.003</v>
      </c>
      <c r="T118" s="0" t="n">
        <v>16.16</v>
      </c>
      <c r="U118" s="0" t="n">
        <v>16.2</v>
      </c>
    </row>
    <row r="119" customFormat="false" ht="15" hidden="false" customHeight="false" outlineLevel="0" collapsed="false">
      <c r="A119" s="0" t="s">
        <v>1612</v>
      </c>
      <c r="B119" s="0" t="s">
        <v>1610</v>
      </c>
      <c r="C119" s="0" t="s">
        <v>988</v>
      </c>
      <c r="D119" s="0" t="s">
        <v>905</v>
      </c>
      <c r="E119" s="0" t="s">
        <v>1262</v>
      </c>
      <c r="F119" s="0" t="s">
        <v>1111</v>
      </c>
      <c r="G119" s="0" t="n">
        <v>27.5</v>
      </c>
      <c r="H119" s="0" t="n">
        <v>26.48</v>
      </c>
      <c r="I119" s="10" t="n">
        <v>0.4338</v>
      </c>
      <c r="J119" s="10" t="n">
        <v>0.5662</v>
      </c>
      <c r="K119" s="9" t="s">
        <v>3083</v>
      </c>
      <c r="L119" s="9" t="s">
        <v>3084</v>
      </c>
      <c r="M119" s="0" t="n">
        <v>28.11</v>
      </c>
      <c r="N119" s="10" t="n">
        <v>0.4</v>
      </c>
      <c r="O119" s="19"/>
      <c r="P119" s="0" t="str">
        <f aca="false">IF(O119="","",IF(O119&gt;G119,"OVER",IF(O119&lt;G119,"UNDER","PUSH")))</f>
        <v/>
      </c>
      <c r="Q119" s="0" t="n">
        <v>26.58</v>
      </c>
      <c r="R119" s="10" t="n">
        <v>0.4404</v>
      </c>
      <c r="S119" s="0" t="n">
        <v>1.0038</v>
      </c>
      <c r="T119" s="0" t="n">
        <v>27.72</v>
      </c>
      <c r="U119" s="0" t="n">
        <v>27.78</v>
      </c>
    </row>
    <row r="120" customFormat="false" ht="15" hidden="false" customHeight="false" outlineLevel="0" collapsed="false">
      <c r="A120" s="0" t="s">
        <v>1612</v>
      </c>
      <c r="B120" s="0" t="s">
        <v>1610</v>
      </c>
      <c r="C120" s="0" t="s">
        <v>988</v>
      </c>
      <c r="D120" s="0" t="s">
        <v>905</v>
      </c>
      <c r="E120" s="0" t="s">
        <v>1264</v>
      </c>
      <c r="F120" s="0" t="s">
        <v>1107</v>
      </c>
      <c r="G120" s="0" t="n">
        <v>17</v>
      </c>
      <c r="H120" s="0" t="n">
        <v>16.28</v>
      </c>
      <c r="I120" s="10" t="n">
        <v>0.3916</v>
      </c>
      <c r="J120" s="10" t="n">
        <v>0.52</v>
      </c>
      <c r="K120" s="9" t="s">
        <v>3083</v>
      </c>
      <c r="L120" s="9" t="s">
        <v>3084</v>
      </c>
      <c r="N120" s="10" t="n">
        <v>0.7</v>
      </c>
      <c r="O120" s="19"/>
      <c r="P120" s="0" t="str">
        <f aca="false">IF(O120="","",IF(O120&gt;G120,"OVER",IF(O120&lt;G120,"UNDER","PUSH")))</f>
        <v/>
      </c>
      <c r="Q120" s="0" t="n">
        <v>16.33</v>
      </c>
      <c r="R120" s="10" t="n">
        <v>0.3965</v>
      </c>
      <c r="S120" s="0" t="n">
        <v>1.0034</v>
      </c>
      <c r="T120" s="0" t="n">
        <v>16.65</v>
      </c>
      <c r="U120" s="0" t="n">
        <v>16.69</v>
      </c>
    </row>
    <row r="121" customFormat="false" ht="15" hidden="false" customHeight="false" outlineLevel="0" collapsed="false">
      <c r="A121" s="0" t="s">
        <v>1612</v>
      </c>
      <c r="B121" s="0" t="s">
        <v>1610</v>
      </c>
      <c r="C121" s="0" t="s">
        <v>988</v>
      </c>
      <c r="D121" s="0" t="s">
        <v>905</v>
      </c>
      <c r="E121" s="0" t="s">
        <v>1264</v>
      </c>
      <c r="F121" s="0" t="s">
        <v>1111</v>
      </c>
      <c r="G121" s="0" t="n">
        <v>31</v>
      </c>
      <c r="H121" s="0" t="n">
        <v>30.48</v>
      </c>
      <c r="I121" s="10" t="n">
        <v>0.4378</v>
      </c>
      <c r="J121" s="10" t="n">
        <v>0.5014</v>
      </c>
      <c r="K121" s="9" t="s">
        <v>3083</v>
      </c>
      <c r="L121" s="9" t="s">
        <v>3084</v>
      </c>
      <c r="M121" s="0" t="n">
        <v>31.18</v>
      </c>
      <c r="N121" s="10" t="n">
        <v>0.6</v>
      </c>
      <c r="O121" s="19"/>
      <c r="P121" s="0" t="str">
        <f aca="false">IF(O121="","",IF(O121&gt;G121,"OVER",IF(O121&lt;G121,"UNDER","PUSH")))</f>
        <v/>
      </c>
      <c r="Q121" s="0" t="n">
        <v>30.58</v>
      </c>
      <c r="R121" s="10" t="n">
        <v>0.4441</v>
      </c>
      <c r="S121" s="0" t="n">
        <v>1.0033</v>
      </c>
      <c r="T121" s="0" t="n">
        <v>31.13</v>
      </c>
      <c r="U121" s="0" t="n">
        <v>31.2</v>
      </c>
    </row>
    <row r="122" customFormat="false" ht="15" hidden="false" customHeight="false" outlineLevel="0" collapsed="false">
      <c r="A122" s="0" t="s">
        <v>1612</v>
      </c>
      <c r="B122" s="0" t="s">
        <v>1610</v>
      </c>
      <c r="C122" s="0" t="s">
        <v>988</v>
      </c>
      <c r="D122" s="0" t="s">
        <v>905</v>
      </c>
      <c r="E122" s="0" t="s">
        <v>1266</v>
      </c>
      <c r="F122" s="0" t="s">
        <v>1107</v>
      </c>
      <c r="G122" s="0" t="n">
        <v>10.5</v>
      </c>
      <c r="H122" s="0" t="n">
        <v>9.73</v>
      </c>
      <c r="I122" s="10" t="n">
        <v>0.408</v>
      </c>
      <c r="J122" s="10" t="n">
        <v>0.592</v>
      </c>
      <c r="K122" s="9" t="s">
        <v>3083</v>
      </c>
      <c r="L122" s="9" t="s">
        <v>3084</v>
      </c>
      <c r="N122" s="10" t="n">
        <v>0.4</v>
      </c>
      <c r="O122" s="19"/>
      <c r="P122" s="0" t="str">
        <f aca="false">IF(O122="","",IF(O122&gt;G122,"OVER",IF(O122&lt;G122,"UNDER","PUSH")))</f>
        <v/>
      </c>
      <c r="Q122" s="0" t="n">
        <v>9.74</v>
      </c>
      <c r="R122" s="10" t="n">
        <v>0.4094</v>
      </c>
      <c r="S122" s="0" t="n">
        <v>1.0012</v>
      </c>
      <c r="T122" s="0" t="n">
        <v>10.06</v>
      </c>
      <c r="U122" s="0" t="n">
        <v>10.08</v>
      </c>
    </row>
    <row r="123" customFormat="false" ht="15" hidden="false" customHeight="false" outlineLevel="0" collapsed="false">
      <c r="A123" s="0" t="s">
        <v>1612</v>
      </c>
      <c r="B123" s="0" t="s">
        <v>1610</v>
      </c>
      <c r="C123" s="0" t="s">
        <v>988</v>
      </c>
      <c r="D123" s="0" t="s">
        <v>905</v>
      </c>
      <c r="E123" s="0" t="s">
        <v>1266</v>
      </c>
      <c r="F123" s="0" t="s">
        <v>1111</v>
      </c>
      <c r="G123" s="0" t="n">
        <v>29.5</v>
      </c>
      <c r="H123" s="0" t="n">
        <v>29.19</v>
      </c>
      <c r="I123" s="10" t="n">
        <v>0.4804</v>
      </c>
      <c r="J123" s="10" t="n">
        <v>0.5196</v>
      </c>
      <c r="K123" s="9" t="s">
        <v>3083</v>
      </c>
      <c r="L123" s="9" t="s">
        <v>3084</v>
      </c>
      <c r="M123" s="0" t="n">
        <v>29.18</v>
      </c>
      <c r="N123" s="10" t="n">
        <v>0.5</v>
      </c>
      <c r="O123" s="19"/>
      <c r="P123" s="0" t="str">
        <f aca="false">IF(O123="","",IF(O123&gt;G123,"OVER",IF(O123&lt;G123,"UNDER","PUSH")))</f>
        <v/>
      </c>
      <c r="Q123" s="0" t="n">
        <v>29.25</v>
      </c>
      <c r="R123" s="10" t="n">
        <v>0.4843</v>
      </c>
      <c r="S123" s="0" t="n">
        <v>1.0021</v>
      </c>
      <c r="T123" s="0" t="n">
        <v>28.57</v>
      </c>
      <c r="U123" s="0" t="n">
        <v>28.64</v>
      </c>
    </row>
    <row r="124" customFormat="false" ht="15" hidden="false" customHeight="false" outlineLevel="0" collapsed="false">
      <c r="A124" s="0" t="s">
        <v>1612</v>
      </c>
      <c r="B124" s="0" t="s">
        <v>1610</v>
      </c>
      <c r="C124" s="0" t="s">
        <v>988</v>
      </c>
      <c r="D124" s="0" t="s">
        <v>905</v>
      </c>
      <c r="E124" s="0" t="s">
        <v>1269</v>
      </c>
      <c r="F124" s="0" t="s">
        <v>1107</v>
      </c>
      <c r="G124" s="0" t="n">
        <v>16</v>
      </c>
      <c r="H124" s="0" t="n">
        <v>14.66</v>
      </c>
      <c r="I124" s="10" t="n">
        <v>0.3315</v>
      </c>
      <c r="J124" s="10" t="n">
        <v>0.5788</v>
      </c>
      <c r="K124" s="9" t="s">
        <v>3083</v>
      </c>
      <c r="L124" s="9" t="s">
        <v>3084</v>
      </c>
      <c r="N124" s="10" t="n">
        <v>0.6</v>
      </c>
      <c r="O124" s="19"/>
      <c r="P124" s="0" t="str">
        <f aca="false">IF(O124="","",IF(O124&gt;G124,"OVER",IF(O124&lt;G124,"UNDER","PUSH")))</f>
        <v/>
      </c>
      <c r="Q124" s="0" t="n">
        <v>14.68</v>
      </c>
      <c r="R124" s="10" t="n">
        <v>0.3332</v>
      </c>
      <c r="S124" s="0" t="n">
        <v>1.0013</v>
      </c>
      <c r="T124" s="0" t="n">
        <v>15.49</v>
      </c>
      <c r="U124" s="0" t="n">
        <v>15.53</v>
      </c>
    </row>
    <row r="125" customFormat="false" ht="15" hidden="false" customHeight="false" outlineLevel="0" collapsed="false">
      <c r="A125" s="0" t="s">
        <v>1612</v>
      </c>
      <c r="B125" s="0" t="s">
        <v>1610</v>
      </c>
      <c r="C125" s="0" t="s">
        <v>988</v>
      </c>
      <c r="D125" s="0" t="s">
        <v>905</v>
      </c>
      <c r="E125" s="0" t="s">
        <v>1269</v>
      </c>
      <c r="F125" s="0" t="s">
        <v>1111</v>
      </c>
      <c r="G125" s="0" t="n">
        <v>29</v>
      </c>
      <c r="H125" s="0" t="n">
        <v>27.24</v>
      </c>
      <c r="I125" s="10" t="n">
        <v>0.3572</v>
      </c>
      <c r="J125" s="10" t="n">
        <v>0.5808</v>
      </c>
      <c r="K125" s="9" t="s">
        <v>3083</v>
      </c>
      <c r="L125" s="9" t="s">
        <v>3084</v>
      </c>
      <c r="M125" s="0" t="n">
        <v>28.9</v>
      </c>
      <c r="N125" s="10" t="n">
        <v>0.6</v>
      </c>
      <c r="O125" s="19"/>
      <c r="P125" s="0" t="str">
        <f aca="false">IF(O125="","",IF(O125&gt;G125,"OVER",IF(O125&lt;G125,"UNDER","PUSH")))</f>
        <v/>
      </c>
      <c r="Q125" s="0" t="n">
        <v>27.29</v>
      </c>
      <c r="R125" s="10" t="n">
        <v>0.3602</v>
      </c>
      <c r="S125" s="0" t="n">
        <v>1.0017</v>
      </c>
      <c r="T125" s="0" t="n">
        <v>27.72</v>
      </c>
      <c r="U125" s="0" t="n">
        <v>27.78</v>
      </c>
    </row>
    <row r="126" customFormat="false" ht="15" hidden="false" customHeight="false" outlineLevel="0" collapsed="false">
      <c r="A126" s="0" t="s">
        <v>1612</v>
      </c>
      <c r="B126" s="0" t="s">
        <v>1610</v>
      </c>
      <c r="C126" s="0" t="s">
        <v>988</v>
      </c>
      <c r="D126" s="0" t="s">
        <v>905</v>
      </c>
      <c r="E126" s="0" t="s">
        <v>1271</v>
      </c>
      <c r="F126" s="0" t="s">
        <v>1107</v>
      </c>
      <c r="G126" s="0" t="n">
        <v>18</v>
      </c>
      <c r="H126" s="0" t="n">
        <v>19.41</v>
      </c>
      <c r="I126" s="10" t="n">
        <v>0.5738</v>
      </c>
      <c r="J126" s="10" t="n">
        <v>0.3479</v>
      </c>
      <c r="K126" s="9" t="s">
        <v>3083</v>
      </c>
      <c r="L126" s="9" t="s">
        <v>3084</v>
      </c>
      <c r="N126" s="10" t="n">
        <v>0.5</v>
      </c>
      <c r="O126" s="19"/>
      <c r="P126" s="0" t="str">
        <f aca="false">IF(O126="","",IF(O126&gt;G126,"OVER",IF(O126&lt;G126,"UNDER","PUSH")))</f>
        <v/>
      </c>
      <c r="Q126" s="0" t="n">
        <v>18.19</v>
      </c>
      <c r="R126" s="10" t="n">
        <v>0.474</v>
      </c>
      <c r="S126" s="0" t="n">
        <v>0.9373</v>
      </c>
      <c r="T126" s="0" t="n">
        <v>19.39</v>
      </c>
      <c r="U126" s="0" t="n">
        <v>18.17</v>
      </c>
    </row>
    <row r="127" customFormat="false" ht="15" hidden="false" customHeight="false" outlineLevel="0" collapsed="false">
      <c r="A127" s="0" t="s">
        <v>1612</v>
      </c>
      <c r="B127" s="0" t="s">
        <v>1610</v>
      </c>
      <c r="C127" s="0" t="s">
        <v>988</v>
      </c>
      <c r="D127" s="0" t="s">
        <v>905</v>
      </c>
      <c r="E127" s="0" t="s">
        <v>1271</v>
      </c>
      <c r="F127" s="0" t="s">
        <v>1111</v>
      </c>
      <c r="G127" s="0" t="n">
        <v>31</v>
      </c>
      <c r="H127" s="0" t="n">
        <v>34.2</v>
      </c>
      <c r="I127" s="10" t="n">
        <v>0.6517</v>
      </c>
      <c r="J127" s="10" t="n">
        <v>0.2966</v>
      </c>
      <c r="K127" s="9" t="s">
        <v>3083</v>
      </c>
      <c r="L127" s="9" t="s">
        <v>3084</v>
      </c>
      <c r="M127" s="0" t="n">
        <v>31.4</v>
      </c>
      <c r="N127" s="10" t="n">
        <v>0.5</v>
      </c>
      <c r="O127" s="19"/>
      <c r="P127" s="0" t="str">
        <f aca="false">IF(O127="","",IF(O127&gt;G127,"OVER",IF(O127&lt;G127,"UNDER","PUSH")))</f>
        <v/>
      </c>
      <c r="Q127" s="0" t="n">
        <v>32.05</v>
      </c>
      <c r="R127" s="10" t="n">
        <v>0.5327</v>
      </c>
      <c r="S127" s="0" t="n">
        <v>0.9372</v>
      </c>
      <c r="T127" s="0" t="n">
        <v>33.26</v>
      </c>
      <c r="U127" s="0" t="n">
        <v>31.17</v>
      </c>
    </row>
    <row r="128" customFormat="false" ht="15" hidden="false" customHeight="false" outlineLevel="0" collapsed="false">
      <c r="A128" s="0" t="s">
        <v>1612</v>
      </c>
      <c r="B128" s="0" t="s">
        <v>1610</v>
      </c>
      <c r="C128" s="0" t="s">
        <v>988</v>
      </c>
      <c r="D128" s="0" t="s">
        <v>905</v>
      </c>
      <c r="E128" s="0" t="s">
        <v>1273</v>
      </c>
      <c r="F128" s="0" t="s">
        <v>1107</v>
      </c>
      <c r="G128" s="0" t="n">
        <v>9.5</v>
      </c>
      <c r="H128" s="0" t="n">
        <v>9.64</v>
      </c>
      <c r="I128" s="10" t="n">
        <v>0.5175</v>
      </c>
      <c r="J128" s="10" t="n">
        <v>0.4825</v>
      </c>
      <c r="K128" s="9" t="s">
        <v>3083</v>
      </c>
      <c r="L128" s="9" t="s">
        <v>3084</v>
      </c>
      <c r="N128" s="10" t="n">
        <v>0.7</v>
      </c>
      <c r="O128" s="19"/>
      <c r="P128" s="0" t="str">
        <f aca="false">IF(O128="","",IF(O128&gt;G128,"OVER",IF(O128&lt;G128,"UNDER","PUSH")))</f>
        <v/>
      </c>
      <c r="Q128" s="0" t="n">
        <v>9.03</v>
      </c>
      <c r="R128" s="10" t="n">
        <v>0.4414</v>
      </c>
      <c r="S128" s="0" t="n">
        <v>0.9363</v>
      </c>
      <c r="T128" s="0" t="n">
        <v>9.79</v>
      </c>
      <c r="U128" s="0" t="n">
        <v>9.18</v>
      </c>
    </row>
    <row r="129" customFormat="false" ht="15" hidden="false" customHeight="false" outlineLevel="0" collapsed="false">
      <c r="A129" s="0" t="s">
        <v>1612</v>
      </c>
      <c r="B129" s="0" t="s">
        <v>1610</v>
      </c>
      <c r="C129" s="0" t="s">
        <v>988</v>
      </c>
      <c r="D129" s="0" t="s">
        <v>905</v>
      </c>
      <c r="E129" s="0" t="s">
        <v>1273</v>
      </c>
      <c r="F129" s="0" t="s">
        <v>1111</v>
      </c>
      <c r="G129" s="0" t="n">
        <v>27.5</v>
      </c>
      <c r="H129" s="0" t="n">
        <v>31.31</v>
      </c>
      <c r="I129" s="10" t="n">
        <v>0.7175</v>
      </c>
      <c r="J129" s="10" t="n">
        <v>0.2825</v>
      </c>
      <c r="K129" s="9" t="s">
        <v>3083</v>
      </c>
      <c r="L129" s="9" t="s">
        <v>3084</v>
      </c>
      <c r="M129" s="0" t="n">
        <v>27.91</v>
      </c>
      <c r="N129" s="10" t="n">
        <v>0.7</v>
      </c>
      <c r="O129" s="19"/>
      <c r="P129" s="0" t="str">
        <f aca="false">IF(O129="","",IF(O129&gt;G129,"OVER",IF(O129&lt;G129,"UNDER","PUSH")))</f>
        <v/>
      </c>
      <c r="Q129" s="0" t="n">
        <v>29.35</v>
      </c>
      <c r="R129" s="10" t="n">
        <v>0.6133</v>
      </c>
      <c r="S129" s="0" t="n">
        <v>0.9372</v>
      </c>
      <c r="T129" s="0" t="n">
        <v>29.85</v>
      </c>
      <c r="U129" s="0" t="n">
        <v>27.98</v>
      </c>
    </row>
    <row r="130" customFormat="false" ht="15" hidden="false" customHeight="false" outlineLevel="0" collapsed="false">
      <c r="A130" s="0" t="s">
        <v>1612</v>
      </c>
      <c r="B130" s="0" t="s">
        <v>1610</v>
      </c>
      <c r="C130" s="0" t="s">
        <v>988</v>
      </c>
      <c r="D130" s="0" t="s">
        <v>905</v>
      </c>
      <c r="E130" s="0" t="s">
        <v>1275</v>
      </c>
      <c r="F130" s="0" t="s">
        <v>1107</v>
      </c>
      <c r="G130" s="0" t="n">
        <v>12.5</v>
      </c>
      <c r="H130" s="0" t="n">
        <v>12.04</v>
      </c>
      <c r="I130" s="10" t="n">
        <v>0.4517</v>
      </c>
      <c r="J130" s="10" t="n">
        <v>0.5483</v>
      </c>
      <c r="K130" s="9" t="s">
        <v>3083</v>
      </c>
      <c r="L130" s="9" t="s">
        <v>3084</v>
      </c>
      <c r="N130" s="10" t="n">
        <v>0.3</v>
      </c>
      <c r="O130" s="19"/>
      <c r="P130" s="0" t="str">
        <f aca="false">IF(O130="","",IF(O130&gt;G130,"OVER",IF(O130&lt;G130,"UNDER","PUSH")))</f>
        <v/>
      </c>
      <c r="Q130" s="0" t="n">
        <v>11.29</v>
      </c>
      <c r="R130" s="10" t="n">
        <v>0.3716</v>
      </c>
      <c r="S130" s="0" t="n">
        <v>0.9377</v>
      </c>
      <c r="T130" s="0" t="n">
        <v>12.33</v>
      </c>
      <c r="U130" s="0" t="n">
        <v>11.56</v>
      </c>
    </row>
    <row r="131" customFormat="false" ht="15" hidden="false" customHeight="false" outlineLevel="0" collapsed="false">
      <c r="A131" s="0" t="s">
        <v>1612</v>
      </c>
      <c r="B131" s="0" t="s">
        <v>1610</v>
      </c>
      <c r="C131" s="0" t="s">
        <v>988</v>
      </c>
      <c r="D131" s="0" t="s">
        <v>905</v>
      </c>
      <c r="E131" s="0" t="s">
        <v>1275</v>
      </c>
      <c r="F131" s="0" t="s">
        <v>1111</v>
      </c>
      <c r="G131" s="0" t="n">
        <v>23</v>
      </c>
      <c r="H131" s="0" t="n">
        <v>22.12</v>
      </c>
      <c r="I131" s="10" t="n">
        <v>0.4023</v>
      </c>
      <c r="J131" s="10" t="n">
        <v>0.527</v>
      </c>
      <c r="K131" s="9" t="s">
        <v>3083</v>
      </c>
      <c r="L131" s="9" t="s">
        <v>3084</v>
      </c>
      <c r="M131" s="0" t="n">
        <v>23.17</v>
      </c>
      <c r="N131" s="10" t="n">
        <v>0.4</v>
      </c>
      <c r="O131" s="19"/>
      <c r="P131" s="0" t="str">
        <f aca="false">IF(O131="","",IF(O131&gt;G131,"OVER",IF(O131&lt;G131,"UNDER","PUSH")))</f>
        <v/>
      </c>
      <c r="Q131" s="0" t="n">
        <v>20.75</v>
      </c>
      <c r="R131" s="10" t="n">
        <v>0.3052</v>
      </c>
      <c r="S131" s="0" t="n">
        <v>0.9381</v>
      </c>
      <c r="T131" s="0" t="n">
        <v>22.17</v>
      </c>
      <c r="U131" s="0" t="n">
        <v>20.78</v>
      </c>
    </row>
    <row r="132" customFormat="false" ht="15" hidden="false" customHeight="false" outlineLevel="0" collapsed="false">
      <c r="A132" s="0" t="s">
        <v>1612</v>
      </c>
      <c r="B132" s="0" t="s">
        <v>1610</v>
      </c>
      <c r="C132" s="0" t="s">
        <v>988</v>
      </c>
      <c r="D132" s="0" t="s">
        <v>905</v>
      </c>
      <c r="E132" s="0" t="s">
        <v>1277</v>
      </c>
      <c r="F132" s="0" t="s">
        <v>1107</v>
      </c>
      <c r="G132" s="0" t="n">
        <v>17.5</v>
      </c>
      <c r="H132" s="0" t="n">
        <v>19.68</v>
      </c>
      <c r="I132" s="10" t="n">
        <v>0.6689</v>
      </c>
      <c r="J132" s="10" t="n">
        <v>0.3311</v>
      </c>
      <c r="K132" s="9" t="s">
        <v>3083</v>
      </c>
      <c r="L132" s="9" t="s">
        <v>3084</v>
      </c>
      <c r="N132" s="10" t="n">
        <v>0.6</v>
      </c>
      <c r="O132" s="19"/>
      <c r="P132" s="0" t="str">
        <f aca="false">IF(O132="","",IF(O132&gt;G132,"OVER",IF(O132&lt;G132,"UNDER","PUSH")))</f>
        <v/>
      </c>
      <c r="Q132" s="0" t="n">
        <v>18.44</v>
      </c>
      <c r="R132" s="10" t="n">
        <v>0.5771</v>
      </c>
      <c r="S132" s="0" t="n">
        <v>0.937</v>
      </c>
      <c r="T132" s="0" t="n">
        <v>19.04</v>
      </c>
      <c r="U132" s="0" t="n">
        <v>17.84</v>
      </c>
    </row>
    <row r="133" customFormat="false" ht="15" hidden="false" customHeight="false" outlineLevel="0" collapsed="false">
      <c r="A133" s="0" t="s">
        <v>1612</v>
      </c>
      <c r="B133" s="0" t="s">
        <v>1610</v>
      </c>
      <c r="C133" s="0" t="s">
        <v>988</v>
      </c>
      <c r="D133" s="0" t="s">
        <v>905</v>
      </c>
      <c r="E133" s="0" t="s">
        <v>1277</v>
      </c>
      <c r="F133" s="0" t="s">
        <v>1111</v>
      </c>
      <c r="G133" s="0" t="n">
        <v>27</v>
      </c>
      <c r="H133" s="0" t="n">
        <v>29.74</v>
      </c>
      <c r="I133" s="10" t="n">
        <v>0.6358</v>
      </c>
      <c r="J133" s="10" t="n">
        <v>0.3078</v>
      </c>
      <c r="K133" s="9" t="s">
        <v>3083</v>
      </c>
      <c r="L133" s="9" t="s">
        <v>3084</v>
      </c>
      <c r="M133" s="0" t="n">
        <v>26.76</v>
      </c>
      <c r="N133" s="10" t="n">
        <v>0.5</v>
      </c>
      <c r="O133" s="19"/>
      <c r="P133" s="0" t="str">
        <f aca="false">IF(O133="","",IF(O133&gt;G133,"OVER",IF(O133&lt;G133,"UNDER","PUSH")))</f>
        <v/>
      </c>
      <c r="Q133" s="0" t="n">
        <v>27.87</v>
      </c>
      <c r="R133" s="10" t="n">
        <v>0.5237</v>
      </c>
      <c r="S133" s="0" t="n">
        <v>0.9372</v>
      </c>
      <c r="T133" s="0" t="n">
        <v>29.42</v>
      </c>
      <c r="U133" s="0" t="n">
        <v>27.58</v>
      </c>
    </row>
    <row r="134" customFormat="false" ht="15" hidden="false" customHeight="false" outlineLevel="0" collapsed="false">
      <c r="A134" s="0" t="s">
        <v>1612</v>
      </c>
      <c r="B134" s="0" t="s">
        <v>1610</v>
      </c>
      <c r="C134" s="0" t="s">
        <v>988</v>
      </c>
      <c r="D134" s="0" t="s">
        <v>905</v>
      </c>
      <c r="E134" s="0" t="s">
        <v>1279</v>
      </c>
      <c r="F134" s="0" t="s">
        <v>1107</v>
      </c>
      <c r="G134" s="0" t="n">
        <v>13.5</v>
      </c>
      <c r="H134" s="0" t="n">
        <v>15.93</v>
      </c>
      <c r="I134" s="10" t="n">
        <v>0.709</v>
      </c>
      <c r="J134" s="10" t="n">
        <v>0.291</v>
      </c>
      <c r="K134" s="9" t="s">
        <v>3083</v>
      </c>
      <c r="L134" s="9" t="s">
        <v>3084</v>
      </c>
      <c r="N134" s="10" t="n">
        <v>0.8</v>
      </c>
      <c r="O134" s="19"/>
      <c r="P134" s="0" t="str">
        <f aca="false">IF(O134="","",IF(O134&gt;G134,"OVER",IF(O134&lt;G134,"UNDER","PUSH")))</f>
        <v/>
      </c>
      <c r="Q134" s="0" t="n">
        <v>14.91</v>
      </c>
      <c r="R134" s="10" t="n">
        <v>0.6294</v>
      </c>
      <c r="S134" s="0" t="n">
        <v>0.9361</v>
      </c>
      <c r="T134" s="0" t="n">
        <v>15.48</v>
      </c>
      <c r="U134" s="0" t="n">
        <v>14.51</v>
      </c>
    </row>
    <row r="135" customFormat="false" ht="15" hidden="false" customHeight="false" outlineLevel="0" collapsed="false">
      <c r="A135" s="0" t="s">
        <v>1612</v>
      </c>
      <c r="B135" s="0" t="s">
        <v>1610</v>
      </c>
      <c r="C135" s="0" t="s">
        <v>988</v>
      </c>
      <c r="D135" s="0" t="s">
        <v>905</v>
      </c>
      <c r="E135" s="0" t="s">
        <v>1279</v>
      </c>
      <c r="F135" s="0" t="s">
        <v>1111</v>
      </c>
      <c r="G135" s="0" t="n">
        <v>27</v>
      </c>
      <c r="H135" s="0" t="n">
        <v>29.1</v>
      </c>
      <c r="I135" s="10" t="n">
        <v>0.5987</v>
      </c>
      <c r="J135" s="10" t="n">
        <v>0.3421</v>
      </c>
      <c r="K135" s="9" t="s">
        <v>3083</v>
      </c>
      <c r="L135" s="9" t="s">
        <v>3084</v>
      </c>
      <c r="M135" s="0" t="n">
        <v>27.06</v>
      </c>
      <c r="N135" s="10" t="n">
        <v>0.8</v>
      </c>
      <c r="O135" s="19"/>
      <c r="P135" s="0" t="str">
        <f aca="false">IF(O135="","",IF(O135&gt;G135,"OVER",IF(O135&lt;G135,"UNDER","PUSH")))</f>
        <v/>
      </c>
      <c r="Q135" s="0" t="n">
        <v>27.25</v>
      </c>
      <c r="R135" s="10" t="n">
        <v>0.4837</v>
      </c>
      <c r="S135" s="0" t="n">
        <v>0.9365</v>
      </c>
      <c r="T135" s="0" t="n">
        <v>28.57</v>
      </c>
      <c r="U135" s="0" t="n">
        <v>26.78</v>
      </c>
    </row>
    <row r="136" customFormat="false" ht="15" hidden="false" customHeight="false" outlineLevel="0" collapsed="false">
      <c r="A136" s="0" t="s">
        <v>1612</v>
      </c>
      <c r="B136" s="0" t="s">
        <v>1610</v>
      </c>
      <c r="C136" s="0" t="s">
        <v>988</v>
      </c>
      <c r="D136" s="0" t="s">
        <v>1047</v>
      </c>
      <c r="E136" s="0" t="s">
        <v>1281</v>
      </c>
      <c r="F136" s="0" t="s">
        <v>1107</v>
      </c>
      <c r="G136" s="0" t="n">
        <v>13.5</v>
      </c>
      <c r="H136" s="0" t="n">
        <v>13.9</v>
      </c>
      <c r="I136" s="10" t="n">
        <v>0.5394</v>
      </c>
      <c r="J136" s="10" t="n">
        <v>0.4606</v>
      </c>
      <c r="K136" s="9" t="s">
        <v>3085</v>
      </c>
      <c r="L136" s="9" t="s">
        <v>3074</v>
      </c>
      <c r="N136" s="10" t="n">
        <v>0.5</v>
      </c>
      <c r="O136" s="19"/>
      <c r="P136" s="0" t="str">
        <f aca="false">IF(O136="","",IF(O136&gt;G136,"OVER",IF(O136&lt;G136,"UNDER","PUSH")))</f>
        <v/>
      </c>
      <c r="Q136" s="0" t="n">
        <v>13.98</v>
      </c>
      <c r="R136" s="10" t="n">
        <v>0.5467</v>
      </c>
      <c r="S136" s="0" t="n">
        <v>1.0055</v>
      </c>
      <c r="T136" s="0" t="n">
        <v>13.64</v>
      </c>
      <c r="U136" s="0" t="n">
        <v>13.72</v>
      </c>
    </row>
    <row r="137" customFormat="false" ht="15" hidden="false" customHeight="false" outlineLevel="0" collapsed="false">
      <c r="A137" s="0" t="s">
        <v>1612</v>
      </c>
      <c r="B137" s="0" t="s">
        <v>1610</v>
      </c>
      <c r="C137" s="0" t="s">
        <v>988</v>
      </c>
      <c r="D137" s="0" t="s">
        <v>1047</v>
      </c>
      <c r="E137" s="0" t="s">
        <v>1281</v>
      </c>
      <c r="F137" s="0" t="s">
        <v>1111</v>
      </c>
      <c r="G137" s="0" t="n">
        <v>28.5</v>
      </c>
      <c r="H137" s="0" t="n">
        <v>28.74</v>
      </c>
      <c r="I137" s="10" t="n">
        <v>0.5151</v>
      </c>
      <c r="J137" s="10" t="n">
        <v>0.4849</v>
      </c>
      <c r="K137" s="9" t="s">
        <v>3085</v>
      </c>
      <c r="L137" s="9" t="s">
        <v>3074</v>
      </c>
      <c r="N137" s="10" t="n">
        <v>0.5</v>
      </c>
      <c r="O137" s="19"/>
      <c r="P137" s="0" t="str">
        <f aca="false">IF(O137="","",IF(O137&gt;G137,"OVER",IF(O137&lt;G137,"UNDER","PUSH")))</f>
        <v/>
      </c>
      <c r="Q137" s="0" t="n">
        <v>28.9</v>
      </c>
      <c r="R137" s="10" t="n">
        <v>0.5251</v>
      </c>
      <c r="S137" s="0" t="n">
        <v>1.0056</v>
      </c>
      <c r="T137" s="0" t="n">
        <v>27.95</v>
      </c>
      <c r="U137" s="0" t="n">
        <v>28.1</v>
      </c>
    </row>
    <row r="138" customFormat="false" ht="15" hidden="false" customHeight="false" outlineLevel="0" collapsed="false">
      <c r="A138" s="0" t="s">
        <v>1612</v>
      </c>
      <c r="B138" s="0" t="s">
        <v>1610</v>
      </c>
      <c r="C138" s="0" t="s">
        <v>988</v>
      </c>
      <c r="D138" s="0" t="s">
        <v>1047</v>
      </c>
      <c r="E138" s="0" t="s">
        <v>1283</v>
      </c>
      <c r="F138" s="0" t="s">
        <v>1107</v>
      </c>
      <c r="G138" s="0" t="n">
        <v>15.5</v>
      </c>
      <c r="H138" s="0" t="n">
        <v>17.27</v>
      </c>
      <c r="I138" s="10" t="n">
        <v>0.6509</v>
      </c>
      <c r="J138" s="10" t="n">
        <v>0.3491</v>
      </c>
      <c r="K138" s="9" t="s">
        <v>3085</v>
      </c>
      <c r="L138" s="9" t="s">
        <v>3074</v>
      </c>
      <c r="N138" s="10" t="n">
        <v>0.7</v>
      </c>
      <c r="O138" s="19"/>
      <c r="P138" s="0" t="str">
        <f aca="false">IF(O138="","",IF(O138&gt;G138,"OVER",IF(O138&lt;G138,"UNDER","PUSH")))</f>
        <v/>
      </c>
      <c r="Q138" s="0" t="n">
        <v>17.37</v>
      </c>
      <c r="R138" s="10" t="n">
        <v>0.6581</v>
      </c>
      <c r="S138" s="0" t="n">
        <v>1.0055</v>
      </c>
      <c r="T138" s="0" t="n">
        <v>16.53</v>
      </c>
      <c r="U138" s="0" t="n">
        <v>16.62</v>
      </c>
    </row>
    <row r="139" customFormat="false" ht="15" hidden="false" customHeight="false" outlineLevel="0" collapsed="false">
      <c r="A139" s="0" t="s">
        <v>1612</v>
      </c>
      <c r="B139" s="0" t="s">
        <v>1610</v>
      </c>
      <c r="C139" s="0" t="s">
        <v>988</v>
      </c>
      <c r="D139" s="0" t="s">
        <v>1047</v>
      </c>
      <c r="E139" s="0" t="s">
        <v>1283</v>
      </c>
      <c r="F139" s="0" t="s">
        <v>1111</v>
      </c>
      <c r="G139" s="0" t="n">
        <v>31</v>
      </c>
      <c r="H139" s="0" t="n">
        <v>32.46</v>
      </c>
      <c r="I139" s="10" t="n">
        <v>0.5568</v>
      </c>
      <c r="J139" s="10" t="n">
        <v>0.3854</v>
      </c>
      <c r="K139" s="9" t="s">
        <v>3085</v>
      </c>
      <c r="L139" s="9" t="s">
        <v>3074</v>
      </c>
      <c r="N139" s="10" t="n">
        <v>0.6</v>
      </c>
      <c r="O139" s="19"/>
      <c r="P139" s="0" t="str">
        <f aca="false">IF(O139="","",IF(O139&gt;G139,"OVER",IF(O139&lt;G139,"UNDER","PUSH")))</f>
        <v/>
      </c>
      <c r="Q139" s="0" t="n">
        <v>32.64</v>
      </c>
      <c r="R139" s="10" t="n">
        <v>0.5671</v>
      </c>
      <c r="S139" s="0" t="n">
        <v>1.0055</v>
      </c>
      <c r="T139" s="0" t="n">
        <v>30.96</v>
      </c>
      <c r="U139" s="0" t="n">
        <v>31.13</v>
      </c>
    </row>
    <row r="140" customFormat="false" ht="15" hidden="false" customHeight="false" outlineLevel="0" collapsed="false">
      <c r="A140" s="0" t="s">
        <v>1612</v>
      </c>
      <c r="B140" s="0" t="s">
        <v>1610</v>
      </c>
      <c r="C140" s="0" t="s">
        <v>988</v>
      </c>
      <c r="D140" s="0" t="s">
        <v>1047</v>
      </c>
      <c r="E140" s="0" t="s">
        <v>1285</v>
      </c>
      <c r="F140" s="0" t="s">
        <v>1107</v>
      </c>
      <c r="G140" s="0" t="n">
        <v>14.5</v>
      </c>
      <c r="H140" s="0" t="n">
        <v>15.7</v>
      </c>
      <c r="I140" s="10" t="n">
        <v>0.6075</v>
      </c>
      <c r="J140" s="10" t="n">
        <v>0.3925</v>
      </c>
      <c r="K140" s="9" t="s">
        <v>3085</v>
      </c>
      <c r="L140" s="9" t="s">
        <v>3074</v>
      </c>
      <c r="N140" s="10" t="n">
        <v>0.3</v>
      </c>
      <c r="O140" s="19"/>
      <c r="P140" s="0" t="str">
        <f aca="false">IF(O140="","",IF(O140&gt;G140,"OVER",IF(O140&lt;G140,"UNDER","PUSH")))</f>
        <v/>
      </c>
      <c r="Q140" s="0" t="n">
        <v>15.78</v>
      </c>
      <c r="R140" s="10" t="n">
        <v>0.6148</v>
      </c>
      <c r="S140" s="0" t="n">
        <v>1.0055</v>
      </c>
      <c r="T140" s="0" t="n">
        <v>15.46</v>
      </c>
      <c r="U140" s="0" t="n">
        <v>15.54</v>
      </c>
    </row>
    <row r="141" customFormat="false" ht="15" hidden="false" customHeight="false" outlineLevel="0" collapsed="false">
      <c r="A141" s="0" t="s">
        <v>1612</v>
      </c>
      <c r="B141" s="0" t="s">
        <v>1610</v>
      </c>
      <c r="C141" s="0" t="s">
        <v>988</v>
      </c>
      <c r="D141" s="0" t="s">
        <v>1047</v>
      </c>
      <c r="E141" s="0" t="s">
        <v>1285</v>
      </c>
      <c r="F141" s="0" t="s">
        <v>1111</v>
      </c>
      <c r="G141" s="0" t="n">
        <v>27</v>
      </c>
      <c r="H141" s="0" t="n">
        <v>27.66</v>
      </c>
      <c r="I141" s="10" t="n">
        <v>0.5102</v>
      </c>
      <c r="J141" s="10" t="n">
        <v>0.4261</v>
      </c>
      <c r="K141" s="9" t="s">
        <v>3085</v>
      </c>
      <c r="L141" s="9" t="s">
        <v>3074</v>
      </c>
      <c r="N141" s="10" t="n">
        <v>0.3</v>
      </c>
      <c r="O141" s="19"/>
      <c r="P141" s="0" t="str">
        <f aca="false">IF(O141="","",IF(O141&gt;G141,"OVER",IF(O141&lt;G141,"UNDER","PUSH")))</f>
        <v/>
      </c>
      <c r="Q141" s="0" t="n">
        <v>27.81</v>
      </c>
      <c r="R141" s="10" t="n">
        <v>0.5199</v>
      </c>
      <c r="S141" s="0" t="n">
        <v>1.0055</v>
      </c>
      <c r="T141" s="0" t="n">
        <v>27.95</v>
      </c>
      <c r="U141" s="0" t="n">
        <v>28.1</v>
      </c>
    </row>
    <row r="142" customFormat="false" ht="15" hidden="false" customHeight="false" outlineLevel="0" collapsed="false">
      <c r="A142" s="0" t="s">
        <v>1612</v>
      </c>
      <c r="B142" s="0" t="s">
        <v>1610</v>
      </c>
      <c r="C142" s="0" t="s">
        <v>988</v>
      </c>
      <c r="D142" s="0" t="s">
        <v>1047</v>
      </c>
      <c r="E142" s="0" t="s">
        <v>1287</v>
      </c>
      <c r="F142" s="0" t="s">
        <v>1107</v>
      </c>
      <c r="G142" s="0" t="n">
        <v>16</v>
      </c>
      <c r="H142" s="0" t="n">
        <v>16.08</v>
      </c>
      <c r="I142" s="10" t="n">
        <v>0.4618</v>
      </c>
      <c r="J142" s="10" t="n">
        <v>0.4483</v>
      </c>
      <c r="K142" s="9" t="s">
        <v>3085</v>
      </c>
      <c r="L142" s="9" t="s">
        <v>3074</v>
      </c>
      <c r="N142" s="10" t="n">
        <v>0.7</v>
      </c>
      <c r="O142" s="19"/>
      <c r="P142" s="0" t="str">
        <f aca="false">IF(O142="","",IF(O142&gt;G142,"OVER",IF(O142&lt;G142,"UNDER","PUSH")))</f>
        <v/>
      </c>
      <c r="Q142" s="0" t="n">
        <v>16.27</v>
      </c>
      <c r="R142" s="10" t="n">
        <v>0.4798</v>
      </c>
      <c r="S142" s="0" t="n">
        <v>1.0123</v>
      </c>
      <c r="T142" s="0" t="n">
        <v>16.65</v>
      </c>
      <c r="U142" s="0" t="n">
        <v>16.86</v>
      </c>
    </row>
    <row r="143" customFormat="false" ht="15" hidden="false" customHeight="false" outlineLevel="0" collapsed="false">
      <c r="A143" s="0" t="s">
        <v>1612</v>
      </c>
      <c r="B143" s="0" t="s">
        <v>1610</v>
      </c>
      <c r="C143" s="0" t="s">
        <v>988</v>
      </c>
      <c r="D143" s="0" t="s">
        <v>1047</v>
      </c>
      <c r="E143" s="0" t="s">
        <v>1287</v>
      </c>
      <c r="F143" s="0" t="s">
        <v>1111</v>
      </c>
      <c r="G143" s="0" t="n">
        <v>28.5</v>
      </c>
      <c r="H143" s="0" t="n">
        <v>29.07</v>
      </c>
      <c r="I143" s="10" t="n">
        <v>0.5354</v>
      </c>
      <c r="J143" s="10" t="n">
        <v>0.4646</v>
      </c>
      <c r="K143" s="9" t="s">
        <v>3085</v>
      </c>
      <c r="L143" s="9" t="s">
        <v>3074</v>
      </c>
      <c r="N143" s="10" t="n">
        <v>0.5</v>
      </c>
      <c r="O143" s="19"/>
      <c r="P143" s="0" t="str">
        <f aca="false">IF(O143="","",IF(O143&gt;G143,"OVER",IF(O143&lt;G143,"UNDER","PUSH")))</f>
        <v/>
      </c>
      <c r="Q143" s="0" t="n">
        <v>29.43</v>
      </c>
      <c r="R143" s="10" t="n">
        <v>0.5573</v>
      </c>
      <c r="S143" s="0" t="n">
        <v>1.0123</v>
      </c>
      <c r="T143" s="0" t="n">
        <v>28.81</v>
      </c>
      <c r="U143" s="0" t="n">
        <v>29.17</v>
      </c>
    </row>
    <row r="144" customFormat="false" ht="15" hidden="false" customHeight="false" outlineLevel="0" collapsed="false">
      <c r="A144" s="0" t="s">
        <v>1612</v>
      </c>
      <c r="B144" s="0" t="s">
        <v>1610</v>
      </c>
      <c r="C144" s="0" t="s">
        <v>988</v>
      </c>
      <c r="D144" s="0" t="s">
        <v>1047</v>
      </c>
      <c r="E144" s="0" t="s">
        <v>1289</v>
      </c>
      <c r="F144" s="0" t="s">
        <v>1107</v>
      </c>
      <c r="G144" s="0" t="n">
        <v>11.5</v>
      </c>
      <c r="H144" s="0" t="n">
        <v>9.51</v>
      </c>
      <c r="I144" s="10" t="n">
        <v>0.2774</v>
      </c>
      <c r="J144" s="10" t="n">
        <v>0.7226</v>
      </c>
      <c r="K144" s="9" t="s">
        <v>3085</v>
      </c>
      <c r="L144" s="9" t="s">
        <v>3074</v>
      </c>
      <c r="N144" s="10" t="n">
        <v>0.2</v>
      </c>
      <c r="O144" s="19"/>
      <c r="P144" s="0" t="str">
        <f aca="false">IF(O144="","",IF(O144&gt;G144,"OVER",IF(O144&lt;G144,"UNDER","PUSH")))</f>
        <v/>
      </c>
      <c r="Q144" s="0" t="n">
        <v>9.63</v>
      </c>
      <c r="R144" s="10" t="n">
        <v>0.2904</v>
      </c>
      <c r="S144" s="0" t="n">
        <v>1.0124</v>
      </c>
      <c r="T144" s="0" t="n">
        <v>9.74</v>
      </c>
      <c r="U144" s="0" t="n">
        <v>9.86</v>
      </c>
    </row>
    <row r="145" customFormat="false" ht="15" hidden="false" customHeight="false" outlineLevel="0" collapsed="false">
      <c r="A145" s="0" t="s">
        <v>1612</v>
      </c>
      <c r="B145" s="0" t="s">
        <v>1610</v>
      </c>
      <c r="C145" s="0" t="s">
        <v>988</v>
      </c>
      <c r="D145" s="0" t="s">
        <v>1047</v>
      </c>
      <c r="E145" s="0" t="s">
        <v>1289</v>
      </c>
      <c r="F145" s="0" t="s">
        <v>1111</v>
      </c>
      <c r="G145" s="0" t="n">
        <v>23.5</v>
      </c>
      <c r="H145" s="0" t="n">
        <v>19.64</v>
      </c>
      <c r="I145" s="10" t="n">
        <v>0.2306</v>
      </c>
      <c r="J145" s="10" t="n">
        <v>0.7694</v>
      </c>
      <c r="K145" s="9" t="s">
        <v>3085</v>
      </c>
      <c r="L145" s="9" t="s">
        <v>3074</v>
      </c>
      <c r="N145" s="10" t="n">
        <v>0.3</v>
      </c>
      <c r="O145" s="19"/>
      <c r="P145" s="0" t="str">
        <f aca="false">IF(O145="","",IF(O145&gt;G145,"OVER",IF(O145&lt;G145,"UNDER","PUSH")))</f>
        <v/>
      </c>
      <c r="Q145" s="0" t="n">
        <v>19.88</v>
      </c>
      <c r="R145" s="10" t="n">
        <v>0.2464</v>
      </c>
      <c r="S145" s="0" t="n">
        <v>1.0124</v>
      </c>
      <c r="T145" s="0" t="n">
        <v>20.64</v>
      </c>
      <c r="U145" s="0" t="n">
        <v>20.9</v>
      </c>
    </row>
    <row r="146" customFormat="false" ht="15" hidden="false" customHeight="false" outlineLevel="0" collapsed="false">
      <c r="A146" s="0" t="s">
        <v>1612</v>
      </c>
      <c r="B146" s="0" t="s">
        <v>1610</v>
      </c>
      <c r="C146" s="0" t="s">
        <v>988</v>
      </c>
      <c r="D146" s="0" t="s">
        <v>1047</v>
      </c>
      <c r="E146" s="0" t="s">
        <v>1291</v>
      </c>
      <c r="F146" s="0" t="s">
        <v>1107</v>
      </c>
      <c r="G146" s="0" t="n">
        <v>11</v>
      </c>
      <c r="H146" s="0" t="n">
        <v>10.31</v>
      </c>
      <c r="I146" s="10" t="n">
        <v>0.3631</v>
      </c>
      <c r="J146" s="10" t="n">
        <v>0.5225</v>
      </c>
      <c r="K146" s="9" t="s">
        <v>3085</v>
      </c>
      <c r="L146" s="9" t="s">
        <v>3074</v>
      </c>
      <c r="N146" s="10" t="n">
        <v>0.4</v>
      </c>
      <c r="O146" s="19"/>
      <c r="P146" s="0" t="str">
        <f aca="false">IF(O146="","",IF(O146&gt;G146,"OVER",IF(O146&lt;G146,"UNDER","PUSH")))</f>
        <v/>
      </c>
      <c r="Q146" s="0" t="n">
        <v>10.44</v>
      </c>
      <c r="R146" s="10" t="n">
        <v>0.3782</v>
      </c>
      <c r="S146" s="0" t="n">
        <v>1.0125</v>
      </c>
      <c r="T146" s="0" t="n">
        <v>9.93</v>
      </c>
      <c r="U146" s="0" t="n">
        <v>10.05</v>
      </c>
    </row>
    <row r="147" customFormat="false" ht="15" hidden="false" customHeight="false" outlineLevel="0" collapsed="false">
      <c r="A147" s="0" t="s">
        <v>1612</v>
      </c>
      <c r="B147" s="0" t="s">
        <v>1610</v>
      </c>
      <c r="C147" s="0" t="s">
        <v>988</v>
      </c>
      <c r="D147" s="0" t="s">
        <v>1047</v>
      </c>
      <c r="E147" s="0" t="s">
        <v>1291</v>
      </c>
      <c r="F147" s="0" t="s">
        <v>1111</v>
      </c>
      <c r="G147" s="0" t="n">
        <v>34.5</v>
      </c>
      <c r="H147" s="0" t="n">
        <v>33.25</v>
      </c>
      <c r="I147" s="10" t="n">
        <v>0.4273</v>
      </c>
      <c r="J147" s="10" t="n">
        <v>0.5727</v>
      </c>
      <c r="K147" s="9" t="s">
        <v>3085</v>
      </c>
      <c r="L147" s="9" t="s">
        <v>3074</v>
      </c>
      <c r="N147" s="10" t="n">
        <v>0.5</v>
      </c>
      <c r="O147" s="19"/>
      <c r="P147" s="0" t="str">
        <f aca="false">IF(O147="","",IF(O147&gt;G147,"OVER",IF(O147&lt;G147,"UNDER","PUSH")))</f>
        <v/>
      </c>
      <c r="Q147" s="0" t="n">
        <v>33.66</v>
      </c>
      <c r="R147" s="10" t="n">
        <v>0.4514</v>
      </c>
      <c r="S147" s="0" t="n">
        <v>1.0124</v>
      </c>
      <c r="T147" s="0" t="n">
        <v>33.54</v>
      </c>
      <c r="U147" s="0" t="n">
        <v>33.95</v>
      </c>
    </row>
    <row r="148" customFormat="false" ht="15" hidden="false" customHeight="false" outlineLevel="0" collapsed="false">
      <c r="A148" s="0" t="s">
        <v>1612</v>
      </c>
      <c r="B148" s="0" t="s">
        <v>1610</v>
      </c>
      <c r="C148" s="0" t="s">
        <v>988</v>
      </c>
      <c r="D148" s="0" t="s">
        <v>1047</v>
      </c>
      <c r="E148" s="0" t="s">
        <v>1293</v>
      </c>
      <c r="F148" s="0" t="s">
        <v>1107</v>
      </c>
      <c r="G148" s="0" t="n">
        <v>14.5</v>
      </c>
      <c r="H148" s="0" t="n">
        <v>14.62</v>
      </c>
      <c r="I148" s="10" t="n">
        <v>0.5115</v>
      </c>
      <c r="J148" s="10" t="n">
        <v>0.4885</v>
      </c>
      <c r="K148" s="9" t="s">
        <v>3085</v>
      </c>
      <c r="L148" s="9" t="s">
        <v>3074</v>
      </c>
      <c r="N148" s="10" t="n">
        <v>0.5</v>
      </c>
      <c r="O148" s="19"/>
      <c r="P148" s="0" t="str">
        <f aca="false">IF(O148="","",IF(O148&gt;G148,"OVER",IF(O148&lt;G148,"UNDER","PUSH")))</f>
        <v/>
      </c>
      <c r="Q148" s="0" t="n">
        <v>14.8</v>
      </c>
      <c r="R148" s="10" t="n">
        <v>0.5282</v>
      </c>
      <c r="S148" s="0" t="n">
        <v>1.0123</v>
      </c>
      <c r="T148" s="0" t="n">
        <v>14.34</v>
      </c>
      <c r="U148" s="0" t="n">
        <v>14.52</v>
      </c>
    </row>
    <row r="149" customFormat="false" ht="15" hidden="false" customHeight="false" outlineLevel="0" collapsed="false">
      <c r="A149" s="0" t="s">
        <v>1612</v>
      </c>
      <c r="B149" s="0" t="s">
        <v>1610</v>
      </c>
      <c r="C149" s="0" t="s">
        <v>988</v>
      </c>
      <c r="D149" s="0" t="s">
        <v>1047</v>
      </c>
      <c r="E149" s="0" t="s">
        <v>1293</v>
      </c>
      <c r="F149" s="0" t="s">
        <v>1111</v>
      </c>
      <c r="G149" s="0" t="n">
        <v>26</v>
      </c>
      <c r="H149" s="0" t="n">
        <v>25.39</v>
      </c>
      <c r="I149" s="10" t="n">
        <v>0.426</v>
      </c>
      <c r="J149" s="10" t="n">
        <v>0.5075</v>
      </c>
      <c r="K149" s="9" t="s">
        <v>3085</v>
      </c>
      <c r="L149" s="9" t="s">
        <v>3074</v>
      </c>
      <c r="N149" s="10" t="n">
        <v>0.6</v>
      </c>
      <c r="O149" s="19"/>
      <c r="P149" s="0" t="str">
        <f aca="false">IF(O149="","",IF(O149&gt;G149,"OVER",IF(O149&lt;G149,"UNDER","PUSH")))</f>
        <v/>
      </c>
      <c r="Q149" s="0" t="n">
        <v>25.7</v>
      </c>
      <c r="R149" s="10" t="n">
        <v>0.4469</v>
      </c>
      <c r="S149" s="0" t="n">
        <v>1.0123</v>
      </c>
      <c r="T149" s="0" t="n">
        <v>25.8</v>
      </c>
      <c r="U149" s="0" t="n">
        <v>26.12</v>
      </c>
    </row>
    <row r="150" customFormat="false" ht="15" hidden="false" customHeight="false" outlineLevel="0" collapsed="false">
      <c r="A150" s="0" t="s">
        <v>1612</v>
      </c>
      <c r="B150" s="0" t="s">
        <v>1610</v>
      </c>
      <c r="C150" s="0" t="s">
        <v>988</v>
      </c>
      <c r="D150" s="0" t="s">
        <v>1054</v>
      </c>
      <c r="E150" s="0" t="s">
        <v>1295</v>
      </c>
      <c r="F150" s="0" t="s">
        <v>1107</v>
      </c>
      <c r="G150" s="0" t="n">
        <v>17</v>
      </c>
      <c r="H150" s="0" t="n">
        <v>18.98</v>
      </c>
      <c r="I150" s="10" t="n">
        <v>0.6208</v>
      </c>
      <c r="J150" s="10" t="n">
        <v>0.3032</v>
      </c>
      <c r="K150" s="9" t="s">
        <v>3086</v>
      </c>
      <c r="L150" s="9" t="s">
        <v>3087</v>
      </c>
      <c r="N150" s="10" t="n">
        <v>0.7</v>
      </c>
      <c r="O150" s="19"/>
      <c r="P150" s="0" t="str">
        <f aca="false">IF(O150="","",IF(O150&gt;G150,"OVER",IF(O150&lt;G150,"UNDER","PUSH")))</f>
        <v/>
      </c>
      <c r="Q150" s="0" t="n">
        <v>18.13</v>
      </c>
      <c r="R150" s="10" t="n">
        <v>0.5529</v>
      </c>
      <c r="S150" s="0" t="n">
        <v>0.9549</v>
      </c>
      <c r="T150" s="0" t="n">
        <v>19.11</v>
      </c>
      <c r="U150" s="0" t="n">
        <v>18.28</v>
      </c>
    </row>
    <row r="151" customFormat="false" ht="15" hidden="false" customHeight="false" outlineLevel="0" collapsed="false">
      <c r="A151" s="0" t="s">
        <v>1612</v>
      </c>
      <c r="B151" s="0" t="s">
        <v>1610</v>
      </c>
      <c r="C151" s="0" t="s">
        <v>988</v>
      </c>
      <c r="D151" s="0" t="s">
        <v>1054</v>
      </c>
      <c r="E151" s="0" t="s">
        <v>1295</v>
      </c>
      <c r="F151" s="0" t="s">
        <v>1111</v>
      </c>
      <c r="G151" s="0" t="n">
        <v>30</v>
      </c>
      <c r="H151" s="0" t="n">
        <v>34.16</v>
      </c>
      <c r="I151" s="10" t="n">
        <v>0.7017</v>
      </c>
      <c r="J151" s="10" t="n">
        <v>0.2502</v>
      </c>
      <c r="K151" s="9" t="s">
        <v>3086</v>
      </c>
      <c r="L151" s="9" t="s">
        <v>3087</v>
      </c>
      <c r="M151" s="0" t="n">
        <v>28.82</v>
      </c>
      <c r="N151" s="10" t="n">
        <v>0.8</v>
      </c>
      <c r="O151" s="19"/>
      <c r="P151" s="0" t="str">
        <f aca="false">IF(O151="","",IF(O151&gt;G151,"OVER",IF(O151&lt;G151,"UNDER","PUSH")))</f>
        <v/>
      </c>
      <c r="Q151" s="0" t="n">
        <v>32.62</v>
      </c>
      <c r="R151" s="10" t="n">
        <v>0.623</v>
      </c>
      <c r="S151" s="0" t="n">
        <v>0.9548</v>
      </c>
      <c r="T151" s="0" t="n">
        <v>33.13</v>
      </c>
      <c r="U151" s="0" t="n">
        <v>31.68</v>
      </c>
    </row>
    <row r="152" customFormat="false" ht="15" hidden="false" customHeight="false" outlineLevel="0" collapsed="false">
      <c r="A152" s="0" t="s">
        <v>1612</v>
      </c>
      <c r="B152" s="0" t="s">
        <v>1610</v>
      </c>
      <c r="C152" s="0" t="s">
        <v>988</v>
      </c>
      <c r="D152" s="0" t="s">
        <v>1054</v>
      </c>
      <c r="E152" s="0" t="s">
        <v>1297</v>
      </c>
      <c r="F152" s="0" t="s">
        <v>1107</v>
      </c>
      <c r="G152" s="0" t="n">
        <v>11</v>
      </c>
      <c r="H152" s="0" t="n">
        <v>11.01</v>
      </c>
      <c r="I152" s="10" t="n">
        <v>0.446</v>
      </c>
      <c r="J152" s="10" t="n">
        <v>0.4435</v>
      </c>
      <c r="K152" s="9" t="s">
        <v>3086</v>
      </c>
      <c r="L152" s="9" t="s">
        <v>3087</v>
      </c>
      <c r="N152" s="10" t="n">
        <v>0.4</v>
      </c>
      <c r="O152" s="19"/>
      <c r="P152" s="0" t="str">
        <f aca="false">IF(O152="","",IF(O152&gt;G152,"OVER",IF(O152&lt;G152,"UNDER","PUSH")))</f>
        <v/>
      </c>
      <c r="Q152" s="0" t="n">
        <v>10.55</v>
      </c>
      <c r="R152" s="10" t="n">
        <v>0.3931</v>
      </c>
      <c r="S152" s="0" t="n">
        <v>0.9576</v>
      </c>
      <c r="T152" s="0" t="n">
        <v>11.06</v>
      </c>
      <c r="U152" s="0" t="n">
        <v>10.58</v>
      </c>
    </row>
    <row r="153" customFormat="false" ht="15" hidden="false" customHeight="false" outlineLevel="0" collapsed="false">
      <c r="A153" s="0" t="s">
        <v>1612</v>
      </c>
      <c r="B153" s="0" t="s">
        <v>1610</v>
      </c>
      <c r="C153" s="0" t="s">
        <v>988</v>
      </c>
      <c r="D153" s="0" t="s">
        <v>1054</v>
      </c>
      <c r="E153" s="0" t="s">
        <v>1297</v>
      </c>
      <c r="F153" s="0" t="s">
        <v>1111</v>
      </c>
      <c r="G153" s="0" t="n">
        <v>22.5</v>
      </c>
      <c r="H153" s="0" t="n">
        <v>25.06</v>
      </c>
      <c r="I153" s="10" t="n">
        <v>0.6673</v>
      </c>
      <c r="J153" s="10" t="n">
        <v>0.3327</v>
      </c>
      <c r="K153" s="9" t="s">
        <v>3086</v>
      </c>
      <c r="L153" s="9" t="s">
        <v>3087</v>
      </c>
      <c r="M153" s="0" t="n">
        <v>22.82</v>
      </c>
      <c r="N153" s="10" t="n">
        <v>0.7</v>
      </c>
      <c r="O153" s="19"/>
      <c r="P153" s="0" t="str">
        <f aca="false">IF(O153="","",IF(O153&gt;G153,"OVER",IF(O153&lt;G153,"UNDER","PUSH")))</f>
        <v/>
      </c>
      <c r="Q153" s="0" t="n">
        <v>23.98</v>
      </c>
      <c r="R153" s="10" t="n">
        <v>0.6009</v>
      </c>
      <c r="S153" s="0" t="n">
        <v>0.957</v>
      </c>
      <c r="T153" s="0" t="n">
        <v>23.78</v>
      </c>
      <c r="U153" s="0" t="n">
        <v>22.74</v>
      </c>
    </row>
    <row r="154" customFormat="false" ht="15" hidden="false" customHeight="false" outlineLevel="0" collapsed="false">
      <c r="A154" s="0" t="s">
        <v>1612</v>
      </c>
      <c r="B154" s="0" t="s">
        <v>1610</v>
      </c>
      <c r="C154" s="0" t="s">
        <v>988</v>
      </c>
      <c r="D154" s="0" t="s">
        <v>1054</v>
      </c>
      <c r="E154" s="0" t="s">
        <v>1300</v>
      </c>
      <c r="F154" s="0" t="s">
        <v>1107</v>
      </c>
      <c r="G154" s="0" t="n">
        <v>14.5</v>
      </c>
      <c r="H154" s="0" t="n">
        <v>15.68</v>
      </c>
      <c r="I154" s="10" t="n">
        <v>0.6072</v>
      </c>
      <c r="J154" s="10" t="n">
        <v>0.3928</v>
      </c>
      <c r="K154" s="9" t="s">
        <v>3086</v>
      </c>
      <c r="L154" s="9" t="s">
        <v>3087</v>
      </c>
      <c r="N154" s="10" t="n">
        <v>0.6</v>
      </c>
      <c r="O154" s="19"/>
      <c r="P154" s="0" t="str">
        <f aca="false">IF(O154="","",IF(O154&gt;G154,"OVER",IF(O154&lt;G154,"UNDER","PUSH")))</f>
        <v/>
      </c>
      <c r="Q154" s="0" t="n">
        <v>14.97</v>
      </c>
      <c r="R154" s="10" t="n">
        <v>0.5438</v>
      </c>
      <c r="S154" s="0" t="n">
        <v>0.9544</v>
      </c>
      <c r="T154" s="0" t="n">
        <v>15.44</v>
      </c>
      <c r="U154" s="0" t="n">
        <v>14.77</v>
      </c>
    </row>
    <row r="155" customFormat="false" ht="15" hidden="false" customHeight="false" outlineLevel="0" collapsed="false">
      <c r="A155" s="0" t="s">
        <v>1612</v>
      </c>
      <c r="B155" s="0" t="s">
        <v>1610</v>
      </c>
      <c r="C155" s="0" t="s">
        <v>988</v>
      </c>
      <c r="D155" s="0" t="s">
        <v>1054</v>
      </c>
      <c r="E155" s="0" t="s">
        <v>1300</v>
      </c>
      <c r="F155" s="0" t="s">
        <v>1111</v>
      </c>
      <c r="G155" s="0" t="n">
        <v>27.5</v>
      </c>
      <c r="H155" s="0" t="n">
        <v>30.78</v>
      </c>
      <c r="I155" s="10" t="n">
        <v>0.6914</v>
      </c>
      <c r="J155" s="10" t="n">
        <v>0.3086</v>
      </c>
      <c r="K155" s="9" t="s">
        <v>3086</v>
      </c>
      <c r="L155" s="9" t="s">
        <v>3087</v>
      </c>
      <c r="M155" s="0" t="n">
        <v>27.6</v>
      </c>
      <c r="N155" s="10" t="n">
        <v>0.7</v>
      </c>
      <c r="O155" s="19"/>
      <c r="P155" s="0" t="str">
        <f aca="false">IF(O155="","",IF(O155&gt;G155,"OVER",IF(O155&lt;G155,"UNDER","PUSH")))</f>
        <v/>
      </c>
      <c r="Q155" s="0" t="n">
        <v>29.4</v>
      </c>
      <c r="R155" s="10" t="n">
        <v>0.6162</v>
      </c>
      <c r="S155" s="0" t="n">
        <v>0.955</v>
      </c>
      <c r="T155" s="0" t="n">
        <v>31</v>
      </c>
      <c r="U155" s="0" t="n">
        <v>29.65</v>
      </c>
    </row>
    <row r="156" customFormat="false" ht="15" hidden="false" customHeight="false" outlineLevel="0" collapsed="false">
      <c r="A156" s="0" t="s">
        <v>1612</v>
      </c>
      <c r="B156" s="0" t="s">
        <v>1610</v>
      </c>
      <c r="C156" s="0" t="s">
        <v>988</v>
      </c>
      <c r="D156" s="0" t="s">
        <v>1054</v>
      </c>
      <c r="E156" s="0" t="s">
        <v>1302</v>
      </c>
      <c r="F156" s="0" t="s">
        <v>1107</v>
      </c>
      <c r="G156" s="0" t="n">
        <v>8.5</v>
      </c>
      <c r="H156" s="0" t="n">
        <v>7.82</v>
      </c>
      <c r="I156" s="10" t="n">
        <v>0.4084</v>
      </c>
      <c r="J156" s="10" t="n">
        <v>0.5916</v>
      </c>
      <c r="K156" s="9" t="s">
        <v>3086</v>
      </c>
      <c r="L156" s="9" t="s">
        <v>3087</v>
      </c>
      <c r="N156" s="10" t="n">
        <v>0.5</v>
      </c>
      <c r="O156" s="19"/>
      <c r="P156" s="0" t="str">
        <f aca="false">IF(O156="","",IF(O156&gt;G156,"OVER",IF(O156&lt;G156,"UNDER","PUSH")))</f>
        <v/>
      </c>
      <c r="Q156" s="0" t="n">
        <v>7.48</v>
      </c>
      <c r="R156" s="10" t="n">
        <v>0.3621</v>
      </c>
      <c r="S156" s="0" t="n">
        <v>0.9573</v>
      </c>
      <c r="T156" s="0" t="n">
        <v>8.31</v>
      </c>
      <c r="U156" s="0" t="n">
        <v>7.95</v>
      </c>
    </row>
    <row r="157" customFormat="false" ht="15" hidden="false" customHeight="false" outlineLevel="0" collapsed="false">
      <c r="A157" s="0" t="s">
        <v>1612</v>
      </c>
      <c r="B157" s="0" t="s">
        <v>1610</v>
      </c>
      <c r="C157" s="0" t="s">
        <v>988</v>
      </c>
      <c r="D157" s="0" t="s">
        <v>1054</v>
      </c>
      <c r="E157" s="0" t="s">
        <v>1302</v>
      </c>
      <c r="F157" s="0" t="s">
        <v>1111</v>
      </c>
      <c r="G157" s="0" t="n">
        <v>25.5</v>
      </c>
      <c r="H157" s="0" t="n">
        <v>28.98</v>
      </c>
      <c r="I157" s="10" t="n">
        <v>0.7075</v>
      </c>
      <c r="J157" s="10" t="n">
        <v>0.2925</v>
      </c>
      <c r="K157" s="9" t="s">
        <v>3086</v>
      </c>
      <c r="L157" s="9" t="s">
        <v>3087</v>
      </c>
      <c r="M157" s="0" t="n">
        <v>25</v>
      </c>
      <c r="N157" s="10" t="n">
        <v>0.7</v>
      </c>
      <c r="O157" s="19"/>
      <c r="P157" s="0" t="str">
        <f aca="false">IF(O157="","",IF(O157&gt;G157,"OVER",IF(O157&lt;G157,"UNDER","PUSH")))</f>
        <v/>
      </c>
      <c r="Q157" s="0" t="n">
        <v>27.68</v>
      </c>
      <c r="R157" s="10" t="n">
        <v>0.6369</v>
      </c>
      <c r="S157" s="0" t="n">
        <v>0.9552</v>
      </c>
      <c r="T157" s="0" t="n">
        <v>27.61</v>
      </c>
      <c r="U157" s="0" t="n">
        <v>26.4</v>
      </c>
    </row>
    <row r="158" customFormat="false" ht="15" hidden="false" customHeight="false" outlineLevel="0" collapsed="false">
      <c r="A158" s="0" t="s">
        <v>1612</v>
      </c>
      <c r="B158" s="0" t="s">
        <v>1610</v>
      </c>
      <c r="C158" s="0" t="s">
        <v>988</v>
      </c>
      <c r="D158" s="0" t="s">
        <v>1054</v>
      </c>
      <c r="E158" s="0" t="s">
        <v>1304</v>
      </c>
      <c r="F158" s="0" t="s">
        <v>1107</v>
      </c>
      <c r="G158" s="0" t="n">
        <v>15.5</v>
      </c>
      <c r="H158" s="0" t="n">
        <v>14.84</v>
      </c>
      <c r="I158" s="10" t="n">
        <v>0.4385</v>
      </c>
      <c r="J158" s="10" t="n">
        <v>0.5615</v>
      </c>
      <c r="K158" s="9" t="s">
        <v>3086</v>
      </c>
      <c r="L158" s="9" t="s">
        <v>3087</v>
      </c>
      <c r="N158" s="10" t="n">
        <v>0.5</v>
      </c>
      <c r="O158" s="19"/>
      <c r="P158" s="0" t="str">
        <f aca="false">IF(O158="","",IF(O158&gt;G158,"OVER",IF(O158&lt;G158,"UNDER","PUSH")))</f>
        <v/>
      </c>
      <c r="Q158" s="0" t="n">
        <v>14.21</v>
      </c>
      <c r="R158" s="10" t="n">
        <v>0.3782</v>
      </c>
      <c r="S158" s="0" t="n">
        <v>0.9573</v>
      </c>
      <c r="T158" s="0" t="n">
        <v>16.12</v>
      </c>
      <c r="U158" s="0" t="n">
        <v>15.41</v>
      </c>
    </row>
    <row r="159" customFormat="false" ht="15" hidden="false" customHeight="false" outlineLevel="0" collapsed="false">
      <c r="A159" s="0" t="s">
        <v>1612</v>
      </c>
      <c r="B159" s="0" t="s">
        <v>1610</v>
      </c>
      <c r="C159" s="0" t="s">
        <v>988</v>
      </c>
      <c r="D159" s="0" t="s">
        <v>1054</v>
      </c>
      <c r="E159" s="0" t="s">
        <v>1304</v>
      </c>
      <c r="F159" s="0" t="s">
        <v>1111</v>
      </c>
      <c r="G159" s="0" t="n">
        <v>25.5</v>
      </c>
      <c r="H159" s="0" t="n">
        <v>26.9</v>
      </c>
      <c r="I159" s="10" t="n">
        <v>0.5903</v>
      </c>
      <c r="J159" s="10" t="n">
        <v>0.4097</v>
      </c>
      <c r="K159" s="9" t="s">
        <v>3086</v>
      </c>
      <c r="L159" s="9" t="s">
        <v>3087</v>
      </c>
      <c r="M159" s="0" t="n">
        <v>26.06</v>
      </c>
      <c r="N159" s="10" t="n">
        <v>0.9</v>
      </c>
      <c r="O159" s="19"/>
      <c r="P159" s="0" t="str">
        <f aca="false">IF(O159="","",IF(O159&gt;G159,"OVER",IF(O159&lt;G159,"UNDER","PUSH")))</f>
        <v/>
      </c>
      <c r="Q159" s="0" t="n">
        <v>25.76</v>
      </c>
      <c r="R159" s="10" t="n">
        <v>0.5173</v>
      </c>
      <c r="S159" s="0" t="n">
        <v>0.9576</v>
      </c>
      <c r="T159" s="0" t="n">
        <v>28.03</v>
      </c>
      <c r="U159" s="0" t="n">
        <v>26.81</v>
      </c>
    </row>
    <row r="160" customFormat="false" ht="15" hidden="false" customHeight="false" outlineLevel="0" collapsed="false">
      <c r="A160" s="0" t="s">
        <v>1612</v>
      </c>
      <c r="B160" s="0" t="s">
        <v>1610</v>
      </c>
      <c r="C160" s="0" t="s">
        <v>988</v>
      </c>
      <c r="D160" s="0" t="s">
        <v>1054</v>
      </c>
      <c r="E160" s="0" t="s">
        <v>1306</v>
      </c>
      <c r="F160" s="0" t="s">
        <v>1107</v>
      </c>
      <c r="G160" s="0" t="n">
        <v>11</v>
      </c>
      <c r="H160" s="0" t="n">
        <v>10.69</v>
      </c>
      <c r="I160" s="10" t="n">
        <v>0.4096</v>
      </c>
      <c r="J160" s="10" t="n">
        <v>0.4789</v>
      </c>
      <c r="K160" s="9" t="s">
        <v>3086</v>
      </c>
      <c r="L160" s="9" t="s">
        <v>3087</v>
      </c>
      <c r="N160" s="10" t="n">
        <v>0.5</v>
      </c>
      <c r="O160" s="19"/>
      <c r="P160" s="0" t="str">
        <f aca="false">IF(O160="","",IF(O160&gt;G160,"OVER",IF(O160&lt;G160,"UNDER","PUSH")))</f>
        <v/>
      </c>
      <c r="Q160" s="0" t="n">
        <v>10.98</v>
      </c>
      <c r="R160" s="10" t="n">
        <v>0.4428</v>
      </c>
      <c r="S160" s="0" t="n">
        <v>1.0275</v>
      </c>
      <c r="T160" s="0" t="n">
        <v>10.46</v>
      </c>
      <c r="U160" s="0" t="n">
        <v>10.74</v>
      </c>
    </row>
    <row r="161" customFormat="false" ht="15" hidden="false" customHeight="false" outlineLevel="0" collapsed="false">
      <c r="A161" s="0" t="s">
        <v>1612</v>
      </c>
      <c r="B161" s="0" t="s">
        <v>1610</v>
      </c>
      <c r="C161" s="0" t="s">
        <v>988</v>
      </c>
      <c r="D161" s="0" t="s">
        <v>1054</v>
      </c>
      <c r="E161" s="0" t="s">
        <v>1306</v>
      </c>
      <c r="F161" s="0" t="s">
        <v>1111</v>
      </c>
      <c r="G161" s="0" t="n">
        <v>24.5</v>
      </c>
      <c r="H161" s="0" t="n">
        <v>23.48</v>
      </c>
      <c r="I161" s="10" t="n">
        <v>0.4292</v>
      </c>
      <c r="J161" s="10" t="n">
        <v>0.5708</v>
      </c>
      <c r="K161" s="9" t="s">
        <v>3086</v>
      </c>
      <c r="L161" s="9" t="s">
        <v>3087</v>
      </c>
      <c r="M161" s="0" t="n">
        <v>24.6</v>
      </c>
      <c r="N161" s="10" t="n">
        <v>0.7</v>
      </c>
      <c r="O161" s="19"/>
      <c r="P161" s="0" t="str">
        <f aca="false">IF(O161="","",IF(O161&gt;G161,"OVER",IF(O161&lt;G161,"UNDER","PUSH")))</f>
        <v/>
      </c>
      <c r="Q161" s="0" t="n">
        <v>24.13</v>
      </c>
      <c r="R161" s="10" t="n">
        <v>0.4745</v>
      </c>
      <c r="S161" s="0" t="n">
        <v>1.0278</v>
      </c>
      <c r="T161" s="0" t="n">
        <v>22.93</v>
      </c>
      <c r="U161" s="0" t="n">
        <v>23.56</v>
      </c>
    </row>
    <row r="162" customFormat="false" ht="15" hidden="false" customHeight="false" outlineLevel="0" collapsed="false">
      <c r="A162" s="0" t="s">
        <v>1612</v>
      </c>
      <c r="B162" s="0" t="s">
        <v>1610</v>
      </c>
      <c r="C162" s="0" t="s">
        <v>988</v>
      </c>
      <c r="D162" s="0" t="s">
        <v>1054</v>
      </c>
      <c r="E162" s="0" t="s">
        <v>1308</v>
      </c>
      <c r="F162" s="0" t="s">
        <v>1107</v>
      </c>
      <c r="G162" s="0" t="n">
        <v>15.5</v>
      </c>
      <c r="H162" s="0" t="n">
        <v>14.72</v>
      </c>
      <c r="I162" s="10" t="n">
        <v>0.4262</v>
      </c>
      <c r="J162" s="10" t="n">
        <v>0.5738</v>
      </c>
      <c r="K162" s="9" t="s">
        <v>3086</v>
      </c>
      <c r="L162" s="9" t="s">
        <v>3087</v>
      </c>
      <c r="N162" s="10" t="n">
        <v>0.6</v>
      </c>
      <c r="O162" s="19"/>
      <c r="P162" s="0" t="str">
        <f aca="false">IF(O162="","",IF(O162&gt;G162,"OVER",IF(O162&lt;G162,"UNDER","PUSH")))</f>
        <v/>
      </c>
      <c r="Q162" s="0" t="n">
        <v>15.12</v>
      </c>
      <c r="R162" s="10" t="n">
        <v>0.4645</v>
      </c>
      <c r="S162" s="0" t="n">
        <v>1.0273</v>
      </c>
      <c r="T162" s="0" t="n">
        <v>14.09</v>
      </c>
      <c r="U162" s="0" t="n">
        <v>14.47</v>
      </c>
    </row>
    <row r="163" customFormat="false" ht="15" hidden="false" customHeight="false" outlineLevel="0" collapsed="false">
      <c r="A163" s="0" t="s">
        <v>1612</v>
      </c>
      <c r="B163" s="0" t="s">
        <v>1610</v>
      </c>
      <c r="C163" s="0" t="s">
        <v>988</v>
      </c>
      <c r="D163" s="0" t="s">
        <v>1054</v>
      </c>
      <c r="E163" s="0" t="s">
        <v>1308</v>
      </c>
      <c r="F163" s="0" t="s">
        <v>1111</v>
      </c>
      <c r="G163" s="0" t="n">
        <v>30</v>
      </c>
      <c r="H163" s="0" t="n">
        <v>30.5</v>
      </c>
      <c r="I163" s="10" t="n">
        <v>0.5002</v>
      </c>
      <c r="J163" s="10" t="n">
        <v>0.439</v>
      </c>
      <c r="K163" s="9" t="s">
        <v>3086</v>
      </c>
      <c r="L163" s="9" t="s">
        <v>3087</v>
      </c>
      <c r="M163" s="0" t="n">
        <v>31.24</v>
      </c>
      <c r="N163" s="10" t="n">
        <v>0.8</v>
      </c>
      <c r="O163" s="19"/>
      <c r="P163" s="0" t="str">
        <f aca="false">IF(O163="","",IF(O163&gt;G163,"OVER",IF(O163&lt;G163,"UNDER","PUSH")))</f>
        <v/>
      </c>
      <c r="Q163" s="0" t="n">
        <v>31.28</v>
      </c>
      <c r="R163" s="10" t="n">
        <v>0.5471</v>
      </c>
      <c r="S163" s="0" t="n">
        <v>1.0256</v>
      </c>
      <c r="T163" s="0" t="n">
        <v>29.73</v>
      </c>
      <c r="U163" s="0" t="n">
        <v>30.54</v>
      </c>
    </row>
    <row r="164" customFormat="false" ht="15" hidden="false" customHeight="false" outlineLevel="0" collapsed="false">
      <c r="A164" s="0" t="s">
        <v>1612</v>
      </c>
      <c r="B164" s="0" t="s">
        <v>1610</v>
      </c>
      <c r="C164" s="0" t="s">
        <v>988</v>
      </c>
      <c r="D164" s="0" t="s">
        <v>1054</v>
      </c>
      <c r="E164" s="0" t="s">
        <v>1310</v>
      </c>
      <c r="F164" s="0" t="s">
        <v>1107</v>
      </c>
      <c r="G164" s="0" t="n">
        <v>17.5</v>
      </c>
      <c r="H164" s="0" t="n">
        <v>17.73</v>
      </c>
      <c r="I164" s="10" t="n">
        <v>0.5201</v>
      </c>
      <c r="J164" s="10" t="n">
        <v>0.4799</v>
      </c>
      <c r="K164" s="9" t="s">
        <v>3086</v>
      </c>
      <c r="L164" s="9" t="s">
        <v>3087</v>
      </c>
      <c r="N164" s="10" t="n">
        <v>0.5</v>
      </c>
      <c r="O164" s="19"/>
      <c r="P164" s="0" t="str">
        <f aca="false">IF(O164="","",IF(O164&gt;G164,"OVER",IF(O164&lt;G164,"UNDER","PUSH")))</f>
        <v/>
      </c>
      <c r="Q164" s="0" t="n">
        <v>18.21</v>
      </c>
      <c r="R164" s="10" t="n">
        <v>0.5599</v>
      </c>
      <c r="S164" s="0" t="n">
        <v>1.0269</v>
      </c>
      <c r="T164" s="0" t="n">
        <v>17.81</v>
      </c>
      <c r="U164" s="0" t="n">
        <v>18.29</v>
      </c>
    </row>
    <row r="165" customFormat="false" ht="15" hidden="false" customHeight="false" outlineLevel="0" collapsed="false">
      <c r="A165" s="0" t="s">
        <v>1612</v>
      </c>
      <c r="B165" s="0" t="s">
        <v>1610</v>
      </c>
      <c r="C165" s="0" t="s">
        <v>988</v>
      </c>
      <c r="D165" s="0" t="s">
        <v>1054</v>
      </c>
      <c r="E165" s="0" t="s">
        <v>1310</v>
      </c>
      <c r="F165" s="0" t="s">
        <v>1111</v>
      </c>
      <c r="G165" s="0" t="n">
        <v>32.5</v>
      </c>
      <c r="H165" s="0" t="n">
        <v>31.66</v>
      </c>
      <c r="I165" s="10" t="n">
        <v>0.4498</v>
      </c>
      <c r="J165" s="10" t="n">
        <v>0.5502</v>
      </c>
      <c r="K165" s="9" t="s">
        <v>3086</v>
      </c>
      <c r="L165" s="9" t="s">
        <v>3087</v>
      </c>
      <c r="M165" s="0" t="n">
        <v>31.82</v>
      </c>
      <c r="N165" s="10" t="n">
        <v>0.5</v>
      </c>
      <c r="O165" s="19"/>
      <c r="P165" s="0" t="str">
        <f aca="false">IF(O165="","",IF(O165&gt;G165,"OVER",IF(O165&lt;G165,"UNDER","PUSH")))</f>
        <v/>
      </c>
      <c r="Q165" s="0" t="n">
        <v>32.55</v>
      </c>
      <c r="R165" s="10" t="n">
        <v>0.503</v>
      </c>
      <c r="S165" s="0" t="n">
        <v>1.0281</v>
      </c>
      <c r="T165" s="0" t="n">
        <v>31.85</v>
      </c>
      <c r="U165" s="0" t="n">
        <v>32.72</v>
      </c>
    </row>
    <row r="166" customFormat="false" ht="15" hidden="false" customHeight="false" outlineLevel="0" collapsed="false">
      <c r="A166" s="0" t="s">
        <v>1612</v>
      </c>
      <c r="B166" s="0" t="s">
        <v>1610</v>
      </c>
      <c r="C166" s="0" t="s">
        <v>988</v>
      </c>
      <c r="D166" s="0" t="s">
        <v>1054</v>
      </c>
      <c r="E166" s="0" t="s">
        <v>1312</v>
      </c>
      <c r="F166" s="0" t="s">
        <v>1107</v>
      </c>
      <c r="G166" s="0" t="n">
        <v>14.5</v>
      </c>
      <c r="H166" s="0" t="n">
        <v>14.1</v>
      </c>
      <c r="I166" s="10" t="n">
        <v>0.4613</v>
      </c>
      <c r="J166" s="10" t="n">
        <v>0.5387</v>
      </c>
      <c r="K166" s="9" t="s">
        <v>3086</v>
      </c>
      <c r="L166" s="9" t="s">
        <v>3087</v>
      </c>
      <c r="N166" s="10" t="n">
        <v>0.5</v>
      </c>
      <c r="O166" s="19"/>
      <c r="P166" s="0" t="str">
        <f aca="false">IF(O166="","",IF(O166&gt;G166,"OVER",IF(O166&lt;G166,"UNDER","PUSH")))</f>
        <v/>
      </c>
      <c r="Q166" s="0" t="n">
        <v>14.48</v>
      </c>
      <c r="R166" s="10" t="n">
        <v>0.4982</v>
      </c>
      <c r="S166" s="0" t="n">
        <v>1.0271</v>
      </c>
      <c r="T166" s="0" t="n">
        <v>14.07</v>
      </c>
      <c r="U166" s="0" t="n">
        <v>14.46</v>
      </c>
    </row>
    <row r="167" customFormat="false" ht="15" hidden="false" customHeight="false" outlineLevel="0" collapsed="false">
      <c r="A167" s="0" t="s">
        <v>1612</v>
      </c>
      <c r="B167" s="0" t="s">
        <v>1610</v>
      </c>
      <c r="C167" s="0" t="s">
        <v>988</v>
      </c>
      <c r="D167" s="0" t="s">
        <v>1054</v>
      </c>
      <c r="E167" s="0" t="s">
        <v>1312</v>
      </c>
      <c r="F167" s="0" t="s">
        <v>1111</v>
      </c>
      <c r="G167" s="0" t="n">
        <v>27.5</v>
      </c>
      <c r="H167" s="0" t="n">
        <v>27.57</v>
      </c>
      <c r="I167" s="10" t="n">
        <v>0.5047</v>
      </c>
      <c r="J167" s="10" t="n">
        <v>0.4953</v>
      </c>
      <c r="K167" s="9" t="s">
        <v>3086</v>
      </c>
      <c r="L167" s="9" t="s">
        <v>3087</v>
      </c>
      <c r="M167" s="0" t="n">
        <v>27.54</v>
      </c>
      <c r="N167" s="10" t="n">
        <v>0.7</v>
      </c>
      <c r="O167" s="19"/>
      <c r="P167" s="0" t="str">
        <f aca="false">IF(O167="","",IF(O167&gt;G167,"OVER",IF(O167&lt;G167,"UNDER","PUSH")))</f>
        <v/>
      </c>
      <c r="Q167" s="0" t="n">
        <v>28.32</v>
      </c>
      <c r="R167" s="10" t="n">
        <v>0.5519</v>
      </c>
      <c r="S167" s="0" t="n">
        <v>1.0272</v>
      </c>
      <c r="T167" s="0" t="n">
        <v>26.76</v>
      </c>
      <c r="U167" s="0" t="n">
        <v>27.48</v>
      </c>
    </row>
    <row r="168" customFormat="false" ht="15" hidden="false" customHeight="false" outlineLevel="0" collapsed="false">
      <c r="A168" s="0" t="s">
        <v>1612</v>
      </c>
      <c r="B168" s="0" t="s">
        <v>1610</v>
      </c>
      <c r="C168" s="0" t="s">
        <v>988</v>
      </c>
      <c r="D168" s="0" t="s">
        <v>1054</v>
      </c>
      <c r="E168" s="0" t="s">
        <v>1314</v>
      </c>
      <c r="F168" s="0" t="s">
        <v>1107</v>
      </c>
      <c r="G168" s="0" t="n">
        <v>11</v>
      </c>
      <c r="H168" s="0" t="n">
        <v>9.1</v>
      </c>
      <c r="I168" s="10" t="n">
        <v>0.2269</v>
      </c>
      <c r="J168" s="10" t="n">
        <v>0.6688</v>
      </c>
      <c r="K168" s="9" t="s">
        <v>3086</v>
      </c>
      <c r="L168" s="9" t="s">
        <v>3087</v>
      </c>
      <c r="N168" s="10" t="n">
        <v>0.6</v>
      </c>
      <c r="O168" s="19"/>
      <c r="P168" s="0" t="str">
        <f aca="false">IF(O168="","",IF(O168&gt;G168,"OVER",IF(O168&lt;G168,"UNDER","PUSH")))</f>
        <v/>
      </c>
      <c r="Q168" s="0" t="n">
        <v>9.36</v>
      </c>
      <c r="R168" s="10" t="n">
        <v>0.2543</v>
      </c>
      <c r="S168" s="0" t="n">
        <v>1.0278</v>
      </c>
      <c r="T168" s="0" t="n">
        <v>9.32</v>
      </c>
      <c r="U168" s="0" t="n">
        <v>9.57</v>
      </c>
    </row>
    <row r="169" customFormat="false" ht="15" hidden="false" customHeight="false" outlineLevel="0" collapsed="false">
      <c r="A169" s="0" t="s">
        <v>1612</v>
      </c>
      <c r="B169" s="0" t="s">
        <v>1610</v>
      </c>
      <c r="C169" s="0" t="s">
        <v>988</v>
      </c>
      <c r="D169" s="0" t="s">
        <v>1054</v>
      </c>
      <c r="E169" s="0" t="s">
        <v>1314</v>
      </c>
      <c r="F169" s="0" t="s">
        <v>1111</v>
      </c>
      <c r="G169" s="0" t="n">
        <v>32</v>
      </c>
      <c r="H169" s="0" t="n">
        <v>29.02</v>
      </c>
      <c r="I169" s="10" t="n">
        <v>0.2925</v>
      </c>
      <c r="J169" s="10" t="n">
        <v>0.6514</v>
      </c>
      <c r="K169" s="9" t="s">
        <v>3086</v>
      </c>
      <c r="L169" s="9" t="s">
        <v>3087</v>
      </c>
      <c r="M169" s="0" t="n">
        <v>31.24</v>
      </c>
      <c r="N169" s="10" t="n">
        <v>0.4</v>
      </c>
      <c r="O169" s="19"/>
      <c r="P169" s="0" t="str">
        <f aca="false">IF(O169="","",IF(O169&gt;G169,"OVER",IF(O169&lt;G169,"UNDER","PUSH")))</f>
        <v/>
      </c>
      <c r="Q169" s="0" t="n">
        <v>29.82</v>
      </c>
      <c r="R169" s="10" t="n">
        <v>0.3389</v>
      </c>
      <c r="S169" s="0" t="n">
        <v>1.0274</v>
      </c>
      <c r="T169" s="0" t="n">
        <v>29.3</v>
      </c>
      <c r="U169" s="0" t="n">
        <v>30.1</v>
      </c>
    </row>
    <row r="170" customFormat="false" ht="15" hidden="false" customHeight="false" outlineLevel="0" collapsed="false">
      <c r="A170" s="0" t="s">
        <v>1612</v>
      </c>
      <c r="B170" s="0" t="s">
        <v>1610</v>
      </c>
      <c r="C170" s="0" t="s">
        <v>988</v>
      </c>
      <c r="D170" s="0" t="s">
        <v>1034</v>
      </c>
      <c r="E170" s="0" t="s">
        <v>1316</v>
      </c>
      <c r="F170" s="0" t="s">
        <v>1111</v>
      </c>
      <c r="G170" s="0" t="n">
        <v>29</v>
      </c>
      <c r="H170" s="0" t="n">
        <v>30.55</v>
      </c>
      <c r="I170" s="10" t="n">
        <v>0.5638</v>
      </c>
      <c r="J170" s="10" t="n">
        <v>0.3769</v>
      </c>
      <c r="K170" s="9" t="s">
        <v>3088</v>
      </c>
      <c r="L170" s="9" t="s">
        <v>3089</v>
      </c>
      <c r="M170" s="0" t="n">
        <v>27.69</v>
      </c>
      <c r="N170" s="10" t="n">
        <v>0.5</v>
      </c>
      <c r="O170" s="19"/>
      <c r="P170" s="0" t="str">
        <f aca="false">IF(O170="","",IF(O170&gt;G170,"OVER",IF(O170&lt;G170,"UNDER","PUSH")))</f>
        <v/>
      </c>
      <c r="Q170" s="0" t="n">
        <v>30.3</v>
      </c>
      <c r="R170" s="10" t="n">
        <v>0.549</v>
      </c>
      <c r="S170" s="0" t="n">
        <v>0.9919</v>
      </c>
      <c r="T170" s="0" t="n">
        <v>30.08</v>
      </c>
      <c r="U170" s="0" t="n">
        <v>29.76</v>
      </c>
    </row>
    <row r="171" customFormat="false" ht="15" hidden="false" customHeight="false" outlineLevel="0" collapsed="false">
      <c r="A171" s="0" t="s">
        <v>1612</v>
      </c>
      <c r="B171" s="0" t="s">
        <v>1610</v>
      </c>
      <c r="C171" s="0" t="s">
        <v>988</v>
      </c>
      <c r="D171" s="0" t="s">
        <v>1034</v>
      </c>
      <c r="E171" s="0" t="s">
        <v>1318</v>
      </c>
      <c r="F171" s="0" t="s">
        <v>1107</v>
      </c>
      <c r="G171" s="0" t="n">
        <v>17</v>
      </c>
      <c r="H171" s="0" t="n">
        <v>17.98</v>
      </c>
      <c r="I171" s="10" t="n">
        <v>0.5401</v>
      </c>
      <c r="J171" s="10" t="n">
        <v>0.3777</v>
      </c>
      <c r="K171" s="9" t="s">
        <v>3088</v>
      </c>
      <c r="L171" s="9" t="s">
        <v>3089</v>
      </c>
      <c r="N171" s="10" t="n">
        <v>0.5</v>
      </c>
      <c r="O171" s="19"/>
      <c r="P171" s="0" t="str">
        <f aca="false">IF(O171="","",IF(O171&gt;G171,"OVER",IF(O171&lt;G171,"UNDER","PUSH")))</f>
        <v/>
      </c>
      <c r="Q171" s="0" t="n">
        <v>17.75</v>
      </c>
      <c r="R171" s="10" t="n">
        <v>0.5215</v>
      </c>
      <c r="S171" s="0" t="n">
        <v>0.9876</v>
      </c>
      <c r="T171" s="0" t="n">
        <v>17.29</v>
      </c>
      <c r="U171" s="0" t="n">
        <v>17.11</v>
      </c>
    </row>
    <row r="172" customFormat="false" ht="15" hidden="false" customHeight="false" outlineLevel="0" collapsed="false">
      <c r="A172" s="0" t="s">
        <v>1612</v>
      </c>
      <c r="B172" s="0" t="s">
        <v>1610</v>
      </c>
      <c r="C172" s="0" t="s">
        <v>988</v>
      </c>
      <c r="D172" s="0" t="s">
        <v>1034</v>
      </c>
      <c r="E172" s="0" t="s">
        <v>1318</v>
      </c>
      <c r="F172" s="0" t="s">
        <v>1111</v>
      </c>
      <c r="G172" s="0" t="n">
        <v>27.5</v>
      </c>
      <c r="H172" s="0" t="n">
        <v>28.68</v>
      </c>
      <c r="I172" s="10" t="n">
        <v>0.5741</v>
      </c>
      <c r="J172" s="10" t="n">
        <v>0.4259</v>
      </c>
      <c r="K172" s="9" t="s">
        <v>3088</v>
      </c>
      <c r="L172" s="9" t="s">
        <v>3089</v>
      </c>
      <c r="M172" s="0" t="n">
        <v>28.14</v>
      </c>
      <c r="N172" s="10" t="n">
        <v>0.8</v>
      </c>
      <c r="O172" s="19"/>
      <c r="P172" s="0" t="str">
        <f aca="false">IF(O172="","",IF(O172&gt;G172,"OVER",IF(O172&lt;G172,"UNDER","PUSH")))</f>
        <v/>
      </c>
      <c r="Q172" s="0" t="n">
        <v>28.35</v>
      </c>
      <c r="R172" s="10" t="n">
        <v>0.5537</v>
      </c>
      <c r="S172" s="0" t="n">
        <v>0.9884</v>
      </c>
      <c r="T172" s="0" t="n">
        <v>27.53</v>
      </c>
      <c r="U172" s="0" t="n">
        <v>27.25</v>
      </c>
    </row>
    <row r="173" customFormat="false" ht="15" hidden="false" customHeight="false" outlineLevel="0" collapsed="false">
      <c r="A173" s="0" t="s">
        <v>1612</v>
      </c>
      <c r="B173" s="0" t="s">
        <v>1610</v>
      </c>
      <c r="C173" s="0" t="s">
        <v>988</v>
      </c>
      <c r="D173" s="0" t="s">
        <v>1034</v>
      </c>
      <c r="E173" s="0" t="s">
        <v>1320</v>
      </c>
      <c r="F173" s="0" t="s">
        <v>1107</v>
      </c>
      <c r="G173" s="0" t="n">
        <v>16.5</v>
      </c>
      <c r="H173" s="0" t="n">
        <v>16.16</v>
      </c>
      <c r="I173" s="10" t="n">
        <v>0.4699</v>
      </c>
      <c r="J173" s="10" t="n">
        <v>0.5301</v>
      </c>
      <c r="K173" s="9" t="s">
        <v>3088</v>
      </c>
      <c r="L173" s="9" t="s">
        <v>3089</v>
      </c>
      <c r="N173" s="10" t="n">
        <v>0.6</v>
      </c>
      <c r="O173" s="19"/>
      <c r="P173" s="0" t="str">
        <f aca="false">IF(O173="","",IF(O173&gt;G173,"OVER",IF(O173&lt;G173,"UNDER","PUSH")))</f>
        <v/>
      </c>
      <c r="Q173" s="0" t="n">
        <v>16.1</v>
      </c>
      <c r="R173" s="10" t="n">
        <v>0.4639</v>
      </c>
      <c r="S173" s="0" t="n">
        <v>0.9959</v>
      </c>
      <c r="T173" s="0" t="n">
        <v>16.6</v>
      </c>
      <c r="U173" s="0" t="n">
        <v>16.43</v>
      </c>
    </row>
    <row r="174" customFormat="false" ht="15" hidden="false" customHeight="false" outlineLevel="0" collapsed="false">
      <c r="A174" s="0" t="s">
        <v>1612</v>
      </c>
      <c r="B174" s="0" t="s">
        <v>1610</v>
      </c>
      <c r="C174" s="0" t="s">
        <v>988</v>
      </c>
      <c r="D174" s="0" t="s">
        <v>1034</v>
      </c>
      <c r="E174" s="0" t="s">
        <v>1320</v>
      </c>
      <c r="F174" s="0" t="s">
        <v>1111</v>
      </c>
      <c r="G174" s="0" t="n">
        <v>26.5</v>
      </c>
      <c r="H174" s="0" t="n">
        <v>28.02</v>
      </c>
      <c r="I174" s="10" t="n">
        <v>0.5959</v>
      </c>
      <c r="J174" s="10" t="n">
        <v>0.4041</v>
      </c>
      <c r="K174" s="9" t="s">
        <v>3088</v>
      </c>
      <c r="L174" s="9" t="s">
        <v>3089</v>
      </c>
      <c r="M174" s="0" t="n">
        <v>27.6</v>
      </c>
      <c r="N174" s="10" t="n">
        <v>0.5</v>
      </c>
      <c r="O174" s="19"/>
      <c r="P174" s="0" t="str">
        <f aca="false">IF(O174="","",IF(O174&gt;G174,"OVER",IF(O174&lt;G174,"UNDER","PUSH")))</f>
        <v/>
      </c>
      <c r="Q174" s="0" t="n">
        <v>27.86</v>
      </c>
      <c r="R174" s="10" t="n">
        <v>0.5863</v>
      </c>
      <c r="S174" s="0" t="n">
        <v>0.9943</v>
      </c>
      <c r="T174" s="0" t="n">
        <v>27.53</v>
      </c>
      <c r="U174" s="0" t="n">
        <v>27.25</v>
      </c>
    </row>
    <row r="175" customFormat="false" ht="15" hidden="false" customHeight="false" outlineLevel="0" collapsed="false">
      <c r="A175" s="0" t="s">
        <v>1612</v>
      </c>
      <c r="B175" s="0" t="s">
        <v>1610</v>
      </c>
      <c r="C175" s="0" t="s">
        <v>988</v>
      </c>
      <c r="D175" s="0" t="s">
        <v>1034</v>
      </c>
      <c r="E175" s="0" t="s">
        <v>1322</v>
      </c>
      <c r="F175" s="0" t="s">
        <v>1107</v>
      </c>
      <c r="G175" s="0" t="n">
        <v>11.5</v>
      </c>
      <c r="H175" s="0" t="n">
        <v>10.12</v>
      </c>
      <c r="I175" s="10" t="n">
        <v>0.3457</v>
      </c>
      <c r="J175" s="10" t="n">
        <v>0.6543</v>
      </c>
      <c r="K175" s="9" t="s">
        <v>3088</v>
      </c>
      <c r="L175" s="9" t="s">
        <v>3089</v>
      </c>
      <c r="N175" s="10" t="n">
        <v>0.3</v>
      </c>
      <c r="O175" s="19"/>
      <c r="P175" s="0" t="str">
        <f aca="false">IF(O175="","",IF(O175&gt;G175,"OVER",IF(O175&lt;G175,"UNDER","PUSH")))</f>
        <v/>
      </c>
      <c r="Q175" s="0" t="n">
        <v>9.98</v>
      </c>
      <c r="R175" s="10" t="n">
        <v>0.3298</v>
      </c>
      <c r="S175" s="0" t="n">
        <v>0.9862</v>
      </c>
      <c r="T175" s="0" t="n">
        <v>10.89</v>
      </c>
      <c r="U175" s="0" t="n">
        <v>10.77</v>
      </c>
    </row>
    <row r="176" customFormat="false" ht="15" hidden="false" customHeight="false" outlineLevel="0" collapsed="false">
      <c r="A176" s="0" t="s">
        <v>1612</v>
      </c>
      <c r="B176" s="0" t="s">
        <v>1610</v>
      </c>
      <c r="C176" s="0" t="s">
        <v>988</v>
      </c>
      <c r="D176" s="0" t="s">
        <v>1034</v>
      </c>
      <c r="E176" s="0" t="s">
        <v>1322</v>
      </c>
      <c r="F176" s="0" t="s">
        <v>1111</v>
      </c>
      <c r="G176" s="0" t="n">
        <v>22</v>
      </c>
      <c r="H176" s="0" t="n">
        <v>21.25</v>
      </c>
      <c r="I176" s="10" t="n">
        <v>0.4093</v>
      </c>
      <c r="J176" s="10" t="n">
        <v>0.5183</v>
      </c>
      <c r="K176" s="9" t="s">
        <v>3088</v>
      </c>
      <c r="L176" s="9" t="s">
        <v>3089</v>
      </c>
      <c r="M176" s="0" t="n">
        <v>20.79</v>
      </c>
      <c r="N176" s="10" t="n">
        <v>0.3</v>
      </c>
      <c r="O176" s="19"/>
      <c r="P176" s="0" t="str">
        <f aca="false">IF(O176="","",IF(O176&gt;G176,"OVER",IF(O176&lt;G176,"UNDER","PUSH")))</f>
        <v/>
      </c>
      <c r="Q176" s="0" t="n">
        <v>20.98</v>
      </c>
      <c r="R176" s="10" t="n">
        <v>0.3898</v>
      </c>
      <c r="S176" s="0" t="n">
        <v>0.9875</v>
      </c>
      <c r="T176" s="0" t="n">
        <v>21.6</v>
      </c>
      <c r="U176" s="0" t="n">
        <v>21.38</v>
      </c>
    </row>
    <row r="177" customFormat="false" ht="15" hidden="false" customHeight="false" outlineLevel="0" collapsed="false">
      <c r="A177" s="0" t="s">
        <v>1612</v>
      </c>
      <c r="B177" s="0" t="s">
        <v>1610</v>
      </c>
      <c r="C177" s="0" t="s">
        <v>988</v>
      </c>
      <c r="D177" s="0" t="s">
        <v>1034</v>
      </c>
      <c r="E177" s="0" t="s">
        <v>1324</v>
      </c>
      <c r="F177" s="0" t="s">
        <v>1107</v>
      </c>
      <c r="G177" s="0" t="n">
        <v>10.5</v>
      </c>
      <c r="H177" s="0" t="n">
        <v>9.84</v>
      </c>
      <c r="I177" s="10" t="n">
        <v>0.4219</v>
      </c>
      <c r="J177" s="10" t="n">
        <v>0.5781</v>
      </c>
      <c r="K177" s="9" t="s">
        <v>3088</v>
      </c>
      <c r="L177" s="9" t="s">
        <v>3089</v>
      </c>
      <c r="N177" s="10" t="n">
        <v>0.3</v>
      </c>
      <c r="O177" s="19"/>
      <c r="P177" s="0" t="str">
        <f aca="false">IF(O177="","",IF(O177&gt;G177,"OVER",IF(O177&lt;G177,"UNDER","PUSH")))</f>
        <v/>
      </c>
      <c r="Q177" s="0" t="n">
        <v>9.75</v>
      </c>
      <c r="R177" s="10" t="n">
        <v>0.4114</v>
      </c>
      <c r="S177" s="0" t="n">
        <v>0.9912</v>
      </c>
      <c r="T177" s="0" t="n">
        <v>9.96</v>
      </c>
      <c r="U177" s="0" t="n">
        <v>9.86</v>
      </c>
    </row>
    <row r="178" customFormat="false" ht="15" hidden="false" customHeight="false" outlineLevel="0" collapsed="false">
      <c r="A178" s="0" t="s">
        <v>1612</v>
      </c>
      <c r="B178" s="0" t="s">
        <v>1610</v>
      </c>
      <c r="C178" s="0" t="s">
        <v>988</v>
      </c>
      <c r="D178" s="0" t="s">
        <v>1034</v>
      </c>
      <c r="E178" s="0" t="s">
        <v>1324</v>
      </c>
      <c r="F178" s="0" t="s">
        <v>1111</v>
      </c>
      <c r="G178" s="0" t="n">
        <v>25.5</v>
      </c>
      <c r="H178" s="0" t="n">
        <v>26.22</v>
      </c>
      <c r="I178" s="10" t="n">
        <v>0.5476</v>
      </c>
      <c r="J178" s="10" t="n">
        <v>0.4524</v>
      </c>
      <c r="K178" s="9" t="s">
        <v>3088</v>
      </c>
      <c r="L178" s="9" t="s">
        <v>3089</v>
      </c>
      <c r="M178" s="0" t="n">
        <v>25.54</v>
      </c>
      <c r="N178" s="10" t="n">
        <v>0.5</v>
      </c>
      <c r="O178" s="19"/>
      <c r="P178" s="0" t="str">
        <f aca="false">IF(O178="","",IF(O178&gt;G178,"OVER",IF(O178&lt;G178,"UNDER","PUSH")))</f>
        <v/>
      </c>
      <c r="Q178" s="0" t="n">
        <v>25.95</v>
      </c>
      <c r="R178" s="10" t="n">
        <v>0.5295</v>
      </c>
      <c r="S178" s="0" t="n">
        <v>0.9894</v>
      </c>
      <c r="T178" s="0" t="n">
        <v>25.42</v>
      </c>
      <c r="U178" s="0" t="n">
        <v>25.15</v>
      </c>
    </row>
    <row r="179" customFormat="false" ht="15" hidden="false" customHeight="false" outlineLevel="0" collapsed="false">
      <c r="A179" s="0" t="s">
        <v>1612</v>
      </c>
      <c r="B179" s="0" t="s">
        <v>1610</v>
      </c>
      <c r="C179" s="0" t="s">
        <v>988</v>
      </c>
      <c r="D179" s="0" t="s">
        <v>1034</v>
      </c>
      <c r="E179" s="0" t="s">
        <v>1326</v>
      </c>
      <c r="F179" s="0" t="s">
        <v>1107</v>
      </c>
      <c r="G179" s="0" t="n">
        <v>14.5</v>
      </c>
      <c r="H179" s="0" t="n">
        <v>13.95</v>
      </c>
      <c r="I179" s="10" t="n">
        <v>0.4464</v>
      </c>
      <c r="J179" s="10" t="n">
        <v>0.5536</v>
      </c>
      <c r="K179" s="9" t="s">
        <v>3088</v>
      </c>
      <c r="L179" s="9" t="s">
        <v>3089</v>
      </c>
      <c r="N179" s="10" t="n">
        <v>0.3</v>
      </c>
      <c r="O179" s="19"/>
      <c r="P179" s="0" t="str">
        <f aca="false">IF(O179="","",IF(O179&gt;G179,"OVER",IF(O179&lt;G179,"UNDER","PUSH")))</f>
        <v/>
      </c>
      <c r="Q179" s="0" t="n">
        <v>14.07</v>
      </c>
      <c r="R179" s="10" t="n">
        <v>0.4587</v>
      </c>
      <c r="S179" s="0" t="n">
        <v>1.009</v>
      </c>
      <c r="T179" s="0" t="n">
        <v>14.24</v>
      </c>
      <c r="U179" s="0" t="n">
        <v>14.36</v>
      </c>
    </row>
    <row r="180" customFormat="false" ht="15" hidden="false" customHeight="false" outlineLevel="0" collapsed="false">
      <c r="A180" s="0" t="s">
        <v>1612</v>
      </c>
      <c r="B180" s="0" t="s">
        <v>1610</v>
      </c>
      <c r="C180" s="0" t="s">
        <v>988</v>
      </c>
      <c r="D180" s="0" t="s">
        <v>1034</v>
      </c>
      <c r="E180" s="0" t="s">
        <v>1326</v>
      </c>
      <c r="F180" s="0" t="s">
        <v>1111</v>
      </c>
      <c r="G180" s="0" t="n">
        <v>27.5</v>
      </c>
      <c r="H180" s="0" t="n">
        <v>26.24</v>
      </c>
      <c r="I180" s="10" t="n">
        <v>0.4179</v>
      </c>
      <c r="J180" s="10" t="n">
        <v>0.5821</v>
      </c>
      <c r="K180" s="9" t="s">
        <v>3088</v>
      </c>
      <c r="L180" s="9" t="s">
        <v>3089</v>
      </c>
      <c r="M180" s="0" t="n">
        <v>28.52</v>
      </c>
      <c r="N180" s="10" t="n">
        <v>0.4</v>
      </c>
      <c r="O180" s="19"/>
      <c r="P180" s="0" t="str">
        <f aca="false">IF(O180="","",IF(O180&gt;G180,"OVER",IF(O180&lt;G180,"UNDER","PUSH")))</f>
        <v/>
      </c>
      <c r="Q180" s="0" t="n">
        <v>26.44</v>
      </c>
      <c r="R180" s="10" t="n">
        <v>0.4308</v>
      </c>
      <c r="S180" s="0" t="n">
        <v>1.0074</v>
      </c>
      <c r="T180" s="0" t="n">
        <v>27.53</v>
      </c>
      <c r="U180" s="0" t="n">
        <v>27.77</v>
      </c>
    </row>
    <row r="181" customFormat="false" ht="15" hidden="false" customHeight="false" outlineLevel="0" collapsed="false">
      <c r="A181" s="0" t="s">
        <v>1612</v>
      </c>
      <c r="B181" s="0" t="s">
        <v>1610</v>
      </c>
      <c r="C181" s="0" t="s">
        <v>988</v>
      </c>
      <c r="D181" s="0" t="s">
        <v>1034</v>
      </c>
      <c r="E181" s="0" t="s">
        <v>1328</v>
      </c>
      <c r="F181" s="0" t="s">
        <v>1107</v>
      </c>
      <c r="G181" s="0" t="n">
        <v>18.5</v>
      </c>
      <c r="H181" s="0" t="n">
        <v>18.39</v>
      </c>
      <c r="I181" s="10" t="n">
        <v>0.4909</v>
      </c>
      <c r="J181" s="10" t="n">
        <v>0.5091</v>
      </c>
      <c r="K181" s="9" t="s">
        <v>3088</v>
      </c>
      <c r="L181" s="9" t="s">
        <v>3089</v>
      </c>
      <c r="N181" s="10" t="n">
        <v>0.6</v>
      </c>
      <c r="O181" s="19"/>
      <c r="P181" s="0" t="str">
        <f aca="false">IF(O181="","",IF(O181&gt;G181,"OVER",IF(O181&lt;G181,"UNDER","PUSH")))</f>
        <v/>
      </c>
      <c r="Q181" s="0" t="n">
        <v>18.55</v>
      </c>
      <c r="R181" s="10" t="n">
        <v>0.5044</v>
      </c>
      <c r="S181" s="0" t="n">
        <v>1.0088</v>
      </c>
      <c r="T181" s="0" t="n">
        <v>17.3</v>
      </c>
      <c r="U181" s="0" t="n">
        <v>17.45</v>
      </c>
    </row>
    <row r="182" customFormat="false" ht="15" hidden="false" customHeight="false" outlineLevel="0" collapsed="false">
      <c r="A182" s="0" t="s">
        <v>1612</v>
      </c>
      <c r="B182" s="0" t="s">
        <v>1610</v>
      </c>
      <c r="C182" s="0" t="s">
        <v>988</v>
      </c>
      <c r="D182" s="0" t="s">
        <v>1034</v>
      </c>
      <c r="E182" s="0" t="s">
        <v>1328</v>
      </c>
      <c r="F182" s="0" t="s">
        <v>1111</v>
      </c>
      <c r="G182" s="0" t="n">
        <v>30.5</v>
      </c>
      <c r="H182" s="0" t="n">
        <v>30.28</v>
      </c>
      <c r="I182" s="10" t="n">
        <v>0.4867</v>
      </c>
      <c r="J182" s="10" t="n">
        <v>0.5133</v>
      </c>
      <c r="K182" s="9" t="s">
        <v>3088</v>
      </c>
      <c r="L182" s="9" t="s">
        <v>3089</v>
      </c>
      <c r="M182" s="0" t="n">
        <v>30.64</v>
      </c>
      <c r="N182" s="10" t="n">
        <v>0.4</v>
      </c>
      <c r="O182" s="19"/>
      <c r="P182" s="0" t="str">
        <f aca="false">IF(O182="","",IF(O182&gt;G182,"OVER",IF(O182&lt;G182,"UNDER","PUSH")))</f>
        <v/>
      </c>
      <c r="Q182" s="0" t="n">
        <v>30.53</v>
      </c>
      <c r="R182" s="10" t="n">
        <v>0.5021</v>
      </c>
      <c r="S182" s="0" t="n">
        <v>1.0083</v>
      </c>
      <c r="T182" s="0" t="n">
        <v>29.23</v>
      </c>
      <c r="U182" s="0" t="n">
        <v>29.48</v>
      </c>
    </row>
    <row r="183" customFormat="false" ht="15" hidden="false" customHeight="false" outlineLevel="0" collapsed="false">
      <c r="A183" s="0" t="s">
        <v>1612</v>
      </c>
      <c r="B183" s="0" t="s">
        <v>1610</v>
      </c>
      <c r="C183" s="0" t="s">
        <v>988</v>
      </c>
      <c r="D183" s="0" t="s">
        <v>1034</v>
      </c>
      <c r="E183" s="0" t="s">
        <v>1330</v>
      </c>
      <c r="F183" s="0" t="s">
        <v>1107</v>
      </c>
      <c r="G183" s="0" t="n">
        <v>10</v>
      </c>
      <c r="H183" s="0" t="n">
        <v>8.22</v>
      </c>
      <c r="I183" s="10" t="n">
        <v>0.2256</v>
      </c>
      <c r="J183" s="10" t="n">
        <v>0.6638</v>
      </c>
      <c r="K183" s="9" t="s">
        <v>3088</v>
      </c>
      <c r="L183" s="9" t="s">
        <v>3089</v>
      </c>
      <c r="N183" s="10" t="n">
        <v>0.6</v>
      </c>
      <c r="O183" s="19"/>
      <c r="P183" s="0" t="str">
        <f aca="false">IF(O183="","",IF(O183&gt;G183,"OVER",IF(O183&lt;G183,"UNDER","PUSH")))</f>
        <v/>
      </c>
      <c r="Q183" s="0" t="n">
        <v>8.33</v>
      </c>
      <c r="R183" s="10" t="n">
        <v>0.2387</v>
      </c>
      <c r="S183" s="0" t="n">
        <v>1.0139</v>
      </c>
      <c r="T183" s="0" t="n">
        <v>9</v>
      </c>
      <c r="U183" s="0" t="n">
        <v>9.07</v>
      </c>
    </row>
    <row r="184" customFormat="false" ht="15" hidden="false" customHeight="false" outlineLevel="0" collapsed="false">
      <c r="A184" s="0" t="s">
        <v>1612</v>
      </c>
      <c r="B184" s="0" t="s">
        <v>1610</v>
      </c>
      <c r="C184" s="0" t="s">
        <v>988</v>
      </c>
      <c r="D184" s="0" t="s">
        <v>1034</v>
      </c>
      <c r="E184" s="0" t="s">
        <v>1330</v>
      </c>
      <c r="F184" s="0" t="s">
        <v>1111</v>
      </c>
      <c r="G184" s="0" t="n">
        <v>30.5</v>
      </c>
      <c r="H184" s="0" t="n">
        <v>28.65</v>
      </c>
      <c r="I184" s="10" t="n">
        <v>0.3851</v>
      </c>
      <c r="J184" s="10" t="n">
        <v>0.6149</v>
      </c>
      <c r="K184" s="9" t="s">
        <v>3088</v>
      </c>
      <c r="L184" s="9" t="s">
        <v>3089</v>
      </c>
      <c r="M184" s="0" t="n">
        <v>30</v>
      </c>
      <c r="N184" s="10" t="n">
        <v>0.5</v>
      </c>
      <c r="O184" s="19"/>
      <c r="P184" s="0" t="str">
        <f aca="false">IF(O184="","",IF(O184&gt;G184,"OVER",IF(O184&lt;G184,"UNDER","PUSH")))</f>
        <v/>
      </c>
      <c r="Q184" s="0" t="n">
        <v>28.97</v>
      </c>
      <c r="R184" s="10" t="n">
        <v>0.405</v>
      </c>
      <c r="S184" s="0" t="n">
        <v>1.0111</v>
      </c>
      <c r="T184" s="0" t="n">
        <v>28.38</v>
      </c>
      <c r="U184" s="0" t="n">
        <v>28.63</v>
      </c>
    </row>
    <row r="185" customFormat="false" ht="15" hidden="false" customHeight="false" outlineLevel="0" collapsed="false">
      <c r="A185" s="0" t="s">
        <v>1612</v>
      </c>
      <c r="B185" s="0" t="s">
        <v>1610</v>
      </c>
      <c r="C185" s="0" t="s">
        <v>988</v>
      </c>
      <c r="D185" s="0" t="s">
        <v>1034</v>
      </c>
      <c r="E185" s="0" t="s">
        <v>1332</v>
      </c>
      <c r="F185" s="0" t="s">
        <v>1107</v>
      </c>
      <c r="G185" s="0" t="n">
        <v>19.5</v>
      </c>
      <c r="H185" s="0" t="n">
        <v>18.53</v>
      </c>
      <c r="I185" s="10" t="n">
        <v>0.4202</v>
      </c>
      <c r="J185" s="10" t="n">
        <v>0.5798</v>
      </c>
      <c r="K185" s="9" t="s">
        <v>3088</v>
      </c>
      <c r="L185" s="9" t="s">
        <v>3089</v>
      </c>
      <c r="N185" s="10" t="n">
        <v>0.7</v>
      </c>
      <c r="O185" s="19"/>
      <c r="P185" s="0" t="str">
        <f aca="false">IF(O185="","",IF(O185&gt;G185,"OVER",IF(O185&lt;G185,"UNDER","PUSH")))</f>
        <v/>
      </c>
      <c r="Q185" s="0" t="n">
        <v>18.66</v>
      </c>
      <c r="R185" s="10" t="n">
        <v>0.4309</v>
      </c>
      <c r="S185" s="0" t="n">
        <v>1.007</v>
      </c>
      <c r="T185" s="0" t="n">
        <v>18.84</v>
      </c>
      <c r="U185" s="0" t="n">
        <v>19</v>
      </c>
    </row>
    <row r="186" customFormat="false" ht="15" hidden="false" customHeight="false" outlineLevel="0" collapsed="false">
      <c r="A186" s="0" t="s">
        <v>1612</v>
      </c>
      <c r="B186" s="0" t="s">
        <v>1610</v>
      </c>
      <c r="C186" s="0" t="s">
        <v>988</v>
      </c>
      <c r="D186" s="0" t="s">
        <v>1034</v>
      </c>
      <c r="E186" s="0" t="s">
        <v>1332</v>
      </c>
      <c r="F186" s="0" t="s">
        <v>1111</v>
      </c>
      <c r="G186" s="0" t="n">
        <v>29.5</v>
      </c>
      <c r="H186" s="0" t="n">
        <v>28.91</v>
      </c>
      <c r="I186" s="10" t="n">
        <v>0.4629</v>
      </c>
      <c r="J186" s="10" t="n">
        <v>0.5371</v>
      </c>
      <c r="K186" s="9" t="s">
        <v>3088</v>
      </c>
      <c r="L186" s="9" t="s">
        <v>3089</v>
      </c>
      <c r="M186" s="0" t="n">
        <v>29.1</v>
      </c>
      <c r="N186" s="10" t="n">
        <v>0.5</v>
      </c>
      <c r="O186" s="19"/>
      <c r="P186" s="0" t="str">
        <f aca="false">IF(O186="","",IF(O186&gt;G186,"OVER",IF(O186&lt;G186,"UNDER","PUSH")))</f>
        <v/>
      </c>
      <c r="Q186" s="0" t="n">
        <v>29.09</v>
      </c>
      <c r="R186" s="10" t="n">
        <v>0.4744</v>
      </c>
      <c r="S186" s="0" t="n">
        <v>1.0063</v>
      </c>
      <c r="T186" s="0" t="n">
        <v>28.8</v>
      </c>
      <c r="U186" s="0" t="n">
        <v>29.05</v>
      </c>
    </row>
    <row r="187" customFormat="false" ht="15" hidden="false" customHeight="false" outlineLevel="0" collapsed="false">
      <c r="A187" s="0" t="s">
        <v>1612</v>
      </c>
      <c r="B187" s="0" t="s">
        <v>1610</v>
      </c>
      <c r="C187" s="0" t="s">
        <v>988</v>
      </c>
      <c r="D187" s="0" t="s">
        <v>1034</v>
      </c>
      <c r="E187" s="0" t="s">
        <v>1334</v>
      </c>
      <c r="F187" s="0" t="s">
        <v>1107</v>
      </c>
      <c r="G187" s="0" t="n">
        <v>15.5</v>
      </c>
      <c r="H187" s="0" t="n">
        <v>16.74</v>
      </c>
      <c r="I187" s="10" t="n">
        <v>0.6085</v>
      </c>
      <c r="J187" s="10" t="n">
        <v>0.3915</v>
      </c>
      <c r="K187" s="9" t="s">
        <v>3088</v>
      </c>
      <c r="L187" s="9" t="s">
        <v>3089</v>
      </c>
      <c r="N187" s="10" t="n">
        <v>0.4</v>
      </c>
      <c r="O187" s="19"/>
      <c r="P187" s="0" t="str">
        <f aca="false">IF(O187="","",IF(O187&gt;G187,"OVER",IF(O187&lt;G187,"UNDER","PUSH")))</f>
        <v/>
      </c>
      <c r="Q187" s="0" t="n">
        <v>16.91</v>
      </c>
      <c r="R187" s="10" t="n">
        <v>0.622</v>
      </c>
      <c r="S187" s="0" t="n">
        <v>1.0099</v>
      </c>
      <c r="T187" s="0" t="n">
        <v>15.72</v>
      </c>
      <c r="U187" s="0" t="n">
        <v>15.85</v>
      </c>
    </row>
    <row r="188" customFormat="false" ht="15" hidden="false" customHeight="false" outlineLevel="0" collapsed="false">
      <c r="A188" s="0" t="s">
        <v>1612</v>
      </c>
      <c r="B188" s="0" t="s">
        <v>1610</v>
      </c>
      <c r="C188" s="0" t="s">
        <v>988</v>
      </c>
      <c r="D188" s="0" t="s">
        <v>1034</v>
      </c>
      <c r="E188" s="0" t="s">
        <v>1334</v>
      </c>
      <c r="F188" s="0" t="s">
        <v>1111</v>
      </c>
      <c r="G188" s="0" t="n">
        <v>30.5</v>
      </c>
      <c r="H188" s="0" t="n">
        <v>30.94</v>
      </c>
      <c r="I188" s="10" t="n">
        <v>0.5264</v>
      </c>
      <c r="J188" s="10" t="n">
        <v>0.4736</v>
      </c>
      <c r="K188" s="9" t="s">
        <v>3088</v>
      </c>
      <c r="L188" s="9" t="s">
        <v>3089</v>
      </c>
      <c r="M188" s="0" t="n">
        <v>30</v>
      </c>
      <c r="N188" s="10" t="n">
        <v>0.5</v>
      </c>
      <c r="O188" s="19"/>
      <c r="P188" s="0" t="str">
        <f aca="false">IF(O188="","",IF(O188&gt;G188,"OVER",IF(O188&lt;G188,"UNDER","PUSH")))</f>
        <v/>
      </c>
      <c r="Q188" s="0" t="n">
        <v>31.2</v>
      </c>
      <c r="R188" s="10" t="n">
        <v>0.5422</v>
      </c>
      <c r="S188" s="0" t="n">
        <v>1.0085</v>
      </c>
      <c r="T188" s="0" t="n">
        <v>29.65</v>
      </c>
      <c r="U188" s="0" t="n">
        <v>29.91</v>
      </c>
    </row>
    <row r="189" customFormat="false" ht="15" hidden="false" customHeight="false" outlineLevel="0" collapsed="false">
      <c r="A189" s="0" t="s">
        <v>1612</v>
      </c>
      <c r="B189" s="0" t="s">
        <v>1610</v>
      </c>
      <c r="C189" s="0" t="s">
        <v>988</v>
      </c>
      <c r="D189" s="0" t="s">
        <v>996</v>
      </c>
      <c r="E189" s="0" t="s">
        <v>1336</v>
      </c>
      <c r="F189" s="0" t="s">
        <v>1107</v>
      </c>
      <c r="G189" s="0" t="n">
        <v>24</v>
      </c>
      <c r="H189" s="0" t="n">
        <v>21.62</v>
      </c>
      <c r="I189" s="10" t="n">
        <v>0.29</v>
      </c>
      <c r="J189" s="10" t="n">
        <v>0.641</v>
      </c>
      <c r="K189" s="9" t="s">
        <v>3086</v>
      </c>
      <c r="L189" s="9" t="s">
        <v>3090</v>
      </c>
      <c r="N189" s="10" t="n">
        <v>0.4</v>
      </c>
      <c r="O189" s="19"/>
      <c r="P189" s="0" t="str">
        <f aca="false">IF(O189="","",IF(O189&gt;G189,"OVER",IF(O189&lt;G189,"UNDER","PUSH")))</f>
        <v/>
      </c>
      <c r="Q189" s="0" t="n">
        <v>22.24</v>
      </c>
      <c r="R189" s="10" t="n">
        <v>0.334</v>
      </c>
      <c r="S189" s="0" t="n">
        <v>1.0285</v>
      </c>
      <c r="T189" s="0" t="n">
        <v>22.89</v>
      </c>
      <c r="U189" s="0" t="n">
        <v>23.55</v>
      </c>
    </row>
    <row r="190" customFormat="false" ht="15" hidden="false" customHeight="false" outlineLevel="0" collapsed="false">
      <c r="A190" s="0" t="s">
        <v>1612</v>
      </c>
      <c r="B190" s="0" t="s">
        <v>1610</v>
      </c>
      <c r="C190" s="0" t="s">
        <v>988</v>
      </c>
      <c r="D190" s="0" t="s">
        <v>996</v>
      </c>
      <c r="E190" s="0" t="s">
        <v>1336</v>
      </c>
      <c r="F190" s="0" t="s">
        <v>1111</v>
      </c>
      <c r="G190" s="0" t="n">
        <v>38.5</v>
      </c>
      <c r="H190" s="0" t="n">
        <v>34.55</v>
      </c>
      <c r="I190" s="10" t="n">
        <v>0.2848</v>
      </c>
      <c r="J190" s="10" t="n">
        <v>0.7152</v>
      </c>
      <c r="K190" s="9" t="s">
        <v>3086</v>
      </c>
      <c r="L190" s="9" t="s">
        <v>3090</v>
      </c>
      <c r="M190" s="0" t="n">
        <v>39</v>
      </c>
      <c r="N190" s="10" t="n">
        <v>0.2</v>
      </c>
      <c r="O190" s="19"/>
      <c r="P190" s="0" t="str">
        <f aca="false">IF(O190="","",IF(O190&gt;G190,"OVER",IF(O190&lt;G190,"UNDER","PUSH")))</f>
        <v/>
      </c>
      <c r="Q190" s="0" t="n">
        <v>35.53</v>
      </c>
      <c r="R190" s="10" t="n">
        <v>0.337</v>
      </c>
      <c r="S190" s="0" t="n">
        <v>1.0286</v>
      </c>
      <c r="T190" s="0" t="n">
        <v>35.16</v>
      </c>
      <c r="U190" s="0" t="n">
        <v>36.18</v>
      </c>
    </row>
    <row r="191" customFormat="false" ht="15" hidden="false" customHeight="false" outlineLevel="0" collapsed="false">
      <c r="A191" s="0" t="s">
        <v>1612</v>
      </c>
      <c r="B191" s="0" t="s">
        <v>1610</v>
      </c>
      <c r="C191" s="0" t="s">
        <v>988</v>
      </c>
      <c r="D191" s="0" t="s">
        <v>996</v>
      </c>
      <c r="E191" s="0" t="s">
        <v>1338</v>
      </c>
      <c r="F191" s="0" t="s">
        <v>1107</v>
      </c>
      <c r="G191" s="0" t="n">
        <v>13</v>
      </c>
      <c r="H191" s="0" t="n">
        <v>12.16</v>
      </c>
      <c r="I191" s="10" t="n">
        <v>0.3632</v>
      </c>
      <c r="J191" s="10" t="n">
        <v>0.5353</v>
      </c>
      <c r="K191" s="9" t="s">
        <v>3086</v>
      </c>
      <c r="L191" s="9" t="s">
        <v>3090</v>
      </c>
      <c r="N191" s="10" t="n">
        <v>0.3</v>
      </c>
      <c r="O191" s="19"/>
      <c r="P191" s="0" t="str">
        <f aca="false">IF(O191="","",IF(O191&gt;G191,"OVER",IF(O191&lt;G191,"UNDER","PUSH")))</f>
        <v/>
      </c>
      <c r="Q191" s="0" t="n">
        <v>12.5</v>
      </c>
      <c r="R191" s="10" t="n">
        <v>0.3988</v>
      </c>
      <c r="S191" s="0" t="n">
        <v>1.0283</v>
      </c>
      <c r="T191" s="0" t="n">
        <v>11.9</v>
      </c>
      <c r="U191" s="0" t="n">
        <v>12.25</v>
      </c>
    </row>
    <row r="192" customFormat="false" ht="15" hidden="false" customHeight="false" outlineLevel="0" collapsed="false">
      <c r="A192" s="0" t="s">
        <v>1612</v>
      </c>
      <c r="B192" s="0" t="s">
        <v>1610</v>
      </c>
      <c r="C192" s="0" t="s">
        <v>988</v>
      </c>
      <c r="D192" s="0" t="s">
        <v>996</v>
      </c>
      <c r="E192" s="0" t="s">
        <v>1338</v>
      </c>
      <c r="F192" s="0" t="s">
        <v>1111</v>
      </c>
      <c r="G192" s="0" t="n">
        <v>25.5</v>
      </c>
      <c r="H192" s="0" t="n">
        <v>23.83</v>
      </c>
      <c r="I192" s="10" t="n">
        <v>0.3862</v>
      </c>
      <c r="J192" s="10" t="n">
        <v>0.6138</v>
      </c>
      <c r="K192" s="9" t="s">
        <v>3086</v>
      </c>
      <c r="L192" s="9" t="s">
        <v>3090</v>
      </c>
      <c r="M192" s="0" t="n">
        <v>25</v>
      </c>
      <c r="N192" s="10" t="n">
        <v>0.3</v>
      </c>
      <c r="O192" s="19"/>
      <c r="P192" s="0" t="str">
        <f aca="false">IF(O192="","",IF(O192&gt;G192,"OVER",IF(O192&lt;G192,"UNDER","PUSH")))</f>
        <v/>
      </c>
      <c r="Q192" s="0" t="n">
        <v>24.52</v>
      </c>
      <c r="R192" s="10" t="n">
        <v>0.4337</v>
      </c>
      <c r="S192" s="0" t="n">
        <v>1.0291</v>
      </c>
      <c r="T192" s="0" t="n">
        <v>23.71</v>
      </c>
      <c r="U192" s="0" t="n">
        <v>24.4</v>
      </c>
    </row>
    <row r="193" customFormat="false" ht="15" hidden="false" customHeight="false" outlineLevel="0" collapsed="false">
      <c r="A193" s="0" t="s">
        <v>1612</v>
      </c>
      <c r="B193" s="0" t="s">
        <v>1610</v>
      </c>
      <c r="C193" s="0" t="s">
        <v>988</v>
      </c>
      <c r="D193" s="0" t="s">
        <v>996</v>
      </c>
      <c r="E193" s="0" t="s">
        <v>1340</v>
      </c>
      <c r="F193" s="0" t="s">
        <v>1107</v>
      </c>
      <c r="G193" s="0" t="n">
        <v>10.5</v>
      </c>
      <c r="H193" s="0" t="n">
        <v>9.8</v>
      </c>
      <c r="I193" s="10" t="n">
        <v>0.4172</v>
      </c>
      <c r="J193" s="10" t="n">
        <v>0.5828</v>
      </c>
      <c r="K193" s="9" t="s">
        <v>3086</v>
      </c>
      <c r="L193" s="9" t="s">
        <v>3090</v>
      </c>
      <c r="N193" s="10" t="n">
        <v>0.5</v>
      </c>
      <c r="O193" s="19"/>
      <c r="P193" s="0" t="str">
        <f aca="false">IF(O193="","",IF(O193&gt;G193,"OVER",IF(O193&lt;G193,"UNDER","PUSH")))</f>
        <v/>
      </c>
      <c r="Q193" s="0" t="n">
        <v>10.09</v>
      </c>
      <c r="R193" s="10" t="n">
        <v>0.452</v>
      </c>
      <c r="S193" s="0" t="n">
        <v>1.0295</v>
      </c>
      <c r="T193" s="0" t="n">
        <v>10.07</v>
      </c>
      <c r="U193" s="0" t="n">
        <v>10.36</v>
      </c>
    </row>
    <row r="194" customFormat="false" ht="15" hidden="false" customHeight="false" outlineLevel="0" collapsed="false">
      <c r="A194" s="0" t="s">
        <v>1612</v>
      </c>
      <c r="B194" s="0" t="s">
        <v>1610</v>
      </c>
      <c r="C194" s="0" t="s">
        <v>988</v>
      </c>
      <c r="D194" s="0" t="s">
        <v>996</v>
      </c>
      <c r="E194" s="0" t="s">
        <v>1340</v>
      </c>
      <c r="F194" s="0" t="s">
        <v>1111</v>
      </c>
      <c r="G194" s="0" t="n">
        <v>31</v>
      </c>
      <c r="H194" s="0" t="n">
        <v>28.72</v>
      </c>
      <c r="I194" s="10" t="n">
        <v>0.3307</v>
      </c>
      <c r="J194" s="10" t="n">
        <v>0.6103</v>
      </c>
      <c r="K194" s="9" t="s">
        <v>3086</v>
      </c>
      <c r="L194" s="9" t="s">
        <v>3090</v>
      </c>
      <c r="M194" s="0" t="n">
        <v>31.59</v>
      </c>
      <c r="N194" s="10" t="n">
        <v>0.4</v>
      </c>
      <c r="O194" s="19"/>
      <c r="P194" s="0" t="str">
        <f aca="false">IF(O194="","",IF(O194&gt;G194,"OVER",IF(O194&lt;G194,"UNDER","PUSH")))</f>
        <v/>
      </c>
      <c r="Q194" s="0" t="n">
        <v>29.57</v>
      </c>
      <c r="R194" s="10" t="n">
        <v>0.3819</v>
      </c>
      <c r="S194" s="0" t="n">
        <v>1.0294</v>
      </c>
      <c r="T194" s="0" t="n">
        <v>29.43</v>
      </c>
      <c r="U194" s="0" t="n">
        <v>30.29</v>
      </c>
    </row>
    <row r="195" customFormat="false" ht="15" hidden="false" customHeight="false" outlineLevel="0" collapsed="false">
      <c r="A195" s="0" t="s">
        <v>1612</v>
      </c>
      <c r="B195" s="0" t="s">
        <v>1610</v>
      </c>
      <c r="C195" s="0" t="s">
        <v>988</v>
      </c>
      <c r="D195" s="0" t="s">
        <v>996</v>
      </c>
      <c r="E195" s="0" t="s">
        <v>1342</v>
      </c>
      <c r="F195" s="0" t="s">
        <v>1107</v>
      </c>
      <c r="G195" s="0" t="n">
        <v>16.5</v>
      </c>
      <c r="H195" s="0" t="n">
        <v>15.3</v>
      </c>
      <c r="I195" s="10" t="n">
        <v>0.391</v>
      </c>
      <c r="J195" s="10" t="n">
        <v>0.609</v>
      </c>
      <c r="K195" s="9" t="s">
        <v>3086</v>
      </c>
      <c r="L195" s="9" t="s">
        <v>3090</v>
      </c>
      <c r="N195" s="10" t="n">
        <v>0.3</v>
      </c>
      <c r="O195" s="19"/>
      <c r="P195" s="0" t="str">
        <f aca="false">IF(O195="","",IF(O195&gt;G195,"OVER",IF(O195&lt;G195,"UNDER","PUSH")))</f>
        <v/>
      </c>
      <c r="Q195" s="0" t="n">
        <v>15.75</v>
      </c>
      <c r="R195" s="10" t="n">
        <v>0.4325</v>
      </c>
      <c r="S195" s="0" t="n">
        <v>1.0296</v>
      </c>
      <c r="T195" s="0" t="n">
        <v>16</v>
      </c>
      <c r="U195" s="0" t="n">
        <v>16.46</v>
      </c>
    </row>
    <row r="196" customFormat="false" ht="15" hidden="false" customHeight="false" outlineLevel="0" collapsed="false">
      <c r="A196" s="0" t="s">
        <v>1612</v>
      </c>
      <c r="B196" s="0" t="s">
        <v>1610</v>
      </c>
      <c r="C196" s="0" t="s">
        <v>988</v>
      </c>
      <c r="D196" s="0" t="s">
        <v>996</v>
      </c>
      <c r="E196" s="0" t="s">
        <v>1342</v>
      </c>
      <c r="F196" s="0" t="s">
        <v>1111</v>
      </c>
      <c r="G196" s="0" t="n">
        <v>28.5</v>
      </c>
      <c r="H196" s="0" t="n">
        <v>26.92</v>
      </c>
      <c r="I196" s="10" t="n">
        <v>0.3985</v>
      </c>
      <c r="J196" s="10" t="n">
        <v>0.6015</v>
      </c>
      <c r="K196" s="9" t="s">
        <v>3086</v>
      </c>
      <c r="L196" s="9" t="s">
        <v>3090</v>
      </c>
      <c r="M196" s="0" t="n">
        <v>29.18</v>
      </c>
      <c r="N196" s="10" t="n">
        <v>0.4</v>
      </c>
      <c r="O196" s="19"/>
      <c r="P196" s="0" t="str">
        <f aca="false">IF(O196="","",IF(O196&gt;G196,"OVER",IF(O196&lt;G196,"UNDER","PUSH")))</f>
        <v/>
      </c>
      <c r="Q196" s="0" t="n">
        <v>27.72</v>
      </c>
      <c r="R196" s="10" t="n">
        <v>0.45</v>
      </c>
      <c r="S196" s="0" t="n">
        <v>1.0295</v>
      </c>
      <c r="T196" s="0" t="n">
        <v>27.39</v>
      </c>
      <c r="U196" s="0" t="n">
        <v>28.19</v>
      </c>
    </row>
    <row r="197" customFormat="false" ht="15" hidden="false" customHeight="false" outlineLevel="0" collapsed="false">
      <c r="A197" s="0" t="s">
        <v>1612</v>
      </c>
      <c r="B197" s="0" t="s">
        <v>1610</v>
      </c>
      <c r="C197" s="0" t="s">
        <v>988</v>
      </c>
      <c r="D197" s="0" t="s">
        <v>996</v>
      </c>
      <c r="E197" s="0" t="s">
        <v>1344</v>
      </c>
      <c r="F197" s="0" t="s">
        <v>1107</v>
      </c>
      <c r="G197" s="0" t="n">
        <v>10.5</v>
      </c>
      <c r="H197" s="0" t="n">
        <v>10.03</v>
      </c>
      <c r="I197" s="10" t="n">
        <v>0.4451</v>
      </c>
      <c r="J197" s="10" t="n">
        <v>0.5549</v>
      </c>
      <c r="K197" s="9" t="s">
        <v>3086</v>
      </c>
      <c r="L197" s="9" t="s">
        <v>3090</v>
      </c>
      <c r="N197" s="10" t="n">
        <v>0.2</v>
      </c>
      <c r="O197" s="19"/>
      <c r="P197" s="0" t="str">
        <f aca="false">IF(O197="","",IF(O197&gt;G197,"OVER",IF(O197&lt;G197,"UNDER","PUSH")))</f>
        <v/>
      </c>
      <c r="Q197" s="0" t="n">
        <v>10.32</v>
      </c>
      <c r="R197" s="10" t="n">
        <v>0.4793</v>
      </c>
      <c r="S197" s="0" t="n">
        <v>1.029</v>
      </c>
      <c r="T197" s="0" t="n">
        <v>9.52</v>
      </c>
      <c r="U197" s="0" t="n">
        <v>9.79</v>
      </c>
    </row>
    <row r="198" customFormat="false" ht="15" hidden="false" customHeight="false" outlineLevel="0" collapsed="false">
      <c r="A198" s="0" t="s">
        <v>1612</v>
      </c>
      <c r="B198" s="0" t="s">
        <v>1610</v>
      </c>
      <c r="C198" s="0" t="s">
        <v>988</v>
      </c>
      <c r="D198" s="0" t="s">
        <v>996</v>
      </c>
      <c r="E198" s="0" t="s">
        <v>1344</v>
      </c>
      <c r="F198" s="0" t="s">
        <v>1111</v>
      </c>
      <c r="G198" s="0" t="n">
        <v>25.5</v>
      </c>
      <c r="H198" s="0" t="n">
        <v>25.49</v>
      </c>
      <c r="I198" s="10" t="n">
        <v>0.499</v>
      </c>
      <c r="J198" s="10" t="n">
        <v>0.501</v>
      </c>
      <c r="K198" s="9" t="s">
        <v>3086</v>
      </c>
      <c r="L198" s="9" t="s">
        <v>3090</v>
      </c>
      <c r="M198" s="0" t="n">
        <v>26</v>
      </c>
      <c r="N198" s="10" t="n">
        <v>0.3</v>
      </c>
      <c r="O198" s="19"/>
      <c r="P198" s="0" t="str">
        <f aca="false">IF(O198="","",IF(O198&gt;G198,"OVER",IF(O198&lt;G198,"UNDER","PUSH")))</f>
        <v/>
      </c>
      <c r="Q198" s="0" t="n">
        <v>26.23</v>
      </c>
      <c r="R198" s="10" t="n">
        <v>0.5481</v>
      </c>
      <c r="S198" s="0" t="n">
        <v>1.0293</v>
      </c>
      <c r="T198" s="0" t="n">
        <v>24.53</v>
      </c>
      <c r="U198" s="0" t="n">
        <v>25.24</v>
      </c>
    </row>
    <row r="199" customFormat="false" ht="15" hidden="false" customHeight="false" outlineLevel="0" collapsed="false">
      <c r="A199" s="0" t="s">
        <v>1612</v>
      </c>
      <c r="B199" s="0" t="s">
        <v>1610</v>
      </c>
      <c r="C199" s="0" t="s">
        <v>988</v>
      </c>
      <c r="D199" s="0" t="s">
        <v>996</v>
      </c>
      <c r="E199" s="0" t="s">
        <v>1346</v>
      </c>
      <c r="F199" s="0" t="s">
        <v>1107</v>
      </c>
      <c r="G199" s="0" t="n">
        <v>15</v>
      </c>
      <c r="H199" s="0" t="n">
        <v>18.6</v>
      </c>
      <c r="I199" s="10" t="n">
        <v>0.7403</v>
      </c>
      <c r="J199" s="10" t="n">
        <v>0.197</v>
      </c>
      <c r="K199" s="9" t="s">
        <v>3086</v>
      </c>
      <c r="L199" s="9" t="s">
        <v>3090</v>
      </c>
      <c r="N199" s="10" t="n">
        <v>0.7</v>
      </c>
      <c r="O199" s="19"/>
      <c r="P199" s="0" t="str">
        <f aca="false">IF(O199="","",IF(O199&gt;G199,"OVER",IF(O199&lt;G199,"UNDER","PUSH")))</f>
        <v/>
      </c>
      <c r="Q199" s="0" t="n">
        <v>16.88</v>
      </c>
      <c r="R199" s="10" t="n">
        <v>0.6188</v>
      </c>
      <c r="S199" s="0" t="n">
        <v>0.9079</v>
      </c>
      <c r="T199" s="0" t="n">
        <v>19.09</v>
      </c>
      <c r="U199" s="0" t="n">
        <v>17.33</v>
      </c>
    </row>
    <row r="200" customFormat="false" ht="15" hidden="false" customHeight="false" outlineLevel="0" collapsed="false">
      <c r="A200" s="0" t="s">
        <v>1612</v>
      </c>
      <c r="B200" s="0" t="s">
        <v>1610</v>
      </c>
      <c r="C200" s="0" t="s">
        <v>988</v>
      </c>
      <c r="D200" s="0" t="s">
        <v>996</v>
      </c>
      <c r="E200" s="0" t="s">
        <v>1346</v>
      </c>
      <c r="F200" s="0" t="s">
        <v>1111</v>
      </c>
      <c r="G200" s="0" t="n">
        <v>24.5</v>
      </c>
      <c r="H200" s="0" t="n">
        <v>30.63</v>
      </c>
      <c r="I200" s="10" t="n">
        <v>0.8255</v>
      </c>
      <c r="J200" s="10" t="n">
        <v>0.1745</v>
      </c>
      <c r="K200" s="9" t="s">
        <v>3086</v>
      </c>
      <c r="L200" s="9" t="s">
        <v>3090</v>
      </c>
      <c r="M200" s="0" t="n">
        <v>24.82</v>
      </c>
      <c r="N200" s="10" t="n">
        <v>0.7</v>
      </c>
      <c r="O200" s="19"/>
      <c r="P200" s="0" t="str">
        <f aca="false">IF(O200="","",IF(O200&gt;G200,"OVER",IF(O200&lt;G200,"UNDER","PUSH")))</f>
        <v/>
      </c>
      <c r="Q200" s="0" t="n">
        <v>27.81</v>
      </c>
      <c r="R200" s="10" t="n">
        <v>0.702</v>
      </c>
      <c r="S200" s="0" t="n">
        <v>0.9078</v>
      </c>
      <c r="T200" s="0" t="n">
        <v>30.25</v>
      </c>
      <c r="U200" s="0" t="n">
        <v>27.46</v>
      </c>
    </row>
    <row r="201" customFormat="false" ht="15" hidden="false" customHeight="false" outlineLevel="0" collapsed="false">
      <c r="A201" s="0" t="s">
        <v>1612</v>
      </c>
      <c r="B201" s="0" t="s">
        <v>1610</v>
      </c>
      <c r="C201" s="0" t="s">
        <v>988</v>
      </c>
      <c r="D201" s="0" t="s">
        <v>996</v>
      </c>
      <c r="E201" s="0" t="s">
        <v>1348</v>
      </c>
      <c r="F201" s="0" t="s">
        <v>1107</v>
      </c>
      <c r="G201" s="0" t="n">
        <v>8.5</v>
      </c>
      <c r="H201" s="0" t="n">
        <v>9.25</v>
      </c>
      <c r="I201" s="10" t="n">
        <v>0.5921</v>
      </c>
      <c r="J201" s="10" t="n">
        <v>0.4079</v>
      </c>
      <c r="K201" s="9" t="s">
        <v>3086</v>
      </c>
      <c r="L201" s="9" t="s">
        <v>3090</v>
      </c>
      <c r="N201" s="10" t="n">
        <v>0.4</v>
      </c>
      <c r="O201" s="19"/>
      <c r="P201" s="0" t="str">
        <f aca="false">IF(O201="","",IF(O201&gt;G201,"OVER",IF(O201&lt;G201,"UNDER","PUSH")))</f>
        <v/>
      </c>
      <c r="Q201" s="0" t="n">
        <v>8.41</v>
      </c>
      <c r="R201" s="10" t="n">
        <v>0.488</v>
      </c>
      <c r="S201" s="0" t="n">
        <v>0.9085</v>
      </c>
      <c r="T201" s="0" t="n">
        <v>9.15</v>
      </c>
      <c r="U201" s="0" t="n">
        <v>8.3</v>
      </c>
    </row>
    <row r="202" customFormat="false" ht="15" hidden="false" customHeight="false" outlineLevel="0" collapsed="false">
      <c r="A202" s="0" t="s">
        <v>1612</v>
      </c>
      <c r="B202" s="0" t="s">
        <v>1610</v>
      </c>
      <c r="C202" s="0" t="s">
        <v>988</v>
      </c>
      <c r="D202" s="0" t="s">
        <v>996</v>
      </c>
      <c r="E202" s="0" t="s">
        <v>1348</v>
      </c>
      <c r="F202" s="0" t="s">
        <v>1111</v>
      </c>
      <c r="G202" s="0" t="n">
        <v>23</v>
      </c>
      <c r="H202" s="0" t="n">
        <v>27.99</v>
      </c>
      <c r="I202" s="10" t="n">
        <v>0.7635</v>
      </c>
      <c r="J202" s="10" t="n">
        <v>0.1901</v>
      </c>
      <c r="K202" s="9" t="s">
        <v>3086</v>
      </c>
      <c r="L202" s="9" t="s">
        <v>3090</v>
      </c>
      <c r="M202" s="0" t="n">
        <v>24.58</v>
      </c>
      <c r="N202" s="10" t="n">
        <v>0.7</v>
      </c>
      <c r="O202" s="19"/>
      <c r="P202" s="0" t="str">
        <f aca="false">IF(O202="","",IF(O202&gt;G202,"OVER",IF(O202&lt;G202,"UNDER","PUSH")))</f>
        <v/>
      </c>
      <c r="Q202" s="0" t="n">
        <v>25.42</v>
      </c>
      <c r="R202" s="10" t="n">
        <v>0.6263</v>
      </c>
      <c r="S202" s="0" t="n">
        <v>0.9082</v>
      </c>
      <c r="T202" s="0" t="n">
        <v>27.8</v>
      </c>
      <c r="U202" s="0" t="n">
        <v>25.24</v>
      </c>
    </row>
    <row r="203" customFormat="false" ht="15" hidden="false" customHeight="false" outlineLevel="0" collapsed="false">
      <c r="A203" s="0" t="s">
        <v>1612</v>
      </c>
      <c r="B203" s="0" t="s">
        <v>1610</v>
      </c>
      <c r="C203" s="0" t="s">
        <v>988</v>
      </c>
      <c r="D203" s="0" t="s">
        <v>996</v>
      </c>
      <c r="E203" s="0" t="s">
        <v>1350</v>
      </c>
      <c r="F203" s="0" t="s">
        <v>1107</v>
      </c>
      <c r="G203" s="0" t="n">
        <v>13</v>
      </c>
      <c r="H203" s="0" t="n">
        <v>16.61</v>
      </c>
      <c r="I203" s="10" t="n">
        <v>0.7512</v>
      </c>
      <c r="J203" s="10" t="n">
        <v>0.185</v>
      </c>
      <c r="K203" s="9" t="s">
        <v>3086</v>
      </c>
      <c r="L203" s="9" t="s">
        <v>3090</v>
      </c>
      <c r="N203" s="10" t="n">
        <v>0.8</v>
      </c>
      <c r="O203" s="19"/>
      <c r="P203" s="0" t="str">
        <f aca="false">IF(O203="","",IF(O203&gt;G203,"OVER",IF(O203&lt;G203,"UNDER","PUSH")))</f>
        <v/>
      </c>
      <c r="Q203" s="0" t="n">
        <v>15.08</v>
      </c>
      <c r="R203" s="10" t="n">
        <v>0.6411</v>
      </c>
      <c r="S203" s="0" t="n">
        <v>0.9079</v>
      </c>
      <c r="T203" s="0" t="n">
        <v>15.84</v>
      </c>
      <c r="U203" s="0" t="n">
        <v>14.38</v>
      </c>
    </row>
    <row r="204" customFormat="false" ht="15" hidden="false" customHeight="false" outlineLevel="0" collapsed="false">
      <c r="A204" s="0" t="s">
        <v>1612</v>
      </c>
      <c r="B204" s="0" t="s">
        <v>1610</v>
      </c>
      <c r="C204" s="0" t="s">
        <v>988</v>
      </c>
      <c r="D204" s="0" t="s">
        <v>996</v>
      </c>
      <c r="E204" s="0" t="s">
        <v>1350</v>
      </c>
      <c r="F204" s="0" t="s">
        <v>1111</v>
      </c>
      <c r="G204" s="0" t="n">
        <v>21</v>
      </c>
      <c r="H204" s="0" t="n">
        <v>25.18</v>
      </c>
      <c r="I204" s="10" t="n">
        <v>0.7323</v>
      </c>
      <c r="J204" s="10" t="n">
        <v>0.2153</v>
      </c>
      <c r="K204" s="9" t="s">
        <v>3086</v>
      </c>
      <c r="L204" s="9" t="s">
        <v>3090</v>
      </c>
      <c r="M204" s="0" t="n">
        <v>21.65</v>
      </c>
      <c r="N204" s="10" t="n">
        <v>0.8</v>
      </c>
      <c r="O204" s="19"/>
      <c r="P204" s="0" t="str">
        <f aca="false">IF(O204="","",IF(O204&gt;G204,"OVER",IF(O204&lt;G204,"UNDER","PUSH")))</f>
        <v/>
      </c>
      <c r="Q204" s="0" t="n">
        <v>22.84</v>
      </c>
      <c r="R204" s="10" t="n">
        <v>0.5939</v>
      </c>
      <c r="S204" s="0" t="n">
        <v>0.9072</v>
      </c>
      <c r="T204" s="0" t="n">
        <v>25.35</v>
      </c>
      <c r="U204" s="0" t="n">
        <v>23.01</v>
      </c>
    </row>
    <row r="205" customFormat="false" ht="15" hidden="false" customHeight="false" outlineLevel="0" collapsed="false">
      <c r="A205" s="0" t="s">
        <v>1612</v>
      </c>
      <c r="B205" s="0" t="s">
        <v>1610</v>
      </c>
      <c r="C205" s="0" t="s">
        <v>988</v>
      </c>
      <c r="D205" s="0" t="s">
        <v>996</v>
      </c>
      <c r="E205" s="0" t="s">
        <v>1352</v>
      </c>
      <c r="F205" s="0" t="s">
        <v>1107</v>
      </c>
      <c r="G205" s="0" t="n">
        <v>13</v>
      </c>
      <c r="H205" s="0" t="n">
        <v>16.13</v>
      </c>
      <c r="I205" s="10" t="n">
        <v>0.7204</v>
      </c>
      <c r="J205" s="10" t="n">
        <v>0.2101</v>
      </c>
      <c r="K205" s="9" t="s">
        <v>3086</v>
      </c>
      <c r="L205" s="9" t="s">
        <v>3090</v>
      </c>
      <c r="N205" s="10" t="n">
        <v>0.7</v>
      </c>
      <c r="O205" s="19"/>
      <c r="P205" s="0" t="str">
        <f aca="false">IF(O205="","",IF(O205&gt;G205,"OVER",IF(O205&lt;G205,"UNDER","PUSH")))</f>
        <v/>
      </c>
      <c r="Q205" s="0" t="n">
        <v>14.66</v>
      </c>
      <c r="R205" s="10" t="n">
        <v>0.606</v>
      </c>
      <c r="S205" s="0" t="n">
        <v>0.9084</v>
      </c>
      <c r="T205" s="0" t="n">
        <v>15.75</v>
      </c>
      <c r="U205" s="0" t="n">
        <v>14.3</v>
      </c>
    </row>
    <row r="206" customFormat="false" ht="15" hidden="false" customHeight="false" outlineLevel="0" collapsed="false">
      <c r="A206" s="0" t="s">
        <v>1612</v>
      </c>
      <c r="B206" s="0" t="s">
        <v>1610</v>
      </c>
      <c r="C206" s="0" t="s">
        <v>988</v>
      </c>
      <c r="D206" s="0" t="s">
        <v>996</v>
      </c>
      <c r="E206" s="0" t="s">
        <v>1352</v>
      </c>
      <c r="F206" s="0" t="s">
        <v>1111</v>
      </c>
      <c r="G206" s="0" t="n">
        <v>21</v>
      </c>
      <c r="H206" s="0" t="n">
        <v>24.81</v>
      </c>
      <c r="I206" s="10" t="n">
        <v>0.713</v>
      </c>
      <c r="J206" s="10" t="n">
        <v>0.2322</v>
      </c>
      <c r="K206" s="9" t="s">
        <v>3086</v>
      </c>
      <c r="L206" s="9" t="s">
        <v>3090</v>
      </c>
      <c r="M206" s="0" t="n">
        <v>23.06</v>
      </c>
      <c r="N206" s="10" t="n">
        <v>0.8</v>
      </c>
      <c r="O206" s="19"/>
      <c r="P206" s="0" t="str">
        <f aca="false">IF(O206="","",IF(O206&gt;G206,"OVER",IF(O206&lt;G206,"UNDER","PUSH")))</f>
        <v/>
      </c>
      <c r="Q206" s="0" t="n">
        <v>22.54</v>
      </c>
      <c r="R206" s="10" t="n">
        <v>0.5735</v>
      </c>
      <c r="S206" s="0" t="n">
        <v>0.9084</v>
      </c>
      <c r="T206" s="0" t="n">
        <v>24.53</v>
      </c>
      <c r="U206" s="0" t="n">
        <v>22.27</v>
      </c>
    </row>
    <row r="207" customFormat="false" ht="15" hidden="false" customHeight="false" outlineLevel="0" collapsed="false">
      <c r="A207" s="0" t="s">
        <v>1612</v>
      </c>
      <c r="B207" s="0" t="s">
        <v>1610</v>
      </c>
      <c r="C207" s="0" t="s">
        <v>988</v>
      </c>
      <c r="D207" s="0" t="s">
        <v>996</v>
      </c>
      <c r="E207" s="0" t="s">
        <v>1354</v>
      </c>
      <c r="F207" s="0" t="s">
        <v>1107</v>
      </c>
      <c r="G207" s="0" t="n">
        <v>12.5</v>
      </c>
      <c r="H207" s="0" t="n">
        <v>14.22</v>
      </c>
      <c r="I207" s="10" t="n">
        <v>0.6605</v>
      </c>
      <c r="J207" s="10" t="n">
        <v>0.3395</v>
      </c>
      <c r="K207" s="9" t="s">
        <v>3086</v>
      </c>
      <c r="L207" s="9" t="s">
        <v>3090</v>
      </c>
      <c r="N207" s="10" t="n">
        <v>0.7</v>
      </c>
      <c r="O207" s="19"/>
      <c r="P207" s="0" t="str">
        <f aca="false">IF(O207="","",IF(O207&gt;G207,"OVER",IF(O207&lt;G207,"UNDER","PUSH")))</f>
        <v/>
      </c>
      <c r="Q207" s="0" t="n">
        <v>12.91</v>
      </c>
      <c r="R207" s="10" t="n">
        <v>0.5416</v>
      </c>
      <c r="S207" s="0" t="n">
        <v>0.9083</v>
      </c>
      <c r="T207" s="0" t="n">
        <v>14.06</v>
      </c>
      <c r="U207" s="0" t="n">
        <v>12.77</v>
      </c>
    </row>
    <row r="208" customFormat="false" ht="15" hidden="false" customHeight="false" outlineLevel="0" collapsed="false">
      <c r="A208" s="0" t="s">
        <v>1612</v>
      </c>
      <c r="B208" s="0" t="s">
        <v>1610</v>
      </c>
      <c r="C208" s="0" t="s">
        <v>988</v>
      </c>
      <c r="D208" s="0" t="s">
        <v>996</v>
      </c>
      <c r="E208" s="0" t="s">
        <v>1354</v>
      </c>
      <c r="F208" s="0" t="s">
        <v>1111</v>
      </c>
      <c r="G208" s="0" t="n">
        <v>22.5</v>
      </c>
      <c r="H208" s="0" t="n">
        <v>27.1</v>
      </c>
      <c r="I208" s="10" t="n">
        <v>0.7723</v>
      </c>
      <c r="J208" s="10" t="n">
        <v>0.2277</v>
      </c>
      <c r="K208" s="9" t="s">
        <v>3086</v>
      </c>
      <c r="L208" s="9" t="s">
        <v>3090</v>
      </c>
      <c r="M208" s="0" t="n">
        <v>23.69</v>
      </c>
      <c r="N208" s="10" t="n">
        <v>0.8</v>
      </c>
      <c r="O208" s="19"/>
      <c r="P208" s="0" t="str">
        <f aca="false">IF(O208="","",IF(O208&gt;G208,"OVER",IF(O208&lt;G208,"UNDER","PUSH")))</f>
        <v/>
      </c>
      <c r="Q208" s="0" t="n">
        <v>24.61</v>
      </c>
      <c r="R208" s="10" t="n">
        <v>0.6401</v>
      </c>
      <c r="S208" s="0" t="n">
        <v>0.908</v>
      </c>
      <c r="T208" s="0" t="n">
        <v>25.75</v>
      </c>
      <c r="U208" s="0" t="n">
        <v>23.38</v>
      </c>
    </row>
    <row r="209" customFormat="false" ht="15" hidden="false" customHeight="false" outlineLevel="0" collapsed="false">
      <c r="A209" s="0" t="s">
        <v>1612</v>
      </c>
      <c r="B209" s="0" t="s">
        <v>1610</v>
      </c>
      <c r="C209" s="0" t="s">
        <v>988</v>
      </c>
      <c r="D209" s="0" t="s">
        <v>1015</v>
      </c>
      <c r="E209" s="0" t="s">
        <v>1356</v>
      </c>
      <c r="F209" s="0" t="s">
        <v>1107</v>
      </c>
      <c r="G209" s="0" t="n">
        <v>11</v>
      </c>
      <c r="H209" s="0" t="n">
        <v>14.97</v>
      </c>
      <c r="I209" s="10" t="n">
        <v>0.7967</v>
      </c>
      <c r="J209" s="10" t="n">
        <v>0.1426</v>
      </c>
      <c r="K209" s="9" t="s">
        <v>3085</v>
      </c>
      <c r="L209" s="9" t="s">
        <v>3091</v>
      </c>
      <c r="N209" s="10" t="n">
        <v>0.9</v>
      </c>
      <c r="O209" s="19"/>
      <c r="P209" s="0" t="str">
        <f aca="false">IF(O209="","",IF(O209&gt;G209,"OVER",IF(O209&lt;G209,"UNDER","PUSH")))</f>
        <v/>
      </c>
      <c r="Q209" s="0" t="n">
        <v>13.87</v>
      </c>
      <c r="R209" s="10" t="n">
        <v>0.7216</v>
      </c>
      <c r="S209" s="0" t="n">
        <v>0.9261</v>
      </c>
      <c r="T209" s="0" t="n">
        <v>12.75</v>
      </c>
      <c r="U209" s="0" t="n">
        <v>11.81</v>
      </c>
    </row>
    <row r="210" customFormat="false" ht="15" hidden="false" customHeight="false" outlineLevel="0" collapsed="false">
      <c r="A210" s="0" t="s">
        <v>1612</v>
      </c>
      <c r="B210" s="0" t="s">
        <v>1610</v>
      </c>
      <c r="C210" s="0" t="s">
        <v>988</v>
      </c>
      <c r="D210" s="0" t="s">
        <v>1015</v>
      </c>
      <c r="E210" s="0" t="s">
        <v>1356</v>
      </c>
      <c r="F210" s="0" t="s">
        <v>1111</v>
      </c>
      <c r="G210" s="0" t="n">
        <v>27.5</v>
      </c>
      <c r="H210" s="0" t="n">
        <v>35.21</v>
      </c>
      <c r="I210" s="10" t="n">
        <v>0.8638</v>
      </c>
      <c r="J210" s="10" t="n">
        <v>0.1362</v>
      </c>
      <c r="K210" s="9" t="s">
        <v>3085</v>
      </c>
      <c r="L210" s="9" t="s">
        <v>3091</v>
      </c>
      <c r="M210" s="0" t="n">
        <v>29.77</v>
      </c>
      <c r="N210" s="10" t="n">
        <v>0.7</v>
      </c>
      <c r="O210" s="19"/>
      <c r="P210" s="0" t="str">
        <f aca="false">IF(O210="","",IF(O210&gt;G210,"OVER",IF(O210&lt;G210,"UNDER","PUSH")))</f>
        <v/>
      </c>
      <c r="Q210" s="0" t="n">
        <v>32.6</v>
      </c>
      <c r="R210" s="10" t="n">
        <v>0.775</v>
      </c>
      <c r="S210" s="0" t="n">
        <v>0.9261</v>
      </c>
      <c r="T210" s="0" t="n">
        <v>33.83</v>
      </c>
      <c r="U210" s="0" t="n">
        <v>31.32</v>
      </c>
    </row>
    <row r="211" customFormat="false" ht="15" hidden="false" customHeight="false" outlineLevel="0" collapsed="false">
      <c r="A211" s="0" t="s">
        <v>1612</v>
      </c>
      <c r="B211" s="0" t="s">
        <v>1610</v>
      </c>
      <c r="C211" s="0" t="s">
        <v>988</v>
      </c>
      <c r="D211" s="0" t="s">
        <v>1015</v>
      </c>
      <c r="E211" s="0" t="s">
        <v>1360</v>
      </c>
      <c r="F211" s="0" t="s">
        <v>1107</v>
      </c>
      <c r="G211" s="0" t="n">
        <v>11.5</v>
      </c>
      <c r="H211" s="0" t="n">
        <v>14.55</v>
      </c>
      <c r="I211" s="10" t="n">
        <v>0.7682</v>
      </c>
      <c r="J211" s="10" t="n">
        <v>0.2318</v>
      </c>
      <c r="K211" s="9" t="s">
        <v>3085</v>
      </c>
      <c r="L211" s="9" t="s">
        <v>3091</v>
      </c>
      <c r="N211" s="10" t="n">
        <v>0.6</v>
      </c>
      <c r="O211" s="19"/>
      <c r="P211" s="0" t="str">
        <f aca="false">IF(O211="","",IF(O211&gt;G211,"OVER",IF(O211&lt;G211,"UNDER","PUSH")))</f>
        <v/>
      </c>
      <c r="Q211" s="0" t="n">
        <v>13.48</v>
      </c>
      <c r="R211" s="10" t="n">
        <v>0.689</v>
      </c>
      <c r="S211" s="0" t="n">
        <v>0.9261</v>
      </c>
      <c r="T211" s="0" t="n">
        <v>13.13</v>
      </c>
      <c r="U211" s="0" t="n">
        <v>12.15</v>
      </c>
    </row>
    <row r="212" customFormat="false" ht="15" hidden="false" customHeight="false" outlineLevel="0" collapsed="false">
      <c r="A212" s="0" t="s">
        <v>1612</v>
      </c>
      <c r="B212" s="0" t="s">
        <v>1610</v>
      </c>
      <c r="C212" s="0" t="s">
        <v>988</v>
      </c>
      <c r="D212" s="0" t="s">
        <v>1015</v>
      </c>
      <c r="E212" s="0" t="s">
        <v>1360</v>
      </c>
      <c r="F212" s="0" t="s">
        <v>1111</v>
      </c>
      <c r="G212" s="0" t="n">
        <v>25</v>
      </c>
      <c r="H212" s="0" t="n">
        <v>30.27</v>
      </c>
      <c r="I212" s="10" t="n">
        <v>0.7681</v>
      </c>
      <c r="J212" s="10" t="n">
        <v>0.1878</v>
      </c>
      <c r="K212" s="9" t="s">
        <v>3085</v>
      </c>
      <c r="L212" s="9" t="s">
        <v>3091</v>
      </c>
      <c r="M212" s="0" t="n">
        <v>25.46</v>
      </c>
      <c r="N212" s="10" t="n">
        <v>0.6</v>
      </c>
      <c r="O212" s="19"/>
      <c r="P212" s="0" t="str">
        <f aca="false">IF(O212="","",IF(O212&gt;G212,"OVER",IF(O212&lt;G212,"UNDER","PUSH")))</f>
        <v/>
      </c>
      <c r="Q212" s="0" t="n">
        <v>28.03</v>
      </c>
      <c r="R212" s="10" t="n">
        <v>0.6569</v>
      </c>
      <c r="S212" s="0" t="n">
        <v>0.9261</v>
      </c>
      <c r="T212" s="0" t="n">
        <v>29.23</v>
      </c>
      <c r="U212" s="0" t="n">
        <v>27.07</v>
      </c>
    </row>
    <row r="213" customFormat="false" ht="15" hidden="false" customHeight="false" outlineLevel="0" collapsed="false">
      <c r="A213" s="0" t="s">
        <v>1612</v>
      </c>
      <c r="B213" s="0" t="s">
        <v>1610</v>
      </c>
      <c r="C213" s="0" t="s">
        <v>988</v>
      </c>
      <c r="D213" s="0" t="s">
        <v>1015</v>
      </c>
      <c r="E213" s="0" t="s">
        <v>1363</v>
      </c>
      <c r="F213" s="0" t="s">
        <v>1107</v>
      </c>
      <c r="G213" s="0" t="n">
        <v>14</v>
      </c>
      <c r="H213" s="0" t="n">
        <v>16.48</v>
      </c>
      <c r="I213" s="10" t="n">
        <v>0.6686</v>
      </c>
      <c r="J213" s="10" t="n">
        <v>0.2557</v>
      </c>
      <c r="K213" s="9" t="s">
        <v>3085</v>
      </c>
      <c r="L213" s="9" t="s">
        <v>3091</v>
      </c>
      <c r="N213" s="10" t="n">
        <v>0.9</v>
      </c>
      <c r="O213" s="19"/>
      <c r="P213" s="0" t="str">
        <f aca="false">IF(O213="","",IF(O213&gt;G213,"OVER",IF(O213&lt;G213,"UNDER","PUSH")))</f>
        <v/>
      </c>
      <c r="Q213" s="0" t="n">
        <v>15.26</v>
      </c>
      <c r="R213" s="10" t="n">
        <v>0.569</v>
      </c>
      <c r="S213" s="0" t="n">
        <v>0.9261</v>
      </c>
      <c r="T213" s="0" t="n">
        <v>17.12</v>
      </c>
      <c r="U213" s="0" t="n">
        <v>15.85</v>
      </c>
    </row>
    <row r="214" customFormat="false" ht="15" hidden="false" customHeight="false" outlineLevel="0" collapsed="false">
      <c r="A214" s="0" t="s">
        <v>1612</v>
      </c>
      <c r="B214" s="0" t="s">
        <v>1610</v>
      </c>
      <c r="C214" s="0" t="s">
        <v>988</v>
      </c>
      <c r="D214" s="0" t="s">
        <v>1015</v>
      </c>
      <c r="E214" s="0" t="s">
        <v>1363</v>
      </c>
      <c r="F214" s="0" t="s">
        <v>1111</v>
      </c>
      <c r="G214" s="0" t="n">
        <v>23.5</v>
      </c>
      <c r="H214" s="0" t="n">
        <v>26.67</v>
      </c>
      <c r="I214" s="10" t="n">
        <v>0.698</v>
      </c>
      <c r="J214" s="10" t="n">
        <v>0.302</v>
      </c>
      <c r="K214" s="9" t="s">
        <v>3085</v>
      </c>
      <c r="L214" s="9" t="s">
        <v>3091</v>
      </c>
      <c r="M214" s="0" t="n">
        <v>25.6</v>
      </c>
      <c r="N214" s="10" t="n">
        <v>0.7</v>
      </c>
      <c r="O214" s="19"/>
      <c r="P214" s="0" t="str">
        <f aca="false">IF(O214="","",IF(O214&gt;G214,"OVER",IF(O214&lt;G214,"UNDER","PUSH")))</f>
        <v/>
      </c>
      <c r="Q214" s="0" t="n">
        <v>24.7</v>
      </c>
      <c r="R214" s="10" t="n">
        <v>0.5807</v>
      </c>
      <c r="S214" s="0" t="n">
        <v>0.9261</v>
      </c>
      <c r="T214" s="0" t="n">
        <v>28.81</v>
      </c>
      <c r="U214" s="0" t="n">
        <v>26.68</v>
      </c>
    </row>
    <row r="215" customFormat="false" ht="15" hidden="false" customHeight="false" outlineLevel="0" collapsed="false">
      <c r="A215" s="0" t="s">
        <v>1612</v>
      </c>
      <c r="B215" s="0" t="s">
        <v>1610</v>
      </c>
      <c r="C215" s="0" t="s">
        <v>988</v>
      </c>
      <c r="D215" s="0" t="s">
        <v>1015</v>
      </c>
      <c r="E215" s="0" t="s">
        <v>1365</v>
      </c>
      <c r="F215" s="0" t="s">
        <v>1107</v>
      </c>
      <c r="G215" s="0" t="n">
        <v>13.5</v>
      </c>
      <c r="H215" s="0" t="n">
        <v>15.8</v>
      </c>
      <c r="I215" s="10" t="n">
        <v>0.6997</v>
      </c>
      <c r="J215" s="10" t="n">
        <v>0.3003</v>
      </c>
      <c r="K215" s="9" t="s">
        <v>3085</v>
      </c>
      <c r="L215" s="9" t="s">
        <v>3091</v>
      </c>
      <c r="N215" s="10" t="n">
        <v>0.6</v>
      </c>
      <c r="O215" s="19"/>
      <c r="P215" s="0" t="str">
        <f aca="false">IF(O215="","",IF(O215&gt;G215,"OVER",IF(O215&lt;G215,"UNDER","PUSH")))</f>
        <v/>
      </c>
      <c r="Q215" s="0" t="n">
        <v>14.63</v>
      </c>
      <c r="R215" s="10" t="n">
        <v>0.6057</v>
      </c>
      <c r="S215" s="0" t="n">
        <v>0.9261</v>
      </c>
      <c r="T215" s="0" t="n">
        <v>15.58</v>
      </c>
      <c r="U215" s="0" t="n">
        <v>14.43</v>
      </c>
    </row>
    <row r="216" customFormat="false" ht="15" hidden="false" customHeight="false" outlineLevel="0" collapsed="false">
      <c r="A216" s="0" t="s">
        <v>1612</v>
      </c>
      <c r="B216" s="0" t="s">
        <v>1610</v>
      </c>
      <c r="C216" s="0" t="s">
        <v>988</v>
      </c>
      <c r="D216" s="0" t="s">
        <v>1015</v>
      </c>
      <c r="E216" s="0" t="s">
        <v>1365</v>
      </c>
      <c r="F216" s="0" t="s">
        <v>1111</v>
      </c>
      <c r="G216" s="0" t="n">
        <v>23.5</v>
      </c>
      <c r="H216" s="0" t="n">
        <v>28.11</v>
      </c>
      <c r="I216" s="10" t="n">
        <v>0.7688</v>
      </c>
      <c r="J216" s="10" t="n">
        <v>0.2312</v>
      </c>
      <c r="K216" s="9" t="s">
        <v>3085</v>
      </c>
      <c r="L216" s="9" t="s">
        <v>3091</v>
      </c>
      <c r="M216" s="0" t="n">
        <v>24.54</v>
      </c>
      <c r="N216" s="10" t="n">
        <v>0.7</v>
      </c>
      <c r="O216" s="19"/>
      <c r="P216" s="0" t="str">
        <f aca="false">IF(O216="","",IF(O216&gt;G216,"OVER",IF(O216&lt;G216,"UNDER","PUSH")))</f>
        <v/>
      </c>
      <c r="Q216" s="0" t="n">
        <v>26.03</v>
      </c>
      <c r="R216" s="10" t="n">
        <v>0.6625</v>
      </c>
      <c r="S216" s="0" t="n">
        <v>0.9261</v>
      </c>
      <c r="T216" s="0" t="n">
        <v>27.98</v>
      </c>
      <c r="U216" s="0" t="n">
        <v>25.91</v>
      </c>
    </row>
    <row r="217" customFormat="false" ht="15" hidden="false" customHeight="false" outlineLevel="0" collapsed="false">
      <c r="A217" s="0" t="s">
        <v>1612</v>
      </c>
      <c r="B217" s="0" t="s">
        <v>1610</v>
      </c>
      <c r="C217" s="0" t="s">
        <v>988</v>
      </c>
      <c r="D217" s="0" t="s">
        <v>1015</v>
      </c>
      <c r="E217" s="0" t="s">
        <v>1367</v>
      </c>
      <c r="F217" s="0" t="s">
        <v>1107</v>
      </c>
      <c r="G217" s="0" t="n">
        <v>14</v>
      </c>
      <c r="H217" s="0" t="n">
        <v>15.49</v>
      </c>
      <c r="I217" s="10" t="n">
        <v>0.5881</v>
      </c>
      <c r="J217" s="10" t="n">
        <v>0.3269</v>
      </c>
      <c r="K217" s="9" t="s">
        <v>3085</v>
      </c>
      <c r="L217" s="9" t="s">
        <v>3091</v>
      </c>
      <c r="N217" s="10" t="n">
        <v>0.8</v>
      </c>
      <c r="O217" s="19"/>
      <c r="P217" s="0" t="str">
        <f aca="false">IF(O217="","",IF(O217&gt;G217,"OVER",IF(O217&lt;G217,"UNDER","PUSH")))</f>
        <v/>
      </c>
      <c r="Q217" s="0" t="n">
        <v>14.34</v>
      </c>
      <c r="R217" s="10" t="n">
        <v>0.485</v>
      </c>
      <c r="S217" s="0" t="n">
        <v>0.9261</v>
      </c>
      <c r="T217" s="0" t="n">
        <v>15.09</v>
      </c>
      <c r="U217" s="0" t="n">
        <v>13.98</v>
      </c>
    </row>
    <row r="218" customFormat="false" ht="15" hidden="false" customHeight="false" outlineLevel="0" collapsed="false">
      <c r="A218" s="0" t="s">
        <v>1612</v>
      </c>
      <c r="B218" s="0" t="s">
        <v>1610</v>
      </c>
      <c r="C218" s="0" t="s">
        <v>988</v>
      </c>
      <c r="D218" s="0" t="s">
        <v>1015</v>
      </c>
      <c r="E218" s="0" t="s">
        <v>1367</v>
      </c>
      <c r="F218" s="0" t="s">
        <v>1111</v>
      </c>
      <c r="G218" s="0" t="n">
        <v>22.5</v>
      </c>
      <c r="H218" s="0" t="n">
        <v>23.39</v>
      </c>
      <c r="I218" s="10" t="n">
        <v>0.5616</v>
      </c>
      <c r="J218" s="10" t="n">
        <v>0.4384</v>
      </c>
      <c r="K218" s="9" t="s">
        <v>3085</v>
      </c>
      <c r="L218" s="9" t="s">
        <v>3091</v>
      </c>
      <c r="M218" s="0" t="n">
        <v>23</v>
      </c>
      <c r="N218" s="10" t="n">
        <v>0.6</v>
      </c>
      <c r="O218" s="19"/>
      <c r="P218" s="0" t="str">
        <f aca="false">IF(O218="","",IF(O218&gt;G218,"OVER",IF(O218&lt;G218,"UNDER","PUSH")))</f>
        <v/>
      </c>
      <c r="Q218" s="0" t="n">
        <v>21.66</v>
      </c>
      <c r="R218" s="10" t="n">
        <v>0.4392</v>
      </c>
      <c r="S218" s="0" t="n">
        <v>0.9261</v>
      </c>
      <c r="T218" s="0" t="n">
        <v>23.8</v>
      </c>
      <c r="U218" s="0" t="n">
        <v>22.04</v>
      </c>
    </row>
    <row r="219" customFormat="false" ht="15" hidden="false" customHeight="false" outlineLevel="0" collapsed="false">
      <c r="A219" s="0" t="s">
        <v>1612</v>
      </c>
      <c r="B219" s="0" t="s">
        <v>1610</v>
      </c>
      <c r="C219" s="0" t="s">
        <v>988</v>
      </c>
      <c r="D219" s="0" t="s">
        <v>1015</v>
      </c>
      <c r="E219" s="0" t="s">
        <v>1370</v>
      </c>
      <c r="F219" s="0" t="s">
        <v>1107</v>
      </c>
      <c r="G219" s="0" t="n">
        <v>16</v>
      </c>
      <c r="H219" s="0" t="n">
        <v>16.05</v>
      </c>
      <c r="I219" s="10" t="n">
        <v>0.4594</v>
      </c>
      <c r="J219" s="10" t="n">
        <v>0.4505</v>
      </c>
      <c r="K219" s="9" t="s">
        <v>3085</v>
      </c>
      <c r="L219" s="9" t="s">
        <v>3091</v>
      </c>
      <c r="N219" s="10" t="n">
        <v>0.6</v>
      </c>
      <c r="O219" s="19"/>
      <c r="P219" s="0" t="str">
        <f aca="false">IF(O219="","",IF(O219&gt;G219,"OVER",IF(O219&lt;G219,"UNDER","PUSH")))</f>
        <v/>
      </c>
      <c r="Q219" s="0" t="n">
        <v>16.06</v>
      </c>
      <c r="R219" s="10" t="n">
        <v>0.4602</v>
      </c>
      <c r="S219" s="0" t="n">
        <v>1.0006</v>
      </c>
      <c r="T219" s="0" t="n">
        <v>15.73</v>
      </c>
      <c r="U219" s="0" t="n">
        <v>15.74</v>
      </c>
    </row>
    <row r="220" customFormat="false" ht="15" hidden="false" customHeight="false" outlineLevel="0" collapsed="false">
      <c r="A220" s="0" t="s">
        <v>1612</v>
      </c>
      <c r="B220" s="0" t="s">
        <v>1610</v>
      </c>
      <c r="C220" s="0" t="s">
        <v>988</v>
      </c>
      <c r="D220" s="0" t="s">
        <v>1015</v>
      </c>
      <c r="E220" s="0" t="s">
        <v>1370</v>
      </c>
      <c r="F220" s="0" t="s">
        <v>1111</v>
      </c>
      <c r="G220" s="0" t="n">
        <v>30</v>
      </c>
      <c r="H220" s="0" t="n">
        <v>29.75</v>
      </c>
      <c r="I220" s="10" t="n">
        <v>0.454</v>
      </c>
      <c r="J220" s="10" t="n">
        <v>0.4843</v>
      </c>
      <c r="K220" s="9" t="s">
        <v>3085</v>
      </c>
      <c r="L220" s="9" t="s">
        <v>3091</v>
      </c>
      <c r="M220" s="0" t="n">
        <v>30.82</v>
      </c>
      <c r="N220" s="10" t="n">
        <v>0.4</v>
      </c>
      <c r="O220" s="19"/>
      <c r="P220" s="0" t="str">
        <f aca="false">IF(O220="","",IF(O220&gt;G220,"OVER",IF(O220&lt;G220,"UNDER","PUSH")))</f>
        <v/>
      </c>
      <c r="Q220" s="0" t="n">
        <v>29.77</v>
      </c>
      <c r="R220" s="10" t="n">
        <v>0.4551</v>
      </c>
      <c r="S220" s="0" t="n">
        <v>1.0006</v>
      </c>
      <c r="T220" s="0" t="n">
        <v>28.81</v>
      </c>
      <c r="U220" s="0" t="n">
        <v>28.83</v>
      </c>
    </row>
    <row r="221" customFormat="false" ht="15" hidden="false" customHeight="false" outlineLevel="0" collapsed="false">
      <c r="A221" s="0" t="s">
        <v>1612</v>
      </c>
      <c r="B221" s="0" t="s">
        <v>1610</v>
      </c>
      <c r="C221" s="0" t="s">
        <v>988</v>
      </c>
      <c r="D221" s="0" t="s">
        <v>1015</v>
      </c>
      <c r="E221" s="0" t="s">
        <v>1373</v>
      </c>
      <c r="F221" s="0" t="s">
        <v>1107</v>
      </c>
      <c r="G221" s="0" t="n">
        <v>14</v>
      </c>
      <c r="H221" s="0" t="n">
        <v>16.21</v>
      </c>
      <c r="I221" s="10" t="n">
        <v>0.6492</v>
      </c>
      <c r="J221" s="10" t="n">
        <v>0.2718</v>
      </c>
      <c r="K221" s="9" t="s">
        <v>3085</v>
      </c>
      <c r="L221" s="9" t="s">
        <v>3091</v>
      </c>
      <c r="N221" s="10" t="n">
        <v>0.6</v>
      </c>
      <c r="O221" s="19"/>
      <c r="P221" s="0" t="str">
        <f aca="false">IF(O221="","",IF(O221&gt;G221,"OVER",IF(O221&lt;G221,"UNDER","PUSH")))</f>
        <v/>
      </c>
      <c r="Q221" s="0" t="n">
        <v>16.22</v>
      </c>
      <c r="R221" s="10" t="n">
        <v>0.6499</v>
      </c>
      <c r="S221" s="0" t="n">
        <v>1.0006</v>
      </c>
      <c r="T221" s="0" t="n">
        <v>14.96</v>
      </c>
      <c r="U221" s="0" t="n">
        <v>14.97</v>
      </c>
    </row>
    <row r="222" customFormat="false" ht="15" hidden="false" customHeight="false" outlineLevel="0" collapsed="false">
      <c r="A222" s="0" t="s">
        <v>1612</v>
      </c>
      <c r="B222" s="0" t="s">
        <v>1610</v>
      </c>
      <c r="C222" s="0" t="s">
        <v>988</v>
      </c>
      <c r="D222" s="0" t="s">
        <v>1015</v>
      </c>
      <c r="E222" s="0" t="s">
        <v>1373</v>
      </c>
      <c r="F222" s="0" t="s">
        <v>1111</v>
      </c>
      <c r="G222" s="0" t="n">
        <v>27</v>
      </c>
      <c r="H222" s="0" t="n">
        <v>28.57</v>
      </c>
      <c r="I222" s="10" t="n">
        <v>0.5672</v>
      </c>
      <c r="J222" s="10" t="n">
        <v>0.3717</v>
      </c>
      <c r="K222" s="9" t="s">
        <v>3085</v>
      </c>
      <c r="L222" s="9" t="s">
        <v>3091</v>
      </c>
      <c r="M222" s="0" t="n">
        <v>29</v>
      </c>
      <c r="N222" s="10" t="n">
        <v>0.7</v>
      </c>
      <c r="O222" s="19"/>
      <c r="P222" s="0" t="str">
        <f aca="false">IF(O222="","",IF(O222&gt;G222,"OVER",IF(O222&lt;G222,"UNDER","PUSH")))</f>
        <v/>
      </c>
      <c r="Q222" s="0" t="n">
        <v>28.59</v>
      </c>
      <c r="R222" s="10" t="n">
        <v>0.5682</v>
      </c>
      <c r="S222" s="0" t="n">
        <v>1.0006</v>
      </c>
      <c r="T222" s="0" t="n">
        <v>27.14</v>
      </c>
      <c r="U222" s="0" t="n">
        <v>27.16</v>
      </c>
    </row>
    <row r="223" customFormat="false" ht="15" hidden="false" customHeight="false" outlineLevel="0" collapsed="false">
      <c r="A223" s="0" t="s">
        <v>1612</v>
      </c>
      <c r="B223" s="0" t="s">
        <v>1610</v>
      </c>
      <c r="C223" s="0" t="s">
        <v>988</v>
      </c>
      <c r="D223" s="0" t="s">
        <v>1015</v>
      </c>
      <c r="E223" s="0" t="s">
        <v>1375</v>
      </c>
      <c r="F223" s="0" t="s">
        <v>1107</v>
      </c>
      <c r="G223" s="0" t="n">
        <v>15.5</v>
      </c>
      <c r="H223" s="0" t="n">
        <v>16.92</v>
      </c>
      <c r="I223" s="10" t="n">
        <v>0.6215</v>
      </c>
      <c r="J223" s="10" t="n">
        <v>0.3785</v>
      </c>
      <c r="K223" s="9" t="s">
        <v>3085</v>
      </c>
      <c r="L223" s="9" t="s">
        <v>3091</v>
      </c>
      <c r="N223" s="10" t="n">
        <v>0.2</v>
      </c>
      <c r="O223" s="19"/>
      <c r="P223" s="0" t="str">
        <f aca="false">IF(O223="","",IF(O223&gt;G223,"OVER",IF(O223&lt;G223,"UNDER","PUSH")))</f>
        <v/>
      </c>
      <c r="Q223" s="0" t="n">
        <v>16.93</v>
      </c>
      <c r="R223" s="10" t="n">
        <v>0.6223</v>
      </c>
      <c r="S223" s="0" t="n">
        <v>1.0006</v>
      </c>
      <c r="T223" s="0" t="n">
        <v>15.5</v>
      </c>
      <c r="U223" s="0" t="n">
        <v>15.51</v>
      </c>
    </row>
    <row r="224" customFormat="false" ht="15" hidden="false" customHeight="false" outlineLevel="0" collapsed="false">
      <c r="A224" s="0" t="s">
        <v>1612</v>
      </c>
      <c r="B224" s="0" t="s">
        <v>1610</v>
      </c>
      <c r="C224" s="0" t="s">
        <v>988</v>
      </c>
      <c r="D224" s="0" t="s">
        <v>1015</v>
      </c>
      <c r="E224" s="0" t="s">
        <v>1375</v>
      </c>
      <c r="F224" s="0" t="s">
        <v>1111</v>
      </c>
      <c r="G224" s="0" t="n">
        <v>26.5</v>
      </c>
      <c r="H224" s="0" t="n">
        <v>28</v>
      </c>
      <c r="I224" s="10" t="n">
        <v>0.5948</v>
      </c>
      <c r="J224" s="10" t="n">
        <v>0.4052</v>
      </c>
      <c r="K224" s="9" t="s">
        <v>3085</v>
      </c>
      <c r="L224" s="9" t="s">
        <v>3091</v>
      </c>
      <c r="M224" s="0" t="n">
        <v>26.2</v>
      </c>
      <c r="N224" s="10" t="n">
        <v>0.2</v>
      </c>
      <c r="O224" s="19"/>
      <c r="P224" s="0" t="str">
        <f aca="false">IF(O224="","",IF(O224&gt;G224,"OVER",IF(O224&lt;G224,"UNDER","PUSH")))</f>
        <v/>
      </c>
      <c r="Q224" s="0" t="n">
        <v>28.02</v>
      </c>
      <c r="R224" s="10" t="n">
        <v>0.5958</v>
      </c>
      <c r="S224" s="0" t="n">
        <v>1.0006</v>
      </c>
      <c r="T224" s="0" t="n">
        <v>26.73</v>
      </c>
      <c r="U224" s="0" t="n">
        <v>26.74</v>
      </c>
    </row>
    <row r="225" customFormat="false" ht="15" hidden="false" customHeight="false" outlineLevel="0" collapsed="false">
      <c r="A225" s="0" t="s">
        <v>1612</v>
      </c>
      <c r="B225" s="0" t="s">
        <v>1610</v>
      </c>
      <c r="C225" s="0" t="s">
        <v>988</v>
      </c>
      <c r="D225" s="0" t="s">
        <v>1015</v>
      </c>
      <c r="E225" s="0" t="s">
        <v>1377</v>
      </c>
      <c r="F225" s="0" t="s">
        <v>1107</v>
      </c>
      <c r="G225" s="0" t="n">
        <v>15.5</v>
      </c>
      <c r="H225" s="0" t="n">
        <v>16.99</v>
      </c>
      <c r="I225" s="10" t="n">
        <v>0.6282</v>
      </c>
      <c r="J225" s="10" t="n">
        <v>0.3718</v>
      </c>
      <c r="K225" s="9" t="s">
        <v>3085</v>
      </c>
      <c r="L225" s="9" t="s">
        <v>3091</v>
      </c>
      <c r="N225" s="10" t="n">
        <v>0.7</v>
      </c>
      <c r="O225" s="19"/>
      <c r="P225" s="0" t="str">
        <f aca="false">IF(O225="","",IF(O225&gt;G225,"OVER",IF(O225&lt;G225,"UNDER","PUSH")))</f>
        <v/>
      </c>
      <c r="Q225" s="0" t="n">
        <v>17</v>
      </c>
      <c r="R225" s="10" t="n">
        <v>0.6289</v>
      </c>
      <c r="S225" s="0" t="n">
        <v>1.0006</v>
      </c>
      <c r="T225" s="0" t="n">
        <v>16.34</v>
      </c>
      <c r="U225" s="0" t="n">
        <v>16.35</v>
      </c>
    </row>
    <row r="226" customFormat="false" ht="15" hidden="false" customHeight="false" outlineLevel="0" collapsed="false">
      <c r="A226" s="0" t="s">
        <v>1612</v>
      </c>
      <c r="B226" s="0" t="s">
        <v>1610</v>
      </c>
      <c r="C226" s="0" t="s">
        <v>988</v>
      </c>
      <c r="D226" s="0" t="s">
        <v>1015</v>
      </c>
      <c r="E226" s="0" t="s">
        <v>1377</v>
      </c>
      <c r="F226" s="0" t="s">
        <v>1111</v>
      </c>
      <c r="G226" s="0" t="n">
        <v>30.5</v>
      </c>
      <c r="H226" s="0" t="n">
        <v>31.38</v>
      </c>
      <c r="I226" s="10" t="n">
        <v>0.5531</v>
      </c>
      <c r="J226" s="10" t="n">
        <v>0.4469</v>
      </c>
      <c r="K226" s="9" t="s">
        <v>3085</v>
      </c>
      <c r="L226" s="9" t="s">
        <v>3091</v>
      </c>
      <c r="M226" s="0" t="n">
        <v>31.08</v>
      </c>
      <c r="N226" s="10" t="n">
        <v>0.2</v>
      </c>
      <c r="O226" s="19"/>
      <c r="P226" s="0" t="str">
        <f aca="false">IF(O226="","",IF(O226&gt;G226,"OVER",IF(O226&lt;G226,"UNDER","PUSH")))</f>
        <v/>
      </c>
      <c r="Q226" s="0" t="n">
        <v>31.4</v>
      </c>
      <c r="R226" s="10" t="n">
        <v>0.5542</v>
      </c>
      <c r="S226" s="0" t="n">
        <v>1.0006</v>
      </c>
      <c r="T226" s="0" t="n">
        <v>30.48</v>
      </c>
      <c r="U226" s="0" t="n">
        <v>30.5</v>
      </c>
    </row>
    <row r="227" customFormat="false" ht="15" hidden="false" customHeight="false" outlineLevel="0" collapsed="false">
      <c r="A227" s="0" t="s">
        <v>1612</v>
      </c>
      <c r="B227" s="0" t="s">
        <v>1610</v>
      </c>
      <c r="C227" s="0" t="s">
        <v>988</v>
      </c>
      <c r="D227" s="0" t="s">
        <v>1015</v>
      </c>
      <c r="E227" s="0" t="s">
        <v>1381</v>
      </c>
      <c r="F227" s="0" t="s">
        <v>1107</v>
      </c>
      <c r="G227" s="0" t="n">
        <v>14.5</v>
      </c>
      <c r="H227" s="0" t="n">
        <v>13.84</v>
      </c>
      <c r="I227" s="10" t="n">
        <v>0.4347</v>
      </c>
      <c r="J227" s="10" t="n">
        <v>0.5653</v>
      </c>
      <c r="K227" s="9" t="s">
        <v>3085</v>
      </c>
      <c r="L227" s="9" t="s">
        <v>3091</v>
      </c>
      <c r="N227" s="10" t="n">
        <v>0.6</v>
      </c>
      <c r="O227" s="19"/>
      <c r="P227" s="0" t="str">
        <f aca="false">IF(O227="","",IF(O227&gt;G227,"OVER",IF(O227&lt;G227,"UNDER","PUSH")))</f>
        <v/>
      </c>
      <c r="Q227" s="0" t="n">
        <v>13.85</v>
      </c>
      <c r="R227" s="10" t="n">
        <v>0.4355</v>
      </c>
      <c r="S227" s="0" t="n">
        <v>1.0006</v>
      </c>
      <c r="T227" s="0" t="n">
        <v>15.01</v>
      </c>
      <c r="U227" s="0" t="n">
        <v>15.02</v>
      </c>
    </row>
    <row r="228" customFormat="false" ht="15" hidden="false" customHeight="false" outlineLevel="0" collapsed="false">
      <c r="A228" s="0" t="s">
        <v>1612</v>
      </c>
      <c r="B228" s="0" t="s">
        <v>1610</v>
      </c>
      <c r="C228" s="0" t="s">
        <v>988</v>
      </c>
      <c r="D228" s="0" t="s">
        <v>1015</v>
      </c>
      <c r="E228" s="0" t="s">
        <v>1381</v>
      </c>
      <c r="F228" s="0" t="s">
        <v>1111</v>
      </c>
      <c r="G228" s="0" t="n">
        <v>35.5</v>
      </c>
      <c r="H228" s="0" t="n">
        <v>36.55</v>
      </c>
      <c r="I228" s="10" t="n">
        <v>0.5582</v>
      </c>
      <c r="J228" s="10" t="n">
        <v>0.4418</v>
      </c>
      <c r="K228" s="9" t="s">
        <v>3085</v>
      </c>
      <c r="L228" s="9" t="s">
        <v>3091</v>
      </c>
      <c r="M228" s="0" t="n">
        <v>37</v>
      </c>
      <c r="N228" s="10" t="n">
        <v>0.4</v>
      </c>
      <c r="O228" s="19"/>
      <c r="P228" s="0" t="str">
        <f aca="false">IF(O228="","",IF(O228&gt;G228,"OVER",IF(O228&lt;G228,"UNDER","PUSH")))</f>
        <v/>
      </c>
      <c r="Q228" s="0" t="n">
        <v>36.57</v>
      </c>
      <c r="R228" s="10" t="n">
        <v>0.5593</v>
      </c>
      <c r="S228" s="0" t="n">
        <v>1.0006</v>
      </c>
      <c r="T228" s="0" t="n">
        <v>35.5</v>
      </c>
      <c r="U228" s="0" t="n">
        <v>35.52</v>
      </c>
    </row>
    <row r="229" customFormat="false" ht="15" hidden="false" customHeight="false" outlineLevel="0" collapsed="false">
      <c r="A229" s="0" t="s">
        <v>1612</v>
      </c>
      <c r="B229" s="0" t="s">
        <v>1610</v>
      </c>
      <c r="C229" s="0" t="s">
        <v>988</v>
      </c>
      <c r="D229" s="0" t="s">
        <v>1066</v>
      </c>
      <c r="E229" s="0" t="s">
        <v>1384</v>
      </c>
      <c r="F229" s="0" t="s">
        <v>1107</v>
      </c>
      <c r="G229" s="0" t="n">
        <v>14.5</v>
      </c>
      <c r="H229" s="0" t="n">
        <v>13.91</v>
      </c>
      <c r="I229" s="10" t="n">
        <v>0.4423</v>
      </c>
      <c r="J229" s="10" t="n">
        <v>0.5577</v>
      </c>
      <c r="K229" s="9" t="s">
        <v>3085</v>
      </c>
      <c r="L229" s="9" t="s">
        <v>3074</v>
      </c>
      <c r="N229" s="10" t="n">
        <v>0.5</v>
      </c>
      <c r="O229" s="19"/>
      <c r="P229" s="0" t="str">
        <f aca="false">IF(O229="","",IF(O229&gt;G229,"OVER",IF(O229&lt;G229,"UNDER","PUSH")))</f>
        <v/>
      </c>
      <c r="Q229" s="0" t="n">
        <v>13.91</v>
      </c>
      <c r="R229" s="10" t="n">
        <v>0.4425</v>
      </c>
      <c r="S229" s="0" t="n">
        <v>1.0002</v>
      </c>
      <c r="T229" s="0" t="n">
        <v>13.33</v>
      </c>
      <c r="U229" s="0" t="n">
        <v>13.33</v>
      </c>
    </row>
    <row r="230" customFormat="false" ht="15" hidden="false" customHeight="false" outlineLevel="0" collapsed="false">
      <c r="A230" s="0" t="s">
        <v>1612</v>
      </c>
      <c r="B230" s="0" t="s">
        <v>1610</v>
      </c>
      <c r="C230" s="0" t="s">
        <v>988</v>
      </c>
      <c r="D230" s="0" t="s">
        <v>1066</v>
      </c>
      <c r="E230" s="0" t="s">
        <v>1384</v>
      </c>
      <c r="F230" s="0" t="s">
        <v>1111</v>
      </c>
      <c r="G230" s="0" t="n">
        <v>29</v>
      </c>
      <c r="H230" s="0" t="n">
        <v>27.59</v>
      </c>
      <c r="I230" s="10" t="n">
        <v>0.3794</v>
      </c>
      <c r="J230" s="10" t="n">
        <v>0.5581</v>
      </c>
      <c r="K230" s="9" t="s">
        <v>3085</v>
      </c>
      <c r="L230" s="9" t="s">
        <v>3074</v>
      </c>
      <c r="N230" s="10" t="n">
        <v>0.5</v>
      </c>
      <c r="O230" s="19"/>
      <c r="P230" s="0" t="str">
        <f aca="false">IF(O230="","",IF(O230&gt;G230,"OVER",IF(O230&lt;G230,"UNDER","PUSH")))</f>
        <v/>
      </c>
      <c r="Q230" s="0" t="n">
        <v>27.6</v>
      </c>
      <c r="R230" s="10" t="n">
        <v>0.38</v>
      </c>
      <c r="S230" s="0" t="n">
        <v>1.0004</v>
      </c>
      <c r="T230" s="0" t="n">
        <v>27.09</v>
      </c>
      <c r="U230" s="0" t="n">
        <v>27.1</v>
      </c>
    </row>
    <row r="231" customFormat="false" ht="15" hidden="false" customHeight="false" outlineLevel="0" collapsed="false">
      <c r="A231" s="0" t="s">
        <v>1612</v>
      </c>
      <c r="B231" s="0" t="s">
        <v>1610</v>
      </c>
      <c r="C231" s="0" t="s">
        <v>988</v>
      </c>
      <c r="D231" s="0" t="s">
        <v>1066</v>
      </c>
      <c r="E231" s="0" t="s">
        <v>1386</v>
      </c>
      <c r="F231" s="0" t="s">
        <v>1107</v>
      </c>
      <c r="G231" s="0" t="n">
        <v>9.5</v>
      </c>
      <c r="H231" s="0" t="n">
        <v>10.22</v>
      </c>
      <c r="I231" s="10" t="n">
        <v>0.5833</v>
      </c>
      <c r="J231" s="10" t="n">
        <v>0.4167</v>
      </c>
      <c r="K231" s="9" t="s">
        <v>3085</v>
      </c>
      <c r="L231" s="9" t="s">
        <v>3074</v>
      </c>
      <c r="N231" s="10" t="n">
        <v>0.5</v>
      </c>
      <c r="O231" s="19"/>
      <c r="P231" s="0" t="str">
        <f aca="false">IF(O231="","",IF(O231&gt;G231,"OVER",IF(O231&lt;G231,"UNDER","PUSH")))</f>
        <v/>
      </c>
      <c r="Q231" s="0" t="n">
        <v>10.22</v>
      </c>
      <c r="R231" s="10" t="n">
        <v>0.5835</v>
      </c>
      <c r="S231" s="0" t="n">
        <v>1.0002</v>
      </c>
      <c r="T231" s="0" t="n">
        <v>9.81</v>
      </c>
      <c r="U231" s="0" t="n">
        <v>9.81</v>
      </c>
    </row>
    <row r="232" customFormat="false" ht="15" hidden="false" customHeight="false" outlineLevel="0" collapsed="false">
      <c r="A232" s="0" t="s">
        <v>1612</v>
      </c>
      <c r="B232" s="0" t="s">
        <v>1610</v>
      </c>
      <c r="C232" s="0" t="s">
        <v>988</v>
      </c>
      <c r="D232" s="0" t="s">
        <v>1066</v>
      </c>
      <c r="E232" s="0" t="s">
        <v>1386</v>
      </c>
      <c r="F232" s="0" t="s">
        <v>1111</v>
      </c>
      <c r="G232" s="0" t="n">
        <v>27</v>
      </c>
      <c r="H232" s="0" t="n">
        <v>26.88</v>
      </c>
      <c r="I232" s="10" t="n">
        <v>0.4594</v>
      </c>
      <c r="J232" s="10" t="n">
        <v>0.4756</v>
      </c>
      <c r="K232" s="9" t="s">
        <v>3085</v>
      </c>
      <c r="L232" s="9" t="s">
        <v>3074</v>
      </c>
      <c r="N232" s="10" t="n">
        <v>0.5</v>
      </c>
      <c r="O232" s="19"/>
      <c r="P232" s="0" t="str">
        <f aca="false">IF(O232="","",IF(O232&gt;G232,"OVER",IF(O232&lt;G232,"UNDER","PUSH")))</f>
        <v/>
      </c>
      <c r="Q232" s="0" t="n">
        <v>26.88</v>
      </c>
      <c r="R232" s="10" t="n">
        <v>0.4599</v>
      </c>
      <c r="S232" s="0" t="n">
        <v>1.0003</v>
      </c>
      <c r="T232" s="0" t="n">
        <v>26.23</v>
      </c>
      <c r="U232" s="0" t="n">
        <v>26.24</v>
      </c>
    </row>
    <row r="233" customFormat="false" ht="15" hidden="false" customHeight="false" outlineLevel="0" collapsed="false">
      <c r="A233" s="0" t="s">
        <v>1612</v>
      </c>
      <c r="B233" s="0" t="s">
        <v>1610</v>
      </c>
      <c r="C233" s="0" t="s">
        <v>988</v>
      </c>
      <c r="D233" s="0" t="s">
        <v>1066</v>
      </c>
      <c r="E233" s="0" t="s">
        <v>1388</v>
      </c>
      <c r="F233" s="0" t="s">
        <v>1107</v>
      </c>
      <c r="G233" s="0" t="n">
        <v>18.5</v>
      </c>
      <c r="H233" s="0" t="n">
        <v>17.15</v>
      </c>
      <c r="I233" s="10" t="n">
        <v>0.3848</v>
      </c>
      <c r="J233" s="10" t="n">
        <v>0.6152</v>
      </c>
      <c r="K233" s="9" t="s">
        <v>3085</v>
      </c>
      <c r="L233" s="9" t="s">
        <v>3074</v>
      </c>
      <c r="N233" s="10" t="n">
        <v>0.5</v>
      </c>
      <c r="O233" s="19"/>
      <c r="P233" s="0" t="str">
        <f aca="false">IF(O233="","",IF(O233&gt;G233,"OVER",IF(O233&lt;G233,"UNDER","PUSH")))</f>
        <v/>
      </c>
      <c r="Q233" s="0" t="n">
        <v>17.13</v>
      </c>
      <c r="R233" s="10" t="n">
        <v>0.3836</v>
      </c>
      <c r="S233" s="0" t="n">
        <v>0.9992</v>
      </c>
      <c r="T233" s="0" t="n">
        <v>17.95</v>
      </c>
      <c r="U233" s="0" t="n">
        <v>17.96</v>
      </c>
    </row>
    <row r="234" customFormat="false" ht="15" hidden="false" customHeight="false" outlineLevel="0" collapsed="false">
      <c r="A234" s="0" t="s">
        <v>1612</v>
      </c>
      <c r="B234" s="0" t="s">
        <v>1610</v>
      </c>
      <c r="C234" s="0" t="s">
        <v>988</v>
      </c>
      <c r="D234" s="0" t="s">
        <v>1066</v>
      </c>
      <c r="E234" s="0" t="s">
        <v>1388</v>
      </c>
      <c r="F234" s="0" t="s">
        <v>1111</v>
      </c>
      <c r="G234" s="0" t="n">
        <v>30.5</v>
      </c>
      <c r="H234" s="0" t="n">
        <v>28.34</v>
      </c>
      <c r="I234" s="10" t="n">
        <v>0.3661</v>
      </c>
      <c r="J234" s="10" t="n">
        <v>0.6339</v>
      </c>
      <c r="K234" s="9" t="s">
        <v>3085</v>
      </c>
      <c r="L234" s="9" t="s">
        <v>3074</v>
      </c>
      <c r="N234" s="10" t="n">
        <v>0.6</v>
      </c>
      <c r="O234" s="19"/>
      <c r="P234" s="0" t="str">
        <f aca="false">IF(O234="","",IF(O234&gt;G234,"OVER",IF(O234&lt;G234,"UNDER","PUSH")))</f>
        <v/>
      </c>
      <c r="Q234" s="0" t="n">
        <v>28.35</v>
      </c>
      <c r="R234" s="10" t="n">
        <v>0.3666</v>
      </c>
      <c r="S234" s="0" t="n">
        <v>1.0003</v>
      </c>
      <c r="T234" s="0" t="n">
        <v>29.67</v>
      </c>
      <c r="U234" s="0" t="n">
        <v>29.68</v>
      </c>
    </row>
    <row r="235" customFormat="false" ht="15" hidden="false" customHeight="false" outlineLevel="0" collapsed="false">
      <c r="A235" s="0" t="s">
        <v>1612</v>
      </c>
      <c r="B235" s="0" t="s">
        <v>1610</v>
      </c>
      <c r="C235" s="0" t="s">
        <v>988</v>
      </c>
      <c r="D235" s="0" t="s">
        <v>1066</v>
      </c>
      <c r="E235" s="0" t="s">
        <v>1391</v>
      </c>
      <c r="F235" s="0" t="s">
        <v>1107</v>
      </c>
      <c r="G235" s="0" t="n">
        <v>16</v>
      </c>
      <c r="H235" s="0" t="n">
        <v>16.64</v>
      </c>
      <c r="I235" s="10" t="n">
        <v>0.5122</v>
      </c>
      <c r="J235" s="10" t="n">
        <v>0.4009</v>
      </c>
      <c r="K235" s="9" t="s">
        <v>3085</v>
      </c>
      <c r="L235" s="9" t="s">
        <v>3074</v>
      </c>
      <c r="N235" s="10" t="n">
        <v>0.6</v>
      </c>
      <c r="O235" s="19"/>
      <c r="P235" s="0" t="str">
        <f aca="false">IF(O235="","",IF(O235&gt;G235,"OVER",IF(O235&lt;G235,"UNDER","PUSH")))</f>
        <v/>
      </c>
      <c r="Q235" s="0" t="n">
        <v>16.61</v>
      </c>
      <c r="R235" s="10" t="n">
        <v>0.51</v>
      </c>
      <c r="S235" s="0" t="n">
        <v>0.9985</v>
      </c>
      <c r="T235" s="0" t="n">
        <v>16.29</v>
      </c>
      <c r="U235" s="0" t="n">
        <v>16.3</v>
      </c>
    </row>
    <row r="236" customFormat="false" ht="15" hidden="false" customHeight="false" outlineLevel="0" collapsed="false">
      <c r="A236" s="0" t="s">
        <v>1612</v>
      </c>
      <c r="B236" s="0" t="s">
        <v>1610</v>
      </c>
      <c r="C236" s="0" t="s">
        <v>988</v>
      </c>
      <c r="D236" s="0" t="s">
        <v>1066</v>
      </c>
      <c r="E236" s="0" t="s">
        <v>1391</v>
      </c>
      <c r="F236" s="0" t="s">
        <v>1111</v>
      </c>
      <c r="G236" s="0" t="n">
        <v>28.5</v>
      </c>
      <c r="H236" s="0" t="n">
        <v>28.31</v>
      </c>
      <c r="I236" s="10" t="n">
        <v>0.4879</v>
      </c>
      <c r="J236" s="10" t="n">
        <v>0.5121</v>
      </c>
      <c r="K236" s="9" t="s">
        <v>3085</v>
      </c>
      <c r="L236" s="9" t="s">
        <v>3074</v>
      </c>
      <c r="N236" s="10" t="n">
        <v>0.5</v>
      </c>
      <c r="O236" s="19"/>
      <c r="P236" s="0" t="str">
        <f aca="false">IF(O236="","",IF(O236&gt;G236,"OVER",IF(O236&lt;G236,"UNDER","PUSH")))</f>
        <v/>
      </c>
      <c r="Q236" s="0" t="n">
        <v>28.26</v>
      </c>
      <c r="R236" s="10" t="n">
        <v>0.4848</v>
      </c>
      <c r="S236" s="0" t="n">
        <v>0.9983</v>
      </c>
      <c r="T236" s="0" t="n">
        <v>28.38</v>
      </c>
      <c r="U236" s="0" t="n">
        <v>28.39</v>
      </c>
    </row>
    <row r="237" customFormat="false" ht="15" hidden="false" customHeight="false" outlineLevel="0" collapsed="false">
      <c r="A237" s="0" t="s">
        <v>1612</v>
      </c>
      <c r="B237" s="0" t="s">
        <v>1610</v>
      </c>
      <c r="C237" s="0" t="s">
        <v>988</v>
      </c>
      <c r="D237" s="0" t="s">
        <v>1066</v>
      </c>
      <c r="E237" s="0" t="s">
        <v>1393</v>
      </c>
      <c r="F237" s="0" t="s">
        <v>1107</v>
      </c>
      <c r="G237" s="0" t="n">
        <v>17</v>
      </c>
      <c r="H237" s="0" t="n">
        <v>16.25</v>
      </c>
      <c r="I237" s="10" t="n">
        <v>0.3898</v>
      </c>
      <c r="J237" s="10" t="n">
        <v>0.5227</v>
      </c>
      <c r="K237" s="9" t="s">
        <v>3085</v>
      </c>
      <c r="L237" s="9" t="s">
        <v>3074</v>
      </c>
      <c r="N237" s="10" t="n">
        <v>0.8</v>
      </c>
      <c r="O237" s="19"/>
      <c r="P237" s="0" t="str">
        <f aca="false">IF(O237="","",IF(O237&gt;G237,"OVER",IF(O237&lt;G237,"UNDER","PUSH")))</f>
        <v/>
      </c>
      <c r="Q237" s="0" t="n">
        <v>16.25</v>
      </c>
      <c r="R237" s="10" t="n">
        <v>0.3904</v>
      </c>
      <c r="S237" s="0" t="n">
        <v>1.0004</v>
      </c>
      <c r="T237" s="0" t="n">
        <v>16.66</v>
      </c>
      <c r="U237" s="0" t="n">
        <v>16.67</v>
      </c>
    </row>
    <row r="238" customFormat="false" ht="15" hidden="false" customHeight="false" outlineLevel="0" collapsed="false">
      <c r="A238" s="0" t="s">
        <v>1612</v>
      </c>
      <c r="B238" s="0" t="s">
        <v>1610</v>
      </c>
      <c r="C238" s="0" t="s">
        <v>988</v>
      </c>
      <c r="D238" s="0" t="s">
        <v>1066</v>
      </c>
      <c r="E238" s="0" t="s">
        <v>1393</v>
      </c>
      <c r="F238" s="0" t="s">
        <v>1111</v>
      </c>
      <c r="G238" s="0" t="n">
        <v>30</v>
      </c>
      <c r="H238" s="0" t="n">
        <v>27.3</v>
      </c>
      <c r="I238" s="10" t="n">
        <v>0.3027</v>
      </c>
      <c r="J238" s="10" t="n">
        <v>0.6387</v>
      </c>
      <c r="K238" s="9" t="s">
        <v>3085</v>
      </c>
      <c r="L238" s="9" t="s">
        <v>3074</v>
      </c>
      <c r="N238" s="10" t="n">
        <v>0.5</v>
      </c>
      <c r="O238" s="19"/>
      <c r="P238" s="0" t="str">
        <f aca="false">IF(O238="","",IF(O238&gt;G238,"OVER",IF(O238&lt;G238,"UNDER","PUSH")))</f>
        <v/>
      </c>
      <c r="Q238" s="0" t="n">
        <v>27.31</v>
      </c>
      <c r="R238" s="10" t="n">
        <v>0.3031</v>
      </c>
      <c r="S238" s="0" t="n">
        <v>1.0003</v>
      </c>
      <c r="T238" s="0" t="n">
        <v>28.38</v>
      </c>
      <c r="U238" s="0" t="n">
        <v>28.39</v>
      </c>
    </row>
    <row r="239" customFormat="false" ht="15" hidden="false" customHeight="false" outlineLevel="0" collapsed="false">
      <c r="A239" s="0" t="s">
        <v>1612</v>
      </c>
      <c r="B239" s="0" t="s">
        <v>1610</v>
      </c>
      <c r="C239" s="0" t="s">
        <v>988</v>
      </c>
      <c r="D239" s="0" t="s">
        <v>1066</v>
      </c>
      <c r="E239" s="0" t="s">
        <v>1395</v>
      </c>
      <c r="F239" s="0" t="s">
        <v>1107</v>
      </c>
      <c r="G239" s="0" t="n">
        <v>16.5</v>
      </c>
      <c r="H239" s="0" t="n">
        <v>16.09</v>
      </c>
      <c r="I239" s="10" t="n">
        <v>0.4628</v>
      </c>
      <c r="J239" s="10" t="n">
        <v>0.5372</v>
      </c>
      <c r="K239" s="9" t="s">
        <v>3085</v>
      </c>
      <c r="L239" s="9" t="s">
        <v>3074</v>
      </c>
      <c r="N239" s="10" t="n">
        <v>0.4</v>
      </c>
      <c r="O239" s="19"/>
      <c r="P239" s="0" t="str">
        <f aca="false">IF(O239="","",IF(O239&gt;G239,"OVER",IF(O239&lt;G239,"UNDER","PUSH")))</f>
        <v/>
      </c>
      <c r="Q239" s="0" t="n">
        <v>16.27</v>
      </c>
      <c r="R239" s="10" t="n">
        <v>0.479</v>
      </c>
      <c r="S239" s="0" t="n">
        <v>1.0112</v>
      </c>
      <c r="T239" s="0" t="n">
        <v>15.97</v>
      </c>
      <c r="U239" s="0" t="n">
        <v>16.14</v>
      </c>
    </row>
    <row r="240" customFormat="false" ht="15" hidden="false" customHeight="false" outlineLevel="0" collapsed="false">
      <c r="A240" s="0" t="s">
        <v>1612</v>
      </c>
      <c r="B240" s="0" t="s">
        <v>1610</v>
      </c>
      <c r="C240" s="0" t="s">
        <v>988</v>
      </c>
      <c r="D240" s="0" t="s">
        <v>1066</v>
      </c>
      <c r="E240" s="0" t="s">
        <v>1395</v>
      </c>
      <c r="F240" s="0" t="s">
        <v>1111</v>
      </c>
      <c r="G240" s="0" t="n">
        <v>30.5</v>
      </c>
      <c r="H240" s="0" t="n">
        <v>29.33</v>
      </c>
      <c r="I240" s="10" t="n">
        <v>0.4274</v>
      </c>
      <c r="J240" s="10" t="n">
        <v>0.5726</v>
      </c>
      <c r="K240" s="9" t="s">
        <v>3085</v>
      </c>
      <c r="L240" s="9" t="s">
        <v>3074</v>
      </c>
      <c r="N240" s="10" t="n">
        <v>0.3</v>
      </c>
      <c r="O240" s="19"/>
      <c r="P240" s="0" t="str">
        <f aca="false">IF(O240="","",IF(O240&gt;G240,"OVER",IF(O240&lt;G240,"UNDER","PUSH")))</f>
        <v/>
      </c>
      <c r="Q240" s="0" t="n">
        <v>29.66</v>
      </c>
      <c r="R240" s="10" t="n">
        <v>0.4482</v>
      </c>
      <c r="S240" s="0" t="n">
        <v>1.0114</v>
      </c>
      <c r="T240" s="0" t="n">
        <v>29.24</v>
      </c>
      <c r="U240" s="0" t="n">
        <v>29.57</v>
      </c>
    </row>
    <row r="241" customFormat="false" ht="15" hidden="false" customHeight="false" outlineLevel="0" collapsed="false">
      <c r="A241" s="0" t="s">
        <v>1612</v>
      </c>
      <c r="B241" s="0" t="s">
        <v>1610</v>
      </c>
      <c r="C241" s="0" t="s">
        <v>988</v>
      </c>
      <c r="D241" s="0" t="s">
        <v>1066</v>
      </c>
      <c r="E241" s="0" t="s">
        <v>1397</v>
      </c>
      <c r="F241" s="0" t="s">
        <v>1107</v>
      </c>
      <c r="G241" s="0" t="n">
        <v>17.5</v>
      </c>
      <c r="H241" s="0" t="n">
        <v>17.35</v>
      </c>
      <c r="I241" s="10" t="n">
        <v>0.4874</v>
      </c>
      <c r="J241" s="10" t="n">
        <v>0.5126</v>
      </c>
      <c r="K241" s="9" t="s">
        <v>3085</v>
      </c>
      <c r="L241" s="9" t="s">
        <v>3074</v>
      </c>
      <c r="N241" s="10" t="n">
        <v>0.5</v>
      </c>
      <c r="O241" s="19"/>
      <c r="P241" s="0" t="str">
        <f aca="false">IF(O241="","",IF(O241&gt;G241,"OVER",IF(O241&lt;G241,"UNDER","PUSH")))</f>
        <v/>
      </c>
      <c r="Q241" s="0" t="n">
        <v>17.51</v>
      </c>
      <c r="R241" s="10" t="n">
        <v>0.5011</v>
      </c>
      <c r="S241" s="0" t="n">
        <v>1.0092</v>
      </c>
      <c r="T241" s="0" t="n">
        <v>17.05</v>
      </c>
      <c r="U241" s="0" t="n">
        <v>17.24</v>
      </c>
    </row>
    <row r="242" customFormat="false" ht="15" hidden="false" customHeight="false" outlineLevel="0" collapsed="false">
      <c r="A242" s="0" t="s">
        <v>1612</v>
      </c>
      <c r="B242" s="0" t="s">
        <v>1610</v>
      </c>
      <c r="C242" s="0" t="s">
        <v>988</v>
      </c>
      <c r="D242" s="0" t="s">
        <v>1066</v>
      </c>
      <c r="E242" s="0" t="s">
        <v>1397</v>
      </c>
      <c r="F242" s="0" t="s">
        <v>1111</v>
      </c>
      <c r="G242" s="0" t="n">
        <v>29.5</v>
      </c>
      <c r="H242" s="0" t="n">
        <v>29.63</v>
      </c>
      <c r="I242" s="10" t="n">
        <v>0.5078</v>
      </c>
      <c r="J242" s="10" t="n">
        <v>0.4922</v>
      </c>
      <c r="K242" s="9" t="s">
        <v>3085</v>
      </c>
      <c r="L242" s="9" t="s">
        <v>3074</v>
      </c>
      <c r="N242" s="10" t="n">
        <v>0.6</v>
      </c>
      <c r="O242" s="19"/>
      <c r="P242" s="0" t="str">
        <f aca="false">IF(O242="","",IF(O242&gt;G242,"OVER",IF(O242&lt;G242,"UNDER","PUSH")))</f>
        <v/>
      </c>
      <c r="Q242" s="0" t="n">
        <v>29.91</v>
      </c>
      <c r="R242" s="10" t="n">
        <v>0.5254</v>
      </c>
      <c r="S242" s="0" t="n">
        <v>1.0097</v>
      </c>
      <c r="T242" s="0" t="n">
        <v>29.24</v>
      </c>
      <c r="U242" s="0" t="n">
        <v>29.57</v>
      </c>
    </row>
    <row r="243" customFormat="false" ht="15" hidden="false" customHeight="false" outlineLevel="0" collapsed="false">
      <c r="A243" s="0" t="s">
        <v>1612</v>
      </c>
      <c r="B243" s="0" t="s">
        <v>1610</v>
      </c>
      <c r="C243" s="0" t="s">
        <v>988</v>
      </c>
      <c r="D243" s="0" t="s">
        <v>1066</v>
      </c>
      <c r="E243" s="0" t="s">
        <v>1399</v>
      </c>
      <c r="F243" s="0" t="s">
        <v>1107</v>
      </c>
      <c r="G243" s="0" t="n">
        <v>8.5</v>
      </c>
      <c r="H243" s="0" t="n">
        <v>7.54</v>
      </c>
      <c r="I243" s="10" t="n">
        <v>0.3695</v>
      </c>
      <c r="J243" s="10" t="n">
        <v>0.6305</v>
      </c>
      <c r="K243" s="9" t="s">
        <v>3085</v>
      </c>
      <c r="L243" s="9" t="s">
        <v>3074</v>
      </c>
      <c r="N243" s="10" t="n">
        <v>0.3</v>
      </c>
      <c r="O243" s="19"/>
      <c r="P243" s="0" t="str">
        <f aca="false">IF(O243="","",IF(O243&gt;G243,"OVER",IF(O243&lt;G243,"UNDER","PUSH")))</f>
        <v/>
      </c>
      <c r="Q243" s="0" t="n">
        <v>7.62</v>
      </c>
      <c r="R243" s="10" t="n">
        <v>0.3815</v>
      </c>
      <c r="S243" s="0" t="n">
        <v>1.0115</v>
      </c>
      <c r="T243" s="0" t="n">
        <v>7.46</v>
      </c>
      <c r="U243" s="0" t="n">
        <v>7.54</v>
      </c>
    </row>
    <row r="244" customFormat="false" ht="15" hidden="false" customHeight="false" outlineLevel="0" collapsed="false">
      <c r="A244" s="0" t="s">
        <v>1612</v>
      </c>
      <c r="B244" s="0" t="s">
        <v>1610</v>
      </c>
      <c r="C244" s="0" t="s">
        <v>988</v>
      </c>
      <c r="D244" s="0" t="s">
        <v>1066</v>
      </c>
      <c r="E244" s="0" t="s">
        <v>1399</v>
      </c>
      <c r="F244" s="0" t="s">
        <v>1111</v>
      </c>
      <c r="G244" s="0" t="n">
        <v>29.5</v>
      </c>
      <c r="H244" s="0" t="n">
        <v>27.93</v>
      </c>
      <c r="I244" s="10" t="n">
        <v>0.4011</v>
      </c>
      <c r="J244" s="10" t="n">
        <v>0.5989</v>
      </c>
      <c r="K244" s="9" t="s">
        <v>3085</v>
      </c>
      <c r="L244" s="9" t="s">
        <v>3074</v>
      </c>
      <c r="N244" s="10" t="n">
        <v>0.5</v>
      </c>
      <c r="O244" s="19"/>
      <c r="P244" s="0" t="str">
        <f aca="false">IF(O244="","",IF(O244&gt;G244,"OVER",IF(O244&lt;G244,"UNDER","PUSH")))</f>
        <v/>
      </c>
      <c r="Q244" s="0" t="n">
        <v>28.24</v>
      </c>
      <c r="R244" s="10" t="n">
        <v>0.4209</v>
      </c>
      <c r="S244" s="0" t="n">
        <v>1.0111</v>
      </c>
      <c r="T244" s="0" t="n">
        <v>27.52</v>
      </c>
      <c r="U244" s="0" t="n">
        <v>27.83</v>
      </c>
    </row>
    <row r="245" customFormat="false" ht="15" hidden="false" customHeight="false" outlineLevel="0" collapsed="false">
      <c r="A245" s="0" t="s">
        <v>1612</v>
      </c>
      <c r="B245" s="0" t="s">
        <v>1610</v>
      </c>
      <c r="C245" s="0" t="s">
        <v>988</v>
      </c>
      <c r="D245" s="0" t="s">
        <v>1066</v>
      </c>
      <c r="E245" s="0" t="s">
        <v>1401</v>
      </c>
      <c r="F245" s="0" t="s">
        <v>1107</v>
      </c>
      <c r="G245" s="0" t="n">
        <v>16</v>
      </c>
      <c r="H245" s="0" t="n">
        <v>18.51</v>
      </c>
      <c r="I245" s="10" t="n">
        <v>0.6613</v>
      </c>
      <c r="J245" s="10" t="n">
        <v>0.2668</v>
      </c>
      <c r="K245" s="9" t="s">
        <v>3085</v>
      </c>
      <c r="L245" s="9" t="s">
        <v>3074</v>
      </c>
      <c r="N245" s="10" t="n">
        <v>0.4</v>
      </c>
      <c r="O245" s="19"/>
      <c r="P245" s="0" t="str">
        <f aca="false">IF(O245="","",IF(O245&gt;G245,"OVER",IF(O245&lt;G245,"UNDER","PUSH")))</f>
        <v/>
      </c>
      <c r="Q245" s="0" t="n">
        <v>18.69</v>
      </c>
      <c r="R245" s="10" t="n">
        <v>0.674</v>
      </c>
      <c r="S245" s="0" t="n">
        <v>1.0097</v>
      </c>
      <c r="T245" s="0" t="n">
        <v>18.5</v>
      </c>
      <c r="U245" s="0" t="n">
        <v>18.71</v>
      </c>
    </row>
    <row r="246" customFormat="false" ht="15" hidden="false" customHeight="false" outlineLevel="0" collapsed="false">
      <c r="A246" s="0" t="s">
        <v>1612</v>
      </c>
      <c r="B246" s="0" t="s">
        <v>1610</v>
      </c>
      <c r="C246" s="0" t="s">
        <v>988</v>
      </c>
      <c r="D246" s="0" t="s">
        <v>1066</v>
      </c>
      <c r="E246" s="0" t="s">
        <v>1401</v>
      </c>
      <c r="F246" s="0" t="s">
        <v>1111</v>
      </c>
      <c r="G246" s="0" t="n">
        <v>26</v>
      </c>
      <c r="H246" s="0" t="n">
        <v>27.83</v>
      </c>
      <c r="I246" s="10" t="n">
        <v>0.5842</v>
      </c>
      <c r="J246" s="10" t="n">
        <v>0.3546</v>
      </c>
      <c r="K246" s="9" t="s">
        <v>3085</v>
      </c>
      <c r="L246" s="9" t="s">
        <v>3074</v>
      </c>
      <c r="N246" s="10" t="n">
        <v>0.5</v>
      </c>
      <c r="O246" s="19"/>
      <c r="P246" s="0" t="str">
        <f aca="false">IF(O246="","",IF(O246&gt;G246,"OVER",IF(O246&lt;G246,"UNDER","PUSH")))</f>
        <v/>
      </c>
      <c r="Q246" s="0" t="n">
        <v>28.13</v>
      </c>
      <c r="R246" s="10" t="n">
        <v>0.6022</v>
      </c>
      <c r="S246" s="0" t="n">
        <v>1.0107</v>
      </c>
      <c r="T246" s="0" t="n">
        <v>28.38</v>
      </c>
      <c r="U246" s="0" t="n">
        <v>28.7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60"/>
  </cols>
  <sheetData>
    <row r="1" customFormat="false" ht="15" hidden="false" customHeight="false" outlineLevel="0" collapsed="false">
      <c r="A1" s="12" t="s">
        <v>3092</v>
      </c>
      <c r="B1" s="12" t="s">
        <v>3070</v>
      </c>
    </row>
    <row r="2" customFormat="false" ht="15" hidden="false" customHeight="false" outlineLevel="0" collapsed="false">
      <c r="A2" s="0" t="s">
        <v>3093</v>
      </c>
      <c r="B2" s="0" t="n">
        <v>245</v>
      </c>
    </row>
    <row r="3" customFormat="false" ht="15" hidden="false" customHeight="false" outlineLevel="0" collapsed="false">
      <c r="A3" s="0" t="s">
        <v>3094</v>
      </c>
      <c r="B3" s="0" t="n">
        <v>123</v>
      </c>
    </row>
    <row r="4" customFormat="false" ht="15" hidden="false" customHeight="false" outlineLevel="0" collapsed="false">
      <c r="A4" s="0" t="s">
        <v>3095</v>
      </c>
      <c r="B4" s="0" t="s">
        <v>3096</v>
      </c>
    </row>
    <row r="5" customFormat="false" ht="15" hidden="false" customHeight="false" outlineLevel="0" collapsed="false">
      <c r="A5" s="0" t="s">
        <v>3097</v>
      </c>
      <c r="B5" s="0" t="n">
        <v>0</v>
      </c>
    </row>
    <row r="6" customFormat="false" ht="15" hidden="false" customHeight="false" outlineLevel="0" collapsed="false">
      <c r="A6" s="0" t="s">
        <v>3098</v>
      </c>
      <c r="B6" s="0" t="s">
        <v>465</v>
      </c>
    </row>
    <row r="7" customFormat="false" ht="15" hidden="false" customHeight="false" outlineLevel="0" collapsed="false">
      <c r="A7" s="0" t="s">
        <v>3099</v>
      </c>
      <c r="B7" s="0" t="n">
        <v>4</v>
      </c>
    </row>
    <row r="8" customFormat="false" ht="15" hidden="false" customHeight="false" outlineLevel="0" collapsed="false">
      <c r="A8" s="0" t="s">
        <v>3100</v>
      </c>
      <c r="B8" s="0" t="n">
        <v>10</v>
      </c>
    </row>
    <row r="9" customFormat="false" ht="15" hidden="false" customHeight="false" outlineLevel="0" collapsed="false">
      <c r="A9" s="0" t="s">
        <v>3101</v>
      </c>
      <c r="B9" s="0" t="n">
        <v>10</v>
      </c>
    </row>
    <row r="10" customFormat="false" ht="15" hidden="false" customHeight="false" outlineLevel="0" collapsed="false">
      <c r="A10" s="0" t="s">
        <v>3102</v>
      </c>
      <c r="B10" s="0" t="n">
        <v>0</v>
      </c>
    </row>
    <row r="11" customFormat="false" ht="15" hidden="false" customHeight="false" outlineLevel="0" collapsed="false">
      <c r="A11" s="0" t="s">
        <v>3103</v>
      </c>
      <c r="B11" s="0" t="n">
        <v>79</v>
      </c>
    </row>
    <row r="12" customFormat="false" ht="15" hidden="false" customHeight="false" outlineLevel="0" collapsed="false">
      <c r="A12" s="0" t="s">
        <v>3104</v>
      </c>
      <c r="B12" s="0" t="n">
        <f aca="false">SUMPRODUCT(--ISERROR(Projections!G2:L246))</f>
        <v>0</v>
      </c>
    </row>
    <row r="13" customFormat="false" ht="15" hidden="false" customHeight="false" outlineLevel="0" collapsed="false">
      <c r="A13" s="0" t="s">
        <v>3105</v>
      </c>
      <c r="B13" s="0" t="n">
        <f aca="false">COUNTBLANK(Projections!G2:G246)</f>
        <v>0</v>
      </c>
    </row>
    <row r="14" customFormat="false" ht="15" hidden="false" customHeight="false" outlineLevel="0" collapsed="false">
      <c r="A14" s="0" t="s">
        <v>3106</v>
      </c>
      <c r="B14" s="0" t="n">
        <f aca="false">SUMPRODUCT(--ISERROR(Calc!A2:BK124))</f>
        <v>0</v>
      </c>
    </row>
    <row r="15" customFormat="false" ht="15" hidden="false" customHeight="false" outlineLevel="0" collapsed="false">
      <c r="A15" s="0" t="s">
        <v>3107</v>
      </c>
      <c r="B15" s="0" t="n">
        <f aca="false">SUMPRODUCT(MAX(ABS(N(+Projections!G2:G246)-N(+Log!H2:H246))))</f>
        <v>0.00499999999999901</v>
      </c>
    </row>
    <row r="16" customFormat="false" ht="15" hidden="false" customHeight="false" outlineLevel="0" collapsed="false">
      <c r="A16" s="0" t="s">
        <v>3108</v>
      </c>
      <c r="B16" s="0" t="n">
        <f aca="false">SUMPRODUCT(MAX(ABS(N(+Projections!Z2:Z246)-N(+Log!Q2:Q246))))</f>
        <v>0.00499629153436132</v>
      </c>
    </row>
    <row r="17" customFormat="false" ht="15" hidden="false" customHeight="false" outlineLevel="0" collapsed="false">
      <c r="A17" s="0" t="s">
        <v>3109</v>
      </c>
      <c r="B17" s="0" t="n">
        <f aca="false">SUMPRODUCT(--ISERROR(Matches!A5:BB19))</f>
        <v>0</v>
      </c>
    </row>
    <row r="18" customFormat="false" ht="15" hidden="false" customHeight="false" outlineLevel="0" collapsed="false">
      <c r="A18" s="0" t="s">
        <v>3110</v>
      </c>
      <c r="B18" s="0" t="n">
        <v>14</v>
      </c>
    </row>
    <row r="19" customFormat="false" ht="15" hidden="false" customHeight="false" outlineLevel="0" collapsed="false">
      <c r="A19" s="0" t="s">
        <v>3111</v>
      </c>
      <c r="B19" s="0" t="s">
        <v>3112</v>
      </c>
    </row>
    <row r="20" customFormat="false" ht="15" hidden="false" customHeight="false" outlineLevel="0" collapsed="false">
      <c r="A20" s="0" t="s">
        <v>3111</v>
      </c>
      <c r="B20" s="0" t="s">
        <v>3113</v>
      </c>
    </row>
    <row r="21" customFormat="false" ht="15" hidden="false" customHeight="false" outlineLevel="0" collapsed="false">
      <c r="A21" s="0" t="s">
        <v>3111</v>
      </c>
      <c r="B21" s="0" t="s">
        <v>3114</v>
      </c>
    </row>
    <row r="22" customFormat="false" ht="15" hidden="false" customHeight="false" outlineLevel="0" collapsed="false">
      <c r="A22" s="0" t="s">
        <v>3111</v>
      </c>
      <c r="B22" s="0" t="s">
        <v>3115</v>
      </c>
    </row>
    <row r="23" customFormat="false" ht="15" hidden="false" customHeight="false" outlineLevel="0" collapsed="false">
      <c r="A23" s="0" t="s">
        <v>3111</v>
      </c>
      <c r="B23" s="0" t="s">
        <v>3116</v>
      </c>
    </row>
    <row r="24" customFormat="false" ht="15" hidden="false" customHeight="false" outlineLevel="0" collapsed="false">
      <c r="A24" s="0" t="s">
        <v>3111</v>
      </c>
      <c r="B24" s="0" t="s">
        <v>3117</v>
      </c>
    </row>
    <row r="25" customFormat="false" ht="15" hidden="false" customHeight="false" outlineLevel="0" collapsed="false">
      <c r="A25" s="0" t="s">
        <v>3111</v>
      </c>
      <c r="B25" s="0" t="s">
        <v>3118</v>
      </c>
    </row>
    <row r="26" customFormat="false" ht="15" hidden="false" customHeight="false" outlineLevel="0" collapsed="false">
      <c r="A26" s="0" t="s">
        <v>3111</v>
      </c>
      <c r="B26" s="0" t="s">
        <v>3119</v>
      </c>
    </row>
    <row r="27" customFormat="false" ht="15" hidden="false" customHeight="false" outlineLevel="0" collapsed="false">
      <c r="A27" s="0" t="s">
        <v>3111</v>
      </c>
      <c r="B27" s="0" t="s">
        <v>3120</v>
      </c>
    </row>
    <row r="28" customFormat="false" ht="15" hidden="false" customHeight="false" outlineLevel="0" collapsed="false">
      <c r="A28" s="0" t="s">
        <v>3111</v>
      </c>
      <c r="B28" s="0" t="s">
        <v>3121</v>
      </c>
    </row>
    <row r="29" customFormat="false" ht="15" hidden="false" customHeight="false" outlineLevel="0" collapsed="false">
      <c r="A29" s="0" t="s">
        <v>3111</v>
      </c>
      <c r="B29" s="0" t="s">
        <v>3122</v>
      </c>
    </row>
    <row r="30" customFormat="false" ht="15" hidden="false" customHeight="false" outlineLevel="0" collapsed="false">
      <c r="A30" s="0" t="s">
        <v>3111</v>
      </c>
      <c r="B30" s="0" t="s">
        <v>3123</v>
      </c>
    </row>
    <row r="31" customFormat="false" ht="15" hidden="false" customHeight="false" outlineLevel="0" collapsed="false">
      <c r="A31" s="0" t="s">
        <v>3111</v>
      </c>
      <c r="B31" s="0" t="s">
        <v>3124</v>
      </c>
    </row>
    <row r="32" customFormat="false" ht="15" hidden="false" customHeight="false" outlineLevel="0" collapsed="false">
      <c r="A32" s="0" t="s">
        <v>3111</v>
      </c>
      <c r="B32" s="0" t="s">
        <v>3125</v>
      </c>
    </row>
    <row r="33" customFormat="false" ht="15" hidden="false" customHeight="false" outlineLevel="0" collapsed="false">
      <c r="A33" s="0" t="s">
        <v>3111</v>
      </c>
      <c r="B33" s="0" t="s">
        <v>3126</v>
      </c>
    </row>
    <row r="34" customFormat="false" ht="15" hidden="false" customHeight="false" outlineLevel="0" collapsed="false">
      <c r="A34" s="0" t="s">
        <v>3111</v>
      </c>
      <c r="B34" s="0" t="s">
        <v>3127</v>
      </c>
    </row>
    <row r="35" customFormat="false" ht="15" hidden="false" customHeight="false" outlineLevel="0" collapsed="false">
      <c r="A35" s="0" t="s">
        <v>3111</v>
      </c>
      <c r="B35" s="0" t="s">
        <v>3128</v>
      </c>
    </row>
    <row r="36" customFormat="false" ht="15" hidden="false" customHeight="false" outlineLevel="0" collapsed="false">
      <c r="A36" s="0" t="s">
        <v>3111</v>
      </c>
      <c r="B36" s="0" t="s">
        <v>3129</v>
      </c>
    </row>
    <row r="37" customFormat="false" ht="15" hidden="false" customHeight="false" outlineLevel="0" collapsed="false">
      <c r="A37" s="0" t="s">
        <v>3111</v>
      </c>
      <c r="B37" s="0" t="s">
        <v>3130</v>
      </c>
    </row>
    <row r="38" customFormat="false" ht="15" hidden="false" customHeight="false" outlineLevel="0" collapsed="false">
      <c r="A38" s="0" t="s">
        <v>3111</v>
      </c>
      <c r="B38" s="0" t="s">
        <v>3131</v>
      </c>
    </row>
    <row r="39" customFormat="false" ht="15" hidden="false" customHeight="false" outlineLevel="0" collapsed="false">
      <c r="A39" s="0" t="s">
        <v>3111</v>
      </c>
      <c r="B39" s="0" t="s">
        <v>3132</v>
      </c>
    </row>
    <row r="40" customFormat="false" ht="15" hidden="false" customHeight="false" outlineLevel="0" collapsed="false">
      <c r="A40" s="0" t="s">
        <v>3111</v>
      </c>
      <c r="B40" s="0" t="s">
        <v>3133</v>
      </c>
    </row>
    <row r="41" customFormat="false" ht="15" hidden="false" customHeight="false" outlineLevel="0" collapsed="false">
      <c r="A41" s="0" t="s">
        <v>3111</v>
      </c>
      <c r="B41" s="0" t="s">
        <v>3134</v>
      </c>
    </row>
    <row r="42" customFormat="false" ht="15" hidden="false" customHeight="false" outlineLevel="0" collapsed="false">
      <c r="A42" s="0" t="s">
        <v>3111</v>
      </c>
      <c r="B42" s="0" t="s">
        <v>3135</v>
      </c>
    </row>
    <row r="43" customFormat="false" ht="15" hidden="false" customHeight="false" outlineLevel="0" collapsed="false">
      <c r="A43" s="0" t="s">
        <v>3111</v>
      </c>
      <c r="B43" s="0" t="s">
        <v>3136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2026-10-25T03:09:45Z</dcterms:created>
  <dc:creator>openpyxl</dc:creator>
  <dc:description/>
  <dc:language>en-US</dc:language>
  <cp:lastModifiedBy/>
  <dcterms:modified xsi:type="dcterms:W3CDTF">2026-10-25T03:09:45Z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