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'Projections'!$A$1:$AE$246</definedName>
    <definedName name="_xlnm._FilterDatabase" localSheetId="7" hidden="1">'Players'!$A$1:$O$124</definedName>
    <definedName name="_xlnm._FilterDatabase" localSheetId="8" hidden="1">'Map_Stats'!$A$1:$K$779</definedName>
    <definedName name="_xlnm._FilterDatabase" localSheetId="13" hidden="1">'HLTV_Veto'!$A$1:$G$197</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2026-10-25 · 245 board legs · 15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8"/>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2026-10-25</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 FUT vs TL   |   08:00 UTC   |   Bo3   |   Win: FUT 68% – TL 32%   |   2-0 39% · 2-1 30% · 1-2 17% · 0-2 15%</t>
        </is>
      </c>
    </row>
    <row r="5">
      <c r="A5" s="3" t="inlineStr"/>
      <c r="B5" s="3" t="inlineStr">
        <is>
          <t>FUT Esports (FUT)</t>
        </is>
      </c>
      <c r="C5" s="3" t="inlineStr">
        <is>
          <t>Liquid (TL)</t>
        </is>
      </c>
    </row>
    <row r="6">
      <c r="A6" s="3" t="inlineStr">
        <is>
          <t>Rank</t>
        </is>
      </c>
      <c r="B6" s="4" t="inlineStr">
        <is>
          <t>HLTV: #10 · VRS: #10</t>
        </is>
      </c>
      <c r="C6" s="4" t="inlineStr">
        <is>
          <t>HLTV: #27 · VRS: #21</t>
        </is>
      </c>
    </row>
    <row r="7">
      <c r="A7" s="3" t="inlineStr">
        <is>
          <t>Last 10 maps (newest first)</t>
        </is>
      </c>
      <c r="B7" s="4" t="inlineStr">
        <is>
          <t>6-4   W W L L W W W W L L</t>
        </is>
      </c>
      <c r="C7" s="4" t="inlineStr">
        <is>
          <t>3-7   W W L L L L L L L W</t>
        </is>
      </c>
    </row>
    <row r="8">
      <c r="A8" s="3" t="inlineStr">
        <is>
          <t>Last 10 maps, avg margin</t>
        </is>
      </c>
      <c r="B8" s="4" t="inlineStr">
        <is>
          <t>+2.2</t>
        </is>
      </c>
      <c r="C8" s="4" t="inlineStr">
        <is>
          <t>-2.0</t>
        </is>
      </c>
    </row>
    <row r="9">
      <c r="A9" s="3" t="inlineStr">
        <is>
          <t>3 months: maps W-L</t>
        </is>
      </c>
      <c r="B9" s="4" t="inlineStr">
        <is>
          <t>16-13 (55%)</t>
        </is>
      </c>
      <c r="C9" s="4" t="inlineStr">
        <is>
          <t>41-26 (61%)</t>
        </is>
      </c>
    </row>
    <row r="10">
      <c r="A10" s="3" t="inlineStr">
        <is>
          <t>Avg margin in wins / losses</t>
        </is>
      </c>
      <c r="B10" s="4" t="inlineStr">
        <is>
          <t>+5.0 / -4.1</t>
        </is>
      </c>
      <c r="C10" s="4" t="inlineStr">
        <is>
          <t>+5.8 / -5.3</t>
        </is>
      </c>
    </row>
    <row r="11">
      <c r="A11" s="3" t="inlineStr">
        <is>
          <t>Stomps for / against (8+)</t>
        </is>
      </c>
      <c r="B11" s="4" t="inlineStr">
        <is>
          <t>2 / 1</t>
        </is>
      </c>
      <c r="C11" s="4" t="inlineStr">
        <is>
          <t>14 / 4</t>
        </is>
      </c>
    </row>
    <row r="12">
      <c r="A12" s="3" t="inlineStr">
        <is>
          <t>Pistols (3 months)</t>
        </is>
      </c>
      <c r="B12" s="4" t="inlineStr">
        <is>
          <t>not captured</t>
        </is>
      </c>
      <c r="C12" s="4" t="inlineStr">
        <is>
          <t>not captured</t>
        </is>
      </c>
    </row>
    <row r="13" ht="105" customHeight="1">
      <c r="A13" s="3" t="inlineStr">
        <is>
          <t>Kill share (last 6 series, all maps)</t>
        </is>
      </c>
      <c r="B13" s="4" t="inlineStr">
        <is>
          <t>6 series · 13 maps · team 69.1 kills/map
Krabeni 23.5% (16.2/map)
dem0n 23.2% (16.0/map)
xfl0ud 17.3% (11.9/map)
dziugss 16.3% (11.2/map)
cmtry 12.2% (12.2/map)
SunPayus 7.6% (17.0/map) (sub)</t>
        </is>
      </c>
      <c r="C13" s="4" t="inlineStr">
        <is>
          <t>6 series · 15 maps · team 74.3 kills/map
EliGE 23.7% (17.6/map)
Jorko 20.7% (15.4/map)
NAF 20.1% (14.9/map)
malbsMd 18.5% (13.7/map)
JT 17.0% (12.7/map)</t>
        </is>
      </c>
    </row>
    <row r="14">
      <c r="A14" s="3" t="inlineStr">
        <is>
          <t>Last 5 series</t>
        </is>
      </c>
      <c r="B14" s="4" t="inlineStr">
        <is>
          <t>2 - 0  FUT vs TYLOO
2 - 0  FUT vs TYLOO
0 - 2  FUT vs Vitality
2 - 0  FUT vs Inner Circle
2 - 1  FUT vs Lynn Vision</t>
        </is>
      </c>
      <c r="C14" s="4" t="inlineStr">
        <is>
          <t>1 - 2  MOUZ vs Liquid
2 - 1  Liquid vs MOUZ
0 - 2  Liquid vs magic
0 - 2  Liquid vs fnatic
1 - 2  Liquid vs Ninjas in Pyjamas</t>
        </is>
      </c>
    </row>
    <row r="15" ht="150" customHeight="1">
      <c r="A15" s="3" t="inlineStr">
        <is>
          <t>Recent vetoes (last 5)</t>
        </is>
      </c>
      <c r="B15" s="4" t="inlineStr">
        <is>
          <t>First ban: Inferno×4, Dust2×1   First pick: Ancient×2, Anubis×2
24th of Octo  FUT vs TYLOO:  opp ban Dust2 · us ban Inferno · opp pick Nuke · us pick Ancient · us ban Cache · opp ban Anubis · left Mirage
24th of Octo  FUT vs TYLOO:  opp ban Dust2 · us ban Inferno · opp pick Nuke · us pick Ancient · us ban Cache · opp ban Anubis · left Mirage
31st of Augu  FUT vs Vitality:  us ban Inferno · opp ban Ancient · us pick Anubis · opp pick Dust2 · us ban Nuke · opp ban Mirage · left Cache
30th of Augu  FUT vs Inner Circle:  us ban Dust2 · opp ban Ancient · us pick Mirage · opp pick Nuke · us ban Cache · opp ban Inferno · left Anubis
29th of Augu  FUT vs Lynn Vision:  opp ban Mirage · us ban Inferno · opp pick Dust2 · us pick Anubis · opp ban Cache · us ban Nuke · left Ancient</t>
        </is>
      </c>
      <c r="C15" s="4" t="inlineStr">
        <is>
          <t>First ban: Ancient×3, Dust2×2   First pick: Inferno×3, Anubis×1
24th of Octo  MOUZ vs Liquid:  opp ban Anubis · us ban Dust2 · opp pick Ancient · us pick Inferno · us ban Nuke · opp ban Cache · left Mirage
24th of Octo  Liquid vs MOUZ:  opp ban Anubis · us ban Dust2 · opp pick Ancient · us pick Inferno · us ban Nuke · opp ban Cache · left Mirage
20th of Octo  Liquid vs magic:  us ban Ancient · opp ban Nuke · us pick Anubis · opp pick Dust2 · opp ban Cache · us ban Inferno · left Mirage
19th of Octo  Liquid vs fnatic:  us ban Ancient · opp ban Nuke · us pick Inferno · opp pick Cache · opp ban Mirage · us ban Dust2 · left Anubis
16th of Octo  Liquid vs Ninjas in Pyjamas:  us ban Ancient · opp ban Anubis · us pick Mirage · opp pick Nuke · us ban Dust2 · opp ban Inferno · left Cache</t>
        </is>
      </c>
    </row>
    <row r="16">
      <c r="A16" s="6" t="inlineStr">
        <is>
          <t>Map</t>
        </is>
      </c>
      <c r="B16" s="6" t="inlineStr">
        <is>
          <t>PF pick %</t>
        </is>
      </c>
      <c r="C16" s="6" t="inlineStr">
        <is>
          <t>A maps</t>
        </is>
      </c>
      <c r="D16" s="6" t="inlineStr">
        <is>
          <t>A W-L</t>
        </is>
      </c>
      <c r="E16" s="6" t="inlineStr">
        <is>
          <t>A avg ±</t>
        </is>
      </c>
      <c r="F16" s="6" t="inlineStr">
        <is>
          <t>A CT %</t>
        </is>
      </c>
      <c r="G16" s="6" t="inlineStr">
        <is>
          <t>A T %</t>
        </is>
      </c>
      <c r="H16" s="6" t="inlineStr">
        <is>
          <t>A pistol</t>
        </is>
      </c>
      <c r="I16" s="6" t="inlineStr">
        <is>
          <t>B maps</t>
        </is>
      </c>
      <c r="J16" s="6" t="inlineStr">
        <is>
          <t>B W-L</t>
        </is>
      </c>
      <c r="K16" s="6" t="inlineStr">
        <is>
          <t>B avg ±</t>
        </is>
      </c>
      <c r="L16" s="6" t="inlineStr">
        <is>
          <t>B CT %</t>
        </is>
      </c>
      <c r="M16" s="6" t="inlineStr">
        <is>
          <t>B T %</t>
        </is>
      </c>
      <c r="N16" s="6" t="inlineStr">
        <is>
          <t>B pistol</t>
        </is>
      </c>
      <c r="O16" s="6" t="inlineStr">
        <is>
          <t>A 8+ | A 3-7 | close/OT | B 3-7 | B 8+</t>
        </is>
      </c>
      <c r="P16" s="6" t="inlineStr">
        <is>
          <t>E rounds</t>
        </is>
      </c>
    </row>
    <row r="17">
      <c r="A17" t="inlineStr">
        <is>
          <t>Nuke</t>
        </is>
      </c>
      <c r="B17" t="inlineStr">
        <is>
          <t>22%</t>
        </is>
      </c>
      <c r="C17" t="n">
        <v>5</v>
      </c>
      <c r="D17" t="inlineStr">
        <is>
          <t>2-3</t>
        </is>
      </c>
      <c r="E17" t="inlineStr">
        <is>
          <t>-1.6</t>
        </is>
      </c>
      <c r="F17" t="inlineStr">
        <is>
          <t>45.9%</t>
        </is>
      </c>
      <c r="G17" t="inlineStr">
        <is>
          <t>46.7%</t>
        </is>
      </c>
      <c r="H17" t="inlineStr">
        <is>
          <t>6/10</t>
        </is>
      </c>
      <c r="I17" t="n">
        <v>12</v>
      </c>
      <c r="J17" t="inlineStr">
        <is>
          <t>6-6</t>
        </is>
      </c>
      <c r="K17" t="inlineStr">
        <is>
          <t>+0.9</t>
        </is>
      </c>
      <c r="L17" t="inlineStr">
        <is>
          <t>57.1%</t>
        </is>
      </c>
      <c r="M17" t="inlineStr">
        <is>
          <t>47.5%</t>
        </is>
      </c>
      <c r="N17" t="inlineStr">
        <is>
          <t>12/24</t>
        </is>
      </c>
      <c r="O17" t="inlineStr">
        <is>
          <t>4% | 24% | 30% | 34% | 8%</t>
        </is>
      </c>
      <c r="P17" t="inlineStr">
        <is>
          <t>22.5</t>
        </is>
      </c>
    </row>
    <row r="18">
      <c r="A18" t="inlineStr">
        <is>
          <t>Anubis</t>
        </is>
      </c>
      <c r="B18" t="inlineStr">
        <is>
          <t>21%</t>
        </is>
      </c>
      <c r="C18" t="n">
        <v>4</v>
      </c>
      <c r="D18" t="inlineStr">
        <is>
          <t>2-2</t>
        </is>
      </c>
      <c r="E18" t="inlineStr">
        <is>
          <t>+1.8</t>
        </is>
      </c>
      <c r="F18" t="inlineStr">
        <is>
          <t>46.2%</t>
        </is>
      </c>
      <c r="G18" t="inlineStr">
        <is>
          <t>60.9%</t>
        </is>
      </c>
      <c r="H18" t="inlineStr">
        <is>
          <t>5/8</t>
        </is>
      </c>
      <c r="I18" t="n">
        <v>12</v>
      </c>
      <c r="J18" t="inlineStr">
        <is>
          <t>8-4</t>
        </is>
      </c>
      <c r="K18" t="inlineStr">
        <is>
          <t>+2.9</t>
        </is>
      </c>
      <c r="L18" t="inlineStr">
        <is>
          <t>58.4%</t>
        </is>
      </c>
      <c r="M18" t="inlineStr">
        <is>
          <t>55.7%</t>
        </is>
      </c>
      <c r="N18" t="inlineStr">
        <is>
          <t>14/24</t>
        </is>
      </c>
      <c r="O18" t="inlineStr">
        <is>
          <t>4% | 23% | 30% | 34% | 9%</t>
        </is>
      </c>
      <c r="P18" t="inlineStr">
        <is>
          <t>22.5</t>
        </is>
      </c>
    </row>
    <row r="19">
      <c r="A19" t="inlineStr">
        <is>
          <t>Dust2</t>
        </is>
      </c>
      <c r="B19" t="inlineStr">
        <is>
          <t>19%</t>
        </is>
      </c>
      <c r="C19" t="n">
        <v>6</v>
      </c>
      <c r="D19" t="inlineStr">
        <is>
          <t>2-4</t>
        </is>
      </c>
      <c r="E19" t="inlineStr">
        <is>
          <t>-1.0</t>
        </is>
      </c>
      <c r="F19" t="inlineStr">
        <is>
          <t>42.7%</t>
        </is>
      </c>
      <c r="G19" t="inlineStr">
        <is>
          <t>53.3%</t>
        </is>
      </c>
      <c r="H19" t="inlineStr">
        <is>
          <t>5/12</t>
        </is>
      </c>
      <c r="I19" t="n">
        <v>9</v>
      </c>
      <c r="J19" t="inlineStr">
        <is>
          <t>3-6</t>
        </is>
      </c>
      <c r="K19" t="inlineStr">
        <is>
          <t>-3.2</t>
        </is>
      </c>
      <c r="L19" t="inlineStr">
        <is>
          <t>41.7%</t>
        </is>
      </c>
      <c r="M19" t="inlineStr">
        <is>
          <t>42.0%</t>
        </is>
      </c>
      <c r="N19" t="inlineStr">
        <is>
          <t>11/18</t>
        </is>
      </c>
      <c r="O19" t="inlineStr">
        <is>
          <t>9% | 35% | 30% | 23% | 4%</t>
        </is>
      </c>
      <c r="P19" t="inlineStr">
        <is>
          <t>22.4</t>
        </is>
      </c>
    </row>
    <row r="20">
      <c r="A20" t="inlineStr">
        <is>
          <t>Ancient</t>
        </is>
      </c>
      <c r="B20" t="inlineStr"/>
      <c r="C20" t="n">
        <v>9</v>
      </c>
      <c r="D20" t="inlineStr">
        <is>
          <t>5-4</t>
        </is>
      </c>
      <c r="E20" t="inlineStr">
        <is>
          <t>+1.9</t>
        </is>
      </c>
      <c r="F20" t="inlineStr">
        <is>
          <t>51.1%</t>
        </is>
      </c>
      <c r="G20" t="inlineStr">
        <is>
          <t>57.1%</t>
        </is>
      </c>
      <c r="H20" t="inlineStr">
        <is>
          <t>11/18</t>
        </is>
      </c>
      <c r="I20" t="n">
        <v>2</v>
      </c>
      <c r="J20" t="inlineStr">
        <is>
          <t>0-2</t>
        </is>
      </c>
      <c r="K20" t="inlineStr">
        <is>
          <t>-3.0</t>
        </is>
      </c>
      <c r="L20" t="inlineStr">
        <is>
          <t>38.5%</t>
        </is>
      </c>
      <c r="M20" t="inlineStr">
        <is>
          <t>50.0%</t>
        </is>
      </c>
      <c r="N20" t="inlineStr">
        <is>
          <t>3/4</t>
        </is>
      </c>
      <c r="O20" t="inlineStr">
        <is>
          <t>9% | 35% | 30% | 22% | 4%</t>
        </is>
      </c>
      <c r="P20" t="inlineStr">
        <is>
          <t>22.4</t>
        </is>
      </c>
    </row>
    <row r="21">
      <c r="A21" t="inlineStr">
        <is>
          <t>Cache</t>
        </is>
      </c>
      <c r="B21" t="inlineStr"/>
      <c r="C21" t="n">
        <v>1</v>
      </c>
      <c r="D21" t="inlineStr">
        <is>
          <t>1-0</t>
        </is>
      </c>
      <c r="E21" t="inlineStr">
        <is>
          <t>+3.0</t>
        </is>
      </c>
      <c r="F21" t="inlineStr">
        <is>
          <t>63.6%</t>
        </is>
      </c>
      <c r="G21" t="inlineStr">
        <is>
          <t>50.0%</t>
        </is>
      </c>
      <c r="H21" t="inlineStr">
        <is>
          <t>2/2</t>
        </is>
      </c>
      <c r="I21" t="n">
        <v>13</v>
      </c>
      <c r="J21" t="inlineStr">
        <is>
          <t>8-5</t>
        </is>
      </c>
      <c r="K21" t="inlineStr">
        <is>
          <t>+1.4</t>
        </is>
      </c>
      <c r="L21" t="inlineStr">
        <is>
          <t>50.7%</t>
        </is>
      </c>
      <c r="M21" t="inlineStr">
        <is>
          <t>55.6%</t>
        </is>
      </c>
      <c r="N21" t="inlineStr">
        <is>
          <t>15/26</t>
        </is>
      </c>
      <c r="O21" t="inlineStr">
        <is>
          <t>5% | 26% | 30% | 31% | 7%</t>
        </is>
      </c>
      <c r="P21" t="inlineStr">
        <is>
          <t>22.5</t>
        </is>
      </c>
    </row>
    <row r="22">
      <c r="A22" t="inlineStr">
        <is>
          <t>Inferno</t>
        </is>
      </c>
      <c r="B22" t="inlineStr"/>
      <c r="C22" t="n">
        <v>0</v>
      </c>
      <c r="D22" t="inlineStr"/>
      <c r="E22" t="inlineStr"/>
      <c r="F22" t="inlineStr"/>
      <c r="G22" t="inlineStr"/>
      <c r="H22" t="inlineStr"/>
      <c r="I22" t="n">
        <v>8</v>
      </c>
      <c r="J22" t="inlineStr">
        <is>
          <t>7-1</t>
        </is>
      </c>
      <c r="K22" t="inlineStr">
        <is>
          <t>+4.5</t>
        </is>
      </c>
      <c r="L22" t="inlineStr">
        <is>
          <t>70.2%</t>
        </is>
      </c>
      <c r="M22" t="inlineStr">
        <is>
          <t>48.7%</t>
        </is>
      </c>
      <c r="N22" t="inlineStr">
        <is>
          <t>9/16</t>
        </is>
      </c>
      <c r="O22" t="inlineStr">
        <is>
          <t>3% | 20% | 29% | 37% | 10%</t>
        </is>
      </c>
      <c r="P22" t="inlineStr">
        <is>
          <t>22.3</t>
        </is>
      </c>
    </row>
    <row r="23">
      <c r="A23" t="inlineStr">
        <is>
          <t>Mirage</t>
        </is>
      </c>
      <c r="B23" t="inlineStr"/>
      <c r="C23" t="n">
        <v>4</v>
      </c>
      <c r="D23" t="inlineStr">
        <is>
          <t>4-0</t>
        </is>
      </c>
      <c r="E23" t="inlineStr">
        <is>
          <t>+3.5</t>
        </is>
      </c>
      <c r="F23" t="inlineStr">
        <is>
          <t>71.7%</t>
        </is>
      </c>
      <c r="G23" t="inlineStr">
        <is>
          <t>43.2%</t>
        </is>
      </c>
      <c r="H23" t="inlineStr">
        <is>
          <t>6/8</t>
        </is>
      </c>
      <c r="I23" t="n">
        <v>11</v>
      </c>
      <c r="J23" t="inlineStr">
        <is>
          <t>9-2</t>
        </is>
      </c>
      <c r="K23" t="inlineStr">
        <is>
          <t>+3.1</t>
        </is>
      </c>
      <c r="L23" t="inlineStr">
        <is>
          <t>56.3%</t>
        </is>
      </c>
      <c r="M23" t="inlineStr">
        <is>
          <t>57.5%</t>
        </is>
      </c>
      <c r="N23" t="inlineStr">
        <is>
          <t>17/22</t>
        </is>
      </c>
      <c r="O23" t="inlineStr">
        <is>
          <t>5% | 26% | 30% | 32% | 7%</t>
        </is>
      </c>
      <c r="P23" t="inlineStr">
        <is>
          <t>22.5</t>
        </is>
      </c>
    </row>
    <row r="25">
      <c r="A25" s="5" t="inlineStr">
        <is>
          <t>CS2 · TS vs TYLOO   |   08:00 UTC   |   Bo3   |   Win: TS 87% – TYLOO 13%   |   2-0 59% · 2-1 28% · 1-2 5% · 0-2 8%</t>
        </is>
      </c>
    </row>
    <row r="26">
      <c r="A26" s="3" t="inlineStr"/>
      <c r="B26" s="3" t="inlineStr">
        <is>
          <t>Spirit (TS)</t>
        </is>
      </c>
      <c r="C26" s="3" t="inlineStr">
        <is>
          <t>TYLOO (TYLOO)</t>
        </is>
      </c>
    </row>
    <row r="27">
      <c r="A27" s="3" t="inlineStr">
        <is>
          <t>Rank</t>
        </is>
      </c>
      <c r="B27" s="4" t="inlineStr">
        <is>
          <t>HLTV: #1 · VRS: #4</t>
        </is>
      </c>
      <c r="C27" s="4" t="inlineStr">
        <is>
          <t>HLTV: #35 · VRS: #61</t>
        </is>
      </c>
    </row>
    <row r="28">
      <c r="A28" s="3" t="inlineStr">
        <is>
          <t>Last 10 maps (newest first)</t>
        </is>
      </c>
      <c r="B28" s="4" t="inlineStr">
        <is>
          <t>4-6   L L W L L L W L W W</t>
        </is>
      </c>
      <c r="C28" s="4" t="inlineStr">
        <is>
          <t>2-8   L L L L W L L L L W</t>
        </is>
      </c>
    </row>
    <row r="29">
      <c r="A29" s="3" t="inlineStr">
        <is>
          <t>Last 10 maps, avg margin</t>
        </is>
      </c>
      <c r="B29" s="4" t="inlineStr">
        <is>
          <t>-1.2</t>
        </is>
      </c>
      <c r="C29" s="4" t="inlineStr">
        <is>
          <t>-2.9</t>
        </is>
      </c>
    </row>
    <row r="30">
      <c r="A30" s="3" t="inlineStr">
        <is>
          <t>3 months: maps W-L</t>
        </is>
      </c>
      <c r="B30" s="4" t="inlineStr">
        <is>
          <t>41-22 (65%)</t>
        </is>
      </c>
      <c r="C30" s="4" t="inlineStr">
        <is>
          <t>16-16 (50%)</t>
        </is>
      </c>
    </row>
    <row r="31">
      <c r="A31" s="3" t="inlineStr">
        <is>
          <t>Avg margin in wins / losses</t>
        </is>
      </c>
      <c r="B31" s="4" t="inlineStr">
        <is>
          <t>+5.5 / -4.6</t>
        </is>
      </c>
      <c r="C31" s="4" t="inlineStr">
        <is>
          <t>+7.2 / -4.9</t>
        </is>
      </c>
    </row>
    <row r="32">
      <c r="A32" s="3" t="inlineStr">
        <is>
          <t>Stomps for / against (8+)</t>
        </is>
      </c>
      <c r="B32" s="4" t="inlineStr">
        <is>
          <t>10 / 5</t>
        </is>
      </c>
      <c r="C32" s="4" t="inlineStr">
        <is>
          <t>7 / 3</t>
        </is>
      </c>
    </row>
    <row r="33">
      <c r="A33" s="3" t="inlineStr">
        <is>
          <t>Pistols (3 months)</t>
        </is>
      </c>
      <c r="B33" s="4" t="inlineStr">
        <is>
          <t>not captured</t>
        </is>
      </c>
      <c r="C33" s="4" t="inlineStr">
        <is>
          <t>not captured</t>
        </is>
      </c>
    </row>
    <row r="34" ht="105" customHeight="1">
      <c r="A34" s="3" t="inlineStr">
        <is>
          <t>Kill share (last 6 series, all maps)</t>
        </is>
      </c>
      <c r="B34" s="4" t="inlineStr">
        <is>
          <t>6 series · 15 maps · team 71.7 kills/map
donk 23.0% (16.5/map)
sh1ro 21.0% (15.1/map)
magixx 19.8% (14.2/map)
tN1R 18.5% (13.3/map)
zont1x 17.7% (12.7/map)</t>
        </is>
      </c>
      <c r="C34" s="4" t="inlineStr">
        <is>
          <t>6 series · 14 maps · team 61.5 kills/map
JamYoung 21.8% (13.4/map)
Moseyuh 21.0% (12.9/map)
Jee 20.9% (12.9/map)
Zero 19.7% (12.1/map)
Mercury 16.5% (10.1/map)</t>
        </is>
      </c>
    </row>
    <row r="35">
      <c r="A35" s="3" t="inlineStr">
        <is>
          <t>Last 5 series</t>
        </is>
      </c>
      <c r="B35" s="4" t="inlineStr">
        <is>
          <t>1 - 2  Spirit vs BETBOOM
1 - 2  Spirit vs BETBOOM
0 - 2  Spirit vs Aurora
1 - 2  Spirit vs MOUZ
2 - 0  Spirit vs Falcons</t>
        </is>
      </c>
      <c r="C35" s="4" t="inlineStr">
        <is>
          <t>2 - 0  FUT vs TYLOO
0 - 2  TYLOO vs FUT
1 - 2  TYLOO vs M80
0 - 2  TYLOO vs 9z
0 - 2  TYLOO vs Falcons</t>
        </is>
      </c>
    </row>
    <row r="36" ht="150" customHeight="1">
      <c r="A36" s="3" t="inlineStr">
        <is>
          <t>Recent vetoes (last 5)</t>
        </is>
      </c>
      <c r="B36" s="4" t="inlineStr">
        <is>
          <t>First ban: Inferno×5   First pick: Ancient×2, Mirage×2
24th of Octo  Spirit vs BETBOOM:  opp ban Dust2 · us ban Inferno · opp pick Anubis · us pick Ancient · us ban Nuke · opp ban Cache · left Mirage
24th of Octo  Spirit vs BETBOOM:  opp ban Dust2 · us ban Inferno · opp pick Anubis · us pick Ancient · us ban Nuke · opp ban Cache · left Mirage
11th of Octo  Spirit vs Aurora:  us ban Inferno · opp ban Ancient · us pick Mirage · opp pick Anubis · us ban Cache · opp ban Dust2 · left Nuke
10th of Octo  Spirit vs MOUZ:  us ban Inferno · opp ban Anubis · us pick Dust2 · opp pick Mirage · us ban Cache · opp ban Ancient · left Nuke
9th of Octob  Spirit vs Falcons:  us ban Inferno · opp ban Cache · us pick Mirage · opp pick Anubis · us ban Nuke · opp ban Ancient · left Dust2</t>
        </is>
      </c>
      <c r="C36" s="4" t="inlineStr">
        <is>
          <t>First ban: Dust2×5   First pick: Mirage×3, Nuke×2
24th of Octo  FUT vs TYLOO:  us ban Dust2 · opp ban Inferno · us pick Nuke · opp pick Ancient · opp ban Cache · us ban Anubis · left Mirage
24th of Octo  TYLOO vs FUT:  us ban Dust2 · opp ban Inferno · us pick Nuke · opp pick Ancient · opp ban Cache · us ban Anubis · left Mirage
5th of Octob  TYLOO vs M80:  us ban Dust2 · opp ban Nuke · us pick Mirage · opp pick Cache · us ban Ancient · opp ban Inferno · left Anubis
4th of Octob  TYLOO vs 9z:  opp ban Anubis · us ban Dust2 · opp pick Nuke · us pick Mirage · opp ban Ancient · us ban Cache · left Inferno
3rd of Octob  TYLOO vs Falcons:  us ban Dust2 · opp ban Cache · us pick Mirage · opp pick Anubis · us ban Ancient · opp ban Inferno · left Nuke</t>
        </is>
      </c>
    </row>
    <row r="37">
      <c r="A37" s="6" t="inlineStr">
        <is>
          <t>Map</t>
        </is>
      </c>
      <c r="B37" s="6" t="inlineStr">
        <is>
          <t>PF pick %</t>
        </is>
      </c>
      <c r="C37" s="6" t="inlineStr">
        <is>
          <t>A maps</t>
        </is>
      </c>
      <c r="D37" s="6" t="inlineStr">
        <is>
          <t>A W-L</t>
        </is>
      </c>
      <c r="E37" s="6" t="inlineStr">
        <is>
          <t>A avg ±</t>
        </is>
      </c>
      <c r="F37" s="6" t="inlineStr">
        <is>
          <t>A CT %</t>
        </is>
      </c>
      <c r="G37" s="6" t="inlineStr">
        <is>
          <t>A T %</t>
        </is>
      </c>
      <c r="H37" s="6" t="inlineStr">
        <is>
          <t>A pistol</t>
        </is>
      </c>
      <c r="I37" s="6" t="inlineStr">
        <is>
          <t>B maps</t>
        </is>
      </c>
      <c r="J37" s="6" t="inlineStr">
        <is>
          <t>B W-L</t>
        </is>
      </c>
      <c r="K37" s="6" t="inlineStr">
        <is>
          <t>B avg ±</t>
        </is>
      </c>
      <c r="L37" s="6" t="inlineStr">
        <is>
          <t>B CT %</t>
        </is>
      </c>
      <c r="M37" s="6" t="inlineStr">
        <is>
          <t>B T %</t>
        </is>
      </c>
      <c r="N37" s="6" t="inlineStr">
        <is>
          <t>B pistol</t>
        </is>
      </c>
      <c r="O37" s="6" t="inlineStr">
        <is>
          <t>A 8+ | A 3-7 | close/OT | B 3-7 | B 8+</t>
        </is>
      </c>
      <c r="P37" s="6" t="inlineStr">
        <is>
          <t>E rounds</t>
        </is>
      </c>
    </row>
    <row r="38">
      <c r="A38" t="inlineStr">
        <is>
          <t>Mirage</t>
        </is>
      </c>
      <c r="B38" t="inlineStr">
        <is>
          <t>30%</t>
        </is>
      </c>
      <c r="C38" t="n">
        <v>13</v>
      </c>
      <c r="D38" t="inlineStr">
        <is>
          <t>6-7</t>
        </is>
      </c>
      <c r="E38" t="inlineStr">
        <is>
          <t>+0.8</t>
        </is>
      </c>
      <c r="F38" t="inlineStr">
        <is>
          <t>57.4%</t>
        </is>
      </c>
      <c r="G38" t="inlineStr">
        <is>
          <t>46.7%</t>
        </is>
      </c>
      <c r="H38" t="inlineStr">
        <is>
          <t>13/26</t>
        </is>
      </c>
      <c r="I38" t="n">
        <v>9</v>
      </c>
      <c r="J38" t="inlineStr">
        <is>
          <t>6-3</t>
        </is>
      </c>
      <c r="K38" t="inlineStr">
        <is>
          <t>+2.7</t>
        </is>
      </c>
      <c r="L38" t="inlineStr">
        <is>
          <t>63.5%</t>
        </is>
      </c>
      <c r="M38" t="inlineStr">
        <is>
          <t>50.5%</t>
        </is>
      </c>
      <c r="N38" t="inlineStr">
        <is>
          <t>8/18</t>
        </is>
      </c>
      <c r="O38" t="inlineStr">
        <is>
          <t>5% | 24% | 30% | 33% | 8%</t>
        </is>
      </c>
      <c r="P38" t="inlineStr">
        <is>
          <t>22.5</t>
        </is>
      </c>
    </row>
    <row r="39">
      <c r="A39" t="inlineStr">
        <is>
          <t>Ancient</t>
        </is>
      </c>
      <c r="B39" t="inlineStr">
        <is>
          <t>23%</t>
        </is>
      </c>
      <c r="C39" t="n">
        <v>10</v>
      </c>
      <c r="D39" t="inlineStr">
        <is>
          <t>8-2</t>
        </is>
      </c>
      <c r="E39" t="inlineStr">
        <is>
          <t>+2.8</t>
        </is>
      </c>
      <c r="F39" t="inlineStr">
        <is>
          <t>58.4%</t>
        </is>
      </c>
      <c r="G39" t="inlineStr">
        <is>
          <t>54.9%</t>
        </is>
      </c>
      <c r="H39" t="inlineStr">
        <is>
          <t>9/20</t>
        </is>
      </c>
      <c r="I39" t="n">
        <v>7</v>
      </c>
      <c r="J39" t="inlineStr">
        <is>
          <t>4-3</t>
        </is>
      </c>
      <c r="K39" t="inlineStr">
        <is>
          <t>+1.9</t>
        </is>
      </c>
      <c r="L39" t="inlineStr">
        <is>
          <t>60.7%</t>
        </is>
      </c>
      <c r="M39" t="inlineStr">
        <is>
          <t>44.9%</t>
        </is>
      </c>
      <c r="N39" t="inlineStr">
        <is>
          <t>8/14</t>
        </is>
      </c>
      <c r="O39" t="inlineStr">
        <is>
          <t>8% | 33% | 30% | 24% | 5%</t>
        </is>
      </c>
      <c r="P39" t="inlineStr">
        <is>
          <t>22.5</t>
        </is>
      </c>
    </row>
    <row r="40">
      <c r="A40" t="inlineStr">
        <is>
          <t>Cache</t>
        </is>
      </c>
      <c r="B40" t="inlineStr">
        <is>
          <t>16%</t>
        </is>
      </c>
      <c r="C40" t="n">
        <v>8</v>
      </c>
      <c r="D40" t="inlineStr">
        <is>
          <t>4-4</t>
        </is>
      </c>
      <c r="E40" t="inlineStr">
        <is>
          <t>+0.2</t>
        </is>
      </c>
      <c r="F40" t="inlineStr">
        <is>
          <t>51.8%</t>
        </is>
      </c>
      <c r="G40" t="inlineStr">
        <is>
          <t>49.4%</t>
        </is>
      </c>
      <c r="H40" t="inlineStr">
        <is>
          <t>8/16</t>
        </is>
      </c>
      <c r="I40" t="n">
        <v>4</v>
      </c>
      <c r="J40" t="inlineStr">
        <is>
          <t>3-1</t>
        </is>
      </c>
      <c r="K40" t="inlineStr">
        <is>
          <t>+4.2</t>
        </is>
      </c>
      <c r="L40" t="inlineStr">
        <is>
          <t>75.6%</t>
        </is>
      </c>
      <c r="M40" t="inlineStr">
        <is>
          <t>44.1%</t>
        </is>
      </c>
      <c r="N40" t="inlineStr">
        <is>
          <t>5/8</t>
        </is>
      </c>
      <c r="O40" t="inlineStr">
        <is>
          <t>5% | 24% | 30% | 33% | 8%</t>
        </is>
      </c>
      <c r="P40" t="inlineStr">
        <is>
          <t>22.5</t>
        </is>
      </c>
    </row>
    <row r="41">
      <c r="A41" t="inlineStr">
        <is>
          <t>Anubis</t>
        </is>
      </c>
      <c r="B41" t="inlineStr"/>
      <c r="C41" t="n">
        <v>10</v>
      </c>
      <c r="D41" t="inlineStr">
        <is>
          <t>8-2</t>
        </is>
      </c>
      <c r="E41" t="inlineStr">
        <is>
          <t>+2.0</t>
        </is>
      </c>
      <c r="F41" t="inlineStr">
        <is>
          <t>53.2%</t>
        </is>
      </c>
      <c r="G41" t="inlineStr">
        <is>
          <t>55.7%</t>
        </is>
      </c>
      <c r="H41" t="inlineStr">
        <is>
          <t>11/20</t>
        </is>
      </c>
      <c r="I41" t="n">
        <v>2</v>
      </c>
      <c r="J41" t="inlineStr">
        <is>
          <t>0-2</t>
        </is>
      </c>
      <c r="K41" t="inlineStr">
        <is>
          <t>-5.5</t>
        </is>
      </c>
      <c r="L41" t="inlineStr">
        <is>
          <t>47.1%</t>
        </is>
      </c>
      <c r="M41" t="inlineStr">
        <is>
          <t>29.2%</t>
        </is>
      </c>
      <c r="N41" t="inlineStr">
        <is>
          <t>2/4</t>
        </is>
      </c>
      <c r="O41" t="inlineStr">
        <is>
          <t>10% | 37% | 29% | 20% | 3%</t>
        </is>
      </c>
      <c r="P41" t="inlineStr">
        <is>
          <t>22.4</t>
        </is>
      </c>
    </row>
    <row r="42">
      <c r="A42" t="inlineStr">
        <is>
          <t>Dust2</t>
        </is>
      </c>
      <c r="B42" t="inlineStr"/>
      <c r="C42" t="n">
        <v>15</v>
      </c>
      <c r="D42" t="inlineStr">
        <is>
          <t>11-4</t>
        </is>
      </c>
      <c r="E42" t="inlineStr">
        <is>
          <t>+3.2</t>
        </is>
      </c>
      <c r="F42" t="inlineStr">
        <is>
          <t>58.8%</t>
        </is>
      </c>
      <c r="G42" t="inlineStr">
        <is>
          <t>56.9%</t>
        </is>
      </c>
      <c r="H42" t="inlineStr">
        <is>
          <t>13/30</t>
        </is>
      </c>
      <c r="I42" t="n">
        <v>0</v>
      </c>
      <c r="J42" t="inlineStr"/>
      <c r="K42" t="inlineStr"/>
      <c r="L42" t="inlineStr"/>
      <c r="M42" t="inlineStr"/>
      <c r="N42" t="inlineStr"/>
      <c r="O42" t="inlineStr">
        <is>
          <t>11% | 38% | 29% | 19% | 3%</t>
        </is>
      </c>
      <c r="P42" t="inlineStr">
        <is>
          <t>22.3</t>
        </is>
      </c>
    </row>
    <row r="43">
      <c r="A43" t="inlineStr">
        <is>
          <t>Inferno</t>
        </is>
      </c>
      <c r="B43" t="inlineStr"/>
      <c r="C43" t="n">
        <v>0</v>
      </c>
      <c r="D43" t="inlineStr"/>
      <c r="E43" t="inlineStr"/>
      <c r="F43" t="inlineStr"/>
      <c r="G43" t="inlineStr"/>
      <c r="H43" t="inlineStr"/>
      <c r="I43" t="n">
        <v>6</v>
      </c>
      <c r="J43" t="inlineStr">
        <is>
          <t>3-3</t>
        </is>
      </c>
      <c r="K43" t="inlineStr">
        <is>
          <t>+1.5</t>
        </is>
      </c>
      <c r="L43" t="inlineStr">
        <is>
          <t>60.3%</t>
        </is>
      </c>
      <c r="M43" t="inlineStr">
        <is>
          <t>46.6%</t>
        </is>
      </c>
      <c r="N43" t="inlineStr">
        <is>
          <t>7/12</t>
        </is>
      </c>
      <c r="O43" t="inlineStr">
        <is>
          <t>5% | 26% | 30% | 31% | 7%</t>
        </is>
      </c>
      <c r="P43" t="inlineStr">
        <is>
          <t>22.5</t>
        </is>
      </c>
    </row>
    <row r="44">
      <c r="A44" t="inlineStr">
        <is>
          <t>Nuke</t>
        </is>
      </c>
      <c r="B44" t="inlineStr"/>
      <c r="C44" t="n">
        <v>7</v>
      </c>
      <c r="D44" t="inlineStr">
        <is>
          <t>4-3</t>
        </is>
      </c>
      <c r="E44" t="inlineStr">
        <is>
          <t>+2.1</t>
        </is>
      </c>
      <c r="F44" t="inlineStr">
        <is>
          <t>55.6%</t>
        </is>
      </c>
      <c r="G44" t="inlineStr">
        <is>
          <t>53.8%</t>
        </is>
      </c>
      <c r="H44" t="inlineStr">
        <is>
          <t>7/14</t>
        </is>
      </c>
      <c r="I44" t="n">
        <v>4</v>
      </c>
      <c r="J44" t="inlineStr">
        <is>
          <t>0-4</t>
        </is>
      </c>
      <c r="K44" t="inlineStr">
        <is>
          <t>-3.8</t>
        </is>
      </c>
      <c r="L44" t="inlineStr">
        <is>
          <t>52.2%</t>
        </is>
      </c>
      <c r="M44" t="inlineStr">
        <is>
          <t>30.2%</t>
        </is>
      </c>
      <c r="N44" t="inlineStr">
        <is>
          <t>2/8</t>
        </is>
      </c>
      <c r="O44" t="inlineStr">
        <is>
          <t>11% | 38% | 29% | 19% | 3%</t>
        </is>
      </c>
      <c r="P44" t="inlineStr">
        <is>
          <t>22.3</t>
        </is>
      </c>
    </row>
    <row r="46">
      <c r="A46" s="5" t="inlineStr">
        <is>
          <t>CS2 [NO MARKET] · ACE vs UNiTY   |   09:00 UTC   |   Bo3</t>
        </is>
      </c>
    </row>
    <row r="47">
      <c r="A47" s="3" t="inlineStr"/>
      <c r="B47" s="3" t="inlineStr">
        <is>
          <t>ACE (ACE)</t>
        </is>
      </c>
      <c r="C47" s="3" t="inlineStr">
        <is>
          <t>UNiTY (UNiTY)</t>
        </is>
      </c>
    </row>
    <row r="48">
      <c r="A48" s="3" t="inlineStr">
        <is>
          <t>Rank</t>
        </is>
      </c>
      <c r="B48" s="4" t="inlineStr">
        <is>
          <t>HLTV: #131 · VRS: #73</t>
        </is>
      </c>
      <c r="C48" s="4" t="inlineStr">
        <is>
          <t>HLTV: #86 · VRS: #60</t>
        </is>
      </c>
    </row>
    <row r="49">
      <c r="A49" s="3" t="inlineStr">
        <is>
          <t>Last 10 maps (newest first)</t>
        </is>
      </c>
      <c r="B49" s="4" t="inlineStr">
        <is>
          <t>6-4   W W W W L L L L W W</t>
        </is>
      </c>
      <c r="C49" s="4" t="inlineStr">
        <is>
          <t>7-3   W L W W L W W L W W</t>
        </is>
      </c>
    </row>
    <row r="50">
      <c r="A50" s="3" t="inlineStr">
        <is>
          <t>Last 10 maps, avg margin</t>
        </is>
      </c>
      <c r="B50" s="4" t="inlineStr">
        <is>
          <t>+1.1</t>
        </is>
      </c>
      <c r="C50" s="4" t="inlineStr">
        <is>
          <t>+1.4</t>
        </is>
      </c>
    </row>
    <row r="51">
      <c r="A51" s="3" t="inlineStr">
        <is>
          <t>3 months: maps W-L</t>
        </is>
      </c>
      <c r="B51" s="4" t="inlineStr">
        <is>
          <t>24-26 (48%)</t>
        </is>
      </c>
      <c r="C51" s="4" t="inlineStr">
        <is>
          <t>63-40 (61%)</t>
        </is>
      </c>
    </row>
    <row r="52">
      <c r="A52" s="3" t="inlineStr">
        <is>
          <t>Avg margin in wins / losses</t>
        </is>
      </c>
      <c r="B52" s="4" t="inlineStr">
        <is>
          <t>+6.0 / -6.4</t>
        </is>
      </c>
      <c r="C52" s="4" t="inlineStr">
        <is>
          <t>+5.3 / -4.9</t>
        </is>
      </c>
    </row>
    <row r="53">
      <c r="A53" s="3" t="inlineStr">
        <is>
          <t>Stomps for / against (8+)</t>
        </is>
      </c>
      <c r="B53" s="4" t="inlineStr">
        <is>
          <t>8 / 9</t>
        </is>
      </c>
      <c r="C53" s="4" t="inlineStr">
        <is>
          <t>18 / 4</t>
        </is>
      </c>
    </row>
    <row r="54">
      <c r="A54" s="3" t="inlineStr">
        <is>
          <t>Pistols (3 months)</t>
        </is>
      </c>
      <c r="B54" s="4" t="inlineStr">
        <is>
          <t>not captured</t>
        </is>
      </c>
      <c r="C54" s="4" t="inlineStr">
        <is>
          <t>45.1% (93-113) · R2 conv 81.7% · R2 break 20.4%</t>
        </is>
      </c>
    </row>
    <row r="55" ht="105" customHeight="1">
      <c r="A55" s="3" t="inlineStr">
        <is>
          <t>Kill share (last 6 series, all maps)</t>
        </is>
      </c>
      <c r="B55" s="4" t="inlineStr">
        <is>
          <t>5 series · 11 maps · team 70.7 kills/map
SHiPZ 25.2% (17.8/map)
Skrimo 19.9% (14.1/map)
REDSTAR 18.9% (13.4/map)
SPELLAN 16.6% (11.7/map)
h4rn 12.9% (14.3/map)
AwaykeN 6.6% (12.8/map) (sub)</t>
        </is>
      </c>
      <c r="C55" s="4" t="inlineStr">
        <is>
          <t>5 series · 13 maps · team 69.9 kills/map
KWERTZZ 23.8% (16.6/map)
M1key 22.1% (15.5/map)
Sn0w 18.9% (13.2/map)
Dytor 18.8% (13.2/map)
2high 16.4% (11.5/map)</t>
        </is>
      </c>
    </row>
    <row r="56">
      <c r="A56" s="3" t="inlineStr">
        <is>
          <t>Last 5 series</t>
        </is>
      </c>
      <c r="B56" s="4" t="inlineStr">
        <is>
          <t>2 - 0  Acend vs FORZE Reload
2 - 0  Acend vs ex-6666
0 - 2  Acend vs Nexus
0 - 2  Acend vs HOTU
2 - 1  Acend vs ex-Zero Tenacity</t>
        </is>
      </c>
      <c r="C56" s="4" t="inlineStr">
        <is>
          <t>2 - 1  UNiTY vs Betclic
2 - 1  UNiTY vs FOKUS
2 - 1  UNiTY vs 9INE
2 - 0  UNiTY vs mellren
2 - 0  UNiTY vs ex-Zero Tenacity</t>
        </is>
      </c>
    </row>
    <row r="57" ht="150" customHeight="1">
      <c r="A57" s="3" t="inlineStr">
        <is>
          <t>Recent vetoes (last 5)</t>
        </is>
      </c>
      <c r="B57" s="4" t="inlineStr">
        <is>
          <t>First ban: Nuke×4, Anubis×1   First pick: Inferno×2, Ancient×1
24th of Octo  Acend vs FORZE Reload:  us ban Nuke · opp ban Inferno · us pick Ancient · opp pick Cache · us ban Anubis · opp ban Mirage · left Dust2
22nd of Octo  Acend vs ex-6666:  opp ban Cache · us ban Nuke · opp pick Dust2 · us pick Inferno · opp ban Mirage · us ban Anubis · left Ancient
9th of Octob  Acend vs Nexus:  opp ban Inferno · us ban Anubis · opp pick Cache · us pick Dust2 · opp ban Nuke · us ban Ancient · left Mirage
9th of Octob  Acend vs HOTU:  opp ban Inferno · us ban Nuke · opp pick Cache · us pick Mirage · us ban Anubis · opp ban Ancient · left Dust2
8th of Octob  Acend vs ex-Zero Tenacity:  opp ban Ancient · us ban Nuke · opp pick Cache · us pick Inferno · opp ban Mirage · us ban Anubis · left Dust2</t>
        </is>
      </c>
      <c r="C57" s="4" t="inlineStr">
        <is>
          <t>First ban: Nuke×5   First pick: Mirage×3, Ancient×1
22nd of Octo  UNiTY vs Betclic:  us ban Nuke · opp ban Inferno · us pick Ancient · opp pick Cache · opp ban Mirage · us ban Anubis · left Dust2
21st of Octo  UNiTY vs FOKUS:  us ban Nuke · opp ban Inferno · us pick Mirage · opp pick Cache · opp ban Ancient · us ban Anubis · left Dust2
19th of Octo  UNiTY vs 9INE:  us ban Nuke · opp ban Inferno · us pick Mirage · opp pick Cache · opp ban Dust2 · us ban Anubis · left Ancient
18th of Octo  UNiTY vs mellren:  opp ban Cache · us ban Nuke · opp pick Mirage · us pick Inferno · opp ban Dust2 · us ban Anubis · left Ancient
16th of Octo  UNiTY vs ex-Zero Tenacity:  us ban Nuke · opp ban Ancient · us pick Mirage · opp pick Cache · us ban Anubis · opp ban Inferno · left Dust2</t>
        </is>
      </c>
    </row>
    <row r="58">
      <c r="A58" s="6" t="inlineStr">
        <is>
          <t>Map</t>
        </is>
      </c>
      <c r="B58" s="6" t="inlineStr">
        <is>
          <t>PF pick %</t>
        </is>
      </c>
      <c r="C58" s="6" t="inlineStr">
        <is>
          <t>A maps</t>
        </is>
      </c>
      <c r="D58" s="6" t="inlineStr">
        <is>
          <t>A W-L</t>
        </is>
      </c>
      <c r="E58" s="6" t="inlineStr">
        <is>
          <t>A avg ±</t>
        </is>
      </c>
      <c r="F58" s="6" t="inlineStr">
        <is>
          <t>A CT %</t>
        </is>
      </c>
      <c r="G58" s="6" t="inlineStr">
        <is>
          <t>A T %</t>
        </is>
      </c>
      <c r="H58" s="6" t="inlineStr">
        <is>
          <t>A pistol</t>
        </is>
      </c>
      <c r="I58" s="6" t="inlineStr">
        <is>
          <t>B maps</t>
        </is>
      </c>
      <c r="J58" s="6" t="inlineStr">
        <is>
          <t>B W-L</t>
        </is>
      </c>
      <c r="K58" s="6" t="inlineStr">
        <is>
          <t>B avg ±</t>
        </is>
      </c>
      <c r="L58" s="6" t="inlineStr">
        <is>
          <t>B CT %</t>
        </is>
      </c>
      <c r="M58" s="6" t="inlineStr">
        <is>
          <t>B T %</t>
        </is>
      </c>
      <c r="N58" s="6" t="inlineStr">
        <is>
          <t>B pistol</t>
        </is>
      </c>
      <c r="O58" s="6" t="inlineStr">
        <is>
          <t>A 8+ | A 3-7 | close/OT | B 3-7 | B 8+</t>
        </is>
      </c>
      <c r="P58" s="6" t="inlineStr">
        <is>
          <t>E rounds</t>
        </is>
      </c>
    </row>
    <row r="59">
      <c r="A59" t="inlineStr">
        <is>
          <t>Inferno</t>
        </is>
      </c>
      <c r="B59" t="inlineStr">
        <is>
          <t>20%</t>
        </is>
      </c>
      <c r="C59" t="n">
        <v>13</v>
      </c>
      <c r="D59" t="inlineStr">
        <is>
          <t>9-4</t>
        </is>
      </c>
      <c r="E59" t="inlineStr">
        <is>
          <t>+1.8</t>
        </is>
      </c>
      <c r="F59" t="inlineStr">
        <is>
          <t>52.2%</t>
        </is>
      </c>
      <c r="G59" t="inlineStr">
        <is>
          <t>56.0%</t>
        </is>
      </c>
      <c r="H59" t="inlineStr">
        <is>
          <t>12/26</t>
        </is>
      </c>
      <c r="I59" t="n">
        <v>17</v>
      </c>
      <c r="J59" t="inlineStr">
        <is>
          <t>11-6</t>
        </is>
      </c>
      <c r="K59" t="inlineStr">
        <is>
          <t>+1.8</t>
        </is>
      </c>
      <c r="L59" t="inlineStr">
        <is>
          <t>54.6%</t>
        </is>
      </c>
      <c r="M59" t="inlineStr">
        <is>
          <t>54.1%</t>
        </is>
      </c>
      <c r="N59" t="inlineStr">
        <is>
          <t>14/34</t>
        </is>
      </c>
      <c r="O59" t="inlineStr">
        <is>
          <t>6% | 28% | 30% | 29% | 6%</t>
        </is>
      </c>
      <c r="P59" t="inlineStr">
        <is>
          <t>22.5</t>
        </is>
      </c>
    </row>
    <row r="60">
      <c r="A60" t="inlineStr">
        <is>
          <t>Ancient</t>
        </is>
      </c>
      <c r="B60" t="inlineStr">
        <is>
          <t>19%</t>
        </is>
      </c>
      <c r="C60" t="n">
        <v>7</v>
      </c>
      <c r="D60" t="inlineStr">
        <is>
          <t>5-2</t>
        </is>
      </c>
      <c r="E60" t="inlineStr">
        <is>
          <t>+1.4</t>
        </is>
      </c>
      <c r="F60" t="inlineStr">
        <is>
          <t>66.2%</t>
        </is>
      </c>
      <c r="G60" t="inlineStr">
        <is>
          <t>41.6%</t>
        </is>
      </c>
      <c r="H60" t="inlineStr">
        <is>
          <t>7/14</t>
        </is>
      </c>
      <c r="I60" t="n">
        <v>21</v>
      </c>
      <c r="J60" t="inlineStr">
        <is>
          <t>15-6</t>
        </is>
      </c>
      <c r="K60" t="inlineStr">
        <is>
          <t>+2.6</t>
        </is>
      </c>
      <c r="L60" t="inlineStr">
        <is>
          <t>63.2%</t>
        </is>
      </c>
      <c r="M60" t="inlineStr">
        <is>
          <t>48.3%</t>
        </is>
      </c>
      <c r="N60" t="inlineStr">
        <is>
          <t>19/42</t>
        </is>
      </c>
      <c r="O60" t="inlineStr">
        <is>
          <t>5% | 23% | 30% | 33% | 9%</t>
        </is>
      </c>
      <c r="P60" t="inlineStr">
        <is>
          <t>22.4</t>
        </is>
      </c>
    </row>
    <row r="61">
      <c r="A61" t="inlineStr">
        <is>
          <t>Dust2</t>
        </is>
      </c>
      <c r="B61" t="inlineStr">
        <is>
          <t>19%</t>
        </is>
      </c>
      <c r="C61" t="n">
        <v>11</v>
      </c>
      <c r="D61" t="inlineStr">
        <is>
          <t>5-6</t>
        </is>
      </c>
      <c r="E61" t="inlineStr">
        <is>
          <t>-0.3</t>
        </is>
      </c>
      <c r="F61" t="inlineStr">
        <is>
          <t>52.5%</t>
        </is>
      </c>
      <c r="G61" t="inlineStr">
        <is>
          <t>46.0%</t>
        </is>
      </c>
      <c r="H61" t="inlineStr">
        <is>
          <t>8/22</t>
        </is>
      </c>
      <c r="I61" t="n">
        <v>17</v>
      </c>
      <c r="J61" t="inlineStr">
        <is>
          <t>10-7</t>
        </is>
      </c>
      <c r="K61" t="inlineStr">
        <is>
          <t>+1.5</t>
        </is>
      </c>
      <c r="L61" t="inlineStr">
        <is>
          <t>52.8%</t>
        </is>
      </c>
      <c r="M61" t="inlineStr">
        <is>
          <t>54.8%</t>
        </is>
      </c>
      <c r="N61" t="inlineStr">
        <is>
          <t>18/34</t>
        </is>
      </c>
      <c r="O61" t="inlineStr">
        <is>
          <t>4% | 23% | 30% | 34% | 8%</t>
        </is>
      </c>
      <c r="P61" t="inlineStr">
        <is>
          <t>22.5</t>
        </is>
      </c>
    </row>
    <row r="62">
      <c r="A62" t="inlineStr">
        <is>
          <t>Anubis</t>
        </is>
      </c>
      <c r="B62" t="inlineStr"/>
      <c r="C62" t="n">
        <v>4</v>
      </c>
      <c r="D62" t="inlineStr">
        <is>
          <t>1-3</t>
        </is>
      </c>
      <c r="E62" t="inlineStr">
        <is>
          <t>-3.8</t>
        </is>
      </c>
      <c r="F62" t="inlineStr">
        <is>
          <t>43.6%</t>
        </is>
      </c>
      <c r="G62" t="inlineStr">
        <is>
          <t>37.5%</t>
        </is>
      </c>
      <c r="H62" t="inlineStr">
        <is>
          <t>3/8</t>
        </is>
      </c>
      <c r="I62" t="n">
        <v>9</v>
      </c>
      <c r="J62" t="inlineStr">
        <is>
          <t>6-3</t>
        </is>
      </c>
      <c r="K62" t="inlineStr">
        <is>
          <t>+2.4</t>
        </is>
      </c>
      <c r="L62" t="inlineStr">
        <is>
          <t>52.4%</t>
        </is>
      </c>
      <c r="M62" t="inlineStr">
        <is>
          <t>57.0%</t>
        </is>
      </c>
      <c r="N62" t="inlineStr">
        <is>
          <t>6/18</t>
        </is>
      </c>
      <c r="O62" t="inlineStr">
        <is>
          <t>3% | 19% | 28% | 39% | 11%</t>
        </is>
      </c>
      <c r="P62" t="inlineStr">
        <is>
          <t>22.3</t>
        </is>
      </c>
    </row>
    <row r="63">
      <c r="A63" t="inlineStr">
        <is>
          <t>Cache</t>
        </is>
      </c>
      <c r="B63" t="inlineStr"/>
      <c r="C63" t="n">
        <v>9</v>
      </c>
      <c r="D63" t="inlineStr">
        <is>
          <t>2-7</t>
        </is>
      </c>
      <c r="E63" t="inlineStr">
        <is>
          <t>-3.0</t>
        </is>
      </c>
      <c r="F63" t="inlineStr">
        <is>
          <t>46.3%</t>
        </is>
      </c>
      <c r="G63" t="inlineStr">
        <is>
          <t>35.3%</t>
        </is>
      </c>
      <c r="H63" t="inlineStr">
        <is>
          <t>7/18</t>
        </is>
      </c>
      <c r="I63" t="n">
        <v>15</v>
      </c>
      <c r="J63" t="inlineStr">
        <is>
          <t>7-8</t>
        </is>
      </c>
      <c r="K63" t="inlineStr">
        <is>
          <t>-1.0</t>
        </is>
      </c>
      <c r="L63" t="inlineStr">
        <is>
          <t>47.3%</t>
        </is>
      </c>
      <c r="M63" t="inlineStr">
        <is>
          <t>48.1%</t>
        </is>
      </c>
      <c r="N63" t="inlineStr">
        <is>
          <t>8/30</t>
        </is>
      </c>
      <c r="O63" t="inlineStr">
        <is>
          <t>4% | 23% | 30% | 34% | 8%</t>
        </is>
      </c>
      <c r="P63" t="inlineStr">
        <is>
          <t>22.5</t>
        </is>
      </c>
    </row>
    <row r="64">
      <c r="A64" t="inlineStr">
        <is>
          <t>Mirage</t>
        </is>
      </c>
      <c r="B64" t="inlineStr"/>
      <c r="C64" t="n">
        <v>6</v>
      </c>
      <c r="D64" t="inlineStr">
        <is>
          <t>2-4</t>
        </is>
      </c>
      <c r="E64" t="inlineStr">
        <is>
          <t>-1.8</t>
        </is>
      </c>
      <c r="F64" t="inlineStr">
        <is>
          <t>51.7%</t>
        </is>
      </c>
      <c r="G64" t="inlineStr">
        <is>
          <t>40.3%</t>
        </is>
      </c>
      <c r="H64" t="inlineStr">
        <is>
          <t>7/12</t>
        </is>
      </c>
      <c r="I64" t="n">
        <v>21</v>
      </c>
      <c r="J64" t="inlineStr">
        <is>
          <t>14-7</t>
        </is>
      </c>
      <c r="K64" t="inlineStr">
        <is>
          <t>+1.8</t>
        </is>
      </c>
      <c r="L64" t="inlineStr">
        <is>
          <t>58.2%</t>
        </is>
      </c>
      <c r="M64" t="inlineStr">
        <is>
          <t>49.6%</t>
        </is>
      </c>
      <c r="N64" t="inlineStr">
        <is>
          <t>27/42</t>
        </is>
      </c>
      <c r="O64" t="inlineStr">
        <is>
          <t>4% | 20% | 29% | 37% | 10%</t>
        </is>
      </c>
      <c r="P64" t="inlineStr">
        <is>
          <t>22.4</t>
        </is>
      </c>
    </row>
    <row r="65">
      <c r="A65" t="inlineStr">
        <is>
          <t>Nuke</t>
        </is>
      </c>
      <c r="B65" t="inlineStr"/>
      <c r="C65" t="n">
        <v>0</v>
      </c>
      <c r="D65" t="inlineStr"/>
      <c r="E65" t="inlineStr"/>
      <c r="F65" t="inlineStr"/>
      <c r="G65" t="inlineStr"/>
      <c r="H65" t="inlineStr"/>
      <c r="I65" t="n">
        <v>3</v>
      </c>
      <c r="J65" t="inlineStr">
        <is>
          <t>0-3</t>
        </is>
      </c>
      <c r="K65" t="inlineStr">
        <is>
          <t>-6.0</t>
        </is>
      </c>
      <c r="L65" t="inlineStr">
        <is>
          <t>33.3%</t>
        </is>
      </c>
      <c r="M65" t="inlineStr">
        <is>
          <t>37.5%</t>
        </is>
      </c>
      <c r="N65" t="inlineStr">
        <is>
          <t>1/6</t>
        </is>
      </c>
      <c r="O65" t="inlineStr">
        <is>
          <t>9% | 35% | 30% | 22% | 4%</t>
        </is>
      </c>
      <c r="P65" t="inlineStr">
        <is>
          <t>22.4</t>
        </is>
      </c>
    </row>
    <row r="67">
      <c r="A67" s="5" t="inlineStr">
        <is>
          <t>CS2 · BB vs NEMI   |   11:00 UTC   |   Bo3   |   Win: BB 61% – NEMI 39%   |   2-0 32% · 2-1 28% · 1-2 20% · 0-2 19%</t>
        </is>
      </c>
    </row>
    <row r="68">
      <c r="A68" s="3" t="inlineStr"/>
      <c r="B68" s="3" t="inlineStr">
        <is>
          <t>BB Team (BB)</t>
        </is>
      </c>
      <c r="C68" s="3" t="inlineStr">
        <is>
          <t>Nemiga (NEMI)</t>
        </is>
      </c>
    </row>
    <row r="69">
      <c r="A69" s="3" t="inlineStr">
        <is>
          <t>Rank</t>
        </is>
      </c>
      <c r="B69" s="4" t="inlineStr">
        <is>
          <t>HLTV: #9 · VRS: #7</t>
        </is>
      </c>
      <c r="C69" s="4" t="inlineStr">
        <is>
          <t>HLTV: #24 · VRS: #17</t>
        </is>
      </c>
    </row>
    <row r="70">
      <c r="A70" s="3" t="inlineStr">
        <is>
          <t>Last 10 maps (newest first)</t>
        </is>
      </c>
      <c r="B70" s="4" t="inlineStr">
        <is>
          <t>6-4   W W L L L W W L W W</t>
        </is>
      </c>
      <c r="C70" s="4" t="inlineStr">
        <is>
          <t>6-4   W W L W L W W L L W</t>
        </is>
      </c>
    </row>
    <row r="71">
      <c r="A71" s="3" t="inlineStr">
        <is>
          <t>Last 10 maps, avg margin</t>
        </is>
      </c>
      <c r="B71" s="4" t="inlineStr">
        <is>
          <t>+0.8</t>
        </is>
      </c>
      <c r="C71" s="4" t="inlineStr">
        <is>
          <t>+0.6</t>
        </is>
      </c>
    </row>
    <row r="72">
      <c r="A72" s="3" t="inlineStr">
        <is>
          <t>3 months: maps W-L</t>
        </is>
      </c>
      <c r="B72" s="4" t="inlineStr">
        <is>
          <t>20-20 (50%)</t>
        </is>
      </c>
      <c r="C72" s="4" t="inlineStr">
        <is>
          <t>80-34 (70%)</t>
        </is>
      </c>
    </row>
    <row r="73">
      <c r="A73" s="3" t="inlineStr">
        <is>
          <t>Avg margin in wins / losses</t>
        </is>
      </c>
      <c r="B73" s="4" t="inlineStr">
        <is>
          <t>+4.2 / -4.8</t>
        </is>
      </c>
      <c r="C73" s="4" t="inlineStr">
        <is>
          <t>+5.2 / -4.5</t>
        </is>
      </c>
    </row>
    <row r="74">
      <c r="A74" s="3" t="inlineStr">
        <is>
          <t>Stomps for / against (8+)</t>
        </is>
      </c>
      <c r="B74" s="4" t="inlineStr">
        <is>
          <t>2 / 4</t>
        </is>
      </c>
      <c r="C74" s="4" t="inlineStr">
        <is>
          <t>18 / 4</t>
        </is>
      </c>
    </row>
    <row r="75">
      <c r="A75" s="3" t="inlineStr">
        <is>
          <t>Pistols (3 months)</t>
        </is>
      </c>
      <c r="B75" s="4" t="inlineStr">
        <is>
          <t>not captured</t>
        </is>
      </c>
      <c r="C75" s="4" t="inlineStr">
        <is>
          <t>56.1% (128-100) · R2 conv 82.8% · R2 break 14.0%</t>
        </is>
      </c>
    </row>
    <row r="76" ht="105" customHeight="1">
      <c r="A76" s="3" t="inlineStr">
        <is>
          <t>Kill share (last 6 series, all maps)</t>
        </is>
      </c>
      <c r="B76" s="4" t="inlineStr">
        <is>
          <t>6 series · 20 maps · team 79.1 kills/map
zorte 22.4% (17.7/map)
Magnojez 21.6% (17.1/map)
S1ren 20.5% (16.2/map)
d1Ledez 19.7% (15.6/map)
Boombl4 15.9% (12.6/map)</t>
        </is>
      </c>
      <c r="C76" s="4" t="inlineStr">
        <is>
          <t>5 series · 13 maps · team 84.0 kills/map
syph0 22.4% (18.8/map)
Xant3r 21.0% (17.6/map)
khaN 19.7% (16.5/map)
KaiR0N- 19.5% (16.4/map)
robo 17.4% (14.6/map)</t>
        </is>
      </c>
    </row>
    <row r="77">
      <c r="A77" s="3" t="inlineStr">
        <is>
          <t>Last 5 series</t>
        </is>
      </c>
      <c r="B77" s="4" t="inlineStr">
        <is>
          <t>1 - 2  Spirit vs BETBOOM
2 - 1  BETBOOM vs Spirit
2 - 3  BETBOOM vs FURIA
2 - 1  BETBOOM vs Falcons
2 - 1  BETBOOM vs Legacy</t>
        </is>
      </c>
      <c r="C77" s="4" t="inlineStr">
        <is>
          <t>0 - 2  Legacy vs Nemiga
2 - 0  Nemiga vs Legacy
1 - 2  Nemiga vs Iberian Soul
1 - 0  Nemiga vs Gothic
2 - 0  Nemiga vs Lavked</t>
        </is>
      </c>
    </row>
    <row r="78" ht="150" customHeight="1">
      <c r="A78" s="3" t="inlineStr">
        <is>
          <t>Recent vetoes (last 5)</t>
        </is>
      </c>
      <c r="B78" s="4" t="inlineStr">
        <is>
          <t>First ban: Inferno×3, Dust2×2   First pick: Anubis×3, Ancient×1
24th of Octo  Spirit vs BETBOOM:  us ban Dust2 · opp ban Inferno · us pick Anubis · opp pick Ancient · opp ban Nuke · us ban Cache · left Mirage
24th of Octo  BETBOOM vs Spirit:  us ban Dust2 · opp ban Inferno · us pick Anubis · opp pick Ancient · opp ban Nuke · us ban Cache · left Mirage
18th of Octo  BETBOOM vs FURIA:  opp ban Anubis · us ban Inferno · opp pick Dust2 · us pick Ancient · opp pick Nuke · us pick Mirage · left Cache
17th of Octo  BETBOOM vs Falcons:  us ban Inferno · opp ban Cache · us pick Anubis · opp pick Dust2 · us ban Ancient · opp ban Nuke · left Mirage
16th of Octo  BETBOOM vs Legacy:  us ban Inferno · opp ban Anubis · us pick Nuke · opp pick Dust2 · us ban Cache · opp ban Ancient · left Mirage</t>
        </is>
      </c>
      <c r="C78" s="4" t="inlineStr">
        <is>
          <t>First ban: Inferno×5   First pick: Ancient×2, Cache×2
24th of Octo  Legacy vs Nemiga:  us ban Inferno · opp ban Anubis · us pick Ancient · opp pick Dust2 · opp ban Cache · us ban Mirage · left Nuke
24th of Octo  Nemiga vs Legacy:  us ban Inferno · opp ban Anubis · us pick Ancient · opp pick Dust2 · opp ban Cache · us ban Mirage · left Nuke
10th of Octo  Nemiga vs Iberian Soul:  us ban Inferno · opp ban Dust2 · us pick Cache · opp pick Nuke · us ban Ancient · opp ban Anubis · left Mirage
9th of Octob  Nemiga vs Gothic:  opp ban Nuke · us ban Inferno · opp pick Mirage · us pick Cache · opp ban Anubis · us ban Dust2 · left Ancient
8th of Octob  Nemiga vs Lavked:  us ban Inferno · opp ban Cache · us pick Anubis · opp pick Dust2 · us ban Nuke · opp ban Ancient · left Mirage</t>
        </is>
      </c>
    </row>
    <row r="79">
      <c r="A79" s="6" t="inlineStr">
        <is>
          <t>Map</t>
        </is>
      </c>
      <c r="B79" s="6" t="inlineStr">
        <is>
          <t>PF pick %</t>
        </is>
      </c>
      <c r="C79" s="6" t="inlineStr">
        <is>
          <t>A maps</t>
        </is>
      </c>
      <c r="D79" s="6" t="inlineStr">
        <is>
          <t>A W-L</t>
        </is>
      </c>
      <c r="E79" s="6" t="inlineStr">
        <is>
          <t>A avg ±</t>
        </is>
      </c>
      <c r="F79" s="6" t="inlineStr">
        <is>
          <t>A CT %</t>
        </is>
      </c>
      <c r="G79" s="6" t="inlineStr">
        <is>
          <t>A T %</t>
        </is>
      </c>
      <c r="H79" s="6" t="inlineStr">
        <is>
          <t>A pistol</t>
        </is>
      </c>
      <c r="I79" s="6" t="inlineStr">
        <is>
          <t>B maps</t>
        </is>
      </c>
      <c r="J79" s="6" t="inlineStr">
        <is>
          <t>B W-L</t>
        </is>
      </c>
      <c r="K79" s="6" t="inlineStr">
        <is>
          <t>B avg ±</t>
        </is>
      </c>
      <c r="L79" s="6" t="inlineStr">
        <is>
          <t>B CT %</t>
        </is>
      </c>
      <c r="M79" s="6" t="inlineStr">
        <is>
          <t>B T %</t>
        </is>
      </c>
      <c r="N79" s="6" t="inlineStr">
        <is>
          <t>B pistol</t>
        </is>
      </c>
      <c r="O79" s="6" t="inlineStr">
        <is>
          <t>A 8+ | A 3-7 | close/OT | B 3-7 | B 8+</t>
        </is>
      </c>
      <c r="P79" s="6" t="inlineStr">
        <is>
          <t>E rounds</t>
        </is>
      </c>
    </row>
    <row r="80">
      <c r="A80" t="inlineStr">
        <is>
          <t>Ancient</t>
        </is>
      </c>
      <c r="B80" t="inlineStr">
        <is>
          <t>21%</t>
        </is>
      </c>
      <c r="C80" t="n">
        <v>6</v>
      </c>
      <c r="D80" t="inlineStr">
        <is>
          <t>3-3</t>
        </is>
      </c>
      <c r="E80" t="inlineStr">
        <is>
          <t>+0.5</t>
        </is>
      </c>
      <c r="F80" t="inlineStr">
        <is>
          <t>58.7%</t>
        </is>
      </c>
      <c r="G80" t="inlineStr">
        <is>
          <t>43.1%</t>
        </is>
      </c>
      <c r="H80" t="inlineStr">
        <is>
          <t>7/12</t>
        </is>
      </c>
      <c r="I80" t="n">
        <v>26</v>
      </c>
      <c r="J80" t="inlineStr">
        <is>
          <t>17-9</t>
        </is>
      </c>
      <c r="K80" t="inlineStr">
        <is>
          <t>+1.7</t>
        </is>
      </c>
      <c r="L80" t="inlineStr">
        <is>
          <t>50.2%</t>
        </is>
      </c>
      <c r="M80" t="inlineStr">
        <is>
          <t>56.9%</t>
        </is>
      </c>
      <c r="N80" t="inlineStr">
        <is>
          <t>27/52</t>
        </is>
      </c>
      <c r="O80" t="inlineStr">
        <is>
          <t>5% | 24% | 30% | 33% | 8%</t>
        </is>
      </c>
      <c r="P80" t="inlineStr">
        <is>
          <t>22.5</t>
        </is>
      </c>
    </row>
    <row r="81">
      <c r="A81" t="inlineStr">
        <is>
          <t>Mirage</t>
        </is>
      </c>
      <c r="B81" t="inlineStr">
        <is>
          <t>19%</t>
        </is>
      </c>
      <c r="C81" t="n">
        <v>11</v>
      </c>
      <c r="D81" t="inlineStr">
        <is>
          <t>6-5</t>
        </is>
      </c>
      <c r="E81" t="inlineStr">
        <is>
          <t>-0.1</t>
        </is>
      </c>
      <c r="F81" t="inlineStr">
        <is>
          <t>58.6%</t>
        </is>
      </c>
      <c r="G81" t="inlineStr">
        <is>
          <t>41.5%</t>
        </is>
      </c>
      <c r="H81" t="inlineStr">
        <is>
          <t>10/22</t>
        </is>
      </c>
      <c r="I81" t="n">
        <v>18</v>
      </c>
      <c r="J81" t="inlineStr">
        <is>
          <t>14-4</t>
        </is>
      </c>
      <c r="K81" t="inlineStr">
        <is>
          <t>+2.5</t>
        </is>
      </c>
      <c r="L81" t="inlineStr">
        <is>
          <t>64.2%</t>
        </is>
      </c>
      <c r="M81" t="inlineStr">
        <is>
          <t>46.2%</t>
        </is>
      </c>
      <c r="N81" t="inlineStr">
        <is>
          <t>22/36</t>
        </is>
      </c>
      <c r="O81" t="inlineStr">
        <is>
          <t>4% | 21% | 30% | 35% | 10%</t>
        </is>
      </c>
      <c r="P81" t="inlineStr">
        <is>
          <t>22.4</t>
        </is>
      </c>
    </row>
    <row r="82">
      <c r="A82" t="inlineStr">
        <is>
          <t>Dust2</t>
        </is>
      </c>
      <c r="B82" t="inlineStr">
        <is>
          <t>17%</t>
        </is>
      </c>
      <c r="C82" t="n">
        <v>4</v>
      </c>
      <c r="D82" t="inlineStr">
        <is>
          <t>1-3</t>
        </is>
      </c>
      <c r="E82" t="inlineStr">
        <is>
          <t>-3.0</t>
        </is>
      </c>
      <c r="F82" t="inlineStr">
        <is>
          <t>43.1%</t>
        </is>
      </c>
      <c r="G82" t="inlineStr">
        <is>
          <t>44.2%</t>
        </is>
      </c>
      <c r="H82" t="inlineStr">
        <is>
          <t>5/8</t>
        </is>
      </c>
      <c r="I82" t="n">
        <v>22</v>
      </c>
      <c r="J82" t="inlineStr">
        <is>
          <t>14-8</t>
        </is>
      </c>
      <c r="K82" t="inlineStr">
        <is>
          <t>+2.1</t>
        </is>
      </c>
      <c r="L82" t="inlineStr">
        <is>
          <t>53.3%</t>
        </is>
      </c>
      <c r="M82" t="inlineStr">
        <is>
          <t>56.9%</t>
        </is>
      </c>
      <c r="N82" t="inlineStr">
        <is>
          <t>24/44</t>
        </is>
      </c>
      <c r="O82" t="inlineStr">
        <is>
          <t>3% | 18% | 28% | 40% | 11%</t>
        </is>
      </c>
      <c r="P82" t="inlineStr">
        <is>
          <t>22.2</t>
        </is>
      </c>
    </row>
    <row r="83">
      <c r="A83" t="inlineStr">
        <is>
          <t>Anubis</t>
        </is>
      </c>
      <c r="B83" t="inlineStr"/>
      <c r="C83" t="n">
        <v>9</v>
      </c>
      <c r="D83" t="inlineStr">
        <is>
          <t>4-5</t>
        </is>
      </c>
      <c r="E83" t="inlineStr">
        <is>
          <t>-0.3</t>
        </is>
      </c>
      <c r="F83" t="inlineStr">
        <is>
          <t>47.3%</t>
        </is>
      </c>
      <c r="G83" t="inlineStr">
        <is>
          <t>51.5%</t>
        </is>
      </c>
      <c r="H83" t="inlineStr">
        <is>
          <t>9/18</t>
        </is>
      </c>
      <c r="I83" t="n">
        <v>15</v>
      </c>
      <c r="J83" t="inlineStr">
        <is>
          <t>12-3</t>
        </is>
      </c>
      <c r="K83" t="inlineStr">
        <is>
          <t>+3.7</t>
        </is>
      </c>
      <c r="L83" t="inlineStr">
        <is>
          <t>61.9%</t>
        </is>
      </c>
      <c r="M83" t="inlineStr">
        <is>
          <t>53.6%</t>
        </is>
      </c>
      <c r="N83" t="inlineStr">
        <is>
          <t>21/30</t>
        </is>
      </c>
      <c r="O83" t="inlineStr">
        <is>
          <t>3% | 18% | 28% | 39% | 11%</t>
        </is>
      </c>
      <c r="P83" t="inlineStr">
        <is>
          <t>22.3</t>
        </is>
      </c>
    </row>
    <row r="84">
      <c r="A84" t="inlineStr">
        <is>
          <t>Cache</t>
        </is>
      </c>
      <c r="B84" t="inlineStr"/>
      <c r="C84" t="n">
        <v>4</v>
      </c>
      <c r="D84" t="inlineStr">
        <is>
          <t>2-2</t>
        </is>
      </c>
      <c r="E84" t="inlineStr">
        <is>
          <t>-0.5</t>
        </is>
      </c>
      <c r="F84" t="inlineStr">
        <is>
          <t>51.9%</t>
        </is>
      </c>
      <c r="G84" t="inlineStr">
        <is>
          <t>45.7%</t>
        </is>
      </c>
      <c r="H84" t="inlineStr">
        <is>
          <t>5/8</t>
        </is>
      </c>
      <c r="I84" t="n">
        <v>16</v>
      </c>
      <c r="J84" t="inlineStr">
        <is>
          <t>11-5</t>
        </is>
      </c>
      <c r="K84" t="inlineStr">
        <is>
          <t>+2.4</t>
        </is>
      </c>
      <c r="L84" t="inlineStr">
        <is>
          <t>59.5%</t>
        </is>
      </c>
      <c r="M84" t="inlineStr">
        <is>
          <t>51.6%</t>
        </is>
      </c>
      <c r="N84" t="inlineStr">
        <is>
          <t>14/32</t>
        </is>
      </c>
      <c r="O84" t="inlineStr">
        <is>
          <t>4% | 21% | 29% | 36% | 10%</t>
        </is>
      </c>
      <c r="P84" t="inlineStr">
        <is>
          <t>22.4</t>
        </is>
      </c>
    </row>
    <row r="85">
      <c r="A85" t="inlineStr">
        <is>
          <t>Inferno</t>
        </is>
      </c>
      <c r="B85" t="inlineStr"/>
      <c r="C85" t="n">
        <v>0</v>
      </c>
      <c r="D85" t="inlineStr"/>
      <c r="E85" t="inlineStr"/>
      <c r="F85" t="inlineStr"/>
      <c r="G85" t="inlineStr"/>
      <c r="H85" t="inlineStr"/>
      <c r="I85" t="n">
        <v>1</v>
      </c>
      <c r="J85" t="inlineStr">
        <is>
          <t>1-0</t>
        </is>
      </c>
      <c r="K85" t="inlineStr">
        <is>
          <t>+6.0</t>
        </is>
      </c>
      <c r="L85" t="inlineStr">
        <is>
          <t>75.0%</t>
        </is>
      </c>
      <c r="M85" t="inlineStr">
        <is>
          <t>58.3%</t>
        </is>
      </c>
      <c r="N85" t="inlineStr">
        <is>
          <t>1/2</t>
        </is>
      </c>
      <c r="O85" t="inlineStr">
        <is>
          <t>5% | 26% | 30% | 32% | 7%</t>
        </is>
      </c>
      <c r="P85" t="inlineStr">
        <is>
          <t>22.5</t>
        </is>
      </c>
    </row>
    <row r="86">
      <c r="A86" t="inlineStr">
        <is>
          <t>Nuke</t>
        </is>
      </c>
      <c r="B86" t="inlineStr"/>
      <c r="C86" t="n">
        <v>6</v>
      </c>
      <c r="D86" t="inlineStr">
        <is>
          <t>4-2</t>
        </is>
      </c>
      <c r="E86" t="inlineStr">
        <is>
          <t>+0.8</t>
        </is>
      </c>
      <c r="F86" t="inlineStr">
        <is>
          <t>60.3%</t>
        </is>
      </c>
      <c r="G86" t="inlineStr">
        <is>
          <t>41.7%</t>
        </is>
      </c>
      <c r="H86" t="inlineStr">
        <is>
          <t>6/12</t>
        </is>
      </c>
      <c r="I86" t="n">
        <v>16</v>
      </c>
      <c r="J86" t="inlineStr">
        <is>
          <t>11-5</t>
        </is>
      </c>
      <c r="K86" t="inlineStr">
        <is>
          <t>+1.8</t>
        </is>
      </c>
      <c r="L86" t="inlineStr">
        <is>
          <t>59.3%</t>
        </is>
      </c>
      <c r="M86" t="inlineStr">
        <is>
          <t>48.6%</t>
        </is>
      </c>
      <c r="N86" t="inlineStr">
        <is>
          <t>19/32</t>
        </is>
      </c>
      <c r="O86" t="inlineStr">
        <is>
          <t>5% | 24% | 30% | 33% | 8%</t>
        </is>
      </c>
      <c r="P86" t="inlineStr">
        <is>
          <t>22.5</t>
        </is>
      </c>
    </row>
    <row r="88">
      <c r="A88" s="5" t="inlineStr">
        <is>
          <t>CS2 · VIT vs MGLZ   |   11:00 UTC   |   Bo3   |   Win: VIT 81% – MGLZ 19%   |   2-0 50% · 2-1 30% · 1-2 10% · 0-2 10%</t>
        </is>
      </c>
    </row>
    <row r="89">
      <c r="A89" s="3" t="inlineStr"/>
      <c r="B89" s="3" t="inlineStr">
        <is>
          <t>Vitality (VIT)</t>
        </is>
      </c>
      <c r="C89" s="3" t="inlineStr">
        <is>
          <t>MongolZ (MGLZ)</t>
        </is>
      </c>
    </row>
    <row r="90">
      <c r="A90" s="3" t="inlineStr">
        <is>
          <t>Rank</t>
        </is>
      </c>
      <c r="B90" s="4" t="inlineStr">
        <is>
          <t>HLTV: #2 · VRS: #1</t>
        </is>
      </c>
      <c r="C90" s="4" t="inlineStr">
        <is>
          <t>HLTV: #20 · VRS: #18</t>
        </is>
      </c>
    </row>
    <row r="91">
      <c r="A91" s="3" t="inlineStr">
        <is>
          <t>Last 10 maps (newest first)</t>
        </is>
      </c>
      <c r="B91" s="4" t="inlineStr">
        <is>
          <t>9-1   W W W W W W W L W W</t>
        </is>
      </c>
      <c r="C91" s="4" t="inlineStr">
        <is>
          <t>8-2   W W L W W W W W L W</t>
        </is>
      </c>
    </row>
    <row r="92">
      <c r="A92" s="3" t="inlineStr">
        <is>
          <t>Last 10 maps, avg margin</t>
        </is>
      </c>
      <c r="B92" s="4" t="inlineStr">
        <is>
          <t>+4.0</t>
        </is>
      </c>
      <c r="C92" s="4" t="inlineStr">
        <is>
          <t>+4.2</t>
        </is>
      </c>
    </row>
    <row r="93">
      <c r="A93" s="3" t="inlineStr">
        <is>
          <t>3 months: maps W-L</t>
        </is>
      </c>
      <c r="B93" s="4" t="inlineStr">
        <is>
          <t>40-16 (71%)</t>
        </is>
      </c>
      <c r="C93" s="4" t="inlineStr">
        <is>
          <t>21-14 (60%)</t>
        </is>
      </c>
    </row>
    <row r="94">
      <c r="A94" s="3" t="inlineStr">
        <is>
          <t>Avg margin in wins / losses</t>
        </is>
      </c>
      <c r="B94" s="4" t="inlineStr">
        <is>
          <t>+6.2 / -5.1</t>
        </is>
      </c>
      <c r="C94" s="4" t="inlineStr">
        <is>
          <t>+5.8 / -5.4</t>
        </is>
      </c>
    </row>
    <row r="95">
      <c r="A95" s="3" t="inlineStr">
        <is>
          <t>Stomps for / against (8+)</t>
        </is>
      </c>
      <c r="B95" s="4" t="inlineStr">
        <is>
          <t>15 / 3</t>
        </is>
      </c>
      <c r="C95" s="4" t="inlineStr">
        <is>
          <t>5 / 4</t>
        </is>
      </c>
    </row>
    <row r="96">
      <c r="A96" s="3" t="inlineStr">
        <is>
          <t>Pistols (3 months)</t>
        </is>
      </c>
      <c r="B96" s="4" t="inlineStr">
        <is>
          <t>not captured</t>
        </is>
      </c>
      <c r="C96" s="4" t="inlineStr">
        <is>
          <t>not captured</t>
        </is>
      </c>
    </row>
    <row r="97" ht="105" customHeight="1">
      <c r="A97" s="3" t="inlineStr">
        <is>
          <t>Kill share (last 6 series, all maps)</t>
        </is>
      </c>
      <c r="B97" s="4" t="inlineStr">
        <is>
          <t>6 series · 15 maps · team 72.1 kills/map
ZywOo 23.3% (16.8/map)
flameZ 22.8% (16.4/map)
ropz 20.8% (15.0/map)
mezii 17.1% (12.3/map)
apEX 11.4% (11.2/map)
jL 4.6% (12.5/map) (sub)</t>
        </is>
      </c>
      <c r="C97" s="4" t="inlineStr">
        <is>
          <t>6 series · 16 maps · team 73.8 kills/map
910 23.7% (17.5/map)
bLitz 19.5% (14.4/map)
nin9 19.2% (14.2/map)
Techno 18.9% (13.9/map)
cobrazera 18.7% (13.8/map)</t>
        </is>
      </c>
    </row>
    <row r="98">
      <c r="A98" s="3" t="inlineStr">
        <is>
          <t>Last 5 series</t>
        </is>
      </c>
      <c r="B98" s="4" t="inlineStr">
        <is>
          <t>2 - 0  Vitality vs 9z
2 - 0  Vitality vs 9z
3 - 0  Vitality vs MOUZ
2 - 1  Vitality vs Aurora
2 - 0  Vitality vs PARIVISION</t>
        </is>
      </c>
      <c r="C98" s="4" t="inlineStr">
        <is>
          <t>1 - 2  Aurora vs The MongolZ
2 - 1  The MongolZ vs Aurora
3 - 0  The MongolZ vs PARIVISION
2 - 1  The MongolZ vs BIG
2 - 0  The MongolZ vs PRIVATE</t>
        </is>
      </c>
    </row>
    <row r="99" ht="150" customHeight="1">
      <c r="A99" s="3" t="inlineStr">
        <is>
          <t>Recent vetoes (last 5)</t>
        </is>
      </c>
      <c r="B99" s="4" t="inlineStr">
        <is>
          <t>First ban: Ancient×5   First pick: Cache×4, Dust2×1
24th of Octo  Vitality vs 9z:  opp ban Anubis · us ban Ancient · opp pick Mirage · us pick Cache · us ban Nuke · opp ban Inferno · left Dust2
24th of Octo  Vitality vs 9z:  opp ban Anubis · us ban Ancient · opp pick Mirage · us pick Cache · us ban Nuke · opp ban Inferno · left Dust2
11th of Octo  Vitality vs MOUZ:  us ban Ancient · opp ban Anubis · us pick Cache · opp pick Inferno · us pick Dust2 · opp pick Mirage · left Nuke
10th of Octo  Vitality vs Aurora:  opp ban Dust2 · us ban Ancient · opp pick Anubis · us pick Cache · opp ban Inferno · us ban Nuke · left Mirage
9th of Octob  Vitality vs PARIVISION:  opp ban Nuke · us ban Ancient · opp pick Inferno · us pick Dust2 · opp ban Cache · us ban Mirage · left Anubis</t>
        </is>
      </c>
      <c r="C99" s="4" t="inlineStr">
        <is>
          <t>First ban: Anubis×5   First pick: Inferno×3, Mirage×2
24th of Octo  Aurora vs The MongolZ:  us ban Anubis · opp ban Ancient · us pick Inferno · opp pick Nuke · opp ban Mirage · us ban Cache · left Dust2
24th of Octo  The MongolZ vs Aurora:  us ban Anubis · opp ban Ancient · us pick Inferno · opp pick Nuke · opp ban Mirage · us ban Cache · left Dust2
22nd of Octo  The MongolZ vs PARIVISION:  opp ban Nuke · us ban Anubis · opp pick Ancient · us pick Mirage · opp pick Dust2 · us pick Inferno · left Cache
22nd of Octo  The MongolZ vs BIG:  opp ban Dust2 · us ban Anubis · opp pick Cache · us pick Inferno · us ban Nuke · opp ban Ancient · left Mirage
21st of Octo  The MongolZ vs PRIVATE:  us ban Anubis · opp ban Inferno · us pick Mirage · opp pick Ancient · opp ban Cache · us ban Nuke · left Dust2</t>
        </is>
      </c>
    </row>
    <row r="100">
      <c r="A100" s="6" t="inlineStr">
        <is>
          <t>Map</t>
        </is>
      </c>
      <c r="B100" s="6" t="inlineStr">
        <is>
          <t>PF pick %</t>
        </is>
      </c>
      <c r="C100" s="6" t="inlineStr">
        <is>
          <t>A maps</t>
        </is>
      </c>
      <c r="D100" s="6" t="inlineStr">
        <is>
          <t>A W-L</t>
        </is>
      </c>
      <c r="E100" s="6" t="inlineStr">
        <is>
          <t>A avg ±</t>
        </is>
      </c>
      <c r="F100" s="6" t="inlineStr">
        <is>
          <t>A CT %</t>
        </is>
      </c>
      <c r="G100" s="6" t="inlineStr">
        <is>
          <t>A T %</t>
        </is>
      </c>
      <c r="H100" s="6" t="inlineStr">
        <is>
          <t>A pistol</t>
        </is>
      </c>
      <c r="I100" s="6" t="inlineStr">
        <is>
          <t>B maps</t>
        </is>
      </c>
      <c r="J100" s="6" t="inlineStr">
        <is>
          <t>B W-L</t>
        </is>
      </c>
      <c r="K100" s="6" t="inlineStr">
        <is>
          <t>B avg ±</t>
        </is>
      </c>
      <c r="L100" s="6" t="inlineStr">
        <is>
          <t>B CT %</t>
        </is>
      </c>
      <c r="M100" s="6" t="inlineStr">
        <is>
          <t>B T %</t>
        </is>
      </c>
      <c r="N100" s="6" t="inlineStr">
        <is>
          <t>B pistol</t>
        </is>
      </c>
      <c r="O100" s="6" t="inlineStr">
        <is>
          <t>A 8+ | A 3-7 | close/OT | B 3-7 | B 8+</t>
        </is>
      </c>
      <c r="P100" s="6" t="inlineStr">
        <is>
          <t>E rounds</t>
        </is>
      </c>
    </row>
    <row r="101">
      <c r="A101" t="inlineStr">
        <is>
          <t>Dust2</t>
        </is>
      </c>
      <c r="B101" t="inlineStr">
        <is>
          <t>25%</t>
        </is>
      </c>
      <c r="C101" t="n">
        <v>14</v>
      </c>
      <c r="D101" t="inlineStr">
        <is>
          <t>12-2</t>
        </is>
      </c>
      <c r="E101" t="inlineStr">
        <is>
          <t>+5.1</t>
        </is>
      </c>
      <c r="F101" t="inlineStr">
        <is>
          <t>65.9%</t>
        </is>
      </c>
      <c r="G101" t="inlineStr">
        <is>
          <t>60.3%</t>
        </is>
      </c>
      <c r="H101" t="inlineStr">
        <is>
          <t>18/28</t>
        </is>
      </c>
      <c r="I101" t="n">
        <v>5</v>
      </c>
      <c r="J101" t="inlineStr">
        <is>
          <t>4-1</t>
        </is>
      </c>
      <c r="K101" t="inlineStr">
        <is>
          <t>+3.4</t>
        </is>
      </c>
      <c r="L101" t="inlineStr">
        <is>
          <t>60.3%</t>
        </is>
      </c>
      <c r="M101" t="inlineStr">
        <is>
          <t>55.3%</t>
        </is>
      </c>
      <c r="N101" t="inlineStr">
        <is>
          <t>8/10</t>
        </is>
      </c>
      <c r="O101" t="inlineStr">
        <is>
          <t>11% | 38% | 29% | 19% | 3%</t>
        </is>
      </c>
      <c r="P101" t="inlineStr">
        <is>
          <t>22.3</t>
        </is>
      </c>
    </row>
    <row r="102">
      <c r="A102" t="inlineStr">
        <is>
          <t>Mirage</t>
        </is>
      </c>
      <c r="B102" t="inlineStr">
        <is>
          <t>25%</t>
        </is>
      </c>
      <c r="C102" t="n">
        <v>11</v>
      </c>
      <c r="D102" t="inlineStr">
        <is>
          <t>8-3</t>
        </is>
      </c>
      <c r="E102" t="inlineStr">
        <is>
          <t>+2.5</t>
        </is>
      </c>
      <c r="F102" t="inlineStr">
        <is>
          <t>59.1%</t>
        </is>
      </c>
      <c r="G102" t="inlineStr">
        <is>
          <t>52.7%</t>
        </is>
      </c>
      <c r="H102" t="inlineStr">
        <is>
          <t>9/22</t>
        </is>
      </c>
      <c r="I102" t="n">
        <v>8</v>
      </c>
      <c r="J102" t="inlineStr">
        <is>
          <t>5-3</t>
        </is>
      </c>
      <c r="K102" t="inlineStr">
        <is>
          <t>+1.2</t>
        </is>
      </c>
      <c r="L102" t="inlineStr">
        <is>
          <t>54.2%</t>
        </is>
      </c>
      <c r="M102" t="inlineStr">
        <is>
          <t>52.2%</t>
        </is>
      </c>
      <c r="N102" t="inlineStr">
        <is>
          <t>8/16</t>
        </is>
      </c>
      <c r="O102" t="inlineStr">
        <is>
          <t>7% | 32% | 30% | 25% | 5%</t>
        </is>
      </c>
      <c r="P102" t="inlineStr">
        <is>
          <t>22.5</t>
        </is>
      </c>
    </row>
    <row r="103">
      <c r="A103" t="inlineStr">
        <is>
          <t>Inferno</t>
        </is>
      </c>
      <c r="B103" t="inlineStr">
        <is>
          <t>21%</t>
        </is>
      </c>
      <c r="C103" t="n">
        <v>6</v>
      </c>
      <c r="D103" t="inlineStr">
        <is>
          <t>4-2</t>
        </is>
      </c>
      <c r="E103" t="inlineStr">
        <is>
          <t>+3.8</t>
        </is>
      </c>
      <c r="F103" t="inlineStr">
        <is>
          <t>72.7%</t>
        </is>
      </c>
      <c r="G103" t="inlineStr">
        <is>
          <t>44.1%</t>
        </is>
      </c>
      <c r="H103" t="inlineStr">
        <is>
          <t>7/12</t>
        </is>
      </c>
      <c r="I103" t="n">
        <v>10</v>
      </c>
      <c r="J103" t="inlineStr">
        <is>
          <t>5-5</t>
        </is>
      </c>
      <c r="K103" t="inlineStr">
        <is>
          <t>+0.2</t>
        </is>
      </c>
      <c r="L103" t="inlineStr">
        <is>
          <t>57.0%</t>
        </is>
      </c>
      <c r="M103" t="inlineStr">
        <is>
          <t>45.3%</t>
        </is>
      </c>
      <c r="N103" t="inlineStr">
        <is>
          <t>11/20</t>
        </is>
      </c>
      <c r="O103" t="inlineStr">
        <is>
          <t>9% | 34% | 30% | 23% | 5%</t>
        </is>
      </c>
      <c r="P103" t="inlineStr">
        <is>
          <t>22.4</t>
        </is>
      </c>
    </row>
    <row r="104">
      <c r="A104" t="inlineStr">
        <is>
          <t>Ancient</t>
        </is>
      </c>
      <c r="B104" t="inlineStr"/>
      <c r="C104" t="n">
        <v>0</v>
      </c>
      <c r="D104" t="inlineStr"/>
      <c r="E104" t="inlineStr"/>
      <c r="F104" t="inlineStr"/>
      <c r="G104" t="inlineStr"/>
      <c r="H104" t="inlineStr"/>
      <c r="I104" t="n">
        <v>6</v>
      </c>
      <c r="J104" t="inlineStr">
        <is>
          <t>5-1</t>
        </is>
      </c>
      <c r="K104" t="inlineStr">
        <is>
          <t>+3.8</t>
        </is>
      </c>
      <c r="L104" t="inlineStr">
        <is>
          <t>61.1%</t>
        </is>
      </c>
      <c r="M104" t="inlineStr">
        <is>
          <t>56.9%</t>
        </is>
      </c>
      <c r="N104" t="inlineStr">
        <is>
          <t>6/12</t>
        </is>
      </c>
      <c r="O104" t="inlineStr">
        <is>
          <t>4% | 22% | 30% | 36% | 9%</t>
        </is>
      </c>
      <c r="P104" t="inlineStr">
        <is>
          <t>22.4</t>
        </is>
      </c>
    </row>
    <row r="105">
      <c r="A105" t="inlineStr">
        <is>
          <t>Anubis</t>
        </is>
      </c>
      <c r="B105" t="inlineStr"/>
      <c r="C105" t="n">
        <v>9</v>
      </c>
      <c r="D105" t="inlineStr">
        <is>
          <t>4-5</t>
        </is>
      </c>
      <c r="E105" t="inlineStr">
        <is>
          <t>+0.6</t>
        </is>
      </c>
      <c r="F105" t="inlineStr">
        <is>
          <t>54.6%</t>
        </is>
      </c>
      <c r="G105" t="inlineStr">
        <is>
          <t>46.7%</t>
        </is>
      </c>
      <c r="H105" t="inlineStr">
        <is>
          <t>9/18</t>
        </is>
      </c>
      <c r="I105" t="n">
        <v>0</v>
      </c>
      <c r="J105" t="inlineStr"/>
      <c r="K105" t="inlineStr"/>
      <c r="L105" t="inlineStr"/>
      <c r="M105" t="inlineStr"/>
      <c r="N105" t="inlineStr"/>
      <c r="O105" t="inlineStr">
        <is>
          <t>6% | 29% | 30% | 28% | 6%</t>
        </is>
      </c>
      <c r="P105" t="inlineStr">
        <is>
          <t>22.5</t>
        </is>
      </c>
    </row>
    <row r="106">
      <c r="A106" t="inlineStr">
        <is>
          <t>Cache</t>
        </is>
      </c>
      <c r="B106" t="inlineStr"/>
      <c r="C106" t="n">
        <v>9</v>
      </c>
      <c r="D106" t="inlineStr">
        <is>
          <t>8-1</t>
        </is>
      </c>
      <c r="E106" t="inlineStr">
        <is>
          <t>+4.7</t>
        </is>
      </c>
      <c r="F106" t="inlineStr">
        <is>
          <t>65.6%</t>
        </is>
      </c>
      <c r="G106" t="inlineStr">
        <is>
          <t>56.6%</t>
        </is>
      </c>
      <c r="H106" t="inlineStr">
        <is>
          <t>9/18</t>
        </is>
      </c>
      <c r="I106" t="n">
        <v>2</v>
      </c>
      <c r="J106" t="inlineStr">
        <is>
          <t>0-2</t>
        </is>
      </c>
      <c r="K106" t="inlineStr">
        <is>
          <t>-7.0</t>
        </is>
      </c>
      <c r="L106" t="inlineStr">
        <is>
          <t>29.2%</t>
        </is>
      </c>
      <c r="M106" t="inlineStr">
        <is>
          <t>35.7%</t>
        </is>
      </c>
      <c r="N106" t="inlineStr">
        <is>
          <t>1/4</t>
        </is>
      </c>
      <c r="O106" t="inlineStr">
        <is>
          <t>15% | 44% | 26% | 14% | 2%</t>
        </is>
      </c>
      <c r="P106" t="inlineStr">
        <is>
          <t>21.9</t>
        </is>
      </c>
    </row>
    <row r="107">
      <c r="A107" t="inlineStr">
        <is>
          <t>Nuke</t>
        </is>
      </c>
      <c r="B107" t="inlineStr"/>
      <c r="C107" t="n">
        <v>7</v>
      </c>
      <c r="D107" t="inlineStr">
        <is>
          <t>4-3</t>
        </is>
      </c>
      <c r="E107" t="inlineStr">
        <is>
          <t>+0.0</t>
        </is>
      </c>
      <c r="F107" t="inlineStr">
        <is>
          <t>62.2%</t>
        </is>
      </c>
      <c r="G107" t="inlineStr">
        <is>
          <t>38.8%</t>
        </is>
      </c>
      <c r="H107" t="inlineStr">
        <is>
          <t>9/14</t>
        </is>
      </c>
      <c r="I107" t="n">
        <v>4</v>
      </c>
      <c r="J107" t="inlineStr">
        <is>
          <t>2-2</t>
        </is>
      </c>
      <c r="K107" t="inlineStr">
        <is>
          <t>+2.0</t>
        </is>
      </c>
      <c r="L107" t="inlineStr">
        <is>
          <t>67.3%</t>
        </is>
      </c>
      <c r="M107" t="inlineStr">
        <is>
          <t>39.0%</t>
        </is>
      </c>
      <c r="N107" t="inlineStr">
        <is>
          <t>7/8</t>
        </is>
      </c>
      <c r="O107" t="inlineStr">
        <is>
          <t>6% | 27% | 31% | 30% | 7%</t>
        </is>
      </c>
      <c r="P107" t="inlineStr">
        <is>
          <t>22.5</t>
        </is>
      </c>
    </row>
    <row r="109">
      <c r="A109" s="5" t="inlineStr">
        <is>
          <t>CS2 [NO MARKET] · ACE vs INOX   |   11:00 UTC   |   Bo3</t>
        </is>
      </c>
    </row>
    <row r="110">
      <c r="A110" t="inlineStr">
        <is>
          <t>No HLTV intel captured for this match.</t>
        </is>
      </c>
    </row>
    <row r="112">
      <c r="A112" s="5" t="inlineStr">
        <is>
          <t>CS2 [NO MARKET] · BAKS vs MZP   |   12:00 UTC   |   Bo3</t>
        </is>
      </c>
    </row>
    <row r="113">
      <c r="A113" s="3" t="inlineStr"/>
      <c r="B113" s="3" t="inlineStr">
        <is>
          <t>BAKS (BAKS)</t>
        </is>
      </c>
      <c r="C113" s="3" t="inlineStr">
        <is>
          <t>MZP (MZP)</t>
        </is>
      </c>
    </row>
    <row r="114">
      <c r="A114" s="3" t="inlineStr">
        <is>
          <t>Rank</t>
        </is>
      </c>
      <c r="B114" s="4" t="inlineStr">
        <is>
          <t>HLTV: #99 · VRS: #97</t>
        </is>
      </c>
      <c r="C114" s="4" t="inlineStr">
        <is>
          <t>HLTV: #59 · VRS: #67</t>
        </is>
      </c>
    </row>
    <row r="115">
      <c r="A115" s="3" t="inlineStr">
        <is>
          <t>Last 10 maps (newest first)</t>
        </is>
      </c>
      <c r="B115" s="4" t="inlineStr">
        <is>
          <t>5-5   W W L L L W W W L L</t>
        </is>
      </c>
      <c r="C115" s="4" t="inlineStr">
        <is>
          <t>5-5   L L W W W W W L L L</t>
        </is>
      </c>
    </row>
    <row r="116">
      <c r="A116" s="3" t="inlineStr">
        <is>
          <t>Last 10 maps, avg margin</t>
        </is>
      </c>
      <c r="B116" s="4" t="inlineStr">
        <is>
          <t>+0.2</t>
        </is>
      </c>
      <c r="C116" s="4" t="inlineStr">
        <is>
          <t>+1.0</t>
        </is>
      </c>
    </row>
    <row r="117">
      <c r="A117" s="3" t="inlineStr">
        <is>
          <t>3 months: maps W-L</t>
        </is>
      </c>
      <c r="B117" s="4" t="inlineStr">
        <is>
          <t>50-45 (53%)</t>
        </is>
      </c>
      <c r="C117" s="4" t="inlineStr">
        <is>
          <t>47-31 (60%)</t>
        </is>
      </c>
    </row>
    <row r="118">
      <c r="A118" s="3" t="inlineStr">
        <is>
          <t>Avg margin in wins / losses</t>
        </is>
      </c>
      <c r="B118" s="4" t="inlineStr">
        <is>
          <t>+5.4 / -5.5</t>
        </is>
      </c>
      <c r="C118" s="4" t="inlineStr">
        <is>
          <t>+5.0 / -4.8</t>
        </is>
      </c>
    </row>
    <row r="119">
      <c r="A119" s="3" t="inlineStr">
        <is>
          <t>Stomps for / against (8+)</t>
        </is>
      </c>
      <c r="B119" s="4" t="inlineStr">
        <is>
          <t>11 / 11</t>
        </is>
      </c>
      <c r="C119" s="4" t="inlineStr">
        <is>
          <t>8 / 3</t>
        </is>
      </c>
    </row>
    <row r="120">
      <c r="A120" s="3" t="inlineStr">
        <is>
          <t>Pistols (3 months)</t>
        </is>
      </c>
      <c r="B120" s="4" t="inlineStr">
        <is>
          <t>50.0% (95-95) · R2 conv 81.1% · R2 break 12.8%</t>
        </is>
      </c>
      <c r="C120" s="4" t="inlineStr">
        <is>
          <t>55.8% (87-69) · R2 conv 83.9% · R2 break 26.1%</t>
        </is>
      </c>
    </row>
    <row r="121" ht="105" customHeight="1">
      <c r="A121" s="3" t="inlineStr">
        <is>
          <t>Kill share (last 6 series, all maps)</t>
        </is>
      </c>
      <c r="B121" s="4" t="inlineStr">
        <is>
          <t>5 series · 14 maps · team 73.4 kills/map
Norwi 24.9% (18.3/map)
danistzz 21.9% (16.1/map)
whisper 18.1% (13.3/map)
turbo 17.5% (12.9/map)
glowiing 13.0% (12.2/map)
xdENiSZERA 4.6% (15.7/map) (sub)</t>
        </is>
      </c>
      <c r="C121" s="4" t="inlineStr">
        <is>
          <t>6 series · 13 maps · team 76.7 kills/map
Plopski 22.2% (17.0/map)
F1KU 21.3% (16.3/map)
MaiL09 20.2% (15.5/map)
forsyy 19.9% (15.2/map)
stanislaw 16.5% (12.7/map)</t>
        </is>
      </c>
    </row>
    <row r="122">
      <c r="A122" s="3" t="inlineStr">
        <is>
          <t>Last 5 series</t>
        </is>
      </c>
      <c r="B122" s="4" t="inlineStr">
        <is>
          <t>2 - 1  BAKS vs Illyrians
1 - 2  BAKS vs BRUTE
2 - 0  BAKS vs Azuolas
1 - 2  BAKS vs LFO 10
1 - 0  BAKS vs mellren</t>
        </is>
      </c>
      <c r="C122" s="4" t="inlineStr">
        <is>
          <t>1 - 2  Metizport vs Sangal
2 - 0  Metizport vs GenOne
2 - 0  Metizport vs ex-RUSTEC
6 - 13  Metizport vs Younglings
1 - 2  Metizport vs K27</t>
        </is>
      </c>
    </row>
    <row r="123" ht="150" customHeight="1">
      <c r="A123" s="3" t="inlineStr">
        <is>
          <t>Recent vetoes (last 5)</t>
        </is>
      </c>
      <c r="B123" s="4" t="inlineStr">
        <is>
          <t>First ban: Anubis×4   First pick: Cache×4
24th of Octo  BAKS vs Illyrians:  us ban Anubis · opp ban Nuke · us pick Cache · opp pick Dust2 · us ban Inferno · opp ban Mirage · left Ancient
23rd of Octo  BAKS vs BRUTE:  us ban Anubis · opp ban Ancient · us pick Cache · opp pick Inferno · us ban Dust2 · opp ban Mirage · left Nuke
22nd of Octo  BAKS vs Azuolas:  us ban Anubis · opp ban Dust2 · us pick Cache · opp pick Nuke · us ban Inferno · opp ban Ancient · left Mirage
21st of Octo  BAKS vs LFO 10:  opp ban Nuke · us ban Anubis · opp pick Mirage · us pick Cache · opp ban Dust2 · us ban Inferno · left Ancient</t>
        </is>
      </c>
      <c r="C123" s="4" t="inlineStr">
        <is>
          <t>First ban: Dust2×5   First pick: Nuke×4
22nd of Octo  Metizport vs Sangal:  opp ban Inferno · us ban Dust2 · opp pick Cache · us pick Nuke · us ban Anubis · opp ban Ancient · left Mirage
21st of Octo  Metizport vs GenOne:  opp ban Mirage · us ban Dust2 · opp pick Cache · us pick Nuke · us ban Anubis · opp ban Ancient · left Inferno
20th of Octo  Metizport vs ex-RUSTEC:  opp ban Inferno · us ban Dust2 · opp pick Anubis · us pick Nuke · us ban Mirage · opp ban Cache · left Ancient
13th of Octo  Metizport vs Younglings:  opp ban Nuke · opp ban Cache · us ban Dust2 · us ban Mirage · us ban Ancient · opp ban Inferno · left Anubis
7th of Octob  Metizport vs K27:  us ban Dust2 · opp ban Inferno · us pick Nuke · opp pick Mirage · opp ban Ancient · us ban Anubis · left Cache</t>
        </is>
      </c>
    </row>
    <row r="124">
      <c r="A124" s="6" t="inlineStr">
        <is>
          <t>Map</t>
        </is>
      </c>
      <c r="B124" s="6" t="inlineStr">
        <is>
          <t>PF pick %</t>
        </is>
      </c>
      <c r="C124" s="6" t="inlineStr">
        <is>
          <t>A maps</t>
        </is>
      </c>
      <c r="D124" s="6" t="inlineStr">
        <is>
          <t>A W-L</t>
        </is>
      </c>
      <c r="E124" s="6" t="inlineStr">
        <is>
          <t>A avg ±</t>
        </is>
      </c>
      <c r="F124" s="6" t="inlineStr">
        <is>
          <t>A CT %</t>
        </is>
      </c>
      <c r="G124" s="6" t="inlineStr">
        <is>
          <t>A T %</t>
        </is>
      </c>
      <c r="H124" s="6" t="inlineStr">
        <is>
          <t>A pistol</t>
        </is>
      </c>
      <c r="I124" s="6" t="inlineStr">
        <is>
          <t>B maps</t>
        </is>
      </c>
      <c r="J124" s="6" t="inlineStr">
        <is>
          <t>B W-L</t>
        </is>
      </c>
      <c r="K124" s="6" t="inlineStr">
        <is>
          <t>B avg ±</t>
        </is>
      </c>
      <c r="L124" s="6" t="inlineStr">
        <is>
          <t>B CT %</t>
        </is>
      </c>
      <c r="M124" s="6" t="inlineStr">
        <is>
          <t>B T %</t>
        </is>
      </c>
      <c r="N124" s="6" t="inlineStr">
        <is>
          <t>B pistol</t>
        </is>
      </c>
      <c r="O124" s="6" t="inlineStr">
        <is>
          <t>A 8+ | A 3-7 | close/OT | B 3-7 | B 8+</t>
        </is>
      </c>
      <c r="P124" s="6" t="inlineStr">
        <is>
          <t>E rounds</t>
        </is>
      </c>
    </row>
    <row r="125">
      <c r="A125" t="inlineStr">
        <is>
          <t>Cache</t>
        </is>
      </c>
      <c r="B125" t="inlineStr">
        <is>
          <t>29%</t>
        </is>
      </c>
      <c r="C125" t="n">
        <v>32</v>
      </c>
      <c r="D125" t="inlineStr">
        <is>
          <t>20-12</t>
        </is>
      </c>
      <c r="E125" t="inlineStr">
        <is>
          <t>+1.6</t>
        </is>
      </c>
      <c r="F125" t="inlineStr">
        <is>
          <t>55.7%</t>
        </is>
      </c>
      <c r="G125" t="inlineStr">
        <is>
          <t>52.2%</t>
        </is>
      </c>
      <c r="H125" t="inlineStr">
        <is>
          <t>30/64</t>
        </is>
      </c>
      <c r="I125" t="n">
        <v>9</v>
      </c>
      <c r="J125" t="inlineStr">
        <is>
          <t>5-4</t>
        </is>
      </c>
      <c r="K125" t="inlineStr">
        <is>
          <t>+0.4</t>
        </is>
      </c>
      <c r="L125" t="inlineStr">
        <is>
          <t>59.1%</t>
        </is>
      </c>
      <c r="M125" t="inlineStr">
        <is>
          <t>41.3%</t>
        </is>
      </c>
      <c r="N125" t="inlineStr">
        <is>
          <t>9/18</t>
        </is>
      </c>
      <c r="O125" t="inlineStr">
        <is>
          <t>9% | 34% | 30% | 23% | 4%</t>
        </is>
      </c>
      <c r="P125" t="inlineStr">
        <is>
          <t>22.4</t>
        </is>
      </c>
    </row>
    <row r="126">
      <c r="A126" t="inlineStr">
        <is>
          <t>Nuke</t>
        </is>
      </c>
      <c r="B126" t="inlineStr">
        <is>
          <t>26%</t>
        </is>
      </c>
      <c r="C126" t="n">
        <v>15</v>
      </c>
      <c r="D126" t="inlineStr">
        <is>
          <t>6-9</t>
        </is>
      </c>
      <c r="E126" t="inlineStr">
        <is>
          <t>-0.9</t>
        </is>
      </c>
      <c r="F126" t="inlineStr">
        <is>
          <t>57.4%</t>
        </is>
      </c>
      <c r="G126" t="inlineStr">
        <is>
          <t>37.4%</t>
        </is>
      </c>
      <c r="H126" t="inlineStr">
        <is>
          <t>17/30</t>
        </is>
      </c>
      <c r="I126" t="n">
        <v>22</v>
      </c>
      <c r="J126" t="inlineStr">
        <is>
          <t>13-9</t>
        </is>
      </c>
      <c r="K126" t="inlineStr">
        <is>
          <t>+1.0</t>
        </is>
      </c>
      <c r="L126" t="inlineStr">
        <is>
          <t>52.7%</t>
        </is>
      </c>
      <c r="M126" t="inlineStr">
        <is>
          <t>51.8%</t>
        </is>
      </c>
      <c r="N126" t="inlineStr">
        <is>
          <t>25/44</t>
        </is>
      </c>
      <c r="O126" t="inlineStr">
        <is>
          <t>4% | 22% | 30% | 35% | 9%</t>
        </is>
      </c>
      <c r="P126" t="inlineStr">
        <is>
          <t>22.4</t>
        </is>
      </c>
    </row>
    <row r="127">
      <c r="A127" t="inlineStr">
        <is>
          <t>Mirage</t>
        </is>
      </c>
      <c r="B127" t="inlineStr">
        <is>
          <t>17%</t>
        </is>
      </c>
      <c r="C127" t="n">
        <v>10</v>
      </c>
      <c r="D127" t="inlineStr">
        <is>
          <t>8-2</t>
        </is>
      </c>
      <c r="E127" t="inlineStr">
        <is>
          <t>+3.6</t>
        </is>
      </c>
      <c r="F127" t="inlineStr">
        <is>
          <t>65.8%</t>
        </is>
      </c>
      <c r="G127" t="inlineStr">
        <is>
          <t>50.0%</t>
        </is>
      </c>
      <c r="H127" t="inlineStr">
        <is>
          <t>14/20</t>
        </is>
      </c>
      <c r="I127" t="n">
        <v>14</v>
      </c>
      <c r="J127" t="inlineStr">
        <is>
          <t>8-6</t>
        </is>
      </c>
      <c r="K127" t="inlineStr">
        <is>
          <t>+0.5</t>
        </is>
      </c>
      <c r="L127" t="inlineStr">
        <is>
          <t>56.4%</t>
        </is>
      </c>
      <c r="M127" t="inlineStr">
        <is>
          <t>46.0%</t>
        </is>
      </c>
      <c r="N127" t="inlineStr">
        <is>
          <t>20/28</t>
        </is>
      </c>
      <c r="O127" t="inlineStr">
        <is>
          <t>9% | 35% | 30% | 22% | 4%</t>
        </is>
      </c>
      <c r="P127" t="inlineStr">
        <is>
          <t>22.4</t>
        </is>
      </c>
    </row>
    <row r="128">
      <c r="A128" t="inlineStr">
        <is>
          <t>Ancient</t>
        </is>
      </c>
      <c r="B128" t="inlineStr"/>
      <c r="C128" t="n">
        <v>8</v>
      </c>
      <c r="D128" t="inlineStr">
        <is>
          <t>6-2</t>
        </is>
      </c>
      <c r="E128" t="inlineStr">
        <is>
          <t>+1.9</t>
        </is>
      </c>
      <c r="F128" t="inlineStr">
        <is>
          <t>54.2%</t>
        </is>
      </c>
      <c r="G128" t="inlineStr">
        <is>
          <t>53.5%</t>
        </is>
      </c>
      <c r="H128" t="inlineStr">
        <is>
          <t>7/16</t>
        </is>
      </c>
      <c r="I128" t="n">
        <v>9</v>
      </c>
      <c r="J128" t="inlineStr">
        <is>
          <t>6-3</t>
        </is>
      </c>
      <c r="K128" t="inlineStr">
        <is>
          <t>+3.0</t>
        </is>
      </c>
      <c r="L128" t="inlineStr">
        <is>
          <t>64.7%</t>
        </is>
      </c>
      <c r="M128" t="inlineStr">
        <is>
          <t>48.2%</t>
        </is>
      </c>
      <c r="N128" t="inlineStr">
        <is>
          <t>14/18</t>
        </is>
      </c>
      <c r="O128" t="inlineStr">
        <is>
          <t>5% | 26% | 30% | 31% | 7%</t>
        </is>
      </c>
      <c r="P128" t="inlineStr">
        <is>
          <t>22.5</t>
        </is>
      </c>
    </row>
    <row r="129">
      <c r="A129" t="inlineStr">
        <is>
          <t>Anubis</t>
        </is>
      </c>
      <c r="B129" t="inlineStr"/>
      <c r="C129" t="n">
        <v>0</v>
      </c>
      <c r="D129" t="inlineStr"/>
      <c r="E129" t="inlineStr"/>
      <c r="F129" t="inlineStr"/>
      <c r="G129" t="inlineStr"/>
      <c r="H129" t="inlineStr"/>
      <c r="I129" t="n">
        <v>10</v>
      </c>
      <c r="J129" t="inlineStr">
        <is>
          <t>6-4</t>
        </is>
      </c>
      <c r="K129" t="inlineStr">
        <is>
          <t>+0.9</t>
        </is>
      </c>
      <c r="L129" t="inlineStr">
        <is>
          <t>50.9%</t>
        </is>
      </c>
      <c r="M129" t="inlineStr">
        <is>
          <t>53.3%</t>
        </is>
      </c>
      <c r="N129" t="inlineStr">
        <is>
          <t>7/20</t>
        </is>
      </c>
      <c r="O129" t="inlineStr">
        <is>
          <t>5% | 26% | 30% | 31% | 7%</t>
        </is>
      </c>
      <c r="P129" t="inlineStr">
        <is>
          <t>22.5</t>
        </is>
      </c>
    </row>
    <row r="130">
      <c r="A130" t="inlineStr">
        <is>
          <t>Dust2</t>
        </is>
      </c>
      <c r="B130" t="inlineStr"/>
      <c r="C130" t="n">
        <v>20</v>
      </c>
      <c r="D130" t="inlineStr">
        <is>
          <t>8-12</t>
        </is>
      </c>
      <c r="E130" t="inlineStr">
        <is>
          <t>-1.1</t>
        </is>
      </c>
      <c r="F130" t="inlineStr">
        <is>
          <t>45.1%</t>
        </is>
      </c>
      <c r="G130" t="inlineStr">
        <is>
          <t>50.6%</t>
        </is>
      </c>
      <c r="H130" t="inlineStr">
        <is>
          <t>19/40</t>
        </is>
      </c>
      <c r="I130" t="n">
        <v>0</v>
      </c>
      <c r="J130" t="inlineStr"/>
      <c r="K130" t="inlineStr"/>
      <c r="L130" t="inlineStr"/>
      <c r="M130" t="inlineStr"/>
      <c r="N130" t="inlineStr"/>
      <c r="O130" t="inlineStr">
        <is>
          <t>5% | 26% | 30% | 32% | 7%</t>
        </is>
      </c>
      <c r="P130" t="inlineStr">
        <is>
          <t>22.5</t>
        </is>
      </c>
    </row>
    <row r="131">
      <c r="A131" t="inlineStr">
        <is>
          <t>Inferno</t>
        </is>
      </c>
      <c r="B131" t="inlineStr"/>
      <c r="C131" t="n">
        <v>10</v>
      </c>
      <c r="D131" t="inlineStr">
        <is>
          <t>2-8</t>
        </is>
      </c>
      <c r="E131" t="inlineStr">
        <is>
          <t>-4.1</t>
        </is>
      </c>
      <c r="F131" t="inlineStr">
        <is>
          <t>39.3%</t>
        </is>
      </c>
      <c r="G131" t="inlineStr">
        <is>
          <t>41.0%</t>
        </is>
      </c>
      <c r="H131" t="inlineStr">
        <is>
          <t>8/20</t>
        </is>
      </c>
      <c r="I131" t="n">
        <v>14</v>
      </c>
      <c r="J131" t="inlineStr">
        <is>
          <t>9-5</t>
        </is>
      </c>
      <c r="K131" t="inlineStr">
        <is>
          <t>+1.4</t>
        </is>
      </c>
      <c r="L131" t="inlineStr">
        <is>
          <t>55.9%</t>
        </is>
      </c>
      <c r="M131" t="inlineStr">
        <is>
          <t>50.6%</t>
        </is>
      </c>
      <c r="N131" t="inlineStr">
        <is>
          <t>12/28</t>
        </is>
      </c>
      <c r="O131" t="inlineStr">
        <is>
          <t>2% | 16% | 27% | 42% | 13%</t>
        </is>
      </c>
      <c r="P131" t="inlineStr">
        <is>
          <t>22.1</t>
        </is>
      </c>
    </row>
    <row r="133">
      <c r="A133" s="5" t="inlineStr">
        <is>
          <t>CS2 · AUR vs G2   |   14:00 UTC   |   Bo3   |   Win: AUR 58% – G2 42%   |   2-0 31% · 2-1 28% · 1-2 22% · 0-2 19%</t>
        </is>
      </c>
    </row>
    <row r="134">
      <c r="A134" s="3" t="inlineStr"/>
      <c r="B134" s="3" t="inlineStr">
        <is>
          <t>Aurora (AUR)</t>
        </is>
      </c>
      <c r="C134" s="3" t="inlineStr">
        <is>
          <t>G2 (G2)</t>
        </is>
      </c>
    </row>
    <row r="135">
      <c r="A135" s="3" t="inlineStr">
        <is>
          <t>Rank</t>
        </is>
      </c>
      <c r="B135" s="4" t="inlineStr">
        <is>
          <t>HLTV: #5 · VRS: #5</t>
        </is>
      </c>
      <c r="C135" s="4" t="inlineStr">
        <is>
          <t>HLTV: #8 · VRS: #9</t>
        </is>
      </c>
    </row>
    <row r="136">
      <c r="A136" s="3" t="inlineStr">
        <is>
          <t>Last 10 maps (newest first)</t>
        </is>
      </c>
      <c r="B136" s="4" t="inlineStr">
        <is>
          <t>5-5   L L W W W L L L W W</t>
        </is>
      </c>
      <c r="C136" s="4" t="inlineStr">
        <is>
          <t>4-6   L L L W L W W L W L</t>
        </is>
      </c>
    </row>
    <row r="137">
      <c r="A137" s="3" t="inlineStr">
        <is>
          <t>Last 10 maps, avg margin</t>
        </is>
      </c>
      <c r="B137" s="4" t="inlineStr">
        <is>
          <t>-0.7</t>
        </is>
      </c>
      <c r="C137" s="4" t="inlineStr">
        <is>
          <t>+0.7</t>
        </is>
      </c>
    </row>
    <row r="138">
      <c r="A138" s="3" t="inlineStr">
        <is>
          <t>3 months: maps W-L</t>
        </is>
      </c>
      <c r="B138" s="4" t="inlineStr">
        <is>
          <t>39-25 (61%)</t>
        </is>
      </c>
      <c r="C138" s="4" t="inlineStr">
        <is>
          <t>27-27 (50%)</t>
        </is>
      </c>
    </row>
    <row r="139">
      <c r="A139" s="3" t="inlineStr">
        <is>
          <t>Avg margin in wins / losses</t>
        </is>
      </c>
      <c r="B139" s="4" t="inlineStr">
        <is>
          <t>+5.2 / -5.7</t>
        </is>
      </c>
      <c r="C139" s="4" t="inlineStr">
        <is>
          <t>+6.0 / -5.5</t>
        </is>
      </c>
    </row>
    <row r="140">
      <c r="A140" s="3" t="inlineStr">
        <is>
          <t>Stomps for / against (8+)</t>
        </is>
      </c>
      <c r="B140" s="4" t="inlineStr">
        <is>
          <t>7 / 7</t>
        </is>
      </c>
      <c r="C140" s="4" t="inlineStr">
        <is>
          <t>8 / 6</t>
        </is>
      </c>
    </row>
    <row r="141">
      <c r="A141" s="3" t="inlineStr">
        <is>
          <t>Pistols (3 months)</t>
        </is>
      </c>
      <c r="B141" s="4" t="inlineStr">
        <is>
          <t>not captured</t>
        </is>
      </c>
      <c r="C141" s="4" t="inlineStr">
        <is>
          <t>not captured</t>
        </is>
      </c>
    </row>
    <row r="142" ht="105" customHeight="1">
      <c r="A142" s="3" t="inlineStr">
        <is>
          <t>Kill share (last 6 series, all maps)</t>
        </is>
      </c>
      <c r="B142" s="4" t="inlineStr">
        <is>
          <t>6 series · 15 maps · team 71.5 kills/map
Wicadia 23.8% (17.0/map)
woxic 21.1% (15.1/map)
Jimpphat 21.1% (15.1/map)
XANTARES 18.2% (13.0/map)
kyxsan 15.9% (11.3/map)</t>
        </is>
      </c>
      <c r="C142" s="4" t="inlineStr">
        <is>
          <t>6 series · 14 maps · team 75.6 kills/map
NertZ 21.6% (16.4/map)
huNter- 20.4% (15.4/map)
HeavyGod 20.1% (15.2/map)
MATYS 19.5% (14.7/map)
r1nkle 18.3% (13.9/map)</t>
        </is>
      </c>
    </row>
    <row r="143">
      <c r="A143" s="3" t="inlineStr">
        <is>
          <t>Last 5 series</t>
        </is>
      </c>
      <c r="B143" s="4" t="inlineStr">
        <is>
          <t>1 - 2  Aurora vs The MongolZ
1 - 2  Aurora vs The MongolZ
2 - 1  Aurora vs Falcons
0 - 2  Aurora vs FURIA
2 - 0  Aurora vs 9z</t>
        </is>
      </c>
      <c r="C143" s="4" t="inlineStr">
        <is>
          <t>0 - 2  G2 vs Natus Vincere
0 - 2  G2 vs Natus Vincere
1 - 2  G2 vs PARIVISION
2 - 0  G2 vs ShindeN
1 - 2  G2 vs 1win</t>
        </is>
      </c>
    </row>
    <row r="144" ht="150" customHeight="1">
      <c r="A144" s="3" t="inlineStr">
        <is>
          <t>Recent vetoes (last 5)</t>
        </is>
      </c>
      <c r="B144" s="4" t="inlineStr">
        <is>
          <t>First ban: Ancient×5   First pick: Nuke×2, Anubis×1
24th of Octo  Aurora vs The MongolZ:  opp ban Anubis · us ban Ancient · opp pick Inferno · us pick Nuke · us ban Mirage · opp ban Cache · left Dust2
24th of Octo  Aurora vs The MongolZ:  opp ban Anubis · us ban Ancient · opp pick Inferno · us pick Nuke · us ban Mirage · opp ban Cache · left Dust2
18th of Octo  Aurora vs Falcons:  us ban Ancient · opp ban Cache · us pick Anubis · opp pick Dust2 · us ban Inferno · opp ban Mirage · left Nuke
17th of Octo  Aurora vs FURIA:  us ban Ancient · opp ban Anubis · us pick Dust2 · opp pick Inferno · us ban Cache · opp ban Mirage · left Nuke
16th of Octo  Aurora vs 9z:  us ban Ancient · opp ban Anubis · us pick Cache · opp pick Inferno · us ban Nuke · opp ban Dust2 · left Mirage</t>
        </is>
      </c>
      <c r="C144" s="4" t="inlineStr">
        <is>
          <t>First ban: Cache×3, Dust2×1   First pick: Dust2×2, Ancient×2
24th of Octo  G2 vs Natus Vincere:  opp ban Ancient · us ban Cache · opp pick Nuke · us pick Dust2 · us ban Anubis · opp ban Mirage · left Inferno
24th of Octo  G2 vs Natus Vincere:  opp ban Ancient · us ban Cache · opp pick Nuke · us pick Dust2 · us ban Anubis · opp ban Mirage · left Inferno
6th of Octob  G2 vs PARIVISION:  opp ban Nuke · us ban Dust2 · opp pick Ancient · us pick Anubis · opp ban Mirage · us ban Cache · left Inferno
5th of Octob  G2 vs ShindeN:  opp ban Anubis · us ban Nuke · opp pick Dust2 · us pick Ancient · opp ban Mirage · us ban Cache · left Inferno
4th of Octob  G2 vs 1win:  opp ban Inferno · us ban Cache · opp pick Dust2 · us pick Ancient · opp ban Nuke · us ban Anubis · left Mirage</t>
        </is>
      </c>
    </row>
    <row r="145">
      <c r="A145" s="6" t="inlineStr">
        <is>
          <t>Map</t>
        </is>
      </c>
      <c r="B145" s="6" t="inlineStr">
        <is>
          <t>PF pick %</t>
        </is>
      </c>
      <c r="C145" s="6" t="inlineStr">
        <is>
          <t>A maps</t>
        </is>
      </c>
      <c r="D145" s="6" t="inlineStr">
        <is>
          <t>A W-L</t>
        </is>
      </c>
      <c r="E145" s="6" t="inlineStr">
        <is>
          <t>A avg ±</t>
        </is>
      </c>
      <c r="F145" s="6" t="inlineStr">
        <is>
          <t>A CT %</t>
        </is>
      </c>
      <c r="G145" s="6" t="inlineStr">
        <is>
          <t>A T %</t>
        </is>
      </c>
      <c r="H145" s="6" t="inlineStr">
        <is>
          <t>A pistol</t>
        </is>
      </c>
      <c r="I145" s="6" t="inlineStr">
        <is>
          <t>B maps</t>
        </is>
      </c>
      <c r="J145" s="6" t="inlineStr">
        <is>
          <t>B W-L</t>
        </is>
      </c>
      <c r="K145" s="6" t="inlineStr">
        <is>
          <t>B avg ±</t>
        </is>
      </c>
      <c r="L145" s="6" t="inlineStr">
        <is>
          <t>B CT %</t>
        </is>
      </c>
      <c r="M145" s="6" t="inlineStr">
        <is>
          <t>B T %</t>
        </is>
      </c>
      <c r="N145" s="6" t="inlineStr">
        <is>
          <t>B pistol</t>
        </is>
      </c>
      <c r="O145" s="6" t="inlineStr">
        <is>
          <t>A 8+ | A 3-7 | close/OT | B 3-7 | B 8+</t>
        </is>
      </c>
      <c r="P145" s="6" t="inlineStr">
        <is>
          <t>E rounds</t>
        </is>
      </c>
    </row>
    <row r="146">
      <c r="A146" t="inlineStr">
        <is>
          <t>Inferno</t>
        </is>
      </c>
      <c r="B146" t="inlineStr">
        <is>
          <t>23%</t>
        </is>
      </c>
      <c r="C146" t="n">
        <v>11</v>
      </c>
      <c r="D146" t="inlineStr">
        <is>
          <t>6-5</t>
        </is>
      </c>
      <c r="E146" t="inlineStr">
        <is>
          <t>+1.1</t>
        </is>
      </c>
      <c r="F146" t="inlineStr">
        <is>
          <t>54.7%</t>
        </is>
      </c>
      <c r="G146" t="inlineStr">
        <is>
          <t>49.6%</t>
        </is>
      </c>
      <c r="H146" t="inlineStr">
        <is>
          <t>11/22</t>
        </is>
      </c>
      <c r="I146" t="n">
        <v>11</v>
      </c>
      <c r="J146" t="inlineStr">
        <is>
          <t>7-4</t>
        </is>
      </c>
      <c r="K146" t="inlineStr">
        <is>
          <t>+1.2</t>
        </is>
      </c>
      <c r="L146" t="inlineStr">
        <is>
          <t>49.5%</t>
        </is>
      </c>
      <c r="M146" t="inlineStr">
        <is>
          <t>55.1%</t>
        </is>
      </c>
      <c r="N146" t="inlineStr">
        <is>
          <t>12/22</t>
        </is>
      </c>
      <c r="O146" t="inlineStr">
        <is>
          <t>6% | 29% | 30% | 29% | 6%</t>
        </is>
      </c>
      <c r="P146" t="inlineStr">
        <is>
          <t>22.5</t>
        </is>
      </c>
    </row>
    <row r="147">
      <c r="A147" t="inlineStr">
        <is>
          <t>Mirage</t>
        </is>
      </c>
      <c r="B147" t="inlineStr">
        <is>
          <t>23%</t>
        </is>
      </c>
      <c r="C147" t="n">
        <v>14</v>
      </c>
      <c r="D147" t="inlineStr">
        <is>
          <t>9-5</t>
        </is>
      </c>
      <c r="E147" t="inlineStr">
        <is>
          <t>+0.2</t>
        </is>
      </c>
      <c r="F147" t="inlineStr">
        <is>
          <t>57.1%</t>
        </is>
      </c>
      <c r="G147" t="inlineStr">
        <is>
          <t>42.8%</t>
        </is>
      </c>
      <c r="H147" t="inlineStr">
        <is>
          <t>13/28</t>
        </is>
      </c>
      <c r="I147" t="n">
        <v>8</v>
      </c>
      <c r="J147" t="inlineStr">
        <is>
          <t>4-4</t>
        </is>
      </c>
      <c r="K147" t="inlineStr">
        <is>
          <t>+0.0</t>
        </is>
      </c>
      <c r="L147" t="inlineStr">
        <is>
          <t>44.2%</t>
        </is>
      </c>
      <c r="M147" t="inlineStr">
        <is>
          <t>54.5%</t>
        </is>
      </c>
      <c r="N147" t="inlineStr">
        <is>
          <t>6/16</t>
        </is>
      </c>
      <c r="O147" t="inlineStr">
        <is>
          <t>6% | 29% | 30% | 28% | 6%</t>
        </is>
      </c>
      <c r="P147" t="inlineStr">
        <is>
          <t>22.5</t>
        </is>
      </c>
    </row>
    <row r="148">
      <c r="A148" t="inlineStr">
        <is>
          <t>Dust2</t>
        </is>
      </c>
      <c r="B148" t="inlineStr">
        <is>
          <t>21%</t>
        </is>
      </c>
      <c r="C148" t="n">
        <v>10</v>
      </c>
      <c r="D148" t="inlineStr">
        <is>
          <t>6-4</t>
        </is>
      </c>
      <c r="E148" t="inlineStr">
        <is>
          <t>+1.9</t>
        </is>
      </c>
      <c r="F148" t="inlineStr">
        <is>
          <t>59.4%</t>
        </is>
      </c>
      <c r="G148" t="inlineStr">
        <is>
          <t>49.6%</t>
        </is>
      </c>
      <c r="H148" t="inlineStr">
        <is>
          <t>7/20</t>
        </is>
      </c>
      <c r="I148" t="n">
        <v>10</v>
      </c>
      <c r="J148" t="inlineStr">
        <is>
          <t>3-7</t>
        </is>
      </c>
      <c r="K148" t="inlineStr">
        <is>
          <t>-1.2</t>
        </is>
      </c>
      <c r="L148" t="inlineStr">
        <is>
          <t>42.7%</t>
        </is>
      </c>
      <c r="M148" t="inlineStr">
        <is>
          <t>53.2%</t>
        </is>
      </c>
      <c r="N148" t="inlineStr">
        <is>
          <t>9/20</t>
        </is>
      </c>
      <c r="O148" t="inlineStr">
        <is>
          <t>9% | 36% | 30% | 22% | 4%</t>
        </is>
      </c>
      <c r="P148" t="inlineStr">
        <is>
          <t>22.4</t>
        </is>
      </c>
    </row>
    <row r="149">
      <c r="A149" t="inlineStr">
        <is>
          <t>Ancient</t>
        </is>
      </c>
      <c r="B149" t="inlineStr"/>
      <c r="C149" t="n">
        <v>1</v>
      </c>
      <c r="D149" t="inlineStr">
        <is>
          <t>0-1</t>
        </is>
      </c>
      <c r="E149" t="inlineStr">
        <is>
          <t>-2.0</t>
        </is>
      </c>
      <c r="F149" t="inlineStr">
        <is>
          <t>25.0%</t>
        </is>
      </c>
      <c r="G149" t="inlineStr">
        <is>
          <t>66.7%</t>
        </is>
      </c>
      <c r="H149" t="inlineStr">
        <is>
          <t>1/2</t>
        </is>
      </c>
      <c r="I149" t="n">
        <v>14</v>
      </c>
      <c r="J149" t="inlineStr">
        <is>
          <t>8-6</t>
        </is>
      </c>
      <c r="K149" t="inlineStr">
        <is>
          <t>+1.0</t>
        </is>
      </c>
      <c r="L149" t="inlineStr">
        <is>
          <t>58.0%</t>
        </is>
      </c>
      <c r="M149" t="inlineStr">
        <is>
          <t>46.5%</t>
        </is>
      </c>
      <c r="N149" t="inlineStr">
        <is>
          <t>13/28</t>
        </is>
      </c>
      <c r="O149" t="inlineStr">
        <is>
          <t>5% | 25% | 30% | 32% | 8%</t>
        </is>
      </c>
      <c r="P149" t="inlineStr">
        <is>
          <t>22.5</t>
        </is>
      </c>
    </row>
    <row r="150">
      <c r="A150" t="inlineStr">
        <is>
          <t>Anubis</t>
        </is>
      </c>
      <c r="B150" t="inlineStr"/>
      <c r="C150" t="n">
        <v>12</v>
      </c>
      <c r="D150" t="inlineStr">
        <is>
          <t>8-4</t>
        </is>
      </c>
      <c r="E150" t="inlineStr">
        <is>
          <t>+2.6</t>
        </is>
      </c>
      <c r="F150" t="inlineStr">
        <is>
          <t>64.2%</t>
        </is>
      </c>
      <c r="G150" t="inlineStr">
        <is>
          <t>48.3%</t>
        </is>
      </c>
      <c r="H150" t="inlineStr">
        <is>
          <t>13/24</t>
        </is>
      </c>
      <c r="I150" t="n">
        <v>6</v>
      </c>
      <c r="J150" t="inlineStr">
        <is>
          <t>4-2</t>
        </is>
      </c>
      <c r="K150" t="inlineStr">
        <is>
          <t>+1.3</t>
        </is>
      </c>
      <c r="L150" t="inlineStr">
        <is>
          <t>57.6%</t>
        </is>
      </c>
      <c r="M150" t="inlineStr">
        <is>
          <t>49.3%</t>
        </is>
      </c>
      <c r="N150" t="inlineStr">
        <is>
          <t>6/12</t>
        </is>
      </c>
      <c r="O150" t="inlineStr">
        <is>
          <t>8% | 33% | 30% | 24% | 5%</t>
        </is>
      </c>
      <c r="P150" t="inlineStr">
        <is>
          <t>22.5</t>
        </is>
      </c>
    </row>
    <row r="151">
      <c r="A151" t="inlineStr">
        <is>
          <t>Cache</t>
        </is>
      </c>
      <c r="B151" t="inlineStr"/>
      <c r="C151" t="n">
        <v>8</v>
      </c>
      <c r="D151" t="inlineStr">
        <is>
          <t>5-3</t>
        </is>
      </c>
      <c r="E151" t="inlineStr">
        <is>
          <t>+0.5</t>
        </is>
      </c>
      <c r="F151" t="inlineStr">
        <is>
          <t>50.0%</t>
        </is>
      </c>
      <c r="G151" t="inlineStr">
        <is>
          <t>52.6%</t>
        </is>
      </c>
      <c r="H151" t="inlineStr">
        <is>
          <t>14/16</t>
        </is>
      </c>
      <c r="I151" t="n">
        <v>4</v>
      </c>
      <c r="J151" t="inlineStr">
        <is>
          <t>1-3</t>
        </is>
      </c>
      <c r="K151" t="inlineStr">
        <is>
          <t>-1.8</t>
        </is>
      </c>
      <c r="L151" t="inlineStr">
        <is>
          <t>35.4%</t>
        </is>
      </c>
      <c r="M151" t="inlineStr">
        <is>
          <t>60.6%</t>
        </is>
      </c>
      <c r="N151" t="inlineStr">
        <is>
          <t>4/8</t>
        </is>
      </c>
      <c r="O151" t="inlineStr">
        <is>
          <t>7% | 31% | 30% | 26% | 5%</t>
        </is>
      </c>
      <c r="P151" t="inlineStr">
        <is>
          <t>22.5</t>
        </is>
      </c>
    </row>
    <row r="152">
      <c r="A152" t="inlineStr">
        <is>
          <t>Nuke</t>
        </is>
      </c>
      <c r="B152" t="inlineStr"/>
      <c r="C152" t="n">
        <v>8</v>
      </c>
      <c r="D152" t="inlineStr">
        <is>
          <t>5-3</t>
        </is>
      </c>
      <c r="E152" t="inlineStr">
        <is>
          <t>-1.1</t>
        </is>
      </c>
      <c r="F152" t="inlineStr">
        <is>
          <t>62.1%</t>
        </is>
      </c>
      <c r="G152" t="inlineStr">
        <is>
          <t>37.4%</t>
        </is>
      </c>
      <c r="H152" t="inlineStr">
        <is>
          <t>3/16</t>
        </is>
      </c>
      <c r="I152" t="n">
        <v>1</v>
      </c>
      <c r="J152" t="inlineStr">
        <is>
          <t>0-1</t>
        </is>
      </c>
      <c r="K152" t="inlineStr">
        <is>
          <t>-2.0</t>
        </is>
      </c>
      <c r="L152" t="inlineStr">
        <is>
          <t>50.0%</t>
        </is>
      </c>
      <c r="M152" t="inlineStr">
        <is>
          <t>41.7%</t>
        </is>
      </c>
      <c r="N152" t="inlineStr">
        <is>
          <t>0/2</t>
        </is>
      </c>
      <c r="O152" t="inlineStr">
        <is>
          <t>6% | 29% | 31% | 28% | 6%</t>
        </is>
      </c>
      <c r="P152" t="inlineStr">
        <is>
          <t>22.5</t>
        </is>
      </c>
    </row>
    <row r="154">
      <c r="A154" s="5" t="inlineStr">
        <is>
          <t>CS2 · MOUZ vs 9z   |   14:00 UTC   |   Bo3   |   Win: MOUZ 74% – 9z 26%   |   2-0 43% · 2-1 31% · 1-2 14% · 0-2 12%</t>
        </is>
      </c>
    </row>
    <row r="155">
      <c r="A155" s="3" t="inlineStr"/>
      <c r="B155" s="3" t="inlineStr">
        <is>
          <t>mouz (MOUZ)</t>
        </is>
      </c>
      <c r="C155" s="3" t="inlineStr">
        <is>
          <t>9z Team (9z)</t>
        </is>
      </c>
    </row>
    <row r="156">
      <c r="A156" s="3" t="inlineStr">
        <is>
          <t>Rank</t>
        </is>
      </c>
      <c r="B156" s="4" t="inlineStr">
        <is>
          <t>HLTV: #4 · VRS: #2</t>
        </is>
      </c>
      <c r="C156" s="4" t="inlineStr">
        <is>
          <t>HLTV: #15 · VRS: #16</t>
        </is>
      </c>
    </row>
    <row r="157">
      <c r="A157" s="3" t="inlineStr">
        <is>
          <t>Last 10 maps (newest first)</t>
        </is>
      </c>
      <c r="B157" s="4" t="inlineStr">
        <is>
          <t>4-6   L L W L L L W L W W</t>
        </is>
      </c>
      <c r="C157" s="4" t="inlineStr">
        <is>
          <t>3-7   L L L L L W L W W L</t>
        </is>
      </c>
    </row>
    <row r="158">
      <c r="A158" s="3" t="inlineStr">
        <is>
          <t>Last 10 maps, avg margin</t>
        </is>
      </c>
      <c r="B158" s="4" t="inlineStr">
        <is>
          <t>-1.1</t>
        </is>
      </c>
      <c r="C158" s="4" t="inlineStr">
        <is>
          <t>-1.6</t>
        </is>
      </c>
    </row>
    <row r="159">
      <c r="A159" s="3" t="inlineStr">
        <is>
          <t>3 months: maps W-L</t>
        </is>
      </c>
      <c r="B159" s="4" t="inlineStr">
        <is>
          <t>39-23 (63%)</t>
        </is>
      </c>
      <c r="C159" s="4" t="inlineStr">
        <is>
          <t>13-24 (35%)</t>
        </is>
      </c>
    </row>
    <row r="160">
      <c r="A160" s="3" t="inlineStr">
        <is>
          <t>Avg margin in wins / losses</t>
        </is>
      </c>
      <c r="B160" s="4" t="inlineStr">
        <is>
          <t>+5.3 / -5.0</t>
        </is>
      </c>
      <c r="C160" s="4" t="inlineStr">
        <is>
          <t>+6.1 / -5.8</t>
        </is>
      </c>
    </row>
    <row r="161">
      <c r="A161" s="3" t="inlineStr">
        <is>
          <t>Stomps for / against (8+)</t>
        </is>
      </c>
      <c r="B161" s="4" t="inlineStr">
        <is>
          <t>10 / 3</t>
        </is>
      </c>
      <c r="C161" s="4" t="inlineStr">
        <is>
          <t>5 / 5</t>
        </is>
      </c>
    </row>
    <row r="162">
      <c r="A162" s="3" t="inlineStr">
        <is>
          <t>Pistols (3 months)</t>
        </is>
      </c>
      <c r="B162" s="4" t="inlineStr">
        <is>
          <t>not captured</t>
        </is>
      </c>
      <c r="C162" s="4" t="inlineStr">
        <is>
          <t>not captured</t>
        </is>
      </c>
    </row>
    <row r="163" ht="105" customHeight="1">
      <c r="A163" s="3" t="inlineStr">
        <is>
          <t>Kill share (last 6 series, all maps)</t>
        </is>
      </c>
      <c r="B163" s="4" t="inlineStr">
        <is>
          <t>6 series · 16 maps · team 77.5 kills/map
Spinx 21.0% (16.2/map)
xertioN 20.6% (16.0/map)
torzsi 20.2% (15.7/map)
PR 19.9% (15.4/map)
xelex 18.2% (14.1/map)</t>
        </is>
      </c>
      <c r="C163" s="4" t="inlineStr">
        <is>
          <t>6 series · 13 maps · team 61.8 kills/map
luchov 23.0% (14.2/map)
dgt 22.5% (13.9/map)
HUASOPEEK 21.5% (13.3/map)
meyern 19.9% (12.3/map)
max 13.1% (8.1/map)</t>
        </is>
      </c>
    </row>
    <row r="164">
      <c r="A164" s="3" t="inlineStr">
        <is>
          <t>Last 5 series</t>
        </is>
      </c>
      <c r="B164" s="4" t="inlineStr">
        <is>
          <t>1 - 2  MOUZ vs Liquid
1 - 2  MOUZ vs Liquid
0 - 3  MOUZ vs Vitality
2 - 1  MOUZ vs Spirit
2 - 0  MOUZ vs FURIA</t>
        </is>
      </c>
      <c r="C164" s="4" t="inlineStr">
        <is>
          <t>2 - 0  Vitality vs 9z
0 - 2  9z vs Vitality
0 - 2  9z vs Aurora
1 - 2  9z vs Falcons
2 - 0  9z vs Aurora</t>
        </is>
      </c>
    </row>
    <row r="165" ht="150" customHeight="1">
      <c r="A165" s="3" t="inlineStr">
        <is>
          <t>Recent vetoes (last 5)</t>
        </is>
      </c>
      <c r="B165" s="4" t="inlineStr">
        <is>
          <t>First ban: Anubis×5   First pick: Ancient×2, Inferno×2
24th of Octo  MOUZ vs Liquid:  us ban Anubis · opp ban Dust2 · us pick Ancient · opp pick Inferno · opp ban Nuke · us ban Cache · left Mirage
24th of Octo  MOUZ vs Liquid:  us ban Anubis · opp ban Dust2 · us pick Ancient · opp pick Inferno · opp ban Nuke · us ban Cache · left Mirage
11th of Octo  MOUZ vs Vitality:  opp ban Ancient · us ban Anubis · opp pick Cache · us pick Inferno · opp pick Dust2 · us pick Mirage · left Nuke
10th of Octo  MOUZ vs Spirit:  opp ban Inferno · us ban Anubis · opp pick Dust2 · us pick Mirage · opp ban Cache · us ban Ancient · left Nuke
9th of Octob  MOUZ vs FURIA:  opp ban Mirage · us ban Anubis · opp pick Nuke · us pick Inferno · opp ban Cache · us ban Dust2 · left Ancient</t>
        </is>
      </c>
      <c r="C165" s="4" t="inlineStr">
        <is>
          <t>First ban: Anubis×5   First pick: Mirage×2, Inferno×2
24th of Octo  Vitality vs 9z:  us ban Anubis · opp ban Ancient · us pick Mirage · opp pick Cache · opp ban Nuke · us ban Inferno · left Dust2
24th of Octo  9z vs Vitality:  us ban Anubis · opp ban Ancient · us pick Mirage · opp pick Cache · opp ban Nuke · us ban Inferno · left Dust2
16th of Octo  9z vs Aurora:  opp ban Ancient · us ban Anubis · opp pick Cache · us pick Inferno · opp ban Nuke · us ban Dust2 · left Mirage
15th of Octo  9z vs Falcons:  us ban Anubis · opp ban Cache · us pick Nuke · opp pick Mirage · us ban Inferno · opp ban Ancient · left Dust2
14th of Octo  9z vs Aurora:  us ban Anubis · opp ban Ancient · us pick Inferno · opp pick Nuke · us ban Mirage · opp ban Cache · left Dust2</t>
        </is>
      </c>
    </row>
    <row r="166">
      <c r="A166" s="6" t="inlineStr">
        <is>
          <t>Map</t>
        </is>
      </c>
      <c r="B166" s="6" t="inlineStr">
        <is>
          <t>PF pick %</t>
        </is>
      </c>
      <c r="C166" s="6" t="inlineStr">
        <is>
          <t>A maps</t>
        </is>
      </c>
      <c r="D166" s="6" t="inlineStr">
        <is>
          <t>A W-L</t>
        </is>
      </c>
      <c r="E166" s="6" t="inlineStr">
        <is>
          <t>A avg ±</t>
        </is>
      </c>
      <c r="F166" s="6" t="inlineStr">
        <is>
          <t>A CT %</t>
        </is>
      </c>
      <c r="G166" s="6" t="inlineStr">
        <is>
          <t>A T %</t>
        </is>
      </c>
      <c r="H166" s="6" t="inlineStr">
        <is>
          <t>A pistol</t>
        </is>
      </c>
      <c r="I166" s="6" t="inlineStr">
        <is>
          <t>B maps</t>
        </is>
      </c>
      <c r="J166" s="6" t="inlineStr">
        <is>
          <t>B W-L</t>
        </is>
      </c>
      <c r="K166" s="6" t="inlineStr">
        <is>
          <t>B avg ±</t>
        </is>
      </c>
      <c r="L166" s="6" t="inlineStr">
        <is>
          <t>B CT %</t>
        </is>
      </c>
      <c r="M166" s="6" t="inlineStr">
        <is>
          <t>B T %</t>
        </is>
      </c>
      <c r="N166" s="6" t="inlineStr">
        <is>
          <t>B pistol</t>
        </is>
      </c>
      <c r="O166" s="6" t="inlineStr">
        <is>
          <t>A 8+ | A 3-7 | close/OT | B 3-7 | B 8+</t>
        </is>
      </c>
      <c r="P166" s="6" t="inlineStr">
        <is>
          <t>E rounds</t>
        </is>
      </c>
    </row>
    <row r="167">
      <c r="A167" t="inlineStr">
        <is>
          <t>Mirage</t>
        </is>
      </c>
      <c r="B167" t="inlineStr">
        <is>
          <t>22%</t>
        </is>
      </c>
      <c r="C167" t="n">
        <v>15</v>
      </c>
      <c r="D167" t="inlineStr">
        <is>
          <t>12-3</t>
        </is>
      </c>
      <c r="E167" t="inlineStr">
        <is>
          <t>+3.1</t>
        </is>
      </c>
      <c r="F167" t="inlineStr">
        <is>
          <t>64.9%</t>
        </is>
      </c>
      <c r="G167" t="inlineStr">
        <is>
          <t>50.8%</t>
        </is>
      </c>
      <c r="H167" t="inlineStr">
        <is>
          <t>14/30</t>
        </is>
      </c>
      <c r="I167" t="n">
        <v>7</v>
      </c>
      <c r="J167" t="inlineStr">
        <is>
          <t>4-3</t>
        </is>
      </c>
      <c r="K167" t="inlineStr">
        <is>
          <t>+1.6</t>
        </is>
      </c>
      <c r="L167" t="inlineStr">
        <is>
          <t>60.0%</t>
        </is>
      </c>
      <c r="M167" t="inlineStr">
        <is>
          <t>45.6%</t>
        </is>
      </c>
      <c r="N167" t="inlineStr">
        <is>
          <t>7/14</t>
        </is>
      </c>
      <c r="O167" t="inlineStr">
        <is>
          <t>10% | 36% | 30% | 21% | 4%</t>
        </is>
      </c>
      <c r="P167" t="inlineStr">
        <is>
          <t>22.4</t>
        </is>
      </c>
    </row>
    <row r="168">
      <c r="A168" t="inlineStr">
        <is>
          <t>Dust2</t>
        </is>
      </c>
      <c r="B168" t="inlineStr">
        <is>
          <t>20%</t>
        </is>
      </c>
      <c r="C168" t="n">
        <v>13</v>
      </c>
      <c r="D168" t="inlineStr">
        <is>
          <t>8-5</t>
        </is>
      </c>
      <c r="E168" t="inlineStr">
        <is>
          <t>+1.8</t>
        </is>
      </c>
      <c r="F168" t="inlineStr">
        <is>
          <t>55.5%</t>
        </is>
      </c>
      <c r="G168" t="inlineStr">
        <is>
          <t>52.6%</t>
        </is>
      </c>
      <c r="H168" t="inlineStr">
        <is>
          <t>14/26</t>
        </is>
      </c>
      <c r="I168" t="n">
        <v>7</v>
      </c>
      <c r="J168" t="inlineStr">
        <is>
          <t>3-4</t>
        </is>
      </c>
      <c r="K168" t="inlineStr">
        <is>
          <t>-3.1</t>
        </is>
      </c>
      <c r="L168" t="inlineStr">
        <is>
          <t>37.9%</t>
        </is>
      </c>
      <c r="M168" t="inlineStr">
        <is>
          <t>45.1%</t>
        </is>
      </c>
      <c r="N168" t="inlineStr">
        <is>
          <t>5/14</t>
        </is>
      </c>
      <c r="O168" t="inlineStr">
        <is>
          <t>12% | 40% | 28% | 17% | 3%</t>
        </is>
      </c>
      <c r="P168" t="inlineStr">
        <is>
          <t>22.2</t>
        </is>
      </c>
    </row>
    <row r="169">
      <c r="A169" t="inlineStr">
        <is>
          <t>Nuke</t>
        </is>
      </c>
      <c r="B169" t="inlineStr">
        <is>
          <t>20%</t>
        </is>
      </c>
      <c r="C169" t="n">
        <v>10</v>
      </c>
      <c r="D169" t="inlineStr">
        <is>
          <t>7-3</t>
        </is>
      </c>
      <c r="E169" t="inlineStr">
        <is>
          <t>+0.2</t>
        </is>
      </c>
      <c r="F169" t="inlineStr">
        <is>
          <t>65.0%</t>
        </is>
      </c>
      <c r="G169" t="inlineStr">
        <is>
          <t>36.6%</t>
        </is>
      </c>
      <c r="H169" t="inlineStr">
        <is>
          <t>7/20</t>
        </is>
      </c>
      <c r="I169" t="n">
        <v>10</v>
      </c>
      <c r="J169" t="inlineStr">
        <is>
          <t>3-7</t>
        </is>
      </c>
      <c r="K169" t="inlineStr">
        <is>
          <t>-1.9</t>
        </is>
      </c>
      <c r="L169" t="inlineStr">
        <is>
          <t>55.7%</t>
        </is>
      </c>
      <c r="M169" t="inlineStr">
        <is>
          <t>34.4%</t>
        </is>
      </c>
      <c r="N169" t="inlineStr">
        <is>
          <t>12/20</t>
        </is>
      </c>
      <c r="O169" t="inlineStr">
        <is>
          <t>9% | 33% | 31% | 22% | 5%</t>
        </is>
      </c>
      <c r="P169" t="inlineStr">
        <is>
          <t>22.4</t>
        </is>
      </c>
    </row>
    <row r="170">
      <c r="A170" t="inlineStr">
        <is>
          <t>Ancient</t>
        </is>
      </c>
      <c r="B170" t="inlineStr"/>
      <c r="C170" t="n">
        <v>9</v>
      </c>
      <c r="D170" t="inlineStr">
        <is>
          <t>3-6</t>
        </is>
      </c>
      <c r="E170" t="inlineStr">
        <is>
          <t>-2.2</t>
        </is>
      </c>
      <c r="F170" t="inlineStr">
        <is>
          <t>43.7%</t>
        </is>
      </c>
      <c r="G170" t="inlineStr">
        <is>
          <t>46.9%</t>
        </is>
      </c>
      <c r="H170" t="inlineStr">
        <is>
          <t>5/18</t>
        </is>
      </c>
      <c r="I170" t="n">
        <v>2</v>
      </c>
      <c r="J170" t="inlineStr">
        <is>
          <t>0-2</t>
        </is>
      </c>
      <c r="K170" t="inlineStr">
        <is>
          <t>-3.5</t>
        </is>
      </c>
      <c r="L170" t="inlineStr">
        <is>
          <t>43.3%</t>
        </is>
      </c>
      <c r="M170" t="inlineStr">
        <is>
          <t>44.4%</t>
        </is>
      </c>
      <c r="N170" t="inlineStr">
        <is>
          <t>0/4</t>
        </is>
      </c>
      <c r="O170" t="inlineStr">
        <is>
          <t>5% | 27% | 30% | 31% | 7%</t>
        </is>
      </c>
      <c r="P170" t="inlineStr">
        <is>
          <t>22.5</t>
        </is>
      </c>
    </row>
    <row r="171">
      <c r="A171" t="inlineStr">
        <is>
          <t>Cache</t>
        </is>
      </c>
      <c r="B171" t="inlineStr"/>
      <c r="C171" t="n">
        <v>7</v>
      </c>
      <c r="D171" t="inlineStr">
        <is>
          <t>3-4</t>
        </is>
      </c>
      <c r="E171" t="inlineStr">
        <is>
          <t>+1.0</t>
        </is>
      </c>
      <c r="F171" t="inlineStr">
        <is>
          <t>63.1%</t>
        </is>
      </c>
      <c r="G171" t="inlineStr">
        <is>
          <t>37.7%</t>
        </is>
      </c>
      <c r="H171" t="inlineStr">
        <is>
          <t>6/14</t>
        </is>
      </c>
      <c r="I171" t="n">
        <v>6</v>
      </c>
      <c r="J171" t="inlineStr">
        <is>
          <t>2-4</t>
        </is>
      </c>
      <c r="K171" t="inlineStr">
        <is>
          <t>-0.2</t>
        </is>
      </c>
      <c r="L171" t="inlineStr">
        <is>
          <t>52.6%</t>
        </is>
      </c>
      <c r="M171" t="inlineStr">
        <is>
          <t>46.6%</t>
        </is>
      </c>
      <c r="N171" t="inlineStr">
        <is>
          <t>8/12</t>
        </is>
      </c>
      <c r="O171" t="inlineStr">
        <is>
          <t>7% | 29% | 31% | 28% | 6%</t>
        </is>
      </c>
      <c r="P171" t="inlineStr">
        <is>
          <t>22.5</t>
        </is>
      </c>
    </row>
    <row r="172">
      <c r="A172" t="inlineStr">
        <is>
          <t>Inferno</t>
        </is>
      </c>
      <c r="B172" t="inlineStr"/>
      <c r="C172" t="n">
        <v>8</v>
      </c>
      <c r="D172" t="inlineStr">
        <is>
          <t>6-2</t>
        </is>
      </c>
      <c r="E172" t="inlineStr">
        <is>
          <t>+3.9</t>
        </is>
      </c>
      <c r="F172" t="inlineStr">
        <is>
          <t>59.7%</t>
        </is>
      </c>
      <c r="G172" t="inlineStr">
        <is>
          <t>59.3%</t>
        </is>
      </c>
      <c r="H172" t="inlineStr">
        <is>
          <t>9/16</t>
        </is>
      </c>
      <c r="I172" t="n">
        <v>5</v>
      </c>
      <c r="J172" t="inlineStr">
        <is>
          <t>1-4</t>
        </is>
      </c>
      <c r="K172" t="inlineStr">
        <is>
          <t>-4.6</t>
        </is>
      </c>
      <c r="L172" t="inlineStr">
        <is>
          <t>36.5%</t>
        </is>
      </c>
      <c r="M172" t="inlineStr">
        <is>
          <t>41.2%</t>
        </is>
      </c>
      <c r="N172" t="inlineStr">
        <is>
          <t>6/10</t>
        </is>
      </c>
      <c r="O172" t="inlineStr">
        <is>
          <t>15% | 44% | 26% | 14% | 2%</t>
        </is>
      </c>
      <c r="P172" t="inlineStr">
        <is>
          <t>22.0</t>
        </is>
      </c>
    </row>
    <row r="174">
      <c r="A174" s="5" t="inlineStr">
        <is>
          <t>CS2 · INF vs BRUTE   |   15:00 UTC   |   Bo3   |   Win: INF 50% – BRUTE 50%   |   2-0 25% · 2-1 25% · 1-2 25% · 0-2 25%</t>
        </is>
      </c>
    </row>
    <row r="175">
      <c r="A175" s="3" t="inlineStr"/>
      <c r="B175" s="3" t="inlineStr">
        <is>
          <t>Infinite (INF)</t>
        </is>
      </c>
      <c r="C175" s="3" t="inlineStr">
        <is>
          <t>Brute (BRUTE)</t>
        </is>
      </c>
    </row>
    <row r="176">
      <c r="A176" s="3" t="inlineStr">
        <is>
          <t>Rank</t>
        </is>
      </c>
      <c r="B176" s="4" t="inlineStr">
        <is>
          <t>HLTV: #78 · VRS: #68</t>
        </is>
      </c>
      <c r="C176" s="4" t="inlineStr">
        <is>
          <t>HLTV: #109 · VRS: #83</t>
        </is>
      </c>
    </row>
    <row r="177">
      <c r="A177" s="3" t="inlineStr">
        <is>
          <t>Last 10 maps (newest first)</t>
        </is>
      </c>
      <c r="B177" s="4" t="inlineStr">
        <is>
          <t>2-8   L L L L W W L L L L</t>
        </is>
      </c>
      <c r="C177" s="4" t="inlineStr">
        <is>
          <t>5-5   L L W W W L L L W W</t>
        </is>
      </c>
    </row>
    <row r="178">
      <c r="A178" s="3" t="inlineStr">
        <is>
          <t>Last 10 maps, avg margin</t>
        </is>
      </c>
      <c r="B178" s="4" t="inlineStr">
        <is>
          <t>-4.0</t>
        </is>
      </c>
      <c r="C178" s="4" t="inlineStr">
        <is>
          <t>-0.2</t>
        </is>
      </c>
    </row>
    <row r="179">
      <c r="A179" s="3" t="inlineStr">
        <is>
          <t>3 months: maps W-L</t>
        </is>
      </c>
      <c r="B179" s="4" t="inlineStr">
        <is>
          <t>23-42 (35%)</t>
        </is>
      </c>
      <c r="C179" s="4" t="inlineStr">
        <is>
          <t>40-29 (58%)</t>
        </is>
      </c>
    </row>
    <row r="180">
      <c r="A180" s="3" t="inlineStr">
        <is>
          <t>Avg margin in wins / losses</t>
        </is>
      </c>
      <c r="B180" s="4" t="inlineStr">
        <is>
          <t>+4.3 / -5.2</t>
        </is>
      </c>
      <c r="C180" s="4" t="inlineStr">
        <is>
          <t>+5.2 / -5.3</t>
        </is>
      </c>
    </row>
    <row r="181">
      <c r="A181" s="3" t="inlineStr">
        <is>
          <t>Stomps for / against (8+)</t>
        </is>
      </c>
      <c r="B181" s="4" t="inlineStr">
        <is>
          <t>2 / 10</t>
        </is>
      </c>
      <c r="C181" s="4" t="inlineStr">
        <is>
          <t>11 / 7</t>
        </is>
      </c>
    </row>
    <row r="182">
      <c r="A182" s="3" t="inlineStr">
        <is>
          <t>Pistols (3 months)</t>
        </is>
      </c>
      <c r="B182" s="4" t="inlineStr">
        <is>
          <t>not captured</t>
        </is>
      </c>
      <c r="C182" s="4" t="inlineStr">
        <is>
          <t>not captured</t>
        </is>
      </c>
    </row>
    <row r="183" ht="105" customHeight="1">
      <c r="A183" s="3" t="inlineStr">
        <is>
          <t>Kill share (last 6 series, all maps)</t>
        </is>
      </c>
      <c r="B183" s="4" t="inlineStr">
        <is>
          <t>6 series · 10 maps · team 69.4 kills/map
sl3nd 24.4% (16.9/map)
kyuubii 20.5% (14.2/map)
Blytz 19.7% (13.7/map)
volt 19.3% (13.4/map)
ScrunK 9.2% (10.7/map)
kreaz 6.9% (12.0/map)</t>
        </is>
      </c>
      <c r="C183" s="4" t="inlineStr">
        <is>
          <t>6 series · 16 maps · team 70.7 kills/map
aidKiT 22.8% (16.1/map)
tAk 21.1% (14.9/map)
nbqq 18.8% (13.3/map)
ZEDKO 18.7% (13.2/map)
oontoma 18.6% (13.1/map)</t>
        </is>
      </c>
    </row>
    <row r="184">
      <c r="A184" s="3" t="inlineStr">
        <is>
          <t>Last 5 series</t>
        </is>
      </c>
      <c r="B184" s="4" t="inlineStr">
        <is>
          <t>0 - 2  INFINITE vs Envy
0 - 2  INFINITE vs Eternal Fire
13 - 5  INFINITE vs BASEMENT BOYS
13 - 11  INFINITE vs Insiders
0 - 2  INFINITE vs WBT</t>
        </is>
      </c>
      <c r="C184" s="4" t="inlineStr">
        <is>
          <t>1 - 2  BRUTE vs INOX Division
2 - 1  BRUTE vs BAKS
1 - 2  BRUTE vs Sangal
2 - 0  BRUTE vs ex-6666
2 - 1  BRUTE vs Phantom</t>
        </is>
      </c>
    </row>
    <row r="185" ht="150" customHeight="1">
      <c r="A185" s="3" t="inlineStr">
        <is>
          <t>Recent vetoes (last 5)</t>
        </is>
      </c>
      <c r="B185" s="4" t="inlineStr">
        <is>
          <t>First ban: Anubis×3, Mirage×1   First pick: Ancient×2, Cache×1
20th of Octo  INFINITE vs Envy:  us ban Anubis · opp ban Mirage · us pick Ancient · opp pick Dust2 · opp ban Cache · us ban Inferno · left Nuke
20th of Octo  INFINITE vs Eternal Fire:  us ban Anubis · opp ban Nuke · us pick Cache · opp pick Dust2 · opp ban Inferno · us ban Mirage · left Ancient
19th of Octo  INFINITE vs BASEMENT BOYS:  opp ban Inferno · opp ban Anubis · us ban Mirage · us ban Dust2 · us ban Nuke · opp ban Cache · left Ancient
19th of Octo  INFINITE vs Insiders:  opp ban Nuke · opp ban Inferno · us ban Ancient · us ban Anubis · us ban Dust2 · opp ban Cache · left Mirage
9th of Octob  INFINITE vs WBT:  opp ban Inferno · us ban Anubis · opp pick Dust2 · us pick Ancient · opp ban Cache · us ban Nuke · left Mirage</t>
        </is>
      </c>
      <c r="C185" s="4" t="inlineStr">
        <is>
          <t>First ban: Ancient×5   First pick: Mirage×3, Dust2×1
24th of Octo  BRUTE vs INOX Division:  opp ban Mirage · us ban Ancient · opp pick Nuke · us pick Dust2 · opp ban Cache · us ban Anubis · left Inferno
23rd of Octo  BRUTE vs BAKS:  opp ban Anubis · us ban Ancient · opp pick Cache · us pick Inferno · opp ban Dust2 · us ban Mirage · left Nuke
21st of Octo  BRUTE vs Sangal:  opp ban Inferno · us ban Ancient · opp pick Nuke · us pick Mirage · us ban Cache · opp ban Dust2 · left Anubis
21st of Octo  BRUTE vs ex-6666:  opp ban Cache · us ban Ancient · opp pick Anubis · us pick Mirage · opp ban Inferno · us ban Nuke · left Dust2
19th of Octo  BRUTE vs Phantom:  us ban Ancient · opp ban Cache · us pick Mirage · opp pick Inferno · opp ban Anubis · us ban Nuke · left Dust2</t>
        </is>
      </c>
    </row>
    <row r="186">
      <c r="A186" s="6" t="inlineStr">
        <is>
          <t>Map</t>
        </is>
      </c>
      <c r="B186" s="6" t="inlineStr">
        <is>
          <t>PF pick %</t>
        </is>
      </c>
      <c r="C186" s="6" t="inlineStr">
        <is>
          <t>A maps</t>
        </is>
      </c>
      <c r="D186" s="6" t="inlineStr">
        <is>
          <t>A W-L</t>
        </is>
      </c>
      <c r="E186" s="6" t="inlineStr">
        <is>
          <t>A avg ±</t>
        </is>
      </c>
      <c r="F186" s="6" t="inlineStr">
        <is>
          <t>A CT %</t>
        </is>
      </c>
      <c r="G186" s="6" t="inlineStr">
        <is>
          <t>A T %</t>
        </is>
      </c>
      <c r="H186" s="6" t="inlineStr">
        <is>
          <t>A pistol</t>
        </is>
      </c>
      <c r="I186" s="6" t="inlineStr">
        <is>
          <t>B maps</t>
        </is>
      </c>
      <c r="J186" s="6" t="inlineStr">
        <is>
          <t>B W-L</t>
        </is>
      </c>
      <c r="K186" s="6" t="inlineStr">
        <is>
          <t>B avg ±</t>
        </is>
      </c>
      <c r="L186" s="6" t="inlineStr">
        <is>
          <t>B CT %</t>
        </is>
      </c>
      <c r="M186" s="6" t="inlineStr">
        <is>
          <t>B T %</t>
        </is>
      </c>
      <c r="N186" s="6" t="inlineStr">
        <is>
          <t>B pistol</t>
        </is>
      </c>
      <c r="O186" s="6" t="inlineStr">
        <is>
          <t>A 8+ | A 3-7 | close/OT | B 3-7 | B 8+</t>
        </is>
      </c>
      <c r="P186" s="6" t="inlineStr">
        <is>
          <t>E rounds</t>
        </is>
      </c>
    </row>
    <row r="187">
      <c r="A187" t="inlineStr">
        <is>
          <t>Dust2</t>
        </is>
      </c>
      <c r="B187" t="inlineStr">
        <is>
          <t>31%</t>
        </is>
      </c>
      <c r="C187" t="n">
        <v>16</v>
      </c>
      <c r="D187" t="inlineStr">
        <is>
          <t>3-13</t>
        </is>
      </c>
      <c r="E187" t="inlineStr">
        <is>
          <t>-3.9</t>
        </is>
      </c>
      <c r="F187" t="inlineStr">
        <is>
          <t>43.8%</t>
        </is>
      </c>
      <c r="G187" t="inlineStr">
        <is>
          <t>39.2%</t>
        </is>
      </c>
      <c r="H187" t="inlineStr">
        <is>
          <t>17/32</t>
        </is>
      </c>
      <c r="I187" t="n">
        <v>16</v>
      </c>
      <c r="J187" t="inlineStr">
        <is>
          <t>10-6</t>
        </is>
      </c>
      <c r="K187" t="inlineStr">
        <is>
          <t>+1.2</t>
        </is>
      </c>
      <c r="L187" t="inlineStr">
        <is>
          <t>59.4%</t>
        </is>
      </c>
      <c r="M187" t="inlineStr">
        <is>
          <t>47.3%</t>
        </is>
      </c>
      <c r="N187" t="inlineStr">
        <is>
          <t>19/32</t>
        </is>
      </c>
      <c r="O187" t="inlineStr">
        <is>
          <t>2% | 14% | 26% | 43% | 14%</t>
        </is>
      </c>
      <c r="P187" t="inlineStr">
        <is>
          <t>22.0</t>
        </is>
      </c>
    </row>
    <row r="188">
      <c r="A188" t="inlineStr">
        <is>
          <t>Mirage</t>
        </is>
      </c>
      <c r="B188" t="inlineStr">
        <is>
          <t>29%</t>
        </is>
      </c>
      <c r="C188" t="n">
        <v>15</v>
      </c>
      <c r="D188" t="inlineStr">
        <is>
          <t>8-7</t>
        </is>
      </c>
      <c r="E188" t="inlineStr">
        <is>
          <t>-0.1</t>
        </is>
      </c>
      <c r="F188" t="inlineStr">
        <is>
          <t>56.7%</t>
        </is>
      </c>
      <c r="G188" t="inlineStr">
        <is>
          <t>43.4%</t>
        </is>
      </c>
      <c r="H188" t="inlineStr">
        <is>
          <t>19/30</t>
        </is>
      </c>
      <c r="I188" t="n">
        <v>15</v>
      </c>
      <c r="J188" t="inlineStr">
        <is>
          <t>9-6</t>
        </is>
      </c>
      <c r="K188" t="inlineStr">
        <is>
          <t>+2.1</t>
        </is>
      </c>
      <c r="L188" t="inlineStr">
        <is>
          <t>63.7%</t>
        </is>
      </c>
      <c r="M188" t="inlineStr">
        <is>
          <t>48.4%</t>
        </is>
      </c>
      <c r="N188" t="inlineStr">
        <is>
          <t>19/30</t>
        </is>
      </c>
      <c r="O188" t="inlineStr">
        <is>
          <t>4% | 21% | 30% | 35% | 10%</t>
        </is>
      </c>
      <c r="P188" t="inlineStr">
        <is>
          <t>22.4</t>
        </is>
      </c>
    </row>
    <row r="189">
      <c r="A189" t="inlineStr">
        <is>
          <t>Nuke</t>
        </is>
      </c>
      <c r="B189" t="inlineStr">
        <is>
          <t>15%</t>
        </is>
      </c>
      <c r="C189" t="n">
        <v>7</v>
      </c>
      <c r="D189" t="inlineStr">
        <is>
          <t>2-5</t>
        </is>
      </c>
      <c r="E189" t="inlineStr">
        <is>
          <t>-2.4</t>
        </is>
      </c>
      <c r="F189" t="inlineStr">
        <is>
          <t>45.1%</t>
        </is>
      </c>
      <c r="G189" t="inlineStr">
        <is>
          <t>43.2%</t>
        </is>
      </c>
      <c r="H189" t="inlineStr">
        <is>
          <t>4/14</t>
        </is>
      </c>
      <c r="I189" t="n">
        <v>9</v>
      </c>
      <c r="J189" t="inlineStr">
        <is>
          <t>6-3</t>
        </is>
      </c>
      <c r="K189" t="inlineStr">
        <is>
          <t>+1.9</t>
        </is>
      </c>
      <c r="L189" t="inlineStr">
        <is>
          <t>57.5%</t>
        </is>
      </c>
      <c r="M189" t="inlineStr">
        <is>
          <t>50.6%</t>
        </is>
      </c>
      <c r="N189" t="inlineStr">
        <is>
          <t>9/18</t>
        </is>
      </c>
      <c r="O189" t="inlineStr">
        <is>
          <t>3% | 20% | 29% | 37% | 10%</t>
        </is>
      </c>
      <c r="P189" t="inlineStr">
        <is>
          <t>22.3</t>
        </is>
      </c>
    </row>
    <row r="190">
      <c r="A190" t="inlineStr">
        <is>
          <t>Ancient</t>
        </is>
      </c>
      <c r="B190" t="inlineStr"/>
      <c r="C190" t="n">
        <v>13</v>
      </c>
      <c r="D190" t="inlineStr">
        <is>
          <t>5-8</t>
        </is>
      </c>
      <c r="E190" t="inlineStr">
        <is>
          <t>-0.9</t>
        </is>
      </c>
      <c r="F190" t="inlineStr">
        <is>
          <t>57.0%</t>
        </is>
      </c>
      <c r="G190" t="inlineStr">
        <is>
          <t>38.3%</t>
        </is>
      </c>
      <c r="H190" t="inlineStr">
        <is>
          <t>13/26</t>
        </is>
      </c>
      <c r="I190" t="n">
        <v>2</v>
      </c>
      <c r="J190" t="inlineStr">
        <is>
          <t>0-2</t>
        </is>
      </c>
      <c r="K190" t="inlineStr">
        <is>
          <t>-5.5</t>
        </is>
      </c>
      <c r="L190" t="inlineStr">
        <is>
          <t>33.3%</t>
        </is>
      </c>
      <c r="M190" t="inlineStr">
        <is>
          <t>41.2%</t>
        </is>
      </c>
      <c r="N190" t="inlineStr">
        <is>
          <t>1/4</t>
        </is>
      </c>
      <c r="O190" t="inlineStr">
        <is>
          <t>7% | 30% | 31% | 27% | 6%</t>
        </is>
      </c>
      <c r="P190" t="inlineStr">
        <is>
          <t>22.5</t>
        </is>
      </c>
    </row>
    <row r="191">
      <c r="A191" t="inlineStr">
        <is>
          <t>Anubis</t>
        </is>
      </c>
      <c r="B191" t="inlineStr"/>
      <c r="C191" t="n">
        <v>1</v>
      </c>
      <c r="D191" t="inlineStr">
        <is>
          <t>0-1</t>
        </is>
      </c>
      <c r="E191" t="inlineStr">
        <is>
          <t>-8.0</t>
        </is>
      </c>
      <c r="F191" t="inlineStr">
        <is>
          <t>66.7%</t>
        </is>
      </c>
      <c r="G191" t="inlineStr">
        <is>
          <t>8.3%</t>
        </is>
      </c>
      <c r="H191" t="inlineStr">
        <is>
          <t>1/2</t>
        </is>
      </c>
      <c r="I191" t="n">
        <v>14</v>
      </c>
      <c r="J191" t="inlineStr">
        <is>
          <t>6-8</t>
        </is>
      </c>
      <c r="K191" t="inlineStr">
        <is>
          <t>-1.0</t>
        </is>
      </c>
      <c r="L191" t="inlineStr">
        <is>
          <t>46.2%</t>
        </is>
      </c>
      <c r="M191" t="inlineStr">
        <is>
          <t>49.1%</t>
        </is>
      </c>
      <c r="N191" t="inlineStr">
        <is>
          <t>14/28</t>
        </is>
      </c>
      <c r="O191" t="inlineStr">
        <is>
          <t>6% | 29% | 30% | 28% | 6%</t>
        </is>
      </c>
      <c r="P191" t="inlineStr">
        <is>
          <t>22.5</t>
        </is>
      </c>
    </row>
    <row r="192">
      <c r="A192" t="inlineStr">
        <is>
          <t>Cache</t>
        </is>
      </c>
      <c r="B192" t="inlineStr"/>
      <c r="C192" t="n">
        <v>6</v>
      </c>
      <c r="D192" t="inlineStr">
        <is>
          <t>3-3</t>
        </is>
      </c>
      <c r="E192" t="inlineStr">
        <is>
          <t>+0.7</t>
        </is>
      </c>
      <c r="F192" t="inlineStr">
        <is>
          <t>58.8%</t>
        </is>
      </c>
      <c r="G192" t="inlineStr">
        <is>
          <t>43.5%</t>
        </is>
      </c>
      <c r="H192" t="inlineStr">
        <is>
          <t>6/12</t>
        </is>
      </c>
      <c r="I192" t="n">
        <v>7</v>
      </c>
      <c r="J192" t="inlineStr">
        <is>
          <t>5-2</t>
        </is>
      </c>
      <c r="K192" t="inlineStr">
        <is>
          <t>+0.6</t>
        </is>
      </c>
      <c r="L192" t="inlineStr">
        <is>
          <t>47.6%</t>
        </is>
      </c>
      <c r="M192" t="inlineStr">
        <is>
          <t>55.0%</t>
        </is>
      </c>
      <c r="N192" t="inlineStr">
        <is>
          <t>5/14</t>
        </is>
      </c>
      <c r="O192" t="inlineStr">
        <is>
          <t>6% | 28% | 30% | 29% | 6%</t>
        </is>
      </c>
      <c r="P192" t="inlineStr">
        <is>
          <t>22.5</t>
        </is>
      </c>
    </row>
    <row r="193">
      <c r="A193" t="inlineStr">
        <is>
          <t>Inferno</t>
        </is>
      </c>
      <c r="B193" t="inlineStr"/>
      <c r="C193" t="n">
        <v>7</v>
      </c>
      <c r="D193" t="inlineStr">
        <is>
          <t>2-5</t>
        </is>
      </c>
      <c r="E193" t="inlineStr">
        <is>
          <t>-3.1</t>
        </is>
      </c>
      <c r="F193" t="inlineStr">
        <is>
          <t>48.1%</t>
        </is>
      </c>
      <c r="G193" t="inlineStr">
        <is>
          <t>35.8%</t>
        </is>
      </c>
      <c r="H193" t="inlineStr">
        <is>
          <t>4/14</t>
        </is>
      </c>
      <c r="I193" t="n">
        <v>6</v>
      </c>
      <c r="J193" t="inlineStr">
        <is>
          <t>4-2</t>
        </is>
      </c>
      <c r="K193" t="inlineStr">
        <is>
          <t>+1.3</t>
        </is>
      </c>
      <c r="L193" t="inlineStr">
        <is>
          <t>48.6%</t>
        </is>
      </c>
      <c r="M193" t="inlineStr">
        <is>
          <t>56.8%</t>
        </is>
      </c>
      <c r="N193" t="inlineStr">
        <is>
          <t>5/12</t>
        </is>
      </c>
      <c r="O193" t="inlineStr">
        <is>
          <t>3% | 20% | 29% | 38% | 10%</t>
        </is>
      </c>
      <c r="P193" t="inlineStr">
        <is>
          <t>22.3</t>
        </is>
      </c>
    </row>
    <row r="195">
      <c r="A195" s="5" t="inlineStr">
        <is>
          <t>CS2 · FURIA vs NAVI   |   17:00 UTC   |   Bo3   |   Win: FURIA 57% – NAVI 43%   |   2-0 29% · 2-1 28% · 1-2 22% · 0-2 21%</t>
        </is>
      </c>
    </row>
    <row r="196">
      <c r="A196" s="3" t="inlineStr"/>
      <c r="B196" s="3" t="inlineStr">
        <is>
          <t>Furia (FURIA)</t>
        </is>
      </c>
      <c r="C196" s="3" t="inlineStr">
        <is>
          <t>Natus Vincere (NAVI)</t>
        </is>
      </c>
    </row>
    <row r="197">
      <c r="A197" s="3" t="inlineStr">
        <is>
          <t>Rank</t>
        </is>
      </c>
      <c r="B197" s="4" t="inlineStr">
        <is>
          <t>HLTV: #3 · VRS: #3</t>
        </is>
      </c>
      <c r="C197" s="4" t="inlineStr">
        <is>
          <t>HLTV: #11 · VRS: #23</t>
        </is>
      </c>
    </row>
    <row r="198">
      <c r="A198" s="3" t="inlineStr">
        <is>
          <t>Last 10 maps (newest first)</t>
        </is>
      </c>
      <c r="B198" s="4" t="inlineStr">
        <is>
          <t>8-2   W W W W L L W W W W</t>
        </is>
      </c>
      <c r="C198" s="4" t="inlineStr">
        <is>
          <t>6-4   W W L L W L W L W W</t>
        </is>
      </c>
    </row>
    <row r="199">
      <c r="A199" s="3" t="inlineStr">
        <is>
          <t>Last 10 maps, avg margin</t>
        </is>
      </c>
      <c r="B199" s="4" t="inlineStr">
        <is>
          <t>+2.9</t>
        </is>
      </c>
      <c r="C199" s="4" t="inlineStr">
        <is>
          <t>+1.1</t>
        </is>
      </c>
    </row>
    <row r="200">
      <c r="A200" s="3" t="inlineStr">
        <is>
          <t>3 months: maps W-L</t>
        </is>
      </c>
      <c r="B200" s="4" t="inlineStr">
        <is>
          <t>42-32 (57%)</t>
        </is>
      </c>
      <c r="C200" s="4" t="inlineStr">
        <is>
          <t>16-17 (48%)</t>
        </is>
      </c>
    </row>
    <row r="201">
      <c r="A201" s="3" t="inlineStr">
        <is>
          <t>Avg margin in wins / losses</t>
        </is>
      </c>
      <c r="B201" s="4" t="inlineStr">
        <is>
          <t>+5.7 / -4.8</t>
        </is>
      </c>
      <c r="C201" s="4" t="inlineStr">
        <is>
          <t>+5.4 / -5.6</t>
        </is>
      </c>
    </row>
    <row r="202">
      <c r="A202" s="3" t="inlineStr">
        <is>
          <t>Stomps for / against (8+)</t>
        </is>
      </c>
      <c r="B202" s="4" t="inlineStr">
        <is>
          <t>10 / 7</t>
        </is>
      </c>
      <c r="C202" s="4" t="inlineStr">
        <is>
          <t>4 / 3</t>
        </is>
      </c>
    </row>
    <row r="203">
      <c r="A203" s="3" t="inlineStr">
        <is>
          <t>Pistols (3 months)</t>
        </is>
      </c>
      <c r="B203" s="4" t="inlineStr">
        <is>
          <t>57.4% (85-63) · R2 conv 76.5% · R2 break 14.3%</t>
        </is>
      </c>
      <c r="C203" s="4" t="inlineStr">
        <is>
          <t>not captured</t>
        </is>
      </c>
    </row>
    <row r="204" ht="105" customHeight="1">
      <c r="A204" s="3" t="inlineStr">
        <is>
          <t>Kill share (last 6 series, all maps)</t>
        </is>
      </c>
      <c r="B204" s="4" t="inlineStr">
        <is>
          <t>6 series · 16 maps · team 76.6 kills/map
molodoy 23.4% (17.9/map)
KSCERATO 21.6% (16.5/map)
YEKINDAR 19.5% (14.9/map)
FalleN 18.0% (13.8/map)
yuurih 17.6% (13.4/map)</t>
        </is>
      </c>
      <c r="C204" s="4" t="inlineStr">
        <is>
          <t>6 series · 15 maps · team 79.5 kills/map
w0nderful 25.0% (19.9/map)
makazze 19.9% (15.9/map)
iM 19.6% (15.6/map)
b1t 18.9% (15.0/map)
Aleksib 16.6% (13.2/map)</t>
        </is>
      </c>
    </row>
    <row r="205">
      <c r="A205" s="3" t="inlineStr">
        <is>
          <t>Last 5 series</t>
        </is>
      </c>
      <c r="B205" s="4" t="inlineStr">
        <is>
          <t>2 - 0  FURIA vs DENDELE
2 - 0  FURIA vs DENDELE
3 - 2  FURIA vs BETBOOM
2 - 0  FURIA vs Aurora
2 - 1  FURIA vs Legacy</t>
        </is>
      </c>
      <c r="C205" s="4" t="inlineStr">
        <is>
          <t>0 - 2  G2 vs Natus Vincere
2 - 0  Natus Vincere vs G2
1 - 2  Natus Vincere vs PARIVISION
1 - 2  Natus Vincere vs Falcons
2 - 0  Natus Vincere vs 9z</t>
        </is>
      </c>
    </row>
    <row r="206" ht="150" customHeight="1">
      <c r="A206" s="3" t="inlineStr">
        <is>
          <t>Recent vetoes (last 5)</t>
        </is>
      </c>
      <c r="B206" s="4" t="inlineStr">
        <is>
          <t>First ban: Anubis×4, Ancient×1   First pick: Inferno×3, Dust2×1
24th of Octo  FURIA vs DENDELE:  opp ban Dust2 · us ban Anubis · opp pick Ancient · us pick Inferno · us ban Cache · opp ban Mirage · left Nuke
24th of Octo  FURIA vs DENDELE:  opp ban Dust2 · us ban Anubis · opp pick Ancient · us pick Inferno · us ban Cache · opp ban Mirage · left Nuke
18th of Octo  FURIA vs BETBOOM:  us ban Anubis · opp ban Inferno · us pick Dust2 · opp pick Ancient · us pick Nuke · opp pick Mirage · left Cache
17th of Octo  FURIA vs Aurora:  opp ban Ancient · us ban Anubis · opp pick Dust2 · us pick Inferno · opp ban Cache · us ban Mirage · left Nuke
15th of Octo  FURIA vs Legacy:  us ban Ancient · opp ban Anubis · us pick Cache · opp pick Inferno · us ban Dust2 · opp ban Nuke · left Mirage</t>
        </is>
      </c>
      <c r="C206" s="4" t="inlineStr">
        <is>
          <t>First ban: Ancient×3, Dust2×2   First pick: Nuke×2, Cache×2
24th of Octo  G2 vs Natus Vincere:  us ban Ancient · opp ban Cache · us pick Nuke · opp pick Dust2 · opp ban Anubis · us ban Mirage · left Inferno
24th of Octo  Natus Vincere vs G2:  us ban Ancient · opp ban Cache · us pick Nuke · opp pick Dust2 · opp ban Anubis · us ban Mirage · left Inferno
7th of Octob  Natus Vincere vs PARIVISION:  opp ban Nuke · us ban Ancient · opp pick Inferno · us pick Cache · opp ban Anubis · us ban Dust2 · left Mirage
6th of Octob  Natus Vincere vs Falcons:  us ban Dust2 · opp ban Cache · us pick Inferno · opp pick Anubis · us ban Ancient · opp ban Nuke · left Mirage
5th of Octob  Natus Vincere vs 9z:  opp ban Anubis · us ban Dust2 · opp pick Nuke · us pick Cache · opp ban Ancient · us ban Mirage · left Inferno</t>
        </is>
      </c>
    </row>
    <row r="207">
      <c r="A207" s="6" t="inlineStr">
        <is>
          <t>Map</t>
        </is>
      </c>
      <c r="B207" s="6" t="inlineStr">
        <is>
          <t>PF pick %</t>
        </is>
      </c>
      <c r="C207" s="6" t="inlineStr">
        <is>
          <t>A maps</t>
        </is>
      </c>
      <c r="D207" s="6" t="inlineStr">
        <is>
          <t>A W-L</t>
        </is>
      </c>
      <c r="E207" s="6" t="inlineStr">
        <is>
          <t>A avg ±</t>
        </is>
      </c>
      <c r="F207" s="6" t="inlineStr">
        <is>
          <t>A CT %</t>
        </is>
      </c>
      <c r="G207" s="6" t="inlineStr">
        <is>
          <t>A T %</t>
        </is>
      </c>
      <c r="H207" s="6" t="inlineStr">
        <is>
          <t>A pistol</t>
        </is>
      </c>
      <c r="I207" s="6" t="inlineStr">
        <is>
          <t>B maps</t>
        </is>
      </c>
      <c r="J207" s="6" t="inlineStr">
        <is>
          <t>B W-L</t>
        </is>
      </c>
      <c r="K207" s="6" t="inlineStr">
        <is>
          <t>B avg ±</t>
        </is>
      </c>
      <c r="L207" s="6" t="inlineStr">
        <is>
          <t>B CT %</t>
        </is>
      </c>
      <c r="M207" s="6" t="inlineStr">
        <is>
          <t>B T %</t>
        </is>
      </c>
      <c r="N207" s="6" t="inlineStr">
        <is>
          <t>B pistol</t>
        </is>
      </c>
      <c r="O207" s="6" t="inlineStr">
        <is>
          <t>A 8+ | A 3-7 | close/OT | B 3-7 | B 8+</t>
        </is>
      </c>
      <c r="P207" s="6" t="inlineStr">
        <is>
          <t>E rounds</t>
        </is>
      </c>
    </row>
    <row r="208">
      <c r="A208" t="inlineStr">
        <is>
          <t>Mirage</t>
        </is>
      </c>
      <c r="B208" t="inlineStr">
        <is>
          <t>21%</t>
        </is>
      </c>
      <c r="C208" t="n">
        <v>15</v>
      </c>
      <c r="D208" t="inlineStr">
        <is>
          <t>9-6</t>
        </is>
      </c>
      <c r="E208" t="inlineStr">
        <is>
          <t>+1.5</t>
        </is>
      </c>
      <c r="F208" t="inlineStr">
        <is>
          <t>61.4%</t>
        </is>
      </c>
      <c r="G208" t="inlineStr">
        <is>
          <t>45.5%</t>
        </is>
      </c>
      <c r="H208" t="inlineStr">
        <is>
          <t>18/30</t>
        </is>
      </c>
      <c r="I208" t="n">
        <v>8</v>
      </c>
      <c r="J208" t="inlineStr">
        <is>
          <t>2-6</t>
        </is>
      </c>
      <c r="K208" t="inlineStr">
        <is>
          <t>-3.4</t>
        </is>
      </c>
      <c r="L208" t="inlineStr">
        <is>
          <t>50.6%</t>
        </is>
      </c>
      <c r="M208" t="inlineStr">
        <is>
          <t>33.7%</t>
        </is>
      </c>
      <c r="N208" t="inlineStr">
        <is>
          <t>6/16</t>
        </is>
      </c>
      <c r="O208" t="inlineStr">
        <is>
          <t>12% | 39% | 28% | 17% | 3%</t>
        </is>
      </c>
      <c r="P208" t="inlineStr">
        <is>
          <t>22.2</t>
        </is>
      </c>
    </row>
    <row r="209">
      <c r="A209" t="inlineStr">
        <is>
          <t>Inferno</t>
        </is>
      </c>
      <c r="B209" t="inlineStr">
        <is>
          <t>17%</t>
        </is>
      </c>
      <c r="C209" t="n">
        <v>9</v>
      </c>
      <c r="D209" t="inlineStr">
        <is>
          <t>7-2</t>
        </is>
      </c>
      <c r="E209" t="inlineStr">
        <is>
          <t>+2.4</t>
        </is>
      </c>
      <c r="F209" t="inlineStr">
        <is>
          <t>57.6%</t>
        </is>
      </c>
      <c r="G209" t="inlineStr">
        <is>
          <t>53.7%</t>
        </is>
      </c>
      <c r="H209" t="inlineStr">
        <is>
          <t>10/18</t>
        </is>
      </c>
      <c r="I209" t="n">
        <v>9</v>
      </c>
      <c r="J209" t="inlineStr">
        <is>
          <t>4-5</t>
        </is>
      </c>
      <c r="K209" t="inlineStr">
        <is>
          <t>+0.2</t>
        </is>
      </c>
      <c r="L209" t="inlineStr">
        <is>
          <t>40.6%</t>
        </is>
      </c>
      <c r="M209" t="inlineStr">
        <is>
          <t>61.4%</t>
        </is>
      </c>
      <c r="N209" t="inlineStr">
        <is>
          <t>9/18</t>
        </is>
      </c>
      <c r="O209" t="inlineStr">
        <is>
          <t>8% | 33% | 30% | 24% | 5%</t>
        </is>
      </c>
      <c r="P209" t="inlineStr">
        <is>
          <t>22.5</t>
        </is>
      </c>
    </row>
    <row r="210">
      <c r="A210" t="inlineStr">
        <is>
          <t>Nuke</t>
        </is>
      </c>
      <c r="B210" t="inlineStr">
        <is>
          <t>16%</t>
        </is>
      </c>
      <c r="C210" t="n">
        <v>12</v>
      </c>
      <c r="D210" t="inlineStr">
        <is>
          <t>7-5</t>
        </is>
      </c>
      <c r="E210" t="inlineStr">
        <is>
          <t>+2.2</t>
        </is>
      </c>
      <c r="F210" t="inlineStr">
        <is>
          <t>64.2%</t>
        </is>
      </c>
      <c r="G210" t="inlineStr">
        <is>
          <t>47.1%</t>
        </is>
      </c>
      <c r="H210" t="inlineStr">
        <is>
          <t>18/24</t>
        </is>
      </c>
      <c r="I210" t="n">
        <v>5</v>
      </c>
      <c r="J210" t="inlineStr">
        <is>
          <t>4-1</t>
        </is>
      </c>
      <c r="K210" t="inlineStr">
        <is>
          <t>+3.2</t>
        </is>
      </c>
      <c r="L210" t="inlineStr">
        <is>
          <t>65.0%</t>
        </is>
      </c>
      <c r="M210" t="inlineStr">
        <is>
          <t>47.7%</t>
        </is>
      </c>
      <c r="N210" t="inlineStr">
        <is>
          <t>5/10</t>
        </is>
      </c>
      <c r="O210" t="inlineStr">
        <is>
          <t>7% | 30% | 31% | 26% | 6%</t>
        </is>
      </c>
      <c r="P210" t="inlineStr">
        <is>
          <t>22.5</t>
        </is>
      </c>
    </row>
    <row r="211">
      <c r="A211" t="inlineStr">
        <is>
          <t>Ancient</t>
        </is>
      </c>
      <c r="B211" t="inlineStr"/>
      <c r="C211" t="n">
        <v>12</v>
      </c>
      <c r="D211" t="inlineStr">
        <is>
          <t>6-6</t>
        </is>
      </c>
      <c r="E211" t="inlineStr">
        <is>
          <t>+1.2</t>
        </is>
      </c>
      <c r="F211" t="inlineStr">
        <is>
          <t>52.3%</t>
        </is>
      </c>
      <c r="G211" t="inlineStr">
        <is>
          <t>53.2%</t>
        </is>
      </c>
      <c r="H211" t="inlineStr">
        <is>
          <t>16/24</t>
        </is>
      </c>
      <c r="I211" t="n">
        <v>3</v>
      </c>
      <c r="J211" t="inlineStr">
        <is>
          <t>0-3</t>
        </is>
      </c>
      <c r="K211" t="inlineStr">
        <is>
          <t>-7.3</t>
        </is>
      </c>
      <c r="L211" t="inlineStr">
        <is>
          <t>40.0%</t>
        </is>
      </c>
      <c r="M211" t="inlineStr">
        <is>
          <t>25.0%</t>
        </is>
      </c>
      <c r="N211" t="inlineStr">
        <is>
          <t>1/6</t>
        </is>
      </c>
      <c r="O211" t="inlineStr">
        <is>
          <t>11% | 39% | 28% | 18% | 3%</t>
        </is>
      </c>
      <c r="P211" t="inlineStr">
        <is>
          <t>22.3</t>
        </is>
      </c>
    </row>
    <row r="212">
      <c r="A212" t="inlineStr">
        <is>
          <t>Anubis</t>
        </is>
      </c>
      <c r="B212" t="inlineStr"/>
      <c r="C212" t="n">
        <v>2</v>
      </c>
      <c r="D212" t="inlineStr">
        <is>
          <t>0-2</t>
        </is>
      </c>
      <c r="E212" t="inlineStr">
        <is>
          <t>-7.5</t>
        </is>
      </c>
      <c r="F212" t="inlineStr">
        <is>
          <t>33.3%</t>
        </is>
      </c>
      <c r="G212" t="inlineStr">
        <is>
          <t>25.0%</t>
        </is>
      </c>
      <c r="H212" t="inlineStr">
        <is>
          <t>1/4</t>
        </is>
      </c>
      <c r="I212" t="n">
        <v>3</v>
      </c>
      <c r="J212" t="inlineStr">
        <is>
          <t>2-1</t>
        </is>
      </c>
      <c r="K212" t="inlineStr">
        <is>
          <t>+1.7</t>
        </is>
      </c>
      <c r="L212" t="inlineStr">
        <is>
          <t>51.9%</t>
        </is>
      </c>
      <c r="M212" t="inlineStr">
        <is>
          <t>54.8%</t>
        </is>
      </c>
      <c r="N212" t="inlineStr">
        <is>
          <t>2/6</t>
        </is>
      </c>
      <c r="O212" t="inlineStr">
        <is>
          <t>4% | 21% | 29% | 37% | 10%</t>
        </is>
      </c>
      <c r="P212" t="inlineStr">
        <is>
          <t>22.4</t>
        </is>
      </c>
    </row>
    <row r="213">
      <c r="A213" t="inlineStr">
        <is>
          <t>Cache</t>
        </is>
      </c>
      <c r="B213" t="inlineStr"/>
      <c r="C213" t="n">
        <v>12</v>
      </c>
      <c r="D213" t="inlineStr">
        <is>
          <t>6-6</t>
        </is>
      </c>
      <c r="E213" t="inlineStr">
        <is>
          <t>-0.1</t>
        </is>
      </c>
      <c r="F213" t="inlineStr">
        <is>
          <t>49.6%</t>
        </is>
      </c>
      <c r="G213" t="inlineStr">
        <is>
          <t>50.0%</t>
        </is>
      </c>
      <c r="H213" t="inlineStr">
        <is>
          <t>10/24</t>
        </is>
      </c>
      <c r="I213" t="n">
        <v>4</v>
      </c>
      <c r="J213" t="inlineStr">
        <is>
          <t>3-1</t>
        </is>
      </c>
      <c r="K213" t="inlineStr">
        <is>
          <t>+3.2</t>
        </is>
      </c>
      <c r="L213" t="inlineStr">
        <is>
          <t>73.0%</t>
        </is>
      </c>
      <c r="M213" t="inlineStr">
        <is>
          <t>45.8%</t>
        </is>
      </c>
      <c r="N213" t="inlineStr">
        <is>
          <t>3/8</t>
        </is>
      </c>
      <c r="O213" t="inlineStr">
        <is>
          <t>4% | 23% | 30% | 34% | 9%</t>
        </is>
      </c>
      <c r="P213" t="inlineStr">
        <is>
          <t>22.4</t>
        </is>
      </c>
    </row>
    <row r="214">
      <c r="A214" t="inlineStr">
        <is>
          <t>Dust2</t>
        </is>
      </c>
      <c r="B214" t="inlineStr"/>
      <c r="C214" t="n">
        <v>12</v>
      </c>
      <c r="D214" t="inlineStr">
        <is>
          <t>7-5</t>
        </is>
      </c>
      <c r="E214" t="inlineStr">
        <is>
          <t>+1.4</t>
        </is>
      </c>
      <c r="F214" t="inlineStr">
        <is>
          <t>49.5%</t>
        </is>
      </c>
      <c r="G214" t="inlineStr">
        <is>
          <t>57.4%</t>
        </is>
      </c>
      <c r="H214" t="inlineStr">
        <is>
          <t>12/24</t>
        </is>
      </c>
      <c r="I214" t="n">
        <v>1</v>
      </c>
      <c r="J214" t="inlineStr">
        <is>
          <t>1-0</t>
        </is>
      </c>
      <c r="K214" t="inlineStr">
        <is>
          <t>+3.0</t>
        </is>
      </c>
      <c r="L214" t="inlineStr">
        <is>
          <t>60.0%</t>
        </is>
      </c>
      <c r="M214" t="inlineStr">
        <is>
          <t>47.6%</t>
        </is>
      </c>
      <c r="N214" t="inlineStr">
        <is>
          <t>0/2</t>
        </is>
      </c>
      <c r="O214" t="inlineStr">
        <is>
          <t>7% | 31% | 30% | 26% | 5%</t>
        </is>
      </c>
      <c r="P214" t="inlineStr">
        <is>
          <t>22.5</t>
        </is>
      </c>
    </row>
    <row r="216">
      <c r="A216" s="5" t="inlineStr">
        <is>
          <t>CS2 · LGC vs DEN   |   17:00 UTC   |   Bo3   |   Win: LGC 71% – DEN 29%   |   2-0 40% · 2-1 31% · 1-2 15% · 0-2 13%</t>
        </is>
      </c>
    </row>
    <row r="217">
      <c r="A217" s="3" t="inlineStr"/>
      <c r="B217" s="3" t="inlineStr">
        <is>
          <t>Legacy (LGC)</t>
        </is>
      </c>
      <c r="C217" s="3" t="inlineStr">
        <is>
          <t>DENDELE CS (DEN)</t>
        </is>
      </c>
    </row>
    <row r="218">
      <c r="A218" s="3" t="inlineStr">
        <is>
          <t>Rank</t>
        </is>
      </c>
      <c r="B218" s="4" t="inlineStr">
        <is>
          <t>HLTV: #7 · VRS: #8</t>
        </is>
      </c>
      <c r="C218" s="4" t="inlineStr">
        <is>
          <t>HLTV: #41 · VRS: #42</t>
        </is>
      </c>
    </row>
    <row r="219">
      <c r="A219" s="3" t="inlineStr">
        <is>
          <t>Last 10 maps (newest first)</t>
        </is>
      </c>
      <c r="B219" s="4" t="inlineStr">
        <is>
          <t>4-6   L L L W L L L W W W</t>
        </is>
      </c>
      <c r="C219" s="4" t="inlineStr">
        <is>
          <t>4-6   L L L W L W W W L L</t>
        </is>
      </c>
    </row>
    <row r="220">
      <c r="A220" s="3" t="inlineStr">
        <is>
          <t>Last 10 maps, avg margin</t>
        </is>
      </c>
      <c r="B220" s="4" t="inlineStr">
        <is>
          <t>-1.6</t>
        </is>
      </c>
      <c r="C220" s="4" t="inlineStr">
        <is>
          <t>-0.6</t>
        </is>
      </c>
    </row>
    <row r="221">
      <c r="A221" s="3" t="inlineStr">
        <is>
          <t>3 months: maps W-L</t>
        </is>
      </c>
      <c r="B221" s="4" t="inlineStr">
        <is>
          <t>32-23 (58%)</t>
        </is>
      </c>
      <c r="C221" s="4" t="inlineStr">
        <is>
          <t>29-24 (55%)</t>
        </is>
      </c>
    </row>
    <row r="222">
      <c r="A222" s="3" t="inlineStr">
        <is>
          <t>Avg margin in wins / losses</t>
        </is>
      </c>
      <c r="B222" s="4" t="inlineStr">
        <is>
          <t>+4.4 / -5.2</t>
        </is>
      </c>
      <c r="C222" s="4" t="inlineStr">
        <is>
          <t>+6.1 / -4.9</t>
        </is>
      </c>
    </row>
    <row r="223">
      <c r="A223" s="3" t="inlineStr">
        <is>
          <t>Stomps for / against (8+)</t>
        </is>
      </c>
      <c r="B223" s="4" t="inlineStr">
        <is>
          <t>5 / 3</t>
        </is>
      </c>
      <c r="C223" s="4" t="inlineStr">
        <is>
          <t>9 / 3</t>
        </is>
      </c>
    </row>
    <row r="224">
      <c r="A224" s="3" t="inlineStr">
        <is>
          <t>Pistols (3 months)</t>
        </is>
      </c>
      <c r="B224" s="4" t="inlineStr">
        <is>
          <t>not captured</t>
        </is>
      </c>
      <c r="C224" s="4" t="inlineStr">
        <is>
          <t>not captured</t>
        </is>
      </c>
    </row>
    <row r="225" ht="105" customHeight="1">
      <c r="A225" s="3" t="inlineStr">
        <is>
          <t>Kill share (last 6 series, all maps)</t>
        </is>
      </c>
      <c r="B225" s="4" t="inlineStr">
        <is>
          <t>6 series · 15 maps · team 83.5 kills/map
try 23.0% (19.2/map)
latto 22.7% (18.9/map)
dumau 20.8% (17.4/map)
n1ssim 19.0% (15.9/map)
arT 12.6% (13.2/map)
bobz 1.9% (8.0/map) (sub)</t>
        </is>
      </c>
      <c r="C225" s="4" t="inlineStr">
        <is>
          <t>6 series · 13 maps · team 70.4 kills/map
doc 23.3% (16.4/map)
koala 21.7% (15.3/map)
rdnzao 21.2% (14.9/map)
gafolo 18.1% (12.8/map)
maxxkor 15.6% (11.0/map)</t>
        </is>
      </c>
    </row>
    <row r="226">
      <c r="A226" s="3" t="inlineStr">
        <is>
          <t>Last 5 series</t>
        </is>
      </c>
      <c r="B226" s="4" t="inlineStr">
        <is>
          <t>0 - 2  Legacy vs Nemiga
0 - 2  Legacy vs Nemiga
1 - 2  Legacy vs BETBOOM
1 - 2  Legacy vs FURIA
2 - 0  Legacy vs PARIVISION</t>
        </is>
      </c>
      <c r="C226" s="4" t="inlineStr">
        <is>
          <t>2 - 0  FURIA vs DENDELE
0 - 2  DENDELE vs FURIA
2 - 3  DENDELE vs Wildcard
2 - 0  DENDELE vs Imperial
0 - 2  DENDELE vs Wildcard</t>
        </is>
      </c>
    </row>
    <row r="227" ht="150" customHeight="1">
      <c r="A227" s="3" t="inlineStr">
        <is>
          <t>Recent vetoes (last 5)</t>
        </is>
      </c>
      <c r="B227" s="4" t="inlineStr">
        <is>
          <t>First ban: Anubis×5   First pick: Dust2×3, Inferno×1
24th of Octo  Legacy vs Nemiga:  opp ban Inferno · us ban Anubis · opp pick Ancient · us pick Dust2 · us ban Cache · opp ban Mirage · left Nuke
24th of Octo  Legacy vs Nemiga:  opp ban Inferno · us ban Anubis · opp pick Ancient · us pick Dust2 · us ban Cache · opp ban Mirage · left Nuke
16th of Octo  Legacy vs BETBOOM:  opp ban Inferno · us ban Anubis · opp pick Nuke · us pick Dust2 · opp ban Cache · us ban Ancient · left Mirage
15th of Octo  Legacy vs FURIA:  opp ban Ancient · us ban Anubis · opp pick Cache · us pick Inferno · opp ban Dust2 · us ban Nuke · left Mirage
14th of Octo  Legacy vs PARIVISION:  opp ban Nuke · us ban Anubis · opp pick Dust2 · us pick Mirage · opp ban Cache · us ban Inferno · left Ancient</t>
        </is>
      </c>
      <c r="C227" s="4" t="inlineStr">
        <is>
          <t>First ban: Dust2×5   First pick: Ancient×2, Nuke×1
24th of Octo  FURIA vs DENDELE:  us ban Dust2 · opp ban Anubis · us pick Ancient · opp pick Inferno · opp ban Cache · us ban Mirage · left Nuke
24th of Octo  DENDELE vs FURIA:  us ban Dust2 · opp ban Anubis · us pick Ancient · opp pick Inferno · opp ban Cache · us ban Mirage · left Nuke
12th of Octo  DENDELE vs Wildcard:  opp ban Ancient · us ban Dust2 · opp pick Mirage · us pick Nuke · opp pick Inferno · us pick Anubis
11th of Octo  DENDELE vs Imperial:  opp ban Ancient · us ban Dust2 · opp pick Mirage · us pick Inferno · opp ban Anubis · us ban Cache · left Nuke
11th of Octo  DENDELE vs Wildcard:  opp ban Ancient · us ban Dust2 · opp pick Mirage · us pick Cache · opp ban Anubis · us ban Inferno · left Nuke</t>
        </is>
      </c>
    </row>
    <row r="228">
      <c r="A228" s="6" t="inlineStr">
        <is>
          <t>Map</t>
        </is>
      </c>
      <c r="B228" s="6" t="inlineStr">
        <is>
          <t>PF pick %</t>
        </is>
      </c>
      <c r="C228" s="6" t="inlineStr">
        <is>
          <t>A maps</t>
        </is>
      </c>
      <c r="D228" s="6" t="inlineStr">
        <is>
          <t>A W-L</t>
        </is>
      </c>
      <c r="E228" s="6" t="inlineStr">
        <is>
          <t>A avg ±</t>
        </is>
      </c>
      <c r="F228" s="6" t="inlineStr">
        <is>
          <t>A CT %</t>
        </is>
      </c>
      <c r="G228" s="6" t="inlineStr">
        <is>
          <t>A T %</t>
        </is>
      </c>
      <c r="H228" s="6" t="inlineStr">
        <is>
          <t>A pistol</t>
        </is>
      </c>
      <c r="I228" s="6" t="inlineStr">
        <is>
          <t>B maps</t>
        </is>
      </c>
      <c r="J228" s="6" t="inlineStr">
        <is>
          <t>B W-L</t>
        </is>
      </c>
      <c r="K228" s="6" t="inlineStr">
        <is>
          <t>B avg ±</t>
        </is>
      </c>
      <c r="L228" s="6" t="inlineStr">
        <is>
          <t>B CT %</t>
        </is>
      </c>
      <c r="M228" s="6" t="inlineStr">
        <is>
          <t>B T %</t>
        </is>
      </c>
      <c r="N228" s="6" t="inlineStr">
        <is>
          <t>B pistol</t>
        </is>
      </c>
      <c r="O228" s="6" t="inlineStr">
        <is>
          <t>A 8+ | A 3-7 | close/OT | B 3-7 | B 8+</t>
        </is>
      </c>
      <c r="P228" s="6" t="inlineStr">
        <is>
          <t>E rounds</t>
        </is>
      </c>
    </row>
    <row r="229">
      <c r="A229" t="inlineStr">
        <is>
          <t>Mirage</t>
        </is>
      </c>
      <c r="B229" t="inlineStr">
        <is>
          <t>28%</t>
        </is>
      </c>
      <c r="C229" t="n">
        <v>12</v>
      </c>
      <c r="D229" t="inlineStr">
        <is>
          <t>8-4</t>
        </is>
      </c>
      <c r="E229" t="inlineStr">
        <is>
          <t>+0.8</t>
        </is>
      </c>
      <c r="F229" t="inlineStr">
        <is>
          <t>59.0%</t>
        </is>
      </c>
      <c r="G229" t="inlineStr">
        <is>
          <t>45.1%</t>
        </is>
      </c>
      <c r="H229" t="inlineStr">
        <is>
          <t>18/24</t>
        </is>
      </c>
      <c r="I229" t="n">
        <v>12</v>
      </c>
      <c r="J229" t="inlineStr">
        <is>
          <t>7-5</t>
        </is>
      </c>
      <c r="K229" t="inlineStr">
        <is>
          <t>+0.8</t>
        </is>
      </c>
      <c r="L229" t="inlineStr">
        <is>
          <t>55.6%</t>
        </is>
      </c>
      <c r="M229" t="inlineStr">
        <is>
          <t>47.2%</t>
        </is>
      </c>
      <c r="N229" t="inlineStr">
        <is>
          <t>7/24</t>
        </is>
      </c>
      <c r="O229" t="inlineStr">
        <is>
          <t>7% | 29% | 31% | 28% | 6%</t>
        </is>
      </c>
      <c r="P229" t="inlineStr">
        <is>
          <t>22.5</t>
        </is>
      </c>
    </row>
    <row r="230">
      <c r="A230" t="inlineStr">
        <is>
          <t>Ancient</t>
        </is>
      </c>
      <c r="B230" t="inlineStr">
        <is>
          <t>23%</t>
        </is>
      </c>
      <c r="C230" t="n">
        <v>12</v>
      </c>
      <c r="D230" t="inlineStr">
        <is>
          <t>6-6</t>
        </is>
      </c>
      <c r="E230" t="inlineStr">
        <is>
          <t>+0.8</t>
        </is>
      </c>
      <c r="F230" t="inlineStr">
        <is>
          <t>51.4%</t>
        </is>
      </c>
      <c r="G230" t="inlineStr">
        <is>
          <t>52.1%</t>
        </is>
      </c>
      <c r="H230" t="inlineStr">
        <is>
          <t>14/24</t>
        </is>
      </c>
      <c r="I230" t="n">
        <v>8</v>
      </c>
      <c r="J230" t="inlineStr">
        <is>
          <t>4-4</t>
        </is>
      </c>
      <c r="K230" t="inlineStr">
        <is>
          <t>+0.8</t>
        </is>
      </c>
      <c r="L230" t="inlineStr">
        <is>
          <t>58.1%</t>
        </is>
      </c>
      <c r="M230" t="inlineStr">
        <is>
          <t>44.7%</t>
        </is>
      </c>
      <c r="N230" t="inlineStr">
        <is>
          <t>5/16</t>
        </is>
      </c>
      <c r="O230" t="inlineStr">
        <is>
          <t>6% | 29% | 30% | 28% | 6%</t>
        </is>
      </c>
      <c r="P230" t="inlineStr">
        <is>
          <t>22.5</t>
        </is>
      </c>
    </row>
    <row r="231">
      <c r="A231" t="inlineStr">
        <is>
          <t>Cache</t>
        </is>
      </c>
      <c r="B231" t="inlineStr">
        <is>
          <t>18%</t>
        </is>
      </c>
      <c r="C231" t="n">
        <v>4</v>
      </c>
      <c r="D231" t="inlineStr">
        <is>
          <t>2-2</t>
        </is>
      </c>
      <c r="E231" t="inlineStr">
        <is>
          <t>-1.2</t>
        </is>
      </c>
      <c r="F231" t="inlineStr">
        <is>
          <t>45.8%</t>
        </is>
      </c>
      <c r="G231" t="inlineStr">
        <is>
          <t>48.3%</t>
        </is>
      </c>
      <c r="H231" t="inlineStr">
        <is>
          <t>4/8</t>
        </is>
      </c>
      <c r="I231" t="n">
        <v>12</v>
      </c>
      <c r="J231" t="inlineStr">
        <is>
          <t>7-5</t>
        </is>
      </c>
      <c r="K231" t="inlineStr">
        <is>
          <t>+1.1</t>
        </is>
      </c>
      <c r="L231" t="inlineStr">
        <is>
          <t>47.6%</t>
        </is>
      </c>
      <c r="M231" t="inlineStr">
        <is>
          <t>56.2%</t>
        </is>
      </c>
      <c r="N231" t="inlineStr">
        <is>
          <t>11/24</t>
        </is>
      </c>
      <c r="O231" t="inlineStr">
        <is>
          <t>5% | 25% | 30% | 32% | 8%</t>
        </is>
      </c>
      <c r="P231" t="inlineStr">
        <is>
          <t>22.5</t>
        </is>
      </c>
    </row>
    <row r="232">
      <c r="A232" t="inlineStr">
        <is>
          <t>Anubis</t>
        </is>
      </c>
      <c r="B232" t="inlineStr"/>
      <c r="C232" t="n">
        <v>0</v>
      </c>
      <c r="D232" t="inlineStr"/>
      <c r="E232" t="inlineStr"/>
      <c r="F232" t="inlineStr"/>
      <c r="G232" t="inlineStr"/>
      <c r="H232" t="inlineStr"/>
      <c r="I232" t="n">
        <v>6</v>
      </c>
      <c r="J232" t="inlineStr">
        <is>
          <t>3-3</t>
        </is>
      </c>
      <c r="K232" t="inlineStr">
        <is>
          <t>+1.5</t>
        </is>
      </c>
      <c r="L232" t="inlineStr">
        <is>
          <t>60.9%</t>
        </is>
      </c>
      <c r="M232" t="inlineStr">
        <is>
          <t>45.8%</t>
        </is>
      </c>
      <c r="N232" t="inlineStr">
        <is>
          <t>8/12</t>
        </is>
      </c>
      <c r="O232" t="inlineStr">
        <is>
          <t>5% | 26% | 30% | 31% | 7%</t>
        </is>
      </c>
      <c r="P232" t="inlineStr">
        <is>
          <t>22.5</t>
        </is>
      </c>
    </row>
    <row r="233">
      <c r="A233" t="inlineStr">
        <is>
          <t>Dust2</t>
        </is>
      </c>
      <c r="B233" t="inlineStr"/>
      <c r="C233" t="n">
        <v>15</v>
      </c>
      <c r="D233" t="inlineStr">
        <is>
          <t>8-7</t>
        </is>
      </c>
      <c r="E233" t="inlineStr">
        <is>
          <t>-0.2</t>
        </is>
      </c>
      <c r="F233" t="inlineStr">
        <is>
          <t>54.6%</t>
        </is>
      </c>
      <c r="G233" t="inlineStr">
        <is>
          <t>44.7%</t>
        </is>
      </c>
      <c r="H233" t="inlineStr">
        <is>
          <t>16/30</t>
        </is>
      </c>
      <c r="I233" t="n">
        <v>0</v>
      </c>
      <c r="J233" t="inlineStr"/>
      <c r="K233" t="inlineStr"/>
      <c r="L233" t="inlineStr"/>
      <c r="M233" t="inlineStr"/>
      <c r="N233" t="inlineStr"/>
      <c r="O233" t="inlineStr">
        <is>
          <t>6% | 28% | 31% | 29% | 6%</t>
        </is>
      </c>
      <c r="P233" t="inlineStr">
        <is>
          <t>22.5</t>
        </is>
      </c>
    </row>
    <row r="234">
      <c r="A234" t="inlineStr">
        <is>
          <t>Inferno</t>
        </is>
      </c>
      <c r="B234" t="inlineStr"/>
      <c r="C234" t="n">
        <v>6</v>
      </c>
      <c r="D234" t="inlineStr">
        <is>
          <t>4-2</t>
        </is>
      </c>
      <c r="E234" t="inlineStr">
        <is>
          <t>+0.2</t>
        </is>
      </c>
      <c r="F234" t="inlineStr">
        <is>
          <t>47.3%</t>
        </is>
      </c>
      <c r="G234" t="inlineStr">
        <is>
          <t>52.9%</t>
        </is>
      </c>
      <c r="H234" t="inlineStr">
        <is>
          <t>6/12</t>
        </is>
      </c>
      <c r="I234" t="n">
        <v>8</v>
      </c>
      <c r="J234" t="inlineStr">
        <is>
          <t>5-3</t>
        </is>
      </c>
      <c r="K234" t="inlineStr">
        <is>
          <t>+2.1</t>
        </is>
      </c>
      <c r="L234" t="inlineStr">
        <is>
          <t>58.6%</t>
        </is>
      </c>
      <c r="M234" t="inlineStr">
        <is>
          <t>50.0%</t>
        </is>
      </c>
      <c r="N234" t="inlineStr">
        <is>
          <t>5/16</t>
        </is>
      </c>
      <c r="O234" t="inlineStr">
        <is>
          <t>5% | 25% | 30% | 33% | 8%</t>
        </is>
      </c>
      <c r="P234" t="inlineStr">
        <is>
          <t>22.5</t>
        </is>
      </c>
    </row>
    <row r="235">
      <c r="A235" t="inlineStr">
        <is>
          <t>Nuke</t>
        </is>
      </c>
      <c r="B235" t="inlineStr"/>
      <c r="C235" t="n">
        <v>6</v>
      </c>
      <c r="D235" t="inlineStr">
        <is>
          <t>4-2</t>
        </is>
      </c>
      <c r="E235" t="inlineStr">
        <is>
          <t>+1.5</t>
        </is>
      </c>
      <c r="F235" t="inlineStr">
        <is>
          <t>63.6%</t>
        </is>
      </c>
      <c r="G235" t="inlineStr">
        <is>
          <t>41.7%</t>
        </is>
      </c>
      <c r="H235" t="inlineStr">
        <is>
          <t>5/12</t>
        </is>
      </c>
      <c r="I235" t="n">
        <v>7</v>
      </c>
      <c r="J235" t="inlineStr">
        <is>
          <t>3-4</t>
        </is>
      </c>
      <c r="K235" t="inlineStr">
        <is>
          <t>+0.6</t>
        </is>
      </c>
      <c r="L235" t="inlineStr">
        <is>
          <t>67.1%</t>
        </is>
      </c>
      <c r="M235" t="inlineStr">
        <is>
          <t>34.3%</t>
        </is>
      </c>
      <c r="N235" t="inlineStr">
        <is>
          <t>9/14</t>
        </is>
      </c>
      <c r="O235" t="inlineStr">
        <is>
          <t>7% | 30% | 31% | 26% | 6%</t>
        </is>
      </c>
      <c r="P235" t="inlineStr">
        <is>
          <t>22.5</t>
        </is>
      </c>
    </row>
    <row r="237">
      <c r="A237" s="5" t="inlineStr">
        <is>
          <t>CS2 · FORZE.R vs ex-RUSTEC   |   18:00 UTC   |   Bo3   |   Win: FORZE.R 56% – ex-RUSTEC 44%</t>
        </is>
      </c>
    </row>
    <row r="238">
      <c r="A238" s="3" t="inlineStr"/>
      <c r="B238" s="3" t="inlineStr">
        <is>
          <t>FORZE Reload (FORZE.R)</t>
        </is>
      </c>
      <c r="C238" s="3" t="inlineStr">
        <is>
          <t>ex-RUSTEC (ex-RUSTEC)</t>
        </is>
      </c>
    </row>
    <row r="239">
      <c r="A239" s="3" t="inlineStr">
        <is>
          <t>Rank</t>
        </is>
      </c>
      <c r="B239" s="4" t="inlineStr">
        <is>
          <t>HLTV: #80 · VRS: #84</t>
        </is>
      </c>
      <c r="C239" s="4" t="inlineStr">
        <is>
          <t>HLTV: #70 · VRS: #93</t>
        </is>
      </c>
    </row>
    <row r="240">
      <c r="A240" s="3" t="inlineStr">
        <is>
          <t>Last 10 maps (newest first)</t>
        </is>
      </c>
      <c r="B240" s="4" t="inlineStr">
        <is>
          <t>6-4   L L L L W W W W W W</t>
        </is>
      </c>
      <c r="C240" s="4" t="inlineStr">
        <is>
          <t>5-5   W W L W W L L L L W</t>
        </is>
      </c>
    </row>
    <row r="241">
      <c r="A241" s="3" t="inlineStr">
        <is>
          <t>Last 10 maps, avg margin</t>
        </is>
      </c>
      <c r="B241" s="4" t="inlineStr">
        <is>
          <t>+0.6</t>
        </is>
      </c>
      <c r="C241" s="4" t="inlineStr">
        <is>
          <t>-0.9</t>
        </is>
      </c>
    </row>
    <row r="242">
      <c r="A242" s="3" t="inlineStr">
        <is>
          <t>3 months: maps W-L</t>
        </is>
      </c>
      <c r="B242" s="4" t="inlineStr">
        <is>
          <t>52-27 (66%)</t>
        </is>
      </c>
      <c r="C242" s="4" t="inlineStr">
        <is>
          <t>102-77 (57%)</t>
        </is>
      </c>
    </row>
    <row r="243">
      <c r="A243" s="3" t="inlineStr">
        <is>
          <t>Avg margin in wins / losses</t>
        </is>
      </c>
      <c r="B243" s="4" t="inlineStr">
        <is>
          <t>+6.0 / -4.8</t>
        </is>
      </c>
      <c r="C243" s="4" t="inlineStr">
        <is>
          <t>+5.3 / -5.0</t>
        </is>
      </c>
    </row>
    <row r="244">
      <c r="A244" s="3" t="inlineStr">
        <is>
          <t>Stomps for / against (8+)</t>
        </is>
      </c>
      <c r="B244" s="4" t="inlineStr">
        <is>
          <t>17 / 3</t>
        </is>
      </c>
      <c r="C244" s="4" t="inlineStr">
        <is>
          <t>23 / 13</t>
        </is>
      </c>
    </row>
    <row r="245">
      <c r="A245" s="3" t="inlineStr">
        <is>
          <t>Pistols (3 months)</t>
        </is>
      </c>
      <c r="B245" s="4" t="inlineStr">
        <is>
          <t>49.4% (78-80) · R2 conv 85.7% · R2 break 29.1%</t>
        </is>
      </c>
      <c r="C245" s="4" t="inlineStr">
        <is>
          <t>50.0% (179-179) · R2 conv 83.8% · R2 break 20.1%</t>
        </is>
      </c>
    </row>
    <row r="246" ht="105" customHeight="1">
      <c r="A246" s="3" t="inlineStr">
        <is>
          <t>Kill share (last 6 series, all maps)</t>
        </is>
      </c>
      <c r="B246" s="4" t="inlineStr">
        <is>
          <t>6 series · 13 maps · team 76.5 kills/map
HeCkBNk 23.0% (17.6/map)
YumsaN 21.9% (16.8/map)
Lack1 19.8% (15.2/map)
KusMe 17.9% (13.7/map)
NickelBack 12.5% (13.8/map)
relaxxie 4.8% (12.0/map) (sub)</t>
        </is>
      </c>
      <c r="C246" s="4" t="inlineStr">
        <is>
          <t>5 series · 11 maps · team 68.1 kills/map
yiksrezo 21.5% (17.9/map)
bl1x1 20.7% (14.1/map)
youka 19.8% (13.5/map)
Brilliance 16.8% (11.5/map)
jakekeS 7.5% (11.2/map)
shalfey 7.5% (14.0/map) (sub)
relaxxie 6.3% (11.8/map) (sub)</t>
        </is>
      </c>
    </row>
    <row r="247">
      <c r="A247" s="3" t="inlineStr">
        <is>
          <t>Last 5 series</t>
        </is>
      </c>
      <c r="B247" s="4" t="inlineStr">
        <is>
          <t>0 - 2  FORZE Reload vs Nuclear TigeRES
0 - 2  FORZE Reload vs Acend
2 - 0  FORZE Reload vs LFO 10
2 - 0  FORZE Reload vs Rune Eaters
2 - 0  FORZE Reload vs Just Players</t>
        </is>
      </c>
      <c r="C247" s="4" t="inlineStr">
        <is>
          <t>2 - 1  ex-RUSTEC vs Saint Sinners
0 - 1  ex-RUSTEC vs ex-Zero Tenacity
2 - 0  ex-RUSTEC vs mellren
0 - 2  ex-RUSTEC vs Metizport
0 - 2  ex-RUSTEC vs Nuclear TigeRES</t>
        </is>
      </c>
    </row>
    <row r="248" ht="150" customHeight="1">
      <c r="A248" s="3" t="inlineStr">
        <is>
          <t>Recent vetoes (last 5)</t>
        </is>
      </c>
      <c r="B248" s="4" t="inlineStr">
        <is>
          <t>First ban: Inferno×5   First pick: Cache×3, Dust2×2
24th of Octo  FORZE Reload vs Nuclear TigeRES:  us ban Inferno · opp ban Cache · us pick Dust2 · opp pick Anubis · us ban Nuke · opp ban Mirage · left Ancient
24th of Octo  FORZE Reload vs Acend:  opp ban Nuke · us ban Inferno · opp pick Ancient · us pick Cache · opp ban Anubis · us ban Mirage · left Dust2
23rd of Octo  FORZE Reload vs LFO 10:  opp ban Nuke · us ban Inferno · opp pick Ancient · us pick Dust2 · opp ban Cache · us ban Anubis · left Mirage
22nd of Octo  FORZE Reload vs Rune Eaters:  opp ban Nuke · us ban Inferno · opp pick Dust2 · us pick Cache · opp ban Anubis · us ban Mirage · left Ancient
22nd of Octo  FORZE Reload vs Just Players:  opp ban Nuke · us ban Inferno · opp pick Mirage · us pick Cache · opp ban Anubis · us ban Ancient · left Dust2</t>
        </is>
      </c>
      <c r="C248" s="4" t="inlineStr">
        <is>
          <t>First ban: Inferno×3, Mirage×1   First pick: Nuke×3, Anubis×1
23rd of Octo  ex-RUSTEC vs Saint Sinners:  opp ban Cache · us ban Mirage · opp pick Dust2 · us pick Nuke · opp ban Anubis · us ban Inferno · left Ancient
20th of Octo  ex-RUSTEC vs mellren:  us ban Inferno · opp ban Cache · us pick Nuke · opp pick Ancient · us ban Mirage · opp ban Anubis · left Dust2
20th of Octo  ex-RUSTEC vs Metizport:  us ban Inferno · opp ban Dust2 · us pick Anubis · opp pick Nuke · opp ban Mirage · us ban Cache · left Ancient
18th of Octo  ex-RUSTEC vs Nuclear TigeRES:  us ban Inferno · opp ban Mirage · us pick Nuke · opp pick Ancient · opp ban Dust2 · us ban Cache · left Anubis</t>
        </is>
      </c>
    </row>
    <row r="249">
      <c r="A249" s="6" t="inlineStr">
        <is>
          <t>Map</t>
        </is>
      </c>
      <c r="B249" s="6" t="inlineStr">
        <is>
          <t>PF pick %</t>
        </is>
      </c>
      <c r="C249" s="6" t="inlineStr">
        <is>
          <t>A maps</t>
        </is>
      </c>
      <c r="D249" s="6" t="inlineStr">
        <is>
          <t>A W-L</t>
        </is>
      </c>
      <c r="E249" s="6" t="inlineStr">
        <is>
          <t>A avg ±</t>
        </is>
      </c>
      <c r="F249" s="6" t="inlineStr">
        <is>
          <t>A CT %</t>
        </is>
      </c>
      <c r="G249" s="6" t="inlineStr">
        <is>
          <t>A T %</t>
        </is>
      </c>
      <c r="H249" s="6" t="inlineStr">
        <is>
          <t>A pistol</t>
        </is>
      </c>
      <c r="I249" s="6" t="inlineStr">
        <is>
          <t>B maps</t>
        </is>
      </c>
      <c r="J249" s="6" t="inlineStr">
        <is>
          <t>B W-L</t>
        </is>
      </c>
      <c r="K249" s="6" t="inlineStr">
        <is>
          <t>B avg ±</t>
        </is>
      </c>
      <c r="L249" s="6" t="inlineStr">
        <is>
          <t>B CT %</t>
        </is>
      </c>
      <c r="M249" s="6" t="inlineStr">
        <is>
          <t>B T %</t>
        </is>
      </c>
      <c r="N249" s="6" t="inlineStr">
        <is>
          <t>B pistol</t>
        </is>
      </c>
      <c r="O249" s="6" t="inlineStr">
        <is>
          <t>A 8+ | A 3-7 | close/OT | B 3-7 | B 8+</t>
        </is>
      </c>
      <c r="P249" s="6" t="inlineStr">
        <is>
          <t>E rounds</t>
        </is>
      </c>
    </row>
    <row r="250">
      <c r="A250" t="inlineStr">
        <is>
          <t>Dust2</t>
        </is>
      </c>
      <c r="B250" t="inlineStr">
        <is>
          <t>29%</t>
        </is>
      </c>
      <c r="C250" t="n">
        <v>19</v>
      </c>
      <c r="D250" t="inlineStr">
        <is>
          <t>13-6</t>
        </is>
      </c>
      <c r="E250" t="inlineStr">
        <is>
          <t>+2.5</t>
        </is>
      </c>
      <c r="F250" t="inlineStr">
        <is>
          <t>57.7%</t>
        </is>
      </c>
      <c r="G250" t="inlineStr">
        <is>
          <t>54.1%</t>
        </is>
      </c>
      <c r="H250" t="inlineStr">
        <is>
          <t>16/38</t>
        </is>
      </c>
      <c r="I250" t="n">
        <v>45</v>
      </c>
      <c r="J250" t="inlineStr">
        <is>
          <t>24-21</t>
        </is>
      </c>
      <c r="K250" t="inlineStr">
        <is>
          <t>+0.7</t>
        </is>
      </c>
      <c r="L250" t="inlineStr">
        <is>
          <t>54.4%</t>
        </is>
      </c>
      <c r="M250" t="inlineStr">
        <is>
          <t>49.1%</t>
        </is>
      </c>
      <c r="N250" t="inlineStr">
        <is>
          <t>43/90</t>
        </is>
      </c>
      <c r="O250" t="inlineStr">
        <is>
          <t>8% | 34% | 30% | 24% | 4%</t>
        </is>
      </c>
      <c r="P250" t="inlineStr">
        <is>
          <t>22.5</t>
        </is>
      </c>
    </row>
    <row r="251">
      <c r="A251" t="inlineStr">
        <is>
          <t>Nuke</t>
        </is>
      </c>
      <c r="B251" t="inlineStr">
        <is>
          <t>24%</t>
        </is>
      </c>
      <c r="C251" t="n">
        <v>12</v>
      </c>
      <c r="D251" t="inlineStr">
        <is>
          <t>8-4</t>
        </is>
      </c>
      <c r="E251" t="inlineStr">
        <is>
          <t>+3.0</t>
        </is>
      </c>
      <c r="F251" t="inlineStr">
        <is>
          <t>60.3%</t>
        </is>
      </c>
      <c r="G251" t="inlineStr">
        <is>
          <t>52.3%</t>
        </is>
      </c>
      <c r="H251" t="inlineStr">
        <is>
          <t>12/24</t>
        </is>
      </c>
      <c r="I251" t="n">
        <v>40</v>
      </c>
      <c r="J251" t="inlineStr">
        <is>
          <t>21-19</t>
        </is>
      </c>
      <c r="K251" t="inlineStr">
        <is>
          <t>-0.3</t>
        </is>
      </c>
      <c r="L251" t="inlineStr">
        <is>
          <t>57.1%</t>
        </is>
      </c>
      <c r="M251" t="inlineStr">
        <is>
          <t>42.1%</t>
        </is>
      </c>
      <c r="N251" t="inlineStr">
        <is>
          <t>40/80</t>
        </is>
      </c>
      <c r="O251" t="inlineStr">
        <is>
          <t>10% | 36% | 30% | 20% | 4%</t>
        </is>
      </c>
      <c r="P251" t="inlineStr">
        <is>
          <t>22.4</t>
        </is>
      </c>
    </row>
    <row r="252">
      <c r="A252" t="inlineStr">
        <is>
          <t>Anubis</t>
        </is>
      </c>
      <c r="B252" t="inlineStr">
        <is>
          <t>19%</t>
        </is>
      </c>
      <c r="C252" t="n">
        <v>11</v>
      </c>
      <c r="D252" t="inlineStr">
        <is>
          <t>5-6</t>
        </is>
      </c>
      <c r="E252" t="inlineStr">
        <is>
          <t>-0.2</t>
        </is>
      </c>
      <c r="F252" t="inlineStr">
        <is>
          <t>47.2%</t>
        </is>
      </c>
      <c r="G252" t="inlineStr">
        <is>
          <t>52.6%</t>
        </is>
      </c>
      <c r="H252" t="inlineStr">
        <is>
          <t>8/22</t>
        </is>
      </c>
      <c r="I252" t="n">
        <v>31</v>
      </c>
      <c r="J252" t="inlineStr">
        <is>
          <t>23-8</t>
        </is>
      </c>
      <c r="K252" t="inlineStr">
        <is>
          <t>+3.0</t>
        </is>
      </c>
      <c r="L252" t="inlineStr">
        <is>
          <t>51.3%</t>
        </is>
      </c>
      <c r="M252" t="inlineStr">
        <is>
          <t>62.0%</t>
        </is>
      </c>
      <c r="N252" t="inlineStr">
        <is>
          <t>38/62</t>
        </is>
      </c>
      <c r="O252" t="inlineStr">
        <is>
          <t>3% | 19% | 29% | 39% | 11%</t>
        </is>
      </c>
      <c r="P252" t="inlineStr">
        <is>
          <t>22.3</t>
        </is>
      </c>
    </row>
    <row r="253">
      <c r="A253" t="inlineStr">
        <is>
          <t>Ancient</t>
        </is>
      </c>
      <c r="B253" t="inlineStr"/>
      <c r="C253" t="n">
        <v>9</v>
      </c>
      <c r="D253" t="inlineStr">
        <is>
          <t>6-3</t>
        </is>
      </c>
      <c r="E253" t="inlineStr">
        <is>
          <t>+1.6</t>
        </is>
      </c>
      <c r="F253" t="inlineStr">
        <is>
          <t>61.1%</t>
        </is>
      </c>
      <c r="G253" t="inlineStr">
        <is>
          <t>43.2%</t>
        </is>
      </c>
      <c r="H253" t="inlineStr">
        <is>
          <t>11/18</t>
        </is>
      </c>
      <c r="I253" t="n">
        <v>12</v>
      </c>
      <c r="J253" t="inlineStr">
        <is>
          <t>8-4</t>
        </is>
      </c>
      <c r="K253" t="inlineStr">
        <is>
          <t>+1.2</t>
        </is>
      </c>
      <c r="L253" t="inlineStr">
        <is>
          <t>53.5%</t>
        </is>
      </c>
      <c r="M253" t="inlineStr">
        <is>
          <t>52.1%</t>
        </is>
      </c>
      <c r="N253" t="inlineStr">
        <is>
          <t>12/24</t>
        </is>
      </c>
      <c r="O253" t="inlineStr">
        <is>
          <t>6% | 28% | 31% | 30% | 7%</t>
        </is>
      </c>
      <c r="P253" t="inlineStr">
        <is>
          <t>22.5</t>
        </is>
      </c>
    </row>
    <row r="254">
      <c r="A254" t="inlineStr">
        <is>
          <t>Cache</t>
        </is>
      </c>
      <c r="B254" t="inlineStr"/>
      <c r="C254" t="n">
        <v>15</v>
      </c>
      <c r="D254" t="inlineStr">
        <is>
          <t>12-3</t>
        </is>
      </c>
      <c r="E254" t="inlineStr">
        <is>
          <t>+4.1</t>
        </is>
      </c>
      <c r="F254" t="inlineStr">
        <is>
          <t>63.9%</t>
        </is>
      </c>
      <c r="G254" t="inlineStr">
        <is>
          <t>57.0%</t>
        </is>
      </c>
      <c r="H254" t="inlineStr">
        <is>
          <t>18/30</t>
        </is>
      </c>
      <c r="I254" t="n">
        <v>15</v>
      </c>
      <c r="J254" t="inlineStr">
        <is>
          <t>7-8</t>
        </is>
      </c>
      <c r="K254" t="inlineStr">
        <is>
          <t>+1.2</t>
        </is>
      </c>
      <c r="L254" t="inlineStr">
        <is>
          <t>54.2%</t>
        </is>
      </c>
      <c r="M254" t="inlineStr">
        <is>
          <t>51.4%</t>
        </is>
      </c>
      <c r="N254" t="inlineStr">
        <is>
          <t>16/30</t>
        </is>
      </c>
      <c r="O254" t="inlineStr">
        <is>
          <t>10% | 38% | 29% | 20% | 3%</t>
        </is>
      </c>
      <c r="P254" t="inlineStr">
        <is>
          <t>22.3</t>
        </is>
      </c>
    </row>
    <row r="255">
      <c r="A255" t="inlineStr">
        <is>
          <t>Inferno</t>
        </is>
      </c>
      <c r="B255" t="inlineStr"/>
      <c r="C255" t="n">
        <v>0</v>
      </c>
      <c r="D255" t="inlineStr"/>
      <c r="E255" t="inlineStr"/>
      <c r="F255" t="inlineStr"/>
      <c r="G255" t="inlineStr"/>
      <c r="H255" t="inlineStr"/>
      <c r="I255" t="n">
        <v>16</v>
      </c>
      <c r="J255" t="inlineStr">
        <is>
          <t>9-7</t>
        </is>
      </c>
      <c r="K255" t="inlineStr">
        <is>
          <t>-0.3</t>
        </is>
      </c>
      <c r="L255" t="inlineStr">
        <is>
          <t>54.1%</t>
        </is>
      </c>
      <c r="M255" t="inlineStr">
        <is>
          <t>43.4%</t>
        </is>
      </c>
      <c r="N255" t="inlineStr">
        <is>
          <t>15/32</t>
        </is>
      </c>
      <c r="O255" t="inlineStr">
        <is>
          <t>7% | 30% | 30% | 27% | 6%</t>
        </is>
      </c>
      <c r="P255" t="inlineStr">
        <is>
          <t>22.5</t>
        </is>
      </c>
    </row>
    <row r="256">
      <c r="A256" t="inlineStr">
        <is>
          <t>Mirage</t>
        </is>
      </c>
      <c r="B256" t="inlineStr"/>
      <c r="C256" t="n">
        <v>13</v>
      </c>
      <c r="D256" t="inlineStr">
        <is>
          <t>8-5</t>
        </is>
      </c>
      <c r="E256" t="inlineStr">
        <is>
          <t>+2.0</t>
        </is>
      </c>
      <c r="F256" t="inlineStr">
        <is>
          <t>58.6%</t>
        </is>
      </c>
      <c r="G256" t="inlineStr">
        <is>
          <t>50.3%</t>
        </is>
      </c>
      <c r="H256" t="inlineStr">
        <is>
          <t>13/26</t>
        </is>
      </c>
      <c r="I256" t="n">
        <v>20</v>
      </c>
      <c r="J256" t="inlineStr">
        <is>
          <t>10-10</t>
        </is>
      </c>
      <c r="K256" t="inlineStr">
        <is>
          <t>+0.8</t>
        </is>
      </c>
      <c r="L256" t="inlineStr">
        <is>
          <t>55.1%</t>
        </is>
      </c>
      <c r="M256" t="inlineStr">
        <is>
          <t>48.1%</t>
        </is>
      </c>
      <c r="N256" t="inlineStr">
        <is>
          <t>15/40</t>
        </is>
      </c>
      <c r="O256" t="inlineStr">
        <is>
          <t>7% | 32% | 30% | 25% | 5%</t>
        </is>
      </c>
      <c r="P256" t="inlineStr">
        <is>
          <t>22.5</t>
        </is>
      </c>
    </row>
    <row r="258">
      <c r="A258" s="5" t="inlineStr">
        <is>
          <t>CS2 · paiN vs BST   |   18:00 UTC   |   Bo3   |   Win: paiN 52% – BST 48%   |   2-0 27% · 2-1 25% · 1-2 26% · 0-2 22%</t>
        </is>
      </c>
    </row>
    <row r="259">
      <c r="A259" s="3" t="inlineStr"/>
      <c r="B259" s="3" t="inlineStr">
        <is>
          <t>paiN Gaming (paiN)</t>
        </is>
      </c>
      <c r="C259" s="3" t="inlineStr">
        <is>
          <t>BESTIA (BST)</t>
        </is>
      </c>
    </row>
    <row r="260">
      <c r="A260" s="3" t="inlineStr">
        <is>
          <t>Rank</t>
        </is>
      </c>
      <c r="B260" s="4" t="inlineStr">
        <is>
          <t>HLTV: #32 · VRS: #47</t>
        </is>
      </c>
      <c r="C260" s="4" t="inlineStr">
        <is>
          <t>HLTV: #76 · VRS: #56</t>
        </is>
      </c>
    </row>
    <row r="261">
      <c r="A261" s="3" t="inlineStr">
        <is>
          <t>Last 10 maps (newest first)</t>
        </is>
      </c>
      <c r="B261" s="4" t="inlineStr">
        <is>
          <t>7-3   W W L W L W W L W W</t>
        </is>
      </c>
      <c r="C261" s="4" t="inlineStr">
        <is>
          <t>6-4   L L W W W W W W L L</t>
        </is>
      </c>
    </row>
    <row r="262">
      <c r="A262" s="3" t="inlineStr">
        <is>
          <t>Last 10 maps, avg margin</t>
        </is>
      </c>
      <c r="B262" s="4" t="inlineStr">
        <is>
          <t>+1.0</t>
        </is>
      </c>
      <c r="C262" s="4" t="inlineStr">
        <is>
          <t>+1.7</t>
        </is>
      </c>
    </row>
    <row r="263">
      <c r="A263" s="3" t="inlineStr">
        <is>
          <t>3 months: maps W-L</t>
        </is>
      </c>
      <c r="B263" s="4" t="inlineStr">
        <is>
          <t>24-28 (46%)</t>
        </is>
      </c>
      <c r="C263" s="4" t="inlineStr">
        <is>
          <t>33-25 (57%)</t>
        </is>
      </c>
    </row>
    <row r="264">
      <c r="A264" s="3" t="inlineStr">
        <is>
          <t>Avg margin in wins / losses</t>
        </is>
      </c>
      <c r="B264" s="4" t="inlineStr">
        <is>
          <t>+4.8 / -5.6</t>
        </is>
      </c>
      <c r="C264" s="4" t="inlineStr">
        <is>
          <t>+5.0 / -5.6</t>
        </is>
      </c>
    </row>
    <row r="265">
      <c r="A265" s="3" t="inlineStr">
        <is>
          <t>Stomps for / against (8+)</t>
        </is>
      </c>
      <c r="B265" s="4" t="inlineStr">
        <is>
          <t>3 / 8</t>
        </is>
      </c>
      <c r="C265" s="4" t="inlineStr">
        <is>
          <t>6 / 5</t>
        </is>
      </c>
    </row>
    <row r="266">
      <c r="A266" s="3" t="inlineStr">
        <is>
          <t>Pistols (3 months)</t>
        </is>
      </c>
      <c r="B266" s="4" t="inlineStr">
        <is>
          <t>not captured</t>
        </is>
      </c>
      <c r="C266" s="4" t="inlineStr">
        <is>
          <t>not captured</t>
        </is>
      </c>
    </row>
    <row r="267" ht="105" customHeight="1">
      <c r="A267" s="3" t="inlineStr">
        <is>
          <t>Kill share (last 6 series, all maps)</t>
        </is>
      </c>
      <c r="B267" s="4" t="inlineStr">
        <is>
          <t>6 series · 16 maps · team 69.4 kills/map
biguzera 23.3% (16.2/map)
snow 21.1% (14.6/map)
saffee 20.1% (13.9/map)
Rkzinho 19.0% (13.2/map)
Tatu 16.6% (11.5/map)</t>
        </is>
      </c>
      <c r="C267" s="4" t="inlineStr">
        <is>
          <t>6 series · 13 maps · team 70.6 kills/map
drop 21.8% (15.4/map)
timo 21.1% (14.9/map)
buda 20.4% (14.4/map)
kauez 19.6% (13.8/map)
cass1n 17.1% (12.1/map)</t>
        </is>
      </c>
    </row>
    <row r="268">
      <c r="A268" s="3" t="inlineStr">
        <is>
          <t>Last 5 series</t>
        </is>
      </c>
      <c r="B268" s="4" t="inlineStr">
        <is>
          <t>2 - 0  paiN vs Galorys
1 - 2  paiN vs Imperial
2 - 1  paiN vs Fluxo
2 - 1  paiN vs BARCA
0 - 3  paiN vs Imperial</t>
        </is>
      </c>
      <c r="C268" s="4" t="inlineStr">
        <is>
          <t>0 - 2  BESTIA vs Imperial
2 - 0  BESTIA vs Galorys
2 - 0  BESTIA vs Imperial
2 - 1  BESTIA vs ShindeN
0 - 2  BESTIA vs Voca</t>
        </is>
      </c>
    </row>
    <row r="269" ht="150" customHeight="1">
      <c r="A269" s="3" t="inlineStr">
        <is>
          <t>Recent vetoes (last 5)</t>
        </is>
      </c>
      <c r="B269" s="4" t="inlineStr">
        <is>
          <t>First ban: Ancient×2, Inferno×2   First pick: Dust2×3, Anubis×2
24th of Octo  paiN vs Galorys:  opp ban Mirage · us ban Ancient · opp pick Cache · us pick Dust2 · opp ban Anubis · us ban Inferno · left Nuke
23rd of Octo  paiN vs Imperial:  opp ban Dust2 · us ban Cache · opp pick Inferno · us pick Anubis · opp ban Nuke · us ban Ancient · left Mirage
21st of Octo  paiN vs Fluxo:  opp ban Nuke · us ban Inferno · opp pick Cache · us pick Dust2 · opp ban Mirage · us ban Ancient · left Anubis
21st of Octo  paiN vs BARCA:  opp ban Anubis · us ban Ancient · opp pick Inferno · us pick Dust2 · opp ban Nuke · us ban Cache · left Mirage
27th of Sept  paiN vs Imperial:  us ban Inferno · opp ban Dust2 · us pick Anubis · opp pick Cache · us pick Mirage · opp pick Nuke · left Ancient</t>
        </is>
      </c>
      <c r="C269" s="4" t="inlineStr">
        <is>
          <t>First ban: Anubis×4, Nuke×1   First pick: Dust2×2, Inferno×1
24th of Octo  BESTIA vs Imperial:  opp ban Ancient · us ban Anubis · opp pick Nuke · us pick Dust2 · opp ban Mirage · us ban Cache · left Inferno
23rd of Octo  BESTIA vs Galorys:  opp ban Mirage · us ban Anubis · opp pick Ancient · us pick Inferno · opp ban Dust2 · us ban Nuke · left Cache
22nd of Octo  BESTIA vs Imperial:  us ban Anubis · opp ban Ancient · us pick Dust2 · opp pick Mirage · us ban Nuke · opp ban Cache · left Inferno
22nd of Octo  BESTIA vs ShindeN:  opp ban Mirage · us ban Nuke · opp pick Dust2 · us pick Cache · opp ban Ancient · us ban Anubis · left Inferno
26th of Sept  BESTIA vs Voca:  opp ban Inferno · us ban Anubis · opp pick Ancient · us pick Mirage · opp ban Dust2 · us ban Nuke · left Cache</t>
        </is>
      </c>
    </row>
    <row r="270">
      <c r="A270" s="6" t="inlineStr">
        <is>
          <t>Map</t>
        </is>
      </c>
      <c r="B270" s="6" t="inlineStr">
        <is>
          <t>PF pick %</t>
        </is>
      </c>
      <c r="C270" s="6" t="inlineStr">
        <is>
          <t>A maps</t>
        </is>
      </c>
      <c r="D270" s="6" t="inlineStr">
        <is>
          <t>A W-L</t>
        </is>
      </c>
      <c r="E270" s="6" t="inlineStr">
        <is>
          <t>A avg ±</t>
        </is>
      </c>
      <c r="F270" s="6" t="inlineStr">
        <is>
          <t>A CT %</t>
        </is>
      </c>
      <c r="G270" s="6" t="inlineStr">
        <is>
          <t>A T %</t>
        </is>
      </c>
      <c r="H270" s="6" t="inlineStr">
        <is>
          <t>A pistol</t>
        </is>
      </c>
      <c r="I270" s="6" t="inlineStr">
        <is>
          <t>B maps</t>
        </is>
      </c>
      <c r="J270" s="6" t="inlineStr">
        <is>
          <t>B W-L</t>
        </is>
      </c>
      <c r="K270" s="6" t="inlineStr">
        <is>
          <t>B avg ±</t>
        </is>
      </c>
      <c r="L270" s="6" t="inlineStr">
        <is>
          <t>B CT %</t>
        </is>
      </c>
      <c r="M270" s="6" t="inlineStr">
        <is>
          <t>B T %</t>
        </is>
      </c>
      <c r="N270" s="6" t="inlineStr">
        <is>
          <t>B pistol</t>
        </is>
      </c>
      <c r="O270" s="6" t="inlineStr">
        <is>
          <t>A 8+ | A 3-7 | close/OT | B 3-7 | B 8+</t>
        </is>
      </c>
      <c r="P270" s="6" t="inlineStr">
        <is>
          <t>E rounds</t>
        </is>
      </c>
    </row>
    <row r="271">
      <c r="A271" t="inlineStr">
        <is>
          <t>Dust2</t>
        </is>
      </c>
      <c r="B271" t="inlineStr">
        <is>
          <t>27%</t>
        </is>
      </c>
      <c r="C271" t="n">
        <v>11</v>
      </c>
      <c r="D271" t="inlineStr">
        <is>
          <t>9-2</t>
        </is>
      </c>
      <c r="E271" t="inlineStr">
        <is>
          <t>+3.1</t>
        </is>
      </c>
      <c r="F271" t="inlineStr">
        <is>
          <t>56.1%</t>
        </is>
      </c>
      <c r="G271" t="inlineStr">
        <is>
          <t>57.0%</t>
        </is>
      </c>
      <c r="H271" t="inlineStr">
        <is>
          <t>14/22</t>
        </is>
      </c>
      <c r="I271" t="n">
        <v>15</v>
      </c>
      <c r="J271" t="inlineStr">
        <is>
          <t>9-6</t>
        </is>
      </c>
      <c r="K271" t="inlineStr">
        <is>
          <t>+0.7</t>
        </is>
      </c>
      <c r="L271" t="inlineStr">
        <is>
          <t>45.8%</t>
        </is>
      </c>
      <c r="M271" t="inlineStr">
        <is>
          <t>56.7%</t>
        </is>
      </c>
      <c r="N271" t="inlineStr">
        <is>
          <t>16/30</t>
        </is>
      </c>
      <c r="O271" t="inlineStr">
        <is>
          <t>9% | 34% | 30% | 23% | 4%</t>
        </is>
      </c>
      <c r="P271" t="inlineStr">
        <is>
          <t>22.4</t>
        </is>
      </c>
    </row>
    <row r="272">
      <c r="A272" t="inlineStr">
        <is>
          <t>Mirage</t>
        </is>
      </c>
      <c r="B272" t="inlineStr">
        <is>
          <t>24%</t>
        </is>
      </c>
      <c r="C272" t="n">
        <v>11</v>
      </c>
      <c r="D272" t="inlineStr">
        <is>
          <t>5-6</t>
        </is>
      </c>
      <c r="E272" t="inlineStr">
        <is>
          <t>-0.9</t>
        </is>
      </c>
      <c r="F272" t="inlineStr">
        <is>
          <t>58.2%</t>
        </is>
      </c>
      <c r="G272" t="inlineStr">
        <is>
          <t>38.3%</t>
        </is>
      </c>
      <c r="H272" t="inlineStr">
        <is>
          <t>9/22</t>
        </is>
      </c>
      <c r="I272" t="n">
        <v>12</v>
      </c>
      <c r="J272" t="inlineStr">
        <is>
          <t>7-5</t>
        </is>
      </c>
      <c r="K272" t="inlineStr">
        <is>
          <t>+1.0</t>
        </is>
      </c>
      <c r="L272" t="inlineStr">
        <is>
          <t>53.3%</t>
        </is>
      </c>
      <c r="M272" t="inlineStr">
        <is>
          <t>51.7%</t>
        </is>
      </c>
      <c r="N272" t="inlineStr">
        <is>
          <t>16/24</t>
        </is>
      </c>
      <c r="O272" t="inlineStr">
        <is>
          <t>5% | 24% | 30% | 33% | 8%</t>
        </is>
      </c>
      <c r="P272" t="inlineStr">
        <is>
          <t>22.5</t>
        </is>
      </c>
    </row>
    <row r="273">
      <c r="A273" t="inlineStr">
        <is>
          <t>Cache</t>
        </is>
      </c>
      <c r="B273" t="inlineStr">
        <is>
          <t>18%</t>
        </is>
      </c>
      <c r="C273" t="n">
        <v>9</v>
      </c>
      <c r="D273" t="inlineStr">
        <is>
          <t>3-6</t>
        </is>
      </c>
      <c r="E273" t="inlineStr">
        <is>
          <t>-1.9</t>
        </is>
      </c>
      <c r="F273" t="inlineStr">
        <is>
          <t>43.5%</t>
        </is>
      </c>
      <c r="G273" t="inlineStr">
        <is>
          <t>47.4%</t>
        </is>
      </c>
      <c r="H273" t="inlineStr">
        <is>
          <t>9/18</t>
        </is>
      </c>
      <c r="I273" t="n">
        <v>8</v>
      </c>
      <c r="J273" t="inlineStr">
        <is>
          <t>3-5</t>
        </is>
      </c>
      <c r="K273" t="inlineStr">
        <is>
          <t>-1.9</t>
        </is>
      </c>
      <c r="L273" t="inlineStr">
        <is>
          <t>49.0%</t>
        </is>
      </c>
      <c r="M273" t="inlineStr">
        <is>
          <t>43.0%</t>
        </is>
      </c>
      <c r="N273" t="inlineStr">
        <is>
          <t>12/16</t>
        </is>
      </c>
      <c r="O273" t="inlineStr">
        <is>
          <t>6% | 28% | 30% | 29% | 6%</t>
        </is>
      </c>
      <c r="P273" t="inlineStr">
        <is>
          <t>22.5</t>
        </is>
      </c>
    </row>
    <row r="274">
      <c r="A274" t="inlineStr">
        <is>
          <t>Ancient</t>
        </is>
      </c>
      <c r="B274" t="inlineStr"/>
      <c r="C274" t="n">
        <v>0</v>
      </c>
      <c r="D274" t="inlineStr"/>
      <c r="E274" t="inlineStr"/>
      <c r="F274" t="inlineStr"/>
      <c r="G274" t="inlineStr"/>
      <c r="H274" t="inlineStr"/>
      <c r="I274" t="n">
        <v>8</v>
      </c>
      <c r="J274" t="inlineStr">
        <is>
          <t>4-4</t>
        </is>
      </c>
      <c r="K274" t="inlineStr">
        <is>
          <t>+0.4</t>
        </is>
      </c>
      <c r="L274" t="inlineStr">
        <is>
          <t>57.3%</t>
        </is>
      </c>
      <c r="M274" t="inlineStr">
        <is>
          <t>42.7%</t>
        </is>
      </c>
      <c r="N274" t="inlineStr">
        <is>
          <t>10/16</t>
        </is>
      </c>
      <c r="O274" t="inlineStr">
        <is>
          <t>6% | 29% | 31% | 29% | 6%</t>
        </is>
      </c>
      <c r="P274" t="inlineStr">
        <is>
          <t>22.5</t>
        </is>
      </c>
    </row>
    <row r="275">
      <c r="A275" t="inlineStr">
        <is>
          <t>Anubis</t>
        </is>
      </c>
      <c r="B275" t="inlineStr"/>
      <c r="C275" t="n">
        <v>6</v>
      </c>
      <c r="D275" t="inlineStr">
        <is>
          <t>4-2</t>
        </is>
      </c>
      <c r="E275" t="inlineStr">
        <is>
          <t>+0.8</t>
        </is>
      </c>
      <c r="F275" t="inlineStr">
        <is>
          <t>55.1%</t>
        </is>
      </c>
      <c r="G275" t="inlineStr">
        <is>
          <t>48.4%</t>
        </is>
      </c>
      <c r="H275" t="inlineStr">
        <is>
          <t>5/12</t>
        </is>
      </c>
      <c r="I275" t="n">
        <v>0</v>
      </c>
      <c r="J275" t="inlineStr"/>
      <c r="K275" t="inlineStr"/>
      <c r="L275" t="inlineStr"/>
      <c r="M275" t="inlineStr"/>
      <c r="N275" t="inlineStr"/>
      <c r="O275" t="inlineStr">
        <is>
          <t>7% | 30% | 30% | 27% | 6%</t>
        </is>
      </c>
      <c r="P275" t="inlineStr">
        <is>
          <t>22.5</t>
        </is>
      </c>
    </row>
    <row r="276">
      <c r="A276" t="inlineStr">
        <is>
          <t>Inferno</t>
        </is>
      </c>
      <c r="B276" t="inlineStr"/>
      <c r="C276" t="n">
        <v>8</v>
      </c>
      <c r="D276" t="inlineStr">
        <is>
          <t>0-8</t>
        </is>
      </c>
      <c r="E276" t="inlineStr">
        <is>
          <t>-6.9</t>
        </is>
      </c>
      <c r="F276" t="inlineStr">
        <is>
          <t>35.0%</t>
        </is>
      </c>
      <c r="G276" t="inlineStr">
        <is>
          <t>32.4%</t>
        </is>
      </c>
      <c r="H276" t="inlineStr">
        <is>
          <t>6/16</t>
        </is>
      </c>
      <c r="I276" t="n">
        <v>9</v>
      </c>
      <c r="J276" t="inlineStr">
        <is>
          <t>7-2</t>
        </is>
      </c>
      <c r="K276" t="inlineStr">
        <is>
          <t>+2.3</t>
        </is>
      </c>
      <c r="L276" t="inlineStr">
        <is>
          <t>63.8%</t>
        </is>
      </c>
      <c r="M276" t="inlineStr">
        <is>
          <t>43.7%</t>
        </is>
      </c>
      <c r="N276" t="inlineStr">
        <is>
          <t>11/18</t>
        </is>
      </c>
      <c r="O276" t="inlineStr">
        <is>
          <t>2% | 12% | 24% | 46% | 17%</t>
        </is>
      </c>
      <c r="P276" t="inlineStr">
        <is>
          <t>21.8</t>
        </is>
      </c>
    </row>
    <row r="277">
      <c r="A277" t="inlineStr">
        <is>
          <t>Nuke</t>
        </is>
      </c>
      <c r="B277" t="inlineStr"/>
      <c r="C277" t="n">
        <v>7</v>
      </c>
      <c r="D277" t="inlineStr">
        <is>
          <t>3-4</t>
        </is>
      </c>
      <c r="E277" t="inlineStr">
        <is>
          <t>+0.1</t>
        </is>
      </c>
      <c r="F277" t="inlineStr">
        <is>
          <t>55.9%</t>
        </is>
      </c>
      <c r="G277" t="inlineStr">
        <is>
          <t>45.7%</t>
        </is>
      </c>
      <c r="H277" t="inlineStr">
        <is>
          <t>6/14</t>
        </is>
      </c>
      <c r="I277" t="n">
        <v>6</v>
      </c>
      <c r="J277" t="inlineStr">
        <is>
          <t>3-3</t>
        </is>
      </c>
      <c r="K277" t="inlineStr">
        <is>
          <t>-1.2</t>
        </is>
      </c>
      <c r="L277" t="inlineStr">
        <is>
          <t>50.0%</t>
        </is>
      </c>
      <c r="M277" t="inlineStr">
        <is>
          <t>44.4%</t>
        </is>
      </c>
      <c r="N277" t="inlineStr">
        <is>
          <t>8/12</t>
        </is>
      </c>
      <c r="O277" t="inlineStr">
        <is>
          <t>7% | 32% | 30% | 26% | 5%</t>
        </is>
      </c>
      <c r="P277" t="inlineStr">
        <is>
          <t>22.5</t>
        </is>
      </c>
    </row>
    <row r="279">
      <c r="A279" s="5" t="inlineStr">
        <is>
          <t>CS2 [NO MARKET] · Color vs ex-ZT   |   18:00 UTC   |   Bo3</t>
        </is>
      </c>
    </row>
    <row r="280">
      <c r="A280" s="3" t="inlineStr"/>
      <c r="B280" s="3" t="inlineStr">
        <is>
          <t>Color (Color)</t>
        </is>
      </c>
      <c r="C280" s="3" t="inlineStr">
        <is>
          <t>ex-ZT (ex-ZT)</t>
        </is>
      </c>
    </row>
    <row r="281">
      <c r="A281" s="3" t="inlineStr">
        <is>
          <t>Rank</t>
        </is>
      </c>
      <c r="B281" s="4" t="inlineStr">
        <is>
          <t>HLTV: UnrankedVRS: #72</t>
        </is>
      </c>
      <c r="C281" s="4" t="inlineStr">
        <is>
          <t>HLTV: #67 · VRS: #87</t>
        </is>
      </c>
    </row>
    <row r="282">
      <c r="A282" s="3" t="inlineStr">
        <is>
          <t>Last 10 maps (newest first)</t>
        </is>
      </c>
      <c r="B282" s="4" t="inlineStr">
        <is>
          <t>8-2   L W L W W W W W W W</t>
        </is>
      </c>
      <c r="C282" s="4" t="inlineStr">
        <is>
          <t>6-4   W W L L L W L W W W</t>
        </is>
      </c>
    </row>
    <row r="283">
      <c r="A283" s="3" t="inlineStr">
        <is>
          <t>Last 10 maps, avg margin</t>
        </is>
      </c>
      <c r="B283" s="4" t="inlineStr">
        <is>
          <t>+1.9</t>
        </is>
      </c>
      <c r="C283" s="4" t="inlineStr">
        <is>
          <t>+1.6</t>
        </is>
      </c>
    </row>
    <row r="284">
      <c r="A284" s="3" t="inlineStr">
        <is>
          <t>3 months: maps W-L</t>
        </is>
      </c>
      <c r="B284" s="4" t="inlineStr">
        <is>
          <t>42-24 (64%)</t>
        </is>
      </c>
      <c r="C284" s="4" t="inlineStr">
        <is>
          <t>84-46 (65%)</t>
        </is>
      </c>
    </row>
    <row r="285">
      <c r="A285" s="3" t="inlineStr">
        <is>
          <t>Avg margin in wins / losses</t>
        </is>
      </c>
      <c r="B285" s="4" t="inlineStr">
        <is>
          <t>+5.0 / -4.8</t>
        </is>
      </c>
      <c r="C285" s="4" t="inlineStr">
        <is>
          <t>+5.7 / -5.6</t>
        </is>
      </c>
    </row>
    <row r="286">
      <c r="A286" s="3" t="inlineStr">
        <is>
          <t>Stomps for / against (8+)</t>
        </is>
      </c>
      <c r="B286" s="4" t="inlineStr">
        <is>
          <t>9 / 5</t>
        </is>
      </c>
      <c r="C286" s="4" t="inlineStr">
        <is>
          <t>20 / 12</t>
        </is>
      </c>
    </row>
    <row r="287">
      <c r="A287" s="3" t="inlineStr">
        <is>
          <t>Pistols (3 months)</t>
        </is>
      </c>
      <c r="B287" s="4" t="inlineStr">
        <is>
          <t>not captured</t>
        </is>
      </c>
      <c r="C287" s="4" t="inlineStr">
        <is>
          <t>55.4% (144-116) · R2 conv 86.0% · R2 break 19.8%</t>
        </is>
      </c>
    </row>
    <row r="288" ht="105" customHeight="1">
      <c r="A288" s="3" t="inlineStr">
        <is>
          <t>Kill share (last 6 series, all maps)</t>
        </is>
      </c>
      <c r="B288" s="4" t="inlineStr">
        <is>
          <t>4 series · 9 maps · team 83.2 kills/map
lattykk 22.2% (18.4/map)
oz1k 21.5% (17.9/map)
cronuss 19.2% (16.0/map)
Patsi 19.2% (16.0/map)
reyoz 17.9% (14.9/map)</t>
        </is>
      </c>
      <c r="C288" s="4" t="inlineStr">
        <is>
          <t>5 series · 12 maps · team 70.8 kills/map
Dragon 23.9% (16.9/map)
brutmonster 19.8% (14.0/map)
VLDN 19.8% (14.0/map)
Kind0 17.5% (12.4/map)
Cjoffo 16.9% (12.0/map)
RiiL3 2.1% (6.0/map) (sub)</t>
        </is>
      </c>
    </row>
    <row r="289">
      <c r="A289" s="3" t="inlineStr">
        <is>
          <t>Last 5 series</t>
        </is>
      </c>
      <c r="B289" s="4" t="inlineStr">
        <is>
          <t>0 - 1  Color vs Nuclear TigeRES
1 - 2  Color vs Nemiga
2 - 0  Color vs WW
2 - 0  Color vs UPGRADE
2 - 0  Color vs SPARTA</t>
        </is>
      </c>
      <c r="C289" s="4" t="inlineStr">
        <is>
          <t>2 - 1  ex-Zero Tenacity vs Nuclear TigeRES
1 - 0  ex-Zero Tenacity vs ex-RUSTEC
0 - 2  ex-Zero Tenacity vs FOKUS
2 - 1  ex-Zero Tenacity vs FORZE Reload
2 - 0  ex-Zero Tenacity vs Bushido Wildcats</t>
        </is>
      </c>
    </row>
    <row r="290" ht="150" customHeight="1">
      <c r="A290" s="3" t="inlineStr">
        <is>
          <t>Recent vetoes (last 5)</t>
        </is>
      </c>
      <c r="B290" s="4" t="inlineStr">
        <is>
          <t>First ban: Nuke×4   First pick: Dust2×2, Mirage×2
27th of Sept  Color vs Nemiga:  opp ban Inferno · us ban Nuke · opp pick Cache · us pick Dust2 · opp ban Mirage · us ban Anubis · left Ancient
26th of Sept  Color vs WW:  us ban Nuke · opp ban Cache · us pick Dust2 · opp pick Mirage · us ban Inferno · opp ban Ancient · left Anubis
20th of Sept  Color vs UPGRADE:  opp ban Dust2 · us ban Nuke · opp pick Anubis · us pick Mirage · opp ban Cache · us ban Ancient · left Inferno
18th of Sept  Color vs SPARTA:  opp ban Anubis · us ban Nuke · opp pick Dust2 · us pick Mirage · opp ban Ancient · us ban Cache · left Inferno</t>
        </is>
      </c>
      <c r="C290" s="4" t="inlineStr">
        <is>
          <t>First ban: Ancient×4   First pick: Inferno×2, Cache×2
24th of Octo  ex-Zero Tenacity vs Nuclear TigeRES:  us ban Ancient · opp ban Cache · us pick Inferno · opp pick Anubis · us ban Nuke · opp ban Mirage · left Dust2
20th of Octo  ex-Zero Tenacity vs FOKUS:  us ban Ancient · opp ban Inferno · us pick Cache · opp pick Nuke · opp ban Anubis · us ban Mirage · left Dust2
20th of Octo  ex-Zero Tenacity vs FORZE Reload:  opp ban Inferno · us ban Ancient · opp pick Dust2 · us pick Cache · opp ban Anubis · us ban Mirage · left Nuke
19th of Octo  ex-Zero Tenacity vs Bushido Wildcats:  opp ban Cache · us ban Ancient · opp pick Mirage · us pick Inferno · opp ban Nuke · us ban Dust2 · left Anubis</t>
        </is>
      </c>
    </row>
    <row r="291">
      <c r="A291" s="6" t="inlineStr">
        <is>
          <t>Map</t>
        </is>
      </c>
      <c r="B291" s="6" t="inlineStr">
        <is>
          <t>PF pick %</t>
        </is>
      </c>
      <c r="C291" s="6" t="inlineStr">
        <is>
          <t>A maps</t>
        </is>
      </c>
      <c r="D291" s="6" t="inlineStr">
        <is>
          <t>A W-L</t>
        </is>
      </c>
      <c r="E291" s="6" t="inlineStr">
        <is>
          <t>A avg ±</t>
        </is>
      </c>
      <c r="F291" s="6" t="inlineStr">
        <is>
          <t>A CT %</t>
        </is>
      </c>
      <c r="G291" s="6" t="inlineStr">
        <is>
          <t>A T %</t>
        </is>
      </c>
      <c r="H291" s="6" t="inlineStr">
        <is>
          <t>A pistol</t>
        </is>
      </c>
      <c r="I291" s="6" t="inlineStr">
        <is>
          <t>B maps</t>
        </is>
      </c>
      <c r="J291" s="6" t="inlineStr">
        <is>
          <t>B W-L</t>
        </is>
      </c>
      <c r="K291" s="6" t="inlineStr">
        <is>
          <t>B avg ±</t>
        </is>
      </c>
      <c r="L291" s="6" t="inlineStr">
        <is>
          <t>B CT %</t>
        </is>
      </c>
      <c r="M291" s="6" t="inlineStr">
        <is>
          <t>B T %</t>
        </is>
      </c>
      <c r="N291" s="6" t="inlineStr">
        <is>
          <t>B pistol</t>
        </is>
      </c>
      <c r="O291" s="6" t="inlineStr">
        <is>
          <t>A 8+ | A 3-7 | close/OT | B 3-7 | B 8+</t>
        </is>
      </c>
      <c r="P291" s="6" t="inlineStr">
        <is>
          <t>E rounds</t>
        </is>
      </c>
    </row>
    <row r="292">
      <c r="A292" t="inlineStr">
        <is>
          <t>Dust2</t>
        </is>
      </c>
      <c r="B292" t="inlineStr">
        <is>
          <t>30%</t>
        </is>
      </c>
      <c r="C292" t="n">
        <v>20</v>
      </c>
      <c r="D292" t="inlineStr">
        <is>
          <t>14-6</t>
        </is>
      </c>
      <c r="E292" t="inlineStr">
        <is>
          <t>+2.1</t>
        </is>
      </c>
      <c r="F292" t="inlineStr">
        <is>
          <t>53.9%</t>
        </is>
      </c>
      <c r="G292" t="inlineStr">
        <is>
          <t>55.0%</t>
        </is>
      </c>
      <c r="H292" t="inlineStr">
        <is>
          <t>20/40</t>
        </is>
      </c>
      <c r="I292" t="n">
        <v>28</v>
      </c>
      <c r="J292" t="inlineStr">
        <is>
          <t>19-9</t>
        </is>
      </c>
      <c r="K292" t="inlineStr">
        <is>
          <t>+1.6</t>
        </is>
      </c>
      <c r="L292" t="inlineStr">
        <is>
          <t>48.1%</t>
        </is>
      </c>
      <c r="M292" t="inlineStr">
        <is>
          <t>60.0%</t>
        </is>
      </c>
      <c r="N292" t="inlineStr">
        <is>
          <t>34/56</t>
        </is>
      </c>
      <c r="O292" t="inlineStr">
        <is>
          <t>6% | 29% | 31% | 28% | 6%</t>
        </is>
      </c>
      <c r="P292" t="inlineStr">
        <is>
          <t>22.5</t>
        </is>
      </c>
    </row>
    <row r="293">
      <c r="A293" t="inlineStr">
        <is>
          <t>Cache</t>
        </is>
      </c>
      <c r="B293" t="inlineStr">
        <is>
          <t>24%</t>
        </is>
      </c>
      <c r="C293" t="n">
        <v>8</v>
      </c>
      <c r="D293" t="inlineStr">
        <is>
          <t>2-6</t>
        </is>
      </c>
      <c r="E293" t="inlineStr">
        <is>
          <t>-2.8</t>
        </is>
      </c>
      <c r="F293" t="inlineStr">
        <is>
          <t>46.1%</t>
        </is>
      </c>
      <c r="G293" t="inlineStr">
        <is>
          <t>39.4%</t>
        </is>
      </c>
      <c r="H293" t="inlineStr">
        <is>
          <t>6/16</t>
        </is>
      </c>
      <c r="I293" t="n">
        <v>32</v>
      </c>
      <c r="J293" t="inlineStr">
        <is>
          <t>23-9</t>
        </is>
      </c>
      <c r="K293" t="inlineStr">
        <is>
          <t>+3.4</t>
        </is>
      </c>
      <c r="L293" t="inlineStr">
        <is>
          <t>56.1%</t>
        </is>
      </c>
      <c r="M293" t="inlineStr">
        <is>
          <t>59.8%</t>
        </is>
      </c>
      <c r="N293" t="inlineStr">
        <is>
          <t>41/64</t>
        </is>
      </c>
      <c r="O293" t="inlineStr">
        <is>
          <t>2% | 12% | 24% | 46% | 16%</t>
        </is>
      </c>
      <c r="P293" t="inlineStr">
        <is>
          <t>21.8</t>
        </is>
      </c>
    </row>
    <row r="294">
      <c r="A294" t="inlineStr">
        <is>
          <t>Mirage</t>
        </is>
      </c>
      <c r="B294" t="inlineStr">
        <is>
          <t>19%</t>
        </is>
      </c>
      <c r="C294" t="n">
        <v>13</v>
      </c>
      <c r="D294" t="inlineStr">
        <is>
          <t>11-2</t>
        </is>
      </c>
      <c r="E294" t="inlineStr">
        <is>
          <t>+2.5</t>
        </is>
      </c>
      <c r="F294" t="inlineStr">
        <is>
          <t>55.5%</t>
        </is>
      </c>
      <c r="G294" t="inlineStr">
        <is>
          <t>55.1%</t>
        </is>
      </c>
      <c r="H294" t="inlineStr">
        <is>
          <t>13/26</t>
        </is>
      </c>
      <c r="I294" t="n">
        <v>17</v>
      </c>
      <c r="J294" t="inlineStr">
        <is>
          <t>9-8</t>
        </is>
      </c>
      <c r="K294" t="inlineStr">
        <is>
          <t>-0.1</t>
        </is>
      </c>
      <c r="L294" t="inlineStr">
        <is>
          <t>52.3%</t>
        </is>
      </c>
      <c r="M294" t="inlineStr">
        <is>
          <t>45.8%</t>
        </is>
      </c>
      <c r="N294" t="inlineStr">
        <is>
          <t>16/34</t>
        </is>
      </c>
      <c r="O294" t="inlineStr">
        <is>
          <t>10% | 36% | 29% | 21% | 4%</t>
        </is>
      </c>
      <c r="P294" t="inlineStr">
        <is>
          <t>22.4</t>
        </is>
      </c>
    </row>
    <row r="295">
      <c r="A295" t="inlineStr">
        <is>
          <t>Ancient</t>
        </is>
      </c>
      <c r="B295" t="inlineStr"/>
      <c r="C295" t="n">
        <v>10</v>
      </c>
      <c r="D295" t="inlineStr">
        <is>
          <t>6-4</t>
        </is>
      </c>
      <c r="E295" t="inlineStr">
        <is>
          <t>+2.5</t>
        </is>
      </c>
      <c r="F295" t="inlineStr">
        <is>
          <t>57.6%</t>
        </is>
      </c>
      <c r="G295" t="inlineStr">
        <is>
          <t>54.6%</t>
        </is>
      </c>
      <c r="H295" t="inlineStr">
        <is>
          <t>11/20</t>
        </is>
      </c>
      <c r="I295" t="n">
        <v>0</v>
      </c>
      <c r="J295" t="inlineStr"/>
      <c r="K295" t="inlineStr"/>
      <c r="L295" t="inlineStr"/>
      <c r="M295" t="inlineStr"/>
      <c r="N295" t="inlineStr"/>
      <c r="O295" t="inlineStr">
        <is>
          <t>9% | 35% | 30% | 22% | 4%</t>
        </is>
      </c>
      <c r="P295" t="inlineStr">
        <is>
          <t>22.4</t>
        </is>
      </c>
    </row>
    <row r="296">
      <c r="A296" t="inlineStr">
        <is>
          <t>Anubis</t>
        </is>
      </c>
      <c r="B296" t="inlineStr"/>
      <c r="C296" t="n">
        <v>8</v>
      </c>
      <c r="D296" t="inlineStr">
        <is>
          <t>5-3</t>
        </is>
      </c>
      <c r="E296" t="inlineStr">
        <is>
          <t>+1.8</t>
        </is>
      </c>
      <c r="F296" t="inlineStr">
        <is>
          <t>43.0%</t>
        </is>
      </c>
      <c r="G296" t="inlineStr">
        <is>
          <t>61.9%</t>
        </is>
      </c>
      <c r="H296" t="inlineStr">
        <is>
          <t>6/16</t>
        </is>
      </c>
      <c r="I296" t="n">
        <v>10</v>
      </c>
      <c r="J296" t="inlineStr">
        <is>
          <t>7-3</t>
        </is>
      </c>
      <c r="K296" t="inlineStr">
        <is>
          <t>+1.1</t>
        </is>
      </c>
      <c r="L296" t="inlineStr">
        <is>
          <t>51.0%</t>
        </is>
      </c>
      <c r="M296" t="inlineStr">
        <is>
          <t>54.4%</t>
        </is>
      </c>
      <c r="N296" t="inlineStr">
        <is>
          <t>10/20</t>
        </is>
      </c>
      <c r="O296" t="inlineStr">
        <is>
          <t>6% | 28% | 31% | 29% | 6%</t>
        </is>
      </c>
      <c r="P296" t="inlineStr">
        <is>
          <t>22.5</t>
        </is>
      </c>
    </row>
    <row r="297">
      <c r="A297" t="inlineStr">
        <is>
          <t>Inferno</t>
        </is>
      </c>
      <c r="B297" t="inlineStr"/>
      <c r="C297" t="n">
        <v>7</v>
      </c>
      <c r="D297" t="inlineStr">
        <is>
          <t>4-3</t>
        </is>
      </c>
      <c r="E297" t="inlineStr">
        <is>
          <t>+0.1</t>
        </is>
      </c>
      <c r="F297" t="inlineStr">
        <is>
          <t>60.3%</t>
        </is>
      </c>
      <c r="G297" t="inlineStr">
        <is>
          <t>41.8%</t>
        </is>
      </c>
      <c r="H297" t="inlineStr">
        <is>
          <t>7/14</t>
        </is>
      </c>
      <c r="I297" t="n">
        <v>20</v>
      </c>
      <c r="J297" t="inlineStr">
        <is>
          <t>13-7</t>
        </is>
      </c>
      <c r="K297" t="inlineStr">
        <is>
          <t>+2.1</t>
        </is>
      </c>
      <c r="L297" t="inlineStr">
        <is>
          <t>58.2%</t>
        </is>
      </c>
      <c r="M297" t="inlineStr">
        <is>
          <t>52.2%</t>
        </is>
      </c>
      <c r="N297" t="inlineStr">
        <is>
          <t>24/40</t>
        </is>
      </c>
      <c r="O297" t="inlineStr">
        <is>
          <t>4% | 22% | 30% | 35% | 9%</t>
        </is>
      </c>
      <c r="P297" t="inlineStr">
        <is>
          <t>22.4</t>
        </is>
      </c>
    </row>
    <row r="298">
      <c r="A298" t="inlineStr">
        <is>
          <t>Nuke</t>
        </is>
      </c>
      <c r="B298" t="inlineStr"/>
      <c r="C298" t="n">
        <v>0</v>
      </c>
      <c r="D298" t="inlineStr"/>
      <c r="E298" t="inlineStr"/>
      <c r="F298" t="inlineStr"/>
      <c r="G298" t="inlineStr"/>
      <c r="H298" t="inlineStr"/>
      <c r="I298" t="n">
        <v>23</v>
      </c>
      <c r="J298" t="inlineStr">
        <is>
          <t>13-10</t>
        </is>
      </c>
      <c r="K298" t="inlineStr">
        <is>
          <t>+0.8</t>
        </is>
      </c>
      <c r="L298" t="inlineStr">
        <is>
          <t>60.1%</t>
        </is>
      </c>
      <c r="M298" t="inlineStr">
        <is>
          <t>42.1%</t>
        </is>
      </c>
      <c r="N298" t="inlineStr">
        <is>
          <t>19/46</t>
        </is>
      </c>
      <c r="O298" t="inlineStr">
        <is>
          <t>6% | 27% | 31% | 30% | 7%</t>
        </is>
      </c>
      <c r="P298" t="inlineStr">
        <is>
          <t>22.5</t>
        </is>
      </c>
    </row>
  </sheetData>
  <mergeCells count="16">
    <mergeCell ref="A2:L2"/>
    <mergeCell ref="A216:P216"/>
    <mergeCell ref="A46:P46"/>
    <mergeCell ref="A133:P133"/>
    <mergeCell ref="A88:P88"/>
    <mergeCell ref="A67:P67"/>
    <mergeCell ref="A279:P279"/>
    <mergeCell ref="A237:P237"/>
    <mergeCell ref="A154:P154"/>
    <mergeCell ref="A258:P258"/>
    <mergeCell ref="A109:P109"/>
    <mergeCell ref="A4:P4"/>
    <mergeCell ref="A195:P195"/>
    <mergeCell ref="A25:P25"/>
    <mergeCell ref="A112:P112"/>
    <mergeCell ref="A174:P1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 FUT vs TL</t>
        </is>
      </c>
    </row>
    <row r="4">
      <c r="A4" s="3" t="inlineStr">
        <is>
          <t>Teams</t>
        </is>
      </c>
      <c r="B4">
        <f>IFERROR(IF(INDEX(Matches!$E$5:$E$19,MATCH($B$2,Matches!$A$5:$A$19,0))="","",INDEX(Matches!$E$5:$E$19,MATCH($B$2,Matches!$A$5:$A$19,0))),"")&amp;"  vs  "&amp;IFERROR(IF(INDEX(Matches!$F$5:$F$19,MATCH($B$2,Matches!$A$5:$A$19,0))="","",INDEX(Matches!$F$5:$F$19,MATCH($B$2,Matches!$A$5:$A$19,0))),"")</f>
        <v/>
      </c>
      <c r="D4" s="3" t="inlineStr">
        <is>
          <t>Start (CT)</t>
        </is>
      </c>
      <c r="E4">
        <f>IFERROR(IF(INDEX(Matches!$C$5:$C$19,MATCH($B$2,Matches!$A$5:$A$19,0))="","",INDEX(Matches!$C$5:$C$19,MATCH($B$2,Matches!$A$5:$A$19,0))),"")</f>
        <v/>
      </c>
      <c r="G4" s="3" t="inlineStr">
        <is>
          <t>Bo</t>
        </is>
      </c>
      <c r="H4">
        <f>IFERROR(IF(INDEX(Matches!$D$5:$D$19,MATCH($B$2,Matches!$A$5:$A$19,0))="","",INDEX(Matches!$D$5:$D$19,MATCH($B$2,Matches!$A$5:$A$19,0))),"")</f>
        <v/>
      </c>
    </row>
    <row r="5">
      <c r="A5" s="3" t="inlineStr">
        <is>
          <t>P(A wins)</t>
        </is>
      </c>
      <c r="B5" s="8">
        <f>IFERROR(IF(INDEX(Matches!$G$5:$G$19,MATCH($B$2,Matches!$A$5:$A$19,0))="","",INDEX(Matches!$G$5:$G$19,MATCH($B$2,Matches!$A$5:$A$19,0))),"")</f>
        <v/>
      </c>
      <c r="D5" s="3" t="inlineStr">
        <is>
          <t>P(A 2-0)</t>
        </is>
      </c>
      <c r="E5" s="8">
        <f>IFERROR(IF(INDEX(Matches!$H$5:$H$19,MATCH($B$2,Matches!$A$5:$A$19,0))="","",INDEX(Matches!$H$5:$H$19,MATCH($B$2,Matches!$A$5:$A$19,0))),"")</f>
        <v/>
      </c>
      <c r="G5" s="3" t="inlineStr">
        <is>
          <t>P(B 2-0)</t>
        </is>
      </c>
      <c r="H5" s="8">
        <f>IFERROR(IF(INDEX(Matches!$I$5:$I$19,MATCH($B$2,Matches!$A$5:$A$19,0))="","",INDEX(Matches!$I$5:$I$19,MATCH($B$2,Matches!$A$5:$A$19,0))),"")</f>
        <v/>
      </c>
    </row>
    <row r="6">
      <c r="A6" s="3" t="inlineStr">
        <is>
          <t>P(3 maps)</t>
        </is>
      </c>
      <c r="B6" s="8">
        <f>IFERROR(IF(INDEX(Matches!$J$5:$J$19,MATCH($B$2,Matches!$A$5:$A$19,0))="","",INDEX(Matches!$J$5:$J$19,MATCH($B$2,Matches!$A$5:$A$19,0))),"")</f>
        <v/>
      </c>
      <c r="D6" s="3" t="inlineStr">
        <is>
          <t>Map pick #1</t>
        </is>
      </c>
      <c r="E6">
        <f>IFERROR(IF(INDEX(Matches!$K$5:$K$19,MATCH($B$2,Matches!$A$5:$A$19,0))="","",INDEX(Matches!$K$5:$K$19,MATCH($B$2,Matches!$A$5:$A$19,0))),"")</f>
        <v/>
      </c>
      <c r="G6" s="3" t="inlineStr">
        <is>
          <t>Map pick #2</t>
        </is>
      </c>
      <c r="H6">
        <f>IFERROR(IF(INDEX(Matches!$L$5:$L$19,MATCH($B$2,Matches!$A$5:$A$19,0))="","",INDEX(Matches!$L$5:$L$19,MATCH($B$2,Matches!$A$5:$A$19,0))),"")</f>
        <v/>
      </c>
    </row>
    <row r="7">
      <c r="A7" s="3" t="inlineStr">
        <is>
          <t>TP rounds M1</t>
        </is>
      </c>
      <c r="B7" s="9">
        <f>IFERROR(IF(INDEX(Matches!$O$5:$O$19,MATCH($B$2,Matches!$A$5:$A$19,0))="","",INDEX(Matches!$O$5:$O$19,MATCH($B$2,Matches!$A$5:$A$19,0))),"")</f>
        <v/>
      </c>
      <c r="D7" s="3" t="inlineStr">
        <is>
          <t>TP rounds M2</t>
        </is>
      </c>
      <c r="E7" s="9">
        <f>IFERROR(IF(INDEX(Matches!$P$5:$P$19,MATCH($B$2,Matches!$A$5:$A$19,0))="","",INDEX(Matches!$P$5:$P$19,MATCH($B$2,Matches!$A$5:$A$19,0))),"")</f>
        <v/>
      </c>
      <c r="G7" s="3" t="inlineStr">
        <is>
          <t>P(OT) M1</t>
        </is>
      </c>
      <c r="H7" s="8">
        <f>IFERROR(IF(INDEX(Matches!$R$5:$R$19,MATCH($B$2,Matches!$A$5:$A$19,0))="","",INDEX(Matches!$R$5:$R$19,MATCH($B$2,Matches!$A$5:$A$19,0))),"")</f>
        <v/>
      </c>
    </row>
    <row r="8">
      <c r="A8" s="3" t="inlineStr">
        <is>
          <t>A margin M1</t>
        </is>
      </c>
      <c r="B8" s="9">
        <f>IFERROR(IF(INDEX(Matches!$S$5:$S$19,MATCH($B$2,Matches!$A$5:$A$19,0))="","",INDEX(Matches!$S$5:$S$19,MATCH($B$2,Matches!$A$5:$A$19,0))),"")</f>
        <v/>
      </c>
      <c r="D8" s="3" t="inlineStr">
        <is>
          <t>A rounds M1</t>
        </is>
      </c>
      <c r="E8" s="9">
        <f>IFERROR(IF(INDEX(Matches!$T$5:$T$19,MATCH($B$2,Matches!$A$5:$A$19,0))="","",INDEX(Matches!$T$5:$T$19,MATCH($B$2,Matches!$A$5:$A$19,0))),"")</f>
        <v/>
      </c>
      <c r="G8" s="3" t="inlineStr">
        <is>
          <t>B rounds M1</t>
        </is>
      </c>
      <c r="H8" s="9">
        <f>IFERROR(IF(INDEX(Matches!$U$5:$U$19,MATCH($B$2,Matches!$A$5:$A$19,0))="","",INDEX(Matches!$U$5:$U$19,MATCH($B$2,Matches!$A$5:$A$19,0))),"")</f>
        <v/>
      </c>
    </row>
    <row r="9">
      <c r="A9" s="3" t="inlineStr">
        <is>
          <t>HLTV rounds M1</t>
        </is>
      </c>
      <c r="B9" s="9">
        <f>IFERROR(IF(INDEX(Matches!$AN$5:$AN$19,MATCH($B$2,Matches!$A$5:$A$19,0))="","",INDEX(Matches!$AN$5:$AN$19,MATCH($B$2,Matches!$A$5:$A$19,0))),"")</f>
        <v/>
      </c>
      <c r="D9" s="3" t="inlineStr">
        <is>
          <t>HLTV A margin M1</t>
        </is>
      </c>
      <c r="E9" s="9">
        <f>IFERROR(IF(INDEX(Matches!$AO$5:$AO$19,MATCH($B$2,Matches!$A$5:$A$19,0))="","",INDEX(Matches!$AO$5:$AO$19,MATCH($B$2,Matches!$A$5:$A$19,0))),"")</f>
        <v/>
      </c>
      <c r="G9" s="3" t="inlineStr">
        <is>
          <t>Hist share A / B</t>
        </is>
      </c>
      <c r="H9">
        <f>IF(IFERROR(IF(INDEX(Matches!$AI$5:$AI$19,MATCH($B$2,Matches!$A$5:$A$19,0))="","",INDEX(Matches!$AI$5:$AI$19,MATCH($B$2,Matches!$A$5:$A$19,0))),"")="","",TEXT(IFERROR(IF(INDEX(Matches!$AI$5:$AI$19,MATCH($B$2,Matches!$A$5:$A$19,0))="","",INDEX(Matches!$AI$5:$AI$19,MATCH($B$2,Matches!$A$5:$A$19,0))),""),"0%")&amp;" / "&amp;TEXT(IFERROR(IF(INDEX(Matches!$AJ$5:$AJ$19,MATCH($B$2,Matches!$A$5:$A$19,0))="","",INDEX(Matches!$AJ$5:$AJ$19,MATCH($B$2,Matches!$A$5:$A$19,0))),""),"0%"))</f>
        <v/>
      </c>
    </row>
    <row r="10">
      <c r="A10" s="3" t="inlineStr">
        <is>
          <t>IN USE</t>
        </is>
      </c>
      <c r="B10">
        <f>"Map 1: "&amp;IFERROR(IF(INDEX(Matches!$W$5:$W$19,MATCH($B$2,Matches!$A$5:$A$19,0))="","",INDEX(Matches!$W$5:$W$19,MATCH($B$2,Matches!$A$5:$A$19,0))),"")&amp;"   ·   Map 2: "&amp;IFERROR(IF(INDEX(Matches!$X$5:$X$19,MATCH($B$2,Matches!$A$5:$A$19,0))="","",INDEX(Matches!$X$5:$X$19,MATCH($B$2,Matches!$A$5:$A$19,0))),"")&amp;IF(IFERROR(IF(INDEX(Matches!$Y$5:$Y$19,MATCH($B$2,Matches!$A$5:$A$19,0))="","",INDEX(Matches!$Y$5:$Y$19,MATCH($B$2,Matches!$A$5:$A$19,0))),"")="","","   ·   Map 3: "&amp;IFERROR(IF(INDEX(Matches!$Y$5:$Y$19,MATCH($B$2,Matches!$A$5:$A$19,0))="","",INDEX(Matches!$Y$5:$Y$19,MATCH($B$2,Matches!$A$5:$A$19,0))),""))</f>
        <v/>
      </c>
    </row>
    <row r="11">
      <c r="B11">
        <f>"Rounds: "&amp;TEXT(IFERROR(IF(INDEX(Matches!$Z$5:$Z$19,MATCH($B$2,Matches!$A$5:$A$19,0))="","",INDEX(Matches!$Z$5:$Z$19,MATCH($B$2,Matches!$A$5:$A$19,0))),""),"0.0")&amp;" / "&amp;TEXT(IFERROR(IF(INDEX(Matches!$AA$5:$AA$19,MATCH($B$2,Matches!$A$5:$A$19,0))="","",INDEX(Matches!$AA$5:$AA$19,MATCH($B$2,Matches!$A$5:$A$19,0))),""),"0.0")&amp;IF(IFERROR(IF(INDEX(Matches!$AB$5:$AB$19,MATCH($B$2,Matches!$A$5:$A$19,0))="","",INDEX(Matches!$AB$5:$AB$19,MATCH($B$2,Matches!$A$5:$A$19,0))),"")="",""," / "&amp;TEXT(IFERROR(IF(INDEX(Matches!$AB$5:$AB$19,MATCH($B$2,Matches!$A$5:$A$19,0))="","",INDEX(Matches!$AB$5:$AB$19,MATCH($B$2,Matches!$A$5:$A$19,0))),""),"0.0"))&amp;"   ·   P(map 3) "&amp;TEXT(IFERROR(IF(INDEX(Matches!$AC$5:$AC$19,MATCH($B$2,Matches!$A$5:$A$19,0))="","",INDEX(Matches!$AC$5:$AC$19,MATCH($B$2,Matches!$A$5:$A$19,0))),""),"0%")</f>
        <v/>
      </c>
    </row>
    <row r="12">
      <c r="B12" s="2">
        <f>"Change maps or rounds on the Matches tab, row "&amp;(MATCH($B$2,Matches!$A$5:$A$19,0)+4)&amp;"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IF($V15="","",INDEX(Calc!$D$2:$D$124,$V15))</f>
        <v/>
      </c>
      <c r="B15">
        <f>IF($V15="","",INDEX(Calc!$E$2:$E$124,$V15))</f>
        <v/>
      </c>
      <c r="C15" s="11">
        <f>IF($V15="","",INDEX(Calc!$T$2:$T$124,$V15))</f>
        <v/>
      </c>
      <c r="D15" s="11">
        <f>IF($V15="","",INDEX(Calc!$AA$2:$AA$124,$V15))</f>
        <v/>
      </c>
      <c r="E15" s="9">
        <f>IF($V15="","",INDEX(Calc!$V$2:$V$124,$V15))</f>
        <v/>
      </c>
      <c r="F15" s="9">
        <f>IF($V15="","",INDEX(Calc!$AC$2:$AC$124,$V15))</f>
        <v/>
      </c>
      <c r="G15" s="9">
        <f>IF($V15="","",INDEX(Calc!$AL$2:$AL$124,$V15))</f>
        <v/>
      </c>
      <c r="H15" s="11">
        <f>IF($V15="","",INDEX(Calc!$BK$2:$BK$124,$V15))</f>
        <v/>
      </c>
      <c r="I15" s="9">
        <f>IF($V15="","",INDEX(Calc!$BD$2:$BD$124,$V15))</f>
        <v/>
      </c>
      <c r="J15">
        <f>IF($V15="","",IFERROR(INDEX(Projections!$F$2:$F$246,MATCH(INDEX(Calc!$A$2:$A$124,$V15)&amp;"|K12",Projections!$Y$2:$Y$246,0)),""))</f>
        <v/>
      </c>
      <c r="K15" s="8">
        <f>IF($V15="","",IFERROR(INDEX(Projections!$I$2:$I$246,MATCH(INDEX(Calc!$A$2:$A$124,$V15)&amp;"|K12",Projections!$Y$2:$Y$246,0)),""))</f>
        <v/>
      </c>
      <c r="L15" s="8">
        <f>IF($V15="","",IFERROR(INDEX(Projections!$AB$2:$AB$246,MATCH(INDEX(Calc!$A$2:$A$124,$V15)&amp;"|K12",Projections!$Y$2:$Y$246,0)),""))</f>
        <v/>
      </c>
      <c r="M15">
        <f>IF($V15="","",IFERROR(INDEX(Projections!$M$2:$M$246,MATCH(INDEX(Calc!$A$2:$A$124,$V15)&amp;"|K12",Projections!$Y$2:$Y$246,0)),""))</f>
        <v/>
      </c>
      <c r="N15" s="8">
        <f>IF($V15="","",IFERROR(INDEX(Projections!$P$2:$P$246,MATCH(INDEX(Calc!$A$2:$A$124,$V15)&amp;"|K12",Projections!$Y$2:$Y$246,0)),""))</f>
        <v/>
      </c>
      <c r="O15" s="8">
        <f>IF($V15="","",INDEX(Calc!$AP$2:$AP$124,$V15))</f>
        <v/>
      </c>
      <c r="P15" s="9">
        <f>IF($V15="","",INDEX(Calc!$AN$2:$AN$124,$V15))</f>
        <v/>
      </c>
      <c r="Q15">
        <f>IF($V15="","",IFERROR(INDEX(Projections!$F$2:$F$246,MATCH(INDEX(Calc!$A$2:$A$124,$V15)&amp;"|H12",Projections!$Y$2:$Y$246,0)),""))</f>
        <v/>
      </c>
      <c r="R15" s="8">
        <f>IF($V15="","",IFERROR(INDEX(Projections!$I$2:$I$246,MATCH(INDEX(Calc!$A$2:$A$124,$V15)&amp;"|H12",Projections!$Y$2:$Y$246,0)),""))</f>
        <v/>
      </c>
      <c r="S15">
        <f>IF($V15="","",INDEX(Calc!$N$2:$N$124,$V15))</f>
        <v/>
      </c>
      <c r="T15">
        <f>IF($V15="","",INDEX(Calc!$AQ$2:$AQ$124,$V15))</f>
        <v/>
      </c>
      <c r="V15">
        <f>IFERROR(MATCH(1,Calc!$AR$2:$AR$124,0),"")</f>
        <v/>
      </c>
    </row>
    <row r="16">
      <c r="A16">
        <f>IF($V16="","",INDEX(Calc!$D$2:$D$124,$V16))</f>
        <v/>
      </c>
      <c r="B16">
        <f>IF($V16="","",INDEX(Calc!$E$2:$E$124,$V16))</f>
        <v/>
      </c>
      <c r="C16" s="11">
        <f>IF($V16="","",INDEX(Calc!$T$2:$T$124,$V16))</f>
        <v/>
      </c>
      <c r="D16" s="11">
        <f>IF($V16="","",INDEX(Calc!$AA$2:$AA$124,$V16))</f>
        <v/>
      </c>
      <c r="E16" s="9">
        <f>IF($V16="","",INDEX(Calc!$V$2:$V$124,$V16))</f>
        <v/>
      </c>
      <c r="F16" s="9">
        <f>IF($V16="","",INDEX(Calc!$AC$2:$AC$124,$V16))</f>
        <v/>
      </c>
      <c r="G16" s="9">
        <f>IF($V16="","",INDEX(Calc!$AL$2:$AL$124,$V16))</f>
        <v/>
      </c>
      <c r="H16" s="11">
        <f>IF($V16="","",INDEX(Calc!$BK$2:$BK$124,$V16))</f>
        <v/>
      </c>
      <c r="I16" s="9">
        <f>IF($V16="","",INDEX(Calc!$BD$2:$BD$124,$V16))</f>
        <v/>
      </c>
      <c r="J16">
        <f>IF($V16="","",IFERROR(INDEX(Projections!$F$2:$F$246,MATCH(INDEX(Calc!$A$2:$A$124,$V16)&amp;"|K12",Projections!$Y$2:$Y$246,0)),""))</f>
        <v/>
      </c>
      <c r="K16" s="8">
        <f>IF($V16="","",IFERROR(INDEX(Projections!$I$2:$I$246,MATCH(INDEX(Calc!$A$2:$A$124,$V16)&amp;"|K12",Projections!$Y$2:$Y$246,0)),""))</f>
        <v/>
      </c>
      <c r="L16" s="8">
        <f>IF($V16="","",IFERROR(INDEX(Projections!$AB$2:$AB$246,MATCH(INDEX(Calc!$A$2:$A$124,$V16)&amp;"|K12",Projections!$Y$2:$Y$246,0)),""))</f>
        <v/>
      </c>
      <c r="M16">
        <f>IF($V16="","",IFERROR(INDEX(Projections!$M$2:$M$246,MATCH(INDEX(Calc!$A$2:$A$124,$V16)&amp;"|K12",Projections!$Y$2:$Y$246,0)),""))</f>
        <v/>
      </c>
      <c r="N16" s="8">
        <f>IF($V16="","",IFERROR(INDEX(Projections!$P$2:$P$246,MATCH(INDEX(Calc!$A$2:$A$124,$V16)&amp;"|K12",Projections!$Y$2:$Y$246,0)),""))</f>
        <v/>
      </c>
      <c r="O16" s="8">
        <f>IF($V16="","",INDEX(Calc!$AP$2:$AP$124,$V16))</f>
        <v/>
      </c>
      <c r="P16" s="9">
        <f>IF($V16="","",INDEX(Calc!$AN$2:$AN$124,$V16))</f>
        <v/>
      </c>
      <c r="Q16">
        <f>IF($V16="","",IFERROR(INDEX(Projections!$F$2:$F$246,MATCH(INDEX(Calc!$A$2:$A$124,$V16)&amp;"|H12",Projections!$Y$2:$Y$246,0)),""))</f>
        <v/>
      </c>
      <c r="R16" s="8">
        <f>IF($V16="","",IFERROR(INDEX(Projections!$I$2:$I$246,MATCH(INDEX(Calc!$A$2:$A$124,$V16)&amp;"|H12",Projections!$Y$2:$Y$246,0)),""))</f>
        <v/>
      </c>
      <c r="S16">
        <f>IF($V16="","",INDEX(Calc!$N$2:$N$124,$V16))</f>
        <v/>
      </c>
      <c r="T16">
        <f>IF($V16="","",INDEX(Calc!$AQ$2:$AQ$124,$V16))</f>
        <v/>
      </c>
      <c r="V16">
        <f>IFERROR(MATCH(2,Calc!$AR$2:$AR$124,0),"")</f>
        <v/>
      </c>
    </row>
    <row r="17">
      <c r="A17">
        <f>IF($V17="","",INDEX(Calc!$D$2:$D$124,$V17))</f>
        <v/>
      </c>
      <c r="B17">
        <f>IF($V17="","",INDEX(Calc!$E$2:$E$124,$V17))</f>
        <v/>
      </c>
      <c r="C17" s="11">
        <f>IF($V17="","",INDEX(Calc!$T$2:$T$124,$V17))</f>
        <v/>
      </c>
      <c r="D17" s="11">
        <f>IF($V17="","",INDEX(Calc!$AA$2:$AA$124,$V17))</f>
        <v/>
      </c>
      <c r="E17" s="9">
        <f>IF($V17="","",INDEX(Calc!$V$2:$V$124,$V17))</f>
        <v/>
      </c>
      <c r="F17" s="9">
        <f>IF($V17="","",INDEX(Calc!$AC$2:$AC$124,$V17))</f>
        <v/>
      </c>
      <c r="G17" s="9">
        <f>IF($V17="","",INDEX(Calc!$AL$2:$AL$124,$V17))</f>
        <v/>
      </c>
      <c r="H17" s="11">
        <f>IF($V17="","",INDEX(Calc!$BK$2:$BK$124,$V17))</f>
        <v/>
      </c>
      <c r="I17" s="9">
        <f>IF($V17="","",INDEX(Calc!$BD$2:$BD$124,$V17))</f>
        <v/>
      </c>
      <c r="J17">
        <f>IF($V17="","",IFERROR(INDEX(Projections!$F$2:$F$246,MATCH(INDEX(Calc!$A$2:$A$124,$V17)&amp;"|K12",Projections!$Y$2:$Y$246,0)),""))</f>
        <v/>
      </c>
      <c r="K17" s="8">
        <f>IF($V17="","",IFERROR(INDEX(Projections!$I$2:$I$246,MATCH(INDEX(Calc!$A$2:$A$124,$V17)&amp;"|K12",Projections!$Y$2:$Y$246,0)),""))</f>
        <v/>
      </c>
      <c r="L17" s="8">
        <f>IF($V17="","",IFERROR(INDEX(Projections!$AB$2:$AB$246,MATCH(INDEX(Calc!$A$2:$A$124,$V17)&amp;"|K12",Projections!$Y$2:$Y$246,0)),""))</f>
        <v/>
      </c>
      <c r="M17">
        <f>IF($V17="","",IFERROR(INDEX(Projections!$M$2:$M$246,MATCH(INDEX(Calc!$A$2:$A$124,$V17)&amp;"|K12",Projections!$Y$2:$Y$246,0)),""))</f>
        <v/>
      </c>
      <c r="N17" s="8">
        <f>IF($V17="","",IFERROR(INDEX(Projections!$P$2:$P$246,MATCH(INDEX(Calc!$A$2:$A$124,$V17)&amp;"|K12",Projections!$Y$2:$Y$246,0)),""))</f>
        <v/>
      </c>
      <c r="O17" s="8">
        <f>IF($V17="","",INDEX(Calc!$AP$2:$AP$124,$V17))</f>
        <v/>
      </c>
      <c r="P17" s="9">
        <f>IF($V17="","",INDEX(Calc!$AN$2:$AN$124,$V17))</f>
        <v/>
      </c>
      <c r="Q17">
        <f>IF($V17="","",IFERROR(INDEX(Projections!$F$2:$F$246,MATCH(INDEX(Calc!$A$2:$A$124,$V17)&amp;"|H12",Projections!$Y$2:$Y$246,0)),""))</f>
        <v/>
      </c>
      <c r="R17" s="8">
        <f>IF($V17="","",IFERROR(INDEX(Projections!$I$2:$I$246,MATCH(INDEX(Calc!$A$2:$A$124,$V17)&amp;"|H12",Projections!$Y$2:$Y$246,0)),""))</f>
        <v/>
      </c>
      <c r="S17">
        <f>IF($V17="","",INDEX(Calc!$N$2:$N$124,$V17))</f>
        <v/>
      </c>
      <c r="T17">
        <f>IF($V17="","",INDEX(Calc!$AQ$2:$AQ$124,$V17))</f>
        <v/>
      </c>
      <c r="V17">
        <f>IFERROR(MATCH(3,Calc!$AR$2:$AR$124,0),"")</f>
        <v/>
      </c>
    </row>
    <row r="18">
      <c r="A18">
        <f>IF($V18="","",INDEX(Calc!$D$2:$D$124,$V18))</f>
        <v/>
      </c>
      <c r="B18">
        <f>IF($V18="","",INDEX(Calc!$E$2:$E$124,$V18))</f>
        <v/>
      </c>
      <c r="C18" s="11">
        <f>IF($V18="","",INDEX(Calc!$T$2:$T$124,$V18))</f>
        <v/>
      </c>
      <c r="D18" s="11">
        <f>IF($V18="","",INDEX(Calc!$AA$2:$AA$124,$V18))</f>
        <v/>
      </c>
      <c r="E18" s="9">
        <f>IF($V18="","",INDEX(Calc!$V$2:$V$124,$V18))</f>
        <v/>
      </c>
      <c r="F18" s="9">
        <f>IF($V18="","",INDEX(Calc!$AC$2:$AC$124,$V18))</f>
        <v/>
      </c>
      <c r="G18" s="9">
        <f>IF($V18="","",INDEX(Calc!$AL$2:$AL$124,$V18))</f>
        <v/>
      </c>
      <c r="H18" s="11">
        <f>IF($V18="","",INDEX(Calc!$BK$2:$BK$124,$V18))</f>
        <v/>
      </c>
      <c r="I18" s="9">
        <f>IF($V18="","",INDEX(Calc!$BD$2:$BD$124,$V18))</f>
        <v/>
      </c>
      <c r="J18">
        <f>IF($V18="","",IFERROR(INDEX(Projections!$F$2:$F$246,MATCH(INDEX(Calc!$A$2:$A$124,$V18)&amp;"|K12",Projections!$Y$2:$Y$246,0)),""))</f>
        <v/>
      </c>
      <c r="K18" s="8">
        <f>IF($V18="","",IFERROR(INDEX(Projections!$I$2:$I$246,MATCH(INDEX(Calc!$A$2:$A$124,$V18)&amp;"|K12",Projections!$Y$2:$Y$246,0)),""))</f>
        <v/>
      </c>
      <c r="L18" s="8">
        <f>IF($V18="","",IFERROR(INDEX(Projections!$AB$2:$AB$246,MATCH(INDEX(Calc!$A$2:$A$124,$V18)&amp;"|K12",Projections!$Y$2:$Y$246,0)),""))</f>
        <v/>
      </c>
      <c r="M18">
        <f>IF($V18="","",IFERROR(INDEX(Projections!$M$2:$M$246,MATCH(INDEX(Calc!$A$2:$A$124,$V18)&amp;"|K12",Projections!$Y$2:$Y$246,0)),""))</f>
        <v/>
      </c>
      <c r="N18" s="8">
        <f>IF($V18="","",IFERROR(INDEX(Projections!$P$2:$P$246,MATCH(INDEX(Calc!$A$2:$A$124,$V18)&amp;"|K12",Projections!$Y$2:$Y$246,0)),""))</f>
        <v/>
      </c>
      <c r="O18" s="8">
        <f>IF($V18="","",INDEX(Calc!$AP$2:$AP$124,$V18))</f>
        <v/>
      </c>
      <c r="P18" s="9">
        <f>IF($V18="","",INDEX(Calc!$AN$2:$AN$124,$V18))</f>
        <v/>
      </c>
      <c r="Q18">
        <f>IF($V18="","",IFERROR(INDEX(Projections!$F$2:$F$246,MATCH(INDEX(Calc!$A$2:$A$124,$V18)&amp;"|H12",Projections!$Y$2:$Y$246,0)),""))</f>
        <v/>
      </c>
      <c r="R18" s="8">
        <f>IF($V18="","",IFERROR(INDEX(Projections!$I$2:$I$246,MATCH(INDEX(Calc!$A$2:$A$124,$V18)&amp;"|H12",Projections!$Y$2:$Y$246,0)),""))</f>
        <v/>
      </c>
      <c r="S18">
        <f>IF($V18="","",INDEX(Calc!$N$2:$N$124,$V18))</f>
        <v/>
      </c>
      <c r="T18">
        <f>IF($V18="","",INDEX(Calc!$AQ$2:$AQ$124,$V18))</f>
        <v/>
      </c>
      <c r="V18">
        <f>IFERROR(MATCH(4,Calc!$AR$2:$AR$124,0),"")</f>
        <v/>
      </c>
    </row>
    <row r="19">
      <c r="A19">
        <f>IF($V19="","",INDEX(Calc!$D$2:$D$124,$V19))</f>
        <v/>
      </c>
      <c r="B19">
        <f>IF($V19="","",INDEX(Calc!$E$2:$E$124,$V19))</f>
        <v/>
      </c>
      <c r="C19" s="11">
        <f>IF($V19="","",INDEX(Calc!$T$2:$T$124,$V19))</f>
        <v/>
      </c>
      <c r="D19" s="11">
        <f>IF($V19="","",INDEX(Calc!$AA$2:$AA$124,$V19))</f>
        <v/>
      </c>
      <c r="E19" s="9">
        <f>IF($V19="","",INDEX(Calc!$V$2:$V$124,$V19))</f>
        <v/>
      </c>
      <c r="F19" s="9">
        <f>IF($V19="","",INDEX(Calc!$AC$2:$AC$124,$V19))</f>
        <v/>
      </c>
      <c r="G19" s="9">
        <f>IF($V19="","",INDEX(Calc!$AL$2:$AL$124,$V19))</f>
        <v/>
      </c>
      <c r="H19" s="11">
        <f>IF($V19="","",INDEX(Calc!$BK$2:$BK$124,$V19))</f>
        <v/>
      </c>
      <c r="I19" s="9">
        <f>IF($V19="","",INDEX(Calc!$BD$2:$BD$124,$V19))</f>
        <v/>
      </c>
      <c r="J19">
        <f>IF($V19="","",IFERROR(INDEX(Projections!$F$2:$F$246,MATCH(INDEX(Calc!$A$2:$A$124,$V19)&amp;"|K12",Projections!$Y$2:$Y$246,0)),""))</f>
        <v/>
      </c>
      <c r="K19" s="8">
        <f>IF($V19="","",IFERROR(INDEX(Projections!$I$2:$I$246,MATCH(INDEX(Calc!$A$2:$A$124,$V19)&amp;"|K12",Projections!$Y$2:$Y$246,0)),""))</f>
        <v/>
      </c>
      <c r="L19" s="8">
        <f>IF($V19="","",IFERROR(INDEX(Projections!$AB$2:$AB$246,MATCH(INDEX(Calc!$A$2:$A$124,$V19)&amp;"|K12",Projections!$Y$2:$Y$246,0)),""))</f>
        <v/>
      </c>
      <c r="M19">
        <f>IF($V19="","",IFERROR(INDEX(Projections!$M$2:$M$246,MATCH(INDEX(Calc!$A$2:$A$124,$V19)&amp;"|K12",Projections!$Y$2:$Y$246,0)),""))</f>
        <v/>
      </c>
      <c r="N19" s="8">
        <f>IF($V19="","",IFERROR(INDEX(Projections!$P$2:$P$246,MATCH(INDEX(Calc!$A$2:$A$124,$V19)&amp;"|K12",Projections!$Y$2:$Y$246,0)),""))</f>
        <v/>
      </c>
      <c r="O19" s="8">
        <f>IF($V19="","",INDEX(Calc!$AP$2:$AP$124,$V19))</f>
        <v/>
      </c>
      <c r="P19" s="9">
        <f>IF($V19="","",INDEX(Calc!$AN$2:$AN$124,$V19))</f>
        <v/>
      </c>
      <c r="Q19">
        <f>IF($V19="","",IFERROR(INDEX(Projections!$F$2:$F$246,MATCH(INDEX(Calc!$A$2:$A$124,$V19)&amp;"|H12",Projections!$Y$2:$Y$246,0)),""))</f>
        <v/>
      </c>
      <c r="R19" s="8">
        <f>IF($V19="","",IFERROR(INDEX(Projections!$I$2:$I$246,MATCH(INDEX(Calc!$A$2:$A$124,$V19)&amp;"|H12",Projections!$Y$2:$Y$246,0)),""))</f>
        <v/>
      </c>
      <c r="S19">
        <f>IF($V19="","",INDEX(Calc!$N$2:$N$124,$V19))</f>
        <v/>
      </c>
      <c r="T19">
        <f>IF($V19="","",INDEX(Calc!$AQ$2:$AQ$124,$V19))</f>
        <v/>
      </c>
      <c r="V19">
        <f>IFERROR(MATCH(5,Calc!$AR$2:$AR$124,0),"")</f>
        <v/>
      </c>
    </row>
    <row r="20">
      <c r="A20">
        <f>IF($V20="","",INDEX(Calc!$D$2:$D$124,$V20))</f>
        <v/>
      </c>
      <c r="B20">
        <f>IF($V20="","",INDEX(Calc!$E$2:$E$124,$V20))</f>
        <v/>
      </c>
      <c r="C20" s="11">
        <f>IF($V20="","",INDEX(Calc!$T$2:$T$124,$V20))</f>
        <v/>
      </c>
      <c r="D20" s="11">
        <f>IF($V20="","",INDEX(Calc!$AA$2:$AA$124,$V20))</f>
        <v/>
      </c>
      <c r="E20" s="9">
        <f>IF($V20="","",INDEX(Calc!$V$2:$V$124,$V20))</f>
        <v/>
      </c>
      <c r="F20" s="9">
        <f>IF($V20="","",INDEX(Calc!$AC$2:$AC$124,$V20))</f>
        <v/>
      </c>
      <c r="G20" s="9">
        <f>IF($V20="","",INDEX(Calc!$AL$2:$AL$124,$V20))</f>
        <v/>
      </c>
      <c r="H20" s="11">
        <f>IF($V20="","",INDEX(Calc!$BK$2:$BK$124,$V20))</f>
        <v/>
      </c>
      <c r="I20" s="9">
        <f>IF($V20="","",INDEX(Calc!$BD$2:$BD$124,$V20))</f>
        <v/>
      </c>
      <c r="J20">
        <f>IF($V20="","",IFERROR(INDEX(Projections!$F$2:$F$246,MATCH(INDEX(Calc!$A$2:$A$124,$V20)&amp;"|K12",Projections!$Y$2:$Y$246,0)),""))</f>
        <v/>
      </c>
      <c r="K20" s="8">
        <f>IF($V20="","",IFERROR(INDEX(Projections!$I$2:$I$246,MATCH(INDEX(Calc!$A$2:$A$124,$V20)&amp;"|K12",Projections!$Y$2:$Y$246,0)),""))</f>
        <v/>
      </c>
      <c r="L20" s="8">
        <f>IF($V20="","",IFERROR(INDEX(Projections!$AB$2:$AB$246,MATCH(INDEX(Calc!$A$2:$A$124,$V20)&amp;"|K12",Projections!$Y$2:$Y$246,0)),""))</f>
        <v/>
      </c>
      <c r="M20">
        <f>IF($V20="","",IFERROR(INDEX(Projections!$M$2:$M$246,MATCH(INDEX(Calc!$A$2:$A$124,$V20)&amp;"|K12",Projections!$Y$2:$Y$246,0)),""))</f>
        <v/>
      </c>
      <c r="N20" s="8">
        <f>IF($V20="","",IFERROR(INDEX(Projections!$P$2:$P$246,MATCH(INDEX(Calc!$A$2:$A$124,$V20)&amp;"|K12",Projections!$Y$2:$Y$246,0)),""))</f>
        <v/>
      </c>
      <c r="O20" s="8">
        <f>IF($V20="","",INDEX(Calc!$AP$2:$AP$124,$V20))</f>
        <v/>
      </c>
      <c r="P20" s="9">
        <f>IF($V20="","",INDEX(Calc!$AN$2:$AN$124,$V20))</f>
        <v/>
      </c>
      <c r="Q20">
        <f>IF($V20="","",IFERROR(INDEX(Projections!$F$2:$F$246,MATCH(INDEX(Calc!$A$2:$A$124,$V20)&amp;"|H12",Projections!$Y$2:$Y$246,0)),""))</f>
        <v/>
      </c>
      <c r="R20" s="8">
        <f>IF($V20="","",IFERROR(INDEX(Projections!$I$2:$I$246,MATCH(INDEX(Calc!$A$2:$A$124,$V20)&amp;"|H12",Projections!$Y$2:$Y$246,0)),""))</f>
        <v/>
      </c>
      <c r="S20">
        <f>IF($V20="","",INDEX(Calc!$N$2:$N$124,$V20))</f>
        <v/>
      </c>
      <c r="T20">
        <f>IF($V20="","",INDEX(Calc!$AQ$2:$AQ$124,$V20))</f>
        <v/>
      </c>
      <c r="V20">
        <f>IFERROR(MATCH(6,Calc!$AR$2:$AR$124,0),"")</f>
        <v/>
      </c>
    </row>
    <row r="21">
      <c r="A21">
        <f>IF($V21="","",INDEX(Calc!$D$2:$D$124,$V21))</f>
        <v/>
      </c>
      <c r="B21">
        <f>IF($V21="","",INDEX(Calc!$E$2:$E$124,$V21))</f>
        <v/>
      </c>
      <c r="C21" s="11">
        <f>IF($V21="","",INDEX(Calc!$T$2:$T$124,$V21))</f>
        <v/>
      </c>
      <c r="D21" s="11">
        <f>IF($V21="","",INDEX(Calc!$AA$2:$AA$124,$V21))</f>
        <v/>
      </c>
      <c r="E21" s="9">
        <f>IF($V21="","",INDEX(Calc!$V$2:$V$124,$V21))</f>
        <v/>
      </c>
      <c r="F21" s="9">
        <f>IF($V21="","",INDEX(Calc!$AC$2:$AC$124,$V21))</f>
        <v/>
      </c>
      <c r="G21" s="9">
        <f>IF($V21="","",INDEX(Calc!$AL$2:$AL$124,$V21))</f>
        <v/>
      </c>
      <c r="H21" s="11">
        <f>IF($V21="","",INDEX(Calc!$BK$2:$BK$124,$V21))</f>
        <v/>
      </c>
      <c r="I21" s="9">
        <f>IF($V21="","",INDEX(Calc!$BD$2:$BD$124,$V21))</f>
        <v/>
      </c>
      <c r="J21">
        <f>IF($V21="","",IFERROR(INDEX(Projections!$F$2:$F$246,MATCH(INDEX(Calc!$A$2:$A$124,$V21)&amp;"|K12",Projections!$Y$2:$Y$246,0)),""))</f>
        <v/>
      </c>
      <c r="K21" s="8">
        <f>IF($V21="","",IFERROR(INDEX(Projections!$I$2:$I$246,MATCH(INDEX(Calc!$A$2:$A$124,$V21)&amp;"|K12",Projections!$Y$2:$Y$246,0)),""))</f>
        <v/>
      </c>
      <c r="L21" s="8">
        <f>IF($V21="","",IFERROR(INDEX(Projections!$AB$2:$AB$246,MATCH(INDEX(Calc!$A$2:$A$124,$V21)&amp;"|K12",Projections!$Y$2:$Y$246,0)),""))</f>
        <v/>
      </c>
      <c r="M21">
        <f>IF($V21="","",IFERROR(INDEX(Projections!$M$2:$M$246,MATCH(INDEX(Calc!$A$2:$A$124,$V21)&amp;"|K12",Projections!$Y$2:$Y$246,0)),""))</f>
        <v/>
      </c>
      <c r="N21" s="8">
        <f>IF($V21="","",IFERROR(INDEX(Projections!$P$2:$P$246,MATCH(INDEX(Calc!$A$2:$A$124,$V21)&amp;"|K12",Projections!$Y$2:$Y$246,0)),""))</f>
        <v/>
      </c>
      <c r="O21" s="8">
        <f>IF($V21="","",INDEX(Calc!$AP$2:$AP$124,$V21))</f>
        <v/>
      </c>
      <c r="P21" s="9">
        <f>IF($V21="","",INDEX(Calc!$AN$2:$AN$124,$V21))</f>
        <v/>
      </c>
      <c r="Q21">
        <f>IF($V21="","",IFERROR(INDEX(Projections!$F$2:$F$246,MATCH(INDEX(Calc!$A$2:$A$124,$V21)&amp;"|H12",Projections!$Y$2:$Y$246,0)),""))</f>
        <v/>
      </c>
      <c r="R21" s="8">
        <f>IF($V21="","",IFERROR(INDEX(Projections!$I$2:$I$246,MATCH(INDEX(Calc!$A$2:$A$124,$V21)&amp;"|H12",Projections!$Y$2:$Y$246,0)),""))</f>
        <v/>
      </c>
      <c r="S21">
        <f>IF($V21="","",INDEX(Calc!$N$2:$N$124,$V21))</f>
        <v/>
      </c>
      <c r="T21">
        <f>IF($V21="","",INDEX(Calc!$AQ$2:$AQ$124,$V21))</f>
        <v/>
      </c>
      <c r="V21">
        <f>IFERROR(MATCH(7,Calc!$AR$2:$AR$124,0),"")</f>
        <v/>
      </c>
    </row>
    <row r="22">
      <c r="A22">
        <f>IF($V22="","",INDEX(Calc!$D$2:$D$124,$V22))</f>
        <v/>
      </c>
      <c r="B22">
        <f>IF($V22="","",INDEX(Calc!$E$2:$E$124,$V22))</f>
        <v/>
      </c>
      <c r="C22" s="11">
        <f>IF($V22="","",INDEX(Calc!$T$2:$T$124,$V22))</f>
        <v/>
      </c>
      <c r="D22" s="11">
        <f>IF($V22="","",INDEX(Calc!$AA$2:$AA$124,$V22))</f>
        <v/>
      </c>
      <c r="E22" s="9">
        <f>IF($V22="","",INDEX(Calc!$V$2:$V$124,$V22))</f>
        <v/>
      </c>
      <c r="F22" s="9">
        <f>IF($V22="","",INDEX(Calc!$AC$2:$AC$124,$V22))</f>
        <v/>
      </c>
      <c r="G22" s="9">
        <f>IF($V22="","",INDEX(Calc!$AL$2:$AL$124,$V22))</f>
        <v/>
      </c>
      <c r="H22" s="11">
        <f>IF($V22="","",INDEX(Calc!$BK$2:$BK$124,$V22))</f>
        <v/>
      </c>
      <c r="I22" s="9">
        <f>IF($V22="","",INDEX(Calc!$BD$2:$BD$124,$V22))</f>
        <v/>
      </c>
      <c r="J22">
        <f>IF($V22="","",IFERROR(INDEX(Projections!$F$2:$F$246,MATCH(INDEX(Calc!$A$2:$A$124,$V22)&amp;"|K12",Projections!$Y$2:$Y$246,0)),""))</f>
        <v/>
      </c>
      <c r="K22" s="8">
        <f>IF($V22="","",IFERROR(INDEX(Projections!$I$2:$I$246,MATCH(INDEX(Calc!$A$2:$A$124,$V22)&amp;"|K12",Projections!$Y$2:$Y$246,0)),""))</f>
        <v/>
      </c>
      <c r="L22" s="8">
        <f>IF($V22="","",IFERROR(INDEX(Projections!$AB$2:$AB$246,MATCH(INDEX(Calc!$A$2:$A$124,$V22)&amp;"|K12",Projections!$Y$2:$Y$246,0)),""))</f>
        <v/>
      </c>
      <c r="M22">
        <f>IF($V22="","",IFERROR(INDEX(Projections!$M$2:$M$246,MATCH(INDEX(Calc!$A$2:$A$124,$V22)&amp;"|K12",Projections!$Y$2:$Y$246,0)),""))</f>
        <v/>
      </c>
      <c r="N22" s="8">
        <f>IF($V22="","",IFERROR(INDEX(Projections!$P$2:$P$246,MATCH(INDEX(Calc!$A$2:$A$124,$V22)&amp;"|K12",Projections!$Y$2:$Y$246,0)),""))</f>
        <v/>
      </c>
      <c r="O22" s="8">
        <f>IF($V22="","",INDEX(Calc!$AP$2:$AP$124,$V22))</f>
        <v/>
      </c>
      <c r="P22" s="9">
        <f>IF($V22="","",INDEX(Calc!$AN$2:$AN$124,$V22))</f>
        <v/>
      </c>
      <c r="Q22">
        <f>IF($V22="","",IFERROR(INDEX(Projections!$F$2:$F$246,MATCH(INDEX(Calc!$A$2:$A$124,$V22)&amp;"|H12",Projections!$Y$2:$Y$246,0)),""))</f>
        <v/>
      </c>
      <c r="R22" s="8">
        <f>IF($V22="","",IFERROR(INDEX(Projections!$I$2:$I$246,MATCH(INDEX(Calc!$A$2:$A$124,$V22)&amp;"|H12",Projections!$Y$2:$Y$246,0)),""))</f>
        <v/>
      </c>
      <c r="S22">
        <f>IF($V22="","",INDEX(Calc!$N$2:$N$124,$V22))</f>
        <v/>
      </c>
      <c r="T22">
        <f>IF($V22="","",INDEX(Calc!$AQ$2:$AQ$124,$V22))</f>
        <v/>
      </c>
      <c r="V22">
        <f>IFERROR(MATCH(8,Calc!$AR$2:$AR$124,0),"")</f>
        <v/>
      </c>
    </row>
    <row r="23">
      <c r="A23">
        <f>IF($V23="","",INDEX(Calc!$D$2:$D$124,$V23))</f>
        <v/>
      </c>
      <c r="B23">
        <f>IF($V23="","",INDEX(Calc!$E$2:$E$124,$V23))</f>
        <v/>
      </c>
      <c r="C23" s="11">
        <f>IF($V23="","",INDEX(Calc!$T$2:$T$124,$V23))</f>
        <v/>
      </c>
      <c r="D23" s="11">
        <f>IF($V23="","",INDEX(Calc!$AA$2:$AA$124,$V23))</f>
        <v/>
      </c>
      <c r="E23" s="9">
        <f>IF($V23="","",INDEX(Calc!$V$2:$V$124,$V23))</f>
        <v/>
      </c>
      <c r="F23" s="9">
        <f>IF($V23="","",INDEX(Calc!$AC$2:$AC$124,$V23))</f>
        <v/>
      </c>
      <c r="G23" s="9">
        <f>IF($V23="","",INDEX(Calc!$AL$2:$AL$124,$V23))</f>
        <v/>
      </c>
      <c r="H23" s="11">
        <f>IF($V23="","",INDEX(Calc!$BK$2:$BK$124,$V23))</f>
        <v/>
      </c>
      <c r="I23" s="9">
        <f>IF($V23="","",INDEX(Calc!$BD$2:$BD$124,$V23))</f>
        <v/>
      </c>
      <c r="J23">
        <f>IF($V23="","",IFERROR(INDEX(Projections!$F$2:$F$246,MATCH(INDEX(Calc!$A$2:$A$124,$V23)&amp;"|K12",Projections!$Y$2:$Y$246,0)),""))</f>
        <v/>
      </c>
      <c r="K23" s="8">
        <f>IF($V23="","",IFERROR(INDEX(Projections!$I$2:$I$246,MATCH(INDEX(Calc!$A$2:$A$124,$V23)&amp;"|K12",Projections!$Y$2:$Y$246,0)),""))</f>
        <v/>
      </c>
      <c r="L23" s="8">
        <f>IF($V23="","",IFERROR(INDEX(Projections!$AB$2:$AB$246,MATCH(INDEX(Calc!$A$2:$A$124,$V23)&amp;"|K12",Projections!$Y$2:$Y$246,0)),""))</f>
        <v/>
      </c>
      <c r="M23">
        <f>IF($V23="","",IFERROR(INDEX(Projections!$M$2:$M$246,MATCH(INDEX(Calc!$A$2:$A$124,$V23)&amp;"|K12",Projections!$Y$2:$Y$246,0)),""))</f>
        <v/>
      </c>
      <c r="N23" s="8">
        <f>IF($V23="","",IFERROR(INDEX(Projections!$P$2:$P$246,MATCH(INDEX(Calc!$A$2:$A$124,$V23)&amp;"|K12",Projections!$Y$2:$Y$246,0)),""))</f>
        <v/>
      </c>
      <c r="O23" s="8">
        <f>IF($V23="","",INDEX(Calc!$AP$2:$AP$124,$V23))</f>
        <v/>
      </c>
      <c r="P23" s="9">
        <f>IF($V23="","",INDEX(Calc!$AN$2:$AN$124,$V23))</f>
        <v/>
      </c>
      <c r="Q23">
        <f>IF($V23="","",IFERROR(INDEX(Projections!$F$2:$F$246,MATCH(INDEX(Calc!$A$2:$A$124,$V23)&amp;"|H12",Projections!$Y$2:$Y$246,0)),""))</f>
        <v/>
      </c>
      <c r="R23" s="8">
        <f>IF($V23="","",IFERROR(INDEX(Projections!$I$2:$I$246,MATCH(INDEX(Calc!$A$2:$A$124,$V23)&amp;"|H12",Projections!$Y$2:$Y$246,0)),""))</f>
        <v/>
      </c>
      <c r="S23">
        <f>IF($V23="","",INDEX(Calc!$N$2:$N$124,$V23))</f>
        <v/>
      </c>
      <c r="T23">
        <f>IF($V23="","",INDEX(Calc!$AQ$2:$AQ$124,$V23))</f>
        <v/>
      </c>
      <c r="V23">
        <f>IFERROR(MATCH(9,Calc!$AR$2:$AR$124,0),"")</f>
        <v/>
      </c>
    </row>
    <row r="24">
      <c r="A24">
        <f>IF($V24="","",INDEX(Calc!$D$2:$D$124,$V24))</f>
        <v/>
      </c>
      <c r="B24">
        <f>IF($V24="","",INDEX(Calc!$E$2:$E$124,$V24))</f>
        <v/>
      </c>
      <c r="C24" s="11">
        <f>IF($V24="","",INDEX(Calc!$T$2:$T$124,$V24))</f>
        <v/>
      </c>
      <c r="D24" s="11">
        <f>IF($V24="","",INDEX(Calc!$AA$2:$AA$124,$V24))</f>
        <v/>
      </c>
      <c r="E24" s="9">
        <f>IF($V24="","",INDEX(Calc!$V$2:$V$124,$V24))</f>
        <v/>
      </c>
      <c r="F24" s="9">
        <f>IF($V24="","",INDEX(Calc!$AC$2:$AC$124,$V24))</f>
        <v/>
      </c>
      <c r="G24" s="9">
        <f>IF($V24="","",INDEX(Calc!$AL$2:$AL$124,$V24))</f>
        <v/>
      </c>
      <c r="H24" s="11">
        <f>IF($V24="","",INDEX(Calc!$BK$2:$BK$124,$V24))</f>
        <v/>
      </c>
      <c r="I24" s="9">
        <f>IF($V24="","",INDEX(Calc!$BD$2:$BD$124,$V24))</f>
        <v/>
      </c>
      <c r="J24">
        <f>IF($V24="","",IFERROR(INDEX(Projections!$F$2:$F$246,MATCH(INDEX(Calc!$A$2:$A$124,$V24)&amp;"|K12",Projections!$Y$2:$Y$246,0)),""))</f>
        <v/>
      </c>
      <c r="K24" s="8">
        <f>IF($V24="","",IFERROR(INDEX(Projections!$I$2:$I$246,MATCH(INDEX(Calc!$A$2:$A$124,$V24)&amp;"|K12",Projections!$Y$2:$Y$246,0)),""))</f>
        <v/>
      </c>
      <c r="L24" s="8">
        <f>IF($V24="","",IFERROR(INDEX(Projections!$AB$2:$AB$246,MATCH(INDEX(Calc!$A$2:$A$124,$V24)&amp;"|K12",Projections!$Y$2:$Y$246,0)),""))</f>
        <v/>
      </c>
      <c r="M24">
        <f>IF($V24="","",IFERROR(INDEX(Projections!$M$2:$M$246,MATCH(INDEX(Calc!$A$2:$A$124,$V24)&amp;"|K12",Projections!$Y$2:$Y$246,0)),""))</f>
        <v/>
      </c>
      <c r="N24" s="8">
        <f>IF($V24="","",IFERROR(INDEX(Projections!$P$2:$P$246,MATCH(INDEX(Calc!$A$2:$A$124,$V24)&amp;"|K12",Projections!$Y$2:$Y$246,0)),""))</f>
        <v/>
      </c>
      <c r="O24" s="8">
        <f>IF($V24="","",INDEX(Calc!$AP$2:$AP$124,$V24))</f>
        <v/>
      </c>
      <c r="P24" s="9">
        <f>IF($V24="","",INDEX(Calc!$AN$2:$AN$124,$V24))</f>
        <v/>
      </c>
      <c r="Q24">
        <f>IF($V24="","",IFERROR(INDEX(Projections!$F$2:$F$246,MATCH(INDEX(Calc!$A$2:$A$124,$V24)&amp;"|H12",Projections!$Y$2:$Y$246,0)),""))</f>
        <v/>
      </c>
      <c r="R24" s="8">
        <f>IF($V24="","",IFERROR(INDEX(Projections!$I$2:$I$246,MATCH(INDEX(Calc!$A$2:$A$124,$V24)&amp;"|H12",Projections!$Y$2:$Y$246,0)),""))</f>
        <v/>
      </c>
      <c r="S24">
        <f>IF($V24="","",INDEX(Calc!$N$2:$N$124,$V24))</f>
        <v/>
      </c>
      <c r="T24">
        <f>IF($V24="","",INDEX(Calc!$AQ$2:$AQ$124,$V24))</f>
        <v/>
      </c>
      <c r="V24">
        <f>IFERROR(MATCH(10,Calc!$AR$2:$AR$124,0),"")</f>
        <v/>
      </c>
    </row>
    <row r="25">
      <c r="A25">
        <f>IF($V25="","",INDEX(Calc!$D$2:$D$124,$V25))</f>
        <v/>
      </c>
      <c r="B25">
        <f>IF($V25="","",INDEX(Calc!$E$2:$E$124,$V25))</f>
        <v/>
      </c>
      <c r="C25" s="11">
        <f>IF($V25="","",INDEX(Calc!$T$2:$T$124,$V25))</f>
        <v/>
      </c>
      <c r="D25" s="11">
        <f>IF($V25="","",INDEX(Calc!$AA$2:$AA$124,$V25))</f>
        <v/>
      </c>
      <c r="E25" s="9">
        <f>IF($V25="","",INDEX(Calc!$V$2:$V$124,$V25))</f>
        <v/>
      </c>
      <c r="F25" s="9">
        <f>IF($V25="","",INDEX(Calc!$AC$2:$AC$124,$V25))</f>
        <v/>
      </c>
      <c r="G25" s="9">
        <f>IF($V25="","",INDEX(Calc!$AL$2:$AL$124,$V25))</f>
        <v/>
      </c>
      <c r="H25" s="11">
        <f>IF($V25="","",INDEX(Calc!$BK$2:$BK$124,$V25))</f>
        <v/>
      </c>
      <c r="I25" s="9">
        <f>IF($V25="","",INDEX(Calc!$BD$2:$BD$124,$V25))</f>
        <v/>
      </c>
      <c r="J25">
        <f>IF($V25="","",IFERROR(INDEX(Projections!$F$2:$F$246,MATCH(INDEX(Calc!$A$2:$A$124,$V25)&amp;"|K12",Projections!$Y$2:$Y$246,0)),""))</f>
        <v/>
      </c>
      <c r="K25" s="8">
        <f>IF($V25="","",IFERROR(INDEX(Projections!$I$2:$I$246,MATCH(INDEX(Calc!$A$2:$A$124,$V25)&amp;"|K12",Projections!$Y$2:$Y$246,0)),""))</f>
        <v/>
      </c>
      <c r="L25" s="8">
        <f>IF($V25="","",IFERROR(INDEX(Projections!$AB$2:$AB$246,MATCH(INDEX(Calc!$A$2:$A$124,$V25)&amp;"|K12",Projections!$Y$2:$Y$246,0)),""))</f>
        <v/>
      </c>
      <c r="M25">
        <f>IF($V25="","",IFERROR(INDEX(Projections!$M$2:$M$246,MATCH(INDEX(Calc!$A$2:$A$124,$V25)&amp;"|K12",Projections!$Y$2:$Y$246,0)),""))</f>
        <v/>
      </c>
      <c r="N25" s="8">
        <f>IF($V25="","",IFERROR(INDEX(Projections!$P$2:$P$246,MATCH(INDEX(Calc!$A$2:$A$124,$V25)&amp;"|K12",Projections!$Y$2:$Y$246,0)),""))</f>
        <v/>
      </c>
      <c r="O25" s="8">
        <f>IF($V25="","",INDEX(Calc!$AP$2:$AP$124,$V25))</f>
        <v/>
      </c>
      <c r="P25" s="9">
        <f>IF($V25="","",INDEX(Calc!$AN$2:$AN$124,$V25))</f>
        <v/>
      </c>
      <c r="Q25">
        <f>IF($V25="","",IFERROR(INDEX(Projections!$F$2:$F$246,MATCH(INDEX(Calc!$A$2:$A$124,$V25)&amp;"|H12",Projections!$Y$2:$Y$246,0)),""))</f>
        <v/>
      </c>
      <c r="R25" s="8">
        <f>IF($V25="","",IFERROR(INDEX(Projections!$I$2:$I$246,MATCH(INDEX(Calc!$A$2:$A$124,$V25)&amp;"|H12",Projections!$Y$2:$Y$246,0)),""))</f>
        <v/>
      </c>
      <c r="S25">
        <f>IF($V25="","",INDEX(Calc!$N$2:$N$124,$V25))</f>
        <v/>
      </c>
      <c r="T25">
        <f>IF($V25="","",INDEX(Calc!$AQ$2:$AQ$124,$V25))</f>
        <v/>
      </c>
      <c r="V25">
        <f>IFERROR(MATCH(11,Calc!$AR$2:$AR$124,0),"")</f>
        <v/>
      </c>
    </row>
    <row r="26">
      <c r="A26">
        <f>IF($V26="","",INDEX(Calc!$D$2:$D$124,$V26))</f>
        <v/>
      </c>
      <c r="B26">
        <f>IF($V26="","",INDEX(Calc!$E$2:$E$124,$V26))</f>
        <v/>
      </c>
      <c r="C26" s="11">
        <f>IF($V26="","",INDEX(Calc!$T$2:$T$124,$V26))</f>
        <v/>
      </c>
      <c r="D26" s="11">
        <f>IF($V26="","",INDEX(Calc!$AA$2:$AA$124,$V26))</f>
        <v/>
      </c>
      <c r="E26" s="9">
        <f>IF($V26="","",INDEX(Calc!$V$2:$V$124,$V26))</f>
        <v/>
      </c>
      <c r="F26" s="9">
        <f>IF($V26="","",INDEX(Calc!$AC$2:$AC$124,$V26))</f>
        <v/>
      </c>
      <c r="G26" s="9">
        <f>IF($V26="","",INDEX(Calc!$AL$2:$AL$124,$V26))</f>
        <v/>
      </c>
      <c r="H26" s="11">
        <f>IF($V26="","",INDEX(Calc!$BK$2:$BK$124,$V26))</f>
        <v/>
      </c>
      <c r="I26" s="9">
        <f>IF($V26="","",INDEX(Calc!$BD$2:$BD$124,$V26))</f>
        <v/>
      </c>
      <c r="J26">
        <f>IF($V26="","",IFERROR(INDEX(Projections!$F$2:$F$246,MATCH(INDEX(Calc!$A$2:$A$124,$V26)&amp;"|K12",Projections!$Y$2:$Y$246,0)),""))</f>
        <v/>
      </c>
      <c r="K26" s="8">
        <f>IF($V26="","",IFERROR(INDEX(Projections!$I$2:$I$246,MATCH(INDEX(Calc!$A$2:$A$124,$V26)&amp;"|K12",Projections!$Y$2:$Y$246,0)),""))</f>
        <v/>
      </c>
      <c r="L26" s="8">
        <f>IF($V26="","",IFERROR(INDEX(Projections!$AB$2:$AB$246,MATCH(INDEX(Calc!$A$2:$A$124,$V26)&amp;"|K12",Projections!$Y$2:$Y$246,0)),""))</f>
        <v/>
      </c>
      <c r="M26">
        <f>IF($V26="","",IFERROR(INDEX(Projections!$M$2:$M$246,MATCH(INDEX(Calc!$A$2:$A$124,$V26)&amp;"|K12",Projections!$Y$2:$Y$246,0)),""))</f>
        <v/>
      </c>
      <c r="N26" s="8">
        <f>IF($V26="","",IFERROR(INDEX(Projections!$P$2:$P$246,MATCH(INDEX(Calc!$A$2:$A$124,$V26)&amp;"|K12",Projections!$Y$2:$Y$246,0)),""))</f>
        <v/>
      </c>
      <c r="O26" s="8">
        <f>IF($V26="","",INDEX(Calc!$AP$2:$AP$124,$V26))</f>
        <v/>
      </c>
      <c r="P26" s="9">
        <f>IF($V26="","",INDEX(Calc!$AN$2:$AN$124,$V26))</f>
        <v/>
      </c>
      <c r="Q26">
        <f>IF($V26="","",IFERROR(INDEX(Projections!$F$2:$F$246,MATCH(INDEX(Calc!$A$2:$A$124,$V26)&amp;"|H12",Projections!$Y$2:$Y$246,0)),""))</f>
        <v/>
      </c>
      <c r="R26" s="8">
        <f>IF($V26="","",IFERROR(INDEX(Projections!$I$2:$I$246,MATCH(INDEX(Calc!$A$2:$A$124,$V26)&amp;"|H12",Projections!$Y$2:$Y$246,0)),""))</f>
        <v/>
      </c>
      <c r="S26">
        <f>IF($V26="","",INDEX(Calc!$N$2:$N$124,$V26))</f>
        <v/>
      </c>
      <c r="T26">
        <f>IF($V26="","",INDEX(Calc!$AQ$2:$AQ$124,$V26))</f>
        <v/>
      </c>
      <c r="V26">
        <f>IFERROR(MATCH(12,Calc!$AR$2:$AR$124,0),"")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=Matches!$A$5:$A$19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9"/>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 FUT vs TL</t>
        </is>
      </c>
      <c r="B5" t="inlineStr">
        <is>
          <t>CS2</t>
        </is>
      </c>
      <c r="C5" t="inlineStr">
        <is>
          <t>Sun 03:00</t>
        </is>
      </c>
      <c r="D5" t="n">
        <v>3</v>
      </c>
      <c r="E5" t="inlineStr">
        <is>
          <t>FUT Esports (FUT)</t>
        </is>
      </c>
      <c r="F5" t="inlineStr">
        <is>
          <t>Liquid (TL)</t>
        </is>
      </c>
      <c r="G5" s="8" t="n">
        <v>0.6823529411764706</v>
      </c>
      <c r="H5" s="8" t="n">
        <v>0.3851687880464859</v>
      </c>
      <c r="I5" s="8" t="n">
        <v>0.146098505810736</v>
      </c>
      <c r="J5" s="8" t="n">
        <v>0.4687327061427781</v>
      </c>
      <c r="K5" t="inlineStr">
        <is>
          <t>Nuke 22%</t>
        </is>
      </c>
      <c r="L5" t="inlineStr">
        <is>
          <t>Anubis 21%</t>
        </is>
      </c>
      <c r="M5" t="inlineStr">
        <is>
          <t>Dust2 19%</t>
        </is>
      </c>
      <c r="N5" t="inlineStr">
        <is>
          <t>HLTV veto: played, minus first-bans (no Map Picks)</t>
        </is>
      </c>
      <c r="O5" s="9" t="n">
        <v>21.42315369261477</v>
      </c>
      <c r="P5" s="9" t="n">
        <v>21.22228360957643</v>
      </c>
      <c r="Q5" s="9" t="n">
        <v>21.31255313119864</v>
      </c>
      <c r="R5" s="8" t="n">
        <v>0.1594202898550725</v>
      </c>
      <c r="S5" s="9" t="n">
        <v>2.5</v>
      </c>
      <c r="T5" s="9" t="n"/>
      <c r="U5" s="9" t="n">
        <v>11.08202247191011</v>
      </c>
      <c r="V5" t="n">
        <v>358</v>
      </c>
      <c r="W5" s="12" t="inlineStr">
        <is>
          <t>Nuke</t>
        </is>
      </c>
      <c r="X5" s="12" t="inlineStr">
        <is>
          <t>Anubis</t>
        </is>
      </c>
      <c r="Y5" s="12" t="inlineStr">
        <is>
          <t>Dust2</t>
        </is>
      </c>
      <c r="Z5" s="13" t="n">
        <v>21.42</v>
      </c>
      <c r="AA5" s="13" t="n">
        <v>21.22</v>
      </c>
      <c r="AB5" s="13" t="n">
        <v>21.31</v>
      </c>
      <c r="AC5" s="14" t="n">
        <v>0.4687</v>
      </c>
      <c r="AD5" t="inlineStr">
        <is>
          <t>FUT</t>
        </is>
      </c>
      <c r="AE5" t="inlineStr">
        <is>
          <t>TL</t>
        </is>
      </c>
      <c r="AF5" s="8" t="n">
        <v>0.5974</v>
      </c>
      <c r="AG5" s="8" t="n">
        <v>0.6585</v>
      </c>
      <c r="AH5" s="8" t="n">
        <v>0.6153999999999999</v>
      </c>
      <c r="AI5" s="8">
        <f>IFERROR(INDEX(HLTV_Teams!$N$2:$N$29,MATCH($A5&amp;"|A",HLTV_Teams!$A$2:$A$29,0)),"")</f>
        <v/>
      </c>
      <c r="AJ5" s="8">
        <f>IFERROR(INDEX(HLTV_Teams!$N$2:$N$29,MATCH($A5&amp;"|B",HLTV_Teams!$A$2:$A$29,0)),"")</f>
        <v/>
      </c>
      <c r="AK5" s="15">
        <f>IF($W5="","",IFERROR((SUMIFS(HLTV_Long!$B$2:$B$395,HLTV_Long!$A$2:$A$395,$A5&amp;"|A|"&amp;$W5&amp;"|lw")+SUMIFS(HLTV_Long!$B$2:$B$395,HLTV_Long!$A$2:$A$395,$A5&amp;"|B|"&amp;$W5&amp;"|wl"))/(COUNTIFS(HLTV_Long!$A$2:$A$395,$A5&amp;"|A|"&amp;$W5&amp;"|lw")+COUNTIFS(HLTV_Long!$A$2:$A$395,$A5&amp;"|B|"&amp;$W5&amp;"|wl")),IFERROR((SUMIFS(HLTV_Long!$B$2:$B$395,HLTV_Long!$A$2:$A$395,$A5&amp;"|A|"&amp;"ALL"&amp;"|lw")+SUMIFS(HLTV_Long!$B$2:$B$395,HLTV_Long!$A$2:$A$395,$A5&amp;"|B|"&amp;"ALL"&amp;"|wl"))/(COUNTIFS(HLTV_Long!$A$2:$A$395,$A5&amp;"|A|"&amp;"ALL"&amp;"|lw")+COUNTIFS(HLTV_Long!$A$2:$A$395,$A5&amp;"|B|"&amp;"ALL"&amp;"|wl")),"")))</f>
        <v/>
      </c>
      <c r="AL5" s="15">
        <f>IF($W5="","",IFERROR((SUMIFS(HLTV_Long!$B$2:$B$395,HLTV_Long!$A$2:$A$395,$A5&amp;"|B|"&amp;$W5&amp;"|lw")+SUMIFS(HLTV_Long!$B$2:$B$395,HLTV_Long!$A$2:$A$395,$A5&amp;"|A|"&amp;$W5&amp;"|wl"))/(COUNTIFS(HLTV_Long!$A$2:$A$395,$A5&amp;"|B|"&amp;$W5&amp;"|lw")+COUNTIFS(HLTV_Long!$A$2:$A$395,$A5&amp;"|A|"&amp;$W5&amp;"|wl")),IFERROR((SUMIFS(HLTV_Long!$B$2:$B$395,HLTV_Long!$A$2:$A$395,$A5&amp;"|B|"&amp;"ALL"&amp;"|lw")+SUMIFS(HLTV_Long!$B$2:$B$395,HLTV_Long!$A$2:$A$395,$A5&amp;"|A|"&amp;"ALL"&amp;"|wl"))/(COUNTIFS(HLTV_Long!$A$2:$A$395,$A5&amp;"|B|"&amp;"ALL"&amp;"|lw")+COUNTIFS(HLTV_Long!$A$2:$A$395,$A5&amp;"|A|"&amp;"ALL"&amp;"|wl")),"")))</f>
        <v/>
      </c>
      <c r="AM5">
        <f>IF($W5="","",COUNTIFS(HLTV_Long!$A$2:$A$395,$A5&amp;"|A|"&amp;$W5&amp;"|lw")+COUNTIFS(HLTV_Long!$A$2:$A$395,$A5&amp;"|B|"&amp;$W5&amp;"|wl")+COUNTIFS(HLTV_Long!$A$2:$A$395,$A5&amp;"|B|"&amp;$W5&amp;"|lw")+COUNTIFS(HLTV_Long!$A$2:$A$395,$A5&amp;"|A|"&amp;$W5&amp;"|wl"))</f>
        <v/>
      </c>
      <c r="AN5" s="15">
        <f>IF(OR($AK5="",$AL5="",$AF5=""),"",13+$AF5*$AK5+(1-$AF5)*$AL5)</f>
        <v/>
      </c>
      <c r="AO5" s="15">
        <f>IF($AN5="","",$AF5*(13-$AK5)-(1-$AF5)*(13-$AL5))</f>
        <v/>
      </c>
      <c r="AP5" s="8">
        <f>IF($AN5="","",($AF5*13+(1-$AF5)*$AL5)/$AN5)</f>
        <v/>
      </c>
      <c r="AQ5" s="15">
        <f>IF($X5="","",IFERROR((SUMIFS(HLTV_Long!$B$2:$B$395,HLTV_Long!$A$2:$A$395,$A5&amp;"|A|"&amp;$X5&amp;"|lw")+SUMIFS(HLTV_Long!$B$2:$B$395,HLTV_Long!$A$2:$A$395,$A5&amp;"|B|"&amp;$X5&amp;"|wl"))/(COUNTIFS(HLTV_Long!$A$2:$A$395,$A5&amp;"|A|"&amp;$X5&amp;"|lw")+COUNTIFS(HLTV_Long!$A$2:$A$395,$A5&amp;"|B|"&amp;$X5&amp;"|wl")),IFERROR((SUMIFS(HLTV_Long!$B$2:$B$395,HLTV_Long!$A$2:$A$395,$A5&amp;"|A|"&amp;"ALL"&amp;"|lw")+SUMIFS(HLTV_Long!$B$2:$B$395,HLTV_Long!$A$2:$A$395,$A5&amp;"|B|"&amp;"ALL"&amp;"|wl"))/(COUNTIFS(HLTV_Long!$A$2:$A$395,$A5&amp;"|A|"&amp;"ALL"&amp;"|lw")+COUNTIFS(HLTV_Long!$A$2:$A$395,$A5&amp;"|B|"&amp;"ALL"&amp;"|wl")),"")))</f>
        <v/>
      </c>
      <c r="AR5" s="15">
        <f>IF($X5="","",IFERROR((SUMIFS(HLTV_Long!$B$2:$B$395,HLTV_Long!$A$2:$A$395,$A5&amp;"|B|"&amp;$X5&amp;"|lw")+SUMIFS(HLTV_Long!$B$2:$B$395,HLTV_Long!$A$2:$A$395,$A5&amp;"|A|"&amp;$X5&amp;"|wl"))/(COUNTIFS(HLTV_Long!$A$2:$A$395,$A5&amp;"|B|"&amp;$X5&amp;"|lw")+COUNTIFS(HLTV_Long!$A$2:$A$395,$A5&amp;"|A|"&amp;$X5&amp;"|wl")),IFERROR((SUMIFS(HLTV_Long!$B$2:$B$395,HLTV_Long!$A$2:$A$395,$A5&amp;"|B|"&amp;"ALL"&amp;"|lw")+SUMIFS(HLTV_Long!$B$2:$B$395,HLTV_Long!$A$2:$A$395,$A5&amp;"|A|"&amp;"ALL"&amp;"|wl"))/(COUNTIFS(HLTV_Long!$A$2:$A$395,$A5&amp;"|B|"&amp;"ALL"&amp;"|lw")+COUNTIFS(HLTV_Long!$A$2:$A$395,$A5&amp;"|A|"&amp;"ALL"&amp;"|wl")),"")))</f>
        <v/>
      </c>
      <c r="AS5">
        <f>IF($X5="","",COUNTIFS(HLTV_Long!$A$2:$A$395,$A5&amp;"|A|"&amp;$X5&amp;"|lw")+COUNTIFS(HLTV_Long!$A$2:$A$395,$A5&amp;"|B|"&amp;$X5&amp;"|wl")+COUNTIFS(HLTV_Long!$A$2:$A$395,$A5&amp;"|B|"&amp;$X5&amp;"|lw")+COUNTIFS(HLTV_Long!$A$2:$A$395,$A5&amp;"|A|"&amp;$X5&amp;"|wl"))</f>
        <v/>
      </c>
      <c r="AT5" s="15">
        <f>IF(OR($AQ5="",$AR5="",$AG5=""),"",13+$AG5*$AQ5+(1-$AG5)*$AR5)</f>
        <v/>
      </c>
      <c r="AU5" s="15">
        <f>IF($AT5="","",$AG5*(13-$AQ5)-(1-$AG5)*(13-$AR5))</f>
        <v/>
      </c>
      <c r="AV5" s="8">
        <f>IF($AT5="","",($AG5*13+(1-$AG5)*$AR5)/$AT5)</f>
        <v/>
      </c>
      <c r="AW5" s="15">
        <f>IF($Y5="","",IFERROR((SUMIFS(HLTV_Long!$B$2:$B$395,HLTV_Long!$A$2:$A$395,$A5&amp;"|A|"&amp;$Y5&amp;"|lw")+SUMIFS(HLTV_Long!$B$2:$B$395,HLTV_Long!$A$2:$A$395,$A5&amp;"|B|"&amp;$Y5&amp;"|wl"))/(COUNTIFS(HLTV_Long!$A$2:$A$395,$A5&amp;"|A|"&amp;$Y5&amp;"|lw")+COUNTIFS(HLTV_Long!$A$2:$A$395,$A5&amp;"|B|"&amp;$Y5&amp;"|wl")),IFERROR((SUMIFS(HLTV_Long!$B$2:$B$395,HLTV_Long!$A$2:$A$395,$A5&amp;"|A|"&amp;"ALL"&amp;"|lw")+SUMIFS(HLTV_Long!$B$2:$B$395,HLTV_Long!$A$2:$A$395,$A5&amp;"|B|"&amp;"ALL"&amp;"|wl"))/(COUNTIFS(HLTV_Long!$A$2:$A$395,$A5&amp;"|A|"&amp;"ALL"&amp;"|lw")+COUNTIFS(HLTV_Long!$A$2:$A$395,$A5&amp;"|B|"&amp;"ALL"&amp;"|wl")),"")))</f>
        <v/>
      </c>
      <c r="AX5" s="15">
        <f>IF($Y5="","",IFERROR((SUMIFS(HLTV_Long!$B$2:$B$395,HLTV_Long!$A$2:$A$395,$A5&amp;"|B|"&amp;$Y5&amp;"|lw")+SUMIFS(HLTV_Long!$B$2:$B$395,HLTV_Long!$A$2:$A$395,$A5&amp;"|A|"&amp;$Y5&amp;"|wl"))/(COUNTIFS(HLTV_Long!$A$2:$A$395,$A5&amp;"|B|"&amp;$Y5&amp;"|lw")+COUNTIFS(HLTV_Long!$A$2:$A$395,$A5&amp;"|A|"&amp;$Y5&amp;"|wl")),IFERROR((SUMIFS(HLTV_Long!$B$2:$B$395,HLTV_Long!$A$2:$A$395,$A5&amp;"|B|"&amp;"ALL"&amp;"|lw")+SUMIFS(HLTV_Long!$B$2:$B$395,HLTV_Long!$A$2:$A$395,$A5&amp;"|A|"&amp;"ALL"&amp;"|wl"))/(COUNTIFS(HLTV_Long!$A$2:$A$395,$A5&amp;"|B|"&amp;"ALL"&amp;"|lw")+COUNTIFS(HLTV_Long!$A$2:$A$395,$A5&amp;"|A|"&amp;"ALL"&amp;"|wl")),"")))</f>
        <v/>
      </c>
      <c r="AY5">
        <f>IF($Y5="","",COUNTIFS(HLTV_Long!$A$2:$A$395,$A5&amp;"|A|"&amp;$Y5&amp;"|lw")+COUNTIFS(HLTV_Long!$A$2:$A$395,$A5&amp;"|B|"&amp;$Y5&amp;"|wl")+COUNTIFS(HLTV_Long!$A$2:$A$395,$A5&amp;"|B|"&amp;$Y5&amp;"|lw")+COUNTIFS(HLTV_Long!$A$2:$A$395,$A5&amp;"|A|"&amp;$Y5&amp;"|wl"))</f>
        <v/>
      </c>
      <c r="AZ5" s="15">
        <f>IF(OR($AW5="",$AX5="",$AH5=""),"",13+$AH5*$AW5+(1-$AH5)*$AX5)</f>
        <v/>
      </c>
      <c r="BA5" s="15">
        <f>IF($AZ5="","",$AH5*(13-$AW5)-(1-$AH5)*(13-$AX5))</f>
        <v/>
      </c>
      <c r="BB5" s="8">
        <f>IF($AZ5="","",($AH5*13+(1-$AH5)*$AX5)/$AZ5)</f>
        <v/>
      </c>
    </row>
    <row r="6">
      <c r="A6" t="inlineStr">
        <is>
          <t>CS2 · TS vs TYLOO</t>
        </is>
      </c>
      <c r="B6" t="inlineStr">
        <is>
          <t>CS2</t>
        </is>
      </c>
      <c r="C6" t="inlineStr">
        <is>
          <t>Sun 03:00</t>
        </is>
      </c>
      <c r="D6" t="n">
        <v>3</v>
      </c>
      <c r="E6" t="inlineStr">
        <is>
          <t>Spirit (TS)</t>
        </is>
      </c>
      <c r="F6" t="inlineStr">
        <is>
          <t>TYLOO (TYLOO)</t>
        </is>
      </c>
      <c r="G6" s="8" t="n">
        <v>0.8684863523573201</v>
      </c>
      <c r="H6" s="8" t="n">
        <v>0.5863410457346017</v>
      </c>
      <c r="I6" s="8" t="n">
        <v>0.08326042849431343</v>
      </c>
      <c r="J6" s="8" t="n">
        <v>0.330398525771085</v>
      </c>
      <c r="K6" t="inlineStr">
        <is>
          <t>Mirage 30%</t>
        </is>
      </c>
      <c r="L6" t="inlineStr">
        <is>
          <t>Ancient 23%</t>
        </is>
      </c>
      <c r="M6" t="inlineStr">
        <is>
          <t>Cache 16%</t>
        </is>
      </c>
      <c r="N6" t="inlineStr">
        <is>
          <t>HLTV veto: played, minus first-bans (no Map Picks)</t>
        </is>
      </c>
      <c r="O6" s="9" t="n">
        <v>20.58997143763884</v>
      </c>
      <c r="P6" s="9" t="n">
        <v>20.28792992606879</v>
      </c>
      <c r="Q6" s="9" t="n">
        <v>20.58997143763884</v>
      </c>
      <c r="R6" s="8" t="n">
        <v>0.1315136476426799</v>
      </c>
      <c r="S6" s="9" t="n">
        <v>4.61904761904762</v>
      </c>
      <c r="T6" s="9" t="n"/>
      <c r="U6" s="9" t="n">
        <v>8.380952380952381</v>
      </c>
      <c r="V6" t="n">
        <v>342</v>
      </c>
      <c r="W6" s="12" t="inlineStr">
        <is>
          <t>Mirage</t>
        </is>
      </c>
      <c r="X6" s="12" t="inlineStr">
        <is>
          <t>Ancient</t>
        </is>
      </c>
      <c r="Y6" s="12" t="inlineStr">
        <is>
          <t>Cache</t>
        </is>
      </c>
      <c r="Z6" s="13" t="n">
        <v>20.59</v>
      </c>
      <c r="AA6" s="13" t="n">
        <v>20.29</v>
      </c>
      <c r="AB6" s="13" t="n">
        <v>20.59</v>
      </c>
      <c r="AC6" s="14" t="n">
        <v>0.3304</v>
      </c>
      <c r="AD6" t="inlineStr">
        <is>
          <t>TS</t>
        </is>
      </c>
      <c r="AE6" t="inlineStr">
        <is>
          <t>TYLOO</t>
        </is>
      </c>
      <c r="AF6" s="8" t="n">
        <v>0.757</v>
      </c>
      <c r="AG6" s="8" t="n">
        <v>0.8067</v>
      </c>
      <c r="AH6" s="8" t="n">
        <v>0.757</v>
      </c>
      <c r="AI6" s="8">
        <f>IFERROR(INDEX(HLTV_Teams!$N$2:$N$29,MATCH($A6&amp;"|A",HLTV_Teams!$A$2:$A$29,0)),"")</f>
        <v/>
      </c>
      <c r="AJ6" s="8">
        <f>IFERROR(INDEX(HLTV_Teams!$N$2:$N$29,MATCH($A6&amp;"|B",HLTV_Teams!$A$2:$A$29,0)),"")</f>
        <v/>
      </c>
      <c r="AK6" s="15">
        <f>IF($W6="","",IFERROR((SUMIFS(HLTV_Long!$B$2:$B$395,HLTV_Long!$A$2:$A$395,$A6&amp;"|A|"&amp;$W6&amp;"|lw")+SUMIFS(HLTV_Long!$B$2:$B$395,HLTV_Long!$A$2:$A$395,$A6&amp;"|B|"&amp;$W6&amp;"|wl"))/(COUNTIFS(HLTV_Long!$A$2:$A$395,$A6&amp;"|A|"&amp;$W6&amp;"|lw")+COUNTIFS(HLTV_Long!$A$2:$A$395,$A6&amp;"|B|"&amp;$W6&amp;"|wl")),IFERROR((SUMIFS(HLTV_Long!$B$2:$B$395,HLTV_Long!$A$2:$A$395,$A6&amp;"|A|"&amp;"ALL"&amp;"|lw")+SUMIFS(HLTV_Long!$B$2:$B$395,HLTV_Long!$A$2:$A$395,$A6&amp;"|B|"&amp;"ALL"&amp;"|wl"))/(COUNTIFS(HLTV_Long!$A$2:$A$395,$A6&amp;"|A|"&amp;"ALL"&amp;"|lw")+COUNTIFS(HLTV_Long!$A$2:$A$395,$A6&amp;"|B|"&amp;"ALL"&amp;"|wl")),"")))</f>
        <v/>
      </c>
      <c r="AL6" s="15">
        <f>IF($W6="","",IFERROR((SUMIFS(HLTV_Long!$B$2:$B$395,HLTV_Long!$A$2:$A$395,$A6&amp;"|B|"&amp;$W6&amp;"|lw")+SUMIFS(HLTV_Long!$B$2:$B$395,HLTV_Long!$A$2:$A$395,$A6&amp;"|A|"&amp;$W6&amp;"|wl"))/(COUNTIFS(HLTV_Long!$A$2:$A$395,$A6&amp;"|B|"&amp;$W6&amp;"|lw")+COUNTIFS(HLTV_Long!$A$2:$A$395,$A6&amp;"|A|"&amp;$W6&amp;"|wl")),IFERROR((SUMIFS(HLTV_Long!$B$2:$B$395,HLTV_Long!$A$2:$A$395,$A6&amp;"|B|"&amp;"ALL"&amp;"|lw")+SUMIFS(HLTV_Long!$B$2:$B$395,HLTV_Long!$A$2:$A$395,$A6&amp;"|A|"&amp;"ALL"&amp;"|wl"))/(COUNTIFS(HLTV_Long!$A$2:$A$395,$A6&amp;"|B|"&amp;"ALL"&amp;"|lw")+COUNTIFS(HLTV_Long!$A$2:$A$395,$A6&amp;"|A|"&amp;"ALL"&amp;"|wl")),"")))</f>
        <v/>
      </c>
      <c r="AM6">
        <f>IF($W6="","",COUNTIFS(HLTV_Long!$A$2:$A$395,$A6&amp;"|A|"&amp;$W6&amp;"|lw")+COUNTIFS(HLTV_Long!$A$2:$A$395,$A6&amp;"|B|"&amp;$W6&amp;"|wl")+COUNTIFS(HLTV_Long!$A$2:$A$395,$A6&amp;"|B|"&amp;$W6&amp;"|lw")+COUNTIFS(HLTV_Long!$A$2:$A$395,$A6&amp;"|A|"&amp;$W6&amp;"|wl"))</f>
        <v/>
      </c>
      <c r="AN6" s="15">
        <f>IF(OR($AK6="",$AL6="",$AF6=""),"",13+$AF6*$AK6+(1-$AF6)*$AL6)</f>
        <v/>
      </c>
      <c r="AO6" s="15">
        <f>IF($AN6="","",$AF6*(13-$AK6)-(1-$AF6)*(13-$AL6))</f>
        <v/>
      </c>
      <c r="AP6" s="8">
        <f>IF($AN6="","",($AF6*13+(1-$AF6)*$AL6)/$AN6)</f>
        <v/>
      </c>
      <c r="AQ6" s="15">
        <f>IF($X6="","",IFERROR((SUMIFS(HLTV_Long!$B$2:$B$395,HLTV_Long!$A$2:$A$395,$A6&amp;"|A|"&amp;$X6&amp;"|lw")+SUMIFS(HLTV_Long!$B$2:$B$395,HLTV_Long!$A$2:$A$395,$A6&amp;"|B|"&amp;$X6&amp;"|wl"))/(COUNTIFS(HLTV_Long!$A$2:$A$395,$A6&amp;"|A|"&amp;$X6&amp;"|lw")+COUNTIFS(HLTV_Long!$A$2:$A$395,$A6&amp;"|B|"&amp;$X6&amp;"|wl")),IFERROR((SUMIFS(HLTV_Long!$B$2:$B$395,HLTV_Long!$A$2:$A$395,$A6&amp;"|A|"&amp;"ALL"&amp;"|lw")+SUMIFS(HLTV_Long!$B$2:$B$395,HLTV_Long!$A$2:$A$395,$A6&amp;"|B|"&amp;"ALL"&amp;"|wl"))/(COUNTIFS(HLTV_Long!$A$2:$A$395,$A6&amp;"|A|"&amp;"ALL"&amp;"|lw")+COUNTIFS(HLTV_Long!$A$2:$A$395,$A6&amp;"|B|"&amp;"ALL"&amp;"|wl")),"")))</f>
        <v/>
      </c>
      <c r="AR6" s="15">
        <f>IF($X6="","",IFERROR((SUMIFS(HLTV_Long!$B$2:$B$395,HLTV_Long!$A$2:$A$395,$A6&amp;"|B|"&amp;$X6&amp;"|lw")+SUMIFS(HLTV_Long!$B$2:$B$395,HLTV_Long!$A$2:$A$395,$A6&amp;"|A|"&amp;$X6&amp;"|wl"))/(COUNTIFS(HLTV_Long!$A$2:$A$395,$A6&amp;"|B|"&amp;$X6&amp;"|lw")+COUNTIFS(HLTV_Long!$A$2:$A$395,$A6&amp;"|A|"&amp;$X6&amp;"|wl")),IFERROR((SUMIFS(HLTV_Long!$B$2:$B$395,HLTV_Long!$A$2:$A$395,$A6&amp;"|B|"&amp;"ALL"&amp;"|lw")+SUMIFS(HLTV_Long!$B$2:$B$395,HLTV_Long!$A$2:$A$395,$A6&amp;"|A|"&amp;"ALL"&amp;"|wl"))/(COUNTIFS(HLTV_Long!$A$2:$A$395,$A6&amp;"|B|"&amp;"ALL"&amp;"|lw")+COUNTIFS(HLTV_Long!$A$2:$A$395,$A6&amp;"|A|"&amp;"ALL"&amp;"|wl")),"")))</f>
        <v/>
      </c>
      <c r="AS6">
        <f>IF($X6="","",COUNTIFS(HLTV_Long!$A$2:$A$395,$A6&amp;"|A|"&amp;$X6&amp;"|lw")+COUNTIFS(HLTV_Long!$A$2:$A$395,$A6&amp;"|B|"&amp;$X6&amp;"|wl")+COUNTIFS(HLTV_Long!$A$2:$A$395,$A6&amp;"|B|"&amp;$X6&amp;"|lw")+COUNTIFS(HLTV_Long!$A$2:$A$395,$A6&amp;"|A|"&amp;$X6&amp;"|wl"))</f>
        <v/>
      </c>
      <c r="AT6" s="15">
        <f>IF(OR($AQ6="",$AR6="",$AG6=""),"",13+$AG6*$AQ6+(1-$AG6)*$AR6)</f>
        <v/>
      </c>
      <c r="AU6" s="15">
        <f>IF($AT6="","",$AG6*(13-$AQ6)-(1-$AG6)*(13-$AR6))</f>
        <v/>
      </c>
      <c r="AV6" s="8">
        <f>IF($AT6="","",($AG6*13+(1-$AG6)*$AR6)/$AT6)</f>
        <v/>
      </c>
      <c r="AW6" s="15">
        <f>IF($Y6="","",IFERROR((SUMIFS(HLTV_Long!$B$2:$B$395,HLTV_Long!$A$2:$A$395,$A6&amp;"|A|"&amp;$Y6&amp;"|lw")+SUMIFS(HLTV_Long!$B$2:$B$395,HLTV_Long!$A$2:$A$395,$A6&amp;"|B|"&amp;$Y6&amp;"|wl"))/(COUNTIFS(HLTV_Long!$A$2:$A$395,$A6&amp;"|A|"&amp;$Y6&amp;"|lw")+COUNTIFS(HLTV_Long!$A$2:$A$395,$A6&amp;"|B|"&amp;$Y6&amp;"|wl")),IFERROR((SUMIFS(HLTV_Long!$B$2:$B$395,HLTV_Long!$A$2:$A$395,$A6&amp;"|A|"&amp;"ALL"&amp;"|lw")+SUMIFS(HLTV_Long!$B$2:$B$395,HLTV_Long!$A$2:$A$395,$A6&amp;"|B|"&amp;"ALL"&amp;"|wl"))/(COUNTIFS(HLTV_Long!$A$2:$A$395,$A6&amp;"|A|"&amp;"ALL"&amp;"|lw")+COUNTIFS(HLTV_Long!$A$2:$A$395,$A6&amp;"|B|"&amp;"ALL"&amp;"|wl")),"")))</f>
        <v/>
      </c>
      <c r="AX6" s="15">
        <f>IF($Y6="","",IFERROR((SUMIFS(HLTV_Long!$B$2:$B$395,HLTV_Long!$A$2:$A$395,$A6&amp;"|B|"&amp;$Y6&amp;"|lw")+SUMIFS(HLTV_Long!$B$2:$B$395,HLTV_Long!$A$2:$A$395,$A6&amp;"|A|"&amp;$Y6&amp;"|wl"))/(COUNTIFS(HLTV_Long!$A$2:$A$395,$A6&amp;"|B|"&amp;$Y6&amp;"|lw")+COUNTIFS(HLTV_Long!$A$2:$A$395,$A6&amp;"|A|"&amp;$Y6&amp;"|wl")),IFERROR((SUMIFS(HLTV_Long!$B$2:$B$395,HLTV_Long!$A$2:$A$395,$A6&amp;"|B|"&amp;"ALL"&amp;"|lw")+SUMIFS(HLTV_Long!$B$2:$B$395,HLTV_Long!$A$2:$A$395,$A6&amp;"|A|"&amp;"ALL"&amp;"|wl"))/(COUNTIFS(HLTV_Long!$A$2:$A$395,$A6&amp;"|B|"&amp;"ALL"&amp;"|lw")+COUNTIFS(HLTV_Long!$A$2:$A$395,$A6&amp;"|A|"&amp;"ALL"&amp;"|wl")),"")))</f>
        <v/>
      </c>
      <c r="AY6">
        <f>IF($Y6="","",COUNTIFS(HLTV_Long!$A$2:$A$395,$A6&amp;"|A|"&amp;$Y6&amp;"|lw")+COUNTIFS(HLTV_Long!$A$2:$A$395,$A6&amp;"|B|"&amp;$Y6&amp;"|wl")+COUNTIFS(HLTV_Long!$A$2:$A$395,$A6&amp;"|B|"&amp;$Y6&amp;"|lw")+COUNTIFS(HLTV_Long!$A$2:$A$395,$A6&amp;"|A|"&amp;$Y6&amp;"|wl"))</f>
        <v/>
      </c>
      <c r="AZ6" s="15">
        <f>IF(OR($AW6="",$AX6="",$AH6=""),"",13+$AH6*$AW6+(1-$AH6)*$AX6)</f>
        <v/>
      </c>
      <c r="BA6" s="15">
        <f>IF($AZ6="","",$AH6*(13-$AW6)-(1-$AH6)*(13-$AX6))</f>
        <v/>
      </c>
      <c r="BB6" s="8">
        <f>IF($AZ6="","",($AH6*13+(1-$AH6)*$AX6)/$AZ6)</f>
        <v/>
      </c>
    </row>
    <row r="7">
      <c r="A7" t="inlineStr">
        <is>
          <t>CS2 [NO MARKET] · ACE vs UNiTY</t>
        </is>
      </c>
      <c r="B7" t="inlineStr">
        <is>
          <t>CS2</t>
        </is>
      </c>
      <c r="C7" t="inlineStr">
        <is>
          <t>Sun 04:00</t>
        </is>
      </c>
      <c r="D7" t="n">
        <v>3</v>
      </c>
      <c r="E7" t="inlineStr">
        <is>
          <t>ACE (ACE)</t>
        </is>
      </c>
      <c r="F7" t="inlineStr">
        <is>
          <t>UNiTY (UNiTY)</t>
        </is>
      </c>
      <c r="G7" s="8" t="n"/>
      <c r="H7" s="8" t="n"/>
      <c r="I7" s="8" t="n"/>
      <c r="J7" s="8" t="n"/>
      <c r="K7" t="inlineStr">
        <is>
          <t>Inferno 20%</t>
        </is>
      </c>
      <c r="L7" t="inlineStr">
        <is>
          <t>Dust2 19%</t>
        </is>
      </c>
      <c r="M7" t="inlineStr">
        <is>
          <t>Ancient 19%</t>
        </is>
      </c>
      <c r="N7" t="inlineStr">
        <is>
          <t>HLTV veto: played, minus first-bans (no Map Picks)</t>
        </is>
      </c>
      <c r="O7" s="9" t="n"/>
      <c r="P7" s="9" t="n"/>
      <c r="Q7" s="9" t="n"/>
      <c r="R7" s="8" t="n"/>
      <c r="S7" s="9" t="n"/>
      <c r="T7" s="9" t="n"/>
      <c r="U7" s="9" t="n"/>
      <c r="V7" t="n">
        <v>0</v>
      </c>
      <c r="W7" s="12" t="inlineStr">
        <is>
          <t>Inferno</t>
        </is>
      </c>
      <c r="X7" s="12" t="inlineStr">
        <is>
          <t>Dust2</t>
        </is>
      </c>
      <c r="Y7" s="12" t="inlineStr">
        <is>
          <t>Ancient</t>
        </is>
      </c>
      <c r="Z7" s="13">
        <f>Config!$B$7</f>
        <v/>
      </c>
      <c r="AA7" s="13">
        <f>Config!$B$7</f>
        <v/>
      </c>
      <c r="AB7" s="13">
        <f>Config!$B$7</f>
        <v/>
      </c>
      <c r="AC7" s="14" t="n">
        <v>0</v>
      </c>
      <c r="AD7" t="inlineStr">
        <is>
          <t>ACE</t>
        </is>
      </c>
      <c r="AE7" t="inlineStr">
        <is>
          <t>UNiTY</t>
        </is>
      </c>
      <c r="AF7" s="8" t="n"/>
      <c r="AG7" s="8" t="n"/>
      <c r="AH7" s="8" t="n"/>
      <c r="AI7" s="8">
        <f>IFERROR(INDEX(HLTV_Teams!$N$2:$N$29,MATCH($A7&amp;"|A",HLTV_Teams!$A$2:$A$29,0)),"")</f>
        <v/>
      </c>
      <c r="AJ7" s="8">
        <f>IFERROR(INDEX(HLTV_Teams!$N$2:$N$29,MATCH($A7&amp;"|B",HLTV_Teams!$A$2:$A$29,0)),"")</f>
        <v/>
      </c>
      <c r="AK7" s="15">
        <f>IF($W7="","",IFERROR((SUMIFS(HLTV_Long!$B$2:$B$395,HLTV_Long!$A$2:$A$395,$A7&amp;"|A|"&amp;$W7&amp;"|lw")+SUMIFS(HLTV_Long!$B$2:$B$395,HLTV_Long!$A$2:$A$395,$A7&amp;"|B|"&amp;$W7&amp;"|wl"))/(COUNTIFS(HLTV_Long!$A$2:$A$395,$A7&amp;"|A|"&amp;$W7&amp;"|lw")+COUNTIFS(HLTV_Long!$A$2:$A$395,$A7&amp;"|B|"&amp;$W7&amp;"|wl")),IFERROR((SUMIFS(HLTV_Long!$B$2:$B$395,HLTV_Long!$A$2:$A$395,$A7&amp;"|A|"&amp;"ALL"&amp;"|lw")+SUMIFS(HLTV_Long!$B$2:$B$395,HLTV_Long!$A$2:$A$395,$A7&amp;"|B|"&amp;"ALL"&amp;"|wl"))/(COUNTIFS(HLTV_Long!$A$2:$A$395,$A7&amp;"|A|"&amp;"ALL"&amp;"|lw")+COUNTIFS(HLTV_Long!$A$2:$A$395,$A7&amp;"|B|"&amp;"ALL"&amp;"|wl")),"")))</f>
        <v/>
      </c>
      <c r="AL7" s="15">
        <f>IF($W7="","",IFERROR((SUMIFS(HLTV_Long!$B$2:$B$395,HLTV_Long!$A$2:$A$395,$A7&amp;"|B|"&amp;$W7&amp;"|lw")+SUMIFS(HLTV_Long!$B$2:$B$395,HLTV_Long!$A$2:$A$395,$A7&amp;"|A|"&amp;$W7&amp;"|wl"))/(COUNTIFS(HLTV_Long!$A$2:$A$395,$A7&amp;"|B|"&amp;$W7&amp;"|lw")+COUNTIFS(HLTV_Long!$A$2:$A$395,$A7&amp;"|A|"&amp;$W7&amp;"|wl")),IFERROR((SUMIFS(HLTV_Long!$B$2:$B$395,HLTV_Long!$A$2:$A$395,$A7&amp;"|B|"&amp;"ALL"&amp;"|lw")+SUMIFS(HLTV_Long!$B$2:$B$395,HLTV_Long!$A$2:$A$395,$A7&amp;"|A|"&amp;"ALL"&amp;"|wl"))/(COUNTIFS(HLTV_Long!$A$2:$A$395,$A7&amp;"|B|"&amp;"ALL"&amp;"|lw")+COUNTIFS(HLTV_Long!$A$2:$A$395,$A7&amp;"|A|"&amp;"ALL"&amp;"|wl")),"")))</f>
        <v/>
      </c>
      <c r="AM7">
        <f>IF($W7="","",COUNTIFS(HLTV_Long!$A$2:$A$395,$A7&amp;"|A|"&amp;$W7&amp;"|lw")+COUNTIFS(HLTV_Long!$A$2:$A$395,$A7&amp;"|B|"&amp;$W7&amp;"|wl")+COUNTIFS(HLTV_Long!$A$2:$A$395,$A7&amp;"|B|"&amp;$W7&amp;"|lw")+COUNTIFS(HLTV_Long!$A$2:$A$395,$A7&amp;"|A|"&amp;$W7&amp;"|wl"))</f>
        <v/>
      </c>
      <c r="AN7" s="15">
        <f>IF(OR($AK7="",$AL7="",$AF7=""),"",13+$AF7*$AK7+(1-$AF7)*$AL7)</f>
        <v/>
      </c>
      <c r="AO7" s="15">
        <f>IF($AN7="","",$AF7*(13-$AK7)-(1-$AF7)*(13-$AL7))</f>
        <v/>
      </c>
      <c r="AP7" s="8">
        <f>IF($AN7="","",($AF7*13+(1-$AF7)*$AL7)/$AN7)</f>
        <v/>
      </c>
      <c r="AQ7" s="15">
        <f>IF($X7="","",IFERROR((SUMIFS(HLTV_Long!$B$2:$B$395,HLTV_Long!$A$2:$A$395,$A7&amp;"|A|"&amp;$X7&amp;"|lw")+SUMIFS(HLTV_Long!$B$2:$B$395,HLTV_Long!$A$2:$A$395,$A7&amp;"|B|"&amp;$X7&amp;"|wl"))/(COUNTIFS(HLTV_Long!$A$2:$A$395,$A7&amp;"|A|"&amp;$X7&amp;"|lw")+COUNTIFS(HLTV_Long!$A$2:$A$395,$A7&amp;"|B|"&amp;$X7&amp;"|wl")),IFERROR((SUMIFS(HLTV_Long!$B$2:$B$395,HLTV_Long!$A$2:$A$395,$A7&amp;"|A|"&amp;"ALL"&amp;"|lw")+SUMIFS(HLTV_Long!$B$2:$B$395,HLTV_Long!$A$2:$A$395,$A7&amp;"|B|"&amp;"ALL"&amp;"|wl"))/(COUNTIFS(HLTV_Long!$A$2:$A$395,$A7&amp;"|A|"&amp;"ALL"&amp;"|lw")+COUNTIFS(HLTV_Long!$A$2:$A$395,$A7&amp;"|B|"&amp;"ALL"&amp;"|wl")),"")))</f>
        <v/>
      </c>
      <c r="AR7" s="15">
        <f>IF($X7="","",IFERROR((SUMIFS(HLTV_Long!$B$2:$B$395,HLTV_Long!$A$2:$A$395,$A7&amp;"|B|"&amp;$X7&amp;"|lw")+SUMIFS(HLTV_Long!$B$2:$B$395,HLTV_Long!$A$2:$A$395,$A7&amp;"|A|"&amp;$X7&amp;"|wl"))/(COUNTIFS(HLTV_Long!$A$2:$A$395,$A7&amp;"|B|"&amp;$X7&amp;"|lw")+COUNTIFS(HLTV_Long!$A$2:$A$395,$A7&amp;"|A|"&amp;$X7&amp;"|wl")),IFERROR((SUMIFS(HLTV_Long!$B$2:$B$395,HLTV_Long!$A$2:$A$395,$A7&amp;"|B|"&amp;"ALL"&amp;"|lw")+SUMIFS(HLTV_Long!$B$2:$B$395,HLTV_Long!$A$2:$A$395,$A7&amp;"|A|"&amp;"ALL"&amp;"|wl"))/(COUNTIFS(HLTV_Long!$A$2:$A$395,$A7&amp;"|B|"&amp;"ALL"&amp;"|lw")+COUNTIFS(HLTV_Long!$A$2:$A$395,$A7&amp;"|A|"&amp;"ALL"&amp;"|wl")),"")))</f>
        <v/>
      </c>
      <c r="AS7">
        <f>IF($X7="","",COUNTIFS(HLTV_Long!$A$2:$A$395,$A7&amp;"|A|"&amp;$X7&amp;"|lw")+COUNTIFS(HLTV_Long!$A$2:$A$395,$A7&amp;"|B|"&amp;$X7&amp;"|wl")+COUNTIFS(HLTV_Long!$A$2:$A$395,$A7&amp;"|B|"&amp;$X7&amp;"|lw")+COUNTIFS(HLTV_Long!$A$2:$A$395,$A7&amp;"|A|"&amp;$X7&amp;"|wl"))</f>
        <v/>
      </c>
      <c r="AT7" s="15">
        <f>IF(OR($AQ7="",$AR7="",$AG7=""),"",13+$AG7*$AQ7+(1-$AG7)*$AR7)</f>
        <v/>
      </c>
      <c r="AU7" s="15">
        <f>IF($AT7="","",$AG7*(13-$AQ7)-(1-$AG7)*(13-$AR7))</f>
        <v/>
      </c>
      <c r="AV7" s="8">
        <f>IF($AT7="","",($AG7*13+(1-$AG7)*$AR7)/$AT7)</f>
        <v/>
      </c>
      <c r="AW7" s="15">
        <f>IF($Y7="","",IFERROR((SUMIFS(HLTV_Long!$B$2:$B$395,HLTV_Long!$A$2:$A$395,$A7&amp;"|A|"&amp;$Y7&amp;"|lw")+SUMIFS(HLTV_Long!$B$2:$B$395,HLTV_Long!$A$2:$A$395,$A7&amp;"|B|"&amp;$Y7&amp;"|wl"))/(COUNTIFS(HLTV_Long!$A$2:$A$395,$A7&amp;"|A|"&amp;$Y7&amp;"|lw")+COUNTIFS(HLTV_Long!$A$2:$A$395,$A7&amp;"|B|"&amp;$Y7&amp;"|wl")),IFERROR((SUMIFS(HLTV_Long!$B$2:$B$395,HLTV_Long!$A$2:$A$395,$A7&amp;"|A|"&amp;"ALL"&amp;"|lw")+SUMIFS(HLTV_Long!$B$2:$B$395,HLTV_Long!$A$2:$A$395,$A7&amp;"|B|"&amp;"ALL"&amp;"|wl"))/(COUNTIFS(HLTV_Long!$A$2:$A$395,$A7&amp;"|A|"&amp;"ALL"&amp;"|lw")+COUNTIFS(HLTV_Long!$A$2:$A$395,$A7&amp;"|B|"&amp;"ALL"&amp;"|wl")),"")))</f>
        <v/>
      </c>
      <c r="AX7" s="15">
        <f>IF($Y7="","",IFERROR((SUMIFS(HLTV_Long!$B$2:$B$395,HLTV_Long!$A$2:$A$395,$A7&amp;"|B|"&amp;$Y7&amp;"|lw")+SUMIFS(HLTV_Long!$B$2:$B$395,HLTV_Long!$A$2:$A$395,$A7&amp;"|A|"&amp;$Y7&amp;"|wl"))/(COUNTIFS(HLTV_Long!$A$2:$A$395,$A7&amp;"|B|"&amp;$Y7&amp;"|lw")+COUNTIFS(HLTV_Long!$A$2:$A$395,$A7&amp;"|A|"&amp;$Y7&amp;"|wl")),IFERROR((SUMIFS(HLTV_Long!$B$2:$B$395,HLTV_Long!$A$2:$A$395,$A7&amp;"|B|"&amp;"ALL"&amp;"|lw")+SUMIFS(HLTV_Long!$B$2:$B$395,HLTV_Long!$A$2:$A$395,$A7&amp;"|A|"&amp;"ALL"&amp;"|wl"))/(COUNTIFS(HLTV_Long!$A$2:$A$395,$A7&amp;"|B|"&amp;"ALL"&amp;"|lw")+COUNTIFS(HLTV_Long!$A$2:$A$395,$A7&amp;"|A|"&amp;"ALL"&amp;"|wl")),"")))</f>
        <v/>
      </c>
      <c r="AY7">
        <f>IF($Y7="","",COUNTIFS(HLTV_Long!$A$2:$A$395,$A7&amp;"|A|"&amp;$Y7&amp;"|lw")+COUNTIFS(HLTV_Long!$A$2:$A$395,$A7&amp;"|B|"&amp;$Y7&amp;"|wl")+COUNTIFS(HLTV_Long!$A$2:$A$395,$A7&amp;"|B|"&amp;$Y7&amp;"|lw")+COUNTIFS(HLTV_Long!$A$2:$A$395,$A7&amp;"|A|"&amp;$Y7&amp;"|wl"))</f>
        <v/>
      </c>
      <c r="AZ7" s="15">
        <f>IF(OR($AW7="",$AX7="",$AH7=""),"",13+$AH7*$AW7+(1-$AH7)*$AX7)</f>
        <v/>
      </c>
      <c r="BA7" s="15">
        <f>IF($AZ7="","",$AH7*(13-$AW7)-(1-$AH7)*(13-$AX7))</f>
        <v/>
      </c>
      <c r="BB7" s="8">
        <f>IF($AZ7="","",($AH7*13+(1-$AH7)*$AX7)/$AZ7)</f>
        <v/>
      </c>
    </row>
    <row r="8">
      <c r="A8" t="inlineStr">
        <is>
          <t>CS2 · BB vs NEMI</t>
        </is>
      </c>
      <c r="B8" t="inlineStr">
        <is>
          <t>CS2</t>
        </is>
      </c>
      <c r="C8" t="inlineStr">
        <is>
          <t>Sun 06:00</t>
        </is>
      </c>
      <c r="D8" t="n">
        <v>3</v>
      </c>
      <c r="E8" t="inlineStr">
        <is>
          <t>BB Team (BB)</t>
        </is>
      </c>
      <c r="F8" t="inlineStr">
        <is>
          <t>Nemiga (NEMI)</t>
        </is>
      </c>
      <c r="G8" s="8" t="n">
        <v>0.6072351421188631</v>
      </c>
      <c r="H8" s="8" t="n">
        <v>0.3238740920096852</v>
      </c>
      <c r="I8" s="8" t="n">
        <v>0.1913801452784504</v>
      </c>
      <c r="J8" s="8" t="n">
        <v>0.4847457627118644</v>
      </c>
      <c r="K8" t="inlineStr">
        <is>
          <t>Ancient 21%</t>
        </is>
      </c>
      <c r="L8" t="inlineStr">
        <is>
          <t>Mirage 19%</t>
        </is>
      </c>
      <c r="M8" t="inlineStr">
        <is>
          <t>Dust2 17%</t>
        </is>
      </c>
      <c r="N8" t="inlineStr">
        <is>
          <t>HLTV veto: played, minus first-bans (no Map Picks)</t>
        </is>
      </c>
      <c r="O8" s="9" t="n">
        <v>21.5</v>
      </c>
      <c r="P8" s="9" t="n">
        <v>21.35853293413173</v>
      </c>
      <c r="Q8" s="9" t="n">
        <v>21.5</v>
      </c>
      <c r="R8" s="8" t="n">
        <v>0.1594202898550725</v>
      </c>
      <c r="S8" s="9" t="n">
        <v>0.9968750000000008</v>
      </c>
      <c r="T8" s="9" t="n"/>
      <c r="U8" s="9" t="n"/>
      <c r="V8" t="n">
        <v>358</v>
      </c>
      <c r="W8" s="12" t="inlineStr">
        <is>
          <t>Ancient</t>
        </is>
      </c>
      <c r="X8" s="12" t="inlineStr">
        <is>
          <t>Mirage</t>
        </is>
      </c>
      <c r="Y8" s="12" t="inlineStr">
        <is>
          <t>Dust2</t>
        </is>
      </c>
      <c r="Z8" s="13" t="n">
        <v>21.5</v>
      </c>
      <c r="AA8" s="13" t="n">
        <v>21.36</v>
      </c>
      <c r="AB8" s="13" t="n">
        <v>21.5</v>
      </c>
      <c r="AC8" s="14" t="n">
        <v>0.4847</v>
      </c>
      <c r="AD8" t="inlineStr">
        <is>
          <t>BB</t>
        </is>
      </c>
      <c r="AE8" t="inlineStr">
        <is>
          <t>NEMI</t>
        </is>
      </c>
      <c r="AF8" s="8" t="n">
        <v>0.5376</v>
      </c>
      <c r="AG8" s="8" t="n">
        <v>0.6072</v>
      </c>
      <c r="AH8" s="8" t="n">
        <v>0.5600000000000001</v>
      </c>
      <c r="AI8" s="8">
        <f>IFERROR(INDEX(HLTV_Teams!$N$2:$N$29,MATCH($A8&amp;"|A",HLTV_Teams!$A$2:$A$29,0)),"")</f>
        <v/>
      </c>
      <c r="AJ8" s="8">
        <f>IFERROR(INDEX(HLTV_Teams!$N$2:$N$29,MATCH($A8&amp;"|B",HLTV_Teams!$A$2:$A$29,0)),"")</f>
        <v/>
      </c>
      <c r="AK8" s="15">
        <f>IF($W8="","",IFERROR((SUMIFS(HLTV_Long!$B$2:$B$395,HLTV_Long!$A$2:$A$395,$A8&amp;"|A|"&amp;$W8&amp;"|lw")+SUMIFS(HLTV_Long!$B$2:$B$395,HLTV_Long!$A$2:$A$395,$A8&amp;"|B|"&amp;$W8&amp;"|wl"))/(COUNTIFS(HLTV_Long!$A$2:$A$395,$A8&amp;"|A|"&amp;$W8&amp;"|lw")+COUNTIFS(HLTV_Long!$A$2:$A$395,$A8&amp;"|B|"&amp;$W8&amp;"|wl")),IFERROR((SUMIFS(HLTV_Long!$B$2:$B$395,HLTV_Long!$A$2:$A$395,$A8&amp;"|A|"&amp;"ALL"&amp;"|lw")+SUMIFS(HLTV_Long!$B$2:$B$395,HLTV_Long!$A$2:$A$395,$A8&amp;"|B|"&amp;"ALL"&amp;"|wl"))/(COUNTIFS(HLTV_Long!$A$2:$A$395,$A8&amp;"|A|"&amp;"ALL"&amp;"|lw")+COUNTIFS(HLTV_Long!$A$2:$A$395,$A8&amp;"|B|"&amp;"ALL"&amp;"|wl")),"")))</f>
        <v/>
      </c>
      <c r="AL8" s="15">
        <f>IF($W8="","",IFERROR((SUMIFS(HLTV_Long!$B$2:$B$395,HLTV_Long!$A$2:$A$395,$A8&amp;"|B|"&amp;$W8&amp;"|lw")+SUMIFS(HLTV_Long!$B$2:$B$395,HLTV_Long!$A$2:$A$395,$A8&amp;"|A|"&amp;$W8&amp;"|wl"))/(COUNTIFS(HLTV_Long!$A$2:$A$395,$A8&amp;"|B|"&amp;$W8&amp;"|lw")+COUNTIFS(HLTV_Long!$A$2:$A$395,$A8&amp;"|A|"&amp;$W8&amp;"|wl")),IFERROR((SUMIFS(HLTV_Long!$B$2:$B$395,HLTV_Long!$A$2:$A$395,$A8&amp;"|B|"&amp;"ALL"&amp;"|lw")+SUMIFS(HLTV_Long!$B$2:$B$395,HLTV_Long!$A$2:$A$395,$A8&amp;"|A|"&amp;"ALL"&amp;"|wl"))/(COUNTIFS(HLTV_Long!$A$2:$A$395,$A8&amp;"|B|"&amp;"ALL"&amp;"|lw")+COUNTIFS(HLTV_Long!$A$2:$A$395,$A8&amp;"|A|"&amp;"ALL"&amp;"|wl")),"")))</f>
        <v/>
      </c>
      <c r="AM8">
        <f>IF($W8="","",COUNTIFS(HLTV_Long!$A$2:$A$395,$A8&amp;"|A|"&amp;$W8&amp;"|lw")+COUNTIFS(HLTV_Long!$A$2:$A$395,$A8&amp;"|B|"&amp;$W8&amp;"|wl")+COUNTIFS(HLTV_Long!$A$2:$A$395,$A8&amp;"|B|"&amp;$W8&amp;"|lw")+COUNTIFS(HLTV_Long!$A$2:$A$395,$A8&amp;"|A|"&amp;$W8&amp;"|wl"))</f>
        <v/>
      </c>
      <c r="AN8" s="15">
        <f>IF(OR($AK8="",$AL8="",$AF8=""),"",13+$AF8*$AK8+(1-$AF8)*$AL8)</f>
        <v/>
      </c>
      <c r="AO8" s="15">
        <f>IF($AN8="","",$AF8*(13-$AK8)-(1-$AF8)*(13-$AL8))</f>
        <v/>
      </c>
      <c r="AP8" s="8">
        <f>IF($AN8="","",($AF8*13+(1-$AF8)*$AL8)/$AN8)</f>
        <v/>
      </c>
      <c r="AQ8" s="15">
        <f>IF($X8="","",IFERROR((SUMIFS(HLTV_Long!$B$2:$B$395,HLTV_Long!$A$2:$A$395,$A8&amp;"|A|"&amp;$X8&amp;"|lw")+SUMIFS(HLTV_Long!$B$2:$B$395,HLTV_Long!$A$2:$A$395,$A8&amp;"|B|"&amp;$X8&amp;"|wl"))/(COUNTIFS(HLTV_Long!$A$2:$A$395,$A8&amp;"|A|"&amp;$X8&amp;"|lw")+COUNTIFS(HLTV_Long!$A$2:$A$395,$A8&amp;"|B|"&amp;$X8&amp;"|wl")),IFERROR((SUMIFS(HLTV_Long!$B$2:$B$395,HLTV_Long!$A$2:$A$395,$A8&amp;"|A|"&amp;"ALL"&amp;"|lw")+SUMIFS(HLTV_Long!$B$2:$B$395,HLTV_Long!$A$2:$A$395,$A8&amp;"|B|"&amp;"ALL"&amp;"|wl"))/(COUNTIFS(HLTV_Long!$A$2:$A$395,$A8&amp;"|A|"&amp;"ALL"&amp;"|lw")+COUNTIFS(HLTV_Long!$A$2:$A$395,$A8&amp;"|B|"&amp;"ALL"&amp;"|wl")),"")))</f>
        <v/>
      </c>
      <c r="AR8" s="15">
        <f>IF($X8="","",IFERROR((SUMIFS(HLTV_Long!$B$2:$B$395,HLTV_Long!$A$2:$A$395,$A8&amp;"|B|"&amp;$X8&amp;"|lw")+SUMIFS(HLTV_Long!$B$2:$B$395,HLTV_Long!$A$2:$A$395,$A8&amp;"|A|"&amp;$X8&amp;"|wl"))/(COUNTIFS(HLTV_Long!$A$2:$A$395,$A8&amp;"|B|"&amp;$X8&amp;"|lw")+COUNTIFS(HLTV_Long!$A$2:$A$395,$A8&amp;"|A|"&amp;$X8&amp;"|wl")),IFERROR((SUMIFS(HLTV_Long!$B$2:$B$395,HLTV_Long!$A$2:$A$395,$A8&amp;"|B|"&amp;"ALL"&amp;"|lw")+SUMIFS(HLTV_Long!$B$2:$B$395,HLTV_Long!$A$2:$A$395,$A8&amp;"|A|"&amp;"ALL"&amp;"|wl"))/(COUNTIFS(HLTV_Long!$A$2:$A$395,$A8&amp;"|B|"&amp;"ALL"&amp;"|lw")+COUNTIFS(HLTV_Long!$A$2:$A$395,$A8&amp;"|A|"&amp;"ALL"&amp;"|wl")),"")))</f>
        <v/>
      </c>
      <c r="AS8">
        <f>IF($X8="","",COUNTIFS(HLTV_Long!$A$2:$A$395,$A8&amp;"|A|"&amp;$X8&amp;"|lw")+COUNTIFS(HLTV_Long!$A$2:$A$395,$A8&amp;"|B|"&amp;$X8&amp;"|wl")+COUNTIFS(HLTV_Long!$A$2:$A$395,$A8&amp;"|B|"&amp;$X8&amp;"|lw")+COUNTIFS(HLTV_Long!$A$2:$A$395,$A8&amp;"|A|"&amp;$X8&amp;"|wl"))</f>
        <v/>
      </c>
      <c r="AT8" s="15">
        <f>IF(OR($AQ8="",$AR8="",$AG8=""),"",13+$AG8*$AQ8+(1-$AG8)*$AR8)</f>
        <v/>
      </c>
      <c r="AU8" s="15">
        <f>IF($AT8="","",$AG8*(13-$AQ8)-(1-$AG8)*(13-$AR8))</f>
        <v/>
      </c>
      <c r="AV8" s="8">
        <f>IF($AT8="","",($AG8*13+(1-$AG8)*$AR8)/$AT8)</f>
        <v/>
      </c>
      <c r="AW8" s="15">
        <f>IF($Y8="","",IFERROR((SUMIFS(HLTV_Long!$B$2:$B$395,HLTV_Long!$A$2:$A$395,$A8&amp;"|A|"&amp;$Y8&amp;"|lw")+SUMIFS(HLTV_Long!$B$2:$B$395,HLTV_Long!$A$2:$A$395,$A8&amp;"|B|"&amp;$Y8&amp;"|wl"))/(COUNTIFS(HLTV_Long!$A$2:$A$395,$A8&amp;"|A|"&amp;$Y8&amp;"|lw")+COUNTIFS(HLTV_Long!$A$2:$A$395,$A8&amp;"|B|"&amp;$Y8&amp;"|wl")),IFERROR((SUMIFS(HLTV_Long!$B$2:$B$395,HLTV_Long!$A$2:$A$395,$A8&amp;"|A|"&amp;"ALL"&amp;"|lw")+SUMIFS(HLTV_Long!$B$2:$B$395,HLTV_Long!$A$2:$A$395,$A8&amp;"|B|"&amp;"ALL"&amp;"|wl"))/(COUNTIFS(HLTV_Long!$A$2:$A$395,$A8&amp;"|A|"&amp;"ALL"&amp;"|lw")+COUNTIFS(HLTV_Long!$A$2:$A$395,$A8&amp;"|B|"&amp;"ALL"&amp;"|wl")),"")))</f>
        <v/>
      </c>
      <c r="AX8" s="15">
        <f>IF($Y8="","",IFERROR((SUMIFS(HLTV_Long!$B$2:$B$395,HLTV_Long!$A$2:$A$395,$A8&amp;"|B|"&amp;$Y8&amp;"|lw")+SUMIFS(HLTV_Long!$B$2:$B$395,HLTV_Long!$A$2:$A$395,$A8&amp;"|A|"&amp;$Y8&amp;"|wl"))/(COUNTIFS(HLTV_Long!$A$2:$A$395,$A8&amp;"|B|"&amp;$Y8&amp;"|lw")+COUNTIFS(HLTV_Long!$A$2:$A$395,$A8&amp;"|A|"&amp;$Y8&amp;"|wl")),IFERROR((SUMIFS(HLTV_Long!$B$2:$B$395,HLTV_Long!$A$2:$A$395,$A8&amp;"|B|"&amp;"ALL"&amp;"|lw")+SUMIFS(HLTV_Long!$B$2:$B$395,HLTV_Long!$A$2:$A$395,$A8&amp;"|A|"&amp;"ALL"&amp;"|wl"))/(COUNTIFS(HLTV_Long!$A$2:$A$395,$A8&amp;"|B|"&amp;"ALL"&amp;"|lw")+COUNTIFS(HLTV_Long!$A$2:$A$395,$A8&amp;"|A|"&amp;"ALL"&amp;"|wl")),"")))</f>
        <v/>
      </c>
      <c r="AY8">
        <f>IF($Y8="","",COUNTIFS(HLTV_Long!$A$2:$A$395,$A8&amp;"|A|"&amp;$Y8&amp;"|lw")+COUNTIFS(HLTV_Long!$A$2:$A$395,$A8&amp;"|B|"&amp;$Y8&amp;"|wl")+COUNTIFS(HLTV_Long!$A$2:$A$395,$A8&amp;"|B|"&amp;$Y8&amp;"|lw")+COUNTIFS(HLTV_Long!$A$2:$A$395,$A8&amp;"|A|"&amp;$Y8&amp;"|wl"))</f>
        <v/>
      </c>
      <c r="AZ8" s="15">
        <f>IF(OR($AW8="",$AX8="",$AH8=""),"",13+$AH8*$AW8+(1-$AH8)*$AX8)</f>
        <v/>
      </c>
      <c r="BA8" s="15">
        <f>IF($AZ8="","",$AH8*(13-$AW8)-(1-$AH8)*(13-$AX8))</f>
        <v/>
      </c>
      <c r="BB8" s="8">
        <f>IF($AZ8="","",($AH8*13+(1-$AH8)*$AX8)/$AZ8)</f>
        <v/>
      </c>
    </row>
    <row r="9">
      <c r="A9" t="inlineStr">
        <is>
          <t>CS2 · VIT vs MGLZ</t>
        </is>
      </c>
      <c r="B9" t="inlineStr">
        <is>
          <t>CS2</t>
        </is>
      </c>
      <c r="C9" t="inlineStr">
        <is>
          <t>Sun 06:00</t>
        </is>
      </c>
      <c r="D9" t="n">
        <v>3</v>
      </c>
      <c r="E9" t="inlineStr">
        <is>
          <t>Vitality (VIT)</t>
        </is>
      </c>
      <c r="F9" t="inlineStr">
        <is>
          <t>MongolZ (MGLZ)</t>
        </is>
      </c>
      <c r="G9" s="8" t="n">
        <v>0.8067226890756303</v>
      </c>
      <c r="H9" s="8" t="n">
        <v>0.5020926956181936</v>
      </c>
      <c r="I9" s="8" t="n">
        <v>0.09595549294036587</v>
      </c>
      <c r="J9" s="8" t="n">
        <v>0.4019518114414405</v>
      </c>
      <c r="K9" t="inlineStr">
        <is>
          <t>Dust2 25%</t>
        </is>
      </c>
      <c r="L9" t="inlineStr">
        <is>
          <t>Mirage 25%</t>
        </is>
      </c>
      <c r="M9" t="inlineStr">
        <is>
          <t>Inferno 21%</t>
        </is>
      </c>
      <c r="N9" t="inlineStr">
        <is>
          <t>HLTV veto: played, minus first-bans (no Map Picks)</t>
        </is>
      </c>
      <c r="O9" s="9" t="n">
        <v>21.04745596868884</v>
      </c>
      <c r="P9" s="9" t="n">
        <v>20.71207007393121</v>
      </c>
      <c r="Q9" s="9" t="n">
        <v>20.88546255506608</v>
      </c>
      <c r="R9" s="8" t="n">
        <v>0.1463414634146341</v>
      </c>
      <c r="S9" s="9" t="n">
        <v>3.661248930710008</v>
      </c>
      <c r="T9" s="9" t="n"/>
      <c r="U9" s="9" t="n">
        <v>9.5</v>
      </c>
      <c r="V9" t="n">
        <v>350</v>
      </c>
      <c r="W9" s="12" t="inlineStr">
        <is>
          <t>Dust2</t>
        </is>
      </c>
      <c r="X9" s="12" t="inlineStr">
        <is>
          <t>Mirage</t>
        </is>
      </c>
      <c r="Y9" s="12" t="inlineStr">
        <is>
          <t>Inferno</t>
        </is>
      </c>
      <c r="Z9" s="13" t="n">
        <v>21.05</v>
      </c>
      <c r="AA9" s="13" t="n">
        <v>20.71</v>
      </c>
      <c r="AB9" s="13" t="n">
        <v>20.89</v>
      </c>
      <c r="AC9" s="14" t="n">
        <v>0.402</v>
      </c>
      <c r="AD9" t="inlineStr">
        <is>
          <t>VIT</t>
        </is>
      </c>
      <c r="AE9" t="inlineStr">
        <is>
          <t>MGLZ</t>
        </is>
      </c>
      <c r="AF9" s="8" t="n">
        <v>0.7014</v>
      </c>
      <c r="AG9" s="8" t="n">
        <v>0.757</v>
      </c>
      <c r="AH9" s="8" t="n">
        <v>0.7205</v>
      </c>
      <c r="AI9" s="8">
        <f>IFERROR(INDEX(HLTV_Teams!$N$2:$N$29,MATCH($A9&amp;"|A",HLTV_Teams!$A$2:$A$29,0)),"")</f>
        <v/>
      </c>
      <c r="AJ9" s="8">
        <f>IFERROR(INDEX(HLTV_Teams!$N$2:$N$29,MATCH($A9&amp;"|B",HLTV_Teams!$A$2:$A$29,0)),"")</f>
        <v/>
      </c>
      <c r="AK9" s="15">
        <f>IF($W9="","",IFERROR((SUMIFS(HLTV_Long!$B$2:$B$395,HLTV_Long!$A$2:$A$395,$A9&amp;"|A|"&amp;$W9&amp;"|lw")+SUMIFS(HLTV_Long!$B$2:$B$395,HLTV_Long!$A$2:$A$395,$A9&amp;"|B|"&amp;$W9&amp;"|wl"))/(COUNTIFS(HLTV_Long!$A$2:$A$395,$A9&amp;"|A|"&amp;$W9&amp;"|lw")+COUNTIFS(HLTV_Long!$A$2:$A$395,$A9&amp;"|B|"&amp;$W9&amp;"|wl")),IFERROR((SUMIFS(HLTV_Long!$B$2:$B$395,HLTV_Long!$A$2:$A$395,$A9&amp;"|A|"&amp;"ALL"&amp;"|lw")+SUMIFS(HLTV_Long!$B$2:$B$395,HLTV_Long!$A$2:$A$395,$A9&amp;"|B|"&amp;"ALL"&amp;"|wl"))/(COUNTIFS(HLTV_Long!$A$2:$A$395,$A9&amp;"|A|"&amp;"ALL"&amp;"|lw")+COUNTIFS(HLTV_Long!$A$2:$A$395,$A9&amp;"|B|"&amp;"ALL"&amp;"|wl")),"")))</f>
        <v/>
      </c>
      <c r="AL9" s="15">
        <f>IF($W9="","",IFERROR((SUMIFS(HLTV_Long!$B$2:$B$395,HLTV_Long!$A$2:$A$395,$A9&amp;"|B|"&amp;$W9&amp;"|lw")+SUMIFS(HLTV_Long!$B$2:$B$395,HLTV_Long!$A$2:$A$395,$A9&amp;"|A|"&amp;$W9&amp;"|wl"))/(COUNTIFS(HLTV_Long!$A$2:$A$395,$A9&amp;"|B|"&amp;$W9&amp;"|lw")+COUNTIFS(HLTV_Long!$A$2:$A$395,$A9&amp;"|A|"&amp;$W9&amp;"|wl")),IFERROR((SUMIFS(HLTV_Long!$B$2:$B$395,HLTV_Long!$A$2:$A$395,$A9&amp;"|B|"&amp;"ALL"&amp;"|lw")+SUMIFS(HLTV_Long!$B$2:$B$395,HLTV_Long!$A$2:$A$395,$A9&amp;"|A|"&amp;"ALL"&amp;"|wl"))/(COUNTIFS(HLTV_Long!$A$2:$A$395,$A9&amp;"|B|"&amp;"ALL"&amp;"|lw")+COUNTIFS(HLTV_Long!$A$2:$A$395,$A9&amp;"|A|"&amp;"ALL"&amp;"|wl")),"")))</f>
        <v/>
      </c>
      <c r="AM9">
        <f>IF($W9="","",COUNTIFS(HLTV_Long!$A$2:$A$395,$A9&amp;"|A|"&amp;$W9&amp;"|lw")+COUNTIFS(HLTV_Long!$A$2:$A$395,$A9&amp;"|B|"&amp;$W9&amp;"|wl")+COUNTIFS(HLTV_Long!$A$2:$A$395,$A9&amp;"|B|"&amp;$W9&amp;"|lw")+COUNTIFS(HLTV_Long!$A$2:$A$395,$A9&amp;"|A|"&amp;$W9&amp;"|wl"))</f>
        <v/>
      </c>
      <c r="AN9" s="15">
        <f>IF(OR($AK9="",$AL9="",$AF9=""),"",13+$AF9*$AK9+(1-$AF9)*$AL9)</f>
        <v/>
      </c>
      <c r="AO9" s="15">
        <f>IF($AN9="","",$AF9*(13-$AK9)-(1-$AF9)*(13-$AL9))</f>
        <v/>
      </c>
      <c r="AP9" s="8">
        <f>IF($AN9="","",($AF9*13+(1-$AF9)*$AL9)/$AN9)</f>
        <v/>
      </c>
      <c r="AQ9" s="15">
        <f>IF($X9="","",IFERROR((SUMIFS(HLTV_Long!$B$2:$B$395,HLTV_Long!$A$2:$A$395,$A9&amp;"|A|"&amp;$X9&amp;"|lw")+SUMIFS(HLTV_Long!$B$2:$B$395,HLTV_Long!$A$2:$A$395,$A9&amp;"|B|"&amp;$X9&amp;"|wl"))/(COUNTIFS(HLTV_Long!$A$2:$A$395,$A9&amp;"|A|"&amp;$X9&amp;"|lw")+COUNTIFS(HLTV_Long!$A$2:$A$395,$A9&amp;"|B|"&amp;$X9&amp;"|wl")),IFERROR((SUMIFS(HLTV_Long!$B$2:$B$395,HLTV_Long!$A$2:$A$395,$A9&amp;"|A|"&amp;"ALL"&amp;"|lw")+SUMIFS(HLTV_Long!$B$2:$B$395,HLTV_Long!$A$2:$A$395,$A9&amp;"|B|"&amp;"ALL"&amp;"|wl"))/(COUNTIFS(HLTV_Long!$A$2:$A$395,$A9&amp;"|A|"&amp;"ALL"&amp;"|lw")+COUNTIFS(HLTV_Long!$A$2:$A$395,$A9&amp;"|B|"&amp;"ALL"&amp;"|wl")),"")))</f>
        <v/>
      </c>
      <c r="AR9" s="15">
        <f>IF($X9="","",IFERROR((SUMIFS(HLTV_Long!$B$2:$B$395,HLTV_Long!$A$2:$A$395,$A9&amp;"|B|"&amp;$X9&amp;"|lw")+SUMIFS(HLTV_Long!$B$2:$B$395,HLTV_Long!$A$2:$A$395,$A9&amp;"|A|"&amp;$X9&amp;"|wl"))/(COUNTIFS(HLTV_Long!$A$2:$A$395,$A9&amp;"|B|"&amp;$X9&amp;"|lw")+COUNTIFS(HLTV_Long!$A$2:$A$395,$A9&amp;"|A|"&amp;$X9&amp;"|wl")),IFERROR((SUMIFS(HLTV_Long!$B$2:$B$395,HLTV_Long!$A$2:$A$395,$A9&amp;"|B|"&amp;"ALL"&amp;"|lw")+SUMIFS(HLTV_Long!$B$2:$B$395,HLTV_Long!$A$2:$A$395,$A9&amp;"|A|"&amp;"ALL"&amp;"|wl"))/(COUNTIFS(HLTV_Long!$A$2:$A$395,$A9&amp;"|B|"&amp;"ALL"&amp;"|lw")+COUNTIFS(HLTV_Long!$A$2:$A$395,$A9&amp;"|A|"&amp;"ALL"&amp;"|wl")),"")))</f>
        <v/>
      </c>
      <c r="AS9">
        <f>IF($X9="","",COUNTIFS(HLTV_Long!$A$2:$A$395,$A9&amp;"|A|"&amp;$X9&amp;"|lw")+COUNTIFS(HLTV_Long!$A$2:$A$395,$A9&amp;"|B|"&amp;$X9&amp;"|wl")+COUNTIFS(HLTV_Long!$A$2:$A$395,$A9&amp;"|B|"&amp;$X9&amp;"|lw")+COUNTIFS(HLTV_Long!$A$2:$A$395,$A9&amp;"|A|"&amp;$X9&amp;"|wl"))</f>
        <v/>
      </c>
      <c r="AT9" s="15">
        <f>IF(OR($AQ9="",$AR9="",$AG9=""),"",13+$AG9*$AQ9+(1-$AG9)*$AR9)</f>
        <v/>
      </c>
      <c r="AU9" s="15">
        <f>IF($AT9="","",$AG9*(13-$AQ9)-(1-$AG9)*(13-$AR9))</f>
        <v/>
      </c>
      <c r="AV9" s="8">
        <f>IF($AT9="","",($AG9*13+(1-$AG9)*$AR9)/$AT9)</f>
        <v/>
      </c>
      <c r="AW9" s="15">
        <f>IF($Y9="","",IFERROR((SUMIFS(HLTV_Long!$B$2:$B$395,HLTV_Long!$A$2:$A$395,$A9&amp;"|A|"&amp;$Y9&amp;"|lw")+SUMIFS(HLTV_Long!$B$2:$B$395,HLTV_Long!$A$2:$A$395,$A9&amp;"|B|"&amp;$Y9&amp;"|wl"))/(COUNTIFS(HLTV_Long!$A$2:$A$395,$A9&amp;"|A|"&amp;$Y9&amp;"|lw")+COUNTIFS(HLTV_Long!$A$2:$A$395,$A9&amp;"|B|"&amp;$Y9&amp;"|wl")),IFERROR((SUMIFS(HLTV_Long!$B$2:$B$395,HLTV_Long!$A$2:$A$395,$A9&amp;"|A|"&amp;"ALL"&amp;"|lw")+SUMIFS(HLTV_Long!$B$2:$B$395,HLTV_Long!$A$2:$A$395,$A9&amp;"|B|"&amp;"ALL"&amp;"|wl"))/(COUNTIFS(HLTV_Long!$A$2:$A$395,$A9&amp;"|A|"&amp;"ALL"&amp;"|lw")+COUNTIFS(HLTV_Long!$A$2:$A$395,$A9&amp;"|B|"&amp;"ALL"&amp;"|wl")),"")))</f>
        <v/>
      </c>
      <c r="AX9" s="15">
        <f>IF($Y9="","",IFERROR((SUMIFS(HLTV_Long!$B$2:$B$395,HLTV_Long!$A$2:$A$395,$A9&amp;"|B|"&amp;$Y9&amp;"|lw")+SUMIFS(HLTV_Long!$B$2:$B$395,HLTV_Long!$A$2:$A$395,$A9&amp;"|A|"&amp;$Y9&amp;"|wl"))/(COUNTIFS(HLTV_Long!$A$2:$A$395,$A9&amp;"|B|"&amp;$Y9&amp;"|lw")+COUNTIFS(HLTV_Long!$A$2:$A$395,$A9&amp;"|A|"&amp;$Y9&amp;"|wl")),IFERROR((SUMIFS(HLTV_Long!$B$2:$B$395,HLTV_Long!$A$2:$A$395,$A9&amp;"|B|"&amp;"ALL"&amp;"|lw")+SUMIFS(HLTV_Long!$B$2:$B$395,HLTV_Long!$A$2:$A$395,$A9&amp;"|A|"&amp;"ALL"&amp;"|wl"))/(COUNTIFS(HLTV_Long!$A$2:$A$395,$A9&amp;"|B|"&amp;"ALL"&amp;"|lw")+COUNTIFS(HLTV_Long!$A$2:$A$395,$A9&amp;"|A|"&amp;"ALL"&amp;"|wl")),"")))</f>
        <v/>
      </c>
      <c r="AY9">
        <f>IF($Y9="","",COUNTIFS(HLTV_Long!$A$2:$A$395,$A9&amp;"|A|"&amp;$Y9&amp;"|lw")+COUNTIFS(HLTV_Long!$A$2:$A$395,$A9&amp;"|B|"&amp;$Y9&amp;"|wl")+COUNTIFS(HLTV_Long!$A$2:$A$395,$A9&amp;"|B|"&amp;$Y9&amp;"|lw")+COUNTIFS(HLTV_Long!$A$2:$A$395,$A9&amp;"|A|"&amp;$Y9&amp;"|wl"))</f>
        <v/>
      </c>
      <c r="AZ9" s="15">
        <f>IF(OR($AW9="",$AX9="",$AH9=""),"",13+$AH9*$AW9+(1-$AH9)*$AX9)</f>
        <v/>
      </c>
      <c r="BA9" s="15">
        <f>IF($AZ9="","",$AH9*(13-$AW9)-(1-$AH9)*(13-$AX9))</f>
        <v/>
      </c>
      <c r="BB9" s="8">
        <f>IF($AZ9="","",($AH9*13+(1-$AH9)*$AX9)/$AZ9)</f>
        <v/>
      </c>
    </row>
    <row r="10">
      <c r="A10" t="inlineStr">
        <is>
          <t>CS2 [NO MARKET] · ACE vs INOX</t>
        </is>
      </c>
      <c r="B10" t="inlineStr">
        <is>
          <t>CS2</t>
        </is>
      </c>
      <c r="C10" t="inlineStr">
        <is>
          <t>Sun 06:00</t>
        </is>
      </c>
      <c r="D10" t="n">
        <v>3</v>
      </c>
      <c r="E10" t="inlineStr">
        <is>
          <t>ACE (ACE)</t>
        </is>
      </c>
      <c r="F10" t="inlineStr">
        <is>
          <t>INOX (INOX)</t>
        </is>
      </c>
      <c r="G10" s="8" t="n"/>
      <c r="H10" s="8" t="n"/>
      <c r="I10" s="8" t="n"/>
      <c r="J10" s="8" t="n"/>
      <c r="K10" t="inlineStr">
        <is>
          <t>Dust2 26%</t>
        </is>
      </c>
      <c r="L10" t="inlineStr">
        <is>
          <t>Ancient 19%</t>
        </is>
      </c>
      <c r="M10" t="inlineStr">
        <is>
          <t>Inferno 18%</t>
        </is>
      </c>
      <c r="N10" t="inlineStr">
        <is>
          <t>most-played by both rosters (no Map Picks)</t>
        </is>
      </c>
      <c r="O10" s="9" t="n"/>
      <c r="P10" s="9" t="n"/>
      <c r="Q10" s="9" t="n"/>
      <c r="R10" s="8" t="n"/>
      <c r="S10" s="9" t="n"/>
      <c r="T10" s="9" t="n"/>
      <c r="U10" s="9" t="n"/>
      <c r="V10" t="n">
        <v>0</v>
      </c>
      <c r="W10" s="12" t="inlineStr">
        <is>
          <t>Dust2</t>
        </is>
      </c>
      <c r="X10" s="12" t="inlineStr">
        <is>
          <t>Ancient</t>
        </is>
      </c>
      <c r="Y10" s="12" t="inlineStr">
        <is>
          <t>Inferno</t>
        </is>
      </c>
      <c r="Z10" s="13">
        <f>Config!$B$7</f>
        <v/>
      </c>
      <c r="AA10" s="13">
        <f>Config!$B$7</f>
        <v/>
      </c>
      <c r="AB10" s="13">
        <f>Config!$B$7</f>
        <v/>
      </c>
      <c r="AC10" s="14" t="n">
        <v>0</v>
      </c>
      <c r="AD10" t="inlineStr">
        <is>
          <t>ACE</t>
        </is>
      </c>
      <c r="AE10" t="inlineStr">
        <is>
          <t>INOX</t>
        </is>
      </c>
      <c r="AF10" s="8" t="n"/>
      <c r="AG10" s="8" t="n"/>
      <c r="AH10" s="8" t="n"/>
      <c r="AI10" s="8" t="n"/>
      <c r="AJ10" s="8" t="n"/>
      <c r="AK10" s="15" t="n"/>
      <c r="AL10" s="15" t="n"/>
      <c r="AN10" s="15" t="n"/>
      <c r="AO10" s="15" t="n"/>
      <c r="AP10" s="8" t="n"/>
      <c r="AQ10" s="15" t="n"/>
      <c r="AR10" s="15" t="n"/>
      <c r="AT10" s="15" t="n"/>
      <c r="AU10" s="15" t="n"/>
      <c r="AV10" s="8" t="n"/>
      <c r="AW10" s="15" t="n"/>
      <c r="AX10" s="15" t="n"/>
      <c r="AZ10" s="15" t="n"/>
      <c r="BA10" s="15" t="n"/>
      <c r="BB10" s="8" t="n"/>
    </row>
    <row r="11">
      <c r="A11" t="inlineStr">
        <is>
          <t>CS2 [NO MARKET] · BAKS vs MZP</t>
        </is>
      </c>
      <c r="B11" t="inlineStr">
        <is>
          <t>CS2</t>
        </is>
      </c>
      <c r="C11" t="inlineStr">
        <is>
          <t>Sun 07:00</t>
        </is>
      </c>
      <c r="D11" t="n">
        <v>3</v>
      </c>
      <c r="E11" t="inlineStr">
        <is>
          <t>BAKS (BAKS)</t>
        </is>
      </c>
      <c r="F11" t="inlineStr">
        <is>
          <t>MZP (MZP)</t>
        </is>
      </c>
      <c r="G11" s="8" t="n"/>
      <c r="H11" s="8" t="n"/>
      <c r="I11" s="8" t="n"/>
      <c r="J11" s="8" t="n"/>
      <c r="K11" t="inlineStr">
        <is>
          <t>Cache 29%</t>
        </is>
      </c>
      <c r="L11" t="inlineStr">
        <is>
          <t>Nuke 26%</t>
        </is>
      </c>
      <c r="M11" t="inlineStr">
        <is>
          <t>Mirage 17%</t>
        </is>
      </c>
      <c r="N11" t="inlineStr">
        <is>
          <t>HLTV veto: played, minus first-bans (no Map Picks)</t>
        </is>
      </c>
      <c r="O11" s="9" t="n"/>
      <c r="P11" s="9" t="n"/>
      <c r="Q11" s="9" t="n"/>
      <c r="R11" s="8" t="n"/>
      <c r="S11" s="9" t="n"/>
      <c r="T11" s="9" t="n"/>
      <c r="U11" s="9" t="n"/>
      <c r="V11" t="n">
        <v>0</v>
      </c>
      <c r="W11" s="12" t="inlineStr">
        <is>
          <t>Cache</t>
        </is>
      </c>
      <c r="X11" s="12" t="inlineStr">
        <is>
          <t>Nuke</t>
        </is>
      </c>
      <c r="Y11" s="12" t="inlineStr">
        <is>
          <t>Mirage</t>
        </is>
      </c>
      <c r="Z11" s="13">
        <f>Config!$B$7</f>
        <v/>
      </c>
      <c r="AA11" s="13">
        <f>Config!$B$7</f>
        <v/>
      </c>
      <c r="AB11" s="13">
        <f>Config!$B$7</f>
        <v/>
      </c>
      <c r="AC11" s="14" t="n">
        <v>0</v>
      </c>
      <c r="AD11" t="inlineStr">
        <is>
          <t>BAKS</t>
        </is>
      </c>
      <c r="AE11" t="inlineStr">
        <is>
          <t>MZP</t>
        </is>
      </c>
      <c r="AF11" s="8" t="n"/>
      <c r="AG11" s="8" t="n"/>
      <c r="AH11" s="8" t="n"/>
      <c r="AI11" s="8">
        <f>IFERROR(INDEX(HLTV_Teams!$N$2:$N$29,MATCH($A11&amp;"|A",HLTV_Teams!$A$2:$A$29,0)),"")</f>
        <v/>
      </c>
      <c r="AJ11" s="8">
        <f>IFERROR(INDEX(HLTV_Teams!$N$2:$N$29,MATCH($A11&amp;"|B",HLTV_Teams!$A$2:$A$29,0)),"")</f>
        <v/>
      </c>
      <c r="AK11" s="15">
        <f>IF($W11="","",IFERROR((SUMIFS(HLTV_Long!$B$2:$B$395,HLTV_Long!$A$2:$A$395,$A11&amp;"|A|"&amp;$W11&amp;"|lw")+SUMIFS(HLTV_Long!$B$2:$B$395,HLTV_Long!$A$2:$A$395,$A11&amp;"|B|"&amp;$W11&amp;"|wl"))/(COUNTIFS(HLTV_Long!$A$2:$A$395,$A11&amp;"|A|"&amp;$W11&amp;"|lw")+COUNTIFS(HLTV_Long!$A$2:$A$395,$A11&amp;"|B|"&amp;$W11&amp;"|wl")),IFERROR((SUMIFS(HLTV_Long!$B$2:$B$395,HLTV_Long!$A$2:$A$395,$A11&amp;"|A|"&amp;"ALL"&amp;"|lw")+SUMIFS(HLTV_Long!$B$2:$B$395,HLTV_Long!$A$2:$A$395,$A11&amp;"|B|"&amp;"ALL"&amp;"|wl"))/(COUNTIFS(HLTV_Long!$A$2:$A$395,$A11&amp;"|A|"&amp;"ALL"&amp;"|lw")+COUNTIFS(HLTV_Long!$A$2:$A$395,$A11&amp;"|B|"&amp;"ALL"&amp;"|wl")),"")))</f>
        <v/>
      </c>
      <c r="AL11" s="15">
        <f>IF($W11="","",IFERROR((SUMIFS(HLTV_Long!$B$2:$B$395,HLTV_Long!$A$2:$A$395,$A11&amp;"|B|"&amp;$W11&amp;"|lw")+SUMIFS(HLTV_Long!$B$2:$B$395,HLTV_Long!$A$2:$A$395,$A11&amp;"|A|"&amp;$W11&amp;"|wl"))/(COUNTIFS(HLTV_Long!$A$2:$A$395,$A11&amp;"|B|"&amp;$W11&amp;"|lw")+COUNTIFS(HLTV_Long!$A$2:$A$395,$A11&amp;"|A|"&amp;$W11&amp;"|wl")),IFERROR((SUMIFS(HLTV_Long!$B$2:$B$395,HLTV_Long!$A$2:$A$395,$A11&amp;"|B|"&amp;"ALL"&amp;"|lw")+SUMIFS(HLTV_Long!$B$2:$B$395,HLTV_Long!$A$2:$A$395,$A11&amp;"|A|"&amp;"ALL"&amp;"|wl"))/(COUNTIFS(HLTV_Long!$A$2:$A$395,$A11&amp;"|B|"&amp;"ALL"&amp;"|lw")+COUNTIFS(HLTV_Long!$A$2:$A$395,$A11&amp;"|A|"&amp;"ALL"&amp;"|wl")),"")))</f>
        <v/>
      </c>
      <c r="AM11">
        <f>IF($W11="","",COUNTIFS(HLTV_Long!$A$2:$A$395,$A11&amp;"|A|"&amp;$W11&amp;"|lw")+COUNTIFS(HLTV_Long!$A$2:$A$395,$A11&amp;"|B|"&amp;$W11&amp;"|wl")+COUNTIFS(HLTV_Long!$A$2:$A$395,$A11&amp;"|B|"&amp;$W11&amp;"|lw")+COUNTIFS(HLTV_Long!$A$2:$A$395,$A11&amp;"|A|"&amp;$W11&amp;"|wl"))</f>
        <v/>
      </c>
      <c r="AN11" s="15">
        <f>IF(OR($AK11="",$AL11="",$AF11=""),"",13+$AF11*$AK11+(1-$AF11)*$AL11)</f>
        <v/>
      </c>
      <c r="AO11" s="15">
        <f>IF($AN11="","",$AF11*(13-$AK11)-(1-$AF11)*(13-$AL11))</f>
        <v/>
      </c>
      <c r="AP11" s="8">
        <f>IF($AN11="","",($AF11*13+(1-$AF11)*$AL11)/$AN11)</f>
        <v/>
      </c>
      <c r="AQ11" s="15">
        <f>IF($X11="","",IFERROR((SUMIFS(HLTV_Long!$B$2:$B$395,HLTV_Long!$A$2:$A$395,$A11&amp;"|A|"&amp;$X11&amp;"|lw")+SUMIFS(HLTV_Long!$B$2:$B$395,HLTV_Long!$A$2:$A$395,$A11&amp;"|B|"&amp;$X11&amp;"|wl"))/(COUNTIFS(HLTV_Long!$A$2:$A$395,$A11&amp;"|A|"&amp;$X11&amp;"|lw")+COUNTIFS(HLTV_Long!$A$2:$A$395,$A11&amp;"|B|"&amp;$X11&amp;"|wl")),IFERROR((SUMIFS(HLTV_Long!$B$2:$B$395,HLTV_Long!$A$2:$A$395,$A11&amp;"|A|"&amp;"ALL"&amp;"|lw")+SUMIFS(HLTV_Long!$B$2:$B$395,HLTV_Long!$A$2:$A$395,$A11&amp;"|B|"&amp;"ALL"&amp;"|wl"))/(COUNTIFS(HLTV_Long!$A$2:$A$395,$A11&amp;"|A|"&amp;"ALL"&amp;"|lw")+COUNTIFS(HLTV_Long!$A$2:$A$395,$A11&amp;"|B|"&amp;"ALL"&amp;"|wl")),"")))</f>
        <v/>
      </c>
      <c r="AR11" s="15">
        <f>IF($X11="","",IFERROR((SUMIFS(HLTV_Long!$B$2:$B$395,HLTV_Long!$A$2:$A$395,$A11&amp;"|B|"&amp;$X11&amp;"|lw")+SUMIFS(HLTV_Long!$B$2:$B$395,HLTV_Long!$A$2:$A$395,$A11&amp;"|A|"&amp;$X11&amp;"|wl"))/(COUNTIFS(HLTV_Long!$A$2:$A$395,$A11&amp;"|B|"&amp;$X11&amp;"|lw")+COUNTIFS(HLTV_Long!$A$2:$A$395,$A11&amp;"|A|"&amp;$X11&amp;"|wl")),IFERROR((SUMIFS(HLTV_Long!$B$2:$B$395,HLTV_Long!$A$2:$A$395,$A11&amp;"|B|"&amp;"ALL"&amp;"|lw")+SUMIFS(HLTV_Long!$B$2:$B$395,HLTV_Long!$A$2:$A$395,$A11&amp;"|A|"&amp;"ALL"&amp;"|wl"))/(COUNTIFS(HLTV_Long!$A$2:$A$395,$A11&amp;"|B|"&amp;"ALL"&amp;"|lw")+COUNTIFS(HLTV_Long!$A$2:$A$395,$A11&amp;"|A|"&amp;"ALL"&amp;"|wl")),"")))</f>
        <v/>
      </c>
      <c r="AS11">
        <f>IF($X11="","",COUNTIFS(HLTV_Long!$A$2:$A$395,$A11&amp;"|A|"&amp;$X11&amp;"|lw")+COUNTIFS(HLTV_Long!$A$2:$A$395,$A11&amp;"|B|"&amp;$X11&amp;"|wl")+COUNTIFS(HLTV_Long!$A$2:$A$395,$A11&amp;"|B|"&amp;$X11&amp;"|lw")+COUNTIFS(HLTV_Long!$A$2:$A$395,$A11&amp;"|A|"&amp;$X11&amp;"|wl"))</f>
        <v/>
      </c>
      <c r="AT11" s="15">
        <f>IF(OR($AQ11="",$AR11="",$AG11=""),"",13+$AG11*$AQ11+(1-$AG11)*$AR11)</f>
        <v/>
      </c>
      <c r="AU11" s="15">
        <f>IF($AT11="","",$AG11*(13-$AQ11)-(1-$AG11)*(13-$AR11))</f>
        <v/>
      </c>
      <c r="AV11" s="8">
        <f>IF($AT11="","",($AG11*13+(1-$AG11)*$AR11)/$AT11)</f>
        <v/>
      </c>
      <c r="AW11" s="15">
        <f>IF($Y11="","",IFERROR((SUMIFS(HLTV_Long!$B$2:$B$395,HLTV_Long!$A$2:$A$395,$A11&amp;"|A|"&amp;$Y11&amp;"|lw")+SUMIFS(HLTV_Long!$B$2:$B$395,HLTV_Long!$A$2:$A$395,$A11&amp;"|B|"&amp;$Y11&amp;"|wl"))/(COUNTIFS(HLTV_Long!$A$2:$A$395,$A11&amp;"|A|"&amp;$Y11&amp;"|lw")+COUNTIFS(HLTV_Long!$A$2:$A$395,$A11&amp;"|B|"&amp;$Y11&amp;"|wl")),IFERROR((SUMIFS(HLTV_Long!$B$2:$B$395,HLTV_Long!$A$2:$A$395,$A11&amp;"|A|"&amp;"ALL"&amp;"|lw")+SUMIFS(HLTV_Long!$B$2:$B$395,HLTV_Long!$A$2:$A$395,$A11&amp;"|B|"&amp;"ALL"&amp;"|wl"))/(COUNTIFS(HLTV_Long!$A$2:$A$395,$A11&amp;"|A|"&amp;"ALL"&amp;"|lw")+COUNTIFS(HLTV_Long!$A$2:$A$395,$A11&amp;"|B|"&amp;"ALL"&amp;"|wl")),"")))</f>
        <v/>
      </c>
      <c r="AX11" s="15">
        <f>IF($Y11="","",IFERROR((SUMIFS(HLTV_Long!$B$2:$B$395,HLTV_Long!$A$2:$A$395,$A11&amp;"|B|"&amp;$Y11&amp;"|lw")+SUMIFS(HLTV_Long!$B$2:$B$395,HLTV_Long!$A$2:$A$395,$A11&amp;"|A|"&amp;$Y11&amp;"|wl"))/(COUNTIFS(HLTV_Long!$A$2:$A$395,$A11&amp;"|B|"&amp;$Y11&amp;"|lw")+COUNTIFS(HLTV_Long!$A$2:$A$395,$A11&amp;"|A|"&amp;$Y11&amp;"|wl")),IFERROR((SUMIFS(HLTV_Long!$B$2:$B$395,HLTV_Long!$A$2:$A$395,$A11&amp;"|B|"&amp;"ALL"&amp;"|lw")+SUMIFS(HLTV_Long!$B$2:$B$395,HLTV_Long!$A$2:$A$395,$A11&amp;"|A|"&amp;"ALL"&amp;"|wl"))/(COUNTIFS(HLTV_Long!$A$2:$A$395,$A11&amp;"|B|"&amp;"ALL"&amp;"|lw")+COUNTIFS(HLTV_Long!$A$2:$A$395,$A11&amp;"|A|"&amp;"ALL"&amp;"|wl")),"")))</f>
        <v/>
      </c>
      <c r="AY11">
        <f>IF($Y11="","",COUNTIFS(HLTV_Long!$A$2:$A$395,$A11&amp;"|A|"&amp;$Y11&amp;"|lw")+COUNTIFS(HLTV_Long!$A$2:$A$395,$A11&amp;"|B|"&amp;$Y11&amp;"|wl")+COUNTIFS(HLTV_Long!$A$2:$A$395,$A11&amp;"|B|"&amp;$Y11&amp;"|lw")+COUNTIFS(HLTV_Long!$A$2:$A$395,$A11&amp;"|A|"&amp;$Y11&amp;"|wl"))</f>
        <v/>
      </c>
      <c r="AZ11" s="15">
        <f>IF(OR($AW11="",$AX11="",$AH11=""),"",13+$AH11*$AW11+(1-$AH11)*$AX11)</f>
        <v/>
      </c>
      <c r="BA11" s="15">
        <f>IF($AZ11="","",$AH11*(13-$AW11)-(1-$AH11)*(13-$AX11))</f>
        <v/>
      </c>
      <c r="BB11" s="8">
        <f>IF($AZ11="","",($AH11*13+(1-$AH11)*$AX11)/$AZ11)</f>
        <v/>
      </c>
    </row>
    <row r="12">
      <c r="A12" t="inlineStr">
        <is>
          <t>CS2 · MOUZ vs 9z</t>
        </is>
      </c>
      <c r="B12" t="inlineStr">
        <is>
          <t>CS2</t>
        </is>
      </c>
      <c r="C12" t="inlineStr">
        <is>
          <t>Sun 09:00</t>
        </is>
      </c>
      <c r="D12" t="n">
        <v>3</v>
      </c>
      <c r="E12" t="inlineStr">
        <is>
          <t>mouz (MOUZ)</t>
        </is>
      </c>
      <c r="F12" t="inlineStr">
        <is>
          <t>9z Team (9z)</t>
        </is>
      </c>
      <c r="G12" s="8" t="n">
        <v>0.7368421052631579</v>
      </c>
      <c r="H12" s="8" t="n">
        <v>0.431237136335306</v>
      </c>
      <c r="I12" s="8" t="n">
        <v>0.1201303451219781</v>
      </c>
      <c r="J12" s="8" t="n">
        <v>0.4486325185427159</v>
      </c>
      <c r="K12" t="inlineStr">
        <is>
          <t>Mirage 22%</t>
        </is>
      </c>
      <c r="L12" t="inlineStr">
        <is>
          <t>Dust2 20%</t>
        </is>
      </c>
      <c r="M12" t="inlineStr">
        <is>
          <t>Nuke 20%</t>
        </is>
      </c>
      <c r="N12" t="inlineStr">
        <is>
          <t>HLTV veto: played, minus first-bans (no Map Picks)</t>
        </is>
      </c>
      <c r="O12" s="9" t="n">
        <v>21.31255313119864</v>
      </c>
      <c r="P12" s="9" t="n">
        <v>21.04745596868884</v>
      </c>
      <c r="Q12" s="9" t="n">
        <v>21.11453744493392</v>
      </c>
      <c r="R12" s="8" t="n">
        <v>0.1463414634146341</v>
      </c>
      <c r="S12" s="9" t="n">
        <v>3.068572372769331</v>
      </c>
      <c r="T12" s="9" t="n"/>
      <c r="U12" s="9" t="n">
        <v>10.38095238095238</v>
      </c>
      <c r="V12" t="n">
        <v>354</v>
      </c>
      <c r="W12" s="12" t="inlineStr">
        <is>
          <t>Mirage</t>
        </is>
      </c>
      <c r="X12" s="12" t="inlineStr">
        <is>
          <t>Dust2</t>
        </is>
      </c>
      <c r="Y12" s="12" t="inlineStr">
        <is>
          <t>Nuke</t>
        </is>
      </c>
      <c r="Z12" s="13" t="n">
        <v>21.31</v>
      </c>
      <c r="AA12" s="13" t="n">
        <v>21.05</v>
      </c>
      <c r="AB12" s="13" t="n">
        <v>21.11</v>
      </c>
      <c r="AC12" s="14" t="n">
        <v>0.4486</v>
      </c>
      <c r="AD12" t="inlineStr">
        <is>
          <t>MOUZ</t>
        </is>
      </c>
      <c r="AE12" t="inlineStr">
        <is>
          <t>9z</t>
        </is>
      </c>
      <c r="AF12" s="8" t="n">
        <v>0.6281</v>
      </c>
      <c r="AG12" s="8" t="n">
        <v>0.7014</v>
      </c>
      <c r="AH12" s="8" t="n">
        <v>0.6699000000000001</v>
      </c>
      <c r="AI12" s="8">
        <f>IFERROR(INDEX(HLTV_Teams!$N$2:$N$29,MATCH($A12&amp;"|A",HLTV_Teams!$A$2:$A$29,0)),"")</f>
        <v/>
      </c>
      <c r="AJ12" s="8">
        <f>IFERROR(INDEX(HLTV_Teams!$N$2:$N$29,MATCH($A12&amp;"|B",HLTV_Teams!$A$2:$A$29,0)),"")</f>
        <v/>
      </c>
      <c r="AK12" s="15">
        <f>IF($W12="","",IFERROR((SUMIFS(HLTV_Long!$B$2:$B$395,HLTV_Long!$A$2:$A$395,$A12&amp;"|A|"&amp;$W12&amp;"|lw")+SUMIFS(HLTV_Long!$B$2:$B$395,HLTV_Long!$A$2:$A$395,$A12&amp;"|B|"&amp;$W12&amp;"|wl"))/(COUNTIFS(HLTV_Long!$A$2:$A$395,$A12&amp;"|A|"&amp;$W12&amp;"|lw")+COUNTIFS(HLTV_Long!$A$2:$A$395,$A12&amp;"|B|"&amp;$W12&amp;"|wl")),IFERROR((SUMIFS(HLTV_Long!$B$2:$B$395,HLTV_Long!$A$2:$A$395,$A12&amp;"|A|"&amp;"ALL"&amp;"|lw")+SUMIFS(HLTV_Long!$B$2:$B$395,HLTV_Long!$A$2:$A$395,$A12&amp;"|B|"&amp;"ALL"&amp;"|wl"))/(COUNTIFS(HLTV_Long!$A$2:$A$395,$A12&amp;"|A|"&amp;"ALL"&amp;"|lw")+COUNTIFS(HLTV_Long!$A$2:$A$395,$A12&amp;"|B|"&amp;"ALL"&amp;"|wl")),"")))</f>
        <v/>
      </c>
      <c r="AL12" s="15">
        <f>IF($W12="","",IFERROR((SUMIFS(HLTV_Long!$B$2:$B$395,HLTV_Long!$A$2:$A$395,$A12&amp;"|B|"&amp;$W12&amp;"|lw")+SUMIFS(HLTV_Long!$B$2:$B$395,HLTV_Long!$A$2:$A$395,$A12&amp;"|A|"&amp;$W12&amp;"|wl"))/(COUNTIFS(HLTV_Long!$A$2:$A$395,$A12&amp;"|B|"&amp;$W12&amp;"|lw")+COUNTIFS(HLTV_Long!$A$2:$A$395,$A12&amp;"|A|"&amp;$W12&amp;"|wl")),IFERROR((SUMIFS(HLTV_Long!$B$2:$B$395,HLTV_Long!$A$2:$A$395,$A12&amp;"|B|"&amp;"ALL"&amp;"|lw")+SUMIFS(HLTV_Long!$B$2:$B$395,HLTV_Long!$A$2:$A$395,$A12&amp;"|A|"&amp;"ALL"&amp;"|wl"))/(COUNTIFS(HLTV_Long!$A$2:$A$395,$A12&amp;"|B|"&amp;"ALL"&amp;"|lw")+COUNTIFS(HLTV_Long!$A$2:$A$395,$A12&amp;"|A|"&amp;"ALL"&amp;"|wl")),"")))</f>
        <v/>
      </c>
      <c r="AM12">
        <f>IF($W12="","",COUNTIFS(HLTV_Long!$A$2:$A$395,$A12&amp;"|A|"&amp;$W12&amp;"|lw")+COUNTIFS(HLTV_Long!$A$2:$A$395,$A12&amp;"|B|"&amp;$W12&amp;"|wl")+COUNTIFS(HLTV_Long!$A$2:$A$395,$A12&amp;"|B|"&amp;$W12&amp;"|lw")+COUNTIFS(HLTV_Long!$A$2:$A$395,$A12&amp;"|A|"&amp;$W12&amp;"|wl"))</f>
        <v/>
      </c>
      <c r="AN12" s="15">
        <f>IF(OR($AK12="",$AL12="",$AF12=""),"",13+$AF12*$AK12+(1-$AF12)*$AL12)</f>
        <v/>
      </c>
      <c r="AO12" s="15">
        <f>IF($AN12="","",$AF12*(13-$AK12)-(1-$AF12)*(13-$AL12))</f>
        <v/>
      </c>
      <c r="AP12" s="8">
        <f>IF($AN12="","",($AF12*13+(1-$AF12)*$AL12)/$AN12)</f>
        <v/>
      </c>
      <c r="AQ12" s="15">
        <f>IF($X12="","",IFERROR((SUMIFS(HLTV_Long!$B$2:$B$395,HLTV_Long!$A$2:$A$395,$A12&amp;"|A|"&amp;$X12&amp;"|lw")+SUMIFS(HLTV_Long!$B$2:$B$395,HLTV_Long!$A$2:$A$395,$A12&amp;"|B|"&amp;$X12&amp;"|wl"))/(COUNTIFS(HLTV_Long!$A$2:$A$395,$A12&amp;"|A|"&amp;$X12&amp;"|lw")+COUNTIFS(HLTV_Long!$A$2:$A$395,$A12&amp;"|B|"&amp;$X12&amp;"|wl")),IFERROR((SUMIFS(HLTV_Long!$B$2:$B$395,HLTV_Long!$A$2:$A$395,$A12&amp;"|A|"&amp;"ALL"&amp;"|lw")+SUMIFS(HLTV_Long!$B$2:$B$395,HLTV_Long!$A$2:$A$395,$A12&amp;"|B|"&amp;"ALL"&amp;"|wl"))/(COUNTIFS(HLTV_Long!$A$2:$A$395,$A12&amp;"|A|"&amp;"ALL"&amp;"|lw")+COUNTIFS(HLTV_Long!$A$2:$A$395,$A12&amp;"|B|"&amp;"ALL"&amp;"|wl")),"")))</f>
        <v/>
      </c>
      <c r="AR12" s="15">
        <f>IF($X12="","",IFERROR((SUMIFS(HLTV_Long!$B$2:$B$395,HLTV_Long!$A$2:$A$395,$A12&amp;"|B|"&amp;$X12&amp;"|lw")+SUMIFS(HLTV_Long!$B$2:$B$395,HLTV_Long!$A$2:$A$395,$A12&amp;"|A|"&amp;$X12&amp;"|wl"))/(COUNTIFS(HLTV_Long!$A$2:$A$395,$A12&amp;"|B|"&amp;$X12&amp;"|lw")+COUNTIFS(HLTV_Long!$A$2:$A$395,$A12&amp;"|A|"&amp;$X12&amp;"|wl")),IFERROR((SUMIFS(HLTV_Long!$B$2:$B$395,HLTV_Long!$A$2:$A$395,$A12&amp;"|B|"&amp;"ALL"&amp;"|lw")+SUMIFS(HLTV_Long!$B$2:$B$395,HLTV_Long!$A$2:$A$395,$A12&amp;"|A|"&amp;"ALL"&amp;"|wl"))/(COUNTIFS(HLTV_Long!$A$2:$A$395,$A12&amp;"|B|"&amp;"ALL"&amp;"|lw")+COUNTIFS(HLTV_Long!$A$2:$A$395,$A12&amp;"|A|"&amp;"ALL"&amp;"|wl")),"")))</f>
        <v/>
      </c>
      <c r="AS12">
        <f>IF($X12="","",COUNTIFS(HLTV_Long!$A$2:$A$395,$A12&amp;"|A|"&amp;$X12&amp;"|lw")+COUNTIFS(HLTV_Long!$A$2:$A$395,$A12&amp;"|B|"&amp;$X12&amp;"|wl")+COUNTIFS(HLTV_Long!$A$2:$A$395,$A12&amp;"|B|"&amp;$X12&amp;"|lw")+COUNTIFS(HLTV_Long!$A$2:$A$395,$A12&amp;"|A|"&amp;$X12&amp;"|wl"))</f>
        <v/>
      </c>
      <c r="AT12" s="15">
        <f>IF(OR($AQ12="",$AR12="",$AG12=""),"",13+$AG12*$AQ12+(1-$AG12)*$AR12)</f>
        <v/>
      </c>
      <c r="AU12" s="15">
        <f>IF($AT12="","",$AG12*(13-$AQ12)-(1-$AG12)*(13-$AR12))</f>
        <v/>
      </c>
      <c r="AV12" s="8">
        <f>IF($AT12="","",($AG12*13+(1-$AG12)*$AR12)/$AT12)</f>
        <v/>
      </c>
      <c r="AW12" s="15">
        <f>IF($Y12="","",IFERROR((SUMIFS(HLTV_Long!$B$2:$B$395,HLTV_Long!$A$2:$A$395,$A12&amp;"|A|"&amp;$Y12&amp;"|lw")+SUMIFS(HLTV_Long!$B$2:$B$395,HLTV_Long!$A$2:$A$395,$A12&amp;"|B|"&amp;$Y12&amp;"|wl"))/(COUNTIFS(HLTV_Long!$A$2:$A$395,$A12&amp;"|A|"&amp;$Y12&amp;"|lw")+COUNTIFS(HLTV_Long!$A$2:$A$395,$A12&amp;"|B|"&amp;$Y12&amp;"|wl")),IFERROR((SUMIFS(HLTV_Long!$B$2:$B$395,HLTV_Long!$A$2:$A$395,$A12&amp;"|A|"&amp;"ALL"&amp;"|lw")+SUMIFS(HLTV_Long!$B$2:$B$395,HLTV_Long!$A$2:$A$395,$A12&amp;"|B|"&amp;"ALL"&amp;"|wl"))/(COUNTIFS(HLTV_Long!$A$2:$A$395,$A12&amp;"|A|"&amp;"ALL"&amp;"|lw")+COUNTIFS(HLTV_Long!$A$2:$A$395,$A12&amp;"|B|"&amp;"ALL"&amp;"|wl")),"")))</f>
        <v/>
      </c>
      <c r="AX12" s="15">
        <f>IF($Y12="","",IFERROR((SUMIFS(HLTV_Long!$B$2:$B$395,HLTV_Long!$A$2:$A$395,$A12&amp;"|B|"&amp;$Y12&amp;"|lw")+SUMIFS(HLTV_Long!$B$2:$B$395,HLTV_Long!$A$2:$A$395,$A12&amp;"|A|"&amp;$Y12&amp;"|wl"))/(COUNTIFS(HLTV_Long!$A$2:$A$395,$A12&amp;"|B|"&amp;$Y12&amp;"|lw")+COUNTIFS(HLTV_Long!$A$2:$A$395,$A12&amp;"|A|"&amp;$Y12&amp;"|wl")),IFERROR((SUMIFS(HLTV_Long!$B$2:$B$395,HLTV_Long!$A$2:$A$395,$A12&amp;"|B|"&amp;"ALL"&amp;"|lw")+SUMIFS(HLTV_Long!$B$2:$B$395,HLTV_Long!$A$2:$A$395,$A12&amp;"|A|"&amp;"ALL"&amp;"|wl"))/(COUNTIFS(HLTV_Long!$A$2:$A$395,$A12&amp;"|B|"&amp;"ALL"&amp;"|lw")+COUNTIFS(HLTV_Long!$A$2:$A$395,$A12&amp;"|A|"&amp;"ALL"&amp;"|wl")),"")))</f>
        <v/>
      </c>
      <c r="AY12">
        <f>IF($Y12="","",COUNTIFS(HLTV_Long!$A$2:$A$395,$A12&amp;"|A|"&amp;$Y12&amp;"|lw")+COUNTIFS(HLTV_Long!$A$2:$A$395,$A12&amp;"|B|"&amp;$Y12&amp;"|wl")+COUNTIFS(HLTV_Long!$A$2:$A$395,$A12&amp;"|B|"&amp;$Y12&amp;"|lw")+COUNTIFS(HLTV_Long!$A$2:$A$395,$A12&amp;"|A|"&amp;$Y12&amp;"|wl"))</f>
        <v/>
      </c>
      <c r="AZ12" s="15">
        <f>IF(OR($AW12="",$AX12="",$AH12=""),"",13+$AH12*$AW12+(1-$AH12)*$AX12)</f>
        <v/>
      </c>
      <c r="BA12" s="15">
        <f>IF($AZ12="","",$AH12*(13-$AW12)-(1-$AH12)*(13-$AX12))</f>
        <v/>
      </c>
      <c r="BB12" s="8">
        <f>IF($AZ12="","",($AH12*13+(1-$AH12)*$AX12)/$AZ12)</f>
        <v/>
      </c>
    </row>
    <row r="13">
      <c r="A13" t="inlineStr">
        <is>
          <t>CS2 · AUR vs G2</t>
        </is>
      </c>
      <c r="B13" t="inlineStr">
        <is>
          <t>CS2</t>
        </is>
      </c>
      <c r="C13" t="inlineStr">
        <is>
          <t>Sun 09:00</t>
        </is>
      </c>
      <c r="D13" t="n">
        <v>3</v>
      </c>
      <c r="E13" t="inlineStr">
        <is>
          <t>Aurora (AUR)</t>
        </is>
      </c>
      <c r="F13" t="inlineStr">
        <is>
          <t>G2 (G2)</t>
        </is>
      </c>
      <c r="G13" s="8" t="n">
        <v>0.582010582010582</v>
      </c>
      <c r="H13" s="8" t="n">
        <v>0.3052100998680988</v>
      </c>
      <c r="I13" s="8" t="n">
        <v>0.1942246090069719</v>
      </c>
      <c r="J13" s="8" t="n">
        <v>0.5005652911249293</v>
      </c>
      <c r="K13" t="inlineStr">
        <is>
          <t>Mirage 23%</t>
        </is>
      </c>
      <c r="L13" t="inlineStr">
        <is>
          <t>Inferno 23%</t>
        </is>
      </c>
      <c r="M13" t="inlineStr">
        <is>
          <t>Dust2 21%</t>
        </is>
      </c>
      <c r="N13" t="inlineStr">
        <is>
          <t>HLTV veto: played, minus first-bans (no Map Picks)</t>
        </is>
      </c>
      <c r="O13" s="9" t="n">
        <v>21.42315369261477</v>
      </c>
      <c r="P13" s="9" t="n">
        <v>21.5</v>
      </c>
      <c r="Q13" s="9" t="n">
        <v>21.5</v>
      </c>
      <c r="R13" s="8" t="n">
        <v>0.1594202898550725</v>
      </c>
      <c r="S13" s="9" t="n">
        <v>2.5</v>
      </c>
      <c r="T13" s="9" t="n"/>
      <c r="U13" s="9" t="n">
        <v>11.08202247191011</v>
      </c>
      <c r="V13" t="n">
        <v>360</v>
      </c>
      <c r="W13" s="12" t="inlineStr">
        <is>
          <t>Mirage</t>
        </is>
      </c>
      <c r="X13" s="12" t="inlineStr">
        <is>
          <t>Inferno</t>
        </is>
      </c>
      <c r="Y13" s="12" t="inlineStr">
        <is>
          <t>Dust2</t>
        </is>
      </c>
      <c r="Z13" s="13" t="n">
        <v>21.42</v>
      </c>
      <c r="AA13" s="13" t="n">
        <v>21.5</v>
      </c>
      <c r="AB13" s="13" t="n">
        <v>21.5</v>
      </c>
      <c r="AC13" s="14" t="n">
        <v>0.5006</v>
      </c>
      <c r="AD13" t="inlineStr">
        <is>
          <t>AUR</t>
        </is>
      </c>
      <c r="AE13" t="inlineStr">
        <is>
          <t>G2</t>
        </is>
      </c>
      <c r="AF13" s="8" t="n">
        <v>0.5974</v>
      </c>
      <c r="AG13" s="8" t="n">
        <v>0.5189</v>
      </c>
      <c r="AH13" s="8" t="n">
        <v>0.5600000000000001</v>
      </c>
      <c r="AI13" s="8">
        <f>IFERROR(INDEX(HLTV_Teams!$N$2:$N$29,MATCH($A13&amp;"|A",HLTV_Teams!$A$2:$A$29,0)),"")</f>
        <v/>
      </c>
      <c r="AJ13" s="8">
        <f>IFERROR(INDEX(HLTV_Teams!$N$2:$N$29,MATCH($A13&amp;"|B",HLTV_Teams!$A$2:$A$29,0)),"")</f>
        <v/>
      </c>
      <c r="AK13" s="15">
        <f>IF($W13="","",IFERROR((SUMIFS(HLTV_Long!$B$2:$B$395,HLTV_Long!$A$2:$A$395,$A13&amp;"|A|"&amp;$W13&amp;"|lw")+SUMIFS(HLTV_Long!$B$2:$B$395,HLTV_Long!$A$2:$A$395,$A13&amp;"|B|"&amp;$W13&amp;"|wl"))/(COUNTIFS(HLTV_Long!$A$2:$A$395,$A13&amp;"|A|"&amp;$W13&amp;"|lw")+COUNTIFS(HLTV_Long!$A$2:$A$395,$A13&amp;"|B|"&amp;$W13&amp;"|wl")),IFERROR((SUMIFS(HLTV_Long!$B$2:$B$395,HLTV_Long!$A$2:$A$395,$A13&amp;"|A|"&amp;"ALL"&amp;"|lw")+SUMIFS(HLTV_Long!$B$2:$B$395,HLTV_Long!$A$2:$A$395,$A13&amp;"|B|"&amp;"ALL"&amp;"|wl"))/(COUNTIFS(HLTV_Long!$A$2:$A$395,$A13&amp;"|A|"&amp;"ALL"&amp;"|lw")+COUNTIFS(HLTV_Long!$A$2:$A$395,$A13&amp;"|B|"&amp;"ALL"&amp;"|wl")),"")))</f>
        <v/>
      </c>
      <c r="AL13" s="15">
        <f>IF($W13="","",IFERROR((SUMIFS(HLTV_Long!$B$2:$B$395,HLTV_Long!$A$2:$A$395,$A13&amp;"|B|"&amp;$W13&amp;"|lw")+SUMIFS(HLTV_Long!$B$2:$B$395,HLTV_Long!$A$2:$A$395,$A13&amp;"|A|"&amp;$W13&amp;"|wl"))/(COUNTIFS(HLTV_Long!$A$2:$A$395,$A13&amp;"|B|"&amp;$W13&amp;"|lw")+COUNTIFS(HLTV_Long!$A$2:$A$395,$A13&amp;"|A|"&amp;$W13&amp;"|wl")),IFERROR((SUMIFS(HLTV_Long!$B$2:$B$395,HLTV_Long!$A$2:$A$395,$A13&amp;"|B|"&amp;"ALL"&amp;"|lw")+SUMIFS(HLTV_Long!$B$2:$B$395,HLTV_Long!$A$2:$A$395,$A13&amp;"|A|"&amp;"ALL"&amp;"|wl"))/(COUNTIFS(HLTV_Long!$A$2:$A$395,$A13&amp;"|B|"&amp;"ALL"&amp;"|lw")+COUNTIFS(HLTV_Long!$A$2:$A$395,$A13&amp;"|A|"&amp;"ALL"&amp;"|wl")),"")))</f>
        <v/>
      </c>
      <c r="AM13">
        <f>IF($W13="","",COUNTIFS(HLTV_Long!$A$2:$A$395,$A13&amp;"|A|"&amp;$W13&amp;"|lw")+COUNTIFS(HLTV_Long!$A$2:$A$395,$A13&amp;"|B|"&amp;$W13&amp;"|wl")+COUNTIFS(HLTV_Long!$A$2:$A$395,$A13&amp;"|B|"&amp;$W13&amp;"|lw")+COUNTIFS(HLTV_Long!$A$2:$A$395,$A13&amp;"|A|"&amp;$W13&amp;"|wl"))</f>
        <v/>
      </c>
      <c r="AN13" s="15">
        <f>IF(OR($AK13="",$AL13="",$AF13=""),"",13+$AF13*$AK13+(1-$AF13)*$AL13)</f>
        <v/>
      </c>
      <c r="AO13" s="15">
        <f>IF($AN13="","",$AF13*(13-$AK13)-(1-$AF13)*(13-$AL13))</f>
        <v/>
      </c>
      <c r="AP13" s="8">
        <f>IF($AN13="","",($AF13*13+(1-$AF13)*$AL13)/$AN13)</f>
        <v/>
      </c>
      <c r="AQ13" s="15">
        <f>IF($X13="","",IFERROR((SUMIFS(HLTV_Long!$B$2:$B$395,HLTV_Long!$A$2:$A$395,$A13&amp;"|A|"&amp;$X13&amp;"|lw")+SUMIFS(HLTV_Long!$B$2:$B$395,HLTV_Long!$A$2:$A$395,$A13&amp;"|B|"&amp;$X13&amp;"|wl"))/(COUNTIFS(HLTV_Long!$A$2:$A$395,$A13&amp;"|A|"&amp;$X13&amp;"|lw")+COUNTIFS(HLTV_Long!$A$2:$A$395,$A13&amp;"|B|"&amp;$X13&amp;"|wl")),IFERROR((SUMIFS(HLTV_Long!$B$2:$B$395,HLTV_Long!$A$2:$A$395,$A13&amp;"|A|"&amp;"ALL"&amp;"|lw")+SUMIFS(HLTV_Long!$B$2:$B$395,HLTV_Long!$A$2:$A$395,$A13&amp;"|B|"&amp;"ALL"&amp;"|wl"))/(COUNTIFS(HLTV_Long!$A$2:$A$395,$A13&amp;"|A|"&amp;"ALL"&amp;"|lw")+COUNTIFS(HLTV_Long!$A$2:$A$395,$A13&amp;"|B|"&amp;"ALL"&amp;"|wl")),"")))</f>
        <v/>
      </c>
      <c r="AR13" s="15">
        <f>IF($X13="","",IFERROR((SUMIFS(HLTV_Long!$B$2:$B$395,HLTV_Long!$A$2:$A$395,$A13&amp;"|B|"&amp;$X13&amp;"|lw")+SUMIFS(HLTV_Long!$B$2:$B$395,HLTV_Long!$A$2:$A$395,$A13&amp;"|A|"&amp;$X13&amp;"|wl"))/(COUNTIFS(HLTV_Long!$A$2:$A$395,$A13&amp;"|B|"&amp;$X13&amp;"|lw")+COUNTIFS(HLTV_Long!$A$2:$A$395,$A13&amp;"|A|"&amp;$X13&amp;"|wl")),IFERROR((SUMIFS(HLTV_Long!$B$2:$B$395,HLTV_Long!$A$2:$A$395,$A13&amp;"|B|"&amp;"ALL"&amp;"|lw")+SUMIFS(HLTV_Long!$B$2:$B$395,HLTV_Long!$A$2:$A$395,$A13&amp;"|A|"&amp;"ALL"&amp;"|wl"))/(COUNTIFS(HLTV_Long!$A$2:$A$395,$A13&amp;"|B|"&amp;"ALL"&amp;"|lw")+COUNTIFS(HLTV_Long!$A$2:$A$395,$A13&amp;"|A|"&amp;"ALL"&amp;"|wl")),"")))</f>
        <v/>
      </c>
      <c r="AS13">
        <f>IF($X13="","",COUNTIFS(HLTV_Long!$A$2:$A$395,$A13&amp;"|A|"&amp;$X13&amp;"|lw")+COUNTIFS(HLTV_Long!$A$2:$A$395,$A13&amp;"|B|"&amp;$X13&amp;"|wl")+COUNTIFS(HLTV_Long!$A$2:$A$395,$A13&amp;"|B|"&amp;$X13&amp;"|lw")+COUNTIFS(HLTV_Long!$A$2:$A$395,$A13&amp;"|A|"&amp;$X13&amp;"|wl"))</f>
        <v/>
      </c>
      <c r="AT13" s="15">
        <f>IF(OR($AQ13="",$AR13="",$AG13=""),"",13+$AG13*$AQ13+(1-$AG13)*$AR13)</f>
        <v/>
      </c>
      <c r="AU13" s="15">
        <f>IF($AT13="","",$AG13*(13-$AQ13)-(1-$AG13)*(13-$AR13))</f>
        <v/>
      </c>
      <c r="AV13" s="8">
        <f>IF($AT13="","",($AG13*13+(1-$AG13)*$AR13)/$AT13)</f>
        <v/>
      </c>
      <c r="AW13" s="15">
        <f>IF($Y13="","",IFERROR((SUMIFS(HLTV_Long!$B$2:$B$395,HLTV_Long!$A$2:$A$395,$A13&amp;"|A|"&amp;$Y13&amp;"|lw")+SUMIFS(HLTV_Long!$B$2:$B$395,HLTV_Long!$A$2:$A$395,$A13&amp;"|B|"&amp;$Y13&amp;"|wl"))/(COUNTIFS(HLTV_Long!$A$2:$A$395,$A13&amp;"|A|"&amp;$Y13&amp;"|lw")+COUNTIFS(HLTV_Long!$A$2:$A$395,$A13&amp;"|B|"&amp;$Y13&amp;"|wl")),IFERROR((SUMIFS(HLTV_Long!$B$2:$B$395,HLTV_Long!$A$2:$A$395,$A13&amp;"|A|"&amp;"ALL"&amp;"|lw")+SUMIFS(HLTV_Long!$B$2:$B$395,HLTV_Long!$A$2:$A$395,$A13&amp;"|B|"&amp;"ALL"&amp;"|wl"))/(COUNTIFS(HLTV_Long!$A$2:$A$395,$A13&amp;"|A|"&amp;"ALL"&amp;"|lw")+COUNTIFS(HLTV_Long!$A$2:$A$395,$A13&amp;"|B|"&amp;"ALL"&amp;"|wl")),"")))</f>
        <v/>
      </c>
      <c r="AX13" s="15">
        <f>IF($Y13="","",IFERROR((SUMIFS(HLTV_Long!$B$2:$B$395,HLTV_Long!$A$2:$A$395,$A13&amp;"|B|"&amp;$Y13&amp;"|lw")+SUMIFS(HLTV_Long!$B$2:$B$395,HLTV_Long!$A$2:$A$395,$A13&amp;"|A|"&amp;$Y13&amp;"|wl"))/(COUNTIFS(HLTV_Long!$A$2:$A$395,$A13&amp;"|B|"&amp;$Y13&amp;"|lw")+COUNTIFS(HLTV_Long!$A$2:$A$395,$A13&amp;"|A|"&amp;$Y13&amp;"|wl")),IFERROR((SUMIFS(HLTV_Long!$B$2:$B$395,HLTV_Long!$A$2:$A$395,$A13&amp;"|B|"&amp;"ALL"&amp;"|lw")+SUMIFS(HLTV_Long!$B$2:$B$395,HLTV_Long!$A$2:$A$395,$A13&amp;"|A|"&amp;"ALL"&amp;"|wl"))/(COUNTIFS(HLTV_Long!$A$2:$A$395,$A13&amp;"|B|"&amp;"ALL"&amp;"|lw")+COUNTIFS(HLTV_Long!$A$2:$A$395,$A13&amp;"|A|"&amp;"ALL"&amp;"|wl")),"")))</f>
        <v/>
      </c>
      <c r="AY13">
        <f>IF($Y13="","",COUNTIFS(HLTV_Long!$A$2:$A$395,$A13&amp;"|A|"&amp;$Y13&amp;"|lw")+COUNTIFS(HLTV_Long!$A$2:$A$395,$A13&amp;"|B|"&amp;$Y13&amp;"|wl")+COUNTIFS(HLTV_Long!$A$2:$A$395,$A13&amp;"|B|"&amp;$Y13&amp;"|lw")+COUNTIFS(HLTV_Long!$A$2:$A$395,$A13&amp;"|A|"&amp;$Y13&amp;"|wl"))</f>
        <v/>
      </c>
      <c r="AZ13" s="15">
        <f>IF(OR($AW13="",$AX13="",$AH13=""),"",13+$AH13*$AW13+(1-$AH13)*$AX13)</f>
        <v/>
      </c>
      <c r="BA13" s="15">
        <f>IF($AZ13="","",$AH13*(13-$AW13)-(1-$AH13)*(13-$AX13))</f>
        <v/>
      </c>
      <c r="BB13" s="8">
        <f>IF($AZ13="","",($AH13*13+(1-$AH13)*$AX13)/$AZ13)</f>
        <v/>
      </c>
    </row>
    <row r="14">
      <c r="A14" t="inlineStr">
        <is>
          <t>CS2 · INF vs BRUTE</t>
        </is>
      </c>
      <c r="B14" t="inlineStr">
        <is>
          <t>CS2</t>
        </is>
      </c>
      <c r="C14" t="inlineStr">
        <is>
          <t>Sun 10:00</t>
        </is>
      </c>
      <c r="D14" t="n">
        <v>3</v>
      </c>
      <c r="E14" t="inlineStr">
        <is>
          <t>Infinite (INF)</t>
        </is>
      </c>
      <c r="F14" t="inlineStr">
        <is>
          <t>Brute (BRUTE)</t>
        </is>
      </c>
      <c r="G14" s="8" t="n">
        <v>0.5</v>
      </c>
      <c r="H14" s="8" t="n">
        <v>0.25</v>
      </c>
      <c r="I14" s="8" t="n">
        <v>0.25</v>
      </c>
      <c r="J14" s="8" t="n">
        <v>0.5</v>
      </c>
      <c r="K14" t="inlineStr">
        <is>
          <t>Dust2 31%</t>
        </is>
      </c>
      <c r="L14" t="inlineStr">
        <is>
          <t>Mirage 29%</t>
        </is>
      </c>
      <c r="M14" t="inlineStr">
        <is>
          <t>Nuke 15%</t>
        </is>
      </c>
      <c r="N14" t="inlineStr">
        <is>
          <t>HLTV veto: played, minus first-bans (no Map Picks)</t>
        </is>
      </c>
      <c r="O14" s="9" t="n">
        <v>21.5</v>
      </c>
      <c r="P14" s="9" t="n">
        <v>21.5</v>
      </c>
      <c r="Q14" s="9" t="n">
        <v>21.5</v>
      </c>
      <c r="R14" s="8" t="n">
        <v>0.1594202898550725</v>
      </c>
      <c r="S14" s="9" t="n">
        <v>-0</v>
      </c>
      <c r="T14" s="9" t="n"/>
      <c r="U14" s="9" t="n"/>
      <c r="V14" t="n">
        <v>229</v>
      </c>
      <c r="W14" s="12" t="inlineStr">
        <is>
          <t>Dust2</t>
        </is>
      </c>
      <c r="X14" s="12" t="inlineStr">
        <is>
          <t>Mirage</t>
        </is>
      </c>
      <c r="Y14" s="12" t="inlineStr">
        <is>
          <t>Nuke</t>
        </is>
      </c>
      <c r="Z14" s="13" t="n">
        <v>21.5</v>
      </c>
      <c r="AA14" s="13" t="n">
        <v>21.5</v>
      </c>
      <c r="AB14" s="13" t="n">
        <v>21.5</v>
      </c>
      <c r="AC14" s="14" t="n">
        <v>0.5</v>
      </c>
      <c r="AD14" t="inlineStr">
        <is>
          <t>INF</t>
        </is>
      </c>
      <c r="AE14" t="inlineStr">
        <is>
          <t>BRUTE</t>
        </is>
      </c>
      <c r="AF14" s="8" t="n">
        <v>0.5</v>
      </c>
      <c r="AG14" s="8" t="n">
        <v>0.5</v>
      </c>
      <c r="AH14" s="8" t="n">
        <v>0.5</v>
      </c>
      <c r="AI14" s="8">
        <f>IFERROR(INDEX(HLTV_Teams!$N$2:$N$29,MATCH($A14&amp;"|A",HLTV_Teams!$A$2:$A$29,0)),"")</f>
        <v/>
      </c>
      <c r="AJ14" s="8">
        <f>IFERROR(INDEX(HLTV_Teams!$N$2:$N$29,MATCH($A14&amp;"|B",HLTV_Teams!$A$2:$A$29,0)),"")</f>
        <v/>
      </c>
      <c r="AK14" s="15">
        <f>IF($W14="","",IFERROR((SUMIFS(HLTV_Long!$B$2:$B$395,HLTV_Long!$A$2:$A$395,$A14&amp;"|A|"&amp;$W14&amp;"|lw")+SUMIFS(HLTV_Long!$B$2:$B$395,HLTV_Long!$A$2:$A$395,$A14&amp;"|B|"&amp;$W14&amp;"|wl"))/(COUNTIFS(HLTV_Long!$A$2:$A$395,$A14&amp;"|A|"&amp;$W14&amp;"|lw")+COUNTIFS(HLTV_Long!$A$2:$A$395,$A14&amp;"|B|"&amp;$W14&amp;"|wl")),IFERROR((SUMIFS(HLTV_Long!$B$2:$B$395,HLTV_Long!$A$2:$A$395,$A14&amp;"|A|"&amp;"ALL"&amp;"|lw")+SUMIFS(HLTV_Long!$B$2:$B$395,HLTV_Long!$A$2:$A$395,$A14&amp;"|B|"&amp;"ALL"&amp;"|wl"))/(COUNTIFS(HLTV_Long!$A$2:$A$395,$A14&amp;"|A|"&amp;"ALL"&amp;"|lw")+COUNTIFS(HLTV_Long!$A$2:$A$395,$A14&amp;"|B|"&amp;"ALL"&amp;"|wl")),"")))</f>
        <v/>
      </c>
      <c r="AL14" s="15">
        <f>IF($W14="","",IFERROR((SUMIFS(HLTV_Long!$B$2:$B$395,HLTV_Long!$A$2:$A$395,$A14&amp;"|B|"&amp;$W14&amp;"|lw")+SUMIFS(HLTV_Long!$B$2:$B$395,HLTV_Long!$A$2:$A$395,$A14&amp;"|A|"&amp;$W14&amp;"|wl"))/(COUNTIFS(HLTV_Long!$A$2:$A$395,$A14&amp;"|B|"&amp;$W14&amp;"|lw")+COUNTIFS(HLTV_Long!$A$2:$A$395,$A14&amp;"|A|"&amp;$W14&amp;"|wl")),IFERROR((SUMIFS(HLTV_Long!$B$2:$B$395,HLTV_Long!$A$2:$A$395,$A14&amp;"|B|"&amp;"ALL"&amp;"|lw")+SUMIFS(HLTV_Long!$B$2:$B$395,HLTV_Long!$A$2:$A$395,$A14&amp;"|A|"&amp;"ALL"&amp;"|wl"))/(COUNTIFS(HLTV_Long!$A$2:$A$395,$A14&amp;"|B|"&amp;"ALL"&amp;"|lw")+COUNTIFS(HLTV_Long!$A$2:$A$395,$A14&amp;"|A|"&amp;"ALL"&amp;"|wl")),"")))</f>
        <v/>
      </c>
      <c r="AM14">
        <f>IF($W14="","",COUNTIFS(HLTV_Long!$A$2:$A$395,$A14&amp;"|A|"&amp;$W14&amp;"|lw")+COUNTIFS(HLTV_Long!$A$2:$A$395,$A14&amp;"|B|"&amp;$W14&amp;"|wl")+COUNTIFS(HLTV_Long!$A$2:$A$395,$A14&amp;"|B|"&amp;$W14&amp;"|lw")+COUNTIFS(HLTV_Long!$A$2:$A$395,$A14&amp;"|A|"&amp;$W14&amp;"|wl"))</f>
        <v/>
      </c>
      <c r="AN14" s="15">
        <f>IF(OR($AK14="",$AL14="",$AF14=""),"",13+$AF14*$AK14+(1-$AF14)*$AL14)</f>
        <v/>
      </c>
      <c r="AO14" s="15">
        <f>IF($AN14="","",$AF14*(13-$AK14)-(1-$AF14)*(13-$AL14))</f>
        <v/>
      </c>
      <c r="AP14" s="8">
        <f>IF($AN14="","",($AF14*13+(1-$AF14)*$AL14)/$AN14)</f>
        <v/>
      </c>
      <c r="AQ14" s="15">
        <f>IF($X14="","",IFERROR((SUMIFS(HLTV_Long!$B$2:$B$395,HLTV_Long!$A$2:$A$395,$A14&amp;"|A|"&amp;$X14&amp;"|lw")+SUMIFS(HLTV_Long!$B$2:$B$395,HLTV_Long!$A$2:$A$395,$A14&amp;"|B|"&amp;$X14&amp;"|wl"))/(COUNTIFS(HLTV_Long!$A$2:$A$395,$A14&amp;"|A|"&amp;$X14&amp;"|lw")+COUNTIFS(HLTV_Long!$A$2:$A$395,$A14&amp;"|B|"&amp;$X14&amp;"|wl")),IFERROR((SUMIFS(HLTV_Long!$B$2:$B$395,HLTV_Long!$A$2:$A$395,$A14&amp;"|A|"&amp;"ALL"&amp;"|lw")+SUMIFS(HLTV_Long!$B$2:$B$395,HLTV_Long!$A$2:$A$395,$A14&amp;"|B|"&amp;"ALL"&amp;"|wl"))/(COUNTIFS(HLTV_Long!$A$2:$A$395,$A14&amp;"|A|"&amp;"ALL"&amp;"|lw")+COUNTIFS(HLTV_Long!$A$2:$A$395,$A14&amp;"|B|"&amp;"ALL"&amp;"|wl")),"")))</f>
        <v/>
      </c>
      <c r="AR14" s="15">
        <f>IF($X14="","",IFERROR((SUMIFS(HLTV_Long!$B$2:$B$395,HLTV_Long!$A$2:$A$395,$A14&amp;"|B|"&amp;$X14&amp;"|lw")+SUMIFS(HLTV_Long!$B$2:$B$395,HLTV_Long!$A$2:$A$395,$A14&amp;"|A|"&amp;$X14&amp;"|wl"))/(COUNTIFS(HLTV_Long!$A$2:$A$395,$A14&amp;"|B|"&amp;$X14&amp;"|lw")+COUNTIFS(HLTV_Long!$A$2:$A$395,$A14&amp;"|A|"&amp;$X14&amp;"|wl")),IFERROR((SUMIFS(HLTV_Long!$B$2:$B$395,HLTV_Long!$A$2:$A$395,$A14&amp;"|B|"&amp;"ALL"&amp;"|lw")+SUMIFS(HLTV_Long!$B$2:$B$395,HLTV_Long!$A$2:$A$395,$A14&amp;"|A|"&amp;"ALL"&amp;"|wl"))/(COUNTIFS(HLTV_Long!$A$2:$A$395,$A14&amp;"|B|"&amp;"ALL"&amp;"|lw")+COUNTIFS(HLTV_Long!$A$2:$A$395,$A14&amp;"|A|"&amp;"ALL"&amp;"|wl")),"")))</f>
        <v/>
      </c>
      <c r="AS14">
        <f>IF($X14="","",COUNTIFS(HLTV_Long!$A$2:$A$395,$A14&amp;"|A|"&amp;$X14&amp;"|lw")+COUNTIFS(HLTV_Long!$A$2:$A$395,$A14&amp;"|B|"&amp;$X14&amp;"|wl")+COUNTIFS(HLTV_Long!$A$2:$A$395,$A14&amp;"|B|"&amp;$X14&amp;"|lw")+COUNTIFS(HLTV_Long!$A$2:$A$395,$A14&amp;"|A|"&amp;$X14&amp;"|wl"))</f>
        <v/>
      </c>
      <c r="AT14" s="15">
        <f>IF(OR($AQ14="",$AR14="",$AG14=""),"",13+$AG14*$AQ14+(1-$AG14)*$AR14)</f>
        <v/>
      </c>
      <c r="AU14" s="15">
        <f>IF($AT14="","",$AG14*(13-$AQ14)-(1-$AG14)*(13-$AR14))</f>
        <v/>
      </c>
      <c r="AV14" s="8">
        <f>IF($AT14="","",($AG14*13+(1-$AG14)*$AR14)/$AT14)</f>
        <v/>
      </c>
      <c r="AW14" s="15">
        <f>IF($Y14="","",IFERROR((SUMIFS(HLTV_Long!$B$2:$B$395,HLTV_Long!$A$2:$A$395,$A14&amp;"|A|"&amp;$Y14&amp;"|lw")+SUMIFS(HLTV_Long!$B$2:$B$395,HLTV_Long!$A$2:$A$395,$A14&amp;"|B|"&amp;$Y14&amp;"|wl"))/(COUNTIFS(HLTV_Long!$A$2:$A$395,$A14&amp;"|A|"&amp;$Y14&amp;"|lw")+COUNTIFS(HLTV_Long!$A$2:$A$395,$A14&amp;"|B|"&amp;$Y14&amp;"|wl")),IFERROR((SUMIFS(HLTV_Long!$B$2:$B$395,HLTV_Long!$A$2:$A$395,$A14&amp;"|A|"&amp;"ALL"&amp;"|lw")+SUMIFS(HLTV_Long!$B$2:$B$395,HLTV_Long!$A$2:$A$395,$A14&amp;"|B|"&amp;"ALL"&amp;"|wl"))/(COUNTIFS(HLTV_Long!$A$2:$A$395,$A14&amp;"|A|"&amp;"ALL"&amp;"|lw")+COUNTIFS(HLTV_Long!$A$2:$A$395,$A14&amp;"|B|"&amp;"ALL"&amp;"|wl")),"")))</f>
        <v/>
      </c>
      <c r="AX14" s="15">
        <f>IF($Y14="","",IFERROR((SUMIFS(HLTV_Long!$B$2:$B$395,HLTV_Long!$A$2:$A$395,$A14&amp;"|B|"&amp;$Y14&amp;"|lw")+SUMIFS(HLTV_Long!$B$2:$B$395,HLTV_Long!$A$2:$A$395,$A14&amp;"|A|"&amp;$Y14&amp;"|wl"))/(COUNTIFS(HLTV_Long!$A$2:$A$395,$A14&amp;"|B|"&amp;$Y14&amp;"|lw")+COUNTIFS(HLTV_Long!$A$2:$A$395,$A14&amp;"|A|"&amp;$Y14&amp;"|wl")),IFERROR((SUMIFS(HLTV_Long!$B$2:$B$395,HLTV_Long!$A$2:$A$395,$A14&amp;"|B|"&amp;"ALL"&amp;"|lw")+SUMIFS(HLTV_Long!$B$2:$B$395,HLTV_Long!$A$2:$A$395,$A14&amp;"|A|"&amp;"ALL"&amp;"|wl"))/(COUNTIFS(HLTV_Long!$A$2:$A$395,$A14&amp;"|B|"&amp;"ALL"&amp;"|lw")+COUNTIFS(HLTV_Long!$A$2:$A$395,$A14&amp;"|A|"&amp;"ALL"&amp;"|wl")),"")))</f>
        <v/>
      </c>
      <c r="AY14">
        <f>IF($Y14="","",COUNTIFS(HLTV_Long!$A$2:$A$395,$A14&amp;"|A|"&amp;$Y14&amp;"|lw")+COUNTIFS(HLTV_Long!$A$2:$A$395,$A14&amp;"|B|"&amp;$Y14&amp;"|wl")+COUNTIFS(HLTV_Long!$A$2:$A$395,$A14&amp;"|B|"&amp;$Y14&amp;"|lw")+COUNTIFS(HLTV_Long!$A$2:$A$395,$A14&amp;"|A|"&amp;$Y14&amp;"|wl"))</f>
        <v/>
      </c>
      <c r="AZ14" s="15">
        <f>IF(OR($AW14="",$AX14="",$AH14=""),"",13+$AH14*$AW14+(1-$AH14)*$AX14)</f>
        <v/>
      </c>
      <c r="BA14" s="15">
        <f>IF($AZ14="","",$AH14*(13-$AW14)-(1-$AH14)*(13-$AX14))</f>
        <v/>
      </c>
      <c r="BB14" s="8">
        <f>IF($AZ14="","",($AH14*13+(1-$AH14)*$AX14)/$AZ14)</f>
        <v/>
      </c>
    </row>
    <row r="15">
      <c r="A15" t="inlineStr">
        <is>
          <t>CS2 · LGC vs DEN</t>
        </is>
      </c>
      <c r="B15" t="inlineStr">
        <is>
          <t>CS2</t>
        </is>
      </c>
      <c r="C15" t="inlineStr">
        <is>
          <t>Sun 12:00</t>
        </is>
      </c>
      <c r="D15" t="n">
        <v>3</v>
      </c>
      <c r="E15" t="inlineStr">
        <is>
          <t>Legacy (LGC)</t>
        </is>
      </c>
      <c r="F15" t="inlineStr">
        <is>
          <t>DENDELE CS (DEN)</t>
        </is>
      </c>
      <c r="G15" s="8" t="n">
        <v>0.7111111111111111</v>
      </c>
      <c r="H15" s="8" t="n">
        <v>0.4036373758931057</v>
      </c>
      <c r="I15" s="8" t="n">
        <v>0.1345457919643686</v>
      </c>
      <c r="J15" s="8" t="n">
        <v>0.4618168321425258</v>
      </c>
      <c r="K15" t="inlineStr">
        <is>
          <t>Mirage 28%</t>
        </is>
      </c>
      <c r="L15" t="inlineStr">
        <is>
          <t>Ancient 23%</t>
        </is>
      </c>
      <c r="M15" t="inlineStr">
        <is>
          <t>Cache 18%</t>
        </is>
      </c>
      <c r="N15" t="inlineStr">
        <is>
          <t>HLTV veto: played, minus first-bans (no Map Picks)</t>
        </is>
      </c>
      <c r="O15" s="9" t="n">
        <v>21.35853293413173</v>
      </c>
      <c r="P15" s="9" t="n">
        <v>21.11453744493392</v>
      </c>
      <c r="Q15" s="9" t="n">
        <v>21.22228360957643</v>
      </c>
      <c r="R15" s="8" t="n">
        <v>0.1463414634146341</v>
      </c>
      <c r="S15" s="9" t="n">
        <v>2.73972602739726</v>
      </c>
      <c r="T15" s="9" t="n"/>
      <c r="U15" s="9" t="n">
        <v>10.71412169919633</v>
      </c>
      <c r="V15" t="n">
        <v>357</v>
      </c>
      <c r="W15" s="12" t="inlineStr">
        <is>
          <t>Mirage</t>
        </is>
      </c>
      <c r="X15" s="12" t="inlineStr">
        <is>
          <t>Ancient</t>
        </is>
      </c>
      <c r="Y15" s="12" t="inlineStr">
        <is>
          <t>Cache</t>
        </is>
      </c>
      <c r="Z15" s="13" t="n">
        <v>21.36</v>
      </c>
      <c r="AA15" s="13" t="n">
        <v>21.11</v>
      </c>
      <c r="AB15" s="13" t="n">
        <v>21.22</v>
      </c>
      <c r="AC15" s="14" t="n">
        <v>0.4618</v>
      </c>
      <c r="AD15" t="inlineStr">
        <is>
          <t>LGC</t>
        </is>
      </c>
      <c r="AE15" t="inlineStr">
        <is>
          <t>DEN</t>
        </is>
      </c>
      <c r="AF15" s="8" t="n">
        <v>0.6153999999999999</v>
      </c>
      <c r="AG15" s="8" t="n">
        <v>0.6699000000000001</v>
      </c>
      <c r="AH15" s="8" t="n">
        <v>0.6553</v>
      </c>
      <c r="AI15" s="8">
        <f>IFERROR(INDEX(HLTV_Teams!$N$2:$N$29,MATCH($A15&amp;"|A",HLTV_Teams!$A$2:$A$29,0)),"")</f>
        <v/>
      </c>
      <c r="AJ15" s="8">
        <f>IFERROR(INDEX(HLTV_Teams!$N$2:$N$29,MATCH($A15&amp;"|B",HLTV_Teams!$A$2:$A$29,0)),"")</f>
        <v/>
      </c>
      <c r="AK15" s="15">
        <f>IF($W15="","",IFERROR((SUMIFS(HLTV_Long!$B$2:$B$395,HLTV_Long!$A$2:$A$395,$A15&amp;"|A|"&amp;$W15&amp;"|lw")+SUMIFS(HLTV_Long!$B$2:$B$395,HLTV_Long!$A$2:$A$395,$A15&amp;"|B|"&amp;$W15&amp;"|wl"))/(COUNTIFS(HLTV_Long!$A$2:$A$395,$A15&amp;"|A|"&amp;$W15&amp;"|lw")+COUNTIFS(HLTV_Long!$A$2:$A$395,$A15&amp;"|B|"&amp;$W15&amp;"|wl")),IFERROR((SUMIFS(HLTV_Long!$B$2:$B$395,HLTV_Long!$A$2:$A$395,$A15&amp;"|A|"&amp;"ALL"&amp;"|lw")+SUMIFS(HLTV_Long!$B$2:$B$395,HLTV_Long!$A$2:$A$395,$A15&amp;"|B|"&amp;"ALL"&amp;"|wl"))/(COUNTIFS(HLTV_Long!$A$2:$A$395,$A15&amp;"|A|"&amp;"ALL"&amp;"|lw")+COUNTIFS(HLTV_Long!$A$2:$A$395,$A15&amp;"|B|"&amp;"ALL"&amp;"|wl")),"")))</f>
        <v/>
      </c>
      <c r="AL15" s="15">
        <f>IF($W15="","",IFERROR((SUMIFS(HLTV_Long!$B$2:$B$395,HLTV_Long!$A$2:$A$395,$A15&amp;"|B|"&amp;$W15&amp;"|lw")+SUMIFS(HLTV_Long!$B$2:$B$395,HLTV_Long!$A$2:$A$395,$A15&amp;"|A|"&amp;$W15&amp;"|wl"))/(COUNTIFS(HLTV_Long!$A$2:$A$395,$A15&amp;"|B|"&amp;$W15&amp;"|lw")+COUNTIFS(HLTV_Long!$A$2:$A$395,$A15&amp;"|A|"&amp;$W15&amp;"|wl")),IFERROR((SUMIFS(HLTV_Long!$B$2:$B$395,HLTV_Long!$A$2:$A$395,$A15&amp;"|B|"&amp;"ALL"&amp;"|lw")+SUMIFS(HLTV_Long!$B$2:$B$395,HLTV_Long!$A$2:$A$395,$A15&amp;"|A|"&amp;"ALL"&amp;"|wl"))/(COUNTIFS(HLTV_Long!$A$2:$A$395,$A15&amp;"|B|"&amp;"ALL"&amp;"|lw")+COUNTIFS(HLTV_Long!$A$2:$A$395,$A15&amp;"|A|"&amp;"ALL"&amp;"|wl")),"")))</f>
        <v/>
      </c>
      <c r="AM15">
        <f>IF($W15="","",COUNTIFS(HLTV_Long!$A$2:$A$395,$A15&amp;"|A|"&amp;$W15&amp;"|lw")+COUNTIFS(HLTV_Long!$A$2:$A$395,$A15&amp;"|B|"&amp;$W15&amp;"|wl")+COUNTIFS(HLTV_Long!$A$2:$A$395,$A15&amp;"|B|"&amp;$W15&amp;"|lw")+COUNTIFS(HLTV_Long!$A$2:$A$395,$A15&amp;"|A|"&amp;$W15&amp;"|wl"))</f>
        <v/>
      </c>
      <c r="AN15" s="15">
        <f>IF(OR($AK15="",$AL15="",$AF15=""),"",13+$AF15*$AK15+(1-$AF15)*$AL15)</f>
        <v/>
      </c>
      <c r="AO15" s="15">
        <f>IF($AN15="","",$AF15*(13-$AK15)-(1-$AF15)*(13-$AL15))</f>
        <v/>
      </c>
      <c r="AP15" s="8">
        <f>IF($AN15="","",($AF15*13+(1-$AF15)*$AL15)/$AN15)</f>
        <v/>
      </c>
      <c r="AQ15" s="15">
        <f>IF($X15="","",IFERROR((SUMIFS(HLTV_Long!$B$2:$B$395,HLTV_Long!$A$2:$A$395,$A15&amp;"|A|"&amp;$X15&amp;"|lw")+SUMIFS(HLTV_Long!$B$2:$B$395,HLTV_Long!$A$2:$A$395,$A15&amp;"|B|"&amp;$X15&amp;"|wl"))/(COUNTIFS(HLTV_Long!$A$2:$A$395,$A15&amp;"|A|"&amp;$X15&amp;"|lw")+COUNTIFS(HLTV_Long!$A$2:$A$395,$A15&amp;"|B|"&amp;$X15&amp;"|wl")),IFERROR((SUMIFS(HLTV_Long!$B$2:$B$395,HLTV_Long!$A$2:$A$395,$A15&amp;"|A|"&amp;"ALL"&amp;"|lw")+SUMIFS(HLTV_Long!$B$2:$B$395,HLTV_Long!$A$2:$A$395,$A15&amp;"|B|"&amp;"ALL"&amp;"|wl"))/(COUNTIFS(HLTV_Long!$A$2:$A$395,$A15&amp;"|A|"&amp;"ALL"&amp;"|lw")+COUNTIFS(HLTV_Long!$A$2:$A$395,$A15&amp;"|B|"&amp;"ALL"&amp;"|wl")),"")))</f>
        <v/>
      </c>
      <c r="AR15" s="15">
        <f>IF($X15="","",IFERROR((SUMIFS(HLTV_Long!$B$2:$B$395,HLTV_Long!$A$2:$A$395,$A15&amp;"|B|"&amp;$X15&amp;"|lw")+SUMIFS(HLTV_Long!$B$2:$B$395,HLTV_Long!$A$2:$A$395,$A15&amp;"|A|"&amp;$X15&amp;"|wl"))/(COUNTIFS(HLTV_Long!$A$2:$A$395,$A15&amp;"|B|"&amp;$X15&amp;"|lw")+COUNTIFS(HLTV_Long!$A$2:$A$395,$A15&amp;"|A|"&amp;$X15&amp;"|wl")),IFERROR((SUMIFS(HLTV_Long!$B$2:$B$395,HLTV_Long!$A$2:$A$395,$A15&amp;"|B|"&amp;"ALL"&amp;"|lw")+SUMIFS(HLTV_Long!$B$2:$B$395,HLTV_Long!$A$2:$A$395,$A15&amp;"|A|"&amp;"ALL"&amp;"|wl"))/(COUNTIFS(HLTV_Long!$A$2:$A$395,$A15&amp;"|B|"&amp;"ALL"&amp;"|lw")+COUNTIFS(HLTV_Long!$A$2:$A$395,$A15&amp;"|A|"&amp;"ALL"&amp;"|wl")),"")))</f>
        <v/>
      </c>
      <c r="AS15">
        <f>IF($X15="","",COUNTIFS(HLTV_Long!$A$2:$A$395,$A15&amp;"|A|"&amp;$X15&amp;"|lw")+COUNTIFS(HLTV_Long!$A$2:$A$395,$A15&amp;"|B|"&amp;$X15&amp;"|wl")+COUNTIFS(HLTV_Long!$A$2:$A$395,$A15&amp;"|B|"&amp;$X15&amp;"|lw")+COUNTIFS(HLTV_Long!$A$2:$A$395,$A15&amp;"|A|"&amp;$X15&amp;"|wl"))</f>
        <v/>
      </c>
      <c r="AT15" s="15">
        <f>IF(OR($AQ15="",$AR15="",$AG15=""),"",13+$AG15*$AQ15+(1-$AG15)*$AR15)</f>
        <v/>
      </c>
      <c r="AU15" s="15">
        <f>IF($AT15="","",$AG15*(13-$AQ15)-(1-$AG15)*(13-$AR15))</f>
        <v/>
      </c>
      <c r="AV15" s="8">
        <f>IF($AT15="","",($AG15*13+(1-$AG15)*$AR15)/$AT15)</f>
        <v/>
      </c>
      <c r="AW15" s="15">
        <f>IF($Y15="","",IFERROR((SUMIFS(HLTV_Long!$B$2:$B$395,HLTV_Long!$A$2:$A$395,$A15&amp;"|A|"&amp;$Y15&amp;"|lw")+SUMIFS(HLTV_Long!$B$2:$B$395,HLTV_Long!$A$2:$A$395,$A15&amp;"|B|"&amp;$Y15&amp;"|wl"))/(COUNTIFS(HLTV_Long!$A$2:$A$395,$A15&amp;"|A|"&amp;$Y15&amp;"|lw")+COUNTIFS(HLTV_Long!$A$2:$A$395,$A15&amp;"|B|"&amp;$Y15&amp;"|wl")),IFERROR((SUMIFS(HLTV_Long!$B$2:$B$395,HLTV_Long!$A$2:$A$395,$A15&amp;"|A|"&amp;"ALL"&amp;"|lw")+SUMIFS(HLTV_Long!$B$2:$B$395,HLTV_Long!$A$2:$A$395,$A15&amp;"|B|"&amp;"ALL"&amp;"|wl"))/(COUNTIFS(HLTV_Long!$A$2:$A$395,$A15&amp;"|A|"&amp;"ALL"&amp;"|lw")+COUNTIFS(HLTV_Long!$A$2:$A$395,$A15&amp;"|B|"&amp;"ALL"&amp;"|wl")),"")))</f>
        <v/>
      </c>
      <c r="AX15" s="15">
        <f>IF($Y15="","",IFERROR((SUMIFS(HLTV_Long!$B$2:$B$395,HLTV_Long!$A$2:$A$395,$A15&amp;"|B|"&amp;$Y15&amp;"|lw")+SUMIFS(HLTV_Long!$B$2:$B$395,HLTV_Long!$A$2:$A$395,$A15&amp;"|A|"&amp;$Y15&amp;"|wl"))/(COUNTIFS(HLTV_Long!$A$2:$A$395,$A15&amp;"|B|"&amp;$Y15&amp;"|lw")+COUNTIFS(HLTV_Long!$A$2:$A$395,$A15&amp;"|A|"&amp;$Y15&amp;"|wl")),IFERROR((SUMIFS(HLTV_Long!$B$2:$B$395,HLTV_Long!$A$2:$A$395,$A15&amp;"|B|"&amp;"ALL"&amp;"|lw")+SUMIFS(HLTV_Long!$B$2:$B$395,HLTV_Long!$A$2:$A$395,$A15&amp;"|A|"&amp;"ALL"&amp;"|wl"))/(COUNTIFS(HLTV_Long!$A$2:$A$395,$A15&amp;"|B|"&amp;"ALL"&amp;"|lw")+COUNTIFS(HLTV_Long!$A$2:$A$395,$A15&amp;"|A|"&amp;"ALL"&amp;"|wl")),"")))</f>
        <v/>
      </c>
      <c r="AY15">
        <f>IF($Y15="","",COUNTIFS(HLTV_Long!$A$2:$A$395,$A15&amp;"|A|"&amp;$Y15&amp;"|lw")+COUNTIFS(HLTV_Long!$A$2:$A$395,$A15&amp;"|B|"&amp;$Y15&amp;"|wl")+COUNTIFS(HLTV_Long!$A$2:$A$395,$A15&amp;"|B|"&amp;$Y15&amp;"|lw")+COUNTIFS(HLTV_Long!$A$2:$A$395,$A15&amp;"|A|"&amp;$Y15&amp;"|wl"))</f>
        <v/>
      </c>
      <c r="AZ15" s="15">
        <f>IF(OR($AW15="",$AX15="",$AH15=""),"",13+$AH15*$AW15+(1-$AH15)*$AX15)</f>
        <v/>
      </c>
      <c r="BA15" s="15">
        <f>IF($AZ15="","",$AH15*(13-$AW15)-(1-$AH15)*(13-$AX15))</f>
        <v/>
      </c>
      <c r="BB15" s="8">
        <f>IF($AZ15="","",($AH15*13+(1-$AH15)*$AX15)/$AZ15)</f>
        <v/>
      </c>
    </row>
    <row r="16">
      <c r="A16" t="inlineStr">
        <is>
          <t>CS2 · FURIA vs NAVI</t>
        </is>
      </c>
      <c r="B16" t="inlineStr">
        <is>
          <t>CS2</t>
        </is>
      </c>
      <c r="C16" t="inlineStr">
        <is>
          <t>Sun 12:00</t>
        </is>
      </c>
      <c r="D16" t="n">
        <v>3</v>
      </c>
      <c r="E16" t="inlineStr">
        <is>
          <t>Furia (FURIA)</t>
        </is>
      </c>
      <c r="F16" t="inlineStr">
        <is>
          <t>Natus Vincere (NAVI)</t>
        </is>
      </c>
      <c r="G16" s="8" t="n">
        <v>0.5702917771883289</v>
      </c>
      <c r="H16" s="8" t="n">
        <v>0.2920866341850461</v>
      </c>
      <c r="I16" s="8" t="n">
        <v>0.2117628097841584</v>
      </c>
      <c r="J16" s="8" t="n">
        <v>0.4961505560307956</v>
      </c>
      <c r="K16" t="inlineStr">
        <is>
          <t>Mirage 21%</t>
        </is>
      </c>
      <c r="L16" t="inlineStr">
        <is>
          <t>Inferno 17%</t>
        </is>
      </c>
      <c r="M16" t="inlineStr">
        <is>
          <t>Nuke 16%</t>
        </is>
      </c>
      <c r="N16" t="inlineStr">
        <is>
          <t>HLTV veto: played, minus first-bans (no Map Picks)</t>
        </is>
      </c>
      <c r="O16" s="9" t="n">
        <v>21.5</v>
      </c>
      <c r="P16" s="9" t="n">
        <v>21.42315369261477</v>
      </c>
      <c r="Q16" s="9" t="n">
        <v>21.5</v>
      </c>
      <c r="R16" s="8" t="n">
        <v>0.1594202898550725</v>
      </c>
      <c r="S16" s="9" t="n">
        <v>0.4041700903861956</v>
      </c>
      <c r="T16" s="9" t="n"/>
      <c r="U16" s="9" t="n"/>
      <c r="V16" t="n">
        <v>365</v>
      </c>
      <c r="W16" s="12" t="inlineStr">
        <is>
          <t>Mirage</t>
        </is>
      </c>
      <c r="X16" s="12" t="inlineStr">
        <is>
          <t>Inferno</t>
        </is>
      </c>
      <c r="Y16" s="12" t="inlineStr">
        <is>
          <t>Nuke</t>
        </is>
      </c>
      <c r="Z16" s="13" t="n">
        <v>21.5</v>
      </c>
      <c r="AA16" s="13" t="n">
        <v>21.42</v>
      </c>
      <c r="AB16" s="13" t="n">
        <v>21.5</v>
      </c>
      <c r="AC16" s="14" t="n">
        <v>0.4962</v>
      </c>
      <c r="AD16" t="inlineStr">
        <is>
          <t>FURIA</t>
        </is>
      </c>
      <c r="AE16" t="inlineStr">
        <is>
          <t>NAVI</t>
        </is>
      </c>
      <c r="AF16" s="8" t="n">
        <v>0.5081</v>
      </c>
      <c r="AG16" s="8" t="n">
        <v>0.582</v>
      </c>
      <c r="AH16" s="8" t="n">
        <v>0.5496</v>
      </c>
      <c r="AI16" s="8">
        <f>IFERROR(INDEX(HLTV_Teams!$N$2:$N$29,MATCH($A16&amp;"|A",HLTV_Teams!$A$2:$A$29,0)),"")</f>
        <v/>
      </c>
      <c r="AJ16" s="8">
        <f>IFERROR(INDEX(HLTV_Teams!$N$2:$N$29,MATCH($A16&amp;"|B",HLTV_Teams!$A$2:$A$29,0)),"")</f>
        <v/>
      </c>
      <c r="AK16" s="15">
        <f>IF($W16="","",IFERROR((SUMIFS(HLTV_Long!$B$2:$B$395,HLTV_Long!$A$2:$A$395,$A16&amp;"|A|"&amp;$W16&amp;"|lw")+SUMIFS(HLTV_Long!$B$2:$B$395,HLTV_Long!$A$2:$A$395,$A16&amp;"|B|"&amp;$W16&amp;"|wl"))/(COUNTIFS(HLTV_Long!$A$2:$A$395,$A16&amp;"|A|"&amp;$W16&amp;"|lw")+COUNTIFS(HLTV_Long!$A$2:$A$395,$A16&amp;"|B|"&amp;$W16&amp;"|wl")),IFERROR((SUMIFS(HLTV_Long!$B$2:$B$395,HLTV_Long!$A$2:$A$395,$A16&amp;"|A|"&amp;"ALL"&amp;"|lw")+SUMIFS(HLTV_Long!$B$2:$B$395,HLTV_Long!$A$2:$A$395,$A16&amp;"|B|"&amp;"ALL"&amp;"|wl"))/(COUNTIFS(HLTV_Long!$A$2:$A$395,$A16&amp;"|A|"&amp;"ALL"&amp;"|lw")+COUNTIFS(HLTV_Long!$A$2:$A$395,$A16&amp;"|B|"&amp;"ALL"&amp;"|wl")),"")))</f>
        <v/>
      </c>
      <c r="AL16" s="15">
        <f>IF($W16="","",IFERROR((SUMIFS(HLTV_Long!$B$2:$B$395,HLTV_Long!$A$2:$A$395,$A16&amp;"|B|"&amp;$W16&amp;"|lw")+SUMIFS(HLTV_Long!$B$2:$B$395,HLTV_Long!$A$2:$A$395,$A16&amp;"|A|"&amp;$W16&amp;"|wl"))/(COUNTIFS(HLTV_Long!$A$2:$A$395,$A16&amp;"|B|"&amp;$W16&amp;"|lw")+COUNTIFS(HLTV_Long!$A$2:$A$395,$A16&amp;"|A|"&amp;$W16&amp;"|wl")),IFERROR((SUMIFS(HLTV_Long!$B$2:$B$395,HLTV_Long!$A$2:$A$395,$A16&amp;"|B|"&amp;"ALL"&amp;"|lw")+SUMIFS(HLTV_Long!$B$2:$B$395,HLTV_Long!$A$2:$A$395,$A16&amp;"|A|"&amp;"ALL"&amp;"|wl"))/(COUNTIFS(HLTV_Long!$A$2:$A$395,$A16&amp;"|B|"&amp;"ALL"&amp;"|lw")+COUNTIFS(HLTV_Long!$A$2:$A$395,$A16&amp;"|A|"&amp;"ALL"&amp;"|wl")),"")))</f>
        <v/>
      </c>
      <c r="AM16">
        <f>IF($W16="","",COUNTIFS(HLTV_Long!$A$2:$A$395,$A16&amp;"|A|"&amp;$W16&amp;"|lw")+COUNTIFS(HLTV_Long!$A$2:$A$395,$A16&amp;"|B|"&amp;$W16&amp;"|wl")+COUNTIFS(HLTV_Long!$A$2:$A$395,$A16&amp;"|B|"&amp;$W16&amp;"|lw")+COUNTIFS(HLTV_Long!$A$2:$A$395,$A16&amp;"|A|"&amp;$W16&amp;"|wl"))</f>
        <v/>
      </c>
      <c r="AN16" s="15">
        <f>IF(OR($AK16="",$AL16="",$AF16=""),"",13+$AF16*$AK16+(1-$AF16)*$AL16)</f>
        <v/>
      </c>
      <c r="AO16" s="15">
        <f>IF($AN16="","",$AF16*(13-$AK16)-(1-$AF16)*(13-$AL16))</f>
        <v/>
      </c>
      <c r="AP16" s="8">
        <f>IF($AN16="","",($AF16*13+(1-$AF16)*$AL16)/$AN16)</f>
        <v/>
      </c>
      <c r="AQ16" s="15">
        <f>IF($X16="","",IFERROR((SUMIFS(HLTV_Long!$B$2:$B$395,HLTV_Long!$A$2:$A$395,$A16&amp;"|A|"&amp;$X16&amp;"|lw")+SUMIFS(HLTV_Long!$B$2:$B$395,HLTV_Long!$A$2:$A$395,$A16&amp;"|B|"&amp;$X16&amp;"|wl"))/(COUNTIFS(HLTV_Long!$A$2:$A$395,$A16&amp;"|A|"&amp;$X16&amp;"|lw")+COUNTIFS(HLTV_Long!$A$2:$A$395,$A16&amp;"|B|"&amp;$X16&amp;"|wl")),IFERROR((SUMIFS(HLTV_Long!$B$2:$B$395,HLTV_Long!$A$2:$A$395,$A16&amp;"|A|"&amp;"ALL"&amp;"|lw")+SUMIFS(HLTV_Long!$B$2:$B$395,HLTV_Long!$A$2:$A$395,$A16&amp;"|B|"&amp;"ALL"&amp;"|wl"))/(COUNTIFS(HLTV_Long!$A$2:$A$395,$A16&amp;"|A|"&amp;"ALL"&amp;"|lw")+COUNTIFS(HLTV_Long!$A$2:$A$395,$A16&amp;"|B|"&amp;"ALL"&amp;"|wl")),"")))</f>
        <v/>
      </c>
      <c r="AR16" s="15">
        <f>IF($X16="","",IFERROR((SUMIFS(HLTV_Long!$B$2:$B$395,HLTV_Long!$A$2:$A$395,$A16&amp;"|B|"&amp;$X16&amp;"|lw")+SUMIFS(HLTV_Long!$B$2:$B$395,HLTV_Long!$A$2:$A$395,$A16&amp;"|A|"&amp;$X16&amp;"|wl"))/(COUNTIFS(HLTV_Long!$A$2:$A$395,$A16&amp;"|B|"&amp;$X16&amp;"|lw")+COUNTIFS(HLTV_Long!$A$2:$A$395,$A16&amp;"|A|"&amp;$X16&amp;"|wl")),IFERROR((SUMIFS(HLTV_Long!$B$2:$B$395,HLTV_Long!$A$2:$A$395,$A16&amp;"|B|"&amp;"ALL"&amp;"|lw")+SUMIFS(HLTV_Long!$B$2:$B$395,HLTV_Long!$A$2:$A$395,$A16&amp;"|A|"&amp;"ALL"&amp;"|wl"))/(COUNTIFS(HLTV_Long!$A$2:$A$395,$A16&amp;"|B|"&amp;"ALL"&amp;"|lw")+COUNTIFS(HLTV_Long!$A$2:$A$395,$A16&amp;"|A|"&amp;"ALL"&amp;"|wl")),"")))</f>
        <v/>
      </c>
      <c r="AS16">
        <f>IF($X16="","",COUNTIFS(HLTV_Long!$A$2:$A$395,$A16&amp;"|A|"&amp;$X16&amp;"|lw")+COUNTIFS(HLTV_Long!$A$2:$A$395,$A16&amp;"|B|"&amp;$X16&amp;"|wl")+COUNTIFS(HLTV_Long!$A$2:$A$395,$A16&amp;"|B|"&amp;$X16&amp;"|lw")+COUNTIFS(HLTV_Long!$A$2:$A$395,$A16&amp;"|A|"&amp;$X16&amp;"|wl"))</f>
        <v/>
      </c>
      <c r="AT16" s="15">
        <f>IF(OR($AQ16="",$AR16="",$AG16=""),"",13+$AG16*$AQ16+(1-$AG16)*$AR16)</f>
        <v/>
      </c>
      <c r="AU16" s="15">
        <f>IF($AT16="","",$AG16*(13-$AQ16)-(1-$AG16)*(13-$AR16))</f>
        <v/>
      </c>
      <c r="AV16" s="8">
        <f>IF($AT16="","",($AG16*13+(1-$AG16)*$AR16)/$AT16)</f>
        <v/>
      </c>
      <c r="AW16" s="15">
        <f>IF($Y16="","",IFERROR((SUMIFS(HLTV_Long!$B$2:$B$395,HLTV_Long!$A$2:$A$395,$A16&amp;"|A|"&amp;$Y16&amp;"|lw")+SUMIFS(HLTV_Long!$B$2:$B$395,HLTV_Long!$A$2:$A$395,$A16&amp;"|B|"&amp;$Y16&amp;"|wl"))/(COUNTIFS(HLTV_Long!$A$2:$A$395,$A16&amp;"|A|"&amp;$Y16&amp;"|lw")+COUNTIFS(HLTV_Long!$A$2:$A$395,$A16&amp;"|B|"&amp;$Y16&amp;"|wl")),IFERROR((SUMIFS(HLTV_Long!$B$2:$B$395,HLTV_Long!$A$2:$A$395,$A16&amp;"|A|"&amp;"ALL"&amp;"|lw")+SUMIFS(HLTV_Long!$B$2:$B$395,HLTV_Long!$A$2:$A$395,$A16&amp;"|B|"&amp;"ALL"&amp;"|wl"))/(COUNTIFS(HLTV_Long!$A$2:$A$395,$A16&amp;"|A|"&amp;"ALL"&amp;"|lw")+COUNTIFS(HLTV_Long!$A$2:$A$395,$A16&amp;"|B|"&amp;"ALL"&amp;"|wl")),"")))</f>
        <v/>
      </c>
      <c r="AX16" s="15">
        <f>IF($Y16="","",IFERROR((SUMIFS(HLTV_Long!$B$2:$B$395,HLTV_Long!$A$2:$A$395,$A16&amp;"|B|"&amp;$Y16&amp;"|lw")+SUMIFS(HLTV_Long!$B$2:$B$395,HLTV_Long!$A$2:$A$395,$A16&amp;"|A|"&amp;$Y16&amp;"|wl"))/(COUNTIFS(HLTV_Long!$A$2:$A$395,$A16&amp;"|B|"&amp;$Y16&amp;"|lw")+COUNTIFS(HLTV_Long!$A$2:$A$395,$A16&amp;"|A|"&amp;$Y16&amp;"|wl")),IFERROR((SUMIFS(HLTV_Long!$B$2:$B$395,HLTV_Long!$A$2:$A$395,$A16&amp;"|B|"&amp;"ALL"&amp;"|lw")+SUMIFS(HLTV_Long!$B$2:$B$395,HLTV_Long!$A$2:$A$395,$A16&amp;"|A|"&amp;"ALL"&amp;"|wl"))/(COUNTIFS(HLTV_Long!$A$2:$A$395,$A16&amp;"|B|"&amp;"ALL"&amp;"|lw")+COUNTIFS(HLTV_Long!$A$2:$A$395,$A16&amp;"|A|"&amp;"ALL"&amp;"|wl")),"")))</f>
        <v/>
      </c>
      <c r="AY16">
        <f>IF($Y16="","",COUNTIFS(HLTV_Long!$A$2:$A$395,$A16&amp;"|A|"&amp;$Y16&amp;"|lw")+COUNTIFS(HLTV_Long!$A$2:$A$395,$A16&amp;"|B|"&amp;$Y16&amp;"|wl")+COUNTIFS(HLTV_Long!$A$2:$A$395,$A16&amp;"|B|"&amp;$Y16&amp;"|lw")+COUNTIFS(HLTV_Long!$A$2:$A$395,$A16&amp;"|A|"&amp;$Y16&amp;"|wl"))</f>
        <v/>
      </c>
      <c r="AZ16" s="15">
        <f>IF(OR($AW16="",$AX16="",$AH16=""),"",13+$AH16*$AW16+(1-$AH16)*$AX16)</f>
        <v/>
      </c>
      <c r="BA16" s="15">
        <f>IF($AZ16="","",$AH16*(13-$AW16)-(1-$AH16)*(13-$AX16))</f>
        <v/>
      </c>
      <c r="BB16" s="8">
        <f>IF($AZ16="","",($AH16*13+(1-$AH16)*$AX16)/$AZ16)</f>
        <v/>
      </c>
    </row>
    <row r="17">
      <c r="A17" t="inlineStr">
        <is>
          <t>CS2 · paiN vs BST</t>
        </is>
      </c>
      <c r="B17" t="inlineStr">
        <is>
          <t>CS2</t>
        </is>
      </c>
      <c r="C17" t="inlineStr">
        <is>
          <t>Sun 13:00</t>
        </is>
      </c>
      <c r="D17" t="n">
        <v>3</v>
      </c>
      <c r="E17" t="inlineStr">
        <is>
          <t>paiN Gaming (paiN)</t>
        </is>
      </c>
      <c r="F17" t="inlineStr">
        <is>
          <t>BESTIA (BST)</t>
        </is>
      </c>
      <c r="G17" s="8" t="n">
        <v>0.5189189189189188</v>
      </c>
      <c r="H17" s="8" t="n">
        <v>0.2664550158738095</v>
      </c>
      <c r="I17" s="8" t="n">
        <v>0.2243831712621553</v>
      </c>
      <c r="J17" s="8" t="n">
        <v>0.5091618128640353</v>
      </c>
      <c r="K17" t="inlineStr">
        <is>
          <t>Dust2 27%</t>
        </is>
      </c>
      <c r="L17" t="inlineStr">
        <is>
          <t>Mirage 24%</t>
        </is>
      </c>
      <c r="M17" t="inlineStr">
        <is>
          <t>Cache 18%</t>
        </is>
      </c>
      <c r="N17" t="inlineStr">
        <is>
          <t>HLTV veto: played, minus first-bans (no Map Picks)</t>
        </is>
      </c>
      <c r="O17" s="9" t="n">
        <v>21.5</v>
      </c>
      <c r="P17" s="9" t="n">
        <v>21.5</v>
      </c>
      <c r="Q17" s="9" t="n">
        <v>21.5</v>
      </c>
      <c r="R17" s="8" t="n">
        <v>0.1594202898550725</v>
      </c>
      <c r="S17" s="9" t="n">
        <v>-0.7061186650185407</v>
      </c>
      <c r="T17" s="9" t="n"/>
      <c r="U17" s="9" t="n"/>
      <c r="V17" t="n">
        <v>223</v>
      </c>
      <c r="W17" s="12" t="inlineStr">
        <is>
          <t>Dust2</t>
        </is>
      </c>
      <c r="X17" s="12" t="inlineStr">
        <is>
          <t>Mirage</t>
        </is>
      </c>
      <c r="Y17" s="12" t="inlineStr">
        <is>
          <t>Cache</t>
        </is>
      </c>
      <c r="Z17" s="13" t="n">
        <v>21.5</v>
      </c>
      <c r="AA17" s="13" t="n">
        <v>21.5</v>
      </c>
      <c r="AB17" s="13" t="n">
        <v>21.5</v>
      </c>
      <c r="AC17" s="14" t="n">
        <v>0.5092</v>
      </c>
      <c r="AD17" t="inlineStr">
        <is>
          <t>paiN</t>
        </is>
      </c>
      <c r="AE17" t="inlineStr">
        <is>
          <t>BST</t>
        </is>
      </c>
      <c r="AF17" s="8" t="n">
        <v>0.4865</v>
      </c>
      <c r="AG17" s="8" t="n">
        <v>0.5600000000000001</v>
      </c>
      <c r="AH17" s="8" t="n">
        <v>0.5081</v>
      </c>
      <c r="AI17" s="8">
        <f>IFERROR(INDEX(HLTV_Teams!$N$2:$N$29,MATCH($A17&amp;"|A",HLTV_Teams!$A$2:$A$29,0)),"")</f>
        <v/>
      </c>
      <c r="AJ17" s="8">
        <f>IFERROR(INDEX(HLTV_Teams!$N$2:$N$29,MATCH($A17&amp;"|B",HLTV_Teams!$A$2:$A$29,0)),"")</f>
        <v/>
      </c>
      <c r="AK17" s="15">
        <f>IF($W17="","",IFERROR((SUMIFS(HLTV_Long!$B$2:$B$395,HLTV_Long!$A$2:$A$395,$A17&amp;"|A|"&amp;$W17&amp;"|lw")+SUMIFS(HLTV_Long!$B$2:$B$395,HLTV_Long!$A$2:$A$395,$A17&amp;"|B|"&amp;$W17&amp;"|wl"))/(COUNTIFS(HLTV_Long!$A$2:$A$395,$A17&amp;"|A|"&amp;$W17&amp;"|lw")+COUNTIFS(HLTV_Long!$A$2:$A$395,$A17&amp;"|B|"&amp;$W17&amp;"|wl")),IFERROR((SUMIFS(HLTV_Long!$B$2:$B$395,HLTV_Long!$A$2:$A$395,$A17&amp;"|A|"&amp;"ALL"&amp;"|lw")+SUMIFS(HLTV_Long!$B$2:$B$395,HLTV_Long!$A$2:$A$395,$A17&amp;"|B|"&amp;"ALL"&amp;"|wl"))/(COUNTIFS(HLTV_Long!$A$2:$A$395,$A17&amp;"|A|"&amp;"ALL"&amp;"|lw")+COUNTIFS(HLTV_Long!$A$2:$A$395,$A17&amp;"|B|"&amp;"ALL"&amp;"|wl")),"")))</f>
        <v/>
      </c>
      <c r="AL17" s="15">
        <f>IF($W17="","",IFERROR((SUMIFS(HLTV_Long!$B$2:$B$395,HLTV_Long!$A$2:$A$395,$A17&amp;"|B|"&amp;$W17&amp;"|lw")+SUMIFS(HLTV_Long!$B$2:$B$395,HLTV_Long!$A$2:$A$395,$A17&amp;"|A|"&amp;$W17&amp;"|wl"))/(COUNTIFS(HLTV_Long!$A$2:$A$395,$A17&amp;"|B|"&amp;$W17&amp;"|lw")+COUNTIFS(HLTV_Long!$A$2:$A$395,$A17&amp;"|A|"&amp;$W17&amp;"|wl")),IFERROR((SUMIFS(HLTV_Long!$B$2:$B$395,HLTV_Long!$A$2:$A$395,$A17&amp;"|B|"&amp;"ALL"&amp;"|lw")+SUMIFS(HLTV_Long!$B$2:$B$395,HLTV_Long!$A$2:$A$395,$A17&amp;"|A|"&amp;"ALL"&amp;"|wl"))/(COUNTIFS(HLTV_Long!$A$2:$A$395,$A17&amp;"|B|"&amp;"ALL"&amp;"|lw")+COUNTIFS(HLTV_Long!$A$2:$A$395,$A17&amp;"|A|"&amp;"ALL"&amp;"|wl")),"")))</f>
        <v/>
      </c>
      <c r="AM17">
        <f>IF($W17="","",COUNTIFS(HLTV_Long!$A$2:$A$395,$A17&amp;"|A|"&amp;$W17&amp;"|lw")+COUNTIFS(HLTV_Long!$A$2:$A$395,$A17&amp;"|B|"&amp;$W17&amp;"|wl")+COUNTIFS(HLTV_Long!$A$2:$A$395,$A17&amp;"|B|"&amp;$W17&amp;"|lw")+COUNTIFS(HLTV_Long!$A$2:$A$395,$A17&amp;"|A|"&amp;$W17&amp;"|wl"))</f>
        <v/>
      </c>
      <c r="AN17" s="15">
        <f>IF(OR($AK17="",$AL17="",$AF17=""),"",13+$AF17*$AK17+(1-$AF17)*$AL17)</f>
        <v/>
      </c>
      <c r="AO17" s="15">
        <f>IF($AN17="","",$AF17*(13-$AK17)-(1-$AF17)*(13-$AL17))</f>
        <v/>
      </c>
      <c r="AP17" s="8">
        <f>IF($AN17="","",($AF17*13+(1-$AF17)*$AL17)/$AN17)</f>
        <v/>
      </c>
      <c r="AQ17" s="15">
        <f>IF($X17="","",IFERROR((SUMIFS(HLTV_Long!$B$2:$B$395,HLTV_Long!$A$2:$A$395,$A17&amp;"|A|"&amp;$X17&amp;"|lw")+SUMIFS(HLTV_Long!$B$2:$B$395,HLTV_Long!$A$2:$A$395,$A17&amp;"|B|"&amp;$X17&amp;"|wl"))/(COUNTIFS(HLTV_Long!$A$2:$A$395,$A17&amp;"|A|"&amp;$X17&amp;"|lw")+COUNTIFS(HLTV_Long!$A$2:$A$395,$A17&amp;"|B|"&amp;$X17&amp;"|wl")),IFERROR((SUMIFS(HLTV_Long!$B$2:$B$395,HLTV_Long!$A$2:$A$395,$A17&amp;"|A|"&amp;"ALL"&amp;"|lw")+SUMIFS(HLTV_Long!$B$2:$B$395,HLTV_Long!$A$2:$A$395,$A17&amp;"|B|"&amp;"ALL"&amp;"|wl"))/(COUNTIFS(HLTV_Long!$A$2:$A$395,$A17&amp;"|A|"&amp;"ALL"&amp;"|lw")+COUNTIFS(HLTV_Long!$A$2:$A$395,$A17&amp;"|B|"&amp;"ALL"&amp;"|wl")),"")))</f>
        <v/>
      </c>
      <c r="AR17" s="15">
        <f>IF($X17="","",IFERROR((SUMIFS(HLTV_Long!$B$2:$B$395,HLTV_Long!$A$2:$A$395,$A17&amp;"|B|"&amp;$X17&amp;"|lw")+SUMIFS(HLTV_Long!$B$2:$B$395,HLTV_Long!$A$2:$A$395,$A17&amp;"|A|"&amp;$X17&amp;"|wl"))/(COUNTIFS(HLTV_Long!$A$2:$A$395,$A17&amp;"|B|"&amp;$X17&amp;"|lw")+COUNTIFS(HLTV_Long!$A$2:$A$395,$A17&amp;"|A|"&amp;$X17&amp;"|wl")),IFERROR((SUMIFS(HLTV_Long!$B$2:$B$395,HLTV_Long!$A$2:$A$395,$A17&amp;"|B|"&amp;"ALL"&amp;"|lw")+SUMIFS(HLTV_Long!$B$2:$B$395,HLTV_Long!$A$2:$A$395,$A17&amp;"|A|"&amp;"ALL"&amp;"|wl"))/(COUNTIFS(HLTV_Long!$A$2:$A$395,$A17&amp;"|B|"&amp;"ALL"&amp;"|lw")+COUNTIFS(HLTV_Long!$A$2:$A$395,$A17&amp;"|A|"&amp;"ALL"&amp;"|wl")),"")))</f>
        <v/>
      </c>
      <c r="AS17">
        <f>IF($X17="","",COUNTIFS(HLTV_Long!$A$2:$A$395,$A17&amp;"|A|"&amp;$X17&amp;"|lw")+COUNTIFS(HLTV_Long!$A$2:$A$395,$A17&amp;"|B|"&amp;$X17&amp;"|wl")+COUNTIFS(HLTV_Long!$A$2:$A$395,$A17&amp;"|B|"&amp;$X17&amp;"|lw")+COUNTIFS(HLTV_Long!$A$2:$A$395,$A17&amp;"|A|"&amp;$X17&amp;"|wl"))</f>
        <v/>
      </c>
      <c r="AT17" s="15">
        <f>IF(OR($AQ17="",$AR17="",$AG17=""),"",13+$AG17*$AQ17+(1-$AG17)*$AR17)</f>
        <v/>
      </c>
      <c r="AU17" s="15">
        <f>IF($AT17="","",$AG17*(13-$AQ17)-(1-$AG17)*(13-$AR17))</f>
        <v/>
      </c>
      <c r="AV17" s="8">
        <f>IF($AT17="","",($AG17*13+(1-$AG17)*$AR17)/$AT17)</f>
        <v/>
      </c>
      <c r="AW17" s="15">
        <f>IF($Y17="","",IFERROR((SUMIFS(HLTV_Long!$B$2:$B$395,HLTV_Long!$A$2:$A$395,$A17&amp;"|A|"&amp;$Y17&amp;"|lw")+SUMIFS(HLTV_Long!$B$2:$B$395,HLTV_Long!$A$2:$A$395,$A17&amp;"|B|"&amp;$Y17&amp;"|wl"))/(COUNTIFS(HLTV_Long!$A$2:$A$395,$A17&amp;"|A|"&amp;$Y17&amp;"|lw")+COUNTIFS(HLTV_Long!$A$2:$A$395,$A17&amp;"|B|"&amp;$Y17&amp;"|wl")),IFERROR((SUMIFS(HLTV_Long!$B$2:$B$395,HLTV_Long!$A$2:$A$395,$A17&amp;"|A|"&amp;"ALL"&amp;"|lw")+SUMIFS(HLTV_Long!$B$2:$B$395,HLTV_Long!$A$2:$A$395,$A17&amp;"|B|"&amp;"ALL"&amp;"|wl"))/(COUNTIFS(HLTV_Long!$A$2:$A$395,$A17&amp;"|A|"&amp;"ALL"&amp;"|lw")+COUNTIFS(HLTV_Long!$A$2:$A$395,$A17&amp;"|B|"&amp;"ALL"&amp;"|wl")),"")))</f>
        <v/>
      </c>
      <c r="AX17" s="15">
        <f>IF($Y17="","",IFERROR((SUMIFS(HLTV_Long!$B$2:$B$395,HLTV_Long!$A$2:$A$395,$A17&amp;"|B|"&amp;$Y17&amp;"|lw")+SUMIFS(HLTV_Long!$B$2:$B$395,HLTV_Long!$A$2:$A$395,$A17&amp;"|A|"&amp;$Y17&amp;"|wl"))/(COUNTIFS(HLTV_Long!$A$2:$A$395,$A17&amp;"|B|"&amp;$Y17&amp;"|lw")+COUNTIFS(HLTV_Long!$A$2:$A$395,$A17&amp;"|A|"&amp;$Y17&amp;"|wl")),IFERROR((SUMIFS(HLTV_Long!$B$2:$B$395,HLTV_Long!$A$2:$A$395,$A17&amp;"|B|"&amp;"ALL"&amp;"|lw")+SUMIFS(HLTV_Long!$B$2:$B$395,HLTV_Long!$A$2:$A$395,$A17&amp;"|A|"&amp;"ALL"&amp;"|wl"))/(COUNTIFS(HLTV_Long!$A$2:$A$395,$A17&amp;"|B|"&amp;"ALL"&amp;"|lw")+COUNTIFS(HLTV_Long!$A$2:$A$395,$A17&amp;"|A|"&amp;"ALL"&amp;"|wl")),"")))</f>
        <v/>
      </c>
      <c r="AY17">
        <f>IF($Y17="","",COUNTIFS(HLTV_Long!$A$2:$A$395,$A17&amp;"|A|"&amp;$Y17&amp;"|lw")+COUNTIFS(HLTV_Long!$A$2:$A$395,$A17&amp;"|B|"&amp;$Y17&amp;"|wl")+COUNTIFS(HLTV_Long!$A$2:$A$395,$A17&amp;"|B|"&amp;$Y17&amp;"|lw")+COUNTIFS(HLTV_Long!$A$2:$A$395,$A17&amp;"|A|"&amp;$Y17&amp;"|wl"))</f>
        <v/>
      </c>
      <c r="AZ17" s="15">
        <f>IF(OR($AW17="",$AX17="",$AH17=""),"",13+$AH17*$AW17+(1-$AH17)*$AX17)</f>
        <v/>
      </c>
      <c r="BA17" s="15">
        <f>IF($AZ17="","",$AH17*(13-$AW17)-(1-$AH17)*(13-$AX17))</f>
        <v/>
      </c>
      <c r="BB17" s="8">
        <f>IF($AZ17="","",($AH17*13+(1-$AH17)*$AX17)/$AZ17)</f>
        <v/>
      </c>
    </row>
    <row r="18">
      <c r="A18" t="inlineStr">
        <is>
          <t>CS2 · FORZE.R vs ex-RUSTEC</t>
        </is>
      </c>
      <c r="B18" t="inlineStr">
        <is>
          <t>CS2</t>
        </is>
      </c>
      <c r="C18" t="inlineStr">
        <is>
          <t>Sun 13:00</t>
        </is>
      </c>
      <c r="D18" t="n">
        <v>3</v>
      </c>
      <c r="E18" t="inlineStr">
        <is>
          <t>FORZE Reload (FORZE.R)</t>
        </is>
      </c>
      <c r="F18" t="inlineStr">
        <is>
          <t>ex-RUSTEC (ex-RUSTEC)</t>
        </is>
      </c>
      <c r="G18" s="8" t="n">
        <v>0.5600000000000001</v>
      </c>
      <c r="H18" s="8" t="n"/>
      <c r="I18" s="8" t="n"/>
      <c r="J18" s="8" t="n"/>
      <c r="K18" t="inlineStr">
        <is>
          <t>Dust2 29%</t>
        </is>
      </c>
      <c r="L18" t="inlineStr">
        <is>
          <t>Nuke 24%</t>
        </is>
      </c>
      <c r="M18" t="inlineStr">
        <is>
          <t>Anubis 19%</t>
        </is>
      </c>
      <c r="N18" t="inlineStr">
        <is>
          <t>HLTV veto: played, minus first-bans (no Map Picks)</t>
        </is>
      </c>
      <c r="O18" s="9" t="n"/>
      <c r="P18" s="9" t="n"/>
      <c r="Q18" s="9" t="n"/>
      <c r="R18" s="8" t="n"/>
      <c r="S18" s="9" t="n"/>
      <c r="T18" s="9" t="n"/>
      <c r="U18" s="9" t="n"/>
      <c r="V18" t="n">
        <v>7</v>
      </c>
      <c r="W18" s="12" t="inlineStr">
        <is>
          <t>Dust2</t>
        </is>
      </c>
      <c r="X18" s="12" t="inlineStr">
        <is>
          <t>Nuke</t>
        </is>
      </c>
      <c r="Y18" s="12" t="inlineStr">
        <is>
          <t>Anubis</t>
        </is>
      </c>
      <c r="Z18" s="13">
        <f>Config!$B$7</f>
        <v/>
      </c>
      <c r="AA18" s="13">
        <f>Config!$B$7</f>
        <v/>
      </c>
      <c r="AB18" s="13">
        <f>Config!$B$7</f>
        <v/>
      </c>
      <c r="AC18" s="14" t="n">
        <v>0</v>
      </c>
      <c r="AD18" t="inlineStr">
        <is>
          <t>FORZE.R</t>
        </is>
      </c>
      <c r="AE18" t="inlineStr">
        <is>
          <t>ex-RUSTEC</t>
        </is>
      </c>
      <c r="AF18" s="8" t="n">
        <v>0.5496</v>
      </c>
      <c r="AG18" s="8" t="n">
        <v>0.5496</v>
      </c>
      <c r="AH18" s="8" t="n">
        <v>0.5189</v>
      </c>
      <c r="AI18" s="8">
        <f>IFERROR(INDEX(HLTV_Teams!$N$2:$N$29,MATCH($A18&amp;"|A",HLTV_Teams!$A$2:$A$29,0)),"")</f>
        <v/>
      </c>
      <c r="AJ18" s="8">
        <f>IFERROR(INDEX(HLTV_Teams!$N$2:$N$29,MATCH($A18&amp;"|B",HLTV_Teams!$A$2:$A$29,0)),"")</f>
        <v/>
      </c>
      <c r="AK18" s="15">
        <f>IF($W18="","",IFERROR((SUMIFS(HLTV_Long!$B$2:$B$395,HLTV_Long!$A$2:$A$395,$A18&amp;"|A|"&amp;$W18&amp;"|lw")+SUMIFS(HLTV_Long!$B$2:$B$395,HLTV_Long!$A$2:$A$395,$A18&amp;"|B|"&amp;$W18&amp;"|wl"))/(COUNTIFS(HLTV_Long!$A$2:$A$395,$A18&amp;"|A|"&amp;$W18&amp;"|lw")+COUNTIFS(HLTV_Long!$A$2:$A$395,$A18&amp;"|B|"&amp;$W18&amp;"|wl")),IFERROR((SUMIFS(HLTV_Long!$B$2:$B$395,HLTV_Long!$A$2:$A$395,$A18&amp;"|A|"&amp;"ALL"&amp;"|lw")+SUMIFS(HLTV_Long!$B$2:$B$395,HLTV_Long!$A$2:$A$395,$A18&amp;"|B|"&amp;"ALL"&amp;"|wl"))/(COUNTIFS(HLTV_Long!$A$2:$A$395,$A18&amp;"|A|"&amp;"ALL"&amp;"|lw")+COUNTIFS(HLTV_Long!$A$2:$A$395,$A18&amp;"|B|"&amp;"ALL"&amp;"|wl")),"")))</f>
        <v/>
      </c>
      <c r="AL18" s="15">
        <f>IF($W18="","",IFERROR((SUMIFS(HLTV_Long!$B$2:$B$395,HLTV_Long!$A$2:$A$395,$A18&amp;"|B|"&amp;$W18&amp;"|lw")+SUMIFS(HLTV_Long!$B$2:$B$395,HLTV_Long!$A$2:$A$395,$A18&amp;"|A|"&amp;$W18&amp;"|wl"))/(COUNTIFS(HLTV_Long!$A$2:$A$395,$A18&amp;"|B|"&amp;$W18&amp;"|lw")+COUNTIFS(HLTV_Long!$A$2:$A$395,$A18&amp;"|A|"&amp;$W18&amp;"|wl")),IFERROR((SUMIFS(HLTV_Long!$B$2:$B$395,HLTV_Long!$A$2:$A$395,$A18&amp;"|B|"&amp;"ALL"&amp;"|lw")+SUMIFS(HLTV_Long!$B$2:$B$395,HLTV_Long!$A$2:$A$395,$A18&amp;"|A|"&amp;"ALL"&amp;"|wl"))/(COUNTIFS(HLTV_Long!$A$2:$A$395,$A18&amp;"|B|"&amp;"ALL"&amp;"|lw")+COUNTIFS(HLTV_Long!$A$2:$A$395,$A18&amp;"|A|"&amp;"ALL"&amp;"|wl")),"")))</f>
        <v/>
      </c>
      <c r="AM18">
        <f>IF($W18="","",COUNTIFS(HLTV_Long!$A$2:$A$395,$A18&amp;"|A|"&amp;$W18&amp;"|lw")+COUNTIFS(HLTV_Long!$A$2:$A$395,$A18&amp;"|B|"&amp;$W18&amp;"|wl")+COUNTIFS(HLTV_Long!$A$2:$A$395,$A18&amp;"|B|"&amp;$W18&amp;"|lw")+COUNTIFS(HLTV_Long!$A$2:$A$395,$A18&amp;"|A|"&amp;$W18&amp;"|wl"))</f>
        <v/>
      </c>
      <c r="AN18" s="15">
        <f>IF(OR($AK18="",$AL18="",$AF18=""),"",13+$AF18*$AK18+(1-$AF18)*$AL18)</f>
        <v/>
      </c>
      <c r="AO18" s="15">
        <f>IF($AN18="","",$AF18*(13-$AK18)-(1-$AF18)*(13-$AL18))</f>
        <v/>
      </c>
      <c r="AP18" s="8">
        <f>IF($AN18="","",($AF18*13+(1-$AF18)*$AL18)/$AN18)</f>
        <v/>
      </c>
      <c r="AQ18" s="15">
        <f>IF($X18="","",IFERROR((SUMIFS(HLTV_Long!$B$2:$B$395,HLTV_Long!$A$2:$A$395,$A18&amp;"|A|"&amp;$X18&amp;"|lw")+SUMIFS(HLTV_Long!$B$2:$B$395,HLTV_Long!$A$2:$A$395,$A18&amp;"|B|"&amp;$X18&amp;"|wl"))/(COUNTIFS(HLTV_Long!$A$2:$A$395,$A18&amp;"|A|"&amp;$X18&amp;"|lw")+COUNTIFS(HLTV_Long!$A$2:$A$395,$A18&amp;"|B|"&amp;$X18&amp;"|wl")),IFERROR((SUMIFS(HLTV_Long!$B$2:$B$395,HLTV_Long!$A$2:$A$395,$A18&amp;"|A|"&amp;"ALL"&amp;"|lw")+SUMIFS(HLTV_Long!$B$2:$B$395,HLTV_Long!$A$2:$A$395,$A18&amp;"|B|"&amp;"ALL"&amp;"|wl"))/(COUNTIFS(HLTV_Long!$A$2:$A$395,$A18&amp;"|A|"&amp;"ALL"&amp;"|lw")+COUNTIFS(HLTV_Long!$A$2:$A$395,$A18&amp;"|B|"&amp;"ALL"&amp;"|wl")),"")))</f>
        <v/>
      </c>
      <c r="AR18" s="15">
        <f>IF($X18="","",IFERROR((SUMIFS(HLTV_Long!$B$2:$B$395,HLTV_Long!$A$2:$A$395,$A18&amp;"|B|"&amp;$X18&amp;"|lw")+SUMIFS(HLTV_Long!$B$2:$B$395,HLTV_Long!$A$2:$A$395,$A18&amp;"|A|"&amp;$X18&amp;"|wl"))/(COUNTIFS(HLTV_Long!$A$2:$A$395,$A18&amp;"|B|"&amp;$X18&amp;"|lw")+COUNTIFS(HLTV_Long!$A$2:$A$395,$A18&amp;"|A|"&amp;$X18&amp;"|wl")),IFERROR((SUMIFS(HLTV_Long!$B$2:$B$395,HLTV_Long!$A$2:$A$395,$A18&amp;"|B|"&amp;"ALL"&amp;"|lw")+SUMIFS(HLTV_Long!$B$2:$B$395,HLTV_Long!$A$2:$A$395,$A18&amp;"|A|"&amp;"ALL"&amp;"|wl"))/(COUNTIFS(HLTV_Long!$A$2:$A$395,$A18&amp;"|B|"&amp;"ALL"&amp;"|lw")+COUNTIFS(HLTV_Long!$A$2:$A$395,$A18&amp;"|A|"&amp;"ALL"&amp;"|wl")),"")))</f>
        <v/>
      </c>
      <c r="AS18">
        <f>IF($X18="","",COUNTIFS(HLTV_Long!$A$2:$A$395,$A18&amp;"|A|"&amp;$X18&amp;"|lw")+COUNTIFS(HLTV_Long!$A$2:$A$395,$A18&amp;"|B|"&amp;$X18&amp;"|wl")+COUNTIFS(HLTV_Long!$A$2:$A$395,$A18&amp;"|B|"&amp;$X18&amp;"|lw")+COUNTIFS(HLTV_Long!$A$2:$A$395,$A18&amp;"|A|"&amp;$X18&amp;"|wl"))</f>
        <v/>
      </c>
      <c r="AT18" s="15">
        <f>IF(OR($AQ18="",$AR18="",$AG18=""),"",13+$AG18*$AQ18+(1-$AG18)*$AR18)</f>
        <v/>
      </c>
      <c r="AU18" s="15">
        <f>IF($AT18="","",$AG18*(13-$AQ18)-(1-$AG18)*(13-$AR18))</f>
        <v/>
      </c>
      <c r="AV18" s="8">
        <f>IF($AT18="","",($AG18*13+(1-$AG18)*$AR18)/$AT18)</f>
        <v/>
      </c>
      <c r="AW18" s="15">
        <f>IF($Y18="","",IFERROR((SUMIFS(HLTV_Long!$B$2:$B$395,HLTV_Long!$A$2:$A$395,$A18&amp;"|A|"&amp;$Y18&amp;"|lw")+SUMIFS(HLTV_Long!$B$2:$B$395,HLTV_Long!$A$2:$A$395,$A18&amp;"|B|"&amp;$Y18&amp;"|wl"))/(COUNTIFS(HLTV_Long!$A$2:$A$395,$A18&amp;"|A|"&amp;$Y18&amp;"|lw")+COUNTIFS(HLTV_Long!$A$2:$A$395,$A18&amp;"|B|"&amp;$Y18&amp;"|wl")),IFERROR((SUMIFS(HLTV_Long!$B$2:$B$395,HLTV_Long!$A$2:$A$395,$A18&amp;"|A|"&amp;"ALL"&amp;"|lw")+SUMIFS(HLTV_Long!$B$2:$B$395,HLTV_Long!$A$2:$A$395,$A18&amp;"|B|"&amp;"ALL"&amp;"|wl"))/(COUNTIFS(HLTV_Long!$A$2:$A$395,$A18&amp;"|A|"&amp;"ALL"&amp;"|lw")+COUNTIFS(HLTV_Long!$A$2:$A$395,$A18&amp;"|B|"&amp;"ALL"&amp;"|wl")),"")))</f>
        <v/>
      </c>
      <c r="AX18" s="15">
        <f>IF($Y18="","",IFERROR((SUMIFS(HLTV_Long!$B$2:$B$395,HLTV_Long!$A$2:$A$395,$A18&amp;"|B|"&amp;$Y18&amp;"|lw")+SUMIFS(HLTV_Long!$B$2:$B$395,HLTV_Long!$A$2:$A$395,$A18&amp;"|A|"&amp;$Y18&amp;"|wl"))/(COUNTIFS(HLTV_Long!$A$2:$A$395,$A18&amp;"|B|"&amp;$Y18&amp;"|lw")+COUNTIFS(HLTV_Long!$A$2:$A$395,$A18&amp;"|A|"&amp;$Y18&amp;"|wl")),IFERROR((SUMIFS(HLTV_Long!$B$2:$B$395,HLTV_Long!$A$2:$A$395,$A18&amp;"|B|"&amp;"ALL"&amp;"|lw")+SUMIFS(HLTV_Long!$B$2:$B$395,HLTV_Long!$A$2:$A$395,$A18&amp;"|A|"&amp;"ALL"&amp;"|wl"))/(COUNTIFS(HLTV_Long!$A$2:$A$395,$A18&amp;"|B|"&amp;"ALL"&amp;"|lw")+COUNTIFS(HLTV_Long!$A$2:$A$395,$A18&amp;"|A|"&amp;"ALL"&amp;"|wl")),"")))</f>
        <v/>
      </c>
      <c r="AY18">
        <f>IF($Y18="","",COUNTIFS(HLTV_Long!$A$2:$A$395,$A18&amp;"|A|"&amp;$Y18&amp;"|lw")+COUNTIFS(HLTV_Long!$A$2:$A$395,$A18&amp;"|B|"&amp;$Y18&amp;"|wl")+COUNTIFS(HLTV_Long!$A$2:$A$395,$A18&amp;"|B|"&amp;$Y18&amp;"|lw")+COUNTIFS(HLTV_Long!$A$2:$A$395,$A18&amp;"|A|"&amp;$Y18&amp;"|wl"))</f>
        <v/>
      </c>
      <c r="AZ18" s="15">
        <f>IF(OR($AW18="",$AX18="",$AH18=""),"",13+$AH18*$AW18+(1-$AH18)*$AX18)</f>
        <v/>
      </c>
      <c r="BA18" s="15">
        <f>IF($AZ18="","",$AH18*(13-$AW18)-(1-$AH18)*(13-$AX18))</f>
        <v/>
      </c>
      <c r="BB18" s="8">
        <f>IF($AZ18="","",($AH18*13+(1-$AH18)*$AX18)/$AZ18)</f>
        <v/>
      </c>
    </row>
    <row r="19">
      <c r="A19" t="inlineStr">
        <is>
          <t>CS2 [NO MARKET] · Color vs ex-ZT</t>
        </is>
      </c>
      <c r="B19" t="inlineStr">
        <is>
          <t>CS2</t>
        </is>
      </c>
      <c r="C19" t="inlineStr">
        <is>
          <t>Sun 13:00</t>
        </is>
      </c>
      <c r="D19" t="n">
        <v>3</v>
      </c>
      <c r="E19" t="inlineStr">
        <is>
          <t>Color (Color)</t>
        </is>
      </c>
      <c r="F19" t="inlineStr">
        <is>
          <t>ex-ZT (ex-ZT)</t>
        </is>
      </c>
      <c r="G19" s="8" t="n"/>
      <c r="H19" s="8" t="n"/>
      <c r="I19" s="8" t="n"/>
      <c r="J19" s="8" t="n"/>
      <c r="K19" t="inlineStr">
        <is>
          <t>Dust2 30%</t>
        </is>
      </c>
      <c r="L19" t="inlineStr">
        <is>
          <t>Cache 24%</t>
        </is>
      </c>
      <c r="M19" t="inlineStr">
        <is>
          <t>Mirage 19%</t>
        </is>
      </c>
      <c r="N19" t="inlineStr">
        <is>
          <t>HLTV veto: played, minus first-bans (no Map Picks)</t>
        </is>
      </c>
      <c r="O19" s="9" t="n"/>
      <c r="P19" s="9" t="n"/>
      <c r="Q19" s="9" t="n"/>
      <c r="R19" s="8" t="n"/>
      <c r="S19" s="9" t="n"/>
      <c r="T19" s="9" t="n"/>
      <c r="U19" s="9" t="n"/>
      <c r="V19" t="n">
        <v>0</v>
      </c>
      <c r="W19" s="12" t="inlineStr">
        <is>
          <t>Dust2</t>
        </is>
      </c>
      <c r="X19" s="12" t="inlineStr">
        <is>
          <t>Cache</t>
        </is>
      </c>
      <c r="Y19" s="12" t="inlineStr">
        <is>
          <t>Mirage</t>
        </is>
      </c>
      <c r="Z19" s="13">
        <f>Config!$B$7</f>
        <v/>
      </c>
      <c r="AA19" s="13">
        <f>Config!$B$7</f>
        <v/>
      </c>
      <c r="AB19" s="13">
        <f>Config!$B$7</f>
        <v/>
      </c>
      <c r="AC19" s="14" t="n">
        <v>0</v>
      </c>
      <c r="AD19" t="inlineStr">
        <is>
          <t>Color</t>
        </is>
      </c>
      <c r="AE19" t="inlineStr">
        <is>
          <t>ex-ZT</t>
        </is>
      </c>
      <c r="AF19" s="8" t="n"/>
      <c r="AG19" s="8" t="n"/>
      <c r="AH19" s="8" t="n"/>
      <c r="AI19" s="8">
        <f>IFERROR(INDEX(HLTV_Teams!$N$2:$N$29,MATCH($A19&amp;"|A",HLTV_Teams!$A$2:$A$29,0)),"")</f>
        <v/>
      </c>
      <c r="AJ19" s="8">
        <f>IFERROR(INDEX(HLTV_Teams!$N$2:$N$29,MATCH($A19&amp;"|B",HLTV_Teams!$A$2:$A$29,0)),"")</f>
        <v/>
      </c>
      <c r="AK19" s="15">
        <f>IF($W19="","",IFERROR((SUMIFS(HLTV_Long!$B$2:$B$395,HLTV_Long!$A$2:$A$395,$A19&amp;"|A|"&amp;$W19&amp;"|lw")+SUMIFS(HLTV_Long!$B$2:$B$395,HLTV_Long!$A$2:$A$395,$A19&amp;"|B|"&amp;$W19&amp;"|wl"))/(COUNTIFS(HLTV_Long!$A$2:$A$395,$A19&amp;"|A|"&amp;$W19&amp;"|lw")+COUNTIFS(HLTV_Long!$A$2:$A$395,$A19&amp;"|B|"&amp;$W19&amp;"|wl")),IFERROR((SUMIFS(HLTV_Long!$B$2:$B$395,HLTV_Long!$A$2:$A$395,$A19&amp;"|A|"&amp;"ALL"&amp;"|lw")+SUMIFS(HLTV_Long!$B$2:$B$395,HLTV_Long!$A$2:$A$395,$A19&amp;"|B|"&amp;"ALL"&amp;"|wl"))/(COUNTIFS(HLTV_Long!$A$2:$A$395,$A19&amp;"|A|"&amp;"ALL"&amp;"|lw")+COUNTIFS(HLTV_Long!$A$2:$A$395,$A19&amp;"|B|"&amp;"ALL"&amp;"|wl")),"")))</f>
        <v/>
      </c>
      <c r="AL19" s="15">
        <f>IF($W19="","",IFERROR((SUMIFS(HLTV_Long!$B$2:$B$395,HLTV_Long!$A$2:$A$395,$A19&amp;"|B|"&amp;$W19&amp;"|lw")+SUMIFS(HLTV_Long!$B$2:$B$395,HLTV_Long!$A$2:$A$395,$A19&amp;"|A|"&amp;$W19&amp;"|wl"))/(COUNTIFS(HLTV_Long!$A$2:$A$395,$A19&amp;"|B|"&amp;$W19&amp;"|lw")+COUNTIFS(HLTV_Long!$A$2:$A$395,$A19&amp;"|A|"&amp;$W19&amp;"|wl")),IFERROR((SUMIFS(HLTV_Long!$B$2:$B$395,HLTV_Long!$A$2:$A$395,$A19&amp;"|B|"&amp;"ALL"&amp;"|lw")+SUMIFS(HLTV_Long!$B$2:$B$395,HLTV_Long!$A$2:$A$395,$A19&amp;"|A|"&amp;"ALL"&amp;"|wl"))/(COUNTIFS(HLTV_Long!$A$2:$A$395,$A19&amp;"|B|"&amp;"ALL"&amp;"|lw")+COUNTIFS(HLTV_Long!$A$2:$A$395,$A19&amp;"|A|"&amp;"ALL"&amp;"|wl")),"")))</f>
        <v/>
      </c>
      <c r="AM19">
        <f>IF($W19="","",COUNTIFS(HLTV_Long!$A$2:$A$395,$A19&amp;"|A|"&amp;$W19&amp;"|lw")+COUNTIFS(HLTV_Long!$A$2:$A$395,$A19&amp;"|B|"&amp;$W19&amp;"|wl")+COUNTIFS(HLTV_Long!$A$2:$A$395,$A19&amp;"|B|"&amp;$W19&amp;"|lw")+COUNTIFS(HLTV_Long!$A$2:$A$395,$A19&amp;"|A|"&amp;$W19&amp;"|wl"))</f>
        <v/>
      </c>
      <c r="AN19" s="15">
        <f>IF(OR($AK19="",$AL19="",$AF19=""),"",13+$AF19*$AK19+(1-$AF19)*$AL19)</f>
        <v/>
      </c>
      <c r="AO19" s="15">
        <f>IF($AN19="","",$AF19*(13-$AK19)-(1-$AF19)*(13-$AL19))</f>
        <v/>
      </c>
      <c r="AP19" s="8">
        <f>IF($AN19="","",($AF19*13+(1-$AF19)*$AL19)/$AN19)</f>
        <v/>
      </c>
      <c r="AQ19" s="15">
        <f>IF($X19="","",IFERROR((SUMIFS(HLTV_Long!$B$2:$B$395,HLTV_Long!$A$2:$A$395,$A19&amp;"|A|"&amp;$X19&amp;"|lw")+SUMIFS(HLTV_Long!$B$2:$B$395,HLTV_Long!$A$2:$A$395,$A19&amp;"|B|"&amp;$X19&amp;"|wl"))/(COUNTIFS(HLTV_Long!$A$2:$A$395,$A19&amp;"|A|"&amp;$X19&amp;"|lw")+COUNTIFS(HLTV_Long!$A$2:$A$395,$A19&amp;"|B|"&amp;$X19&amp;"|wl")),IFERROR((SUMIFS(HLTV_Long!$B$2:$B$395,HLTV_Long!$A$2:$A$395,$A19&amp;"|A|"&amp;"ALL"&amp;"|lw")+SUMIFS(HLTV_Long!$B$2:$B$395,HLTV_Long!$A$2:$A$395,$A19&amp;"|B|"&amp;"ALL"&amp;"|wl"))/(COUNTIFS(HLTV_Long!$A$2:$A$395,$A19&amp;"|A|"&amp;"ALL"&amp;"|lw")+COUNTIFS(HLTV_Long!$A$2:$A$395,$A19&amp;"|B|"&amp;"ALL"&amp;"|wl")),"")))</f>
        <v/>
      </c>
      <c r="AR19" s="15">
        <f>IF($X19="","",IFERROR((SUMIFS(HLTV_Long!$B$2:$B$395,HLTV_Long!$A$2:$A$395,$A19&amp;"|B|"&amp;$X19&amp;"|lw")+SUMIFS(HLTV_Long!$B$2:$B$395,HLTV_Long!$A$2:$A$395,$A19&amp;"|A|"&amp;$X19&amp;"|wl"))/(COUNTIFS(HLTV_Long!$A$2:$A$395,$A19&amp;"|B|"&amp;$X19&amp;"|lw")+COUNTIFS(HLTV_Long!$A$2:$A$395,$A19&amp;"|A|"&amp;$X19&amp;"|wl")),IFERROR((SUMIFS(HLTV_Long!$B$2:$B$395,HLTV_Long!$A$2:$A$395,$A19&amp;"|B|"&amp;"ALL"&amp;"|lw")+SUMIFS(HLTV_Long!$B$2:$B$395,HLTV_Long!$A$2:$A$395,$A19&amp;"|A|"&amp;"ALL"&amp;"|wl"))/(COUNTIFS(HLTV_Long!$A$2:$A$395,$A19&amp;"|B|"&amp;"ALL"&amp;"|lw")+COUNTIFS(HLTV_Long!$A$2:$A$395,$A19&amp;"|A|"&amp;"ALL"&amp;"|wl")),"")))</f>
        <v/>
      </c>
      <c r="AS19">
        <f>IF($X19="","",COUNTIFS(HLTV_Long!$A$2:$A$395,$A19&amp;"|A|"&amp;$X19&amp;"|lw")+COUNTIFS(HLTV_Long!$A$2:$A$395,$A19&amp;"|B|"&amp;$X19&amp;"|wl")+COUNTIFS(HLTV_Long!$A$2:$A$395,$A19&amp;"|B|"&amp;$X19&amp;"|lw")+COUNTIFS(HLTV_Long!$A$2:$A$395,$A19&amp;"|A|"&amp;$X19&amp;"|wl"))</f>
        <v/>
      </c>
      <c r="AT19" s="15">
        <f>IF(OR($AQ19="",$AR19="",$AG19=""),"",13+$AG19*$AQ19+(1-$AG19)*$AR19)</f>
        <v/>
      </c>
      <c r="AU19" s="15">
        <f>IF($AT19="","",$AG19*(13-$AQ19)-(1-$AG19)*(13-$AR19))</f>
        <v/>
      </c>
      <c r="AV19" s="8">
        <f>IF($AT19="","",($AG19*13+(1-$AG19)*$AR19)/$AT19)</f>
        <v/>
      </c>
      <c r="AW19" s="15">
        <f>IF($Y19="","",IFERROR((SUMIFS(HLTV_Long!$B$2:$B$395,HLTV_Long!$A$2:$A$395,$A19&amp;"|A|"&amp;$Y19&amp;"|lw")+SUMIFS(HLTV_Long!$B$2:$B$395,HLTV_Long!$A$2:$A$395,$A19&amp;"|B|"&amp;$Y19&amp;"|wl"))/(COUNTIFS(HLTV_Long!$A$2:$A$395,$A19&amp;"|A|"&amp;$Y19&amp;"|lw")+COUNTIFS(HLTV_Long!$A$2:$A$395,$A19&amp;"|B|"&amp;$Y19&amp;"|wl")),IFERROR((SUMIFS(HLTV_Long!$B$2:$B$395,HLTV_Long!$A$2:$A$395,$A19&amp;"|A|"&amp;"ALL"&amp;"|lw")+SUMIFS(HLTV_Long!$B$2:$B$395,HLTV_Long!$A$2:$A$395,$A19&amp;"|B|"&amp;"ALL"&amp;"|wl"))/(COUNTIFS(HLTV_Long!$A$2:$A$395,$A19&amp;"|A|"&amp;"ALL"&amp;"|lw")+COUNTIFS(HLTV_Long!$A$2:$A$395,$A19&amp;"|B|"&amp;"ALL"&amp;"|wl")),"")))</f>
        <v/>
      </c>
      <c r="AX19" s="15">
        <f>IF($Y19="","",IFERROR((SUMIFS(HLTV_Long!$B$2:$B$395,HLTV_Long!$A$2:$A$395,$A19&amp;"|B|"&amp;$Y19&amp;"|lw")+SUMIFS(HLTV_Long!$B$2:$B$395,HLTV_Long!$A$2:$A$395,$A19&amp;"|A|"&amp;$Y19&amp;"|wl"))/(COUNTIFS(HLTV_Long!$A$2:$A$395,$A19&amp;"|B|"&amp;$Y19&amp;"|lw")+COUNTIFS(HLTV_Long!$A$2:$A$395,$A19&amp;"|A|"&amp;$Y19&amp;"|wl")),IFERROR((SUMIFS(HLTV_Long!$B$2:$B$395,HLTV_Long!$A$2:$A$395,$A19&amp;"|B|"&amp;"ALL"&amp;"|lw")+SUMIFS(HLTV_Long!$B$2:$B$395,HLTV_Long!$A$2:$A$395,$A19&amp;"|A|"&amp;"ALL"&amp;"|wl"))/(COUNTIFS(HLTV_Long!$A$2:$A$395,$A19&amp;"|B|"&amp;"ALL"&amp;"|lw")+COUNTIFS(HLTV_Long!$A$2:$A$395,$A19&amp;"|A|"&amp;"ALL"&amp;"|wl")),"")))</f>
        <v/>
      </c>
      <c r="AY19">
        <f>IF($Y19="","",COUNTIFS(HLTV_Long!$A$2:$A$395,$A19&amp;"|A|"&amp;$Y19&amp;"|lw")+COUNTIFS(HLTV_Long!$A$2:$A$395,$A19&amp;"|B|"&amp;$Y19&amp;"|wl")+COUNTIFS(HLTV_Long!$A$2:$A$395,$A19&amp;"|B|"&amp;$Y19&amp;"|lw")+COUNTIFS(HLTV_Long!$A$2:$A$395,$A19&amp;"|A|"&amp;$Y19&amp;"|wl"))</f>
        <v/>
      </c>
      <c r="AZ19" s="15">
        <f>IF(OR($AW19="",$AX19="",$AH19=""),"",13+$AH19*$AW19+(1-$AH19)*$AX19)</f>
        <v/>
      </c>
      <c r="BA19" s="15">
        <f>IF($AZ19="","",$AH19*(13-$AW19)-(1-$AH19)*(13-$AX19))</f>
        <v/>
      </c>
      <c r="BB19" s="8">
        <f>IF($AZ19="","",($AH19*13+(1-$AH19)*$AX19)/$AZ19)</f>
        <v/>
      </c>
    </row>
  </sheetData>
  <dataValidations count="1">
    <dataValidation sqref="W5 W6 W7 W8 W9 W10 W11 W12 W13 W14 W15 W16 W17 W18 W19 X5 X6 X7 X8 X9 X10 X11 X12 X13 X14 X15 X16 X17 X18 X19 Y5 Y6 Y7 Y8 Y9 Y10 Y11 Y12 Y13 Y14 Y15 Y16 Y17 Y18 Y19" showDropDown="0" showInputMessage="0" showErrorMessage="1" allowBlank="1" errorTitle="Not in the CS2 map pool" error="Pick a map from the list (Config tab, column E)." type="list">
      <formula1>=Config!$E$4:$E$11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46"/>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[NO MARKET] · ACE vs INOX</t>
        </is>
      </c>
      <c r="C2" t="inlineStr">
        <is>
          <t>El1an</t>
        </is>
      </c>
      <c r="D2" t="inlineStr">
        <is>
          <t>INOX</t>
        </is>
      </c>
      <c r="E2" t="inlineStr">
        <is>
          <t>Maps 1-2 HS</t>
        </is>
      </c>
      <c r="F2" t="n">
        <v>9.5</v>
      </c>
      <c r="G2" s="9">
        <f>IFERROR(INDEX(CHOOSE(MATCH($X2,{"K1","K2","K3","K12","K13","H1","H2","H3","H12","H13"},0),Calc!$V$2:$V$124,Calc!$AC$2:$AC$124,Calc!$AJ$2:$AJ$124,Calc!$AL$2:$AL$124,Calc!$AM$2:$AM$124,Calc!$W$2:$W$124,Calc!$AD$2:$AD$124,Calc!$AK$2:$AK$124,Calc!$AN$2:$AN$124,Calc!$AO$2:$AO$124),MATCH($W2,Calc!$A$2:$A$124,0)),"")</f>
        <v/>
      </c>
      <c r="H2" s="9">
        <f>IF(G2="","",IF(LEFT($X2,1)="H",SQRT(G2*(IFERROR(INDEX(Calc!$AP$2:$AP$124,MATCH($W2,Calc!$A$2:$A$124,0)),0.5)*Config!$B$5+1-IFERROR(INDEX(Calc!$AP$2:$AP$124,MATCH($W2,Calc!$A$2:$A$124,0)),0.5))),SQRT(G2*Config!$B$5)))</f>
        <v/>
      </c>
      <c r="I2" s="8">
        <f>IF(OR(F2="",G2="",N(H2)&lt;=0),"",1-NORMDIST(FLOOR(F2,1)+0.5,G2,H2,TRUE))</f>
        <v/>
      </c>
      <c r="J2" s="8">
        <f>IF(I2="","",NORMDIST(CEILING(F2,1)-0.5,G2,H2,TRUE))</f>
        <v/>
      </c>
      <c r="K2" s="8">
        <f>IF(I2="","",MAX(0,1-I2-J2))</f>
        <v/>
      </c>
      <c r="L2">
        <f>IF(I2="","",IF(I2&gt;=0.5+Config!$B$6,"OVER",IF(J2&gt;=0.5+Config!$B$6,"UNDER","—")))</f>
        <v/>
      </c>
      <c r="N2" t="n">
        <v>9.5</v>
      </c>
      <c r="O2" s="8" t="n">
        <v>0.8</v>
      </c>
      <c r="P2" s="8" t="n">
        <v>0.6</v>
      </c>
      <c r="Q2" s="8" t="n">
        <v>0.67</v>
      </c>
      <c r="R2" t="inlineStr">
        <is>
          <t>-</t>
        </is>
      </c>
      <c r="S2" t="n">
        <v>3</v>
      </c>
      <c r="T2">
        <f>INDEX(Calc!$G$2:$G$124,MATCH($W2,Calc!$A$2:$A$124,0))&amp;" / "&amp;INDEX(Calc!$H$2:$H$124,MATCH($W2,Calc!$A$2:$A$124,0))</f>
        <v/>
      </c>
      <c r="U2">
        <f>TEXT(INDEX(Calc!$J$2:$J$124,MATCH($W2,Calc!$A$2:$A$124,0)),"0.0")&amp;" / "&amp;TEXT(INDEX(Calc!$K$2:$K$124,MATCH($W2,Calc!$A$2:$A$124,0)),"0.0")</f>
        <v/>
      </c>
      <c r="V2">
        <f>IFERROR(INDEX(Calc!$AQ$2:$AQ$124,MATCH($W2,Calc!$A$2:$A$124,0)),"")</f>
        <v/>
      </c>
      <c r="W2" t="inlineStr">
        <is>
          <t>q3hhhk7fp22ng9v|CS2 [NO MARKET] · ACE vs INOX</t>
        </is>
      </c>
      <c r="X2" t="inlineStr">
        <is>
          <t>H12</t>
        </is>
      </c>
      <c r="Y2">
        <f>W2&amp;"|"&amp;X2</f>
        <v/>
      </c>
      <c r="Z2" s="9">
        <f>IFERROR(INDEX(CHOOSE(MATCH($X2,{"K1","K2","K3","K12","K13","H1","H2","H3","H12","H13"},0),Calc!$BA$2:$BA$124,Calc!$BB$2:$BB$124,Calc!$BC$2:$BC$124,Calc!$BD$2:$BD$124,Calc!$BE$2:$BE$124,Calc!$BF$2:$BF$124,Calc!$BG$2:$BG$124,Calc!$BH$2:$BH$124,Calc!$BI$2:$BI$124,Calc!$BJ$2:$BJ$124),MATCH($W2,Calc!$A$2:$A$124,0)),"")</f>
        <v/>
      </c>
      <c r="AA2" s="9">
        <f>IF(Z2="","",IF(LEFT($X2,1)="H",SQRT(Z2*(IFERROR(INDEX(Calc!$AP$2:$AP$124,MATCH($W2,Calc!$A$2:$A$124,0)),0.5)*Config!$B$5+1-IFERROR(INDEX(Calc!$AP$2:$AP$124,MATCH($W2,Calc!$A$2:$A$124,0)),0.5))),SQRT(Z2*Config!$B$5)))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[NO MARKET] · ACE vs INOX</t>
        </is>
      </c>
      <c r="C3" t="inlineStr">
        <is>
          <t>El1an</t>
        </is>
      </c>
      <c r="D3" t="inlineStr">
        <is>
          <t>INOX</t>
        </is>
      </c>
      <c r="E3" t="inlineStr">
        <is>
          <t>Maps 1-2 Kills</t>
        </is>
      </c>
      <c r="F3" t="n">
        <v>32.5</v>
      </c>
      <c r="G3" s="9">
        <f>IFERROR(INDEX(CHOOSE(MATCH($X3,{"K1","K2","K3","K12","K13","H1","H2","H3","H12","H13"},0),Calc!$V$2:$V$124,Calc!$AC$2:$AC$124,Calc!$AJ$2:$AJ$124,Calc!$AL$2:$AL$124,Calc!$AM$2:$AM$124,Calc!$W$2:$W$124,Calc!$AD$2:$AD$124,Calc!$AK$2:$AK$124,Calc!$AN$2:$AN$124,Calc!$AO$2:$AO$124),MATCH($W3,Calc!$A$2:$A$124,0)),"")</f>
        <v/>
      </c>
      <c r="H3" s="9">
        <f>IF(G3="","",IF(LEFT($X3,1)="H",SQRT(G3*(IFERROR(INDEX(Calc!$AP$2:$AP$124,MATCH($W3,Calc!$A$2:$A$124,0)),0.5)*Config!$B$5+1-IFERROR(INDEX(Calc!$AP$2:$AP$124,MATCH($W3,Calc!$A$2:$A$124,0)),0.5))),SQRT(G3*Config!$B$5)))</f>
        <v/>
      </c>
      <c r="I3" s="8">
        <f>IF(OR(F3="",G3="",N(H3)&lt;=0),"",1-NORMDIST(FLOOR(F3,1)+0.5,G3,H3,TRUE))</f>
        <v/>
      </c>
      <c r="J3" s="8">
        <f>IF(I3="","",NORMDIST(CEILING(F3,1)-0.5,G3,H3,TRUE))</f>
        <v/>
      </c>
      <c r="K3" s="8">
        <f>IF(I3="","",MAX(0,1-I3-J3))</f>
        <v/>
      </c>
      <c r="L3">
        <f>IF(I3="","",IF(I3&gt;=0.5+Config!$B$6,"OVER",IF(J3&gt;=0.5+Config!$B$6,"UNDER","—")))</f>
        <v/>
      </c>
      <c r="N3" t="n">
        <v>30.7</v>
      </c>
      <c r="O3" s="8" t="n">
        <v>0.4</v>
      </c>
      <c r="P3" s="8" t="n">
        <v>0.5</v>
      </c>
      <c r="Q3" s="8" t="n">
        <v>0.47</v>
      </c>
      <c r="R3" t="inlineStr">
        <is>
          <t>-</t>
        </is>
      </c>
      <c r="S3" t="n">
        <v>2</v>
      </c>
      <c r="T3">
        <f>INDEX(Calc!$G$2:$G$124,MATCH($W3,Calc!$A$2:$A$124,0))&amp;" / "&amp;INDEX(Calc!$H$2:$H$124,MATCH($W3,Calc!$A$2:$A$124,0))</f>
        <v/>
      </c>
      <c r="U3">
        <f>TEXT(INDEX(Calc!$J$2:$J$124,MATCH($W3,Calc!$A$2:$A$124,0)),"0.0")&amp;" / "&amp;TEXT(INDEX(Calc!$K$2:$K$124,MATCH($W3,Calc!$A$2:$A$124,0)),"0.0")</f>
        <v/>
      </c>
      <c r="V3">
        <f>IFERROR(INDEX(Calc!$AQ$2:$AQ$124,MATCH($W3,Calc!$A$2:$A$124,0)),"")</f>
        <v/>
      </c>
      <c r="W3" t="inlineStr">
        <is>
          <t>q3hhhk7fp22ng9v|CS2 [NO MARKET] · ACE vs INOX</t>
        </is>
      </c>
      <c r="X3" t="inlineStr">
        <is>
          <t>K12</t>
        </is>
      </c>
      <c r="Y3">
        <f>W3&amp;"|"&amp;X3</f>
        <v/>
      </c>
      <c r="Z3" s="9">
        <f>IFERROR(INDEX(CHOOSE(MATCH($X3,{"K1","K2","K3","K12","K13","H1","H2","H3","H12","H13"},0),Calc!$BA$2:$BA$124,Calc!$BB$2:$BB$124,Calc!$BC$2:$BC$124,Calc!$BD$2:$BD$124,Calc!$BE$2:$BE$124,Calc!$BF$2:$BF$124,Calc!$BG$2:$BG$124,Calc!$BH$2:$BH$124,Calc!$BI$2:$BI$124,Calc!$BJ$2:$BJ$124),MATCH($W3,Calc!$A$2:$A$124,0)),"")</f>
        <v/>
      </c>
      <c r="AA3" s="9">
        <f>IF(Z3="","",IF(LEFT($X3,1)="H",SQRT(Z3*(IFERROR(INDEX(Calc!$AP$2:$AP$124,MATCH($W3,Calc!$A$2:$A$124,0)),0.5)*Config!$B$5+1-IFERROR(INDEX(Calc!$AP$2:$AP$124,MATCH($W3,Calc!$A$2:$A$124,0)),0.5))),SQRT(Z3*Config!$B$5)))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[NO MARKET] · ACE vs INOX</t>
        </is>
      </c>
      <c r="C4" t="inlineStr">
        <is>
          <t>finW</t>
        </is>
      </c>
      <c r="D4" t="inlineStr">
        <is>
          <t>INOX</t>
        </is>
      </c>
      <c r="E4" t="inlineStr">
        <is>
          <t>Maps 1-2 HS</t>
        </is>
      </c>
      <c r="F4" t="n">
        <v>15</v>
      </c>
      <c r="G4" s="9">
        <f>IFERROR(INDEX(CHOOSE(MATCH($X4,{"K1","K2","K3","K12","K13","H1","H2","H3","H12","H13"},0),Calc!$V$2:$V$124,Calc!$AC$2:$AC$124,Calc!$AJ$2:$AJ$124,Calc!$AL$2:$AL$124,Calc!$AM$2:$AM$124,Calc!$W$2:$W$124,Calc!$AD$2:$AD$124,Calc!$AK$2:$AK$124,Calc!$AN$2:$AN$124,Calc!$AO$2:$AO$124),MATCH($W4,Calc!$A$2:$A$124,0)),"")</f>
        <v/>
      </c>
      <c r="H4" s="9">
        <f>IF(G4="","",IF(LEFT($X4,1)="H",SQRT(G4*(IFERROR(INDEX(Calc!$AP$2:$AP$124,MATCH($W4,Calc!$A$2:$A$124,0)),0.5)*Config!$B$5+1-IFERROR(INDEX(Calc!$AP$2:$AP$124,MATCH($W4,Calc!$A$2:$A$124,0)),0.5))),SQRT(G4*Config!$B$5)))</f>
        <v/>
      </c>
      <c r="I4" s="8">
        <f>IF(OR(F4="",G4="",N(H4)&lt;=0),"",1-NORMDIST(FLOOR(F4,1)+0.5,G4,H4,TRUE))</f>
        <v/>
      </c>
      <c r="J4" s="8">
        <f>IF(I4="","",NORMDIST(CEILING(F4,1)-0.5,G4,H4,TRUE))</f>
        <v/>
      </c>
      <c r="K4" s="8">
        <f>IF(I4="","",MAX(0,1-I4-J4))</f>
        <v/>
      </c>
      <c r="L4">
        <f>IF(I4="","",IF(I4&gt;=0.5+Config!$B$6,"OVER",IF(J4&gt;=0.5+Config!$B$6,"UNDER","—")))</f>
        <v/>
      </c>
      <c r="N4" t="n">
        <v>13.9</v>
      </c>
      <c r="O4" s="8" t="n">
        <v>0.6</v>
      </c>
      <c r="P4" s="8" t="n">
        <v>0.5</v>
      </c>
      <c r="Q4" s="8" t="n">
        <v>0.47</v>
      </c>
      <c r="R4" t="inlineStr">
        <is>
          <t>50%/1/2</t>
        </is>
      </c>
      <c r="S4" t="n">
        <v>-1</v>
      </c>
      <c r="T4">
        <f>INDEX(Calc!$G$2:$G$124,MATCH($W4,Calc!$A$2:$A$124,0))&amp;" / "&amp;INDEX(Calc!$H$2:$H$124,MATCH($W4,Calc!$A$2:$A$124,0))</f>
        <v/>
      </c>
      <c r="U4">
        <f>TEXT(INDEX(Calc!$J$2:$J$124,MATCH($W4,Calc!$A$2:$A$124,0)),"0.0")&amp;" / "&amp;TEXT(INDEX(Calc!$K$2:$K$124,MATCH($W4,Calc!$A$2:$A$124,0)),"0.0")</f>
        <v/>
      </c>
      <c r="V4">
        <f>IFERROR(INDEX(Calc!$AQ$2:$AQ$124,MATCH($W4,Calc!$A$2:$A$124,0)),"")</f>
        <v/>
      </c>
      <c r="W4" t="inlineStr">
        <is>
          <t>wtkbukkt9i8g1y0|CS2 [NO MARKET] · ACE vs INOX</t>
        </is>
      </c>
      <c r="X4" t="inlineStr">
        <is>
          <t>H12</t>
        </is>
      </c>
      <c r="Y4">
        <f>W4&amp;"|"&amp;X4</f>
        <v/>
      </c>
      <c r="Z4" s="9">
        <f>IFERROR(INDEX(CHOOSE(MATCH($X4,{"K1","K2","K3","K12","K13","H1","H2","H3","H12","H13"},0),Calc!$BA$2:$BA$124,Calc!$BB$2:$BB$124,Calc!$BC$2:$BC$124,Calc!$BD$2:$BD$124,Calc!$BE$2:$BE$124,Calc!$BF$2:$BF$124,Calc!$BG$2:$BG$124,Calc!$BH$2:$BH$124,Calc!$BI$2:$BI$124,Calc!$BJ$2:$BJ$124),MATCH($W4,Calc!$A$2:$A$124,0)),"")</f>
        <v/>
      </c>
      <c r="AA4" s="9">
        <f>IF(Z4="","",IF(LEFT($X4,1)="H",SQRT(Z4*(IFERROR(INDEX(Calc!$AP$2:$AP$124,MATCH($W4,Calc!$A$2:$A$124,0)),0.5)*Config!$B$5+1-IFERROR(INDEX(Calc!$AP$2:$AP$124,MATCH($W4,Calc!$A$2:$A$124,0)),0.5))),SQRT(Z4*Config!$B$5)))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[NO MARKET] · ACE vs INOX</t>
        </is>
      </c>
      <c r="C5" t="inlineStr">
        <is>
          <t>finW</t>
        </is>
      </c>
      <c r="D5" t="inlineStr">
        <is>
          <t>INOX</t>
        </is>
      </c>
      <c r="E5" t="inlineStr">
        <is>
          <t>Maps 1-2 Kills</t>
        </is>
      </c>
      <c r="F5" t="n">
        <v>27.5</v>
      </c>
      <c r="G5" s="9">
        <f>IFERROR(INDEX(CHOOSE(MATCH($X5,{"K1","K2","K3","K12","K13","H1","H2","H3","H12","H13"},0),Calc!$V$2:$V$124,Calc!$AC$2:$AC$124,Calc!$AJ$2:$AJ$124,Calc!$AL$2:$AL$124,Calc!$AM$2:$AM$124,Calc!$W$2:$W$124,Calc!$AD$2:$AD$124,Calc!$AK$2:$AK$124,Calc!$AN$2:$AN$124,Calc!$AO$2:$AO$124),MATCH($W5,Calc!$A$2:$A$124,0)),"")</f>
        <v/>
      </c>
      <c r="H5" s="9">
        <f>IF(G5="","",IF(LEFT($X5,1)="H",SQRT(G5*(IFERROR(INDEX(Calc!$AP$2:$AP$124,MATCH($W5,Calc!$A$2:$A$124,0)),0.5)*Config!$B$5+1-IFERROR(INDEX(Calc!$AP$2:$AP$124,MATCH($W5,Calc!$A$2:$A$124,0)),0.5))),SQRT(G5*Config!$B$5)))</f>
        <v/>
      </c>
      <c r="I5" s="8">
        <f>IF(OR(F5="",G5="",N(H5)&lt;=0),"",1-NORMDIST(FLOOR(F5,1)+0.5,G5,H5,TRUE))</f>
        <v/>
      </c>
      <c r="J5" s="8">
        <f>IF(I5="","",NORMDIST(CEILING(F5,1)-0.5,G5,H5,TRUE))</f>
        <v/>
      </c>
      <c r="K5" s="8">
        <f>IF(I5="","",MAX(0,1-I5-J5))</f>
        <v/>
      </c>
      <c r="L5">
        <f>IF(I5="","",IF(I5&gt;=0.5+Config!$B$6,"OVER",IF(J5&gt;=0.5+Config!$B$6,"UNDER","—")))</f>
        <v/>
      </c>
      <c r="N5" t="n">
        <v>26.1</v>
      </c>
      <c r="O5" s="8" t="n">
        <v>0.6</v>
      </c>
      <c r="P5" s="8" t="n">
        <v>0.5</v>
      </c>
      <c r="Q5" s="8" t="n">
        <v>0.53</v>
      </c>
      <c r="R5" t="inlineStr">
        <is>
          <t>100%/2/2</t>
        </is>
      </c>
      <c r="S5" t="n">
        <v>-1</v>
      </c>
      <c r="T5">
        <f>INDEX(Calc!$G$2:$G$124,MATCH($W5,Calc!$A$2:$A$124,0))&amp;" / "&amp;INDEX(Calc!$H$2:$H$124,MATCH($W5,Calc!$A$2:$A$124,0))</f>
        <v/>
      </c>
      <c r="U5">
        <f>TEXT(INDEX(Calc!$J$2:$J$124,MATCH($W5,Calc!$A$2:$A$124,0)),"0.0")&amp;" / "&amp;TEXT(INDEX(Calc!$K$2:$K$124,MATCH($W5,Calc!$A$2:$A$124,0)),"0.0")</f>
        <v/>
      </c>
      <c r="V5">
        <f>IFERROR(INDEX(Calc!$AQ$2:$AQ$124,MATCH($W5,Calc!$A$2:$A$124,0)),"")</f>
        <v/>
      </c>
      <c r="W5" t="inlineStr">
        <is>
          <t>wtkbukkt9i8g1y0|CS2 [NO MARKET] · ACE vs INOX</t>
        </is>
      </c>
      <c r="X5" t="inlineStr">
        <is>
          <t>K12</t>
        </is>
      </c>
      <c r="Y5">
        <f>W5&amp;"|"&amp;X5</f>
        <v/>
      </c>
      <c r="Z5" s="9">
        <f>IFERROR(INDEX(CHOOSE(MATCH($X5,{"K1","K2","K3","K12","K13","H1","H2","H3","H12","H13"},0),Calc!$BA$2:$BA$124,Calc!$BB$2:$BB$124,Calc!$BC$2:$BC$124,Calc!$BD$2:$BD$124,Calc!$BE$2:$BE$124,Calc!$BF$2:$BF$124,Calc!$BG$2:$BG$124,Calc!$BH$2:$BH$124,Calc!$BI$2:$BI$124,Calc!$BJ$2:$BJ$124),MATCH($W5,Calc!$A$2:$A$124,0)),"")</f>
        <v/>
      </c>
      <c r="AA5" s="9">
        <f>IF(Z5="","",IF(LEFT($X5,1)="H",SQRT(Z5*(IFERROR(INDEX(Calc!$AP$2:$AP$124,MATCH($W5,Calc!$A$2:$A$124,0)),0.5)*Config!$B$5+1-IFERROR(INDEX(Calc!$AP$2:$AP$124,MATCH($W5,Calc!$A$2:$A$124,0)),0.5))),SQRT(Z5*Config!$B$5)))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[NO MARKET] · ACE vs INOX</t>
        </is>
      </c>
      <c r="C6" t="inlineStr">
        <is>
          <t>K0s</t>
        </is>
      </c>
      <c r="D6" t="inlineStr">
        <is>
          <t>INOX</t>
        </is>
      </c>
      <c r="E6" t="inlineStr">
        <is>
          <t>Maps 1-2 HS</t>
        </is>
      </c>
      <c r="F6" t="n">
        <v>15</v>
      </c>
      <c r="G6" s="9">
        <f>IFERROR(INDEX(CHOOSE(MATCH($X6,{"K1","K2","K3","K12","K13","H1","H2","H3","H12","H13"},0),Calc!$V$2:$V$124,Calc!$AC$2:$AC$124,Calc!$AJ$2:$AJ$124,Calc!$AL$2:$AL$124,Calc!$AM$2:$AM$124,Calc!$W$2:$W$124,Calc!$AD$2:$AD$124,Calc!$AK$2:$AK$124,Calc!$AN$2:$AN$124,Calc!$AO$2:$AO$124),MATCH($W6,Calc!$A$2:$A$124,0)),"")</f>
        <v/>
      </c>
      <c r="H6" s="9">
        <f>IF(G6="","",IF(LEFT($X6,1)="H",SQRT(G6*(IFERROR(INDEX(Calc!$AP$2:$AP$124,MATCH($W6,Calc!$A$2:$A$124,0)),0.5)*Config!$B$5+1-IFERROR(INDEX(Calc!$AP$2:$AP$124,MATCH($W6,Calc!$A$2:$A$124,0)),0.5))),SQRT(G6*Config!$B$5)))</f>
        <v/>
      </c>
      <c r="I6" s="8">
        <f>IF(OR(F6="",G6="",N(H6)&lt;=0),"",1-NORMDIST(FLOOR(F6,1)+0.5,G6,H6,TRUE))</f>
        <v/>
      </c>
      <c r="J6" s="8">
        <f>IF(I6="","",NORMDIST(CEILING(F6,1)-0.5,G6,H6,TRUE))</f>
        <v/>
      </c>
      <c r="K6" s="8">
        <f>IF(I6="","",MAX(0,1-I6-J6))</f>
        <v/>
      </c>
      <c r="L6">
        <f>IF(I6="","",IF(I6&gt;=0.5+Config!$B$6,"OVER",IF(J6&gt;=0.5+Config!$B$6,"UNDER","—")))</f>
        <v/>
      </c>
      <c r="N6" t="n">
        <v>14.5</v>
      </c>
      <c r="O6" s="8" t="n">
        <v>0.6</v>
      </c>
      <c r="P6" s="8" t="n">
        <v>0.5</v>
      </c>
      <c r="Q6" s="8" t="n">
        <v>0.53</v>
      </c>
      <c r="R6" t="inlineStr">
        <is>
          <t>67%/2/3</t>
        </is>
      </c>
      <c r="S6" t="n">
        <v>-2</v>
      </c>
      <c r="T6">
        <f>INDEX(Calc!$G$2:$G$124,MATCH($W6,Calc!$A$2:$A$124,0))&amp;" / "&amp;INDEX(Calc!$H$2:$H$124,MATCH($W6,Calc!$A$2:$A$124,0))</f>
        <v/>
      </c>
      <c r="U6">
        <f>TEXT(INDEX(Calc!$J$2:$J$124,MATCH($W6,Calc!$A$2:$A$124,0)),"0.0")&amp;" / "&amp;TEXT(INDEX(Calc!$K$2:$K$124,MATCH($W6,Calc!$A$2:$A$124,0)),"0.0")</f>
        <v/>
      </c>
      <c r="V6">
        <f>IFERROR(INDEX(Calc!$AQ$2:$AQ$124,MATCH($W6,Calc!$A$2:$A$124,0)),"")</f>
        <v/>
      </c>
      <c r="W6" t="inlineStr">
        <is>
          <t>m02i8zld44pmsf6|CS2 [NO MARKET] · ACE vs INOX</t>
        </is>
      </c>
      <c r="X6" t="inlineStr">
        <is>
          <t>H12</t>
        </is>
      </c>
      <c r="Y6">
        <f>W6&amp;"|"&amp;X6</f>
        <v/>
      </c>
      <c r="Z6" s="9">
        <f>IFERROR(INDEX(CHOOSE(MATCH($X6,{"K1","K2","K3","K12","K13","H1","H2","H3","H12","H13"},0),Calc!$BA$2:$BA$124,Calc!$BB$2:$BB$124,Calc!$BC$2:$BC$124,Calc!$BD$2:$BD$124,Calc!$BE$2:$BE$124,Calc!$BF$2:$BF$124,Calc!$BG$2:$BG$124,Calc!$BH$2:$BH$124,Calc!$BI$2:$BI$124,Calc!$BJ$2:$BJ$124),MATCH($W6,Calc!$A$2:$A$124,0)),"")</f>
        <v/>
      </c>
      <c r="AA6" s="9">
        <f>IF(Z6="","",IF(LEFT($X6,1)="H",SQRT(Z6*(IFERROR(INDEX(Calc!$AP$2:$AP$124,MATCH($W6,Calc!$A$2:$A$124,0)),0.5)*Config!$B$5+1-IFERROR(INDEX(Calc!$AP$2:$AP$124,MATCH($W6,Calc!$A$2:$A$124,0)),0.5))),SQRT(Z6*Config!$B$5)))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[NO MARKET] · ACE vs INOX</t>
        </is>
      </c>
      <c r="C7" t="inlineStr">
        <is>
          <t>K0s</t>
        </is>
      </c>
      <c r="D7" t="inlineStr">
        <is>
          <t>INOX</t>
        </is>
      </c>
      <c r="E7" t="inlineStr">
        <is>
          <t>Maps 1-2 Kills</t>
        </is>
      </c>
      <c r="F7" t="n">
        <v>29</v>
      </c>
      <c r="G7" s="9">
        <f>IFERROR(INDEX(CHOOSE(MATCH($X7,{"K1","K2","K3","K12","K13","H1","H2","H3","H12","H13"},0),Calc!$V$2:$V$124,Calc!$AC$2:$AC$124,Calc!$AJ$2:$AJ$124,Calc!$AL$2:$AL$124,Calc!$AM$2:$AM$124,Calc!$W$2:$W$124,Calc!$AD$2:$AD$124,Calc!$AK$2:$AK$124,Calc!$AN$2:$AN$124,Calc!$AO$2:$AO$124),MATCH($W7,Calc!$A$2:$A$124,0)),"")</f>
        <v/>
      </c>
      <c r="H7" s="9">
        <f>IF(G7="","",IF(LEFT($X7,1)="H",SQRT(G7*(IFERROR(INDEX(Calc!$AP$2:$AP$124,MATCH($W7,Calc!$A$2:$A$124,0)),0.5)*Config!$B$5+1-IFERROR(INDEX(Calc!$AP$2:$AP$124,MATCH($W7,Calc!$A$2:$A$124,0)),0.5))),SQRT(G7*Config!$B$5)))</f>
        <v/>
      </c>
      <c r="I7" s="8">
        <f>IF(OR(F7="",G7="",N(H7)&lt;=0),"",1-NORMDIST(FLOOR(F7,1)+0.5,G7,H7,TRUE))</f>
        <v/>
      </c>
      <c r="J7" s="8">
        <f>IF(I7="","",NORMDIST(CEILING(F7,1)-0.5,G7,H7,TRUE))</f>
        <v/>
      </c>
      <c r="K7" s="8">
        <f>IF(I7="","",MAX(0,1-I7-J7))</f>
        <v/>
      </c>
      <c r="L7">
        <f>IF(I7="","",IF(I7&gt;=0.5+Config!$B$6,"OVER",IF(J7&gt;=0.5+Config!$B$6,"UNDER","—")))</f>
        <v/>
      </c>
      <c r="N7" t="n">
        <v>28.9</v>
      </c>
      <c r="O7" s="8" t="n">
        <v>0.6</v>
      </c>
      <c r="P7" s="8" t="n">
        <v>0.6</v>
      </c>
      <c r="Q7" s="8" t="n">
        <v>0.53</v>
      </c>
      <c r="R7" t="inlineStr">
        <is>
          <t>67%/2/3</t>
        </is>
      </c>
      <c r="S7" t="n">
        <v>-2</v>
      </c>
      <c r="T7">
        <f>INDEX(Calc!$G$2:$G$124,MATCH($W7,Calc!$A$2:$A$124,0))&amp;" / "&amp;INDEX(Calc!$H$2:$H$124,MATCH($W7,Calc!$A$2:$A$124,0))</f>
        <v/>
      </c>
      <c r="U7">
        <f>TEXT(INDEX(Calc!$J$2:$J$124,MATCH($W7,Calc!$A$2:$A$124,0)),"0.0")&amp;" / "&amp;TEXT(INDEX(Calc!$K$2:$K$124,MATCH($W7,Calc!$A$2:$A$124,0)),"0.0")</f>
        <v/>
      </c>
      <c r="V7">
        <f>IFERROR(INDEX(Calc!$AQ$2:$AQ$124,MATCH($W7,Calc!$A$2:$A$124,0)),"")</f>
        <v/>
      </c>
      <c r="W7" t="inlineStr">
        <is>
          <t>m02i8zld44pmsf6|CS2 [NO MARKET] · ACE vs INOX</t>
        </is>
      </c>
      <c r="X7" t="inlineStr">
        <is>
          <t>K12</t>
        </is>
      </c>
      <c r="Y7">
        <f>W7&amp;"|"&amp;X7</f>
        <v/>
      </c>
      <c r="Z7" s="9">
        <f>IFERROR(INDEX(CHOOSE(MATCH($X7,{"K1","K2","K3","K12","K13","H1","H2","H3","H12","H13"},0),Calc!$BA$2:$BA$124,Calc!$BB$2:$BB$124,Calc!$BC$2:$BC$124,Calc!$BD$2:$BD$124,Calc!$BE$2:$BE$124,Calc!$BF$2:$BF$124,Calc!$BG$2:$BG$124,Calc!$BH$2:$BH$124,Calc!$BI$2:$BI$124,Calc!$BJ$2:$BJ$124),MATCH($W7,Calc!$A$2:$A$124,0)),"")</f>
        <v/>
      </c>
      <c r="AA7" s="9">
        <f>IF(Z7="","",IF(LEFT($X7,1)="H",SQRT(Z7*(IFERROR(INDEX(Calc!$AP$2:$AP$124,MATCH($W7,Calc!$A$2:$A$124,0)),0.5)*Config!$B$5+1-IFERROR(INDEX(Calc!$AP$2:$AP$124,MATCH($W7,Calc!$A$2:$A$124,0)),0.5))),SQRT(Z7*Config!$B$5)))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[NO MARKET] · ACE vs INOX</t>
        </is>
      </c>
      <c r="C8" t="inlineStr">
        <is>
          <t>k1slll</t>
        </is>
      </c>
      <c r="D8" t="inlineStr">
        <is>
          <t>INOX</t>
        </is>
      </c>
      <c r="E8" t="inlineStr">
        <is>
          <t>Maps 1-2 HS</t>
        </is>
      </c>
      <c r="F8" t="n">
        <v>15</v>
      </c>
      <c r="G8" s="9">
        <f>IFERROR(INDEX(CHOOSE(MATCH($X8,{"K1","K2","K3","K12","K13","H1","H2","H3","H12","H13"},0),Calc!$V$2:$V$124,Calc!$AC$2:$AC$124,Calc!$AJ$2:$AJ$124,Calc!$AL$2:$AL$124,Calc!$AM$2:$AM$124,Calc!$W$2:$W$124,Calc!$AD$2:$AD$124,Calc!$AK$2:$AK$124,Calc!$AN$2:$AN$124,Calc!$AO$2:$AO$124),MATCH($W8,Calc!$A$2:$A$124,0)),"")</f>
        <v/>
      </c>
      <c r="H8" s="9">
        <f>IF(G8="","",IF(LEFT($X8,1)="H",SQRT(G8*(IFERROR(INDEX(Calc!$AP$2:$AP$124,MATCH($W8,Calc!$A$2:$A$124,0)),0.5)*Config!$B$5+1-IFERROR(INDEX(Calc!$AP$2:$AP$124,MATCH($W8,Calc!$A$2:$A$124,0)),0.5))),SQRT(G8*Config!$B$5)))</f>
        <v/>
      </c>
      <c r="I8" s="8">
        <f>IF(OR(F8="",G8="",N(H8)&lt;=0),"",1-NORMDIST(FLOOR(F8,1)+0.5,G8,H8,TRUE))</f>
        <v/>
      </c>
      <c r="J8" s="8">
        <f>IF(I8="","",NORMDIST(CEILING(F8,1)-0.5,G8,H8,TRUE))</f>
        <v/>
      </c>
      <c r="K8" s="8">
        <f>IF(I8="","",MAX(0,1-I8-J8))</f>
        <v/>
      </c>
      <c r="L8">
        <f>IF(I8="","",IF(I8&gt;=0.5+Config!$B$6,"OVER",IF(J8&gt;=0.5+Config!$B$6,"UNDER","—")))</f>
        <v/>
      </c>
      <c r="N8" t="n">
        <v>13.3</v>
      </c>
      <c r="O8" s="8" t="n">
        <v>0</v>
      </c>
      <c r="P8" s="8" t="n">
        <v>0.3</v>
      </c>
      <c r="Q8" s="8" t="n">
        <v>0.27</v>
      </c>
      <c r="R8" t="inlineStr">
        <is>
          <t>0%/0/2</t>
        </is>
      </c>
      <c r="S8" t="n">
        <v>-5</v>
      </c>
      <c r="T8">
        <f>INDEX(Calc!$G$2:$G$124,MATCH($W8,Calc!$A$2:$A$124,0))&amp;" / "&amp;INDEX(Calc!$H$2:$H$124,MATCH($W8,Calc!$A$2:$A$124,0))</f>
        <v/>
      </c>
      <c r="U8">
        <f>TEXT(INDEX(Calc!$J$2:$J$124,MATCH($W8,Calc!$A$2:$A$124,0)),"0.0")&amp;" / "&amp;TEXT(INDEX(Calc!$K$2:$K$124,MATCH($W8,Calc!$A$2:$A$124,0)),"0.0")</f>
        <v/>
      </c>
      <c r="V8">
        <f>IFERROR(INDEX(Calc!$AQ$2:$AQ$124,MATCH($W8,Calc!$A$2:$A$124,0)),"")</f>
        <v/>
      </c>
      <c r="W8" t="inlineStr">
        <is>
          <t>jqawnnqgchzqat7|CS2 [NO MARKET] · ACE vs INOX</t>
        </is>
      </c>
      <c r="X8" t="inlineStr">
        <is>
          <t>H12</t>
        </is>
      </c>
      <c r="Y8">
        <f>W8&amp;"|"&amp;X8</f>
        <v/>
      </c>
      <c r="Z8" s="9">
        <f>IFERROR(INDEX(CHOOSE(MATCH($X8,{"K1","K2","K3","K12","K13","H1","H2","H3","H12","H13"},0),Calc!$BA$2:$BA$124,Calc!$BB$2:$BB$124,Calc!$BC$2:$BC$124,Calc!$BD$2:$BD$124,Calc!$BE$2:$BE$124,Calc!$BF$2:$BF$124,Calc!$BG$2:$BG$124,Calc!$BH$2:$BH$124,Calc!$BI$2:$BI$124,Calc!$BJ$2:$BJ$124),MATCH($W8,Calc!$A$2:$A$124,0)),"")</f>
        <v/>
      </c>
      <c r="AA8" s="9">
        <f>IF(Z8="","",IF(LEFT($X8,1)="H",SQRT(Z8*(IFERROR(INDEX(Calc!$AP$2:$AP$124,MATCH($W8,Calc!$A$2:$A$124,0)),0.5)*Config!$B$5+1-IFERROR(INDEX(Calc!$AP$2:$AP$124,MATCH($W8,Calc!$A$2:$A$124,0)),0.5))),SQRT(Z8*Config!$B$5)))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[NO MARKET] · ACE vs INOX</t>
        </is>
      </c>
      <c r="C9" t="inlineStr">
        <is>
          <t>k1slll</t>
        </is>
      </c>
      <c r="D9" t="inlineStr">
        <is>
          <t>INOX</t>
        </is>
      </c>
      <c r="E9" t="inlineStr">
        <is>
          <t>Maps 1-2 Kills</t>
        </is>
      </c>
      <c r="F9" t="n">
        <v>29</v>
      </c>
      <c r="G9" s="9">
        <f>IFERROR(INDEX(CHOOSE(MATCH($X9,{"K1","K2","K3","K12","K13","H1","H2","H3","H12","H13"},0),Calc!$V$2:$V$124,Calc!$AC$2:$AC$124,Calc!$AJ$2:$AJ$124,Calc!$AL$2:$AL$124,Calc!$AM$2:$AM$124,Calc!$W$2:$W$124,Calc!$AD$2:$AD$124,Calc!$AK$2:$AK$124,Calc!$AN$2:$AN$124,Calc!$AO$2:$AO$124),MATCH($W9,Calc!$A$2:$A$124,0)),"")</f>
        <v/>
      </c>
      <c r="H9" s="9">
        <f>IF(G9="","",IF(LEFT($X9,1)="H",SQRT(G9*(IFERROR(INDEX(Calc!$AP$2:$AP$124,MATCH($W9,Calc!$A$2:$A$124,0)),0.5)*Config!$B$5+1-IFERROR(INDEX(Calc!$AP$2:$AP$124,MATCH($W9,Calc!$A$2:$A$124,0)),0.5))),SQRT(G9*Config!$B$5)))</f>
        <v/>
      </c>
      <c r="I9" s="8">
        <f>IF(OR(F9="",G9="",N(H9)&lt;=0),"",1-NORMDIST(FLOOR(F9,1)+0.5,G9,H9,TRUE))</f>
        <v/>
      </c>
      <c r="J9" s="8">
        <f>IF(I9="","",NORMDIST(CEILING(F9,1)-0.5,G9,H9,TRUE))</f>
        <v/>
      </c>
      <c r="K9" s="8">
        <f>IF(I9="","",MAX(0,1-I9-J9))</f>
        <v/>
      </c>
      <c r="L9">
        <f>IF(I9="","",IF(I9&gt;=0.5+Config!$B$6,"OVER",IF(J9&gt;=0.5+Config!$B$6,"UNDER","—")))</f>
        <v/>
      </c>
      <c r="N9" t="n">
        <v>25.9</v>
      </c>
      <c r="O9" s="8" t="n">
        <v>0.2</v>
      </c>
      <c r="P9" s="8" t="n">
        <v>0.3</v>
      </c>
      <c r="Q9" s="8" t="n">
        <v>0.27</v>
      </c>
      <c r="R9" t="inlineStr">
        <is>
          <t>50%/1/2</t>
        </is>
      </c>
      <c r="S9" t="n">
        <v>-4</v>
      </c>
      <c r="T9">
        <f>INDEX(Calc!$G$2:$G$124,MATCH($W9,Calc!$A$2:$A$124,0))&amp;" / "&amp;INDEX(Calc!$H$2:$H$124,MATCH($W9,Calc!$A$2:$A$124,0))</f>
        <v/>
      </c>
      <c r="U9">
        <f>TEXT(INDEX(Calc!$J$2:$J$124,MATCH($W9,Calc!$A$2:$A$124,0)),"0.0")&amp;" / "&amp;TEXT(INDEX(Calc!$K$2:$K$124,MATCH($W9,Calc!$A$2:$A$124,0)),"0.0")</f>
        <v/>
      </c>
      <c r="V9">
        <f>IFERROR(INDEX(Calc!$AQ$2:$AQ$124,MATCH($W9,Calc!$A$2:$A$124,0)),"")</f>
        <v/>
      </c>
      <c r="W9" t="inlineStr">
        <is>
          <t>jqawnnqgchzqat7|CS2 [NO MARKET] · ACE vs INOX</t>
        </is>
      </c>
      <c r="X9" t="inlineStr">
        <is>
          <t>K12</t>
        </is>
      </c>
      <c r="Y9">
        <f>W9&amp;"|"&amp;X9</f>
        <v/>
      </c>
      <c r="Z9" s="9">
        <f>IFERROR(INDEX(CHOOSE(MATCH($X9,{"K1","K2","K3","K12","K13","H1","H2","H3","H12","H13"},0),Calc!$BA$2:$BA$124,Calc!$BB$2:$BB$124,Calc!$BC$2:$BC$124,Calc!$BD$2:$BD$124,Calc!$BE$2:$BE$124,Calc!$BF$2:$BF$124,Calc!$BG$2:$BG$124,Calc!$BH$2:$BH$124,Calc!$BI$2:$BI$124,Calc!$BJ$2:$BJ$124),MATCH($W9,Calc!$A$2:$A$124,0)),"")</f>
        <v/>
      </c>
      <c r="AA9" s="9">
        <f>IF(Z9="","",IF(LEFT($X9,1)="H",SQRT(Z9*(IFERROR(INDEX(Calc!$AP$2:$AP$124,MATCH($W9,Calc!$A$2:$A$124,0)),0.5)*Config!$B$5+1-IFERROR(INDEX(Calc!$AP$2:$AP$124,MATCH($W9,Calc!$A$2:$A$124,0)),0.5))),SQRT(Z9*Config!$B$5)))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[NO MARKET] · ACE vs INOX</t>
        </is>
      </c>
      <c r="C10" t="inlineStr">
        <is>
          <t>m1QUSE</t>
        </is>
      </c>
      <c r="D10" t="inlineStr">
        <is>
          <t>INOX</t>
        </is>
      </c>
      <c r="E10" t="inlineStr">
        <is>
          <t>Maps 1-2 HS</t>
        </is>
      </c>
      <c r="F10" t="n">
        <v>15.5</v>
      </c>
      <c r="G10" s="9">
        <f>IFERROR(INDEX(CHOOSE(MATCH($X10,{"K1","K2","K3","K12","K13","H1","H2","H3","H12","H13"},0),Calc!$V$2:$V$124,Calc!$AC$2:$AC$124,Calc!$AJ$2:$AJ$124,Calc!$AL$2:$AL$124,Calc!$AM$2:$AM$124,Calc!$W$2:$W$124,Calc!$AD$2:$AD$124,Calc!$AK$2:$AK$124,Calc!$AN$2:$AN$124,Calc!$AO$2:$AO$124),MATCH($W10,Calc!$A$2:$A$124,0)),"")</f>
        <v/>
      </c>
      <c r="H10" s="9">
        <f>IF(G10="","",IF(LEFT($X10,1)="H",SQRT(G10*(IFERROR(INDEX(Calc!$AP$2:$AP$124,MATCH($W10,Calc!$A$2:$A$124,0)),0.5)*Config!$B$5+1-IFERROR(INDEX(Calc!$AP$2:$AP$124,MATCH($W10,Calc!$A$2:$A$124,0)),0.5))),SQRT(G10*Config!$B$5)))</f>
        <v/>
      </c>
      <c r="I10" s="8">
        <f>IF(OR(F10="",G10="",N(H10)&lt;=0),"",1-NORMDIST(FLOOR(F10,1)+0.5,G10,H10,TRUE))</f>
        <v/>
      </c>
      <c r="J10" s="8">
        <f>IF(I10="","",NORMDIST(CEILING(F10,1)-0.5,G10,H10,TRUE))</f>
        <v/>
      </c>
      <c r="K10" s="8">
        <f>IF(I10="","",MAX(0,1-I10-J10))</f>
        <v/>
      </c>
      <c r="L10">
        <f>IF(I10="","",IF(I10&gt;=0.5+Config!$B$6,"OVER",IF(J10&gt;=0.5+Config!$B$6,"UNDER","—")))</f>
        <v/>
      </c>
      <c r="N10" t="n">
        <v>12.1</v>
      </c>
      <c r="O10" s="8" t="n">
        <v>0.2</v>
      </c>
      <c r="P10" s="8" t="n">
        <v>0.2</v>
      </c>
      <c r="Q10" s="8" t="n">
        <v>0.27</v>
      </c>
      <c r="R10" t="inlineStr">
        <is>
          <t>0%/0/1</t>
        </is>
      </c>
      <c r="S10" t="n">
        <v>-4</v>
      </c>
      <c r="T10">
        <f>INDEX(Calc!$G$2:$G$124,MATCH($W10,Calc!$A$2:$A$124,0))&amp;" / "&amp;INDEX(Calc!$H$2:$H$124,MATCH($W10,Calc!$A$2:$A$124,0))</f>
        <v/>
      </c>
      <c r="U10">
        <f>TEXT(INDEX(Calc!$J$2:$J$124,MATCH($W10,Calc!$A$2:$A$124,0)),"0.0")&amp;" / "&amp;TEXT(INDEX(Calc!$K$2:$K$124,MATCH($W10,Calc!$A$2:$A$124,0)),"0.0")</f>
        <v/>
      </c>
      <c r="V10">
        <f>IFERROR(INDEX(Calc!$AQ$2:$AQ$124,MATCH($W10,Calc!$A$2:$A$124,0)),"")</f>
        <v/>
      </c>
      <c r="W10" t="inlineStr">
        <is>
          <t>6ztw7i4ms6nvy7y|CS2 [NO MARKET] · ACE vs INOX</t>
        </is>
      </c>
      <c r="X10" t="inlineStr">
        <is>
          <t>H12</t>
        </is>
      </c>
      <c r="Y10">
        <f>W10&amp;"|"&amp;X10</f>
        <v/>
      </c>
      <c r="Z10" s="9">
        <f>IFERROR(INDEX(CHOOSE(MATCH($X10,{"K1","K2","K3","K12","K13","H1","H2","H3","H12","H13"},0),Calc!$BA$2:$BA$124,Calc!$BB$2:$BB$124,Calc!$BC$2:$BC$124,Calc!$BD$2:$BD$124,Calc!$BE$2:$BE$124,Calc!$BF$2:$BF$124,Calc!$BG$2:$BG$124,Calc!$BH$2:$BH$124,Calc!$BI$2:$BI$124,Calc!$BJ$2:$BJ$124),MATCH($W10,Calc!$A$2:$A$124,0)),"")</f>
        <v/>
      </c>
      <c r="AA10" s="9">
        <f>IF(Z10="","",IF(LEFT($X10,1)="H",SQRT(Z10*(IFERROR(INDEX(Calc!$AP$2:$AP$124,MATCH($W10,Calc!$A$2:$A$124,0)),0.5)*Config!$B$5+1-IFERROR(INDEX(Calc!$AP$2:$AP$124,MATCH($W10,Calc!$A$2:$A$124,0)),0.5))),SQRT(Z10*Config!$B$5)))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[NO MARKET] · ACE vs INOX</t>
        </is>
      </c>
      <c r="C11" t="inlineStr">
        <is>
          <t>m1QUSE</t>
        </is>
      </c>
      <c r="D11" t="inlineStr">
        <is>
          <t>INOX</t>
        </is>
      </c>
      <c r="E11" t="inlineStr">
        <is>
          <t>Maps 1-2 Kills</t>
        </is>
      </c>
      <c r="F11" t="n">
        <v>29.5</v>
      </c>
      <c r="G11" s="9">
        <f>IFERROR(INDEX(CHOOSE(MATCH($X11,{"K1","K2","K3","K12","K13","H1","H2","H3","H12","H13"},0),Calc!$V$2:$V$124,Calc!$AC$2:$AC$124,Calc!$AJ$2:$AJ$124,Calc!$AL$2:$AL$124,Calc!$AM$2:$AM$124,Calc!$W$2:$W$124,Calc!$AD$2:$AD$124,Calc!$AK$2:$AK$124,Calc!$AN$2:$AN$124,Calc!$AO$2:$AO$124),MATCH($W11,Calc!$A$2:$A$124,0)),"")</f>
        <v/>
      </c>
      <c r="H11" s="9">
        <f>IF(G11="","",IF(LEFT($X11,1)="H",SQRT(G11*(IFERROR(INDEX(Calc!$AP$2:$AP$124,MATCH($W11,Calc!$A$2:$A$124,0)),0.5)*Config!$B$5+1-IFERROR(INDEX(Calc!$AP$2:$AP$124,MATCH($W11,Calc!$A$2:$A$124,0)),0.5))),SQRT(G11*Config!$B$5)))</f>
        <v/>
      </c>
      <c r="I11" s="8">
        <f>IF(OR(F11="",G11="",N(H11)&lt;=0),"",1-NORMDIST(FLOOR(F11,1)+0.5,G11,H11,TRUE))</f>
        <v/>
      </c>
      <c r="J11" s="8">
        <f>IF(I11="","",NORMDIST(CEILING(F11,1)-0.5,G11,H11,TRUE))</f>
        <v/>
      </c>
      <c r="K11" s="8">
        <f>IF(I11="","",MAX(0,1-I11-J11))</f>
        <v/>
      </c>
      <c r="L11">
        <f>IF(I11="","",IF(I11&gt;=0.5+Config!$B$6,"OVER",IF(J11&gt;=0.5+Config!$B$6,"UNDER","—")))</f>
        <v/>
      </c>
      <c r="N11" t="n">
        <v>24.4</v>
      </c>
      <c r="O11" s="8" t="n">
        <v>0.2</v>
      </c>
      <c r="P11" s="8" t="n">
        <v>0.2</v>
      </c>
      <c r="Q11" s="8" t="n">
        <v>0.13</v>
      </c>
      <c r="R11" t="inlineStr">
        <is>
          <t>0%/0/1</t>
        </is>
      </c>
      <c r="S11" t="n">
        <v>-4</v>
      </c>
      <c r="T11">
        <f>INDEX(Calc!$G$2:$G$124,MATCH($W11,Calc!$A$2:$A$124,0))&amp;" / "&amp;INDEX(Calc!$H$2:$H$124,MATCH($W11,Calc!$A$2:$A$124,0))</f>
        <v/>
      </c>
      <c r="U11">
        <f>TEXT(INDEX(Calc!$J$2:$J$124,MATCH($W11,Calc!$A$2:$A$124,0)),"0.0")&amp;" / "&amp;TEXT(INDEX(Calc!$K$2:$K$124,MATCH($W11,Calc!$A$2:$A$124,0)),"0.0")</f>
        <v/>
      </c>
      <c r="V11">
        <f>IFERROR(INDEX(Calc!$AQ$2:$AQ$124,MATCH($W11,Calc!$A$2:$A$124,0)),"")</f>
        <v/>
      </c>
      <c r="W11" t="inlineStr">
        <is>
          <t>6ztw7i4ms6nvy7y|CS2 [NO MARKET] · ACE vs INOX</t>
        </is>
      </c>
      <c r="X11" t="inlineStr">
        <is>
          <t>K12</t>
        </is>
      </c>
      <c r="Y11">
        <f>W11&amp;"|"&amp;X11</f>
        <v/>
      </c>
      <c r="Z11" s="9">
        <f>IFERROR(INDEX(CHOOSE(MATCH($X11,{"K1","K2","K3","K12","K13","H1","H2","H3","H12","H13"},0),Calc!$BA$2:$BA$124,Calc!$BB$2:$BB$124,Calc!$BC$2:$BC$124,Calc!$BD$2:$BD$124,Calc!$BE$2:$BE$124,Calc!$BF$2:$BF$124,Calc!$BG$2:$BG$124,Calc!$BH$2:$BH$124,Calc!$BI$2:$BI$124,Calc!$BJ$2:$BJ$124),MATCH($W11,Calc!$A$2:$A$124,0)),"")</f>
        <v/>
      </c>
      <c r="AA11" s="9">
        <f>IF(Z11="","",IF(LEFT($X11,1)="H",SQRT(Z11*(IFERROR(INDEX(Calc!$AP$2:$AP$124,MATCH($W11,Calc!$A$2:$A$124,0)),0.5)*Config!$B$5+1-IFERROR(INDEX(Calc!$AP$2:$AP$124,MATCH($W11,Calc!$A$2:$A$124,0)),0.5))),SQRT(Z11*Config!$B$5)))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[NO MARKET] · ACE vs UNiTY</t>
        </is>
      </c>
      <c r="C12" t="inlineStr">
        <is>
          <t>2high</t>
        </is>
      </c>
      <c r="D12" t="inlineStr">
        <is>
          <t>UNiTY</t>
        </is>
      </c>
      <c r="E12" t="inlineStr">
        <is>
          <t>Maps 1-2 HS</t>
        </is>
      </c>
      <c r="F12" t="n">
        <v>13</v>
      </c>
      <c r="G12" s="9">
        <f>IFERROR(INDEX(CHOOSE(MATCH($X12,{"K1","K2","K3","K12","K13","H1","H2","H3","H12","H13"},0),Calc!$V$2:$V$124,Calc!$AC$2:$AC$124,Calc!$AJ$2:$AJ$124,Calc!$AL$2:$AL$124,Calc!$AM$2:$AM$124,Calc!$W$2:$W$124,Calc!$AD$2:$AD$124,Calc!$AK$2:$AK$124,Calc!$AN$2:$AN$124,Calc!$AO$2:$AO$124),MATCH($W12,Calc!$A$2:$A$124,0)),"")</f>
        <v/>
      </c>
      <c r="H12" s="9">
        <f>IF(G12="","",IF(LEFT($X12,1)="H",SQRT(G12*(IFERROR(INDEX(Calc!$AP$2:$AP$124,MATCH($W12,Calc!$A$2:$A$124,0)),0.5)*Config!$B$5+1-IFERROR(INDEX(Calc!$AP$2:$AP$124,MATCH($W12,Calc!$A$2:$A$124,0)),0.5))),SQRT(G12*Config!$B$5)))</f>
        <v/>
      </c>
      <c r="I12" s="8">
        <f>IF(OR(F12="",G12="",N(H12)&lt;=0),"",1-NORMDIST(FLOOR(F12,1)+0.5,G12,H12,TRUE))</f>
        <v/>
      </c>
      <c r="J12" s="8">
        <f>IF(I12="","",NORMDIST(CEILING(F12,1)-0.5,G12,H12,TRUE))</f>
        <v/>
      </c>
      <c r="K12" s="8">
        <f>IF(I12="","",MAX(0,1-I12-J12))</f>
        <v/>
      </c>
      <c r="L12">
        <f>IF(I12="","",IF(I12&gt;=0.5+Config!$B$6,"OVER",IF(J12&gt;=0.5+Config!$B$6,"UNDER","—")))</f>
        <v/>
      </c>
      <c r="N12" t="n">
        <v>12.8</v>
      </c>
      <c r="O12" s="8" t="n">
        <v>0.2</v>
      </c>
      <c r="P12" s="8" t="n">
        <v>0.3</v>
      </c>
      <c r="Q12" s="8" t="n">
        <v>0.47</v>
      </c>
      <c r="R12" t="inlineStr">
        <is>
          <t>0%/0/2</t>
        </is>
      </c>
      <c r="S12" t="n">
        <v>-1</v>
      </c>
      <c r="T12">
        <f>INDEX(Calc!$G$2:$G$124,MATCH($W12,Calc!$A$2:$A$124,0))&amp;" / "&amp;INDEX(Calc!$H$2:$H$124,MATCH($W12,Calc!$A$2:$A$124,0))</f>
        <v/>
      </c>
      <c r="U12">
        <f>TEXT(INDEX(Calc!$J$2:$J$124,MATCH($W12,Calc!$A$2:$A$124,0)),"0.0")&amp;" / "&amp;TEXT(INDEX(Calc!$K$2:$K$124,MATCH($W12,Calc!$A$2:$A$124,0)),"0.0")</f>
        <v/>
      </c>
      <c r="V12">
        <f>IFERROR(INDEX(Calc!$AQ$2:$AQ$124,MATCH($W12,Calc!$A$2:$A$124,0)),"")</f>
        <v/>
      </c>
      <c r="W12" t="inlineStr">
        <is>
          <t>slm7b5sevqrznls|CS2 [NO MARKET] · ACE vs UNiTY</t>
        </is>
      </c>
      <c r="X12" t="inlineStr">
        <is>
          <t>H12</t>
        </is>
      </c>
      <c r="Y12">
        <f>W12&amp;"|"&amp;X12</f>
        <v/>
      </c>
      <c r="Z12" s="9">
        <f>IFERROR(INDEX(CHOOSE(MATCH($X12,{"K1","K2","K3","K12","K13","H1","H2","H3","H12","H13"},0),Calc!$BA$2:$BA$124,Calc!$BB$2:$BB$124,Calc!$BC$2:$BC$124,Calc!$BD$2:$BD$124,Calc!$BE$2:$BE$124,Calc!$BF$2:$BF$124,Calc!$BG$2:$BG$124,Calc!$BH$2:$BH$124,Calc!$BI$2:$BI$124,Calc!$BJ$2:$BJ$124),MATCH($W12,Calc!$A$2:$A$124,0)),"")</f>
        <v/>
      </c>
      <c r="AA12" s="9">
        <f>IF(Z12="","",IF(LEFT($X12,1)="H",SQRT(Z12*(IFERROR(INDEX(Calc!$AP$2:$AP$124,MATCH($W12,Calc!$A$2:$A$124,0)),0.5)*Config!$B$5+1-IFERROR(INDEX(Calc!$AP$2:$AP$124,MATCH($W12,Calc!$A$2:$A$124,0)),0.5))),SQRT(Z12*Config!$B$5)))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[NO MARKET] · ACE vs UNiTY</t>
        </is>
      </c>
      <c r="C13" t="inlineStr">
        <is>
          <t>2high</t>
        </is>
      </c>
      <c r="D13" t="inlineStr">
        <is>
          <t>UNiTY</t>
        </is>
      </c>
      <c r="E13" t="inlineStr">
        <is>
          <t>Maps 1-2 Kills</t>
        </is>
      </c>
      <c r="F13" t="n">
        <v>27.5</v>
      </c>
      <c r="G13" s="9">
        <f>IFERROR(INDEX(CHOOSE(MATCH($X13,{"K1","K2","K3","K12","K13","H1","H2","H3","H12","H13"},0),Calc!$V$2:$V$124,Calc!$AC$2:$AC$124,Calc!$AJ$2:$AJ$124,Calc!$AL$2:$AL$124,Calc!$AM$2:$AM$124,Calc!$W$2:$W$124,Calc!$AD$2:$AD$124,Calc!$AK$2:$AK$124,Calc!$AN$2:$AN$124,Calc!$AO$2:$AO$124),MATCH($W13,Calc!$A$2:$A$124,0)),"")</f>
        <v/>
      </c>
      <c r="H13" s="9">
        <f>IF(G13="","",IF(LEFT($X13,1)="H",SQRT(G13*(IFERROR(INDEX(Calc!$AP$2:$AP$124,MATCH($W13,Calc!$A$2:$A$124,0)),0.5)*Config!$B$5+1-IFERROR(INDEX(Calc!$AP$2:$AP$124,MATCH($W13,Calc!$A$2:$A$124,0)),0.5))),SQRT(G13*Config!$B$5)))</f>
        <v/>
      </c>
      <c r="I13" s="8">
        <f>IF(OR(F13="",G13="",N(H13)&lt;=0),"",1-NORMDIST(FLOOR(F13,1)+0.5,G13,H13,TRUE))</f>
        <v/>
      </c>
      <c r="J13" s="8">
        <f>IF(I13="","",NORMDIST(CEILING(F13,1)-0.5,G13,H13,TRUE))</f>
        <v/>
      </c>
      <c r="K13" s="8">
        <f>IF(I13="","",MAX(0,1-I13-J13))</f>
        <v/>
      </c>
      <c r="L13">
        <f>IF(I13="","",IF(I13&gt;=0.5+Config!$B$6,"OVER",IF(J13&gt;=0.5+Config!$B$6,"UNDER","—")))</f>
        <v/>
      </c>
      <c r="N13" t="n">
        <v>25.7</v>
      </c>
      <c r="O13" s="8" t="n">
        <v>0</v>
      </c>
      <c r="P13" s="8" t="n">
        <v>0.3</v>
      </c>
      <c r="Q13" s="8" t="n">
        <v>0.4</v>
      </c>
      <c r="R13" t="inlineStr">
        <is>
          <t>50%/1/2</t>
        </is>
      </c>
      <c r="S13" t="n">
        <v>-5</v>
      </c>
      <c r="T13">
        <f>INDEX(Calc!$G$2:$G$124,MATCH($W13,Calc!$A$2:$A$124,0))&amp;" / "&amp;INDEX(Calc!$H$2:$H$124,MATCH($W13,Calc!$A$2:$A$124,0))</f>
        <v/>
      </c>
      <c r="U13">
        <f>TEXT(INDEX(Calc!$J$2:$J$124,MATCH($W13,Calc!$A$2:$A$124,0)),"0.0")&amp;" / "&amp;TEXT(INDEX(Calc!$K$2:$K$124,MATCH($W13,Calc!$A$2:$A$124,0)),"0.0")</f>
        <v/>
      </c>
      <c r="V13">
        <f>IFERROR(INDEX(Calc!$AQ$2:$AQ$124,MATCH($W13,Calc!$A$2:$A$124,0)),"")</f>
        <v/>
      </c>
      <c r="W13" t="inlineStr">
        <is>
          <t>slm7b5sevqrznls|CS2 [NO MARKET] · ACE vs UNiTY</t>
        </is>
      </c>
      <c r="X13" t="inlineStr">
        <is>
          <t>K12</t>
        </is>
      </c>
      <c r="Y13">
        <f>W13&amp;"|"&amp;X13</f>
        <v/>
      </c>
      <c r="Z13" s="9">
        <f>IFERROR(INDEX(CHOOSE(MATCH($X13,{"K1","K2","K3","K12","K13","H1","H2","H3","H12","H13"},0),Calc!$BA$2:$BA$124,Calc!$BB$2:$BB$124,Calc!$BC$2:$BC$124,Calc!$BD$2:$BD$124,Calc!$BE$2:$BE$124,Calc!$BF$2:$BF$124,Calc!$BG$2:$BG$124,Calc!$BH$2:$BH$124,Calc!$BI$2:$BI$124,Calc!$BJ$2:$BJ$124),MATCH($W13,Calc!$A$2:$A$124,0)),"")</f>
        <v/>
      </c>
      <c r="AA13" s="9">
        <f>IF(Z13="","",IF(LEFT($X13,1)="H",SQRT(Z13*(IFERROR(INDEX(Calc!$AP$2:$AP$124,MATCH($W13,Calc!$A$2:$A$124,0)),0.5)*Config!$B$5+1-IFERROR(INDEX(Calc!$AP$2:$AP$124,MATCH($W13,Calc!$A$2:$A$124,0)),0.5))),SQRT(Z13*Config!$B$5)))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[NO MARKET] · ACE vs UNiTY</t>
        </is>
      </c>
      <c r="C14" t="inlineStr">
        <is>
          <t>Dytor</t>
        </is>
      </c>
      <c r="D14" t="inlineStr">
        <is>
          <t>UNiTY</t>
        </is>
      </c>
      <c r="E14" t="inlineStr">
        <is>
          <t>Maps 1-2 HS</t>
        </is>
      </c>
      <c r="F14" t="n">
        <v>15</v>
      </c>
      <c r="G14" s="9">
        <f>IFERROR(INDEX(CHOOSE(MATCH($X14,{"K1","K2","K3","K12","K13","H1","H2","H3","H12","H13"},0),Calc!$V$2:$V$124,Calc!$AC$2:$AC$124,Calc!$AJ$2:$AJ$124,Calc!$AL$2:$AL$124,Calc!$AM$2:$AM$124,Calc!$W$2:$W$124,Calc!$AD$2:$AD$124,Calc!$AK$2:$AK$124,Calc!$AN$2:$AN$124,Calc!$AO$2:$AO$124),MATCH($W14,Calc!$A$2:$A$124,0)),"")</f>
        <v/>
      </c>
      <c r="H14" s="9">
        <f>IF(G14="","",IF(LEFT($X14,1)="H",SQRT(G14*(IFERROR(INDEX(Calc!$AP$2:$AP$124,MATCH($W14,Calc!$A$2:$A$124,0)),0.5)*Config!$B$5+1-IFERROR(INDEX(Calc!$AP$2:$AP$124,MATCH($W14,Calc!$A$2:$A$124,0)),0.5))),SQRT(G14*Config!$B$5)))</f>
        <v/>
      </c>
      <c r="I14" s="8">
        <f>IF(OR(F14="",G14="",N(H14)&lt;=0),"",1-NORMDIST(FLOOR(F14,1)+0.5,G14,H14,TRUE))</f>
        <v/>
      </c>
      <c r="J14" s="8">
        <f>IF(I14="","",NORMDIST(CEILING(F14,1)-0.5,G14,H14,TRUE))</f>
        <v/>
      </c>
      <c r="K14" s="8">
        <f>IF(I14="","",MAX(0,1-I14-J14))</f>
        <v/>
      </c>
      <c r="L14">
        <f>IF(I14="","",IF(I14&gt;=0.5+Config!$B$6,"OVER",IF(J14&gt;=0.5+Config!$B$6,"UNDER","—")))</f>
        <v/>
      </c>
      <c r="N14" t="n">
        <v>14.9</v>
      </c>
      <c r="O14" s="8" t="n">
        <v>0.2</v>
      </c>
      <c r="P14" s="8" t="n">
        <v>0.4</v>
      </c>
      <c r="Q14" s="8" t="n">
        <v>0.47</v>
      </c>
      <c r="R14" t="inlineStr">
        <is>
          <t>0%/0/1</t>
        </is>
      </c>
      <c r="S14" t="n">
        <v>-4</v>
      </c>
      <c r="T14">
        <f>INDEX(Calc!$G$2:$G$124,MATCH($W14,Calc!$A$2:$A$124,0))&amp;" / "&amp;INDEX(Calc!$H$2:$H$124,MATCH($W14,Calc!$A$2:$A$124,0))</f>
        <v/>
      </c>
      <c r="U14">
        <f>TEXT(INDEX(Calc!$J$2:$J$124,MATCH($W14,Calc!$A$2:$A$124,0)),"0.0")&amp;" / "&amp;TEXT(INDEX(Calc!$K$2:$K$124,MATCH($W14,Calc!$A$2:$A$124,0)),"0.0")</f>
        <v/>
      </c>
      <c r="V14">
        <f>IFERROR(INDEX(Calc!$AQ$2:$AQ$124,MATCH($W14,Calc!$A$2:$A$124,0)),"")</f>
        <v/>
      </c>
      <c r="W14" t="inlineStr">
        <is>
          <t>9xneuyz69zuftic|CS2 [NO MARKET] · ACE vs UNiTY</t>
        </is>
      </c>
      <c r="X14" t="inlineStr">
        <is>
          <t>H12</t>
        </is>
      </c>
      <c r="Y14">
        <f>W14&amp;"|"&amp;X14</f>
        <v/>
      </c>
      <c r="Z14" s="9">
        <f>IFERROR(INDEX(CHOOSE(MATCH($X14,{"K1","K2","K3","K12","K13","H1","H2","H3","H12","H13"},0),Calc!$BA$2:$BA$124,Calc!$BB$2:$BB$124,Calc!$BC$2:$BC$124,Calc!$BD$2:$BD$124,Calc!$BE$2:$BE$124,Calc!$BF$2:$BF$124,Calc!$BG$2:$BG$124,Calc!$BH$2:$BH$124,Calc!$BI$2:$BI$124,Calc!$BJ$2:$BJ$124),MATCH($W14,Calc!$A$2:$A$124,0)),"")</f>
        <v/>
      </c>
      <c r="AA14" s="9">
        <f>IF(Z14="","",IF(LEFT($X14,1)="H",SQRT(Z14*(IFERROR(INDEX(Calc!$AP$2:$AP$124,MATCH($W14,Calc!$A$2:$A$124,0)),0.5)*Config!$B$5+1-IFERROR(INDEX(Calc!$AP$2:$AP$124,MATCH($W14,Calc!$A$2:$A$124,0)),0.5))),SQRT(Z14*Config!$B$5)))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[NO MARKET] · ACE vs UNiTY</t>
        </is>
      </c>
      <c r="C15" t="inlineStr">
        <is>
          <t>Dytor</t>
        </is>
      </c>
      <c r="D15" t="inlineStr">
        <is>
          <t>UNiTY</t>
        </is>
      </c>
      <c r="E15" t="inlineStr">
        <is>
          <t>Maps 1-2 Kills</t>
        </is>
      </c>
      <c r="F15" t="n">
        <v>28.5</v>
      </c>
      <c r="G15" s="9">
        <f>IFERROR(INDEX(CHOOSE(MATCH($X15,{"K1","K2","K3","K12","K13","H1","H2","H3","H12","H13"},0),Calc!$V$2:$V$124,Calc!$AC$2:$AC$124,Calc!$AJ$2:$AJ$124,Calc!$AL$2:$AL$124,Calc!$AM$2:$AM$124,Calc!$W$2:$W$124,Calc!$AD$2:$AD$124,Calc!$AK$2:$AK$124,Calc!$AN$2:$AN$124,Calc!$AO$2:$AO$124),MATCH($W15,Calc!$A$2:$A$124,0)),"")</f>
        <v/>
      </c>
      <c r="H15" s="9">
        <f>IF(G15="","",IF(LEFT($X15,1)="H",SQRT(G15*(IFERROR(INDEX(Calc!$AP$2:$AP$124,MATCH($W15,Calc!$A$2:$A$124,0)),0.5)*Config!$B$5+1-IFERROR(INDEX(Calc!$AP$2:$AP$124,MATCH($W15,Calc!$A$2:$A$124,0)),0.5))),SQRT(G15*Config!$B$5)))</f>
        <v/>
      </c>
      <c r="I15" s="8">
        <f>IF(OR(F15="",G15="",N(H15)&lt;=0),"",1-NORMDIST(FLOOR(F15,1)+0.5,G15,H15,TRUE))</f>
        <v/>
      </c>
      <c r="J15" s="8">
        <f>IF(I15="","",NORMDIST(CEILING(F15,1)-0.5,G15,H15,TRUE))</f>
        <v/>
      </c>
      <c r="K15" s="8">
        <f>IF(I15="","",MAX(0,1-I15-J15))</f>
        <v/>
      </c>
      <c r="L15">
        <f>IF(I15="","",IF(I15&gt;=0.5+Config!$B$6,"OVER",IF(J15&gt;=0.5+Config!$B$6,"UNDER","—")))</f>
        <v/>
      </c>
      <c r="N15" t="n">
        <v>26.5</v>
      </c>
      <c r="O15" s="8" t="n">
        <v>0</v>
      </c>
      <c r="P15" s="8" t="n">
        <v>0.2</v>
      </c>
      <c r="Q15" s="8" t="n">
        <v>0.27</v>
      </c>
      <c r="R15" t="inlineStr">
        <is>
          <t>0%/0/1</t>
        </is>
      </c>
      <c r="S15" t="n">
        <v>-5</v>
      </c>
      <c r="T15">
        <f>INDEX(Calc!$G$2:$G$124,MATCH($W15,Calc!$A$2:$A$124,0))&amp;" / "&amp;INDEX(Calc!$H$2:$H$124,MATCH($W15,Calc!$A$2:$A$124,0))</f>
        <v/>
      </c>
      <c r="U15">
        <f>TEXT(INDEX(Calc!$J$2:$J$124,MATCH($W15,Calc!$A$2:$A$124,0)),"0.0")&amp;" / "&amp;TEXT(INDEX(Calc!$K$2:$K$124,MATCH($W15,Calc!$A$2:$A$124,0)),"0.0")</f>
        <v/>
      </c>
      <c r="V15">
        <f>IFERROR(INDEX(Calc!$AQ$2:$AQ$124,MATCH($W15,Calc!$A$2:$A$124,0)),"")</f>
        <v/>
      </c>
      <c r="W15" t="inlineStr">
        <is>
          <t>9xneuyz69zuftic|CS2 [NO MARKET] · ACE vs UNiTY</t>
        </is>
      </c>
      <c r="X15" t="inlineStr">
        <is>
          <t>K12</t>
        </is>
      </c>
      <c r="Y15">
        <f>W15&amp;"|"&amp;X15</f>
        <v/>
      </c>
      <c r="Z15" s="9">
        <f>IFERROR(INDEX(CHOOSE(MATCH($X15,{"K1","K2","K3","K12","K13","H1","H2","H3","H12","H13"},0),Calc!$BA$2:$BA$124,Calc!$BB$2:$BB$124,Calc!$BC$2:$BC$124,Calc!$BD$2:$BD$124,Calc!$BE$2:$BE$124,Calc!$BF$2:$BF$124,Calc!$BG$2:$BG$124,Calc!$BH$2:$BH$124,Calc!$BI$2:$BI$124,Calc!$BJ$2:$BJ$124),MATCH($W15,Calc!$A$2:$A$124,0)),"")</f>
        <v/>
      </c>
      <c r="AA15" s="9">
        <f>IF(Z15="","",IF(LEFT($X15,1)="H",SQRT(Z15*(IFERROR(INDEX(Calc!$AP$2:$AP$124,MATCH($W15,Calc!$A$2:$A$124,0)),0.5)*Config!$B$5+1-IFERROR(INDEX(Calc!$AP$2:$AP$124,MATCH($W15,Calc!$A$2:$A$124,0)),0.5))),SQRT(Z15*Config!$B$5)))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[NO MARKET] · ACE vs UNiTY</t>
        </is>
      </c>
      <c r="C16" t="inlineStr">
        <is>
          <t>KWERTZZ</t>
        </is>
      </c>
      <c r="D16" t="inlineStr">
        <is>
          <t>UNiTY</t>
        </is>
      </c>
      <c r="E16" t="inlineStr">
        <is>
          <t>Maps 1-2 HS</t>
        </is>
      </c>
      <c r="F16" t="n">
        <v>21.5</v>
      </c>
      <c r="G16" s="9">
        <f>IFERROR(INDEX(CHOOSE(MATCH($X16,{"K1","K2","K3","K12","K13","H1","H2","H3","H12","H13"},0),Calc!$V$2:$V$124,Calc!$AC$2:$AC$124,Calc!$AJ$2:$AJ$124,Calc!$AL$2:$AL$124,Calc!$AM$2:$AM$124,Calc!$W$2:$W$124,Calc!$AD$2:$AD$124,Calc!$AK$2:$AK$124,Calc!$AN$2:$AN$124,Calc!$AO$2:$AO$124),MATCH($W16,Calc!$A$2:$A$124,0)),"")</f>
        <v/>
      </c>
      <c r="H16" s="9">
        <f>IF(G16="","",IF(LEFT($X16,1)="H",SQRT(G16*(IFERROR(INDEX(Calc!$AP$2:$AP$124,MATCH($W16,Calc!$A$2:$A$124,0)),0.5)*Config!$B$5+1-IFERROR(INDEX(Calc!$AP$2:$AP$124,MATCH($W16,Calc!$A$2:$A$124,0)),0.5))),SQRT(G16*Config!$B$5)))</f>
        <v/>
      </c>
      <c r="I16" s="8">
        <f>IF(OR(F16="",G16="",N(H16)&lt;=0),"",1-NORMDIST(FLOOR(F16,1)+0.5,G16,H16,TRUE))</f>
        <v/>
      </c>
      <c r="J16" s="8">
        <f>IF(I16="","",NORMDIST(CEILING(F16,1)-0.5,G16,H16,TRUE))</f>
        <v/>
      </c>
      <c r="K16" s="8">
        <f>IF(I16="","",MAX(0,1-I16-J16))</f>
        <v/>
      </c>
      <c r="L16">
        <f>IF(I16="","",IF(I16&gt;=0.5+Config!$B$6,"OVER",IF(J16&gt;=0.5+Config!$B$6,"UNDER","—")))</f>
        <v/>
      </c>
      <c r="N16" t="n">
        <v>20</v>
      </c>
      <c r="O16" s="8" t="n">
        <v>0.4</v>
      </c>
      <c r="P16" s="8" t="n">
        <v>0.3</v>
      </c>
      <c r="Q16" s="8" t="n">
        <v>0.4</v>
      </c>
      <c r="R16" t="inlineStr">
        <is>
          <t>100%/1/1</t>
        </is>
      </c>
      <c r="S16" t="n">
        <v>1</v>
      </c>
      <c r="T16">
        <f>INDEX(Calc!$G$2:$G$124,MATCH($W16,Calc!$A$2:$A$124,0))&amp;" / "&amp;INDEX(Calc!$H$2:$H$124,MATCH($W16,Calc!$A$2:$A$124,0))</f>
        <v/>
      </c>
      <c r="U16">
        <f>TEXT(INDEX(Calc!$J$2:$J$124,MATCH($W16,Calc!$A$2:$A$124,0)),"0.0")&amp;" / "&amp;TEXT(INDEX(Calc!$K$2:$K$124,MATCH($W16,Calc!$A$2:$A$124,0)),"0.0")</f>
        <v/>
      </c>
      <c r="V16">
        <f>IFERROR(INDEX(Calc!$AQ$2:$AQ$124,MATCH($W16,Calc!$A$2:$A$124,0)),"")</f>
        <v/>
      </c>
      <c r="W16" t="inlineStr">
        <is>
          <t>efi7mmb5o1ctn6l|CS2 [NO MARKET] · ACE vs UNiTY</t>
        </is>
      </c>
      <c r="X16" t="inlineStr">
        <is>
          <t>H12</t>
        </is>
      </c>
      <c r="Y16">
        <f>W16&amp;"|"&amp;X16</f>
        <v/>
      </c>
      <c r="Z16" s="9">
        <f>IFERROR(INDEX(CHOOSE(MATCH($X16,{"K1","K2","K3","K12","K13","H1","H2","H3","H12","H13"},0),Calc!$BA$2:$BA$124,Calc!$BB$2:$BB$124,Calc!$BC$2:$BC$124,Calc!$BD$2:$BD$124,Calc!$BE$2:$BE$124,Calc!$BF$2:$BF$124,Calc!$BG$2:$BG$124,Calc!$BH$2:$BH$124,Calc!$BI$2:$BI$124,Calc!$BJ$2:$BJ$124),MATCH($W16,Calc!$A$2:$A$124,0)),"")</f>
        <v/>
      </c>
      <c r="AA16" s="9">
        <f>IF(Z16="","",IF(LEFT($X16,1)="H",SQRT(Z16*(IFERROR(INDEX(Calc!$AP$2:$AP$124,MATCH($W16,Calc!$A$2:$A$124,0)),0.5)*Config!$B$5+1-IFERROR(INDEX(Calc!$AP$2:$AP$124,MATCH($W16,Calc!$A$2:$A$124,0)),0.5))),SQRT(Z16*Config!$B$5)))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[NO MARKET] · ACE vs UNiTY</t>
        </is>
      </c>
      <c r="C17" t="inlineStr">
        <is>
          <t>KWERTZZ</t>
        </is>
      </c>
      <c r="D17" t="inlineStr">
        <is>
          <t>UNiTY</t>
        </is>
      </c>
      <c r="E17" t="inlineStr">
        <is>
          <t>Maps 1-2 Kills</t>
        </is>
      </c>
      <c r="F17" t="n">
        <v>31.5</v>
      </c>
      <c r="G17" s="9">
        <f>IFERROR(INDEX(CHOOSE(MATCH($X17,{"K1","K2","K3","K12","K13","H1","H2","H3","H12","H13"},0),Calc!$V$2:$V$124,Calc!$AC$2:$AC$124,Calc!$AJ$2:$AJ$124,Calc!$AL$2:$AL$124,Calc!$AM$2:$AM$124,Calc!$W$2:$W$124,Calc!$AD$2:$AD$124,Calc!$AK$2:$AK$124,Calc!$AN$2:$AN$124,Calc!$AO$2:$AO$124),MATCH($W17,Calc!$A$2:$A$124,0)),"")</f>
        <v/>
      </c>
      <c r="H17" s="9">
        <f>IF(G17="","",IF(LEFT($X17,1)="H",SQRT(G17*(IFERROR(INDEX(Calc!$AP$2:$AP$124,MATCH($W17,Calc!$A$2:$A$124,0)),0.5)*Config!$B$5+1-IFERROR(INDEX(Calc!$AP$2:$AP$124,MATCH($W17,Calc!$A$2:$A$124,0)),0.5))),SQRT(G17*Config!$B$5)))</f>
        <v/>
      </c>
      <c r="I17" s="8">
        <f>IF(OR(F17="",G17="",N(H17)&lt;=0),"",1-NORMDIST(FLOOR(F17,1)+0.5,G17,H17,TRUE))</f>
        <v/>
      </c>
      <c r="J17" s="8">
        <f>IF(I17="","",NORMDIST(CEILING(F17,1)-0.5,G17,H17,TRUE))</f>
        <v/>
      </c>
      <c r="K17" s="8">
        <f>IF(I17="","",MAX(0,1-I17-J17))</f>
        <v/>
      </c>
      <c r="L17">
        <f>IF(I17="","",IF(I17&gt;=0.5+Config!$B$6,"OVER",IF(J17&gt;=0.5+Config!$B$6,"UNDER","—")))</f>
        <v/>
      </c>
      <c r="N17" t="n">
        <v>28.4</v>
      </c>
      <c r="O17" s="8" t="n">
        <v>0.4</v>
      </c>
      <c r="P17" s="8" t="n">
        <v>0.3</v>
      </c>
      <c r="Q17" s="8" t="n">
        <v>0.33</v>
      </c>
      <c r="R17" t="inlineStr">
        <is>
          <t>100%/1/1</t>
        </is>
      </c>
      <c r="S17" t="n">
        <v>1</v>
      </c>
      <c r="T17">
        <f>INDEX(Calc!$G$2:$G$124,MATCH($W17,Calc!$A$2:$A$124,0))&amp;" / "&amp;INDEX(Calc!$H$2:$H$124,MATCH($W17,Calc!$A$2:$A$124,0))</f>
        <v/>
      </c>
      <c r="U17">
        <f>TEXT(INDEX(Calc!$J$2:$J$124,MATCH($W17,Calc!$A$2:$A$124,0)),"0.0")&amp;" / "&amp;TEXT(INDEX(Calc!$K$2:$K$124,MATCH($W17,Calc!$A$2:$A$124,0)),"0.0")</f>
        <v/>
      </c>
      <c r="V17">
        <f>IFERROR(INDEX(Calc!$AQ$2:$AQ$124,MATCH($W17,Calc!$A$2:$A$124,0)),"")</f>
        <v/>
      </c>
      <c r="W17" t="inlineStr">
        <is>
          <t>efi7mmb5o1ctn6l|CS2 [NO MARKET] · ACE vs UNiTY</t>
        </is>
      </c>
      <c r="X17" t="inlineStr">
        <is>
          <t>K12</t>
        </is>
      </c>
      <c r="Y17">
        <f>W17&amp;"|"&amp;X17</f>
        <v/>
      </c>
      <c r="Z17" s="9">
        <f>IFERROR(INDEX(CHOOSE(MATCH($X17,{"K1","K2","K3","K12","K13","H1","H2","H3","H12","H13"},0),Calc!$BA$2:$BA$124,Calc!$BB$2:$BB$124,Calc!$BC$2:$BC$124,Calc!$BD$2:$BD$124,Calc!$BE$2:$BE$124,Calc!$BF$2:$BF$124,Calc!$BG$2:$BG$124,Calc!$BH$2:$BH$124,Calc!$BI$2:$BI$124,Calc!$BJ$2:$BJ$124),MATCH($W17,Calc!$A$2:$A$124,0)),"")</f>
        <v/>
      </c>
      <c r="AA17" s="9">
        <f>IF(Z17="","",IF(LEFT($X17,1)="H",SQRT(Z17*(IFERROR(INDEX(Calc!$AP$2:$AP$124,MATCH($W17,Calc!$A$2:$A$124,0)),0.5)*Config!$B$5+1-IFERROR(INDEX(Calc!$AP$2:$AP$124,MATCH($W17,Calc!$A$2:$A$124,0)),0.5))),SQRT(Z17*Config!$B$5)))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[NO MARKET] · ACE vs UNiTY</t>
        </is>
      </c>
      <c r="C18" t="inlineStr">
        <is>
          <t>M1key</t>
        </is>
      </c>
      <c r="D18" t="inlineStr">
        <is>
          <t>UNiTY</t>
        </is>
      </c>
      <c r="E18" t="inlineStr">
        <is>
          <t>Maps 1-2 HS</t>
        </is>
      </c>
      <c r="F18" t="n">
        <v>15.5</v>
      </c>
      <c r="G18" s="9">
        <f>IFERROR(INDEX(CHOOSE(MATCH($X18,{"K1","K2","K3","K12","K13","H1","H2","H3","H12","H13"},0),Calc!$V$2:$V$124,Calc!$AC$2:$AC$124,Calc!$AJ$2:$AJ$124,Calc!$AL$2:$AL$124,Calc!$AM$2:$AM$124,Calc!$W$2:$W$124,Calc!$AD$2:$AD$124,Calc!$AK$2:$AK$124,Calc!$AN$2:$AN$124,Calc!$AO$2:$AO$124),MATCH($W18,Calc!$A$2:$A$124,0)),"")</f>
        <v/>
      </c>
      <c r="H18" s="9">
        <f>IF(G18="","",IF(LEFT($X18,1)="H",SQRT(G18*(IFERROR(INDEX(Calc!$AP$2:$AP$124,MATCH($W18,Calc!$A$2:$A$124,0)),0.5)*Config!$B$5+1-IFERROR(INDEX(Calc!$AP$2:$AP$124,MATCH($W18,Calc!$A$2:$A$124,0)),0.5))),SQRT(G18*Config!$B$5)))</f>
        <v/>
      </c>
      <c r="I18" s="8">
        <f>IF(OR(F18="",G18="",N(H18)&lt;=0),"",1-NORMDIST(FLOOR(F18,1)+0.5,G18,H18,TRUE))</f>
        <v/>
      </c>
      <c r="J18" s="8">
        <f>IF(I18="","",NORMDIST(CEILING(F18,1)-0.5,G18,H18,TRUE))</f>
        <v/>
      </c>
      <c r="K18" s="8">
        <f>IF(I18="","",MAX(0,1-I18-J18))</f>
        <v/>
      </c>
      <c r="L18">
        <f>IF(I18="","",IF(I18&gt;=0.5+Config!$B$6,"OVER",IF(J18&gt;=0.5+Config!$B$6,"UNDER","—")))</f>
        <v/>
      </c>
      <c r="N18" t="n">
        <v>13.6</v>
      </c>
      <c r="O18" s="8" t="n">
        <v>0.4</v>
      </c>
      <c r="P18" s="8" t="n">
        <v>0.2</v>
      </c>
      <c r="Q18" s="8" t="n">
        <v>0.4</v>
      </c>
      <c r="R18" t="inlineStr">
        <is>
          <t>0%/0/1</t>
        </is>
      </c>
      <c r="S18" t="n">
        <v>1</v>
      </c>
      <c r="T18">
        <f>INDEX(Calc!$G$2:$G$124,MATCH($W18,Calc!$A$2:$A$124,0))&amp;" / "&amp;INDEX(Calc!$H$2:$H$124,MATCH($W18,Calc!$A$2:$A$124,0))</f>
        <v/>
      </c>
      <c r="U18">
        <f>TEXT(INDEX(Calc!$J$2:$J$124,MATCH($W18,Calc!$A$2:$A$124,0)),"0.0")&amp;" / "&amp;TEXT(INDEX(Calc!$K$2:$K$124,MATCH($W18,Calc!$A$2:$A$124,0)),"0.0")</f>
        <v/>
      </c>
      <c r="V18">
        <f>IFERROR(INDEX(Calc!$AQ$2:$AQ$124,MATCH($W18,Calc!$A$2:$A$124,0)),"")</f>
        <v/>
      </c>
      <c r="W18" t="inlineStr">
        <is>
          <t>r0t80uiaisgetxr|CS2 [NO MARKET] · ACE vs UNiTY</t>
        </is>
      </c>
      <c r="X18" t="inlineStr">
        <is>
          <t>H12</t>
        </is>
      </c>
      <c r="Y18">
        <f>W18&amp;"|"&amp;X18</f>
        <v/>
      </c>
      <c r="Z18" s="9">
        <f>IFERROR(INDEX(CHOOSE(MATCH($X18,{"K1","K2","K3","K12","K13","H1","H2","H3","H12","H13"},0),Calc!$BA$2:$BA$124,Calc!$BB$2:$BB$124,Calc!$BC$2:$BC$124,Calc!$BD$2:$BD$124,Calc!$BE$2:$BE$124,Calc!$BF$2:$BF$124,Calc!$BG$2:$BG$124,Calc!$BH$2:$BH$124,Calc!$BI$2:$BI$124,Calc!$BJ$2:$BJ$124),MATCH($W18,Calc!$A$2:$A$124,0)),"")</f>
        <v/>
      </c>
      <c r="AA18" s="9">
        <f>IF(Z18="","",IF(LEFT($X18,1)="H",SQRT(Z18*(IFERROR(INDEX(Calc!$AP$2:$AP$124,MATCH($W18,Calc!$A$2:$A$124,0)),0.5)*Config!$B$5+1-IFERROR(INDEX(Calc!$AP$2:$AP$124,MATCH($W18,Calc!$A$2:$A$124,0)),0.5))),SQRT(Z18*Config!$B$5)))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[NO MARKET] · ACE vs UNiTY</t>
        </is>
      </c>
      <c r="C19" t="inlineStr">
        <is>
          <t>M1key</t>
        </is>
      </c>
      <c r="D19" t="inlineStr">
        <is>
          <t>UNiTY</t>
        </is>
      </c>
      <c r="E19" t="inlineStr">
        <is>
          <t>Maps 1-2 Kills</t>
        </is>
      </c>
      <c r="F19" t="n">
        <v>29.5</v>
      </c>
      <c r="G19" s="9">
        <f>IFERROR(INDEX(CHOOSE(MATCH($X19,{"K1","K2","K3","K12","K13","H1","H2","H3","H12","H13"},0),Calc!$V$2:$V$124,Calc!$AC$2:$AC$124,Calc!$AJ$2:$AJ$124,Calc!$AL$2:$AL$124,Calc!$AM$2:$AM$124,Calc!$W$2:$W$124,Calc!$AD$2:$AD$124,Calc!$AK$2:$AK$124,Calc!$AN$2:$AN$124,Calc!$AO$2:$AO$124),MATCH($W19,Calc!$A$2:$A$124,0)),"")</f>
        <v/>
      </c>
      <c r="H19" s="9">
        <f>IF(G19="","",IF(LEFT($X19,1)="H",SQRT(G19*(IFERROR(INDEX(Calc!$AP$2:$AP$124,MATCH($W19,Calc!$A$2:$A$124,0)),0.5)*Config!$B$5+1-IFERROR(INDEX(Calc!$AP$2:$AP$124,MATCH($W19,Calc!$A$2:$A$124,0)),0.5))),SQRT(G19*Config!$B$5)))</f>
        <v/>
      </c>
      <c r="I19" s="8">
        <f>IF(OR(F19="",G19="",N(H19)&lt;=0),"",1-NORMDIST(FLOOR(F19,1)+0.5,G19,H19,TRUE))</f>
        <v/>
      </c>
      <c r="J19" s="8">
        <f>IF(I19="","",NORMDIST(CEILING(F19,1)-0.5,G19,H19,TRUE))</f>
        <v/>
      </c>
      <c r="K19" s="8">
        <f>IF(I19="","",MAX(0,1-I19-J19))</f>
        <v/>
      </c>
      <c r="L19">
        <f>IF(I19="","",IF(I19&gt;=0.5+Config!$B$6,"OVER",IF(J19&gt;=0.5+Config!$B$6,"UNDER","—")))</f>
        <v/>
      </c>
      <c r="N19" t="n">
        <v>29.5</v>
      </c>
      <c r="O19" s="8" t="n">
        <v>0.6</v>
      </c>
      <c r="P19" s="8" t="n">
        <v>0.5</v>
      </c>
      <c r="Q19" s="8" t="n">
        <v>0.6</v>
      </c>
      <c r="R19" t="inlineStr">
        <is>
          <t>100%/1/1</t>
        </is>
      </c>
      <c r="S19" t="n">
        <v>1</v>
      </c>
      <c r="T19">
        <f>INDEX(Calc!$G$2:$G$124,MATCH($W19,Calc!$A$2:$A$124,0))&amp;" / "&amp;INDEX(Calc!$H$2:$H$124,MATCH($W19,Calc!$A$2:$A$124,0))</f>
        <v/>
      </c>
      <c r="U19">
        <f>TEXT(INDEX(Calc!$J$2:$J$124,MATCH($W19,Calc!$A$2:$A$124,0)),"0.0")&amp;" / "&amp;TEXT(INDEX(Calc!$K$2:$K$124,MATCH($W19,Calc!$A$2:$A$124,0)),"0.0")</f>
        <v/>
      </c>
      <c r="V19">
        <f>IFERROR(INDEX(Calc!$AQ$2:$AQ$124,MATCH($W19,Calc!$A$2:$A$124,0)),"")</f>
        <v/>
      </c>
      <c r="W19" t="inlineStr">
        <is>
          <t>r0t80uiaisgetxr|CS2 [NO MARKET] · ACE vs UNiTY</t>
        </is>
      </c>
      <c r="X19" t="inlineStr">
        <is>
          <t>K12</t>
        </is>
      </c>
      <c r="Y19">
        <f>W19&amp;"|"&amp;X19</f>
        <v/>
      </c>
      <c r="Z19" s="9">
        <f>IFERROR(INDEX(CHOOSE(MATCH($X19,{"K1","K2","K3","K12","K13","H1","H2","H3","H12","H13"},0),Calc!$BA$2:$BA$124,Calc!$BB$2:$BB$124,Calc!$BC$2:$BC$124,Calc!$BD$2:$BD$124,Calc!$BE$2:$BE$124,Calc!$BF$2:$BF$124,Calc!$BG$2:$BG$124,Calc!$BH$2:$BH$124,Calc!$BI$2:$BI$124,Calc!$BJ$2:$BJ$124),MATCH($W19,Calc!$A$2:$A$124,0)),"")</f>
        <v/>
      </c>
      <c r="AA19" s="9">
        <f>IF(Z19="","",IF(LEFT($X19,1)="H",SQRT(Z19*(IFERROR(INDEX(Calc!$AP$2:$AP$124,MATCH($W19,Calc!$A$2:$A$124,0)),0.5)*Config!$B$5+1-IFERROR(INDEX(Calc!$AP$2:$AP$124,MATCH($W19,Calc!$A$2:$A$124,0)),0.5))),SQRT(Z19*Config!$B$5)))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[NO MARKET] · ACE vs UNiTY</t>
        </is>
      </c>
      <c r="C20" t="inlineStr">
        <is>
          <t>Sn0w</t>
        </is>
      </c>
      <c r="D20" t="inlineStr">
        <is>
          <t>UNiTY</t>
        </is>
      </c>
      <c r="E20" t="inlineStr">
        <is>
          <t>Maps 1-2 HS</t>
        </is>
      </c>
      <c r="F20" t="n">
        <v>10.5</v>
      </c>
      <c r="G20" s="9">
        <f>IFERROR(INDEX(CHOOSE(MATCH($X20,{"K1","K2","K3","K12","K13","H1","H2","H3","H12","H13"},0),Calc!$V$2:$V$124,Calc!$AC$2:$AC$124,Calc!$AJ$2:$AJ$124,Calc!$AL$2:$AL$124,Calc!$AM$2:$AM$124,Calc!$W$2:$W$124,Calc!$AD$2:$AD$124,Calc!$AK$2:$AK$124,Calc!$AN$2:$AN$124,Calc!$AO$2:$AO$124),MATCH($W20,Calc!$A$2:$A$124,0)),"")</f>
        <v/>
      </c>
      <c r="H20" s="9">
        <f>IF(G20="","",IF(LEFT($X20,1)="H",SQRT(G20*(IFERROR(INDEX(Calc!$AP$2:$AP$124,MATCH($W20,Calc!$A$2:$A$124,0)),0.5)*Config!$B$5+1-IFERROR(INDEX(Calc!$AP$2:$AP$124,MATCH($W20,Calc!$A$2:$A$124,0)),0.5))),SQRT(G20*Config!$B$5)))</f>
        <v/>
      </c>
      <c r="I20" s="8">
        <f>IF(OR(F20="",G20="",N(H20)&lt;=0),"",1-NORMDIST(FLOOR(F20,1)+0.5,G20,H20,TRUE))</f>
        <v/>
      </c>
      <c r="J20" s="8">
        <f>IF(I20="","",NORMDIST(CEILING(F20,1)-0.5,G20,H20,TRUE))</f>
        <v/>
      </c>
      <c r="K20" s="8">
        <f>IF(I20="","",MAX(0,1-I20-J20))</f>
        <v/>
      </c>
      <c r="L20">
        <f>IF(I20="","",IF(I20&gt;=0.5+Config!$B$6,"OVER",IF(J20&gt;=0.5+Config!$B$6,"UNDER","—")))</f>
        <v/>
      </c>
      <c r="N20" t="n">
        <v>10.4</v>
      </c>
      <c r="O20" s="8" t="n">
        <v>0.4</v>
      </c>
      <c r="P20" s="8" t="n">
        <v>0.5</v>
      </c>
      <c r="Q20" s="8" t="n">
        <v>0.53</v>
      </c>
      <c r="R20" t="inlineStr">
        <is>
          <t>0%/0/1</t>
        </is>
      </c>
      <c r="S20" t="n">
        <v>-1</v>
      </c>
      <c r="T20">
        <f>INDEX(Calc!$G$2:$G$124,MATCH($W20,Calc!$A$2:$A$124,0))&amp;" / "&amp;INDEX(Calc!$H$2:$H$124,MATCH($W20,Calc!$A$2:$A$124,0))</f>
        <v/>
      </c>
      <c r="U20">
        <f>TEXT(INDEX(Calc!$J$2:$J$124,MATCH($W20,Calc!$A$2:$A$124,0)),"0.0")&amp;" / "&amp;TEXT(INDEX(Calc!$K$2:$K$124,MATCH($W20,Calc!$A$2:$A$124,0)),"0.0")</f>
        <v/>
      </c>
      <c r="V20">
        <f>IFERROR(INDEX(Calc!$AQ$2:$AQ$124,MATCH($W20,Calc!$A$2:$A$124,0)),"")</f>
        <v/>
      </c>
      <c r="W20" t="inlineStr">
        <is>
          <t>c8wc8d745qhelxm|CS2 [NO MARKET] · ACE vs UNiTY</t>
        </is>
      </c>
      <c r="X20" t="inlineStr">
        <is>
          <t>H12</t>
        </is>
      </c>
      <c r="Y20">
        <f>W20&amp;"|"&amp;X20</f>
        <v/>
      </c>
      <c r="Z20" s="9">
        <f>IFERROR(INDEX(CHOOSE(MATCH($X20,{"K1","K2","K3","K12","K13","H1","H2","H3","H12","H13"},0),Calc!$BA$2:$BA$124,Calc!$BB$2:$BB$124,Calc!$BC$2:$BC$124,Calc!$BD$2:$BD$124,Calc!$BE$2:$BE$124,Calc!$BF$2:$BF$124,Calc!$BG$2:$BG$124,Calc!$BH$2:$BH$124,Calc!$BI$2:$BI$124,Calc!$BJ$2:$BJ$124),MATCH($W20,Calc!$A$2:$A$124,0)),"")</f>
        <v/>
      </c>
      <c r="AA20" s="9">
        <f>IF(Z20="","",IF(LEFT($X20,1)="H",SQRT(Z20*(IFERROR(INDEX(Calc!$AP$2:$AP$124,MATCH($W20,Calc!$A$2:$A$124,0)),0.5)*Config!$B$5+1-IFERROR(INDEX(Calc!$AP$2:$AP$124,MATCH($W20,Calc!$A$2:$A$124,0)),0.5))),SQRT(Z20*Config!$B$5)))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[NO MARKET] · ACE vs UNiTY</t>
        </is>
      </c>
      <c r="C21" t="inlineStr">
        <is>
          <t>Sn0w</t>
        </is>
      </c>
      <c r="D21" t="inlineStr">
        <is>
          <t>UNiTY</t>
        </is>
      </c>
      <c r="E21" t="inlineStr">
        <is>
          <t>Maps 1-2 Kills</t>
        </is>
      </c>
      <c r="F21" t="n">
        <v>30.5</v>
      </c>
      <c r="G21" s="9">
        <f>IFERROR(INDEX(CHOOSE(MATCH($X21,{"K1","K2","K3","K12","K13","H1","H2","H3","H12","H13"},0),Calc!$V$2:$V$124,Calc!$AC$2:$AC$124,Calc!$AJ$2:$AJ$124,Calc!$AL$2:$AL$124,Calc!$AM$2:$AM$124,Calc!$W$2:$W$124,Calc!$AD$2:$AD$124,Calc!$AK$2:$AK$124,Calc!$AN$2:$AN$124,Calc!$AO$2:$AO$124),MATCH($W21,Calc!$A$2:$A$124,0)),"")</f>
        <v/>
      </c>
      <c r="H21" s="9">
        <f>IF(G21="","",IF(LEFT($X21,1)="H",SQRT(G21*(IFERROR(INDEX(Calc!$AP$2:$AP$124,MATCH($W21,Calc!$A$2:$A$124,0)),0.5)*Config!$B$5+1-IFERROR(INDEX(Calc!$AP$2:$AP$124,MATCH($W21,Calc!$A$2:$A$124,0)),0.5))),SQRT(G21*Config!$B$5)))</f>
        <v/>
      </c>
      <c r="I21" s="8">
        <f>IF(OR(F21="",G21="",N(H21)&lt;=0),"",1-NORMDIST(FLOOR(F21,1)+0.5,G21,H21,TRUE))</f>
        <v/>
      </c>
      <c r="J21" s="8">
        <f>IF(I21="","",NORMDIST(CEILING(F21,1)-0.5,G21,H21,TRUE))</f>
        <v/>
      </c>
      <c r="K21" s="8">
        <f>IF(I21="","",MAX(0,1-I21-J21))</f>
        <v/>
      </c>
      <c r="L21">
        <f>IF(I21="","",IF(I21&gt;=0.5+Config!$B$6,"OVER",IF(J21&gt;=0.5+Config!$B$6,"UNDER","—")))</f>
        <v/>
      </c>
      <c r="N21" t="n">
        <v>28.3</v>
      </c>
      <c r="O21" s="8" t="n">
        <v>0.2</v>
      </c>
      <c r="P21" s="8" t="n">
        <v>0.3</v>
      </c>
      <c r="Q21" s="8" t="n">
        <v>0.47</v>
      </c>
      <c r="R21" t="inlineStr">
        <is>
          <t>0%/0/1</t>
        </is>
      </c>
      <c r="S21" t="n">
        <v>-2</v>
      </c>
      <c r="T21">
        <f>INDEX(Calc!$G$2:$G$124,MATCH($W21,Calc!$A$2:$A$124,0))&amp;" / "&amp;INDEX(Calc!$H$2:$H$124,MATCH($W21,Calc!$A$2:$A$124,0))</f>
        <v/>
      </c>
      <c r="U21">
        <f>TEXT(INDEX(Calc!$J$2:$J$124,MATCH($W21,Calc!$A$2:$A$124,0)),"0.0")&amp;" / "&amp;TEXT(INDEX(Calc!$K$2:$K$124,MATCH($W21,Calc!$A$2:$A$124,0)),"0.0")</f>
        <v/>
      </c>
      <c r="V21">
        <f>IFERROR(INDEX(Calc!$AQ$2:$AQ$124,MATCH($W21,Calc!$A$2:$A$124,0)),"")</f>
        <v/>
      </c>
      <c r="W21" t="inlineStr">
        <is>
          <t>c8wc8d745qhelxm|CS2 [NO MARKET] · ACE vs UNiTY</t>
        </is>
      </c>
      <c r="X21" t="inlineStr">
        <is>
          <t>K12</t>
        </is>
      </c>
      <c r="Y21">
        <f>W21&amp;"|"&amp;X21</f>
        <v/>
      </c>
      <c r="Z21" s="9">
        <f>IFERROR(INDEX(CHOOSE(MATCH($X21,{"K1","K2","K3","K12","K13","H1","H2","H3","H12","H13"},0),Calc!$BA$2:$BA$124,Calc!$BB$2:$BB$124,Calc!$BC$2:$BC$124,Calc!$BD$2:$BD$124,Calc!$BE$2:$BE$124,Calc!$BF$2:$BF$124,Calc!$BG$2:$BG$124,Calc!$BH$2:$BH$124,Calc!$BI$2:$BI$124,Calc!$BJ$2:$BJ$124),MATCH($W21,Calc!$A$2:$A$124,0)),"")</f>
        <v/>
      </c>
      <c r="AA21" s="9">
        <f>IF(Z21="","",IF(LEFT($X21,1)="H",SQRT(Z21*(IFERROR(INDEX(Calc!$AP$2:$AP$124,MATCH($W21,Calc!$A$2:$A$124,0)),0.5)*Config!$B$5+1-IFERROR(INDEX(Calc!$AP$2:$AP$124,MATCH($W21,Calc!$A$2:$A$124,0)),0.5))),SQRT(Z21*Config!$B$5)))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[NO MARKET] · BAKS vs MZP</t>
        </is>
      </c>
      <c r="C22" t="inlineStr">
        <is>
          <t>F1KU</t>
        </is>
      </c>
      <c r="D22" t="inlineStr">
        <is>
          <t>MZP</t>
        </is>
      </c>
      <c r="E22" t="inlineStr">
        <is>
          <t>Maps 1-2 HS</t>
        </is>
      </c>
      <c r="F22" t="n">
        <v>18.5</v>
      </c>
      <c r="G22" s="9">
        <f>IFERROR(INDEX(CHOOSE(MATCH($X22,{"K1","K2","K3","K12","K13","H1","H2","H3","H12","H13"},0),Calc!$V$2:$V$124,Calc!$AC$2:$AC$124,Calc!$AJ$2:$AJ$124,Calc!$AL$2:$AL$124,Calc!$AM$2:$AM$124,Calc!$W$2:$W$124,Calc!$AD$2:$AD$124,Calc!$AK$2:$AK$124,Calc!$AN$2:$AN$124,Calc!$AO$2:$AO$124),MATCH($W22,Calc!$A$2:$A$124,0)),"")</f>
        <v/>
      </c>
      <c r="H22" s="9">
        <f>IF(G22="","",IF(LEFT($X22,1)="H",SQRT(G22*(IFERROR(INDEX(Calc!$AP$2:$AP$124,MATCH($W22,Calc!$A$2:$A$124,0)),0.5)*Config!$B$5+1-IFERROR(INDEX(Calc!$AP$2:$AP$124,MATCH($W22,Calc!$A$2:$A$124,0)),0.5))),SQRT(G22*Config!$B$5)))</f>
        <v/>
      </c>
      <c r="I22" s="8">
        <f>IF(OR(F22="",G22="",N(H22)&lt;=0),"",1-NORMDIST(FLOOR(F22,1)+0.5,G22,H22,TRUE))</f>
        <v/>
      </c>
      <c r="J22" s="8">
        <f>IF(I22="","",NORMDIST(CEILING(F22,1)-0.5,G22,H22,TRUE))</f>
        <v/>
      </c>
      <c r="K22" s="8">
        <f>IF(I22="","",MAX(0,1-I22-J22))</f>
        <v/>
      </c>
      <c r="L22">
        <f>IF(I22="","",IF(I22&gt;=0.5+Config!$B$6,"OVER",IF(J22&gt;=0.5+Config!$B$6,"UNDER","—")))</f>
        <v/>
      </c>
      <c r="N22" t="n">
        <v>18.3</v>
      </c>
      <c r="O22" s="8" t="n">
        <v>0.8</v>
      </c>
      <c r="P22" s="8" t="n">
        <v>0.6</v>
      </c>
      <c r="Q22" s="8" t="n">
        <v>0.6</v>
      </c>
      <c r="R22" t="inlineStr">
        <is>
          <t>-</t>
        </is>
      </c>
      <c r="S22" t="n">
        <v>1</v>
      </c>
      <c r="T22">
        <f>INDEX(Calc!$G$2:$G$124,MATCH($W22,Calc!$A$2:$A$124,0))&amp;" / "&amp;INDEX(Calc!$H$2:$H$124,MATCH($W22,Calc!$A$2:$A$124,0))</f>
        <v/>
      </c>
      <c r="U22">
        <f>TEXT(INDEX(Calc!$J$2:$J$124,MATCH($W22,Calc!$A$2:$A$124,0)),"0.0")&amp;" / "&amp;TEXT(INDEX(Calc!$K$2:$K$124,MATCH($W22,Calc!$A$2:$A$124,0)),"0.0")</f>
        <v/>
      </c>
      <c r="V22">
        <f>IFERROR(INDEX(Calc!$AQ$2:$AQ$124,MATCH($W22,Calc!$A$2:$A$124,0)),"")</f>
        <v/>
      </c>
      <c r="W22" t="inlineStr">
        <is>
          <t>h2c84157n2ymvv2|CS2 [NO MARKET] · BAKS vs MZP</t>
        </is>
      </c>
      <c r="X22" t="inlineStr">
        <is>
          <t>H12</t>
        </is>
      </c>
      <c r="Y22">
        <f>W22&amp;"|"&amp;X22</f>
        <v/>
      </c>
      <c r="Z22" s="9">
        <f>IFERROR(INDEX(CHOOSE(MATCH($X22,{"K1","K2","K3","K12","K13","H1","H2","H3","H12","H13"},0),Calc!$BA$2:$BA$124,Calc!$BB$2:$BB$124,Calc!$BC$2:$BC$124,Calc!$BD$2:$BD$124,Calc!$BE$2:$BE$124,Calc!$BF$2:$BF$124,Calc!$BG$2:$BG$124,Calc!$BH$2:$BH$124,Calc!$BI$2:$BI$124,Calc!$BJ$2:$BJ$124),MATCH($W22,Calc!$A$2:$A$124,0)),"")</f>
        <v/>
      </c>
      <c r="AA22" s="9">
        <f>IF(Z22="","",IF(LEFT($X22,1)="H",SQRT(Z22*(IFERROR(INDEX(Calc!$AP$2:$AP$124,MATCH($W22,Calc!$A$2:$A$124,0)),0.5)*Config!$B$5+1-IFERROR(INDEX(Calc!$AP$2:$AP$124,MATCH($W22,Calc!$A$2:$A$124,0)),0.5))),SQRT(Z22*Config!$B$5)))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[NO MARKET] · BAKS vs MZP</t>
        </is>
      </c>
      <c r="C23" t="inlineStr">
        <is>
          <t>F1KU</t>
        </is>
      </c>
      <c r="D23" t="inlineStr">
        <is>
          <t>MZP</t>
        </is>
      </c>
      <c r="E23" t="inlineStr">
        <is>
          <t>Maps 1-2 Kills</t>
        </is>
      </c>
      <c r="F23" t="n">
        <v>31</v>
      </c>
      <c r="G23" s="9">
        <f>IFERROR(INDEX(CHOOSE(MATCH($X23,{"K1","K2","K3","K12","K13","H1","H2","H3","H12","H13"},0),Calc!$V$2:$V$124,Calc!$AC$2:$AC$124,Calc!$AJ$2:$AJ$124,Calc!$AL$2:$AL$124,Calc!$AM$2:$AM$124,Calc!$W$2:$W$124,Calc!$AD$2:$AD$124,Calc!$AK$2:$AK$124,Calc!$AN$2:$AN$124,Calc!$AO$2:$AO$124),MATCH($W23,Calc!$A$2:$A$124,0)),"")</f>
        <v/>
      </c>
      <c r="H23" s="9">
        <f>IF(G23="","",IF(LEFT($X23,1)="H",SQRT(G23*(IFERROR(INDEX(Calc!$AP$2:$AP$124,MATCH($W23,Calc!$A$2:$A$124,0)),0.5)*Config!$B$5+1-IFERROR(INDEX(Calc!$AP$2:$AP$124,MATCH($W23,Calc!$A$2:$A$124,0)),0.5))),SQRT(G23*Config!$B$5)))</f>
        <v/>
      </c>
      <c r="I23" s="8">
        <f>IF(OR(F23="",G23="",N(H23)&lt;=0),"",1-NORMDIST(FLOOR(F23,1)+0.5,G23,H23,TRUE))</f>
        <v/>
      </c>
      <c r="J23" s="8">
        <f>IF(I23="","",NORMDIST(CEILING(F23,1)-0.5,G23,H23,TRUE))</f>
        <v/>
      </c>
      <c r="K23" s="8">
        <f>IF(I23="","",MAX(0,1-I23-J23))</f>
        <v/>
      </c>
      <c r="L23">
        <f>IF(I23="","",IF(I23&gt;=0.5+Config!$B$6,"OVER",IF(J23&gt;=0.5+Config!$B$6,"UNDER","—")))</f>
        <v/>
      </c>
      <c r="N23" t="n">
        <v>31.1</v>
      </c>
      <c r="O23" s="8" t="n">
        <v>0.8</v>
      </c>
      <c r="P23" s="8" t="n">
        <v>0.6</v>
      </c>
      <c r="Q23" s="8" t="n">
        <v>0.6</v>
      </c>
      <c r="R23" t="inlineStr">
        <is>
          <t>-</t>
        </is>
      </c>
      <c r="S23" t="n">
        <v>1</v>
      </c>
      <c r="T23">
        <f>INDEX(Calc!$G$2:$G$124,MATCH($W23,Calc!$A$2:$A$124,0))&amp;" / "&amp;INDEX(Calc!$H$2:$H$124,MATCH($W23,Calc!$A$2:$A$124,0))</f>
        <v/>
      </c>
      <c r="U23">
        <f>TEXT(INDEX(Calc!$J$2:$J$124,MATCH($W23,Calc!$A$2:$A$124,0)),"0.0")&amp;" / "&amp;TEXT(INDEX(Calc!$K$2:$K$124,MATCH($W23,Calc!$A$2:$A$124,0)),"0.0")</f>
        <v/>
      </c>
      <c r="V23">
        <f>IFERROR(INDEX(Calc!$AQ$2:$AQ$124,MATCH($W23,Calc!$A$2:$A$124,0)),"")</f>
        <v/>
      </c>
      <c r="W23" t="inlineStr">
        <is>
          <t>h2c84157n2ymvv2|CS2 [NO MARKET] · BAKS vs MZP</t>
        </is>
      </c>
      <c r="X23" t="inlineStr">
        <is>
          <t>K12</t>
        </is>
      </c>
      <c r="Y23">
        <f>W23&amp;"|"&amp;X23</f>
        <v/>
      </c>
      <c r="Z23" s="9">
        <f>IFERROR(INDEX(CHOOSE(MATCH($X23,{"K1","K2","K3","K12","K13","H1","H2","H3","H12","H13"},0),Calc!$BA$2:$BA$124,Calc!$BB$2:$BB$124,Calc!$BC$2:$BC$124,Calc!$BD$2:$BD$124,Calc!$BE$2:$BE$124,Calc!$BF$2:$BF$124,Calc!$BG$2:$BG$124,Calc!$BH$2:$BH$124,Calc!$BI$2:$BI$124,Calc!$BJ$2:$BJ$124),MATCH($W23,Calc!$A$2:$A$124,0)),"")</f>
        <v/>
      </c>
      <c r="AA23" s="9">
        <f>IF(Z23="","",IF(LEFT($X23,1)="H",SQRT(Z23*(IFERROR(INDEX(Calc!$AP$2:$AP$124,MATCH($W23,Calc!$A$2:$A$124,0)),0.5)*Config!$B$5+1-IFERROR(INDEX(Calc!$AP$2:$AP$124,MATCH($W23,Calc!$A$2:$A$124,0)),0.5))),SQRT(Z23*Config!$B$5)))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[NO MARKET] · BAKS vs MZP</t>
        </is>
      </c>
      <c r="C24" t="inlineStr">
        <is>
          <t>forsyy</t>
        </is>
      </c>
      <c r="D24" t="inlineStr">
        <is>
          <t>MZP</t>
        </is>
      </c>
      <c r="E24" t="inlineStr">
        <is>
          <t>Maps 1-2 HS</t>
        </is>
      </c>
      <c r="F24" t="n">
        <v>11</v>
      </c>
      <c r="G24" s="9">
        <f>IFERROR(INDEX(CHOOSE(MATCH($X24,{"K1","K2","K3","K12","K13","H1","H2","H3","H12","H13"},0),Calc!$V$2:$V$124,Calc!$AC$2:$AC$124,Calc!$AJ$2:$AJ$124,Calc!$AL$2:$AL$124,Calc!$AM$2:$AM$124,Calc!$W$2:$W$124,Calc!$AD$2:$AD$124,Calc!$AK$2:$AK$124,Calc!$AN$2:$AN$124,Calc!$AO$2:$AO$124),MATCH($W24,Calc!$A$2:$A$124,0)),"")</f>
        <v/>
      </c>
      <c r="H24" s="9">
        <f>IF(G24="","",IF(LEFT($X24,1)="H",SQRT(G24*(IFERROR(INDEX(Calc!$AP$2:$AP$124,MATCH($W24,Calc!$A$2:$A$124,0)),0.5)*Config!$B$5+1-IFERROR(INDEX(Calc!$AP$2:$AP$124,MATCH($W24,Calc!$A$2:$A$124,0)),0.5))),SQRT(G24*Config!$B$5)))</f>
        <v/>
      </c>
      <c r="I24" s="8">
        <f>IF(OR(F24="",G24="",N(H24)&lt;=0),"",1-NORMDIST(FLOOR(F24,1)+0.5,G24,H24,TRUE))</f>
        <v/>
      </c>
      <c r="J24" s="8">
        <f>IF(I24="","",NORMDIST(CEILING(F24,1)-0.5,G24,H24,TRUE))</f>
        <v/>
      </c>
      <c r="K24" s="8">
        <f>IF(I24="","",MAX(0,1-I24-J24))</f>
        <v/>
      </c>
      <c r="L24">
        <f>IF(I24="","",IF(I24&gt;=0.5+Config!$B$6,"OVER",IF(J24&gt;=0.5+Config!$B$6,"UNDER","—")))</f>
        <v/>
      </c>
      <c r="N24" t="n">
        <v>11.3</v>
      </c>
      <c r="O24" s="8" t="n">
        <v>0.6</v>
      </c>
      <c r="P24" s="8" t="n">
        <v>0.5</v>
      </c>
      <c r="Q24" s="8" t="n">
        <v>0.53</v>
      </c>
      <c r="R24" t="inlineStr">
        <is>
          <t>-</t>
        </is>
      </c>
      <c r="S24" t="n">
        <v>2</v>
      </c>
      <c r="T24">
        <f>INDEX(Calc!$G$2:$G$124,MATCH($W24,Calc!$A$2:$A$124,0))&amp;" / "&amp;INDEX(Calc!$H$2:$H$124,MATCH($W24,Calc!$A$2:$A$124,0))</f>
        <v/>
      </c>
      <c r="U24">
        <f>TEXT(INDEX(Calc!$J$2:$J$124,MATCH($W24,Calc!$A$2:$A$124,0)),"0.0")&amp;" / "&amp;TEXT(INDEX(Calc!$K$2:$K$124,MATCH($W24,Calc!$A$2:$A$124,0)),"0.0")</f>
        <v/>
      </c>
      <c r="V24">
        <f>IFERROR(INDEX(Calc!$AQ$2:$AQ$124,MATCH($W24,Calc!$A$2:$A$124,0)),"")</f>
        <v/>
      </c>
      <c r="W24" t="inlineStr">
        <is>
          <t>4bqrch5n45sx5u9|CS2 [NO MARKET] · BAKS vs MZP</t>
        </is>
      </c>
      <c r="X24" t="inlineStr">
        <is>
          <t>H12</t>
        </is>
      </c>
      <c r="Y24">
        <f>W24&amp;"|"&amp;X24</f>
        <v/>
      </c>
      <c r="Z24" s="9">
        <f>IFERROR(INDEX(CHOOSE(MATCH($X24,{"K1","K2","K3","K12","K13","H1","H2","H3","H12","H13"},0),Calc!$BA$2:$BA$124,Calc!$BB$2:$BB$124,Calc!$BC$2:$BC$124,Calc!$BD$2:$BD$124,Calc!$BE$2:$BE$124,Calc!$BF$2:$BF$124,Calc!$BG$2:$BG$124,Calc!$BH$2:$BH$124,Calc!$BI$2:$BI$124,Calc!$BJ$2:$BJ$124),MATCH($W24,Calc!$A$2:$A$124,0)),"")</f>
        <v/>
      </c>
      <c r="AA24" s="9">
        <f>IF(Z24="","",IF(LEFT($X24,1)="H",SQRT(Z24*(IFERROR(INDEX(Calc!$AP$2:$AP$124,MATCH($W24,Calc!$A$2:$A$124,0)),0.5)*Config!$B$5+1-IFERROR(INDEX(Calc!$AP$2:$AP$124,MATCH($W24,Calc!$A$2:$A$124,0)),0.5))),SQRT(Z24*Config!$B$5)))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[NO MARKET] · BAKS vs MZP</t>
        </is>
      </c>
      <c r="C25" t="inlineStr">
        <is>
          <t>forsyy</t>
        </is>
      </c>
      <c r="D25" t="inlineStr">
        <is>
          <t>MZP</t>
        </is>
      </c>
      <c r="E25" t="inlineStr">
        <is>
          <t>Maps 1-2 Kills</t>
        </is>
      </c>
      <c r="F25" t="n">
        <v>32.5</v>
      </c>
      <c r="G25" s="9">
        <f>IFERROR(INDEX(CHOOSE(MATCH($X25,{"K1","K2","K3","K12","K13","H1","H2","H3","H12","H13"},0),Calc!$V$2:$V$124,Calc!$AC$2:$AC$124,Calc!$AJ$2:$AJ$124,Calc!$AL$2:$AL$124,Calc!$AM$2:$AM$124,Calc!$W$2:$W$124,Calc!$AD$2:$AD$124,Calc!$AK$2:$AK$124,Calc!$AN$2:$AN$124,Calc!$AO$2:$AO$124),MATCH($W25,Calc!$A$2:$A$124,0)),"")</f>
        <v/>
      </c>
      <c r="H25" s="9">
        <f>IF(G25="","",IF(LEFT($X25,1)="H",SQRT(G25*(IFERROR(INDEX(Calc!$AP$2:$AP$124,MATCH($W25,Calc!$A$2:$A$124,0)),0.5)*Config!$B$5+1-IFERROR(INDEX(Calc!$AP$2:$AP$124,MATCH($W25,Calc!$A$2:$A$124,0)),0.5))),SQRT(G25*Config!$B$5)))</f>
        <v/>
      </c>
      <c r="I25" s="8">
        <f>IF(OR(F25="",G25="",N(H25)&lt;=0),"",1-NORMDIST(FLOOR(F25,1)+0.5,G25,H25,TRUE))</f>
        <v/>
      </c>
      <c r="J25" s="8">
        <f>IF(I25="","",NORMDIST(CEILING(F25,1)-0.5,G25,H25,TRUE))</f>
        <v/>
      </c>
      <c r="K25" s="8">
        <f>IF(I25="","",MAX(0,1-I25-J25))</f>
        <v/>
      </c>
      <c r="L25">
        <f>IF(I25="","",IF(I25&gt;=0.5+Config!$B$6,"OVER",IF(J25&gt;=0.5+Config!$B$6,"UNDER","—")))</f>
        <v/>
      </c>
      <c r="N25" t="n">
        <v>30.3</v>
      </c>
      <c r="O25" s="8" t="n">
        <v>0.4</v>
      </c>
      <c r="P25" s="8" t="n">
        <v>0.4</v>
      </c>
      <c r="Q25" s="8" t="n">
        <v>0.47</v>
      </c>
      <c r="R25" t="inlineStr">
        <is>
          <t>-</t>
        </is>
      </c>
      <c r="S25" t="n">
        <v>1</v>
      </c>
      <c r="T25">
        <f>INDEX(Calc!$G$2:$G$124,MATCH($W25,Calc!$A$2:$A$124,0))&amp;" / "&amp;INDEX(Calc!$H$2:$H$124,MATCH($W25,Calc!$A$2:$A$124,0))</f>
        <v/>
      </c>
      <c r="U25">
        <f>TEXT(INDEX(Calc!$J$2:$J$124,MATCH($W25,Calc!$A$2:$A$124,0)),"0.0")&amp;" / "&amp;TEXT(INDEX(Calc!$K$2:$K$124,MATCH($W25,Calc!$A$2:$A$124,0)),"0.0")</f>
        <v/>
      </c>
      <c r="V25">
        <f>IFERROR(INDEX(Calc!$AQ$2:$AQ$124,MATCH($W25,Calc!$A$2:$A$124,0)),"")</f>
        <v/>
      </c>
      <c r="W25" t="inlineStr">
        <is>
          <t>4bqrch5n45sx5u9|CS2 [NO MARKET] · BAKS vs MZP</t>
        </is>
      </c>
      <c r="X25" t="inlineStr">
        <is>
          <t>K12</t>
        </is>
      </c>
      <c r="Y25">
        <f>W25&amp;"|"&amp;X25</f>
        <v/>
      </c>
      <c r="Z25" s="9">
        <f>IFERROR(INDEX(CHOOSE(MATCH($X25,{"K1","K2","K3","K12","K13","H1","H2","H3","H12","H13"},0),Calc!$BA$2:$BA$124,Calc!$BB$2:$BB$124,Calc!$BC$2:$BC$124,Calc!$BD$2:$BD$124,Calc!$BE$2:$BE$124,Calc!$BF$2:$BF$124,Calc!$BG$2:$BG$124,Calc!$BH$2:$BH$124,Calc!$BI$2:$BI$124,Calc!$BJ$2:$BJ$124),MATCH($W25,Calc!$A$2:$A$124,0)),"")</f>
        <v/>
      </c>
      <c r="AA25" s="9">
        <f>IF(Z25="","",IF(LEFT($X25,1)="H",SQRT(Z25*(IFERROR(INDEX(Calc!$AP$2:$AP$124,MATCH($W25,Calc!$A$2:$A$124,0)),0.5)*Config!$B$5+1-IFERROR(INDEX(Calc!$AP$2:$AP$124,MATCH($W25,Calc!$A$2:$A$124,0)),0.5))),SQRT(Z25*Config!$B$5)))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[NO MARKET] · BAKS vs MZP</t>
        </is>
      </c>
      <c r="C26" t="inlineStr">
        <is>
          <t>MaiL09</t>
        </is>
      </c>
      <c r="D26" t="inlineStr">
        <is>
          <t>MZP</t>
        </is>
      </c>
      <c r="E26" t="inlineStr">
        <is>
          <t>Maps 1-2 HS</t>
        </is>
      </c>
      <c r="F26" t="n">
        <v>20.5</v>
      </c>
      <c r="G26" s="9">
        <f>IFERROR(INDEX(CHOOSE(MATCH($X26,{"K1","K2","K3","K12","K13","H1","H2","H3","H12","H13"},0),Calc!$V$2:$V$124,Calc!$AC$2:$AC$124,Calc!$AJ$2:$AJ$124,Calc!$AL$2:$AL$124,Calc!$AM$2:$AM$124,Calc!$W$2:$W$124,Calc!$AD$2:$AD$124,Calc!$AK$2:$AK$124,Calc!$AN$2:$AN$124,Calc!$AO$2:$AO$124),MATCH($W26,Calc!$A$2:$A$124,0)),"")</f>
        <v/>
      </c>
      <c r="H26" s="9">
        <f>IF(G26="","",IF(LEFT($X26,1)="H",SQRT(G26*(IFERROR(INDEX(Calc!$AP$2:$AP$124,MATCH($W26,Calc!$A$2:$A$124,0)),0.5)*Config!$B$5+1-IFERROR(INDEX(Calc!$AP$2:$AP$124,MATCH($W26,Calc!$A$2:$A$124,0)),0.5))),SQRT(G26*Config!$B$5)))</f>
        <v/>
      </c>
      <c r="I26" s="8">
        <f>IF(OR(F26="",G26="",N(H26)&lt;=0),"",1-NORMDIST(FLOOR(F26,1)+0.5,G26,H26,TRUE))</f>
        <v/>
      </c>
      <c r="J26" s="8">
        <f>IF(I26="","",NORMDIST(CEILING(F26,1)-0.5,G26,H26,TRUE))</f>
        <v/>
      </c>
      <c r="K26" s="8">
        <f>IF(I26="","",MAX(0,1-I26-J26))</f>
        <v/>
      </c>
      <c r="L26">
        <f>IF(I26="","",IF(I26&gt;=0.5+Config!$B$6,"OVER",IF(J26&gt;=0.5+Config!$B$6,"UNDER","—")))</f>
        <v/>
      </c>
      <c r="N26" t="n">
        <v>22</v>
      </c>
      <c r="O26" s="8" t="n">
        <v>0.4</v>
      </c>
      <c r="P26" s="8" t="n">
        <v>0.6</v>
      </c>
      <c r="Q26" s="8" t="n">
        <v>0.67</v>
      </c>
      <c r="R26" t="inlineStr">
        <is>
          <t>-</t>
        </is>
      </c>
      <c r="S26" t="n">
        <v>1</v>
      </c>
      <c r="T26">
        <f>INDEX(Calc!$G$2:$G$124,MATCH($W26,Calc!$A$2:$A$124,0))&amp;" / "&amp;INDEX(Calc!$H$2:$H$124,MATCH($W26,Calc!$A$2:$A$124,0))</f>
        <v/>
      </c>
      <c r="U26">
        <f>TEXT(INDEX(Calc!$J$2:$J$124,MATCH($W26,Calc!$A$2:$A$124,0)),"0.0")&amp;" / "&amp;TEXT(INDEX(Calc!$K$2:$K$124,MATCH($W26,Calc!$A$2:$A$124,0)),"0.0")</f>
        <v/>
      </c>
      <c r="V26">
        <f>IFERROR(INDEX(Calc!$AQ$2:$AQ$124,MATCH($W26,Calc!$A$2:$A$124,0)),"")</f>
        <v/>
      </c>
      <c r="W26" t="inlineStr">
        <is>
          <t>cenz32hm5akyeqy|CS2 [NO MARKET] · BAKS vs MZP</t>
        </is>
      </c>
      <c r="X26" t="inlineStr">
        <is>
          <t>H12</t>
        </is>
      </c>
      <c r="Y26">
        <f>W26&amp;"|"&amp;X26</f>
        <v/>
      </c>
      <c r="Z26" s="9">
        <f>IFERROR(INDEX(CHOOSE(MATCH($X26,{"K1","K2","K3","K12","K13","H1","H2","H3","H12","H13"},0),Calc!$BA$2:$BA$124,Calc!$BB$2:$BB$124,Calc!$BC$2:$BC$124,Calc!$BD$2:$BD$124,Calc!$BE$2:$BE$124,Calc!$BF$2:$BF$124,Calc!$BG$2:$BG$124,Calc!$BH$2:$BH$124,Calc!$BI$2:$BI$124,Calc!$BJ$2:$BJ$124),MATCH($W26,Calc!$A$2:$A$124,0)),"")</f>
        <v/>
      </c>
      <c r="AA26" s="9">
        <f>IF(Z26="","",IF(LEFT($X26,1)="H",SQRT(Z26*(IFERROR(INDEX(Calc!$AP$2:$AP$124,MATCH($W26,Calc!$A$2:$A$124,0)),0.5)*Config!$B$5+1-IFERROR(INDEX(Calc!$AP$2:$AP$124,MATCH($W26,Calc!$A$2:$A$124,0)),0.5))),SQRT(Z26*Config!$B$5)))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[NO MARKET] · BAKS vs MZP</t>
        </is>
      </c>
      <c r="C27" t="inlineStr">
        <is>
          <t>MaiL09</t>
        </is>
      </c>
      <c r="D27" t="inlineStr">
        <is>
          <t>MZP</t>
        </is>
      </c>
      <c r="E27" t="inlineStr">
        <is>
          <t>Maps 1-2 Kills</t>
        </is>
      </c>
      <c r="F27" t="n">
        <v>32</v>
      </c>
      <c r="G27" s="9">
        <f>IFERROR(INDEX(CHOOSE(MATCH($X27,{"K1","K2","K3","K12","K13","H1","H2","H3","H12","H13"},0),Calc!$V$2:$V$124,Calc!$AC$2:$AC$124,Calc!$AJ$2:$AJ$124,Calc!$AL$2:$AL$124,Calc!$AM$2:$AM$124,Calc!$W$2:$W$124,Calc!$AD$2:$AD$124,Calc!$AK$2:$AK$124,Calc!$AN$2:$AN$124,Calc!$AO$2:$AO$124),MATCH($W27,Calc!$A$2:$A$124,0)),"")</f>
        <v/>
      </c>
      <c r="H27" s="9">
        <f>IF(G27="","",IF(LEFT($X27,1)="H",SQRT(G27*(IFERROR(INDEX(Calc!$AP$2:$AP$124,MATCH($W27,Calc!$A$2:$A$124,0)),0.5)*Config!$B$5+1-IFERROR(INDEX(Calc!$AP$2:$AP$124,MATCH($W27,Calc!$A$2:$A$124,0)),0.5))),SQRT(G27*Config!$B$5)))</f>
        <v/>
      </c>
      <c r="I27" s="8">
        <f>IF(OR(F27="",G27="",N(H27)&lt;=0),"",1-NORMDIST(FLOOR(F27,1)+0.5,G27,H27,TRUE))</f>
        <v/>
      </c>
      <c r="J27" s="8">
        <f>IF(I27="","",NORMDIST(CEILING(F27,1)-0.5,G27,H27,TRUE))</f>
        <v/>
      </c>
      <c r="K27" s="8">
        <f>IF(I27="","",MAX(0,1-I27-J27))</f>
        <v/>
      </c>
      <c r="L27">
        <f>IF(I27="","",IF(I27&gt;=0.5+Config!$B$6,"OVER",IF(J27&gt;=0.5+Config!$B$6,"UNDER","—")))</f>
        <v/>
      </c>
      <c r="N27" t="n">
        <v>33</v>
      </c>
      <c r="O27" s="8" t="n">
        <v>0.4</v>
      </c>
      <c r="P27" s="8" t="n">
        <v>0.6</v>
      </c>
      <c r="Q27" s="8" t="n">
        <v>0.67</v>
      </c>
      <c r="R27" t="inlineStr">
        <is>
          <t>-</t>
        </is>
      </c>
      <c r="S27" t="n">
        <v>1</v>
      </c>
      <c r="T27">
        <f>INDEX(Calc!$G$2:$G$124,MATCH($W27,Calc!$A$2:$A$124,0))&amp;" / "&amp;INDEX(Calc!$H$2:$H$124,MATCH($W27,Calc!$A$2:$A$124,0))</f>
        <v/>
      </c>
      <c r="U27">
        <f>TEXT(INDEX(Calc!$J$2:$J$124,MATCH($W27,Calc!$A$2:$A$124,0)),"0.0")&amp;" / "&amp;TEXT(INDEX(Calc!$K$2:$K$124,MATCH($W27,Calc!$A$2:$A$124,0)),"0.0")</f>
        <v/>
      </c>
      <c r="V27">
        <f>IFERROR(INDEX(Calc!$AQ$2:$AQ$124,MATCH($W27,Calc!$A$2:$A$124,0)),"")</f>
        <v/>
      </c>
      <c r="W27" t="inlineStr">
        <is>
          <t>cenz32hm5akyeqy|CS2 [NO MARKET] · BAKS vs MZP</t>
        </is>
      </c>
      <c r="X27" t="inlineStr">
        <is>
          <t>K12</t>
        </is>
      </c>
      <c r="Y27">
        <f>W27&amp;"|"&amp;X27</f>
        <v/>
      </c>
      <c r="Z27" s="9">
        <f>IFERROR(INDEX(CHOOSE(MATCH($X27,{"K1","K2","K3","K12","K13","H1","H2","H3","H12","H13"},0),Calc!$BA$2:$BA$124,Calc!$BB$2:$BB$124,Calc!$BC$2:$BC$124,Calc!$BD$2:$BD$124,Calc!$BE$2:$BE$124,Calc!$BF$2:$BF$124,Calc!$BG$2:$BG$124,Calc!$BH$2:$BH$124,Calc!$BI$2:$BI$124,Calc!$BJ$2:$BJ$124),MATCH($W27,Calc!$A$2:$A$124,0)),"")</f>
        <v/>
      </c>
      <c r="AA27" s="9">
        <f>IF(Z27="","",IF(LEFT($X27,1)="H",SQRT(Z27*(IFERROR(INDEX(Calc!$AP$2:$AP$124,MATCH($W27,Calc!$A$2:$A$124,0)),0.5)*Config!$B$5+1-IFERROR(INDEX(Calc!$AP$2:$AP$124,MATCH($W27,Calc!$A$2:$A$124,0)),0.5))),SQRT(Z27*Config!$B$5)))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[NO MARKET] · BAKS vs MZP</t>
        </is>
      </c>
      <c r="C28" t="inlineStr">
        <is>
          <t>Plopski</t>
        </is>
      </c>
      <c r="D28" t="inlineStr">
        <is>
          <t>MZP</t>
        </is>
      </c>
      <c r="E28" t="inlineStr">
        <is>
          <t>Maps 1-2 HS</t>
        </is>
      </c>
      <c r="F28" t="n">
        <v>16</v>
      </c>
      <c r="G28" s="9">
        <f>IFERROR(INDEX(CHOOSE(MATCH($X28,{"K1","K2","K3","K12","K13","H1","H2","H3","H12","H13"},0),Calc!$V$2:$V$124,Calc!$AC$2:$AC$124,Calc!$AJ$2:$AJ$124,Calc!$AL$2:$AL$124,Calc!$AM$2:$AM$124,Calc!$W$2:$W$124,Calc!$AD$2:$AD$124,Calc!$AK$2:$AK$124,Calc!$AN$2:$AN$124,Calc!$AO$2:$AO$124),MATCH($W28,Calc!$A$2:$A$124,0)),"")</f>
        <v/>
      </c>
      <c r="H28" s="9">
        <f>IF(G28="","",IF(LEFT($X28,1)="H",SQRT(G28*(IFERROR(INDEX(Calc!$AP$2:$AP$124,MATCH($W28,Calc!$A$2:$A$124,0)),0.5)*Config!$B$5+1-IFERROR(INDEX(Calc!$AP$2:$AP$124,MATCH($W28,Calc!$A$2:$A$124,0)),0.5))),SQRT(G28*Config!$B$5)))</f>
        <v/>
      </c>
      <c r="I28" s="8">
        <f>IF(OR(F28="",G28="",N(H28)&lt;=0),"",1-NORMDIST(FLOOR(F28,1)+0.5,G28,H28,TRUE))</f>
        <v/>
      </c>
      <c r="J28" s="8">
        <f>IF(I28="","",NORMDIST(CEILING(F28,1)-0.5,G28,H28,TRUE))</f>
        <v/>
      </c>
      <c r="K28" s="8">
        <f>IF(I28="","",MAX(0,1-I28-J28))</f>
        <v/>
      </c>
      <c r="L28">
        <f>IF(I28="","",IF(I28&gt;=0.5+Config!$B$6,"OVER",IF(J28&gt;=0.5+Config!$B$6,"UNDER","—")))</f>
        <v/>
      </c>
      <c r="N28" t="n">
        <v>18.1</v>
      </c>
      <c r="O28" s="8" t="n">
        <v>0.8</v>
      </c>
      <c r="P28" s="8" t="n">
        <v>0.7</v>
      </c>
      <c r="Q28" s="8" t="n">
        <v>0.67</v>
      </c>
      <c r="R28" t="inlineStr">
        <is>
          <t>-</t>
        </is>
      </c>
      <c r="S28" t="n">
        <v>4</v>
      </c>
      <c r="T28">
        <f>INDEX(Calc!$G$2:$G$124,MATCH($W28,Calc!$A$2:$A$124,0))&amp;" / "&amp;INDEX(Calc!$H$2:$H$124,MATCH($W28,Calc!$A$2:$A$124,0))</f>
        <v/>
      </c>
      <c r="U28">
        <f>TEXT(INDEX(Calc!$J$2:$J$124,MATCH($W28,Calc!$A$2:$A$124,0)),"0.0")&amp;" / "&amp;TEXT(INDEX(Calc!$K$2:$K$124,MATCH($W28,Calc!$A$2:$A$124,0)),"0.0")</f>
        <v/>
      </c>
      <c r="V28">
        <f>IFERROR(INDEX(Calc!$AQ$2:$AQ$124,MATCH($W28,Calc!$A$2:$A$124,0)),"")</f>
        <v/>
      </c>
      <c r="W28" t="inlineStr">
        <is>
          <t>vwa09ypl40r89pt|CS2 [NO MARKET] · BAKS vs MZP</t>
        </is>
      </c>
      <c r="X28" t="inlineStr">
        <is>
          <t>H12</t>
        </is>
      </c>
      <c r="Y28">
        <f>W28&amp;"|"&amp;X28</f>
        <v/>
      </c>
      <c r="Z28" s="9">
        <f>IFERROR(INDEX(CHOOSE(MATCH($X28,{"K1","K2","K3","K12","K13","H1","H2","H3","H12","H13"},0),Calc!$BA$2:$BA$124,Calc!$BB$2:$BB$124,Calc!$BC$2:$BC$124,Calc!$BD$2:$BD$124,Calc!$BE$2:$BE$124,Calc!$BF$2:$BF$124,Calc!$BG$2:$BG$124,Calc!$BH$2:$BH$124,Calc!$BI$2:$BI$124,Calc!$BJ$2:$BJ$124),MATCH($W28,Calc!$A$2:$A$124,0)),"")</f>
        <v/>
      </c>
      <c r="AA28" s="9">
        <f>IF(Z28="","",IF(LEFT($X28,1)="H",SQRT(Z28*(IFERROR(INDEX(Calc!$AP$2:$AP$124,MATCH($W28,Calc!$A$2:$A$124,0)),0.5)*Config!$B$5+1-IFERROR(INDEX(Calc!$AP$2:$AP$124,MATCH($W28,Calc!$A$2:$A$124,0)),0.5))),SQRT(Z28*Config!$B$5)))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[NO MARKET] · BAKS vs MZP</t>
        </is>
      </c>
      <c r="C29" t="inlineStr">
        <is>
          <t>Plopski</t>
        </is>
      </c>
      <c r="D29" t="inlineStr">
        <is>
          <t>MZP</t>
        </is>
      </c>
      <c r="E29" t="inlineStr">
        <is>
          <t>Maps 1-2 Kills</t>
        </is>
      </c>
      <c r="F29" t="n">
        <v>31</v>
      </c>
      <c r="G29" s="9">
        <f>IFERROR(INDEX(CHOOSE(MATCH($X29,{"K1","K2","K3","K12","K13","H1","H2","H3","H12","H13"},0),Calc!$V$2:$V$124,Calc!$AC$2:$AC$124,Calc!$AJ$2:$AJ$124,Calc!$AL$2:$AL$124,Calc!$AM$2:$AM$124,Calc!$W$2:$W$124,Calc!$AD$2:$AD$124,Calc!$AK$2:$AK$124,Calc!$AN$2:$AN$124,Calc!$AO$2:$AO$124),MATCH($W29,Calc!$A$2:$A$124,0)),"")</f>
        <v/>
      </c>
      <c r="H29" s="9">
        <f>IF(G29="","",IF(LEFT($X29,1)="H",SQRT(G29*(IFERROR(INDEX(Calc!$AP$2:$AP$124,MATCH($W29,Calc!$A$2:$A$124,0)),0.5)*Config!$B$5+1-IFERROR(INDEX(Calc!$AP$2:$AP$124,MATCH($W29,Calc!$A$2:$A$124,0)),0.5))),SQRT(G29*Config!$B$5)))</f>
        <v/>
      </c>
      <c r="I29" s="8">
        <f>IF(OR(F29="",G29="",N(H29)&lt;=0),"",1-NORMDIST(FLOOR(F29,1)+0.5,G29,H29,TRUE))</f>
        <v/>
      </c>
      <c r="J29" s="8">
        <f>IF(I29="","",NORMDIST(CEILING(F29,1)-0.5,G29,H29,TRUE))</f>
        <v/>
      </c>
      <c r="K29" s="8">
        <f>IF(I29="","",MAX(0,1-I29-J29))</f>
        <v/>
      </c>
      <c r="L29">
        <f>IF(I29="","",IF(I29&gt;=0.5+Config!$B$6,"OVER",IF(J29&gt;=0.5+Config!$B$6,"UNDER","—")))</f>
        <v/>
      </c>
      <c r="N29" t="n">
        <v>33.2</v>
      </c>
      <c r="O29" s="8" t="n">
        <v>0.8</v>
      </c>
      <c r="P29" s="8" t="n">
        <v>0.6</v>
      </c>
      <c r="Q29" s="8" t="n">
        <v>0.6</v>
      </c>
      <c r="R29" t="inlineStr">
        <is>
          <t>-</t>
        </is>
      </c>
      <c r="S29" t="n">
        <v>3</v>
      </c>
      <c r="T29">
        <f>INDEX(Calc!$G$2:$G$124,MATCH($W29,Calc!$A$2:$A$124,0))&amp;" / "&amp;INDEX(Calc!$H$2:$H$124,MATCH($W29,Calc!$A$2:$A$124,0))</f>
        <v/>
      </c>
      <c r="U29">
        <f>TEXT(INDEX(Calc!$J$2:$J$124,MATCH($W29,Calc!$A$2:$A$124,0)),"0.0")&amp;" / "&amp;TEXT(INDEX(Calc!$K$2:$K$124,MATCH($W29,Calc!$A$2:$A$124,0)),"0.0")</f>
        <v/>
      </c>
      <c r="V29">
        <f>IFERROR(INDEX(Calc!$AQ$2:$AQ$124,MATCH($W29,Calc!$A$2:$A$124,0)),"")</f>
        <v/>
      </c>
      <c r="W29" t="inlineStr">
        <is>
          <t>vwa09ypl40r89pt|CS2 [NO MARKET] · BAKS vs MZP</t>
        </is>
      </c>
      <c r="X29" t="inlineStr">
        <is>
          <t>K12</t>
        </is>
      </c>
      <c r="Y29">
        <f>W29&amp;"|"&amp;X29</f>
        <v/>
      </c>
      <c r="Z29" s="9">
        <f>IFERROR(INDEX(CHOOSE(MATCH($X29,{"K1","K2","K3","K12","K13","H1","H2","H3","H12","H13"},0),Calc!$BA$2:$BA$124,Calc!$BB$2:$BB$124,Calc!$BC$2:$BC$124,Calc!$BD$2:$BD$124,Calc!$BE$2:$BE$124,Calc!$BF$2:$BF$124,Calc!$BG$2:$BG$124,Calc!$BH$2:$BH$124,Calc!$BI$2:$BI$124,Calc!$BJ$2:$BJ$124),MATCH($W29,Calc!$A$2:$A$124,0)),"")</f>
        <v/>
      </c>
      <c r="AA29" s="9">
        <f>IF(Z29="","",IF(LEFT($X29,1)="H",SQRT(Z29*(IFERROR(INDEX(Calc!$AP$2:$AP$124,MATCH($W29,Calc!$A$2:$A$124,0)),0.5)*Config!$B$5+1-IFERROR(INDEX(Calc!$AP$2:$AP$124,MATCH($W29,Calc!$A$2:$A$124,0)),0.5))),SQRT(Z29*Config!$B$5)))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[NO MARKET] · BAKS vs MZP</t>
        </is>
      </c>
      <c r="C30" t="inlineStr">
        <is>
          <t>stanislaw</t>
        </is>
      </c>
      <c r="D30" t="inlineStr">
        <is>
          <t>MZP</t>
        </is>
      </c>
      <c r="E30" t="inlineStr">
        <is>
          <t>Maps 1-2 HS</t>
        </is>
      </c>
      <c r="F30" t="n">
        <v>13.5</v>
      </c>
      <c r="G30" s="9">
        <f>IFERROR(INDEX(CHOOSE(MATCH($X30,{"K1","K2","K3","K12","K13","H1","H2","H3","H12","H13"},0),Calc!$V$2:$V$124,Calc!$AC$2:$AC$124,Calc!$AJ$2:$AJ$124,Calc!$AL$2:$AL$124,Calc!$AM$2:$AM$124,Calc!$W$2:$W$124,Calc!$AD$2:$AD$124,Calc!$AK$2:$AK$124,Calc!$AN$2:$AN$124,Calc!$AO$2:$AO$124),MATCH($W30,Calc!$A$2:$A$124,0)),"")</f>
        <v/>
      </c>
      <c r="H30" s="9">
        <f>IF(G30="","",IF(LEFT($X30,1)="H",SQRT(G30*(IFERROR(INDEX(Calc!$AP$2:$AP$124,MATCH($W30,Calc!$A$2:$A$124,0)),0.5)*Config!$B$5+1-IFERROR(INDEX(Calc!$AP$2:$AP$124,MATCH($W30,Calc!$A$2:$A$124,0)),0.5))),SQRT(G30*Config!$B$5)))</f>
        <v/>
      </c>
      <c r="I30" s="8">
        <f>IF(OR(F30="",G30="",N(H30)&lt;=0),"",1-NORMDIST(FLOOR(F30,1)+0.5,G30,H30,TRUE))</f>
        <v/>
      </c>
      <c r="J30" s="8">
        <f>IF(I30="","",NORMDIST(CEILING(F30,1)-0.5,G30,H30,TRUE))</f>
        <v/>
      </c>
      <c r="K30" s="8">
        <f>IF(I30="","",MAX(0,1-I30-J30))</f>
        <v/>
      </c>
      <c r="L30">
        <f>IF(I30="","",IF(I30&gt;=0.5+Config!$B$6,"OVER",IF(J30&gt;=0.5+Config!$B$6,"UNDER","—")))</f>
        <v/>
      </c>
      <c r="N30" t="n">
        <v>13</v>
      </c>
      <c r="O30" s="8" t="n">
        <v>0.8</v>
      </c>
      <c r="P30" s="8" t="n">
        <v>0.6</v>
      </c>
      <c r="Q30" s="8" t="n">
        <v>0.53</v>
      </c>
      <c r="R30" t="inlineStr">
        <is>
          <t>-</t>
        </is>
      </c>
      <c r="S30" t="n">
        <v>1</v>
      </c>
      <c r="T30">
        <f>INDEX(Calc!$G$2:$G$124,MATCH($W30,Calc!$A$2:$A$124,0))&amp;" / "&amp;INDEX(Calc!$H$2:$H$124,MATCH($W30,Calc!$A$2:$A$124,0))</f>
        <v/>
      </c>
      <c r="U30">
        <f>TEXT(INDEX(Calc!$J$2:$J$124,MATCH($W30,Calc!$A$2:$A$124,0)),"0.0")&amp;" / "&amp;TEXT(INDEX(Calc!$K$2:$K$124,MATCH($W30,Calc!$A$2:$A$124,0)),"0.0")</f>
        <v/>
      </c>
      <c r="V30">
        <f>IFERROR(INDEX(Calc!$AQ$2:$AQ$124,MATCH($W30,Calc!$A$2:$A$124,0)),"")</f>
        <v/>
      </c>
      <c r="W30" t="inlineStr">
        <is>
          <t>vl85mzwiy0ds144|CS2 [NO MARKET] · BAKS vs MZP</t>
        </is>
      </c>
      <c r="X30" t="inlineStr">
        <is>
          <t>H12</t>
        </is>
      </c>
      <c r="Y30">
        <f>W30&amp;"|"&amp;X30</f>
        <v/>
      </c>
      <c r="Z30" s="9">
        <f>IFERROR(INDEX(CHOOSE(MATCH($X30,{"K1","K2","K3","K12","K13","H1","H2","H3","H12","H13"},0),Calc!$BA$2:$BA$124,Calc!$BB$2:$BB$124,Calc!$BC$2:$BC$124,Calc!$BD$2:$BD$124,Calc!$BE$2:$BE$124,Calc!$BF$2:$BF$124,Calc!$BG$2:$BG$124,Calc!$BH$2:$BH$124,Calc!$BI$2:$BI$124,Calc!$BJ$2:$BJ$124),MATCH($W30,Calc!$A$2:$A$124,0)),"")</f>
        <v/>
      </c>
      <c r="AA30" s="9">
        <f>IF(Z30="","",IF(LEFT($X30,1)="H",SQRT(Z30*(IFERROR(INDEX(Calc!$AP$2:$AP$124,MATCH($W30,Calc!$A$2:$A$124,0)),0.5)*Config!$B$5+1-IFERROR(INDEX(Calc!$AP$2:$AP$124,MATCH($W30,Calc!$A$2:$A$124,0)),0.5))),SQRT(Z30*Config!$B$5)))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[NO MARKET] · BAKS vs MZP</t>
        </is>
      </c>
      <c r="C31" t="inlineStr">
        <is>
          <t>stanislaw</t>
        </is>
      </c>
      <c r="D31" t="inlineStr">
        <is>
          <t>MZP</t>
        </is>
      </c>
      <c r="E31" t="inlineStr">
        <is>
          <t>Maps 1-2 Kills</t>
        </is>
      </c>
      <c r="F31" t="n">
        <v>24.5</v>
      </c>
      <c r="G31" s="9">
        <f>IFERROR(INDEX(CHOOSE(MATCH($X31,{"K1","K2","K3","K12","K13","H1","H2","H3","H12","H13"},0),Calc!$V$2:$V$124,Calc!$AC$2:$AC$124,Calc!$AJ$2:$AJ$124,Calc!$AL$2:$AL$124,Calc!$AM$2:$AM$124,Calc!$W$2:$W$124,Calc!$AD$2:$AD$124,Calc!$AK$2:$AK$124,Calc!$AN$2:$AN$124,Calc!$AO$2:$AO$124),MATCH($W31,Calc!$A$2:$A$124,0)),"")</f>
        <v/>
      </c>
      <c r="H31" s="9">
        <f>IF(G31="","",IF(LEFT($X31,1)="H",SQRT(G31*(IFERROR(INDEX(Calc!$AP$2:$AP$124,MATCH($W31,Calc!$A$2:$A$124,0)),0.5)*Config!$B$5+1-IFERROR(INDEX(Calc!$AP$2:$AP$124,MATCH($W31,Calc!$A$2:$A$124,0)),0.5))),SQRT(G31*Config!$B$5)))</f>
        <v/>
      </c>
      <c r="I31" s="8">
        <f>IF(OR(F31="",G31="",N(H31)&lt;=0),"",1-NORMDIST(FLOOR(F31,1)+0.5,G31,H31,TRUE))</f>
        <v/>
      </c>
      <c r="J31" s="8">
        <f>IF(I31="","",NORMDIST(CEILING(F31,1)-0.5,G31,H31,TRUE))</f>
        <v/>
      </c>
      <c r="K31" s="8">
        <f>IF(I31="","",MAX(0,1-I31-J31))</f>
        <v/>
      </c>
      <c r="L31">
        <f>IF(I31="","",IF(I31&gt;=0.5+Config!$B$6,"OVER",IF(J31&gt;=0.5+Config!$B$6,"UNDER","—")))</f>
        <v/>
      </c>
      <c r="N31" t="n">
        <v>25.3</v>
      </c>
      <c r="O31" s="8" t="n">
        <v>0.6</v>
      </c>
      <c r="P31" s="8" t="n">
        <v>0.5</v>
      </c>
      <c r="Q31" s="8" t="n">
        <v>0.53</v>
      </c>
      <c r="R31" t="inlineStr">
        <is>
          <t>-</t>
        </is>
      </c>
      <c r="S31" t="n">
        <v>1</v>
      </c>
      <c r="T31">
        <f>INDEX(Calc!$G$2:$G$124,MATCH($W31,Calc!$A$2:$A$124,0))&amp;" / "&amp;INDEX(Calc!$H$2:$H$124,MATCH($W31,Calc!$A$2:$A$124,0))</f>
        <v/>
      </c>
      <c r="U31">
        <f>TEXT(INDEX(Calc!$J$2:$J$124,MATCH($W31,Calc!$A$2:$A$124,0)),"0.0")&amp;" / "&amp;TEXT(INDEX(Calc!$K$2:$K$124,MATCH($W31,Calc!$A$2:$A$124,0)),"0.0")</f>
        <v/>
      </c>
      <c r="V31">
        <f>IFERROR(INDEX(Calc!$AQ$2:$AQ$124,MATCH($W31,Calc!$A$2:$A$124,0)),"")</f>
        <v/>
      </c>
      <c r="W31" t="inlineStr">
        <is>
          <t>vl85mzwiy0ds144|CS2 [NO MARKET] · BAKS vs MZP</t>
        </is>
      </c>
      <c r="X31" t="inlineStr">
        <is>
          <t>K12</t>
        </is>
      </c>
      <c r="Y31">
        <f>W31&amp;"|"&amp;X31</f>
        <v/>
      </c>
      <c r="Z31" s="9">
        <f>IFERROR(INDEX(CHOOSE(MATCH($X31,{"K1","K2","K3","K12","K13","H1","H2","H3","H12","H13"},0),Calc!$BA$2:$BA$124,Calc!$BB$2:$BB$124,Calc!$BC$2:$BC$124,Calc!$BD$2:$BD$124,Calc!$BE$2:$BE$124,Calc!$BF$2:$BF$124,Calc!$BG$2:$BG$124,Calc!$BH$2:$BH$124,Calc!$BI$2:$BI$124,Calc!$BJ$2:$BJ$124),MATCH($W31,Calc!$A$2:$A$124,0)),"")</f>
        <v/>
      </c>
      <c r="AA31" s="9">
        <f>IF(Z31="","",IF(LEFT($X31,1)="H",SQRT(Z31*(IFERROR(INDEX(Calc!$AP$2:$AP$124,MATCH($W31,Calc!$A$2:$A$124,0)),0.5)*Config!$B$5+1-IFERROR(INDEX(Calc!$AP$2:$AP$124,MATCH($W31,Calc!$A$2:$A$124,0)),0.5))),SQRT(Z31*Config!$B$5)))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[NO MARKET] · Color vs ex-ZT</t>
        </is>
      </c>
      <c r="C32" t="inlineStr">
        <is>
          <t>cronuss</t>
        </is>
      </c>
      <c r="D32" t="inlineStr">
        <is>
          <t>Color</t>
        </is>
      </c>
      <c r="E32" t="inlineStr">
        <is>
          <t>Maps 1-2 HS</t>
        </is>
      </c>
      <c r="F32" t="n">
        <v>18</v>
      </c>
      <c r="G32" s="9">
        <f>IFERROR(INDEX(CHOOSE(MATCH($X32,{"K1","K2","K3","K12","K13","H1","H2","H3","H12","H13"},0),Calc!$V$2:$V$124,Calc!$AC$2:$AC$124,Calc!$AJ$2:$AJ$124,Calc!$AL$2:$AL$124,Calc!$AM$2:$AM$124,Calc!$W$2:$W$124,Calc!$AD$2:$AD$124,Calc!$AK$2:$AK$124,Calc!$AN$2:$AN$124,Calc!$AO$2:$AO$124),MATCH($W32,Calc!$A$2:$A$124,0)),"")</f>
        <v/>
      </c>
      <c r="H32" s="9">
        <f>IF(G32="","",IF(LEFT($X32,1)="H",SQRT(G32*(IFERROR(INDEX(Calc!$AP$2:$AP$124,MATCH($W32,Calc!$A$2:$A$124,0)),0.5)*Config!$B$5+1-IFERROR(INDEX(Calc!$AP$2:$AP$124,MATCH($W32,Calc!$A$2:$A$124,0)),0.5))),SQRT(G32*Config!$B$5)))</f>
        <v/>
      </c>
      <c r="I32" s="8">
        <f>IF(OR(F32="",G32="",N(H32)&lt;=0),"",1-NORMDIST(FLOOR(F32,1)+0.5,G32,H32,TRUE))</f>
        <v/>
      </c>
      <c r="J32" s="8">
        <f>IF(I32="","",NORMDIST(CEILING(F32,1)-0.5,G32,H32,TRUE))</f>
        <v/>
      </c>
      <c r="K32" s="8">
        <f>IF(I32="","",MAX(0,1-I32-J32))</f>
        <v/>
      </c>
      <c r="L32">
        <f>IF(I32="","",IF(I32&gt;=0.5+Config!$B$6,"OVER",IF(J32&gt;=0.5+Config!$B$6,"UNDER","—")))</f>
        <v/>
      </c>
      <c r="N32" t="n">
        <v>19.8</v>
      </c>
      <c r="O32" s="8" t="n">
        <v>0.6</v>
      </c>
      <c r="P32" s="8" t="n">
        <v>0.7</v>
      </c>
      <c r="Q32" s="8" t="n">
        <v>0.73</v>
      </c>
      <c r="R32" t="inlineStr">
        <is>
          <t>-</t>
        </is>
      </c>
      <c r="S32" t="n">
        <v>2</v>
      </c>
      <c r="T32">
        <f>INDEX(Calc!$G$2:$G$124,MATCH($W32,Calc!$A$2:$A$124,0))&amp;" / "&amp;INDEX(Calc!$H$2:$H$124,MATCH($W32,Calc!$A$2:$A$124,0))</f>
        <v/>
      </c>
      <c r="U32">
        <f>TEXT(INDEX(Calc!$J$2:$J$124,MATCH($W32,Calc!$A$2:$A$124,0)),"0.0")&amp;" / "&amp;TEXT(INDEX(Calc!$K$2:$K$124,MATCH($W32,Calc!$A$2:$A$124,0)),"0.0")</f>
        <v/>
      </c>
      <c r="V32">
        <f>IFERROR(INDEX(Calc!$AQ$2:$AQ$124,MATCH($W32,Calc!$A$2:$A$124,0)),"")</f>
        <v/>
      </c>
      <c r="W32" t="inlineStr">
        <is>
          <t>0hbeigv9v9oomi7|CS2 [NO MARKET] · Color vs ex-ZT</t>
        </is>
      </c>
      <c r="X32" t="inlineStr">
        <is>
          <t>H12</t>
        </is>
      </c>
      <c r="Y32">
        <f>W32&amp;"|"&amp;X32</f>
        <v/>
      </c>
      <c r="Z32" s="9">
        <f>IFERROR(INDEX(CHOOSE(MATCH($X32,{"K1","K2","K3","K12","K13","H1","H2","H3","H12","H13"},0),Calc!$BA$2:$BA$124,Calc!$BB$2:$BB$124,Calc!$BC$2:$BC$124,Calc!$BD$2:$BD$124,Calc!$BE$2:$BE$124,Calc!$BF$2:$BF$124,Calc!$BG$2:$BG$124,Calc!$BH$2:$BH$124,Calc!$BI$2:$BI$124,Calc!$BJ$2:$BJ$124),MATCH($W32,Calc!$A$2:$A$124,0)),"")</f>
        <v/>
      </c>
      <c r="AA32" s="9">
        <f>IF(Z32="","",IF(LEFT($X32,1)="H",SQRT(Z32*(IFERROR(INDEX(Calc!$AP$2:$AP$124,MATCH($W32,Calc!$A$2:$A$124,0)),0.5)*Config!$B$5+1-IFERROR(INDEX(Calc!$AP$2:$AP$124,MATCH($W32,Calc!$A$2:$A$124,0)),0.5))),SQRT(Z32*Config!$B$5)))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[NO MARKET] · Color vs ex-ZT</t>
        </is>
      </c>
      <c r="C33" t="inlineStr">
        <is>
          <t>cronuss</t>
        </is>
      </c>
      <c r="D33" t="inlineStr">
        <is>
          <t>Color</t>
        </is>
      </c>
      <c r="E33" t="inlineStr">
        <is>
          <t>Maps 1-2 Kills</t>
        </is>
      </c>
      <c r="F33" t="n">
        <v>30.5</v>
      </c>
      <c r="G33" s="9">
        <f>IFERROR(INDEX(CHOOSE(MATCH($X33,{"K1","K2","K3","K12","K13","H1","H2","H3","H12","H13"},0),Calc!$V$2:$V$124,Calc!$AC$2:$AC$124,Calc!$AJ$2:$AJ$124,Calc!$AL$2:$AL$124,Calc!$AM$2:$AM$124,Calc!$W$2:$W$124,Calc!$AD$2:$AD$124,Calc!$AK$2:$AK$124,Calc!$AN$2:$AN$124,Calc!$AO$2:$AO$124),MATCH($W33,Calc!$A$2:$A$124,0)),"")</f>
        <v/>
      </c>
      <c r="H33" s="9">
        <f>IF(G33="","",IF(LEFT($X33,1)="H",SQRT(G33*(IFERROR(INDEX(Calc!$AP$2:$AP$124,MATCH($W33,Calc!$A$2:$A$124,0)),0.5)*Config!$B$5+1-IFERROR(INDEX(Calc!$AP$2:$AP$124,MATCH($W33,Calc!$A$2:$A$124,0)),0.5))),SQRT(G33*Config!$B$5)))</f>
        <v/>
      </c>
      <c r="I33" s="8">
        <f>IF(OR(F33="",G33="",N(H33)&lt;=0),"",1-NORMDIST(FLOOR(F33,1)+0.5,G33,H33,TRUE))</f>
        <v/>
      </c>
      <c r="J33" s="8">
        <f>IF(I33="","",NORMDIST(CEILING(F33,1)-0.5,G33,H33,TRUE))</f>
        <v/>
      </c>
      <c r="K33" s="8">
        <f>IF(I33="","",MAX(0,1-I33-J33))</f>
        <v/>
      </c>
      <c r="L33">
        <f>IF(I33="","",IF(I33&gt;=0.5+Config!$B$6,"OVER",IF(J33&gt;=0.5+Config!$B$6,"UNDER","—")))</f>
        <v/>
      </c>
      <c r="N33" t="n">
        <v>30.9</v>
      </c>
      <c r="O33" s="8" t="n">
        <v>0.8</v>
      </c>
      <c r="P33" s="8" t="n">
        <v>0.6</v>
      </c>
      <c r="Q33" s="8" t="n">
        <v>0.6</v>
      </c>
      <c r="R33" t="inlineStr">
        <is>
          <t>-</t>
        </is>
      </c>
      <c r="S33" t="n">
        <v>3</v>
      </c>
      <c r="T33">
        <f>INDEX(Calc!$G$2:$G$124,MATCH($W33,Calc!$A$2:$A$124,0))&amp;" / "&amp;INDEX(Calc!$H$2:$H$124,MATCH($W33,Calc!$A$2:$A$124,0))</f>
        <v/>
      </c>
      <c r="U33">
        <f>TEXT(INDEX(Calc!$J$2:$J$124,MATCH($W33,Calc!$A$2:$A$124,0)),"0.0")&amp;" / "&amp;TEXT(INDEX(Calc!$K$2:$K$124,MATCH($W33,Calc!$A$2:$A$124,0)),"0.0")</f>
        <v/>
      </c>
      <c r="V33">
        <f>IFERROR(INDEX(Calc!$AQ$2:$AQ$124,MATCH($W33,Calc!$A$2:$A$124,0)),"")</f>
        <v/>
      </c>
      <c r="W33" t="inlineStr">
        <is>
          <t>0hbeigv9v9oomi7|CS2 [NO MARKET] · Color vs ex-ZT</t>
        </is>
      </c>
      <c r="X33" t="inlineStr">
        <is>
          <t>K12</t>
        </is>
      </c>
      <c r="Y33">
        <f>W33&amp;"|"&amp;X33</f>
        <v/>
      </c>
      <c r="Z33" s="9">
        <f>IFERROR(INDEX(CHOOSE(MATCH($X33,{"K1","K2","K3","K12","K13","H1","H2","H3","H12","H13"},0),Calc!$BA$2:$BA$124,Calc!$BB$2:$BB$124,Calc!$BC$2:$BC$124,Calc!$BD$2:$BD$124,Calc!$BE$2:$BE$124,Calc!$BF$2:$BF$124,Calc!$BG$2:$BG$124,Calc!$BH$2:$BH$124,Calc!$BI$2:$BI$124,Calc!$BJ$2:$BJ$124),MATCH($W33,Calc!$A$2:$A$124,0)),"")</f>
        <v/>
      </c>
      <c r="AA33" s="9">
        <f>IF(Z33="","",IF(LEFT($X33,1)="H",SQRT(Z33*(IFERROR(INDEX(Calc!$AP$2:$AP$124,MATCH($W33,Calc!$A$2:$A$124,0)),0.5)*Config!$B$5+1-IFERROR(INDEX(Calc!$AP$2:$AP$124,MATCH($W33,Calc!$A$2:$A$124,0)),0.5))),SQRT(Z33*Config!$B$5)))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[NO MARKET] · Color vs ex-ZT</t>
        </is>
      </c>
      <c r="C34" t="inlineStr">
        <is>
          <t>Oz1k</t>
        </is>
      </c>
      <c r="D34" t="inlineStr">
        <is>
          <t>Color</t>
        </is>
      </c>
      <c r="E34" t="inlineStr">
        <is>
          <t>Maps 1-2 HS</t>
        </is>
      </c>
      <c r="F34" t="n">
        <v>17.5</v>
      </c>
      <c r="G34" s="9">
        <f>IFERROR(INDEX(CHOOSE(MATCH($X34,{"K1","K2","K3","K12","K13","H1","H2","H3","H12","H13"},0),Calc!$V$2:$V$124,Calc!$AC$2:$AC$124,Calc!$AJ$2:$AJ$124,Calc!$AL$2:$AL$124,Calc!$AM$2:$AM$124,Calc!$W$2:$W$124,Calc!$AD$2:$AD$124,Calc!$AK$2:$AK$124,Calc!$AN$2:$AN$124,Calc!$AO$2:$AO$124),MATCH($W34,Calc!$A$2:$A$124,0)),"")</f>
        <v/>
      </c>
      <c r="H34" s="9">
        <f>IF(G34="","",IF(LEFT($X34,1)="H",SQRT(G34*(IFERROR(INDEX(Calc!$AP$2:$AP$124,MATCH($W34,Calc!$A$2:$A$124,0)),0.5)*Config!$B$5+1-IFERROR(INDEX(Calc!$AP$2:$AP$124,MATCH($W34,Calc!$A$2:$A$124,0)),0.5))),SQRT(G34*Config!$B$5)))</f>
        <v/>
      </c>
      <c r="I34" s="8">
        <f>IF(OR(F34="",G34="",N(H34)&lt;=0),"",1-NORMDIST(FLOOR(F34,1)+0.5,G34,H34,TRUE))</f>
        <v/>
      </c>
      <c r="J34" s="8">
        <f>IF(I34="","",NORMDIST(CEILING(F34,1)-0.5,G34,H34,TRUE))</f>
        <v/>
      </c>
      <c r="K34" s="8">
        <f>IF(I34="","",MAX(0,1-I34-J34))</f>
        <v/>
      </c>
      <c r="L34">
        <f>IF(I34="","",IF(I34&gt;=0.5+Config!$B$6,"OVER",IF(J34&gt;=0.5+Config!$B$6,"UNDER","—")))</f>
        <v/>
      </c>
      <c r="N34" t="n">
        <v>20.3</v>
      </c>
      <c r="O34" s="8" t="n">
        <v>0.6</v>
      </c>
      <c r="P34" s="8" t="n">
        <v>0.5</v>
      </c>
      <c r="Q34" s="8" t="n">
        <v>0.47</v>
      </c>
      <c r="R34" t="inlineStr">
        <is>
          <t>-</t>
        </is>
      </c>
      <c r="S34" t="n">
        <v>-2</v>
      </c>
      <c r="T34">
        <f>INDEX(Calc!$G$2:$G$124,MATCH($W34,Calc!$A$2:$A$124,0))&amp;" / "&amp;INDEX(Calc!$H$2:$H$124,MATCH($W34,Calc!$A$2:$A$124,0))</f>
        <v/>
      </c>
      <c r="U34">
        <f>TEXT(INDEX(Calc!$J$2:$J$124,MATCH($W34,Calc!$A$2:$A$124,0)),"0.0")&amp;" / "&amp;TEXT(INDEX(Calc!$K$2:$K$124,MATCH($W34,Calc!$A$2:$A$124,0)),"0.0")</f>
        <v/>
      </c>
      <c r="V34">
        <f>IFERROR(INDEX(Calc!$AQ$2:$AQ$124,MATCH($W34,Calc!$A$2:$A$124,0)),"")</f>
        <v/>
      </c>
      <c r="W34" t="inlineStr">
        <is>
          <t>x9afncgn4bx6f1l|CS2 [NO MARKET] · Color vs ex-ZT</t>
        </is>
      </c>
      <c r="X34" t="inlineStr">
        <is>
          <t>H12</t>
        </is>
      </c>
      <c r="Y34">
        <f>W34&amp;"|"&amp;X34</f>
        <v/>
      </c>
      <c r="Z34" s="9">
        <f>IFERROR(INDEX(CHOOSE(MATCH($X34,{"K1","K2","K3","K12","K13","H1","H2","H3","H12","H13"},0),Calc!$BA$2:$BA$124,Calc!$BB$2:$BB$124,Calc!$BC$2:$BC$124,Calc!$BD$2:$BD$124,Calc!$BE$2:$BE$124,Calc!$BF$2:$BF$124,Calc!$BG$2:$BG$124,Calc!$BH$2:$BH$124,Calc!$BI$2:$BI$124,Calc!$BJ$2:$BJ$124),MATCH($W34,Calc!$A$2:$A$124,0)),"")</f>
        <v/>
      </c>
      <c r="AA34" s="9">
        <f>IF(Z34="","",IF(LEFT($X34,1)="H",SQRT(Z34*(IFERROR(INDEX(Calc!$AP$2:$AP$124,MATCH($W34,Calc!$A$2:$A$124,0)),0.5)*Config!$B$5+1-IFERROR(INDEX(Calc!$AP$2:$AP$124,MATCH($W34,Calc!$A$2:$A$124,0)),0.5))),SQRT(Z34*Config!$B$5)))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[NO MARKET] · Color vs ex-ZT</t>
        </is>
      </c>
      <c r="C35" t="inlineStr">
        <is>
          <t>Oz1k</t>
        </is>
      </c>
      <c r="D35" t="inlineStr">
        <is>
          <t>Color</t>
        </is>
      </c>
      <c r="E35" t="inlineStr">
        <is>
          <t>Maps 1-2 Kills</t>
        </is>
      </c>
      <c r="F35" t="n">
        <v>29</v>
      </c>
      <c r="G35" s="9">
        <f>IFERROR(INDEX(CHOOSE(MATCH($X35,{"K1","K2","K3","K12","K13","H1","H2","H3","H12","H13"},0),Calc!$V$2:$V$124,Calc!$AC$2:$AC$124,Calc!$AJ$2:$AJ$124,Calc!$AL$2:$AL$124,Calc!$AM$2:$AM$124,Calc!$W$2:$W$124,Calc!$AD$2:$AD$124,Calc!$AK$2:$AK$124,Calc!$AN$2:$AN$124,Calc!$AO$2:$AO$124),MATCH($W35,Calc!$A$2:$A$124,0)),"")</f>
        <v/>
      </c>
      <c r="H35" s="9">
        <f>IF(G35="","",IF(LEFT($X35,1)="H",SQRT(G35*(IFERROR(INDEX(Calc!$AP$2:$AP$124,MATCH($W35,Calc!$A$2:$A$124,0)),0.5)*Config!$B$5+1-IFERROR(INDEX(Calc!$AP$2:$AP$124,MATCH($W35,Calc!$A$2:$A$124,0)),0.5))),SQRT(G35*Config!$B$5)))</f>
        <v/>
      </c>
      <c r="I35" s="8">
        <f>IF(OR(F35="",G35="",N(H35)&lt;=0),"",1-NORMDIST(FLOOR(F35,1)+0.5,G35,H35,TRUE))</f>
        <v/>
      </c>
      <c r="J35" s="8">
        <f>IF(I35="","",NORMDIST(CEILING(F35,1)-0.5,G35,H35,TRUE))</f>
        <v/>
      </c>
      <c r="K35" s="8">
        <f>IF(I35="","",MAX(0,1-I35-J35))</f>
        <v/>
      </c>
      <c r="L35">
        <f>IF(I35="","",IF(I35&gt;=0.5+Config!$B$6,"OVER",IF(J35&gt;=0.5+Config!$B$6,"UNDER","—")))</f>
        <v/>
      </c>
      <c r="N35" t="n">
        <v>31.2</v>
      </c>
      <c r="O35" s="8" t="n">
        <v>0.6</v>
      </c>
      <c r="P35" s="8" t="n">
        <v>0.5</v>
      </c>
      <c r="Q35" s="8" t="n">
        <v>0.6</v>
      </c>
      <c r="R35" t="inlineStr">
        <is>
          <t>-</t>
        </is>
      </c>
      <c r="S35" t="n">
        <v>-2</v>
      </c>
      <c r="T35">
        <f>INDEX(Calc!$G$2:$G$124,MATCH($W35,Calc!$A$2:$A$124,0))&amp;" / "&amp;INDEX(Calc!$H$2:$H$124,MATCH($W35,Calc!$A$2:$A$124,0))</f>
        <v/>
      </c>
      <c r="U35">
        <f>TEXT(INDEX(Calc!$J$2:$J$124,MATCH($W35,Calc!$A$2:$A$124,0)),"0.0")&amp;" / "&amp;TEXT(INDEX(Calc!$K$2:$K$124,MATCH($W35,Calc!$A$2:$A$124,0)),"0.0")</f>
        <v/>
      </c>
      <c r="V35">
        <f>IFERROR(INDEX(Calc!$AQ$2:$AQ$124,MATCH($W35,Calc!$A$2:$A$124,0)),"")</f>
        <v/>
      </c>
      <c r="W35" t="inlineStr">
        <is>
          <t>x9afncgn4bx6f1l|CS2 [NO MARKET] · Color vs ex-ZT</t>
        </is>
      </c>
      <c r="X35" t="inlineStr">
        <is>
          <t>K12</t>
        </is>
      </c>
      <c r="Y35">
        <f>W35&amp;"|"&amp;X35</f>
        <v/>
      </c>
      <c r="Z35" s="9">
        <f>IFERROR(INDEX(CHOOSE(MATCH($X35,{"K1","K2","K3","K12","K13","H1","H2","H3","H12","H13"},0),Calc!$BA$2:$BA$124,Calc!$BB$2:$BB$124,Calc!$BC$2:$BC$124,Calc!$BD$2:$BD$124,Calc!$BE$2:$BE$124,Calc!$BF$2:$BF$124,Calc!$BG$2:$BG$124,Calc!$BH$2:$BH$124,Calc!$BI$2:$BI$124,Calc!$BJ$2:$BJ$124),MATCH($W35,Calc!$A$2:$A$124,0)),"")</f>
        <v/>
      </c>
      <c r="AA35" s="9">
        <f>IF(Z35="","",IF(LEFT($X35,1)="H",SQRT(Z35*(IFERROR(INDEX(Calc!$AP$2:$AP$124,MATCH($W35,Calc!$A$2:$A$124,0)),0.5)*Config!$B$5+1-IFERROR(INDEX(Calc!$AP$2:$AP$124,MATCH($W35,Calc!$A$2:$A$124,0)),0.5))),SQRT(Z35*Config!$B$5)))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 AUR vs G2</t>
        </is>
      </c>
      <c r="C36" t="inlineStr">
        <is>
          <t>Jimpphat</t>
        </is>
      </c>
      <c r="D36" t="inlineStr">
        <is>
          <t>AUR</t>
        </is>
      </c>
      <c r="E36" t="inlineStr">
        <is>
          <t>Maps 1-2 HS</t>
        </is>
      </c>
      <c r="F36" t="n">
        <v>16</v>
      </c>
      <c r="G36" s="9">
        <f>IFERROR(INDEX(CHOOSE(MATCH($X36,{"K1","K2","K3","K12","K13","H1","H2","H3","H12","H13"},0),Calc!$V$2:$V$124,Calc!$AC$2:$AC$124,Calc!$AJ$2:$AJ$124,Calc!$AL$2:$AL$124,Calc!$AM$2:$AM$124,Calc!$W$2:$W$124,Calc!$AD$2:$AD$124,Calc!$AK$2:$AK$124,Calc!$AN$2:$AN$124,Calc!$AO$2:$AO$124),MATCH($W36,Calc!$A$2:$A$124,0)),"")</f>
        <v/>
      </c>
      <c r="H36" s="9">
        <f>IF(G36="","",IF(LEFT($X36,1)="H",SQRT(G36*(IFERROR(INDEX(Calc!$AP$2:$AP$124,MATCH($W36,Calc!$A$2:$A$124,0)),0.5)*Config!$B$5+1-IFERROR(INDEX(Calc!$AP$2:$AP$124,MATCH($W36,Calc!$A$2:$A$124,0)),0.5))),SQRT(G36*Config!$B$5)))</f>
        <v/>
      </c>
      <c r="I36" s="8">
        <f>IF(OR(F36="",G36="",N(H36)&lt;=0),"",1-NORMDIST(FLOOR(F36,1)+0.5,G36,H36,TRUE))</f>
        <v/>
      </c>
      <c r="J36" s="8">
        <f>IF(I36="","",NORMDIST(CEILING(F36,1)-0.5,G36,H36,TRUE))</f>
        <v/>
      </c>
      <c r="K36" s="8">
        <f>IF(I36="","",MAX(0,1-I36-J36))</f>
        <v/>
      </c>
      <c r="L36">
        <f>IF(I36="","",IF(I36&gt;=0.5+Config!$B$6,"OVER",IF(J36&gt;=0.5+Config!$B$6,"UNDER","—")))</f>
        <v/>
      </c>
      <c r="N36" t="n">
        <v>15.9</v>
      </c>
      <c r="O36" s="8" t="n">
        <v>0.4</v>
      </c>
      <c r="P36" s="8" t="n">
        <v>0.4</v>
      </c>
      <c r="Q36" s="8" t="n">
        <v>0.53</v>
      </c>
      <c r="R36" t="inlineStr">
        <is>
          <t>36%/4/11</t>
        </is>
      </c>
      <c r="S36" t="n">
        <v>-1</v>
      </c>
      <c r="T36">
        <f>INDEX(Calc!$G$2:$G$124,MATCH($W36,Calc!$A$2:$A$124,0))&amp;" / "&amp;INDEX(Calc!$H$2:$H$124,MATCH($W36,Calc!$A$2:$A$124,0))</f>
        <v/>
      </c>
      <c r="U36">
        <f>TEXT(INDEX(Calc!$J$2:$J$124,MATCH($W36,Calc!$A$2:$A$124,0)),"0.0")&amp;" / "&amp;TEXT(INDEX(Calc!$K$2:$K$124,MATCH($W36,Calc!$A$2:$A$124,0)),"0.0")</f>
        <v/>
      </c>
      <c r="V36">
        <f>IFERROR(INDEX(Calc!$AQ$2:$AQ$124,MATCH($W36,Calc!$A$2:$A$124,0)),"")</f>
        <v/>
      </c>
      <c r="W36" t="inlineStr">
        <is>
          <t>66ajrvmetqiufsf|CS2 · AUR vs G2</t>
        </is>
      </c>
      <c r="X36" t="inlineStr">
        <is>
          <t>H12</t>
        </is>
      </c>
      <c r="Y36">
        <f>W36&amp;"|"&amp;X36</f>
        <v/>
      </c>
      <c r="Z36" s="9">
        <f>IFERROR(INDEX(CHOOSE(MATCH($X36,{"K1","K2","K3","K12","K13","H1","H2","H3","H12","H13"},0),Calc!$BA$2:$BA$124,Calc!$BB$2:$BB$124,Calc!$BC$2:$BC$124,Calc!$BD$2:$BD$124,Calc!$BE$2:$BE$124,Calc!$BF$2:$BF$124,Calc!$BG$2:$BG$124,Calc!$BH$2:$BH$124,Calc!$BI$2:$BI$124,Calc!$BJ$2:$BJ$124),MATCH($W36,Calc!$A$2:$A$124,0)),"")</f>
        <v/>
      </c>
      <c r="AA36" s="9">
        <f>IF(Z36="","",IF(LEFT($X36,1)="H",SQRT(Z36*(IFERROR(INDEX(Calc!$AP$2:$AP$124,MATCH($W36,Calc!$A$2:$A$124,0)),0.5)*Config!$B$5+1-IFERROR(INDEX(Calc!$AP$2:$AP$124,MATCH($W36,Calc!$A$2:$A$124,0)),0.5))),SQRT(Z36*Config!$B$5)))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 AUR vs G2</t>
        </is>
      </c>
      <c r="C37" t="inlineStr">
        <is>
          <t>Jimpphat</t>
        </is>
      </c>
      <c r="D37" t="inlineStr">
        <is>
          <t>AUR</t>
        </is>
      </c>
      <c r="E37" t="inlineStr">
        <is>
          <t>Maps 1-2 Kills</t>
        </is>
      </c>
      <c r="F37" t="n">
        <v>30</v>
      </c>
      <c r="G37" s="9">
        <f>IFERROR(INDEX(CHOOSE(MATCH($X37,{"K1","K2","K3","K12","K13","H1","H2","H3","H12","H13"},0),Calc!$V$2:$V$124,Calc!$AC$2:$AC$124,Calc!$AJ$2:$AJ$124,Calc!$AL$2:$AL$124,Calc!$AM$2:$AM$124,Calc!$W$2:$W$124,Calc!$AD$2:$AD$124,Calc!$AK$2:$AK$124,Calc!$AN$2:$AN$124,Calc!$AO$2:$AO$124),MATCH($W37,Calc!$A$2:$A$124,0)),"")</f>
        <v/>
      </c>
      <c r="H37" s="9">
        <f>IF(G37="","",IF(LEFT($X37,1)="H",SQRT(G37*(IFERROR(INDEX(Calc!$AP$2:$AP$124,MATCH($W37,Calc!$A$2:$A$124,0)),0.5)*Config!$B$5+1-IFERROR(INDEX(Calc!$AP$2:$AP$124,MATCH($W37,Calc!$A$2:$A$124,0)),0.5))),SQRT(G37*Config!$B$5)))</f>
        <v/>
      </c>
      <c r="I37" s="8">
        <f>IF(OR(F37="",G37="",N(H37)&lt;=0),"",1-NORMDIST(FLOOR(F37,1)+0.5,G37,H37,TRUE))</f>
        <v/>
      </c>
      <c r="J37" s="8">
        <f>IF(I37="","",NORMDIST(CEILING(F37,1)-0.5,G37,H37,TRUE))</f>
        <v/>
      </c>
      <c r="K37" s="8">
        <f>IF(I37="","",MAX(0,1-I37-J37))</f>
        <v/>
      </c>
      <c r="L37">
        <f>IF(I37="","",IF(I37&gt;=0.5+Config!$B$6,"OVER",IF(J37&gt;=0.5+Config!$B$6,"UNDER","—")))</f>
        <v/>
      </c>
      <c r="M37" t="n">
        <v>30.18</v>
      </c>
      <c r="N37" t="n">
        <v>29.9</v>
      </c>
      <c r="O37" s="8" t="n">
        <v>0.4</v>
      </c>
      <c r="P37" s="8" t="n">
        <v>0.5</v>
      </c>
      <c r="Q37" s="8" t="n">
        <v>0.53</v>
      </c>
      <c r="R37" t="inlineStr">
        <is>
          <t>46%/5/11</t>
        </is>
      </c>
      <c r="S37" t="n">
        <v>-1</v>
      </c>
      <c r="T37">
        <f>INDEX(Calc!$G$2:$G$124,MATCH($W37,Calc!$A$2:$A$124,0))&amp;" / "&amp;INDEX(Calc!$H$2:$H$124,MATCH($W37,Calc!$A$2:$A$124,0))</f>
        <v/>
      </c>
      <c r="U37">
        <f>TEXT(INDEX(Calc!$J$2:$J$124,MATCH($W37,Calc!$A$2:$A$124,0)),"0.0")&amp;" / "&amp;TEXT(INDEX(Calc!$K$2:$K$124,MATCH($W37,Calc!$A$2:$A$124,0)),"0.0")</f>
        <v/>
      </c>
      <c r="V37">
        <f>IFERROR(INDEX(Calc!$AQ$2:$AQ$124,MATCH($W37,Calc!$A$2:$A$124,0)),"")</f>
        <v/>
      </c>
      <c r="W37" t="inlineStr">
        <is>
          <t>66ajrvmetqiufsf|CS2 · AUR vs G2</t>
        </is>
      </c>
      <c r="X37" t="inlineStr">
        <is>
          <t>K12</t>
        </is>
      </c>
      <c r="Y37">
        <f>W37&amp;"|"&amp;X37</f>
        <v/>
      </c>
      <c r="Z37" s="9">
        <f>IFERROR(INDEX(CHOOSE(MATCH($X37,{"K1","K2","K3","K12","K13","H1","H2","H3","H12","H13"},0),Calc!$BA$2:$BA$124,Calc!$BB$2:$BB$124,Calc!$BC$2:$BC$124,Calc!$BD$2:$BD$124,Calc!$BE$2:$BE$124,Calc!$BF$2:$BF$124,Calc!$BG$2:$BG$124,Calc!$BH$2:$BH$124,Calc!$BI$2:$BI$124,Calc!$BJ$2:$BJ$124),MATCH($W37,Calc!$A$2:$A$124,0)),"")</f>
        <v/>
      </c>
      <c r="AA37" s="9">
        <f>IF(Z37="","",IF(LEFT($X37,1)="H",SQRT(Z37*(IFERROR(INDEX(Calc!$AP$2:$AP$124,MATCH($W37,Calc!$A$2:$A$124,0)),0.5)*Config!$B$5+1-IFERROR(INDEX(Calc!$AP$2:$AP$124,MATCH($W37,Calc!$A$2:$A$124,0)),0.5))),SQRT(Z37*Config!$B$5)))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 AUR vs G2</t>
        </is>
      </c>
      <c r="C38" t="inlineStr">
        <is>
          <t>kyxsan</t>
        </is>
      </c>
      <c r="D38" t="inlineStr">
        <is>
          <t>AUR</t>
        </is>
      </c>
      <c r="E38" t="inlineStr">
        <is>
          <t>Maps 1-2 HS</t>
        </is>
      </c>
      <c r="F38" t="n">
        <v>13.5</v>
      </c>
      <c r="G38" s="9">
        <f>IFERROR(INDEX(CHOOSE(MATCH($X38,{"K1","K2","K3","K12","K13","H1","H2","H3","H12","H13"},0),Calc!$V$2:$V$124,Calc!$AC$2:$AC$124,Calc!$AJ$2:$AJ$124,Calc!$AL$2:$AL$124,Calc!$AM$2:$AM$124,Calc!$W$2:$W$124,Calc!$AD$2:$AD$124,Calc!$AK$2:$AK$124,Calc!$AN$2:$AN$124,Calc!$AO$2:$AO$124),MATCH($W38,Calc!$A$2:$A$124,0)),"")</f>
        <v/>
      </c>
      <c r="H38" s="9">
        <f>IF(G38="","",IF(LEFT($X38,1)="H",SQRT(G38*(IFERROR(INDEX(Calc!$AP$2:$AP$124,MATCH($W38,Calc!$A$2:$A$124,0)),0.5)*Config!$B$5+1-IFERROR(INDEX(Calc!$AP$2:$AP$124,MATCH($W38,Calc!$A$2:$A$124,0)),0.5))),SQRT(G38*Config!$B$5)))</f>
        <v/>
      </c>
      <c r="I38" s="8">
        <f>IF(OR(F38="",G38="",N(H38)&lt;=0),"",1-NORMDIST(FLOOR(F38,1)+0.5,G38,H38,TRUE))</f>
        <v/>
      </c>
      <c r="J38" s="8">
        <f>IF(I38="","",NORMDIST(CEILING(F38,1)-0.5,G38,H38,TRUE))</f>
        <v/>
      </c>
      <c r="K38" s="8">
        <f>IF(I38="","",MAX(0,1-I38-J38))</f>
        <v/>
      </c>
      <c r="L38">
        <f>IF(I38="","",IF(I38&gt;=0.5+Config!$B$6,"OVER",IF(J38&gt;=0.5+Config!$B$6,"UNDER","—")))</f>
        <v/>
      </c>
      <c r="N38" t="n">
        <v>13</v>
      </c>
      <c r="O38" s="8" t="n">
        <v>0.6</v>
      </c>
      <c r="P38" s="8" t="n">
        <v>0.4</v>
      </c>
      <c r="Q38" s="8" t="n">
        <v>0.33</v>
      </c>
      <c r="R38" t="inlineStr">
        <is>
          <t>40%/4/10</t>
        </is>
      </c>
      <c r="S38" t="n">
        <v>-1</v>
      </c>
      <c r="T38">
        <f>INDEX(Calc!$G$2:$G$124,MATCH($W38,Calc!$A$2:$A$124,0))&amp;" / "&amp;INDEX(Calc!$H$2:$H$124,MATCH($W38,Calc!$A$2:$A$124,0))</f>
        <v/>
      </c>
      <c r="U38">
        <f>TEXT(INDEX(Calc!$J$2:$J$124,MATCH($W38,Calc!$A$2:$A$124,0)),"0.0")&amp;" / "&amp;TEXT(INDEX(Calc!$K$2:$K$124,MATCH($W38,Calc!$A$2:$A$124,0)),"0.0")</f>
        <v/>
      </c>
      <c r="V38">
        <f>IFERROR(INDEX(Calc!$AQ$2:$AQ$124,MATCH($W38,Calc!$A$2:$A$124,0)),"")</f>
        <v/>
      </c>
      <c r="W38" t="inlineStr">
        <is>
          <t>gzghvr1quamb0xn|CS2 · AUR vs G2</t>
        </is>
      </c>
      <c r="X38" t="inlineStr">
        <is>
          <t>H12</t>
        </is>
      </c>
      <c r="Y38">
        <f>W38&amp;"|"&amp;X38</f>
        <v/>
      </c>
      <c r="Z38" s="9">
        <f>IFERROR(INDEX(CHOOSE(MATCH($X38,{"K1","K2","K3","K12","K13","H1","H2","H3","H12","H13"},0),Calc!$BA$2:$BA$124,Calc!$BB$2:$BB$124,Calc!$BC$2:$BC$124,Calc!$BD$2:$BD$124,Calc!$BE$2:$BE$124,Calc!$BF$2:$BF$124,Calc!$BG$2:$BG$124,Calc!$BH$2:$BH$124,Calc!$BI$2:$BI$124,Calc!$BJ$2:$BJ$124),MATCH($W38,Calc!$A$2:$A$124,0)),"")</f>
        <v/>
      </c>
      <c r="AA38" s="9">
        <f>IF(Z38="","",IF(LEFT($X38,1)="H",SQRT(Z38*(IFERROR(INDEX(Calc!$AP$2:$AP$124,MATCH($W38,Calc!$A$2:$A$124,0)),0.5)*Config!$B$5+1-IFERROR(INDEX(Calc!$AP$2:$AP$124,MATCH($W38,Calc!$A$2:$A$124,0)),0.5))),SQRT(Z38*Config!$B$5)))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 AUR vs G2</t>
        </is>
      </c>
      <c r="C39" t="inlineStr">
        <is>
          <t>kyxsan</t>
        </is>
      </c>
      <c r="D39" t="inlineStr">
        <is>
          <t>AUR</t>
        </is>
      </c>
      <c r="E39" t="inlineStr">
        <is>
          <t>Maps 1-2 Kills</t>
        </is>
      </c>
      <c r="F39" t="n">
        <v>24.5</v>
      </c>
      <c r="G39" s="9">
        <f>IFERROR(INDEX(CHOOSE(MATCH($X39,{"K1","K2","K3","K12","K13","H1","H2","H3","H12","H13"},0),Calc!$V$2:$V$124,Calc!$AC$2:$AC$124,Calc!$AJ$2:$AJ$124,Calc!$AL$2:$AL$124,Calc!$AM$2:$AM$124,Calc!$W$2:$W$124,Calc!$AD$2:$AD$124,Calc!$AK$2:$AK$124,Calc!$AN$2:$AN$124,Calc!$AO$2:$AO$124),MATCH($W39,Calc!$A$2:$A$124,0)),"")</f>
        <v/>
      </c>
      <c r="H39" s="9">
        <f>IF(G39="","",IF(LEFT($X39,1)="H",SQRT(G39*(IFERROR(INDEX(Calc!$AP$2:$AP$124,MATCH($W39,Calc!$A$2:$A$124,0)),0.5)*Config!$B$5+1-IFERROR(INDEX(Calc!$AP$2:$AP$124,MATCH($W39,Calc!$A$2:$A$124,0)),0.5))),SQRT(G39*Config!$B$5)))</f>
        <v/>
      </c>
      <c r="I39" s="8">
        <f>IF(OR(F39="",G39="",N(H39)&lt;=0),"",1-NORMDIST(FLOOR(F39,1)+0.5,G39,H39,TRUE))</f>
        <v/>
      </c>
      <c r="J39" s="8">
        <f>IF(I39="","",NORMDIST(CEILING(F39,1)-0.5,G39,H39,TRUE))</f>
        <v/>
      </c>
      <c r="K39" s="8">
        <f>IF(I39="","",MAX(0,1-I39-J39))</f>
        <v/>
      </c>
      <c r="L39">
        <f>IF(I39="","",IF(I39&gt;=0.5+Config!$B$6,"OVER",IF(J39&gt;=0.5+Config!$B$6,"UNDER","—")))</f>
        <v/>
      </c>
      <c r="M39" t="n">
        <v>23.31</v>
      </c>
      <c r="N39" t="n">
        <v>22.2</v>
      </c>
      <c r="O39" s="8" t="n">
        <v>0.4</v>
      </c>
      <c r="P39" s="8" t="n">
        <v>0.3</v>
      </c>
      <c r="Q39" s="8" t="n">
        <v>0.2</v>
      </c>
      <c r="R39" t="inlineStr">
        <is>
          <t>70%/7/10</t>
        </is>
      </c>
      <c r="S39" t="n">
        <v>-1</v>
      </c>
      <c r="T39">
        <f>INDEX(Calc!$G$2:$G$124,MATCH($W39,Calc!$A$2:$A$124,0))&amp;" / "&amp;INDEX(Calc!$H$2:$H$124,MATCH($W39,Calc!$A$2:$A$124,0))</f>
        <v/>
      </c>
      <c r="U39">
        <f>TEXT(INDEX(Calc!$J$2:$J$124,MATCH($W39,Calc!$A$2:$A$124,0)),"0.0")&amp;" / "&amp;TEXT(INDEX(Calc!$K$2:$K$124,MATCH($W39,Calc!$A$2:$A$124,0)),"0.0")</f>
        <v/>
      </c>
      <c r="V39">
        <f>IFERROR(INDEX(Calc!$AQ$2:$AQ$124,MATCH($W39,Calc!$A$2:$A$124,0)),"")</f>
        <v/>
      </c>
      <c r="W39" t="inlineStr">
        <is>
          <t>gzghvr1quamb0xn|CS2 · AUR vs G2</t>
        </is>
      </c>
      <c r="X39" t="inlineStr">
        <is>
          <t>K12</t>
        </is>
      </c>
      <c r="Y39">
        <f>W39&amp;"|"&amp;X39</f>
        <v/>
      </c>
      <c r="Z39" s="9">
        <f>IFERROR(INDEX(CHOOSE(MATCH($X39,{"K1","K2","K3","K12","K13","H1","H2","H3","H12","H13"},0),Calc!$BA$2:$BA$124,Calc!$BB$2:$BB$124,Calc!$BC$2:$BC$124,Calc!$BD$2:$BD$124,Calc!$BE$2:$BE$124,Calc!$BF$2:$BF$124,Calc!$BG$2:$BG$124,Calc!$BH$2:$BH$124,Calc!$BI$2:$BI$124,Calc!$BJ$2:$BJ$124),MATCH($W39,Calc!$A$2:$A$124,0)),"")</f>
        <v/>
      </c>
      <c r="AA39" s="9">
        <f>IF(Z39="","",IF(LEFT($X39,1)="H",SQRT(Z39*(IFERROR(INDEX(Calc!$AP$2:$AP$124,MATCH($W39,Calc!$A$2:$A$124,0)),0.5)*Config!$B$5+1-IFERROR(INDEX(Calc!$AP$2:$AP$124,MATCH($W39,Calc!$A$2:$A$124,0)),0.5))),SQRT(Z39*Config!$B$5)))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 AUR vs G2</t>
        </is>
      </c>
      <c r="C40" t="inlineStr">
        <is>
          <t>Wicadia</t>
        </is>
      </c>
      <c r="D40" t="inlineStr">
        <is>
          <t>AUR</t>
        </is>
      </c>
      <c r="E40" t="inlineStr">
        <is>
          <t>Maps 1-2 HS</t>
        </is>
      </c>
      <c r="F40" t="n">
        <v>17.5</v>
      </c>
      <c r="G40" s="9">
        <f>IFERROR(INDEX(CHOOSE(MATCH($X40,{"K1","K2","K3","K12","K13","H1","H2","H3","H12","H13"},0),Calc!$V$2:$V$124,Calc!$AC$2:$AC$124,Calc!$AJ$2:$AJ$124,Calc!$AL$2:$AL$124,Calc!$AM$2:$AM$124,Calc!$W$2:$W$124,Calc!$AD$2:$AD$124,Calc!$AK$2:$AK$124,Calc!$AN$2:$AN$124,Calc!$AO$2:$AO$124),MATCH($W40,Calc!$A$2:$A$124,0)),"")</f>
        <v/>
      </c>
      <c r="H40" s="9">
        <f>IF(G40="","",IF(LEFT($X40,1)="H",SQRT(G40*(IFERROR(INDEX(Calc!$AP$2:$AP$124,MATCH($W40,Calc!$A$2:$A$124,0)),0.5)*Config!$B$5+1-IFERROR(INDEX(Calc!$AP$2:$AP$124,MATCH($W40,Calc!$A$2:$A$124,0)),0.5))),SQRT(G40*Config!$B$5)))</f>
        <v/>
      </c>
      <c r="I40" s="8">
        <f>IF(OR(F40="",G40="",N(H40)&lt;=0),"",1-NORMDIST(FLOOR(F40,1)+0.5,G40,H40,TRUE))</f>
        <v/>
      </c>
      <c r="J40" s="8">
        <f>IF(I40="","",NORMDIST(CEILING(F40,1)-0.5,G40,H40,TRUE))</f>
        <v/>
      </c>
      <c r="K40" s="8">
        <f>IF(I40="","",MAX(0,1-I40-J40))</f>
        <v/>
      </c>
      <c r="L40">
        <f>IF(I40="","",IF(I40&gt;=0.5+Config!$B$6,"OVER",IF(J40&gt;=0.5+Config!$B$6,"UNDER","—")))</f>
        <v/>
      </c>
      <c r="N40" t="n">
        <v>18.3</v>
      </c>
      <c r="O40" s="8" t="n">
        <v>0.8</v>
      </c>
      <c r="P40" s="8" t="n">
        <v>0.5</v>
      </c>
      <c r="Q40" s="8" t="n">
        <v>0.53</v>
      </c>
      <c r="R40" t="inlineStr">
        <is>
          <t>71%/5/7</t>
        </is>
      </c>
      <c r="S40" t="n">
        <v>2</v>
      </c>
      <c r="T40">
        <f>INDEX(Calc!$G$2:$G$124,MATCH($W40,Calc!$A$2:$A$124,0))&amp;" / "&amp;INDEX(Calc!$H$2:$H$124,MATCH($W40,Calc!$A$2:$A$124,0))</f>
        <v/>
      </c>
      <c r="U40">
        <f>TEXT(INDEX(Calc!$J$2:$J$124,MATCH($W40,Calc!$A$2:$A$124,0)),"0.0")&amp;" / "&amp;TEXT(INDEX(Calc!$K$2:$K$124,MATCH($W40,Calc!$A$2:$A$124,0)),"0.0")</f>
        <v/>
      </c>
      <c r="V40">
        <f>IFERROR(INDEX(Calc!$AQ$2:$AQ$124,MATCH($W40,Calc!$A$2:$A$124,0)),"")</f>
        <v/>
      </c>
      <c r="W40" t="inlineStr">
        <is>
          <t>9clq2dpvqugkf0i|CS2 · AUR vs G2</t>
        </is>
      </c>
      <c r="X40" t="inlineStr">
        <is>
          <t>H12</t>
        </is>
      </c>
      <c r="Y40">
        <f>W40&amp;"|"&amp;X40</f>
        <v/>
      </c>
      <c r="Z40" s="9">
        <f>IFERROR(INDEX(CHOOSE(MATCH($X40,{"K1","K2","K3","K12","K13","H1","H2","H3","H12","H13"},0),Calc!$BA$2:$BA$124,Calc!$BB$2:$BB$124,Calc!$BC$2:$BC$124,Calc!$BD$2:$BD$124,Calc!$BE$2:$BE$124,Calc!$BF$2:$BF$124,Calc!$BG$2:$BG$124,Calc!$BH$2:$BH$124,Calc!$BI$2:$BI$124,Calc!$BJ$2:$BJ$124),MATCH($W40,Calc!$A$2:$A$124,0)),"")</f>
        <v/>
      </c>
      <c r="AA40" s="9">
        <f>IF(Z40="","",IF(LEFT($X40,1)="H",SQRT(Z40*(IFERROR(INDEX(Calc!$AP$2:$AP$124,MATCH($W40,Calc!$A$2:$A$124,0)),0.5)*Config!$B$5+1-IFERROR(INDEX(Calc!$AP$2:$AP$124,MATCH($W40,Calc!$A$2:$A$124,0)),0.5))),SQRT(Z40*Config!$B$5)))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 AUR vs G2</t>
        </is>
      </c>
      <c r="C41" t="inlineStr">
        <is>
          <t>Wicadia</t>
        </is>
      </c>
      <c r="D41" t="inlineStr">
        <is>
          <t>AUR</t>
        </is>
      </c>
      <c r="E41" t="inlineStr">
        <is>
          <t>Maps 1-2 Kills</t>
        </is>
      </c>
      <c r="F41" t="n">
        <v>32.5</v>
      </c>
      <c r="G41" s="9">
        <f>IFERROR(INDEX(CHOOSE(MATCH($X41,{"K1","K2","K3","K12","K13","H1","H2","H3","H12","H13"},0),Calc!$V$2:$V$124,Calc!$AC$2:$AC$124,Calc!$AJ$2:$AJ$124,Calc!$AL$2:$AL$124,Calc!$AM$2:$AM$124,Calc!$W$2:$W$124,Calc!$AD$2:$AD$124,Calc!$AK$2:$AK$124,Calc!$AN$2:$AN$124,Calc!$AO$2:$AO$124),MATCH($W41,Calc!$A$2:$A$124,0)),"")</f>
        <v/>
      </c>
      <c r="H41" s="9">
        <f>IF(G41="","",IF(LEFT($X41,1)="H",SQRT(G41*(IFERROR(INDEX(Calc!$AP$2:$AP$124,MATCH($W41,Calc!$A$2:$A$124,0)),0.5)*Config!$B$5+1-IFERROR(INDEX(Calc!$AP$2:$AP$124,MATCH($W41,Calc!$A$2:$A$124,0)),0.5))),SQRT(G41*Config!$B$5)))</f>
        <v/>
      </c>
      <c r="I41" s="8">
        <f>IF(OR(F41="",G41="",N(H41)&lt;=0),"",1-NORMDIST(FLOOR(F41,1)+0.5,G41,H41,TRUE))</f>
        <v/>
      </c>
      <c r="J41" s="8">
        <f>IF(I41="","",NORMDIST(CEILING(F41,1)-0.5,G41,H41,TRUE))</f>
        <v/>
      </c>
      <c r="K41" s="8">
        <f>IF(I41="","",MAX(0,1-I41-J41))</f>
        <v/>
      </c>
      <c r="L41">
        <f>IF(I41="","",IF(I41&gt;=0.5+Config!$B$6,"OVER",IF(J41&gt;=0.5+Config!$B$6,"UNDER","—")))</f>
        <v/>
      </c>
      <c r="M41" t="n">
        <v>32.14</v>
      </c>
      <c r="N41" t="n">
        <v>33.6</v>
      </c>
      <c r="O41" s="8" t="n">
        <v>0.8</v>
      </c>
      <c r="P41" s="8" t="n">
        <v>0.6</v>
      </c>
      <c r="Q41" s="8" t="n">
        <v>0.53</v>
      </c>
      <c r="R41" t="inlineStr">
        <is>
          <t>57%/4/7</t>
        </is>
      </c>
      <c r="S41" t="n">
        <v>2</v>
      </c>
      <c r="T41">
        <f>INDEX(Calc!$G$2:$G$124,MATCH($W41,Calc!$A$2:$A$124,0))&amp;" / "&amp;INDEX(Calc!$H$2:$H$124,MATCH($W41,Calc!$A$2:$A$124,0))</f>
        <v/>
      </c>
      <c r="U41">
        <f>TEXT(INDEX(Calc!$J$2:$J$124,MATCH($W41,Calc!$A$2:$A$124,0)),"0.0")&amp;" / "&amp;TEXT(INDEX(Calc!$K$2:$K$124,MATCH($W41,Calc!$A$2:$A$124,0)),"0.0")</f>
        <v/>
      </c>
      <c r="V41">
        <f>IFERROR(INDEX(Calc!$AQ$2:$AQ$124,MATCH($W41,Calc!$A$2:$A$124,0)),"")</f>
        <v/>
      </c>
      <c r="W41" t="inlineStr">
        <is>
          <t>9clq2dpvqugkf0i|CS2 · AUR vs G2</t>
        </is>
      </c>
      <c r="X41" t="inlineStr">
        <is>
          <t>K12</t>
        </is>
      </c>
      <c r="Y41">
        <f>W41&amp;"|"&amp;X41</f>
        <v/>
      </c>
      <c r="Z41" s="9">
        <f>IFERROR(INDEX(CHOOSE(MATCH($X41,{"K1","K2","K3","K12","K13","H1","H2","H3","H12","H13"},0),Calc!$BA$2:$BA$124,Calc!$BB$2:$BB$124,Calc!$BC$2:$BC$124,Calc!$BD$2:$BD$124,Calc!$BE$2:$BE$124,Calc!$BF$2:$BF$124,Calc!$BG$2:$BG$124,Calc!$BH$2:$BH$124,Calc!$BI$2:$BI$124,Calc!$BJ$2:$BJ$124),MATCH($W41,Calc!$A$2:$A$124,0)),"")</f>
        <v/>
      </c>
      <c r="AA41" s="9">
        <f>IF(Z41="","",IF(LEFT($X41,1)="H",SQRT(Z41*(IFERROR(INDEX(Calc!$AP$2:$AP$124,MATCH($W41,Calc!$A$2:$A$124,0)),0.5)*Config!$B$5+1-IFERROR(INDEX(Calc!$AP$2:$AP$124,MATCH($W41,Calc!$A$2:$A$124,0)),0.5))),SQRT(Z41*Config!$B$5)))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 AUR vs G2</t>
        </is>
      </c>
      <c r="C42" t="inlineStr">
        <is>
          <t>woxic</t>
        </is>
      </c>
      <c r="D42" t="inlineStr">
        <is>
          <t>AUR</t>
        </is>
      </c>
      <c r="E42" t="inlineStr">
        <is>
          <t>Maps 1-2 HS</t>
        </is>
      </c>
      <c r="F42" t="n">
        <v>10</v>
      </c>
      <c r="G42" s="9">
        <f>IFERROR(INDEX(CHOOSE(MATCH($X42,{"K1","K2","K3","K12","K13","H1","H2","H3","H12","H13"},0),Calc!$V$2:$V$124,Calc!$AC$2:$AC$124,Calc!$AJ$2:$AJ$124,Calc!$AL$2:$AL$124,Calc!$AM$2:$AM$124,Calc!$W$2:$W$124,Calc!$AD$2:$AD$124,Calc!$AK$2:$AK$124,Calc!$AN$2:$AN$124,Calc!$AO$2:$AO$124),MATCH($W42,Calc!$A$2:$A$124,0)),"")</f>
        <v/>
      </c>
      <c r="H42" s="9">
        <f>IF(G42="","",IF(LEFT($X42,1)="H",SQRT(G42*(IFERROR(INDEX(Calc!$AP$2:$AP$124,MATCH($W42,Calc!$A$2:$A$124,0)),0.5)*Config!$B$5+1-IFERROR(INDEX(Calc!$AP$2:$AP$124,MATCH($W42,Calc!$A$2:$A$124,0)),0.5))),SQRT(G42*Config!$B$5)))</f>
        <v/>
      </c>
      <c r="I42" s="8">
        <f>IF(OR(F42="",G42="",N(H42)&lt;=0),"",1-NORMDIST(FLOOR(F42,1)+0.5,G42,H42,TRUE))</f>
        <v/>
      </c>
      <c r="J42" s="8">
        <f>IF(I42="","",NORMDIST(CEILING(F42,1)-0.5,G42,H42,TRUE))</f>
        <v/>
      </c>
      <c r="K42" s="8">
        <f>IF(I42="","",MAX(0,1-I42-J42))</f>
        <v/>
      </c>
      <c r="L42">
        <f>IF(I42="","",IF(I42&gt;=0.5+Config!$B$6,"OVER",IF(J42&gt;=0.5+Config!$B$6,"UNDER","—")))</f>
        <v/>
      </c>
      <c r="N42" t="n">
        <v>10.3</v>
      </c>
      <c r="O42" s="8" t="n">
        <v>0.8</v>
      </c>
      <c r="P42" s="8" t="n">
        <v>0.7</v>
      </c>
      <c r="Q42" s="8" t="n">
        <v>0.73</v>
      </c>
      <c r="R42" t="inlineStr">
        <is>
          <t>43%/3/7</t>
        </is>
      </c>
      <c r="S42" t="n">
        <v>-1</v>
      </c>
      <c r="T42">
        <f>INDEX(Calc!$G$2:$G$124,MATCH($W42,Calc!$A$2:$A$124,0))&amp;" / "&amp;INDEX(Calc!$H$2:$H$124,MATCH($W42,Calc!$A$2:$A$124,0))</f>
        <v/>
      </c>
      <c r="U42">
        <f>TEXT(INDEX(Calc!$J$2:$J$124,MATCH($W42,Calc!$A$2:$A$124,0)),"0.0")&amp;" / "&amp;TEXT(INDEX(Calc!$K$2:$K$124,MATCH($W42,Calc!$A$2:$A$124,0)),"0.0")</f>
        <v/>
      </c>
      <c r="V42">
        <f>IFERROR(INDEX(Calc!$AQ$2:$AQ$124,MATCH($W42,Calc!$A$2:$A$124,0)),"")</f>
        <v/>
      </c>
      <c r="W42" t="inlineStr">
        <is>
          <t>lpkyyhtoofj8ova|CS2 · AUR vs G2</t>
        </is>
      </c>
      <c r="X42" t="inlineStr">
        <is>
          <t>H12</t>
        </is>
      </c>
      <c r="Y42">
        <f>W42&amp;"|"&amp;X42</f>
        <v/>
      </c>
      <c r="Z42" s="9">
        <f>IFERROR(INDEX(CHOOSE(MATCH($X42,{"K1","K2","K3","K12","K13","H1","H2","H3","H12","H13"},0),Calc!$BA$2:$BA$124,Calc!$BB$2:$BB$124,Calc!$BC$2:$BC$124,Calc!$BD$2:$BD$124,Calc!$BE$2:$BE$124,Calc!$BF$2:$BF$124,Calc!$BG$2:$BG$124,Calc!$BH$2:$BH$124,Calc!$BI$2:$BI$124,Calc!$BJ$2:$BJ$124),MATCH($W42,Calc!$A$2:$A$124,0)),"")</f>
        <v/>
      </c>
      <c r="AA42" s="9">
        <f>IF(Z42="","",IF(LEFT($X42,1)="H",SQRT(Z42*(IFERROR(INDEX(Calc!$AP$2:$AP$124,MATCH($W42,Calc!$A$2:$A$124,0)),0.5)*Config!$B$5+1-IFERROR(INDEX(Calc!$AP$2:$AP$124,MATCH($W42,Calc!$A$2:$A$124,0)),0.5))),SQRT(Z42*Config!$B$5)))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 AUR vs G2</t>
        </is>
      </c>
      <c r="C43" t="inlineStr">
        <is>
          <t>woxic</t>
        </is>
      </c>
      <c r="D43" t="inlineStr">
        <is>
          <t>AUR</t>
        </is>
      </c>
      <c r="E43" t="inlineStr">
        <is>
          <t>Maps 1-2 Kills</t>
        </is>
      </c>
      <c r="F43" t="n">
        <v>30</v>
      </c>
      <c r="G43" s="9">
        <f>IFERROR(INDEX(CHOOSE(MATCH($X43,{"K1","K2","K3","K12","K13","H1","H2","H3","H12","H13"},0),Calc!$V$2:$V$124,Calc!$AC$2:$AC$124,Calc!$AJ$2:$AJ$124,Calc!$AL$2:$AL$124,Calc!$AM$2:$AM$124,Calc!$W$2:$W$124,Calc!$AD$2:$AD$124,Calc!$AK$2:$AK$124,Calc!$AN$2:$AN$124,Calc!$AO$2:$AO$124),MATCH($W43,Calc!$A$2:$A$124,0)),"")</f>
        <v/>
      </c>
      <c r="H43" s="9">
        <f>IF(G43="","",IF(LEFT($X43,1)="H",SQRT(G43*(IFERROR(INDEX(Calc!$AP$2:$AP$124,MATCH($W43,Calc!$A$2:$A$124,0)),0.5)*Config!$B$5+1-IFERROR(INDEX(Calc!$AP$2:$AP$124,MATCH($W43,Calc!$A$2:$A$124,0)),0.5))),SQRT(G43*Config!$B$5)))</f>
        <v/>
      </c>
      <c r="I43" s="8">
        <f>IF(OR(F43="",G43="",N(H43)&lt;=0),"",1-NORMDIST(FLOOR(F43,1)+0.5,G43,H43,TRUE))</f>
        <v/>
      </c>
      <c r="J43" s="8">
        <f>IF(I43="","",NORMDIST(CEILING(F43,1)-0.5,G43,H43,TRUE))</f>
        <v/>
      </c>
      <c r="K43" s="8">
        <f>IF(I43="","",MAX(0,1-I43-J43))</f>
        <v/>
      </c>
      <c r="L43">
        <f>IF(I43="","",IF(I43&gt;=0.5+Config!$B$6,"OVER",IF(J43&gt;=0.5+Config!$B$6,"UNDER","—")))</f>
        <v/>
      </c>
      <c r="M43" t="n">
        <v>29.74</v>
      </c>
      <c r="N43" t="n">
        <v>28.5</v>
      </c>
      <c r="O43" s="8" t="n">
        <v>0.4</v>
      </c>
      <c r="P43" s="8" t="n">
        <v>0.4</v>
      </c>
      <c r="Q43" s="8" t="n">
        <v>0.4</v>
      </c>
      <c r="R43" t="inlineStr">
        <is>
          <t>71%/5/7</t>
        </is>
      </c>
      <c r="S43" t="n">
        <v>-1</v>
      </c>
      <c r="T43">
        <f>INDEX(Calc!$G$2:$G$124,MATCH($W43,Calc!$A$2:$A$124,0))&amp;" / "&amp;INDEX(Calc!$H$2:$H$124,MATCH($W43,Calc!$A$2:$A$124,0))</f>
        <v/>
      </c>
      <c r="U43">
        <f>TEXT(INDEX(Calc!$J$2:$J$124,MATCH($W43,Calc!$A$2:$A$124,0)),"0.0")&amp;" / "&amp;TEXT(INDEX(Calc!$K$2:$K$124,MATCH($W43,Calc!$A$2:$A$124,0)),"0.0")</f>
        <v/>
      </c>
      <c r="V43">
        <f>IFERROR(INDEX(Calc!$AQ$2:$AQ$124,MATCH($W43,Calc!$A$2:$A$124,0)),"")</f>
        <v/>
      </c>
      <c r="W43" t="inlineStr">
        <is>
          <t>lpkyyhtoofj8ova|CS2 · AUR vs G2</t>
        </is>
      </c>
      <c r="X43" t="inlineStr">
        <is>
          <t>K12</t>
        </is>
      </c>
      <c r="Y43">
        <f>W43&amp;"|"&amp;X43</f>
        <v/>
      </c>
      <c r="Z43" s="9">
        <f>IFERROR(INDEX(CHOOSE(MATCH($X43,{"K1","K2","K3","K12","K13","H1","H2","H3","H12","H13"},0),Calc!$BA$2:$BA$124,Calc!$BB$2:$BB$124,Calc!$BC$2:$BC$124,Calc!$BD$2:$BD$124,Calc!$BE$2:$BE$124,Calc!$BF$2:$BF$124,Calc!$BG$2:$BG$124,Calc!$BH$2:$BH$124,Calc!$BI$2:$BI$124,Calc!$BJ$2:$BJ$124),MATCH($W43,Calc!$A$2:$A$124,0)),"")</f>
        <v/>
      </c>
      <c r="AA43" s="9">
        <f>IF(Z43="","",IF(LEFT($X43,1)="H",SQRT(Z43*(IFERROR(INDEX(Calc!$AP$2:$AP$124,MATCH($W43,Calc!$A$2:$A$124,0)),0.5)*Config!$B$5+1-IFERROR(INDEX(Calc!$AP$2:$AP$124,MATCH($W43,Calc!$A$2:$A$124,0)),0.5))),SQRT(Z43*Config!$B$5)))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 AUR vs G2</t>
        </is>
      </c>
      <c r="C44" t="inlineStr">
        <is>
          <t>XANTARES</t>
        </is>
      </c>
      <c r="D44" t="inlineStr">
        <is>
          <t>AUR</t>
        </is>
      </c>
      <c r="E44" t="inlineStr">
        <is>
          <t>Maps 1-2 HS</t>
        </is>
      </c>
      <c r="F44" t="n">
        <v>16.5</v>
      </c>
      <c r="G44" s="9">
        <f>IFERROR(INDEX(CHOOSE(MATCH($X44,{"K1","K2","K3","K12","K13","H1","H2","H3","H12","H13"},0),Calc!$V$2:$V$124,Calc!$AC$2:$AC$124,Calc!$AJ$2:$AJ$124,Calc!$AL$2:$AL$124,Calc!$AM$2:$AM$124,Calc!$W$2:$W$124,Calc!$AD$2:$AD$124,Calc!$AK$2:$AK$124,Calc!$AN$2:$AN$124,Calc!$AO$2:$AO$124),MATCH($W44,Calc!$A$2:$A$124,0)),"")</f>
        <v/>
      </c>
      <c r="H44" s="9">
        <f>IF(G44="","",IF(LEFT($X44,1)="H",SQRT(G44*(IFERROR(INDEX(Calc!$AP$2:$AP$124,MATCH($W44,Calc!$A$2:$A$124,0)),0.5)*Config!$B$5+1-IFERROR(INDEX(Calc!$AP$2:$AP$124,MATCH($W44,Calc!$A$2:$A$124,0)),0.5))),SQRT(G44*Config!$B$5)))</f>
        <v/>
      </c>
      <c r="I44" s="8">
        <f>IF(OR(F44="",G44="",N(H44)&lt;=0),"",1-NORMDIST(FLOOR(F44,1)+0.5,G44,H44,TRUE))</f>
        <v/>
      </c>
      <c r="J44" s="8">
        <f>IF(I44="","",NORMDIST(CEILING(F44,1)-0.5,G44,H44,TRUE))</f>
        <v/>
      </c>
      <c r="K44" s="8">
        <f>IF(I44="","",MAX(0,1-I44-J44))</f>
        <v/>
      </c>
      <c r="L44">
        <f>IF(I44="","",IF(I44&gt;=0.5+Config!$B$6,"OVER",IF(J44&gt;=0.5+Config!$B$6,"UNDER","—")))</f>
        <v/>
      </c>
      <c r="N44" t="n">
        <v>15.8</v>
      </c>
      <c r="O44" s="8" t="n">
        <v>0.4</v>
      </c>
      <c r="P44" s="8" t="n">
        <v>0.4</v>
      </c>
      <c r="Q44" s="8" t="n">
        <v>0.27</v>
      </c>
      <c r="R44" t="inlineStr">
        <is>
          <t>29%/2/7</t>
        </is>
      </c>
      <c r="S44" t="n">
        <v>-1</v>
      </c>
      <c r="T44">
        <f>INDEX(Calc!$G$2:$G$124,MATCH($W44,Calc!$A$2:$A$124,0))&amp;" / "&amp;INDEX(Calc!$H$2:$H$124,MATCH($W44,Calc!$A$2:$A$124,0))</f>
        <v/>
      </c>
      <c r="U44">
        <f>TEXT(INDEX(Calc!$J$2:$J$124,MATCH($W44,Calc!$A$2:$A$124,0)),"0.0")&amp;" / "&amp;TEXT(INDEX(Calc!$K$2:$K$124,MATCH($W44,Calc!$A$2:$A$124,0)),"0.0")</f>
        <v/>
      </c>
      <c r="V44">
        <f>IFERROR(INDEX(Calc!$AQ$2:$AQ$124,MATCH($W44,Calc!$A$2:$A$124,0)),"")</f>
        <v/>
      </c>
      <c r="W44" t="inlineStr">
        <is>
          <t>zauqna21klkp1rt|CS2 · AUR vs G2</t>
        </is>
      </c>
      <c r="X44" t="inlineStr">
        <is>
          <t>H12</t>
        </is>
      </c>
      <c r="Y44">
        <f>W44&amp;"|"&amp;X44</f>
        <v/>
      </c>
      <c r="Z44" s="9">
        <f>IFERROR(INDEX(CHOOSE(MATCH($X44,{"K1","K2","K3","K12","K13","H1","H2","H3","H12","H13"},0),Calc!$BA$2:$BA$124,Calc!$BB$2:$BB$124,Calc!$BC$2:$BC$124,Calc!$BD$2:$BD$124,Calc!$BE$2:$BE$124,Calc!$BF$2:$BF$124,Calc!$BG$2:$BG$124,Calc!$BH$2:$BH$124,Calc!$BI$2:$BI$124,Calc!$BJ$2:$BJ$124),MATCH($W44,Calc!$A$2:$A$124,0)),"")</f>
        <v/>
      </c>
      <c r="AA44" s="9">
        <f>IF(Z44="","",IF(LEFT($X44,1)="H",SQRT(Z44*(IFERROR(INDEX(Calc!$AP$2:$AP$124,MATCH($W44,Calc!$A$2:$A$124,0)),0.5)*Config!$B$5+1-IFERROR(INDEX(Calc!$AP$2:$AP$124,MATCH($W44,Calc!$A$2:$A$124,0)),0.5))),SQRT(Z44*Config!$B$5)))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 AUR vs G2</t>
        </is>
      </c>
      <c r="C45" t="inlineStr">
        <is>
          <t>XANTARES</t>
        </is>
      </c>
      <c r="D45" t="inlineStr">
        <is>
          <t>AUR</t>
        </is>
      </c>
      <c r="E45" t="inlineStr">
        <is>
          <t>Maps 1-2 Kills</t>
        </is>
      </c>
      <c r="F45" t="n">
        <v>29.5</v>
      </c>
      <c r="G45" s="9">
        <f>IFERROR(INDEX(CHOOSE(MATCH($X45,{"K1","K2","K3","K12","K13","H1","H2","H3","H12","H13"},0),Calc!$V$2:$V$124,Calc!$AC$2:$AC$124,Calc!$AJ$2:$AJ$124,Calc!$AL$2:$AL$124,Calc!$AM$2:$AM$124,Calc!$W$2:$W$124,Calc!$AD$2:$AD$124,Calc!$AK$2:$AK$124,Calc!$AN$2:$AN$124,Calc!$AO$2:$AO$124),MATCH($W45,Calc!$A$2:$A$124,0)),"")</f>
        <v/>
      </c>
      <c r="H45" s="9">
        <f>IF(G45="","",IF(LEFT($X45,1)="H",SQRT(G45*(IFERROR(INDEX(Calc!$AP$2:$AP$124,MATCH($W45,Calc!$A$2:$A$124,0)),0.5)*Config!$B$5+1-IFERROR(INDEX(Calc!$AP$2:$AP$124,MATCH($W45,Calc!$A$2:$A$124,0)),0.5))),SQRT(G45*Config!$B$5)))</f>
        <v/>
      </c>
      <c r="I45" s="8">
        <f>IF(OR(F45="",G45="",N(H45)&lt;=0),"",1-NORMDIST(FLOOR(F45,1)+0.5,G45,H45,TRUE))</f>
        <v/>
      </c>
      <c r="J45" s="8">
        <f>IF(I45="","",NORMDIST(CEILING(F45,1)-0.5,G45,H45,TRUE))</f>
        <v/>
      </c>
      <c r="K45" s="8">
        <f>IF(I45="","",MAX(0,1-I45-J45))</f>
        <v/>
      </c>
      <c r="L45">
        <f>IF(I45="","",IF(I45&gt;=0.5+Config!$B$6,"OVER",IF(J45&gt;=0.5+Config!$B$6,"UNDER","—")))</f>
        <v/>
      </c>
      <c r="M45" t="n">
        <v>29.68</v>
      </c>
      <c r="N45" t="n">
        <v>28.9</v>
      </c>
      <c r="O45" s="8" t="n">
        <v>0.4</v>
      </c>
      <c r="P45" s="8" t="n">
        <v>0.5</v>
      </c>
      <c r="Q45" s="8" t="n">
        <v>0.4</v>
      </c>
      <c r="R45" t="inlineStr">
        <is>
          <t>43%/3/7</t>
        </is>
      </c>
      <c r="S45" t="n">
        <v>-1</v>
      </c>
      <c r="T45">
        <f>INDEX(Calc!$G$2:$G$124,MATCH($W45,Calc!$A$2:$A$124,0))&amp;" / "&amp;INDEX(Calc!$H$2:$H$124,MATCH($W45,Calc!$A$2:$A$124,0))</f>
        <v/>
      </c>
      <c r="U45">
        <f>TEXT(INDEX(Calc!$J$2:$J$124,MATCH($W45,Calc!$A$2:$A$124,0)),"0.0")&amp;" / "&amp;TEXT(INDEX(Calc!$K$2:$K$124,MATCH($W45,Calc!$A$2:$A$124,0)),"0.0")</f>
        <v/>
      </c>
      <c r="V45">
        <f>IFERROR(INDEX(Calc!$AQ$2:$AQ$124,MATCH($W45,Calc!$A$2:$A$124,0)),"")</f>
        <v/>
      </c>
      <c r="W45" t="inlineStr">
        <is>
          <t>zauqna21klkp1rt|CS2 · AUR vs G2</t>
        </is>
      </c>
      <c r="X45" t="inlineStr">
        <is>
          <t>K12</t>
        </is>
      </c>
      <c r="Y45">
        <f>W45&amp;"|"&amp;X45</f>
        <v/>
      </c>
      <c r="Z45" s="9">
        <f>IFERROR(INDEX(CHOOSE(MATCH($X45,{"K1","K2","K3","K12","K13","H1","H2","H3","H12","H13"},0),Calc!$BA$2:$BA$124,Calc!$BB$2:$BB$124,Calc!$BC$2:$BC$124,Calc!$BD$2:$BD$124,Calc!$BE$2:$BE$124,Calc!$BF$2:$BF$124,Calc!$BG$2:$BG$124,Calc!$BH$2:$BH$124,Calc!$BI$2:$BI$124,Calc!$BJ$2:$BJ$124),MATCH($W45,Calc!$A$2:$A$124,0)),"")</f>
        <v/>
      </c>
      <c r="AA45" s="9">
        <f>IF(Z45="","",IF(LEFT($X45,1)="H",SQRT(Z45*(IFERROR(INDEX(Calc!$AP$2:$AP$124,MATCH($W45,Calc!$A$2:$A$124,0)),0.5)*Config!$B$5+1-IFERROR(INDEX(Calc!$AP$2:$AP$124,MATCH($W45,Calc!$A$2:$A$124,0)),0.5))),SQRT(Z45*Config!$B$5)))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 AUR vs G2</t>
        </is>
      </c>
      <c r="C46" t="inlineStr">
        <is>
          <t>HeavyGod</t>
        </is>
      </c>
      <c r="D46" t="inlineStr">
        <is>
          <t>G2</t>
        </is>
      </c>
      <c r="E46" t="inlineStr">
        <is>
          <t>Maps 1-2 HS</t>
        </is>
      </c>
      <c r="F46" t="n">
        <v>16</v>
      </c>
      <c r="G46" s="9">
        <f>IFERROR(INDEX(CHOOSE(MATCH($X46,{"K1","K2","K3","K12","K13","H1","H2","H3","H12","H13"},0),Calc!$V$2:$V$124,Calc!$AC$2:$AC$124,Calc!$AJ$2:$AJ$124,Calc!$AL$2:$AL$124,Calc!$AM$2:$AM$124,Calc!$W$2:$W$124,Calc!$AD$2:$AD$124,Calc!$AK$2:$AK$124,Calc!$AN$2:$AN$124,Calc!$AO$2:$AO$124),MATCH($W46,Calc!$A$2:$A$124,0)),"")</f>
        <v/>
      </c>
      <c r="H46" s="9">
        <f>IF(G46="","",IF(LEFT($X46,1)="H",SQRT(G46*(IFERROR(INDEX(Calc!$AP$2:$AP$124,MATCH($W46,Calc!$A$2:$A$124,0)),0.5)*Config!$B$5+1-IFERROR(INDEX(Calc!$AP$2:$AP$124,MATCH($W46,Calc!$A$2:$A$124,0)),0.5))),SQRT(G46*Config!$B$5)))</f>
        <v/>
      </c>
      <c r="I46" s="8">
        <f>IF(OR(F46="",G46="",N(H46)&lt;=0),"",1-NORMDIST(FLOOR(F46,1)+0.5,G46,H46,TRUE))</f>
        <v/>
      </c>
      <c r="J46" s="8">
        <f>IF(I46="","",NORMDIST(CEILING(F46,1)-0.5,G46,H46,TRUE))</f>
        <v/>
      </c>
      <c r="K46" s="8">
        <f>IF(I46="","",MAX(0,1-I46-J46))</f>
        <v/>
      </c>
      <c r="L46">
        <f>IF(I46="","",IF(I46&gt;=0.5+Config!$B$6,"OVER",IF(J46&gt;=0.5+Config!$B$6,"UNDER","—")))</f>
        <v/>
      </c>
      <c r="N46" t="n">
        <v>18.4</v>
      </c>
      <c r="O46" s="8" t="n">
        <v>0.6</v>
      </c>
      <c r="P46" s="8" t="n">
        <v>0.7</v>
      </c>
      <c r="Q46" s="8" t="n">
        <v>0.73</v>
      </c>
      <c r="R46" t="inlineStr">
        <is>
          <t>83%/5/6</t>
        </is>
      </c>
      <c r="S46" t="n">
        <v>1</v>
      </c>
      <c r="T46">
        <f>INDEX(Calc!$G$2:$G$124,MATCH($W46,Calc!$A$2:$A$124,0))&amp;" / "&amp;INDEX(Calc!$H$2:$H$124,MATCH($W46,Calc!$A$2:$A$124,0))</f>
        <v/>
      </c>
      <c r="U46">
        <f>TEXT(INDEX(Calc!$J$2:$J$124,MATCH($W46,Calc!$A$2:$A$124,0)),"0.0")&amp;" / "&amp;TEXT(INDEX(Calc!$K$2:$K$124,MATCH($W46,Calc!$A$2:$A$124,0)),"0.0")</f>
        <v/>
      </c>
      <c r="V46">
        <f>IFERROR(INDEX(Calc!$AQ$2:$AQ$124,MATCH($W46,Calc!$A$2:$A$124,0)),"")</f>
        <v/>
      </c>
      <c r="W46" t="inlineStr">
        <is>
          <t>tyf3s6dikrrtlem|CS2 · AUR vs G2</t>
        </is>
      </c>
      <c r="X46" t="inlineStr">
        <is>
          <t>H12</t>
        </is>
      </c>
      <c r="Y46">
        <f>W46&amp;"|"&amp;X46</f>
        <v/>
      </c>
      <c r="Z46" s="9">
        <f>IFERROR(INDEX(CHOOSE(MATCH($X46,{"K1","K2","K3","K12","K13","H1","H2","H3","H12","H13"},0),Calc!$BA$2:$BA$124,Calc!$BB$2:$BB$124,Calc!$BC$2:$BC$124,Calc!$BD$2:$BD$124,Calc!$BE$2:$BE$124,Calc!$BF$2:$BF$124,Calc!$BG$2:$BG$124,Calc!$BH$2:$BH$124,Calc!$BI$2:$BI$124,Calc!$BJ$2:$BJ$124),MATCH($W46,Calc!$A$2:$A$124,0)),"")</f>
        <v/>
      </c>
      <c r="AA46" s="9">
        <f>IF(Z46="","",IF(LEFT($X46,1)="H",SQRT(Z46*(IFERROR(INDEX(Calc!$AP$2:$AP$124,MATCH($W46,Calc!$A$2:$A$124,0)),0.5)*Config!$B$5+1-IFERROR(INDEX(Calc!$AP$2:$AP$124,MATCH($W46,Calc!$A$2:$A$124,0)),0.5))),SQRT(Z46*Config!$B$5)))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 AUR vs G2</t>
        </is>
      </c>
      <c r="C47" t="inlineStr">
        <is>
          <t>HeavyGod</t>
        </is>
      </c>
      <c r="D47" t="inlineStr">
        <is>
          <t>G2</t>
        </is>
      </c>
      <c r="E47" t="inlineStr">
        <is>
          <t>Maps 1-2 Kills</t>
        </is>
      </c>
      <c r="F47" t="n">
        <v>28</v>
      </c>
      <c r="G47" s="9">
        <f>IFERROR(INDEX(CHOOSE(MATCH($X47,{"K1","K2","K3","K12","K13","H1","H2","H3","H12","H13"},0),Calc!$V$2:$V$124,Calc!$AC$2:$AC$124,Calc!$AJ$2:$AJ$124,Calc!$AL$2:$AL$124,Calc!$AM$2:$AM$124,Calc!$W$2:$W$124,Calc!$AD$2:$AD$124,Calc!$AK$2:$AK$124,Calc!$AN$2:$AN$124,Calc!$AO$2:$AO$124),MATCH($W47,Calc!$A$2:$A$124,0)),"")</f>
        <v/>
      </c>
      <c r="H47" s="9">
        <f>IF(G47="","",IF(LEFT($X47,1)="H",SQRT(G47*(IFERROR(INDEX(Calc!$AP$2:$AP$124,MATCH($W47,Calc!$A$2:$A$124,0)),0.5)*Config!$B$5+1-IFERROR(INDEX(Calc!$AP$2:$AP$124,MATCH($W47,Calc!$A$2:$A$124,0)),0.5))),SQRT(G47*Config!$B$5)))</f>
        <v/>
      </c>
      <c r="I47" s="8">
        <f>IF(OR(F47="",G47="",N(H47)&lt;=0),"",1-NORMDIST(FLOOR(F47,1)+0.5,G47,H47,TRUE))</f>
        <v/>
      </c>
      <c r="J47" s="8">
        <f>IF(I47="","",NORMDIST(CEILING(F47,1)-0.5,G47,H47,TRUE))</f>
        <v/>
      </c>
      <c r="K47" s="8">
        <f>IF(I47="","",MAX(0,1-I47-J47))</f>
        <v/>
      </c>
      <c r="L47">
        <f>IF(I47="","",IF(I47&gt;=0.5+Config!$B$6,"OVER",IF(J47&gt;=0.5+Config!$B$6,"UNDER","—")))</f>
        <v/>
      </c>
      <c r="M47" t="n">
        <v>28.76</v>
      </c>
      <c r="N47" t="n">
        <v>31</v>
      </c>
      <c r="O47" s="8" t="n">
        <v>0.4</v>
      </c>
      <c r="P47" s="8" t="n">
        <v>0.6</v>
      </c>
      <c r="Q47" s="8" t="n">
        <v>0.6</v>
      </c>
      <c r="R47" t="inlineStr">
        <is>
          <t>83%/5/6</t>
        </is>
      </c>
      <c r="S47" t="n">
        <v>1</v>
      </c>
      <c r="T47">
        <f>INDEX(Calc!$G$2:$G$124,MATCH($W47,Calc!$A$2:$A$124,0))&amp;" / "&amp;INDEX(Calc!$H$2:$H$124,MATCH($W47,Calc!$A$2:$A$124,0))</f>
        <v/>
      </c>
      <c r="U47">
        <f>TEXT(INDEX(Calc!$J$2:$J$124,MATCH($W47,Calc!$A$2:$A$124,0)),"0.0")&amp;" / "&amp;TEXT(INDEX(Calc!$K$2:$K$124,MATCH($W47,Calc!$A$2:$A$124,0)),"0.0")</f>
        <v/>
      </c>
      <c r="V47">
        <f>IFERROR(INDEX(Calc!$AQ$2:$AQ$124,MATCH($W47,Calc!$A$2:$A$124,0)),"")</f>
        <v/>
      </c>
      <c r="W47" t="inlineStr">
        <is>
          <t>tyf3s6dikrrtlem|CS2 · AUR vs G2</t>
        </is>
      </c>
      <c r="X47" t="inlineStr">
        <is>
          <t>K12</t>
        </is>
      </c>
      <c r="Y47">
        <f>W47&amp;"|"&amp;X47</f>
        <v/>
      </c>
      <c r="Z47" s="9">
        <f>IFERROR(INDEX(CHOOSE(MATCH($X47,{"K1","K2","K3","K12","K13","H1","H2","H3","H12","H13"},0),Calc!$BA$2:$BA$124,Calc!$BB$2:$BB$124,Calc!$BC$2:$BC$124,Calc!$BD$2:$BD$124,Calc!$BE$2:$BE$124,Calc!$BF$2:$BF$124,Calc!$BG$2:$BG$124,Calc!$BH$2:$BH$124,Calc!$BI$2:$BI$124,Calc!$BJ$2:$BJ$124),MATCH($W47,Calc!$A$2:$A$124,0)),"")</f>
        <v/>
      </c>
      <c r="AA47" s="9">
        <f>IF(Z47="","",IF(LEFT($X47,1)="H",SQRT(Z47*(IFERROR(INDEX(Calc!$AP$2:$AP$124,MATCH($W47,Calc!$A$2:$A$124,0)),0.5)*Config!$B$5+1-IFERROR(INDEX(Calc!$AP$2:$AP$124,MATCH($W47,Calc!$A$2:$A$124,0)),0.5))),SQRT(Z47*Config!$B$5)))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 AUR vs G2</t>
        </is>
      </c>
      <c r="C48" t="inlineStr">
        <is>
          <t>huNter-</t>
        </is>
      </c>
      <c r="D48" t="inlineStr">
        <is>
          <t>G2</t>
        </is>
      </c>
      <c r="E48" t="inlineStr">
        <is>
          <t>Maps 1-2 HS</t>
        </is>
      </c>
      <c r="F48" t="n">
        <v>15.5</v>
      </c>
      <c r="G48" s="9">
        <f>IFERROR(INDEX(CHOOSE(MATCH($X48,{"K1","K2","K3","K12","K13","H1","H2","H3","H12","H13"},0),Calc!$V$2:$V$124,Calc!$AC$2:$AC$124,Calc!$AJ$2:$AJ$124,Calc!$AL$2:$AL$124,Calc!$AM$2:$AM$124,Calc!$W$2:$W$124,Calc!$AD$2:$AD$124,Calc!$AK$2:$AK$124,Calc!$AN$2:$AN$124,Calc!$AO$2:$AO$124),MATCH($W48,Calc!$A$2:$A$124,0)),"")</f>
        <v/>
      </c>
      <c r="H48" s="9">
        <f>IF(G48="","",IF(LEFT($X48,1)="H",SQRT(G48*(IFERROR(INDEX(Calc!$AP$2:$AP$124,MATCH($W48,Calc!$A$2:$A$124,0)),0.5)*Config!$B$5+1-IFERROR(INDEX(Calc!$AP$2:$AP$124,MATCH($W48,Calc!$A$2:$A$124,0)),0.5))),SQRT(G48*Config!$B$5)))</f>
        <v/>
      </c>
      <c r="I48" s="8">
        <f>IF(OR(F48="",G48="",N(H48)&lt;=0),"",1-NORMDIST(FLOOR(F48,1)+0.5,G48,H48,TRUE))</f>
        <v/>
      </c>
      <c r="J48" s="8">
        <f>IF(I48="","",NORMDIST(CEILING(F48,1)-0.5,G48,H48,TRUE))</f>
        <v/>
      </c>
      <c r="K48" s="8">
        <f>IF(I48="","",MAX(0,1-I48-J48))</f>
        <v/>
      </c>
      <c r="L48">
        <f>IF(I48="","",IF(I48&gt;=0.5+Config!$B$6,"OVER",IF(J48&gt;=0.5+Config!$B$6,"UNDER","—")))</f>
        <v/>
      </c>
      <c r="N48" t="n">
        <v>16.4</v>
      </c>
      <c r="O48" s="8" t="n">
        <v>0.6</v>
      </c>
      <c r="P48" s="8" t="n">
        <v>0.7</v>
      </c>
      <c r="Q48" s="8" t="n">
        <v>0.73</v>
      </c>
      <c r="R48" t="inlineStr">
        <is>
          <t>50%/2/4</t>
        </is>
      </c>
      <c r="S48" t="n">
        <v>2</v>
      </c>
      <c r="T48">
        <f>INDEX(Calc!$G$2:$G$124,MATCH($W48,Calc!$A$2:$A$124,0))&amp;" / "&amp;INDEX(Calc!$H$2:$H$124,MATCH($W48,Calc!$A$2:$A$124,0))</f>
        <v/>
      </c>
      <c r="U48">
        <f>TEXT(INDEX(Calc!$J$2:$J$124,MATCH($W48,Calc!$A$2:$A$124,0)),"0.0")&amp;" / "&amp;TEXT(INDEX(Calc!$K$2:$K$124,MATCH($W48,Calc!$A$2:$A$124,0)),"0.0")</f>
        <v/>
      </c>
      <c r="V48">
        <f>IFERROR(INDEX(Calc!$AQ$2:$AQ$124,MATCH($W48,Calc!$A$2:$A$124,0)),"")</f>
        <v/>
      </c>
      <c r="W48" t="inlineStr">
        <is>
          <t>ikw7yck0lcpdqwz|CS2 · AUR vs G2</t>
        </is>
      </c>
      <c r="X48" t="inlineStr">
        <is>
          <t>H12</t>
        </is>
      </c>
      <c r="Y48">
        <f>W48&amp;"|"&amp;X48</f>
        <v/>
      </c>
      <c r="Z48" s="9">
        <f>IFERROR(INDEX(CHOOSE(MATCH($X48,{"K1","K2","K3","K12","K13","H1","H2","H3","H12","H13"},0),Calc!$BA$2:$BA$124,Calc!$BB$2:$BB$124,Calc!$BC$2:$BC$124,Calc!$BD$2:$BD$124,Calc!$BE$2:$BE$124,Calc!$BF$2:$BF$124,Calc!$BG$2:$BG$124,Calc!$BH$2:$BH$124,Calc!$BI$2:$BI$124,Calc!$BJ$2:$BJ$124),MATCH($W48,Calc!$A$2:$A$124,0)),"")</f>
        <v/>
      </c>
      <c r="AA48" s="9">
        <f>IF(Z48="","",IF(LEFT($X48,1)="H",SQRT(Z48*(IFERROR(INDEX(Calc!$AP$2:$AP$124,MATCH($W48,Calc!$A$2:$A$124,0)),0.5)*Config!$B$5+1-IFERROR(INDEX(Calc!$AP$2:$AP$124,MATCH($W48,Calc!$A$2:$A$124,0)),0.5))),SQRT(Z48*Config!$B$5)))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 AUR vs G2</t>
        </is>
      </c>
      <c r="C49" t="inlineStr">
        <is>
          <t>huNter-</t>
        </is>
      </c>
      <c r="D49" t="inlineStr">
        <is>
          <t>G2</t>
        </is>
      </c>
      <c r="E49" t="inlineStr">
        <is>
          <t>Maps 1-2 Kills</t>
        </is>
      </c>
      <c r="F49" t="n">
        <v>26</v>
      </c>
      <c r="G49" s="9">
        <f>IFERROR(INDEX(CHOOSE(MATCH($X49,{"K1","K2","K3","K12","K13","H1","H2","H3","H12","H13"},0),Calc!$V$2:$V$124,Calc!$AC$2:$AC$124,Calc!$AJ$2:$AJ$124,Calc!$AL$2:$AL$124,Calc!$AM$2:$AM$124,Calc!$W$2:$W$124,Calc!$AD$2:$AD$124,Calc!$AK$2:$AK$124,Calc!$AN$2:$AN$124,Calc!$AO$2:$AO$124),MATCH($W49,Calc!$A$2:$A$124,0)),"")</f>
        <v/>
      </c>
      <c r="H49" s="9">
        <f>IF(G49="","",IF(LEFT($X49,1)="H",SQRT(G49*(IFERROR(INDEX(Calc!$AP$2:$AP$124,MATCH($W49,Calc!$A$2:$A$124,0)),0.5)*Config!$B$5+1-IFERROR(INDEX(Calc!$AP$2:$AP$124,MATCH($W49,Calc!$A$2:$A$124,0)),0.5))),SQRT(G49*Config!$B$5)))</f>
        <v/>
      </c>
      <c r="I49" s="8">
        <f>IF(OR(F49="",G49="",N(H49)&lt;=0),"",1-NORMDIST(FLOOR(F49,1)+0.5,G49,H49,TRUE))</f>
        <v/>
      </c>
      <c r="J49" s="8">
        <f>IF(I49="","",NORMDIST(CEILING(F49,1)-0.5,G49,H49,TRUE))</f>
        <v/>
      </c>
      <c r="K49" s="8">
        <f>IF(I49="","",MAX(0,1-I49-J49))</f>
        <v/>
      </c>
      <c r="L49">
        <f>IF(I49="","",IF(I49&gt;=0.5+Config!$B$6,"OVER",IF(J49&gt;=0.5+Config!$B$6,"UNDER","—")))</f>
        <v/>
      </c>
      <c r="M49" t="n">
        <v>26.66</v>
      </c>
      <c r="N49" t="n">
        <v>27.5</v>
      </c>
      <c r="O49" s="8" t="n">
        <v>0.6</v>
      </c>
      <c r="P49" s="8" t="n">
        <v>0.8</v>
      </c>
      <c r="Q49" s="8" t="n">
        <v>0.8</v>
      </c>
      <c r="R49" t="inlineStr">
        <is>
          <t>50%/2/4</t>
        </is>
      </c>
      <c r="S49" t="n">
        <v>3</v>
      </c>
      <c r="T49">
        <f>INDEX(Calc!$G$2:$G$124,MATCH($W49,Calc!$A$2:$A$124,0))&amp;" / "&amp;INDEX(Calc!$H$2:$H$124,MATCH($W49,Calc!$A$2:$A$124,0))</f>
        <v/>
      </c>
      <c r="U49">
        <f>TEXT(INDEX(Calc!$J$2:$J$124,MATCH($W49,Calc!$A$2:$A$124,0)),"0.0")&amp;" / "&amp;TEXT(INDEX(Calc!$K$2:$K$124,MATCH($W49,Calc!$A$2:$A$124,0)),"0.0")</f>
        <v/>
      </c>
      <c r="V49">
        <f>IFERROR(INDEX(Calc!$AQ$2:$AQ$124,MATCH($W49,Calc!$A$2:$A$124,0)),"")</f>
        <v/>
      </c>
      <c r="W49" t="inlineStr">
        <is>
          <t>ikw7yck0lcpdqwz|CS2 · AUR vs G2</t>
        </is>
      </c>
      <c r="X49" t="inlineStr">
        <is>
          <t>K12</t>
        </is>
      </c>
      <c r="Y49">
        <f>W49&amp;"|"&amp;X49</f>
        <v/>
      </c>
      <c r="Z49" s="9">
        <f>IFERROR(INDEX(CHOOSE(MATCH($X49,{"K1","K2","K3","K12","K13","H1","H2","H3","H12","H13"},0),Calc!$BA$2:$BA$124,Calc!$BB$2:$BB$124,Calc!$BC$2:$BC$124,Calc!$BD$2:$BD$124,Calc!$BE$2:$BE$124,Calc!$BF$2:$BF$124,Calc!$BG$2:$BG$124,Calc!$BH$2:$BH$124,Calc!$BI$2:$BI$124,Calc!$BJ$2:$BJ$124),MATCH($W49,Calc!$A$2:$A$124,0)),"")</f>
        <v/>
      </c>
      <c r="AA49" s="9">
        <f>IF(Z49="","",IF(LEFT($X49,1)="H",SQRT(Z49*(IFERROR(INDEX(Calc!$AP$2:$AP$124,MATCH($W49,Calc!$A$2:$A$124,0)),0.5)*Config!$B$5+1-IFERROR(INDEX(Calc!$AP$2:$AP$124,MATCH($W49,Calc!$A$2:$A$124,0)),0.5))),SQRT(Z49*Config!$B$5)))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 AUR vs G2</t>
        </is>
      </c>
      <c r="C50" t="inlineStr">
        <is>
          <t>MATYS</t>
        </is>
      </c>
      <c r="D50" t="inlineStr">
        <is>
          <t>G2</t>
        </is>
      </c>
      <c r="E50" t="inlineStr">
        <is>
          <t>Maps 1-2 HS</t>
        </is>
      </c>
      <c r="F50" t="n">
        <v>16.5</v>
      </c>
      <c r="G50" s="9">
        <f>IFERROR(INDEX(CHOOSE(MATCH($X50,{"K1","K2","K3","K12","K13","H1","H2","H3","H12","H13"},0),Calc!$V$2:$V$124,Calc!$AC$2:$AC$124,Calc!$AJ$2:$AJ$124,Calc!$AL$2:$AL$124,Calc!$AM$2:$AM$124,Calc!$W$2:$W$124,Calc!$AD$2:$AD$124,Calc!$AK$2:$AK$124,Calc!$AN$2:$AN$124,Calc!$AO$2:$AO$124),MATCH($W50,Calc!$A$2:$A$124,0)),"")</f>
        <v/>
      </c>
      <c r="H50" s="9">
        <f>IF(G50="","",IF(LEFT($X50,1)="H",SQRT(G50*(IFERROR(INDEX(Calc!$AP$2:$AP$124,MATCH($W50,Calc!$A$2:$A$124,0)),0.5)*Config!$B$5+1-IFERROR(INDEX(Calc!$AP$2:$AP$124,MATCH($W50,Calc!$A$2:$A$124,0)),0.5))),SQRT(G50*Config!$B$5)))</f>
        <v/>
      </c>
      <c r="I50" s="8">
        <f>IF(OR(F50="",G50="",N(H50)&lt;=0),"",1-NORMDIST(FLOOR(F50,1)+0.5,G50,H50,TRUE))</f>
        <v/>
      </c>
      <c r="J50" s="8">
        <f>IF(I50="","",NORMDIST(CEILING(F50,1)-0.5,G50,H50,TRUE))</f>
        <v/>
      </c>
      <c r="K50" s="8">
        <f>IF(I50="","",MAX(0,1-I50-J50))</f>
        <v/>
      </c>
      <c r="L50">
        <f>IF(I50="","",IF(I50&gt;=0.5+Config!$B$6,"OVER",IF(J50&gt;=0.5+Config!$B$6,"UNDER","—")))</f>
        <v/>
      </c>
      <c r="N50" t="n">
        <v>19.1</v>
      </c>
      <c r="O50" s="8" t="n">
        <v>0.6</v>
      </c>
      <c r="P50" s="8" t="n">
        <v>0.6</v>
      </c>
      <c r="Q50" s="8" t="n">
        <v>0.67</v>
      </c>
      <c r="R50" t="inlineStr">
        <is>
          <t>60%/3/5</t>
        </is>
      </c>
      <c r="S50" t="n">
        <v>3</v>
      </c>
      <c r="T50">
        <f>INDEX(Calc!$G$2:$G$124,MATCH($W50,Calc!$A$2:$A$124,0))&amp;" / "&amp;INDEX(Calc!$H$2:$H$124,MATCH($W50,Calc!$A$2:$A$124,0))</f>
        <v/>
      </c>
      <c r="U50">
        <f>TEXT(INDEX(Calc!$J$2:$J$124,MATCH($W50,Calc!$A$2:$A$124,0)),"0.0")&amp;" / "&amp;TEXT(INDEX(Calc!$K$2:$K$124,MATCH($W50,Calc!$A$2:$A$124,0)),"0.0")</f>
        <v/>
      </c>
      <c r="V50">
        <f>IFERROR(INDEX(Calc!$AQ$2:$AQ$124,MATCH($W50,Calc!$A$2:$A$124,0)),"")</f>
        <v/>
      </c>
      <c r="W50" t="inlineStr">
        <is>
          <t>5l639x0qis2rfwi|CS2 · AUR vs G2</t>
        </is>
      </c>
      <c r="X50" t="inlineStr">
        <is>
          <t>H12</t>
        </is>
      </c>
      <c r="Y50">
        <f>W50&amp;"|"&amp;X50</f>
        <v/>
      </c>
      <c r="Z50" s="9">
        <f>IFERROR(INDEX(CHOOSE(MATCH($X50,{"K1","K2","K3","K12","K13","H1","H2","H3","H12","H13"},0),Calc!$BA$2:$BA$124,Calc!$BB$2:$BB$124,Calc!$BC$2:$BC$124,Calc!$BD$2:$BD$124,Calc!$BE$2:$BE$124,Calc!$BF$2:$BF$124,Calc!$BG$2:$BG$124,Calc!$BH$2:$BH$124,Calc!$BI$2:$BI$124,Calc!$BJ$2:$BJ$124),MATCH($W50,Calc!$A$2:$A$124,0)),"")</f>
        <v/>
      </c>
      <c r="AA50" s="9">
        <f>IF(Z50="","",IF(LEFT($X50,1)="H",SQRT(Z50*(IFERROR(INDEX(Calc!$AP$2:$AP$124,MATCH($W50,Calc!$A$2:$A$124,0)),0.5)*Config!$B$5+1-IFERROR(INDEX(Calc!$AP$2:$AP$124,MATCH($W50,Calc!$A$2:$A$124,0)),0.5))),SQRT(Z50*Config!$B$5)))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AUR vs G2</t>
        </is>
      </c>
      <c r="C51" t="inlineStr">
        <is>
          <t>MATYS</t>
        </is>
      </c>
      <c r="D51" t="inlineStr">
        <is>
          <t>G2</t>
        </is>
      </c>
      <c r="E51" t="inlineStr">
        <is>
          <t>Maps 1-2 Kills</t>
        </is>
      </c>
      <c r="F51" t="n">
        <v>26</v>
      </c>
      <c r="G51" s="9">
        <f>IFERROR(INDEX(CHOOSE(MATCH($X51,{"K1","K2","K3","K12","K13","H1","H2","H3","H12","H13"},0),Calc!$V$2:$V$124,Calc!$AC$2:$AC$124,Calc!$AJ$2:$AJ$124,Calc!$AL$2:$AL$124,Calc!$AM$2:$AM$124,Calc!$W$2:$W$124,Calc!$AD$2:$AD$124,Calc!$AK$2:$AK$124,Calc!$AN$2:$AN$124,Calc!$AO$2:$AO$124),MATCH($W51,Calc!$A$2:$A$124,0)),"")</f>
        <v/>
      </c>
      <c r="H51" s="9">
        <f>IF(G51="","",IF(LEFT($X51,1)="H",SQRT(G51*(IFERROR(INDEX(Calc!$AP$2:$AP$124,MATCH($W51,Calc!$A$2:$A$124,0)),0.5)*Config!$B$5+1-IFERROR(INDEX(Calc!$AP$2:$AP$124,MATCH($W51,Calc!$A$2:$A$124,0)),0.5))),SQRT(G51*Config!$B$5)))</f>
        <v/>
      </c>
      <c r="I51" s="8">
        <f>IF(OR(F51="",G51="",N(H51)&lt;=0),"",1-NORMDIST(FLOOR(F51,1)+0.5,G51,H51,TRUE))</f>
        <v/>
      </c>
      <c r="J51" s="8">
        <f>IF(I51="","",NORMDIST(CEILING(F51,1)-0.5,G51,H51,TRUE))</f>
        <v/>
      </c>
      <c r="K51" s="8">
        <f>IF(I51="","",MAX(0,1-I51-J51))</f>
        <v/>
      </c>
      <c r="L51">
        <f>IF(I51="","",IF(I51&gt;=0.5+Config!$B$6,"OVER",IF(J51&gt;=0.5+Config!$B$6,"UNDER","—")))</f>
        <v/>
      </c>
      <c r="M51" t="n">
        <v>26.76</v>
      </c>
      <c r="N51" t="n">
        <v>29.2</v>
      </c>
      <c r="O51" s="8" t="n">
        <v>0.6</v>
      </c>
      <c r="P51" s="8" t="n">
        <v>0.6</v>
      </c>
      <c r="Q51" s="8" t="n">
        <v>0.67</v>
      </c>
      <c r="R51" t="inlineStr">
        <is>
          <t>60%/3/5</t>
        </is>
      </c>
      <c r="S51" t="n">
        <v>3</v>
      </c>
      <c r="T51">
        <f>INDEX(Calc!$G$2:$G$124,MATCH($W51,Calc!$A$2:$A$124,0))&amp;" / "&amp;INDEX(Calc!$H$2:$H$124,MATCH($W51,Calc!$A$2:$A$124,0))</f>
        <v/>
      </c>
      <c r="U51">
        <f>TEXT(INDEX(Calc!$J$2:$J$124,MATCH($W51,Calc!$A$2:$A$124,0)),"0.0")&amp;" / "&amp;TEXT(INDEX(Calc!$K$2:$K$124,MATCH($W51,Calc!$A$2:$A$124,0)),"0.0")</f>
        <v/>
      </c>
      <c r="V51">
        <f>IFERROR(INDEX(Calc!$AQ$2:$AQ$124,MATCH($W51,Calc!$A$2:$A$124,0)),"")</f>
        <v/>
      </c>
      <c r="W51" t="inlineStr">
        <is>
          <t>5l639x0qis2rfwi|CS2 · AUR vs G2</t>
        </is>
      </c>
      <c r="X51" t="inlineStr">
        <is>
          <t>K12</t>
        </is>
      </c>
      <c r="Y51">
        <f>W51&amp;"|"&amp;X51</f>
        <v/>
      </c>
      <c r="Z51" s="9">
        <f>IFERROR(INDEX(CHOOSE(MATCH($X51,{"K1","K2","K3","K12","K13","H1","H2","H3","H12","H13"},0),Calc!$BA$2:$BA$124,Calc!$BB$2:$BB$124,Calc!$BC$2:$BC$124,Calc!$BD$2:$BD$124,Calc!$BE$2:$BE$124,Calc!$BF$2:$BF$124,Calc!$BG$2:$BG$124,Calc!$BH$2:$BH$124,Calc!$BI$2:$BI$124,Calc!$BJ$2:$BJ$124),MATCH($W51,Calc!$A$2:$A$124,0)),"")</f>
        <v/>
      </c>
      <c r="AA51" s="9">
        <f>IF(Z51="","",IF(LEFT($X51,1)="H",SQRT(Z51*(IFERROR(INDEX(Calc!$AP$2:$AP$124,MATCH($W51,Calc!$A$2:$A$124,0)),0.5)*Config!$B$5+1-IFERROR(INDEX(Calc!$AP$2:$AP$124,MATCH($W51,Calc!$A$2:$A$124,0)),0.5))),SQRT(Z51*Config!$B$5)))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AUR vs G2</t>
        </is>
      </c>
      <c r="C52" t="inlineStr">
        <is>
          <t>NertZ</t>
        </is>
      </c>
      <c r="D52" t="inlineStr">
        <is>
          <t>G2</t>
        </is>
      </c>
      <c r="E52" t="inlineStr">
        <is>
          <t>Maps 1-2 HS</t>
        </is>
      </c>
      <c r="F52" t="n">
        <v>16</v>
      </c>
      <c r="G52" s="9">
        <f>IFERROR(INDEX(CHOOSE(MATCH($X52,{"K1","K2","K3","K12","K13","H1","H2","H3","H12","H13"},0),Calc!$V$2:$V$124,Calc!$AC$2:$AC$124,Calc!$AJ$2:$AJ$124,Calc!$AL$2:$AL$124,Calc!$AM$2:$AM$124,Calc!$W$2:$W$124,Calc!$AD$2:$AD$124,Calc!$AK$2:$AK$124,Calc!$AN$2:$AN$124,Calc!$AO$2:$AO$124),MATCH($W52,Calc!$A$2:$A$124,0)),"")</f>
        <v/>
      </c>
      <c r="H52" s="9">
        <f>IF(G52="","",IF(LEFT($X52,1)="H",SQRT(G52*(IFERROR(INDEX(Calc!$AP$2:$AP$124,MATCH($W52,Calc!$A$2:$A$124,0)),0.5)*Config!$B$5+1-IFERROR(INDEX(Calc!$AP$2:$AP$124,MATCH($W52,Calc!$A$2:$A$124,0)),0.5))),SQRT(G52*Config!$B$5)))</f>
        <v/>
      </c>
      <c r="I52" s="8">
        <f>IF(OR(F52="",G52="",N(H52)&lt;=0),"",1-NORMDIST(FLOOR(F52,1)+0.5,G52,H52,TRUE))</f>
        <v/>
      </c>
      <c r="J52" s="8">
        <f>IF(I52="","",NORMDIST(CEILING(F52,1)-0.5,G52,H52,TRUE))</f>
        <v/>
      </c>
      <c r="K52" s="8">
        <f>IF(I52="","",MAX(0,1-I52-J52))</f>
        <v/>
      </c>
      <c r="L52">
        <f>IF(I52="","",IF(I52&gt;=0.5+Config!$B$6,"OVER",IF(J52&gt;=0.5+Config!$B$6,"UNDER","—")))</f>
        <v/>
      </c>
      <c r="N52" t="n">
        <v>17.6</v>
      </c>
      <c r="O52" s="8" t="n">
        <v>1</v>
      </c>
      <c r="P52" s="8" t="n">
        <v>0.7</v>
      </c>
      <c r="Q52" s="8" t="n">
        <v>0.67</v>
      </c>
      <c r="R52" t="inlineStr">
        <is>
          <t>50%/3/6</t>
        </is>
      </c>
      <c r="S52" t="n">
        <v>5</v>
      </c>
      <c r="T52">
        <f>INDEX(Calc!$G$2:$G$124,MATCH($W52,Calc!$A$2:$A$124,0))&amp;" / "&amp;INDEX(Calc!$H$2:$H$124,MATCH($W52,Calc!$A$2:$A$124,0))</f>
        <v/>
      </c>
      <c r="U52">
        <f>TEXT(INDEX(Calc!$J$2:$J$124,MATCH($W52,Calc!$A$2:$A$124,0)),"0.0")&amp;" / "&amp;TEXT(INDEX(Calc!$K$2:$K$124,MATCH($W52,Calc!$A$2:$A$124,0)),"0.0")</f>
        <v/>
      </c>
      <c r="V52">
        <f>IFERROR(INDEX(Calc!$AQ$2:$AQ$124,MATCH($W52,Calc!$A$2:$A$124,0)),"")</f>
        <v/>
      </c>
      <c r="W52" t="inlineStr">
        <is>
          <t>ysvz6uswynmfc98|CS2 · AUR vs G2</t>
        </is>
      </c>
      <c r="X52" t="inlineStr">
        <is>
          <t>H12</t>
        </is>
      </c>
      <c r="Y52">
        <f>W52&amp;"|"&amp;X52</f>
        <v/>
      </c>
      <c r="Z52" s="9">
        <f>IFERROR(INDEX(CHOOSE(MATCH($X52,{"K1","K2","K3","K12","K13","H1","H2","H3","H12","H13"},0),Calc!$BA$2:$BA$124,Calc!$BB$2:$BB$124,Calc!$BC$2:$BC$124,Calc!$BD$2:$BD$124,Calc!$BE$2:$BE$124,Calc!$BF$2:$BF$124,Calc!$BG$2:$BG$124,Calc!$BH$2:$BH$124,Calc!$BI$2:$BI$124,Calc!$BJ$2:$BJ$124),MATCH($W52,Calc!$A$2:$A$124,0)),"")</f>
        <v/>
      </c>
      <c r="AA52" s="9">
        <f>IF(Z52="","",IF(LEFT($X52,1)="H",SQRT(Z52*(IFERROR(INDEX(Calc!$AP$2:$AP$124,MATCH($W52,Calc!$A$2:$A$124,0)),0.5)*Config!$B$5+1-IFERROR(INDEX(Calc!$AP$2:$AP$124,MATCH($W52,Calc!$A$2:$A$124,0)),0.5))),SQRT(Z52*Config!$B$5)))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AUR vs G2</t>
        </is>
      </c>
      <c r="C53" t="inlineStr">
        <is>
          <t>NertZ</t>
        </is>
      </c>
      <c r="D53" t="inlineStr">
        <is>
          <t>G2</t>
        </is>
      </c>
      <c r="E53" t="inlineStr">
        <is>
          <t>Maps 1-2 Kills</t>
        </is>
      </c>
      <c r="F53" t="n">
        <v>31</v>
      </c>
      <c r="G53" s="9">
        <f>IFERROR(INDEX(CHOOSE(MATCH($X53,{"K1","K2","K3","K12","K13","H1","H2","H3","H12","H13"},0),Calc!$V$2:$V$124,Calc!$AC$2:$AC$124,Calc!$AJ$2:$AJ$124,Calc!$AL$2:$AL$124,Calc!$AM$2:$AM$124,Calc!$W$2:$W$124,Calc!$AD$2:$AD$124,Calc!$AK$2:$AK$124,Calc!$AN$2:$AN$124,Calc!$AO$2:$AO$124),MATCH($W53,Calc!$A$2:$A$124,0)),"")</f>
        <v/>
      </c>
      <c r="H53" s="9">
        <f>IF(G53="","",IF(LEFT($X53,1)="H",SQRT(G53*(IFERROR(INDEX(Calc!$AP$2:$AP$124,MATCH($W53,Calc!$A$2:$A$124,0)),0.5)*Config!$B$5+1-IFERROR(INDEX(Calc!$AP$2:$AP$124,MATCH($W53,Calc!$A$2:$A$124,0)),0.5))),SQRT(G53*Config!$B$5)))</f>
        <v/>
      </c>
      <c r="I53" s="8">
        <f>IF(OR(F53="",G53="",N(H53)&lt;=0),"",1-NORMDIST(FLOOR(F53,1)+0.5,G53,H53,TRUE))</f>
        <v/>
      </c>
      <c r="J53" s="8">
        <f>IF(I53="","",NORMDIST(CEILING(F53,1)-0.5,G53,H53,TRUE))</f>
        <v/>
      </c>
      <c r="K53" s="8">
        <f>IF(I53="","",MAX(0,1-I53-J53))</f>
        <v/>
      </c>
      <c r="L53">
        <f>IF(I53="","",IF(I53&gt;=0.5+Config!$B$6,"OVER",IF(J53&gt;=0.5+Config!$B$6,"UNDER","—")))</f>
        <v/>
      </c>
      <c r="M53" t="n">
        <v>30.4</v>
      </c>
      <c r="N53" t="n">
        <v>33.6</v>
      </c>
      <c r="O53" s="8" t="n">
        <v>0.6</v>
      </c>
      <c r="P53" s="8" t="n">
        <v>0.7</v>
      </c>
      <c r="Q53" s="8" t="n">
        <v>0.6</v>
      </c>
      <c r="R53" t="inlineStr">
        <is>
          <t>50%/3/6</t>
        </is>
      </c>
      <c r="S53" t="n">
        <v>3</v>
      </c>
      <c r="T53">
        <f>INDEX(Calc!$G$2:$G$124,MATCH($W53,Calc!$A$2:$A$124,0))&amp;" / "&amp;INDEX(Calc!$H$2:$H$124,MATCH($W53,Calc!$A$2:$A$124,0))</f>
        <v/>
      </c>
      <c r="U53">
        <f>TEXT(INDEX(Calc!$J$2:$J$124,MATCH($W53,Calc!$A$2:$A$124,0)),"0.0")&amp;" / "&amp;TEXT(INDEX(Calc!$K$2:$K$124,MATCH($W53,Calc!$A$2:$A$124,0)),"0.0")</f>
        <v/>
      </c>
      <c r="V53">
        <f>IFERROR(INDEX(Calc!$AQ$2:$AQ$124,MATCH($W53,Calc!$A$2:$A$124,0)),"")</f>
        <v/>
      </c>
      <c r="W53" t="inlineStr">
        <is>
          <t>ysvz6uswynmfc98|CS2 · AUR vs G2</t>
        </is>
      </c>
      <c r="X53" t="inlineStr">
        <is>
          <t>K12</t>
        </is>
      </c>
      <c r="Y53">
        <f>W53&amp;"|"&amp;X53</f>
        <v/>
      </c>
      <c r="Z53" s="9">
        <f>IFERROR(INDEX(CHOOSE(MATCH($X53,{"K1","K2","K3","K12","K13","H1","H2","H3","H12","H13"},0),Calc!$BA$2:$BA$124,Calc!$BB$2:$BB$124,Calc!$BC$2:$BC$124,Calc!$BD$2:$BD$124,Calc!$BE$2:$BE$124,Calc!$BF$2:$BF$124,Calc!$BG$2:$BG$124,Calc!$BH$2:$BH$124,Calc!$BI$2:$BI$124,Calc!$BJ$2:$BJ$124),MATCH($W53,Calc!$A$2:$A$124,0)),"")</f>
        <v/>
      </c>
      <c r="AA53" s="9">
        <f>IF(Z53="","",IF(LEFT($X53,1)="H",SQRT(Z53*(IFERROR(INDEX(Calc!$AP$2:$AP$124,MATCH($W53,Calc!$A$2:$A$124,0)),0.5)*Config!$B$5+1-IFERROR(INDEX(Calc!$AP$2:$AP$124,MATCH($W53,Calc!$A$2:$A$124,0)),0.5))),SQRT(Z53*Config!$B$5)))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AUR vs G2</t>
        </is>
      </c>
      <c r="C54" t="inlineStr">
        <is>
          <t>r1nkle</t>
        </is>
      </c>
      <c r="D54" t="inlineStr">
        <is>
          <t>G2</t>
        </is>
      </c>
      <c r="E54" t="inlineStr">
        <is>
          <t>Maps 1-2 HS</t>
        </is>
      </c>
      <c r="F54" t="n">
        <v>9.5</v>
      </c>
      <c r="G54" s="9">
        <f>IFERROR(INDEX(CHOOSE(MATCH($X54,{"K1","K2","K3","K12","K13","H1","H2","H3","H12","H13"},0),Calc!$V$2:$V$124,Calc!$AC$2:$AC$124,Calc!$AJ$2:$AJ$124,Calc!$AL$2:$AL$124,Calc!$AM$2:$AM$124,Calc!$W$2:$W$124,Calc!$AD$2:$AD$124,Calc!$AK$2:$AK$124,Calc!$AN$2:$AN$124,Calc!$AO$2:$AO$124),MATCH($W54,Calc!$A$2:$A$124,0)),"")</f>
        <v/>
      </c>
      <c r="H54" s="9">
        <f>IF(G54="","",IF(LEFT($X54,1)="H",SQRT(G54*(IFERROR(INDEX(Calc!$AP$2:$AP$124,MATCH($W54,Calc!$A$2:$A$124,0)),0.5)*Config!$B$5+1-IFERROR(INDEX(Calc!$AP$2:$AP$124,MATCH($W54,Calc!$A$2:$A$124,0)),0.5))),SQRT(G54*Config!$B$5)))</f>
        <v/>
      </c>
      <c r="I54" s="8">
        <f>IF(OR(F54="",G54="",N(H54)&lt;=0),"",1-NORMDIST(FLOOR(F54,1)+0.5,G54,H54,TRUE))</f>
        <v/>
      </c>
      <c r="J54" s="8">
        <f>IF(I54="","",NORMDIST(CEILING(F54,1)-0.5,G54,H54,TRUE))</f>
        <v/>
      </c>
      <c r="K54" s="8">
        <f>IF(I54="","",MAX(0,1-I54-J54))</f>
        <v/>
      </c>
      <c r="L54">
        <f>IF(I54="","",IF(I54&gt;=0.5+Config!$B$6,"OVER",IF(J54&gt;=0.5+Config!$B$6,"UNDER","—")))</f>
        <v/>
      </c>
      <c r="N54" t="n">
        <v>8.800000000000001</v>
      </c>
      <c r="O54" s="8" t="n">
        <v>0.6</v>
      </c>
      <c r="P54" s="8" t="n">
        <v>0.4</v>
      </c>
      <c r="Q54" s="8" t="n">
        <v>0.27</v>
      </c>
      <c r="R54" t="inlineStr">
        <is>
          <t>60%/6/10</t>
        </is>
      </c>
      <c r="S54" t="n">
        <v>1</v>
      </c>
      <c r="T54">
        <f>INDEX(Calc!$G$2:$G$124,MATCH($W54,Calc!$A$2:$A$124,0))&amp;" / "&amp;INDEX(Calc!$H$2:$H$124,MATCH($W54,Calc!$A$2:$A$124,0))</f>
        <v/>
      </c>
      <c r="U54">
        <f>TEXT(INDEX(Calc!$J$2:$J$124,MATCH($W54,Calc!$A$2:$A$124,0)),"0.0")&amp;" / "&amp;TEXT(INDEX(Calc!$K$2:$K$124,MATCH($W54,Calc!$A$2:$A$124,0)),"0.0")</f>
        <v/>
      </c>
      <c r="V54">
        <f>IFERROR(INDEX(Calc!$AQ$2:$AQ$124,MATCH($W54,Calc!$A$2:$A$124,0)),"")</f>
        <v/>
      </c>
      <c r="W54" t="inlineStr">
        <is>
          <t>3v2vw55rjp5df2r|CS2 · AUR vs G2</t>
        </is>
      </c>
      <c r="X54" t="inlineStr">
        <is>
          <t>H12</t>
        </is>
      </c>
      <c r="Y54">
        <f>W54&amp;"|"&amp;X54</f>
        <v/>
      </c>
      <c r="Z54" s="9">
        <f>IFERROR(INDEX(CHOOSE(MATCH($X54,{"K1","K2","K3","K12","K13","H1","H2","H3","H12","H13"},0),Calc!$BA$2:$BA$124,Calc!$BB$2:$BB$124,Calc!$BC$2:$BC$124,Calc!$BD$2:$BD$124,Calc!$BE$2:$BE$124,Calc!$BF$2:$BF$124,Calc!$BG$2:$BG$124,Calc!$BH$2:$BH$124,Calc!$BI$2:$BI$124,Calc!$BJ$2:$BJ$124),MATCH($W54,Calc!$A$2:$A$124,0)),"")</f>
        <v/>
      </c>
      <c r="AA54" s="9">
        <f>IF(Z54="","",IF(LEFT($X54,1)="H",SQRT(Z54*(IFERROR(INDEX(Calc!$AP$2:$AP$124,MATCH($W54,Calc!$A$2:$A$124,0)),0.5)*Config!$B$5+1-IFERROR(INDEX(Calc!$AP$2:$AP$124,MATCH($W54,Calc!$A$2:$A$124,0)),0.5))),SQRT(Z54*Config!$B$5)))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AUR vs G2</t>
        </is>
      </c>
      <c r="C55" t="inlineStr">
        <is>
          <t>r1nkle</t>
        </is>
      </c>
      <c r="D55" t="inlineStr">
        <is>
          <t>G2</t>
        </is>
      </c>
      <c r="E55" t="inlineStr">
        <is>
          <t>Maps 1-2 Kills</t>
        </is>
      </c>
      <c r="F55" t="n">
        <v>27</v>
      </c>
      <c r="G55" s="9">
        <f>IFERROR(INDEX(CHOOSE(MATCH($X55,{"K1","K2","K3","K12","K13","H1","H2","H3","H12","H13"},0),Calc!$V$2:$V$124,Calc!$AC$2:$AC$124,Calc!$AJ$2:$AJ$124,Calc!$AL$2:$AL$124,Calc!$AM$2:$AM$124,Calc!$W$2:$W$124,Calc!$AD$2:$AD$124,Calc!$AK$2:$AK$124,Calc!$AN$2:$AN$124,Calc!$AO$2:$AO$124),MATCH($W55,Calc!$A$2:$A$124,0)),"")</f>
        <v/>
      </c>
      <c r="H55" s="9">
        <f>IF(G55="","",IF(LEFT($X55,1)="H",SQRT(G55*(IFERROR(INDEX(Calc!$AP$2:$AP$124,MATCH($W55,Calc!$A$2:$A$124,0)),0.5)*Config!$B$5+1-IFERROR(INDEX(Calc!$AP$2:$AP$124,MATCH($W55,Calc!$A$2:$A$124,0)),0.5))),SQRT(G55*Config!$B$5)))</f>
        <v/>
      </c>
      <c r="I55" s="8">
        <f>IF(OR(F55="",G55="",N(H55)&lt;=0),"",1-NORMDIST(FLOOR(F55,1)+0.5,G55,H55,TRUE))</f>
        <v/>
      </c>
      <c r="J55" s="8">
        <f>IF(I55="","",NORMDIST(CEILING(F55,1)-0.5,G55,H55,TRUE))</f>
        <v/>
      </c>
      <c r="K55" s="8">
        <f>IF(I55="","",MAX(0,1-I55-J55))</f>
        <v/>
      </c>
      <c r="L55">
        <f>IF(I55="","",IF(I55&gt;=0.5+Config!$B$6,"OVER",IF(J55&gt;=0.5+Config!$B$6,"UNDER","—")))</f>
        <v/>
      </c>
      <c r="M55" t="n">
        <v>26.9</v>
      </c>
      <c r="N55" t="n">
        <v>25.5</v>
      </c>
      <c r="O55" s="8" t="n">
        <v>0.4</v>
      </c>
      <c r="P55" s="8" t="n">
        <v>0.4</v>
      </c>
      <c r="Q55" s="8" t="n">
        <v>0.53</v>
      </c>
      <c r="R55" t="inlineStr">
        <is>
          <t>90%/9/10</t>
        </is>
      </c>
      <c r="S55" t="n">
        <v>1</v>
      </c>
      <c r="T55">
        <f>INDEX(Calc!$G$2:$G$124,MATCH($W55,Calc!$A$2:$A$124,0))&amp;" / "&amp;INDEX(Calc!$H$2:$H$124,MATCH($W55,Calc!$A$2:$A$124,0))</f>
        <v/>
      </c>
      <c r="U55">
        <f>TEXT(INDEX(Calc!$J$2:$J$124,MATCH($W55,Calc!$A$2:$A$124,0)),"0.0")&amp;" / "&amp;TEXT(INDEX(Calc!$K$2:$K$124,MATCH($W55,Calc!$A$2:$A$124,0)),"0.0")</f>
        <v/>
      </c>
      <c r="V55">
        <f>IFERROR(INDEX(Calc!$AQ$2:$AQ$124,MATCH($W55,Calc!$A$2:$A$124,0)),"")</f>
        <v/>
      </c>
      <c r="W55" t="inlineStr">
        <is>
          <t>3v2vw55rjp5df2r|CS2 · AUR vs G2</t>
        </is>
      </c>
      <c r="X55" t="inlineStr">
        <is>
          <t>K12</t>
        </is>
      </c>
      <c r="Y55">
        <f>W55&amp;"|"&amp;X55</f>
        <v/>
      </c>
      <c r="Z55" s="9">
        <f>IFERROR(INDEX(CHOOSE(MATCH($X55,{"K1","K2","K3","K12","K13","H1","H2","H3","H12","H13"},0),Calc!$BA$2:$BA$124,Calc!$BB$2:$BB$124,Calc!$BC$2:$BC$124,Calc!$BD$2:$BD$124,Calc!$BE$2:$BE$124,Calc!$BF$2:$BF$124,Calc!$BG$2:$BG$124,Calc!$BH$2:$BH$124,Calc!$BI$2:$BI$124,Calc!$BJ$2:$BJ$124),MATCH($W55,Calc!$A$2:$A$124,0)),"")</f>
        <v/>
      </c>
      <c r="AA55" s="9">
        <f>IF(Z55="","",IF(LEFT($X55,1)="H",SQRT(Z55*(IFERROR(INDEX(Calc!$AP$2:$AP$124,MATCH($W55,Calc!$A$2:$A$124,0)),0.5)*Config!$B$5+1-IFERROR(INDEX(Calc!$AP$2:$AP$124,MATCH($W55,Calc!$A$2:$A$124,0)),0.5))),SQRT(Z55*Config!$B$5)))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BB vs NEMI</t>
        </is>
      </c>
      <c r="C56" t="inlineStr">
        <is>
          <t>Boombl4</t>
        </is>
      </c>
      <c r="D56" t="inlineStr">
        <is>
          <t>BB</t>
        </is>
      </c>
      <c r="E56" t="inlineStr">
        <is>
          <t>Maps 1-2 HS</t>
        </is>
      </c>
      <c r="F56" t="n">
        <v>11.5</v>
      </c>
      <c r="G56" s="9">
        <f>IFERROR(INDEX(CHOOSE(MATCH($X56,{"K1","K2","K3","K12","K13","H1","H2","H3","H12","H13"},0),Calc!$V$2:$V$124,Calc!$AC$2:$AC$124,Calc!$AJ$2:$AJ$124,Calc!$AL$2:$AL$124,Calc!$AM$2:$AM$124,Calc!$W$2:$W$124,Calc!$AD$2:$AD$124,Calc!$AK$2:$AK$124,Calc!$AN$2:$AN$124,Calc!$AO$2:$AO$124),MATCH($W56,Calc!$A$2:$A$124,0)),"")</f>
        <v/>
      </c>
      <c r="H56" s="9">
        <f>IF(G56="","",IF(LEFT($X56,1)="H",SQRT(G56*(IFERROR(INDEX(Calc!$AP$2:$AP$124,MATCH($W56,Calc!$A$2:$A$124,0)),0.5)*Config!$B$5+1-IFERROR(INDEX(Calc!$AP$2:$AP$124,MATCH($W56,Calc!$A$2:$A$124,0)),0.5))),SQRT(G56*Config!$B$5)))</f>
        <v/>
      </c>
      <c r="I56" s="8">
        <f>IF(OR(F56="",G56="",N(H56)&lt;=0),"",1-NORMDIST(FLOOR(F56,1)+0.5,G56,H56,TRUE))</f>
        <v/>
      </c>
      <c r="J56" s="8">
        <f>IF(I56="","",NORMDIST(CEILING(F56,1)-0.5,G56,H56,TRUE))</f>
        <v/>
      </c>
      <c r="K56" s="8">
        <f>IF(I56="","",MAX(0,1-I56-J56))</f>
        <v/>
      </c>
      <c r="L56">
        <f>IF(I56="","",IF(I56&gt;=0.5+Config!$B$6,"OVER",IF(J56&gt;=0.5+Config!$B$6,"UNDER","—")))</f>
        <v/>
      </c>
      <c r="N56" t="n">
        <v>11</v>
      </c>
      <c r="O56" s="8" t="n">
        <v>0.6</v>
      </c>
      <c r="P56" s="8" t="n">
        <v>0.5</v>
      </c>
      <c r="Q56" s="8" t="n">
        <v>0.53</v>
      </c>
      <c r="R56" t="inlineStr">
        <is>
          <t>50%/1/2</t>
        </is>
      </c>
      <c r="S56" t="n">
        <v>1</v>
      </c>
      <c r="T56">
        <f>INDEX(Calc!$G$2:$G$124,MATCH($W56,Calc!$A$2:$A$124,0))&amp;" / "&amp;INDEX(Calc!$H$2:$H$124,MATCH($W56,Calc!$A$2:$A$124,0))</f>
        <v/>
      </c>
      <c r="U56">
        <f>TEXT(INDEX(Calc!$J$2:$J$124,MATCH($W56,Calc!$A$2:$A$124,0)),"0.0")&amp;" / "&amp;TEXT(INDEX(Calc!$K$2:$K$124,MATCH($W56,Calc!$A$2:$A$124,0)),"0.0")</f>
        <v/>
      </c>
      <c r="V56">
        <f>IFERROR(INDEX(Calc!$AQ$2:$AQ$124,MATCH($W56,Calc!$A$2:$A$124,0)),"")</f>
        <v/>
      </c>
      <c r="W56" t="inlineStr">
        <is>
          <t>75r40osa6cjt3o0|CS2 · BB vs NEMI</t>
        </is>
      </c>
      <c r="X56" t="inlineStr">
        <is>
          <t>H12</t>
        </is>
      </c>
      <c r="Y56">
        <f>W56&amp;"|"&amp;X56</f>
        <v/>
      </c>
      <c r="Z56" s="9">
        <f>IFERROR(INDEX(CHOOSE(MATCH($X56,{"K1","K2","K3","K12","K13","H1","H2","H3","H12","H13"},0),Calc!$BA$2:$BA$124,Calc!$BB$2:$BB$124,Calc!$BC$2:$BC$124,Calc!$BD$2:$BD$124,Calc!$BE$2:$BE$124,Calc!$BF$2:$BF$124,Calc!$BG$2:$BG$124,Calc!$BH$2:$BH$124,Calc!$BI$2:$BI$124,Calc!$BJ$2:$BJ$124),MATCH($W56,Calc!$A$2:$A$124,0)),"")</f>
        <v/>
      </c>
      <c r="AA56" s="9">
        <f>IF(Z56="","",IF(LEFT($X56,1)="H",SQRT(Z56*(IFERROR(INDEX(Calc!$AP$2:$AP$124,MATCH($W56,Calc!$A$2:$A$124,0)),0.5)*Config!$B$5+1-IFERROR(INDEX(Calc!$AP$2:$AP$124,MATCH($W56,Calc!$A$2:$A$124,0)),0.5))),SQRT(Z56*Config!$B$5)))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BB vs NEMI</t>
        </is>
      </c>
      <c r="C57" t="inlineStr">
        <is>
          <t>Boombl4</t>
        </is>
      </c>
      <c r="D57" t="inlineStr">
        <is>
          <t>BB</t>
        </is>
      </c>
      <c r="E57" t="inlineStr">
        <is>
          <t>Maps 1-2 Kills</t>
        </is>
      </c>
      <c r="F57" t="n">
        <v>25</v>
      </c>
      <c r="G57" s="9">
        <f>IFERROR(INDEX(CHOOSE(MATCH($X57,{"K1","K2","K3","K12","K13","H1","H2","H3","H12","H13"},0),Calc!$V$2:$V$124,Calc!$AC$2:$AC$124,Calc!$AJ$2:$AJ$124,Calc!$AL$2:$AL$124,Calc!$AM$2:$AM$124,Calc!$W$2:$W$124,Calc!$AD$2:$AD$124,Calc!$AK$2:$AK$124,Calc!$AN$2:$AN$124,Calc!$AO$2:$AO$124),MATCH($W57,Calc!$A$2:$A$124,0)),"")</f>
        <v/>
      </c>
      <c r="H57" s="9">
        <f>IF(G57="","",IF(LEFT($X57,1)="H",SQRT(G57*(IFERROR(INDEX(Calc!$AP$2:$AP$124,MATCH($W57,Calc!$A$2:$A$124,0)),0.5)*Config!$B$5+1-IFERROR(INDEX(Calc!$AP$2:$AP$124,MATCH($W57,Calc!$A$2:$A$124,0)),0.5))),SQRT(G57*Config!$B$5)))</f>
        <v/>
      </c>
      <c r="I57" s="8">
        <f>IF(OR(F57="",G57="",N(H57)&lt;=0),"",1-NORMDIST(FLOOR(F57,1)+0.5,G57,H57,TRUE))</f>
        <v/>
      </c>
      <c r="J57" s="8">
        <f>IF(I57="","",NORMDIST(CEILING(F57,1)-0.5,G57,H57,TRUE))</f>
        <v/>
      </c>
      <c r="K57" s="8">
        <f>IF(I57="","",MAX(0,1-I57-J57))</f>
        <v/>
      </c>
      <c r="L57">
        <f>IF(I57="","",IF(I57&gt;=0.5+Config!$B$6,"OVER",IF(J57&gt;=0.5+Config!$B$6,"UNDER","—")))</f>
        <v/>
      </c>
      <c r="M57" t="n">
        <v>25.18</v>
      </c>
      <c r="N57" t="n">
        <v>23.3</v>
      </c>
      <c r="O57" s="8" t="n">
        <v>0.6</v>
      </c>
      <c r="P57" s="8" t="n">
        <v>0.4</v>
      </c>
      <c r="Q57" s="8" t="n">
        <v>0.47</v>
      </c>
      <c r="R57" t="inlineStr">
        <is>
          <t>50%/1/2</t>
        </is>
      </c>
      <c r="S57" t="n">
        <v>1</v>
      </c>
      <c r="T57">
        <f>INDEX(Calc!$G$2:$G$124,MATCH($W57,Calc!$A$2:$A$124,0))&amp;" / "&amp;INDEX(Calc!$H$2:$H$124,MATCH($W57,Calc!$A$2:$A$124,0))</f>
        <v/>
      </c>
      <c r="U57">
        <f>TEXT(INDEX(Calc!$J$2:$J$124,MATCH($W57,Calc!$A$2:$A$124,0)),"0.0")&amp;" / "&amp;TEXT(INDEX(Calc!$K$2:$K$124,MATCH($W57,Calc!$A$2:$A$124,0)),"0.0")</f>
        <v/>
      </c>
      <c r="V57">
        <f>IFERROR(INDEX(Calc!$AQ$2:$AQ$124,MATCH($W57,Calc!$A$2:$A$124,0)),"")</f>
        <v/>
      </c>
      <c r="W57" t="inlineStr">
        <is>
          <t>75r40osa6cjt3o0|CS2 · BB vs NEMI</t>
        </is>
      </c>
      <c r="X57" t="inlineStr">
        <is>
          <t>K12</t>
        </is>
      </c>
      <c r="Y57">
        <f>W57&amp;"|"&amp;X57</f>
        <v/>
      </c>
      <c r="Z57" s="9">
        <f>IFERROR(INDEX(CHOOSE(MATCH($X57,{"K1","K2","K3","K12","K13","H1","H2","H3","H12","H13"},0),Calc!$BA$2:$BA$124,Calc!$BB$2:$BB$124,Calc!$BC$2:$BC$124,Calc!$BD$2:$BD$124,Calc!$BE$2:$BE$124,Calc!$BF$2:$BF$124,Calc!$BG$2:$BG$124,Calc!$BH$2:$BH$124,Calc!$BI$2:$BI$124,Calc!$BJ$2:$BJ$124),MATCH($W57,Calc!$A$2:$A$124,0)),"")</f>
        <v/>
      </c>
      <c r="AA57" s="9">
        <f>IF(Z57="","",IF(LEFT($X57,1)="H",SQRT(Z57*(IFERROR(INDEX(Calc!$AP$2:$AP$124,MATCH($W57,Calc!$A$2:$A$124,0)),0.5)*Config!$B$5+1-IFERROR(INDEX(Calc!$AP$2:$AP$124,MATCH($W57,Calc!$A$2:$A$124,0)),0.5))),SQRT(Z57*Config!$B$5)))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BB vs NEMI</t>
        </is>
      </c>
      <c r="C58" t="inlineStr">
        <is>
          <t>d1Ledez</t>
        </is>
      </c>
      <c r="D58" t="inlineStr">
        <is>
          <t>BB</t>
        </is>
      </c>
      <c r="E58" t="inlineStr">
        <is>
          <t>Maps 1-2 HS</t>
        </is>
      </c>
      <c r="F58" t="n">
        <v>17.5</v>
      </c>
      <c r="G58" s="9">
        <f>IFERROR(INDEX(CHOOSE(MATCH($X58,{"K1","K2","K3","K12","K13","H1","H2","H3","H12","H13"},0),Calc!$V$2:$V$124,Calc!$AC$2:$AC$124,Calc!$AJ$2:$AJ$124,Calc!$AL$2:$AL$124,Calc!$AM$2:$AM$124,Calc!$W$2:$W$124,Calc!$AD$2:$AD$124,Calc!$AK$2:$AK$124,Calc!$AN$2:$AN$124,Calc!$AO$2:$AO$124),MATCH($W58,Calc!$A$2:$A$124,0)),"")</f>
        <v/>
      </c>
      <c r="H58" s="9">
        <f>IF(G58="","",IF(LEFT($X58,1)="H",SQRT(G58*(IFERROR(INDEX(Calc!$AP$2:$AP$124,MATCH($W58,Calc!$A$2:$A$124,0)),0.5)*Config!$B$5+1-IFERROR(INDEX(Calc!$AP$2:$AP$124,MATCH($W58,Calc!$A$2:$A$124,0)),0.5))),SQRT(G58*Config!$B$5)))</f>
        <v/>
      </c>
      <c r="I58" s="8">
        <f>IF(OR(F58="",G58="",N(H58)&lt;=0),"",1-NORMDIST(FLOOR(F58,1)+0.5,G58,H58,TRUE))</f>
        <v/>
      </c>
      <c r="J58" s="8">
        <f>IF(I58="","",NORMDIST(CEILING(F58,1)-0.5,G58,H58,TRUE))</f>
        <v/>
      </c>
      <c r="K58" s="8">
        <f>IF(I58="","",MAX(0,1-I58-J58))</f>
        <v/>
      </c>
      <c r="L58">
        <f>IF(I58="","",IF(I58&gt;=0.5+Config!$B$6,"OVER",IF(J58&gt;=0.5+Config!$B$6,"UNDER","—")))</f>
        <v/>
      </c>
      <c r="N58" t="n">
        <v>17.7</v>
      </c>
      <c r="O58" s="8" t="n">
        <v>0.8</v>
      </c>
      <c r="P58" s="8" t="n">
        <v>0.6</v>
      </c>
      <c r="Q58" s="8" t="n">
        <v>0.6</v>
      </c>
      <c r="R58" t="inlineStr">
        <is>
          <t>20%/1/5</t>
        </is>
      </c>
      <c r="S58" t="n">
        <v>-1</v>
      </c>
      <c r="T58">
        <f>INDEX(Calc!$G$2:$G$124,MATCH($W58,Calc!$A$2:$A$124,0))&amp;" / "&amp;INDEX(Calc!$H$2:$H$124,MATCH($W58,Calc!$A$2:$A$124,0))</f>
        <v/>
      </c>
      <c r="U58">
        <f>TEXT(INDEX(Calc!$J$2:$J$124,MATCH($W58,Calc!$A$2:$A$124,0)),"0.0")&amp;" / "&amp;TEXT(INDEX(Calc!$K$2:$K$124,MATCH($W58,Calc!$A$2:$A$124,0)),"0.0")</f>
        <v/>
      </c>
      <c r="V58">
        <f>IFERROR(INDEX(Calc!$AQ$2:$AQ$124,MATCH($W58,Calc!$A$2:$A$124,0)),"")</f>
        <v/>
      </c>
      <c r="W58" t="inlineStr">
        <is>
          <t>kgpnwz42wxtq29r|CS2 · BB vs NEMI</t>
        </is>
      </c>
      <c r="X58" t="inlineStr">
        <is>
          <t>H12</t>
        </is>
      </c>
      <c r="Y58">
        <f>W58&amp;"|"&amp;X58</f>
        <v/>
      </c>
      <c r="Z58" s="9">
        <f>IFERROR(INDEX(CHOOSE(MATCH($X58,{"K1","K2","K3","K12","K13","H1","H2","H3","H12","H13"},0),Calc!$BA$2:$BA$124,Calc!$BB$2:$BB$124,Calc!$BC$2:$BC$124,Calc!$BD$2:$BD$124,Calc!$BE$2:$BE$124,Calc!$BF$2:$BF$124,Calc!$BG$2:$BG$124,Calc!$BH$2:$BH$124,Calc!$BI$2:$BI$124,Calc!$BJ$2:$BJ$124),MATCH($W58,Calc!$A$2:$A$124,0)),"")</f>
        <v/>
      </c>
      <c r="AA58" s="9">
        <f>IF(Z58="","",IF(LEFT($X58,1)="H",SQRT(Z58*(IFERROR(INDEX(Calc!$AP$2:$AP$124,MATCH($W58,Calc!$A$2:$A$124,0)),0.5)*Config!$B$5+1-IFERROR(INDEX(Calc!$AP$2:$AP$124,MATCH($W58,Calc!$A$2:$A$124,0)),0.5))),SQRT(Z58*Config!$B$5)))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BB vs NEMI</t>
        </is>
      </c>
      <c r="C59" t="inlineStr">
        <is>
          <t>d1Ledez</t>
        </is>
      </c>
      <c r="D59" t="inlineStr">
        <is>
          <t>BB</t>
        </is>
      </c>
      <c r="E59" t="inlineStr">
        <is>
          <t>Maps 1-2 Kills</t>
        </is>
      </c>
      <c r="F59" t="n">
        <v>30.5</v>
      </c>
      <c r="G59" s="9">
        <f>IFERROR(INDEX(CHOOSE(MATCH($X59,{"K1","K2","K3","K12","K13","H1","H2","H3","H12","H13"},0),Calc!$V$2:$V$124,Calc!$AC$2:$AC$124,Calc!$AJ$2:$AJ$124,Calc!$AL$2:$AL$124,Calc!$AM$2:$AM$124,Calc!$W$2:$W$124,Calc!$AD$2:$AD$124,Calc!$AK$2:$AK$124,Calc!$AN$2:$AN$124,Calc!$AO$2:$AO$124),MATCH($W59,Calc!$A$2:$A$124,0)),"")</f>
        <v/>
      </c>
      <c r="H59" s="9">
        <f>IF(G59="","",IF(LEFT($X59,1)="H",SQRT(G59*(IFERROR(INDEX(Calc!$AP$2:$AP$124,MATCH($W59,Calc!$A$2:$A$124,0)),0.5)*Config!$B$5+1-IFERROR(INDEX(Calc!$AP$2:$AP$124,MATCH($W59,Calc!$A$2:$A$124,0)),0.5))),SQRT(G59*Config!$B$5)))</f>
        <v/>
      </c>
      <c r="I59" s="8">
        <f>IF(OR(F59="",G59="",N(H59)&lt;=0),"",1-NORMDIST(FLOOR(F59,1)+0.5,G59,H59,TRUE))</f>
        <v/>
      </c>
      <c r="J59" s="8">
        <f>IF(I59="","",NORMDIST(CEILING(F59,1)-0.5,G59,H59,TRUE))</f>
        <v/>
      </c>
      <c r="K59" s="8">
        <f>IF(I59="","",MAX(0,1-I59-J59))</f>
        <v/>
      </c>
      <c r="L59">
        <f>IF(I59="","",IF(I59&gt;=0.5+Config!$B$6,"OVER",IF(J59&gt;=0.5+Config!$B$6,"UNDER","—")))</f>
        <v/>
      </c>
      <c r="M59" t="n">
        <v>29.18</v>
      </c>
      <c r="N59" t="n">
        <v>30.9</v>
      </c>
      <c r="O59" s="8" t="n">
        <v>0.6</v>
      </c>
      <c r="P59" s="8" t="n">
        <v>0.6</v>
      </c>
      <c r="Q59" s="8" t="n">
        <v>0.6</v>
      </c>
      <c r="R59" t="inlineStr">
        <is>
          <t>20%/1/5</t>
        </is>
      </c>
      <c r="S59" t="n">
        <v>-1</v>
      </c>
      <c r="T59">
        <f>INDEX(Calc!$G$2:$G$124,MATCH($W59,Calc!$A$2:$A$124,0))&amp;" / "&amp;INDEX(Calc!$H$2:$H$124,MATCH($W59,Calc!$A$2:$A$124,0))</f>
        <v/>
      </c>
      <c r="U59">
        <f>TEXT(INDEX(Calc!$J$2:$J$124,MATCH($W59,Calc!$A$2:$A$124,0)),"0.0")&amp;" / "&amp;TEXT(INDEX(Calc!$K$2:$K$124,MATCH($W59,Calc!$A$2:$A$124,0)),"0.0")</f>
        <v/>
      </c>
      <c r="V59">
        <f>IFERROR(INDEX(Calc!$AQ$2:$AQ$124,MATCH($W59,Calc!$A$2:$A$124,0)),"")</f>
        <v/>
      </c>
      <c r="W59" t="inlineStr">
        <is>
          <t>kgpnwz42wxtq29r|CS2 · BB vs NEMI</t>
        </is>
      </c>
      <c r="X59" t="inlineStr">
        <is>
          <t>K12</t>
        </is>
      </c>
      <c r="Y59">
        <f>W59&amp;"|"&amp;X59</f>
        <v/>
      </c>
      <c r="Z59" s="9">
        <f>IFERROR(INDEX(CHOOSE(MATCH($X59,{"K1","K2","K3","K12","K13","H1","H2","H3","H12","H13"},0),Calc!$BA$2:$BA$124,Calc!$BB$2:$BB$124,Calc!$BC$2:$BC$124,Calc!$BD$2:$BD$124,Calc!$BE$2:$BE$124,Calc!$BF$2:$BF$124,Calc!$BG$2:$BG$124,Calc!$BH$2:$BH$124,Calc!$BI$2:$BI$124,Calc!$BJ$2:$BJ$124),MATCH($W59,Calc!$A$2:$A$124,0)),"")</f>
        <v/>
      </c>
      <c r="AA59" s="9">
        <f>IF(Z59="","",IF(LEFT($X59,1)="H",SQRT(Z59*(IFERROR(INDEX(Calc!$AP$2:$AP$124,MATCH($W59,Calc!$A$2:$A$124,0)),0.5)*Config!$B$5+1-IFERROR(INDEX(Calc!$AP$2:$AP$124,MATCH($W59,Calc!$A$2:$A$124,0)),0.5))),SQRT(Z59*Config!$B$5)))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BB vs NEMI</t>
        </is>
      </c>
      <c r="C60" t="inlineStr">
        <is>
          <t>Magnojez</t>
        </is>
      </c>
      <c r="D60" t="inlineStr">
        <is>
          <t>BB</t>
        </is>
      </c>
      <c r="E60" t="inlineStr">
        <is>
          <t>Maps 1-2 HS</t>
        </is>
      </c>
      <c r="F60" t="n">
        <v>16.5</v>
      </c>
      <c r="G60" s="9">
        <f>IFERROR(INDEX(CHOOSE(MATCH($X60,{"K1","K2","K3","K12","K13","H1","H2","H3","H12","H13"},0),Calc!$V$2:$V$124,Calc!$AC$2:$AC$124,Calc!$AJ$2:$AJ$124,Calc!$AL$2:$AL$124,Calc!$AM$2:$AM$124,Calc!$W$2:$W$124,Calc!$AD$2:$AD$124,Calc!$AK$2:$AK$124,Calc!$AN$2:$AN$124,Calc!$AO$2:$AO$124),MATCH($W60,Calc!$A$2:$A$124,0)),"")</f>
        <v/>
      </c>
      <c r="H60" s="9">
        <f>IF(G60="","",IF(LEFT($X60,1)="H",SQRT(G60*(IFERROR(INDEX(Calc!$AP$2:$AP$124,MATCH($W60,Calc!$A$2:$A$124,0)),0.5)*Config!$B$5+1-IFERROR(INDEX(Calc!$AP$2:$AP$124,MATCH($W60,Calc!$A$2:$A$124,0)),0.5))),SQRT(G60*Config!$B$5)))</f>
        <v/>
      </c>
      <c r="I60" s="8">
        <f>IF(OR(F60="",G60="",N(H60)&lt;=0),"",1-NORMDIST(FLOOR(F60,1)+0.5,G60,H60,TRUE))</f>
        <v/>
      </c>
      <c r="J60" s="8">
        <f>IF(I60="","",NORMDIST(CEILING(F60,1)-0.5,G60,H60,TRUE))</f>
        <v/>
      </c>
      <c r="K60" s="8">
        <f>IF(I60="","",MAX(0,1-I60-J60))</f>
        <v/>
      </c>
      <c r="L60">
        <f>IF(I60="","",IF(I60&gt;=0.5+Config!$B$6,"OVER",IF(J60&gt;=0.5+Config!$B$6,"UNDER","—")))</f>
        <v/>
      </c>
      <c r="N60" t="n">
        <v>15.8</v>
      </c>
      <c r="O60" s="8" t="n">
        <v>0.6</v>
      </c>
      <c r="P60" s="8" t="n">
        <v>0.5</v>
      </c>
      <c r="Q60" s="8" t="n">
        <v>0.53</v>
      </c>
      <c r="R60" t="inlineStr">
        <is>
          <t>100%/3/3</t>
        </is>
      </c>
      <c r="S60" t="n">
        <v>-1</v>
      </c>
      <c r="T60">
        <f>INDEX(Calc!$G$2:$G$124,MATCH($W60,Calc!$A$2:$A$124,0))&amp;" / "&amp;INDEX(Calc!$H$2:$H$124,MATCH($W60,Calc!$A$2:$A$124,0))</f>
        <v/>
      </c>
      <c r="U60">
        <f>TEXT(INDEX(Calc!$J$2:$J$124,MATCH($W60,Calc!$A$2:$A$124,0)),"0.0")&amp;" / "&amp;TEXT(INDEX(Calc!$K$2:$K$124,MATCH($W60,Calc!$A$2:$A$124,0)),"0.0")</f>
        <v/>
      </c>
      <c r="V60">
        <f>IFERROR(INDEX(Calc!$AQ$2:$AQ$124,MATCH($W60,Calc!$A$2:$A$124,0)),"")</f>
        <v/>
      </c>
      <c r="W60" t="inlineStr">
        <is>
          <t>w2jejpg0j9hthoo|CS2 · BB vs NEMI</t>
        </is>
      </c>
      <c r="X60" t="inlineStr">
        <is>
          <t>H12</t>
        </is>
      </c>
      <c r="Y60">
        <f>W60&amp;"|"&amp;X60</f>
        <v/>
      </c>
      <c r="Z60" s="9">
        <f>IFERROR(INDEX(CHOOSE(MATCH($X60,{"K1","K2","K3","K12","K13","H1","H2","H3","H12","H13"},0),Calc!$BA$2:$BA$124,Calc!$BB$2:$BB$124,Calc!$BC$2:$BC$124,Calc!$BD$2:$BD$124,Calc!$BE$2:$BE$124,Calc!$BF$2:$BF$124,Calc!$BG$2:$BG$124,Calc!$BH$2:$BH$124,Calc!$BI$2:$BI$124,Calc!$BJ$2:$BJ$124),MATCH($W60,Calc!$A$2:$A$124,0)),"")</f>
        <v/>
      </c>
      <c r="AA60" s="9">
        <f>IF(Z60="","",IF(LEFT($X60,1)="H",SQRT(Z60*(IFERROR(INDEX(Calc!$AP$2:$AP$124,MATCH($W60,Calc!$A$2:$A$124,0)),0.5)*Config!$B$5+1-IFERROR(INDEX(Calc!$AP$2:$AP$124,MATCH($W60,Calc!$A$2:$A$124,0)),0.5))),SQRT(Z60*Config!$B$5)))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BB vs NEMI</t>
        </is>
      </c>
      <c r="C61" t="inlineStr">
        <is>
          <t>Magnojez</t>
        </is>
      </c>
      <c r="D61" t="inlineStr">
        <is>
          <t>BB</t>
        </is>
      </c>
      <c r="E61" t="inlineStr">
        <is>
          <t>Maps 1-2 Kills</t>
        </is>
      </c>
      <c r="F61" t="n">
        <v>32.5</v>
      </c>
      <c r="G61" s="9">
        <f>IFERROR(INDEX(CHOOSE(MATCH($X61,{"K1","K2","K3","K12","K13","H1","H2","H3","H12","H13"},0),Calc!$V$2:$V$124,Calc!$AC$2:$AC$124,Calc!$AJ$2:$AJ$124,Calc!$AL$2:$AL$124,Calc!$AM$2:$AM$124,Calc!$W$2:$W$124,Calc!$AD$2:$AD$124,Calc!$AK$2:$AK$124,Calc!$AN$2:$AN$124,Calc!$AO$2:$AO$124),MATCH($W61,Calc!$A$2:$A$124,0)),"")</f>
        <v/>
      </c>
      <c r="H61" s="9">
        <f>IF(G61="","",IF(LEFT($X61,1)="H",SQRT(G61*(IFERROR(INDEX(Calc!$AP$2:$AP$124,MATCH($W61,Calc!$A$2:$A$124,0)),0.5)*Config!$B$5+1-IFERROR(INDEX(Calc!$AP$2:$AP$124,MATCH($W61,Calc!$A$2:$A$124,0)),0.5))),SQRT(G61*Config!$B$5)))</f>
        <v/>
      </c>
      <c r="I61" s="8">
        <f>IF(OR(F61="",G61="",N(H61)&lt;=0),"",1-NORMDIST(FLOOR(F61,1)+0.5,G61,H61,TRUE))</f>
        <v/>
      </c>
      <c r="J61" s="8">
        <f>IF(I61="","",NORMDIST(CEILING(F61,1)-0.5,G61,H61,TRUE))</f>
        <v/>
      </c>
      <c r="K61" s="8">
        <f>IF(I61="","",MAX(0,1-I61-J61))</f>
        <v/>
      </c>
      <c r="L61">
        <f>IF(I61="","",IF(I61&gt;=0.5+Config!$B$6,"OVER",IF(J61&gt;=0.5+Config!$B$6,"UNDER","—")))</f>
        <v/>
      </c>
      <c r="M61" t="n">
        <v>33</v>
      </c>
      <c r="N61" t="n">
        <v>30.9</v>
      </c>
      <c r="O61" s="8" t="n">
        <v>0.4</v>
      </c>
      <c r="P61" s="8" t="n">
        <v>0.4</v>
      </c>
      <c r="Q61" s="8" t="n">
        <v>0.47</v>
      </c>
      <c r="R61" t="inlineStr">
        <is>
          <t>100%/3/3</t>
        </is>
      </c>
      <c r="S61" t="n">
        <v>-2</v>
      </c>
      <c r="T61">
        <f>INDEX(Calc!$G$2:$G$124,MATCH($W61,Calc!$A$2:$A$124,0))&amp;" / "&amp;INDEX(Calc!$H$2:$H$124,MATCH($W61,Calc!$A$2:$A$124,0))</f>
        <v/>
      </c>
      <c r="U61">
        <f>TEXT(INDEX(Calc!$J$2:$J$124,MATCH($W61,Calc!$A$2:$A$124,0)),"0.0")&amp;" / "&amp;TEXT(INDEX(Calc!$K$2:$K$124,MATCH($W61,Calc!$A$2:$A$124,0)),"0.0")</f>
        <v/>
      </c>
      <c r="V61">
        <f>IFERROR(INDEX(Calc!$AQ$2:$AQ$124,MATCH($W61,Calc!$A$2:$A$124,0)),"")</f>
        <v/>
      </c>
      <c r="W61" t="inlineStr">
        <is>
          <t>w2jejpg0j9hthoo|CS2 · BB vs NEMI</t>
        </is>
      </c>
      <c r="X61" t="inlineStr">
        <is>
          <t>K12</t>
        </is>
      </c>
      <c r="Y61">
        <f>W61&amp;"|"&amp;X61</f>
        <v/>
      </c>
      <c r="Z61" s="9">
        <f>IFERROR(INDEX(CHOOSE(MATCH($X61,{"K1","K2","K3","K12","K13","H1","H2","H3","H12","H13"},0),Calc!$BA$2:$BA$124,Calc!$BB$2:$BB$124,Calc!$BC$2:$BC$124,Calc!$BD$2:$BD$124,Calc!$BE$2:$BE$124,Calc!$BF$2:$BF$124,Calc!$BG$2:$BG$124,Calc!$BH$2:$BH$124,Calc!$BI$2:$BI$124,Calc!$BJ$2:$BJ$124),MATCH($W61,Calc!$A$2:$A$124,0)),"")</f>
        <v/>
      </c>
      <c r="AA61" s="9">
        <f>IF(Z61="","",IF(LEFT($X61,1)="H",SQRT(Z61*(IFERROR(INDEX(Calc!$AP$2:$AP$124,MATCH($W61,Calc!$A$2:$A$124,0)),0.5)*Config!$B$5+1-IFERROR(INDEX(Calc!$AP$2:$AP$124,MATCH($W61,Calc!$A$2:$A$124,0)),0.5))),SQRT(Z61*Config!$B$5)))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BB vs NEMI</t>
        </is>
      </c>
      <c r="C62" t="inlineStr">
        <is>
          <t>s1ren</t>
        </is>
      </c>
      <c r="D62" t="inlineStr">
        <is>
          <t>BB</t>
        </is>
      </c>
      <c r="E62" t="inlineStr">
        <is>
          <t>Maps 1-2 HS</t>
        </is>
      </c>
      <c r="F62" t="n">
        <v>17</v>
      </c>
      <c r="G62" s="9">
        <f>IFERROR(INDEX(CHOOSE(MATCH($X62,{"K1","K2","K3","K12","K13","H1","H2","H3","H12","H13"},0),Calc!$V$2:$V$124,Calc!$AC$2:$AC$124,Calc!$AJ$2:$AJ$124,Calc!$AL$2:$AL$124,Calc!$AM$2:$AM$124,Calc!$W$2:$W$124,Calc!$AD$2:$AD$124,Calc!$AK$2:$AK$124,Calc!$AN$2:$AN$124,Calc!$AO$2:$AO$124),MATCH($W62,Calc!$A$2:$A$124,0)),"")</f>
        <v/>
      </c>
      <c r="H62" s="9">
        <f>IF(G62="","",IF(LEFT($X62,1)="H",SQRT(G62*(IFERROR(INDEX(Calc!$AP$2:$AP$124,MATCH($W62,Calc!$A$2:$A$124,0)),0.5)*Config!$B$5+1-IFERROR(INDEX(Calc!$AP$2:$AP$124,MATCH($W62,Calc!$A$2:$A$124,0)),0.5))),SQRT(G62*Config!$B$5)))</f>
        <v/>
      </c>
      <c r="I62" s="8">
        <f>IF(OR(F62="",G62="",N(H62)&lt;=0),"",1-NORMDIST(FLOOR(F62,1)+0.5,G62,H62,TRUE))</f>
        <v/>
      </c>
      <c r="J62" s="8">
        <f>IF(I62="","",NORMDIST(CEILING(F62,1)-0.5,G62,H62,TRUE))</f>
        <v/>
      </c>
      <c r="K62" s="8">
        <f>IF(I62="","",MAX(0,1-I62-J62))</f>
        <v/>
      </c>
      <c r="L62">
        <f>IF(I62="","",IF(I62&gt;=0.5+Config!$B$6,"OVER",IF(J62&gt;=0.5+Config!$B$6,"UNDER","—")))</f>
        <v/>
      </c>
      <c r="N62" t="n">
        <v>17.2</v>
      </c>
      <c r="O62" s="8" t="n">
        <v>0.8</v>
      </c>
      <c r="P62" s="8" t="n">
        <v>0.5</v>
      </c>
      <c r="Q62" s="8" t="n">
        <v>0.53</v>
      </c>
      <c r="R62" t="inlineStr">
        <is>
          <t>75%/3/4</t>
        </is>
      </c>
      <c r="S62" t="n">
        <v>-1</v>
      </c>
      <c r="T62">
        <f>INDEX(Calc!$G$2:$G$124,MATCH($W62,Calc!$A$2:$A$124,0))&amp;" / "&amp;INDEX(Calc!$H$2:$H$124,MATCH($W62,Calc!$A$2:$A$124,0))</f>
        <v/>
      </c>
      <c r="U62">
        <f>TEXT(INDEX(Calc!$J$2:$J$124,MATCH($W62,Calc!$A$2:$A$124,0)),"0.0")&amp;" / "&amp;TEXT(INDEX(Calc!$K$2:$K$124,MATCH($W62,Calc!$A$2:$A$124,0)),"0.0")</f>
        <v/>
      </c>
      <c r="V62">
        <f>IFERROR(INDEX(Calc!$AQ$2:$AQ$124,MATCH($W62,Calc!$A$2:$A$124,0)),"")</f>
        <v/>
      </c>
      <c r="W62" t="inlineStr">
        <is>
          <t>bn3mlvy0cst11z3|CS2 · BB vs NEMI</t>
        </is>
      </c>
      <c r="X62" t="inlineStr">
        <is>
          <t>H12</t>
        </is>
      </c>
      <c r="Y62">
        <f>W62&amp;"|"&amp;X62</f>
        <v/>
      </c>
      <c r="Z62" s="9">
        <f>IFERROR(INDEX(CHOOSE(MATCH($X62,{"K1","K2","K3","K12","K13","H1","H2","H3","H12","H13"},0),Calc!$BA$2:$BA$124,Calc!$BB$2:$BB$124,Calc!$BC$2:$BC$124,Calc!$BD$2:$BD$124,Calc!$BE$2:$BE$124,Calc!$BF$2:$BF$124,Calc!$BG$2:$BG$124,Calc!$BH$2:$BH$124,Calc!$BI$2:$BI$124,Calc!$BJ$2:$BJ$124),MATCH($W62,Calc!$A$2:$A$124,0)),"")</f>
        <v/>
      </c>
      <c r="AA62" s="9">
        <f>IF(Z62="","",IF(LEFT($X62,1)="H",SQRT(Z62*(IFERROR(INDEX(Calc!$AP$2:$AP$124,MATCH($W62,Calc!$A$2:$A$124,0)),0.5)*Config!$B$5+1-IFERROR(INDEX(Calc!$AP$2:$AP$124,MATCH($W62,Calc!$A$2:$A$124,0)),0.5))),SQRT(Z62*Config!$B$5)))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BB vs NEMI</t>
        </is>
      </c>
      <c r="C63" t="inlineStr">
        <is>
          <t>s1ren</t>
        </is>
      </c>
      <c r="D63" t="inlineStr">
        <is>
          <t>BB</t>
        </is>
      </c>
      <c r="E63" t="inlineStr">
        <is>
          <t>Maps 1-2 Kills</t>
        </is>
      </c>
      <c r="F63" t="n">
        <v>29.5</v>
      </c>
      <c r="G63" s="9">
        <f>IFERROR(INDEX(CHOOSE(MATCH($X63,{"K1","K2","K3","K12","K13","H1","H2","H3","H12","H13"},0),Calc!$V$2:$V$124,Calc!$AC$2:$AC$124,Calc!$AJ$2:$AJ$124,Calc!$AL$2:$AL$124,Calc!$AM$2:$AM$124,Calc!$W$2:$W$124,Calc!$AD$2:$AD$124,Calc!$AK$2:$AK$124,Calc!$AN$2:$AN$124,Calc!$AO$2:$AO$124),MATCH($W63,Calc!$A$2:$A$124,0)),"")</f>
        <v/>
      </c>
      <c r="H63" s="9">
        <f>IF(G63="","",IF(LEFT($X63,1)="H",SQRT(G63*(IFERROR(INDEX(Calc!$AP$2:$AP$124,MATCH($W63,Calc!$A$2:$A$124,0)),0.5)*Config!$B$5+1-IFERROR(INDEX(Calc!$AP$2:$AP$124,MATCH($W63,Calc!$A$2:$A$124,0)),0.5))),SQRT(G63*Config!$B$5)))</f>
        <v/>
      </c>
      <c r="I63" s="8">
        <f>IF(OR(F63="",G63="",N(H63)&lt;=0),"",1-NORMDIST(FLOOR(F63,1)+0.5,G63,H63,TRUE))</f>
        <v/>
      </c>
      <c r="J63" s="8">
        <f>IF(I63="","",NORMDIST(CEILING(F63,1)-0.5,G63,H63,TRUE))</f>
        <v/>
      </c>
      <c r="K63" s="8">
        <f>IF(I63="","",MAX(0,1-I63-J63))</f>
        <v/>
      </c>
      <c r="L63">
        <f>IF(I63="","",IF(I63&gt;=0.5+Config!$B$6,"OVER",IF(J63&gt;=0.5+Config!$B$6,"UNDER","—")))</f>
        <v/>
      </c>
      <c r="M63" t="n">
        <v>28</v>
      </c>
      <c r="N63" t="n">
        <v>29.9</v>
      </c>
      <c r="O63" s="8" t="n">
        <v>0.8</v>
      </c>
      <c r="P63" s="8" t="n">
        <v>0.5</v>
      </c>
      <c r="Q63" s="8" t="n">
        <v>0.67</v>
      </c>
      <c r="R63" t="inlineStr">
        <is>
          <t>75%/3/4</t>
        </is>
      </c>
      <c r="S63" t="n">
        <v>-1</v>
      </c>
      <c r="T63">
        <f>INDEX(Calc!$G$2:$G$124,MATCH($W63,Calc!$A$2:$A$124,0))&amp;" / "&amp;INDEX(Calc!$H$2:$H$124,MATCH($W63,Calc!$A$2:$A$124,0))</f>
        <v/>
      </c>
      <c r="U63">
        <f>TEXT(INDEX(Calc!$J$2:$J$124,MATCH($W63,Calc!$A$2:$A$124,0)),"0.0")&amp;" / "&amp;TEXT(INDEX(Calc!$K$2:$K$124,MATCH($W63,Calc!$A$2:$A$124,0)),"0.0")</f>
        <v/>
      </c>
      <c r="V63">
        <f>IFERROR(INDEX(Calc!$AQ$2:$AQ$124,MATCH($W63,Calc!$A$2:$A$124,0)),"")</f>
        <v/>
      </c>
      <c r="W63" t="inlineStr">
        <is>
          <t>bn3mlvy0cst11z3|CS2 · BB vs NEMI</t>
        </is>
      </c>
      <c r="X63" t="inlineStr">
        <is>
          <t>K12</t>
        </is>
      </c>
      <c r="Y63">
        <f>W63&amp;"|"&amp;X63</f>
        <v/>
      </c>
      <c r="Z63" s="9">
        <f>IFERROR(INDEX(CHOOSE(MATCH($X63,{"K1","K2","K3","K12","K13","H1","H2","H3","H12","H13"},0),Calc!$BA$2:$BA$124,Calc!$BB$2:$BB$124,Calc!$BC$2:$BC$124,Calc!$BD$2:$BD$124,Calc!$BE$2:$BE$124,Calc!$BF$2:$BF$124,Calc!$BG$2:$BG$124,Calc!$BH$2:$BH$124,Calc!$BI$2:$BI$124,Calc!$BJ$2:$BJ$124),MATCH($W63,Calc!$A$2:$A$124,0)),"")</f>
        <v/>
      </c>
      <c r="AA63" s="9">
        <f>IF(Z63="","",IF(LEFT($X63,1)="H",SQRT(Z63*(IFERROR(INDEX(Calc!$AP$2:$AP$124,MATCH($W63,Calc!$A$2:$A$124,0)),0.5)*Config!$B$5+1-IFERROR(INDEX(Calc!$AP$2:$AP$124,MATCH($W63,Calc!$A$2:$A$124,0)),0.5))),SQRT(Z63*Config!$B$5)))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BB vs NEMI</t>
        </is>
      </c>
      <c r="C64" t="inlineStr">
        <is>
          <t>zorte</t>
        </is>
      </c>
      <c r="D64" t="inlineStr">
        <is>
          <t>BB</t>
        </is>
      </c>
      <c r="E64" t="inlineStr">
        <is>
          <t>Maps 1-2 HS</t>
        </is>
      </c>
      <c r="F64" t="n">
        <v>10</v>
      </c>
      <c r="G64" s="9">
        <f>IFERROR(INDEX(CHOOSE(MATCH($X64,{"K1","K2","K3","K12","K13","H1","H2","H3","H12","H13"},0),Calc!$V$2:$V$124,Calc!$AC$2:$AC$124,Calc!$AJ$2:$AJ$124,Calc!$AL$2:$AL$124,Calc!$AM$2:$AM$124,Calc!$W$2:$W$124,Calc!$AD$2:$AD$124,Calc!$AK$2:$AK$124,Calc!$AN$2:$AN$124,Calc!$AO$2:$AO$124),MATCH($W64,Calc!$A$2:$A$124,0)),"")</f>
        <v/>
      </c>
      <c r="H64" s="9">
        <f>IF(G64="","",IF(LEFT($X64,1)="H",SQRT(G64*(IFERROR(INDEX(Calc!$AP$2:$AP$124,MATCH($W64,Calc!$A$2:$A$124,0)),0.5)*Config!$B$5+1-IFERROR(INDEX(Calc!$AP$2:$AP$124,MATCH($W64,Calc!$A$2:$A$124,0)),0.5))),SQRT(G64*Config!$B$5)))</f>
        <v/>
      </c>
      <c r="I64" s="8">
        <f>IF(OR(F64="",G64="",N(H64)&lt;=0),"",1-NORMDIST(FLOOR(F64,1)+0.5,G64,H64,TRUE))</f>
        <v/>
      </c>
      <c r="J64" s="8">
        <f>IF(I64="","",NORMDIST(CEILING(F64,1)-0.5,G64,H64,TRUE))</f>
        <v/>
      </c>
      <c r="K64" s="8">
        <f>IF(I64="","",MAX(0,1-I64-J64))</f>
        <v/>
      </c>
      <c r="L64">
        <f>IF(I64="","",IF(I64&gt;=0.5+Config!$B$6,"OVER",IF(J64&gt;=0.5+Config!$B$6,"UNDER","—")))</f>
        <v/>
      </c>
      <c r="N64" t="n">
        <v>9.1</v>
      </c>
      <c r="O64" s="8" t="n">
        <v>0.6</v>
      </c>
      <c r="P64" s="8" t="n">
        <v>0.4</v>
      </c>
      <c r="Q64" s="8" t="n">
        <v>0.4</v>
      </c>
      <c r="R64" t="inlineStr">
        <is>
          <t>60%/3/5</t>
        </is>
      </c>
      <c r="S64" t="n">
        <v>-1</v>
      </c>
      <c r="T64">
        <f>INDEX(Calc!$G$2:$G$124,MATCH($W64,Calc!$A$2:$A$124,0))&amp;" / "&amp;INDEX(Calc!$H$2:$H$124,MATCH($W64,Calc!$A$2:$A$124,0))</f>
        <v/>
      </c>
      <c r="U64">
        <f>TEXT(INDEX(Calc!$J$2:$J$124,MATCH($W64,Calc!$A$2:$A$124,0)),"0.0")&amp;" / "&amp;TEXT(INDEX(Calc!$K$2:$K$124,MATCH($W64,Calc!$A$2:$A$124,0)),"0.0")</f>
        <v/>
      </c>
      <c r="V64">
        <f>IFERROR(INDEX(Calc!$AQ$2:$AQ$124,MATCH($W64,Calc!$A$2:$A$124,0)),"")</f>
        <v/>
      </c>
      <c r="W64" t="inlineStr">
        <is>
          <t>c4m3zncm4mxvzoh|CS2 · BB vs NEMI</t>
        </is>
      </c>
      <c r="X64" t="inlineStr">
        <is>
          <t>H12</t>
        </is>
      </c>
      <c r="Y64">
        <f>W64&amp;"|"&amp;X64</f>
        <v/>
      </c>
      <c r="Z64" s="9">
        <f>IFERROR(INDEX(CHOOSE(MATCH($X64,{"K1","K2","K3","K12","K13","H1","H2","H3","H12","H13"},0),Calc!$BA$2:$BA$124,Calc!$BB$2:$BB$124,Calc!$BC$2:$BC$124,Calc!$BD$2:$BD$124,Calc!$BE$2:$BE$124,Calc!$BF$2:$BF$124,Calc!$BG$2:$BG$124,Calc!$BH$2:$BH$124,Calc!$BI$2:$BI$124,Calc!$BJ$2:$BJ$124),MATCH($W64,Calc!$A$2:$A$124,0)),"")</f>
        <v/>
      </c>
      <c r="AA64" s="9">
        <f>IF(Z64="","",IF(LEFT($X64,1)="H",SQRT(Z64*(IFERROR(INDEX(Calc!$AP$2:$AP$124,MATCH($W64,Calc!$A$2:$A$124,0)),0.5)*Config!$B$5+1-IFERROR(INDEX(Calc!$AP$2:$AP$124,MATCH($W64,Calc!$A$2:$A$124,0)),0.5))),SQRT(Z64*Config!$B$5)))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BB vs NEMI</t>
        </is>
      </c>
      <c r="C65" t="inlineStr">
        <is>
          <t>zorte</t>
        </is>
      </c>
      <c r="D65" t="inlineStr">
        <is>
          <t>BB</t>
        </is>
      </c>
      <c r="E65" t="inlineStr">
        <is>
          <t>Maps 1-2 Kills</t>
        </is>
      </c>
      <c r="F65" t="n">
        <v>30.5</v>
      </c>
      <c r="G65" s="9">
        <f>IFERROR(INDEX(CHOOSE(MATCH($X65,{"K1","K2","K3","K12","K13","H1","H2","H3","H12","H13"},0),Calc!$V$2:$V$124,Calc!$AC$2:$AC$124,Calc!$AJ$2:$AJ$124,Calc!$AL$2:$AL$124,Calc!$AM$2:$AM$124,Calc!$W$2:$W$124,Calc!$AD$2:$AD$124,Calc!$AK$2:$AK$124,Calc!$AN$2:$AN$124,Calc!$AO$2:$AO$124),MATCH($W65,Calc!$A$2:$A$124,0)),"")</f>
        <v/>
      </c>
      <c r="H65" s="9">
        <f>IF(G65="","",IF(LEFT($X65,1)="H",SQRT(G65*(IFERROR(INDEX(Calc!$AP$2:$AP$124,MATCH($W65,Calc!$A$2:$A$124,0)),0.5)*Config!$B$5+1-IFERROR(INDEX(Calc!$AP$2:$AP$124,MATCH($W65,Calc!$A$2:$A$124,0)),0.5))),SQRT(G65*Config!$B$5)))</f>
        <v/>
      </c>
      <c r="I65" s="8">
        <f>IF(OR(F65="",G65="",N(H65)&lt;=0),"",1-NORMDIST(FLOOR(F65,1)+0.5,G65,H65,TRUE))</f>
        <v/>
      </c>
      <c r="J65" s="8">
        <f>IF(I65="","",NORMDIST(CEILING(F65,1)-0.5,G65,H65,TRUE))</f>
        <v/>
      </c>
      <c r="K65" s="8">
        <f>IF(I65="","",MAX(0,1-I65-J65))</f>
        <v/>
      </c>
      <c r="L65">
        <f>IF(I65="","",IF(I65&gt;=0.5+Config!$B$6,"OVER",IF(J65&gt;=0.5+Config!$B$6,"UNDER","—")))</f>
        <v/>
      </c>
      <c r="M65" t="n">
        <v>29.24</v>
      </c>
      <c r="N65" t="n">
        <v>31.3</v>
      </c>
      <c r="O65" s="8" t="n">
        <v>0.8</v>
      </c>
      <c r="P65" s="8" t="n">
        <v>0.5</v>
      </c>
      <c r="Q65" s="8" t="n">
        <v>0.47</v>
      </c>
      <c r="R65" t="inlineStr">
        <is>
          <t>60%/3/5</t>
        </is>
      </c>
      <c r="S65" t="n">
        <v>4</v>
      </c>
      <c r="T65">
        <f>INDEX(Calc!$G$2:$G$124,MATCH($W65,Calc!$A$2:$A$124,0))&amp;" / "&amp;INDEX(Calc!$H$2:$H$124,MATCH($W65,Calc!$A$2:$A$124,0))</f>
        <v/>
      </c>
      <c r="U65">
        <f>TEXT(INDEX(Calc!$J$2:$J$124,MATCH($W65,Calc!$A$2:$A$124,0)),"0.0")&amp;" / "&amp;TEXT(INDEX(Calc!$K$2:$K$124,MATCH($W65,Calc!$A$2:$A$124,0)),"0.0")</f>
        <v/>
      </c>
      <c r="V65">
        <f>IFERROR(INDEX(Calc!$AQ$2:$AQ$124,MATCH($W65,Calc!$A$2:$A$124,0)),"")</f>
        <v/>
      </c>
      <c r="W65" t="inlineStr">
        <is>
          <t>c4m3zncm4mxvzoh|CS2 · BB vs NEMI</t>
        </is>
      </c>
      <c r="X65" t="inlineStr">
        <is>
          <t>K12</t>
        </is>
      </c>
      <c r="Y65">
        <f>W65&amp;"|"&amp;X65</f>
        <v/>
      </c>
      <c r="Z65" s="9">
        <f>IFERROR(INDEX(CHOOSE(MATCH($X65,{"K1","K2","K3","K12","K13","H1","H2","H3","H12","H13"},0),Calc!$BA$2:$BA$124,Calc!$BB$2:$BB$124,Calc!$BC$2:$BC$124,Calc!$BD$2:$BD$124,Calc!$BE$2:$BE$124,Calc!$BF$2:$BF$124,Calc!$BG$2:$BG$124,Calc!$BH$2:$BH$124,Calc!$BI$2:$BI$124,Calc!$BJ$2:$BJ$124),MATCH($W65,Calc!$A$2:$A$124,0)),"")</f>
        <v/>
      </c>
      <c r="AA65" s="9">
        <f>IF(Z65="","",IF(LEFT($X65,1)="H",SQRT(Z65*(IFERROR(INDEX(Calc!$AP$2:$AP$124,MATCH($W65,Calc!$A$2:$A$124,0)),0.5)*Config!$B$5+1-IFERROR(INDEX(Calc!$AP$2:$AP$124,MATCH($W65,Calc!$A$2:$A$124,0)),0.5))),SQRT(Z65*Config!$B$5)))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BB vs NEMI</t>
        </is>
      </c>
      <c r="C66" t="inlineStr">
        <is>
          <t>KaiR0N</t>
        </is>
      </c>
      <c r="D66" t="inlineStr">
        <is>
          <t>NEMI</t>
        </is>
      </c>
      <c r="E66" t="inlineStr">
        <is>
          <t>Maps 1-2 HS</t>
        </is>
      </c>
      <c r="F66" t="n">
        <v>18</v>
      </c>
      <c r="G66" s="9">
        <f>IFERROR(INDEX(CHOOSE(MATCH($X66,{"K1","K2","K3","K12","K13","H1","H2","H3","H12","H13"},0),Calc!$V$2:$V$124,Calc!$AC$2:$AC$124,Calc!$AJ$2:$AJ$124,Calc!$AL$2:$AL$124,Calc!$AM$2:$AM$124,Calc!$W$2:$W$124,Calc!$AD$2:$AD$124,Calc!$AK$2:$AK$124,Calc!$AN$2:$AN$124,Calc!$AO$2:$AO$124),MATCH($W66,Calc!$A$2:$A$124,0)),"")</f>
        <v/>
      </c>
      <c r="H66" s="9">
        <f>IF(G66="","",IF(LEFT($X66,1)="H",SQRT(G66*(IFERROR(INDEX(Calc!$AP$2:$AP$124,MATCH($W66,Calc!$A$2:$A$124,0)),0.5)*Config!$B$5+1-IFERROR(INDEX(Calc!$AP$2:$AP$124,MATCH($W66,Calc!$A$2:$A$124,0)),0.5))),SQRT(G66*Config!$B$5)))</f>
        <v/>
      </c>
      <c r="I66" s="8">
        <f>IF(OR(F66="",G66="",N(H66)&lt;=0),"",1-NORMDIST(FLOOR(F66,1)+0.5,G66,H66,TRUE))</f>
        <v/>
      </c>
      <c r="J66" s="8">
        <f>IF(I66="","",NORMDIST(CEILING(F66,1)-0.5,G66,H66,TRUE))</f>
        <v/>
      </c>
      <c r="K66" s="8">
        <f>IF(I66="","",MAX(0,1-I66-J66))</f>
        <v/>
      </c>
      <c r="L66">
        <f>IF(I66="","",IF(I66&gt;=0.5+Config!$B$6,"OVER",IF(J66&gt;=0.5+Config!$B$6,"UNDER","—")))</f>
        <v/>
      </c>
      <c r="N66" t="n">
        <v>21.3</v>
      </c>
      <c r="O66" s="8" t="n">
        <v>0.6</v>
      </c>
      <c r="P66" s="8" t="n">
        <v>0.7</v>
      </c>
      <c r="Q66" s="8" t="n">
        <v>0.73</v>
      </c>
      <c r="R66" t="inlineStr">
        <is>
          <t>100%/2/2</t>
        </is>
      </c>
      <c r="S66" t="n">
        <v>1</v>
      </c>
      <c r="T66">
        <f>INDEX(Calc!$G$2:$G$124,MATCH($W66,Calc!$A$2:$A$124,0))&amp;" / "&amp;INDEX(Calc!$H$2:$H$124,MATCH($W66,Calc!$A$2:$A$124,0))</f>
        <v/>
      </c>
      <c r="U66">
        <f>TEXT(INDEX(Calc!$J$2:$J$124,MATCH($W66,Calc!$A$2:$A$124,0)),"0.0")&amp;" / "&amp;TEXT(INDEX(Calc!$K$2:$K$124,MATCH($W66,Calc!$A$2:$A$124,0)),"0.0")</f>
        <v/>
      </c>
      <c r="V66">
        <f>IFERROR(INDEX(Calc!$AQ$2:$AQ$124,MATCH($W66,Calc!$A$2:$A$124,0)),"")</f>
        <v/>
      </c>
      <c r="W66" t="inlineStr">
        <is>
          <t>fhr6sqp0a6355ky|CS2 · BB vs NEMI</t>
        </is>
      </c>
      <c r="X66" t="inlineStr">
        <is>
          <t>H12</t>
        </is>
      </c>
      <c r="Y66">
        <f>W66&amp;"|"&amp;X66</f>
        <v/>
      </c>
      <c r="Z66" s="9">
        <f>IFERROR(INDEX(CHOOSE(MATCH($X66,{"K1","K2","K3","K12","K13","H1","H2","H3","H12","H13"},0),Calc!$BA$2:$BA$124,Calc!$BB$2:$BB$124,Calc!$BC$2:$BC$124,Calc!$BD$2:$BD$124,Calc!$BE$2:$BE$124,Calc!$BF$2:$BF$124,Calc!$BG$2:$BG$124,Calc!$BH$2:$BH$124,Calc!$BI$2:$BI$124,Calc!$BJ$2:$BJ$124),MATCH($W66,Calc!$A$2:$A$124,0)),"")</f>
        <v/>
      </c>
      <c r="AA66" s="9">
        <f>IF(Z66="","",IF(LEFT($X66,1)="H",SQRT(Z66*(IFERROR(INDEX(Calc!$AP$2:$AP$124,MATCH($W66,Calc!$A$2:$A$124,0)),0.5)*Config!$B$5+1-IFERROR(INDEX(Calc!$AP$2:$AP$124,MATCH($W66,Calc!$A$2:$A$124,0)),0.5))),SQRT(Z66*Config!$B$5)))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BB vs NEMI</t>
        </is>
      </c>
      <c r="C67" t="inlineStr">
        <is>
          <t>KaiR0N</t>
        </is>
      </c>
      <c r="D67" t="inlineStr">
        <is>
          <t>NEMI</t>
        </is>
      </c>
      <c r="E67" t="inlineStr">
        <is>
          <t>Maps 1-2 Kills</t>
        </is>
      </c>
      <c r="F67" t="n">
        <v>29.5</v>
      </c>
      <c r="G67" s="9">
        <f>IFERROR(INDEX(CHOOSE(MATCH($X67,{"K1","K2","K3","K12","K13","H1","H2","H3","H12","H13"},0),Calc!$V$2:$V$124,Calc!$AC$2:$AC$124,Calc!$AJ$2:$AJ$124,Calc!$AL$2:$AL$124,Calc!$AM$2:$AM$124,Calc!$W$2:$W$124,Calc!$AD$2:$AD$124,Calc!$AK$2:$AK$124,Calc!$AN$2:$AN$124,Calc!$AO$2:$AO$124),MATCH($W67,Calc!$A$2:$A$124,0)),"")</f>
        <v/>
      </c>
      <c r="H67" s="9">
        <f>IF(G67="","",IF(LEFT($X67,1)="H",SQRT(G67*(IFERROR(INDEX(Calc!$AP$2:$AP$124,MATCH($W67,Calc!$A$2:$A$124,0)),0.5)*Config!$B$5+1-IFERROR(INDEX(Calc!$AP$2:$AP$124,MATCH($W67,Calc!$A$2:$A$124,0)),0.5))),SQRT(G67*Config!$B$5)))</f>
        <v/>
      </c>
      <c r="I67" s="8">
        <f>IF(OR(F67="",G67="",N(H67)&lt;=0),"",1-NORMDIST(FLOOR(F67,1)+0.5,G67,H67,TRUE))</f>
        <v/>
      </c>
      <c r="J67" s="8">
        <f>IF(I67="","",NORMDIST(CEILING(F67,1)-0.5,G67,H67,TRUE))</f>
        <v/>
      </c>
      <c r="K67" s="8">
        <f>IF(I67="","",MAX(0,1-I67-J67))</f>
        <v/>
      </c>
      <c r="L67">
        <f>IF(I67="","",IF(I67&gt;=0.5+Config!$B$6,"OVER",IF(J67&gt;=0.5+Config!$B$6,"UNDER","—")))</f>
        <v/>
      </c>
      <c r="N67" t="n">
        <v>34.4</v>
      </c>
      <c r="O67" s="8" t="n">
        <v>0.6</v>
      </c>
      <c r="P67" s="8" t="n">
        <v>0.6</v>
      </c>
      <c r="Q67" s="8" t="n">
        <v>0.73</v>
      </c>
      <c r="R67" t="inlineStr">
        <is>
          <t>50%/1/2</t>
        </is>
      </c>
      <c r="S67" t="n">
        <v>1</v>
      </c>
      <c r="T67">
        <f>INDEX(Calc!$G$2:$G$124,MATCH($W67,Calc!$A$2:$A$124,0))&amp;" / "&amp;INDEX(Calc!$H$2:$H$124,MATCH($W67,Calc!$A$2:$A$124,0))</f>
        <v/>
      </c>
      <c r="U67">
        <f>TEXT(INDEX(Calc!$J$2:$J$124,MATCH($W67,Calc!$A$2:$A$124,0)),"0.0")&amp;" / "&amp;TEXT(INDEX(Calc!$K$2:$K$124,MATCH($W67,Calc!$A$2:$A$124,0)),"0.0")</f>
        <v/>
      </c>
      <c r="V67">
        <f>IFERROR(INDEX(Calc!$AQ$2:$AQ$124,MATCH($W67,Calc!$A$2:$A$124,0)),"")</f>
        <v/>
      </c>
      <c r="W67" t="inlineStr">
        <is>
          <t>fhr6sqp0a6355ky|CS2 · BB vs NEMI</t>
        </is>
      </c>
      <c r="X67" t="inlineStr">
        <is>
          <t>K12</t>
        </is>
      </c>
      <c r="Y67">
        <f>W67&amp;"|"&amp;X67</f>
        <v/>
      </c>
      <c r="Z67" s="9">
        <f>IFERROR(INDEX(CHOOSE(MATCH($X67,{"K1","K2","K3","K12","K13","H1","H2","H3","H12","H13"},0),Calc!$BA$2:$BA$124,Calc!$BB$2:$BB$124,Calc!$BC$2:$BC$124,Calc!$BD$2:$BD$124,Calc!$BE$2:$BE$124,Calc!$BF$2:$BF$124,Calc!$BG$2:$BG$124,Calc!$BH$2:$BH$124,Calc!$BI$2:$BI$124,Calc!$BJ$2:$BJ$124),MATCH($W67,Calc!$A$2:$A$124,0)),"")</f>
        <v/>
      </c>
      <c r="AA67" s="9">
        <f>IF(Z67="","",IF(LEFT($X67,1)="H",SQRT(Z67*(IFERROR(INDEX(Calc!$AP$2:$AP$124,MATCH($W67,Calc!$A$2:$A$124,0)),0.5)*Config!$B$5+1-IFERROR(INDEX(Calc!$AP$2:$AP$124,MATCH($W67,Calc!$A$2:$A$124,0)),0.5))),SQRT(Z67*Config!$B$5)))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BB vs NEMI</t>
        </is>
      </c>
      <c r="C68" t="inlineStr">
        <is>
          <t>khaN</t>
        </is>
      </c>
      <c r="D68" t="inlineStr">
        <is>
          <t>NEMI</t>
        </is>
      </c>
      <c r="E68" t="inlineStr">
        <is>
          <t>Maps 1-2 HS</t>
        </is>
      </c>
      <c r="F68" t="n">
        <v>9.5</v>
      </c>
      <c r="G68" s="9">
        <f>IFERROR(INDEX(CHOOSE(MATCH($X68,{"K1","K2","K3","K12","K13","H1","H2","H3","H12","H13"},0),Calc!$V$2:$V$124,Calc!$AC$2:$AC$124,Calc!$AJ$2:$AJ$124,Calc!$AL$2:$AL$124,Calc!$AM$2:$AM$124,Calc!$W$2:$W$124,Calc!$AD$2:$AD$124,Calc!$AK$2:$AK$124,Calc!$AN$2:$AN$124,Calc!$AO$2:$AO$124),MATCH($W68,Calc!$A$2:$A$124,0)),"")</f>
        <v/>
      </c>
      <c r="H68" s="9">
        <f>IF(G68="","",IF(LEFT($X68,1)="H",SQRT(G68*(IFERROR(INDEX(Calc!$AP$2:$AP$124,MATCH($W68,Calc!$A$2:$A$124,0)),0.5)*Config!$B$5+1-IFERROR(INDEX(Calc!$AP$2:$AP$124,MATCH($W68,Calc!$A$2:$A$124,0)),0.5))),SQRT(G68*Config!$B$5)))</f>
        <v/>
      </c>
      <c r="I68" s="8">
        <f>IF(OR(F68="",G68="",N(H68)&lt;=0),"",1-NORMDIST(FLOOR(F68,1)+0.5,G68,H68,TRUE))</f>
        <v/>
      </c>
      <c r="J68" s="8">
        <f>IF(I68="","",NORMDIST(CEILING(F68,1)-0.5,G68,H68,TRUE))</f>
        <v/>
      </c>
      <c r="K68" s="8">
        <f>IF(I68="","",MAX(0,1-I68-J68))</f>
        <v/>
      </c>
      <c r="L68">
        <f>IF(I68="","",IF(I68&gt;=0.5+Config!$B$6,"OVER",IF(J68&gt;=0.5+Config!$B$6,"UNDER","—")))</f>
        <v/>
      </c>
      <c r="N68" t="n">
        <v>9.800000000000001</v>
      </c>
      <c r="O68" s="8" t="n">
        <v>0.8</v>
      </c>
      <c r="P68" s="8" t="n">
        <v>0.5</v>
      </c>
      <c r="Q68" s="8" t="n">
        <v>0.4</v>
      </c>
      <c r="R68" t="inlineStr">
        <is>
          <t>50%/2/4</t>
        </is>
      </c>
      <c r="S68" t="n">
        <v>2</v>
      </c>
      <c r="T68">
        <f>INDEX(Calc!$G$2:$G$124,MATCH($W68,Calc!$A$2:$A$124,0))&amp;" / "&amp;INDEX(Calc!$H$2:$H$124,MATCH($W68,Calc!$A$2:$A$124,0))</f>
        <v/>
      </c>
      <c r="U68">
        <f>TEXT(INDEX(Calc!$J$2:$J$124,MATCH($W68,Calc!$A$2:$A$124,0)),"0.0")&amp;" / "&amp;TEXT(INDEX(Calc!$K$2:$K$124,MATCH($W68,Calc!$A$2:$A$124,0)),"0.0")</f>
        <v/>
      </c>
      <c r="V68">
        <f>IFERROR(INDEX(Calc!$AQ$2:$AQ$124,MATCH($W68,Calc!$A$2:$A$124,0)),"")</f>
        <v/>
      </c>
      <c r="W68" t="inlineStr">
        <is>
          <t>sj7nkpqagh6m88h|CS2 · BB vs NEMI</t>
        </is>
      </c>
      <c r="X68" t="inlineStr">
        <is>
          <t>H12</t>
        </is>
      </c>
      <c r="Y68">
        <f>W68&amp;"|"&amp;X68</f>
        <v/>
      </c>
      <c r="Z68" s="9">
        <f>IFERROR(INDEX(CHOOSE(MATCH($X68,{"K1","K2","K3","K12","K13","H1","H2","H3","H12","H13"},0),Calc!$BA$2:$BA$124,Calc!$BB$2:$BB$124,Calc!$BC$2:$BC$124,Calc!$BD$2:$BD$124,Calc!$BE$2:$BE$124,Calc!$BF$2:$BF$124,Calc!$BG$2:$BG$124,Calc!$BH$2:$BH$124,Calc!$BI$2:$BI$124,Calc!$BJ$2:$BJ$124),MATCH($W68,Calc!$A$2:$A$124,0)),"")</f>
        <v/>
      </c>
      <c r="AA68" s="9">
        <f>IF(Z68="","",IF(LEFT($X68,1)="H",SQRT(Z68*(IFERROR(INDEX(Calc!$AP$2:$AP$124,MATCH($W68,Calc!$A$2:$A$124,0)),0.5)*Config!$B$5+1-IFERROR(INDEX(Calc!$AP$2:$AP$124,MATCH($W68,Calc!$A$2:$A$124,0)),0.5))),SQRT(Z68*Config!$B$5)))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BB vs NEMI</t>
        </is>
      </c>
      <c r="C69" t="inlineStr">
        <is>
          <t>khaN</t>
        </is>
      </c>
      <c r="D69" t="inlineStr">
        <is>
          <t>NEMI</t>
        </is>
      </c>
      <c r="E69" t="inlineStr">
        <is>
          <t>Maps 1-2 Kills</t>
        </is>
      </c>
      <c r="F69" t="n">
        <v>28</v>
      </c>
      <c r="G69" s="9">
        <f>IFERROR(INDEX(CHOOSE(MATCH($X69,{"K1","K2","K3","K12","K13","H1","H2","H3","H12","H13"},0),Calc!$V$2:$V$124,Calc!$AC$2:$AC$124,Calc!$AJ$2:$AJ$124,Calc!$AL$2:$AL$124,Calc!$AM$2:$AM$124,Calc!$W$2:$W$124,Calc!$AD$2:$AD$124,Calc!$AK$2:$AK$124,Calc!$AN$2:$AN$124,Calc!$AO$2:$AO$124),MATCH($W69,Calc!$A$2:$A$124,0)),"")</f>
        <v/>
      </c>
      <c r="H69" s="9">
        <f>IF(G69="","",IF(LEFT($X69,1)="H",SQRT(G69*(IFERROR(INDEX(Calc!$AP$2:$AP$124,MATCH($W69,Calc!$A$2:$A$124,0)),0.5)*Config!$B$5+1-IFERROR(INDEX(Calc!$AP$2:$AP$124,MATCH($W69,Calc!$A$2:$A$124,0)),0.5))),SQRT(G69*Config!$B$5)))</f>
        <v/>
      </c>
      <c r="I69" s="8">
        <f>IF(OR(F69="",G69="",N(H69)&lt;=0),"",1-NORMDIST(FLOOR(F69,1)+0.5,G69,H69,TRUE))</f>
        <v/>
      </c>
      <c r="J69" s="8">
        <f>IF(I69="","",NORMDIST(CEILING(F69,1)-0.5,G69,H69,TRUE))</f>
        <v/>
      </c>
      <c r="K69" s="8">
        <f>IF(I69="","",MAX(0,1-I69-J69))</f>
        <v/>
      </c>
      <c r="L69">
        <f>IF(I69="","",IF(I69&gt;=0.5+Config!$B$6,"OVER",IF(J69&gt;=0.5+Config!$B$6,"UNDER","—")))</f>
        <v/>
      </c>
      <c r="M69" t="n">
        <v>28.4</v>
      </c>
      <c r="N69" t="n">
        <v>33.2</v>
      </c>
      <c r="O69" s="8" t="n">
        <v>0.6</v>
      </c>
      <c r="P69" s="8" t="n">
        <v>0.7</v>
      </c>
      <c r="Q69" s="8" t="n">
        <v>0.67</v>
      </c>
      <c r="R69" t="inlineStr">
        <is>
          <t>75%/3/4</t>
        </is>
      </c>
      <c r="S69" t="n">
        <v>1</v>
      </c>
      <c r="T69">
        <f>INDEX(Calc!$G$2:$G$124,MATCH($W69,Calc!$A$2:$A$124,0))&amp;" / "&amp;INDEX(Calc!$H$2:$H$124,MATCH($W69,Calc!$A$2:$A$124,0))</f>
        <v/>
      </c>
      <c r="U69">
        <f>TEXT(INDEX(Calc!$J$2:$J$124,MATCH($W69,Calc!$A$2:$A$124,0)),"0.0")&amp;" / "&amp;TEXT(INDEX(Calc!$K$2:$K$124,MATCH($W69,Calc!$A$2:$A$124,0)),"0.0")</f>
        <v/>
      </c>
      <c r="V69">
        <f>IFERROR(INDEX(Calc!$AQ$2:$AQ$124,MATCH($W69,Calc!$A$2:$A$124,0)),"")</f>
        <v/>
      </c>
      <c r="W69" t="inlineStr">
        <is>
          <t>sj7nkpqagh6m88h|CS2 · BB vs NEMI</t>
        </is>
      </c>
      <c r="X69" t="inlineStr">
        <is>
          <t>K12</t>
        </is>
      </c>
      <c r="Y69">
        <f>W69&amp;"|"&amp;X69</f>
        <v/>
      </c>
      <c r="Z69" s="9">
        <f>IFERROR(INDEX(CHOOSE(MATCH($X69,{"K1","K2","K3","K12","K13","H1","H2","H3","H12","H13"},0),Calc!$BA$2:$BA$124,Calc!$BB$2:$BB$124,Calc!$BC$2:$BC$124,Calc!$BD$2:$BD$124,Calc!$BE$2:$BE$124,Calc!$BF$2:$BF$124,Calc!$BG$2:$BG$124,Calc!$BH$2:$BH$124,Calc!$BI$2:$BI$124,Calc!$BJ$2:$BJ$124),MATCH($W69,Calc!$A$2:$A$124,0)),"")</f>
        <v/>
      </c>
      <c r="AA69" s="9">
        <f>IF(Z69="","",IF(LEFT($X69,1)="H",SQRT(Z69*(IFERROR(INDEX(Calc!$AP$2:$AP$124,MATCH($W69,Calc!$A$2:$A$124,0)),0.5)*Config!$B$5+1-IFERROR(INDEX(Calc!$AP$2:$AP$124,MATCH($W69,Calc!$A$2:$A$124,0)),0.5))),SQRT(Z69*Config!$B$5)))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BB vs NEMI</t>
        </is>
      </c>
      <c r="C70" t="inlineStr">
        <is>
          <t>robo</t>
        </is>
      </c>
      <c r="D70" t="inlineStr">
        <is>
          <t>NEMI</t>
        </is>
      </c>
      <c r="E70" t="inlineStr">
        <is>
          <t>Maps 1-2 HS</t>
        </is>
      </c>
      <c r="F70" t="n">
        <v>14.5</v>
      </c>
      <c r="G70" s="9">
        <f>IFERROR(INDEX(CHOOSE(MATCH($X70,{"K1","K2","K3","K12","K13","H1","H2","H3","H12","H13"},0),Calc!$V$2:$V$124,Calc!$AC$2:$AC$124,Calc!$AJ$2:$AJ$124,Calc!$AL$2:$AL$124,Calc!$AM$2:$AM$124,Calc!$W$2:$W$124,Calc!$AD$2:$AD$124,Calc!$AK$2:$AK$124,Calc!$AN$2:$AN$124,Calc!$AO$2:$AO$124),MATCH($W70,Calc!$A$2:$A$124,0)),"")</f>
        <v/>
      </c>
      <c r="H70" s="9">
        <f>IF(G70="","",IF(LEFT($X70,1)="H",SQRT(G70*(IFERROR(INDEX(Calc!$AP$2:$AP$124,MATCH($W70,Calc!$A$2:$A$124,0)),0.5)*Config!$B$5+1-IFERROR(INDEX(Calc!$AP$2:$AP$124,MATCH($W70,Calc!$A$2:$A$124,0)),0.5))),SQRT(G70*Config!$B$5)))</f>
        <v/>
      </c>
      <c r="I70" s="8">
        <f>IF(OR(F70="",G70="",N(H70)&lt;=0),"",1-NORMDIST(FLOOR(F70,1)+0.5,G70,H70,TRUE))</f>
        <v/>
      </c>
      <c r="J70" s="8">
        <f>IF(I70="","",NORMDIST(CEILING(F70,1)-0.5,G70,H70,TRUE))</f>
        <v/>
      </c>
      <c r="K70" s="8">
        <f>IF(I70="","",MAX(0,1-I70-J70))</f>
        <v/>
      </c>
      <c r="L70">
        <f>IF(I70="","",IF(I70&gt;=0.5+Config!$B$6,"OVER",IF(J70&gt;=0.5+Config!$B$6,"UNDER","—")))</f>
        <v/>
      </c>
      <c r="N70" t="n">
        <v>18.9</v>
      </c>
      <c r="O70" s="8" t="n">
        <v>0.8</v>
      </c>
      <c r="P70" s="8" t="n">
        <v>0.9</v>
      </c>
      <c r="Q70" s="8" t="n">
        <v>0.67</v>
      </c>
      <c r="R70" t="inlineStr">
        <is>
          <t>100%/3/3</t>
        </is>
      </c>
      <c r="S70" t="n">
        <v>2</v>
      </c>
      <c r="T70">
        <f>INDEX(Calc!$G$2:$G$124,MATCH($W70,Calc!$A$2:$A$124,0))&amp;" / "&amp;INDEX(Calc!$H$2:$H$124,MATCH($W70,Calc!$A$2:$A$124,0))</f>
        <v/>
      </c>
      <c r="U70">
        <f>TEXT(INDEX(Calc!$J$2:$J$124,MATCH($W70,Calc!$A$2:$A$124,0)),"0.0")&amp;" / "&amp;TEXT(INDEX(Calc!$K$2:$K$124,MATCH($W70,Calc!$A$2:$A$124,0)),"0.0")</f>
        <v/>
      </c>
      <c r="V70">
        <f>IFERROR(INDEX(Calc!$AQ$2:$AQ$124,MATCH($W70,Calc!$A$2:$A$124,0)),"")</f>
        <v/>
      </c>
      <c r="W70" t="inlineStr">
        <is>
          <t>ewe4j1nrqwzs0q7|CS2 · BB vs NEMI</t>
        </is>
      </c>
      <c r="X70" t="inlineStr">
        <is>
          <t>H12</t>
        </is>
      </c>
      <c r="Y70">
        <f>W70&amp;"|"&amp;X70</f>
        <v/>
      </c>
      <c r="Z70" s="9">
        <f>IFERROR(INDEX(CHOOSE(MATCH($X70,{"K1","K2","K3","K12","K13","H1","H2","H3","H12","H13"},0),Calc!$BA$2:$BA$124,Calc!$BB$2:$BB$124,Calc!$BC$2:$BC$124,Calc!$BD$2:$BD$124,Calc!$BE$2:$BE$124,Calc!$BF$2:$BF$124,Calc!$BG$2:$BG$124,Calc!$BH$2:$BH$124,Calc!$BI$2:$BI$124,Calc!$BJ$2:$BJ$124),MATCH($W70,Calc!$A$2:$A$124,0)),"")</f>
        <v/>
      </c>
      <c r="AA70" s="9">
        <f>IF(Z70="","",IF(LEFT($X70,1)="H",SQRT(Z70*(IFERROR(INDEX(Calc!$AP$2:$AP$124,MATCH($W70,Calc!$A$2:$A$124,0)),0.5)*Config!$B$5+1-IFERROR(INDEX(Calc!$AP$2:$AP$124,MATCH($W70,Calc!$A$2:$A$124,0)),0.5))),SQRT(Z70*Config!$B$5)))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BB vs NEMI</t>
        </is>
      </c>
      <c r="C71" t="inlineStr">
        <is>
          <t>robo</t>
        </is>
      </c>
      <c r="D71" t="inlineStr">
        <is>
          <t>NEMI</t>
        </is>
      </c>
      <c r="E71" t="inlineStr">
        <is>
          <t>Maps 1-2 Kills</t>
        </is>
      </c>
      <c r="F71" t="n">
        <v>26</v>
      </c>
      <c r="G71" s="9">
        <f>IFERROR(INDEX(CHOOSE(MATCH($X71,{"K1","K2","K3","K12","K13","H1","H2","H3","H12","H13"},0),Calc!$V$2:$V$124,Calc!$AC$2:$AC$124,Calc!$AJ$2:$AJ$124,Calc!$AL$2:$AL$124,Calc!$AM$2:$AM$124,Calc!$W$2:$W$124,Calc!$AD$2:$AD$124,Calc!$AK$2:$AK$124,Calc!$AN$2:$AN$124,Calc!$AO$2:$AO$124),MATCH($W71,Calc!$A$2:$A$124,0)),"")</f>
        <v/>
      </c>
      <c r="H71" s="9">
        <f>IF(G71="","",IF(LEFT($X71,1)="H",SQRT(G71*(IFERROR(INDEX(Calc!$AP$2:$AP$124,MATCH($W71,Calc!$A$2:$A$124,0)),0.5)*Config!$B$5+1-IFERROR(INDEX(Calc!$AP$2:$AP$124,MATCH($W71,Calc!$A$2:$A$124,0)),0.5))),SQRT(G71*Config!$B$5)))</f>
        <v/>
      </c>
      <c r="I71" s="8">
        <f>IF(OR(F71="",G71="",N(H71)&lt;=0),"",1-NORMDIST(FLOOR(F71,1)+0.5,G71,H71,TRUE))</f>
        <v/>
      </c>
      <c r="J71" s="8">
        <f>IF(I71="","",NORMDIST(CEILING(F71,1)-0.5,G71,H71,TRUE))</f>
        <v/>
      </c>
      <c r="K71" s="8">
        <f>IF(I71="","",MAX(0,1-I71-J71))</f>
        <v/>
      </c>
      <c r="L71">
        <f>IF(I71="","",IF(I71&gt;=0.5+Config!$B$6,"OVER",IF(J71&gt;=0.5+Config!$B$6,"UNDER","—")))</f>
        <v/>
      </c>
      <c r="M71" t="n">
        <v>26.11</v>
      </c>
      <c r="N71" t="n">
        <v>35.9</v>
      </c>
      <c r="O71" s="8" t="n">
        <v>0.8</v>
      </c>
      <c r="P71" s="8" t="n">
        <v>0.9</v>
      </c>
      <c r="Q71" s="8" t="n">
        <v>0.67</v>
      </c>
      <c r="R71" t="inlineStr">
        <is>
          <t>67%/2/3</t>
        </is>
      </c>
      <c r="S71" t="n">
        <v>2</v>
      </c>
      <c r="T71">
        <f>INDEX(Calc!$G$2:$G$124,MATCH($W71,Calc!$A$2:$A$124,0))&amp;" / "&amp;INDEX(Calc!$H$2:$H$124,MATCH($W71,Calc!$A$2:$A$124,0))</f>
        <v/>
      </c>
      <c r="U71">
        <f>TEXT(INDEX(Calc!$J$2:$J$124,MATCH($W71,Calc!$A$2:$A$124,0)),"0.0")&amp;" / "&amp;TEXT(INDEX(Calc!$K$2:$K$124,MATCH($W71,Calc!$A$2:$A$124,0)),"0.0")</f>
        <v/>
      </c>
      <c r="V71">
        <f>IFERROR(INDEX(Calc!$AQ$2:$AQ$124,MATCH($W71,Calc!$A$2:$A$124,0)),"")</f>
        <v/>
      </c>
      <c r="W71" t="inlineStr">
        <is>
          <t>ewe4j1nrqwzs0q7|CS2 · BB vs NEMI</t>
        </is>
      </c>
      <c r="X71" t="inlineStr">
        <is>
          <t>K12</t>
        </is>
      </c>
      <c r="Y71">
        <f>W71&amp;"|"&amp;X71</f>
        <v/>
      </c>
      <c r="Z71" s="9">
        <f>IFERROR(INDEX(CHOOSE(MATCH($X71,{"K1","K2","K3","K12","K13","H1","H2","H3","H12","H13"},0),Calc!$BA$2:$BA$124,Calc!$BB$2:$BB$124,Calc!$BC$2:$BC$124,Calc!$BD$2:$BD$124,Calc!$BE$2:$BE$124,Calc!$BF$2:$BF$124,Calc!$BG$2:$BG$124,Calc!$BH$2:$BH$124,Calc!$BI$2:$BI$124,Calc!$BJ$2:$BJ$124),MATCH($W71,Calc!$A$2:$A$124,0)),"")</f>
        <v/>
      </c>
      <c r="AA71" s="9">
        <f>IF(Z71="","",IF(LEFT($X71,1)="H",SQRT(Z71*(IFERROR(INDEX(Calc!$AP$2:$AP$124,MATCH($W71,Calc!$A$2:$A$124,0)),0.5)*Config!$B$5+1-IFERROR(INDEX(Calc!$AP$2:$AP$124,MATCH($W71,Calc!$A$2:$A$124,0)),0.5))),SQRT(Z71*Config!$B$5)))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BB vs NEMI</t>
        </is>
      </c>
      <c r="C72" t="inlineStr">
        <is>
          <t>syph0</t>
        </is>
      </c>
      <c r="D72" t="inlineStr">
        <is>
          <t>NEMI</t>
        </is>
      </c>
      <c r="E72" t="inlineStr">
        <is>
          <t>Maps 1-2 HS</t>
        </is>
      </c>
      <c r="F72" t="n">
        <v>15.5</v>
      </c>
      <c r="G72" s="9">
        <f>IFERROR(INDEX(CHOOSE(MATCH($X72,{"K1","K2","K3","K12","K13","H1","H2","H3","H12","H13"},0),Calc!$V$2:$V$124,Calc!$AC$2:$AC$124,Calc!$AJ$2:$AJ$124,Calc!$AL$2:$AL$124,Calc!$AM$2:$AM$124,Calc!$W$2:$W$124,Calc!$AD$2:$AD$124,Calc!$AK$2:$AK$124,Calc!$AN$2:$AN$124,Calc!$AO$2:$AO$124),MATCH($W72,Calc!$A$2:$A$124,0)),"")</f>
        <v/>
      </c>
      <c r="H72" s="9">
        <f>IF(G72="","",IF(LEFT($X72,1)="H",SQRT(G72*(IFERROR(INDEX(Calc!$AP$2:$AP$124,MATCH($W72,Calc!$A$2:$A$124,0)),0.5)*Config!$B$5+1-IFERROR(INDEX(Calc!$AP$2:$AP$124,MATCH($W72,Calc!$A$2:$A$124,0)),0.5))),SQRT(G72*Config!$B$5)))</f>
        <v/>
      </c>
      <c r="I72" s="8">
        <f>IF(OR(F72="",G72="",N(H72)&lt;=0),"",1-NORMDIST(FLOOR(F72,1)+0.5,G72,H72,TRUE))</f>
        <v/>
      </c>
      <c r="J72" s="8">
        <f>IF(I72="","",NORMDIST(CEILING(F72,1)-0.5,G72,H72,TRUE))</f>
        <v/>
      </c>
      <c r="K72" s="8">
        <f>IF(I72="","",MAX(0,1-I72-J72))</f>
        <v/>
      </c>
      <c r="L72">
        <f>IF(I72="","",IF(I72&gt;=0.5+Config!$B$6,"OVER",IF(J72&gt;=0.5+Config!$B$6,"UNDER","—")))</f>
        <v/>
      </c>
      <c r="N72" t="n">
        <v>20</v>
      </c>
      <c r="O72" s="8" t="n">
        <v>1</v>
      </c>
      <c r="P72" s="8" t="n">
        <v>0.8</v>
      </c>
      <c r="Q72" s="8" t="n">
        <v>0.73</v>
      </c>
      <c r="R72" t="inlineStr">
        <is>
          <t>67%/2/3</t>
        </is>
      </c>
      <c r="S72" t="n">
        <v>5</v>
      </c>
      <c r="T72">
        <f>INDEX(Calc!$G$2:$G$124,MATCH($W72,Calc!$A$2:$A$124,0))&amp;" / "&amp;INDEX(Calc!$H$2:$H$124,MATCH($W72,Calc!$A$2:$A$124,0))</f>
        <v/>
      </c>
      <c r="U72">
        <f>TEXT(INDEX(Calc!$J$2:$J$124,MATCH($W72,Calc!$A$2:$A$124,0)),"0.0")&amp;" / "&amp;TEXT(INDEX(Calc!$K$2:$K$124,MATCH($W72,Calc!$A$2:$A$124,0)),"0.0")</f>
        <v/>
      </c>
      <c r="V72">
        <f>IFERROR(INDEX(Calc!$AQ$2:$AQ$124,MATCH($W72,Calc!$A$2:$A$124,0)),"")</f>
        <v/>
      </c>
      <c r="W72" t="inlineStr">
        <is>
          <t>f00llyg1ocypenv|CS2 · BB vs NEMI</t>
        </is>
      </c>
      <c r="X72" t="inlineStr">
        <is>
          <t>H12</t>
        </is>
      </c>
      <c r="Y72">
        <f>W72&amp;"|"&amp;X72</f>
        <v/>
      </c>
      <c r="Z72" s="9">
        <f>IFERROR(INDEX(CHOOSE(MATCH($X72,{"K1","K2","K3","K12","K13","H1","H2","H3","H12","H13"},0),Calc!$BA$2:$BA$124,Calc!$BB$2:$BB$124,Calc!$BC$2:$BC$124,Calc!$BD$2:$BD$124,Calc!$BE$2:$BE$124,Calc!$BF$2:$BF$124,Calc!$BG$2:$BG$124,Calc!$BH$2:$BH$124,Calc!$BI$2:$BI$124,Calc!$BJ$2:$BJ$124),MATCH($W72,Calc!$A$2:$A$124,0)),"")</f>
        <v/>
      </c>
      <c r="AA72" s="9">
        <f>IF(Z72="","",IF(LEFT($X72,1)="H",SQRT(Z72*(IFERROR(INDEX(Calc!$AP$2:$AP$124,MATCH($W72,Calc!$A$2:$A$124,0)),0.5)*Config!$B$5+1-IFERROR(INDEX(Calc!$AP$2:$AP$124,MATCH($W72,Calc!$A$2:$A$124,0)),0.5))),SQRT(Z72*Config!$B$5)))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BB vs NEMI</t>
        </is>
      </c>
      <c r="C73" t="inlineStr">
        <is>
          <t>syph0</t>
        </is>
      </c>
      <c r="D73" t="inlineStr">
        <is>
          <t>NEMI</t>
        </is>
      </c>
      <c r="E73" t="inlineStr">
        <is>
          <t>Maps 1-2 Kills</t>
        </is>
      </c>
      <c r="F73" t="n">
        <v>28</v>
      </c>
      <c r="G73" s="9">
        <f>IFERROR(INDEX(CHOOSE(MATCH($X73,{"K1","K2","K3","K12","K13","H1","H2","H3","H12","H13"},0),Calc!$V$2:$V$124,Calc!$AC$2:$AC$124,Calc!$AJ$2:$AJ$124,Calc!$AL$2:$AL$124,Calc!$AM$2:$AM$124,Calc!$W$2:$W$124,Calc!$AD$2:$AD$124,Calc!$AK$2:$AK$124,Calc!$AN$2:$AN$124,Calc!$AO$2:$AO$124),MATCH($W73,Calc!$A$2:$A$124,0)),"")</f>
        <v/>
      </c>
      <c r="H73" s="9">
        <f>IF(G73="","",IF(LEFT($X73,1)="H",SQRT(G73*(IFERROR(INDEX(Calc!$AP$2:$AP$124,MATCH($W73,Calc!$A$2:$A$124,0)),0.5)*Config!$B$5+1-IFERROR(INDEX(Calc!$AP$2:$AP$124,MATCH($W73,Calc!$A$2:$A$124,0)),0.5))),SQRT(G73*Config!$B$5)))</f>
        <v/>
      </c>
      <c r="I73" s="8">
        <f>IF(OR(F73="",G73="",N(H73)&lt;=0),"",1-NORMDIST(FLOOR(F73,1)+0.5,G73,H73,TRUE))</f>
        <v/>
      </c>
      <c r="J73" s="8">
        <f>IF(I73="","",NORMDIST(CEILING(F73,1)-0.5,G73,H73,TRUE))</f>
        <v/>
      </c>
      <c r="K73" s="8">
        <f>IF(I73="","",MAX(0,1-I73-J73))</f>
        <v/>
      </c>
      <c r="L73">
        <f>IF(I73="","",IF(I73&gt;=0.5+Config!$B$6,"OVER",IF(J73&gt;=0.5+Config!$B$6,"UNDER","—")))</f>
        <v/>
      </c>
      <c r="M73" t="n">
        <v>28.15</v>
      </c>
      <c r="N73" t="n">
        <v>35.5</v>
      </c>
      <c r="O73" s="8" t="n">
        <v>1</v>
      </c>
      <c r="P73" s="8" t="n">
        <v>0.9</v>
      </c>
      <c r="Q73" s="8" t="n">
        <v>0.87</v>
      </c>
      <c r="R73" t="inlineStr">
        <is>
          <t>67%/2/3</t>
        </is>
      </c>
      <c r="S73" t="n">
        <v>9</v>
      </c>
      <c r="T73">
        <f>INDEX(Calc!$G$2:$G$124,MATCH($W73,Calc!$A$2:$A$124,0))&amp;" / "&amp;INDEX(Calc!$H$2:$H$124,MATCH($W73,Calc!$A$2:$A$124,0))</f>
        <v/>
      </c>
      <c r="U73">
        <f>TEXT(INDEX(Calc!$J$2:$J$124,MATCH($W73,Calc!$A$2:$A$124,0)),"0.0")&amp;" / "&amp;TEXT(INDEX(Calc!$K$2:$K$124,MATCH($W73,Calc!$A$2:$A$124,0)),"0.0")</f>
        <v/>
      </c>
      <c r="V73">
        <f>IFERROR(INDEX(Calc!$AQ$2:$AQ$124,MATCH($W73,Calc!$A$2:$A$124,0)),"")</f>
        <v/>
      </c>
      <c r="W73" t="inlineStr">
        <is>
          <t>f00llyg1ocypenv|CS2 · BB vs NEMI</t>
        </is>
      </c>
      <c r="X73" t="inlineStr">
        <is>
          <t>K12</t>
        </is>
      </c>
      <c r="Y73">
        <f>W73&amp;"|"&amp;X73</f>
        <v/>
      </c>
      <c r="Z73" s="9">
        <f>IFERROR(INDEX(CHOOSE(MATCH($X73,{"K1","K2","K3","K12","K13","H1","H2","H3","H12","H13"},0),Calc!$BA$2:$BA$124,Calc!$BB$2:$BB$124,Calc!$BC$2:$BC$124,Calc!$BD$2:$BD$124,Calc!$BE$2:$BE$124,Calc!$BF$2:$BF$124,Calc!$BG$2:$BG$124,Calc!$BH$2:$BH$124,Calc!$BI$2:$BI$124,Calc!$BJ$2:$BJ$124),MATCH($W73,Calc!$A$2:$A$124,0)),"")</f>
        <v/>
      </c>
      <c r="AA73" s="9">
        <f>IF(Z73="","",IF(LEFT($X73,1)="H",SQRT(Z73*(IFERROR(INDEX(Calc!$AP$2:$AP$124,MATCH($W73,Calc!$A$2:$A$124,0)),0.5)*Config!$B$5+1-IFERROR(INDEX(Calc!$AP$2:$AP$124,MATCH($W73,Calc!$A$2:$A$124,0)),0.5))),SQRT(Z73*Config!$B$5)))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BB vs NEMI</t>
        </is>
      </c>
      <c r="C74" t="inlineStr">
        <is>
          <t>Xant3r</t>
        </is>
      </c>
      <c r="D74" t="inlineStr">
        <is>
          <t>NEMI</t>
        </is>
      </c>
      <c r="E74" t="inlineStr">
        <is>
          <t>Maps 1-2 HS</t>
        </is>
      </c>
      <c r="F74" t="n">
        <v>14.5</v>
      </c>
      <c r="G74" s="9">
        <f>IFERROR(INDEX(CHOOSE(MATCH($X74,{"K1","K2","K3","K12","K13","H1","H2","H3","H12","H13"},0),Calc!$V$2:$V$124,Calc!$AC$2:$AC$124,Calc!$AJ$2:$AJ$124,Calc!$AL$2:$AL$124,Calc!$AM$2:$AM$124,Calc!$W$2:$W$124,Calc!$AD$2:$AD$124,Calc!$AK$2:$AK$124,Calc!$AN$2:$AN$124,Calc!$AO$2:$AO$124),MATCH($W74,Calc!$A$2:$A$124,0)),"")</f>
        <v/>
      </c>
      <c r="H74" s="9">
        <f>IF(G74="","",IF(LEFT($X74,1)="H",SQRT(G74*(IFERROR(INDEX(Calc!$AP$2:$AP$124,MATCH($W74,Calc!$A$2:$A$124,0)),0.5)*Config!$B$5+1-IFERROR(INDEX(Calc!$AP$2:$AP$124,MATCH($W74,Calc!$A$2:$A$124,0)),0.5))),SQRT(G74*Config!$B$5)))</f>
        <v/>
      </c>
      <c r="I74" s="8">
        <f>IF(OR(F74="",G74="",N(H74)&lt;=0),"",1-NORMDIST(FLOOR(F74,1)+0.5,G74,H74,TRUE))</f>
        <v/>
      </c>
      <c r="J74" s="8">
        <f>IF(I74="","",NORMDIST(CEILING(F74,1)-0.5,G74,H74,TRUE))</f>
        <v/>
      </c>
      <c r="K74" s="8">
        <f>IF(I74="","",MAX(0,1-I74-J74))</f>
        <v/>
      </c>
      <c r="L74">
        <f>IF(I74="","",IF(I74&gt;=0.5+Config!$B$6,"OVER",IF(J74&gt;=0.5+Config!$B$6,"UNDER","—")))</f>
        <v/>
      </c>
      <c r="N74" t="n">
        <v>19</v>
      </c>
      <c r="O74" s="8" t="n">
        <v>0.8</v>
      </c>
      <c r="P74" s="8" t="n">
        <v>0.7</v>
      </c>
      <c r="Q74" s="8" t="n">
        <v>0.73</v>
      </c>
      <c r="R74" t="inlineStr">
        <is>
          <t>25%/1/4</t>
        </is>
      </c>
      <c r="S74" t="n">
        <v>3</v>
      </c>
      <c r="T74">
        <f>INDEX(Calc!$G$2:$G$124,MATCH($W74,Calc!$A$2:$A$124,0))&amp;" / "&amp;INDEX(Calc!$H$2:$H$124,MATCH($W74,Calc!$A$2:$A$124,0))</f>
        <v/>
      </c>
      <c r="U74">
        <f>TEXT(INDEX(Calc!$J$2:$J$124,MATCH($W74,Calc!$A$2:$A$124,0)),"0.0")&amp;" / "&amp;TEXT(INDEX(Calc!$K$2:$K$124,MATCH($W74,Calc!$A$2:$A$124,0)),"0.0")</f>
        <v/>
      </c>
      <c r="V74">
        <f>IFERROR(INDEX(Calc!$AQ$2:$AQ$124,MATCH($W74,Calc!$A$2:$A$124,0)),"")</f>
        <v/>
      </c>
      <c r="W74" t="inlineStr">
        <is>
          <t>jc1nf38p0b44dfy|CS2 · BB vs NEMI</t>
        </is>
      </c>
      <c r="X74" t="inlineStr">
        <is>
          <t>H12</t>
        </is>
      </c>
      <c r="Y74">
        <f>W74&amp;"|"&amp;X74</f>
        <v/>
      </c>
      <c r="Z74" s="9">
        <f>IFERROR(INDEX(CHOOSE(MATCH($X74,{"K1","K2","K3","K12","K13","H1","H2","H3","H12","H13"},0),Calc!$BA$2:$BA$124,Calc!$BB$2:$BB$124,Calc!$BC$2:$BC$124,Calc!$BD$2:$BD$124,Calc!$BE$2:$BE$124,Calc!$BF$2:$BF$124,Calc!$BG$2:$BG$124,Calc!$BH$2:$BH$124,Calc!$BI$2:$BI$124,Calc!$BJ$2:$BJ$124),MATCH($W74,Calc!$A$2:$A$124,0)),"")</f>
        <v/>
      </c>
      <c r="AA74" s="9">
        <f>IF(Z74="","",IF(LEFT($X74,1)="H",SQRT(Z74*(IFERROR(INDEX(Calc!$AP$2:$AP$124,MATCH($W74,Calc!$A$2:$A$124,0)),0.5)*Config!$B$5+1-IFERROR(INDEX(Calc!$AP$2:$AP$124,MATCH($W74,Calc!$A$2:$A$124,0)),0.5))),SQRT(Z74*Config!$B$5)))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BB vs NEMI</t>
        </is>
      </c>
      <c r="C75" t="inlineStr">
        <is>
          <t>Xant3r</t>
        </is>
      </c>
      <c r="D75" t="inlineStr">
        <is>
          <t>NEMI</t>
        </is>
      </c>
      <c r="E75" t="inlineStr">
        <is>
          <t>Maps 1-2 Kills</t>
        </is>
      </c>
      <c r="F75" t="n">
        <v>26.5</v>
      </c>
      <c r="G75" s="9">
        <f>IFERROR(INDEX(CHOOSE(MATCH($X75,{"K1","K2","K3","K12","K13","H1","H2","H3","H12","H13"},0),Calc!$V$2:$V$124,Calc!$AC$2:$AC$124,Calc!$AJ$2:$AJ$124,Calc!$AL$2:$AL$124,Calc!$AM$2:$AM$124,Calc!$W$2:$W$124,Calc!$AD$2:$AD$124,Calc!$AK$2:$AK$124,Calc!$AN$2:$AN$124,Calc!$AO$2:$AO$124),MATCH($W75,Calc!$A$2:$A$124,0)),"")</f>
        <v/>
      </c>
      <c r="H75" s="9">
        <f>IF(G75="","",IF(LEFT($X75,1)="H",SQRT(G75*(IFERROR(INDEX(Calc!$AP$2:$AP$124,MATCH($W75,Calc!$A$2:$A$124,0)),0.5)*Config!$B$5+1-IFERROR(INDEX(Calc!$AP$2:$AP$124,MATCH($W75,Calc!$A$2:$A$124,0)),0.5))),SQRT(G75*Config!$B$5)))</f>
        <v/>
      </c>
      <c r="I75" s="8">
        <f>IF(OR(F75="",G75="",N(H75)&lt;=0),"",1-NORMDIST(FLOOR(F75,1)+0.5,G75,H75,TRUE))</f>
        <v/>
      </c>
      <c r="J75" s="8">
        <f>IF(I75="","",NORMDIST(CEILING(F75,1)-0.5,G75,H75,TRUE))</f>
        <v/>
      </c>
      <c r="K75" s="8">
        <f>IF(I75="","",MAX(0,1-I75-J75))</f>
        <v/>
      </c>
      <c r="L75">
        <f>IF(I75="","",IF(I75&gt;=0.5+Config!$B$6,"OVER",IF(J75&gt;=0.5+Config!$B$6,"UNDER","—")))</f>
        <v/>
      </c>
      <c r="M75" t="n">
        <v>27.54</v>
      </c>
      <c r="N75" t="n">
        <v>35.4</v>
      </c>
      <c r="O75" s="8" t="n">
        <v>1</v>
      </c>
      <c r="P75" s="8" t="n">
        <v>0.9</v>
      </c>
      <c r="Q75" s="8" t="n">
        <v>0.87</v>
      </c>
      <c r="R75" t="inlineStr">
        <is>
          <t>50%/2/4</t>
        </is>
      </c>
      <c r="S75" t="n">
        <v>7</v>
      </c>
      <c r="T75">
        <f>INDEX(Calc!$G$2:$G$124,MATCH($W75,Calc!$A$2:$A$124,0))&amp;" / "&amp;INDEX(Calc!$H$2:$H$124,MATCH($W75,Calc!$A$2:$A$124,0))</f>
        <v/>
      </c>
      <c r="U75">
        <f>TEXT(INDEX(Calc!$J$2:$J$124,MATCH($W75,Calc!$A$2:$A$124,0)),"0.0")&amp;" / "&amp;TEXT(INDEX(Calc!$K$2:$K$124,MATCH($W75,Calc!$A$2:$A$124,0)),"0.0")</f>
        <v/>
      </c>
      <c r="V75">
        <f>IFERROR(INDEX(Calc!$AQ$2:$AQ$124,MATCH($W75,Calc!$A$2:$A$124,0)),"")</f>
        <v/>
      </c>
      <c r="W75" t="inlineStr">
        <is>
          <t>jc1nf38p0b44dfy|CS2 · BB vs NEMI</t>
        </is>
      </c>
      <c r="X75" t="inlineStr">
        <is>
          <t>K12</t>
        </is>
      </c>
      <c r="Y75">
        <f>W75&amp;"|"&amp;X75</f>
        <v/>
      </c>
      <c r="Z75" s="9">
        <f>IFERROR(INDEX(CHOOSE(MATCH($X75,{"K1","K2","K3","K12","K13","H1","H2","H3","H12","H13"},0),Calc!$BA$2:$BA$124,Calc!$BB$2:$BB$124,Calc!$BC$2:$BC$124,Calc!$BD$2:$BD$124,Calc!$BE$2:$BE$124,Calc!$BF$2:$BF$124,Calc!$BG$2:$BG$124,Calc!$BH$2:$BH$124,Calc!$BI$2:$BI$124,Calc!$BJ$2:$BJ$124),MATCH($W75,Calc!$A$2:$A$124,0)),"")</f>
        <v/>
      </c>
      <c r="AA75" s="9">
        <f>IF(Z75="","",IF(LEFT($X75,1)="H",SQRT(Z75*(IFERROR(INDEX(Calc!$AP$2:$AP$124,MATCH($W75,Calc!$A$2:$A$124,0)),0.5)*Config!$B$5+1-IFERROR(INDEX(Calc!$AP$2:$AP$124,MATCH($W75,Calc!$A$2:$A$124,0)),0.5))),SQRT(Z75*Config!$B$5)))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FORZE.R vs ex-RUSTEC</t>
        </is>
      </c>
      <c r="C76" t="inlineStr">
        <is>
          <t>HeCkBNk</t>
        </is>
      </c>
      <c r="D76" t="inlineStr">
        <is>
          <t>FORZE.R</t>
        </is>
      </c>
      <c r="E76" t="inlineStr">
        <is>
          <t>Maps 1-2 HS</t>
        </is>
      </c>
      <c r="F76" t="n">
        <v>19.5</v>
      </c>
      <c r="G76" s="9">
        <f>IFERROR(INDEX(CHOOSE(MATCH($X76,{"K1","K2","K3","K12","K13","H1","H2","H3","H12","H13"},0),Calc!$V$2:$V$124,Calc!$AC$2:$AC$124,Calc!$AJ$2:$AJ$124,Calc!$AL$2:$AL$124,Calc!$AM$2:$AM$124,Calc!$W$2:$W$124,Calc!$AD$2:$AD$124,Calc!$AK$2:$AK$124,Calc!$AN$2:$AN$124,Calc!$AO$2:$AO$124),MATCH($W76,Calc!$A$2:$A$124,0)),"")</f>
        <v/>
      </c>
      <c r="H76" s="9">
        <f>IF(G76="","",IF(LEFT($X76,1)="H",SQRT(G76*(IFERROR(INDEX(Calc!$AP$2:$AP$124,MATCH($W76,Calc!$A$2:$A$124,0)),0.5)*Config!$B$5+1-IFERROR(INDEX(Calc!$AP$2:$AP$124,MATCH($W76,Calc!$A$2:$A$124,0)),0.5))),SQRT(G76*Config!$B$5)))</f>
        <v/>
      </c>
      <c r="I76" s="8">
        <f>IF(OR(F76="",G76="",N(H76)&lt;=0),"",1-NORMDIST(FLOOR(F76,1)+0.5,G76,H76,TRUE))</f>
        <v/>
      </c>
      <c r="J76" s="8">
        <f>IF(I76="","",NORMDIST(CEILING(F76,1)-0.5,G76,H76,TRUE))</f>
        <v/>
      </c>
      <c r="K76" s="8">
        <f>IF(I76="","",MAX(0,1-I76-J76))</f>
        <v/>
      </c>
      <c r="L76">
        <f>IF(I76="","",IF(I76&gt;=0.5+Config!$B$6,"OVER",IF(J76&gt;=0.5+Config!$B$6,"UNDER","—")))</f>
        <v/>
      </c>
      <c r="N76" t="n">
        <v>21.4</v>
      </c>
      <c r="O76" s="8" t="n">
        <v>0.4</v>
      </c>
      <c r="P76" s="8" t="n">
        <v>0.5</v>
      </c>
      <c r="Q76" s="8" t="n">
        <v>0.53</v>
      </c>
      <c r="R76" t="inlineStr">
        <is>
          <t>0%/0/2</t>
        </is>
      </c>
      <c r="S76" t="n">
        <v>-2</v>
      </c>
      <c r="T76">
        <f>INDEX(Calc!$G$2:$G$124,MATCH($W76,Calc!$A$2:$A$124,0))&amp;" / "&amp;INDEX(Calc!$H$2:$H$124,MATCH($W76,Calc!$A$2:$A$124,0))</f>
        <v/>
      </c>
      <c r="U76">
        <f>TEXT(INDEX(Calc!$J$2:$J$124,MATCH($W76,Calc!$A$2:$A$124,0)),"0.0")&amp;" / "&amp;TEXT(INDEX(Calc!$K$2:$K$124,MATCH($W76,Calc!$A$2:$A$124,0)),"0.0")</f>
        <v/>
      </c>
      <c r="V76">
        <f>IFERROR(INDEX(Calc!$AQ$2:$AQ$124,MATCH($W76,Calc!$A$2:$A$124,0)),"")</f>
        <v/>
      </c>
      <c r="W76" t="inlineStr">
        <is>
          <t>012uwaetq7hevsp|CS2 · FORZE.R vs ex-RUSTEC</t>
        </is>
      </c>
      <c r="X76" t="inlineStr">
        <is>
          <t>H12</t>
        </is>
      </c>
      <c r="Y76">
        <f>W76&amp;"|"&amp;X76</f>
        <v/>
      </c>
      <c r="Z76" s="9">
        <f>IFERROR(INDEX(CHOOSE(MATCH($X76,{"K1","K2","K3","K12","K13","H1","H2","H3","H12","H13"},0),Calc!$BA$2:$BA$124,Calc!$BB$2:$BB$124,Calc!$BC$2:$BC$124,Calc!$BD$2:$BD$124,Calc!$BE$2:$BE$124,Calc!$BF$2:$BF$124,Calc!$BG$2:$BG$124,Calc!$BH$2:$BH$124,Calc!$BI$2:$BI$124,Calc!$BJ$2:$BJ$124),MATCH($W76,Calc!$A$2:$A$124,0)),"")</f>
        <v/>
      </c>
      <c r="AA76" s="9">
        <f>IF(Z76="","",IF(LEFT($X76,1)="H",SQRT(Z76*(IFERROR(INDEX(Calc!$AP$2:$AP$124,MATCH($W76,Calc!$A$2:$A$124,0)),0.5)*Config!$B$5+1-IFERROR(INDEX(Calc!$AP$2:$AP$124,MATCH($W76,Calc!$A$2:$A$124,0)),0.5))),SQRT(Z76*Config!$B$5)))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FORZE.R vs ex-RUSTEC</t>
        </is>
      </c>
      <c r="C77" t="inlineStr">
        <is>
          <t>HeCkBNk</t>
        </is>
      </c>
      <c r="D77" t="inlineStr">
        <is>
          <t>FORZE.R</t>
        </is>
      </c>
      <c r="E77" t="inlineStr">
        <is>
          <t>Maps 1-2 Kills</t>
        </is>
      </c>
      <c r="F77" t="n">
        <v>32</v>
      </c>
      <c r="G77" s="9">
        <f>IFERROR(INDEX(CHOOSE(MATCH($X77,{"K1","K2","K3","K12","K13","H1","H2","H3","H12","H13"},0),Calc!$V$2:$V$124,Calc!$AC$2:$AC$124,Calc!$AJ$2:$AJ$124,Calc!$AL$2:$AL$124,Calc!$AM$2:$AM$124,Calc!$W$2:$W$124,Calc!$AD$2:$AD$124,Calc!$AK$2:$AK$124,Calc!$AN$2:$AN$124,Calc!$AO$2:$AO$124),MATCH($W77,Calc!$A$2:$A$124,0)),"")</f>
        <v/>
      </c>
      <c r="H77" s="9">
        <f>IF(G77="","",IF(LEFT($X77,1)="H",SQRT(G77*(IFERROR(INDEX(Calc!$AP$2:$AP$124,MATCH($W77,Calc!$A$2:$A$124,0)),0.5)*Config!$B$5+1-IFERROR(INDEX(Calc!$AP$2:$AP$124,MATCH($W77,Calc!$A$2:$A$124,0)),0.5))),SQRT(G77*Config!$B$5)))</f>
        <v/>
      </c>
      <c r="I77" s="8">
        <f>IF(OR(F77="",G77="",N(H77)&lt;=0),"",1-NORMDIST(FLOOR(F77,1)+0.5,G77,H77,TRUE))</f>
        <v/>
      </c>
      <c r="J77" s="8">
        <f>IF(I77="","",NORMDIST(CEILING(F77,1)-0.5,G77,H77,TRUE))</f>
        <v/>
      </c>
      <c r="K77" s="8">
        <f>IF(I77="","",MAX(0,1-I77-J77))</f>
        <v/>
      </c>
      <c r="L77">
        <f>IF(I77="","",IF(I77&gt;=0.5+Config!$B$6,"OVER",IF(J77&gt;=0.5+Config!$B$6,"UNDER","—")))</f>
        <v/>
      </c>
      <c r="N77" t="n">
        <v>31.5</v>
      </c>
      <c r="O77" s="8" t="n">
        <v>0.2</v>
      </c>
      <c r="P77" s="8" t="n">
        <v>0.3</v>
      </c>
      <c r="Q77" s="8" t="n">
        <v>0.27</v>
      </c>
      <c r="R77" t="inlineStr">
        <is>
          <t>0%/0/2</t>
        </is>
      </c>
      <c r="S77" t="n">
        <v>-4</v>
      </c>
      <c r="T77">
        <f>INDEX(Calc!$G$2:$G$124,MATCH($W77,Calc!$A$2:$A$124,0))&amp;" / "&amp;INDEX(Calc!$H$2:$H$124,MATCH($W77,Calc!$A$2:$A$124,0))</f>
        <v/>
      </c>
      <c r="U77">
        <f>TEXT(INDEX(Calc!$J$2:$J$124,MATCH($W77,Calc!$A$2:$A$124,0)),"0.0")&amp;" / "&amp;TEXT(INDEX(Calc!$K$2:$K$124,MATCH($W77,Calc!$A$2:$A$124,0)),"0.0")</f>
        <v/>
      </c>
      <c r="V77">
        <f>IFERROR(INDEX(Calc!$AQ$2:$AQ$124,MATCH($W77,Calc!$A$2:$A$124,0)),"")</f>
        <v/>
      </c>
      <c r="W77" t="inlineStr">
        <is>
          <t>012uwaetq7hevsp|CS2 · FORZE.R vs ex-RUSTEC</t>
        </is>
      </c>
      <c r="X77" t="inlineStr">
        <is>
          <t>K12</t>
        </is>
      </c>
      <c r="Y77">
        <f>W77&amp;"|"&amp;X77</f>
        <v/>
      </c>
      <c r="Z77" s="9">
        <f>IFERROR(INDEX(CHOOSE(MATCH($X77,{"K1","K2","K3","K12","K13","H1","H2","H3","H12","H13"},0),Calc!$BA$2:$BA$124,Calc!$BB$2:$BB$124,Calc!$BC$2:$BC$124,Calc!$BD$2:$BD$124,Calc!$BE$2:$BE$124,Calc!$BF$2:$BF$124,Calc!$BG$2:$BG$124,Calc!$BH$2:$BH$124,Calc!$BI$2:$BI$124,Calc!$BJ$2:$BJ$124),MATCH($W77,Calc!$A$2:$A$124,0)),"")</f>
        <v/>
      </c>
      <c r="AA77" s="9">
        <f>IF(Z77="","",IF(LEFT($X77,1)="H",SQRT(Z77*(IFERROR(INDEX(Calc!$AP$2:$AP$124,MATCH($W77,Calc!$A$2:$A$124,0)),0.5)*Config!$B$5+1-IFERROR(INDEX(Calc!$AP$2:$AP$124,MATCH($W77,Calc!$A$2:$A$124,0)),0.5))),SQRT(Z77*Config!$B$5)))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FORZE.R vs ex-RUSTEC</t>
        </is>
      </c>
      <c r="C78" t="inlineStr">
        <is>
          <t>KusMe</t>
        </is>
      </c>
      <c r="D78" t="inlineStr">
        <is>
          <t>FORZE.R</t>
        </is>
      </c>
      <c r="E78" t="inlineStr">
        <is>
          <t>Maps 1-2 HS</t>
        </is>
      </c>
      <c r="F78" t="n">
        <v>16</v>
      </c>
      <c r="G78" s="9">
        <f>IFERROR(INDEX(CHOOSE(MATCH($X78,{"K1","K2","K3","K12","K13","H1","H2","H3","H12","H13"},0),Calc!$V$2:$V$124,Calc!$AC$2:$AC$124,Calc!$AJ$2:$AJ$124,Calc!$AL$2:$AL$124,Calc!$AM$2:$AM$124,Calc!$W$2:$W$124,Calc!$AD$2:$AD$124,Calc!$AK$2:$AK$124,Calc!$AN$2:$AN$124,Calc!$AO$2:$AO$124),MATCH($W78,Calc!$A$2:$A$124,0)),"")</f>
        <v/>
      </c>
      <c r="H78" s="9">
        <f>IF(G78="","",IF(LEFT($X78,1)="H",SQRT(G78*(IFERROR(INDEX(Calc!$AP$2:$AP$124,MATCH($W78,Calc!$A$2:$A$124,0)),0.5)*Config!$B$5+1-IFERROR(INDEX(Calc!$AP$2:$AP$124,MATCH($W78,Calc!$A$2:$A$124,0)),0.5))),SQRT(G78*Config!$B$5)))</f>
        <v/>
      </c>
      <c r="I78" s="8">
        <f>IF(OR(F78="",G78="",N(H78)&lt;=0),"",1-NORMDIST(FLOOR(F78,1)+0.5,G78,H78,TRUE))</f>
        <v/>
      </c>
      <c r="J78" s="8">
        <f>IF(I78="","",NORMDIST(CEILING(F78,1)-0.5,G78,H78,TRUE))</f>
        <v/>
      </c>
      <c r="K78" s="8">
        <f>IF(I78="","",MAX(0,1-I78-J78))</f>
        <v/>
      </c>
      <c r="L78">
        <f>IF(I78="","",IF(I78&gt;=0.5+Config!$B$6,"OVER",IF(J78&gt;=0.5+Config!$B$6,"UNDER","—")))</f>
        <v/>
      </c>
      <c r="N78" t="n">
        <v>15</v>
      </c>
      <c r="O78" s="8" t="n">
        <v>0.8</v>
      </c>
      <c r="P78" s="8" t="n">
        <v>0.5</v>
      </c>
      <c r="Q78" s="8" t="n">
        <v>0.53</v>
      </c>
      <c r="R78" t="inlineStr">
        <is>
          <t>50%/1/2</t>
        </is>
      </c>
      <c r="S78" t="n">
        <v>2</v>
      </c>
      <c r="T78">
        <f>INDEX(Calc!$G$2:$G$124,MATCH($W78,Calc!$A$2:$A$124,0))&amp;" / "&amp;INDEX(Calc!$H$2:$H$124,MATCH($W78,Calc!$A$2:$A$124,0))</f>
        <v/>
      </c>
      <c r="U78">
        <f>TEXT(INDEX(Calc!$J$2:$J$124,MATCH($W78,Calc!$A$2:$A$124,0)),"0.0")&amp;" / "&amp;TEXT(INDEX(Calc!$K$2:$K$124,MATCH($W78,Calc!$A$2:$A$124,0)),"0.0")</f>
        <v/>
      </c>
      <c r="V78">
        <f>IFERROR(INDEX(Calc!$AQ$2:$AQ$124,MATCH($W78,Calc!$A$2:$A$124,0)),"")</f>
        <v/>
      </c>
      <c r="W78" t="inlineStr">
        <is>
          <t>2s3qwqpg7uefnn7|CS2 · FORZE.R vs ex-RUSTEC</t>
        </is>
      </c>
      <c r="X78" t="inlineStr">
        <is>
          <t>H12</t>
        </is>
      </c>
      <c r="Y78">
        <f>W78&amp;"|"&amp;X78</f>
        <v/>
      </c>
      <c r="Z78" s="9">
        <f>IFERROR(INDEX(CHOOSE(MATCH($X78,{"K1","K2","K3","K12","K13","H1","H2","H3","H12","H13"},0),Calc!$BA$2:$BA$124,Calc!$BB$2:$BB$124,Calc!$BC$2:$BC$124,Calc!$BD$2:$BD$124,Calc!$BE$2:$BE$124,Calc!$BF$2:$BF$124,Calc!$BG$2:$BG$124,Calc!$BH$2:$BH$124,Calc!$BI$2:$BI$124,Calc!$BJ$2:$BJ$124),MATCH($W78,Calc!$A$2:$A$124,0)),"")</f>
        <v/>
      </c>
      <c r="AA78" s="9">
        <f>IF(Z78="","",IF(LEFT($X78,1)="H",SQRT(Z78*(IFERROR(INDEX(Calc!$AP$2:$AP$124,MATCH($W78,Calc!$A$2:$A$124,0)),0.5)*Config!$B$5+1-IFERROR(INDEX(Calc!$AP$2:$AP$124,MATCH($W78,Calc!$A$2:$A$124,0)),0.5))),SQRT(Z78*Config!$B$5)))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FORZE.R vs ex-RUSTEC</t>
        </is>
      </c>
      <c r="C79" t="inlineStr">
        <is>
          <t>KusMe</t>
        </is>
      </c>
      <c r="D79" t="inlineStr">
        <is>
          <t>FORZE.R</t>
        </is>
      </c>
      <c r="E79" t="inlineStr">
        <is>
          <t>Maps 1-2 Kills</t>
        </is>
      </c>
      <c r="F79" t="n">
        <v>29.5</v>
      </c>
      <c r="G79" s="9">
        <f>IFERROR(INDEX(CHOOSE(MATCH($X79,{"K1","K2","K3","K12","K13","H1","H2","H3","H12","H13"},0),Calc!$V$2:$V$124,Calc!$AC$2:$AC$124,Calc!$AJ$2:$AJ$124,Calc!$AL$2:$AL$124,Calc!$AM$2:$AM$124,Calc!$W$2:$W$124,Calc!$AD$2:$AD$124,Calc!$AK$2:$AK$124,Calc!$AN$2:$AN$124,Calc!$AO$2:$AO$124),MATCH($W79,Calc!$A$2:$A$124,0)),"")</f>
        <v/>
      </c>
      <c r="H79" s="9">
        <f>IF(G79="","",IF(LEFT($X79,1)="H",SQRT(G79*(IFERROR(INDEX(Calc!$AP$2:$AP$124,MATCH($W79,Calc!$A$2:$A$124,0)),0.5)*Config!$B$5+1-IFERROR(INDEX(Calc!$AP$2:$AP$124,MATCH($W79,Calc!$A$2:$A$124,0)),0.5))),SQRT(G79*Config!$B$5)))</f>
        <v/>
      </c>
      <c r="I79" s="8">
        <f>IF(OR(F79="",G79="",N(H79)&lt;=0),"",1-NORMDIST(FLOOR(F79,1)+0.5,G79,H79,TRUE))</f>
        <v/>
      </c>
      <c r="J79" s="8">
        <f>IF(I79="","",NORMDIST(CEILING(F79,1)-0.5,G79,H79,TRUE))</f>
        <v/>
      </c>
      <c r="K79" s="8">
        <f>IF(I79="","",MAX(0,1-I79-J79))</f>
        <v/>
      </c>
      <c r="L79">
        <f>IF(I79="","",IF(I79&gt;=0.5+Config!$B$6,"OVER",IF(J79&gt;=0.5+Config!$B$6,"UNDER","—")))</f>
        <v/>
      </c>
      <c r="N79" t="n">
        <v>26.1</v>
      </c>
      <c r="O79" s="8" t="n">
        <v>0.2</v>
      </c>
      <c r="P79" s="8" t="n">
        <v>0.2</v>
      </c>
      <c r="Q79" s="8" t="n">
        <v>0.47</v>
      </c>
      <c r="R79" t="inlineStr">
        <is>
          <t>100%/2/2</t>
        </is>
      </c>
      <c r="S79" t="n">
        <v>-4</v>
      </c>
      <c r="T79">
        <f>INDEX(Calc!$G$2:$G$124,MATCH($W79,Calc!$A$2:$A$124,0))&amp;" / "&amp;INDEX(Calc!$H$2:$H$124,MATCH($W79,Calc!$A$2:$A$124,0))</f>
        <v/>
      </c>
      <c r="U79">
        <f>TEXT(INDEX(Calc!$J$2:$J$124,MATCH($W79,Calc!$A$2:$A$124,0)),"0.0")&amp;" / "&amp;TEXT(INDEX(Calc!$K$2:$K$124,MATCH($W79,Calc!$A$2:$A$124,0)),"0.0")</f>
        <v/>
      </c>
      <c r="V79">
        <f>IFERROR(INDEX(Calc!$AQ$2:$AQ$124,MATCH($W79,Calc!$A$2:$A$124,0)),"")</f>
        <v/>
      </c>
      <c r="W79" t="inlineStr">
        <is>
          <t>2s3qwqpg7uefnn7|CS2 · FORZE.R vs ex-RUSTEC</t>
        </is>
      </c>
      <c r="X79" t="inlineStr">
        <is>
          <t>K12</t>
        </is>
      </c>
      <c r="Y79">
        <f>W79&amp;"|"&amp;X79</f>
        <v/>
      </c>
      <c r="Z79" s="9">
        <f>IFERROR(INDEX(CHOOSE(MATCH($X79,{"K1","K2","K3","K12","K13","H1","H2","H3","H12","H13"},0),Calc!$BA$2:$BA$124,Calc!$BB$2:$BB$124,Calc!$BC$2:$BC$124,Calc!$BD$2:$BD$124,Calc!$BE$2:$BE$124,Calc!$BF$2:$BF$124,Calc!$BG$2:$BG$124,Calc!$BH$2:$BH$124,Calc!$BI$2:$BI$124,Calc!$BJ$2:$BJ$124),MATCH($W79,Calc!$A$2:$A$124,0)),"")</f>
        <v/>
      </c>
      <c r="AA79" s="9">
        <f>IF(Z79="","",IF(LEFT($X79,1)="H",SQRT(Z79*(IFERROR(INDEX(Calc!$AP$2:$AP$124,MATCH($W79,Calc!$A$2:$A$124,0)),0.5)*Config!$B$5+1-IFERROR(INDEX(Calc!$AP$2:$AP$124,MATCH($W79,Calc!$A$2:$A$124,0)),0.5))),SQRT(Z79*Config!$B$5)))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FORZE.R vs ex-RUSTEC</t>
        </is>
      </c>
      <c r="C80" t="inlineStr">
        <is>
          <t>Lack1</t>
        </is>
      </c>
      <c r="D80" t="inlineStr">
        <is>
          <t>FORZE.R</t>
        </is>
      </c>
      <c r="E80" t="inlineStr">
        <is>
          <t>Maps 1-2 HS</t>
        </is>
      </c>
      <c r="F80" t="n">
        <v>17</v>
      </c>
      <c r="G80" s="9">
        <f>IFERROR(INDEX(CHOOSE(MATCH($X80,{"K1","K2","K3","K12","K13","H1","H2","H3","H12","H13"},0),Calc!$V$2:$V$124,Calc!$AC$2:$AC$124,Calc!$AJ$2:$AJ$124,Calc!$AL$2:$AL$124,Calc!$AM$2:$AM$124,Calc!$W$2:$W$124,Calc!$AD$2:$AD$124,Calc!$AK$2:$AK$124,Calc!$AN$2:$AN$124,Calc!$AO$2:$AO$124),MATCH($W80,Calc!$A$2:$A$124,0)),"")</f>
        <v/>
      </c>
      <c r="H80" s="9">
        <f>IF(G80="","",IF(LEFT($X80,1)="H",SQRT(G80*(IFERROR(INDEX(Calc!$AP$2:$AP$124,MATCH($W80,Calc!$A$2:$A$124,0)),0.5)*Config!$B$5+1-IFERROR(INDEX(Calc!$AP$2:$AP$124,MATCH($W80,Calc!$A$2:$A$124,0)),0.5))),SQRT(G80*Config!$B$5)))</f>
        <v/>
      </c>
      <c r="I80" s="8">
        <f>IF(OR(F80="",G80="",N(H80)&lt;=0),"",1-NORMDIST(FLOOR(F80,1)+0.5,G80,H80,TRUE))</f>
        <v/>
      </c>
      <c r="J80" s="8">
        <f>IF(I80="","",NORMDIST(CEILING(F80,1)-0.5,G80,H80,TRUE))</f>
        <v/>
      </c>
      <c r="K80" s="8">
        <f>IF(I80="","",MAX(0,1-I80-J80))</f>
        <v/>
      </c>
      <c r="L80">
        <f>IF(I80="","",IF(I80&gt;=0.5+Config!$B$6,"OVER",IF(J80&gt;=0.5+Config!$B$6,"UNDER","—")))</f>
        <v/>
      </c>
      <c r="N80" t="n">
        <v>13.8</v>
      </c>
      <c r="O80" s="8" t="n">
        <v>0.4</v>
      </c>
      <c r="P80" s="8" t="n">
        <v>0.4</v>
      </c>
      <c r="Q80" s="8" t="n">
        <v>0.33</v>
      </c>
      <c r="R80" t="inlineStr">
        <is>
          <t>0%/0/2</t>
        </is>
      </c>
      <c r="S80" t="n">
        <v>-2</v>
      </c>
      <c r="T80">
        <f>INDEX(Calc!$G$2:$G$124,MATCH($W80,Calc!$A$2:$A$124,0))&amp;" / "&amp;INDEX(Calc!$H$2:$H$124,MATCH($W80,Calc!$A$2:$A$124,0))</f>
        <v/>
      </c>
      <c r="U80">
        <f>TEXT(INDEX(Calc!$J$2:$J$124,MATCH($W80,Calc!$A$2:$A$124,0)),"0.0")&amp;" / "&amp;TEXT(INDEX(Calc!$K$2:$K$124,MATCH($W80,Calc!$A$2:$A$124,0)),"0.0")</f>
        <v/>
      </c>
      <c r="V80">
        <f>IFERROR(INDEX(Calc!$AQ$2:$AQ$124,MATCH($W80,Calc!$A$2:$A$124,0)),"")</f>
        <v/>
      </c>
      <c r="W80" t="inlineStr">
        <is>
          <t>798yw8my6zycp2s|CS2 · FORZE.R vs ex-RUSTEC</t>
        </is>
      </c>
      <c r="X80" t="inlineStr">
        <is>
          <t>H12</t>
        </is>
      </c>
      <c r="Y80">
        <f>W80&amp;"|"&amp;X80</f>
        <v/>
      </c>
      <c r="Z80" s="9">
        <f>IFERROR(INDEX(CHOOSE(MATCH($X80,{"K1","K2","K3","K12","K13","H1","H2","H3","H12","H13"},0),Calc!$BA$2:$BA$124,Calc!$BB$2:$BB$124,Calc!$BC$2:$BC$124,Calc!$BD$2:$BD$124,Calc!$BE$2:$BE$124,Calc!$BF$2:$BF$124,Calc!$BG$2:$BG$124,Calc!$BH$2:$BH$124,Calc!$BI$2:$BI$124,Calc!$BJ$2:$BJ$124),MATCH($W80,Calc!$A$2:$A$124,0)),"")</f>
        <v/>
      </c>
      <c r="AA80" s="9">
        <f>IF(Z80="","",IF(LEFT($X80,1)="H",SQRT(Z80*(IFERROR(INDEX(Calc!$AP$2:$AP$124,MATCH($W80,Calc!$A$2:$A$124,0)),0.5)*Config!$B$5+1-IFERROR(INDEX(Calc!$AP$2:$AP$124,MATCH($W80,Calc!$A$2:$A$124,0)),0.5))),SQRT(Z80*Config!$B$5)))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FORZE.R vs ex-RUSTEC</t>
        </is>
      </c>
      <c r="C81" t="inlineStr">
        <is>
          <t>Lack1</t>
        </is>
      </c>
      <c r="D81" t="inlineStr">
        <is>
          <t>FORZE.R</t>
        </is>
      </c>
      <c r="E81" t="inlineStr">
        <is>
          <t>Maps 1-2 Kills</t>
        </is>
      </c>
      <c r="F81" t="n">
        <v>29</v>
      </c>
      <c r="G81" s="9">
        <f>IFERROR(INDEX(CHOOSE(MATCH($X81,{"K1","K2","K3","K12","K13","H1","H2","H3","H12","H13"},0),Calc!$V$2:$V$124,Calc!$AC$2:$AC$124,Calc!$AJ$2:$AJ$124,Calc!$AL$2:$AL$124,Calc!$AM$2:$AM$124,Calc!$W$2:$W$124,Calc!$AD$2:$AD$124,Calc!$AK$2:$AK$124,Calc!$AN$2:$AN$124,Calc!$AO$2:$AO$124),MATCH($W81,Calc!$A$2:$A$124,0)),"")</f>
        <v/>
      </c>
      <c r="H81" s="9">
        <f>IF(G81="","",IF(LEFT($X81,1)="H",SQRT(G81*(IFERROR(INDEX(Calc!$AP$2:$AP$124,MATCH($W81,Calc!$A$2:$A$124,0)),0.5)*Config!$B$5+1-IFERROR(INDEX(Calc!$AP$2:$AP$124,MATCH($W81,Calc!$A$2:$A$124,0)),0.5))),SQRT(G81*Config!$B$5)))</f>
        <v/>
      </c>
      <c r="I81" s="8">
        <f>IF(OR(F81="",G81="",N(H81)&lt;=0),"",1-NORMDIST(FLOOR(F81,1)+0.5,G81,H81,TRUE))</f>
        <v/>
      </c>
      <c r="J81" s="8">
        <f>IF(I81="","",NORMDIST(CEILING(F81,1)-0.5,G81,H81,TRUE))</f>
        <v/>
      </c>
      <c r="K81" s="8">
        <f>IF(I81="","",MAX(0,1-I81-J81))</f>
        <v/>
      </c>
      <c r="L81">
        <f>IF(I81="","",IF(I81&gt;=0.5+Config!$B$6,"OVER",IF(J81&gt;=0.5+Config!$B$6,"UNDER","—")))</f>
        <v/>
      </c>
      <c r="N81" t="n">
        <v>24.4</v>
      </c>
      <c r="O81" s="8" t="n">
        <v>0.4</v>
      </c>
      <c r="P81" s="8" t="n">
        <v>0.4</v>
      </c>
      <c r="Q81" s="8" t="n">
        <v>0.47</v>
      </c>
      <c r="R81" t="inlineStr">
        <is>
          <t>50%/1/2</t>
        </is>
      </c>
      <c r="S81" t="n">
        <v>-2</v>
      </c>
      <c r="T81">
        <f>INDEX(Calc!$G$2:$G$124,MATCH($W81,Calc!$A$2:$A$124,0))&amp;" / "&amp;INDEX(Calc!$H$2:$H$124,MATCH($W81,Calc!$A$2:$A$124,0))</f>
        <v/>
      </c>
      <c r="U81">
        <f>TEXT(INDEX(Calc!$J$2:$J$124,MATCH($W81,Calc!$A$2:$A$124,0)),"0.0")&amp;" / "&amp;TEXT(INDEX(Calc!$K$2:$K$124,MATCH($W81,Calc!$A$2:$A$124,0)),"0.0")</f>
        <v/>
      </c>
      <c r="V81">
        <f>IFERROR(INDEX(Calc!$AQ$2:$AQ$124,MATCH($W81,Calc!$A$2:$A$124,0)),"")</f>
        <v/>
      </c>
      <c r="W81" t="inlineStr">
        <is>
          <t>798yw8my6zycp2s|CS2 · FORZE.R vs ex-RUSTEC</t>
        </is>
      </c>
      <c r="X81" t="inlineStr">
        <is>
          <t>K12</t>
        </is>
      </c>
      <c r="Y81">
        <f>W81&amp;"|"&amp;X81</f>
        <v/>
      </c>
      <c r="Z81" s="9">
        <f>IFERROR(INDEX(CHOOSE(MATCH($X81,{"K1","K2","K3","K12","K13","H1","H2","H3","H12","H13"},0),Calc!$BA$2:$BA$124,Calc!$BB$2:$BB$124,Calc!$BC$2:$BC$124,Calc!$BD$2:$BD$124,Calc!$BE$2:$BE$124,Calc!$BF$2:$BF$124,Calc!$BG$2:$BG$124,Calc!$BH$2:$BH$124,Calc!$BI$2:$BI$124,Calc!$BJ$2:$BJ$124),MATCH($W81,Calc!$A$2:$A$124,0)),"")</f>
        <v/>
      </c>
      <c r="AA81" s="9">
        <f>IF(Z81="","",IF(LEFT($X81,1)="H",SQRT(Z81*(IFERROR(INDEX(Calc!$AP$2:$AP$124,MATCH($W81,Calc!$A$2:$A$124,0)),0.5)*Config!$B$5+1-IFERROR(INDEX(Calc!$AP$2:$AP$124,MATCH($W81,Calc!$A$2:$A$124,0)),0.5))),SQRT(Z81*Config!$B$5)))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FORZE.R vs ex-RUSTEC</t>
        </is>
      </c>
      <c r="C82" t="inlineStr">
        <is>
          <t>NickelBack</t>
        </is>
      </c>
      <c r="D82" t="inlineStr">
        <is>
          <t>FORZE.R</t>
        </is>
      </c>
      <c r="E82" t="inlineStr">
        <is>
          <t>Maps 1-2 HS</t>
        </is>
      </c>
      <c r="F82" t="n">
        <v>12.5</v>
      </c>
      <c r="G82" s="9">
        <f>IFERROR(INDEX(CHOOSE(MATCH($X82,{"K1","K2","K3","K12","K13","H1","H2","H3","H12","H13"},0),Calc!$V$2:$V$124,Calc!$AC$2:$AC$124,Calc!$AJ$2:$AJ$124,Calc!$AL$2:$AL$124,Calc!$AM$2:$AM$124,Calc!$W$2:$W$124,Calc!$AD$2:$AD$124,Calc!$AK$2:$AK$124,Calc!$AN$2:$AN$124,Calc!$AO$2:$AO$124),MATCH($W82,Calc!$A$2:$A$124,0)),"")</f>
        <v/>
      </c>
      <c r="H82" s="9">
        <f>IF(G82="","",IF(LEFT($X82,1)="H",SQRT(G82*(IFERROR(INDEX(Calc!$AP$2:$AP$124,MATCH($W82,Calc!$A$2:$A$124,0)),0.5)*Config!$B$5+1-IFERROR(INDEX(Calc!$AP$2:$AP$124,MATCH($W82,Calc!$A$2:$A$124,0)),0.5))),SQRT(G82*Config!$B$5)))</f>
        <v/>
      </c>
      <c r="I82" s="8">
        <f>IF(OR(F82="",G82="",N(H82)&lt;=0),"",1-NORMDIST(FLOOR(F82,1)+0.5,G82,H82,TRUE))</f>
        <v/>
      </c>
      <c r="J82" s="8">
        <f>IF(I82="","",NORMDIST(CEILING(F82,1)-0.5,G82,H82,TRUE))</f>
        <v/>
      </c>
      <c r="K82" s="8">
        <f>IF(I82="","",MAX(0,1-I82-J82))</f>
        <v/>
      </c>
      <c r="L82">
        <f>IF(I82="","",IF(I82&gt;=0.5+Config!$B$6,"OVER",IF(J82&gt;=0.5+Config!$B$6,"UNDER","—")))</f>
        <v/>
      </c>
      <c r="N82" t="n">
        <v>12</v>
      </c>
      <c r="O82" s="8" t="n">
        <v>0.4</v>
      </c>
      <c r="P82" s="8" t="n">
        <v>0.3</v>
      </c>
      <c r="Q82" s="8" t="n">
        <v>0.4</v>
      </c>
      <c r="R82" t="inlineStr">
        <is>
          <t>100%/1/1</t>
        </is>
      </c>
      <c r="S82" t="n">
        <v>-2</v>
      </c>
      <c r="T82">
        <f>INDEX(Calc!$G$2:$G$124,MATCH($W82,Calc!$A$2:$A$124,0))&amp;" / "&amp;INDEX(Calc!$H$2:$H$124,MATCH($W82,Calc!$A$2:$A$124,0))</f>
        <v/>
      </c>
      <c r="U82">
        <f>TEXT(INDEX(Calc!$J$2:$J$124,MATCH($W82,Calc!$A$2:$A$124,0)),"0.0")&amp;" / "&amp;TEXT(INDEX(Calc!$K$2:$K$124,MATCH($W82,Calc!$A$2:$A$124,0)),"0.0")</f>
        <v/>
      </c>
      <c r="V82">
        <f>IFERROR(INDEX(Calc!$AQ$2:$AQ$124,MATCH($W82,Calc!$A$2:$A$124,0)),"")</f>
        <v/>
      </c>
      <c r="W82" t="inlineStr">
        <is>
          <t>udiua4ttm49q2v4|CS2 · FORZE.R vs ex-RUSTEC</t>
        </is>
      </c>
      <c r="X82" t="inlineStr">
        <is>
          <t>H12</t>
        </is>
      </c>
      <c r="Y82">
        <f>W82&amp;"|"&amp;X82</f>
        <v/>
      </c>
      <c r="Z82" s="9">
        <f>IFERROR(INDEX(CHOOSE(MATCH($X82,{"K1","K2","K3","K12","K13","H1","H2","H3","H12","H13"},0),Calc!$BA$2:$BA$124,Calc!$BB$2:$BB$124,Calc!$BC$2:$BC$124,Calc!$BD$2:$BD$124,Calc!$BE$2:$BE$124,Calc!$BF$2:$BF$124,Calc!$BG$2:$BG$124,Calc!$BH$2:$BH$124,Calc!$BI$2:$BI$124,Calc!$BJ$2:$BJ$124),MATCH($W82,Calc!$A$2:$A$124,0)),"")</f>
        <v/>
      </c>
      <c r="AA82" s="9">
        <f>IF(Z82="","",IF(LEFT($X82,1)="H",SQRT(Z82*(IFERROR(INDEX(Calc!$AP$2:$AP$124,MATCH($W82,Calc!$A$2:$A$124,0)),0.5)*Config!$B$5+1-IFERROR(INDEX(Calc!$AP$2:$AP$124,MATCH($W82,Calc!$A$2:$A$124,0)),0.5))),SQRT(Z82*Config!$B$5)))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FORZE.R vs ex-RUSTEC</t>
        </is>
      </c>
      <c r="C83" t="inlineStr">
        <is>
          <t>NickelBack</t>
        </is>
      </c>
      <c r="D83" t="inlineStr">
        <is>
          <t>FORZE.R</t>
        </is>
      </c>
      <c r="E83" t="inlineStr">
        <is>
          <t>Maps 1-2 Kills</t>
        </is>
      </c>
      <c r="F83" t="n">
        <v>25.5</v>
      </c>
      <c r="G83" s="9">
        <f>IFERROR(INDEX(CHOOSE(MATCH($X83,{"K1","K2","K3","K12","K13","H1","H2","H3","H12","H13"},0),Calc!$V$2:$V$124,Calc!$AC$2:$AC$124,Calc!$AJ$2:$AJ$124,Calc!$AL$2:$AL$124,Calc!$AM$2:$AM$124,Calc!$W$2:$W$124,Calc!$AD$2:$AD$124,Calc!$AK$2:$AK$124,Calc!$AN$2:$AN$124,Calc!$AO$2:$AO$124),MATCH($W83,Calc!$A$2:$A$124,0)),"")</f>
        <v/>
      </c>
      <c r="H83" s="9">
        <f>IF(G83="","",IF(LEFT($X83,1)="H",SQRT(G83*(IFERROR(INDEX(Calc!$AP$2:$AP$124,MATCH($W83,Calc!$A$2:$A$124,0)),0.5)*Config!$B$5+1-IFERROR(INDEX(Calc!$AP$2:$AP$124,MATCH($W83,Calc!$A$2:$A$124,0)),0.5))),SQRT(G83*Config!$B$5)))</f>
        <v/>
      </c>
      <c r="I83" s="8">
        <f>IF(OR(F83="",G83="",N(H83)&lt;=0),"",1-NORMDIST(FLOOR(F83,1)+0.5,G83,H83,TRUE))</f>
        <v/>
      </c>
      <c r="J83" s="8">
        <f>IF(I83="","",NORMDIST(CEILING(F83,1)-0.5,G83,H83,TRUE))</f>
        <v/>
      </c>
      <c r="K83" s="8">
        <f>IF(I83="","",MAX(0,1-I83-J83))</f>
        <v/>
      </c>
      <c r="L83">
        <f>IF(I83="","",IF(I83&gt;=0.5+Config!$B$6,"OVER",IF(J83&gt;=0.5+Config!$B$6,"UNDER","—")))</f>
        <v/>
      </c>
      <c r="N83" t="n">
        <v>27.7</v>
      </c>
      <c r="O83" s="8" t="n">
        <v>0.6</v>
      </c>
      <c r="P83" s="8" t="n">
        <v>0.6</v>
      </c>
      <c r="Q83" s="8" t="n">
        <v>0.6</v>
      </c>
      <c r="R83" t="inlineStr">
        <is>
          <t>100%/1/1</t>
        </is>
      </c>
      <c r="S83" t="n">
        <v>1</v>
      </c>
      <c r="T83">
        <f>INDEX(Calc!$G$2:$G$124,MATCH($W83,Calc!$A$2:$A$124,0))&amp;" / "&amp;INDEX(Calc!$H$2:$H$124,MATCH($W83,Calc!$A$2:$A$124,0))</f>
        <v/>
      </c>
      <c r="U83">
        <f>TEXT(INDEX(Calc!$J$2:$J$124,MATCH($W83,Calc!$A$2:$A$124,0)),"0.0")&amp;" / "&amp;TEXT(INDEX(Calc!$K$2:$K$124,MATCH($W83,Calc!$A$2:$A$124,0)),"0.0")</f>
        <v/>
      </c>
      <c r="V83">
        <f>IFERROR(INDEX(Calc!$AQ$2:$AQ$124,MATCH($W83,Calc!$A$2:$A$124,0)),"")</f>
        <v/>
      </c>
      <c r="W83" t="inlineStr">
        <is>
          <t>udiua4ttm49q2v4|CS2 · FORZE.R vs ex-RUSTEC</t>
        </is>
      </c>
      <c r="X83" t="inlineStr">
        <is>
          <t>K12</t>
        </is>
      </c>
      <c r="Y83">
        <f>W83&amp;"|"&amp;X83</f>
        <v/>
      </c>
      <c r="Z83" s="9">
        <f>IFERROR(INDEX(CHOOSE(MATCH($X83,{"K1","K2","K3","K12","K13","H1","H2","H3","H12","H13"},0),Calc!$BA$2:$BA$124,Calc!$BB$2:$BB$124,Calc!$BC$2:$BC$124,Calc!$BD$2:$BD$124,Calc!$BE$2:$BE$124,Calc!$BF$2:$BF$124,Calc!$BG$2:$BG$124,Calc!$BH$2:$BH$124,Calc!$BI$2:$BI$124,Calc!$BJ$2:$BJ$124),MATCH($W83,Calc!$A$2:$A$124,0)),"")</f>
        <v/>
      </c>
      <c r="AA83" s="9">
        <f>IF(Z83="","",IF(LEFT($X83,1)="H",SQRT(Z83*(IFERROR(INDEX(Calc!$AP$2:$AP$124,MATCH($W83,Calc!$A$2:$A$124,0)),0.5)*Config!$B$5+1-IFERROR(INDEX(Calc!$AP$2:$AP$124,MATCH($W83,Calc!$A$2:$A$124,0)),0.5))),SQRT(Z83*Config!$B$5)))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FORZE.R vs ex-RUSTEC</t>
        </is>
      </c>
      <c r="C84" t="inlineStr">
        <is>
          <t>YumsaN</t>
        </is>
      </c>
      <c r="D84" t="inlineStr">
        <is>
          <t>FORZE.R</t>
        </is>
      </c>
      <c r="E84" t="inlineStr">
        <is>
          <t>Maps 1-2 HS</t>
        </is>
      </c>
      <c r="F84" t="n">
        <v>10</v>
      </c>
      <c r="G84" s="9">
        <f>IFERROR(INDEX(CHOOSE(MATCH($X84,{"K1","K2","K3","K12","K13","H1","H2","H3","H12","H13"},0),Calc!$V$2:$V$124,Calc!$AC$2:$AC$124,Calc!$AJ$2:$AJ$124,Calc!$AL$2:$AL$124,Calc!$AM$2:$AM$124,Calc!$W$2:$W$124,Calc!$AD$2:$AD$124,Calc!$AK$2:$AK$124,Calc!$AN$2:$AN$124,Calc!$AO$2:$AO$124),MATCH($W84,Calc!$A$2:$A$124,0)),"")</f>
        <v/>
      </c>
      <c r="H84" s="9">
        <f>IF(G84="","",IF(LEFT($X84,1)="H",SQRT(G84*(IFERROR(INDEX(Calc!$AP$2:$AP$124,MATCH($W84,Calc!$A$2:$A$124,0)),0.5)*Config!$B$5+1-IFERROR(INDEX(Calc!$AP$2:$AP$124,MATCH($W84,Calc!$A$2:$A$124,0)),0.5))),SQRT(G84*Config!$B$5)))</f>
        <v/>
      </c>
      <c r="I84" s="8">
        <f>IF(OR(F84="",G84="",N(H84)&lt;=0),"",1-NORMDIST(FLOOR(F84,1)+0.5,G84,H84,TRUE))</f>
        <v/>
      </c>
      <c r="J84" s="8">
        <f>IF(I84="","",NORMDIST(CEILING(F84,1)-0.5,G84,H84,TRUE))</f>
        <v/>
      </c>
      <c r="K84" s="8">
        <f>IF(I84="","",MAX(0,1-I84-J84))</f>
        <v/>
      </c>
      <c r="L84">
        <f>IF(I84="","",IF(I84&gt;=0.5+Config!$B$6,"OVER",IF(J84&gt;=0.5+Config!$B$6,"UNDER","—")))</f>
        <v/>
      </c>
      <c r="N84" t="n">
        <v>9.1</v>
      </c>
      <c r="O84" s="8" t="n">
        <v>0.2</v>
      </c>
      <c r="P84" s="8" t="n">
        <v>0.3</v>
      </c>
      <c r="Q84" s="8" t="n">
        <v>0.33</v>
      </c>
      <c r="R84" t="inlineStr">
        <is>
          <t>50%/1/2</t>
        </is>
      </c>
      <c r="S84" t="n">
        <v>-2</v>
      </c>
      <c r="T84">
        <f>INDEX(Calc!$G$2:$G$124,MATCH($W84,Calc!$A$2:$A$124,0))&amp;" / "&amp;INDEX(Calc!$H$2:$H$124,MATCH($W84,Calc!$A$2:$A$124,0))</f>
        <v/>
      </c>
      <c r="U84">
        <f>TEXT(INDEX(Calc!$J$2:$J$124,MATCH($W84,Calc!$A$2:$A$124,0)),"0.0")&amp;" / "&amp;TEXT(INDEX(Calc!$K$2:$K$124,MATCH($W84,Calc!$A$2:$A$124,0)),"0.0")</f>
        <v/>
      </c>
      <c r="V84">
        <f>IFERROR(INDEX(Calc!$AQ$2:$AQ$124,MATCH($W84,Calc!$A$2:$A$124,0)),"")</f>
        <v/>
      </c>
      <c r="W84" t="inlineStr">
        <is>
          <t>fcekd28mes5c7xs|CS2 · FORZE.R vs ex-RUSTEC</t>
        </is>
      </c>
      <c r="X84" t="inlineStr">
        <is>
          <t>H12</t>
        </is>
      </c>
      <c r="Y84">
        <f>W84&amp;"|"&amp;X84</f>
        <v/>
      </c>
      <c r="Z84" s="9">
        <f>IFERROR(INDEX(CHOOSE(MATCH($X84,{"K1","K2","K3","K12","K13","H1","H2","H3","H12","H13"},0),Calc!$BA$2:$BA$124,Calc!$BB$2:$BB$124,Calc!$BC$2:$BC$124,Calc!$BD$2:$BD$124,Calc!$BE$2:$BE$124,Calc!$BF$2:$BF$124,Calc!$BG$2:$BG$124,Calc!$BH$2:$BH$124,Calc!$BI$2:$BI$124,Calc!$BJ$2:$BJ$124),MATCH($W84,Calc!$A$2:$A$124,0)),"")</f>
        <v/>
      </c>
      <c r="AA84" s="9">
        <f>IF(Z84="","",IF(LEFT($X84,1)="H",SQRT(Z84*(IFERROR(INDEX(Calc!$AP$2:$AP$124,MATCH($W84,Calc!$A$2:$A$124,0)),0.5)*Config!$B$5+1-IFERROR(INDEX(Calc!$AP$2:$AP$124,MATCH($W84,Calc!$A$2:$A$124,0)),0.5))),SQRT(Z84*Config!$B$5)))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FORZE.R vs ex-RUSTEC</t>
        </is>
      </c>
      <c r="C85" t="inlineStr">
        <is>
          <t>YumsaN</t>
        </is>
      </c>
      <c r="D85" t="inlineStr">
        <is>
          <t>FORZE.R</t>
        </is>
      </c>
      <c r="E85" t="inlineStr">
        <is>
          <t>Maps 1-2 Kills</t>
        </is>
      </c>
      <c r="F85" t="n">
        <v>32</v>
      </c>
      <c r="G85" s="9">
        <f>IFERROR(INDEX(CHOOSE(MATCH($X85,{"K1","K2","K3","K12","K13","H1","H2","H3","H12","H13"},0),Calc!$V$2:$V$124,Calc!$AC$2:$AC$124,Calc!$AJ$2:$AJ$124,Calc!$AL$2:$AL$124,Calc!$AM$2:$AM$124,Calc!$W$2:$W$124,Calc!$AD$2:$AD$124,Calc!$AK$2:$AK$124,Calc!$AN$2:$AN$124,Calc!$AO$2:$AO$124),MATCH($W85,Calc!$A$2:$A$124,0)),"")</f>
        <v/>
      </c>
      <c r="H85" s="9">
        <f>IF(G85="","",IF(LEFT($X85,1)="H",SQRT(G85*(IFERROR(INDEX(Calc!$AP$2:$AP$124,MATCH($W85,Calc!$A$2:$A$124,0)),0.5)*Config!$B$5+1-IFERROR(INDEX(Calc!$AP$2:$AP$124,MATCH($W85,Calc!$A$2:$A$124,0)),0.5))),SQRT(G85*Config!$B$5)))</f>
        <v/>
      </c>
      <c r="I85" s="8">
        <f>IF(OR(F85="",G85="",N(H85)&lt;=0),"",1-NORMDIST(FLOOR(F85,1)+0.5,G85,H85,TRUE))</f>
        <v/>
      </c>
      <c r="J85" s="8">
        <f>IF(I85="","",NORMDIST(CEILING(F85,1)-0.5,G85,H85,TRUE))</f>
        <v/>
      </c>
      <c r="K85" s="8">
        <f>IF(I85="","",MAX(0,1-I85-J85))</f>
        <v/>
      </c>
      <c r="L85">
        <f>IF(I85="","",IF(I85&gt;=0.5+Config!$B$6,"OVER",IF(J85&gt;=0.5+Config!$B$6,"UNDER","—")))</f>
        <v/>
      </c>
      <c r="N85" t="n">
        <v>32.3</v>
      </c>
      <c r="O85" s="8" t="n">
        <v>0.4</v>
      </c>
      <c r="P85" s="8" t="n">
        <v>0.5</v>
      </c>
      <c r="Q85" s="8" t="n">
        <v>0.4</v>
      </c>
      <c r="R85" t="inlineStr">
        <is>
          <t>50%/1/2</t>
        </is>
      </c>
      <c r="S85" t="n">
        <v>-2</v>
      </c>
      <c r="T85">
        <f>INDEX(Calc!$G$2:$G$124,MATCH($W85,Calc!$A$2:$A$124,0))&amp;" / "&amp;INDEX(Calc!$H$2:$H$124,MATCH($W85,Calc!$A$2:$A$124,0))</f>
        <v/>
      </c>
      <c r="U85">
        <f>TEXT(INDEX(Calc!$J$2:$J$124,MATCH($W85,Calc!$A$2:$A$124,0)),"0.0")&amp;" / "&amp;TEXT(INDEX(Calc!$K$2:$K$124,MATCH($W85,Calc!$A$2:$A$124,0)),"0.0")</f>
        <v/>
      </c>
      <c r="V85">
        <f>IFERROR(INDEX(Calc!$AQ$2:$AQ$124,MATCH($W85,Calc!$A$2:$A$124,0)),"")</f>
        <v/>
      </c>
      <c r="W85" t="inlineStr">
        <is>
          <t>fcekd28mes5c7xs|CS2 · FORZE.R vs ex-RUSTEC</t>
        </is>
      </c>
      <c r="X85" t="inlineStr">
        <is>
          <t>K12</t>
        </is>
      </c>
      <c r="Y85">
        <f>W85&amp;"|"&amp;X85</f>
        <v/>
      </c>
      <c r="Z85" s="9">
        <f>IFERROR(INDEX(CHOOSE(MATCH($X85,{"K1","K2","K3","K12","K13","H1","H2","H3","H12","H13"},0),Calc!$BA$2:$BA$124,Calc!$BB$2:$BB$124,Calc!$BC$2:$BC$124,Calc!$BD$2:$BD$124,Calc!$BE$2:$BE$124,Calc!$BF$2:$BF$124,Calc!$BG$2:$BG$124,Calc!$BH$2:$BH$124,Calc!$BI$2:$BI$124,Calc!$BJ$2:$BJ$124),MATCH($W85,Calc!$A$2:$A$124,0)),"")</f>
        <v/>
      </c>
      <c r="AA85" s="9">
        <f>IF(Z85="","",IF(LEFT($X85,1)="H",SQRT(Z85*(IFERROR(INDEX(Calc!$AP$2:$AP$124,MATCH($W85,Calc!$A$2:$A$124,0)),0.5)*Config!$B$5+1-IFERROR(INDEX(Calc!$AP$2:$AP$124,MATCH($W85,Calc!$A$2:$A$124,0)),0.5))),SQRT(Z85*Config!$B$5)))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FORZE.R vs ex-RUSTEC</t>
        </is>
      </c>
      <c r="C86" t="inlineStr">
        <is>
          <t>bl1x1</t>
        </is>
      </c>
      <c r="D86" t="inlineStr">
        <is>
          <t>ex-RUSTEC</t>
        </is>
      </c>
      <c r="E86" t="inlineStr">
        <is>
          <t>Maps 1-2 HS</t>
        </is>
      </c>
      <c r="F86" t="n">
        <v>18</v>
      </c>
      <c r="G86" s="9">
        <f>IFERROR(INDEX(CHOOSE(MATCH($X86,{"K1","K2","K3","K12","K13","H1","H2","H3","H12","H13"},0),Calc!$V$2:$V$124,Calc!$AC$2:$AC$124,Calc!$AJ$2:$AJ$124,Calc!$AL$2:$AL$124,Calc!$AM$2:$AM$124,Calc!$W$2:$W$124,Calc!$AD$2:$AD$124,Calc!$AK$2:$AK$124,Calc!$AN$2:$AN$124,Calc!$AO$2:$AO$124),MATCH($W86,Calc!$A$2:$A$124,0)),"")</f>
        <v/>
      </c>
      <c r="H86" s="9">
        <f>IF(G86="","",IF(LEFT($X86,1)="H",SQRT(G86*(IFERROR(INDEX(Calc!$AP$2:$AP$124,MATCH($W86,Calc!$A$2:$A$124,0)),0.5)*Config!$B$5+1-IFERROR(INDEX(Calc!$AP$2:$AP$124,MATCH($W86,Calc!$A$2:$A$124,0)),0.5))),SQRT(G86*Config!$B$5)))</f>
        <v/>
      </c>
      <c r="I86" s="8">
        <f>IF(OR(F86="",G86="",N(H86)&lt;=0),"",1-NORMDIST(FLOOR(F86,1)+0.5,G86,H86,TRUE))</f>
        <v/>
      </c>
      <c r="J86" s="8">
        <f>IF(I86="","",NORMDIST(CEILING(F86,1)-0.5,G86,H86,TRUE))</f>
        <v/>
      </c>
      <c r="K86" s="8">
        <f>IF(I86="","",MAX(0,1-I86-J86))</f>
        <v/>
      </c>
      <c r="L86">
        <f>IF(I86="","",IF(I86&gt;=0.5+Config!$B$6,"OVER",IF(J86&gt;=0.5+Config!$B$6,"UNDER","—")))</f>
        <v/>
      </c>
      <c r="N86" t="n">
        <v>17.5</v>
      </c>
      <c r="O86" s="8" t="n">
        <v>1</v>
      </c>
      <c r="P86" s="8" t="n">
        <v>0.7</v>
      </c>
      <c r="Q86" s="8" t="n">
        <v>0.73</v>
      </c>
      <c r="R86" t="inlineStr">
        <is>
          <t>67%/2/3</t>
        </is>
      </c>
      <c r="S86" t="n">
        <v>5</v>
      </c>
      <c r="T86">
        <f>INDEX(Calc!$G$2:$G$124,MATCH($W86,Calc!$A$2:$A$124,0))&amp;" / "&amp;INDEX(Calc!$H$2:$H$124,MATCH($W86,Calc!$A$2:$A$124,0))</f>
        <v/>
      </c>
      <c r="U86">
        <f>TEXT(INDEX(Calc!$J$2:$J$124,MATCH($W86,Calc!$A$2:$A$124,0)),"0.0")&amp;" / "&amp;TEXT(INDEX(Calc!$K$2:$K$124,MATCH($W86,Calc!$A$2:$A$124,0)),"0.0")</f>
        <v/>
      </c>
      <c r="V86">
        <f>IFERROR(INDEX(Calc!$AQ$2:$AQ$124,MATCH($W86,Calc!$A$2:$A$124,0)),"")</f>
        <v/>
      </c>
      <c r="W86" t="inlineStr">
        <is>
          <t>u2qbkafgxd78s8o|CS2 · FORZE.R vs ex-RUSTEC</t>
        </is>
      </c>
      <c r="X86" t="inlineStr">
        <is>
          <t>H12</t>
        </is>
      </c>
      <c r="Y86">
        <f>W86&amp;"|"&amp;X86</f>
        <v/>
      </c>
      <c r="Z86" s="9">
        <f>IFERROR(INDEX(CHOOSE(MATCH($X86,{"K1","K2","K3","K12","K13","H1","H2","H3","H12","H13"},0),Calc!$BA$2:$BA$124,Calc!$BB$2:$BB$124,Calc!$BC$2:$BC$124,Calc!$BD$2:$BD$124,Calc!$BE$2:$BE$124,Calc!$BF$2:$BF$124,Calc!$BG$2:$BG$124,Calc!$BH$2:$BH$124,Calc!$BI$2:$BI$124,Calc!$BJ$2:$BJ$124),MATCH($W86,Calc!$A$2:$A$124,0)),"")</f>
        <v/>
      </c>
      <c r="AA86" s="9">
        <f>IF(Z86="","",IF(LEFT($X86,1)="H",SQRT(Z86*(IFERROR(INDEX(Calc!$AP$2:$AP$124,MATCH($W86,Calc!$A$2:$A$124,0)),0.5)*Config!$B$5+1-IFERROR(INDEX(Calc!$AP$2:$AP$124,MATCH($W86,Calc!$A$2:$A$124,0)),0.5))),SQRT(Z86*Config!$B$5)))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FORZE.R vs ex-RUSTEC</t>
        </is>
      </c>
      <c r="C87" t="inlineStr">
        <is>
          <t>bl1x1</t>
        </is>
      </c>
      <c r="D87" t="inlineStr">
        <is>
          <t>ex-RUSTEC</t>
        </is>
      </c>
      <c r="E87" t="inlineStr">
        <is>
          <t>Maps 1-2 Kills</t>
        </is>
      </c>
      <c r="F87" t="n">
        <v>29</v>
      </c>
      <c r="G87" s="9">
        <f>IFERROR(INDEX(CHOOSE(MATCH($X87,{"K1","K2","K3","K12","K13","H1","H2","H3","H12","H13"},0),Calc!$V$2:$V$124,Calc!$AC$2:$AC$124,Calc!$AJ$2:$AJ$124,Calc!$AL$2:$AL$124,Calc!$AM$2:$AM$124,Calc!$W$2:$W$124,Calc!$AD$2:$AD$124,Calc!$AK$2:$AK$124,Calc!$AN$2:$AN$124,Calc!$AO$2:$AO$124),MATCH($W87,Calc!$A$2:$A$124,0)),"")</f>
        <v/>
      </c>
      <c r="H87" s="9">
        <f>IF(G87="","",IF(LEFT($X87,1)="H",SQRT(G87*(IFERROR(INDEX(Calc!$AP$2:$AP$124,MATCH($W87,Calc!$A$2:$A$124,0)),0.5)*Config!$B$5+1-IFERROR(INDEX(Calc!$AP$2:$AP$124,MATCH($W87,Calc!$A$2:$A$124,0)),0.5))),SQRT(G87*Config!$B$5)))</f>
        <v/>
      </c>
      <c r="I87" s="8">
        <f>IF(OR(F87="",G87="",N(H87)&lt;=0),"",1-NORMDIST(FLOOR(F87,1)+0.5,G87,H87,TRUE))</f>
        <v/>
      </c>
      <c r="J87" s="8">
        <f>IF(I87="","",NORMDIST(CEILING(F87,1)-0.5,G87,H87,TRUE))</f>
        <v/>
      </c>
      <c r="K87" s="8">
        <f>IF(I87="","",MAX(0,1-I87-J87))</f>
        <v/>
      </c>
      <c r="L87">
        <f>IF(I87="","",IF(I87&gt;=0.5+Config!$B$6,"OVER",IF(J87&gt;=0.5+Config!$B$6,"UNDER","—")))</f>
        <v/>
      </c>
      <c r="N87" t="n">
        <v>27.1</v>
      </c>
      <c r="O87" s="8" t="n">
        <v>0.4</v>
      </c>
      <c r="P87" s="8" t="n">
        <v>0.4</v>
      </c>
      <c r="Q87" s="8" t="n">
        <v>0.53</v>
      </c>
      <c r="R87" t="inlineStr">
        <is>
          <t>67%/2/3</t>
        </is>
      </c>
      <c r="S87" t="n">
        <v>-1</v>
      </c>
      <c r="T87">
        <f>INDEX(Calc!$G$2:$G$124,MATCH($W87,Calc!$A$2:$A$124,0))&amp;" / "&amp;INDEX(Calc!$H$2:$H$124,MATCH($W87,Calc!$A$2:$A$124,0))</f>
        <v/>
      </c>
      <c r="U87">
        <f>TEXT(INDEX(Calc!$J$2:$J$124,MATCH($W87,Calc!$A$2:$A$124,0)),"0.0")&amp;" / "&amp;TEXT(INDEX(Calc!$K$2:$K$124,MATCH($W87,Calc!$A$2:$A$124,0)),"0.0")</f>
        <v/>
      </c>
      <c r="V87">
        <f>IFERROR(INDEX(Calc!$AQ$2:$AQ$124,MATCH($W87,Calc!$A$2:$A$124,0)),"")</f>
        <v/>
      </c>
      <c r="W87" t="inlineStr">
        <is>
          <t>u2qbkafgxd78s8o|CS2 · FORZE.R vs ex-RUSTEC</t>
        </is>
      </c>
      <c r="X87" t="inlineStr">
        <is>
          <t>K12</t>
        </is>
      </c>
      <c r="Y87">
        <f>W87&amp;"|"&amp;X87</f>
        <v/>
      </c>
      <c r="Z87" s="9">
        <f>IFERROR(INDEX(CHOOSE(MATCH($X87,{"K1","K2","K3","K12","K13","H1","H2","H3","H12","H13"},0),Calc!$BA$2:$BA$124,Calc!$BB$2:$BB$124,Calc!$BC$2:$BC$124,Calc!$BD$2:$BD$124,Calc!$BE$2:$BE$124,Calc!$BF$2:$BF$124,Calc!$BG$2:$BG$124,Calc!$BH$2:$BH$124,Calc!$BI$2:$BI$124,Calc!$BJ$2:$BJ$124),MATCH($W87,Calc!$A$2:$A$124,0)),"")</f>
        <v/>
      </c>
      <c r="AA87" s="9">
        <f>IF(Z87="","",IF(LEFT($X87,1)="H",SQRT(Z87*(IFERROR(INDEX(Calc!$AP$2:$AP$124,MATCH($W87,Calc!$A$2:$A$124,0)),0.5)*Config!$B$5+1-IFERROR(INDEX(Calc!$AP$2:$AP$124,MATCH($W87,Calc!$A$2:$A$124,0)),0.5))),SQRT(Z87*Config!$B$5)))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FORZE.R vs ex-RUSTEC</t>
        </is>
      </c>
      <c r="C88" t="inlineStr">
        <is>
          <t>Brilliance</t>
        </is>
      </c>
      <c r="D88" t="inlineStr">
        <is>
          <t>ex-RUSTEC</t>
        </is>
      </c>
      <c r="E88" t="inlineStr">
        <is>
          <t>Maps 1-2 HS</t>
        </is>
      </c>
      <c r="F88" t="n">
        <v>14.5</v>
      </c>
      <c r="G88" s="9">
        <f>IFERROR(INDEX(CHOOSE(MATCH($X88,{"K1","K2","K3","K12","K13","H1","H2","H3","H12","H13"},0),Calc!$V$2:$V$124,Calc!$AC$2:$AC$124,Calc!$AJ$2:$AJ$124,Calc!$AL$2:$AL$124,Calc!$AM$2:$AM$124,Calc!$W$2:$W$124,Calc!$AD$2:$AD$124,Calc!$AK$2:$AK$124,Calc!$AN$2:$AN$124,Calc!$AO$2:$AO$124),MATCH($W88,Calc!$A$2:$A$124,0)),"")</f>
        <v/>
      </c>
      <c r="H88" s="9">
        <f>IF(G88="","",IF(LEFT($X88,1)="H",SQRT(G88*(IFERROR(INDEX(Calc!$AP$2:$AP$124,MATCH($W88,Calc!$A$2:$A$124,0)),0.5)*Config!$B$5+1-IFERROR(INDEX(Calc!$AP$2:$AP$124,MATCH($W88,Calc!$A$2:$A$124,0)),0.5))),SQRT(G88*Config!$B$5)))</f>
        <v/>
      </c>
      <c r="I88" s="8">
        <f>IF(OR(F88="",G88="",N(H88)&lt;=0),"",1-NORMDIST(FLOOR(F88,1)+0.5,G88,H88,TRUE))</f>
        <v/>
      </c>
      <c r="J88" s="8">
        <f>IF(I88="","",NORMDIST(CEILING(F88,1)-0.5,G88,H88,TRUE))</f>
        <v/>
      </c>
      <c r="K88" s="8">
        <f>IF(I88="","",MAX(0,1-I88-J88))</f>
        <v/>
      </c>
      <c r="L88">
        <f>IF(I88="","",IF(I88&gt;=0.5+Config!$B$6,"OVER",IF(J88&gt;=0.5+Config!$B$6,"UNDER","—")))</f>
        <v/>
      </c>
      <c r="N88" t="n">
        <v>13.9</v>
      </c>
      <c r="O88" s="8" t="n">
        <v>0.2</v>
      </c>
      <c r="P88" s="8" t="n">
        <v>0.4</v>
      </c>
      <c r="Q88" s="8" t="n">
        <v>0.53</v>
      </c>
      <c r="R88" t="inlineStr">
        <is>
          <t>0%/0/3</t>
        </is>
      </c>
      <c r="S88" t="n">
        <v>-1</v>
      </c>
      <c r="T88">
        <f>INDEX(Calc!$G$2:$G$124,MATCH($W88,Calc!$A$2:$A$124,0))&amp;" / "&amp;INDEX(Calc!$H$2:$H$124,MATCH($W88,Calc!$A$2:$A$124,0))</f>
        <v/>
      </c>
      <c r="U88">
        <f>TEXT(INDEX(Calc!$J$2:$J$124,MATCH($W88,Calc!$A$2:$A$124,0)),"0.0")&amp;" / "&amp;TEXT(INDEX(Calc!$K$2:$K$124,MATCH($W88,Calc!$A$2:$A$124,0)),"0.0")</f>
        <v/>
      </c>
      <c r="V88">
        <f>IFERROR(INDEX(Calc!$AQ$2:$AQ$124,MATCH($W88,Calc!$A$2:$A$124,0)),"")</f>
        <v/>
      </c>
      <c r="W88" t="inlineStr">
        <is>
          <t>ib0ui40iou8m5h8|CS2 · FORZE.R vs ex-RUSTEC</t>
        </is>
      </c>
      <c r="X88" t="inlineStr">
        <is>
          <t>H12</t>
        </is>
      </c>
      <c r="Y88">
        <f>W88&amp;"|"&amp;X88</f>
        <v/>
      </c>
      <c r="Z88" s="9">
        <f>IFERROR(INDEX(CHOOSE(MATCH($X88,{"K1","K2","K3","K12","K13","H1","H2","H3","H12","H13"},0),Calc!$BA$2:$BA$124,Calc!$BB$2:$BB$124,Calc!$BC$2:$BC$124,Calc!$BD$2:$BD$124,Calc!$BE$2:$BE$124,Calc!$BF$2:$BF$124,Calc!$BG$2:$BG$124,Calc!$BH$2:$BH$124,Calc!$BI$2:$BI$124,Calc!$BJ$2:$BJ$124),MATCH($W88,Calc!$A$2:$A$124,0)),"")</f>
        <v/>
      </c>
      <c r="AA88" s="9">
        <f>IF(Z88="","",IF(LEFT($X88,1)="H",SQRT(Z88*(IFERROR(INDEX(Calc!$AP$2:$AP$124,MATCH($W88,Calc!$A$2:$A$124,0)),0.5)*Config!$B$5+1-IFERROR(INDEX(Calc!$AP$2:$AP$124,MATCH($W88,Calc!$A$2:$A$124,0)),0.5))),SQRT(Z88*Config!$B$5)))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FORZE.R vs ex-RUSTEC</t>
        </is>
      </c>
      <c r="C89" t="inlineStr">
        <is>
          <t>Brilliance</t>
        </is>
      </c>
      <c r="D89" t="inlineStr">
        <is>
          <t>ex-RUSTEC</t>
        </is>
      </c>
      <c r="E89" t="inlineStr">
        <is>
          <t>Maps 1-2 Kills</t>
        </is>
      </c>
      <c r="F89" t="n">
        <v>25.5</v>
      </c>
      <c r="G89" s="9">
        <f>IFERROR(INDEX(CHOOSE(MATCH($X89,{"K1","K2","K3","K12","K13","H1","H2","H3","H12","H13"},0),Calc!$V$2:$V$124,Calc!$AC$2:$AC$124,Calc!$AJ$2:$AJ$124,Calc!$AL$2:$AL$124,Calc!$AM$2:$AM$124,Calc!$W$2:$W$124,Calc!$AD$2:$AD$124,Calc!$AK$2:$AK$124,Calc!$AN$2:$AN$124,Calc!$AO$2:$AO$124),MATCH($W89,Calc!$A$2:$A$124,0)),"")</f>
        <v/>
      </c>
      <c r="H89" s="9">
        <f>IF(G89="","",IF(LEFT($X89,1)="H",SQRT(G89*(IFERROR(INDEX(Calc!$AP$2:$AP$124,MATCH($W89,Calc!$A$2:$A$124,0)),0.5)*Config!$B$5+1-IFERROR(INDEX(Calc!$AP$2:$AP$124,MATCH($W89,Calc!$A$2:$A$124,0)),0.5))),SQRT(G89*Config!$B$5)))</f>
        <v/>
      </c>
      <c r="I89" s="8">
        <f>IF(OR(F89="",G89="",N(H89)&lt;=0),"",1-NORMDIST(FLOOR(F89,1)+0.5,G89,H89,TRUE))</f>
        <v/>
      </c>
      <c r="J89" s="8">
        <f>IF(I89="","",NORMDIST(CEILING(F89,1)-0.5,G89,H89,TRUE))</f>
        <v/>
      </c>
      <c r="K89" s="8">
        <f>IF(I89="","",MAX(0,1-I89-J89))</f>
        <v/>
      </c>
      <c r="L89">
        <f>IF(I89="","",IF(I89&gt;=0.5+Config!$B$6,"OVER",IF(J89&gt;=0.5+Config!$B$6,"UNDER","—")))</f>
        <v/>
      </c>
      <c r="N89" t="n">
        <v>24.2</v>
      </c>
      <c r="O89" s="8" t="n">
        <v>0.2</v>
      </c>
      <c r="P89" s="8" t="n">
        <v>0.4</v>
      </c>
      <c r="Q89" s="8" t="n">
        <v>0.4</v>
      </c>
      <c r="R89" t="inlineStr">
        <is>
          <t>33%/1/3</t>
        </is>
      </c>
      <c r="S89" t="n">
        <v>-1</v>
      </c>
      <c r="T89">
        <f>INDEX(Calc!$G$2:$G$124,MATCH($W89,Calc!$A$2:$A$124,0))&amp;" / "&amp;INDEX(Calc!$H$2:$H$124,MATCH($W89,Calc!$A$2:$A$124,0))</f>
        <v/>
      </c>
      <c r="U89">
        <f>TEXT(INDEX(Calc!$J$2:$J$124,MATCH($W89,Calc!$A$2:$A$124,0)),"0.0")&amp;" / "&amp;TEXT(INDEX(Calc!$K$2:$K$124,MATCH($W89,Calc!$A$2:$A$124,0)),"0.0")</f>
        <v/>
      </c>
      <c r="V89">
        <f>IFERROR(INDEX(Calc!$AQ$2:$AQ$124,MATCH($W89,Calc!$A$2:$A$124,0)),"")</f>
        <v/>
      </c>
      <c r="W89" t="inlineStr">
        <is>
          <t>ib0ui40iou8m5h8|CS2 · FORZE.R vs ex-RUSTEC</t>
        </is>
      </c>
      <c r="X89" t="inlineStr">
        <is>
          <t>K12</t>
        </is>
      </c>
      <c r="Y89">
        <f>W89&amp;"|"&amp;X89</f>
        <v/>
      </c>
      <c r="Z89" s="9">
        <f>IFERROR(INDEX(CHOOSE(MATCH($X89,{"K1","K2","K3","K12","K13","H1","H2","H3","H12","H13"},0),Calc!$BA$2:$BA$124,Calc!$BB$2:$BB$124,Calc!$BC$2:$BC$124,Calc!$BD$2:$BD$124,Calc!$BE$2:$BE$124,Calc!$BF$2:$BF$124,Calc!$BG$2:$BG$124,Calc!$BH$2:$BH$124,Calc!$BI$2:$BI$124,Calc!$BJ$2:$BJ$124),MATCH($W89,Calc!$A$2:$A$124,0)),"")</f>
        <v/>
      </c>
      <c r="AA89" s="9">
        <f>IF(Z89="","",IF(LEFT($X89,1)="H",SQRT(Z89*(IFERROR(INDEX(Calc!$AP$2:$AP$124,MATCH($W89,Calc!$A$2:$A$124,0)),0.5)*Config!$B$5+1-IFERROR(INDEX(Calc!$AP$2:$AP$124,MATCH($W89,Calc!$A$2:$A$124,0)),0.5))),SQRT(Z89*Config!$B$5)))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FORZE.R vs ex-RUSTEC</t>
        </is>
      </c>
      <c r="C90" t="inlineStr">
        <is>
          <t>jakekeS</t>
        </is>
      </c>
      <c r="D90" t="inlineStr">
        <is>
          <t>ex-RUSTEC</t>
        </is>
      </c>
      <c r="E90" t="inlineStr">
        <is>
          <t>Maps 1-2 HS</t>
        </is>
      </c>
      <c r="F90" t="n">
        <v>14.5</v>
      </c>
      <c r="G90" s="9">
        <f>IFERROR(INDEX(CHOOSE(MATCH($X90,{"K1","K2","K3","K12","K13","H1","H2","H3","H12","H13"},0),Calc!$V$2:$V$124,Calc!$AC$2:$AC$124,Calc!$AJ$2:$AJ$124,Calc!$AL$2:$AL$124,Calc!$AM$2:$AM$124,Calc!$W$2:$W$124,Calc!$AD$2:$AD$124,Calc!$AK$2:$AK$124,Calc!$AN$2:$AN$124,Calc!$AO$2:$AO$124),MATCH($W90,Calc!$A$2:$A$124,0)),"")</f>
        <v/>
      </c>
      <c r="H90" s="9">
        <f>IF(G90="","",IF(LEFT($X90,1)="H",SQRT(G90*(IFERROR(INDEX(Calc!$AP$2:$AP$124,MATCH($W90,Calc!$A$2:$A$124,0)),0.5)*Config!$B$5+1-IFERROR(INDEX(Calc!$AP$2:$AP$124,MATCH($W90,Calc!$A$2:$A$124,0)),0.5))),SQRT(G90*Config!$B$5)))</f>
        <v/>
      </c>
      <c r="I90" s="8">
        <f>IF(OR(F90="",G90="",N(H90)&lt;=0),"",1-NORMDIST(FLOOR(F90,1)+0.5,G90,H90,TRUE))</f>
        <v/>
      </c>
      <c r="J90" s="8">
        <f>IF(I90="","",NORMDIST(CEILING(F90,1)-0.5,G90,H90,TRUE))</f>
        <v/>
      </c>
      <c r="K90" s="8">
        <f>IF(I90="","",MAX(0,1-I90-J90))</f>
        <v/>
      </c>
      <c r="L90">
        <f>IF(I90="","",IF(I90&gt;=0.5+Config!$B$6,"OVER",IF(J90&gt;=0.5+Config!$B$6,"UNDER","—")))</f>
        <v/>
      </c>
      <c r="N90" t="n">
        <v>13</v>
      </c>
      <c r="O90" s="8" t="n">
        <v>0.4</v>
      </c>
      <c r="P90" s="8" t="n">
        <v>0.4</v>
      </c>
      <c r="Q90" s="8" t="n">
        <v>0.53</v>
      </c>
      <c r="R90" t="inlineStr">
        <is>
          <t>25%/1/4</t>
        </is>
      </c>
      <c r="S90" t="n">
        <v>-2</v>
      </c>
      <c r="T90">
        <f>INDEX(Calc!$G$2:$G$124,MATCH($W90,Calc!$A$2:$A$124,0))&amp;" / "&amp;INDEX(Calc!$H$2:$H$124,MATCH($W90,Calc!$A$2:$A$124,0))</f>
        <v/>
      </c>
      <c r="U90">
        <f>TEXT(INDEX(Calc!$J$2:$J$124,MATCH($W90,Calc!$A$2:$A$124,0)),"0.0")&amp;" / "&amp;TEXT(INDEX(Calc!$K$2:$K$124,MATCH($W90,Calc!$A$2:$A$124,0)),"0.0")</f>
        <v/>
      </c>
      <c r="V90">
        <f>IFERROR(INDEX(Calc!$AQ$2:$AQ$124,MATCH($W90,Calc!$A$2:$A$124,0)),"")</f>
        <v/>
      </c>
      <c r="W90" t="inlineStr">
        <is>
          <t>5efm2s88qbsnvv0|CS2 · FORZE.R vs ex-RUSTEC</t>
        </is>
      </c>
      <c r="X90" t="inlineStr">
        <is>
          <t>H12</t>
        </is>
      </c>
      <c r="Y90">
        <f>W90&amp;"|"&amp;X90</f>
        <v/>
      </c>
      <c r="Z90" s="9">
        <f>IFERROR(INDEX(CHOOSE(MATCH($X90,{"K1","K2","K3","K12","K13","H1","H2","H3","H12","H13"},0),Calc!$BA$2:$BA$124,Calc!$BB$2:$BB$124,Calc!$BC$2:$BC$124,Calc!$BD$2:$BD$124,Calc!$BE$2:$BE$124,Calc!$BF$2:$BF$124,Calc!$BG$2:$BG$124,Calc!$BH$2:$BH$124,Calc!$BI$2:$BI$124,Calc!$BJ$2:$BJ$124),MATCH($W90,Calc!$A$2:$A$124,0)),"")</f>
        <v/>
      </c>
      <c r="AA90" s="9">
        <f>IF(Z90="","",IF(LEFT($X90,1)="H",SQRT(Z90*(IFERROR(INDEX(Calc!$AP$2:$AP$124,MATCH($W90,Calc!$A$2:$A$124,0)),0.5)*Config!$B$5+1-IFERROR(INDEX(Calc!$AP$2:$AP$124,MATCH($W90,Calc!$A$2:$A$124,0)),0.5))),SQRT(Z90*Config!$B$5)))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FORZE.R vs ex-RUSTEC</t>
        </is>
      </c>
      <c r="C91" t="inlineStr">
        <is>
          <t>jakekeS</t>
        </is>
      </c>
      <c r="D91" t="inlineStr">
        <is>
          <t>ex-RUSTEC</t>
        </is>
      </c>
      <c r="E91" t="inlineStr">
        <is>
          <t>Maps 1-2 Kills</t>
        </is>
      </c>
      <c r="F91" t="n">
        <v>26.5</v>
      </c>
      <c r="G91" s="9">
        <f>IFERROR(INDEX(CHOOSE(MATCH($X91,{"K1","K2","K3","K12","K13","H1","H2","H3","H12","H13"},0),Calc!$V$2:$V$124,Calc!$AC$2:$AC$124,Calc!$AJ$2:$AJ$124,Calc!$AL$2:$AL$124,Calc!$AM$2:$AM$124,Calc!$W$2:$W$124,Calc!$AD$2:$AD$124,Calc!$AK$2:$AK$124,Calc!$AN$2:$AN$124,Calc!$AO$2:$AO$124),MATCH($W91,Calc!$A$2:$A$124,0)),"")</f>
        <v/>
      </c>
      <c r="H91" s="9">
        <f>IF(G91="","",IF(LEFT($X91,1)="H",SQRT(G91*(IFERROR(INDEX(Calc!$AP$2:$AP$124,MATCH($W91,Calc!$A$2:$A$124,0)),0.5)*Config!$B$5+1-IFERROR(INDEX(Calc!$AP$2:$AP$124,MATCH($W91,Calc!$A$2:$A$124,0)),0.5))),SQRT(G91*Config!$B$5)))</f>
        <v/>
      </c>
      <c r="I91" s="8">
        <f>IF(OR(F91="",G91="",N(H91)&lt;=0),"",1-NORMDIST(FLOOR(F91,1)+0.5,G91,H91,TRUE))</f>
        <v/>
      </c>
      <c r="J91" s="8">
        <f>IF(I91="","",NORMDIST(CEILING(F91,1)-0.5,G91,H91,TRUE))</f>
        <v/>
      </c>
      <c r="K91" s="8">
        <f>IF(I91="","",MAX(0,1-I91-J91))</f>
        <v/>
      </c>
      <c r="L91">
        <f>IF(I91="","",IF(I91&gt;=0.5+Config!$B$6,"OVER",IF(J91&gt;=0.5+Config!$B$6,"UNDER","—")))</f>
        <v/>
      </c>
      <c r="N91" t="n">
        <v>24.5</v>
      </c>
      <c r="O91" s="8" t="n">
        <v>0.6</v>
      </c>
      <c r="P91" s="8" t="n">
        <v>0.4</v>
      </c>
      <c r="Q91" s="8" t="n">
        <v>0.53</v>
      </c>
      <c r="R91" t="inlineStr">
        <is>
          <t>25%/1/4</t>
        </is>
      </c>
      <c r="S91" t="n">
        <v>1</v>
      </c>
      <c r="T91">
        <f>INDEX(Calc!$G$2:$G$124,MATCH($W91,Calc!$A$2:$A$124,0))&amp;" / "&amp;INDEX(Calc!$H$2:$H$124,MATCH($W91,Calc!$A$2:$A$124,0))</f>
        <v/>
      </c>
      <c r="U91">
        <f>TEXT(INDEX(Calc!$J$2:$J$124,MATCH($W91,Calc!$A$2:$A$124,0)),"0.0")&amp;" / "&amp;TEXT(INDEX(Calc!$K$2:$K$124,MATCH($W91,Calc!$A$2:$A$124,0)),"0.0")</f>
        <v/>
      </c>
      <c r="V91">
        <f>IFERROR(INDEX(Calc!$AQ$2:$AQ$124,MATCH($W91,Calc!$A$2:$A$124,0)),"")</f>
        <v/>
      </c>
      <c r="W91" t="inlineStr">
        <is>
          <t>5efm2s88qbsnvv0|CS2 · FORZE.R vs ex-RUSTEC</t>
        </is>
      </c>
      <c r="X91" t="inlineStr">
        <is>
          <t>K12</t>
        </is>
      </c>
      <c r="Y91">
        <f>W91&amp;"|"&amp;X91</f>
        <v/>
      </c>
      <c r="Z91" s="9">
        <f>IFERROR(INDEX(CHOOSE(MATCH($X91,{"K1","K2","K3","K12","K13","H1","H2","H3","H12","H13"},0),Calc!$BA$2:$BA$124,Calc!$BB$2:$BB$124,Calc!$BC$2:$BC$124,Calc!$BD$2:$BD$124,Calc!$BE$2:$BE$124,Calc!$BF$2:$BF$124,Calc!$BG$2:$BG$124,Calc!$BH$2:$BH$124,Calc!$BI$2:$BI$124,Calc!$BJ$2:$BJ$124),MATCH($W91,Calc!$A$2:$A$124,0)),"")</f>
        <v/>
      </c>
      <c r="AA91" s="9">
        <f>IF(Z91="","",IF(LEFT($X91,1)="H",SQRT(Z91*(IFERROR(INDEX(Calc!$AP$2:$AP$124,MATCH($W91,Calc!$A$2:$A$124,0)),0.5)*Config!$B$5+1-IFERROR(INDEX(Calc!$AP$2:$AP$124,MATCH($W91,Calc!$A$2:$A$124,0)),0.5))),SQRT(Z91*Config!$B$5)))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FORZE.R vs ex-RUSTEC</t>
        </is>
      </c>
      <c r="C92" t="inlineStr">
        <is>
          <t>yiksrezo</t>
        </is>
      </c>
      <c r="D92" t="inlineStr">
        <is>
          <t>ex-RUSTEC</t>
        </is>
      </c>
      <c r="E92" t="inlineStr">
        <is>
          <t>Maps 1-2 HS</t>
        </is>
      </c>
      <c r="F92" t="n">
        <v>20.5</v>
      </c>
      <c r="G92" s="9">
        <f>IFERROR(INDEX(CHOOSE(MATCH($X92,{"K1","K2","K3","K12","K13","H1","H2","H3","H12","H13"},0),Calc!$V$2:$V$124,Calc!$AC$2:$AC$124,Calc!$AJ$2:$AJ$124,Calc!$AL$2:$AL$124,Calc!$AM$2:$AM$124,Calc!$W$2:$W$124,Calc!$AD$2:$AD$124,Calc!$AK$2:$AK$124,Calc!$AN$2:$AN$124,Calc!$AO$2:$AO$124),MATCH($W92,Calc!$A$2:$A$124,0)),"")</f>
        <v/>
      </c>
      <c r="H92" s="9">
        <f>IF(G92="","",IF(LEFT($X92,1)="H",SQRT(G92*(IFERROR(INDEX(Calc!$AP$2:$AP$124,MATCH($W92,Calc!$A$2:$A$124,0)),0.5)*Config!$B$5+1-IFERROR(INDEX(Calc!$AP$2:$AP$124,MATCH($W92,Calc!$A$2:$A$124,0)),0.5))),SQRT(G92*Config!$B$5)))</f>
        <v/>
      </c>
      <c r="I92" s="8">
        <f>IF(OR(F92="",G92="",N(H92)&lt;=0),"",1-NORMDIST(FLOOR(F92,1)+0.5,G92,H92,TRUE))</f>
        <v/>
      </c>
      <c r="J92" s="8">
        <f>IF(I92="","",NORMDIST(CEILING(F92,1)-0.5,G92,H92,TRUE))</f>
        <v/>
      </c>
      <c r="K92" s="8">
        <f>IF(I92="","",MAX(0,1-I92-J92))</f>
        <v/>
      </c>
      <c r="L92">
        <f>IF(I92="","",IF(I92&gt;=0.5+Config!$B$6,"OVER",IF(J92&gt;=0.5+Config!$B$6,"UNDER","—")))</f>
        <v/>
      </c>
      <c r="N92" t="n">
        <v>23.2</v>
      </c>
      <c r="O92" s="8" t="n">
        <v>0.8</v>
      </c>
      <c r="P92" s="8" t="n">
        <v>0.6</v>
      </c>
      <c r="Q92" s="8" t="n">
        <v>0.53</v>
      </c>
      <c r="R92" t="inlineStr">
        <is>
          <t>50%/1/2</t>
        </is>
      </c>
      <c r="S92" t="n">
        <v>-1</v>
      </c>
      <c r="T92">
        <f>INDEX(Calc!$G$2:$G$124,MATCH($W92,Calc!$A$2:$A$124,0))&amp;" / "&amp;INDEX(Calc!$H$2:$H$124,MATCH($W92,Calc!$A$2:$A$124,0))</f>
        <v/>
      </c>
      <c r="U92">
        <f>TEXT(INDEX(Calc!$J$2:$J$124,MATCH($W92,Calc!$A$2:$A$124,0)),"0.0")&amp;" / "&amp;TEXT(INDEX(Calc!$K$2:$K$124,MATCH($W92,Calc!$A$2:$A$124,0)),"0.0")</f>
        <v/>
      </c>
      <c r="V92">
        <f>IFERROR(INDEX(Calc!$AQ$2:$AQ$124,MATCH($W92,Calc!$A$2:$A$124,0)),"")</f>
        <v/>
      </c>
      <c r="W92" t="inlineStr">
        <is>
          <t>dvwiagwt3fsxpwe|CS2 · FORZE.R vs ex-RUSTEC</t>
        </is>
      </c>
      <c r="X92" t="inlineStr">
        <is>
          <t>H12</t>
        </is>
      </c>
      <c r="Y92">
        <f>W92&amp;"|"&amp;X92</f>
        <v/>
      </c>
      <c r="Z92" s="9">
        <f>IFERROR(INDEX(CHOOSE(MATCH($X92,{"K1","K2","K3","K12","K13","H1","H2","H3","H12","H13"},0),Calc!$BA$2:$BA$124,Calc!$BB$2:$BB$124,Calc!$BC$2:$BC$124,Calc!$BD$2:$BD$124,Calc!$BE$2:$BE$124,Calc!$BF$2:$BF$124,Calc!$BG$2:$BG$124,Calc!$BH$2:$BH$124,Calc!$BI$2:$BI$124,Calc!$BJ$2:$BJ$124),MATCH($W92,Calc!$A$2:$A$124,0)),"")</f>
        <v/>
      </c>
      <c r="AA92" s="9">
        <f>IF(Z92="","",IF(LEFT($X92,1)="H",SQRT(Z92*(IFERROR(INDEX(Calc!$AP$2:$AP$124,MATCH($W92,Calc!$A$2:$A$124,0)),0.5)*Config!$B$5+1-IFERROR(INDEX(Calc!$AP$2:$AP$124,MATCH($W92,Calc!$A$2:$A$124,0)),0.5))),SQRT(Z92*Config!$B$5)))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FORZE.R vs ex-RUSTEC</t>
        </is>
      </c>
      <c r="C93" t="inlineStr">
        <is>
          <t>yiksrezo</t>
        </is>
      </c>
      <c r="D93" t="inlineStr">
        <is>
          <t>ex-RUSTEC</t>
        </is>
      </c>
      <c r="E93" t="inlineStr">
        <is>
          <t>Maps 1-2 Kills</t>
        </is>
      </c>
      <c r="F93" t="n">
        <v>31.5</v>
      </c>
      <c r="G93" s="9">
        <f>IFERROR(INDEX(CHOOSE(MATCH($X93,{"K1","K2","K3","K12","K13","H1","H2","H3","H12","H13"},0),Calc!$V$2:$V$124,Calc!$AC$2:$AC$124,Calc!$AJ$2:$AJ$124,Calc!$AL$2:$AL$124,Calc!$AM$2:$AM$124,Calc!$W$2:$W$124,Calc!$AD$2:$AD$124,Calc!$AK$2:$AK$124,Calc!$AN$2:$AN$124,Calc!$AO$2:$AO$124),MATCH($W93,Calc!$A$2:$A$124,0)),"")</f>
        <v/>
      </c>
      <c r="H93" s="9">
        <f>IF(G93="","",IF(LEFT($X93,1)="H",SQRT(G93*(IFERROR(INDEX(Calc!$AP$2:$AP$124,MATCH($W93,Calc!$A$2:$A$124,0)),0.5)*Config!$B$5+1-IFERROR(INDEX(Calc!$AP$2:$AP$124,MATCH($W93,Calc!$A$2:$A$124,0)),0.5))),SQRT(G93*Config!$B$5)))</f>
        <v/>
      </c>
      <c r="I93" s="8">
        <f>IF(OR(F93="",G93="",N(H93)&lt;=0),"",1-NORMDIST(FLOOR(F93,1)+0.5,G93,H93,TRUE))</f>
        <v/>
      </c>
      <c r="J93" s="8">
        <f>IF(I93="","",NORMDIST(CEILING(F93,1)-0.5,G93,H93,TRUE))</f>
        <v/>
      </c>
      <c r="K93" s="8">
        <f>IF(I93="","",MAX(0,1-I93-J93))</f>
        <v/>
      </c>
      <c r="L93">
        <f>IF(I93="","",IF(I93&gt;=0.5+Config!$B$6,"OVER",IF(J93&gt;=0.5+Config!$B$6,"UNDER","—")))</f>
        <v/>
      </c>
      <c r="N93" t="n">
        <v>35.4</v>
      </c>
      <c r="O93" s="8" t="n">
        <v>0.8</v>
      </c>
      <c r="P93" s="8" t="n">
        <v>0.7</v>
      </c>
      <c r="Q93" s="8" t="n">
        <v>0.53</v>
      </c>
      <c r="R93" t="inlineStr">
        <is>
          <t>0%/0/2</t>
        </is>
      </c>
      <c r="S93" t="n">
        <v>-1</v>
      </c>
      <c r="T93">
        <f>INDEX(Calc!$G$2:$G$124,MATCH($W93,Calc!$A$2:$A$124,0))&amp;" / "&amp;INDEX(Calc!$H$2:$H$124,MATCH($W93,Calc!$A$2:$A$124,0))</f>
        <v/>
      </c>
      <c r="U93">
        <f>TEXT(INDEX(Calc!$J$2:$J$124,MATCH($W93,Calc!$A$2:$A$124,0)),"0.0")&amp;" / "&amp;TEXT(INDEX(Calc!$K$2:$K$124,MATCH($W93,Calc!$A$2:$A$124,0)),"0.0")</f>
        <v/>
      </c>
      <c r="V93">
        <f>IFERROR(INDEX(Calc!$AQ$2:$AQ$124,MATCH($W93,Calc!$A$2:$A$124,0)),"")</f>
        <v/>
      </c>
      <c r="W93" t="inlineStr">
        <is>
          <t>dvwiagwt3fsxpwe|CS2 · FORZE.R vs ex-RUSTEC</t>
        </is>
      </c>
      <c r="X93" t="inlineStr">
        <is>
          <t>K12</t>
        </is>
      </c>
      <c r="Y93">
        <f>W93&amp;"|"&amp;X93</f>
        <v/>
      </c>
      <c r="Z93" s="9">
        <f>IFERROR(INDEX(CHOOSE(MATCH($X93,{"K1","K2","K3","K12","K13","H1","H2","H3","H12","H13"},0),Calc!$BA$2:$BA$124,Calc!$BB$2:$BB$124,Calc!$BC$2:$BC$124,Calc!$BD$2:$BD$124,Calc!$BE$2:$BE$124,Calc!$BF$2:$BF$124,Calc!$BG$2:$BG$124,Calc!$BH$2:$BH$124,Calc!$BI$2:$BI$124,Calc!$BJ$2:$BJ$124),MATCH($W93,Calc!$A$2:$A$124,0)),"")</f>
        <v/>
      </c>
      <c r="AA93" s="9">
        <f>IF(Z93="","",IF(LEFT($X93,1)="H",SQRT(Z93*(IFERROR(INDEX(Calc!$AP$2:$AP$124,MATCH($W93,Calc!$A$2:$A$124,0)),0.5)*Config!$B$5+1-IFERROR(INDEX(Calc!$AP$2:$AP$124,MATCH($W93,Calc!$A$2:$A$124,0)),0.5))),SQRT(Z93*Config!$B$5)))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FORZE.R vs ex-RUSTEC</t>
        </is>
      </c>
      <c r="C94" t="inlineStr">
        <is>
          <t>youka</t>
        </is>
      </c>
      <c r="D94" t="inlineStr">
        <is>
          <t>ex-RUSTEC</t>
        </is>
      </c>
      <c r="E94" t="inlineStr">
        <is>
          <t>Maps 1-2 HS</t>
        </is>
      </c>
      <c r="F94" t="n">
        <v>11</v>
      </c>
      <c r="G94" s="9">
        <f>IFERROR(INDEX(CHOOSE(MATCH($X94,{"K1","K2","K3","K12","K13","H1","H2","H3","H12","H13"},0),Calc!$V$2:$V$124,Calc!$AC$2:$AC$124,Calc!$AJ$2:$AJ$124,Calc!$AL$2:$AL$124,Calc!$AM$2:$AM$124,Calc!$W$2:$W$124,Calc!$AD$2:$AD$124,Calc!$AK$2:$AK$124,Calc!$AN$2:$AN$124,Calc!$AO$2:$AO$124),MATCH($W94,Calc!$A$2:$A$124,0)),"")</f>
        <v/>
      </c>
      <c r="H94" s="9">
        <f>IF(G94="","",IF(LEFT($X94,1)="H",SQRT(G94*(IFERROR(INDEX(Calc!$AP$2:$AP$124,MATCH($W94,Calc!$A$2:$A$124,0)),0.5)*Config!$B$5+1-IFERROR(INDEX(Calc!$AP$2:$AP$124,MATCH($W94,Calc!$A$2:$A$124,0)),0.5))),SQRT(G94*Config!$B$5)))</f>
        <v/>
      </c>
      <c r="I94" s="8">
        <f>IF(OR(F94="",G94="",N(H94)&lt;=0),"",1-NORMDIST(FLOOR(F94,1)+0.5,G94,H94,TRUE))</f>
        <v/>
      </c>
      <c r="J94" s="8">
        <f>IF(I94="","",NORMDIST(CEILING(F94,1)-0.5,G94,H94,TRUE))</f>
        <v/>
      </c>
      <c r="K94" s="8">
        <f>IF(I94="","",MAX(0,1-I94-J94))</f>
        <v/>
      </c>
      <c r="L94">
        <f>IF(I94="","",IF(I94&gt;=0.5+Config!$B$6,"OVER",IF(J94&gt;=0.5+Config!$B$6,"UNDER","—")))</f>
        <v/>
      </c>
      <c r="N94" t="n">
        <v>12.4</v>
      </c>
      <c r="O94" s="8" t="n">
        <v>0.4</v>
      </c>
      <c r="P94" s="8" t="n">
        <v>0.6</v>
      </c>
      <c r="Q94" s="8" t="n">
        <v>0.6</v>
      </c>
      <c r="R94" t="inlineStr">
        <is>
          <t>100%/2/2</t>
        </is>
      </c>
      <c r="S94" t="n">
        <v>2</v>
      </c>
      <c r="T94">
        <f>INDEX(Calc!$G$2:$G$124,MATCH($W94,Calc!$A$2:$A$124,0))&amp;" / "&amp;INDEX(Calc!$H$2:$H$124,MATCH($W94,Calc!$A$2:$A$124,0))</f>
        <v/>
      </c>
      <c r="U94">
        <f>TEXT(INDEX(Calc!$J$2:$J$124,MATCH($W94,Calc!$A$2:$A$124,0)),"0.0")&amp;" / "&amp;TEXT(INDEX(Calc!$K$2:$K$124,MATCH($W94,Calc!$A$2:$A$124,0)),"0.0")</f>
        <v/>
      </c>
      <c r="V94">
        <f>IFERROR(INDEX(Calc!$AQ$2:$AQ$124,MATCH($W94,Calc!$A$2:$A$124,0)),"")</f>
        <v/>
      </c>
      <c r="W94" t="inlineStr">
        <is>
          <t>41ry45brll61gbm|CS2 · FORZE.R vs ex-RUSTEC</t>
        </is>
      </c>
      <c r="X94" t="inlineStr">
        <is>
          <t>H12</t>
        </is>
      </c>
      <c r="Y94">
        <f>W94&amp;"|"&amp;X94</f>
        <v/>
      </c>
      <c r="Z94" s="9">
        <f>IFERROR(INDEX(CHOOSE(MATCH($X94,{"K1","K2","K3","K12","K13","H1","H2","H3","H12","H13"},0),Calc!$BA$2:$BA$124,Calc!$BB$2:$BB$124,Calc!$BC$2:$BC$124,Calc!$BD$2:$BD$124,Calc!$BE$2:$BE$124,Calc!$BF$2:$BF$124,Calc!$BG$2:$BG$124,Calc!$BH$2:$BH$124,Calc!$BI$2:$BI$124,Calc!$BJ$2:$BJ$124),MATCH($W94,Calc!$A$2:$A$124,0)),"")</f>
        <v/>
      </c>
      <c r="AA94" s="9">
        <f>IF(Z94="","",IF(LEFT($X94,1)="H",SQRT(Z94*(IFERROR(INDEX(Calc!$AP$2:$AP$124,MATCH($W94,Calc!$A$2:$A$124,0)),0.5)*Config!$B$5+1-IFERROR(INDEX(Calc!$AP$2:$AP$124,MATCH($W94,Calc!$A$2:$A$124,0)),0.5))),SQRT(Z94*Config!$B$5)))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FORZE.R vs ex-RUSTEC</t>
        </is>
      </c>
      <c r="C95" t="inlineStr">
        <is>
          <t>youka</t>
        </is>
      </c>
      <c r="D95" t="inlineStr">
        <is>
          <t>ex-RUSTEC</t>
        </is>
      </c>
      <c r="E95" t="inlineStr">
        <is>
          <t>Maps 1-2 Kills</t>
        </is>
      </c>
      <c r="F95" t="n">
        <v>30.5</v>
      </c>
      <c r="G95" s="9">
        <f>IFERROR(INDEX(CHOOSE(MATCH($X95,{"K1","K2","K3","K12","K13","H1","H2","H3","H12","H13"},0),Calc!$V$2:$V$124,Calc!$AC$2:$AC$124,Calc!$AJ$2:$AJ$124,Calc!$AL$2:$AL$124,Calc!$AM$2:$AM$124,Calc!$W$2:$W$124,Calc!$AD$2:$AD$124,Calc!$AK$2:$AK$124,Calc!$AN$2:$AN$124,Calc!$AO$2:$AO$124),MATCH($W95,Calc!$A$2:$A$124,0)),"")</f>
        <v/>
      </c>
      <c r="H95" s="9">
        <f>IF(G95="","",IF(LEFT($X95,1)="H",SQRT(G95*(IFERROR(INDEX(Calc!$AP$2:$AP$124,MATCH($W95,Calc!$A$2:$A$124,0)),0.5)*Config!$B$5+1-IFERROR(INDEX(Calc!$AP$2:$AP$124,MATCH($W95,Calc!$A$2:$A$124,0)),0.5))),SQRT(G95*Config!$B$5)))</f>
        <v/>
      </c>
      <c r="I95" s="8">
        <f>IF(OR(F95="",G95="",N(H95)&lt;=0),"",1-NORMDIST(FLOOR(F95,1)+0.5,G95,H95,TRUE))</f>
        <v/>
      </c>
      <c r="J95" s="8">
        <f>IF(I95="","",NORMDIST(CEILING(F95,1)-0.5,G95,H95,TRUE))</f>
        <v/>
      </c>
      <c r="K95" s="8">
        <f>IF(I95="","",MAX(0,1-I95-J95))</f>
        <v/>
      </c>
      <c r="L95">
        <f>IF(I95="","",IF(I95&gt;=0.5+Config!$B$6,"OVER",IF(J95&gt;=0.5+Config!$B$6,"UNDER","—")))</f>
        <v/>
      </c>
      <c r="N95" t="n">
        <v>27.6</v>
      </c>
      <c r="O95" s="8" t="n">
        <v>0.4</v>
      </c>
      <c r="P95" s="8" t="n">
        <v>0.5</v>
      </c>
      <c r="Q95" s="8" t="n">
        <v>0.53</v>
      </c>
      <c r="R95" t="inlineStr">
        <is>
          <t>0%/0/2</t>
        </is>
      </c>
      <c r="S95" t="n">
        <v>1</v>
      </c>
      <c r="T95">
        <f>INDEX(Calc!$G$2:$G$124,MATCH($W95,Calc!$A$2:$A$124,0))&amp;" / "&amp;INDEX(Calc!$H$2:$H$124,MATCH($W95,Calc!$A$2:$A$124,0))</f>
        <v/>
      </c>
      <c r="U95">
        <f>TEXT(INDEX(Calc!$J$2:$J$124,MATCH($W95,Calc!$A$2:$A$124,0)),"0.0")&amp;" / "&amp;TEXT(INDEX(Calc!$K$2:$K$124,MATCH($W95,Calc!$A$2:$A$124,0)),"0.0")</f>
        <v/>
      </c>
      <c r="V95">
        <f>IFERROR(INDEX(Calc!$AQ$2:$AQ$124,MATCH($W95,Calc!$A$2:$A$124,0)),"")</f>
        <v/>
      </c>
      <c r="W95" t="inlineStr">
        <is>
          <t>41ry45brll61gbm|CS2 · FORZE.R vs ex-RUSTEC</t>
        </is>
      </c>
      <c r="X95" t="inlineStr">
        <is>
          <t>K12</t>
        </is>
      </c>
      <c r="Y95">
        <f>W95&amp;"|"&amp;X95</f>
        <v/>
      </c>
      <c r="Z95" s="9">
        <f>IFERROR(INDEX(CHOOSE(MATCH($X95,{"K1","K2","K3","K12","K13","H1","H2","H3","H12","H13"},0),Calc!$BA$2:$BA$124,Calc!$BB$2:$BB$124,Calc!$BC$2:$BC$124,Calc!$BD$2:$BD$124,Calc!$BE$2:$BE$124,Calc!$BF$2:$BF$124,Calc!$BG$2:$BG$124,Calc!$BH$2:$BH$124,Calc!$BI$2:$BI$124,Calc!$BJ$2:$BJ$124),MATCH($W95,Calc!$A$2:$A$124,0)),"")</f>
        <v/>
      </c>
      <c r="AA95" s="9">
        <f>IF(Z95="","",IF(LEFT($X95,1)="H",SQRT(Z95*(IFERROR(INDEX(Calc!$AP$2:$AP$124,MATCH($W95,Calc!$A$2:$A$124,0)),0.5)*Config!$B$5+1-IFERROR(INDEX(Calc!$AP$2:$AP$124,MATCH($W95,Calc!$A$2:$A$124,0)),0.5))),SQRT(Z95*Config!$B$5)))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FURIA vs NAVI</t>
        </is>
      </c>
      <c r="C96" t="inlineStr">
        <is>
          <t>FalleN</t>
        </is>
      </c>
      <c r="D96" t="inlineStr">
        <is>
          <t>FURIA</t>
        </is>
      </c>
      <c r="E96" t="inlineStr">
        <is>
          <t>Maps 1-2 HS</t>
        </is>
      </c>
      <c r="F96" t="n">
        <v>13</v>
      </c>
      <c r="G96" s="9">
        <f>IFERROR(INDEX(CHOOSE(MATCH($X96,{"K1","K2","K3","K12","K13","H1","H2","H3","H12","H13"},0),Calc!$V$2:$V$124,Calc!$AC$2:$AC$124,Calc!$AJ$2:$AJ$124,Calc!$AL$2:$AL$124,Calc!$AM$2:$AM$124,Calc!$W$2:$W$124,Calc!$AD$2:$AD$124,Calc!$AK$2:$AK$124,Calc!$AN$2:$AN$124,Calc!$AO$2:$AO$124),MATCH($W96,Calc!$A$2:$A$124,0)),"")</f>
        <v/>
      </c>
      <c r="H96" s="9">
        <f>IF(G96="","",IF(LEFT($X96,1)="H",SQRT(G96*(IFERROR(INDEX(Calc!$AP$2:$AP$124,MATCH($W96,Calc!$A$2:$A$124,0)),0.5)*Config!$B$5+1-IFERROR(INDEX(Calc!$AP$2:$AP$124,MATCH($W96,Calc!$A$2:$A$124,0)),0.5))),SQRT(G96*Config!$B$5)))</f>
        <v/>
      </c>
      <c r="I96" s="8">
        <f>IF(OR(F96="",G96="",N(H96)&lt;=0),"",1-NORMDIST(FLOOR(F96,1)+0.5,G96,H96,TRUE))</f>
        <v/>
      </c>
      <c r="J96" s="8">
        <f>IF(I96="","",NORMDIST(CEILING(F96,1)-0.5,G96,H96,TRUE))</f>
        <v/>
      </c>
      <c r="K96" s="8">
        <f>IF(I96="","",MAX(0,1-I96-J96))</f>
        <v/>
      </c>
      <c r="L96">
        <f>IF(I96="","",IF(I96&gt;=0.5+Config!$B$6,"OVER",IF(J96&gt;=0.5+Config!$B$6,"UNDER","—")))</f>
        <v/>
      </c>
      <c r="N96" t="n">
        <v>12.4</v>
      </c>
      <c r="O96" s="8" t="n">
        <v>0.8</v>
      </c>
      <c r="P96" s="8" t="n">
        <v>0.5</v>
      </c>
      <c r="Q96" s="8" t="n">
        <v>0.4</v>
      </c>
      <c r="R96" t="inlineStr">
        <is>
          <t>0%/0/8</t>
        </is>
      </c>
      <c r="S96" t="n">
        <v>4</v>
      </c>
      <c r="T96">
        <f>INDEX(Calc!$G$2:$G$124,MATCH($W96,Calc!$A$2:$A$124,0))&amp;" / "&amp;INDEX(Calc!$H$2:$H$124,MATCH($W96,Calc!$A$2:$A$124,0))</f>
        <v/>
      </c>
      <c r="U96">
        <f>TEXT(INDEX(Calc!$J$2:$J$124,MATCH($W96,Calc!$A$2:$A$124,0)),"0.0")&amp;" / "&amp;TEXT(INDEX(Calc!$K$2:$K$124,MATCH($W96,Calc!$A$2:$A$124,0)),"0.0")</f>
        <v/>
      </c>
      <c r="V96">
        <f>IFERROR(INDEX(Calc!$AQ$2:$AQ$124,MATCH($W96,Calc!$A$2:$A$124,0)),"")</f>
        <v/>
      </c>
      <c r="W96" t="inlineStr">
        <is>
          <t>upsdzrueyrfmr1m|CS2 · FURIA vs NAVI</t>
        </is>
      </c>
      <c r="X96" t="inlineStr">
        <is>
          <t>H12</t>
        </is>
      </c>
      <c r="Y96">
        <f>W96&amp;"|"&amp;X96</f>
        <v/>
      </c>
      <c r="Z96" s="9">
        <f>IFERROR(INDEX(CHOOSE(MATCH($X96,{"K1","K2","K3","K12","K13","H1","H2","H3","H12","H13"},0),Calc!$BA$2:$BA$124,Calc!$BB$2:$BB$124,Calc!$BC$2:$BC$124,Calc!$BD$2:$BD$124,Calc!$BE$2:$BE$124,Calc!$BF$2:$BF$124,Calc!$BG$2:$BG$124,Calc!$BH$2:$BH$124,Calc!$BI$2:$BI$124,Calc!$BJ$2:$BJ$124),MATCH($W96,Calc!$A$2:$A$124,0)),"")</f>
        <v/>
      </c>
      <c r="AA96" s="9">
        <f>IF(Z96="","",IF(LEFT($X96,1)="H",SQRT(Z96*(IFERROR(INDEX(Calc!$AP$2:$AP$124,MATCH($W96,Calc!$A$2:$A$124,0)),0.5)*Config!$B$5+1-IFERROR(INDEX(Calc!$AP$2:$AP$124,MATCH($W96,Calc!$A$2:$A$124,0)),0.5))),SQRT(Z96*Config!$B$5)))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FURIA vs NAVI</t>
        </is>
      </c>
      <c r="C97" t="inlineStr">
        <is>
          <t>FalleN</t>
        </is>
      </c>
      <c r="D97" t="inlineStr">
        <is>
          <t>FURIA</t>
        </is>
      </c>
      <c r="E97" t="inlineStr">
        <is>
          <t>Maps 1-2 Kills</t>
        </is>
      </c>
      <c r="F97" t="n">
        <v>24.5</v>
      </c>
      <c r="G97" s="9">
        <f>IFERROR(INDEX(CHOOSE(MATCH($X97,{"K1","K2","K3","K12","K13","H1","H2","H3","H12","H13"},0),Calc!$V$2:$V$124,Calc!$AC$2:$AC$124,Calc!$AJ$2:$AJ$124,Calc!$AL$2:$AL$124,Calc!$AM$2:$AM$124,Calc!$W$2:$W$124,Calc!$AD$2:$AD$124,Calc!$AK$2:$AK$124,Calc!$AN$2:$AN$124,Calc!$AO$2:$AO$124),MATCH($W97,Calc!$A$2:$A$124,0)),"")</f>
        <v/>
      </c>
      <c r="H97" s="9">
        <f>IF(G97="","",IF(LEFT($X97,1)="H",SQRT(G97*(IFERROR(INDEX(Calc!$AP$2:$AP$124,MATCH($W97,Calc!$A$2:$A$124,0)),0.5)*Config!$B$5+1-IFERROR(INDEX(Calc!$AP$2:$AP$124,MATCH($W97,Calc!$A$2:$A$124,0)),0.5))),SQRT(G97*Config!$B$5)))</f>
        <v/>
      </c>
      <c r="I97" s="8">
        <f>IF(OR(F97="",G97="",N(H97)&lt;=0),"",1-NORMDIST(FLOOR(F97,1)+0.5,G97,H97,TRUE))</f>
        <v/>
      </c>
      <c r="J97" s="8">
        <f>IF(I97="","",NORMDIST(CEILING(F97,1)-0.5,G97,H97,TRUE))</f>
        <v/>
      </c>
      <c r="K97" s="8">
        <f>IF(I97="","",MAX(0,1-I97-J97))</f>
        <v/>
      </c>
      <c r="L97">
        <f>IF(I97="","",IF(I97&gt;=0.5+Config!$B$6,"OVER",IF(J97&gt;=0.5+Config!$B$6,"UNDER","—")))</f>
        <v/>
      </c>
      <c r="M97" t="n">
        <v>23.62</v>
      </c>
      <c r="N97" t="n">
        <v>23.3</v>
      </c>
      <c r="O97" s="8" t="n">
        <v>0.8</v>
      </c>
      <c r="P97" s="8" t="n">
        <v>0.5</v>
      </c>
      <c r="Q97" s="8" t="n">
        <v>0.4</v>
      </c>
      <c r="R97" t="inlineStr">
        <is>
          <t>38%/3/8</t>
        </is>
      </c>
      <c r="S97" t="n">
        <v>4</v>
      </c>
      <c r="T97">
        <f>INDEX(Calc!$G$2:$G$124,MATCH($W97,Calc!$A$2:$A$124,0))&amp;" / "&amp;INDEX(Calc!$H$2:$H$124,MATCH($W97,Calc!$A$2:$A$124,0))</f>
        <v/>
      </c>
      <c r="U97">
        <f>TEXT(INDEX(Calc!$J$2:$J$124,MATCH($W97,Calc!$A$2:$A$124,0)),"0.0")&amp;" / "&amp;TEXT(INDEX(Calc!$K$2:$K$124,MATCH($W97,Calc!$A$2:$A$124,0)),"0.0")</f>
        <v/>
      </c>
      <c r="V97">
        <f>IFERROR(INDEX(Calc!$AQ$2:$AQ$124,MATCH($W97,Calc!$A$2:$A$124,0)),"")</f>
        <v/>
      </c>
      <c r="W97" t="inlineStr">
        <is>
          <t>upsdzrueyrfmr1m|CS2 · FURIA vs NAVI</t>
        </is>
      </c>
      <c r="X97" t="inlineStr">
        <is>
          <t>K12</t>
        </is>
      </c>
      <c r="Y97">
        <f>W97&amp;"|"&amp;X97</f>
        <v/>
      </c>
      <c r="Z97" s="9">
        <f>IFERROR(INDEX(CHOOSE(MATCH($X97,{"K1","K2","K3","K12","K13","H1","H2","H3","H12","H13"},0),Calc!$BA$2:$BA$124,Calc!$BB$2:$BB$124,Calc!$BC$2:$BC$124,Calc!$BD$2:$BD$124,Calc!$BE$2:$BE$124,Calc!$BF$2:$BF$124,Calc!$BG$2:$BG$124,Calc!$BH$2:$BH$124,Calc!$BI$2:$BI$124,Calc!$BJ$2:$BJ$124),MATCH($W97,Calc!$A$2:$A$124,0)),"")</f>
        <v/>
      </c>
      <c r="AA97" s="9">
        <f>IF(Z97="","",IF(LEFT($X97,1)="H",SQRT(Z97*(IFERROR(INDEX(Calc!$AP$2:$AP$124,MATCH($W97,Calc!$A$2:$A$124,0)),0.5)*Config!$B$5+1-IFERROR(INDEX(Calc!$AP$2:$AP$124,MATCH($W97,Calc!$A$2:$A$124,0)),0.5))),SQRT(Z97*Config!$B$5)))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FURIA vs NAVI</t>
        </is>
      </c>
      <c r="C98" t="inlineStr">
        <is>
          <t>KSCERATO</t>
        </is>
      </c>
      <c r="D98" t="inlineStr">
        <is>
          <t>FURIA</t>
        </is>
      </c>
      <c r="E98" t="inlineStr">
        <is>
          <t>Maps 1-2 HS</t>
        </is>
      </c>
      <c r="F98" t="n">
        <v>17</v>
      </c>
      <c r="G98" s="9">
        <f>IFERROR(INDEX(CHOOSE(MATCH($X98,{"K1","K2","K3","K12","K13","H1","H2","H3","H12","H13"},0),Calc!$V$2:$V$124,Calc!$AC$2:$AC$124,Calc!$AJ$2:$AJ$124,Calc!$AL$2:$AL$124,Calc!$AM$2:$AM$124,Calc!$W$2:$W$124,Calc!$AD$2:$AD$124,Calc!$AK$2:$AK$124,Calc!$AN$2:$AN$124,Calc!$AO$2:$AO$124),MATCH($W98,Calc!$A$2:$A$124,0)),"")</f>
        <v/>
      </c>
      <c r="H98" s="9">
        <f>IF(G98="","",IF(LEFT($X98,1)="H",SQRT(G98*(IFERROR(INDEX(Calc!$AP$2:$AP$124,MATCH($W98,Calc!$A$2:$A$124,0)),0.5)*Config!$B$5+1-IFERROR(INDEX(Calc!$AP$2:$AP$124,MATCH($W98,Calc!$A$2:$A$124,0)),0.5))),SQRT(G98*Config!$B$5)))</f>
        <v/>
      </c>
      <c r="I98" s="8">
        <f>IF(OR(F98="",G98="",N(H98)&lt;=0),"",1-NORMDIST(FLOOR(F98,1)+0.5,G98,H98,TRUE))</f>
        <v/>
      </c>
      <c r="J98" s="8">
        <f>IF(I98="","",NORMDIST(CEILING(F98,1)-0.5,G98,H98,TRUE))</f>
        <v/>
      </c>
      <c r="K98" s="8">
        <f>IF(I98="","",MAX(0,1-I98-J98))</f>
        <v/>
      </c>
      <c r="L98">
        <f>IF(I98="","",IF(I98&gt;=0.5+Config!$B$6,"OVER",IF(J98&gt;=0.5+Config!$B$6,"UNDER","—")))</f>
        <v/>
      </c>
      <c r="N98" t="n">
        <v>15.7</v>
      </c>
      <c r="O98" s="8" t="n">
        <v>0.6</v>
      </c>
      <c r="P98" s="8" t="n">
        <v>0.4</v>
      </c>
      <c r="Q98" s="8" t="n">
        <v>0.4</v>
      </c>
      <c r="R98" t="inlineStr">
        <is>
          <t>50%/4/8</t>
        </is>
      </c>
      <c r="S98" t="n">
        <v>3</v>
      </c>
      <c r="T98">
        <f>INDEX(Calc!$G$2:$G$124,MATCH($W98,Calc!$A$2:$A$124,0))&amp;" / "&amp;INDEX(Calc!$H$2:$H$124,MATCH($W98,Calc!$A$2:$A$124,0))</f>
        <v/>
      </c>
      <c r="U98">
        <f>TEXT(INDEX(Calc!$J$2:$J$124,MATCH($W98,Calc!$A$2:$A$124,0)),"0.0")&amp;" / "&amp;TEXT(INDEX(Calc!$K$2:$K$124,MATCH($W98,Calc!$A$2:$A$124,0)),"0.0")</f>
        <v/>
      </c>
      <c r="V98">
        <f>IFERROR(INDEX(Calc!$AQ$2:$AQ$124,MATCH($W98,Calc!$A$2:$A$124,0)),"")</f>
        <v/>
      </c>
      <c r="W98" t="inlineStr">
        <is>
          <t>xlunjfskczbvxwn|CS2 · FURIA vs NAVI</t>
        </is>
      </c>
      <c r="X98" t="inlineStr">
        <is>
          <t>H12</t>
        </is>
      </c>
      <c r="Y98">
        <f>W98&amp;"|"&amp;X98</f>
        <v/>
      </c>
      <c r="Z98" s="9">
        <f>IFERROR(INDEX(CHOOSE(MATCH($X98,{"K1","K2","K3","K12","K13","H1","H2","H3","H12","H13"},0),Calc!$BA$2:$BA$124,Calc!$BB$2:$BB$124,Calc!$BC$2:$BC$124,Calc!$BD$2:$BD$124,Calc!$BE$2:$BE$124,Calc!$BF$2:$BF$124,Calc!$BG$2:$BG$124,Calc!$BH$2:$BH$124,Calc!$BI$2:$BI$124,Calc!$BJ$2:$BJ$124),MATCH($W98,Calc!$A$2:$A$124,0)),"")</f>
        <v/>
      </c>
      <c r="AA98" s="9">
        <f>IF(Z98="","",IF(LEFT($X98,1)="H",SQRT(Z98*(IFERROR(INDEX(Calc!$AP$2:$AP$124,MATCH($W98,Calc!$A$2:$A$124,0)),0.5)*Config!$B$5+1-IFERROR(INDEX(Calc!$AP$2:$AP$124,MATCH($W98,Calc!$A$2:$A$124,0)),0.5))),SQRT(Z98*Config!$B$5)))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FURIA vs NAVI</t>
        </is>
      </c>
      <c r="C99" t="inlineStr">
        <is>
          <t>KSCERATO</t>
        </is>
      </c>
      <c r="D99" t="inlineStr">
        <is>
          <t>FURIA</t>
        </is>
      </c>
      <c r="E99" t="inlineStr">
        <is>
          <t>Maps 1-2 Kills</t>
        </is>
      </c>
      <c r="F99" t="n">
        <v>33</v>
      </c>
      <c r="G99" s="9">
        <f>IFERROR(INDEX(CHOOSE(MATCH($X99,{"K1","K2","K3","K12","K13","H1","H2","H3","H12","H13"},0),Calc!$V$2:$V$124,Calc!$AC$2:$AC$124,Calc!$AJ$2:$AJ$124,Calc!$AL$2:$AL$124,Calc!$AM$2:$AM$124,Calc!$W$2:$W$124,Calc!$AD$2:$AD$124,Calc!$AK$2:$AK$124,Calc!$AN$2:$AN$124,Calc!$AO$2:$AO$124),MATCH($W99,Calc!$A$2:$A$124,0)),"")</f>
        <v/>
      </c>
      <c r="H99" s="9">
        <f>IF(G99="","",IF(LEFT($X99,1)="H",SQRT(G99*(IFERROR(INDEX(Calc!$AP$2:$AP$124,MATCH($W99,Calc!$A$2:$A$124,0)),0.5)*Config!$B$5+1-IFERROR(INDEX(Calc!$AP$2:$AP$124,MATCH($W99,Calc!$A$2:$A$124,0)),0.5))),SQRT(G99*Config!$B$5)))</f>
        <v/>
      </c>
      <c r="I99" s="8">
        <f>IF(OR(F99="",G99="",N(H99)&lt;=0),"",1-NORMDIST(FLOOR(F99,1)+0.5,G99,H99,TRUE))</f>
        <v/>
      </c>
      <c r="J99" s="8">
        <f>IF(I99="","",NORMDIST(CEILING(F99,1)-0.5,G99,H99,TRUE))</f>
        <v/>
      </c>
      <c r="K99" s="8">
        <f>IF(I99="","",MAX(0,1-I99-J99))</f>
        <v/>
      </c>
      <c r="L99">
        <f>IF(I99="","",IF(I99&gt;=0.5+Config!$B$6,"OVER",IF(J99&gt;=0.5+Config!$B$6,"UNDER","—")))</f>
        <v/>
      </c>
      <c r="M99" t="n">
        <v>31.18</v>
      </c>
      <c r="N99" t="n">
        <v>30.9</v>
      </c>
      <c r="O99" s="8" t="n">
        <v>0.6</v>
      </c>
      <c r="P99" s="8" t="n">
        <v>0.4</v>
      </c>
      <c r="Q99" s="8" t="n">
        <v>0.47</v>
      </c>
      <c r="R99" t="inlineStr">
        <is>
          <t>38%/3/8</t>
        </is>
      </c>
      <c r="S99" t="n">
        <v>-1</v>
      </c>
      <c r="T99">
        <f>INDEX(Calc!$G$2:$G$124,MATCH($W99,Calc!$A$2:$A$124,0))&amp;" / "&amp;INDEX(Calc!$H$2:$H$124,MATCH($W99,Calc!$A$2:$A$124,0))</f>
        <v/>
      </c>
      <c r="U99">
        <f>TEXT(INDEX(Calc!$J$2:$J$124,MATCH($W99,Calc!$A$2:$A$124,0)),"0.0")&amp;" / "&amp;TEXT(INDEX(Calc!$K$2:$K$124,MATCH($W99,Calc!$A$2:$A$124,0)),"0.0")</f>
        <v/>
      </c>
      <c r="V99">
        <f>IFERROR(INDEX(Calc!$AQ$2:$AQ$124,MATCH($W99,Calc!$A$2:$A$124,0)),"")</f>
        <v/>
      </c>
      <c r="W99" t="inlineStr">
        <is>
          <t>xlunjfskczbvxwn|CS2 · FURIA vs NAVI</t>
        </is>
      </c>
      <c r="X99" t="inlineStr">
        <is>
          <t>K12</t>
        </is>
      </c>
      <c r="Y99">
        <f>W99&amp;"|"&amp;X99</f>
        <v/>
      </c>
      <c r="Z99" s="9">
        <f>IFERROR(INDEX(CHOOSE(MATCH($X99,{"K1","K2","K3","K12","K13","H1","H2","H3","H12","H13"},0),Calc!$BA$2:$BA$124,Calc!$BB$2:$BB$124,Calc!$BC$2:$BC$124,Calc!$BD$2:$BD$124,Calc!$BE$2:$BE$124,Calc!$BF$2:$BF$124,Calc!$BG$2:$BG$124,Calc!$BH$2:$BH$124,Calc!$BI$2:$BI$124,Calc!$BJ$2:$BJ$124),MATCH($W99,Calc!$A$2:$A$124,0)),"")</f>
        <v/>
      </c>
      <c r="AA99" s="9">
        <f>IF(Z99="","",IF(LEFT($X99,1)="H",SQRT(Z99*(IFERROR(INDEX(Calc!$AP$2:$AP$124,MATCH($W99,Calc!$A$2:$A$124,0)),0.5)*Config!$B$5+1-IFERROR(INDEX(Calc!$AP$2:$AP$124,MATCH($W99,Calc!$A$2:$A$124,0)),0.5))),SQRT(Z99*Config!$B$5)))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FURIA vs NAVI</t>
        </is>
      </c>
      <c r="C100" t="inlineStr">
        <is>
          <t>molodoy</t>
        </is>
      </c>
      <c r="D100" t="inlineStr">
        <is>
          <t>FURIA</t>
        </is>
      </c>
      <c r="E100" t="inlineStr">
        <is>
          <t>Maps 1-2 HS</t>
        </is>
      </c>
      <c r="F100" t="n">
        <v>12</v>
      </c>
      <c r="G100" s="9">
        <f>IFERROR(INDEX(CHOOSE(MATCH($X100,{"K1","K2","K3","K12","K13","H1","H2","H3","H12","H13"},0),Calc!$V$2:$V$124,Calc!$AC$2:$AC$124,Calc!$AJ$2:$AJ$124,Calc!$AL$2:$AL$124,Calc!$AM$2:$AM$124,Calc!$W$2:$W$124,Calc!$AD$2:$AD$124,Calc!$AK$2:$AK$124,Calc!$AN$2:$AN$124,Calc!$AO$2:$AO$124),MATCH($W100,Calc!$A$2:$A$124,0)),"")</f>
        <v/>
      </c>
      <c r="H100" s="9">
        <f>IF(G100="","",IF(LEFT($X100,1)="H",SQRT(G100*(IFERROR(INDEX(Calc!$AP$2:$AP$124,MATCH($W100,Calc!$A$2:$A$124,0)),0.5)*Config!$B$5+1-IFERROR(INDEX(Calc!$AP$2:$AP$124,MATCH($W100,Calc!$A$2:$A$124,0)),0.5))),SQRT(G100*Config!$B$5)))</f>
        <v/>
      </c>
      <c r="I100" s="8">
        <f>IF(OR(F100="",G100="",N(H100)&lt;=0),"",1-NORMDIST(FLOOR(F100,1)+0.5,G100,H100,TRUE))</f>
        <v/>
      </c>
      <c r="J100" s="8">
        <f>IF(I100="","",NORMDIST(CEILING(F100,1)-0.5,G100,H100,TRUE))</f>
        <v/>
      </c>
      <c r="K100" s="8">
        <f>IF(I100="","",MAX(0,1-I100-J100))</f>
        <v/>
      </c>
      <c r="L100">
        <f>IF(I100="","",IF(I100&gt;=0.5+Config!$B$6,"OVER",IF(J100&gt;=0.5+Config!$B$6,"UNDER","—")))</f>
        <v/>
      </c>
      <c r="N100" t="n">
        <v>12.4</v>
      </c>
      <c r="O100" s="8" t="n">
        <v>0.6</v>
      </c>
      <c r="P100" s="8" t="n">
        <v>0.6</v>
      </c>
      <c r="Q100" s="8" t="n">
        <v>0.6</v>
      </c>
      <c r="R100" t="inlineStr">
        <is>
          <t>0%/0/4</t>
        </is>
      </c>
      <c r="S100" t="n">
        <v>2</v>
      </c>
      <c r="T100">
        <f>INDEX(Calc!$G$2:$G$124,MATCH($W100,Calc!$A$2:$A$124,0))&amp;" / "&amp;INDEX(Calc!$H$2:$H$124,MATCH($W100,Calc!$A$2:$A$124,0))</f>
        <v/>
      </c>
      <c r="U100">
        <f>TEXT(INDEX(Calc!$J$2:$J$124,MATCH($W100,Calc!$A$2:$A$124,0)),"0.0")&amp;" / "&amp;TEXT(INDEX(Calc!$K$2:$K$124,MATCH($W100,Calc!$A$2:$A$124,0)),"0.0")</f>
        <v/>
      </c>
      <c r="V100">
        <f>IFERROR(INDEX(Calc!$AQ$2:$AQ$124,MATCH($W100,Calc!$A$2:$A$124,0)),"")</f>
        <v/>
      </c>
      <c r="W100" t="inlineStr">
        <is>
          <t>g1czin1kua6nls5|CS2 · FURIA vs NAVI</t>
        </is>
      </c>
      <c r="X100" t="inlineStr">
        <is>
          <t>H12</t>
        </is>
      </c>
      <c r="Y100">
        <f>W100&amp;"|"&amp;X100</f>
        <v/>
      </c>
      <c r="Z100" s="9">
        <f>IFERROR(INDEX(CHOOSE(MATCH($X100,{"K1","K2","K3","K12","K13","H1","H2","H3","H12","H13"},0),Calc!$BA$2:$BA$124,Calc!$BB$2:$BB$124,Calc!$BC$2:$BC$124,Calc!$BD$2:$BD$124,Calc!$BE$2:$BE$124,Calc!$BF$2:$BF$124,Calc!$BG$2:$BG$124,Calc!$BH$2:$BH$124,Calc!$BI$2:$BI$124,Calc!$BJ$2:$BJ$124),MATCH($W100,Calc!$A$2:$A$124,0)),"")</f>
        <v/>
      </c>
      <c r="AA100" s="9">
        <f>IF(Z100="","",IF(LEFT($X100,1)="H",SQRT(Z100*(IFERROR(INDEX(Calc!$AP$2:$AP$124,MATCH($W100,Calc!$A$2:$A$124,0)),0.5)*Config!$B$5+1-IFERROR(INDEX(Calc!$AP$2:$AP$124,MATCH($W100,Calc!$A$2:$A$124,0)),0.5))),SQRT(Z100*Config!$B$5)))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FURIA vs NAVI</t>
        </is>
      </c>
      <c r="C101" t="inlineStr">
        <is>
          <t>molodoy</t>
        </is>
      </c>
      <c r="D101" t="inlineStr">
        <is>
          <t>FURIA</t>
        </is>
      </c>
      <c r="E101" t="inlineStr">
        <is>
          <t>Maps 1-2 Kills</t>
        </is>
      </c>
      <c r="F101" t="n">
        <v>33.5</v>
      </c>
      <c r="G101" s="9">
        <f>IFERROR(INDEX(CHOOSE(MATCH($X101,{"K1","K2","K3","K12","K13","H1","H2","H3","H12","H13"},0),Calc!$V$2:$V$124,Calc!$AC$2:$AC$124,Calc!$AJ$2:$AJ$124,Calc!$AL$2:$AL$124,Calc!$AM$2:$AM$124,Calc!$W$2:$W$124,Calc!$AD$2:$AD$124,Calc!$AK$2:$AK$124,Calc!$AN$2:$AN$124,Calc!$AO$2:$AO$124),MATCH($W101,Calc!$A$2:$A$124,0)),"")</f>
        <v/>
      </c>
      <c r="H101" s="9">
        <f>IF(G101="","",IF(LEFT($X101,1)="H",SQRT(G101*(IFERROR(INDEX(Calc!$AP$2:$AP$124,MATCH($W101,Calc!$A$2:$A$124,0)),0.5)*Config!$B$5+1-IFERROR(INDEX(Calc!$AP$2:$AP$124,MATCH($W101,Calc!$A$2:$A$124,0)),0.5))),SQRT(G101*Config!$B$5)))</f>
        <v/>
      </c>
      <c r="I101" s="8">
        <f>IF(OR(F101="",G101="",N(H101)&lt;=0),"",1-NORMDIST(FLOOR(F101,1)+0.5,G101,H101,TRUE))</f>
        <v/>
      </c>
      <c r="J101" s="8">
        <f>IF(I101="","",NORMDIST(CEILING(F101,1)-0.5,G101,H101,TRUE))</f>
        <v/>
      </c>
      <c r="K101" s="8">
        <f>IF(I101="","",MAX(0,1-I101-J101))</f>
        <v/>
      </c>
      <c r="L101">
        <f>IF(I101="","",IF(I101&gt;=0.5+Config!$B$6,"OVER",IF(J101&gt;=0.5+Config!$B$6,"UNDER","—")))</f>
        <v/>
      </c>
      <c r="M101" t="n">
        <v>32.72</v>
      </c>
      <c r="N101" t="n">
        <v>32.6</v>
      </c>
      <c r="O101" s="8" t="n">
        <v>0.6</v>
      </c>
      <c r="P101" s="8" t="n">
        <v>0.4</v>
      </c>
      <c r="Q101" s="8" t="n">
        <v>0.4</v>
      </c>
      <c r="R101" t="inlineStr">
        <is>
          <t>0%/0/4</t>
        </is>
      </c>
      <c r="S101" t="n">
        <v>2</v>
      </c>
      <c r="T101">
        <f>INDEX(Calc!$G$2:$G$124,MATCH($W101,Calc!$A$2:$A$124,0))&amp;" / "&amp;INDEX(Calc!$H$2:$H$124,MATCH($W101,Calc!$A$2:$A$124,0))</f>
        <v/>
      </c>
      <c r="U101">
        <f>TEXT(INDEX(Calc!$J$2:$J$124,MATCH($W101,Calc!$A$2:$A$124,0)),"0.0")&amp;" / "&amp;TEXT(INDEX(Calc!$K$2:$K$124,MATCH($W101,Calc!$A$2:$A$124,0)),"0.0")</f>
        <v/>
      </c>
      <c r="V101">
        <f>IFERROR(INDEX(Calc!$AQ$2:$AQ$124,MATCH($W101,Calc!$A$2:$A$124,0)),"")</f>
        <v/>
      </c>
      <c r="W101" t="inlineStr">
        <is>
          <t>g1czin1kua6nls5|CS2 · FURIA vs NAVI</t>
        </is>
      </c>
      <c r="X101" t="inlineStr">
        <is>
          <t>K12</t>
        </is>
      </c>
      <c r="Y101">
        <f>W101&amp;"|"&amp;X101</f>
        <v/>
      </c>
      <c r="Z101" s="9">
        <f>IFERROR(INDEX(CHOOSE(MATCH($X101,{"K1","K2","K3","K12","K13","H1","H2","H3","H12","H13"},0),Calc!$BA$2:$BA$124,Calc!$BB$2:$BB$124,Calc!$BC$2:$BC$124,Calc!$BD$2:$BD$124,Calc!$BE$2:$BE$124,Calc!$BF$2:$BF$124,Calc!$BG$2:$BG$124,Calc!$BH$2:$BH$124,Calc!$BI$2:$BI$124,Calc!$BJ$2:$BJ$124),MATCH($W101,Calc!$A$2:$A$124,0)),"")</f>
        <v/>
      </c>
      <c r="AA101" s="9">
        <f>IF(Z101="","",IF(LEFT($X101,1)="H",SQRT(Z101*(IFERROR(INDEX(Calc!$AP$2:$AP$124,MATCH($W101,Calc!$A$2:$A$124,0)),0.5)*Config!$B$5+1-IFERROR(INDEX(Calc!$AP$2:$AP$124,MATCH($W101,Calc!$A$2:$A$124,0)),0.5))),SQRT(Z101*Config!$B$5)))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FURIA vs NAVI</t>
        </is>
      </c>
      <c r="C102" t="inlineStr">
        <is>
          <t>YEKINDAR</t>
        </is>
      </c>
      <c r="D102" t="inlineStr">
        <is>
          <t>FURIA</t>
        </is>
      </c>
      <c r="E102" t="inlineStr">
        <is>
          <t>Maps 1-2 HS</t>
        </is>
      </c>
      <c r="F102" t="n">
        <v>18.5</v>
      </c>
      <c r="G102" s="9">
        <f>IFERROR(INDEX(CHOOSE(MATCH($X102,{"K1","K2","K3","K12","K13","H1","H2","H3","H12","H13"},0),Calc!$V$2:$V$124,Calc!$AC$2:$AC$124,Calc!$AJ$2:$AJ$124,Calc!$AL$2:$AL$124,Calc!$AM$2:$AM$124,Calc!$W$2:$W$124,Calc!$AD$2:$AD$124,Calc!$AK$2:$AK$124,Calc!$AN$2:$AN$124,Calc!$AO$2:$AO$124),MATCH($W102,Calc!$A$2:$A$124,0)),"")</f>
        <v/>
      </c>
      <c r="H102" s="9">
        <f>IF(G102="","",IF(LEFT($X102,1)="H",SQRT(G102*(IFERROR(INDEX(Calc!$AP$2:$AP$124,MATCH($W102,Calc!$A$2:$A$124,0)),0.5)*Config!$B$5+1-IFERROR(INDEX(Calc!$AP$2:$AP$124,MATCH($W102,Calc!$A$2:$A$124,0)),0.5))),SQRT(G102*Config!$B$5)))</f>
        <v/>
      </c>
      <c r="I102" s="8">
        <f>IF(OR(F102="",G102="",N(H102)&lt;=0),"",1-NORMDIST(FLOOR(F102,1)+0.5,G102,H102,TRUE))</f>
        <v/>
      </c>
      <c r="J102" s="8">
        <f>IF(I102="","",NORMDIST(CEILING(F102,1)-0.5,G102,H102,TRUE))</f>
        <v/>
      </c>
      <c r="K102" s="8">
        <f>IF(I102="","",MAX(0,1-I102-J102))</f>
        <v/>
      </c>
      <c r="L102">
        <f>IF(I102="","",IF(I102&gt;=0.5+Config!$B$6,"OVER",IF(J102&gt;=0.5+Config!$B$6,"UNDER","—")))</f>
        <v/>
      </c>
      <c r="N102" t="n">
        <v>16.1</v>
      </c>
      <c r="O102" s="8" t="n">
        <v>0</v>
      </c>
      <c r="P102" s="8" t="n">
        <v>0.2</v>
      </c>
      <c r="Q102" s="8" t="n">
        <v>0.33</v>
      </c>
      <c r="R102" t="inlineStr">
        <is>
          <t>14%/1/7</t>
        </is>
      </c>
      <c r="S102" t="n">
        <v>-5</v>
      </c>
      <c r="T102">
        <f>INDEX(Calc!$G$2:$G$124,MATCH($W102,Calc!$A$2:$A$124,0))&amp;" / "&amp;INDEX(Calc!$H$2:$H$124,MATCH($W102,Calc!$A$2:$A$124,0))</f>
        <v/>
      </c>
      <c r="U102">
        <f>TEXT(INDEX(Calc!$J$2:$J$124,MATCH($W102,Calc!$A$2:$A$124,0)),"0.0")&amp;" / "&amp;TEXT(INDEX(Calc!$K$2:$K$124,MATCH($W102,Calc!$A$2:$A$124,0)),"0.0")</f>
        <v/>
      </c>
      <c r="V102">
        <f>IFERROR(INDEX(Calc!$AQ$2:$AQ$124,MATCH($W102,Calc!$A$2:$A$124,0)),"")</f>
        <v/>
      </c>
      <c r="W102" t="inlineStr">
        <is>
          <t>vl5i6xbqmsocy69|CS2 · FURIA vs NAVI</t>
        </is>
      </c>
      <c r="X102" t="inlineStr">
        <is>
          <t>H12</t>
        </is>
      </c>
      <c r="Y102">
        <f>W102&amp;"|"&amp;X102</f>
        <v/>
      </c>
      <c r="Z102" s="9">
        <f>IFERROR(INDEX(CHOOSE(MATCH($X102,{"K1","K2","K3","K12","K13","H1","H2","H3","H12","H13"},0),Calc!$BA$2:$BA$124,Calc!$BB$2:$BB$124,Calc!$BC$2:$BC$124,Calc!$BD$2:$BD$124,Calc!$BE$2:$BE$124,Calc!$BF$2:$BF$124,Calc!$BG$2:$BG$124,Calc!$BH$2:$BH$124,Calc!$BI$2:$BI$124,Calc!$BJ$2:$BJ$124),MATCH($W102,Calc!$A$2:$A$124,0)),"")</f>
        <v/>
      </c>
      <c r="AA102" s="9">
        <f>IF(Z102="","",IF(LEFT($X102,1)="H",SQRT(Z102*(IFERROR(INDEX(Calc!$AP$2:$AP$124,MATCH($W102,Calc!$A$2:$A$124,0)),0.5)*Config!$B$5+1-IFERROR(INDEX(Calc!$AP$2:$AP$124,MATCH($W102,Calc!$A$2:$A$124,0)),0.5))),SQRT(Z102*Config!$B$5)))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FURIA vs NAVI</t>
        </is>
      </c>
      <c r="C103" t="inlineStr">
        <is>
          <t>YEKINDAR</t>
        </is>
      </c>
      <c r="D103" t="inlineStr">
        <is>
          <t>FURIA</t>
        </is>
      </c>
      <c r="E103" t="inlineStr">
        <is>
          <t>Maps 1-2 Kills</t>
        </is>
      </c>
      <c r="F103" t="n">
        <v>30</v>
      </c>
      <c r="G103" s="9">
        <f>IFERROR(INDEX(CHOOSE(MATCH($X103,{"K1","K2","K3","K12","K13","H1","H2","H3","H12","H13"},0),Calc!$V$2:$V$124,Calc!$AC$2:$AC$124,Calc!$AJ$2:$AJ$124,Calc!$AL$2:$AL$124,Calc!$AM$2:$AM$124,Calc!$W$2:$W$124,Calc!$AD$2:$AD$124,Calc!$AK$2:$AK$124,Calc!$AN$2:$AN$124,Calc!$AO$2:$AO$124),MATCH($W103,Calc!$A$2:$A$124,0)),"")</f>
        <v/>
      </c>
      <c r="H103" s="9">
        <f>IF(G103="","",IF(LEFT($X103,1)="H",SQRT(G103*(IFERROR(INDEX(Calc!$AP$2:$AP$124,MATCH($W103,Calc!$A$2:$A$124,0)),0.5)*Config!$B$5+1-IFERROR(INDEX(Calc!$AP$2:$AP$124,MATCH($W103,Calc!$A$2:$A$124,0)),0.5))),SQRT(G103*Config!$B$5)))</f>
        <v/>
      </c>
      <c r="I103" s="8">
        <f>IF(OR(F103="",G103="",N(H103)&lt;=0),"",1-NORMDIST(FLOOR(F103,1)+0.5,G103,H103,TRUE))</f>
        <v/>
      </c>
      <c r="J103" s="8">
        <f>IF(I103="","",NORMDIST(CEILING(F103,1)-0.5,G103,H103,TRUE))</f>
        <v/>
      </c>
      <c r="K103" s="8">
        <f>IF(I103="","",MAX(0,1-I103-J103))</f>
        <v/>
      </c>
      <c r="L103">
        <f>IF(I103="","",IF(I103&gt;=0.5+Config!$B$6,"OVER",IF(J103&gt;=0.5+Config!$B$6,"UNDER","—")))</f>
        <v/>
      </c>
      <c r="M103" t="n">
        <v>29.96</v>
      </c>
      <c r="N103" t="n">
        <v>27.5</v>
      </c>
      <c r="O103" s="8" t="n">
        <v>0.6</v>
      </c>
      <c r="P103" s="8" t="n">
        <v>0.5</v>
      </c>
      <c r="Q103" s="8" t="n">
        <v>0.53</v>
      </c>
      <c r="R103" t="inlineStr">
        <is>
          <t>29%/2/7</t>
        </is>
      </c>
      <c r="S103" t="n">
        <v>3</v>
      </c>
      <c r="T103">
        <f>INDEX(Calc!$G$2:$G$124,MATCH($W103,Calc!$A$2:$A$124,0))&amp;" / "&amp;INDEX(Calc!$H$2:$H$124,MATCH($W103,Calc!$A$2:$A$124,0))</f>
        <v/>
      </c>
      <c r="U103">
        <f>TEXT(INDEX(Calc!$J$2:$J$124,MATCH($W103,Calc!$A$2:$A$124,0)),"0.0")&amp;" / "&amp;TEXT(INDEX(Calc!$K$2:$K$124,MATCH($W103,Calc!$A$2:$A$124,0)),"0.0")</f>
        <v/>
      </c>
      <c r="V103">
        <f>IFERROR(INDEX(Calc!$AQ$2:$AQ$124,MATCH($W103,Calc!$A$2:$A$124,0)),"")</f>
        <v/>
      </c>
      <c r="W103" t="inlineStr">
        <is>
          <t>vl5i6xbqmsocy69|CS2 · FURIA vs NAVI</t>
        </is>
      </c>
      <c r="X103" t="inlineStr">
        <is>
          <t>K12</t>
        </is>
      </c>
      <c r="Y103">
        <f>W103&amp;"|"&amp;X103</f>
        <v/>
      </c>
      <c r="Z103" s="9">
        <f>IFERROR(INDEX(CHOOSE(MATCH($X103,{"K1","K2","K3","K12","K13","H1","H2","H3","H12","H13"},0),Calc!$BA$2:$BA$124,Calc!$BB$2:$BB$124,Calc!$BC$2:$BC$124,Calc!$BD$2:$BD$124,Calc!$BE$2:$BE$124,Calc!$BF$2:$BF$124,Calc!$BG$2:$BG$124,Calc!$BH$2:$BH$124,Calc!$BI$2:$BI$124,Calc!$BJ$2:$BJ$124),MATCH($W103,Calc!$A$2:$A$124,0)),"")</f>
        <v/>
      </c>
      <c r="AA103" s="9">
        <f>IF(Z103="","",IF(LEFT($X103,1)="H",SQRT(Z103*(IFERROR(INDEX(Calc!$AP$2:$AP$124,MATCH($W103,Calc!$A$2:$A$124,0)),0.5)*Config!$B$5+1-IFERROR(INDEX(Calc!$AP$2:$AP$124,MATCH($W103,Calc!$A$2:$A$124,0)),0.5))),SQRT(Z103*Config!$B$5)))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FURIA vs NAVI</t>
        </is>
      </c>
      <c r="C104" t="inlineStr">
        <is>
          <t>yuurih</t>
        </is>
      </c>
      <c r="D104" t="inlineStr">
        <is>
          <t>FURIA</t>
        </is>
      </c>
      <c r="E104" t="inlineStr">
        <is>
          <t>Maps 1-2 HS</t>
        </is>
      </c>
      <c r="F104" t="n">
        <v>12.5</v>
      </c>
      <c r="G104" s="9">
        <f>IFERROR(INDEX(CHOOSE(MATCH($X104,{"K1","K2","K3","K12","K13","H1","H2","H3","H12","H13"},0),Calc!$V$2:$V$124,Calc!$AC$2:$AC$124,Calc!$AJ$2:$AJ$124,Calc!$AL$2:$AL$124,Calc!$AM$2:$AM$124,Calc!$W$2:$W$124,Calc!$AD$2:$AD$124,Calc!$AK$2:$AK$124,Calc!$AN$2:$AN$124,Calc!$AO$2:$AO$124),MATCH($W104,Calc!$A$2:$A$124,0)),"")</f>
        <v/>
      </c>
      <c r="H104" s="9">
        <f>IF(G104="","",IF(LEFT($X104,1)="H",SQRT(G104*(IFERROR(INDEX(Calc!$AP$2:$AP$124,MATCH($W104,Calc!$A$2:$A$124,0)),0.5)*Config!$B$5+1-IFERROR(INDEX(Calc!$AP$2:$AP$124,MATCH($W104,Calc!$A$2:$A$124,0)),0.5))),SQRT(G104*Config!$B$5)))</f>
        <v/>
      </c>
      <c r="I104" s="8">
        <f>IF(OR(F104="",G104="",N(H104)&lt;=0),"",1-NORMDIST(FLOOR(F104,1)+0.5,G104,H104,TRUE))</f>
        <v/>
      </c>
      <c r="J104" s="8">
        <f>IF(I104="","",NORMDIST(CEILING(F104,1)-0.5,G104,H104,TRUE))</f>
        <v/>
      </c>
      <c r="K104" s="8">
        <f>IF(I104="","",MAX(0,1-I104-J104))</f>
        <v/>
      </c>
      <c r="L104">
        <f>IF(I104="","",IF(I104&gt;=0.5+Config!$B$6,"OVER",IF(J104&gt;=0.5+Config!$B$6,"UNDER","—")))</f>
        <v/>
      </c>
      <c r="N104" t="n">
        <v>12.1</v>
      </c>
      <c r="O104" s="8" t="n">
        <v>0.2</v>
      </c>
      <c r="P104" s="8" t="n">
        <v>0.4</v>
      </c>
      <c r="Q104" s="8" t="n">
        <v>0.4</v>
      </c>
      <c r="R104" t="inlineStr">
        <is>
          <t>38%/3/8</t>
        </is>
      </c>
      <c r="S104" t="n">
        <v>-4</v>
      </c>
      <c r="T104">
        <f>INDEX(Calc!$G$2:$G$124,MATCH($W104,Calc!$A$2:$A$124,0))&amp;" / "&amp;INDEX(Calc!$H$2:$H$124,MATCH($W104,Calc!$A$2:$A$124,0))</f>
        <v/>
      </c>
      <c r="U104">
        <f>TEXT(INDEX(Calc!$J$2:$J$124,MATCH($W104,Calc!$A$2:$A$124,0)),"0.0")&amp;" / "&amp;TEXT(INDEX(Calc!$K$2:$K$124,MATCH($W104,Calc!$A$2:$A$124,0)),"0.0")</f>
        <v/>
      </c>
      <c r="V104">
        <f>IFERROR(INDEX(Calc!$AQ$2:$AQ$124,MATCH($W104,Calc!$A$2:$A$124,0)),"")</f>
        <v/>
      </c>
      <c r="W104" t="inlineStr">
        <is>
          <t>npowbduexyegr6i|CS2 · FURIA vs NAVI</t>
        </is>
      </c>
      <c r="X104" t="inlineStr">
        <is>
          <t>H12</t>
        </is>
      </c>
      <c r="Y104">
        <f>W104&amp;"|"&amp;X104</f>
        <v/>
      </c>
      <c r="Z104" s="9">
        <f>IFERROR(INDEX(CHOOSE(MATCH($X104,{"K1","K2","K3","K12","K13","H1","H2","H3","H12","H13"},0),Calc!$BA$2:$BA$124,Calc!$BB$2:$BB$124,Calc!$BC$2:$BC$124,Calc!$BD$2:$BD$124,Calc!$BE$2:$BE$124,Calc!$BF$2:$BF$124,Calc!$BG$2:$BG$124,Calc!$BH$2:$BH$124,Calc!$BI$2:$BI$124,Calc!$BJ$2:$BJ$124),MATCH($W104,Calc!$A$2:$A$124,0)),"")</f>
        <v/>
      </c>
      <c r="AA104" s="9">
        <f>IF(Z104="","",IF(LEFT($X104,1)="H",SQRT(Z104*(IFERROR(INDEX(Calc!$AP$2:$AP$124,MATCH($W104,Calc!$A$2:$A$124,0)),0.5)*Config!$B$5+1-IFERROR(INDEX(Calc!$AP$2:$AP$124,MATCH($W104,Calc!$A$2:$A$124,0)),0.5))),SQRT(Z104*Config!$B$5)))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FURIA vs NAVI</t>
        </is>
      </c>
      <c r="C105" t="inlineStr">
        <is>
          <t>yuurih</t>
        </is>
      </c>
      <c r="D105" t="inlineStr">
        <is>
          <t>FURIA</t>
        </is>
      </c>
      <c r="E105" t="inlineStr">
        <is>
          <t>Maps 1-2 Kills</t>
        </is>
      </c>
      <c r="F105" t="n">
        <v>25.5</v>
      </c>
      <c r="G105" s="9">
        <f>IFERROR(INDEX(CHOOSE(MATCH($X105,{"K1","K2","K3","K12","K13","H1","H2","H3","H12","H13"},0),Calc!$V$2:$V$124,Calc!$AC$2:$AC$124,Calc!$AJ$2:$AJ$124,Calc!$AL$2:$AL$124,Calc!$AM$2:$AM$124,Calc!$W$2:$W$124,Calc!$AD$2:$AD$124,Calc!$AK$2:$AK$124,Calc!$AN$2:$AN$124,Calc!$AO$2:$AO$124),MATCH($W105,Calc!$A$2:$A$124,0)),"")</f>
        <v/>
      </c>
      <c r="H105" s="9">
        <f>IF(G105="","",IF(LEFT($X105,1)="H",SQRT(G105*(IFERROR(INDEX(Calc!$AP$2:$AP$124,MATCH($W105,Calc!$A$2:$A$124,0)),0.5)*Config!$B$5+1-IFERROR(INDEX(Calc!$AP$2:$AP$124,MATCH($W105,Calc!$A$2:$A$124,0)),0.5))),SQRT(G105*Config!$B$5)))</f>
        <v/>
      </c>
      <c r="I105" s="8">
        <f>IF(OR(F105="",G105="",N(H105)&lt;=0),"",1-NORMDIST(FLOOR(F105,1)+0.5,G105,H105,TRUE))</f>
        <v/>
      </c>
      <c r="J105" s="8">
        <f>IF(I105="","",NORMDIST(CEILING(F105,1)-0.5,G105,H105,TRUE))</f>
        <v/>
      </c>
      <c r="K105" s="8">
        <f>IF(I105="","",MAX(0,1-I105-J105))</f>
        <v/>
      </c>
      <c r="L105">
        <f>IF(I105="","",IF(I105&gt;=0.5+Config!$B$6,"OVER",IF(J105&gt;=0.5+Config!$B$6,"UNDER","—")))</f>
        <v/>
      </c>
      <c r="M105" t="n">
        <v>25.89</v>
      </c>
      <c r="N105" t="n">
        <v>25.2</v>
      </c>
      <c r="O105" s="8" t="n">
        <v>0.6</v>
      </c>
      <c r="P105" s="8" t="n">
        <v>0.5</v>
      </c>
      <c r="Q105" s="8" t="n">
        <v>0.47</v>
      </c>
      <c r="R105" t="inlineStr">
        <is>
          <t>63%/5/8</t>
        </is>
      </c>
      <c r="S105" t="n">
        <v>2</v>
      </c>
      <c r="T105">
        <f>INDEX(Calc!$G$2:$G$124,MATCH($W105,Calc!$A$2:$A$124,0))&amp;" / "&amp;INDEX(Calc!$H$2:$H$124,MATCH($W105,Calc!$A$2:$A$124,0))</f>
        <v/>
      </c>
      <c r="U105">
        <f>TEXT(INDEX(Calc!$J$2:$J$124,MATCH($W105,Calc!$A$2:$A$124,0)),"0.0")&amp;" / "&amp;TEXT(INDEX(Calc!$K$2:$K$124,MATCH($W105,Calc!$A$2:$A$124,0)),"0.0")</f>
        <v/>
      </c>
      <c r="V105">
        <f>IFERROR(INDEX(Calc!$AQ$2:$AQ$124,MATCH($W105,Calc!$A$2:$A$124,0)),"")</f>
        <v/>
      </c>
      <c r="W105" t="inlineStr">
        <is>
          <t>npowbduexyegr6i|CS2 · FURIA vs NAVI</t>
        </is>
      </c>
      <c r="X105" t="inlineStr">
        <is>
          <t>K12</t>
        </is>
      </c>
      <c r="Y105">
        <f>W105&amp;"|"&amp;X105</f>
        <v/>
      </c>
      <c r="Z105" s="9">
        <f>IFERROR(INDEX(CHOOSE(MATCH($X105,{"K1","K2","K3","K12","K13","H1","H2","H3","H12","H13"},0),Calc!$BA$2:$BA$124,Calc!$BB$2:$BB$124,Calc!$BC$2:$BC$124,Calc!$BD$2:$BD$124,Calc!$BE$2:$BE$124,Calc!$BF$2:$BF$124,Calc!$BG$2:$BG$124,Calc!$BH$2:$BH$124,Calc!$BI$2:$BI$124,Calc!$BJ$2:$BJ$124),MATCH($W105,Calc!$A$2:$A$124,0)),"")</f>
        <v/>
      </c>
      <c r="AA105" s="9">
        <f>IF(Z105="","",IF(LEFT($X105,1)="H",SQRT(Z105*(IFERROR(INDEX(Calc!$AP$2:$AP$124,MATCH($W105,Calc!$A$2:$A$124,0)),0.5)*Config!$B$5+1-IFERROR(INDEX(Calc!$AP$2:$AP$124,MATCH($W105,Calc!$A$2:$A$124,0)),0.5))),SQRT(Z105*Config!$B$5)))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FURIA vs NAVI</t>
        </is>
      </c>
      <c r="C106" t="inlineStr">
        <is>
          <t>Aleksib</t>
        </is>
      </c>
      <c r="D106" t="inlineStr">
        <is>
          <t>NAVI</t>
        </is>
      </c>
      <c r="E106" t="inlineStr">
        <is>
          <t>Maps 1-2 HS</t>
        </is>
      </c>
      <c r="F106" t="n">
        <v>12</v>
      </c>
      <c r="G106" s="9">
        <f>IFERROR(INDEX(CHOOSE(MATCH($X106,{"K1","K2","K3","K12","K13","H1","H2","H3","H12","H13"},0),Calc!$V$2:$V$124,Calc!$AC$2:$AC$124,Calc!$AJ$2:$AJ$124,Calc!$AL$2:$AL$124,Calc!$AM$2:$AM$124,Calc!$W$2:$W$124,Calc!$AD$2:$AD$124,Calc!$AK$2:$AK$124,Calc!$AN$2:$AN$124,Calc!$AO$2:$AO$124),MATCH($W106,Calc!$A$2:$A$124,0)),"")</f>
        <v/>
      </c>
      <c r="H106" s="9">
        <f>IF(G106="","",IF(LEFT($X106,1)="H",SQRT(G106*(IFERROR(INDEX(Calc!$AP$2:$AP$124,MATCH($W106,Calc!$A$2:$A$124,0)),0.5)*Config!$B$5+1-IFERROR(INDEX(Calc!$AP$2:$AP$124,MATCH($W106,Calc!$A$2:$A$124,0)),0.5))),SQRT(G106*Config!$B$5)))</f>
        <v/>
      </c>
      <c r="I106" s="8">
        <f>IF(OR(F106="",G106="",N(H106)&lt;=0),"",1-NORMDIST(FLOOR(F106,1)+0.5,G106,H106,TRUE))</f>
        <v/>
      </c>
      <c r="J106" s="8">
        <f>IF(I106="","",NORMDIST(CEILING(F106,1)-0.5,G106,H106,TRUE))</f>
        <v/>
      </c>
      <c r="K106" s="8">
        <f>IF(I106="","",MAX(0,1-I106-J106))</f>
        <v/>
      </c>
      <c r="L106">
        <f>IF(I106="","",IF(I106&gt;=0.5+Config!$B$6,"OVER",IF(J106&gt;=0.5+Config!$B$6,"UNDER","—")))</f>
        <v/>
      </c>
      <c r="N106" t="n">
        <v>12.7</v>
      </c>
      <c r="O106" s="8" t="n">
        <v>0.8</v>
      </c>
      <c r="P106" s="8" t="n">
        <v>0.5</v>
      </c>
      <c r="Q106" s="8" t="n">
        <v>0.47</v>
      </c>
      <c r="R106" t="inlineStr">
        <is>
          <t>13%/1/8</t>
        </is>
      </c>
      <c r="S106" t="n">
        <v>1</v>
      </c>
      <c r="T106">
        <f>INDEX(Calc!$G$2:$G$124,MATCH($W106,Calc!$A$2:$A$124,0))&amp;" / "&amp;INDEX(Calc!$H$2:$H$124,MATCH($W106,Calc!$A$2:$A$124,0))</f>
        <v/>
      </c>
      <c r="U106">
        <f>TEXT(INDEX(Calc!$J$2:$J$124,MATCH($W106,Calc!$A$2:$A$124,0)),"0.0")&amp;" / "&amp;TEXT(INDEX(Calc!$K$2:$K$124,MATCH($W106,Calc!$A$2:$A$124,0)),"0.0")</f>
        <v/>
      </c>
      <c r="V106">
        <f>IFERROR(INDEX(Calc!$AQ$2:$AQ$124,MATCH($W106,Calc!$A$2:$A$124,0)),"")</f>
        <v/>
      </c>
      <c r="W106" t="inlineStr">
        <is>
          <t>509x6s2e70l3hhg|CS2 · FURIA vs NAVI</t>
        </is>
      </c>
      <c r="X106" t="inlineStr">
        <is>
          <t>H12</t>
        </is>
      </c>
      <c r="Y106">
        <f>W106&amp;"|"&amp;X106</f>
        <v/>
      </c>
      <c r="Z106" s="9">
        <f>IFERROR(INDEX(CHOOSE(MATCH($X106,{"K1","K2","K3","K12","K13","H1","H2","H3","H12","H13"},0),Calc!$BA$2:$BA$124,Calc!$BB$2:$BB$124,Calc!$BC$2:$BC$124,Calc!$BD$2:$BD$124,Calc!$BE$2:$BE$124,Calc!$BF$2:$BF$124,Calc!$BG$2:$BG$124,Calc!$BH$2:$BH$124,Calc!$BI$2:$BI$124,Calc!$BJ$2:$BJ$124),MATCH($W106,Calc!$A$2:$A$124,0)),"")</f>
        <v/>
      </c>
      <c r="AA106" s="9">
        <f>IF(Z106="","",IF(LEFT($X106,1)="H",SQRT(Z106*(IFERROR(INDEX(Calc!$AP$2:$AP$124,MATCH($W106,Calc!$A$2:$A$124,0)),0.5)*Config!$B$5+1-IFERROR(INDEX(Calc!$AP$2:$AP$124,MATCH($W106,Calc!$A$2:$A$124,0)),0.5))),SQRT(Z106*Config!$B$5)))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FURIA vs NAVI</t>
        </is>
      </c>
      <c r="C107" t="inlineStr">
        <is>
          <t>Aleksib</t>
        </is>
      </c>
      <c r="D107" t="inlineStr">
        <is>
          <t>NAVI</t>
        </is>
      </c>
      <c r="E107" t="inlineStr">
        <is>
          <t>Maps 1-2 Kills</t>
        </is>
      </c>
      <c r="F107" t="n">
        <v>22</v>
      </c>
      <c r="G107" s="9">
        <f>IFERROR(INDEX(CHOOSE(MATCH($X107,{"K1","K2","K3","K12","K13","H1","H2","H3","H12","H13"},0),Calc!$V$2:$V$124,Calc!$AC$2:$AC$124,Calc!$AJ$2:$AJ$124,Calc!$AL$2:$AL$124,Calc!$AM$2:$AM$124,Calc!$W$2:$W$124,Calc!$AD$2:$AD$124,Calc!$AK$2:$AK$124,Calc!$AN$2:$AN$124,Calc!$AO$2:$AO$124),MATCH($W107,Calc!$A$2:$A$124,0)),"")</f>
        <v/>
      </c>
      <c r="H107" s="9">
        <f>IF(G107="","",IF(LEFT($X107,1)="H",SQRT(G107*(IFERROR(INDEX(Calc!$AP$2:$AP$124,MATCH($W107,Calc!$A$2:$A$124,0)),0.5)*Config!$B$5+1-IFERROR(INDEX(Calc!$AP$2:$AP$124,MATCH($W107,Calc!$A$2:$A$124,0)),0.5))),SQRT(G107*Config!$B$5)))</f>
        <v/>
      </c>
      <c r="I107" s="8">
        <f>IF(OR(F107="",G107="",N(H107)&lt;=0),"",1-NORMDIST(FLOOR(F107,1)+0.5,G107,H107,TRUE))</f>
        <v/>
      </c>
      <c r="J107" s="8">
        <f>IF(I107="","",NORMDIST(CEILING(F107,1)-0.5,G107,H107,TRUE))</f>
        <v/>
      </c>
      <c r="K107" s="8">
        <f>IF(I107="","",MAX(0,1-I107-J107))</f>
        <v/>
      </c>
      <c r="L107">
        <f>IF(I107="","",IF(I107&gt;=0.5+Config!$B$6,"OVER",IF(J107&gt;=0.5+Config!$B$6,"UNDER","—")))</f>
        <v/>
      </c>
      <c r="M107" t="n">
        <v>21</v>
      </c>
      <c r="N107" t="n">
        <v>21.8</v>
      </c>
      <c r="O107" s="8" t="n">
        <v>0.6</v>
      </c>
      <c r="P107" s="8" t="n">
        <v>0.4</v>
      </c>
      <c r="Q107" s="8" t="n">
        <v>0.4</v>
      </c>
      <c r="R107" t="inlineStr">
        <is>
          <t>25%/2/8</t>
        </is>
      </c>
      <c r="S107" t="n">
        <v>1</v>
      </c>
      <c r="T107">
        <f>INDEX(Calc!$G$2:$G$124,MATCH($W107,Calc!$A$2:$A$124,0))&amp;" / "&amp;INDEX(Calc!$H$2:$H$124,MATCH($W107,Calc!$A$2:$A$124,0))</f>
        <v/>
      </c>
      <c r="U107">
        <f>TEXT(INDEX(Calc!$J$2:$J$124,MATCH($W107,Calc!$A$2:$A$124,0)),"0.0")&amp;" / "&amp;TEXT(INDEX(Calc!$K$2:$K$124,MATCH($W107,Calc!$A$2:$A$124,0)),"0.0")</f>
        <v/>
      </c>
      <c r="V107">
        <f>IFERROR(INDEX(Calc!$AQ$2:$AQ$124,MATCH($W107,Calc!$A$2:$A$124,0)),"")</f>
        <v/>
      </c>
      <c r="W107" t="inlineStr">
        <is>
          <t>509x6s2e70l3hhg|CS2 · FURIA vs NAVI</t>
        </is>
      </c>
      <c r="X107" t="inlineStr">
        <is>
          <t>K12</t>
        </is>
      </c>
      <c r="Y107">
        <f>W107&amp;"|"&amp;X107</f>
        <v/>
      </c>
      <c r="Z107" s="9">
        <f>IFERROR(INDEX(CHOOSE(MATCH($X107,{"K1","K2","K3","K12","K13","H1","H2","H3","H12","H13"},0),Calc!$BA$2:$BA$124,Calc!$BB$2:$BB$124,Calc!$BC$2:$BC$124,Calc!$BD$2:$BD$124,Calc!$BE$2:$BE$124,Calc!$BF$2:$BF$124,Calc!$BG$2:$BG$124,Calc!$BH$2:$BH$124,Calc!$BI$2:$BI$124,Calc!$BJ$2:$BJ$124),MATCH($W107,Calc!$A$2:$A$124,0)),"")</f>
        <v/>
      </c>
      <c r="AA107" s="9">
        <f>IF(Z107="","",IF(LEFT($X107,1)="H",SQRT(Z107*(IFERROR(INDEX(Calc!$AP$2:$AP$124,MATCH($W107,Calc!$A$2:$A$124,0)),0.5)*Config!$B$5+1-IFERROR(INDEX(Calc!$AP$2:$AP$124,MATCH($W107,Calc!$A$2:$A$124,0)),0.5))),SQRT(Z107*Config!$B$5)))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FURIA vs NAVI</t>
        </is>
      </c>
      <c r="C108" t="inlineStr">
        <is>
          <t>b1t</t>
        </is>
      </c>
      <c r="D108" t="inlineStr">
        <is>
          <t>NAVI</t>
        </is>
      </c>
      <c r="E108" t="inlineStr">
        <is>
          <t>Maps 1-2 HS</t>
        </is>
      </c>
      <c r="F108" t="n">
        <v>17.5</v>
      </c>
      <c r="G108" s="9">
        <f>IFERROR(INDEX(CHOOSE(MATCH($X108,{"K1","K2","K3","K12","K13","H1","H2","H3","H12","H13"},0),Calc!$V$2:$V$124,Calc!$AC$2:$AC$124,Calc!$AJ$2:$AJ$124,Calc!$AL$2:$AL$124,Calc!$AM$2:$AM$124,Calc!$W$2:$W$124,Calc!$AD$2:$AD$124,Calc!$AK$2:$AK$124,Calc!$AN$2:$AN$124,Calc!$AO$2:$AO$124),MATCH($W108,Calc!$A$2:$A$124,0)),"")</f>
        <v/>
      </c>
      <c r="H108" s="9">
        <f>IF(G108="","",IF(LEFT($X108,1)="H",SQRT(G108*(IFERROR(INDEX(Calc!$AP$2:$AP$124,MATCH($W108,Calc!$A$2:$A$124,0)),0.5)*Config!$B$5+1-IFERROR(INDEX(Calc!$AP$2:$AP$124,MATCH($W108,Calc!$A$2:$A$124,0)),0.5))),SQRT(G108*Config!$B$5)))</f>
        <v/>
      </c>
      <c r="I108" s="8">
        <f>IF(OR(F108="",G108="",N(H108)&lt;=0),"",1-NORMDIST(FLOOR(F108,1)+0.5,G108,H108,TRUE))</f>
        <v/>
      </c>
      <c r="J108" s="8">
        <f>IF(I108="","",NORMDIST(CEILING(F108,1)-0.5,G108,H108,TRUE))</f>
        <v/>
      </c>
      <c r="K108" s="8">
        <f>IF(I108="","",MAX(0,1-I108-J108))</f>
        <v/>
      </c>
      <c r="L108">
        <f>IF(I108="","",IF(I108&gt;=0.5+Config!$B$6,"OVER",IF(J108&gt;=0.5+Config!$B$6,"UNDER","—")))</f>
        <v/>
      </c>
      <c r="N108" t="n">
        <v>17.7</v>
      </c>
      <c r="O108" s="8" t="n">
        <v>0.6</v>
      </c>
      <c r="P108" s="8" t="n">
        <v>0.5</v>
      </c>
      <c r="Q108" s="8" t="n">
        <v>0.6</v>
      </c>
      <c r="R108" t="inlineStr">
        <is>
          <t>63%/5/8</t>
        </is>
      </c>
      <c r="S108" t="n">
        <v>1</v>
      </c>
      <c r="T108">
        <f>INDEX(Calc!$G$2:$G$124,MATCH($W108,Calc!$A$2:$A$124,0))&amp;" / "&amp;INDEX(Calc!$H$2:$H$124,MATCH($W108,Calc!$A$2:$A$124,0))</f>
        <v/>
      </c>
      <c r="U108">
        <f>TEXT(INDEX(Calc!$J$2:$J$124,MATCH($W108,Calc!$A$2:$A$124,0)),"0.0")&amp;" / "&amp;TEXT(INDEX(Calc!$K$2:$K$124,MATCH($W108,Calc!$A$2:$A$124,0)),"0.0")</f>
        <v/>
      </c>
      <c r="V108">
        <f>IFERROR(INDEX(Calc!$AQ$2:$AQ$124,MATCH($W108,Calc!$A$2:$A$124,0)),"")</f>
        <v/>
      </c>
      <c r="W108" t="inlineStr">
        <is>
          <t>2y1yay7td9d3pb6|CS2 · FURIA vs NAVI</t>
        </is>
      </c>
      <c r="X108" t="inlineStr">
        <is>
          <t>H12</t>
        </is>
      </c>
      <c r="Y108">
        <f>W108&amp;"|"&amp;X108</f>
        <v/>
      </c>
      <c r="Z108" s="9">
        <f>IFERROR(INDEX(CHOOSE(MATCH($X108,{"K1","K2","K3","K12","K13","H1","H2","H3","H12","H13"},0),Calc!$BA$2:$BA$124,Calc!$BB$2:$BB$124,Calc!$BC$2:$BC$124,Calc!$BD$2:$BD$124,Calc!$BE$2:$BE$124,Calc!$BF$2:$BF$124,Calc!$BG$2:$BG$124,Calc!$BH$2:$BH$124,Calc!$BI$2:$BI$124,Calc!$BJ$2:$BJ$124),MATCH($W108,Calc!$A$2:$A$124,0)),"")</f>
        <v/>
      </c>
      <c r="AA108" s="9">
        <f>IF(Z108="","",IF(LEFT($X108,1)="H",SQRT(Z108*(IFERROR(INDEX(Calc!$AP$2:$AP$124,MATCH($W108,Calc!$A$2:$A$124,0)),0.5)*Config!$B$5+1-IFERROR(INDEX(Calc!$AP$2:$AP$124,MATCH($W108,Calc!$A$2:$A$124,0)),0.5))),SQRT(Z108*Config!$B$5)))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FURIA vs NAVI</t>
        </is>
      </c>
      <c r="C109" t="inlineStr">
        <is>
          <t>b1t</t>
        </is>
      </c>
      <c r="D109" t="inlineStr">
        <is>
          <t>NAVI</t>
        </is>
      </c>
      <c r="E109" t="inlineStr">
        <is>
          <t>Maps 1-2 Kills</t>
        </is>
      </c>
      <c r="F109" t="n">
        <v>29</v>
      </c>
      <c r="G109" s="9">
        <f>IFERROR(INDEX(CHOOSE(MATCH($X109,{"K1","K2","K3","K12","K13","H1","H2","H3","H12","H13"},0),Calc!$V$2:$V$124,Calc!$AC$2:$AC$124,Calc!$AJ$2:$AJ$124,Calc!$AL$2:$AL$124,Calc!$AM$2:$AM$124,Calc!$W$2:$W$124,Calc!$AD$2:$AD$124,Calc!$AK$2:$AK$124,Calc!$AN$2:$AN$124,Calc!$AO$2:$AO$124),MATCH($W109,Calc!$A$2:$A$124,0)),"")</f>
        <v/>
      </c>
      <c r="H109" s="9">
        <f>IF(G109="","",IF(LEFT($X109,1)="H",SQRT(G109*(IFERROR(INDEX(Calc!$AP$2:$AP$124,MATCH($W109,Calc!$A$2:$A$124,0)),0.5)*Config!$B$5+1-IFERROR(INDEX(Calc!$AP$2:$AP$124,MATCH($W109,Calc!$A$2:$A$124,0)),0.5))),SQRT(G109*Config!$B$5)))</f>
        <v/>
      </c>
      <c r="I109" s="8">
        <f>IF(OR(F109="",G109="",N(H109)&lt;=0),"",1-NORMDIST(FLOOR(F109,1)+0.5,G109,H109,TRUE))</f>
        <v/>
      </c>
      <c r="J109" s="8">
        <f>IF(I109="","",NORMDIST(CEILING(F109,1)-0.5,G109,H109,TRUE))</f>
        <v/>
      </c>
      <c r="K109" s="8">
        <f>IF(I109="","",MAX(0,1-I109-J109))</f>
        <v/>
      </c>
      <c r="L109">
        <f>IF(I109="","",IF(I109&gt;=0.5+Config!$B$6,"OVER",IF(J109&gt;=0.5+Config!$B$6,"UNDER","—")))</f>
        <v/>
      </c>
      <c r="M109" t="n">
        <v>29.24</v>
      </c>
      <c r="N109" t="n">
        <v>29.8</v>
      </c>
      <c r="O109" s="8" t="n">
        <v>0.6</v>
      </c>
      <c r="P109" s="8" t="n">
        <v>0.6</v>
      </c>
      <c r="Q109" s="8" t="n">
        <v>0.6</v>
      </c>
      <c r="R109" t="inlineStr">
        <is>
          <t>63%/5/8</t>
        </is>
      </c>
      <c r="S109" t="n">
        <v>1</v>
      </c>
      <c r="T109">
        <f>INDEX(Calc!$G$2:$G$124,MATCH($W109,Calc!$A$2:$A$124,0))&amp;" / "&amp;INDEX(Calc!$H$2:$H$124,MATCH($W109,Calc!$A$2:$A$124,0))</f>
        <v/>
      </c>
      <c r="U109">
        <f>TEXT(INDEX(Calc!$J$2:$J$124,MATCH($W109,Calc!$A$2:$A$124,0)),"0.0")&amp;" / "&amp;TEXT(INDEX(Calc!$K$2:$K$124,MATCH($W109,Calc!$A$2:$A$124,0)),"0.0")</f>
        <v/>
      </c>
      <c r="V109">
        <f>IFERROR(INDEX(Calc!$AQ$2:$AQ$124,MATCH($W109,Calc!$A$2:$A$124,0)),"")</f>
        <v/>
      </c>
      <c r="W109" t="inlineStr">
        <is>
          <t>2y1yay7td9d3pb6|CS2 · FURIA vs NAVI</t>
        </is>
      </c>
      <c r="X109" t="inlineStr">
        <is>
          <t>K12</t>
        </is>
      </c>
      <c r="Y109">
        <f>W109&amp;"|"&amp;X109</f>
        <v/>
      </c>
      <c r="Z109" s="9">
        <f>IFERROR(INDEX(CHOOSE(MATCH($X109,{"K1","K2","K3","K12","K13","H1","H2","H3","H12","H13"},0),Calc!$BA$2:$BA$124,Calc!$BB$2:$BB$124,Calc!$BC$2:$BC$124,Calc!$BD$2:$BD$124,Calc!$BE$2:$BE$124,Calc!$BF$2:$BF$124,Calc!$BG$2:$BG$124,Calc!$BH$2:$BH$124,Calc!$BI$2:$BI$124,Calc!$BJ$2:$BJ$124),MATCH($W109,Calc!$A$2:$A$124,0)),"")</f>
        <v/>
      </c>
      <c r="AA109" s="9">
        <f>IF(Z109="","",IF(LEFT($X109,1)="H",SQRT(Z109*(IFERROR(INDEX(Calc!$AP$2:$AP$124,MATCH($W109,Calc!$A$2:$A$124,0)),0.5)*Config!$B$5+1-IFERROR(INDEX(Calc!$AP$2:$AP$124,MATCH($W109,Calc!$A$2:$A$124,0)),0.5))),SQRT(Z109*Config!$B$5)))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FURIA vs NAVI</t>
        </is>
      </c>
      <c r="C110" t="inlineStr">
        <is>
          <t>iM</t>
        </is>
      </c>
      <c r="D110" t="inlineStr">
        <is>
          <t>NAVI</t>
        </is>
      </c>
      <c r="E110" t="inlineStr">
        <is>
          <t>Maps 1-2 HS</t>
        </is>
      </c>
      <c r="F110" t="n">
        <v>12.5</v>
      </c>
      <c r="G110" s="9">
        <f>IFERROR(INDEX(CHOOSE(MATCH($X110,{"K1","K2","K3","K12","K13","H1","H2","H3","H12","H13"},0),Calc!$V$2:$V$124,Calc!$AC$2:$AC$124,Calc!$AJ$2:$AJ$124,Calc!$AL$2:$AL$124,Calc!$AM$2:$AM$124,Calc!$W$2:$W$124,Calc!$AD$2:$AD$124,Calc!$AK$2:$AK$124,Calc!$AN$2:$AN$124,Calc!$AO$2:$AO$124),MATCH($W110,Calc!$A$2:$A$124,0)),"")</f>
        <v/>
      </c>
      <c r="H110" s="9">
        <f>IF(G110="","",IF(LEFT($X110,1)="H",SQRT(G110*(IFERROR(INDEX(Calc!$AP$2:$AP$124,MATCH($W110,Calc!$A$2:$A$124,0)),0.5)*Config!$B$5+1-IFERROR(INDEX(Calc!$AP$2:$AP$124,MATCH($W110,Calc!$A$2:$A$124,0)),0.5))),SQRT(G110*Config!$B$5)))</f>
        <v/>
      </c>
      <c r="I110" s="8">
        <f>IF(OR(F110="",G110="",N(H110)&lt;=0),"",1-NORMDIST(FLOOR(F110,1)+0.5,G110,H110,TRUE))</f>
        <v/>
      </c>
      <c r="J110" s="8">
        <f>IF(I110="","",NORMDIST(CEILING(F110,1)-0.5,G110,H110,TRUE))</f>
        <v/>
      </c>
      <c r="K110" s="8">
        <f>IF(I110="","",MAX(0,1-I110-J110))</f>
        <v/>
      </c>
      <c r="L110">
        <f>IF(I110="","",IF(I110&gt;=0.5+Config!$B$6,"OVER",IF(J110&gt;=0.5+Config!$B$6,"UNDER","—")))</f>
        <v/>
      </c>
      <c r="N110" t="n">
        <v>13.9</v>
      </c>
      <c r="O110" s="8" t="n">
        <v>0.6</v>
      </c>
      <c r="P110" s="8" t="n">
        <v>0.6</v>
      </c>
      <c r="Q110" s="8" t="n">
        <v>0.53</v>
      </c>
      <c r="R110" t="inlineStr">
        <is>
          <t>75%/6/8</t>
        </is>
      </c>
      <c r="S110" t="n">
        <v>2</v>
      </c>
      <c r="T110">
        <f>INDEX(Calc!$G$2:$G$124,MATCH($W110,Calc!$A$2:$A$124,0))&amp;" / "&amp;INDEX(Calc!$H$2:$H$124,MATCH($W110,Calc!$A$2:$A$124,0))</f>
        <v/>
      </c>
      <c r="U110">
        <f>TEXT(INDEX(Calc!$J$2:$J$124,MATCH($W110,Calc!$A$2:$A$124,0)),"0.0")&amp;" / "&amp;TEXT(INDEX(Calc!$K$2:$K$124,MATCH($W110,Calc!$A$2:$A$124,0)),"0.0")</f>
        <v/>
      </c>
      <c r="V110">
        <f>IFERROR(INDEX(Calc!$AQ$2:$AQ$124,MATCH($W110,Calc!$A$2:$A$124,0)),"")</f>
        <v/>
      </c>
      <c r="W110" t="inlineStr">
        <is>
          <t>6fnysfxfr7gofjk|CS2 · FURIA vs NAVI</t>
        </is>
      </c>
      <c r="X110" t="inlineStr">
        <is>
          <t>H12</t>
        </is>
      </c>
      <c r="Y110">
        <f>W110&amp;"|"&amp;X110</f>
        <v/>
      </c>
      <c r="Z110" s="9">
        <f>IFERROR(INDEX(CHOOSE(MATCH($X110,{"K1","K2","K3","K12","K13","H1","H2","H3","H12","H13"},0),Calc!$BA$2:$BA$124,Calc!$BB$2:$BB$124,Calc!$BC$2:$BC$124,Calc!$BD$2:$BD$124,Calc!$BE$2:$BE$124,Calc!$BF$2:$BF$124,Calc!$BG$2:$BG$124,Calc!$BH$2:$BH$124,Calc!$BI$2:$BI$124,Calc!$BJ$2:$BJ$124),MATCH($W110,Calc!$A$2:$A$124,0)),"")</f>
        <v/>
      </c>
      <c r="AA110" s="9">
        <f>IF(Z110="","",IF(LEFT($X110,1)="H",SQRT(Z110*(IFERROR(INDEX(Calc!$AP$2:$AP$124,MATCH($W110,Calc!$A$2:$A$124,0)),0.5)*Config!$B$5+1-IFERROR(INDEX(Calc!$AP$2:$AP$124,MATCH($W110,Calc!$A$2:$A$124,0)),0.5))),SQRT(Z110*Config!$B$5)))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FURIA vs NAVI</t>
        </is>
      </c>
      <c r="C111" t="inlineStr">
        <is>
          <t>iM</t>
        </is>
      </c>
      <c r="D111" t="inlineStr">
        <is>
          <t>NAVI</t>
        </is>
      </c>
      <c r="E111" t="inlineStr">
        <is>
          <t>Maps 1-2 Kills</t>
        </is>
      </c>
      <c r="F111" t="n">
        <v>27.5</v>
      </c>
      <c r="G111" s="9">
        <f>IFERROR(INDEX(CHOOSE(MATCH($X111,{"K1","K2","K3","K12","K13","H1","H2","H3","H12","H13"},0),Calc!$V$2:$V$124,Calc!$AC$2:$AC$124,Calc!$AJ$2:$AJ$124,Calc!$AL$2:$AL$124,Calc!$AM$2:$AM$124,Calc!$W$2:$W$124,Calc!$AD$2:$AD$124,Calc!$AK$2:$AK$124,Calc!$AN$2:$AN$124,Calc!$AO$2:$AO$124),MATCH($W111,Calc!$A$2:$A$124,0)),"")</f>
        <v/>
      </c>
      <c r="H111" s="9">
        <f>IF(G111="","",IF(LEFT($X111,1)="H",SQRT(G111*(IFERROR(INDEX(Calc!$AP$2:$AP$124,MATCH($W111,Calc!$A$2:$A$124,0)),0.5)*Config!$B$5+1-IFERROR(INDEX(Calc!$AP$2:$AP$124,MATCH($W111,Calc!$A$2:$A$124,0)),0.5))),SQRT(G111*Config!$B$5)))</f>
        <v/>
      </c>
      <c r="I111" s="8">
        <f>IF(OR(F111="",G111="",N(H111)&lt;=0),"",1-NORMDIST(FLOOR(F111,1)+0.5,G111,H111,TRUE))</f>
        <v/>
      </c>
      <c r="J111" s="8">
        <f>IF(I111="","",NORMDIST(CEILING(F111,1)-0.5,G111,H111,TRUE))</f>
        <v/>
      </c>
      <c r="K111" s="8">
        <f>IF(I111="","",MAX(0,1-I111-J111))</f>
        <v/>
      </c>
      <c r="L111">
        <f>IF(I111="","",IF(I111&gt;=0.5+Config!$B$6,"OVER",IF(J111&gt;=0.5+Config!$B$6,"UNDER","—")))</f>
        <v/>
      </c>
      <c r="M111" t="n">
        <v>28.08</v>
      </c>
      <c r="N111" t="n">
        <v>30.5</v>
      </c>
      <c r="O111" s="8" t="n">
        <v>0.6</v>
      </c>
      <c r="P111" s="8" t="n">
        <v>0.7</v>
      </c>
      <c r="Q111" s="8" t="n">
        <v>0.6</v>
      </c>
      <c r="R111" t="inlineStr">
        <is>
          <t>50%/4/8</t>
        </is>
      </c>
      <c r="S111" t="n">
        <v>3</v>
      </c>
      <c r="T111">
        <f>INDEX(Calc!$G$2:$G$124,MATCH($W111,Calc!$A$2:$A$124,0))&amp;" / "&amp;INDEX(Calc!$H$2:$H$124,MATCH($W111,Calc!$A$2:$A$124,0))</f>
        <v/>
      </c>
      <c r="U111">
        <f>TEXT(INDEX(Calc!$J$2:$J$124,MATCH($W111,Calc!$A$2:$A$124,0)),"0.0")&amp;" / "&amp;TEXT(INDEX(Calc!$K$2:$K$124,MATCH($W111,Calc!$A$2:$A$124,0)),"0.0")</f>
        <v/>
      </c>
      <c r="V111">
        <f>IFERROR(INDEX(Calc!$AQ$2:$AQ$124,MATCH($W111,Calc!$A$2:$A$124,0)),"")</f>
        <v/>
      </c>
      <c r="W111" t="inlineStr">
        <is>
          <t>6fnysfxfr7gofjk|CS2 · FURIA vs NAVI</t>
        </is>
      </c>
      <c r="X111" t="inlineStr">
        <is>
          <t>K12</t>
        </is>
      </c>
      <c r="Y111">
        <f>W111&amp;"|"&amp;X111</f>
        <v/>
      </c>
      <c r="Z111" s="9">
        <f>IFERROR(INDEX(CHOOSE(MATCH($X111,{"K1","K2","K3","K12","K13","H1","H2","H3","H12","H13"},0),Calc!$BA$2:$BA$124,Calc!$BB$2:$BB$124,Calc!$BC$2:$BC$124,Calc!$BD$2:$BD$124,Calc!$BE$2:$BE$124,Calc!$BF$2:$BF$124,Calc!$BG$2:$BG$124,Calc!$BH$2:$BH$124,Calc!$BI$2:$BI$124,Calc!$BJ$2:$BJ$124),MATCH($W111,Calc!$A$2:$A$124,0)),"")</f>
        <v/>
      </c>
      <c r="AA111" s="9">
        <f>IF(Z111="","",IF(LEFT($X111,1)="H",SQRT(Z111*(IFERROR(INDEX(Calc!$AP$2:$AP$124,MATCH($W111,Calc!$A$2:$A$124,0)),0.5)*Config!$B$5+1-IFERROR(INDEX(Calc!$AP$2:$AP$124,MATCH($W111,Calc!$A$2:$A$124,0)),0.5))),SQRT(Z111*Config!$B$5)))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FURIA vs NAVI</t>
        </is>
      </c>
      <c r="C112" t="inlineStr">
        <is>
          <t>makazze</t>
        </is>
      </c>
      <c r="D112" t="inlineStr">
        <is>
          <t>NAVI</t>
        </is>
      </c>
      <c r="E112" t="inlineStr">
        <is>
          <t>Maps 1-2 HS</t>
        </is>
      </c>
      <c r="F112" t="n">
        <v>16</v>
      </c>
      <c r="G112" s="9">
        <f>IFERROR(INDEX(CHOOSE(MATCH($X112,{"K1","K2","K3","K12","K13","H1","H2","H3","H12","H13"},0),Calc!$V$2:$V$124,Calc!$AC$2:$AC$124,Calc!$AJ$2:$AJ$124,Calc!$AL$2:$AL$124,Calc!$AM$2:$AM$124,Calc!$W$2:$W$124,Calc!$AD$2:$AD$124,Calc!$AK$2:$AK$124,Calc!$AN$2:$AN$124,Calc!$AO$2:$AO$124),MATCH($W112,Calc!$A$2:$A$124,0)),"")</f>
        <v/>
      </c>
      <c r="H112" s="9">
        <f>IF(G112="","",IF(LEFT($X112,1)="H",SQRT(G112*(IFERROR(INDEX(Calc!$AP$2:$AP$124,MATCH($W112,Calc!$A$2:$A$124,0)),0.5)*Config!$B$5+1-IFERROR(INDEX(Calc!$AP$2:$AP$124,MATCH($W112,Calc!$A$2:$A$124,0)),0.5))),SQRT(G112*Config!$B$5)))</f>
        <v/>
      </c>
      <c r="I112" s="8">
        <f>IF(OR(F112="",G112="",N(H112)&lt;=0),"",1-NORMDIST(FLOOR(F112,1)+0.5,G112,H112,TRUE))</f>
        <v/>
      </c>
      <c r="J112" s="8">
        <f>IF(I112="","",NORMDIST(CEILING(F112,1)-0.5,G112,H112,TRUE))</f>
        <v/>
      </c>
      <c r="K112" s="8">
        <f>IF(I112="","",MAX(0,1-I112-J112))</f>
        <v/>
      </c>
      <c r="L112">
        <f>IF(I112="","",IF(I112&gt;=0.5+Config!$B$6,"OVER",IF(J112&gt;=0.5+Config!$B$6,"UNDER","—")))</f>
        <v/>
      </c>
      <c r="N112" t="n">
        <v>16.2</v>
      </c>
      <c r="O112" s="8" t="n">
        <v>0.4</v>
      </c>
      <c r="P112" s="8" t="n">
        <v>0.4</v>
      </c>
      <c r="Q112" s="8" t="n">
        <v>0.4</v>
      </c>
      <c r="R112" t="inlineStr">
        <is>
          <t>75%/3/4</t>
        </is>
      </c>
      <c r="S112" t="n">
        <v>-2</v>
      </c>
      <c r="T112">
        <f>INDEX(Calc!$G$2:$G$124,MATCH($W112,Calc!$A$2:$A$124,0))&amp;" / "&amp;INDEX(Calc!$H$2:$H$124,MATCH($W112,Calc!$A$2:$A$124,0))</f>
        <v/>
      </c>
      <c r="U112">
        <f>TEXT(INDEX(Calc!$J$2:$J$124,MATCH($W112,Calc!$A$2:$A$124,0)),"0.0")&amp;" / "&amp;TEXT(INDEX(Calc!$K$2:$K$124,MATCH($W112,Calc!$A$2:$A$124,0)),"0.0")</f>
        <v/>
      </c>
      <c r="V112">
        <f>IFERROR(INDEX(Calc!$AQ$2:$AQ$124,MATCH($W112,Calc!$A$2:$A$124,0)),"")</f>
        <v/>
      </c>
      <c r="W112" t="inlineStr">
        <is>
          <t>6oi74s8csyxqh63|CS2 · FURIA vs NAVI</t>
        </is>
      </c>
      <c r="X112" t="inlineStr">
        <is>
          <t>H12</t>
        </is>
      </c>
      <c r="Y112">
        <f>W112&amp;"|"&amp;X112</f>
        <v/>
      </c>
      <c r="Z112" s="9">
        <f>IFERROR(INDEX(CHOOSE(MATCH($X112,{"K1","K2","K3","K12","K13","H1","H2","H3","H12","H13"},0),Calc!$BA$2:$BA$124,Calc!$BB$2:$BB$124,Calc!$BC$2:$BC$124,Calc!$BD$2:$BD$124,Calc!$BE$2:$BE$124,Calc!$BF$2:$BF$124,Calc!$BG$2:$BG$124,Calc!$BH$2:$BH$124,Calc!$BI$2:$BI$124,Calc!$BJ$2:$BJ$124),MATCH($W112,Calc!$A$2:$A$124,0)),"")</f>
        <v/>
      </c>
      <c r="AA112" s="9">
        <f>IF(Z112="","",IF(LEFT($X112,1)="H",SQRT(Z112*(IFERROR(INDEX(Calc!$AP$2:$AP$124,MATCH($W112,Calc!$A$2:$A$124,0)),0.5)*Config!$B$5+1-IFERROR(INDEX(Calc!$AP$2:$AP$124,MATCH($W112,Calc!$A$2:$A$124,0)),0.5))),SQRT(Z112*Config!$B$5)))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FURIA vs NAVI</t>
        </is>
      </c>
      <c r="C113" t="inlineStr">
        <is>
          <t>makazze</t>
        </is>
      </c>
      <c r="D113" t="inlineStr">
        <is>
          <t>NAVI</t>
        </is>
      </c>
      <c r="E113" t="inlineStr">
        <is>
          <t>Maps 1-2 Kills</t>
        </is>
      </c>
      <c r="F113" t="n">
        <v>29</v>
      </c>
      <c r="G113" s="9">
        <f>IFERROR(INDEX(CHOOSE(MATCH($X113,{"K1","K2","K3","K12","K13","H1","H2","H3","H12","H13"},0),Calc!$V$2:$V$124,Calc!$AC$2:$AC$124,Calc!$AJ$2:$AJ$124,Calc!$AL$2:$AL$124,Calc!$AM$2:$AM$124,Calc!$W$2:$W$124,Calc!$AD$2:$AD$124,Calc!$AK$2:$AK$124,Calc!$AN$2:$AN$124,Calc!$AO$2:$AO$124),MATCH($W113,Calc!$A$2:$A$124,0)),"")</f>
        <v/>
      </c>
      <c r="H113" s="9">
        <f>IF(G113="","",IF(LEFT($X113,1)="H",SQRT(G113*(IFERROR(INDEX(Calc!$AP$2:$AP$124,MATCH($W113,Calc!$A$2:$A$124,0)),0.5)*Config!$B$5+1-IFERROR(INDEX(Calc!$AP$2:$AP$124,MATCH($W113,Calc!$A$2:$A$124,0)),0.5))),SQRT(G113*Config!$B$5)))</f>
        <v/>
      </c>
      <c r="I113" s="8">
        <f>IF(OR(F113="",G113="",N(H113)&lt;=0),"",1-NORMDIST(FLOOR(F113,1)+0.5,G113,H113,TRUE))</f>
        <v/>
      </c>
      <c r="J113" s="8">
        <f>IF(I113="","",NORMDIST(CEILING(F113,1)-0.5,G113,H113,TRUE))</f>
        <v/>
      </c>
      <c r="K113" s="8">
        <f>IF(I113="","",MAX(0,1-I113-J113))</f>
        <v/>
      </c>
      <c r="L113">
        <f>IF(I113="","",IF(I113&gt;=0.5+Config!$B$6,"OVER",IF(J113&gt;=0.5+Config!$B$6,"UNDER","—")))</f>
        <v/>
      </c>
      <c r="M113" t="n">
        <v>29.18</v>
      </c>
      <c r="N113" t="n">
        <v>31.3</v>
      </c>
      <c r="O113" s="8" t="n">
        <v>0.8</v>
      </c>
      <c r="P113" s="8" t="n">
        <v>0.7</v>
      </c>
      <c r="Q113" s="8" t="n">
        <v>0.6</v>
      </c>
      <c r="R113" t="inlineStr">
        <is>
          <t>75%/3/4</t>
        </is>
      </c>
      <c r="S113" t="n">
        <v>4</v>
      </c>
      <c r="T113">
        <f>INDEX(Calc!$G$2:$G$124,MATCH($W113,Calc!$A$2:$A$124,0))&amp;" / "&amp;INDEX(Calc!$H$2:$H$124,MATCH($W113,Calc!$A$2:$A$124,0))</f>
        <v/>
      </c>
      <c r="U113">
        <f>TEXT(INDEX(Calc!$J$2:$J$124,MATCH($W113,Calc!$A$2:$A$124,0)),"0.0")&amp;" / "&amp;TEXT(INDEX(Calc!$K$2:$K$124,MATCH($W113,Calc!$A$2:$A$124,0)),"0.0")</f>
        <v/>
      </c>
      <c r="V113">
        <f>IFERROR(INDEX(Calc!$AQ$2:$AQ$124,MATCH($W113,Calc!$A$2:$A$124,0)),"")</f>
        <v/>
      </c>
      <c r="W113" t="inlineStr">
        <is>
          <t>6oi74s8csyxqh63|CS2 · FURIA vs NAVI</t>
        </is>
      </c>
      <c r="X113" t="inlineStr">
        <is>
          <t>K12</t>
        </is>
      </c>
      <c r="Y113">
        <f>W113&amp;"|"&amp;X113</f>
        <v/>
      </c>
      <c r="Z113" s="9">
        <f>IFERROR(INDEX(CHOOSE(MATCH($X113,{"K1","K2","K3","K12","K13","H1","H2","H3","H12","H13"},0),Calc!$BA$2:$BA$124,Calc!$BB$2:$BB$124,Calc!$BC$2:$BC$124,Calc!$BD$2:$BD$124,Calc!$BE$2:$BE$124,Calc!$BF$2:$BF$124,Calc!$BG$2:$BG$124,Calc!$BH$2:$BH$124,Calc!$BI$2:$BI$124,Calc!$BJ$2:$BJ$124),MATCH($W113,Calc!$A$2:$A$124,0)),"")</f>
        <v/>
      </c>
      <c r="AA113" s="9">
        <f>IF(Z113="","",IF(LEFT($X113,1)="H",SQRT(Z113*(IFERROR(INDEX(Calc!$AP$2:$AP$124,MATCH($W113,Calc!$A$2:$A$124,0)),0.5)*Config!$B$5+1-IFERROR(INDEX(Calc!$AP$2:$AP$124,MATCH($W113,Calc!$A$2:$A$124,0)),0.5))),SQRT(Z113*Config!$B$5)))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FURIA vs NAVI</t>
        </is>
      </c>
      <c r="C114" t="inlineStr">
        <is>
          <t>w0nderful</t>
        </is>
      </c>
      <c r="D114" t="inlineStr">
        <is>
          <t>NAVI</t>
        </is>
      </c>
      <c r="E114" t="inlineStr">
        <is>
          <t>Maps 1-2 HS</t>
        </is>
      </c>
      <c r="F114" t="n">
        <v>12.5</v>
      </c>
      <c r="G114" s="9">
        <f>IFERROR(INDEX(CHOOSE(MATCH($X114,{"K1","K2","K3","K12","K13","H1","H2","H3","H12","H13"},0),Calc!$V$2:$V$124,Calc!$AC$2:$AC$124,Calc!$AJ$2:$AJ$124,Calc!$AL$2:$AL$124,Calc!$AM$2:$AM$124,Calc!$W$2:$W$124,Calc!$AD$2:$AD$124,Calc!$AK$2:$AK$124,Calc!$AN$2:$AN$124,Calc!$AO$2:$AO$124),MATCH($W114,Calc!$A$2:$A$124,0)),"")</f>
        <v/>
      </c>
      <c r="H114" s="9">
        <f>IF(G114="","",IF(LEFT($X114,1)="H",SQRT(G114*(IFERROR(INDEX(Calc!$AP$2:$AP$124,MATCH($W114,Calc!$A$2:$A$124,0)),0.5)*Config!$B$5+1-IFERROR(INDEX(Calc!$AP$2:$AP$124,MATCH($W114,Calc!$A$2:$A$124,0)),0.5))),SQRT(G114*Config!$B$5)))</f>
        <v/>
      </c>
      <c r="I114" s="8">
        <f>IF(OR(F114="",G114="",N(H114)&lt;=0),"",1-NORMDIST(FLOOR(F114,1)+0.5,G114,H114,TRUE))</f>
        <v/>
      </c>
      <c r="J114" s="8">
        <f>IF(I114="","",NORMDIST(CEILING(F114,1)-0.5,G114,H114,TRUE))</f>
        <v/>
      </c>
      <c r="K114" s="8">
        <f>IF(I114="","",MAX(0,1-I114-J114))</f>
        <v/>
      </c>
      <c r="L114">
        <f>IF(I114="","",IF(I114&gt;=0.5+Config!$B$6,"OVER",IF(J114&gt;=0.5+Config!$B$6,"UNDER","—")))</f>
        <v/>
      </c>
      <c r="N114" t="n">
        <v>13.6</v>
      </c>
      <c r="O114" s="8" t="n">
        <v>0.6</v>
      </c>
      <c r="P114" s="8" t="n">
        <v>0.6</v>
      </c>
      <c r="Q114" s="8" t="n">
        <v>0.53</v>
      </c>
      <c r="R114" t="inlineStr">
        <is>
          <t>50%/4/8</t>
        </is>
      </c>
      <c r="S114" t="n">
        <v>1</v>
      </c>
      <c r="T114">
        <f>INDEX(Calc!$G$2:$G$124,MATCH($W114,Calc!$A$2:$A$124,0))&amp;" / "&amp;INDEX(Calc!$H$2:$H$124,MATCH($W114,Calc!$A$2:$A$124,0))</f>
        <v/>
      </c>
      <c r="U114">
        <f>TEXT(INDEX(Calc!$J$2:$J$124,MATCH($W114,Calc!$A$2:$A$124,0)),"0.0")&amp;" / "&amp;TEXT(INDEX(Calc!$K$2:$K$124,MATCH($W114,Calc!$A$2:$A$124,0)),"0.0")</f>
        <v/>
      </c>
      <c r="V114">
        <f>IFERROR(INDEX(Calc!$AQ$2:$AQ$124,MATCH($W114,Calc!$A$2:$A$124,0)),"")</f>
        <v/>
      </c>
      <c r="W114" t="inlineStr">
        <is>
          <t>9wdj3z2kekttkk3|CS2 · FURIA vs NAVI</t>
        </is>
      </c>
      <c r="X114" t="inlineStr">
        <is>
          <t>H12</t>
        </is>
      </c>
      <c r="Y114">
        <f>W114&amp;"|"&amp;X114</f>
        <v/>
      </c>
      <c r="Z114" s="9">
        <f>IFERROR(INDEX(CHOOSE(MATCH($X114,{"K1","K2","K3","K12","K13","H1","H2","H3","H12","H13"},0),Calc!$BA$2:$BA$124,Calc!$BB$2:$BB$124,Calc!$BC$2:$BC$124,Calc!$BD$2:$BD$124,Calc!$BE$2:$BE$124,Calc!$BF$2:$BF$124,Calc!$BG$2:$BG$124,Calc!$BH$2:$BH$124,Calc!$BI$2:$BI$124,Calc!$BJ$2:$BJ$124),MATCH($W114,Calc!$A$2:$A$124,0)),"")</f>
        <v/>
      </c>
      <c r="AA114" s="9">
        <f>IF(Z114="","",IF(LEFT($X114,1)="H",SQRT(Z114*(IFERROR(INDEX(Calc!$AP$2:$AP$124,MATCH($W114,Calc!$A$2:$A$124,0)),0.5)*Config!$B$5+1-IFERROR(INDEX(Calc!$AP$2:$AP$124,MATCH($W114,Calc!$A$2:$A$124,0)),0.5))),SQRT(Z114*Config!$B$5)))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FURIA vs NAVI</t>
        </is>
      </c>
      <c r="C115" t="inlineStr">
        <is>
          <t>w0nderful</t>
        </is>
      </c>
      <c r="D115" t="inlineStr">
        <is>
          <t>NAVI</t>
        </is>
      </c>
      <c r="E115" t="inlineStr">
        <is>
          <t>Maps 1-2 Kills</t>
        </is>
      </c>
      <c r="F115" t="n">
        <v>32.5</v>
      </c>
      <c r="G115" s="9">
        <f>IFERROR(INDEX(CHOOSE(MATCH($X115,{"K1","K2","K3","K12","K13","H1","H2","H3","H12","H13"},0),Calc!$V$2:$V$124,Calc!$AC$2:$AC$124,Calc!$AJ$2:$AJ$124,Calc!$AL$2:$AL$124,Calc!$AM$2:$AM$124,Calc!$W$2:$W$124,Calc!$AD$2:$AD$124,Calc!$AK$2:$AK$124,Calc!$AN$2:$AN$124,Calc!$AO$2:$AO$124),MATCH($W115,Calc!$A$2:$A$124,0)),"")</f>
        <v/>
      </c>
      <c r="H115" s="9">
        <f>IF(G115="","",IF(LEFT($X115,1)="H",SQRT(G115*(IFERROR(INDEX(Calc!$AP$2:$AP$124,MATCH($W115,Calc!$A$2:$A$124,0)),0.5)*Config!$B$5+1-IFERROR(INDEX(Calc!$AP$2:$AP$124,MATCH($W115,Calc!$A$2:$A$124,0)),0.5))),SQRT(G115*Config!$B$5)))</f>
        <v/>
      </c>
      <c r="I115" s="8">
        <f>IF(OR(F115="",G115="",N(H115)&lt;=0),"",1-NORMDIST(FLOOR(F115,1)+0.5,G115,H115,TRUE))</f>
        <v/>
      </c>
      <c r="J115" s="8">
        <f>IF(I115="","",NORMDIST(CEILING(F115,1)-0.5,G115,H115,TRUE))</f>
        <v/>
      </c>
      <c r="K115" s="8">
        <f>IF(I115="","",MAX(0,1-I115-J115))</f>
        <v/>
      </c>
      <c r="L115">
        <f>IF(I115="","",IF(I115&gt;=0.5+Config!$B$6,"OVER",IF(J115&gt;=0.5+Config!$B$6,"UNDER","—")))</f>
        <v/>
      </c>
      <c r="M115" t="n">
        <v>32.82</v>
      </c>
      <c r="N115" t="n">
        <v>34.8</v>
      </c>
      <c r="O115" s="8" t="n">
        <v>0.8</v>
      </c>
      <c r="P115" s="8" t="n">
        <v>0.6</v>
      </c>
      <c r="Q115" s="8" t="n">
        <v>0.4</v>
      </c>
      <c r="R115" t="inlineStr">
        <is>
          <t>38%/3/8</t>
        </is>
      </c>
      <c r="S115" t="n">
        <v>4</v>
      </c>
      <c r="T115">
        <f>INDEX(Calc!$G$2:$G$124,MATCH($W115,Calc!$A$2:$A$124,0))&amp;" / "&amp;INDEX(Calc!$H$2:$H$124,MATCH($W115,Calc!$A$2:$A$124,0))</f>
        <v/>
      </c>
      <c r="U115">
        <f>TEXT(INDEX(Calc!$J$2:$J$124,MATCH($W115,Calc!$A$2:$A$124,0)),"0.0")&amp;" / "&amp;TEXT(INDEX(Calc!$K$2:$K$124,MATCH($W115,Calc!$A$2:$A$124,0)),"0.0")</f>
        <v/>
      </c>
      <c r="V115">
        <f>IFERROR(INDEX(Calc!$AQ$2:$AQ$124,MATCH($W115,Calc!$A$2:$A$124,0)),"")</f>
        <v/>
      </c>
      <c r="W115" t="inlineStr">
        <is>
          <t>9wdj3z2kekttkk3|CS2 · FURIA vs NAVI</t>
        </is>
      </c>
      <c r="X115" t="inlineStr">
        <is>
          <t>K12</t>
        </is>
      </c>
      <c r="Y115">
        <f>W115&amp;"|"&amp;X115</f>
        <v/>
      </c>
      <c r="Z115" s="9">
        <f>IFERROR(INDEX(CHOOSE(MATCH($X115,{"K1","K2","K3","K12","K13","H1","H2","H3","H12","H13"},0),Calc!$BA$2:$BA$124,Calc!$BB$2:$BB$124,Calc!$BC$2:$BC$124,Calc!$BD$2:$BD$124,Calc!$BE$2:$BE$124,Calc!$BF$2:$BF$124,Calc!$BG$2:$BG$124,Calc!$BH$2:$BH$124,Calc!$BI$2:$BI$124,Calc!$BJ$2:$BJ$124),MATCH($W115,Calc!$A$2:$A$124,0)),"")</f>
        <v/>
      </c>
      <c r="AA115" s="9">
        <f>IF(Z115="","",IF(LEFT($X115,1)="H",SQRT(Z115*(IFERROR(INDEX(Calc!$AP$2:$AP$124,MATCH($W115,Calc!$A$2:$A$124,0)),0.5)*Config!$B$5+1-IFERROR(INDEX(Calc!$AP$2:$AP$124,MATCH($W115,Calc!$A$2:$A$124,0)),0.5))),SQRT(Z115*Config!$B$5)))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FUT vs TL</t>
        </is>
      </c>
      <c r="C116" t="inlineStr">
        <is>
          <t>Dem0N</t>
        </is>
      </c>
      <c r="D116" t="inlineStr">
        <is>
          <t>FUT</t>
        </is>
      </c>
      <c r="E116" t="inlineStr">
        <is>
          <t>Maps 1-2 HS</t>
        </is>
      </c>
      <c r="F116" t="n">
        <v>21.5</v>
      </c>
      <c r="G116" s="9">
        <f>IFERROR(INDEX(CHOOSE(MATCH($X116,{"K1","K2","K3","K12","K13","H1","H2","H3","H12","H13"},0),Calc!$V$2:$V$124,Calc!$AC$2:$AC$124,Calc!$AJ$2:$AJ$124,Calc!$AL$2:$AL$124,Calc!$AM$2:$AM$124,Calc!$W$2:$W$124,Calc!$AD$2:$AD$124,Calc!$AK$2:$AK$124,Calc!$AN$2:$AN$124,Calc!$AO$2:$AO$124),MATCH($W116,Calc!$A$2:$A$124,0)),"")</f>
        <v/>
      </c>
      <c r="H116" s="9">
        <f>IF(G116="","",IF(LEFT($X116,1)="H",SQRT(G116*(IFERROR(INDEX(Calc!$AP$2:$AP$124,MATCH($W116,Calc!$A$2:$A$124,0)),0.5)*Config!$B$5+1-IFERROR(INDEX(Calc!$AP$2:$AP$124,MATCH($W116,Calc!$A$2:$A$124,0)),0.5))),SQRT(G116*Config!$B$5)))</f>
        <v/>
      </c>
      <c r="I116" s="8">
        <f>IF(OR(F116="",G116="",N(H116)&lt;=0),"",1-NORMDIST(FLOOR(F116,1)+0.5,G116,H116,TRUE))</f>
        <v/>
      </c>
      <c r="J116" s="8">
        <f>IF(I116="","",NORMDIST(CEILING(F116,1)-0.5,G116,H116,TRUE))</f>
        <v/>
      </c>
      <c r="K116" s="8">
        <f>IF(I116="","",MAX(0,1-I116-J116))</f>
        <v/>
      </c>
      <c r="L116">
        <f>IF(I116="","",IF(I116&gt;=0.5+Config!$B$6,"OVER",IF(J116&gt;=0.5+Config!$B$6,"UNDER","—")))</f>
        <v/>
      </c>
      <c r="N116" t="n">
        <v>22.5</v>
      </c>
      <c r="O116" s="8" t="n">
        <v>0.4</v>
      </c>
      <c r="P116" s="8" t="n">
        <v>0.4</v>
      </c>
      <c r="Q116" s="8" t="n">
        <v>0.33</v>
      </c>
      <c r="R116" t="inlineStr">
        <is>
          <t>100%/1/1</t>
        </is>
      </c>
      <c r="S116" t="n">
        <v>-2</v>
      </c>
      <c r="T116">
        <f>INDEX(Calc!$G$2:$G$124,MATCH($W116,Calc!$A$2:$A$124,0))&amp;" / "&amp;INDEX(Calc!$H$2:$H$124,MATCH($W116,Calc!$A$2:$A$124,0))</f>
        <v/>
      </c>
      <c r="U116">
        <f>TEXT(INDEX(Calc!$J$2:$J$124,MATCH($W116,Calc!$A$2:$A$124,0)),"0.0")&amp;" / "&amp;TEXT(INDEX(Calc!$K$2:$K$124,MATCH($W116,Calc!$A$2:$A$124,0)),"0.0")</f>
        <v/>
      </c>
      <c r="V116">
        <f>IFERROR(INDEX(Calc!$AQ$2:$AQ$124,MATCH($W116,Calc!$A$2:$A$124,0)),"")</f>
        <v/>
      </c>
      <c r="W116" t="inlineStr">
        <is>
          <t>w5k5az5ca72wkvb|CS2 · FUT vs TL</t>
        </is>
      </c>
      <c r="X116" t="inlineStr">
        <is>
          <t>H12</t>
        </is>
      </c>
      <c r="Y116">
        <f>W116&amp;"|"&amp;X116</f>
        <v/>
      </c>
      <c r="Z116" s="9">
        <f>IFERROR(INDEX(CHOOSE(MATCH($X116,{"K1","K2","K3","K12","K13","H1","H2","H3","H12","H13"},0),Calc!$BA$2:$BA$124,Calc!$BB$2:$BB$124,Calc!$BC$2:$BC$124,Calc!$BD$2:$BD$124,Calc!$BE$2:$BE$124,Calc!$BF$2:$BF$124,Calc!$BG$2:$BG$124,Calc!$BH$2:$BH$124,Calc!$BI$2:$BI$124,Calc!$BJ$2:$BJ$124),MATCH($W116,Calc!$A$2:$A$124,0)),"")</f>
        <v/>
      </c>
      <c r="AA116" s="9">
        <f>IF(Z116="","",IF(LEFT($X116,1)="H",SQRT(Z116*(IFERROR(INDEX(Calc!$AP$2:$AP$124,MATCH($W116,Calc!$A$2:$A$124,0)),0.5)*Config!$B$5+1-IFERROR(INDEX(Calc!$AP$2:$AP$124,MATCH($W116,Calc!$A$2:$A$124,0)),0.5))),SQRT(Z116*Config!$B$5)))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FUT vs TL</t>
        </is>
      </c>
      <c r="C117" t="inlineStr">
        <is>
          <t>Dem0N</t>
        </is>
      </c>
      <c r="D117" t="inlineStr">
        <is>
          <t>FUT</t>
        </is>
      </c>
      <c r="E117" t="inlineStr">
        <is>
          <t>Maps 1-2 Kills</t>
        </is>
      </c>
      <c r="F117" t="n">
        <v>32</v>
      </c>
      <c r="G117" s="9">
        <f>IFERROR(INDEX(CHOOSE(MATCH($X117,{"K1","K2","K3","K12","K13","H1","H2","H3","H12","H13"},0),Calc!$V$2:$V$124,Calc!$AC$2:$AC$124,Calc!$AJ$2:$AJ$124,Calc!$AL$2:$AL$124,Calc!$AM$2:$AM$124,Calc!$W$2:$W$124,Calc!$AD$2:$AD$124,Calc!$AK$2:$AK$124,Calc!$AN$2:$AN$124,Calc!$AO$2:$AO$124),MATCH($W117,Calc!$A$2:$A$124,0)),"")</f>
        <v/>
      </c>
      <c r="H117" s="9">
        <f>IF(G117="","",IF(LEFT($X117,1)="H",SQRT(G117*(IFERROR(INDEX(Calc!$AP$2:$AP$124,MATCH($W117,Calc!$A$2:$A$124,0)),0.5)*Config!$B$5+1-IFERROR(INDEX(Calc!$AP$2:$AP$124,MATCH($W117,Calc!$A$2:$A$124,0)),0.5))),SQRT(G117*Config!$B$5)))</f>
        <v/>
      </c>
      <c r="I117" s="8">
        <f>IF(OR(F117="",G117="",N(H117)&lt;=0),"",1-NORMDIST(FLOOR(F117,1)+0.5,G117,H117,TRUE))</f>
        <v/>
      </c>
      <c r="J117" s="8">
        <f>IF(I117="","",NORMDIST(CEILING(F117,1)-0.5,G117,H117,TRUE))</f>
        <v/>
      </c>
      <c r="K117" s="8">
        <f>IF(I117="","",MAX(0,1-I117-J117))</f>
        <v/>
      </c>
      <c r="L117">
        <f>IF(I117="","",IF(I117&gt;=0.5+Config!$B$6,"OVER",IF(J117&gt;=0.5+Config!$B$6,"UNDER","—")))</f>
        <v/>
      </c>
      <c r="M117" t="n">
        <v>31.18</v>
      </c>
      <c r="N117" t="n">
        <v>33.2</v>
      </c>
      <c r="O117" s="8" t="n">
        <v>0.4</v>
      </c>
      <c r="P117" s="8" t="n">
        <v>0.5</v>
      </c>
      <c r="Q117" s="8" t="n">
        <v>0.4</v>
      </c>
      <c r="R117" t="inlineStr">
        <is>
          <t>100%/1/1</t>
        </is>
      </c>
      <c r="S117" t="n">
        <v>-2</v>
      </c>
      <c r="T117">
        <f>INDEX(Calc!$G$2:$G$124,MATCH($W117,Calc!$A$2:$A$124,0))&amp;" / "&amp;INDEX(Calc!$H$2:$H$124,MATCH($W117,Calc!$A$2:$A$124,0))</f>
        <v/>
      </c>
      <c r="U117">
        <f>TEXT(INDEX(Calc!$J$2:$J$124,MATCH($W117,Calc!$A$2:$A$124,0)),"0.0")&amp;" / "&amp;TEXT(INDEX(Calc!$K$2:$K$124,MATCH($W117,Calc!$A$2:$A$124,0)),"0.0")</f>
        <v/>
      </c>
      <c r="V117">
        <f>IFERROR(INDEX(Calc!$AQ$2:$AQ$124,MATCH($W117,Calc!$A$2:$A$124,0)),"")</f>
        <v/>
      </c>
      <c r="W117" t="inlineStr">
        <is>
          <t>w5k5az5ca72wkvb|CS2 · FUT vs TL</t>
        </is>
      </c>
      <c r="X117" t="inlineStr">
        <is>
          <t>K12</t>
        </is>
      </c>
      <c r="Y117">
        <f>W117&amp;"|"&amp;X117</f>
        <v/>
      </c>
      <c r="Z117" s="9">
        <f>IFERROR(INDEX(CHOOSE(MATCH($X117,{"K1","K2","K3","K12","K13","H1","H2","H3","H12","H13"},0),Calc!$BA$2:$BA$124,Calc!$BB$2:$BB$124,Calc!$BC$2:$BC$124,Calc!$BD$2:$BD$124,Calc!$BE$2:$BE$124,Calc!$BF$2:$BF$124,Calc!$BG$2:$BG$124,Calc!$BH$2:$BH$124,Calc!$BI$2:$BI$124,Calc!$BJ$2:$BJ$124),MATCH($W117,Calc!$A$2:$A$124,0)),"")</f>
        <v/>
      </c>
      <c r="AA117" s="9">
        <f>IF(Z117="","",IF(LEFT($X117,1)="H",SQRT(Z117*(IFERROR(INDEX(Calc!$AP$2:$AP$124,MATCH($W117,Calc!$A$2:$A$124,0)),0.5)*Config!$B$5+1-IFERROR(INDEX(Calc!$AP$2:$AP$124,MATCH($W117,Calc!$A$2:$A$124,0)),0.5))),SQRT(Z117*Config!$B$5)))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FUT vs TL</t>
        </is>
      </c>
      <c r="C118" t="inlineStr">
        <is>
          <t>dziugss</t>
        </is>
      </c>
      <c r="D118" t="inlineStr">
        <is>
          <t>FUT</t>
        </is>
      </c>
      <c r="E118" t="inlineStr">
        <is>
          <t>Maps 1-2 HS</t>
        </is>
      </c>
      <c r="F118" t="n">
        <v>16</v>
      </c>
      <c r="G118" s="9">
        <f>IFERROR(INDEX(CHOOSE(MATCH($X118,{"K1","K2","K3","K12","K13","H1","H2","H3","H12","H13"},0),Calc!$V$2:$V$124,Calc!$AC$2:$AC$124,Calc!$AJ$2:$AJ$124,Calc!$AL$2:$AL$124,Calc!$AM$2:$AM$124,Calc!$W$2:$W$124,Calc!$AD$2:$AD$124,Calc!$AK$2:$AK$124,Calc!$AN$2:$AN$124,Calc!$AO$2:$AO$124),MATCH($W118,Calc!$A$2:$A$124,0)),"")</f>
        <v/>
      </c>
      <c r="H118" s="9">
        <f>IF(G118="","",IF(LEFT($X118,1)="H",SQRT(G118*(IFERROR(INDEX(Calc!$AP$2:$AP$124,MATCH($W118,Calc!$A$2:$A$124,0)),0.5)*Config!$B$5+1-IFERROR(INDEX(Calc!$AP$2:$AP$124,MATCH($W118,Calc!$A$2:$A$124,0)),0.5))),SQRT(G118*Config!$B$5)))</f>
        <v/>
      </c>
      <c r="I118" s="8">
        <f>IF(OR(F118="",G118="",N(H118)&lt;=0),"",1-NORMDIST(FLOOR(F118,1)+0.5,G118,H118,TRUE))</f>
        <v/>
      </c>
      <c r="J118" s="8">
        <f>IF(I118="","",NORMDIST(CEILING(F118,1)-0.5,G118,H118,TRUE))</f>
        <v/>
      </c>
      <c r="K118" s="8">
        <f>IF(I118="","",MAX(0,1-I118-J118))</f>
        <v/>
      </c>
      <c r="L118">
        <f>IF(I118="","",IF(I118&gt;=0.5+Config!$B$6,"OVER",IF(J118&gt;=0.5+Config!$B$6,"UNDER","—")))</f>
        <v/>
      </c>
      <c r="N118" t="n">
        <v>14.3</v>
      </c>
      <c r="O118" s="8" t="n">
        <v>0</v>
      </c>
      <c r="P118" s="8" t="n">
        <v>0.3</v>
      </c>
      <c r="Q118" s="8" t="n">
        <v>0.4</v>
      </c>
      <c r="R118" t="inlineStr">
        <is>
          <t>100%/1/1</t>
        </is>
      </c>
      <c r="S118" t="n">
        <v>-5</v>
      </c>
      <c r="T118">
        <f>INDEX(Calc!$G$2:$G$124,MATCH($W118,Calc!$A$2:$A$124,0))&amp;" / "&amp;INDEX(Calc!$H$2:$H$124,MATCH($W118,Calc!$A$2:$A$124,0))</f>
        <v/>
      </c>
      <c r="U118">
        <f>TEXT(INDEX(Calc!$J$2:$J$124,MATCH($W118,Calc!$A$2:$A$124,0)),"0.0")&amp;" / "&amp;TEXT(INDEX(Calc!$K$2:$K$124,MATCH($W118,Calc!$A$2:$A$124,0)),"0.0")</f>
        <v/>
      </c>
      <c r="V118">
        <f>IFERROR(INDEX(Calc!$AQ$2:$AQ$124,MATCH($W118,Calc!$A$2:$A$124,0)),"")</f>
        <v/>
      </c>
      <c r="W118" t="inlineStr">
        <is>
          <t>jf6rt002svd50mx|CS2 · FUT vs TL</t>
        </is>
      </c>
      <c r="X118" t="inlineStr">
        <is>
          <t>H12</t>
        </is>
      </c>
      <c r="Y118">
        <f>W118&amp;"|"&amp;X118</f>
        <v/>
      </c>
      <c r="Z118" s="9">
        <f>IFERROR(INDEX(CHOOSE(MATCH($X118,{"K1","K2","K3","K12","K13","H1","H2","H3","H12","H13"},0),Calc!$BA$2:$BA$124,Calc!$BB$2:$BB$124,Calc!$BC$2:$BC$124,Calc!$BD$2:$BD$124,Calc!$BE$2:$BE$124,Calc!$BF$2:$BF$124,Calc!$BG$2:$BG$124,Calc!$BH$2:$BH$124,Calc!$BI$2:$BI$124,Calc!$BJ$2:$BJ$124),MATCH($W118,Calc!$A$2:$A$124,0)),"")</f>
        <v/>
      </c>
      <c r="AA118" s="9">
        <f>IF(Z118="","",IF(LEFT($X118,1)="H",SQRT(Z118*(IFERROR(INDEX(Calc!$AP$2:$AP$124,MATCH($W118,Calc!$A$2:$A$124,0)),0.5)*Config!$B$5+1-IFERROR(INDEX(Calc!$AP$2:$AP$124,MATCH($W118,Calc!$A$2:$A$124,0)),0.5))),SQRT(Z118*Config!$B$5)))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FUT vs TL</t>
        </is>
      </c>
      <c r="C119" t="inlineStr">
        <is>
          <t>dziugss</t>
        </is>
      </c>
      <c r="D119" t="inlineStr">
        <is>
          <t>FUT</t>
        </is>
      </c>
      <c r="E119" t="inlineStr">
        <is>
          <t>Maps 1-2 Kills</t>
        </is>
      </c>
      <c r="F119" t="n">
        <v>27.5</v>
      </c>
      <c r="G119" s="9">
        <f>IFERROR(INDEX(CHOOSE(MATCH($X119,{"K1","K2","K3","K12","K13","H1","H2","H3","H12","H13"},0),Calc!$V$2:$V$124,Calc!$AC$2:$AC$124,Calc!$AJ$2:$AJ$124,Calc!$AL$2:$AL$124,Calc!$AM$2:$AM$124,Calc!$W$2:$W$124,Calc!$AD$2:$AD$124,Calc!$AK$2:$AK$124,Calc!$AN$2:$AN$124,Calc!$AO$2:$AO$124),MATCH($W119,Calc!$A$2:$A$124,0)),"")</f>
        <v/>
      </c>
      <c r="H119" s="9">
        <f>IF(G119="","",IF(LEFT($X119,1)="H",SQRT(G119*(IFERROR(INDEX(Calc!$AP$2:$AP$124,MATCH($W119,Calc!$A$2:$A$124,0)),0.5)*Config!$B$5+1-IFERROR(INDEX(Calc!$AP$2:$AP$124,MATCH($W119,Calc!$A$2:$A$124,0)),0.5))),SQRT(G119*Config!$B$5)))</f>
        <v/>
      </c>
      <c r="I119" s="8">
        <f>IF(OR(F119="",G119="",N(H119)&lt;=0),"",1-NORMDIST(FLOOR(F119,1)+0.5,G119,H119,TRUE))</f>
        <v/>
      </c>
      <c r="J119" s="8">
        <f>IF(I119="","",NORMDIST(CEILING(F119,1)-0.5,G119,H119,TRUE))</f>
        <v/>
      </c>
      <c r="K119" s="8">
        <f>IF(I119="","",MAX(0,1-I119-J119))</f>
        <v/>
      </c>
      <c r="L119">
        <f>IF(I119="","",IF(I119&gt;=0.5+Config!$B$6,"OVER",IF(J119&gt;=0.5+Config!$B$6,"UNDER","—")))</f>
        <v/>
      </c>
      <c r="M119" t="n">
        <v>28.11</v>
      </c>
      <c r="N119" t="n">
        <v>25.5</v>
      </c>
      <c r="O119" s="8" t="n">
        <v>0</v>
      </c>
      <c r="P119" s="8" t="n">
        <v>0.4</v>
      </c>
      <c r="Q119" s="8" t="n">
        <v>0.47</v>
      </c>
      <c r="R119" t="inlineStr">
        <is>
          <t>0%/0/1</t>
        </is>
      </c>
      <c r="S119" t="n">
        <v>-5</v>
      </c>
      <c r="T119">
        <f>INDEX(Calc!$G$2:$G$124,MATCH($W119,Calc!$A$2:$A$124,0))&amp;" / "&amp;INDEX(Calc!$H$2:$H$124,MATCH($W119,Calc!$A$2:$A$124,0))</f>
        <v/>
      </c>
      <c r="U119">
        <f>TEXT(INDEX(Calc!$J$2:$J$124,MATCH($W119,Calc!$A$2:$A$124,0)),"0.0")&amp;" / "&amp;TEXT(INDEX(Calc!$K$2:$K$124,MATCH($W119,Calc!$A$2:$A$124,0)),"0.0")</f>
        <v/>
      </c>
      <c r="V119">
        <f>IFERROR(INDEX(Calc!$AQ$2:$AQ$124,MATCH($W119,Calc!$A$2:$A$124,0)),"")</f>
        <v/>
      </c>
      <c r="W119" t="inlineStr">
        <is>
          <t>jf6rt002svd50mx|CS2 · FUT vs TL</t>
        </is>
      </c>
      <c r="X119" t="inlineStr">
        <is>
          <t>K12</t>
        </is>
      </c>
      <c r="Y119">
        <f>W119&amp;"|"&amp;X119</f>
        <v/>
      </c>
      <c r="Z119" s="9">
        <f>IFERROR(INDEX(CHOOSE(MATCH($X119,{"K1","K2","K3","K12","K13","H1","H2","H3","H12","H13"},0),Calc!$BA$2:$BA$124,Calc!$BB$2:$BB$124,Calc!$BC$2:$BC$124,Calc!$BD$2:$BD$124,Calc!$BE$2:$BE$124,Calc!$BF$2:$BF$124,Calc!$BG$2:$BG$124,Calc!$BH$2:$BH$124,Calc!$BI$2:$BI$124,Calc!$BJ$2:$BJ$124),MATCH($W119,Calc!$A$2:$A$124,0)),"")</f>
        <v/>
      </c>
      <c r="AA119" s="9">
        <f>IF(Z119="","",IF(LEFT($X119,1)="H",SQRT(Z119*(IFERROR(INDEX(Calc!$AP$2:$AP$124,MATCH($W119,Calc!$A$2:$A$124,0)),0.5)*Config!$B$5+1-IFERROR(INDEX(Calc!$AP$2:$AP$124,MATCH($W119,Calc!$A$2:$A$124,0)),0.5))),SQRT(Z119*Config!$B$5)))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FUT vs TL</t>
        </is>
      </c>
      <c r="C120" t="inlineStr">
        <is>
          <t>Krabeni</t>
        </is>
      </c>
      <c r="D120" t="inlineStr">
        <is>
          <t>FUT</t>
        </is>
      </c>
      <c r="E120" t="inlineStr">
        <is>
          <t>Maps 1-2 HS</t>
        </is>
      </c>
      <c r="F120" t="n">
        <v>17</v>
      </c>
      <c r="G120" s="9">
        <f>IFERROR(INDEX(CHOOSE(MATCH($X120,{"K1","K2","K3","K12","K13","H1","H2","H3","H12","H13"},0),Calc!$V$2:$V$124,Calc!$AC$2:$AC$124,Calc!$AJ$2:$AJ$124,Calc!$AL$2:$AL$124,Calc!$AM$2:$AM$124,Calc!$W$2:$W$124,Calc!$AD$2:$AD$124,Calc!$AK$2:$AK$124,Calc!$AN$2:$AN$124,Calc!$AO$2:$AO$124),MATCH($W120,Calc!$A$2:$A$124,0)),"")</f>
        <v/>
      </c>
      <c r="H120" s="9">
        <f>IF(G120="","",IF(LEFT($X120,1)="H",SQRT(G120*(IFERROR(INDEX(Calc!$AP$2:$AP$124,MATCH($W120,Calc!$A$2:$A$124,0)),0.5)*Config!$B$5+1-IFERROR(INDEX(Calc!$AP$2:$AP$124,MATCH($W120,Calc!$A$2:$A$124,0)),0.5))),SQRT(G120*Config!$B$5)))</f>
        <v/>
      </c>
      <c r="I120" s="8">
        <f>IF(OR(F120="",G120="",N(H120)&lt;=0),"",1-NORMDIST(FLOOR(F120,1)+0.5,G120,H120,TRUE))</f>
        <v/>
      </c>
      <c r="J120" s="8">
        <f>IF(I120="","",NORMDIST(CEILING(F120,1)-0.5,G120,H120,TRUE))</f>
        <v/>
      </c>
      <c r="K120" s="8">
        <f>IF(I120="","",MAX(0,1-I120-J120))</f>
        <v/>
      </c>
      <c r="L120">
        <f>IF(I120="","",IF(I120&gt;=0.5+Config!$B$6,"OVER",IF(J120&gt;=0.5+Config!$B$6,"UNDER","—")))</f>
        <v/>
      </c>
      <c r="N120" t="n">
        <v>18</v>
      </c>
      <c r="O120" s="8" t="n">
        <v>0.8</v>
      </c>
      <c r="P120" s="8" t="n">
        <v>0.7</v>
      </c>
      <c r="Q120" s="8" t="n">
        <v>0.53</v>
      </c>
      <c r="R120" t="inlineStr">
        <is>
          <t>100%/1/1</t>
        </is>
      </c>
      <c r="S120" t="n">
        <v>2</v>
      </c>
      <c r="T120">
        <f>INDEX(Calc!$G$2:$G$124,MATCH($W120,Calc!$A$2:$A$124,0))&amp;" / "&amp;INDEX(Calc!$H$2:$H$124,MATCH($W120,Calc!$A$2:$A$124,0))</f>
        <v/>
      </c>
      <c r="U120">
        <f>TEXT(INDEX(Calc!$J$2:$J$124,MATCH($W120,Calc!$A$2:$A$124,0)),"0.0")&amp;" / "&amp;TEXT(INDEX(Calc!$K$2:$K$124,MATCH($W120,Calc!$A$2:$A$124,0)),"0.0")</f>
        <v/>
      </c>
      <c r="V120">
        <f>IFERROR(INDEX(Calc!$AQ$2:$AQ$124,MATCH($W120,Calc!$A$2:$A$124,0)),"")</f>
        <v/>
      </c>
      <c r="W120" t="inlineStr">
        <is>
          <t>rhz6c2hq5wcant1|CS2 · FUT vs TL</t>
        </is>
      </c>
      <c r="X120" t="inlineStr">
        <is>
          <t>H12</t>
        </is>
      </c>
      <c r="Y120">
        <f>W120&amp;"|"&amp;X120</f>
        <v/>
      </c>
      <c r="Z120" s="9">
        <f>IFERROR(INDEX(CHOOSE(MATCH($X120,{"K1","K2","K3","K12","K13","H1","H2","H3","H12","H13"},0),Calc!$BA$2:$BA$124,Calc!$BB$2:$BB$124,Calc!$BC$2:$BC$124,Calc!$BD$2:$BD$124,Calc!$BE$2:$BE$124,Calc!$BF$2:$BF$124,Calc!$BG$2:$BG$124,Calc!$BH$2:$BH$124,Calc!$BI$2:$BI$124,Calc!$BJ$2:$BJ$124),MATCH($W120,Calc!$A$2:$A$124,0)),"")</f>
        <v/>
      </c>
      <c r="AA120" s="9">
        <f>IF(Z120="","",IF(LEFT($X120,1)="H",SQRT(Z120*(IFERROR(INDEX(Calc!$AP$2:$AP$124,MATCH($W120,Calc!$A$2:$A$124,0)),0.5)*Config!$B$5+1-IFERROR(INDEX(Calc!$AP$2:$AP$124,MATCH($W120,Calc!$A$2:$A$124,0)),0.5))),SQRT(Z120*Config!$B$5)))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FUT vs TL</t>
        </is>
      </c>
      <c r="C121" t="inlineStr">
        <is>
          <t>Krabeni</t>
        </is>
      </c>
      <c r="D121" t="inlineStr">
        <is>
          <t>FUT</t>
        </is>
      </c>
      <c r="E121" t="inlineStr">
        <is>
          <t>Maps 1-2 Kills</t>
        </is>
      </c>
      <c r="F121" t="n">
        <v>31</v>
      </c>
      <c r="G121" s="9">
        <f>IFERROR(INDEX(CHOOSE(MATCH($X121,{"K1","K2","K3","K12","K13","H1","H2","H3","H12","H13"},0),Calc!$V$2:$V$124,Calc!$AC$2:$AC$124,Calc!$AJ$2:$AJ$124,Calc!$AL$2:$AL$124,Calc!$AM$2:$AM$124,Calc!$W$2:$W$124,Calc!$AD$2:$AD$124,Calc!$AK$2:$AK$124,Calc!$AN$2:$AN$124,Calc!$AO$2:$AO$124),MATCH($W121,Calc!$A$2:$A$124,0)),"")</f>
        <v/>
      </c>
      <c r="H121" s="9">
        <f>IF(G121="","",IF(LEFT($X121,1)="H",SQRT(G121*(IFERROR(INDEX(Calc!$AP$2:$AP$124,MATCH($W121,Calc!$A$2:$A$124,0)),0.5)*Config!$B$5+1-IFERROR(INDEX(Calc!$AP$2:$AP$124,MATCH($W121,Calc!$A$2:$A$124,0)),0.5))),SQRT(G121*Config!$B$5)))</f>
        <v/>
      </c>
      <c r="I121" s="8">
        <f>IF(OR(F121="",G121="",N(H121)&lt;=0),"",1-NORMDIST(FLOOR(F121,1)+0.5,G121,H121,TRUE))</f>
        <v/>
      </c>
      <c r="J121" s="8">
        <f>IF(I121="","",NORMDIST(CEILING(F121,1)-0.5,G121,H121,TRUE))</f>
        <v/>
      </c>
      <c r="K121" s="8">
        <f>IF(I121="","",MAX(0,1-I121-J121))</f>
        <v/>
      </c>
      <c r="L121">
        <f>IF(I121="","",IF(I121&gt;=0.5+Config!$B$6,"OVER",IF(J121&gt;=0.5+Config!$B$6,"UNDER","—")))</f>
        <v/>
      </c>
      <c r="M121" t="n">
        <v>31.18</v>
      </c>
      <c r="N121" t="n">
        <v>31.8</v>
      </c>
      <c r="O121" s="8" t="n">
        <v>0.4</v>
      </c>
      <c r="P121" s="8" t="n">
        <v>0.6</v>
      </c>
      <c r="Q121" s="8" t="n">
        <v>0.53</v>
      </c>
      <c r="R121" t="inlineStr">
        <is>
          <t>100%/1/1</t>
        </is>
      </c>
      <c r="S121" t="n">
        <v>1</v>
      </c>
      <c r="T121">
        <f>INDEX(Calc!$G$2:$G$124,MATCH($W121,Calc!$A$2:$A$124,0))&amp;" / "&amp;INDEX(Calc!$H$2:$H$124,MATCH($W121,Calc!$A$2:$A$124,0))</f>
        <v/>
      </c>
      <c r="U121">
        <f>TEXT(INDEX(Calc!$J$2:$J$124,MATCH($W121,Calc!$A$2:$A$124,0)),"0.0")&amp;" / "&amp;TEXT(INDEX(Calc!$K$2:$K$124,MATCH($W121,Calc!$A$2:$A$124,0)),"0.0")</f>
        <v/>
      </c>
      <c r="V121">
        <f>IFERROR(INDEX(Calc!$AQ$2:$AQ$124,MATCH($W121,Calc!$A$2:$A$124,0)),"")</f>
        <v/>
      </c>
      <c r="W121" t="inlineStr">
        <is>
          <t>rhz6c2hq5wcant1|CS2 · FUT vs TL</t>
        </is>
      </c>
      <c r="X121" t="inlineStr">
        <is>
          <t>K12</t>
        </is>
      </c>
      <c r="Y121">
        <f>W121&amp;"|"&amp;X121</f>
        <v/>
      </c>
      <c r="Z121" s="9">
        <f>IFERROR(INDEX(CHOOSE(MATCH($X121,{"K1","K2","K3","K12","K13","H1","H2","H3","H12","H13"},0),Calc!$BA$2:$BA$124,Calc!$BB$2:$BB$124,Calc!$BC$2:$BC$124,Calc!$BD$2:$BD$124,Calc!$BE$2:$BE$124,Calc!$BF$2:$BF$124,Calc!$BG$2:$BG$124,Calc!$BH$2:$BH$124,Calc!$BI$2:$BI$124,Calc!$BJ$2:$BJ$124),MATCH($W121,Calc!$A$2:$A$124,0)),"")</f>
        <v/>
      </c>
      <c r="AA121" s="9">
        <f>IF(Z121="","",IF(LEFT($X121,1)="H",SQRT(Z121*(IFERROR(INDEX(Calc!$AP$2:$AP$124,MATCH($W121,Calc!$A$2:$A$124,0)),0.5)*Config!$B$5+1-IFERROR(INDEX(Calc!$AP$2:$AP$124,MATCH($W121,Calc!$A$2:$A$124,0)),0.5))),SQRT(Z121*Config!$B$5)))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FUT vs TL</t>
        </is>
      </c>
      <c r="C122" t="inlineStr">
        <is>
          <t>SunPayus</t>
        </is>
      </c>
      <c r="D122" t="inlineStr">
        <is>
          <t>FUT</t>
        </is>
      </c>
      <c r="E122" t="inlineStr">
        <is>
          <t>Maps 1-2 HS</t>
        </is>
      </c>
      <c r="F122" t="n">
        <v>10.5</v>
      </c>
      <c r="G122" s="9">
        <f>IFERROR(INDEX(CHOOSE(MATCH($X122,{"K1","K2","K3","K12","K13","H1","H2","H3","H12","H13"},0),Calc!$V$2:$V$124,Calc!$AC$2:$AC$124,Calc!$AJ$2:$AJ$124,Calc!$AL$2:$AL$124,Calc!$AM$2:$AM$124,Calc!$W$2:$W$124,Calc!$AD$2:$AD$124,Calc!$AK$2:$AK$124,Calc!$AN$2:$AN$124,Calc!$AO$2:$AO$124),MATCH($W122,Calc!$A$2:$A$124,0)),"")</f>
        <v/>
      </c>
      <c r="H122" s="9">
        <f>IF(G122="","",IF(LEFT($X122,1)="H",SQRT(G122*(IFERROR(INDEX(Calc!$AP$2:$AP$124,MATCH($W122,Calc!$A$2:$A$124,0)),0.5)*Config!$B$5+1-IFERROR(INDEX(Calc!$AP$2:$AP$124,MATCH($W122,Calc!$A$2:$A$124,0)),0.5))),SQRT(G122*Config!$B$5)))</f>
        <v/>
      </c>
      <c r="I122" s="8">
        <f>IF(OR(F122="",G122="",N(H122)&lt;=0),"",1-NORMDIST(FLOOR(F122,1)+0.5,G122,H122,TRUE))</f>
        <v/>
      </c>
      <c r="J122" s="8">
        <f>IF(I122="","",NORMDIST(CEILING(F122,1)-0.5,G122,H122,TRUE))</f>
        <v/>
      </c>
      <c r="K122" s="8">
        <f>IF(I122="","",MAX(0,1-I122-J122))</f>
        <v/>
      </c>
      <c r="L122">
        <f>IF(I122="","",IF(I122&gt;=0.5+Config!$B$6,"OVER",IF(J122&gt;=0.5+Config!$B$6,"UNDER","—")))</f>
        <v/>
      </c>
      <c r="N122" t="n">
        <v>9.6</v>
      </c>
      <c r="O122" s="8" t="n">
        <v>0.4</v>
      </c>
      <c r="P122" s="8" t="n">
        <v>0.4</v>
      </c>
      <c r="Q122" s="8" t="n">
        <v>0.4</v>
      </c>
      <c r="R122" t="inlineStr">
        <is>
          <t>40%/2/5</t>
        </is>
      </c>
      <c r="S122" t="n">
        <v>1</v>
      </c>
      <c r="T122">
        <f>INDEX(Calc!$G$2:$G$124,MATCH($W122,Calc!$A$2:$A$124,0))&amp;" / "&amp;INDEX(Calc!$H$2:$H$124,MATCH($W122,Calc!$A$2:$A$124,0))</f>
        <v/>
      </c>
      <c r="U122">
        <f>TEXT(INDEX(Calc!$J$2:$J$124,MATCH($W122,Calc!$A$2:$A$124,0)),"0.0")&amp;" / "&amp;TEXT(INDEX(Calc!$K$2:$K$124,MATCH($W122,Calc!$A$2:$A$124,0)),"0.0")</f>
        <v/>
      </c>
      <c r="V122">
        <f>IFERROR(INDEX(Calc!$AQ$2:$AQ$124,MATCH($W122,Calc!$A$2:$A$124,0)),"")</f>
        <v/>
      </c>
      <c r="W122" t="inlineStr">
        <is>
          <t>xwyhvw38gardzpx|CS2 · FUT vs TL</t>
        </is>
      </c>
      <c r="X122" t="inlineStr">
        <is>
          <t>H12</t>
        </is>
      </c>
      <c r="Y122">
        <f>W122&amp;"|"&amp;X122</f>
        <v/>
      </c>
      <c r="Z122" s="9">
        <f>IFERROR(INDEX(CHOOSE(MATCH($X122,{"K1","K2","K3","K12","K13","H1","H2","H3","H12","H13"},0),Calc!$BA$2:$BA$124,Calc!$BB$2:$BB$124,Calc!$BC$2:$BC$124,Calc!$BD$2:$BD$124,Calc!$BE$2:$BE$124,Calc!$BF$2:$BF$124,Calc!$BG$2:$BG$124,Calc!$BH$2:$BH$124,Calc!$BI$2:$BI$124,Calc!$BJ$2:$BJ$124),MATCH($W122,Calc!$A$2:$A$124,0)),"")</f>
        <v/>
      </c>
      <c r="AA122" s="9">
        <f>IF(Z122="","",IF(LEFT($X122,1)="H",SQRT(Z122*(IFERROR(INDEX(Calc!$AP$2:$AP$124,MATCH($W122,Calc!$A$2:$A$124,0)),0.5)*Config!$B$5+1-IFERROR(INDEX(Calc!$AP$2:$AP$124,MATCH($W122,Calc!$A$2:$A$124,0)),0.5))),SQRT(Z122*Config!$B$5)))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FUT vs TL</t>
        </is>
      </c>
      <c r="C123" t="inlineStr">
        <is>
          <t>SunPayus</t>
        </is>
      </c>
      <c r="D123" t="inlineStr">
        <is>
          <t>FUT</t>
        </is>
      </c>
      <c r="E123" t="inlineStr">
        <is>
          <t>Maps 1-2 Kills</t>
        </is>
      </c>
      <c r="F123" t="n">
        <v>29.5</v>
      </c>
      <c r="G123" s="9">
        <f>IFERROR(INDEX(CHOOSE(MATCH($X123,{"K1","K2","K3","K12","K13","H1","H2","H3","H12","H13"},0),Calc!$V$2:$V$124,Calc!$AC$2:$AC$124,Calc!$AJ$2:$AJ$124,Calc!$AL$2:$AL$124,Calc!$AM$2:$AM$124,Calc!$W$2:$W$124,Calc!$AD$2:$AD$124,Calc!$AK$2:$AK$124,Calc!$AN$2:$AN$124,Calc!$AO$2:$AO$124),MATCH($W123,Calc!$A$2:$A$124,0)),"")</f>
        <v/>
      </c>
      <c r="H123" s="9">
        <f>IF(G123="","",IF(LEFT($X123,1)="H",SQRT(G123*(IFERROR(INDEX(Calc!$AP$2:$AP$124,MATCH($W123,Calc!$A$2:$A$124,0)),0.5)*Config!$B$5+1-IFERROR(INDEX(Calc!$AP$2:$AP$124,MATCH($W123,Calc!$A$2:$A$124,0)),0.5))),SQRT(G123*Config!$B$5)))</f>
        <v/>
      </c>
      <c r="I123" s="8">
        <f>IF(OR(F123="",G123="",N(H123)&lt;=0),"",1-NORMDIST(FLOOR(F123,1)+0.5,G123,H123,TRUE))</f>
        <v/>
      </c>
      <c r="J123" s="8">
        <f>IF(I123="","",NORMDIST(CEILING(F123,1)-0.5,G123,H123,TRUE))</f>
        <v/>
      </c>
      <c r="K123" s="8">
        <f>IF(I123="","",MAX(0,1-I123-J123))</f>
        <v/>
      </c>
      <c r="L123">
        <f>IF(I123="","",IF(I123&gt;=0.5+Config!$B$6,"OVER",IF(J123&gt;=0.5+Config!$B$6,"UNDER","—")))</f>
        <v/>
      </c>
      <c r="M123" t="n">
        <v>29.18</v>
      </c>
      <c r="N123" t="n">
        <v>29.7</v>
      </c>
      <c r="O123" s="8" t="n">
        <v>0.6</v>
      </c>
      <c r="P123" s="8" t="n">
        <v>0.5</v>
      </c>
      <c r="Q123" s="8" t="n">
        <v>0.47</v>
      </c>
      <c r="R123" t="inlineStr">
        <is>
          <t>20%/1/5</t>
        </is>
      </c>
      <c r="S123" t="n">
        <v>3</v>
      </c>
      <c r="T123">
        <f>INDEX(Calc!$G$2:$G$124,MATCH($W123,Calc!$A$2:$A$124,0))&amp;" / "&amp;INDEX(Calc!$H$2:$H$124,MATCH($W123,Calc!$A$2:$A$124,0))</f>
        <v/>
      </c>
      <c r="U123">
        <f>TEXT(INDEX(Calc!$J$2:$J$124,MATCH($W123,Calc!$A$2:$A$124,0)),"0.0")&amp;" / "&amp;TEXT(INDEX(Calc!$K$2:$K$124,MATCH($W123,Calc!$A$2:$A$124,0)),"0.0")</f>
        <v/>
      </c>
      <c r="V123">
        <f>IFERROR(INDEX(Calc!$AQ$2:$AQ$124,MATCH($W123,Calc!$A$2:$A$124,0)),"")</f>
        <v/>
      </c>
      <c r="W123" t="inlineStr">
        <is>
          <t>xwyhvw38gardzpx|CS2 · FUT vs TL</t>
        </is>
      </c>
      <c r="X123" t="inlineStr">
        <is>
          <t>K12</t>
        </is>
      </c>
      <c r="Y123">
        <f>W123&amp;"|"&amp;X123</f>
        <v/>
      </c>
      <c r="Z123" s="9">
        <f>IFERROR(INDEX(CHOOSE(MATCH($X123,{"K1","K2","K3","K12","K13","H1","H2","H3","H12","H13"},0),Calc!$BA$2:$BA$124,Calc!$BB$2:$BB$124,Calc!$BC$2:$BC$124,Calc!$BD$2:$BD$124,Calc!$BE$2:$BE$124,Calc!$BF$2:$BF$124,Calc!$BG$2:$BG$124,Calc!$BH$2:$BH$124,Calc!$BI$2:$BI$124,Calc!$BJ$2:$BJ$124),MATCH($W123,Calc!$A$2:$A$124,0)),"")</f>
        <v/>
      </c>
      <c r="AA123" s="9">
        <f>IF(Z123="","",IF(LEFT($X123,1)="H",SQRT(Z123*(IFERROR(INDEX(Calc!$AP$2:$AP$124,MATCH($W123,Calc!$A$2:$A$124,0)),0.5)*Config!$B$5+1-IFERROR(INDEX(Calc!$AP$2:$AP$124,MATCH($W123,Calc!$A$2:$A$124,0)),0.5))),SQRT(Z123*Config!$B$5)))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FUT vs TL</t>
        </is>
      </c>
      <c r="C124" t="inlineStr">
        <is>
          <t>xfl0ud</t>
        </is>
      </c>
      <c r="D124" t="inlineStr">
        <is>
          <t>FUT</t>
        </is>
      </c>
      <c r="E124" t="inlineStr">
        <is>
          <t>Maps 1-2 HS</t>
        </is>
      </c>
      <c r="F124" t="n">
        <v>16</v>
      </c>
      <c r="G124" s="9">
        <f>IFERROR(INDEX(CHOOSE(MATCH($X124,{"K1","K2","K3","K12","K13","H1","H2","H3","H12","H13"},0),Calc!$V$2:$V$124,Calc!$AC$2:$AC$124,Calc!$AJ$2:$AJ$124,Calc!$AL$2:$AL$124,Calc!$AM$2:$AM$124,Calc!$W$2:$W$124,Calc!$AD$2:$AD$124,Calc!$AK$2:$AK$124,Calc!$AN$2:$AN$124,Calc!$AO$2:$AO$124),MATCH($W124,Calc!$A$2:$A$124,0)),"")</f>
        <v/>
      </c>
      <c r="H124" s="9">
        <f>IF(G124="","",IF(LEFT($X124,1)="H",SQRT(G124*(IFERROR(INDEX(Calc!$AP$2:$AP$124,MATCH($W124,Calc!$A$2:$A$124,0)),0.5)*Config!$B$5+1-IFERROR(INDEX(Calc!$AP$2:$AP$124,MATCH($W124,Calc!$A$2:$A$124,0)),0.5))),SQRT(G124*Config!$B$5)))</f>
        <v/>
      </c>
      <c r="I124" s="8">
        <f>IF(OR(F124="",G124="",N(H124)&lt;=0),"",1-NORMDIST(FLOOR(F124,1)+0.5,G124,H124,TRUE))</f>
        <v/>
      </c>
      <c r="J124" s="8">
        <f>IF(I124="","",NORMDIST(CEILING(F124,1)-0.5,G124,H124,TRUE))</f>
        <v/>
      </c>
      <c r="K124" s="8">
        <f>IF(I124="","",MAX(0,1-I124-J124))</f>
        <v/>
      </c>
      <c r="L124">
        <f>IF(I124="","",IF(I124&gt;=0.5+Config!$B$6,"OVER",IF(J124&gt;=0.5+Config!$B$6,"UNDER","—")))</f>
        <v/>
      </c>
      <c r="N124" t="n">
        <v>17</v>
      </c>
      <c r="O124" s="8" t="n">
        <v>0.4</v>
      </c>
      <c r="P124" s="8" t="n">
        <v>0.6</v>
      </c>
      <c r="Q124" s="8" t="n">
        <v>0.53</v>
      </c>
      <c r="R124" t="inlineStr">
        <is>
          <t>60%/3/5</t>
        </is>
      </c>
      <c r="S124" t="n">
        <v>-3</v>
      </c>
      <c r="T124">
        <f>INDEX(Calc!$G$2:$G$124,MATCH($W124,Calc!$A$2:$A$124,0))&amp;" / "&amp;INDEX(Calc!$H$2:$H$124,MATCH($W124,Calc!$A$2:$A$124,0))</f>
        <v/>
      </c>
      <c r="U124">
        <f>TEXT(INDEX(Calc!$J$2:$J$124,MATCH($W124,Calc!$A$2:$A$124,0)),"0.0")&amp;" / "&amp;TEXT(INDEX(Calc!$K$2:$K$124,MATCH($W124,Calc!$A$2:$A$124,0)),"0.0")</f>
        <v/>
      </c>
      <c r="V124">
        <f>IFERROR(INDEX(Calc!$AQ$2:$AQ$124,MATCH($W124,Calc!$A$2:$A$124,0)),"")</f>
        <v/>
      </c>
      <c r="W124" t="inlineStr">
        <is>
          <t>lj8zw2mudcbj35u|CS2 · FUT vs TL</t>
        </is>
      </c>
      <c r="X124" t="inlineStr">
        <is>
          <t>H12</t>
        </is>
      </c>
      <c r="Y124">
        <f>W124&amp;"|"&amp;X124</f>
        <v/>
      </c>
      <c r="Z124" s="9">
        <f>IFERROR(INDEX(CHOOSE(MATCH($X124,{"K1","K2","K3","K12","K13","H1","H2","H3","H12","H13"},0),Calc!$BA$2:$BA$124,Calc!$BB$2:$BB$124,Calc!$BC$2:$BC$124,Calc!$BD$2:$BD$124,Calc!$BE$2:$BE$124,Calc!$BF$2:$BF$124,Calc!$BG$2:$BG$124,Calc!$BH$2:$BH$124,Calc!$BI$2:$BI$124,Calc!$BJ$2:$BJ$124),MATCH($W124,Calc!$A$2:$A$124,0)),"")</f>
        <v/>
      </c>
      <c r="AA124" s="9">
        <f>IF(Z124="","",IF(LEFT($X124,1)="H",SQRT(Z124*(IFERROR(INDEX(Calc!$AP$2:$AP$124,MATCH($W124,Calc!$A$2:$A$124,0)),0.5)*Config!$B$5+1-IFERROR(INDEX(Calc!$AP$2:$AP$124,MATCH($W124,Calc!$A$2:$A$124,0)),0.5))),SQRT(Z124*Config!$B$5)))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FUT vs TL</t>
        </is>
      </c>
      <c r="C125" t="inlineStr">
        <is>
          <t>xfl0ud</t>
        </is>
      </c>
      <c r="D125" t="inlineStr">
        <is>
          <t>FUT</t>
        </is>
      </c>
      <c r="E125" t="inlineStr">
        <is>
          <t>Maps 1-2 Kills</t>
        </is>
      </c>
      <c r="F125" t="n">
        <v>29</v>
      </c>
      <c r="G125" s="9">
        <f>IFERROR(INDEX(CHOOSE(MATCH($X125,{"K1","K2","K3","K12","K13","H1","H2","H3","H12","H13"},0),Calc!$V$2:$V$124,Calc!$AC$2:$AC$124,Calc!$AJ$2:$AJ$124,Calc!$AL$2:$AL$124,Calc!$AM$2:$AM$124,Calc!$W$2:$W$124,Calc!$AD$2:$AD$124,Calc!$AK$2:$AK$124,Calc!$AN$2:$AN$124,Calc!$AO$2:$AO$124),MATCH($W125,Calc!$A$2:$A$124,0)),"")</f>
        <v/>
      </c>
      <c r="H125" s="9">
        <f>IF(G125="","",IF(LEFT($X125,1)="H",SQRT(G125*(IFERROR(INDEX(Calc!$AP$2:$AP$124,MATCH($W125,Calc!$A$2:$A$124,0)),0.5)*Config!$B$5+1-IFERROR(INDEX(Calc!$AP$2:$AP$124,MATCH($W125,Calc!$A$2:$A$124,0)),0.5))),SQRT(G125*Config!$B$5)))</f>
        <v/>
      </c>
      <c r="I125" s="8">
        <f>IF(OR(F125="",G125="",N(H125)&lt;=0),"",1-NORMDIST(FLOOR(F125,1)+0.5,G125,H125,TRUE))</f>
        <v/>
      </c>
      <c r="J125" s="8">
        <f>IF(I125="","",NORMDIST(CEILING(F125,1)-0.5,G125,H125,TRUE))</f>
        <v/>
      </c>
      <c r="K125" s="8">
        <f>IF(I125="","",MAX(0,1-I125-J125))</f>
        <v/>
      </c>
      <c r="L125">
        <f>IF(I125="","",IF(I125&gt;=0.5+Config!$B$6,"OVER",IF(J125&gt;=0.5+Config!$B$6,"UNDER","—")))</f>
        <v/>
      </c>
      <c r="M125" t="n">
        <v>28.9</v>
      </c>
      <c r="N125" t="n">
        <v>30.5</v>
      </c>
      <c r="O125" s="8" t="n">
        <v>0.4</v>
      </c>
      <c r="P125" s="8" t="n">
        <v>0.6</v>
      </c>
      <c r="Q125" s="8" t="n">
        <v>0.53</v>
      </c>
      <c r="R125" t="inlineStr">
        <is>
          <t>40%/2/5</t>
        </is>
      </c>
      <c r="S125" t="n">
        <v>-3</v>
      </c>
      <c r="T125">
        <f>INDEX(Calc!$G$2:$G$124,MATCH($W125,Calc!$A$2:$A$124,0))&amp;" / "&amp;INDEX(Calc!$H$2:$H$124,MATCH($W125,Calc!$A$2:$A$124,0))</f>
        <v/>
      </c>
      <c r="U125">
        <f>TEXT(INDEX(Calc!$J$2:$J$124,MATCH($W125,Calc!$A$2:$A$124,0)),"0.0")&amp;" / "&amp;TEXT(INDEX(Calc!$K$2:$K$124,MATCH($W125,Calc!$A$2:$A$124,0)),"0.0")</f>
        <v/>
      </c>
      <c r="V125">
        <f>IFERROR(INDEX(Calc!$AQ$2:$AQ$124,MATCH($W125,Calc!$A$2:$A$124,0)),"")</f>
        <v/>
      </c>
      <c r="W125" t="inlineStr">
        <is>
          <t>lj8zw2mudcbj35u|CS2 · FUT vs TL</t>
        </is>
      </c>
      <c r="X125" t="inlineStr">
        <is>
          <t>K12</t>
        </is>
      </c>
      <c r="Y125">
        <f>W125&amp;"|"&amp;X125</f>
        <v/>
      </c>
      <c r="Z125" s="9">
        <f>IFERROR(INDEX(CHOOSE(MATCH($X125,{"K1","K2","K3","K12","K13","H1","H2","H3","H12","H13"},0),Calc!$BA$2:$BA$124,Calc!$BB$2:$BB$124,Calc!$BC$2:$BC$124,Calc!$BD$2:$BD$124,Calc!$BE$2:$BE$124,Calc!$BF$2:$BF$124,Calc!$BG$2:$BG$124,Calc!$BH$2:$BH$124,Calc!$BI$2:$BI$124,Calc!$BJ$2:$BJ$124),MATCH($W125,Calc!$A$2:$A$124,0)),"")</f>
        <v/>
      </c>
      <c r="AA125" s="9">
        <f>IF(Z125="","",IF(LEFT($X125,1)="H",SQRT(Z125*(IFERROR(INDEX(Calc!$AP$2:$AP$124,MATCH($W125,Calc!$A$2:$A$124,0)),0.5)*Config!$B$5+1-IFERROR(INDEX(Calc!$AP$2:$AP$124,MATCH($W125,Calc!$A$2:$A$124,0)),0.5))),SQRT(Z125*Config!$B$5)))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FUT vs TL</t>
        </is>
      </c>
      <c r="C126" t="inlineStr">
        <is>
          <t>EliGE</t>
        </is>
      </c>
      <c r="D126" t="inlineStr">
        <is>
          <t>TL</t>
        </is>
      </c>
      <c r="E126" t="inlineStr">
        <is>
          <t>Maps 1-2 HS</t>
        </is>
      </c>
      <c r="F126" t="n">
        <v>18</v>
      </c>
      <c r="G126" s="9">
        <f>IFERROR(INDEX(CHOOSE(MATCH($X126,{"K1","K2","K3","K12","K13","H1","H2","H3","H12","H13"},0),Calc!$V$2:$V$124,Calc!$AC$2:$AC$124,Calc!$AJ$2:$AJ$124,Calc!$AL$2:$AL$124,Calc!$AM$2:$AM$124,Calc!$W$2:$W$124,Calc!$AD$2:$AD$124,Calc!$AK$2:$AK$124,Calc!$AN$2:$AN$124,Calc!$AO$2:$AO$124),MATCH($W126,Calc!$A$2:$A$124,0)),"")</f>
        <v/>
      </c>
      <c r="H126" s="9">
        <f>IF(G126="","",IF(LEFT($X126,1)="H",SQRT(G126*(IFERROR(INDEX(Calc!$AP$2:$AP$124,MATCH($W126,Calc!$A$2:$A$124,0)),0.5)*Config!$B$5+1-IFERROR(INDEX(Calc!$AP$2:$AP$124,MATCH($W126,Calc!$A$2:$A$124,0)),0.5))),SQRT(G126*Config!$B$5)))</f>
        <v/>
      </c>
      <c r="I126" s="8">
        <f>IF(OR(F126="",G126="",N(H126)&lt;=0),"",1-NORMDIST(FLOOR(F126,1)+0.5,G126,H126,TRUE))</f>
        <v/>
      </c>
      <c r="J126" s="8">
        <f>IF(I126="","",NORMDIST(CEILING(F126,1)-0.5,G126,H126,TRUE))</f>
        <v/>
      </c>
      <c r="K126" s="8">
        <f>IF(I126="","",MAX(0,1-I126-J126))</f>
        <v/>
      </c>
      <c r="L126">
        <f>IF(I126="","",IF(I126&gt;=0.5+Config!$B$6,"OVER",IF(J126&gt;=0.5+Config!$B$6,"UNDER","—")))</f>
        <v/>
      </c>
      <c r="N126" t="n">
        <v>19.1</v>
      </c>
      <c r="O126" s="8" t="n">
        <v>0.6</v>
      </c>
      <c r="P126" s="8" t="n">
        <v>0.5</v>
      </c>
      <c r="Q126" s="8" t="n">
        <v>0.6</v>
      </c>
      <c r="R126" t="inlineStr">
        <is>
          <t>0%/0/1</t>
        </is>
      </c>
      <c r="S126" t="n">
        <v>1</v>
      </c>
      <c r="T126">
        <f>INDEX(Calc!$G$2:$G$124,MATCH($W126,Calc!$A$2:$A$124,0))&amp;" / "&amp;INDEX(Calc!$H$2:$H$124,MATCH($W126,Calc!$A$2:$A$124,0))</f>
        <v/>
      </c>
      <c r="U126">
        <f>TEXT(INDEX(Calc!$J$2:$J$124,MATCH($W126,Calc!$A$2:$A$124,0)),"0.0")&amp;" / "&amp;TEXT(INDEX(Calc!$K$2:$K$124,MATCH($W126,Calc!$A$2:$A$124,0)),"0.0")</f>
        <v/>
      </c>
      <c r="V126">
        <f>IFERROR(INDEX(Calc!$AQ$2:$AQ$124,MATCH($W126,Calc!$A$2:$A$124,0)),"")</f>
        <v/>
      </c>
      <c r="W126" t="inlineStr">
        <is>
          <t>we8rbjpf65bc2tn|CS2 · FUT vs TL</t>
        </is>
      </c>
      <c r="X126" t="inlineStr">
        <is>
          <t>H12</t>
        </is>
      </c>
      <c r="Y126">
        <f>W126&amp;"|"&amp;X126</f>
        <v/>
      </c>
      <c r="Z126" s="9">
        <f>IFERROR(INDEX(CHOOSE(MATCH($X126,{"K1","K2","K3","K12","K13","H1","H2","H3","H12","H13"},0),Calc!$BA$2:$BA$124,Calc!$BB$2:$BB$124,Calc!$BC$2:$BC$124,Calc!$BD$2:$BD$124,Calc!$BE$2:$BE$124,Calc!$BF$2:$BF$124,Calc!$BG$2:$BG$124,Calc!$BH$2:$BH$124,Calc!$BI$2:$BI$124,Calc!$BJ$2:$BJ$124),MATCH($W126,Calc!$A$2:$A$124,0)),"")</f>
        <v/>
      </c>
      <c r="AA126" s="9">
        <f>IF(Z126="","",IF(LEFT($X126,1)="H",SQRT(Z126*(IFERROR(INDEX(Calc!$AP$2:$AP$124,MATCH($W126,Calc!$A$2:$A$124,0)),0.5)*Config!$B$5+1-IFERROR(INDEX(Calc!$AP$2:$AP$124,MATCH($W126,Calc!$A$2:$A$124,0)),0.5))),SQRT(Z126*Config!$B$5)))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FUT vs TL</t>
        </is>
      </c>
      <c r="C127" t="inlineStr">
        <is>
          <t>EliGE</t>
        </is>
      </c>
      <c r="D127" t="inlineStr">
        <is>
          <t>TL</t>
        </is>
      </c>
      <c r="E127" t="inlineStr">
        <is>
          <t>Maps 1-2 Kills</t>
        </is>
      </c>
      <c r="F127" t="n">
        <v>31</v>
      </c>
      <c r="G127" s="9">
        <f>IFERROR(INDEX(CHOOSE(MATCH($X127,{"K1","K2","K3","K12","K13","H1","H2","H3","H12","H13"},0),Calc!$V$2:$V$124,Calc!$AC$2:$AC$124,Calc!$AJ$2:$AJ$124,Calc!$AL$2:$AL$124,Calc!$AM$2:$AM$124,Calc!$W$2:$W$124,Calc!$AD$2:$AD$124,Calc!$AK$2:$AK$124,Calc!$AN$2:$AN$124,Calc!$AO$2:$AO$124),MATCH($W127,Calc!$A$2:$A$124,0)),"")</f>
        <v/>
      </c>
      <c r="H127" s="9">
        <f>IF(G127="","",IF(LEFT($X127,1)="H",SQRT(G127*(IFERROR(INDEX(Calc!$AP$2:$AP$124,MATCH($W127,Calc!$A$2:$A$124,0)),0.5)*Config!$B$5+1-IFERROR(INDEX(Calc!$AP$2:$AP$124,MATCH($W127,Calc!$A$2:$A$124,0)),0.5))),SQRT(G127*Config!$B$5)))</f>
        <v/>
      </c>
      <c r="I127" s="8">
        <f>IF(OR(F127="",G127="",N(H127)&lt;=0),"",1-NORMDIST(FLOOR(F127,1)+0.5,G127,H127,TRUE))</f>
        <v/>
      </c>
      <c r="J127" s="8">
        <f>IF(I127="","",NORMDIST(CEILING(F127,1)-0.5,G127,H127,TRUE))</f>
        <v/>
      </c>
      <c r="K127" s="8">
        <f>IF(I127="","",MAX(0,1-I127-J127))</f>
        <v/>
      </c>
      <c r="L127">
        <f>IF(I127="","",IF(I127&gt;=0.5+Config!$B$6,"OVER",IF(J127&gt;=0.5+Config!$B$6,"UNDER","—")))</f>
        <v/>
      </c>
      <c r="M127" t="n">
        <v>31.4</v>
      </c>
      <c r="N127" t="n">
        <v>32</v>
      </c>
      <c r="O127" s="8" t="n">
        <v>0.6</v>
      </c>
      <c r="P127" s="8" t="n">
        <v>0.5</v>
      </c>
      <c r="Q127" s="8" t="n">
        <v>0.67</v>
      </c>
      <c r="R127" t="inlineStr">
        <is>
          <t>0%/0/1</t>
        </is>
      </c>
      <c r="S127" t="n">
        <v>2</v>
      </c>
      <c r="T127">
        <f>INDEX(Calc!$G$2:$G$124,MATCH($W127,Calc!$A$2:$A$124,0))&amp;" / "&amp;INDEX(Calc!$H$2:$H$124,MATCH($W127,Calc!$A$2:$A$124,0))</f>
        <v/>
      </c>
      <c r="U127">
        <f>TEXT(INDEX(Calc!$J$2:$J$124,MATCH($W127,Calc!$A$2:$A$124,0)),"0.0")&amp;" / "&amp;TEXT(INDEX(Calc!$K$2:$K$124,MATCH($W127,Calc!$A$2:$A$124,0)),"0.0")</f>
        <v/>
      </c>
      <c r="V127">
        <f>IFERROR(INDEX(Calc!$AQ$2:$AQ$124,MATCH($W127,Calc!$A$2:$A$124,0)),"")</f>
        <v/>
      </c>
      <c r="W127" t="inlineStr">
        <is>
          <t>we8rbjpf65bc2tn|CS2 · FUT vs TL</t>
        </is>
      </c>
      <c r="X127" t="inlineStr">
        <is>
          <t>K12</t>
        </is>
      </c>
      <c r="Y127">
        <f>W127&amp;"|"&amp;X127</f>
        <v/>
      </c>
      <c r="Z127" s="9">
        <f>IFERROR(INDEX(CHOOSE(MATCH($X127,{"K1","K2","K3","K12","K13","H1","H2","H3","H12","H13"},0),Calc!$BA$2:$BA$124,Calc!$BB$2:$BB$124,Calc!$BC$2:$BC$124,Calc!$BD$2:$BD$124,Calc!$BE$2:$BE$124,Calc!$BF$2:$BF$124,Calc!$BG$2:$BG$124,Calc!$BH$2:$BH$124,Calc!$BI$2:$BI$124,Calc!$BJ$2:$BJ$124),MATCH($W127,Calc!$A$2:$A$124,0)),"")</f>
        <v/>
      </c>
      <c r="AA127" s="9">
        <f>IF(Z127="","",IF(LEFT($X127,1)="H",SQRT(Z127*(IFERROR(INDEX(Calc!$AP$2:$AP$124,MATCH($W127,Calc!$A$2:$A$124,0)),0.5)*Config!$B$5+1-IFERROR(INDEX(Calc!$AP$2:$AP$124,MATCH($W127,Calc!$A$2:$A$124,0)),0.5))),SQRT(Z127*Config!$B$5)))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FUT vs TL</t>
        </is>
      </c>
      <c r="C128" t="inlineStr">
        <is>
          <t>Jorko</t>
        </is>
      </c>
      <c r="D128" t="inlineStr">
        <is>
          <t>TL</t>
        </is>
      </c>
      <c r="E128" t="inlineStr">
        <is>
          <t>Maps 1-2 HS</t>
        </is>
      </c>
      <c r="F128" t="n">
        <v>9.5</v>
      </c>
      <c r="G128" s="9">
        <f>IFERROR(INDEX(CHOOSE(MATCH($X128,{"K1","K2","K3","K12","K13","H1","H2","H3","H12","H13"},0),Calc!$V$2:$V$124,Calc!$AC$2:$AC$124,Calc!$AJ$2:$AJ$124,Calc!$AL$2:$AL$124,Calc!$AM$2:$AM$124,Calc!$W$2:$W$124,Calc!$AD$2:$AD$124,Calc!$AK$2:$AK$124,Calc!$AN$2:$AN$124,Calc!$AO$2:$AO$124),MATCH($W128,Calc!$A$2:$A$124,0)),"")</f>
        <v/>
      </c>
      <c r="H128" s="9">
        <f>IF(G128="","",IF(LEFT($X128,1)="H",SQRT(G128*(IFERROR(INDEX(Calc!$AP$2:$AP$124,MATCH($W128,Calc!$A$2:$A$124,0)),0.5)*Config!$B$5+1-IFERROR(INDEX(Calc!$AP$2:$AP$124,MATCH($W128,Calc!$A$2:$A$124,0)),0.5))),SQRT(G128*Config!$B$5)))</f>
        <v/>
      </c>
      <c r="I128" s="8">
        <f>IF(OR(F128="",G128="",N(H128)&lt;=0),"",1-NORMDIST(FLOOR(F128,1)+0.5,G128,H128,TRUE))</f>
        <v/>
      </c>
      <c r="J128" s="8">
        <f>IF(I128="","",NORMDIST(CEILING(F128,1)-0.5,G128,H128,TRUE))</f>
        <v/>
      </c>
      <c r="K128" s="8">
        <f>IF(I128="","",MAX(0,1-I128-J128))</f>
        <v/>
      </c>
      <c r="L128">
        <f>IF(I128="","",IF(I128&gt;=0.5+Config!$B$6,"OVER",IF(J128&gt;=0.5+Config!$B$6,"UNDER","—")))</f>
        <v/>
      </c>
      <c r="N128" t="n">
        <v>10</v>
      </c>
      <c r="O128" s="8" t="n">
        <v>0.8</v>
      </c>
      <c r="P128" s="8" t="n">
        <v>0.7</v>
      </c>
      <c r="Q128" s="8" t="n">
        <v>0.73</v>
      </c>
      <c r="R128" t="inlineStr">
        <is>
          <t>100%/1/1</t>
        </is>
      </c>
      <c r="S128" t="n">
        <v>2</v>
      </c>
      <c r="T128">
        <f>INDEX(Calc!$G$2:$G$124,MATCH($W128,Calc!$A$2:$A$124,0))&amp;" / "&amp;INDEX(Calc!$H$2:$H$124,MATCH($W128,Calc!$A$2:$A$124,0))</f>
        <v/>
      </c>
      <c r="U128">
        <f>TEXT(INDEX(Calc!$J$2:$J$124,MATCH($W128,Calc!$A$2:$A$124,0)),"0.0")&amp;" / "&amp;TEXT(INDEX(Calc!$K$2:$K$124,MATCH($W128,Calc!$A$2:$A$124,0)),"0.0")</f>
        <v/>
      </c>
      <c r="V128">
        <f>IFERROR(INDEX(Calc!$AQ$2:$AQ$124,MATCH($W128,Calc!$A$2:$A$124,0)),"")</f>
        <v/>
      </c>
      <c r="W128" t="inlineStr">
        <is>
          <t>eb7cqiuc8bqx4zr|CS2 · FUT vs TL</t>
        </is>
      </c>
      <c r="X128" t="inlineStr">
        <is>
          <t>H12</t>
        </is>
      </c>
      <c r="Y128">
        <f>W128&amp;"|"&amp;X128</f>
        <v/>
      </c>
      <c r="Z128" s="9">
        <f>IFERROR(INDEX(CHOOSE(MATCH($X128,{"K1","K2","K3","K12","K13","H1","H2","H3","H12","H13"},0),Calc!$BA$2:$BA$124,Calc!$BB$2:$BB$124,Calc!$BC$2:$BC$124,Calc!$BD$2:$BD$124,Calc!$BE$2:$BE$124,Calc!$BF$2:$BF$124,Calc!$BG$2:$BG$124,Calc!$BH$2:$BH$124,Calc!$BI$2:$BI$124,Calc!$BJ$2:$BJ$124),MATCH($W128,Calc!$A$2:$A$124,0)),"")</f>
        <v/>
      </c>
      <c r="AA128" s="9">
        <f>IF(Z128="","",IF(LEFT($X128,1)="H",SQRT(Z128*(IFERROR(INDEX(Calc!$AP$2:$AP$124,MATCH($W128,Calc!$A$2:$A$124,0)),0.5)*Config!$B$5+1-IFERROR(INDEX(Calc!$AP$2:$AP$124,MATCH($W128,Calc!$A$2:$A$124,0)),0.5))),SQRT(Z128*Config!$B$5)))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FUT vs TL</t>
        </is>
      </c>
      <c r="C129" t="inlineStr">
        <is>
          <t>Jorko</t>
        </is>
      </c>
      <c r="D129" t="inlineStr">
        <is>
          <t>TL</t>
        </is>
      </c>
      <c r="E129" t="inlineStr">
        <is>
          <t>Maps 1-2 Kills</t>
        </is>
      </c>
      <c r="F129" t="n">
        <v>27.5</v>
      </c>
      <c r="G129" s="9">
        <f>IFERROR(INDEX(CHOOSE(MATCH($X129,{"K1","K2","K3","K12","K13","H1","H2","H3","H12","H13"},0),Calc!$V$2:$V$124,Calc!$AC$2:$AC$124,Calc!$AJ$2:$AJ$124,Calc!$AL$2:$AL$124,Calc!$AM$2:$AM$124,Calc!$W$2:$W$124,Calc!$AD$2:$AD$124,Calc!$AK$2:$AK$124,Calc!$AN$2:$AN$124,Calc!$AO$2:$AO$124),MATCH($W129,Calc!$A$2:$A$124,0)),"")</f>
        <v/>
      </c>
      <c r="H129" s="9">
        <f>IF(G129="","",IF(LEFT($X129,1)="H",SQRT(G129*(IFERROR(INDEX(Calc!$AP$2:$AP$124,MATCH($W129,Calc!$A$2:$A$124,0)),0.5)*Config!$B$5+1-IFERROR(INDEX(Calc!$AP$2:$AP$124,MATCH($W129,Calc!$A$2:$A$124,0)),0.5))),SQRT(G129*Config!$B$5)))</f>
        <v/>
      </c>
      <c r="I129" s="8">
        <f>IF(OR(F129="",G129="",N(H129)&lt;=0),"",1-NORMDIST(FLOOR(F129,1)+0.5,G129,H129,TRUE))</f>
        <v/>
      </c>
      <c r="J129" s="8">
        <f>IF(I129="","",NORMDIST(CEILING(F129,1)-0.5,G129,H129,TRUE))</f>
        <v/>
      </c>
      <c r="K129" s="8">
        <f>IF(I129="","",MAX(0,1-I129-J129))</f>
        <v/>
      </c>
      <c r="L129">
        <f>IF(I129="","",IF(I129&gt;=0.5+Config!$B$6,"OVER",IF(J129&gt;=0.5+Config!$B$6,"UNDER","—")))</f>
        <v/>
      </c>
      <c r="M129" t="n">
        <v>27.91</v>
      </c>
      <c r="N129" t="n">
        <v>29.1</v>
      </c>
      <c r="O129" s="8" t="n">
        <v>0.6</v>
      </c>
      <c r="P129" s="8" t="n">
        <v>0.7</v>
      </c>
      <c r="Q129" s="8" t="n">
        <v>0.73</v>
      </c>
      <c r="R129" t="inlineStr">
        <is>
          <t>100%/1/1</t>
        </is>
      </c>
      <c r="S129" t="n">
        <v>2</v>
      </c>
      <c r="T129">
        <f>INDEX(Calc!$G$2:$G$124,MATCH($W129,Calc!$A$2:$A$124,0))&amp;" / "&amp;INDEX(Calc!$H$2:$H$124,MATCH($W129,Calc!$A$2:$A$124,0))</f>
        <v/>
      </c>
      <c r="U129">
        <f>TEXT(INDEX(Calc!$J$2:$J$124,MATCH($W129,Calc!$A$2:$A$124,0)),"0.0")&amp;" / "&amp;TEXT(INDEX(Calc!$K$2:$K$124,MATCH($W129,Calc!$A$2:$A$124,0)),"0.0")</f>
        <v/>
      </c>
      <c r="V129">
        <f>IFERROR(INDEX(Calc!$AQ$2:$AQ$124,MATCH($W129,Calc!$A$2:$A$124,0)),"")</f>
        <v/>
      </c>
      <c r="W129" t="inlineStr">
        <is>
          <t>eb7cqiuc8bqx4zr|CS2 · FUT vs TL</t>
        </is>
      </c>
      <c r="X129" t="inlineStr">
        <is>
          <t>K12</t>
        </is>
      </c>
      <c r="Y129">
        <f>W129&amp;"|"&amp;X129</f>
        <v/>
      </c>
      <c r="Z129" s="9">
        <f>IFERROR(INDEX(CHOOSE(MATCH($X129,{"K1","K2","K3","K12","K13","H1","H2","H3","H12","H13"},0),Calc!$BA$2:$BA$124,Calc!$BB$2:$BB$124,Calc!$BC$2:$BC$124,Calc!$BD$2:$BD$124,Calc!$BE$2:$BE$124,Calc!$BF$2:$BF$124,Calc!$BG$2:$BG$124,Calc!$BH$2:$BH$124,Calc!$BI$2:$BI$124,Calc!$BJ$2:$BJ$124),MATCH($W129,Calc!$A$2:$A$124,0)),"")</f>
        <v/>
      </c>
      <c r="AA129" s="9">
        <f>IF(Z129="","",IF(LEFT($X129,1)="H",SQRT(Z129*(IFERROR(INDEX(Calc!$AP$2:$AP$124,MATCH($W129,Calc!$A$2:$A$124,0)),0.5)*Config!$B$5+1-IFERROR(INDEX(Calc!$AP$2:$AP$124,MATCH($W129,Calc!$A$2:$A$124,0)),0.5))),SQRT(Z129*Config!$B$5)))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FUT vs TL</t>
        </is>
      </c>
      <c r="C130" t="inlineStr">
        <is>
          <t>JT</t>
        </is>
      </c>
      <c r="D130" t="inlineStr">
        <is>
          <t>TL</t>
        </is>
      </c>
      <c r="E130" t="inlineStr">
        <is>
          <t>Maps 1-2 HS</t>
        </is>
      </c>
      <c r="F130" t="n">
        <v>12.5</v>
      </c>
      <c r="G130" s="9">
        <f>IFERROR(INDEX(CHOOSE(MATCH($X130,{"K1","K2","K3","K12","K13","H1","H2","H3","H12","H13"},0),Calc!$V$2:$V$124,Calc!$AC$2:$AC$124,Calc!$AJ$2:$AJ$124,Calc!$AL$2:$AL$124,Calc!$AM$2:$AM$124,Calc!$W$2:$W$124,Calc!$AD$2:$AD$124,Calc!$AK$2:$AK$124,Calc!$AN$2:$AN$124,Calc!$AO$2:$AO$124),MATCH($W130,Calc!$A$2:$A$124,0)),"")</f>
        <v/>
      </c>
      <c r="H130" s="9">
        <f>IF(G130="","",IF(LEFT($X130,1)="H",SQRT(G130*(IFERROR(INDEX(Calc!$AP$2:$AP$124,MATCH($W130,Calc!$A$2:$A$124,0)),0.5)*Config!$B$5+1-IFERROR(INDEX(Calc!$AP$2:$AP$124,MATCH($W130,Calc!$A$2:$A$124,0)),0.5))),SQRT(G130*Config!$B$5)))</f>
        <v/>
      </c>
      <c r="I130" s="8">
        <f>IF(OR(F130="",G130="",N(H130)&lt;=0),"",1-NORMDIST(FLOOR(F130,1)+0.5,G130,H130,TRUE))</f>
        <v/>
      </c>
      <c r="J130" s="8">
        <f>IF(I130="","",NORMDIST(CEILING(F130,1)-0.5,G130,H130,TRUE))</f>
        <v/>
      </c>
      <c r="K130" s="8">
        <f>IF(I130="","",MAX(0,1-I130-J130))</f>
        <v/>
      </c>
      <c r="L130">
        <f>IF(I130="","",IF(I130&gt;=0.5+Config!$B$6,"OVER",IF(J130&gt;=0.5+Config!$B$6,"UNDER","—")))</f>
        <v/>
      </c>
      <c r="N130" t="n">
        <v>12.8</v>
      </c>
      <c r="O130" s="8" t="n">
        <v>0.4</v>
      </c>
      <c r="P130" s="8" t="n">
        <v>0.3</v>
      </c>
      <c r="Q130" s="8" t="n">
        <v>0.4</v>
      </c>
      <c r="R130" t="inlineStr">
        <is>
          <t>50%/1/2</t>
        </is>
      </c>
      <c r="S130" t="n">
        <v>1</v>
      </c>
      <c r="T130">
        <f>INDEX(Calc!$G$2:$G$124,MATCH($W130,Calc!$A$2:$A$124,0))&amp;" / "&amp;INDEX(Calc!$H$2:$H$124,MATCH($W130,Calc!$A$2:$A$124,0))</f>
        <v/>
      </c>
      <c r="U130">
        <f>TEXT(INDEX(Calc!$J$2:$J$124,MATCH($W130,Calc!$A$2:$A$124,0)),"0.0")&amp;" / "&amp;TEXT(INDEX(Calc!$K$2:$K$124,MATCH($W130,Calc!$A$2:$A$124,0)),"0.0")</f>
        <v/>
      </c>
      <c r="V130">
        <f>IFERROR(INDEX(Calc!$AQ$2:$AQ$124,MATCH($W130,Calc!$A$2:$A$124,0)),"")</f>
        <v/>
      </c>
      <c r="W130" t="inlineStr">
        <is>
          <t>j4y4z5p4stvkatz|CS2 · FUT vs TL</t>
        </is>
      </c>
      <c r="X130" t="inlineStr">
        <is>
          <t>H12</t>
        </is>
      </c>
      <c r="Y130">
        <f>W130&amp;"|"&amp;X130</f>
        <v/>
      </c>
      <c r="Z130" s="9">
        <f>IFERROR(INDEX(CHOOSE(MATCH($X130,{"K1","K2","K3","K12","K13","H1","H2","H3","H12","H13"},0),Calc!$BA$2:$BA$124,Calc!$BB$2:$BB$124,Calc!$BC$2:$BC$124,Calc!$BD$2:$BD$124,Calc!$BE$2:$BE$124,Calc!$BF$2:$BF$124,Calc!$BG$2:$BG$124,Calc!$BH$2:$BH$124,Calc!$BI$2:$BI$124,Calc!$BJ$2:$BJ$124),MATCH($W130,Calc!$A$2:$A$124,0)),"")</f>
        <v/>
      </c>
      <c r="AA130" s="9">
        <f>IF(Z130="","",IF(LEFT($X130,1)="H",SQRT(Z130*(IFERROR(INDEX(Calc!$AP$2:$AP$124,MATCH($W130,Calc!$A$2:$A$124,0)),0.5)*Config!$B$5+1-IFERROR(INDEX(Calc!$AP$2:$AP$124,MATCH($W130,Calc!$A$2:$A$124,0)),0.5))),SQRT(Z130*Config!$B$5)))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FUT vs TL</t>
        </is>
      </c>
      <c r="C131" t="inlineStr">
        <is>
          <t>JT</t>
        </is>
      </c>
      <c r="D131" t="inlineStr">
        <is>
          <t>TL</t>
        </is>
      </c>
      <c r="E131" t="inlineStr">
        <is>
          <t>Maps 1-2 Kills</t>
        </is>
      </c>
      <c r="F131" t="n">
        <v>23</v>
      </c>
      <c r="G131" s="9">
        <f>IFERROR(INDEX(CHOOSE(MATCH($X131,{"K1","K2","K3","K12","K13","H1","H2","H3","H12","H13"},0),Calc!$V$2:$V$124,Calc!$AC$2:$AC$124,Calc!$AJ$2:$AJ$124,Calc!$AL$2:$AL$124,Calc!$AM$2:$AM$124,Calc!$W$2:$W$124,Calc!$AD$2:$AD$124,Calc!$AK$2:$AK$124,Calc!$AN$2:$AN$124,Calc!$AO$2:$AO$124),MATCH($W131,Calc!$A$2:$A$124,0)),"")</f>
        <v/>
      </c>
      <c r="H131" s="9">
        <f>IF(G131="","",IF(LEFT($X131,1)="H",SQRT(G131*(IFERROR(INDEX(Calc!$AP$2:$AP$124,MATCH($W131,Calc!$A$2:$A$124,0)),0.5)*Config!$B$5+1-IFERROR(INDEX(Calc!$AP$2:$AP$124,MATCH($W131,Calc!$A$2:$A$124,0)),0.5))),SQRT(G131*Config!$B$5)))</f>
        <v/>
      </c>
      <c r="I131" s="8">
        <f>IF(OR(F131="",G131="",N(H131)&lt;=0),"",1-NORMDIST(FLOOR(F131,1)+0.5,G131,H131,TRUE))</f>
        <v/>
      </c>
      <c r="J131" s="8">
        <f>IF(I131="","",NORMDIST(CEILING(F131,1)-0.5,G131,H131,TRUE))</f>
        <v/>
      </c>
      <c r="K131" s="8">
        <f>IF(I131="","",MAX(0,1-I131-J131))</f>
        <v/>
      </c>
      <c r="L131">
        <f>IF(I131="","",IF(I131&gt;=0.5+Config!$B$6,"OVER",IF(J131&gt;=0.5+Config!$B$6,"UNDER","—")))</f>
        <v/>
      </c>
      <c r="M131" t="n">
        <v>23.17</v>
      </c>
      <c r="N131" t="n">
        <v>22.6</v>
      </c>
      <c r="O131" s="8" t="n">
        <v>0.4</v>
      </c>
      <c r="P131" s="8" t="n">
        <v>0.4</v>
      </c>
      <c r="Q131" s="8" t="n">
        <v>0.53</v>
      </c>
      <c r="R131" t="inlineStr">
        <is>
          <t>0%/0/2</t>
        </is>
      </c>
      <c r="S131" t="n">
        <v>1</v>
      </c>
      <c r="T131">
        <f>INDEX(Calc!$G$2:$G$124,MATCH($W131,Calc!$A$2:$A$124,0))&amp;" / "&amp;INDEX(Calc!$H$2:$H$124,MATCH($W131,Calc!$A$2:$A$124,0))</f>
        <v/>
      </c>
      <c r="U131">
        <f>TEXT(INDEX(Calc!$J$2:$J$124,MATCH($W131,Calc!$A$2:$A$124,0)),"0.0")&amp;" / "&amp;TEXT(INDEX(Calc!$K$2:$K$124,MATCH($W131,Calc!$A$2:$A$124,0)),"0.0")</f>
        <v/>
      </c>
      <c r="V131">
        <f>IFERROR(INDEX(Calc!$AQ$2:$AQ$124,MATCH($W131,Calc!$A$2:$A$124,0)),"")</f>
        <v/>
      </c>
      <c r="W131" t="inlineStr">
        <is>
          <t>j4y4z5p4stvkatz|CS2 · FUT vs TL</t>
        </is>
      </c>
      <c r="X131" t="inlineStr">
        <is>
          <t>K12</t>
        </is>
      </c>
      <c r="Y131">
        <f>W131&amp;"|"&amp;X131</f>
        <v/>
      </c>
      <c r="Z131" s="9">
        <f>IFERROR(INDEX(CHOOSE(MATCH($X131,{"K1","K2","K3","K12","K13","H1","H2","H3","H12","H13"},0),Calc!$BA$2:$BA$124,Calc!$BB$2:$BB$124,Calc!$BC$2:$BC$124,Calc!$BD$2:$BD$124,Calc!$BE$2:$BE$124,Calc!$BF$2:$BF$124,Calc!$BG$2:$BG$124,Calc!$BH$2:$BH$124,Calc!$BI$2:$BI$124,Calc!$BJ$2:$BJ$124),MATCH($W131,Calc!$A$2:$A$124,0)),"")</f>
        <v/>
      </c>
      <c r="AA131" s="9">
        <f>IF(Z131="","",IF(LEFT($X131,1)="H",SQRT(Z131*(IFERROR(INDEX(Calc!$AP$2:$AP$124,MATCH($W131,Calc!$A$2:$A$124,0)),0.5)*Config!$B$5+1-IFERROR(INDEX(Calc!$AP$2:$AP$124,MATCH($W131,Calc!$A$2:$A$124,0)),0.5))),SQRT(Z131*Config!$B$5)))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FUT vs TL</t>
        </is>
      </c>
      <c r="C132" t="inlineStr">
        <is>
          <t>malbsMd</t>
        </is>
      </c>
      <c r="D132" t="inlineStr">
        <is>
          <t>TL</t>
        </is>
      </c>
      <c r="E132" t="inlineStr">
        <is>
          <t>Maps 1-2 HS</t>
        </is>
      </c>
      <c r="F132" t="n">
        <v>17.5</v>
      </c>
      <c r="G132" s="9">
        <f>IFERROR(INDEX(CHOOSE(MATCH($X132,{"K1","K2","K3","K12","K13","H1","H2","H3","H12","H13"},0),Calc!$V$2:$V$124,Calc!$AC$2:$AC$124,Calc!$AJ$2:$AJ$124,Calc!$AL$2:$AL$124,Calc!$AM$2:$AM$124,Calc!$W$2:$W$124,Calc!$AD$2:$AD$124,Calc!$AK$2:$AK$124,Calc!$AN$2:$AN$124,Calc!$AO$2:$AO$124),MATCH($W132,Calc!$A$2:$A$124,0)),"")</f>
        <v/>
      </c>
      <c r="H132" s="9">
        <f>IF(G132="","",IF(LEFT($X132,1)="H",SQRT(G132*(IFERROR(INDEX(Calc!$AP$2:$AP$124,MATCH($W132,Calc!$A$2:$A$124,0)),0.5)*Config!$B$5+1-IFERROR(INDEX(Calc!$AP$2:$AP$124,MATCH($W132,Calc!$A$2:$A$124,0)),0.5))),SQRT(G132*Config!$B$5)))</f>
        <v/>
      </c>
      <c r="I132" s="8">
        <f>IF(OR(F132="",G132="",N(H132)&lt;=0),"",1-NORMDIST(FLOOR(F132,1)+0.5,G132,H132,TRUE))</f>
        <v/>
      </c>
      <c r="J132" s="8">
        <f>IF(I132="","",NORMDIST(CEILING(F132,1)-0.5,G132,H132,TRUE))</f>
        <v/>
      </c>
      <c r="K132" s="8">
        <f>IF(I132="","",MAX(0,1-I132-J132))</f>
        <v/>
      </c>
      <c r="L132">
        <f>IF(I132="","",IF(I132&gt;=0.5+Config!$B$6,"OVER",IF(J132&gt;=0.5+Config!$B$6,"UNDER","—")))</f>
        <v/>
      </c>
      <c r="N132" t="n">
        <v>19.2</v>
      </c>
      <c r="O132" s="8" t="n">
        <v>0.4</v>
      </c>
      <c r="P132" s="8" t="n">
        <v>0.6</v>
      </c>
      <c r="Q132" s="8" t="n">
        <v>0.53</v>
      </c>
      <c r="R132" t="inlineStr">
        <is>
          <t>50%/1/2</t>
        </is>
      </c>
      <c r="S132" t="n">
        <v>1</v>
      </c>
      <c r="T132">
        <f>INDEX(Calc!$G$2:$G$124,MATCH($W132,Calc!$A$2:$A$124,0))&amp;" / "&amp;INDEX(Calc!$H$2:$H$124,MATCH($W132,Calc!$A$2:$A$124,0))</f>
        <v/>
      </c>
      <c r="U132">
        <f>TEXT(INDEX(Calc!$J$2:$J$124,MATCH($W132,Calc!$A$2:$A$124,0)),"0.0")&amp;" / "&amp;TEXT(INDEX(Calc!$K$2:$K$124,MATCH($W132,Calc!$A$2:$A$124,0)),"0.0")</f>
        <v/>
      </c>
      <c r="V132">
        <f>IFERROR(INDEX(Calc!$AQ$2:$AQ$124,MATCH($W132,Calc!$A$2:$A$124,0)),"")</f>
        <v/>
      </c>
      <c r="W132" t="inlineStr">
        <is>
          <t>30ba4vwtbgb75sn|CS2 · FUT vs TL</t>
        </is>
      </c>
      <c r="X132" t="inlineStr">
        <is>
          <t>H12</t>
        </is>
      </c>
      <c r="Y132">
        <f>W132&amp;"|"&amp;X132</f>
        <v/>
      </c>
      <c r="Z132" s="9">
        <f>IFERROR(INDEX(CHOOSE(MATCH($X132,{"K1","K2","K3","K12","K13","H1","H2","H3","H12","H13"},0),Calc!$BA$2:$BA$124,Calc!$BB$2:$BB$124,Calc!$BC$2:$BC$124,Calc!$BD$2:$BD$124,Calc!$BE$2:$BE$124,Calc!$BF$2:$BF$124,Calc!$BG$2:$BG$124,Calc!$BH$2:$BH$124,Calc!$BI$2:$BI$124,Calc!$BJ$2:$BJ$124),MATCH($W132,Calc!$A$2:$A$124,0)),"")</f>
        <v/>
      </c>
      <c r="AA132" s="9">
        <f>IF(Z132="","",IF(LEFT($X132,1)="H",SQRT(Z132*(IFERROR(INDEX(Calc!$AP$2:$AP$124,MATCH($W132,Calc!$A$2:$A$124,0)),0.5)*Config!$B$5+1-IFERROR(INDEX(Calc!$AP$2:$AP$124,MATCH($W132,Calc!$A$2:$A$124,0)),0.5))),SQRT(Z132*Config!$B$5)))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FUT vs TL</t>
        </is>
      </c>
      <c r="C133" t="inlineStr">
        <is>
          <t>malbsMd</t>
        </is>
      </c>
      <c r="D133" t="inlineStr">
        <is>
          <t>TL</t>
        </is>
      </c>
      <c r="E133" t="inlineStr">
        <is>
          <t>Maps 1-2 Kills</t>
        </is>
      </c>
      <c r="F133" t="n">
        <v>27</v>
      </c>
      <c r="G133" s="9">
        <f>IFERROR(INDEX(CHOOSE(MATCH($X133,{"K1","K2","K3","K12","K13","H1","H2","H3","H12","H13"},0),Calc!$V$2:$V$124,Calc!$AC$2:$AC$124,Calc!$AJ$2:$AJ$124,Calc!$AL$2:$AL$124,Calc!$AM$2:$AM$124,Calc!$W$2:$W$124,Calc!$AD$2:$AD$124,Calc!$AK$2:$AK$124,Calc!$AN$2:$AN$124,Calc!$AO$2:$AO$124),MATCH($W133,Calc!$A$2:$A$124,0)),"")</f>
        <v/>
      </c>
      <c r="H133" s="9">
        <f>IF(G133="","",IF(LEFT($X133,1)="H",SQRT(G133*(IFERROR(INDEX(Calc!$AP$2:$AP$124,MATCH($W133,Calc!$A$2:$A$124,0)),0.5)*Config!$B$5+1-IFERROR(INDEX(Calc!$AP$2:$AP$124,MATCH($W133,Calc!$A$2:$A$124,0)),0.5))),SQRT(G133*Config!$B$5)))</f>
        <v/>
      </c>
      <c r="I133" s="8">
        <f>IF(OR(F133="",G133="",N(H133)&lt;=0),"",1-NORMDIST(FLOOR(F133,1)+0.5,G133,H133,TRUE))</f>
        <v/>
      </c>
      <c r="J133" s="8">
        <f>IF(I133="","",NORMDIST(CEILING(F133,1)-0.5,G133,H133,TRUE))</f>
        <v/>
      </c>
      <c r="K133" s="8">
        <f>IF(I133="","",MAX(0,1-I133-J133))</f>
        <v/>
      </c>
      <c r="L133">
        <f>IF(I133="","",IF(I133&gt;=0.5+Config!$B$6,"OVER",IF(J133&gt;=0.5+Config!$B$6,"UNDER","—")))</f>
        <v/>
      </c>
      <c r="M133" t="n">
        <v>26.76</v>
      </c>
      <c r="N133" t="n">
        <v>29.8</v>
      </c>
      <c r="O133" s="8" t="n">
        <v>0.2</v>
      </c>
      <c r="P133" s="8" t="n">
        <v>0.5</v>
      </c>
      <c r="Q133" s="8" t="n">
        <v>0.6</v>
      </c>
      <c r="R133" t="inlineStr">
        <is>
          <t>50%/1/2</t>
        </is>
      </c>
      <c r="S133" t="n">
        <v>1</v>
      </c>
      <c r="T133">
        <f>INDEX(Calc!$G$2:$G$124,MATCH($W133,Calc!$A$2:$A$124,0))&amp;" / "&amp;INDEX(Calc!$H$2:$H$124,MATCH($W133,Calc!$A$2:$A$124,0))</f>
        <v/>
      </c>
      <c r="U133">
        <f>TEXT(INDEX(Calc!$J$2:$J$124,MATCH($W133,Calc!$A$2:$A$124,0)),"0.0")&amp;" / "&amp;TEXT(INDEX(Calc!$K$2:$K$124,MATCH($W133,Calc!$A$2:$A$124,0)),"0.0")</f>
        <v/>
      </c>
      <c r="V133">
        <f>IFERROR(INDEX(Calc!$AQ$2:$AQ$124,MATCH($W133,Calc!$A$2:$A$124,0)),"")</f>
        <v/>
      </c>
      <c r="W133" t="inlineStr">
        <is>
          <t>30ba4vwtbgb75sn|CS2 · FUT vs TL</t>
        </is>
      </c>
      <c r="X133" t="inlineStr">
        <is>
          <t>K12</t>
        </is>
      </c>
      <c r="Y133">
        <f>W133&amp;"|"&amp;X133</f>
        <v/>
      </c>
      <c r="Z133" s="9">
        <f>IFERROR(INDEX(CHOOSE(MATCH($X133,{"K1","K2","K3","K12","K13","H1","H2","H3","H12","H13"},0),Calc!$BA$2:$BA$124,Calc!$BB$2:$BB$124,Calc!$BC$2:$BC$124,Calc!$BD$2:$BD$124,Calc!$BE$2:$BE$124,Calc!$BF$2:$BF$124,Calc!$BG$2:$BG$124,Calc!$BH$2:$BH$124,Calc!$BI$2:$BI$124,Calc!$BJ$2:$BJ$124),MATCH($W133,Calc!$A$2:$A$124,0)),"")</f>
        <v/>
      </c>
      <c r="AA133" s="9">
        <f>IF(Z133="","",IF(LEFT($X133,1)="H",SQRT(Z133*(IFERROR(INDEX(Calc!$AP$2:$AP$124,MATCH($W133,Calc!$A$2:$A$124,0)),0.5)*Config!$B$5+1-IFERROR(INDEX(Calc!$AP$2:$AP$124,MATCH($W133,Calc!$A$2:$A$124,0)),0.5))),SQRT(Z133*Config!$B$5)))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FUT vs TL</t>
        </is>
      </c>
      <c r="C134" t="inlineStr">
        <is>
          <t>NAF</t>
        </is>
      </c>
      <c r="D134" t="inlineStr">
        <is>
          <t>TL</t>
        </is>
      </c>
      <c r="E134" t="inlineStr">
        <is>
          <t>Maps 1-2 HS</t>
        </is>
      </c>
      <c r="F134" t="n">
        <v>13.5</v>
      </c>
      <c r="G134" s="9">
        <f>IFERROR(INDEX(CHOOSE(MATCH($X134,{"K1","K2","K3","K12","K13","H1","H2","H3","H12","H13"},0),Calc!$V$2:$V$124,Calc!$AC$2:$AC$124,Calc!$AJ$2:$AJ$124,Calc!$AL$2:$AL$124,Calc!$AM$2:$AM$124,Calc!$W$2:$W$124,Calc!$AD$2:$AD$124,Calc!$AK$2:$AK$124,Calc!$AN$2:$AN$124,Calc!$AO$2:$AO$124),MATCH($W134,Calc!$A$2:$A$124,0)),"")</f>
        <v/>
      </c>
      <c r="H134" s="9">
        <f>IF(G134="","",IF(LEFT($X134,1)="H",SQRT(G134*(IFERROR(INDEX(Calc!$AP$2:$AP$124,MATCH($W134,Calc!$A$2:$A$124,0)),0.5)*Config!$B$5+1-IFERROR(INDEX(Calc!$AP$2:$AP$124,MATCH($W134,Calc!$A$2:$A$124,0)),0.5))),SQRT(G134*Config!$B$5)))</f>
        <v/>
      </c>
      <c r="I134" s="8">
        <f>IF(OR(F134="",G134="",N(H134)&lt;=0),"",1-NORMDIST(FLOOR(F134,1)+0.5,G134,H134,TRUE))</f>
        <v/>
      </c>
      <c r="J134" s="8">
        <f>IF(I134="","",NORMDIST(CEILING(F134,1)-0.5,G134,H134,TRUE))</f>
        <v/>
      </c>
      <c r="K134" s="8">
        <f>IF(I134="","",MAX(0,1-I134-J134))</f>
        <v/>
      </c>
      <c r="L134">
        <f>IF(I134="","",IF(I134&gt;=0.5+Config!$B$6,"OVER",IF(J134&gt;=0.5+Config!$B$6,"UNDER","—")))</f>
        <v/>
      </c>
      <c r="N134" t="n">
        <v>16.4</v>
      </c>
      <c r="O134" s="8" t="n">
        <v>0.8</v>
      </c>
      <c r="P134" s="8" t="n">
        <v>0.8</v>
      </c>
      <c r="Q134" s="8" t="n">
        <v>0.73</v>
      </c>
      <c r="R134" t="inlineStr">
        <is>
          <t>-</t>
        </is>
      </c>
      <c r="S134" t="n">
        <v>2</v>
      </c>
      <c r="T134">
        <f>INDEX(Calc!$G$2:$G$124,MATCH($W134,Calc!$A$2:$A$124,0))&amp;" / "&amp;INDEX(Calc!$H$2:$H$124,MATCH($W134,Calc!$A$2:$A$124,0))</f>
        <v/>
      </c>
      <c r="U134">
        <f>TEXT(INDEX(Calc!$J$2:$J$124,MATCH($W134,Calc!$A$2:$A$124,0)),"0.0")&amp;" / "&amp;TEXT(INDEX(Calc!$K$2:$K$124,MATCH($W134,Calc!$A$2:$A$124,0)),"0.0")</f>
        <v/>
      </c>
      <c r="V134">
        <f>IFERROR(INDEX(Calc!$AQ$2:$AQ$124,MATCH($W134,Calc!$A$2:$A$124,0)),"")</f>
        <v/>
      </c>
      <c r="W134" t="inlineStr">
        <is>
          <t>as14gj4lvoykr11|CS2 · FUT vs TL</t>
        </is>
      </c>
      <c r="X134" t="inlineStr">
        <is>
          <t>H12</t>
        </is>
      </c>
      <c r="Y134">
        <f>W134&amp;"|"&amp;X134</f>
        <v/>
      </c>
      <c r="Z134" s="9">
        <f>IFERROR(INDEX(CHOOSE(MATCH($X134,{"K1","K2","K3","K12","K13","H1","H2","H3","H12","H13"},0),Calc!$BA$2:$BA$124,Calc!$BB$2:$BB$124,Calc!$BC$2:$BC$124,Calc!$BD$2:$BD$124,Calc!$BE$2:$BE$124,Calc!$BF$2:$BF$124,Calc!$BG$2:$BG$124,Calc!$BH$2:$BH$124,Calc!$BI$2:$BI$124,Calc!$BJ$2:$BJ$124),MATCH($W134,Calc!$A$2:$A$124,0)),"")</f>
        <v/>
      </c>
      <c r="AA134" s="9">
        <f>IF(Z134="","",IF(LEFT($X134,1)="H",SQRT(Z134*(IFERROR(INDEX(Calc!$AP$2:$AP$124,MATCH($W134,Calc!$A$2:$A$124,0)),0.5)*Config!$B$5+1-IFERROR(INDEX(Calc!$AP$2:$AP$124,MATCH($W134,Calc!$A$2:$A$124,0)),0.5))),SQRT(Z134*Config!$B$5)))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FUT vs TL</t>
        </is>
      </c>
      <c r="C135" t="inlineStr">
        <is>
          <t>NAF</t>
        </is>
      </c>
      <c r="D135" t="inlineStr">
        <is>
          <t>TL</t>
        </is>
      </c>
      <c r="E135" t="inlineStr">
        <is>
          <t>Maps 1-2 Kills</t>
        </is>
      </c>
      <c r="F135" t="n">
        <v>27</v>
      </c>
      <c r="G135" s="9">
        <f>IFERROR(INDEX(CHOOSE(MATCH($X135,{"K1","K2","K3","K12","K13","H1","H2","H3","H12","H13"},0),Calc!$V$2:$V$124,Calc!$AC$2:$AC$124,Calc!$AJ$2:$AJ$124,Calc!$AL$2:$AL$124,Calc!$AM$2:$AM$124,Calc!$W$2:$W$124,Calc!$AD$2:$AD$124,Calc!$AK$2:$AK$124,Calc!$AN$2:$AN$124,Calc!$AO$2:$AO$124),MATCH($W135,Calc!$A$2:$A$124,0)),"")</f>
        <v/>
      </c>
      <c r="H135" s="9">
        <f>IF(G135="","",IF(LEFT($X135,1)="H",SQRT(G135*(IFERROR(INDEX(Calc!$AP$2:$AP$124,MATCH($W135,Calc!$A$2:$A$124,0)),0.5)*Config!$B$5+1-IFERROR(INDEX(Calc!$AP$2:$AP$124,MATCH($W135,Calc!$A$2:$A$124,0)),0.5))),SQRT(G135*Config!$B$5)))</f>
        <v/>
      </c>
      <c r="I135" s="8">
        <f>IF(OR(F135="",G135="",N(H135)&lt;=0),"",1-NORMDIST(FLOOR(F135,1)+0.5,G135,H135,TRUE))</f>
        <v/>
      </c>
      <c r="J135" s="8">
        <f>IF(I135="","",NORMDIST(CEILING(F135,1)-0.5,G135,H135,TRUE))</f>
        <v/>
      </c>
      <c r="K135" s="8">
        <f>IF(I135="","",MAX(0,1-I135-J135))</f>
        <v/>
      </c>
      <c r="L135">
        <f>IF(I135="","",IF(I135&gt;=0.5+Config!$B$6,"OVER",IF(J135&gt;=0.5+Config!$B$6,"UNDER","—")))</f>
        <v/>
      </c>
      <c r="M135" t="n">
        <v>27.06</v>
      </c>
      <c r="N135" t="n">
        <v>30.1</v>
      </c>
      <c r="O135" s="8" t="n">
        <v>0.8</v>
      </c>
      <c r="P135" s="8" t="n">
        <v>0.8</v>
      </c>
      <c r="Q135" s="8" t="n">
        <v>0.8</v>
      </c>
      <c r="R135" t="inlineStr">
        <is>
          <t>-</t>
        </is>
      </c>
      <c r="S135" t="n">
        <v>2</v>
      </c>
      <c r="T135">
        <f>INDEX(Calc!$G$2:$G$124,MATCH($W135,Calc!$A$2:$A$124,0))&amp;" / "&amp;INDEX(Calc!$H$2:$H$124,MATCH($W135,Calc!$A$2:$A$124,0))</f>
        <v/>
      </c>
      <c r="U135">
        <f>TEXT(INDEX(Calc!$J$2:$J$124,MATCH($W135,Calc!$A$2:$A$124,0)),"0.0")&amp;" / "&amp;TEXT(INDEX(Calc!$K$2:$K$124,MATCH($W135,Calc!$A$2:$A$124,0)),"0.0")</f>
        <v/>
      </c>
      <c r="V135">
        <f>IFERROR(INDEX(Calc!$AQ$2:$AQ$124,MATCH($W135,Calc!$A$2:$A$124,0)),"")</f>
        <v/>
      </c>
      <c r="W135" t="inlineStr">
        <is>
          <t>as14gj4lvoykr11|CS2 · FUT vs TL</t>
        </is>
      </c>
      <c r="X135" t="inlineStr">
        <is>
          <t>K12</t>
        </is>
      </c>
      <c r="Y135">
        <f>W135&amp;"|"&amp;X135</f>
        <v/>
      </c>
      <c r="Z135" s="9">
        <f>IFERROR(INDEX(CHOOSE(MATCH($X135,{"K1","K2","K3","K12","K13","H1","H2","H3","H12","H13"},0),Calc!$BA$2:$BA$124,Calc!$BB$2:$BB$124,Calc!$BC$2:$BC$124,Calc!$BD$2:$BD$124,Calc!$BE$2:$BE$124,Calc!$BF$2:$BF$124,Calc!$BG$2:$BG$124,Calc!$BH$2:$BH$124,Calc!$BI$2:$BI$124,Calc!$BJ$2:$BJ$124),MATCH($W135,Calc!$A$2:$A$124,0)),"")</f>
        <v/>
      </c>
      <c r="AA135" s="9">
        <f>IF(Z135="","",IF(LEFT($X135,1)="H",SQRT(Z135*(IFERROR(INDEX(Calc!$AP$2:$AP$124,MATCH($W135,Calc!$A$2:$A$124,0)),0.5)*Config!$B$5+1-IFERROR(INDEX(Calc!$AP$2:$AP$124,MATCH($W135,Calc!$A$2:$A$124,0)),0.5))),SQRT(Z135*Config!$B$5)))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INF vs BRUTE</t>
        </is>
      </c>
      <c r="C136" t="inlineStr">
        <is>
          <t>nbqq</t>
        </is>
      </c>
      <c r="D136" t="inlineStr">
        <is>
          <t>BRUTE</t>
        </is>
      </c>
      <c r="E136" t="inlineStr">
        <is>
          <t>Maps 1-2 HS</t>
        </is>
      </c>
      <c r="F136" t="n">
        <v>13.5</v>
      </c>
      <c r="G136" s="9">
        <f>IFERROR(INDEX(CHOOSE(MATCH($X136,{"K1","K2","K3","K12","K13","H1","H2","H3","H12","H13"},0),Calc!$V$2:$V$124,Calc!$AC$2:$AC$124,Calc!$AJ$2:$AJ$124,Calc!$AL$2:$AL$124,Calc!$AM$2:$AM$124,Calc!$W$2:$W$124,Calc!$AD$2:$AD$124,Calc!$AK$2:$AK$124,Calc!$AN$2:$AN$124,Calc!$AO$2:$AO$124),MATCH($W136,Calc!$A$2:$A$124,0)),"")</f>
        <v/>
      </c>
      <c r="H136" s="9">
        <f>IF(G136="","",IF(LEFT($X136,1)="H",SQRT(G136*(IFERROR(INDEX(Calc!$AP$2:$AP$124,MATCH($W136,Calc!$A$2:$A$124,0)),0.5)*Config!$B$5+1-IFERROR(INDEX(Calc!$AP$2:$AP$124,MATCH($W136,Calc!$A$2:$A$124,0)),0.5))),SQRT(G136*Config!$B$5)))</f>
        <v/>
      </c>
      <c r="I136" s="8">
        <f>IF(OR(F136="",G136="",N(H136)&lt;=0),"",1-NORMDIST(FLOOR(F136,1)+0.5,G136,H136,TRUE))</f>
        <v/>
      </c>
      <c r="J136" s="8">
        <f>IF(I136="","",NORMDIST(CEILING(F136,1)-0.5,G136,H136,TRUE))</f>
        <v/>
      </c>
      <c r="K136" s="8">
        <f>IF(I136="","",MAX(0,1-I136-J136))</f>
        <v/>
      </c>
      <c r="L136">
        <f>IF(I136="","",IF(I136&gt;=0.5+Config!$B$6,"OVER",IF(J136&gt;=0.5+Config!$B$6,"UNDER","—")))</f>
        <v/>
      </c>
      <c r="N136" t="n">
        <v>13.8</v>
      </c>
      <c r="O136" s="8" t="n">
        <v>0.4</v>
      </c>
      <c r="P136" s="8" t="n">
        <v>0.5</v>
      </c>
      <c r="Q136" s="8" t="n">
        <v>0.6</v>
      </c>
      <c r="R136" t="inlineStr">
        <is>
          <t>-</t>
        </is>
      </c>
      <c r="S136" t="n">
        <v>-3</v>
      </c>
      <c r="T136">
        <f>INDEX(Calc!$G$2:$G$124,MATCH($W136,Calc!$A$2:$A$124,0))&amp;" / "&amp;INDEX(Calc!$H$2:$H$124,MATCH($W136,Calc!$A$2:$A$124,0))</f>
        <v/>
      </c>
      <c r="U136">
        <f>TEXT(INDEX(Calc!$J$2:$J$124,MATCH($W136,Calc!$A$2:$A$124,0)),"0.0")&amp;" / "&amp;TEXT(INDEX(Calc!$K$2:$K$124,MATCH($W136,Calc!$A$2:$A$124,0)),"0.0")</f>
        <v/>
      </c>
      <c r="V136">
        <f>IFERROR(INDEX(Calc!$AQ$2:$AQ$124,MATCH($W136,Calc!$A$2:$A$124,0)),"")</f>
        <v/>
      </c>
      <c r="W136" t="inlineStr">
        <is>
          <t>l65e6bpbpsopabo|CS2 · INF vs BRUTE</t>
        </is>
      </c>
      <c r="X136" t="inlineStr">
        <is>
          <t>H12</t>
        </is>
      </c>
      <c r="Y136">
        <f>W136&amp;"|"&amp;X136</f>
        <v/>
      </c>
      <c r="Z136" s="9">
        <f>IFERROR(INDEX(CHOOSE(MATCH($X136,{"K1","K2","K3","K12","K13","H1","H2","H3","H12","H13"},0),Calc!$BA$2:$BA$124,Calc!$BB$2:$BB$124,Calc!$BC$2:$BC$124,Calc!$BD$2:$BD$124,Calc!$BE$2:$BE$124,Calc!$BF$2:$BF$124,Calc!$BG$2:$BG$124,Calc!$BH$2:$BH$124,Calc!$BI$2:$BI$124,Calc!$BJ$2:$BJ$124),MATCH($W136,Calc!$A$2:$A$124,0)),"")</f>
        <v/>
      </c>
      <c r="AA136" s="9">
        <f>IF(Z136="","",IF(LEFT($X136,1)="H",SQRT(Z136*(IFERROR(INDEX(Calc!$AP$2:$AP$124,MATCH($W136,Calc!$A$2:$A$124,0)),0.5)*Config!$B$5+1-IFERROR(INDEX(Calc!$AP$2:$AP$124,MATCH($W136,Calc!$A$2:$A$124,0)),0.5))),SQRT(Z136*Config!$B$5)))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INF vs BRUTE</t>
        </is>
      </c>
      <c r="C137" t="inlineStr">
        <is>
          <t>nbqq</t>
        </is>
      </c>
      <c r="D137" t="inlineStr">
        <is>
          <t>BRUTE</t>
        </is>
      </c>
      <c r="E137" t="inlineStr">
        <is>
          <t>Maps 1-2 Kills</t>
        </is>
      </c>
      <c r="F137" t="n">
        <v>28.5</v>
      </c>
      <c r="G137" s="9">
        <f>IFERROR(INDEX(CHOOSE(MATCH($X137,{"K1","K2","K3","K12","K13","H1","H2","H3","H12","H13"},0),Calc!$V$2:$V$124,Calc!$AC$2:$AC$124,Calc!$AJ$2:$AJ$124,Calc!$AL$2:$AL$124,Calc!$AM$2:$AM$124,Calc!$W$2:$W$124,Calc!$AD$2:$AD$124,Calc!$AK$2:$AK$124,Calc!$AN$2:$AN$124,Calc!$AO$2:$AO$124),MATCH($W137,Calc!$A$2:$A$124,0)),"")</f>
        <v/>
      </c>
      <c r="H137" s="9">
        <f>IF(G137="","",IF(LEFT($X137,1)="H",SQRT(G137*(IFERROR(INDEX(Calc!$AP$2:$AP$124,MATCH($W137,Calc!$A$2:$A$124,0)),0.5)*Config!$B$5+1-IFERROR(INDEX(Calc!$AP$2:$AP$124,MATCH($W137,Calc!$A$2:$A$124,0)),0.5))),SQRT(G137*Config!$B$5)))</f>
        <v/>
      </c>
      <c r="I137" s="8">
        <f>IF(OR(F137="",G137="",N(H137)&lt;=0),"",1-NORMDIST(FLOOR(F137,1)+0.5,G137,H137,TRUE))</f>
        <v/>
      </c>
      <c r="J137" s="8">
        <f>IF(I137="","",NORMDIST(CEILING(F137,1)-0.5,G137,H137,TRUE))</f>
        <v/>
      </c>
      <c r="K137" s="8">
        <f>IF(I137="","",MAX(0,1-I137-J137))</f>
        <v/>
      </c>
      <c r="L137">
        <f>IF(I137="","",IF(I137&gt;=0.5+Config!$B$6,"OVER",IF(J137&gt;=0.5+Config!$B$6,"UNDER","—")))</f>
        <v/>
      </c>
      <c r="N137" t="n">
        <v>29.3</v>
      </c>
      <c r="O137" s="8" t="n">
        <v>0.4</v>
      </c>
      <c r="P137" s="8" t="n">
        <v>0.5</v>
      </c>
      <c r="Q137" s="8" t="n">
        <v>0.6</v>
      </c>
      <c r="R137" t="inlineStr">
        <is>
          <t>-</t>
        </is>
      </c>
      <c r="S137" t="n">
        <v>-3</v>
      </c>
      <c r="T137">
        <f>INDEX(Calc!$G$2:$G$124,MATCH($W137,Calc!$A$2:$A$124,0))&amp;" / "&amp;INDEX(Calc!$H$2:$H$124,MATCH($W137,Calc!$A$2:$A$124,0))</f>
        <v/>
      </c>
      <c r="U137">
        <f>TEXT(INDEX(Calc!$J$2:$J$124,MATCH($W137,Calc!$A$2:$A$124,0)),"0.0")&amp;" / "&amp;TEXT(INDEX(Calc!$K$2:$K$124,MATCH($W137,Calc!$A$2:$A$124,0)),"0.0")</f>
        <v/>
      </c>
      <c r="V137">
        <f>IFERROR(INDEX(Calc!$AQ$2:$AQ$124,MATCH($W137,Calc!$A$2:$A$124,0)),"")</f>
        <v/>
      </c>
      <c r="W137" t="inlineStr">
        <is>
          <t>l65e6bpbpsopabo|CS2 · INF vs BRUTE</t>
        </is>
      </c>
      <c r="X137" t="inlineStr">
        <is>
          <t>K12</t>
        </is>
      </c>
      <c r="Y137">
        <f>W137&amp;"|"&amp;X137</f>
        <v/>
      </c>
      <c r="Z137" s="9">
        <f>IFERROR(INDEX(CHOOSE(MATCH($X137,{"K1","K2","K3","K12","K13","H1","H2","H3","H12","H13"},0),Calc!$BA$2:$BA$124,Calc!$BB$2:$BB$124,Calc!$BC$2:$BC$124,Calc!$BD$2:$BD$124,Calc!$BE$2:$BE$124,Calc!$BF$2:$BF$124,Calc!$BG$2:$BG$124,Calc!$BH$2:$BH$124,Calc!$BI$2:$BI$124,Calc!$BJ$2:$BJ$124),MATCH($W137,Calc!$A$2:$A$124,0)),"")</f>
        <v/>
      </c>
      <c r="AA137" s="9">
        <f>IF(Z137="","",IF(LEFT($X137,1)="H",SQRT(Z137*(IFERROR(INDEX(Calc!$AP$2:$AP$124,MATCH($W137,Calc!$A$2:$A$124,0)),0.5)*Config!$B$5+1-IFERROR(INDEX(Calc!$AP$2:$AP$124,MATCH($W137,Calc!$A$2:$A$124,0)),0.5))),SQRT(Z137*Config!$B$5)))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INF vs BRUTE</t>
        </is>
      </c>
      <c r="C138" t="inlineStr">
        <is>
          <t>tAk</t>
        </is>
      </c>
      <c r="D138" t="inlineStr">
        <is>
          <t>BRUTE</t>
        </is>
      </c>
      <c r="E138" t="inlineStr">
        <is>
          <t>Maps 1-2 HS</t>
        </is>
      </c>
      <c r="F138" t="n">
        <v>15.5</v>
      </c>
      <c r="G138" s="9">
        <f>IFERROR(INDEX(CHOOSE(MATCH($X138,{"K1","K2","K3","K12","K13","H1","H2","H3","H12","H13"},0),Calc!$V$2:$V$124,Calc!$AC$2:$AC$124,Calc!$AJ$2:$AJ$124,Calc!$AL$2:$AL$124,Calc!$AM$2:$AM$124,Calc!$W$2:$W$124,Calc!$AD$2:$AD$124,Calc!$AK$2:$AK$124,Calc!$AN$2:$AN$124,Calc!$AO$2:$AO$124),MATCH($W138,Calc!$A$2:$A$124,0)),"")</f>
        <v/>
      </c>
      <c r="H138" s="9">
        <f>IF(G138="","",IF(LEFT($X138,1)="H",SQRT(G138*(IFERROR(INDEX(Calc!$AP$2:$AP$124,MATCH($W138,Calc!$A$2:$A$124,0)),0.5)*Config!$B$5+1-IFERROR(INDEX(Calc!$AP$2:$AP$124,MATCH($W138,Calc!$A$2:$A$124,0)),0.5))),SQRT(G138*Config!$B$5)))</f>
        <v/>
      </c>
      <c r="I138" s="8">
        <f>IF(OR(F138="",G138="",N(H138)&lt;=0),"",1-NORMDIST(FLOOR(F138,1)+0.5,G138,H138,TRUE))</f>
        <v/>
      </c>
      <c r="J138" s="8">
        <f>IF(I138="","",NORMDIST(CEILING(F138,1)-0.5,G138,H138,TRUE))</f>
        <v/>
      </c>
      <c r="K138" s="8">
        <f>IF(I138="","",MAX(0,1-I138-J138))</f>
        <v/>
      </c>
      <c r="L138">
        <f>IF(I138="","",IF(I138&gt;=0.5+Config!$B$6,"OVER",IF(J138&gt;=0.5+Config!$B$6,"UNDER","—")))</f>
        <v/>
      </c>
      <c r="N138" t="n">
        <v>16.9</v>
      </c>
      <c r="O138" s="8" t="n">
        <v>0.8</v>
      </c>
      <c r="P138" s="8" t="n">
        <v>0.7</v>
      </c>
      <c r="Q138" s="8" t="n">
        <v>0.73</v>
      </c>
      <c r="R138" t="inlineStr">
        <is>
          <t>100%/1/1</t>
        </is>
      </c>
      <c r="S138" t="n">
        <v>2</v>
      </c>
      <c r="T138">
        <f>INDEX(Calc!$G$2:$G$124,MATCH($W138,Calc!$A$2:$A$124,0))&amp;" / "&amp;INDEX(Calc!$H$2:$H$124,MATCH($W138,Calc!$A$2:$A$124,0))</f>
        <v/>
      </c>
      <c r="U138">
        <f>TEXT(INDEX(Calc!$J$2:$J$124,MATCH($W138,Calc!$A$2:$A$124,0)),"0.0")&amp;" / "&amp;TEXT(INDEX(Calc!$K$2:$K$124,MATCH($W138,Calc!$A$2:$A$124,0)),"0.0")</f>
        <v/>
      </c>
      <c r="V138">
        <f>IFERROR(INDEX(Calc!$AQ$2:$AQ$124,MATCH($W138,Calc!$A$2:$A$124,0)),"")</f>
        <v/>
      </c>
      <c r="W138" t="inlineStr">
        <is>
          <t>2fcfnso9a3rhpcr|CS2 · INF vs BRUTE</t>
        </is>
      </c>
      <c r="X138" t="inlineStr">
        <is>
          <t>H12</t>
        </is>
      </c>
      <c r="Y138">
        <f>W138&amp;"|"&amp;X138</f>
        <v/>
      </c>
      <c r="Z138" s="9">
        <f>IFERROR(INDEX(CHOOSE(MATCH($X138,{"K1","K2","K3","K12","K13","H1","H2","H3","H12","H13"},0),Calc!$BA$2:$BA$124,Calc!$BB$2:$BB$124,Calc!$BC$2:$BC$124,Calc!$BD$2:$BD$124,Calc!$BE$2:$BE$124,Calc!$BF$2:$BF$124,Calc!$BG$2:$BG$124,Calc!$BH$2:$BH$124,Calc!$BI$2:$BI$124,Calc!$BJ$2:$BJ$124),MATCH($W138,Calc!$A$2:$A$124,0)),"")</f>
        <v/>
      </c>
      <c r="AA138" s="9">
        <f>IF(Z138="","",IF(LEFT($X138,1)="H",SQRT(Z138*(IFERROR(INDEX(Calc!$AP$2:$AP$124,MATCH($W138,Calc!$A$2:$A$124,0)),0.5)*Config!$B$5+1-IFERROR(INDEX(Calc!$AP$2:$AP$124,MATCH($W138,Calc!$A$2:$A$124,0)),0.5))),SQRT(Z138*Config!$B$5)))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INF vs BRUTE</t>
        </is>
      </c>
      <c r="C139" t="inlineStr">
        <is>
          <t>tAk</t>
        </is>
      </c>
      <c r="D139" t="inlineStr">
        <is>
          <t>BRUTE</t>
        </is>
      </c>
      <c r="E139" t="inlineStr">
        <is>
          <t>Maps 1-2 Kills</t>
        </is>
      </c>
      <c r="F139" t="n">
        <v>31</v>
      </c>
      <c r="G139" s="9">
        <f>IFERROR(INDEX(CHOOSE(MATCH($X139,{"K1","K2","K3","K12","K13","H1","H2","H3","H12","H13"},0),Calc!$V$2:$V$124,Calc!$AC$2:$AC$124,Calc!$AJ$2:$AJ$124,Calc!$AL$2:$AL$124,Calc!$AM$2:$AM$124,Calc!$W$2:$W$124,Calc!$AD$2:$AD$124,Calc!$AK$2:$AK$124,Calc!$AN$2:$AN$124,Calc!$AO$2:$AO$124),MATCH($W139,Calc!$A$2:$A$124,0)),"")</f>
        <v/>
      </c>
      <c r="H139" s="9">
        <f>IF(G139="","",IF(LEFT($X139,1)="H",SQRT(G139*(IFERROR(INDEX(Calc!$AP$2:$AP$124,MATCH($W139,Calc!$A$2:$A$124,0)),0.5)*Config!$B$5+1-IFERROR(INDEX(Calc!$AP$2:$AP$124,MATCH($W139,Calc!$A$2:$A$124,0)),0.5))),SQRT(G139*Config!$B$5)))</f>
        <v/>
      </c>
      <c r="I139" s="8">
        <f>IF(OR(F139="",G139="",N(H139)&lt;=0),"",1-NORMDIST(FLOOR(F139,1)+0.5,G139,H139,TRUE))</f>
        <v/>
      </c>
      <c r="J139" s="8">
        <f>IF(I139="","",NORMDIST(CEILING(F139,1)-0.5,G139,H139,TRUE))</f>
        <v/>
      </c>
      <c r="K139" s="8">
        <f>IF(I139="","",MAX(0,1-I139-J139))</f>
        <v/>
      </c>
      <c r="L139">
        <f>IF(I139="","",IF(I139&gt;=0.5+Config!$B$6,"OVER",IF(J139&gt;=0.5+Config!$B$6,"UNDER","—")))</f>
        <v/>
      </c>
      <c r="N139" t="n">
        <v>32.3</v>
      </c>
      <c r="O139" s="8" t="n">
        <v>0.6</v>
      </c>
      <c r="P139" s="8" t="n">
        <v>0.6</v>
      </c>
      <c r="Q139" s="8" t="n">
        <v>0.6</v>
      </c>
      <c r="R139" t="inlineStr">
        <is>
          <t>100%/1/1</t>
        </is>
      </c>
      <c r="S139" t="n">
        <v>1</v>
      </c>
      <c r="T139">
        <f>INDEX(Calc!$G$2:$G$124,MATCH($W139,Calc!$A$2:$A$124,0))&amp;" / "&amp;INDEX(Calc!$H$2:$H$124,MATCH($W139,Calc!$A$2:$A$124,0))</f>
        <v/>
      </c>
      <c r="U139">
        <f>TEXT(INDEX(Calc!$J$2:$J$124,MATCH($W139,Calc!$A$2:$A$124,0)),"0.0")&amp;" / "&amp;TEXT(INDEX(Calc!$K$2:$K$124,MATCH($W139,Calc!$A$2:$A$124,0)),"0.0")</f>
        <v/>
      </c>
      <c r="V139">
        <f>IFERROR(INDEX(Calc!$AQ$2:$AQ$124,MATCH($W139,Calc!$A$2:$A$124,0)),"")</f>
        <v/>
      </c>
      <c r="W139" t="inlineStr">
        <is>
          <t>2fcfnso9a3rhpcr|CS2 · INF vs BRUTE</t>
        </is>
      </c>
      <c r="X139" t="inlineStr">
        <is>
          <t>K12</t>
        </is>
      </c>
      <c r="Y139">
        <f>W139&amp;"|"&amp;X139</f>
        <v/>
      </c>
      <c r="Z139" s="9">
        <f>IFERROR(INDEX(CHOOSE(MATCH($X139,{"K1","K2","K3","K12","K13","H1","H2","H3","H12","H13"},0),Calc!$BA$2:$BA$124,Calc!$BB$2:$BB$124,Calc!$BC$2:$BC$124,Calc!$BD$2:$BD$124,Calc!$BE$2:$BE$124,Calc!$BF$2:$BF$124,Calc!$BG$2:$BG$124,Calc!$BH$2:$BH$124,Calc!$BI$2:$BI$124,Calc!$BJ$2:$BJ$124),MATCH($W139,Calc!$A$2:$A$124,0)),"")</f>
        <v/>
      </c>
      <c r="AA139" s="9">
        <f>IF(Z139="","",IF(LEFT($X139,1)="H",SQRT(Z139*(IFERROR(INDEX(Calc!$AP$2:$AP$124,MATCH($W139,Calc!$A$2:$A$124,0)),0.5)*Config!$B$5+1-IFERROR(INDEX(Calc!$AP$2:$AP$124,MATCH($W139,Calc!$A$2:$A$124,0)),0.5))),SQRT(Z139*Config!$B$5)))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INF vs BRUTE</t>
        </is>
      </c>
      <c r="C140" t="inlineStr">
        <is>
          <t>ZEDKO</t>
        </is>
      </c>
      <c r="D140" t="inlineStr">
        <is>
          <t>BRUTE</t>
        </is>
      </c>
      <c r="E140" t="inlineStr">
        <is>
          <t>Maps 1-2 HS</t>
        </is>
      </c>
      <c r="F140" t="n">
        <v>14.5</v>
      </c>
      <c r="G140" s="9">
        <f>IFERROR(INDEX(CHOOSE(MATCH($X140,{"K1","K2","K3","K12","K13","H1","H2","H3","H12","H13"},0),Calc!$V$2:$V$124,Calc!$AC$2:$AC$124,Calc!$AJ$2:$AJ$124,Calc!$AL$2:$AL$124,Calc!$AM$2:$AM$124,Calc!$W$2:$W$124,Calc!$AD$2:$AD$124,Calc!$AK$2:$AK$124,Calc!$AN$2:$AN$124,Calc!$AO$2:$AO$124),MATCH($W140,Calc!$A$2:$A$124,0)),"")</f>
        <v/>
      </c>
      <c r="H140" s="9">
        <f>IF(G140="","",IF(LEFT($X140,1)="H",SQRT(G140*(IFERROR(INDEX(Calc!$AP$2:$AP$124,MATCH($W140,Calc!$A$2:$A$124,0)),0.5)*Config!$B$5+1-IFERROR(INDEX(Calc!$AP$2:$AP$124,MATCH($W140,Calc!$A$2:$A$124,0)),0.5))),SQRT(G140*Config!$B$5)))</f>
        <v/>
      </c>
      <c r="I140" s="8">
        <f>IF(OR(F140="",G140="",N(H140)&lt;=0),"",1-NORMDIST(FLOOR(F140,1)+0.5,G140,H140,TRUE))</f>
        <v/>
      </c>
      <c r="J140" s="8">
        <f>IF(I140="","",NORMDIST(CEILING(F140,1)-0.5,G140,H140,TRUE))</f>
        <v/>
      </c>
      <c r="K140" s="8">
        <f>IF(I140="","",MAX(0,1-I140-J140))</f>
        <v/>
      </c>
      <c r="L140">
        <f>IF(I140="","",IF(I140&gt;=0.5+Config!$B$6,"OVER",IF(J140&gt;=0.5+Config!$B$6,"UNDER","—")))</f>
        <v/>
      </c>
      <c r="N140" t="n">
        <v>13.5</v>
      </c>
      <c r="O140" s="8" t="n">
        <v>0.4</v>
      </c>
      <c r="P140" s="8" t="n">
        <v>0.3</v>
      </c>
      <c r="Q140" s="8" t="n">
        <v>0.47</v>
      </c>
      <c r="R140" t="inlineStr">
        <is>
          <t>100%/2/2</t>
        </is>
      </c>
      <c r="S140" t="n">
        <v>-1</v>
      </c>
      <c r="T140">
        <f>INDEX(Calc!$G$2:$G$124,MATCH($W140,Calc!$A$2:$A$124,0))&amp;" / "&amp;INDEX(Calc!$H$2:$H$124,MATCH($W140,Calc!$A$2:$A$124,0))</f>
        <v/>
      </c>
      <c r="U140">
        <f>TEXT(INDEX(Calc!$J$2:$J$124,MATCH($W140,Calc!$A$2:$A$124,0)),"0.0")&amp;" / "&amp;TEXT(INDEX(Calc!$K$2:$K$124,MATCH($W140,Calc!$A$2:$A$124,0)),"0.0")</f>
        <v/>
      </c>
      <c r="V140">
        <f>IFERROR(INDEX(Calc!$AQ$2:$AQ$124,MATCH($W140,Calc!$A$2:$A$124,0)),"")</f>
        <v/>
      </c>
      <c r="W140" t="inlineStr">
        <is>
          <t>a5ni4ejys4e3xjq|CS2 · INF vs BRUTE</t>
        </is>
      </c>
      <c r="X140" t="inlineStr">
        <is>
          <t>H12</t>
        </is>
      </c>
      <c r="Y140">
        <f>W140&amp;"|"&amp;X140</f>
        <v/>
      </c>
      <c r="Z140" s="9">
        <f>IFERROR(INDEX(CHOOSE(MATCH($X140,{"K1","K2","K3","K12","K13","H1","H2","H3","H12","H13"},0),Calc!$BA$2:$BA$124,Calc!$BB$2:$BB$124,Calc!$BC$2:$BC$124,Calc!$BD$2:$BD$124,Calc!$BE$2:$BE$124,Calc!$BF$2:$BF$124,Calc!$BG$2:$BG$124,Calc!$BH$2:$BH$124,Calc!$BI$2:$BI$124,Calc!$BJ$2:$BJ$124),MATCH($W140,Calc!$A$2:$A$124,0)),"")</f>
        <v/>
      </c>
      <c r="AA140" s="9">
        <f>IF(Z140="","",IF(LEFT($X140,1)="H",SQRT(Z140*(IFERROR(INDEX(Calc!$AP$2:$AP$124,MATCH($W140,Calc!$A$2:$A$124,0)),0.5)*Config!$B$5+1-IFERROR(INDEX(Calc!$AP$2:$AP$124,MATCH($W140,Calc!$A$2:$A$124,0)),0.5))),SQRT(Z140*Config!$B$5)))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INF vs BRUTE</t>
        </is>
      </c>
      <c r="C141" t="inlineStr">
        <is>
          <t>ZEDKO</t>
        </is>
      </c>
      <c r="D141" t="inlineStr">
        <is>
          <t>BRUTE</t>
        </is>
      </c>
      <c r="E141" t="inlineStr">
        <is>
          <t>Maps 1-2 Kills</t>
        </is>
      </c>
      <c r="F141" t="n">
        <v>27</v>
      </c>
      <c r="G141" s="9">
        <f>IFERROR(INDEX(CHOOSE(MATCH($X141,{"K1","K2","K3","K12","K13","H1","H2","H3","H12","H13"},0),Calc!$V$2:$V$124,Calc!$AC$2:$AC$124,Calc!$AJ$2:$AJ$124,Calc!$AL$2:$AL$124,Calc!$AM$2:$AM$124,Calc!$W$2:$W$124,Calc!$AD$2:$AD$124,Calc!$AK$2:$AK$124,Calc!$AN$2:$AN$124,Calc!$AO$2:$AO$124),MATCH($W141,Calc!$A$2:$A$124,0)),"")</f>
        <v/>
      </c>
      <c r="H141" s="9">
        <f>IF(G141="","",IF(LEFT($X141,1)="H",SQRT(G141*(IFERROR(INDEX(Calc!$AP$2:$AP$124,MATCH($W141,Calc!$A$2:$A$124,0)),0.5)*Config!$B$5+1-IFERROR(INDEX(Calc!$AP$2:$AP$124,MATCH($W141,Calc!$A$2:$A$124,0)),0.5))),SQRT(G141*Config!$B$5)))</f>
        <v/>
      </c>
      <c r="I141" s="8">
        <f>IF(OR(F141="",G141="",N(H141)&lt;=0),"",1-NORMDIST(FLOOR(F141,1)+0.5,G141,H141,TRUE))</f>
        <v/>
      </c>
      <c r="J141" s="8">
        <f>IF(I141="","",NORMDIST(CEILING(F141,1)-0.5,G141,H141,TRUE))</f>
        <v/>
      </c>
      <c r="K141" s="8">
        <f>IF(I141="","",MAX(0,1-I141-J141))</f>
        <v/>
      </c>
      <c r="L141">
        <f>IF(I141="","",IF(I141&gt;=0.5+Config!$B$6,"OVER",IF(J141&gt;=0.5+Config!$B$6,"UNDER","—")))</f>
        <v/>
      </c>
      <c r="N141" t="n">
        <v>24.9</v>
      </c>
      <c r="O141" s="8" t="n">
        <v>0.4</v>
      </c>
      <c r="P141" s="8" t="n">
        <v>0.3</v>
      </c>
      <c r="Q141" s="8" t="n">
        <v>0.47</v>
      </c>
      <c r="R141" t="inlineStr">
        <is>
          <t>100%/2/2</t>
        </is>
      </c>
      <c r="S141" t="n">
        <v>-3</v>
      </c>
      <c r="T141">
        <f>INDEX(Calc!$G$2:$G$124,MATCH($W141,Calc!$A$2:$A$124,0))&amp;" / "&amp;INDEX(Calc!$H$2:$H$124,MATCH($W141,Calc!$A$2:$A$124,0))</f>
        <v/>
      </c>
      <c r="U141">
        <f>TEXT(INDEX(Calc!$J$2:$J$124,MATCH($W141,Calc!$A$2:$A$124,0)),"0.0")&amp;" / "&amp;TEXT(INDEX(Calc!$K$2:$K$124,MATCH($W141,Calc!$A$2:$A$124,0)),"0.0")</f>
        <v/>
      </c>
      <c r="V141">
        <f>IFERROR(INDEX(Calc!$AQ$2:$AQ$124,MATCH($W141,Calc!$A$2:$A$124,0)),"")</f>
        <v/>
      </c>
      <c r="W141" t="inlineStr">
        <is>
          <t>a5ni4ejys4e3xjq|CS2 · INF vs BRUTE</t>
        </is>
      </c>
      <c r="X141" t="inlineStr">
        <is>
          <t>K12</t>
        </is>
      </c>
      <c r="Y141">
        <f>W141&amp;"|"&amp;X141</f>
        <v/>
      </c>
      <c r="Z141" s="9">
        <f>IFERROR(INDEX(CHOOSE(MATCH($X141,{"K1","K2","K3","K12","K13","H1","H2","H3","H12","H13"},0),Calc!$BA$2:$BA$124,Calc!$BB$2:$BB$124,Calc!$BC$2:$BC$124,Calc!$BD$2:$BD$124,Calc!$BE$2:$BE$124,Calc!$BF$2:$BF$124,Calc!$BG$2:$BG$124,Calc!$BH$2:$BH$124,Calc!$BI$2:$BI$124,Calc!$BJ$2:$BJ$124),MATCH($W141,Calc!$A$2:$A$124,0)),"")</f>
        <v/>
      </c>
      <c r="AA141" s="9">
        <f>IF(Z141="","",IF(LEFT($X141,1)="H",SQRT(Z141*(IFERROR(INDEX(Calc!$AP$2:$AP$124,MATCH($W141,Calc!$A$2:$A$124,0)),0.5)*Config!$B$5+1-IFERROR(INDEX(Calc!$AP$2:$AP$124,MATCH($W141,Calc!$A$2:$A$124,0)),0.5))),SQRT(Z141*Config!$B$5)))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INF vs BRUTE</t>
        </is>
      </c>
      <c r="C142" t="inlineStr">
        <is>
          <t>kyuubii</t>
        </is>
      </c>
      <c r="D142" t="inlineStr">
        <is>
          <t>INF</t>
        </is>
      </c>
      <c r="E142" t="inlineStr">
        <is>
          <t>Maps 1-2 HS</t>
        </is>
      </c>
      <c r="F142" t="n">
        <v>16</v>
      </c>
      <c r="G142" s="9">
        <f>IFERROR(INDEX(CHOOSE(MATCH($X142,{"K1","K2","K3","K12","K13","H1","H2","H3","H12","H13"},0),Calc!$V$2:$V$124,Calc!$AC$2:$AC$124,Calc!$AJ$2:$AJ$124,Calc!$AL$2:$AL$124,Calc!$AM$2:$AM$124,Calc!$W$2:$W$124,Calc!$AD$2:$AD$124,Calc!$AK$2:$AK$124,Calc!$AN$2:$AN$124,Calc!$AO$2:$AO$124),MATCH($W142,Calc!$A$2:$A$124,0)),"")</f>
        <v/>
      </c>
      <c r="H142" s="9">
        <f>IF(G142="","",IF(LEFT($X142,1)="H",SQRT(G142*(IFERROR(INDEX(Calc!$AP$2:$AP$124,MATCH($W142,Calc!$A$2:$A$124,0)),0.5)*Config!$B$5+1-IFERROR(INDEX(Calc!$AP$2:$AP$124,MATCH($W142,Calc!$A$2:$A$124,0)),0.5))),SQRT(G142*Config!$B$5)))</f>
        <v/>
      </c>
      <c r="I142" s="8">
        <f>IF(OR(F142="",G142="",N(H142)&lt;=0),"",1-NORMDIST(FLOOR(F142,1)+0.5,G142,H142,TRUE))</f>
        <v/>
      </c>
      <c r="J142" s="8">
        <f>IF(I142="","",NORMDIST(CEILING(F142,1)-0.5,G142,H142,TRUE))</f>
        <v/>
      </c>
      <c r="K142" s="8">
        <f>IF(I142="","",MAX(0,1-I142-J142))</f>
        <v/>
      </c>
      <c r="L142">
        <f>IF(I142="","",IF(I142&gt;=0.5+Config!$B$6,"OVER",IF(J142&gt;=0.5+Config!$B$6,"UNDER","—")))</f>
        <v/>
      </c>
      <c r="N142" t="n">
        <v>17.3</v>
      </c>
      <c r="O142" s="8" t="n">
        <v>0.6</v>
      </c>
      <c r="P142" s="8" t="n">
        <v>0.7</v>
      </c>
      <c r="Q142" s="8" t="n">
        <v>0.67</v>
      </c>
      <c r="R142" t="inlineStr">
        <is>
          <t>0%/0/1</t>
        </is>
      </c>
      <c r="S142" t="n">
        <v>-1</v>
      </c>
      <c r="T142">
        <f>INDEX(Calc!$G$2:$G$124,MATCH($W142,Calc!$A$2:$A$124,0))&amp;" / "&amp;INDEX(Calc!$H$2:$H$124,MATCH($W142,Calc!$A$2:$A$124,0))</f>
        <v/>
      </c>
      <c r="U142">
        <f>TEXT(INDEX(Calc!$J$2:$J$124,MATCH($W142,Calc!$A$2:$A$124,0)),"0.0")&amp;" / "&amp;TEXT(INDEX(Calc!$K$2:$K$124,MATCH($W142,Calc!$A$2:$A$124,0)),"0.0")</f>
        <v/>
      </c>
      <c r="V142">
        <f>IFERROR(INDEX(Calc!$AQ$2:$AQ$124,MATCH($W142,Calc!$A$2:$A$124,0)),"")</f>
        <v/>
      </c>
      <c r="W142" t="inlineStr">
        <is>
          <t>80bybpfrkhru947|CS2 · INF vs BRUTE</t>
        </is>
      </c>
      <c r="X142" t="inlineStr">
        <is>
          <t>H12</t>
        </is>
      </c>
      <c r="Y142">
        <f>W142&amp;"|"&amp;X142</f>
        <v/>
      </c>
      <c r="Z142" s="9">
        <f>IFERROR(INDEX(CHOOSE(MATCH($X142,{"K1","K2","K3","K12","K13","H1","H2","H3","H12","H13"},0),Calc!$BA$2:$BA$124,Calc!$BB$2:$BB$124,Calc!$BC$2:$BC$124,Calc!$BD$2:$BD$124,Calc!$BE$2:$BE$124,Calc!$BF$2:$BF$124,Calc!$BG$2:$BG$124,Calc!$BH$2:$BH$124,Calc!$BI$2:$BI$124,Calc!$BJ$2:$BJ$124),MATCH($W142,Calc!$A$2:$A$124,0)),"")</f>
        <v/>
      </c>
      <c r="AA142" s="9">
        <f>IF(Z142="","",IF(LEFT($X142,1)="H",SQRT(Z142*(IFERROR(INDEX(Calc!$AP$2:$AP$124,MATCH($W142,Calc!$A$2:$A$124,0)),0.5)*Config!$B$5+1-IFERROR(INDEX(Calc!$AP$2:$AP$124,MATCH($W142,Calc!$A$2:$A$124,0)),0.5))),SQRT(Z142*Config!$B$5)))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INF vs BRUTE</t>
        </is>
      </c>
      <c r="C143" t="inlineStr">
        <is>
          <t>kyuubii</t>
        </is>
      </c>
      <c r="D143" t="inlineStr">
        <is>
          <t>INF</t>
        </is>
      </c>
      <c r="E143" t="inlineStr">
        <is>
          <t>Maps 1-2 Kills</t>
        </is>
      </c>
      <c r="F143" t="n">
        <v>28.5</v>
      </c>
      <c r="G143" s="9">
        <f>IFERROR(INDEX(CHOOSE(MATCH($X143,{"K1","K2","K3","K12","K13","H1","H2","H3","H12","H13"},0),Calc!$V$2:$V$124,Calc!$AC$2:$AC$124,Calc!$AJ$2:$AJ$124,Calc!$AL$2:$AL$124,Calc!$AM$2:$AM$124,Calc!$W$2:$W$124,Calc!$AD$2:$AD$124,Calc!$AK$2:$AK$124,Calc!$AN$2:$AN$124,Calc!$AO$2:$AO$124),MATCH($W143,Calc!$A$2:$A$124,0)),"")</f>
        <v/>
      </c>
      <c r="H143" s="9">
        <f>IF(G143="","",IF(LEFT($X143,1)="H",SQRT(G143*(IFERROR(INDEX(Calc!$AP$2:$AP$124,MATCH($W143,Calc!$A$2:$A$124,0)),0.5)*Config!$B$5+1-IFERROR(INDEX(Calc!$AP$2:$AP$124,MATCH($W143,Calc!$A$2:$A$124,0)),0.5))),SQRT(G143*Config!$B$5)))</f>
        <v/>
      </c>
      <c r="I143" s="8">
        <f>IF(OR(F143="",G143="",N(H143)&lt;=0),"",1-NORMDIST(FLOOR(F143,1)+0.5,G143,H143,TRUE))</f>
        <v/>
      </c>
      <c r="J143" s="8">
        <f>IF(I143="","",NORMDIST(CEILING(F143,1)-0.5,G143,H143,TRUE))</f>
        <v/>
      </c>
      <c r="K143" s="8">
        <f>IF(I143="","",MAX(0,1-I143-J143))</f>
        <v/>
      </c>
      <c r="L143">
        <f>IF(I143="","",IF(I143&gt;=0.5+Config!$B$6,"OVER",IF(J143&gt;=0.5+Config!$B$6,"UNDER","—")))</f>
        <v/>
      </c>
      <c r="N143" t="n">
        <v>28.9</v>
      </c>
      <c r="O143" s="8" t="n">
        <v>0.6</v>
      </c>
      <c r="P143" s="8" t="n">
        <v>0.5</v>
      </c>
      <c r="Q143" s="8" t="n">
        <v>0.6</v>
      </c>
      <c r="R143" t="inlineStr">
        <is>
          <t>100%/1/1</t>
        </is>
      </c>
      <c r="S143" t="n">
        <v>-1</v>
      </c>
      <c r="T143">
        <f>INDEX(Calc!$G$2:$G$124,MATCH($W143,Calc!$A$2:$A$124,0))&amp;" / "&amp;INDEX(Calc!$H$2:$H$124,MATCH($W143,Calc!$A$2:$A$124,0))</f>
        <v/>
      </c>
      <c r="U143">
        <f>TEXT(INDEX(Calc!$J$2:$J$124,MATCH($W143,Calc!$A$2:$A$124,0)),"0.0")&amp;" / "&amp;TEXT(INDEX(Calc!$K$2:$K$124,MATCH($W143,Calc!$A$2:$A$124,0)),"0.0")</f>
        <v/>
      </c>
      <c r="V143">
        <f>IFERROR(INDEX(Calc!$AQ$2:$AQ$124,MATCH($W143,Calc!$A$2:$A$124,0)),"")</f>
        <v/>
      </c>
      <c r="W143" t="inlineStr">
        <is>
          <t>80bybpfrkhru947|CS2 · INF vs BRUTE</t>
        </is>
      </c>
      <c r="X143" t="inlineStr">
        <is>
          <t>K12</t>
        </is>
      </c>
      <c r="Y143">
        <f>W143&amp;"|"&amp;X143</f>
        <v/>
      </c>
      <c r="Z143" s="9">
        <f>IFERROR(INDEX(CHOOSE(MATCH($X143,{"K1","K2","K3","K12","K13","H1","H2","H3","H12","H13"},0),Calc!$BA$2:$BA$124,Calc!$BB$2:$BB$124,Calc!$BC$2:$BC$124,Calc!$BD$2:$BD$124,Calc!$BE$2:$BE$124,Calc!$BF$2:$BF$124,Calc!$BG$2:$BG$124,Calc!$BH$2:$BH$124,Calc!$BI$2:$BI$124,Calc!$BJ$2:$BJ$124),MATCH($W143,Calc!$A$2:$A$124,0)),"")</f>
        <v/>
      </c>
      <c r="AA143" s="9">
        <f>IF(Z143="","",IF(LEFT($X143,1)="H",SQRT(Z143*(IFERROR(INDEX(Calc!$AP$2:$AP$124,MATCH($W143,Calc!$A$2:$A$124,0)),0.5)*Config!$B$5+1-IFERROR(INDEX(Calc!$AP$2:$AP$124,MATCH($W143,Calc!$A$2:$A$124,0)),0.5))),SQRT(Z143*Config!$B$5)))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INF vs BRUTE</t>
        </is>
      </c>
      <c r="C144" t="inlineStr">
        <is>
          <t>ScrunK</t>
        </is>
      </c>
      <c r="D144" t="inlineStr">
        <is>
          <t>INF</t>
        </is>
      </c>
      <c r="E144" t="inlineStr">
        <is>
          <t>Maps 1-2 HS</t>
        </is>
      </c>
      <c r="F144" t="n">
        <v>11.5</v>
      </c>
      <c r="G144" s="9">
        <f>IFERROR(INDEX(CHOOSE(MATCH($X144,{"K1","K2","K3","K12","K13","H1","H2","H3","H12","H13"},0),Calc!$V$2:$V$124,Calc!$AC$2:$AC$124,Calc!$AJ$2:$AJ$124,Calc!$AL$2:$AL$124,Calc!$AM$2:$AM$124,Calc!$W$2:$W$124,Calc!$AD$2:$AD$124,Calc!$AK$2:$AK$124,Calc!$AN$2:$AN$124,Calc!$AO$2:$AO$124),MATCH($W144,Calc!$A$2:$A$124,0)),"")</f>
        <v/>
      </c>
      <c r="H144" s="9">
        <f>IF(G144="","",IF(LEFT($X144,1)="H",SQRT(G144*(IFERROR(INDEX(Calc!$AP$2:$AP$124,MATCH($W144,Calc!$A$2:$A$124,0)),0.5)*Config!$B$5+1-IFERROR(INDEX(Calc!$AP$2:$AP$124,MATCH($W144,Calc!$A$2:$A$124,0)),0.5))),SQRT(G144*Config!$B$5)))</f>
        <v/>
      </c>
      <c r="I144" s="8">
        <f>IF(OR(F144="",G144="",N(H144)&lt;=0),"",1-NORMDIST(FLOOR(F144,1)+0.5,G144,H144,TRUE))</f>
        <v/>
      </c>
      <c r="J144" s="8">
        <f>IF(I144="","",NORMDIST(CEILING(F144,1)-0.5,G144,H144,TRUE))</f>
        <v/>
      </c>
      <c r="K144" s="8">
        <f>IF(I144="","",MAX(0,1-I144-J144))</f>
        <v/>
      </c>
      <c r="L144">
        <f>IF(I144="","",IF(I144&gt;=0.5+Config!$B$6,"OVER",IF(J144&gt;=0.5+Config!$B$6,"UNDER","—")))</f>
        <v/>
      </c>
      <c r="N144" t="n">
        <v>8.9</v>
      </c>
      <c r="O144" s="8" t="n">
        <v>0.2</v>
      </c>
      <c r="P144" s="8" t="n">
        <v>0.2</v>
      </c>
      <c r="Q144" s="8" t="n">
        <v>0.33</v>
      </c>
      <c r="R144" t="inlineStr">
        <is>
          <t>-</t>
        </is>
      </c>
      <c r="S144" t="n">
        <v>-1</v>
      </c>
      <c r="T144">
        <f>INDEX(Calc!$G$2:$G$124,MATCH($W144,Calc!$A$2:$A$124,0))&amp;" / "&amp;INDEX(Calc!$H$2:$H$124,MATCH($W144,Calc!$A$2:$A$124,0))</f>
        <v/>
      </c>
      <c r="U144">
        <f>TEXT(INDEX(Calc!$J$2:$J$124,MATCH($W144,Calc!$A$2:$A$124,0)),"0.0")&amp;" / "&amp;TEXT(INDEX(Calc!$K$2:$K$124,MATCH($W144,Calc!$A$2:$A$124,0)),"0.0")</f>
        <v/>
      </c>
      <c r="V144">
        <f>IFERROR(INDEX(Calc!$AQ$2:$AQ$124,MATCH($W144,Calc!$A$2:$A$124,0)),"")</f>
        <v/>
      </c>
      <c r="W144" t="inlineStr">
        <is>
          <t>wcfyexekmhuiiin|CS2 · INF vs BRUTE</t>
        </is>
      </c>
      <c r="X144" t="inlineStr">
        <is>
          <t>H12</t>
        </is>
      </c>
      <c r="Y144">
        <f>W144&amp;"|"&amp;X144</f>
        <v/>
      </c>
      <c r="Z144" s="9">
        <f>IFERROR(INDEX(CHOOSE(MATCH($X144,{"K1","K2","K3","K12","K13","H1","H2","H3","H12","H13"},0),Calc!$BA$2:$BA$124,Calc!$BB$2:$BB$124,Calc!$BC$2:$BC$124,Calc!$BD$2:$BD$124,Calc!$BE$2:$BE$124,Calc!$BF$2:$BF$124,Calc!$BG$2:$BG$124,Calc!$BH$2:$BH$124,Calc!$BI$2:$BI$124,Calc!$BJ$2:$BJ$124),MATCH($W144,Calc!$A$2:$A$124,0)),"")</f>
        <v/>
      </c>
      <c r="AA144" s="9">
        <f>IF(Z144="","",IF(LEFT($X144,1)="H",SQRT(Z144*(IFERROR(INDEX(Calc!$AP$2:$AP$124,MATCH($W144,Calc!$A$2:$A$124,0)),0.5)*Config!$B$5+1-IFERROR(INDEX(Calc!$AP$2:$AP$124,MATCH($W144,Calc!$A$2:$A$124,0)),0.5))),SQRT(Z144*Config!$B$5)))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INF vs BRUTE</t>
        </is>
      </c>
      <c r="C145" t="inlineStr">
        <is>
          <t>ScrunK</t>
        </is>
      </c>
      <c r="D145" t="inlineStr">
        <is>
          <t>INF</t>
        </is>
      </c>
      <c r="E145" t="inlineStr">
        <is>
          <t>Maps 1-2 Kills</t>
        </is>
      </c>
      <c r="F145" t="n">
        <v>23.5</v>
      </c>
      <c r="G145" s="9">
        <f>IFERROR(INDEX(CHOOSE(MATCH($X145,{"K1","K2","K3","K12","K13","H1","H2","H3","H12","H13"},0),Calc!$V$2:$V$124,Calc!$AC$2:$AC$124,Calc!$AJ$2:$AJ$124,Calc!$AL$2:$AL$124,Calc!$AM$2:$AM$124,Calc!$W$2:$W$124,Calc!$AD$2:$AD$124,Calc!$AK$2:$AK$124,Calc!$AN$2:$AN$124,Calc!$AO$2:$AO$124),MATCH($W145,Calc!$A$2:$A$124,0)),"")</f>
        <v/>
      </c>
      <c r="H145" s="9">
        <f>IF(G145="","",IF(LEFT($X145,1)="H",SQRT(G145*(IFERROR(INDEX(Calc!$AP$2:$AP$124,MATCH($W145,Calc!$A$2:$A$124,0)),0.5)*Config!$B$5+1-IFERROR(INDEX(Calc!$AP$2:$AP$124,MATCH($W145,Calc!$A$2:$A$124,0)),0.5))),SQRT(G145*Config!$B$5)))</f>
        <v/>
      </c>
      <c r="I145" s="8">
        <f>IF(OR(F145="",G145="",N(H145)&lt;=0),"",1-NORMDIST(FLOOR(F145,1)+0.5,G145,H145,TRUE))</f>
        <v/>
      </c>
      <c r="J145" s="8">
        <f>IF(I145="","",NORMDIST(CEILING(F145,1)-0.5,G145,H145,TRUE))</f>
        <v/>
      </c>
      <c r="K145" s="8">
        <f>IF(I145="","",MAX(0,1-I145-J145))</f>
        <v/>
      </c>
      <c r="L145">
        <f>IF(I145="","",IF(I145&gt;=0.5+Config!$B$6,"OVER",IF(J145&gt;=0.5+Config!$B$6,"UNDER","—")))</f>
        <v/>
      </c>
      <c r="N145" t="n">
        <v>20</v>
      </c>
      <c r="O145" s="8" t="n">
        <v>0</v>
      </c>
      <c r="P145" s="8" t="n">
        <v>0.3</v>
      </c>
      <c r="Q145" s="8" t="n">
        <v>0.4</v>
      </c>
      <c r="R145" t="inlineStr">
        <is>
          <t>-</t>
        </is>
      </c>
      <c r="S145" t="n">
        <v>-5</v>
      </c>
      <c r="T145">
        <f>INDEX(Calc!$G$2:$G$124,MATCH($W145,Calc!$A$2:$A$124,0))&amp;" / "&amp;INDEX(Calc!$H$2:$H$124,MATCH($W145,Calc!$A$2:$A$124,0))</f>
        <v/>
      </c>
      <c r="U145">
        <f>TEXT(INDEX(Calc!$J$2:$J$124,MATCH($W145,Calc!$A$2:$A$124,0)),"0.0")&amp;" / "&amp;TEXT(INDEX(Calc!$K$2:$K$124,MATCH($W145,Calc!$A$2:$A$124,0)),"0.0")</f>
        <v/>
      </c>
      <c r="V145">
        <f>IFERROR(INDEX(Calc!$AQ$2:$AQ$124,MATCH($W145,Calc!$A$2:$A$124,0)),"")</f>
        <v/>
      </c>
      <c r="W145" t="inlineStr">
        <is>
          <t>wcfyexekmhuiiin|CS2 · INF vs BRUTE</t>
        </is>
      </c>
      <c r="X145" t="inlineStr">
        <is>
          <t>K12</t>
        </is>
      </c>
      <c r="Y145">
        <f>W145&amp;"|"&amp;X145</f>
        <v/>
      </c>
      <c r="Z145" s="9">
        <f>IFERROR(INDEX(CHOOSE(MATCH($X145,{"K1","K2","K3","K12","K13","H1","H2","H3","H12","H13"},0),Calc!$BA$2:$BA$124,Calc!$BB$2:$BB$124,Calc!$BC$2:$BC$124,Calc!$BD$2:$BD$124,Calc!$BE$2:$BE$124,Calc!$BF$2:$BF$124,Calc!$BG$2:$BG$124,Calc!$BH$2:$BH$124,Calc!$BI$2:$BI$124,Calc!$BJ$2:$BJ$124),MATCH($W145,Calc!$A$2:$A$124,0)),"")</f>
        <v/>
      </c>
      <c r="AA145" s="9">
        <f>IF(Z145="","",IF(LEFT($X145,1)="H",SQRT(Z145*(IFERROR(INDEX(Calc!$AP$2:$AP$124,MATCH($W145,Calc!$A$2:$A$124,0)),0.5)*Config!$B$5+1-IFERROR(INDEX(Calc!$AP$2:$AP$124,MATCH($W145,Calc!$A$2:$A$124,0)),0.5))),SQRT(Z145*Config!$B$5)))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INF vs BRUTE</t>
        </is>
      </c>
      <c r="C146" t="inlineStr">
        <is>
          <t>sl3nd</t>
        </is>
      </c>
      <c r="D146" t="inlineStr">
        <is>
          <t>INF</t>
        </is>
      </c>
      <c r="E146" t="inlineStr">
        <is>
          <t>Maps 1-2 HS</t>
        </is>
      </c>
      <c r="F146" t="n">
        <v>11</v>
      </c>
      <c r="G146" s="9">
        <f>IFERROR(INDEX(CHOOSE(MATCH($X146,{"K1","K2","K3","K12","K13","H1","H2","H3","H12","H13"},0),Calc!$V$2:$V$124,Calc!$AC$2:$AC$124,Calc!$AJ$2:$AJ$124,Calc!$AL$2:$AL$124,Calc!$AM$2:$AM$124,Calc!$W$2:$W$124,Calc!$AD$2:$AD$124,Calc!$AK$2:$AK$124,Calc!$AN$2:$AN$124,Calc!$AO$2:$AO$124),MATCH($W146,Calc!$A$2:$A$124,0)),"")</f>
        <v/>
      </c>
      <c r="H146" s="9">
        <f>IF(G146="","",IF(LEFT($X146,1)="H",SQRT(G146*(IFERROR(INDEX(Calc!$AP$2:$AP$124,MATCH($W146,Calc!$A$2:$A$124,0)),0.5)*Config!$B$5+1-IFERROR(INDEX(Calc!$AP$2:$AP$124,MATCH($W146,Calc!$A$2:$A$124,0)),0.5))),SQRT(G146*Config!$B$5)))</f>
        <v/>
      </c>
      <c r="I146" s="8">
        <f>IF(OR(F146="",G146="",N(H146)&lt;=0),"",1-NORMDIST(FLOOR(F146,1)+0.5,G146,H146,TRUE))</f>
        <v/>
      </c>
      <c r="J146" s="8">
        <f>IF(I146="","",NORMDIST(CEILING(F146,1)-0.5,G146,H146,TRUE))</f>
        <v/>
      </c>
      <c r="K146" s="8">
        <f>IF(I146="","",MAX(0,1-I146-J146))</f>
        <v/>
      </c>
      <c r="L146">
        <f>IF(I146="","",IF(I146&gt;=0.5+Config!$B$6,"OVER",IF(J146&gt;=0.5+Config!$B$6,"UNDER","—")))</f>
        <v/>
      </c>
      <c r="N146" t="n">
        <v>10.9</v>
      </c>
      <c r="O146" s="8" t="n">
        <v>0.2</v>
      </c>
      <c r="P146" s="8" t="n">
        <v>0.4</v>
      </c>
      <c r="Q146" s="8" t="n">
        <v>0.33</v>
      </c>
      <c r="R146" t="inlineStr">
        <is>
          <t>-</t>
        </is>
      </c>
      <c r="S146" t="n">
        <v>-3</v>
      </c>
      <c r="T146">
        <f>INDEX(Calc!$G$2:$G$124,MATCH($W146,Calc!$A$2:$A$124,0))&amp;" / "&amp;INDEX(Calc!$H$2:$H$124,MATCH($W146,Calc!$A$2:$A$124,0))</f>
        <v/>
      </c>
      <c r="U146">
        <f>TEXT(INDEX(Calc!$J$2:$J$124,MATCH($W146,Calc!$A$2:$A$124,0)),"0.0")&amp;" / "&amp;TEXT(INDEX(Calc!$K$2:$K$124,MATCH($W146,Calc!$A$2:$A$124,0)),"0.0")</f>
        <v/>
      </c>
      <c r="V146">
        <f>IFERROR(INDEX(Calc!$AQ$2:$AQ$124,MATCH($W146,Calc!$A$2:$A$124,0)),"")</f>
        <v/>
      </c>
      <c r="W146" t="inlineStr">
        <is>
          <t>9ycphxjddne0u4w|CS2 · INF vs BRUTE</t>
        </is>
      </c>
      <c r="X146" t="inlineStr">
        <is>
          <t>H12</t>
        </is>
      </c>
      <c r="Y146">
        <f>W146&amp;"|"&amp;X146</f>
        <v/>
      </c>
      <c r="Z146" s="9">
        <f>IFERROR(INDEX(CHOOSE(MATCH($X146,{"K1","K2","K3","K12","K13","H1","H2","H3","H12","H13"},0),Calc!$BA$2:$BA$124,Calc!$BB$2:$BB$124,Calc!$BC$2:$BC$124,Calc!$BD$2:$BD$124,Calc!$BE$2:$BE$124,Calc!$BF$2:$BF$124,Calc!$BG$2:$BG$124,Calc!$BH$2:$BH$124,Calc!$BI$2:$BI$124,Calc!$BJ$2:$BJ$124),MATCH($W146,Calc!$A$2:$A$124,0)),"")</f>
        <v/>
      </c>
      <c r="AA146" s="9">
        <f>IF(Z146="","",IF(LEFT($X146,1)="H",SQRT(Z146*(IFERROR(INDEX(Calc!$AP$2:$AP$124,MATCH($W146,Calc!$A$2:$A$124,0)),0.5)*Config!$B$5+1-IFERROR(INDEX(Calc!$AP$2:$AP$124,MATCH($W146,Calc!$A$2:$A$124,0)),0.5))),SQRT(Z146*Config!$B$5)))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INF vs BRUTE</t>
        </is>
      </c>
      <c r="C147" t="inlineStr">
        <is>
          <t>sl3nd</t>
        </is>
      </c>
      <c r="D147" t="inlineStr">
        <is>
          <t>INF</t>
        </is>
      </c>
      <c r="E147" t="inlineStr">
        <is>
          <t>Maps 1-2 Kills</t>
        </is>
      </c>
      <c r="F147" t="n">
        <v>34.5</v>
      </c>
      <c r="G147" s="9">
        <f>IFERROR(INDEX(CHOOSE(MATCH($X147,{"K1","K2","K3","K12","K13","H1","H2","H3","H12","H13"},0),Calc!$V$2:$V$124,Calc!$AC$2:$AC$124,Calc!$AJ$2:$AJ$124,Calc!$AL$2:$AL$124,Calc!$AM$2:$AM$124,Calc!$W$2:$W$124,Calc!$AD$2:$AD$124,Calc!$AK$2:$AK$124,Calc!$AN$2:$AN$124,Calc!$AO$2:$AO$124),MATCH($W147,Calc!$A$2:$A$124,0)),"")</f>
        <v/>
      </c>
      <c r="H147" s="9">
        <f>IF(G147="","",IF(LEFT($X147,1)="H",SQRT(G147*(IFERROR(INDEX(Calc!$AP$2:$AP$124,MATCH($W147,Calc!$A$2:$A$124,0)),0.5)*Config!$B$5+1-IFERROR(INDEX(Calc!$AP$2:$AP$124,MATCH($W147,Calc!$A$2:$A$124,0)),0.5))),SQRT(G147*Config!$B$5)))</f>
        <v/>
      </c>
      <c r="I147" s="8">
        <f>IF(OR(F147="",G147="",N(H147)&lt;=0),"",1-NORMDIST(FLOOR(F147,1)+0.5,G147,H147,TRUE))</f>
        <v/>
      </c>
      <c r="J147" s="8">
        <f>IF(I147="","",NORMDIST(CEILING(F147,1)-0.5,G147,H147,TRUE))</f>
        <v/>
      </c>
      <c r="K147" s="8">
        <f>IF(I147="","",MAX(0,1-I147-J147))</f>
        <v/>
      </c>
      <c r="L147">
        <f>IF(I147="","",IF(I147&gt;=0.5+Config!$B$6,"OVER",IF(J147&gt;=0.5+Config!$B$6,"UNDER","—")))</f>
        <v/>
      </c>
      <c r="N147" t="n">
        <v>35.5</v>
      </c>
      <c r="O147" s="8" t="n">
        <v>0.4</v>
      </c>
      <c r="P147" s="8" t="n">
        <v>0.5</v>
      </c>
      <c r="Q147" s="8" t="n">
        <v>0.53</v>
      </c>
      <c r="R147" t="inlineStr">
        <is>
          <t>-</t>
        </is>
      </c>
      <c r="S147" t="n">
        <v>-3</v>
      </c>
      <c r="T147">
        <f>INDEX(Calc!$G$2:$G$124,MATCH($W147,Calc!$A$2:$A$124,0))&amp;" / "&amp;INDEX(Calc!$H$2:$H$124,MATCH($W147,Calc!$A$2:$A$124,0))</f>
        <v/>
      </c>
      <c r="U147">
        <f>TEXT(INDEX(Calc!$J$2:$J$124,MATCH($W147,Calc!$A$2:$A$124,0)),"0.0")&amp;" / "&amp;TEXT(INDEX(Calc!$K$2:$K$124,MATCH($W147,Calc!$A$2:$A$124,0)),"0.0")</f>
        <v/>
      </c>
      <c r="V147">
        <f>IFERROR(INDEX(Calc!$AQ$2:$AQ$124,MATCH($W147,Calc!$A$2:$A$124,0)),"")</f>
        <v/>
      </c>
      <c r="W147" t="inlineStr">
        <is>
          <t>9ycphxjddne0u4w|CS2 · INF vs BRUTE</t>
        </is>
      </c>
      <c r="X147" t="inlineStr">
        <is>
          <t>K12</t>
        </is>
      </c>
      <c r="Y147">
        <f>W147&amp;"|"&amp;X147</f>
        <v/>
      </c>
      <c r="Z147" s="9">
        <f>IFERROR(INDEX(CHOOSE(MATCH($X147,{"K1","K2","K3","K12","K13","H1","H2","H3","H12","H13"},0),Calc!$BA$2:$BA$124,Calc!$BB$2:$BB$124,Calc!$BC$2:$BC$124,Calc!$BD$2:$BD$124,Calc!$BE$2:$BE$124,Calc!$BF$2:$BF$124,Calc!$BG$2:$BG$124,Calc!$BH$2:$BH$124,Calc!$BI$2:$BI$124,Calc!$BJ$2:$BJ$124),MATCH($W147,Calc!$A$2:$A$124,0)),"")</f>
        <v/>
      </c>
      <c r="AA147" s="9">
        <f>IF(Z147="","",IF(LEFT($X147,1)="H",SQRT(Z147*(IFERROR(INDEX(Calc!$AP$2:$AP$124,MATCH($W147,Calc!$A$2:$A$124,0)),0.5)*Config!$B$5+1-IFERROR(INDEX(Calc!$AP$2:$AP$124,MATCH($W147,Calc!$A$2:$A$124,0)),0.5))),SQRT(Z147*Config!$B$5)))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INF vs BRUTE</t>
        </is>
      </c>
      <c r="C148" t="inlineStr">
        <is>
          <t>volt</t>
        </is>
      </c>
      <c r="D148" t="inlineStr">
        <is>
          <t>INF</t>
        </is>
      </c>
      <c r="E148" t="inlineStr">
        <is>
          <t>Maps 1-2 HS</t>
        </is>
      </c>
      <c r="F148" t="n">
        <v>14.5</v>
      </c>
      <c r="G148" s="9">
        <f>IFERROR(INDEX(CHOOSE(MATCH($X148,{"K1","K2","K3","K12","K13","H1","H2","H3","H12","H13"},0),Calc!$V$2:$V$124,Calc!$AC$2:$AC$124,Calc!$AJ$2:$AJ$124,Calc!$AL$2:$AL$124,Calc!$AM$2:$AM$124,Calc!$W$2:$W$124,Calc!$AD$2:$AD$124,Calc!$AK$2:$AK$124,Calc!$AN$2:$AN$124,Calc!$AO$2:$AO$124),MATCH($W148,Calc!$A$2:$A$124,0)),"")</f>
        <v/>
      </c>
      <c r="H148" s="9">
        <f>IF(G148="","",IF(LEFT($X148,1)="H",SQRT(G148*(IFERROR(INDEX(Calc!$AP$2:$AP$124,MATCH($W148,Calc!$A$2:$A$124,0)),0.5)*Config!$B$5+1-IFERROR(INDEX(Calc!$AP$2:$AP$124,MATCH($W148,Calc!$A$2:$A$124,0)),0.5))),SQRT(G148*Config!$B$5)))</f>
        <v/>
      </c>
      <c r="I148" s="8">
        <f>IF(OR(F148="",G148="",N(H148)&lt;=0),"",1-NORMDIST(FLOOR(F148,1)+0.5,G148,H148,TRUE))</f>
        <v/>
      </c>
      <c r="J148" s="8">
        <f>IF(I148="","",NORMDIST(CEILING(F148,1)-0.5,G148,H148,TRUE))</f>
        <v/>
      </c>
      <c r="K148" s="8">
        <f>IF(I148="","",MAX(0,1-I148-J148))</f>
        <v/>
      </c>
      <c r="L148">
        <f>IF(I148="","",IF(I148&gt;=0.5+Config!$B$6,"OVER",IF(J148&gt;=0.5+Config!$B$6,"UNDER","—")))</f>
        <v/>
      </c>
      <c r="N148" t="n">
        <v>14.3</v>
      </c>
      <c r="O148" s="8" t="n">
        <v>0.4</v>
      </c>
      <c r="P148" s="8" t="n">
        <v>0.5</v>
      </c>
      <c r="Q148" s="8" t="n">
        <v>0.6</v>
      </c>
      <c r="R148" t="inlineStr">
        <is>
          <t>-</t>
        </is>
      </c>
      <c r="S148" t="n">
        <v>-1</v>
      </c>
      <c r="T148">
        <f>INDEX(Calc!$G$2:$G$124,MATCH($W148,Calc!$A$2:$A$124,0))&amp;" / "&amp;INDEX(Calc!$H$2:$H$124,MATCH($W148,Calc!$A$2:$A$124,0))</f>
        <v/>
      </c>
      <c r="U148">
        <f>TEXT(INDEX(Calc!$J$2:$J$124,MATCH($W148,Calc!$A$2:$A$124,0)),"0.0")&amp;" / "&amp;TEXT(INDEX(Calc!$K$2:$K$124,MATCH($W148,Calc!$A$2:$A$124,0)),"0.0")</f>
        <v/>
      </c>
      <c r="V148">
        <f>IFERROR(INDEX(Calc!$AQ$2:$AQ$124,MATCH($W148,Calc!$A$2:$A$124,0)),"")</f>
        <v/>
      </c>
      <c r="W148" t="inlineStr">
        <is>
          <t>12s4j1y56sietsk|CS2 · INF vs BRUTE</t>
        </is>
      </c>
      <c r="X148" t="inlineStr">
        <is>
          <t>H12</t>
        </is>
      </c>
      <c r="Y148">
        <f>W148&amp;"|"&amp;X148</f>
        <v/>
      </c>
      <c r="Z148" s="9">
        <f>IFERROR(INDEX(CHOOSE(MATCH($X148,{"K1","K2","K3","K12","K13","H1","H2","H3","H12","H13"},0),Calc!$BA$2:$BA$124,Calc!$BB$2:$BB$124,Calc!$BC$2:$BC$124,Calc!$BD$2:$BD$124,Calc!$BE$2:$BE$124,Calc!$BF$2:$BF$124,Calc!$BG$2:$BG$124,Calc!$BH$2:$BH$124,Calc!$BI$2:$BI$124,Calc!$BJ$2:$BJ$124),MATCH($W148,Calc!$A$2:$A$124,0)),"")</f>
        <v/>
      </c>
      <c r="AA148" s="9">
        <f>IF(Z148="","",IF(LEFT($X148,1)="H",SQRT(Z148*(IFERROR(INDEX(Calc!$AP$2:$AP$124,MATCH($W148,Calc!$A$2:$A$124,0)),0.5)*Config!$B$5+1-IFERROR(INDEX(Calc!$AP$2:$AP$124,MATCH($W148,Calc!$A$2:$A$124,0)),0.5))),SQRT(Z148*Config!$B$5)))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INF vs BRUTE</t>
        </is>
      </c>
      <c r="C149" t="inlineStr">
        <is>
          <t>volt</t>
        </is>
      </c>
      <c r="D149" t="inlineStr">
        <is>
          <t>INF</t>
        </is>
      </c>
      <c r="E149" t="inlineStr">
        <is>
          <t>Maps 1-2 Kills</t>
        </is>
      </c>
      <c r="F149" t="n">
        <v>26</v>
      </c>
      <c r="G149" s="9">
        <f>IFERROR(INDEX(CHOOSE(MATCH($X149,{"K1","K2","K3","K12","K13","H1","H2","H3","H12","H13"},0),Calc!$V$2:$V$124,Calc!$AC$2:$AC$124,Calc!$AJ$2:$AJ$124,Calc!$AL$2:$AL$124,Calc!$AM$2:$AM$124,Calc!$W$2:$W$124,Calc!$AD$2:$AD$124,Calc!$AK$2:$AK$124,Calc!$AN$2:$AN$124,Calc!$AO$2:$AO$124),MATCH($W149,Calc!$A$2:$A$124,0)),"")</f>
        <v/>
      </c>
      <c r="H149" s="9">
        <f>IF(G149="","",IF(LEFT($X149,1)="H",SQRT(G149*(IFERROR(INDEX(Calc!$AP$2:$AP$124,MATCH($W149,Calc!$A$2:$A$124,0)),0.5)*Config!$B$5+1-IFERROR(INDEX(Calc!$AP$2:$AP$124,MATCH($W149,Calc!$A$2:$A$124,0)),0.5))),SQRT(G149*Config!$B$5)))</f>
        <v/>
      </c>
      <c r="I149" s="8">
        <f>IF(OR(F149="",G149="",N(H149)&lt;=0),"",1-NORMDIST(FLOOR(F149,1)+0.5,G149,H149,TRUE))</f>
        <v/>
      </c>
      <c r="J149" s="8">
        <f>IF(I149="","",NORMDIST(CEILING(F149,1)-0.5,G149,H149,TRUE))</f>
        <v/>
      </c>
      <c r="K149" s="8">
        <f>IF(I149="","",MAX(0,1-I149-J149))</f>
        <v/>
      </c>
      <c r="L149">
        <f>IF(I149="","",IF(I149&gt;=0.5+Config!$B$6,"OVER",IF(J149&gt;=0.5+Config!$B$6,"UNDER","—")))</f>
        <v/>
      </c>
      <c r="N149" t="n">
        <v>26.6</v>
      </c>
      <c r="O149" s="8" t="n">
        <v>0.4</v>
      </c>
      <c r="P149" s="8" t="n">
        <v>0.6</v>
      </c>
      <c r="Q149" s="8" t="n">
        <v>0.6</v>
      </c>
      <c r="R149" t="inlineStr">
        <is>
          <t>-</t>
        </is>
      </c>
      <c r="S149" t="n">
        <v>-1</v>
      </c>
      <c r="T149">
        <f>INDEX(Calc!$G$2:$G$124,MATCH($W149,Calc!$A$2:$A$124,0))&amp;" / "&amp;INDEX(Calc!$H$2:$H$124,MATCH($W149,Calc!$A$2:$A$124,0))</f>
        <v/>
      </c>
      <c r="U149">
        <f>TEXT(INDEX(Calc!$J$2:$J$124,MATCH($W149,Calc!$A$2:$A$124,0)),"0.0")&amp;" / "&amp;TEXT(INDEX(Calc!$K$2:$K$124,MATCH($W149,Calc!$A$2:$A$124,0)),"0.0")</f>
        <v/>
      </c>
      <c r="V149">
        <f>IFERROR(INDEX(Calc!$AQ$2:$AQ$124,MATCH($W149,Calc!$A$2:$A$124,0)),"")</f>
        <v/>
      </c>
      <c r="W149" t="inlineStr">
        <is>
          <t>12s4j1y56sietsk|CS2 · INF vs BRUTE</t>
        </is>
      </c>
      <c r="X149" t="inlineStr">
        <is>
          <t>K12</t>
        </is>
      </c>
      <c r="Y149">
        <f>W149&amp;"|"&amp;X149</f>
        <v/>
      </c>
      <c r="Z149" s="9">
        <f>IFERROR(INDEX(CHOOSE(MATCH($X149,{"K1","K2","K3","K12","K13","H1","H2","H3","H12","H13"},0),Calc!$BA$2:$BA$124,Calc!$BB$2:$BB$124,Calc!$BC$2:$BC$124,Calc!$BD$2:$BD$124,Calc!$BE$2:$BE$124,Calc!$BF$2:$BF$124,Calc!$BG$2:$BG$124,Calc!$BH$2:$BH$124,Calc!$BI$2:$BI$124,Calc!$BJ$2:$BJ$124),MATCH($W149,Calc!$A$2:$A$124,0)),"")</f>
        <v/>
      </c>
      <c r="AA149" s="9">
        <f>IF(Z149="","",IF(LEFT($X149,1)="H",SQRT(Z149*(IFERROR(INDEX(Calc!$AP$2:$AP$124,MATCH($W149,Calc!$A$2:$A$124,0)),0.5)*Config!$B$5+1-IFERROR(INDEX(Calc!$AP$2:$AP$124,MATCH($W149,Calc!$A$2:$A$124,0)),0.5))),SQRT(Z149*Config!$B$5)))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LGC vs DEN</t>
        </is>
      </c>
      <c r="C150" t="inlineStr">
        <is>
          <t>doc</t>
        </is>
      </c>
      <c r="D150" t="inlineStr">
        <is>
          <t>DEN</t>
        </is>
      </c>
      <c r="E150" t="inlineStr">
        <is>
          <t>Maps 1-2 HS</t>
        </is>
      </c>
      <c r="F150" t="n">
        <v>17</v>
      </c>
      <c r="G150" s="9">
        <f>IFERROR(INDEX(CHOOSE(MATCH($X150,{"K1","K2","K3","K12","K13","H1","H2","H3","H12","H13"},0),Calc!$V$2:$V$124,Calc!$AC$2:$AC$124,Calc!$AJ$2:$AJ$124,Calc!$AL$2:$AL$124,Calc!$AM$2:$AM$124,Calc!$W$2:$W$124,Calc!$AD$2:$AD$124,Calc!$AK$2:$AK$124,Calc!$AN$2:$AN$124,Calc!$AO$2:$AO$124),MATCH($W150,Calc!$A$2:$A$124,0)),"")</f>
        <v/>
      </c>
      <c r="H150" s="9">
        <f>IF(G150="","",IF(LEFT($X150,1)="H",SQRT(G150*(IFERROR(INDEX(Calc!$AP$2:$AP$124,MATCH($W150,Calc!$A$2:$A$124,0)),0.5)*Config!$B$5+1-IFERROR(INDEX(Calc!$AP$2:$AP$124,MATCH($W150,Calc!$A$2:$A$124,0)),0.5))),SQRT(G150*Config!$B$5)))</f>
        <v/>
      </c>
      <c r="I150" s="8">
        <f>IF(OR(F150="",G150="",N(H150)&lt;=0),"",1-NORMDIST(FLOOR(F150,1)+0.5,G150,H150,TRUE))</f>
        <v/>
      </c>
      <c r="J150" s="8">
        <f>IF(I150="","",NORMDIST(CEILING(F150,1)-0.5,G150,H150,TRUE))</f>
        <v/>
      </c>
      <c r="K150" s="8">
        <f>IF(I150="","",MAX(0,1-I150-J150))</f>
        <v/>
      </c>
      <c r="L150">
        <f>IF(I150="","",IF(I150&gt;=0.5+Config!$B$6,"OVER",IF(J150&gt;=0.5+Config!$B$6,"UNDER","—")))</f>
        <v/>
      </c>
      <c r="N150" t="n">
        <v>19.5</v>
      </c>
      <c r="O150" s="8" t="n">
        <v>0.6</v>
      </c>
      <c r="P150" s="8" t="n">
        <v>0.7</v>
      </c>
      <c r="Q150" s="8" t="n">
        <v>0.73</v>
      </c>
      <c r="R150" t="inlineStr">
        <is>
          <t>60%/3/5</t>
        </is>
      </c>
      <c r="S150" t="n">
        <v>-1</v>
      </c>
      <c r="T150">
        <f>INDEX(Calc!$G$2:$G$124,MATCH($W150,Calc!$A$2:$A$124,0))&amp;" / "&amp;INDEX(Calc!$H$2:$H$124,MATCH($W150,Calc!$A$2:$A$124,0))</f>
        <v/>
      </c>
      <c r="U150">
        <f>TEXT(INDEX(Calc!$J$2:$J$124,MATCH($W150,Calc!$A$2:$A$124,0)),"0.0")&amp;" / "&amp;TEXT(INDEX(Calc!$K$2:$K$124,MATCH($W150,Calc!$A$2:$A$124,0)),"0.0")</f>
        <v/>
      </c>
      <c r="V150">
        <f>IFERROR(INDEX(Calc!$AQ$2:$AQ$124,MATCH($W150,Calc!$A$2:$A$124,0)),"")</f>
        <v/>
      </c>
      <c r="W150" t="inlineStr">
        <is>
          <t>oilrc57yb4vi4v4|CS2 · LGC vs DEN</t>
        </is>
      </c>
      <c r="X150" t="inlineStr">
        <is>
          <t>H12</t>
        </is>
      </c>
      <c r="Y150">
        <f>W150&amp;"|"&amp;X150</f>
        <v/>
      </c>
      <c r="Z150" s="9">
        <f>IFERROR(INDEX(CHOOSE(MATCH($X150,{"K1","K2","K3","K12","K13","H1","H2","H3","H12","H13"},0),Calc!$BA$2:$BA$124,Calc!$BB$2:$BB$124,Calc!$BC$2:$BC$124,Calc!$BD$2:$BD$124,Calc!$BE$2:$BE$124,Calc!$BF$2:$BF$124,Calc!$BG$2:$BG$124,Calc!$BH$2:$BH$124,Calc!$BI$2:$BI$124,Calc!$BJ$2:$BJ$124),MATCH($W150,Calc!$A$2:$A$124,0)),"")</f>
        <v/>
      </c>
      <c r="AA150" s="9">
        <f>IF(Z150="","",IF(LEFT($X150,1)="H",SQRT(Z150*(IFERROR(INDEX(Calc!$AP$2:$AP$124,MATCH($W150,Calc!$A$2:$A$124,0)),0.5)*Config!$B$5+1-IFERROR(INDEX(Calc!$AP$2:$AP$124,MATCH($W150,Calc!$A$2:$A$124,0)),0.5))),SQRT(Z150*Config!$B$5)))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LGC vs DEN</t>
        </is>
      </c>
      <c r="C151" t="inlineStr">
        <is>
          <t>doc</t>
        </is>
      </c>
      <c r="D151" t="inlineStr">
        <is>
          <t>DEN</t>
        </is>
      </c>
      <c r="E151" t="inlineStr">
        <is>
          <t>Maps 1-2 Kills</t>
        </is>
      </c>
      <c r="F151" t="n">
        <v>30</v>
      </c>
      <c r="G151" s="9">
        <f>IFERROR(INDEX(CHOOSE(MATCH($X151,{"K1","K2","K3","K12","K13","H1","H2","H3","H12","H13"},0),Calc!$V$2:$V$124,Calc!$AC$2:$AC$124,Calc!$AJ$2:$AJ$124,Calc!$AL$2:$AL$124,Calc!$AM$2:$AM$124,Calc!$W$2:$W$124,Calc!$AD$2:$AD$124,Calc!$AK$2:$AK$124,Calc!$AN$2:$AN$124,Calc!$AO$2:$AO$124),MATCH($W151,Calc!$A$2:$A$124,0)),"")</f>
        <v/>
      </c>
      <c r="H151" s="9">
        <f>IF(G151="","",IF(LEFT($X151,1)="H",SQRT(G151*(IFERROR(INDEX(Calc!$AP$2:$AP$124,MATCH($W151,Calc!$A$2:$A$124,0)),0.5)*Config!$B$5+1-IFERROR(INDEX(Calc!$AP$2:$AP$124,MATCH($W151,Calc!$A$2:$A$124,0)),0.5))),SQRT(G151*Config!$B$5)))</f>
        <v/>
      </c>
      <c r="I151" s="8">
        <f>IF(OR(F151="",G151="",N(H151)&lt;=0),"",1-NORMDIST(FLOOR(F151,1)+0.5,G151,H151,TRUE))</f>
        <v/>
      </c>
      <c r="J151" s="8">
        <f>IF(I151="","",NORMDIST(CEILING(F151,1)-0.5,G151,H151,TRUE))</f>
        <v/>
      </c>
      <c r="K151" s="8">
        <f>IF(I151="","",MAX(0,1-I151-J151))</f>
        <v/>
      </c>
      <c r="L151">
        <f>IF(I151="","",IF(I151&gt;=0.5+Config!$B$6,"OVER",IF(J151&gt;=0.5+Config!$B$6,"UNDER","—")))</f>
        <v/>
      </c>
      <c r="M151" t="n">
        <v>28.82</v>
      </c>
      <c r="N151" t="n">
        <v>33.1</v>
      </c>
      <c r="O151" s="8" t="n">
        <v>0.6</v>
      </c>
      <c r="P151" s="8" t="n">
        <v>0.8</v>
      </c>
      <c r="Q151" s="8" t="n">
        <v>0.73</v>
      </c>
      <c r="R151" t="inlineStr">
        <is>
          <t>40%/2/5</t>
        </is>
      </c>
      <c r="S151" t="n">
        <v>-1</v>
      </c>
      <c r="T151">
        <f>INDEX(Calc!$G$2:$G$124,MATCH($W151,Calc!$A$2:$A$124,0))&amp;" / "&amp;INDEX(Calc!$H$2:$H$124,MATCH($W151,Calc!$A$2:$A$124,0))</f>
        <v/>
      </c>
      <c r="U151">
        <f>TEXT(INDEX(Calc!$J$2:$J$124,MATCH($W151,Calc!$A$2:$A$124,0)),"0.0")&amp;" / "&amp;TEXT(INDEX(Calc!$K$2:$K$124,MATCH($W151,Calc!$A$2:$A$124,0)),"0.0")</f>
        <v/>
      </c>
      <c r="V151">
        <f>IFERROR(INDEX(Calc!$AQ$2:$AQ$124,MATCH($W151,Calc!$A$2:$A$124,0)),"")</f>
        <v/>
      </c>
      <c r="W151" t="inlineStr">
        <is>
          <t>oilrc57yb4vi4v4|CS2 · LGC vs DEN</t>
        </is>
      </c>
      <c r="X151" t="inlineStr">
        <is>
          <t>K12</t>
        </is>
      </c>
      <c r="Y151">
        <f>W151&amp;"|"&amp;X151</f>
        <v/>
      </c>
      <c r="Z151" s="9">
        <f>IFERROR(INDEX(CHOOSE(MATCH($X151,{"K1","K2","K3","K12","K13","H1","H2","H3","H12","H13"},0),Calc!$BA$2:$BA$124,Calc!$BB$2:$BB$124,Calc!$BC$2:$BC$124,Calc!$BD$2:$BD$124,Calc!$BE$2:$BE$124,Calc!$BF$2:$BF$124,Calc!$BG$2:$BG$124,Calc!$BH$2:$BH$124,Calc!$BI$2:$BI$124,Calc!$BJ$2:$BJ$124),MATCH($W151,Calc!$A$2:$A$124,0)),"")</f>
        <v/>
      </c>
      <c r="AA151" s="9">
        <f>IF(Z151="","",IF(LEFT($X151,1)="H",SQRT(Z151*(IFERROR(INDEX(Calc!$AP$2:$AP$124,MATCH($W151,Calc!$A$2:$A$124,0)),0.5)*Config!$B$5+1-IFERROR(INDEX(Calc!$AP$2:$AP$124,MATCH($W151,Calc!$A$2:$A$124,0)),0.5))),SQRT(Z151*Config!$B$5)))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LGC vs DEN</t>
        </is>
      </c>
      <c r="C152" t="inlineStr">
        <is>
          <t>Gafolo</t>
        </is>
      </c>
      <c r="D152" t="inlineStr">
        <is>
          <t>DEN</t>
        </is>
      </c>
      <c r="E152" t="inlineStr">
        <is>
          <t>Maps 1-2 HS</t>
        </is>
      </c>
      <c r="F152" t="n">
        <v>11</v>
      </c>
      <c r="G152" s="9">
        <f>IFERROR(INDEX(CHOOSE(MATCH($X152,{"K1","K2","K3","K12","K13","H1","H2","H3","H12","H13"},0),Calc!$V$2:$V$124,Calc!$AC$2:$AC$124,Calc!$AJ$2:$AJ$124,Calc!$AL$2:$AL$124,Calc!$AM$2:$AM$124,Calc!$W$2:$W$124,Calc!$AD$2:$AD$124,Calc!$AK$2:$AK$124,Calc!$AN$2:$AN$124,Calc!$AO$2:$AO$124),MATCH($W152,Calc!$A$2:$A$124,0)),"")</f>
        <v/>
      </c>
      <c r="H152" s="9">
        <f>IF(G152="","",IF(LEFT($X152,1)="H",SQRT(G152*(IFERROR(INDEX(Calc!$AP$2:$AP$124,MATCH($W152,Calc!$A$2:$A$124,0)),0.5)*Config!$B$5+1-IFERROR(INDEX(Calc!$AP$2:$AP$124,MATCH($W152,Calc!$A$2:$A$124,0)),0.5))),SQRT(G152*Config!$B$5)))</f>
        <v/>
      </c>
      <c r="I152" s="8">
        <f>IF(OR(F152="",G152="",N(H152)&lt;=0),"",1-NORMDIST(FLOOR(F152,1)+0.5,G152,H152,TRUE))</f>
        <v/>
      </c>
      <c r="J152" s="8">
        <f>IF(I152="","",NORMDIST(CEILING(F152,1)-0.5,G152,H152,TRUE))</f>
        <v/>
      </c>
      <c r="K152" s="8">
        <f>IF(I152="","",MAX(0,1-I152-J152))</f>
        <v/>
      </c>
      <c r="L152">
        <f>IF(I152="","",IF(I152&gt;=0.5+Config!$B$6,"OVER",IF(J152&gt;=0.5+Config!$B$6,"UNDER","—")))</f>
        <v/>
      </c>
      <c r="N152" t="n">
        <v>11.4</v>
      </c>
      <c r="O152" s="8" t="n">
        <v>0.4</v>
      </c>
      <c r="P152" s="8" t="n">
        <v>0.4</v>
      </c>
      <c r="Q152" s="8" t="n">
        <v>0.47</v>
      </c>
      <c r="R152" t="inlineStr">
        <is>
          <t>80%/4/5</t>
        </is>
      </c>
      <c r="S152" t="n">
        <v>1</v>
      </c>
      <c r="T152">
        <f>INDEX(Calc!$G$2:$G$124,MATCH($W152,Calc!$A$2:$A$124,0))&amp;" / "&amp;INDEX(Calc!$H$2:$H$124,MATCH($W152,Calc!$A$2:$A$124,0))</f>
        <v/>
      </c>
      <c r="U152">
        <f>TEXT(INDEX(Calc!$J$2:$J$124,MATCH($W152,Calc!$A$2:$A$124,0)),"0.0")&amp;" / "&amp;TEXT(INDEX(Calc!$K$2:$K$124,MATCH($W152,Calc!$A$2:$A$124,0)),"0.0")</f>
        <v/>
      </c>
      <c r="V152">
        <f>IFERROR(INDEX(Calc!$AQ$2:$AQ$124,MATCH($W152,Calc!$A$2:$A$124,0)),"")</f>
        <v/>
      </c>
      <c r="W152" t="inlineStr">
        <is>
          <t>xq939tnpy5hluwa|CS2 · LGC vs DEN</t>
        </is>
      </c>
      <c r="X152" t="inlineStr">
        <is>
          <t>H12</t>
        </is>
      </c>
      <c r="Y152">
        <f>W152&amp;"|"&amp;X152</f>
        <v/>
      </c>
      <c r="Z152" s="9">
        <f>IFERROR(INDEX(CHOOSE(MATCH($X152,{"K1","K2","K3","K12","K13","H1","H2","H3","H12","H13"},0),Calc!$BA$2:$BA$124,Calc!$BB$2:$BB$124,Calc!$BC$2:$BC$124,Calc!$BD$2:$BD$124,Calc!$BE$2:$BE$124,Calc!$BF$2:$BF$124,Calc!$BG$2:$BG$124,Calc!$BH$2:$BH$124,Calc!$BI$2:$BI$124,Calc!$BJ$2:$BJ$124),MATCH($W152,Calc!$A$2:$A$124,0)),"")</f>
        <v/>
      </c>
      <c r="AA152" s="9">
        <f>IF(Z152="","",IF(LEFT($X152,1)="H",SQRT(Z152*(IFERROR(INDEX(Calc!$AP$2:$AP$124,MATCH($W152,Calc!$A$2:$A$124,0)),0.5)*Config!$B$5+1-IFERROR(INDEX(Calc!$AP$2:$AP$124,MATCH($W152,Calc!$A$2:$A$124,0)),0.5))),SQRT(Z152*Config!$B$5)))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LGC vs DEN</t>
        </is>
      </c>
      <c r="C153" t="inlineStr">
        <is>
          <t>Gafolo</t>
        </is>
      </c>
      <c r="D153" t="inlineStr">
        <is>
          <t>DEN</t>
        </is>
      </c>
      <c r="E153" t="inlineStr">
        <is>
          <t>Maps 1-2 Kills</t>
        </is>
      </c>
      <c r="F153" t="n">
        <v>22.5</v>
      </c>
      <c r="G153" s="9">
        <f>IFERROR(INDEX(CHOOSE(MATCH($X153,{"K1","K2","K3","K12","K13","H1","H2","H3","H12","H13"},0),Calc!$V$2:$V$124,Calc!$AC$2:$AC$124,Calc!$AJ$2:$AJ$124,Calc!$AL$2:$AL$124,Calc!$AM$2:$AM$124,Calc!$W$2:$W$124,Calc!$AD$2:$AD$124,Calc!$AK$2:$AK$124,Calc!$AN$2:$AN$124,Calc!$AO$2:$AO$124),MATCH($W153,Calc!$A$2:$A$124,0)),"")</f>
        <v/>
      </c>
      <c r="H153" s="9">
        <f>IF(G153="","",IF(LEFT($X153,1)="H",SQRT(G153*(IFERROR(INDEX(Calc!$AP$2:$AP$124,MATCH($W153,Calc!$A$2:$A$124,0)),0.5)*Config!$B$5+1-IFERROR(INDEX(Calc!$AP$2:$AP$124,MATCH($W153,Calc!$A$2:$A$124,0)),0.5))),SQRT(G153*Config!$B$5)))</f>
        <v/>
      </c>
      <c r="I153" s="8">
        <f>IF(OR(F153="",G153="",N(H153)&lt;=0),"",1-NORMDIST(FLOOR(F153,1)+0.5,G153,H153,TRUE))</f>
        <v/>
      </c>
      <c r="J153" s="8">
        <f>IF(I153="","",NORMDIST(CEILING(F153,1)-0.5,G153,H153,TRUE))</f>
        <v/>
      </c>
      <c r="K153" s="8">
        <f>IF(I153="","",MAX(0,1-I153-J153))</f>
        <v/>
      </c>
      <c r="L153">
        <f>IF(I153="","",IF(I153&gt;=0.5+Config!$B$6,"OVER",IF(J153&gt;=0.5+Config!$B$6,"UNDER","—")))</f>
        <v/>
      </c>
      <c r="M153" t="n">
        <v>22.82</v>
      </c>
      <c r="N153" t="n">
        <v>25.2</v>
      </c>
      <c r="O153" s="8" t="n">
        <v>0.6</v>
      </c>
      <c r="P153" s="8" t="n">
        <v>0.7</v>
      </c>
      <c r="Q153" s="8" t="n">
        <v>0.67</v>
      </c>
      <c r="R153" t="inlineStr">
        <is>
          <t>40%/2/5</t>
        </is>
      </c>
      <c r="S153" t="n">
        <v>1</v>
      </c>
      <c r="T153">
        <f>INDEX(Calc!$G$2:$G$124,MATCH($W153,Calc!$A$2:$A$124,0))&amp;" / "&amp;INDEX(Calc!$H$2:$H$124,MATCH($W153,Calc!$A$2:$A$124,0))</f>
        <v/>
      </c>
      <c r="U153">
        <f>TEXT(INDEX(Calc!$J$2:$J$124,MATCH($W153,Calc!$A$2:$A$124,0)),"0.0")&amp;" / "&amp;TEXT(INDEX(Calc!$K$2:$K$124,MATCH($W153,Calc!$A$2:$A$124,0)),"0.0")</f>
        <v/>
      </c>
      <c r="V153">
        <f>IFERROR(INDEX(Calc!$AQ$2:$AQ$124,MATCH($W153,Calc!$A$2:$A$124,0)),"")</f>
        <v/>
      </c>
      <c r="W153" t="inlineStr">
        <is>
          <t>xq939tnpy5hluwa|CS2 · LGC vs DEN</t>
        </is>
      </c>
      <c r="X153" t="inlineStr">
        <is>
          <t>K12</t>
        </is>
      </c>
      <c r="Y153">
        <f>W153&amp;"|"&amp;X153</f>
        <v/>
      </c>
      <c r="Z153" s="9">
        <f>IFERROR(INDEX(CHOOSE(MATCH($X153,{"K1","K2","K3","K12","K13","H1","H2","H3","H12","H13"},0),Calc!$BA$2:$BA$124,Calc!$BB$2:$BB$124,Calc!$BC$2:$BC$124,Calc!$BD$2:$BD$124,Calc!$BE$2:$BE$124,Calc!$BF$2:$BF$124,Calc!$BG$2:$BG$124,Calc!$BH$2:$BH$124,Calc!$BI$2:$BI$124,Calc!$BJ$2:$BJ$124),MATCH($W153,Calc!$A$2:$A$124,0)),"")</f>
        <v/>
      </c>
      <c r="AA153" s="9">
        <f>IF(Z153="","",IF(LEFT($X153,1)="H",SQRT(Z153*(IFERROR(INDEX(Calc!$AP$2:$AP$124,MATCH($W153,Calc!$A$2:$A$124,0)),0.5)*Config!$B$5+1-IFERROR(INDEX(Calc!$AP$2:$AP$124,MATCH($W153,Calc!$A$2:$A$124,0)),0.5))),SQRT(Z153*Config!$B$5)))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LGC vs DEN</t>
        </is>
      </c>
      <c r="C154" t="inlineStr">
        <is>
          <t>koala</t>
        </is>
      </c>
      <c r="D154" t="inlineStr">
        <is>
          <t>DEN</t>
        </is>
      </c>
      <c r="E154" t="inlineStr">
        <is>
          <t>Maps 1-2 HS</t>
        </is>
      </c>
      <c r="F154" t="n">
        <v>14.5</v>
      </c>
      <c r="G154" s="9">
        <f>IFERROR(INDEX(CHOOSE(MATCH($X154,{"K1","K2","K3","K12","K13","H1","H2","H3","H12","H13"},0),Calc!$V$2:$V$124,Calc!$AC$2:$AC$124,Calc!$AJ$2:$AJ$124,Calc!$AL$2:$AL$124,Calc!$AM$2:$AM$124,Calc!$W$2:$W$124,Calc!$AD$2:$AD$124,Calc!$AK$2:$AK$124,Calc!$AN$2:$AN$124,Calc!$AO$2:$AO$124),MATCH($W154,Calc!$A$2:$A$124,0)),"")</f>
        <v/>
      </c>
      <c r="H154" s="9">
        <f>IF(G154="","",IF(LEFT($X154,1)="H",SQRT(G154*(IFERROR(INDEX(Calc!$AP$2:$AP$124,MATCH($W154,Calc!$A$2:$A$124,0)),0.5)*Config!$B$5+1-IFERROR(INDEX(Calc!$AP$2:$AP$124,MATCH($W154,Calc!$A$2:$A$124,0)),0.5))),SQRT(G154*Config!$B$5)))</f>
        <v/>
      </c>
      <c r="I154" s="8">
        <f>IF(OR(F154="",G154="",N(H154)&lt;=0),"",1-NORMDIST(FLOOR(F154,1)+0.5,G154,H154,TRUE))</f>
        <v/>
      </c>
      <c r="J154" s="8">
        <f>IF(I154="","",NORMDIST(CEILING(F154,1)-0.5,G154,H154,TRUE))</f>
        <v/>
      </c>
      <c r="K154" s="8">
        <f>IF(I154="","",MAX(0,1-I154-J154))</f>
        <v/>
      </c>
      <c r="L154">
        <f>IF(I154="","",IF(I154&gt;=0.5+Config!$B$6,"OVER",IF(J154&gt;=0.5+Config!$B$6,"UNDER","—")))</f>
        <v/>
      </c>
      <c r="N154" t="n">
        <v>16</v>
      </c>
      <c r="O154" s="8" t="n">
        <v>0.4</v>
      </c>
      <c r="P154" s="8" t="n">
        <v>0.6</v>
      </c>
      <c r="Q154" s="8" t="n">
        <v>0.53</v>
      </c>
      <c r="R154" t="inlineStr">
        <is>
          <t>20%/1/5</t>
        </is>
      </c>
      <c r="S154" t="n">
        <v>-2</v>
      </c>
      <c r="T154">
        <f>INDEX(Calc!$G$2:$G$124,MATCH($W154,Calc!$A$2:$A$124,0))&amp;" / "&amp;INDEX(Calc!$H$2:$H$124,MATCH($W154,Calc!$A$2:$A$124,0))</f>
        <v/>
      </c>
      <c r="U154">
        <f>TEXT(INDEX(Calc!$J$2:$J$124,MATCH($W154,Calc!$A$2:$A$124,0)),"0.0")&amp;" / "&amp;TEXT(INDEX(Calc!$K$2:$K$124,MATCH($W154,Calc!$A$2:$A$124,0)),"0.0")</f>
        <v/>
      </c>
      <c r="V154">
        <f>IFERROR(INDEX(Calc!$AQ$2:$AQ$124,MATCH($W154,Calc!$A$2:$A$124,0)),"")</f>
        <v/>
      </c>
      <c r="W154" t="inlineStr">
        <is>
          <t>at2vo8jmt9hrk3m|CS2 · LGC vs DEN</t>
        </is>
      </c>
      <c r="X154" t="inlineStr">
        <is>
          <t>H12</t>
        </is>
      </c>
      <c r="Y154">
        <f>W154&amp;"|"&amp;X154</f>
        <v/>
      </c>
      <c r="Z154" s="9">
        <f>IFERROR(INDEX(CHOOSE(MATCH($X154,{"K1","K2","K3","K12","K13","H1","H2","H3","H12","H13"},0),Calc!$BA$2:$BA$124,Calc!$BB$2:$BB$124,Calc!$BC$2:$BC$124,Calc!$BD$2:$BD$124,Calc!$BE$2:$BE$124,Calc!$BF$2:$BF$124,Calc!$BG$2:$BG$124,Calc!$BH$2:$BH$124,Calc!$BI$2:$BI$124,Calc!$BJ$2:$BJ$124),MATCH($W154,Calc!$A$2:$A$124,0)),"")</f>
        <v/>
      </c>
      <c r="AA154" s="9">
        <f>IF(Z154="","",IF(LEFT($X154,1)="H",SQRT(Z154*(IFERROR(INDEX(Calc!$AP$2:$AP$124,MATCH($W154,Calc!$A$2:$A$124,0)),0.5)*Config!$B$5+1-IFERROR(INDEX(Calc!$AP$2:$AP$124,MATCH($W154,Calc!$A$2:$A$124,0)),0.5))),SQRT(Z154*Config!$B$5)))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LGC vs DEN</t>
        </is>
      </c>
      <c r="C155" t="inlineStr">
        <is>
          <t>koala</t>
        </is>
      </c>
      <c r="D155" t="inlineStr">
        <is>
          <t>DEN</t>
        </is>
      </c>
      <c r="E155" t="inlineStr">
        <is>
          <t>Maps 1-2 Kills</t>
        </is>
      </c>
      <c r="F155" t="n">
        <v>27.5</v>
      </c>
      <c r="G155" s="9">
        <f>IFERROR(INDEX(CHOOSE(MATCH($X155,{"K1","K2","K3","K12","K13","H1","H2","H3","H12","H13"},0),Calc!$V$2:$V$124,Calc!$AC$2:$AC$124,Calc!$AJ$2:$AJ$124,Calc!$AL$2:$AL$124,Calc!$AM$2:$AM$124,Calc!$W$2:$W$124,Calc!$AD$2:$AD$124,Calc!$AK$2:$AK$124,Calc!$AN$2:$AN$124,Calc!$AO$2:$AO$124),MATCH($W155,Calc!$A$2:$A$124,0)),"")</f>
        <v/>
      </c>
      <c r="H155" s="9">
        <f>IF(G155="","",IF(LEFT($X155,1)="H",SQRT(G155*(IFERROR(INDEX(Calc!$AP$2:$AP$124,MATCH($W155,Calc!$A$2:$A$124,0)),0.5)*Config!$B$5+1-IFERROR(INDEX(Calc!$AP$2:$AP$124,MATCH($W155,Calc!$A$2:$A$124,0)),0.5))),SQRT(G155*Config!$B$5)))</f>
        <v/>
      </c>
      <c r="I155" s="8">
        <f>IF(OR(F155="",G155="",N(H155)&lt;=0),"",1-NORMDIST(FLOOR(F155,1)+0.5,G155,H155,TRUE))</f>
        <v/>
      </c>
      <c r="J155" s="8">
        <f>IF(I155="","",NORMDIST(CEILING(F155,1)-0.5,G155,H155,TRUE))</f>
        <v/>
      </c>
      <c r="K155" s="8">
        <f>IF(I155="","",MAX(0,1-I155-J155))</f>
        <v/>
      </c>
      <c r="L155">
        <f>IF(I155="","",IF(I155&gt;=0.5+Config!$B$6,"OVER",IF(J155&gt;=0.5+Config!$B$6,"UNDER","—")))</f>
        <v/>
      </c>
      <c r="M155" t="n">
        <v>27.6</v>
      </c>
      <c r="N155" t="n">
        <v>30.4</v>
      </c>
      <c r="O155" s="8" t="n">
        <v>0.6</v>
      </c>
      <c r="P155" s="8" t="n">
        <v>0.7</v>
      </c>
      <c r="Q155" s="8" t="n">
        <v>0.67</v>
      </c>
      <c r="R155" t="inlineStr">
        <is>
          <t>40%/2/5</t>
        </is>
      </c>
      <c r="S155" t="n">
        <v>1</v>
      </c>
      <c r="T155">
        <f>INDEX(Calc!$G$2:$G$124,MATCH($W155,Calc!$A$2:$A$124,0))&amp;" / "&amp;INDEX(Calc!$H$2:$H$124,MATCH($W155,Calc!$A$2:$A$124,0))</f>
        <v/>
      </c>
      <c r="U155">
        <f>TEXT(INDEX(Calc!$J$2:$J$124,MATCH($W155,Calc!$A$2:$A$124,0)),"0.0")&amp;" / "&amp;TEXT(INDEX(Calc!$K$2:$K$124,MATCH($W155,Calc!$A$2:$A$124,0)),"0.0")</f>
        <v/>
      </c>
      <c r="V155">
        <f>IFERROR(INDEX(Calc!$AQ$2:$AQ$124,MATCH($W155,Calc!$A$2:$A$124,0)),"")</f>
        <v/>
      </c>
      <c r="W155" t="inlineStr">
        <is>
          <t>at2vo8jmt9hrk3m|CS2 · LGC vs DEN</t>
        </is>
      </c>
      <c r="X155" t="inlineStr">
        <is>
          <t>K12</t>
        </is>
      </c>
      <c r="Y155">
        <f>W155&amp;"|"&amp;X155</f>
        <v/>
      </c>
      <c r="Z155" s="9">
        <f>IFERROR(INDEX(CHOOSE(MATCH($X155,{"K1","K2","K3","K12","K13","H1","H2","H3","H12","H13"},0),Calc!$BA$2:$BA$124,Calc!$BB$2:$BB$124,Calc!$BC$2:$BC$124,Calc!$BD$2:$BD$124,Calc!$BE$2:$BE$124,Calc!$BF$2:$BF$124,Calc!$BG$2:$BG$124,Calc!$BH$2:$BH$124,Calc!$BI$2:$BI$124,Calc!$BJ$2:$BJ$124),MATCH($W155,Calc!$A$2:$A$124,0)),"")</f>
        <v/>
      </c>
      <c r="AA155" s="9">
        <f>IF(Z155="","",IF(LEFT($X155,1)="H",SQRT(Z155*(IFERROR(INDEX(Calc!$AP$2:$AP$124,MATCH($W155,Calc!$A$2:$A$124,0)),0.5)*Config!$B$5+1-IFERROR(INDEX(Calc!$AP$2:$AP$124,MATCH($W155,Calc!$A$2:$A$124,0)),0.5))),SQRT(Z155*Config!$B$5)))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LGC vs DEN</t>
        </is>
      </c>
      <c r="C156" t="inlineStr">
        <is>
          <t>maxxkor</t>
        </is>
      </c>
      <c r="D156" t="inlineStr">
        <is>
          <t>DEN</t>
        </is>
      </c>
      <c r="E156" t="inlineStr">
        <is>
          <t>Maps 1-2 HS</t>
        </is>
      </c>
      <c r="F156" t="n">
        <v>8.5</v>
      </c>
      <c r="G156" s="9">
        <f>IFERROR(INDEX(CHOOSE(MATCH($X156,{"K1","K2","K3","K12","K13","H1","H2","H3","H12","H13"},0),Calc!$V$2:$V$124,Calc!$AC$2:$AC$124,Calc!$AJ$2:$AJ$124,Calc!$AL$2:$AL$124,Calc!$AM$2:$AM$124,Calc!$W$2:$W$124,Calc!$AD$2:$AD$124,Calc!$AK$2:$AK$124,Calc!$AN$2:$AN$124,Calc!$AO$2:$AO$124),MATCH($W156,Calc!$A$2:$A$124,0)),"")</f>
        <v/>
      </c>
      <c r="H156" s="9">
        <f>IF(G156="","",IF(LEFT($X156,1)="H",SQRT(G156*(IFERROR(INDEX(Calc!$AP$2:$AP$124,MATCH($W156,Calc!$A$2:$A$124,0)),0.5)*Config!$B$5+1-IFERROR(INDEX(Calc!$AP$2:$AP$124,MATCH($W156,Calc!$A$2:$A$124,0)),0.5))),SQRT(G156*Config!$B$5)))</f>
        <v/>
      </c>
      <c r="I156" s="8">
        <f>IF(OR(F156="",G156="",N(H156)&lt;=0),"",1-NORMDIST(FLOOR(F156,1)+0.5,G156,H156,TRUE))</f>
        <v/>
      </c>
      <c r="J156" s="8">
        <f>IF(I156="","",NORMDIST(CEILING(F156,1)-0.5,G156,H156,TRUE))</f>
        <v/>
      </c>
      <c r="K156" s="8">
        <f>IF(I156="","",MAX(0,1-I156-J156))</f>
        <v/>
      </c>
      <c r="L156">
        <f>IF(I156="","",IF(I156&gt;=0.5+Config!$B$6,"OVER",IF(J156&gt;=0.5+Config!$B$6,"UNDER","—")))</f>
        <v/>
      </c>
      <c r="N156" t="n">
        <v>8.800000000000001</v>
      </c>
      <c r="O156" s="8" t="n">
        <v>0</v>
      </c>
      <c r="P156" s="8" t="n">
        <v>0.5</v>
      </c>
      <c r="Q156" s="8" t="n">
        <v>0.53</v>
      </c>
      <c r="R156" t="inlineStr">
        <is>
          <t>67%/2/3</t>
        </is>
      </c>
      <c r="S156" t="n">
        <v>-5</v>
      </c>
      <c r="T156">
        <f>INDEX(Calc!$G$2:$G$124,MATCH($W156,Calc!$A$2:$A$124,0))&amp;" / "&amp;INDEX(Calc!$H$2:$H$124,MATCH($W156,Calc!$A$2:$A$124,0))</f>
        <v/>
      </c>
      <c r="U156">
        <f>TEXT(INDEX(Calc!$J$2:$J$124,MATCH($W156,Calc!$A$2:$A$124,0)),"0.0")&amp;" / "&amp;TEXT(INDEX(Calc!$K$2:$K$124,MATCH($W156,Calc!$A$2:$A$124,0)),"0.0")</f>
        <v/>
      </c>
      <c r="V156">
        <f>IFERROR(INDEX(Calc!$AQ$2:$AQ$124,MATCH($W156,Calc!$A$2:$A$124,0)),"")</f>
        <v/>
      </c>
      <c r="W156" t="inlineStr">
        <is>
          <t>sir58v1hxyyne29|CS2 · LGC vs DEN</t>
        </is>
      </c>
      <c r="X156" t="inlineStr">
        <is>
          <t>H12</t>
        </is>
      </c>
      <c r="Y156">
        <f>W156&amp;"|"&amp;X156</f>
        <v/>
      </c>
      <c r="Z156" s="9">
        <f>IFERROR(INDEX(CHOOSE(MATCH($X156,{"K1","K2","K3","K12","K13","H1","H2","H3","H12","H13"},0),Calc!$BA$2:$BA$124,Calc!$BB$2:$BB$124,Calc!$BC$2:$BC$124,Calc!$BD$2:$BD$124,Calc!$BE$2:$BE$124,Calc!$BF$2:$BF$124,Calc!$BG$2:$BG$124,Calc!$BH$2:$BH$124,Calc!$BI$2:$BI$124,Calc!$BJ$2:$BJ$124),MATCH($W156,Calc!$A$2:$A$124,0)),"")</f>
        <v/>
      </c>
      <c r="AA156" s="9">
        <f>IF(Z156="","",IF(LEFT($X156,1)="H",SQRT(Z156*(IFERROR(INDEX(Calc!$AP$2:$AP$124,MATCH($W156,Calc!$A$2:$A$124,0)),0.5)*Config!$B$5+1-IFERROR(INDEX(Calc!$AP$2:$AP$124,MATCH($W156,Calc!$A$2:$A$124,0)),0.5))),SQRT(Z156*Config!$B$5)))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LGC vs DEN</t>
        </is>
      </c>
      <c r="C157" t="inlineStr">
        <is>
          <t>maxxkor</t>
        </is>
      </c>
      <c r="D157" t="inlineStr">
        <is>
          <t>DEN</t>
        </is>
      </c>
      <c r="E157" t="inlineStr">
        <is>
          <t>Maps 1-2 Kills</t>
        </is>
      </c>
      <c r="F157" t="n">
        <v>25.5</v>
      </c>
      <c r="G157" s="9">
        <f>IFERROR(INDEX(CHOOSE(MATCH($X157,{"K1","K2","K3","K12","K13","H1","H2","H3","H12","H13"},0),Calc!$V$2:$V$124,Calc!$AC$2:$AC$124,Calc!$AJ$2:$AJ$124,Calc!$AL$2:$AL$124,Calc!$AM$2:$AM$124,Calc!$W$2:$W$124,Calc!$AD$2:$AD$124,Calc!$AK$2:$AK$124,Calc!$AN$2:$AN$124,Calc!$AO$2:$AO$124),MATCH($W157,Calc!$A$2:$A$124,0)),"")</f>
        <v/>
      </c>
      <c r="H157" s="9">
        <f>IF(G157="","",IF(LEFT($X157,1)="H",SQRT(G157*(IFERROR(INDEX(Calc!$AP$2:$AP$124,MATCH($W157,Calc!$A$2:$A$124,0)),0.5)*Config!$B$5+1-IFERROR(INDEX(Calc!$AP$2:$AP$124,MATCH($W157,Calc!$A$2:$A$124,0)),0.5))),SQRT(G157*Config!$B$5)))</f>
        <v/>
      </c>
      <c r="I157" s="8">
        <f>IF(OR(F157="",G157="",N(H157)&lt;=0),"",1-NORMDIST(FLOOR(F157,1)+0.5,G157,H157,TRUE))</f>
        <v/>
      </c>
      <c r="J157" s="8">
        <f>IF(I157="","",NORMDIST(CEILING(F157,1)-0.5,G157,H157,TRUE))</f>
        <v/>
      </c>
      <c r="K157" s="8">
        <f>IF(I157="","",MAX(0,1-I157-J157))</f>
        <v/>
      </c>
      <c r="L157">
        <f>IF(I157="","",IF(I157&gt;=0.5+Config!$B$6,"OVER",IF(J157&gt;=0.5+Config!$B$6,"UNDER","—")))</f>
        <v/>
      </c>
      <c r="M157" t="n">
        <v>25</v>
      </c>
      <c r="N157" t="n">
        <v>30.1</v>
      </c>
      <c r="O157" s="8" t="n">
        <v>0.4</v>
      </c>
      <c r="P157" s="8" t="n">
        <v>0.7</v>
      </c>
      <c r="Q157" s="8" t="n">
        <v>0.67</v>
      </c>
      <c r="R157" t="inlineStr">
        <is>
          <t>67%/2/3</t>
        </is>
      </c>
      <c r="S157" t="n">
        <v>-3</v>
      </c>
      <c r="T157">
        <f>INDEX(Calc!$G$2:$G$124,MATCH($W157,Calc!$A$2:$A$124,0))&amp;" / "&amp;INDEX(Calc!$H$2:$H$124,MATCH($W157,Calc!$A$2:$A$124,0))</f>
        <v/>
      </c>
      <c r="U157">
        <f>TEXT(INDEX(Calc!$J$2:$J$124,MATCH($W157,Calc!$A$2:$A$124,0)),"0.0")&amp;" / "&amp;TEXT(INDEX(Calc!$K$2:$K$124,MATCH($W157,Calc!$A$2:$A$124,0)),"0.0")</f>
        <v/>
      </c>
      <c r="V157">
        <f>IFERROR(INDEX(Calc!$AQ$2:$AQ$124,MATCH($W157,Calc!$A$2:$A$124,0)),"")</f>
        <v/>
      </c>
      <c r="W157" t="inlineStr">
        <is>
          <t>sir58v1hxyyne29|CS2 · LGC vs DEN</t>
        </is>
      </c>
      <c r="X157" t="inlineStr">
        <is>
          <t>K12</t>
        </is>
      </c>
      <c r="Y157">
        <f>W157&amp;"|"&amp;X157</f>
        <v/>
      </c>
      <c r="Z157" s="9">
        <f>IFERROR(INDEX(CHOOSE(MATCH($X157,{"K1","K2","K3","K12","K13","H1","H2","H3","H12","H13"},0),Calc!$BA$2:$BA$124,Calc!$BB$2:$BB$124,Calc!$BC$2:$BC$124,Calc!$BD$2:$BD$124,Calc!$BE$2:$BE$124,Calc!$BF$2:$BF$124,Calc!$BG$2:$BG$124,Calc!$BH$2:$BH$124,Calc!$BI$2:$BI$124,Calc!$BJ$2:$BJ$124),MATCH($W157,Calc!$A$2:$A$124,0)),"")</f>
        <v/>
      </c>
      <c r="AA157" s="9">
        <f>IF(Z157="","",IF(LEFT($X157,1)="H",SQRT(Z157*(IFERROR(INDEX(Calc!$AP$2:$AP$124,MATCH($W157,Calc!$A$2:$A$124,0)),0.5)*Config!$B$5+1-IFERROR(INDEX(Calc!$AP$2:$AP$124,MATCH($W157,Calc!$A$2:$A$124,0)),0.5))),SQRT(Z157*Config!$B$5)))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LGC vs DEN</t>
        </is>
      </c>
      <c r="C158" t="inlineStr">
        <is>
          <t>rdnzao</t>
        </is>
      </c>
      <c r="D158" t="inlineStr">
        <is>
          <t>DEN</t>
        </is>
      </c>
      <c r="E158" t="inlineStr">
        <is>
          <t>Maps 1-2 HS</t>
        </is>
      </c>
      <c r="F158" t="n">
        <v>15.5</v>
      </c>
      <c r="G158" s="9">
        <f>IFERROR(INDEX(CHOOSE(MATCH($X158,{"K1","K2","K3","K12","K13","H1","H2","H3","H12","H13"},0),Calc!$V$2:$V$124,Calc!$AC$2:$AC$124,Calc!$AJ$2:$AJ$124,Calc!$AL$2:$AL$124,Calc!$AM$2:$AM$124,Calc!$W$2:$W$124,Calc!$AD$2:$AD$124,Calc!$AK$2:$AK$124,Calc!$AN$2:$AN$124,Calc!$AO$2:$AO$124),MATCH($W158,Calc!$A$2:$A$124,0)),"")</f>
        <v/>
      </c>
      <c r="H158" s="9">
        <f>IF(G158="","",IF(LEFT($X158,1)="H",SQRT(G158*(IFERROR(INDEX(Calc!$AP$2:$AP$124,MATCH($W158,Calc!$A$2:$A$124,0)),0.5)*Config!$B$5+1-IFERROR(INDEX(Calc!$AP$2:$AP$124,MATCH($W158,Calc!$A$2:$A$124,0)),0.5))),SQRT(G158*Config!$B$5)))</f>
        <v/>
      </c>
      <c r="I158" s="8">
        <f>IF(OR(F158="",G158="",N(H158)&lt;=0),"",1-NORMDIST(FLOOR(F158,1)+0.5,G158,H158,TRUE))</f>
        <v/>
      </c>
      <c r="J158" s="8">
        <f>IF(I158="","",NORMDIST(CEILING(F158,1)-0.5,G158,H158,TRUE))</f>
        <v/>
      </c>
      <c r="K158" s="8">
        <f>IF(I158="","",MAX(0,1-I158-J158))</f>
        <v/>
      </c>
      <c r="L158">
        <f>IF(I158="","",IF(I158&gt;=0.5+Config!$B$6,"OVER",IF(J158&gt;=0.5+Config!$B$6,"UNDER","—")))</f>
        <v/>
      </c>
      <c r="N158" t="n">
        <v>16.1</v>
      </c>
      <c r="O158" s="8" t="n">
        <v>0.6</v>
      </c>
      <c r="P158" s="8" t="n">
        <v>0.5</v>
      </c>
      <c r="Q158" s="8" t="n">
        <v>0.53</v>
      </c>
      <c r="R158" t="inlineStr">
        <is>
          <t>80%/4/5</t>
        </is>
      </c>
      <c r="S158" t="n">
        <v>-2</v>
      </c>
      <c r="T158">
        <f>INDEX(Calc!$G$2:$G$124,MATCH($W158,Calc!$A$2:$A$124,0))&amp;" / "&amp;INDEX(Calc!$H$2:$H$124,MATCH($W158,Calc!$A$2:$A$124,0))</f>
        <v/>
      </c>
      <c r="U158">
        <f>TEXT(INDEX(Calc!$J$2:$J$124,MATCH($W158,Calc!$A$2:$A$124,0)),"0.0")&amp;" / "&amp;TEXT(INDEX(Calc!$K$2:$K$124,MATCH($W158,Calc!$A$2:$A$124,0)),"0.0")</f>
        <v/>
      </c>
      <c r="V158">
        <f>IFERROR(INDEX(Calc!$AQ$2:$AQ$124,MATCH($W158,Calc!$A$2:$A$124,0)),"")</f>
        <v/>
      </c>
      <c r="W158" t="inlineStr">
        <is>
          <t>a0u1qo22a3z9rh8|CS2 · LGC vs DEN</t>
        </is>
      </c>
      <c r="X158" t="inlineStr">
        <is>
          <t>H12</t>
        </is>
      </c>
      <c r="Y158">
        <f>W158&amp;"|"&amp;X158</f>
        <v/>
      </c>
      <c r="Z158" s="9">
        <f>IFERROR(INDEX(CHOOSE(MATCH($X158,{"K1","K2","K3","K12","K13","H1","H2","H3","H12","H13"},0),Calc!$BA$2:$BA$124,Calc!$BB$2:$BB$124,Calc!$BC$2:$BC$124,Calc!$BD$2:$BD$124,Calc!$BE$2:$BE$124,Calc!$BF$2:$BF$124,Calc!$BG$2:$BG$124,Calc!$BH$2:$BH$124,Calc!$BI$2:$BI$124,Calc!$BJ$2:$BJ$124),MATCH($W158,Calc!$A$2:$A$124,0)),"")</f>
        <v/>
      </c>
      <c r="AA158" s="9">
        <f>IF(Z158="","",IF(LEFT($X158,1)="H",SQRT(Z158*(IFERROR(INDEX(Calc!$AP$2:$AP$124,MATCH($W158,Calc!$A$2:$A$124,0)),0.5)*Config!$B$5+1-IFERROR(INDEX(Calc!$AP$2:$AP$124,MATCH($W158,Calc!$A$2:$A$124,0)),0.5))),SQRT(Z158*Config!$B$5)))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LGC vs DEN</t>
        </is>
      </c>
      <c r="C159" t="inlineStr">
        <is>
          <t>rdnzao</t>
        </is>
      </c>
      <c r="D159" t="inlineStr">
        <is>
          <t>DEN</t>
        </is>
      </c>
      <c r="E159" t="inlineStr">
        <is>
          <t>Maps 1-2 Kills</t>
        </is>
      </c>
      <c r="F159" t="n">
        <v>25.5</v>
      </c>
      <c r="G159" s="9">
        <f>IFERROR(INDEX(CHOOSE(MATCH($X159,{"K1","K2","K3","K12","K13","H1","H2","H3","H12","H13"},0),Calc!$V$2:$V$124,Calc!$AC$2:$AC$124,Calc!$AJ$2:$AJ$124,Calc!$AL$2:$AL$124,Calc!$AM$2:$AM$124,Calc!$W$2:$W$124,Calc!$AD$2:$AD$124,Calc!$AK$2:$AK$124,Calc!$AN$2:$AN$124,Calc!$AO$2:$AO$124),MATCH($W159,Calc!$A$2:$A$124,0)),"")</f>
        <v/>
      </c>
      <c r="H159" s="9">
        <f>IF(G159="","",IF(LEFT($X159,1)="H",SQRT(G159*(IFERROR(INDEX(Calc!$AP$2:$AP$124,MATCH($W159,Calc!$A$2:$A$124,0)),0.5)*Config!$B$5+1-IFERROR(INDEX(Calc!$AP$2:$AP$124,MATCH($W159,Calc!$A$2:$A$124,0)),0.5))),SQRT(G159*Config!$B$5)))</f>
        <v/>
      </c>
      <c r="I159" s="8">
        <f>IF(OR(F159="",G159="",N(H159)&lt;=0),"",1-NORMDIST(FLOOR(F159,1)+0.5,G159,H159,TRUE))</f>
        <v/>
      </c>
      <c r="J159" s="8">
        <f>IF(I159="","",NORMDIST(CEILING(F159,1)-0.5,G159,H159,TRUE))</f>
        <v/>
      </c>
      <c r="K159" s="8">
        <f>IF(I159="","",MAX(0,1-I159-J159))</f>
        <v/>
      </c>
      <c r="L159">
        <f>IF(I159="","",IF(I159&gt;=0.5+Config!$B$6,"OVER",IF(J159&gt;=0.5+Config!$B$6,"UNDER","—")))</f>
        <v/>
      </c>
      <c r="M159" t="n">
        <v>26.06</v>
      </c>
      <c r="N159" t="n">
        <v>29.4</v>
      </c>
      <c r="O159" s="8" t="n">
        <v>1</v>
      </c>
      <c r="P159" s="8" t="n">
        <v>0.9</v>
      </c>
      <c r="Q159" s="8" t="n">
        <v>0.8</v>
      </c>
      <c r="R159" t="inlineStr">
        <is>
          <t>80%/4/5</t>
        </is>
      </c>
      <c r="S159" t="n">
        <v>5</v>
      </c>
      <c r="T159">
        <f>INDEX(Calc!$G$2:$G$124,MATCH($W159,Calc!$A$2:$A$124,0))&amp;" / "&amp;INDEX(Calc!$H$2:$H$124,MATCH($W159,Calc!$A$2:$A$124,0))</f>
        <v/>
      </c>
      <c r="U159">
        <f>TEXT(INDEX(Calc!$J$2:$J$124,MATCH($W159,Calc!$A$2:$A$124,0)),"0.0")&amp;" / "&amp;TEXT(INDEX(Calc!$K$2:$K$124,MATCH($W159,Calc!$A$2:$A$124,0)),"0.0")</f>
        <v/>
      </c>
      <c r="V159">
        <f>IFERROR(INDEX(Calc!$AQ$2:$AQ$124,MATCH($W159,Calc!$A$2:$A$124,0)),"")</f>
        <v/>
      </c>
      <c r="W159" t="inlineStr">
        <is>
          <t>a0u1qo22a3z9rh8|CS2 · LGC vs DEN</t>
        </is>
      </c>
      <c r="X159" t="inlineStr">
        <is>
          <t>K12</t>
        </is>
      </c>
      <c r="Y159">
        <f>W159&amp;"|"&amp;X159</f>
        <v/>
      </c>
      <c r="Z159" s="9">
        <f>IFERROR(INDEX(CHOOSE(MATCH($X159,{"K1","K2","K3","K12","K13","H1","H2","H3","H12","H13"},0),Calc!$BA$2:$BA$124,Calc!$BB$2:$BB$124,Calc!$BC$2:$BC$124,Calc!$BD$2:$BD$124,Calc!$BE$2:$BE$124,Calc!$BF$2:$BF$124,Calc!$BG$2:$BG$124,Calc!$BH$2:$BH$124,Calc!$BI$2:$BI$124,Calc!$BJ$2:$BJ$124),MATCH($W159,Calc!$A$2:$A$124,0)),"")</f>
        <v/>
      </c>
      <c r="AA159" s="9">
        <f>IF(Z159="","",IF(LEFT($X159,1)="H",SQRT(Z159*(IFERROR(INDEX(Calc!$AP$2:$AP$124,MATCH($W159,Calc!$A$2:$A$124,0)),0.5)*Config!$B$5+1-IFERROR(INDEX(Calc!$AP$2:$AP$124,MATCH($W159,Calc!$A$2:$A$124,0)),0.5))),SQRT(Z159*Config!$B$5)))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LGC vs DEN</t>
        </is>
      </c>
      <c r="C160" t="inlineStr">
        <is>
          <t>arT</t>
        </is>
      </c>
      <c r="D160" t="inlineStr">
        <is>
          <t>LGC</t>
        </is>
      </c>
      <c r="E160" t="inlineStr">
        <is>
          <t>Maps 1-2 HS</t>
        </is>
      </c>
      <c r="F160" t="n">
        <v>11</v>
      </c>
      <c r="G160" s="9">
        <f>IFERROR(INDEX(CHOOSE(MATCH($X160,{"K1","K2","K3","K12","K13","H1","H2","H3","H12","H13"},0),Calc!$V$2:$V$124,Calc!$AC$2:$AC$124,Calc!$AJ$2:$AJ$124,Calc!$AL$2:$AL$124,Calc!$AM$2:$AM$124,Calc!$W$2:$W$124,Calc!$AD$2:$AD$124,Calc!$AK$2:$AK$124,Calc!$AN$2:$AN$124,Calc!$AO$2:$AO$124),MATCH($W160,Calc!$A$2:$A$124,0)),"")</f>
        <v/>
      </c>
      <c r="H160" s="9">
        <f>IF(G160="","",IF(LEFT($X160,1)="H",SQRT(G160*(IFERROR(INDEX(Calc!$AP$2:$AP$124,MATCH($W160,Calc!$A$2:$A$124,0)),0.5)*Config!$B$5+1-IFERROR(INDEX(Calc!$AP$2:$AP$124,MATCH($W160,Calc!$A$2:$A$124,0)),0.5))),SQRT(G160*Config!$B$5)))</f>
        <v/>
      </c>
      <c r="I160" s="8">
        <f>IF(OR(F160="",G160="",N(H160)&lt;=0),"",1-NORMDIST(FLOOR(F160,1)+0.5,G160,H160,TRUE))</f>
        <v/>
      </c>
      <c r="J160" s="8">
        <f>IF(I160="","",NORMDIST(CEILING(F160,1)-0.5,G160,H160,TRUE))</f>
        <v/>
      </c>
      <c r="K160" s="8">
        <f>IF(I160="","",MAX(0,1-I160-J160))</f>
        <v/>
      </c>
      <c r="L160">
        <f>IF(I160="","",IF(I160&gt;=0.5+Config!$B$6,"OVER",IF(J160&gt;=0.5+Config!$B$6,"UNDER","—")))</f>
        <v/>
      </c>
      <c r="N160" t="n">
        <v>11.2</v>
      </c>
      <c r="O160" s="8" t="n">
        <v>0.6</v>
      </c>
      <c r="P160" s="8" t="n">
        <v>0.5</v>
      </c>
      <c r="Q160" s="8" t="n">
        <v>0.6</v>
      </c>
      <c r="R160" t="inlineStr">
        <is>
          <t>-</t>
        </is>
      </c>
      <c r="S160" t="n">
        <v>1</v>
      </c>
      <c r="T160">
        <f>INDEX(Calc!$G$2:$G$124,MATCH($W160,Calc!$A$2:$A$124,0))&amp;" / "&amp;INDEX(Calc!$H$2:$H$124,MATCH($W160,Calc!$A$2:$A$124,0))</f>
        <v/>
      </c>
      <c r="U160">
        <f>TEXT(INDEX(Calc!$J$2:$J$124,MATCH($W160,Calc!$A$2:$A$124,0)),"0.0")&amp;" / "&amp;TEXT(INDEX(Calc!$K$2:$K$124,MATCH($W160,Calc!$A$2:$A$124,0)),"0.0")</f>
        <v/>
      </c>
      <c r="V160">
        <f>IFERROR(INDEX(Calc!$AQ$2:$AQ$124,MATCH($W160,Calc!$A$2:$A$124,0)),"")</f>
        <v/>
      </c>
      <c r="W160" t="inlineStr">
        <is>
          <t>6ihem6avn05n11t|CS2 · LGC vs DEN</t>
        </is>
      </c>
      <c r="X160" t="inlineStr">
        <is>
          <t>H12</t>
        </is>
      </c>
      <c r="Y160">
        <f>W160&amp;"|"&amp;X160</f>
        <v/>
      </c>
      <c r="Z160" s="9">
        <f>IFERROR(INDEX(CHOOSE(MATCH($X160,{"K1","K2","K3","K12","K13","H1","H2","H3","H12","H13"},0),Calc!$BA$2:$BA$124,Calc!$BB$2:$BB$124,Calc!$BC$2:$BC$124,Calc!$BD$2:$BD$124,Calc!$BE$2:$BE$124,Calc!$BF$2:$BF$124,Calc!$BG$2:$BG$124,Calc!$BH$2:$BH$124,Calc!$BI$2:$BI$124,Calc!$BJ$2:$BJ$124),MATCH($W160,Calc!$A$2:$A$124,0)),"")</f>
        <v/>
      </c>
      <c r="AA160" s="9">
        <f>IF(Z160="","",IF(LEFT($X160,1)="H",SQRT(Z160*(IFERROR(INDEX(Calc!$AP$2:$AP$124,MATCH($W160,Calc!$A$2:$A$124,0)),0.5)*Config!$B$5+1-IFERROR(INDEX(Calc!$AP$2:$AP$124,MATCH($W160,Calc!$A$2:$A$124,0)),0.5))),SQRT(Z160*Config!$B$5)))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LGC vs DEN</t>
        </is>
      </c>
      <c r="C161" t="inlineStr">
        <is>
          <t>arT</t>
        </is>
      </c>
      <c r="D161" t="inlineStr">
        <is>
          <t>LGC</t>
        </is>
      </c>
      <c r="E161" t="inlineStr">
        <is>
          <t>Maps 1-2 Kills</t>
        </is>
      </c>
      <c r="F161" t="n">
        <v>24.5</v>
      </c>
      <c r="G161" s="9">
        <f>IFERROR(INDEX(CHOOSE(MATCH($X161,{"K1","K2","K3","K12","K13","H1","H2","H3","H12","H13"},0),Calc!$V$2:$V$124,Calc!$AC$2:$AC$124,Calc!$AJ$2:$AJ$124,Calc!$AL$2:$AL$124,Calc!$AM$2:$AM$124,Calc!$W$2:$W$124,Calc!$AD$2:$AD$124,Calc!$AK$2:$AK$124,Calc!$AN$2:$AN$124,Calc!$AO$2:$AO$124),MATCH($W161,Calc!$A$2:$A$124,0)),"")</f>
        <v/>
      </c>
      <c r="H161" s="9">
        <f>IF(G161="","",IF(LEFT($X161,1)="H",SQRT(G161*(IFERROR(INDEX(Calc!$AP$2:$AP$124,MATCH($W161,Calc!$A$2:$A$124,0)),0.5)*Config!$B$5+1-IFERROR(INDEX(Calc!$AP$2:$AP$124,MATCH($W161,Calc!$A$2:$A$124,0)),0.5))),SQRT(G161*Config!$B$5)))</f>
        <v/>
      </c>
      <c r="I161" s="8">
        <f>IF(OR(F161="",G161="",N(H161)&lt;=0),"",1-NORMDIST(FLOOR(F161,1)+0.5,G161,H161,TRUE))</f>
        <v/>
      </c>
      <c r="J161" s="8">
        <f>IF(I161="","",NORMDIST(CEILING(F161,1)-0.5,G161,H161,TRUE))</f>
        <v/>
      </c>
      <c r="K161" s="8">
        <f>IF(I161="","",MAX(0,1-I161-J161))</f>
        <v/>
      </c>
      <c r="L161">
        <f>IF(I161="","",IF(I161&gt;=0.5+Config!$B$6,"OVER",IF(J161&gt;=0.5+Config!$B$6,"UNDER","—")))</f>
        <v/>
      </c>
      <c r="M161" t="n">
        <v>24.6</v>
      </c>
      <c r="N161" t="n">
        <v>26.2</v>
      </c>
      <c r="O161" s="8" t="n">
        <v>0.6</v>
      </c>
      <c r="P161" s="8" t="n">
        <v>0.7</v>
      </c>
      <c r="Q161" s="8" t="n">
        <v>0.6</v>
      </c>
      <c r="R161" t="inlineStr">
        <is>
          <t>-</t>
        </is>
      </c>
      <c r="S161" t="n">
        <v>1</v>
      </c>
      <c r="T161">
        <f>INDEX(Calc!$G$2:$G$124,MATCH($W161,Calc!$A$2:$A$124,0))&amp;" / "&amp;INDEX(Calc!$H$2:$H$124,MATCH($W161,Calc!$A$2:$A$124,0))</f>
        <v/>
      </c>
      <c r="U161">
        <f>TEXT(INDEX(Calc!$J$2:$J$124,MATCH($W161,Calc!$A$2:$A$124,0)),"0.0")&amp;" / "&amp;TEXT(INDEX(Calc!$K$2:$K$124,MATCH($W161,Calc!$A$2:$A$124,0)),"0.0")</f>
        <v/>
      </c>
      <c r="V161">
        <f>IFERROR(INDEX(Calc!$AQ$2:$AQ$124,MATCH($W161,Calc!$A$2:$A$124,0)),"")</f>
        <v/>
      </c>
      <c r="W161" t="inlineStr">
        <is>
          <t>6ihem6avn05n11t|CS2 · LGC vs DEN</t>
        </is>
      </c>
      <c r="X161" t="inlineStr">
        <is>
          <t>K12</t>
        </is>
      </c>
      <c r="Y161">
        <f>W161&amp;"|"&amp;X161</f>
        <v/>
      </c>
      <c r="Z161" s="9">
        <f>IFERROR(INDEX(CHOOSE(MATCH($X161,{"K1","K2","K3","K12","K13","H1","H2","H3","H12","H13"},0),Calc!$BA$2:$BA$124,Calc!$BB$2:$BB$124,Calc!$BC$2:$BC$124,Calc!$BD$2:$BD$124,Calc!$BE$2:$BE$124,Calc!$BF$2:$BF$124,Calc!$BG$2:$BG$124,Calc!$BH$2:$BH$124,Calc!$BI$2:$BI$124,Calc!$BJ$2:$BJ$124),MATCH($W161,Calc!$A$2:$A$124,0)),"")</f>
        <v/>
      </c>
      <c r="AA161" s="9">
        <f>IF(Z161="","",IF(LEFT($X161,1)="H",SQRT(Z161*(IFERROR(INDEX(Calc!$AP$2:$AP$124,MATCH($W161,Calc!$A$2:$A$124,0)),0.5)*Config!$B$5+1-IFERROR(INDEX(Calc!$AP$2:$AP$124,MATCH($W161,Calc!$A$2:$A$124,0)),0.5))),SQRT(Z161*Config!$B$5)))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LGC vs DEN</t>
        </is>
      </c>
      <c r="C162" t="inlineStr">
        <is>
          <t>dumau</t>
        </is>
      </c>
      <c r="D162" t="inlineStr">
        <is>
          <t>LGC</t>
        </is>
      </c>
      <c r="E162" t="inlineStr">
        <is>
          <t>Maps 1-2 HS</t>
        </is>
      </c>
      <c r="F162" t="n">
        <v>15.5</v>
      </c>
      <c r="G162" s="9">
        <f>IFERROR(INDEX(CHOOSE(MATCH($X162,{"K1","K2","K3","K12","K13","H1","H2","H3","H12","H13"},0),Calc!$V$2:$V$124,Calc!$AC$2:$AC$124,Calc!$AJ$2:$AJ$124,Calc!$AL$2:$AL$124,Calc!$AM$2:$AM$124,Calc!$W$2:$W$124,Calc!$AD$2:$AD$124,Calc!$AK$2:$AK$124,Calc!$AN$2:$AN$124,Calc!$AO$2:$AO$124),MATCH($W162,Calc!$A$2:$A$124,0)),"")</f>
        <v/>
      </c>
      <c r="H162" s="9">
        <f>IF(G162="","",IF(LEFT($X162,1)="H",SQRT(G162*(IFERROR(INDEX(Calc!$AP$2:$AP$124,MATCH($W162,Calc!$A$2:$A$124,0)),0.5)*Config!$B$5+1-IFERROR(INDEX(Calc!$AP$2:$AP$124,MATCH($W162,Calc!$A$2:$A$124,0)),0.5))),SQRT(G162*Config!$B$5)))</f>
        <v/>
      </c>
      <c r="I162" s="8">
        <f>IF(OR(F162="",G162="",N(H162)&lt;=0),"",1-NORMDIST(FLOOR(F162,1)+0.5,G162,H162,TRUE))</f>
        <v/>
      </c>
      <c r="J162" s="8">
        <f>IF(I162="","",NORMDIST(CEILING(F162,1)-0.5,G162,H162,TRUE))</f>
        <v/>
      </c>
      <c r="K162" s="8">
        <f>IF(I162="","",MAX(0,1-I162-J162))</f>
        <v/>
      </c>
      <c r="L162">
        <f>IF(I162="","",IF(I162&gt;=0.5+Config!$B$6,"OVER",IF(J162&gt;=0.5+Config!$B$6,"UNDER","—")))</f>
        <v/>
      </c>
      <c r="N162" t="n">
        <v>15.7</v>
      </c>
      <c r="O162" s="8" t="n">
        <v>0.8</v>
      </c>
      <c r="P162" s="8" t="n">
        <v>0.6</v>
      </c>
      <c r="Q162" s="8" t="n">
        <v>0.6</v>
      </c>
      <c r="R162" t="inlineStr">
        <is>
          <t>-</t>
        </is>
      </c>
      <c r="S162" t="n">
        <v>4</v>
      </c>
      <c r="T162">
        <f>INDEX(Calc!$G$2:$G$124,MATCH($W162,Calc!$A$2:$A$124,0))&amp;" / "&amp;INDEX(Calc!$H$2:$H$124,MATCH($W162,Calc!$A$2:$A$124,0))</f>
        <v/>
      </c>
      <c r="U162">
        <f>TEXT(INDEX(Calc!$J$2:$J$124,MATCH($W162,Calc!$A$2:$A$124,0)),"0.0")&amp;" / "&amp;TEXT(INDEX(Calc!$K$2:$K$124,MATCH($W162,Calc!$A$2:$A$124,0)),"0.0")</f>
        <v/>
      </c>
      <c r="V162">
        <f>IFERROR(INDEX(Calc!$AQ$2:$AQ$124,MATCH($W162,Calc!$A$2:$A$124,0)),"")</f>
        <v/>
      </c>
      <c r="W162" t="inlineStr">
        <is>
          <t>fegzpn598j6etni|CS2 · LGC vs DEN</t>
        </is>
      </c>
      <c r="X162" t="inlineStr">
        <is>
          <t>H12</t>
        </is>
      </c>
      <c r="Y162">
        <f>W162&amp;"|"&amp;X162</f>
        <v/>
      </c>
      <c r="Z162" s="9">
        <f>IFERROR(INDEX(CHOOSE(MATCH($X162,{"K1","K2","K3","K12","K13","H1","H2","H3","H12","H13"},0),Calc!$BA$2:$BA$124,Calc!$BB$2:$BB$124,Calc!$BC$2:$BC$124,Calc!$BD$2:$BD$124,Calc!$BE$2:$BE$124,Calc!$BF$2:$BF$124,Calc!$BG$2:$BG$124,Calc!$BH$2:$BH$124,Calc!$BI$2:$BI$124,Calc!$BJ$2:$BJ$124),MATCH($W162,Calc!$A$2:$A$124,0)),"")</f>
        <v/>
      </c>
      <c r="AA162" s="9">
        <f>IF(Z162="","",IF(LEFT($X162,1)="H",SQRT(Z162*(IFERROR(INDEX(Calc!$AP$2:$AP$124,MATCH($W162,Calc!$A$2:$A$124,0)),0.5)*Config!$B$5+1-IFERROR(INDEX(Calc!$AP$2:$AP$124,MATCH($W162,Calc!$A$2:$A$124,0)),0.5))),SQRT(Z162*Config!$B$5)))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LGC vs DEN</t>
        </is>
      </c>
      <c r="C163" t="inlineStr">
        <is>
          <t>dumau</t>
        </is>
      </c>
      <c r="D163" t="inlineStr">
        <is>
          <t>LGC</t>
        </is>
      </c>
      <c r="E163" t="inlineStr">
        <is>
          <t>Maps 1-2 Kills</t>
        </is>
      </c>
      <c r="F163" t="n">
        <v>30</v>
      </c>
      <c r="G163" s="9">
        <f>IFERROR(INDEX(CHOOSE(MATCH($X163,{"K1","K2","K3","K12","K13","H1","H2","H3","H12","H13"},0),Calc!$V$2:$V$124,Calc!$AC$2:$AC$124,Calc!$AJ$2:$AJ$124,Calc!$AL$2:$AL$124,Calc!$AM$2:$AM$124,Calc!$W$2:$W$124,Calc!$AD$2:$AD$124,Calc!$AK$2:$AK$124,Calc!$AN$2:$AN$124,Calc!$AO$2:$AO$124),MATCH($W163,Calc!$A$2:$A$124,0)),"")</f>
        <v/>
      </c>
      <c r="H163" s="9">
        <f>IF(G163="","",IF(LEFT($X163,1)="H",SQRT(G163*(IFERROR(INDEX(Calc!$AP$2:$AP$124,MATCH($W163,Calc!$A$2:$A$124,0)),0.5)*Config!$B$5+1-IFERROR(INDEX(Calc!$AP$2:$AP$124,MATCH($W163,Calc!$A$2:$A$124,0)),0.5))),SQRT(G163*Config!$B$5)))</f>
        <v/>
      </c>
      <c r="I163" s="8">
        <f>IF(OR(F163="",G163="",N(H163)&lt;=0),"",1-NORMDIST(FLOOR(F163,1)+0.5,G163,H163,TRUE))</f>
        <v/>
      </c>
      <c r="J163" s="8">
        <f>IF(I163="","",NORMDIST(CEILING(F163,1)-0.5,G163,H163,TRUE))</f>
        <v/>
      </c>
      <c r="K163" s="8">
        <f>IF(I163="","",MAX(0,1-I163-J163))</f>
        <v/>
      </c>
      <c r="L163">
        <f>IF(I163="","",IF(I163&gt;=0.5+Config!$B$6,"OVER",IF(J163&gt;=0.5+Config!$B$6,"UNDER","—")))</f>
        <v/>
      </c>
      <c r="M163" t="n">
        <v>31.24</v>
      </c>
      <c r="N163" t="n">
        <v>32.2</v>
      </c>
      <c r="O163" s="8" t="n">
        <v>1</v>
      </c>
      <c r="P163" s="8" t="n">
        <v>0.8</v>
      </c>
      <c r="Q163" s="8" t="n">
        <v>0.67</v>
      </c>
      <c r="R163" t="inlineStr">
        <is>
          <t>-</t>
        </is>
      </c>
      <c r="S163" t="n">
        <v>5</v>
      </c>
      <c r="T163">
        <f>INDEX(Calc!$G$2:$G$124,MATCH($W163,Calc!$A$2:$A$124,0))&amp;" / "&amp;INDEX(Calc!$H$2:$H$124,MATCH($W163,Calc!$A$2:$A$124,0))</f>
        <v/>
      </c>
      <c r="U163">
        <f>TEXT(INDEX(Calc!$J$2:$J$124,MATCH($W163,Calc!$A$2:$A$124,0)),"0.0")&amp;" / "&amp;TEXT(INDEX(Calc!$K$2:$K$124,MATCH($W163,Calc!$A$2:$A$124,0)),"0.0")</f>
        <v/>
      </c>
      <c r="V163">
        <f>IFERROR(INDEX(Calc!$AQ$2:$AQ$124,MATCH($W163,Calc!$A$2:$A$124,0)),"")</f>
        <v/>
      </c>
      <c r="W163" t="inlineStr">
        <is>
          <t>fegzpn598j6etni|CS2 · LGC vs DEN</t>
        </is>
      </c>
      <c r="X163" t="inlineStr">
        <is>
          <t>K12</t>
        </is>
      </c>
      <c r="Y163">
        <f>W163&amp;"|"&amp;X163</f>
        <v/>
      </c>
      <c r="Z163" s="9">
        <f>IFERROR(INDEX(CHOOSE(MATCH($X163,{"K1","K2","K3","K12","K13","H1","H2","H3","H12","H13"},0),Calc!$BA$2:$BA$124,Calc!$BB$2:$BB$124,Calc!$BC$2:$BC$124,Calc!$BD$2:$BD$124,Calc!$BE$2:$BE$124,Calc!$BF$2:$BF$124,Calc!$BG$2:$BG$124,Calc!$BH$2:$BH$124,Calc!$BI$2:$BI$124,Calc!$BJ$2:$BJ$124),MATCH($W163,Calc!$A$2:$A$124,0)),"")</f>
        <v/>
      </c>
      <c r="AA163" s="9">
        <f>IF(Z163="","",IF(LEFT($X163,1)="H",SQRT(Z163*(IFERROR(INDEX(Calc!$AP$2:$AP$124,MATCH($W163,Calc!$A$2:$A$124,0)),0.5)*Config!$B$5+1-IFERROR(INDEX(Calc!$AP$2:$AP$124,MATCH($W163,Calc!$A$2:$A$124,0)),0.5))),SQRT(Z163*Config!$B$5)))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LGC vs DEN</t>
        </is>
      </c>
      <c r="C164" t="inlineStr">
        <is>
          <t>latto</t>
        </is>
      </c>
      <c r="D164" t="inlineStr">
        <is>
          <t>LGC</t>
        </is>
      </c>
      <c r="E164" t="inlineStr">
        <is>
          <t>Maps 1-2 HS</t>
        </is>
      </c>
      <c r="F164" t="n">
        <v>17.5</v>
      </c>
      <c r="G164" s="9">
        <f>IFERROR(INDEX(CHOOSE(MATCH($X164,{"K1","K2","K3","K12","K13","H1","H2","H3","H12","H13"},0),Calc!$V$2:$V$124,Calc!$AC$2:$AC$124,Calc!$AJ$2:$AJ$124,Calc!$AL$2:$AL$124,Calc!$AM$2:$AM$124,Calc!$W$2:$W$124,Calc!$AD$2:$AD$124,Calc!$AK$2:$AK$124,Calc!$AN$2:$AN$124,Calc!$AO$2:$AO$124),MATCH($W164,Calc!$A$2:$A$124,0)),"")</f>
        <v/>
      </c>
      <c r="H164" s="9">
        <f>IF(G164="","",IF(LEFT($X164,1)="H",SQRT(G164*(IFERROR(INDEX(Calc!$AP$2:$AP$124,MATCH($W164,Calc!$A$2:$A$124,0)),0.5)*Config!$B$5+1-IFERROR(INDEX(Calc!$AP$2:$AP$124,MATCH($W164,Calc!$A$2:$A$124,0)),0.5))),SQRT(G164*Config!$B$5)))</f>
        <v/>
      </c>
      <c r="I164" s="8">
        <f>IF(OR(F164="",G164="",N(H164)&lt;=0),"",1-NORMDIST(FLOOR(F164,1)+0.5,G164,H164,TRUE))</f>
        <v/>
      </c>
      <c r="J164" s="8">
        <f>IF(I164="","",NORMDIST(CEILING(F164,1)-0.5,G164,H164,TRUE))</f>
        <v/>
      </c>
      <c r="K164" s="8">
        <f>IF(I164="","",MAX(0,1-I164-J164))</f>
        <v/>
      </c>
      <c r="L164">
        <f>IF(I164="","",IF(I164&gt;=0.5+Config!$B$6,"OVER",IF(J164&gt;=0.5+Config!$B$6,"UNDER","—")))</f>
        <v/>
      </c>
      <c r="N164" t="n">
        <v>18.3</v>
      </c>
      <c r="O164" s="8" t="n">
        <v>0.4</v>
      </c>
      <c r="P164" s="8" t="n">
        <v>0.5</v>
      </c>
      <c r="Q164" s="8" t="n">
        <v>0.53</v>
      </c>
      <c r="R164" t="inlineStr">
        <is>
          <t>-</t>
        </is>
      </c>
      <c r="S164" t="n">
        <v>2</v>
      </c>
      <c r="T164">
        <f>INDEX(Calc!$G$2:$G$124,MATCH($W164,Calc!$A$2:$A$124,0))&amp;" / "&amp;INDEX(Calc!$H$2:$H$124,MATCH($W164,Calc!$A$2:$A$124,0))</f>
        <v/>
      </c>
      <c r="U164">
        <f>TEXT(INDEX(Calc!$J$2:$J$124,MATCH($W164,Calc!$A$2:$A$124,0)),"0.0")&amp;" / "&amp;TEXT(INDEX(Calc!$K$2:$K$124,MATCH($W164,Calc!$A$2:$A$124,0)),"0.0")</f>
        <v/>
      </c>
      <c r="V164">
        <f>IFERROR(INDEX(Calc!$AQ$2:$AQ$124,MATCH($W164,Calc!$A$2:$A$124,0)),"")</f>
        <v/>
      </c>
      <c r="W164" t="inlineStr">
        <is>
          <t>1wpbb1hb0wgcwoh|CS2 · LGC vs DEN</t>
        </is>
      </c>
      <c r="X164" t="inlineStr">
        <is>
          <t>H12</t>
        </is>
      </c>
      <c r="Y164">
        <f>W164&amp;"|"&amp;X164</f>
        <v/>
      </c>
      <c r="Z164" s="9">
        <f>IFERROR(INDEX(CHOOSE(MATCH($X164,{"K1","K2","K3","K12","K13","H1","H2","H3","H12","H13"},0),Calc!$BA$2:$BA$124,Calc!$BB$2:$BB$124,Calc!$BC$2:$BC$124,Calc!$BD$2:$BD$124,Calc!$BE$2:$BE$124,Calc!$BF$2:$BF$124,Calc!$BG$2:$BG$124,Calc!$BH$2:$BH$124,Calc!$BI$2:$BI$124,Calc!$BJ$2:$BJ$124),MATCH($W164,Calc!$A$2:$A$124,0)),"")</f>
        <v/>
      </c>
      <c r="AA164" s="9">
        <f>IF(Z164="","",IF(LEFT($X164,1)="H",SQRT(Z164*(IFERROR(INDEX(Calc!$AP$2:$AP$124,MATCH($W164,Calc!$A$2:$A$124,0)),0.5)*Config!$B$5+1-IFERROR(INDEX(Calc!$AP$2:$AP$124,MATCH($W164,Calc!$A$2:$A$124,0)),0.5))),SQRT(Z164*Config!$B$5)))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LGC vs DEN</t>
        </is>
      </c>
      <c r="C165" t="inlineStr">
        <is>
          <t>latto</t>
        </is>
      </c>
      <c r="D165" t="inlineStr">
        <is>
          <t>LGC</t>
        </is>
      </c>
      <c r="E165" t="inlineStr">
        <is>
          <t>Maps 1-2 Kills</t>
        </is>
      </c>
      <c r="F165" t="n">
        <v>32.5</v>
      </c>
      <c r="G165" s="9">
        <f>IFERROR(INDEX(CHOOSE(MATCH($X165,{"K1","K2","K3","K12","K13","H1","H2","H3","H12","H13"},0),Calc!$V$2:$V$124,Calc!$AC$2:$AC$124,Calc!$AJ$2:$AJ$124,Calc!$AL$2:$AL$124,Calc!$AM$2:$AM$124,Calc!$W$2:$W$124,Calc!$AD$2:$AD$124,Calc!$AK$2:$AK$124,Calc!$AN$2:$AN$124,Calc!$AO$2:$AO$124),MATCH($W165,Calc!$A$2:$A$124,0)),"")</f>
        <v/>
      </c>
      <c r="H165" s="9">
        <f>IF(G165="","",IF(LEFT($X165,1)="H",SQRT(G165*(IFERROR(INDEX(Calc!$AP$2:$AP$124,MATCH($W165,Calc!$A$2:$A$124,0)),0.5)*Config!$B$5+1-IFERROR(INDEX(Calc!$AP$2:$AP$124,MATCH($W165,Calc!$A$2:$A$124,0)),0.5))),SQRT(G165*Config!$B$5)))</f>
        <v/>
      </c>
      <c r="I165" s="8">
        <f>IF(OR(F165="",G165="",N(H165)&lt;=0),"",1-NORMDIST(FLOOR(F165,1)+0.5,G165,H165,TRUE))</f>
        <v/>
      </c>
      <c r="J165" s="8">
        <f>IF(I165="","",NORMDIST(CEILING(F165,1)-0.5,G165,H165,TRUE))</f>
        <v/>
      </c>
      <c r="K165" s="8">
        <f>IF(I165="","",MAX(0,1-I165-J165))</f>
        <v/>
      </c>
      <c r="L165">
        <f>IF(I165="","",IF(I165&gt;=0.5+Config!$B$6,"OVER",IF(J165&gt;=0.5+Config!$B$6,"UNDER","—")))</f>
        <v/>
      </c>
      <c r="M165" t="n">
        <v>31.82</v>
      </c>
      <c r="N165" t="n">
        <v>34.8</v>
      </c>
      <c r="O165" s="8" t="n">
        <v>0.6</v>
      </c>
      <c r="P165" s="8" t="n">
        <v>0.5</v>
      </c>
      <c r="Q165" s="8" t="n">
        <v>0.47</v>
      </c>
      <c r="R165" t="inlineStr">
        <is>
          <t>-</t>
        </is>
      </c>
      <c r="S165" t="n">
        <v>2</v>
      </c>
      <c r="T165">
        <f>INDEX(Calc!$G$2:$G$124,MATCH($W165,Calc!$A$2:$A$124,0))&amp;" / "&amp;INDEX(Calc!$H$2:$H$124,MATCH($W165,Calc!$A$2:$A$124,0))</f>
        <v/>
      </c>
      <c r="U165">
        <f>TEXT(INDEX(Calc!$J$2:$J$124,MATCH($W165,Calc!$A$2:$A$124,0)),"0.0")&amp;" / "&amp;TEXT(INDEX(Calc!$K$2:$K$124,MATCH($W165,Calc!$A$2:$A$124,0)),"0.0")</f>
        <v/>
      </c>
      <c r="V165">
        <f>IFERROR(INDEX(Calc!$AQ$2:$AQ$124,MATCH($W165,Calc!$A$2:$A$124,0)),"")</f>
        <v/>
      </c>
      <c r="W165" t="inlineStr">
        <is>
          <t>1wpbb1hb0wgcwoh|CS2 · LGC vs DEN</t>
        </is>
      </c>
      <c r="X165" t="inlineStr">
        <is>
          <t>K12</t>
        </is>
      </c>
      <c r="Y165">
        <f>W165&amp;"|"&amp;X165</f>
        <v/>
      </c>
      <c r="Z165" s="9">
        <f>IFERROR(INDEX(CHOOSE(MATCH($X165,{"K1","K2","K3","K12","K13","H1","H2","H3","H12","H13"},0),Calc!$BA$2:$BA$124,Calc!$BB$2:$BB$124,Calc!$BC$2:$BC$124,Calc!$BD$2:$BD$124,Calc!$BE$2:$BE$124,Calc!$BF$2:$BF$124,Calc!$BG$2:$BG$124,Calc!$BH$2:$BH$124,Calc!$BI$2:$BI$124,Calc!$BJ$2:$BJ$124),MATCH($W165,Calc!$A$2:$A$124,0)),"")</f>
        <v/>
      </c>
      <c r="AA165" s="9">
        <f>IF(Z165="","",IF(LEFT($X165,1)="H",SQRT(Z165*(IFERROR(INDEX(Calc!$AP$2:$AP$124,MATCH($W165,Calc!$A$2:$A$124,0)),0.5)*Config!$B$5+1-IFERROR(INDEX(Calc!$AP$2:$AP$124,MATCH($W165,Calc!$A$2:$A$124,0)),0.5))),SQRT(Z165*Config!$B$5)))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LGC vs DEN</t>
        </is>
      </c>
      <c r="C166" t="inlineStr">
        <is>
          <t>n1ssim</t>
        </is>
      </c>
      <c r="D166" t="inlineStr">
        <is>
          <t>LGC</t>
        </is>
      </c>
      <c r="E166" t="inlineStr">
        <is>
          <t>Maps 1-2 HS</t>
        </is>
      </c>
      <c r="F166" t="n">
        <v>14.5</v>
      </c>
      <c r="G166" s="9">
        <f>IFERROR(INDEX(CHOOSE(MATCH($X166,{"K1","K2","K3","K12","K13","H1","H2","H3","H12","H13"},0),Calc!$V$2:$V$124,Calc!$AC$2:$AC$124,Calc!$AJ$2:$AJ$124,Calc!$AL$2:$AL$124,Calc!$AM$2:$AM$124,Calc!$W$2:$W$124,Calc!$AD$2:$AD$124,Calc!$AK$2:$AK$124,Calc!$AN$2:$AN$124,Calc!$AO$2:$AO$124),MATCH($W166,Calc!$A$2:$A$124,0)),"")</f>
        <v/>
      </c>
      <c r="H166" s="9">
        <f>IF(G166="","",IF(LEFT($X166,1)="H",SQRT(G166*(IFERROR(INDEX(Calc!$AP$2:$AP$124,MATCH($W166,Calc!$A$2:$A$124,0)),0.5)*Config!$B$5+1-IFERROR(INDEX(Calc!$AP$2:$AP$124,MATCH($W166,Calc!$A$2:$A$124,0)),0.5))),SQRT(G166*Config!$B$5)))</f>
        <v/>
      </c>
      <c r="I166" s="8">
        <f>IF(OR(F166="",G166="",N(H166)&lt;=0),"",1-NORMDIST(FLOOR(F166,1)+0.5,G166,H166,TRUE))</f>
        <v/>
      </c>
      <c r="J166" s="8">
        <f>IF(I166="","",NORMDIST(CEILING(F166,1)-0.5,G166,H166,TRUE))</f>
        <v/>
      </c>
      <c r="K166" s="8">
        <f>IF(I166="","",MAX(0,1-I166-J166))</f>
        <v/>
      </c>
      <c r="L166">
        <f>IF(I166="","",IF(I166&gt;=0.5+Config!$B$6,"OVER",IF(J166&gt;=0.5+Config!$B$6,"UNDER","—")))</f>
        <v/>
      </c>
      <c r="N166" t="n">
        <v>14.9</v>
      </c>
      <c r="O166" s="8" t="n">
        <v>0.4</v>
      </c>
      <c r="P166" s="8" t="n">
        <v>0.5</v>
      </c>
      <c r="Q166" s="8" t="n">
        <v>0.6</v>
      </c>
      <c r="R166" t="inlineStr">
        <is>
          <t>-</t>
        </is>
      </c>
      <c r="S166" t="n">
        <v>2</v>
      </c>
      <c r="T166">
        <f>INDEX(Calc!$G$2:$G$124,MATCH($W166,Calc!$A$2:$A$124,0))&amp;" / "&amp;INDEX(Calc!$H$2:$H$124,MATCH($W166,Calc!$A$2:$A$124,0))</f>
        <v/>
      </c>
      <c r="U166">
        <f>TEXT(INDEX(Calc!$J$2:$J$124,MATCH($W166,Calc!$A$2:$A$124,0)),"0.0")&amp;" / "&amp;TEXT(INDEX(Calc!$K$2:$K$124,MATCH($W166,Calc!$A$2:$A$124,0)),"0.0")</f>
        <v/>
      </c>
      <c r="V166">
        <f>IFERROR(INDEX(Calc!$AQ$2:$AQ$124,MATCH($W166,Calc!$A$2:$A$124,0)),"")</f>
        <v/>
      </c>
      <c r="W166" t="inlineStr">
        <is>
          <t>wgxwl9snnyzsfwq|CS2 · LGC vs DEN</t>
        </is>
      </c>
      <c r="X166" t="inlineStr">
        <is>
          <t>H12</t>
        </is>
      </c>
      <c r="Y166">
        <f>W166&amp;"|"&amp;X166</f>
        <v/>
      </c>
      <c r="Z166" s="9">
        <f>IFERROR(INDEX(CHOOSE(MATCH($X166,{"K1","K2","K3","K12","K13","H1","H2","H3","H12","H13"},0),Calc!$BA$2:$BA$124,Calc!$BB$2:$BB$124,Calc!$BC$2:$BC$124,Calc!$BD$2:$BD$124,Calc!$BE$2:$BE$124,Calc!$BF$2:$BF$124,Calc!$BG$2:$BG$124,Calc!$BH$2:$BH$124,Calc!$BI$2:$BI$124,Calc!$BJ$2:$BJ$124),MATCH($W166,Calc!$A$2:$A$124,0)),"")</f>
        <v/>
      </c>
      <c r="AA166" s="9">
        <f>IF(Z166="","",IF(LEFT($X166,1)="H",SQRT(Z166*(IFERROR(INDEX(Calc!$AP$2:$AP$124,MATCH($W166,Calc!$A$2:$A$124,0)),0.5)*Config!$B$5+1-IFERROR(INDEX(Calc!$AP$2:$AP$124,MATCH($W166,Calc!$A$2:$A$124,0)),0.5))),SQRT(Z166*Config!$B$5)))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LGC vs DEN</t>
        </is>
      </c>
      <c r="C167" t="inlineStr">
        <is>
          <t>n1ssim</t>
        </is>
      </c>
      <c r="D167" t="inlineStr">
        <is>
          <t>LGC</t>
        </is>
      </c>
      <c r="E167" t="inlineStr">
        <is>
          <t>Maps 1-2 Kills</t>
        </is>
      </c>
      <c r="F167" t="n">
        <v>27.5</v>
      </c>
      <c r="G167" s="9">
        <f>IFERROR(INDEX(CHOOSE(MATCH($X167,{"K1","K2","K3","K12","K13","H1","H2","H3","H12","H13"},0),Calc!$V$2:$V$124,Calc!$AC$2:$AC$124,Calc!$AJ$2:$AJ$124,Calc!$AL$2:$AL$124,Calc!$AM$2:$AM$124,Calc!$W$2:$W$124,Calc!$AD$2:$AD$124,Calc!$AK$2:$AK$124,Calc!$AN$2:$AN$124,Calc!$AO$2:$AO$124),MATCH($W167,Calc!$A$2:$A$124,0)),"")</f>
        <v/>
      </c>
      <c r="H167" s="9">
        <f>IF(G167="","",IF(LEFT($X167,1)="H",SQRT(G167*(IFERROR(INDEX(Calc!$AP$2:$AP$124,MATCH($W167,Calc!$A$2:$A$124,0)),0.5)*Config!$B$5+1-IFERROR(INDEX(Calc!$AP$2:$AP$124,MATCH($W167,Calc!$A$2:$A$124,0)),0.5))),SQRT(G167*Config!$B$5)))</f>
        <v/>
      </c>
      <c r="I167" s="8">
        <f>IF(OR(F167="",G167="",N(H167)&lt;=0),"",1-NORMDIST(FLOOR(F167,1)+0.5,G167,H167,TRUE))</f>
        <v/>
      </c>
      <c r="J167" s="8">
        <f>IF(I167="","",NORMDIST(CEILING(F167,1)-0.5,G167,H167,TRUE))</f>
        <v/>
      </c>
      <c r="K167" s="8">
        <f>IF(I167="","",MAX(0,1-I167-J167))</f>
        <v/>
      </c>
      <c r="L167">
        <f>IF(I167="","",IF(I167&gt;=0.5+Config!$B$6,"OVER",IF(J167&gt;=0.5+Config!$B$6,"UNDER","—")))</f>
        <v/>
      </c>
      <c r="M167" t="n">
        <v>27.54</v>
      </c>
      <c r="N167" t="n">
        <v>29.9</v>
      </c>
      <c r="O167" s="8" t="n">
        <v>0.8</v>
      </c>
      <c r="P167" s="8" t="n">
        <v>0.7</v>
      </c>
      <c r="Q167" s="8" t="n">
        <v>0.67</v>
      </c>
      <c r="R167" t="inlineStr">
        <is>
          <t>-</t>
        </is>
      </c>
      <c r="S167" t="n">
        <v>2</v>
      </c>
      <c r="T167">
        <f>INDEX(Calc!$G$2:$G$124,MATCH($W167,Calc!$A$2:$A$124,0))&amp;" / "&amp;INDEX(Calc!$H$2:$H$124,MATCH($W167,Calc!$A$2:$A$124,0))</f>
        <v/>
      </c>
      <c r="U167">
        <f>TEXT(INDEX(Calc!$J$2:$J$124,MATCH($W167,Calc!$A$2:$A$124,0)),"0.0")&amp;" / "&amp;TEXT(INDEX(Calc!$K$2:$K$124,MATCH($W167,Calc!$A$2:$A$124,0)),"0.0")</f>
        <v/>
      </c>
      <c r="V167">
        <f>IFERROR(INDEX(Calc!$AQ$2:$AQ$124,MATCH($W167,Calc!$A$2:$A$124,0)),"")</f>
        <v/>
      </c>
      <c r="W167" t="inlineStr">
        <is>
          <t>wgxwl9snnyzsfwq|CS2 · LGC vs DEN</t>
        </is>
      </c>
      <c r="X167" t="inlineStr">
        <is>
          <t>K12</t>
        </is>
      </c>
      <c r="Y167">
        <f>W167&amp;"|"&amp;X167</f>
        <v/>
      </c>
      <c r="Z167" s="9">
        <f>IFERROR(INDEX(CHOOSE(MATCH($X167,{"K1","K2","K3","K12","K13","H1","H2","H3","H12","H13"},0),Calc!$BA$2:$BA$124,Calc!$BB$2:$BB$124,Calc!$BC$2:$BC$124,Calc!$BD$2:$BD$124,Calc!$BE$2:$BE$124,Calc!$BF$2:$BF$124,Calc!$BG$2:$BG$124,Calc!$BH$2:$BH$124,Calc!$BI$2:$BI$124,Calc!$BJ$2:$BJ$124),MATCH($W167,Calc!$A$2:$A$124,0)),"")</f>
        <v/>
      </c>
      <c r="AA167" s="9">
        <f>IF(Z167="","",IF(LEFT($X167,1)="H",SQRT(Z167*(IFERROR(INDEX(Calc!$AP$2:$AP$124,MATCH($W167,Calc!$A$2:$A$124,0)),0.5)*Config!$B$5+1-IFERROR(INDEX(Calc!$AP$2:$AP$124,MATCH($W167,Calc!$A$2:$A$124,0)),0.5))),SQRT(Z167*Config!$B$5)))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LGC vs DEN</t>
        </is>
      </c>
      <c r="C168" t="inlineStr">
        <is>
          <t>try</t>
        </is>
      </c>
      <c r="D168" t="inlineStr">
        <is>
          <t>LGC</t>
        </is>
      </c>
      <c r="E168" t="inlineStr">
        <is>
          <t>Maps 1-2 HS</t>
        </is>
      </c>
      <c r="F168" t="n">
        <v>11</v>
      </c>
      <c r="G168" s="9">
        <f>IFERROR(INDEX(CHOOSE(MATCH($X168,{"K1","K2","K3","K12","K13","H1","H2","H3","H12","H13"},0),Calc!$V$2:$V$124,Calc!$AC$2:$AC$124,Calc!$AJ$2:$AJ$124,Calc!$AL$2:$AL$124,Calc!$AM$2:$AM$124,Calc!$W$2:$W$124,Calc!$AD$2:$AD$124,Calc!$AK$2:$AK$124,Calc!$AN$2:$AN$124,Calc!$AO$2:$AO$124),MATCH($W168,Calc!$A$2:$A$124,0)),"")</f>
        <v/>
      </c>
      <c r="H168" s="9">
        <f>IF(G168="","",IF(LEFT($X168,1)="H",SQRT(G168*(IFERROR(INDEX(Calc!$AP$2:$AP$124,MATCH($W168,Calc!$A$2:$A$124,0)),0.5)*Config!$B$5+1-IFERROR(INDEX(Calc!$AP$2:$AP$124,MATCH($W168,Calc!$A$2:$A$124,0)),0.5))),SQRT(G168*Config!$B$5)))</f>
        <v/>
      </c>
      <c r="I168" s="8">
        <f>IF(OR(F168="",G168="",N(H168)&lt;=0),"",1-NORMDIST(FLOOR(F168,1)+0.5,G168,H168,TRUE))</f>
        <v/>
      </c>
      <c r="J168" s="8">
        <f>IF(I168="","",NORMDIST(CEILING(F168,1)-0.5,G168,H168,TRUE))</f>
        <v/>
      </c>
      <c r="K168" s="8">
        <f>IF(I168="","",MAX(0,1-I168-J168))</f>
        <v/>
      </c>
      <c r="L168">
        <f>IF(I168="","",IF(I168&gt;=0.5+Config!$B$6,"OVER",IF(J168&gt;=0.5+Config!$B$6,"UNDER","—")))</f>
        <v/>
      </c>
      <c r="N168" t="n">
        <v>10.6</v>
      </c>
      <c r="O168" s="8" t="n">
        <v>0.8</v>
      </c>
      <c r="P168" s="8" t="n">
        <v>0.6</v>
      </c>
      <c r="Q168" s="8" t="n">
        <v>0.53</v>
      </c>
      <c r="R168" t="inlineStr">
        <is>
          <t>-</t>
        </is>
      </c>
      <c r="S168" t="n">
        <v>2</v>
      </c>
      <c r="T168">
        <f>INDEX(Calc!$G$2:$G$124,MATCH($W168,Calc!$A$2:$A$124,0))&amp;" / "&amp;INDEX(Calc!$H$2:$H$124,MATCH($W168,Calc!$A$2:$A$124,0))</f>
        <v/>
      </c>
      <c r="U168">
        <f>TEXT(INDEX(Calc!$J$2:$J$124,MATCH($W168,Calc!$A$2:$A$124,0)),"0.0")&amp;" / "&amp;TEXT(INDEX(Calc!$K$2:$K$124,MATCH($W168,Calc!$A$2:$A$124,0)),"0.0")</f>
        <v/>
      </c>
      <c r="V168">
        <f>IFERROR(INDEX(Calc!$AQ$2:$AQ$124,MATCH($W168,Calc!$A$2:$A$124,0)),"")</f>
        <v/>
      </c>
      <c r="W168" t="inlineStr">
        <is>
          <t>qtomd625i03qfpk|CS2 · LGC vs DEN</t>
        </is>
      </c>
      <c r="X168" t="inlineStr">
        <is>
          <t>H12</t>
        </is>
      </c>
      <c r="Y168">
        <f>W168&amp;"|"&amp;X168</f>
        <v/>
      </c>
      <c r="Z168" s="9">
        <f>IFERROR(INDEX(CHOOSE(MATCH($X168,{"K1","K2","K3","K12","K13","H1","H2","H3","H12","H13"},0),Calc!$BA$2:$BA$124,Calc!$BB$2:$BB$124,Calc!$BC$2:$BC$124,Calc!$BD$2:$BD$124,Calc!$BE$2:$BE$124,Calc!$BF$2:$BF$124,Calc!$BG$2:$BG$124,Calc!$BH$2:$BH$124,Calc!$BI$2:$BI$124,Calc!$BJ$2:$BJ$124),MATCH($W168,Calc!$A$2:$A$124,0)),"")</f>
        <v/>
      </c>
      <c r="AA168" s="9">
        <f>IF(Z168="","",IF(LEFT($X168,1)="H",SQRT(Z168*(IFERROR(INDEX(Calc!$AP$2:$AP$124,MATCH($W168,Calc!$A$2:$A$124,0)),0.5)*Config!$B$5+1-IFERROR(INDEX(Calc!$AP$2:$AP$124,MATCH($W168,Calc!$A$2:$A$124,0)),0.5))),SQRT(Z168*Config!$B$5)))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LGC vs DEN</t>
        </is>
      </c>
      <c r="C169" t="inlineStr">
        <is>
          <t>try</t>
        </is>
      </c>
      <c r="D169" t="inlineStr">
        <is>
          <t>LGC</t>
        </is>
      </c>
      <c r="E169" t="inlineStr">
        <is>
          <t>Maps 1-2 Kills</t>
        </is>
      </c>
      <c r="F169" t="n">
        <v>32</v>
      </c>
      <c r="G169" s="9">
        <f>IFERROR(INDEX(CHOOSE(MATCH($X169,{"K1","K2","K3","K12","K13","H1","H2","H3","H12","H13"},0),Calc!$V$2:$V$124,Calc!$AC$2:$AC$124,Calc!$AJ$2:$AJ$124,Calc!$AL$2:$AL$124,Calc!$AM$2:$AM$124,Calc!$W$2:$W$124,Calc!$AD$2:$AD$124,Calc!$AK$2:$AK$124,Calc!$AN$2:$AN$124,Calc!$AO$2:$AO$124),MATCH($W169,Calc!$A$2:$A$124,0)),"")</f>
        <v/>
      </c>
      <c r="H169" s="9">
        <f>IF(G169="","",IF(LEFT($X169,1)="H",SQRT(G169*(IFERROR(INDEX(Calc!$AP$2:$AP$124,MATCH($W169,Calc!$A$2:$A$124,0)),0.5)*Config!$B$5+1-IFERROR(INDEX(Calc!$AP$2:$AP$124,MATCH($W169,Calc!$A$2:$A$124,0)),0.5))),SQRT(G169*Config!$B$5)))</f>
        <v/>
      </c>
      <c r="I169" s="8">
        <f>IF(OR(F169="",G169="",N(H169)&lt;=0),"",1-NORMDIST(FLOOR(F169,1)+0.5,G169,H169,TRUE))</f>
        <v/>
      </c>
      <c r="J169" s="8">
        <f>IF(I169="","",NORMDIST(CEILING(F169,1)-0.5,G169,H169,TRUE))</f>
        <v/>
      </c>
      <c r="K169" s="8">
        <f>IF(I169="","",MAX(0,1-I169-J169))</f>
        <v/>
      </c>
      <c r="L169">
        <f>IF(I169="","",IF(I169&gt;=0.5+Config!$B$6,"OVER",IF(J169&gt;=0.5+Config!$B$6,"UNDER","—")))</f>
        <v/>
      </c>
      <c r="M169" t="n">
        <v>31.24</v>
      </c>
      <c r="N169" t="n">
        <v>33.6</v>
      </c>
      <c r="O169" s="8" t="n">
        <v>0.6</v>
      </c>
      <c r="P169" s="8" t="n">
        <v>0.4</v>
      </c>
      <c r="Q169" s="8" t="n">
        <v>0.47</v>
      </c>
      <c r="R169" t="inlineStr">
        <is>
          <t>-</t>
        </is>
      </c>
      <c r="S169" t="n">
        <v>2</v>
      </c>
      <c r="T169">
        <f>INDEX(Calc!$G$2:$G$124,MATCH($W169,Calc!$A$2:$A$124,0))&amp;" / "&amp;INDEX(Calc!$H$2:$H$124,MATCH($W169,Calc!$A$2:$A$124,0))</f>
        <v/>
      </c>
      <c r="U169">
        <f>TEXT(INDEX(Calc!$J$2:$J$124,MATCH($W169,Calc!$A$2:$A$124,0)),"0.0")&amp;" / "&amp;TEXT(INDEX(Calc!$K$2:$K$124,MATCH($W169,Calc!$A$2:$A$124,0)),"0.0")</f>
        <v/>
      </c>
      <c r="V169">
        <f>IFERROR(INDEX(Calc!$AQ$2:$AQ$124,MATCH($W169,Calc!$A$2:$A$124,0)),"")</f>
        <v/>
      </c>
      <c r="W169" t="inlineStr">
        <is>
          <t>qtomd625i03qfpk|CS2 · LGC vs DEN</t>
        </is>
      </c>
      <c r="X169" t="inlineStr">
        <is>
          <t>K12</t>
        </is>
      </c>
      <c r="Y169">
        <f>W169&amp;"|"&amp;X169</f>
        <v/>
      </c>
      <c r="Z169" s="9">
        <f>IFERROR(INDEX(CHOOSE(MATCH($X169,{"K1","K2","K3","K12","K13","H1","H2","H3","H12","H13"},0),Calc!$BA$2:$BA$124,Calc!$BB$2:$BB$124,Calc!$BC$2:$BC$124,Calc!$BD$2:$BD$124,Calc!$BE$2:$BE$124,Calc!$BF$2:$BF$124,Calc!$BG$2:$BG$124,Calc!$BH$2:$BH$124,Calc!$BI$2:$BI$124,Calc!$BJ$2:$BJ$124),MATCH($W169,Calc!$A$2:$A$124,0)),"")</f>
        <v/>
      </c>
      <c r="AA169" s="9">
        <f>IF(Z169="","",IF(LEFT($X169,1)="H",SQRT(Z169*(IFERROR(INDEX(Calc!$AP$2:$AP$124,MATCH($W169,Calc!$A$2:$A$124,0)),0.5)*Config!$B$5+1-IFERROR(INDEX(Calc!$AP$2:$AP$124,MATCH($W169,Calc!$A$2:$A$124,0)),0.5))),SQRT(Z169*Config!$B$5)))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MOUZ vs 9z</t>
        </is>
      </c>
      <c r="C170" t="inlineStr">
        <is>
          <t>dgt</t>
        </is>
      </c>
      <c r="D170" t="inlineStr">
        <is>
          <t>9z</t>
        </is>
      </c>
      <c r="E170" t="inlineStr">
        <is>
          <t>Maps 1-2 Kills</t>
        </is>
      </c>
      <c r="F170" t="n">
        <v>29</v>
      </c>
      <c r="G170" s="9">
        <f>IFERROR(INDEX(CHOOSE(MATCH($X170,{"K1","K2","K3","K12","K13","H1","H2","H3","H12","H13"},0),Calc!$V$2:$V$124,Calc!$AC$2:$AC$124,Calc!$AJ$2:$AJ$124,Calc!$AL$2:$AL$124,Calc!$AM$2:$AM$124,Calc!$W$2:$W$124,Calc!$AD$2:$AD$124,Calc!$AK$2:$AK$124,Calc!$AN$2:$AN$124,Calc!$AO$2:$AO$124),MATCH($W170,Calc!$A$2:$A$124,0)),"")</f>
        <v/>
      </c>
      <c r="H170" s="9">
        <f>IF(G170="","",IF(LEFT($X170,1)="H",SQRT(G170*(IFERROR(INDEX(Calc!$AP$2:$AP$124,MATCH($W170,Calc!$A$2:$A$124,0)),0.5)*Config!$B$5+1-IFERROR(INDEX(Calc!$AP$2:$AP$124,MATCH($W170,Calc!$A$2:$A$124,0)),0.5))),SQRT(G170*Config!$B$5)))</f>
        <v/>
      </c>
      <c r="I170" s="8">
        <f>IF(OR(F170="",G170="",N(H170)&lt;=0),"",1-NORMDIST(FLOOR(F170,1)+0.5,G170,H170,TRUE))</f>
        <v/>
      </c>
      <c r="J170" s="8">
        <f>IF(I170="","",NORMDIST(CEILING(F170,1)-0.5,G170,H170,TRUE))</f>
        <v/>
      </c>
      <c r="K170" s="8">
        <f>IF(I170="","",MAX(0,1-I170-J170))</f>
        <v/>
      </c>
      <c r="L170">
        <f>IF(I170="","",IF(I170&gt;=0.5+Config!$B$6,"OVER",IF(J170&gt;=0.5+Config!$B$6,"UNDER","—")))</f>
        <v/>
      </c>
      <c r="M170" t="n">
        <v>27.69</v>
      </c>
      <c r="N170" t="n">
        <v>28.9</v>
      </c>
      <c r="O170" s="8" t="n">
        <v>0.4</v>
      </c>
      <c r="P170" s="8" t="n">
        <v>0.5</v>
      </c>
      <c r="Q170" s="8" t="n">
        <v>0.53</v>
      </c>
      <c r="R170" t="inlineStr">
        <is>
          <t>50%/2/4</t>
        </is>
      </c>
      <c r="S170" t="n">
        <v>1</v>
      </c>
      <c r="T170">
        <f>INDEX(Calc!$G$2:$G$124,MATCH($W170,Calc!$A$2:$A$124,0))&amp;" / "&amp;INDEX(Calc!$H$2:$H$124,MATCH($W170,Calc!$A$2:$A$124,0))</f>
        <v/>
      </c>
      <c r="U170">
        <f>TEXT(INDEX(Calc!$J$2:$J$124,MATCH($W170,Calc!$A$2:$A$124,0)),"0.0")&amp;" / "&amp;TEXT(INDEX(Calc!$K$2:$K$124,MATCH($W170,Calc!$A$2:$A$124,0)),"0.0")</f>
        <v/>
      </c>
      <c r="V170">
        <f>IFERROR(INDEX(Calc!$AQ$2:$AQ$124,MATCH($W170,Calc!$A$2:$A$124,0)),"")</f>
        <v/>
      </c>
      <c r="W170" t="inlineStr">
        <is>
          <t>id2uf5ot80ms5oo|CS2 · MOUZ vs 9z</t>
        </is>
      </c>
      <c r="X170" t="inlineStr">
        <is>
          <t>K12</t>
        </is>
      </c>
      <c r="Y170">
        <f>W170&amp;"|"&amp;X170</f>
        <v/>
      </c>
      <c r="Z170" s="9">
        <f>IFERROR(INDEX(CHOOSE(MATCH($X170,{"K1","K2","K3","K12","K13","H1","H2","H3","H12","H13"},0),Calc!$BA$2:$BA$124,Calc!$BB$2:$BB$124,Calc!$BC$2:$BC$124,Calc!$BD$2:$BD$124,Calc!$BE$2:$BE$124,Calc!$BF$2:$BF$124,Calc!$BG$2:$BG$124,Calc!$BH$2:$BH$124,Calc!$BI$2:$BI$124,Calc!$BJ$2:$BJ$124),MATCH($W170,Calc!$A$2:$A$124,0)),"")</f>
        <v/>
      </c>
      <c r="AA170" s="9">
        <f>IF(Z170="","",IF(LEFT($X170,1)="H",SQRT(Z170*(IFERROR(INDEX(Calc!$AP$2:$AP$124,MATCH($W170,Calc!$A$2:$A$124,0)),0.5)*Config!$B$5+1-IFERROR(INDEX(Calc!$AP$2:$AP$124,MATCH($W170,Calc!$A$2:$A$124,0)),0.5))),SQRT(Z170*Config!$B$5)))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MOUZ vs 9z</t>
        </is>
      </c>
      <c r="C171" t="inlineStr">
        <is>
          <t>HUASOPEEK</t>
        </is>
      </c>
      <c r="D171" t="inlineStr">
        <is>
          <t>9z</t>
        </is>
      </c>
      <c r="E171" t="inlineStr">
        <is>
          <t>Maps 1-2 HS</t>
        </is>
      </c>
      <c r="F171" t="n">
        <v>17</v>
      </c>
      <c r="G171" s="9">
        <f>IFERROR(INDEX(CHOOSE(MATCH($X171,{"K1","K2","K3","K12","K13","H1","H2","H3","H12","H13"},0),Calc!$V$2:$V$124,Calc!$AC$2:$AC$124,Calc!$AJ$2:$AJ$124,Calc!$AL$2:$AL$124,Calc!$AM$2:$AM$124,Calc!$W$2:$W$124,Calc!$AD$2:$AD$124,Calc!$AK$2:$AK$124,Calc!$AN$2:$AN$124,Calc!$AO$2:$AO$124),MATCH($W171,Calc!$A$2:$A$124,0)),"")</f>
        <v/>
      </c>
      <c r="H171" s="9">
        <f>IF(G171="","",IF(LEFT($X171,1)="H",SQRT(G171*(IFERROR(INDEX(Calc!$AP$2:$AP$124,MATCH($W171,Calc!$A$2:$A$124,0)),0.5)*Config!$B$5+1-IFERROR(INDEX(Calc!$AP$2:$AP$124,MATCH($W171,Calc!$A$2:$A$124,0)),0.5))),SQRT(G171*Config!$B$5)))</f>
        <v/>
      </c>
      <c r="I171" s="8">
        <f>IF(OR(F171="",G171="",N(H171)&lt;=0),"",1-NORMDIST(FLOOR(F171,1)+0.5,G171,H171,TRUE))</f>
        <v/>
      </c>
      <c r="J171" s="8">
        <f>IF(I171="","",NORMDIST(CEILING(F171,1)-0.5,G171,H171,TRUE))</f>
        <v/>
      </c>
      <c r="K171" s="8">
        <f>IF(I171="","",MAX(0,1-I171-J171))</f>
        <v/>
      </c>
      <c r="L171">
        <f>IF(I171="","",IF(I171&gt;=0.5+Config!$B$6,"OVER",IF(J171&gt;=0.5+Config!$B$6,"UNDER","—")))</f>
        <v/>
      </c>
      <c r="N171" t="n">
        <v>17.6</v>
      </c>
      <c r="O171" s="8" t="n">
        <v>0.4</v>
      </c>
      <c r="P171" s="8" t="n">
        <v>0.5</v>
      </c>
      <c r="Q171" s="8" t="n">
        <v>0.4</v>
      </c>
      <c r="R171" t="inlineStr">
        <is>
          <t>33%/1/3</t>
        </is>
      </c>
      <c r="S171" t="n">
        <v>-1</v>
      </c>
      <c r="T171">
        <f>INDEX(Calc!$G$2:$G$124,MATCH($W171,Calc!$A$2:$A$124,0))&amp;" / "&amp;INDEX(Calc!$H$2:$H$124,MATCH($W171,Calc!$A$2:$A$124,0))</f>
        <v/>
      </c>
      <c r="U171">
        <f>TEXT(INDEX(Calc!$J$2:$J$124,MATCH($W171,Calc!$A$2:$A$124,0)),"0.0")&amp;" / "&amp;TEXT(INDEX(Calc!$K$2:$K$124,MATCH($W171,Calc!$A$2:$A$124,0)),"0.0")</f>
        <v/>
      </c>
      <c r="V171">
        <f>IFERROR(INDEX(Calc!$AQ$2:$AQ$124,MATCH($W171,Calc!$A$2:$A$124,0)),"")</f>
        <v/>
      </c>
      <c r="W171" t="inlineStr">
        <is>
          <t>fg52qcdy7yej5d9|CS2 · MOUZ vs 9z</t>
        </is>
      </c>
      <c r="X171" t="inlineStr">
        <is>
          <t>H12</t>
        </is>
      </c>
      <c r="Y171">
        <f>W171&amp;"|"&amp;X171</f>
        <v/>
      </c>
      <c r="Z171" s="9">
        <f>IFERROR(INDEX(CHOOSE(MATCH($X171,{"K1","K2","K3","K12","K13","H1","H2","H3","H12","H13"},0),Calc!$BA$2:$BA$124,Calc!$BB$2:$BB$124,Calc!$BC$2:$BC$124,Calc!$BD$2:$BD$124,Calc!$BE$2:$BE$124,Calc!$BF$2:$BF$124,Calc!$BG$2:$BG$124,Calc!$BH$2:$BH$124,Calc!$BI$2:$BI$124,Calc!$BJ$2:$BJ$124),MATCH($W171,Calc!$A$2:$A$124,0)),"")</f>
        <v/>
      </c>
      <c r="AA171" s="9">
        <f>IF(Z171="","",IF(LEFT($X171,1)="H",SQRT(Z171*(IFERROR(INDEX(Calc!$AP$2:$AP$124,MATCH($W171,Calc!$A$2:$A$124,0)),0.5)*Config!$B$5+1-IFERROR(INDEX(Calc!$AP$2:$AP$124,MATCH($W171,Calc!$A$2:$A$124,0)),0.5))),SQRT(Z171*Config!$B$5)))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MOUZ vs 9z</t>
        </is>
      </c>
      <c r="C172" t="inlineStr">
        <is>
          <t>HUASOPEEK</t>
        </is>
      </c>
      <c r="D172" t="inlineStr">
        <is>
          <t>9z</t>
        </is>
      </c>
      <c r="E172" t="inlineStr">
        <is>
          <t>Maps 1-2 Kills</t>
        </is>
      </c>
      <c r="F172" t="n">
        <v>27.5</v>
      </c>
      <c r="G172" s="9">
        <f>IFERROR(INDEX(CHOOSE(MATCH($X172,{"K1","K2","K3","K12","K13","H1","H2","H3","H12","H13"},0),Calc!$V$2:$V$124,Calc!$AC$2:$AC$124,Calc!$AJ$2:$AJ$124,Calc!$AL$2:$AL$124,Calc!$AM$2:$AM$124,Calc!$W$2:$W$124,Calc!$AD$2:$AD$124,Calc!$AK$2:$AK$124,Calc!$AN$2:$AN$124,Calc!$AO$2:$AO$124),MATCH($W172,Calc!$A$2:$A$124,0)),"")</f>
        <v/>
      </c>
      <c r="H172" s="9">
        <f>IF(G172="","",IF(LEFT($X172,1)="H",SQRT(G172*(IFERROR(INDEX(Calc!$AP$2:$AP$124,MATCH($W172,Calc!$A$2:$A$124,0)),0.5)*Config!$B$5+1-IFERROR(INDEX(Calc!$AP$2:$AP$124,MATCH($W172,Calc!$A$2:$A$124,0)),0.5))),SQRT(G172*Config!$B$5)))</f>
        <v/>
      </c>
      <c r="I172" s="8">
        <f>IF(OR(F172="",G172="",N(H172)&lt;=0),"",1-NORMDIST(FLOOR(F172,1)+0.5,G172,H172,TRUE))</f>
        <v/>
      </c>
      <c r="J172" s="8">
        <f>IF(I172="","",NORMDIST(CEILING(F172,1)-0.5,G172,H172,TRUE))</f>
        <v/>
      </c>
      <c r="K172" s="8">
        <f>IF(I172="","",MAX(0,1-I172-J172))</f>
        <v/>
      </c>
      <c r="L172">
        <f>IF(I172="","",IF(I172&gt;=0.5+Config!$B$6,"OVER",IF(J172&gt;=0.5+Config!$B$6,"UNDER","—")))</f>
        <v/>
      </c>
      <c r="M172" t="n">
        <v>28.14</v>
      </c>
      <c r="N172" t="n">
        <v>28.6</v>
      </c>
      <c r="O172" s="8" t="n">
        <v>0.8</v>
      </c>
      <c r="P172" s="8" t="n">
        <v>0.8</v>
      </c>
      <c r="Q172" s="8" t="n">
        <v>0.6</v>
      </c>
      <c r="R172" t="inlineStr">
        <is>
          <t>33%/1/3</t>
        </is>
      </c>
      <c r="S172" t="n">
        <v>4</v>
      </c>
      <c r="T172">
        <f>INDEX(Calc!$G$2:$G$124,MATCH($W172,Calc!$A$2:$A$124,0))&amp;" / "&amp;INDEX(Calc!$H$2:$H$124,MATCH($W172,Calc!$A$2:$A$124,0))</f>
        <v/>
      </c>
      <c r="U172">
        <f>TEXT(INDEX(Calc!$J$2:$J$124,MATCH($W172,Calc!$A$2:$A$124,0)),"0.0")&amp;" / "&amp;TEXT(INDEX(Calc!$K$2:$K$124,MATCH($W172,Calc!$A$2:$A$124,0)),"0.0")</f>
        <v/>
      </c>
      <c r="V172">
        <f>IFERROR(INDEX(Calc!$AQ$2:$AQ$124,MATCH($W172,Calc!$A$2:$A$124,0)),"")</f>
        <v/>
      </c>
      <c r="W172" t="inlineStr">
        <is>
          <t>fg52qcdy7yej5d9|CS2 · MOUZ vs 9z</t>
        </is>
      </c>
      <c r="X172" t="inlineStr">
        <is>
          <t>K12</t>
        </is>
      </c>
      <c r="Y172">
        <f>W172&amp;"|"&amp;X172</f>
        <v/>
      </c>
      <c r="Z172" s="9">
        <f>IFERROR(INDEX(CHOOSE(MATCH($X172,{"K1","K2","K3","K12","K13","H1","H2","H3","H12","H13"},0),Calc!$BA$2:$BA$124,Calc!$BB$2:$BB$124,Calc!$BC$2:$BC$124,Calc!$BD$2:$BD$124,Calc!$BE$2:$BE$124,Calc!$BF$2:$BF$124,Calc!$BG$2:$BG$124,Calc!$BH$2:$BH$124,Calc!$BI$2:$BI$124,Calc!$BJ$2:$BJ$124),MATCH($W172,Calc!$A$2:$A$124,0)),"")</f>
        <v/>
      </c>
      <c r="AA172" s="9">
        <f>IF(Z172="","",IF(LEFT($X172,1)="H",SQRT(Z172*(IFERROR(INDEX(Calc!$AP$2:$AP$124,MATCH($W172,Calc!$A$2:$A$124,0)),0.5)*Config!$B$5+1-IFERROR(INDEX(Calc!$AP$2:$AP$124,MATCH($W172,Calc!$A$2:$A$124,0)),0.5))),SQRT(Z172*Config!$B$5)))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MOUZ vs 9z</t>
        </is>
      </c>
      <c r="C173" t="inlineStr">
        <is>
          <t>luchov</t>
        </is>
      </c>
      <c r="D173" t="inlineStr">
        <is>
          <t>9z</t>
        </is>
      </c>
      <c r="E173" t="inlineStr">
        <is>
          <t>Maps 1-2 HS</t>
        </is>
      </c>
      <c r="F173" t="n">
        <v>16.5</v>
      </c>
      <c r="G173" s="9">
        <f>IFERROR(INDEX(CHOOSE(MATCH($X173,{"K1","K2","K3","K12","K13","H1","H2","H3","H12","H13"},0),Calc!$V$2:$V$124,Calc!$AC$2:$AC$124,Calc!$AJ$2:$AJ$124,Calc!$AL$2:$AL$124,Calc!$AM$2:$AM$124,Calc!$W$2:$W$124,Calc!$AD$2:$AD$124,Calc!$AK$2:$AK$124,Calc!$AN$2:$AN$124,Calc!$AO$2:$AO$124),MATCH($W173,Calc!$A$2:$A$124,0)),"")</f>
        <v/>
      </c>
      <c r="H173" s="9">
        <f>IF(G173="","",IF(LEFT($X173,1)="H",SQRT(G173*(IFERROR(INDEX(Calc!$AP$2:$AP$124,MATCH($W173,Calc!$A$2:$A$124,0)),0.5)*Config!$B$5+1-IFERROR(INDEX(Calc!$AP$2:$AP$124,MATCH($W173,Calc!$A$2:$A$124,0)),0.5))),SQRT(G173*Config!$B$5)))</f>
        <v/>
      </c>
      <c r="I173" s="8">
        <f>IF(OR(F173="",G173="",N(H173)&lt;=0),"",1-NORMDIST(FLOOR(F173,1)+0.5,G173,H173,TRUE))</f>
        <v/>
      </c>
      <c r="J173" s="8">
        <f>IF(I173="","",NORMDIST(CEILING(F173,1)-0.5,G173,H173,TRUE))</f>
        <v/>
      </c>
      <c r="K173" s="8">
        <f>IF(I173="","",MAX(0,1-I173-J173))</f>
        <v/>
      </c>
      <c r="L173">
        <f>IF(I173="","",IF(I173&gt;=0.5+Config!$B$6,"OVER",IF(J173&gt;=0.5+Config!$B$6,"UNDER","—")))</f>
        <v/>
      </c>
      <c r="N173" t="n">
        <v>17.2</v>
      </c>
      <c r="O173" s="8" t="n">
        <v>0.6</v>
      </c>
      <c r="P173" s="8" t="n">
        <v>0.6</v>
      </c>
      <c r="Q173" s="8" t="n">
        <v>0.47</v>
      </c>
      <c r="R173" t="inlineStr">
        <is>
          <t>67%/2/3</t>
        </is>
      </c>
      <c r="S173" t="n">
        <v>1</v>
      </c>
      <c r="T173">
        <f>INDEX(Calc!$G$2:$G$124,MATCH($W173,Calc!$A$2:$A$124,0))&amp;" / "&amp;INDEX(Calc!$H$2:$H$124,MATCH($W173,Calc!$A$2:$A$124,0))</f>
        <v/>
      </c>
      <c r="U173">
        <f>TEXT(INDEX(Calc!$J$2:$J$124,MATCH($W173,Calc!$A$2:$A$124,0)),"0.0")&amp;" / "&amp;TEXT(INDEX(Calc!$K$2:$K$124,MATCH($W173,Calc!$A$2:$A$124,0)),"0.0")</f>
        <v/>
      </c>
      <c r="V173">
        <f>IFERROR(INDEX(Calc!$AQ$2:$AQ$124,MATCH($W173,Calc!$A$2:$A$124,0)),"")</f>
        <v/>
      </c>
      <c r="W173" t="inlineStr">
        <is>
          <t>uf3pcvx03g3k6xm|CS2 · MOUZ vs 9z</t>
        </is>
      </c>
      <c r="X173" t="inlineStr">
        <is>
          <t>H12</t>
        </is>
      </c>
      <c r="Y173">
        <f>W173&amp;"|"&amp;X173</f>
        <v/>
      </c>
      <c r="Z173" s="9">
        <f>IFERROR(INDEX(CHOOSE(MATCH($X173,{"K1","K2","K3","K12","K13","H1","H2","H3","H12","H13"},0),Calc!$BA$2:$BA$124,Calc!$BB$2:$BB$124,Calc!$BC$2:$BC$124,Calc!$BD$2:$BD$124,Calc!$BE$2:$BE$124,Calc!$BF$2:$BF$124,Calc!$BG$2:$BG$124,Calc!$BH$2:$BH$124,Calc!$BI$2:$BI$124,Calc!$BJ$2:$BJ$124),MATCH($W173,Calc!$A$2:$A$124,0)),"")</f>
        <v/>
      </c>
      <c r="AA173" s="9">
        <f>IF(Z173="","",IF(LEFT($X173,1)="H",SQRT(Z173*(IFERROR(INDEX(Calc!$AP$2:$AP$124,MATCH($W173,Calc!$A$2:$A$124,0)),0.5)*Config!$B$5+1-IFERROR(INDEX(Calc!$AP$2:$AP$124,MATCH($W173,Calc!$A$2:$A$124,0)),0.5))),SQRT(Z173*Config!$B$5)))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MOUZ vs 9z</t>
        </is>
      </c>
      <c r="C174" t="inlineStr">
        <is>
          <t>luchov</t>
        </is>
      </c>
      <c r="D174" t="inlineStr">
        <is>
          <t>9z</t>
        </is>
      </c>
      <c r="E174" t="inlineStr">
        <is>
          <t>Maps 1-2 Kills</t>
        </is>
      </c>
      <c r="F174" t="n">
        <v>26.5</v>
      </c>
      <c r="G174" s="9">
        <f>IFERROR(INDEX(CHOOSE(MATCH($X174,{"K1","K2","K3","K12","K13","H1","H2","H3","H12","H13"},0),Calc!$V$2:$V$124,Calc!$AC$2:$AC$124,Calc!$AJ$2:$AJ$124,Calc!$AL$2:$AL$124,Calc!$AM$2:$AM$124,Calc!$W$2:$W$124,Calc!$AD$2:$AD$124,Calc!$AK$2:$AK$124,Calc!$AN$2:$AN$124,Calc!$AO$2:$AO$124),MATCH($W174,Calc!$A$2:$A$124,0)),"")</f>
        <v/>
      </c>
      <c r="H174" s="9">
        <f>IF(G174="","",IF(LEFT($X174,1)="H",SQRT(G174*(IFERROR(INDEX(Calc!$AP$2:$AP$124,MATCH($W174,Calc!$A$2:$A$124,0)),0.5)*Config!$B$5+1-IFERROR(INDEX(Calc!$AP$2:$AP$124,MATCH($W174,Calc!$A$2:$A$124,0)),0.5))),SQRT(G174*Config!$B$5)))</f>
        <v/>
      </c>
      <c r="I174" s="8">
        <f>IF(OR(F174="",G174="",N(H174)&lt;=0),"",1-NORMDIST(FLOOR(F174,1)+0.5,G174,H174,TRUE))</f>
        <v/>
      </c>
      <c r="J174" s="8">
        <f>IF(I174="","",NORMDIST(CEILING(F174,1)-0.5,G174,H174,TRUE))</f>
        <v/>
      </c>
      <c r="K174" s="8">
        <f>IF(I174="","",MAX(0,1-I174-J174))</f>
        <v/>
      </c>
      <c r="L174">
        <f>IF(I174="","",IF(I174&gt;=0.5+Config!$B$6,"OVER",IF(J174&gt;=0.5+Config!$B$6,"UNDER","—")))</f>
        <v/>
      </c>
      <c r="M174" t="n">
        <v>27.6</v>
      </c>
      <c r="N174" t="n">
        <v>28.2</v>
      </c>
      <c r="O174" s="8" t="n">
        <v>0.6</v>
      </c>
      <c r="P174" s="8" t="n">
        <v>0.5</v>
      </c>
      <c r="Q174" s="8" t="n">
        <v>0.4</v>
      </c>
      <c r="R174" t="inlineStr">
        <is>
          <t>67%/2/3</t>
        </is>
      </c>
      <c r="S174" t="n">
        <v>1</v>
      </c>
      <c r="T174">
        <f>INDEX(Calc!$G$2:$G$124,MATCH($W174,Calc!$A$2:$A$124,0))&amp;" / "&amp;INDEX(Calc!$H$2:$H$124,MATCH($W174,Calc!$A$2:$A$124,0))</f>
        <v/>
      </c>
      <c r="U174">
        <f>TEXT(INDEX(Calc!$J$2:$J$124,MATCH($W174,Calc!$A$2:$A$124,0)),"0.0")&amp;" / "&amp;TEXT(INDEX(Calc!$K$2:$K$124,MATCH($W174,Calc!$A$2:$A$124,0)),"0.0")</f>
        <v/>
      </c>
      <c r="V174">
        <f>IFERROR(INDEX(Calc!$AQ$2:$AQ$124,MATCH($W174,Calc!$A$2:$A$124,0)),"")</f>
        <v/>
      </c>
      <c r="W174" t="inlineStr">
        <is>
          <t>uf3pcvx03g3k6xm|CS2 · MOUZ vs 9z</t>
        </is>
      </c>
      <c r="X174" t="inlineStr">
        <is>
          <t>K12</t>
        </is>
      </c>
      <c r="Y174">
        <f>W174&amp;"|"&amp;X174</f>
        <v/>
      </c>
      <c r="Z174" s="9">
        <f>IFERROR(INDEX(CHOOSE(MATCH($X174,{"K1","K2","K3","K12","K13","H1","H2","H3","H12","H13"},0),Calc!$BA$2:$BA$124,Calc!$BB$2:$BB$124,Calc!$BC$2:$BC$124,Calc!$BD$2:$BD$124,Calc!$BE$2:$BE$124,Calc!$BF$2:$BF$124,Calc!$BG$2:$BG$124,Calc!$BH$2:$BH$124,Calc!$BI$2:$BI$124,Calc!$BJ$2:$BJ$124),MATCH($W174,Calc!$A$2:$A$124,0)),"")</f>
        <v/>
      </c>
      <c r="AA174" s="9">
        <f>IF(Z174="","",IF(LEFT($X174,1)="H",SQRT(Z174*(IFERROR(INDEX(Calc!$AP$2:$AP$124,MATCH($W174,Calc!$A$2:$A$124,0)),0.5)*Config!$B$5+1-IFERROR(INDEX(Calc!$AP$2:$AP$124,MATCH($W174,Calc!$A$2:$A$124,0)),0.5))),SQRT(Z174*Config!$B$5)))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MOUZ vs 9z</t>
        </is>
      </c>
      <c r="C175" t="inlineStr">
        <is>
          <t>max</t>
        </is>
      </c>
      <c r="D175" t="inlineStr">
        <is>
          <t>9z</t>
        </is>
      </c>
      <c r="E175" t="inlineStr">
        <is>
          <t>Maps 1-2 HS</t>
        </is>
      </c>
      <c r="F175" t="n">
        <v>11.5</v>
      </c>
      <c r="G175" s="9">
        <f>IFERROR(INDEX(CHOOSE(MATCH($X175,{"K1","K2","K3","K12","K13","H1","H2","H3","H12","H13"},0),Calc!$V$2:$V$124,Calc!$AC$2:$AC$124,Calc!$AJ$2:$AJ$124,Calc!$AL$2:$AL$124,Calc!$AM$2:$AM$124,Calc!$W$2:$W$124,Calc!$AD$2:$AD$124,Calc!$AK$2:$AK$124,Calc!$AN$2:$AN$124,Calc!$AO$2:$AO$124),MATCH($W175,Calc!$A$2:$A$124,0)),"")</f>
        <v/>
      </c>
      <c r="H175" s="9">
        <f>IF(G175="","",IF(LEFT($X175,1)="H",SQRT(G175*(IFERROR(INDEX(Calc!$AP$2:$AP$124,MATCH($W175,Calc!$A$2:$A$124,0)),0.5)*Config!$B$5+1-IFERROR(INDEX(Calc!$AP$2:$AP$124,MATCH($W175,Calc!$A$2:$A$124,0)),0.5))),SQRT(G175*Config!$B$5)))</f>
        <v/>
      </c>
      <c r="I175" s="8">
        <f>IF(OR(F175="",G175="",N(H175)&lt;=0),"",1-NORMDIST(FLOOR(F175,1)+0.5,G175,H175,TRUE))</f>
        <v/>
      </c>
      <c r="J175" s="8">
        <f>IF(I175="","",NORMDIST(CEILING(F175,1)-0.5,G175,H175,TRUE))</f>
        <v/>
      </c>
      <c r="K175" s="8">
        <f>IF(I175="","",MAX(0,1-I175-J175))</f>
        <v/>
      </c>
      <c r="L175">
        <f>IF(I175="","",IF(I175&gt;=0.5+Config!$B$6,"OVER",IF(J175&gt;=0.5+Config!$B$6,"UNDER","—")))</f>
        <v/>
      </c>
      <c r="N175" t="n">
        <v>8.9</v>
      </c>
      <c r="O175" s="8" t="n">
        <v>0.2</v>
      </c>
      <c r="P175" s="8" t="n">
        <v>0.3</v>
      </c>
      <c r="Q175" s="8" t="n">
        <v>0.4</v>
      </c>
      <c r="R175" t="inlineStr">
        <is>
          <t>0%/0/3</t>
        </is>
      </c>
      <c r="S175" t="n">
        <v>-3</v>
      </c>
      <c r="T175">
        <f>INDEX(Calc!$G$2:$G$124,MATCH($W175,Calc!$A$2:$A$124,0))&amp;" / "&amp;INDEX(Calc!$H$2:$H$124,MATCH($W175,Calc!$A$2:$A$124,0))</f>
        <v/>
      </c>
      <c r="U175">
        <f>TEXT(INDEX(Calc!$J$2:$J$124,MATCH($W175,Calc!$A$2:$A$124,0)),"0.0")&amp;" / "&amp;TEXT(INDEX(Calc!$K$2:$K$124,MATCH($W175,Calc!$A$2:$A$124,0)),"0.0")</f>
        <v/>
      </c>
      <c r="V175">
        <f>IFERROR(INDEX(Calc!$AQ$2:$AQ$124,MATCH($W175,Calc!$A$2:$A$124,0)),"")</f>
        <v/>
      </c>
      <c r="W175" t="inlineStr">
        <is>
          <t>2l8hxj94mm620bg|CS2 · MOUZ vs 9z</t>
        </is>
      </c>
      <c r="X175" t="inlineStr">
        <is>
          <t>H12</t>
        </is>
      </c>
      <c r="Y175">
        <f>W175&amp;"|"&amp;X175</f>
        <v/>
      </c>
      <c r="Z175" s="9">
        <f>IFERROR(INDEX(CHOOSE(MATCH($X175,{"K1","K2","K3","K12","K13","H1","H2","H3","H12","H13"},0),Calc!$BA$2:$BA$124,Calc!$BB$2:$BB$124,Calc!$BC$2:$BC$124,Calc!$BD$2:$BD$124,Calc!$BE$2:$BE$124,Calc!$BF$2:$BF$124,Calc!$BG$2:$BG$124,Calc!$BH$2:$BH$124,Calc!$BI$2:$BI$124,Calc!$BJ$2:$BJ$124),MATCH($W175,Calc!$A$2:$A$124,0)),"")</f>
        <v/>
      </c>
      <c r="AA175" s="9">
        <f>IF(Z175="","",IF(LEFT($X175,1)="H",SQRT(Z175*(IFERROR(INDEX(Calc!$AP$2:$AP$124,MATCH($W175,Calc!$A$2:$A$124,0)),0.5)*Config!$B$5+1-IFERROR(INDEX(Calc!$AP$2:$AP$124,MATCH($W175,Calc!$A$2:$A$124,0)),0.5))),SQRT(Z175*Config!$B$5)))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MOUZ vs 9z</t>
        </is>
      </c>
      <c r="C176" t="inlineStr">
        <is>
          <t>max</t>
        </is>
      </c>
      <c r="D176" t="inlineStr">
        <is>
          <t>9z</t>
        </is>
      </c>
      <c r="E176" t="inlineStr">
        <is>
          <t>Maps 1-2 Kills</t>
        </is>
      </c>
      <c r="F176" t="n">
        <v>22</v>
      </c>
      <c r="G176" s="9">
        <f>IFERROR(INDEX(CHOOSE(MATCH($X176,{"K1","K2","K3","K12","K13","H1","H2","H3","H12","H13"},0),Calc!$V$2:$V$124,Calc!$AC$2:$AC$124,Calc!$AJ$2:$AJ$124,Calc!$AL$2:$AL$124,Calc!$AM$2:$AM$124,Calc!$W$2:$W$124,Calc!$AD$2:$AD$124,Calc!$AK$2:$AK$124,Calc!$AN$2:$AN$124,Calc!$AO$2:$AO$124),MATCH($W176,Calc!$A$2:$A$124,0)),"")</f>
        <v/>
      </c>
      <c r="H176" s="9">
        <f>IF(G176="","",IF(LEFT($X176,1)="H",SQRT(G176*(IFERROR(INDEX(Calc!$AP$2:$AP$124,MATCH($W176,Calc!$A$2:$A$124,0)),0.5)*Config!$B$5+1-IFERROR(INDEX(Calc!$AP$2:$AP$124,MATCH($W176,Calc!$A$2:$A$124,0)),0.5))),SQRT(G176*Config!$B$5)))</f>
        <v/>
      </c>
      <c r="I176" s="8">
        <f>IF(OR(F176="",G176="",N(H176)&lt;=0),"",1-NORMDIST(FLOOR(F176,1)+0.5,G176,H176,TRUE))</f>
        <v/>
      </c>
      <c r="J176" s="8">
        <f>IF(I176="","",NORMDIST(CEILING(F176,1)-0.5,G176,H176,TRUE))</f>
        <v/>
      </c>
      <c r="K176" s="8">
        <f>IF(I176="","",MAX(0,1-I176-J176))</f>
        <v/>
      </c>
      <c r="L176">
        <f>IF(I176="","",IF(I176&gt;=0.5+Config!$B$6,"OVER",IF(J176&gt;=0.5+Config!$B$6,"UNDER","—")))</f>
        <v/>
      </c>
      <c r="M176" t="n">
        <v>20.79</v>
      </c>
      <c r="N176" t="n">
        <v>19.2</v>
      </c>
      <c r="O176" s="8" t="n">
        <v>0.2</v>
      </c>
      <c r="P176" s="8" t="n">
        <v>0.3</v>
      </c>
      <c r="Q176" s="8" t="n">
        <v>0.4</v>
      </c>
      <c r="R176" t="inlineStr">
        <is>
          <t>0%/0/3</t>
        </is>
      </c>
      <c r="S176" t="n">
        <v>-3</v>
      </c>
      <c r="T176">
        <f>INDEX(Calc!$G$2:$G$124,MATCH($W176,Calc!$A$2:$A$124,0))&amp;" / "&amp;INDEX(Calc!$H$2:$H$124,MATCH($W176,Calc!$A$2:$A$124,0))</f>
        <v/>
      </c>
      <c r="U176">
        <f>TEXT(INDEX(Calc!$J$2:$J$124,MATCH($W176,Calc!$A$2:$A$124,0)),"0.0")&amp;" / "&amp;TEXT(INDEX(Calc!$K$2:$K$124,MATCH($W176,Calc!$A$2:$A$124,0)),"0.0")</f>
        <v/>
      </c>
      <c r="V176">
        <f>IFERROR(INDEX(Calc!$AQ$2:$AQ$124,MATCH($W176,Calc!$A$2:$A$124,0)),"")</f>
        <v/>
      </c>
      <c r="W176" t="inlineStr">
        <is>
          <t>2l8hxj94mm620bg|CS2 · MOUZ vs 9z</t>
        </is>
      </c>
      <c r="X176" t="inlineStr">
        <is>
          <t>K12</t>
        </is>
      </c>
      <c r="Y176">
        <f>W176&amp;"|"&amp;X176</f>
        <v/>
      </c>
      <c r="Z176" s="9">
        <f>IFERROR(INDEX(CHOOSE(MATCH($X176,{"K1","K2","K3","K12","K13","H1","H2","H3","H12","H13"},0),Calc!$BA$2:$BA$124,Calc!$BB$2:$BB$124,Calc!$BC$2:$BC$124,Calc!$BD$2:$BD$124,Calc!$BE$2:$BE$124,Calc!$BF$2:$BF$124,Calc!$BG$2:$BG$124,Calc!$BH$2:$BH$124,Calc!$BI$2:$BI$124,Calc!$BJ$2:$BJ$124),MATCH($W176,Calc!$A$2:$A$124,0)),"")</f>
        <v/>
      </c>
      <c r="AA176" s="9">
        <f>IF(Z176="","",IF(LEFT($X176,1)="H",SQRT(Z176*(IFERROR(INDEX(Calc!$AP$2:$AP$124,MATCH($W176,Calc!$A$2:$A$124,0)),0.5)*Config!$B$5+1-IFERROR(INDEX(Calc!$AP$2:$AP$124,MATCH($W176,Calc!$A$2:$A$124,0)),0.5))),SQRT(Z176*Config!$B$5)))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MOUZ vs 9z</t>
        </is>
      </c>
      <c r="C177" t="inlineStr">
        <is>
          <t>meyern</t>
        </is>
      </c>
      <c r="D177" t="inlineStr">
        <is>
          <t>9z</t>
        </is>
      </c>
      <c r="E177" t="inlineStr">
        <is>
          <t>Maps 1-2 HS</t>
        </is>
      </c>
      <c r="F177" t="n">
        <v>10.5</v>
      </c>
      <c r="G177" s="9">
        <f>IFERROR(INDEX(CHOOSE(MATCH($X177,{"K1","K2","K3","K12","K13","H1","H2","H3","H12","H13"},0),Calc!$V$2:$V$124,Calc!$AC$2:$AC$124,Calc!$AJ$2:$AJ$124,Calc!$AL$2:$AL$124,Calc!$AM$2:$AM$124,Calc!$W$2:$W$124,Calc!$AD$2:$AD$124,Calc!$AK$2:$AK$124,Calc!$AN$2:$AN$124,Calc!$AO$2:$AO$124),MATCH($W177,Calc!$A$2:$A$124,0)),"")</f>
        <v/>
      </c>
      <c r="H177" s="9">
        <f>IF(G177="","",IF(LEFT($X177,1)="H",SQRT(G177*(IFERROR(INDEX(Calc!$AP$2:$AP$124,MATCH($W177,Calc!$A$2:$A$124,0)),0.5)*Config!$B$5+1-IFERROR(INDEX(Calc!$AP$2:$AP$124,MATCH($W177,Calc!$A$2:$A$124,0)),0.5))),SQRT(G177*Config!$B$5)))</f>
        <v/>
      </c>
      <c r="I177" s="8">
        <f>IF(OR(F177="",G177="",N(H177)&lt;=0),"",1-NORMDIST(FLOOR(F177,1)+0.5,G177,H177,TRUE))</f>
        <v/>
      </c>
      <c r="J177" s="8">
        <f>IF(I177="","",NORMDIST(CEILING(F177,1)-0.5,G177,H177,TRUE))</f>
        <v/>
      </c>
      <c r="K177" s="8">
        <f>IF(I177="","",MAX(0,1-I177-J177))</f>
        <v/>
      </c>
      <c r="L177">
        <f>IF(I177="","",IF(I177&gt;=0.5+Config!$B$6,"OVER",IF(J177&gt;=0.5+Config!$B$6,"UNDER","—")))</f>
        <v/>
      </c>
      <c r="N177" t="n">
        <v>8.699999999999999</v>
      </c>
      <c r="O177" s="8" t="n">
        <v>0.4</v>
      </c>
      <c r="P177" s="8" t="n">
        <v>0.3</v>
      </c>
      <c r="Q177" s="8" t="n">
        <v>0.27</v>
      </c>
      <c r="R177" t="inlineStr">
        <is>
          <t>33%/1/3</t>
        </is>
      </c>
      <c r="S177" t="n">
        <v>-2</v>
      </c>
      <c r="T177">
        <f>INDEX(Calc!$G$2:$G$124,MATCH($W177,Calc!$A$2:$A$124,0))&amp;" / "&amp;INDEX(Calc!$H$2:$H$124,MATCH($W177,Calc!$A$2:$A$124,0))</f>
        <v/>
      </c>
      <c r="U177">
        <f>TEXT(INDEX(Calc!$J$2:$J$124,MATCH($W177,Calc!$A$2:$A$124,0)),"0.0")&amp;" / "&amp;TEXT(INDEX(Calc!$K$2:$K$124,MATCH($W177,Calc!$A$2:$A$124,0)),"0.0")</f>
        <v/>
      </c>
      <c r="V177">
        <f>IFERROR(INDEX(Calc!$AQ$2:$AQ$124,MATCH($W177,Calc!$A$2:$A$124,0)),"")</f>
        <v/>
      </c>
      <c r="W177" t="inlineStr">
        <is>
          <t>pumzitjp9bsniic|CS2 · MOUZ vs 9z</t>
        </is>
      </c>
      <c r="X177" t="inlineStr">
        <is>
          <t>H12</t>
        </is>
      </c>
      <c r="Y177">
        <f>W177&amp;"|"&amp;X177</f>
        <v/>
      </c>
      <c r="Z177" s="9">
        <f>IFERROR(INDEX(CHOOSE(MATCH($X177,{"K1","K2","K3","K12","K13","H1","H2","H3","H12","H13"},0),Calc!$BA$2:$BA$124,Calc!$BB$2:$BB$124,Calc!$BC$2:$BC$124,Calc!$BD$2:$BD$124,Calc!$BE$2:$BE$124,Calc!$BF$2:$BF$124,Calc!$BG$2:$BG$124,Calc!$BH$2:$BH$124,Calc!$BI$2:$BI$124,Calc!$BJ$2:$BJ$124),MATCH($W177,Calc!$A$2:$A$124,0)),"")</f>
        <v/>
      </c>
      <c r="AA177" s="9">
        <f>IF(Z177="","",IF(LEFT($X177,1)="H",SQRT(Z177*(IFERROR(INDEX(Calc!$AP$2:$AP$124,MATCH($W177,Calc!$A$2:$A$124,0)),0.5)*Config!$B$5+1-IFERROR(INDEX(Calc!$AP$2:$AP$124,MATCH($W177,Calc!$A$2:$A$124,0)),0.5))),SQRT(Z177*Config!$B$5)))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MOUZ vs 9z</t>
        </is>
      </c>
      <c r="C178" t="inlineStr">
        <is>
          <t>meyern</t>
        </is>
      </c>
      <c r="D178" t="inlineStr">
        <is>
          <t>9z</t>
        </is>
      </c>
      <c r="E178" t="inlineStr">
        <is>
          <t>Maps 1-2 Kills</t>
        </is>
      </c>
      <c r="F178" t="n">
        <v>25.5</v>
      </c>
      <c r="G178" s="9">
        <f>IFERROR(INDEX(CHOOSE(MATCH($X178,{"K1","K2","K3","K12","K13","H1","H2","H3","H12","H13"},0),Calc!$V$2:$V$124,Calc!$AC$2:$AC$124,Calc!$AJ$2:$AJ$124,Calc!$AL$2:$AL$124,Calc!$AM$2:$AM$124,Calc!$W$2:$W$124,Calc!$AD$2:$AD$124,Calc!$AK$2:$AK$124,Calc!$AN$2:$AN$124,Calc!$AO$2:$AO$124),MATCH($W178,Calc!$A$2:$A$124,0)),"")</f>
        <v/>
      </c>
      <c r="H178" s="9">
        <f>IF(G178="","",IF(LEFT($X178,1)="H",SQRT(G178*(IFERROR(INDEX(Calc!$AP$2:$AP$124,MATCH($W178,Calc!$A$2:$A$124,0)),0.5)*Config!$B$5+1-IFERROR(INDEX(Calc!$AP$2:$AP$124,MATCH($W178,Calc!$A$2:$A$124,0)),0.5))),SQRT(G178*Config!$B$5)))</f>
        <v/>
      </c>
      <c r="I178" s="8">
        <f>IF(OR(F178="",G178="",N(H178)&lt;=0),"",1-NORMDIST(FLOOR(F178,1)+0.5,G178,H178,TRUE))</f>
        <v/>
      </c>
      <c r="J178" s="8">
        <f>IF(I178="","",NORMDIST(CEILING(F178,1)-0.5,G178,H178,TRUE))</f>
        <v/>
      </c>
      <c r="K178" s="8">
        <f>IF(I178="","",MAX(0,1-I178-J178))</f>
        <v/>
      </c>
      <c r="L178">
        <f>IF(I178="","",IF(I178&gt;=0.5+Config!$B$6,"OVER",IF(J178&gt;=0.5+Config!$B$6,"UNDER","—")))</f>
        <v/>
      </c>
      <c r="M178" t="n">
        <v>25.54</v>
      </c>
      <c r="N178" t="n">
        <v>23.4</v>
      </c>
      <c r="O178" s="8" t="n">
        <v>0.4</v>
      </c>
      <c r="P178" s="8" t="n">
        <v>0.5</v>
      </c>
      <c r="Q178" s="8" t="n">
        <v>0.4</v>
      </c>
      <c r="R178" t="inlineStr">
        <is>
          <t>33%/1/3</t>
        </is>
      </c>
      <c r="S178" t="n">
        <v>1</v>
      </c>
      <c r="T178">
        <f>INDEX(Calc!$G$2:$G$124,MATCH($W178,Calc!$A$2:$A$124,0))&amp;" / "&amp;INDEX(Calc!$H$2:$H$124,MATCH($W178,Calc!$A$2:$A$124,0))</f>
        <v/>
      </c>
      <c r="U178">
        <f>TEXT(INDEX(Calc!$J$2:$J$124,MATCH($W178,Calc!$A$2:$A$124,0)),"0.0")&amp;" / "&amp;TEXT(INDEX(Calc!$K$2:$K$124,MATCH($W178,Calc!$A$2:$A$124,0)),"0.0")</f>
        <v/>
      </c>
      <c r="V178">
        <f>IFERROR(INDEX(Calc!$AQ$2:$AQ$124,MATCH($W178,Calc!$A$2:$A$124,0)),"")</f>
        <v/>
      </c>
      <c r="W178" t="inlineStr">
        <is>
          <t>pumzitjp9bsniic|CS2 · MOUZ vs 9z</t>
        </is>
      </c>
      <c r="X178" t="inlineStr">
        <is>
          <t>K12</t>
        </is>
      </c>
      <c r="Y178">
        <f>W178&amp;"|"&amp;X178</f>
        <v/>
      </c>
      <c r="Z178" s="9">
        <f>IFERROR(INDEX(CHOOSE(MATCH($X178,{"K1","K2","K3","K12","K13","H1","H2","H3","H12","H13"},0),Calc!$BA$2:$BA$124,Calc!$BB$2:$BB$124,Calc!$BC$2:$BC$124,Calc!$BD$2:$BD$124,Calc!$BE$2:$BE$124,Calc!$BF$2:$BF$124,Calc!$BG$2:$BG$124,Calc!$BH$2:$BH$124,Calc!$BI$2:$BI$124,Calc!$BJ$2:$BJ$124),MATCH($W178,Calc!$A$2:$A$124,0)),"")</f>
        <v/>
      </c>
      <c r="AA178" s="9">
        <f>IF(Z178="","",IF(LEFT($X178,1)="H",SQRT(Z178*(IFERROR(INDEX(Calc!$AP$2:$AP$124,MATCH($W178,Calc!$A$2:$A$124,0)),0.5)*Config!$B$5+1-IFERROR(INDEX(Calc!$AP$2:$AP$124,MATCH($W178,Calc!$A$2:$A$124,0)),0.5))),SQRT(Z178*Config!$B$5)))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MOUZ vs 9z</t>
        </is>
      </c>
      <c r="C179" t="inlineStr">
        <is>
          <t>PR</t>
        </is>
      </c>
      <c r="D179" t="inlineStr">
        <is>
          <t>MOUZ</t>
        </is>
      </c>
      <c r="E179" t="inlineStr">
        <is>
          <t>Maps 1-2 HS</t>
        </is>
      </c>
      <c r="F179" t="n">
        <v>14.5</v>
      </c>
      <c r="G179" s="9">
        <f>IFERROR(INDEX(CHOOSE(MATCH($X179,{"K1","K2","K3","K12","K13","H1","H2","H3","H12","H13"},0),Calc!$V$2:$V$124,Calc!$AC$2:$AC$124,Calc!$AJ$2:$AJ$124,Calc!$AL$2:$AL$124,Calc!$AM$2:$AM$124,Calc!$W$2:$W$124,Calc!$AD$2:$AD$124,Calc!$AK$2:$AK$124,Calc!$AN$2:$AN$124,Calc!$AO$2:$AO$124),MATCH($W179,Calc!$A$2:$A$124,0)),"")</f>
        <v/>
      </c>
      <c r="H179" s="9">
        <f>IF(G179="","",IF(LEFT($X179,1)="H",SQRT(G179*(IFERROR(INDEX(Calc!$AP$2:$AP$124,MATCH($W179,Calc!$A$2:$A$124,0)),0.5)*Config!$B$5+1-IFERROR(INDEX(Calc!$AP$2:$AP$124,MATCH($W179,Calc!$A$2:$A$124,0)),0.5))),SQRT(G179*Config!$B$5)))</f>
        <v/>
      </c>
      <c r="I179" s="8">
        <f>IF(OR(F179="",G179="",N(H179)&lt;=0),"",1-NORMDIST(FLOOR(F179,1)+0.5,G179,H179,TRUE))</f>
        <v/>
      </c>
      <c r="J179" s="8">
        <f>IF(I179="","",NORMDIST(CEILING(F179,1)-0.5,G179,H179,TRUE))</f>
        <v/>
      </c>
      <c r="K179" s="8">
        <f>IF(I179="","",MAX(0,1-I179-J179))</f>
        <v/>
      </c>
      <c r="L179">
        <f>IF(I179="","",IF(I179&gt;=0.5+Config!$B$6,"OVER",IF(J179&gt;=0.5+Config!$B$6,"UNDER","—")))</f>
        <v/>
      </c>
      <c r="N179" t="n">
        <v>13.1</v>
      </c>
      <c r="O179" s="8" t="n">
        <v>0.4</v>
      </c>
      <c r="P179" s="8" t="n">
        <v>0.3</v>
      </c>
      <c r="Q179" s="8" t="n">
        <v>0.33</v>
      </c>
      <c r="R179" t="inlineStr">
        <is>
          <t>0%/0/1</t>
        </is>
      </c>
      <c r="S179" t="n">
        <v>1</v>
      </c>
      <c r="T179">
        <f>INDEX(Calc!$G$2:$G$124,MATCH($W179,Calc!$A$2:$A$124,0))&amp;" / "&amp;INDEX(Calc!$H$2:$H$124,MATCH($W179,Calc!$A$2:$A$124,0))</f>
        <v/>
      </c>
      <c r="U179">
        <f>TEXT(INDEX(Calc!$J$2:$J$124,MATCH($W179,Calc!$A$2:$A$124,0)),"0.0")&amp;" / "&amp;TEXT(INDEX(Calc!$K$2:$K$124,MATCH($W179,Calc!$A$2:$A$124,0)),"0.0")</f>
        <v/>
      </c>
      <c r="V179">
        <f>IFERROR(INDEX(Calc!$AQ$2:$AQ$124,MATCH($W179,Calc!$A$2:$A$124,0)),"")</f>
        <v/>
      </c>
      <c r="W179" t="inlineStr">
        <is>
          <t>pddkiy5mogisq4i|CS2 · MOUZ vs 9z</t>
        </is>
      </c>
      <c r="X179" t="inlineStr">
        <is>
          <t>H12</t>
        </is>
      </c>
      <c r="Y179">
        <f>W179&amp;"|"&amp;X179</f>
        <v/>
      </c>
      <c r="Z179" s="9">
        <f>IFERROR(INDEX(CHOOSE(MATCH($X179,{"K1","K2","K3","K12","K13","H1","H2","H3","H12","H13"},0),Calc!$BA$2:$BA$124,Calc!$BB$2:$BB$124,Calc!$BC$2:$BC$124,Calc!$BD$2:$BD$124,Calc!$BE$2:$BE$124,Calc!$BF$2:$BF$124,Calc!$BG$2:$BG$124,Calc!$BH$2:$BH$124,Calc!$BI$2:$BI$124,Calc!$BJ$2:$BJ$124),MATCH($W179,Calc!$A$2:$A$124,0)),"")</f>
        <v/>
      </c>
      <c r="AA179" s="9">
        <f>IF(Z179="","",IF(LEFT($X179,1)="H",SQRT(Z179*(IFERROR(INDEX(Calc!$AP$2:$AP$124,MATCH($W179,Calc!$A$2:$A$124,0)),0.5)*Config!$B$5+1-IFERROR(INDEX(Calc!$AP$2:$AP$124,MATCH($W179,Calc!$A$2:$A$124,0)),0.5))),SQRT(Z179*Config!$B$5)))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MOUZ vs 9z</t>
        </is>
      </c>
      <c r="C180" t="inlineStr">
        <is>
          <t>PR</t>
        </is>
      </c>
      <c r="D180" t="inlineStr">
        <is>
          <t>MOUZ</t>
        </is>
      </c>
      <c r="E180" t="inlineStr">
        <is>
          <t>Maps 1-2 Kills</t>
        </is>
      </c>
      <c r="F180" t="n">
        <v>27.5</v>
      </c>
      <c r="G180" s="9">
        <f>IFERROR(INDEX(CHOOSE(MATCH($X180,{"K1","K2","K3","K12","K13","H1","H2","H3","H12","H13"},0),Calc!$V$2:$V$124,Calc!$AC$2:$AC$124,Calc!$AJ$2:$AJ$124,Calc!$AL$2:$AL$124,Calc!$AM$2:$AM$124,Calc!$W$2:$W$124,Calc!$AD$2:$AD$124,Calc!$AK$2:$AK$124,Calc!$AN$2:$AN$124,Calc!$AO$2:$AO$124),MATCH($W180,Calc!$A$2:$A$124,0)),"")</f>
        <v/>
      </c>
      <c r="H180" s="9">
        <f>IF(G180="","",IF(LEFT($X180,1)="H",SQRT(G180*(IFERROR(INDEX(Calc!$AP$2:$AP$124,MATCH($W180,Calc!$A$2:$A$124,0)),0.5)*Config!$B$5+1-IFERROR(INDEX(Calc!$AP$2:$AP$124,MATCH($W180,Calc!$A$2:$A$124,0)),0.5))),SQRT(G180*Config!$B$5)))</f>
        <v/>
      </c>
      <c r="I180" s="8">
        <f>IF(OR(F180="",G180="",N(H180)&lt;=0),"",1-NORMDIST(FLOOR(F180,1)+0.5,G180,H180,TRUE))</f>
        <v/>
      </c>
      <c r="J180" s="8">
        <f>IF(I180="","",NORMDIST(CEILING(F180,1)-0.5,G180,H180,TRUE))</f>
        <v/>
      </c>
      <c r="K180" s="8">
        <f>IF(I180="","",MAX(0,1-I180-J180))</f>
        <v/>
      </c>
      <c r="L180">
        <f>IF(I180="","",IF(I180&gt;=0.5+Config!$B$6,"OVER",IF(J180&gt;=0.5+Config!$B$6,"UNDER","—")))</f>
        <v/>
      </c>
      <c r="M180" t="n">
        <v>28.52</v>
      </c>
      <c r="N180" t="n">
        <v>26.7</v>
      </c>
      <c r="O180" s="8" t="n">
        <v>0.4</v>
      </c>
      <c r="P180" s="8" t="n">
        <v>0.4</v>
      </c>
      <c r="Q180" s="8" t="n">
        <v>0.4</v>
      </c>
      <c r="R180" t="inlineStr">
        <is>
          <t>0%/0/1</t>
        </is>
      </c>
      <c r="S180" t="n">
        <v>1</v>
      </c>
      <c r="T180">
        <f>INDEX(Calc!$G$2:$G$124,MATCH($W180,Calc!$A$2:$A$124,0))&amp;" / "&amp;INDEX(Calc!$H$2:$H$124,MATCH($W180,Calc!$A$2:$A$124,0))</f>
        <v/>
      </c>
      <c r="U180">
        <f>TEXT(INDEX(Calc!$J$2:$J$124,MATCH($W180,Calc!$A$2:$A$124,0)),"0.0")&amp;" / "&amp;TEXT(INDEX(Calc!$K$2:$K$124,MATCH($W180,Calc!$A$2:$A$124,0)),"0.0")</f>
        <v/>
      </c>
      <c r="V180">
        <f>IFERROR(INDEX(Calc!$AQ$2:$AQ$124,MATCH($W180,Calc!$A$2:$A$124,0)),"")</f>
        <v/>
      </c>
      <c r="W180" t="inlineStr">
        <is>
          <t>pddkiy5mogisq4i|CS2 · MOUZ vs 9z</t>
        </is>
      </c>
      <c r="X180" t="inlineStr">
        <is>
          <t>K12</t>
        </is>
      </c>
      <c r="Y180">
        <f>W180&amp;"|"&amp;X180</f>
        <v/>
      </c>
      <c r="Z180" s="9">
        <f>IFERROR(INDEX(CHOOSE(MATCH($X180,{"K1","K2","K3","K12","K13","H1","H2","H3","H12","H13"},0),Calc!$BA$2:$BA$124,Calc!$BB$2:$BB$124,Calc!$BC$2:$BC$124,Calc!$BD$2:$BD$124,Calc!$BE$2:$BE$124,Calc!$BF$2:$BF$124,Calc!$BG$2:$BG$124,Calc!$BH$2:$BH$124,Calc!$BI$2:$BI$124,Calc!$BJ$2:$BJ$124),MATCH($W180,Calc!$A$2:$A$124,0)),"")</f>
        <v/>
      </c>
      <c r="AA180" s="9">
        <f>IF(Z180="","",IF(LEFT($X180,1)="H",SQRT(Z180*(IFERROR(INDEX(Calc!$AP$2:$AP$124,MATCH($W180,Calc!$A$2:$A$124,0)),0.5)*Config!$B$5+1-IFERROR(INDEX(Calc!$AP$2:$AP$124,MATCH($W180,Calc!$A$2:$A$124,0)),0.5))),SQRT(Z180*Config!$B$5)))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MOUZ vs 9z</t>
        </is>
      </c>
      <c r="C181" t="inlineStr">
        <is>
          <t>Spinx</t>
        </is>
      </c>
      <c r="D181" t="inlineStr">
        <is>
          <t>MOUZ</t>
        </is>
      </c>
      <c r="E181" t="inlineStr">
        <is>
          <t>Maps 1-2 HS</t>
        </is>
      </c>
      <c r="F181" t="n">
        <v>18.5</v>
      </c>
      <c r="G181" s="9">
        <f>IFERROR(INDEX(CHOOSE(MATCH($X181,{"K1","K2","K3","K12","K13","H1","H2","H3","H12","H13"},0),Calc!$V$2:$V$124,Calc!$AC$2:$AC$124,Calc!$AJ$2:$AJ$124,Calc!$AL$2:$AL$124,Calc!$AM$2:$AM$124,Calc!$W$2:$W$124,Calc!$AD$2:$AD$124,Calc!$AK$2:$AK$124,Calc!$AN$2:$AN$124,Calc!$AO$2:$AO$124),MATCH($W181,Calc!$A$2:$A$124,0)),"")</f>
        <v/>
      </c>
      <c r="H181" s="9">
        <f>IF(G181="","",IF(LEFT($X181,1)="H",SQRT(G181*(IFERROR(INDEX(Calc!$AP$2:$AP$124,MATCH($W181,Calc!$A$2:$A$124,0)),0.5)*Config!$B$5+1-IFERROR(INDEX(Calc!$AP$2:$AP$124,MATCH($W181,Calc!$A$2:$A$124,0)),0.5))),SQRT(G181*Config!$B$5)))</f>
        <v/>
      </c>
      <c r="I181" s="8">
        <f>IF(OR(F181="",G181="",N(H181)&lt;=0),"",1-NORMDIST(FLOOR(F181,1)+0.5,G181,H181,TRUE))</f>
        <v/>
      </c>
      <c r="J181" s="8">
        <f>IF(I181="","",NORMDIST(CEILING(F181,1)-0.5,G181,H181,TRUE))</f>
        <v/>
      </c>
      <c r="K181" s="8">
        <f>IF(I181="","",MAX(0,1-I181-J181))</f>
        <v/>
      </c>
      <c r="L181">
        <f>IF(I181="","",IF(I181&gt;=0.5+Config!$B$6,"OVER",IF(J181&gt;=0.5+Config!$B$6,"UNDER","—")))</f>
        <v/>
      </c>
      <c r="N181" t="n">
        <v>19.1</v>
      </c>
      <c r="O181" s="8" t="n">
        <v>0.6</v>
      </c>
      <c r="P181" s="8" t="n">
        <v>0.6</v>
      </c>
      <c r="Q181" s="8" t="n">
        <v>0.47</v>
      </c>
      <c r="R181" t="inlineStr">
        <is>
          <t>50%/2/4</t>
        </is>
      </c>
      <c r="S181" t="n">
        <v>1</v>
      </c>
      <c r="T181">
        <f>INDEX(Calc!$G$2:$G$124,MATCH($W181,Calc!$A$2:$A$124,0))&amp;" / "&amp;INDEX(Calc!$H$2:$H$124,MATCH($W181,Calc!$A$2:$A$124,0))</f>
        <v/>
      </c>
      <c r="U181">
        <f>TEXT(INDEX(Calc!$J$2:$J$124,MATCH($W181,Calc!$A$2:$A$124,0)),"0.0")&amp;" / "&amp;TEXT(INDEX(Calc!$K$2:$K$124,MATCH($W181,Calc!$A$2:$A$124,0)),"0.0")</f>
        <v/>
      </c>
      <c r="V181">
        <f>IFERROR(INDEX(Calc!$AQ$2:$AQ$124,MATCH($W181,Calc!$A$2:$A$124,0)),"")</f>
        <v/>
      </c>
      <c r="W181" t="inlineStr">
        <is>
          <t>qlzigrqycoim5ix|CS2 · MOUZ vs 9z</t>
        </is>
      </c>
      <c r="X181" t="inlineStr">
        <is>
          <t>H12</t>
        </is>
      </c>
      <c r="Y181">
        <f>W181&amp;"|"&amp;X181</f>
        <v/>
      </c>
      <c r="Z181" s="9">
        <f>IFERROR(INDEX(CHOOSE(MATCH($X181,{"K1","K2","K3","K12","K13","H1","H2","H3","H12","H13"},0),Calc!$BA$2:$BA$124,Calc!$BB$2:$BB$124,Calc!$BC$2:$BC$124,Calc!$BD$2:$BD$124,Calc!$BE$2:$BE$124,Calc!$BF$2:$BF$124,Calc!$BG$2:$BG$124,Calc!$BH$2:$BH$124,Calc!$BI$2:$BI$124,Calc!$BJ$2:$BJ$124),MATCH($W181,Calc!$A$2:$A$124,0)),"")</f>
        <v/>
      </c>
      <c r="AA181" s="9">
        <f>IF(Z181="","",IF(LEFT($X181,1)="H",SQRT(Z181*(IFERROR(INDEX(Calc!$AP$2:$AP$124,MATCH($W181,Calc!$A$2:$A$124,0)),0.5)*Config!$B$5+1-IFERROR(INDEX(Calc!$AP$2:$AP$124,MATCH($W181,Calc!$A$2:$A$124,0)),0.5))),SQRT(Z181*Config!$B$5)))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MOUZ vs 9z</t>
        </is>
      </c>
      <c r="C182" t="inlineStr">
        <is>
          <t>Spinx</t>
        </is>
      </c>
      <c r="D182" t="inlineStr">
        <is>
          <t>MOUZ</t>
        </is>
      </c>
      <c r="E182" t="inlineStr">
        <is>
          <t>Maps 1-2 Kills</t>
        </is>
      </c>
      <c r="F182" t="n">
        <v>30.5</v>
      </c>
      <c r="G182" s="9">
        <f>IFERROR(INDEX(CHOOSE(MATCH($X182,{"K1","K2","K3","K12","K13","H1","H2","H3","H12","H13"},0),Calc!$V$2:$V$124,Calc!$AC$2:$AC$124,Calc!$AJ$2:$AJ$124,Calc!$AL$2:$AL$124,Calc!$AM$2:$AM$124,Calc!$W$2:$W$124,Calc!$AD$2:$AD$124,Calc!$AK$2:$AK$124,Calc!$AN$2:$AN$124,Calc!$AO$2:$AO$124),MATCH($W182,Calc!$A$2:$A$124,0)),"")</f>
        <v/>
      </c>
      <c r="H182" s="9">
        <f>IF(G182="","",IF(LEFT($X182,1)="H",SQRT(G182*(IFERROR(INDEX(Calc!$AP$2:$AP$124,MATCH($W182,Calc!$A$2:$A$124,0)),0.5)*Config!$B$5+1-IFERROR(INDEX(Calc!$AP$2:$AP$124,MATCH($W182,Calc!$A$2:$A$124,0)),0.5))),SQRT(G182*Config!$B$5)))</f>
        <v/>
      </c>
      <c r="I182" s="8">
        <f>IF(OR(F182="",G182="",N(H182)&lt;=0),"",1-NORMDIST(FLOOR(F182,1)+0.5,G182,H182,TRUE))</f>
        <v/>
      </c>
      <c r="J182" s="8">
        <f>IF(I182="","",NORMDIST(CEILING(F182,1)-0.5,G182,H182,TRUE))</f>
        <v/>
      </c>
      <c r="K182" s="8">
        <f>IF(I182="","",MAX(0,1-I182-J182))</f>
        <v/>
      </c>
      <c r="L182">
        <f>IF(I182="","",IF(I182&gt;=0.5+Config!$B$6,"OVER",IF(J182&gt;=0.5+Config!$B$6,"UNDER","—")))</f>
        <v/>
      </c>
      <c r="M182" t="n">
        <v>30.64</v>
      </c>
      <c r="N182" t="n">
        <v>31</v>
      </c>
      <c r="O182" s="8" t="n">
        <v>0.4</v>
      </c>
      <c r="P182" s="8" t="n">
        <v>0.4</v>
      </c>
      <c r="Q182" s="8" t="n">
        <v>0.47</v>
      </c>
      <c r="R182" t="inlineStr">
        <is>
          <t>75%/3/4</t>
        </is>
      </c>
      <c r="S182" t="n">
        <v>1</v>
      </c>
      <c r="T182">
        <f>INDEX(Calc!$G$2:$G$124,MATCH($W182,Calc!$A$2:$A$124,0))&amp;" / "&amp;INDEX(Calc!$H$2:$H$124,MATCH($W182,Calc!$A$2:$A$124,0))</f>
        <v/>
      </c>
      <c r="U182">
        <f>TEXT(INDEX(Calc!$J$2:$J$124,MATCH($W182,Calc!$A$2:$A$124,0)),"0.0")&amp;" / "&amp;TEXT(INDEX(Calc!$K$2:$K$124,MATCH($W182,Calc!$A$2:$A$124,0)),"0.0")</f>
        <v/>
      </c>
      <c r="V182">
        <f>IFERROR(INDEX(Calc!$AQ$2:$AQ$124,MATCH($W182,Calc!$A$2:$A$124,0)),"")</f>
        <v/>
      </c>
      <c r="W182" t="inlineStr">
        <is>
          <t>qlzigrqycoim5ix|CS2 · MOUZ vs 9z</t>
        </is>
      </c>
      <c r="X182" t="inlineStr">
        <is>
          <t>K12</t>
        </is>
      </c>
      <c r="Y182">
        <f>W182&amp;"|"&amp;X182</f>
        <v/>
      </c>
      <c r="Z182" s="9">
        <f>IFERROR(INDEX(CHOOSE(MATCH($X182,{"K1","K2","K3","K12","K13","H1","H2","H3","H12","H13"},0),Calc!$BA$2:$BA$124,Calc!$BB$2:$BB$124,Calc!$BC$2:$BC$124,Calc!$BD$2:$BD$124,Calc!$BE$2:$BE$124,Calc!$BF$2:$BF$124,Calc!$BG$2:$BG$124,Calc!$BH$2:$BH$124,Calc!$BI$2:$BI$124,Calc!$BJ$2:$BJ$124),MATCH($W182,Calc!$A$2:$A$124,0)),"")</f>
        <v/>
      </c>
      <c r="AA182" s="9">
        <f>IF(Z182="","",IF(LEFT($X182,1)="H",SQRT(Z182*(IFERROR(INDEX(Calc!$AP$2:$AP$124,MATCH($W182,Calc!$A$2:$A$124,0)),0.5)*Config!$B$5+1-IFERROR(INDEX(Calc!$AP$2:$AP$124,MATCH($W182,Calc!$A$2:$A$124,0)),0.5))),SQRT(Z182*Config!$B$5)))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MOUZ vs 9z</t>
        </is>
      </c>
      <c r="C183" t="inlineStr">
        <is>
          <t>torzsi</t>
        </is>
      </c>
      <c r="D183" t="inlineStr">
        <is>
          <t>MOUZ</t>
        </is>
      </c>
      <c r="E183" t="inlineStr">
        <is>
          <t>Maps 1-2 HS</t>
        </is>
      </c>
      <c r="F183" t="n">
        <v>10</v>
      </c>
      <c r="G183" s="9">
        <f>IFERROR(INDEX(CHOOSE(MATCH($X183,{"K1","K2","K3","K12","K13","H1","H2","H3","H12","H13"},0),Calc!$V$2:$V$124,Calc!$AC$2:$AC$124,Calc!$AJ$2:$AJ$124,Calc!$AL$2:$AL$124,Calc!$AM$2:$AM$124,Calc!$W$2:$W$124,Calc!$AD$2:$AD$124,Calc!$AK$2:$AK$124,Calc!$AN$2:$AN$124,Calc!$AO$2:$AO$124),MATCH($W183,Calc!$A$2:$A$124,0)),"")</f>
        <v/>
      </c>
      <c r="H183" s="9">
        <f>IF(G183="","",IF(LEFT($X183,1)="H",SQRT(G183*(IFERROR(INDEX(Calc!$AP$2:$AP$124,MATCH($W183,Calc!$A$2:$A$124,0)),0.5)*Config!$B$5+1-IFERROR(INDEX(Calc!$AP$2:$AP$124,MATCH($W183,Calc!$A$2:$A$124,0)),0.5))),SQRT(G183*Config!$B$5)))</f>
        <v/>
      </c>
      <c r="I183" s="8">
        <f>IF(OR(F183="",G183="",N(H183)&lt;=0),"",1-NORMDIST(FLOOR(F183,1)+0.5,G183,H183,TRUE))</f>
        <v/>
      </c>
      <c r="J183" s="8">
        <f>IF(I183="","",NORMDIST(CEILING(F183,1)-0.5,G183,H183,TRUE))</f>
        <v/>
      </c>
      <c r="K183" s="8">
        <f>IF(I183="","",MAX(0,1-I183-J183))</f>
        <v/>
      </c>
      <c r="L183">
        <f>IF(I183="","",IF(I183&gt;=0.5+Config!$B$6,"OVER",IF(J183&gt;=0.5+Config!$B$6,"UNDER","—")))</f>
        <v/>
      </c>
      <c r="N183" t="n">
        <v>10</v>
      </c>
      <c r="O183" s="8" t="n">
        <v>0.6</v>
      </c>
      <c r="P183" s="8" t="n">
        <v>0.6</v>
      </c>
      <c r="Q183" s="8" t="n">
        <v>0.6</v>
      </c>
      <c r="R183" t="inlineStr">
        <is>
          <t>33%/1/3</t>
        </is>
      </c>
      <c r="S183" t="n">
        <v>1</v>
      </c>
      <c r="T183">
        <f>INDEX(Calc!$G$2:$G$124,MATCH($W183,Calc!$A$2:$A$124,0))&amp;" / "&amp;INDEX(Calc!$H$2:$H$124,MATCH($W183,Calc!$A$2:$A$124,0))</f>
        <v/>
      </c>
      <c r="U183">
        <f>TEXT(INDEX(Calc!$J$2:$J$124,MATCH($W183,Calc!$A$2:$A$124,0)),"0.0")&amp;" / "&amp;TEXT(INDEX(Calc!$K$2:$K$124,MATCH($W183,Calc!$A$2:$A$124,0)),"0.0")</f>
        <v/>
      </c>
      <c r="V183">
        <f>IFERROR(INDEX(Calc!$AQ$2:$AQ$124,MATCH($W183,Calc!$A$2:$A$124,0)),"")</f>
        <v/>
      </c>
      <c r="W183" t="inlineStr">
        <is>
          <t>jk73jbuxys7dhxb|CS2 · MOUZ vs 9z</t>
        </is>
      </c>
      <c r="X183" t="inlineStr">
        <is>
          <t>H12</t>
        </is>
      </c>
      <c r="Y183">
        <f>W183&amp;"|"&amp;X183</f>
        <v/>
      </c>
      <c r="Z183" s="9">
        <f>IFERROR(INDEX(CHOOSE(MATCH($X183,{"K1","K2","K3","K12","K13","H1","H2","H3","H12","H13"},0),Calc!$BA$2:$BA$124,Calc!$BB$2:$BB$124,Calc!$BC$2:$BC$124,Calc!$BD$2:$BD$124,Calc!$BE$2:$BE$124,Calc!$BF$2:$BF$124,Calc!$BG$2:$BG$124,Calc!$BH$2:$BH$124,Calc!$BI$2:$BI$124,Calc!$BJ$2:$BJ$124),MATCH($W183,Calc!$A$2:$A$124,0)),"")</f>
        <v/>
      </c>
      <c r="AA183" s="9">
        <f>IF(Z183="","",IF(LEFT($X183,1)="H",SQRT(Z183*(IFERROR(INDEX(Calc!$AP$2:$AP$124,MATCH($W183,Calc!$A$2:$A$124,0)),0.5)*Config!$B$5+1-IFERROR(INDEX(Calc!$AP$2:$AP$124,MATCH($W183,Calc!$A$2:$A$124,0)),0.5))),SQRT(Z183*Config!$B$5)))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MOUZ vs 9z</t>
        </is>
      </c>
      <c r="C184" t="inlineStr">
        <is>
          <t>torzsi</t>
        </is>
      </c>
      <c r="D184" t="inlineStr">
        <is>
          <t>MOUZ</t>
        </is>
      </c>
      <c r="E184" t="inlineStr">
        <is>
          <t>Maps 1-2 Kills</t>
        </is>
      </c>
      <c r="F184" t="n">
        <v>30.5</v>
      </c>
      <c r="G184" s="9">
        <f>IFERROR(INDEX(CHOOSE(MATCH($X184,{"K1","K2","K3","K12","K13","H1","H2","H3","H12","H13"},0),Calc!$V$2:$V$124,Calc!$AC$2:$AC$124,Calc!$AJ$2:$AJ$124,Calc!$AL$2:$AL$124,Calc!$AM$2:$AM$124,Calc!$W$2:$W$124,Calc!$AD$2:$AD$124,Calc!$AK$2:$AK$124,Calc!$AN$2:$AN$124,Calc!$AO$2:$AO$124),MATCH($W184,Calc!$A$2:$A$124,0)),"")</f>
        <v/>
      </c>
      <c r="H184" s="9">
        <f>IF(G184="","",IF(LEFT($X184,1)="H",SQRT(G184*(IFERROR(INDEX(Calc!$AP$2:$AP$124,MATCH($W184,Calc!$A$2:$A$124,0)),0.5)*Config!$B$5+1-IFERROR(INDEX(Calc!$AP$2:$AP$124,MATCH($W184,Calc!$A$2:$A$124,0)),0.5))),SQRT(G184*Config!$B$5)))</f>
        <v/>
      </c>
      <c r="I184" s="8">
        <f>IF(OR(F184="",G184="",N(H184)&lt;=0),"",1-NORMDIST(FLOOR(F184,1)+0.5,G184,H184,TRUE))</f>
        <v/>
      </c>
      <c r="J184" s="8">
        <f>IF(I184="","",NORMDIST(CEILING(F184,1)-0.5,G184,H184,TRUE))</f>
        <v/>
      </c>
      <c r="K184" s="8">
        <f>IF(I184="","",MAX(0,1-I184-J184))</f>
        <v/>
      </c>
      <c r="L184">
        <f>IF(I184="","",IF(I184&gt;=0.5+Config!$B$6,"OVER",IF(J184&gt;=0.5+Config!$B$6,"UNDER","—")))</f>
        <v/>
      </c>
      <c r="M184" t="n">
        <v>30</v>
      </c>
      <c r="N184" t="n">
        <v>30.9</v>
      </c>
      <c r="O184" s="8" t="n">
        <v>0.4</v>
      </c>
      <c r="P184" s="8" t="n">
        <v>0.5</v>
      </c>
      <c r="Q184" s="8" t="n">
        <v>0.4</v>
      </c>
      <c r="R184" t="inlineStr">
        <is>
          <t>33%/1/3</t>
        </is>
      </c>
      <c r="S184" t="n">
        <v>1</v>
      </c>
      <c r="T184">
        <f>INDEX(Calc!$G$2:$G$124,MATCH($W184,Calc!$A$2:$A$124,0))&amp;" / "&amp;INDEX(Calc!$H$2:$H$124,MATCH($W184,Calc!$A$2:$A$124,0))</f>
        <v/>
      </c>
      <c r="U184">
        <f>TEXT(INDEX(Calc!$J$2:$J$124,MATCH($W184,Calc!$A$2:$A$124,0)),"0.0")&amp;" / "&amp;TEXT(INDEX(Calc!$K$2:$K$124,MATCH($W184,Calc!$A$2:$A$124,0)),"0.0")</f>
        <v/>
      </c>
      <c r="V184">
        <f>IFERROR(INDEX(Calc!$AQ$2:$AQ$124,MATCH($W184,Calc!$A$2:$A$124,0)),"")</f>
        <v/>
      </c>
      <c r="W184" t="inlineStr">
        <is>
          <t>jk73jbuxys7dhxb|CS2 · MOUZ vs 9z</t>
        </is>
      </c>
      <c r="X184" t="inlineStr">
        <is>
          <t>K12</t>
        </is>
      </c>
      <c r="Y184">
        <f>W184&amp;"|"&amp;X184</f>
        <v/>
      </c>
      <c r="Z184" s="9">
        <f>IFERROR(INDEX(CHOOSE(MATCH($X184,{"K1","K2","K3","K12","K13","H1","H2","H3","H12","H13"},0),Calc!$BA$2:$BA$124,Calc!$BB$2:$BB$124,Calc!$BC$2:$BC$124,Calc!$BD$2:$BD$124,Calc!$BE$2:$BE$124,Calc!$BF$2:$BF$124,Calc!$BG$2:$BG$124,Calc!$BH$2:$BH$124,Calc!$BI$2:$BI$124,Calc!$BJ$2:$BJ$124),MATCH($W184,Calc!$A$2:$A$124,0)),"")</f>
        <v/>
      </c>
      <c r="AA184" s="9">
        <f>IF(Z184="","",IF(LEFT($X184,1)="H",SQRT(Z184*(IFERROR(INDEX(Calc!$AP$2:$AP$124,MATCH($W184,Calc!$A$2:$A$124,0)),0.5)*Config!$B$5+1-IFERROR(INDEX(Calc!$AP$2:$AP$124,MATCH($W184,Calc!$A$2:$A$124,0)),0.5))),SQRT(Z184*Config!$B$5)))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MOUZ vs 9z</t>
        </is>
      </c>
      <c r="C185" t="inlineStr">
        <is>
          <t>xelex</t>
        </is>
      </c>
      <c r="D185" t="inlineStr">
        <is>
          <t>MOUZ</t>
        </is>
      </c>
      <c r="E185" t="inlineStr">
        <is>
          <t>Maps 1-2 HS</t>
        </is>
      </c>
      <c r="F185" t="n">
        <v>19.5</v>
      </c>
      <c r="G185" s="9">
        <f>IFERROR(INDEX(CHOOSE(MATCH($X185,{"K1","K2","K3","K12","K13","H1","H2","H3","H12","H13"},0),Calc!$V$2:$V$124,Calc!$AC$2:$AC$124,Calc!$AJ$2:$AJ$124,Calc!$AL$2:$AL$124,Calc!$AM$2:$AM$124,Calc!$W$2:$W$124,Calc!$AD$2:$AD$124,Calc!$AK$2:$AK$124,Calc!$AN$2:$AN$124,Calc!$AO$2:$AO$124),MATCH($W185,Calc!$A$2:$A$124,0)),"")</f>
        <v/>
      </c>
      <c r="H185" s="9">
        <f>IF(G185="","",IF(LEFT($X185,1)="H",SQRT(G185*(IFERROR(INDEX(Calc!$AP$2:$AP$124,MATCH($W185,Calc!$A$2:$A$124,0)),0.5)*Config!$B$5+1-IFERROR(INDEX(Calc!$AP$2:$AP$124,MATCH($W185,Calc!$A$2:$A$124,0)),0.5))),SQRT(G185*Config!$B$5)))</f>
        <v/>
      </c>
      <c r="I185" s="8">
        <f>IF(OR(F185="",G185="",N(H185)&lt;=0),"",1-NORMDIST(FLOOR(F185,1)+0.5,G185,H185,TRUE))</f>
        <v/>
      </c>
      <c r="J185" s="8">
        <f>IF(I185="","",NORMDIST(CEILING(F185,1)-0.5,G185,H185,TRUE))</f>
        <v/>
      </c>
      <c r="K185" s="8">
        <f>IF(I185="","",MAX(0,1-I185-J185))</f>
        <v/>
      </c>
      <c r="L185">
        <f>IF(I185="","",IF(I185&gt;=0.5+Config!$B$6,"OVER",IF(J185&gt;=0.5+Config!$B$6,"UNDER","—")))</f>
        <v/>
      </c>
      <c r="N185" t="n">
        <v>20.9</v>
      </c>
      <c r="O185" s="8" t="n">
        <v>0.8</v>
      </c>
      <c r="P185" s="8" t="n">
        <v>0.7</v>
      </c>
      <c r="Q185" s="8" t="n">
        <v>0.53</v>
      </c>
      <c r="R185" t="inlineStr">
        <is>
          <t>0%/0/2</t>
        </is>
      </c>
      <c r="S185" t="n">
        <v>1</v>
      </c>
      <c r="T185">
        <f>INDEX(Calc!$G$2:$G$124,MATCH($W185,Calc!$A$2:$A$124,0))&amp;" / "&amp;INDEX(Calc!$H$2:$H$124,MATCH($W185,Calc!$A$2:$A$124,0))</f>
        <v/>
      </c>
      <c r="U185">
        <f>TEXT(INDEX(Calc!$J$2:$J$124,MATCH($W185,Calc!$A$2:$A$124,0)),"0.0")&amp;" / "&amp;TEXT(INDEX(Calc!$K$2:$K$124,MATCH($W185,Calc!$A$2:$A$124,0)),"0.0")</f>
        <v/>
      </c>
      <c r="V185">
        <f>IFERROR(INDEX(Calc!$AQ$2:$AQ$124,MATCH($W185,Calc!$A$2:$A$124,0)),"")</f>
        <v/>
      </c>
      <c r="W185" t="inlineStr">
        <is>
          <t>zs2lsmobreb35xn|CS2 · MOUZ vs 9z</t>
        </is>
      </c>
      <c r="X185" t="inlineStr">
        <is>
          <t>H12</t>
        </is>
      </c>
      <c r="Y185">
        <f>W185&amp;"|"&amp;X185</f>
        <v/>
      </c>
      <c r="Z185" s="9">
        <f>IFERROR(INDEX(CHOOSE(MATCH($X185,{"K1","K2","K3","K12","K13","H1","H2","H3","H12","H13"},0),Calc!$BA$2:$BA$124,Calc!$BB$2:$BB$124,Calc!$BC$2:$BC$124,Calc!$BD$2:$BD$124,Calc!$BE$2:$BE$124,Calc!$BF$2:$BF$124,Calc!$BG$2:$BG$124,Calc!$BH$2:$BH$124,Calc!$BI$2:$BI$124,Calc!$BJ$2:$BJ$124),MATCH($W185,Calc!$A$2:$A$124,0)),"")</f>
        <v/>
      </c>
      <c r="AA185" s="9">
        <f>IF(Z185="","",IF(LEFT($X185,1)="H",SQRT(Z185*(IFERROR(INDEX(Calc!$AP$2:$AP$124,MATCH($W185,Calc!$A$2:$A$124,0)),0.5)*Config!$B$5+1-IFERROR(INDEX(Calc!$AP$2:$AP$124,MATCH($W185,Calc!$A$2:$A$124,0)),0.5))),SQRT(Z185*Config!$B$5)))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MOUZ vs 9z</t>
        </is>
      </c>
      <c r="C186" t="inlineStr">
        <is>
          <t>xelex</t>
        </is>
      </c>
      <c r="D186" t="inlineStr">
        <is>
          <t>MOUZ</t>
        </is>
      </c>
      <c r="E186" t="inlineStr">
        <is>
          <t>Maps 1-2 Kills</t>
        </is>
      </c>
      <c r="F186" t="n">
        <v>29.5</v>
      </c>
      <c r="G186" s="9">
        <f>IFERROR(INDEX(CHOOSE(MATCH($X186,{"K1","K2","K3","K12","K13","H1","H2","H3","H12","H13"},0),Calc!$V$2:$V$124,Calc!$AC$2:$AC$124,Calc!$AJ$2:$AJ$124,Calc!$AL$2:$AL$124,Calc!$AM$2:$AM$124,Calc!$W$2:$W$124,Calc!$AD$2:$AD$124,Calc!$AK$2:$AK$124,Calc!$AN$2:$AN$124,Calc!$AO$2:$AO$124),MATCH($W186,Calc!$A$2:$A$124,0)),"")</f>
        <v/>
      </c>
      <c r="H186" s="9">
        <f>IF(G186="","",IF(LEFT($X186,1)="H",SQRT(G186*(IFERROR(INDEX(Calc!$AP$2:$AP$124,MATCH($W186,Calc!$A$2:$A$124,0)),0.5)*Config!$B$5+1-IFERROR(INDEX(Calc!$AP$2:$AP$124,MATCH($W186,Calc!$A$2:$A$124,0)),0.5))),SQRT(G186*Config!$B$5)))</f>
        <v/>
      </c>
      <c r="I186" s="8">
        <f>IF(OR(F186="",G186="",N(H186)&lt;=0),"",1-NORMDIST(FLOOR(F186,1)+0.5,G186,H186,TRUE))</f>
        <v/>
      </c>
      <c r="J186" s="8">
        <f>IF(I186="","",NORMDIST(CEILING(F186,1)-0.5,G186,H186,TRUE))</f>
        <v/>
      </c>
      <c r="K186" s="8">
        <f>IF(I186="","",MAX(0,1-I186-J186))</f>
        <v/>
      </c>
      <c r="L186">
        <f>IF(I186="","",IF(I186&gt;=0.5+Config!$B$6,"OVER",IF(J186&gt;=0.5+Config!$B$6,"UNDER","—")))</f>
        <v/>
      </c>
      <c r="M186" t="n">
        <v>29.1</v>
      </c>
      <c r="N186" t="n">
        <v>30.6</v>
      </c>
      <c r="O186" s="8" t="n">
        <v>0.6</v>
      </c>
      <c r="P186" s="8" t="n">
        <v>0.5</v>
      </c>
      <c r="Q186" s="8" t="n">
        <v>0.53</v>
      </c>
      <c r="R186" t="inlineStr">
        <is>
          <t>50%/1/2</t>
        </is>
      </c>
      <c r="S186" t="n">
        <v>1</v>
      </c>
      <c r="T186">
        <f>INDEX(Calc!$G$2:$G$124,MATCH($W186,Calc!$A$2:$A$124,0))&amp;" / "&amp;INDEX(Calc!$H$2:$H$124,MATCH($W186,Calc!$A$2:$A$124,0))</f>
        <v/>
      </c>
      <c r="U186">
        <f>TEXT(INDEX(Calc!$J$2:$J$124,MATCH($W186,Calc!$A$2:$A$124,0)),"0.0")&amp;" / "&amp;TEXT(INDEX(Calc!$K$2:$K$124,MATCH($W186,Calc!$A$2:$A$124,0)),"0.0")</f>
        <v/>
      </c>
      <c r="V186">
        <f>IFERROR(INDEX(Calc!$AQ$2:$AQ$124,MATCH($W186,Calc!$A$2:$A$124,0)),"")</f>
        <v/>
      </c>
      <c r="W186" t="inlineStr">
        <is>
          <t>zs2lsmobreb35xn|CS2 · MOUZ vs 9z</t>
        </is>
      </c>
      <c r="X186" t="inlineStr">
        <is>
          <t>K12</t>
        </is>
      </c>
      <c r="Y186">
        <f>W186&amp;"|"&amp;X186</f>
        <v/>
      </c>
      <c r="Z186" s="9">
        <f>IFERROR(INDEX(CHOOSE(MATCH($X186,{"K1","K2","K3","K12","K13","H1","H2","H3","H12","H13"},0),Calc!$BA$2:$BA$124,Calc!$BB$2:$BB$124,Calc!$BC$2:$BC$124,Calc!$BD$2:$BD$124,Calc!$BE$2:$BE$124,Calc!$BF$2:$BF$124,Calc!$BG$2:$BG$124,Calc!$BH$2:$BH$124,Calc!$BI$2:$BI$124,Calc!$BJ$2:$BJ$124),MATCH($W186,Calc!$A$2:$A$124,0)),"")</f>
        <v/>
      </c>
      <c r="AA186" s="9">
        <f>IF(Z186="","",IF(LEFT($X186,1)="H",SQRT(Z186*(IFERROR(INDEX(Calc!$AP$2:$AP$124,MATCH($W186,Calc!$A$2:$A$124,0)),0.5)*Config!$B$5+1-IFERROR(INDEX(Calc!$AP$2:$AP$124,MATCH($W186,Calc!$A$2:$A$124,0)),0.5))),SQRT(Z186*Config!$B$5)))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MOUZ vs 9z</t>
        </is>
      </c>
      <c r="C187" t="inlineStr">
        <is>
          <t>xertioN</t>
        </is>
      </c>
      <c r="D187" t="inlineStr">
        <is>
          <t>MOUZ</t>
        </is>
      </c>
      <c r="E187" t="inlineStr">
        <is>
          <t>Maps 1-2 HS</t>
        </is>
      </c>
      <c r="F187" t="n">
        <v>15.5</v>
      </c>
      <c r="G187" s="9">
        <f>IFERROR(INDEX(CHOOSE(MATCH($X187,{"K1","K2","K3","K12","K13","H1","H2","H3","H12","H13"},0),Calc!$V$2:$V$124,Calc!$AC$2:$AC$124,Calc!$AJ$2:$AJ$124,Calc!$AL$2:$AL$124,Calc!$AM$2:$AM$124,Calc!$W$2:$W$124,Calc!$AD$2:$AD$124,Calc!$AK$2:$AK$124,Calc!$AN$2:$AN$124,Calc!$AO$2:$AO$124),MATCH($W187,Calc!$A$2:$A$124,0)),"")</f>
        <v/>
      </c>
      <c r="H187" s="9">
        <f>IF(G187="","",IF(LEFT($X187,1)="H",SQRT(G187*(IFERROR(INDEX(Calc!$AP$2:$AP$124,MATCH($W187,Calc!$A$2:$A$124,0)),0.5)*Config!$B$5+1-IFERROR(INDEX(Calc!$AP$2:$AP$124,MATCH($W187,Calc!$A$2:$A$124,0)),0.5))),SQRT(G187*Config!$B$5)))</f>
        <v/>
      </c>
      <c r="I187" s="8">
        <f>IF(OR(F187="",G187="",N(H187)&lt;=0),"",1-NORMDIST(FLOOR(F187,1)+0.5,G187,H187,TRUE))</f>
        <v/>
      </c>
      <c r="J187" s="8">
        <f>IF(I187="","",NORMDIST(CEILING(F187,1)-0.5,G187,H187,TRUE))</f>
        <v/>
      </c>
      <c r="K187" s="8">
        <f>IF(I187="","",MAX(0,1-I187-J187))</f>
        <v/>
      </c>
      <c r="L187">
        <f>IF(I187="","",IF(I187&gt;=0.5+Config!$B$6,"OVER",IF(J187&gt;=0.5+Config!$B$6,"UNDER","—")))</f>
        <v/>
      </c>
      <c r="N187" t="n">
        <v>14.9</v>
      </c>
      <c r="O187" s="8" t="n">
        <v>0.4</v>
      </c>
      <c r="P187" s="8" t="n">
        <v>0.4</v>
      </c>
      <c r="Q187" s="8" t="n">
        <v>0.47</v>
      </c>
      <c r="R187" t="inlineStr">
        <is>
          <t>33%/1/3</t>
        </is>
      </c>
      <c r="S187" t="n">
        <v>1</v>
      </c>
      <c r="T187">
        <f>INDEX(Calc!$G$2:$G$124,MATCH($W187,Calc!$A$2:$A$124,0))&amp;" / "&amp;INDEX(Calc!$H$2:$H$124,MATCH($W187,Calc!$A$2:$A$124,0))</f>
        <v/>
      </c>
      <c r="U187">
        <f>TEXT(INDEX(Calc!$J$2:$J$124,MATCH($W187,Calc!$A$2:$A$124,0)),"0.0")&amp;" / "&amp;TEXT(INDEX(Calc!$K$2:$K$124,MATCH($W187,Calc!$A$2:$A$124,0)),"0.0")</f>
        <v/>
      </c>
      <c r="V187">
        <f>IFERROR(INDEX(Calc!$AQ$2:$AQ$124,MATCH($W187,Calc!$A$2:$A$124,0)),"")</f>
        <v/>
      </c>
      <c r="W187" t="inlineStr">
        <is>
          <t>ih00nznuepxs9r3|CS2 · MOUZ vs 9z</t>
        </is>
      </c>
      <c r="X187" t="inlineStr">
        <is>
          <t>H12</t>
        </is>
      </c>
      <c r="Y187">
        <f>W187&amp;"|"&amp;X187</f>
        <v/>
      </c>
      <c r="Z187" s="9">
        <f>IFERROR(INDEX(CHOOSE(MATCH($X187,{"K1","K2","K3","K12","K13","H1","H2","H3","H12","H13"},0),Calc!$BA$2:$BA$124,Calc!$BB$2:$BB$124,Calc!$BC$2:$BC$124,Calc!$BD$2:$BD$124,Calc!$BE$2:$BE$124,Calc!$BF$2:$BF$124,Calc!$BG$2:$BG$124,Calc!$BH$2:$BH$124,Calc!$BI$2:$BI$124,Calc!$BJ$2:$BJ$124),MATCH($W187,Calc!$A$2:$A$124,0)),"")</f>
        <v/>
      </c>
      <c r="AA187" s="9">
        <f>IF(Z187="","",IF(LEFT($X187,1)="H",SQRT(Z187*(IFERROR(INDEX(Calc!$AP$2:$AP$124,MATCH($W187,Calc!$A$2:$A$124,0)),0.5)*Config!$B$5+1-IFERROR(INDEX(Calc!$AP$2:$AP$124,MATCH($W187,Calc!$A$2:$A$124,0)),0.5))),SQRT(Z187*Config!$B$5)))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MOUZ vs 9z</t>
        </is>
      </c>
      <c r="C188" t="inlineStr">
        <is>
          <t>xertioN</t>
        </is>
      </c>
      <c r="D188" t="inlineStr">
        <is>
          <t>MOUZ</t>
        </is>
      </c>
      <c r="E188" t="inlineStr">
        <is>
          <t>Maps 1-2 Kills</t>
        </is>
      </c>
      <c r="F188" t="n">
        <v>30.5</v>
      </c>
      <c r="G188" s="9">
        <f>IFERROR(INDEX(CHOOSE(MATCH($X188,{"K1","K2","K3","K12","K13","H1","H2","H3","H12","H13"},0),Calc!$V$2:$V$124,Calc!$AC$2:$AC$124,Calc!$AJ$2:$AJ$124,Calc!$AL$2:$AL$124,Calc!$AM$2:$AM$124,Calc!$W$2:$W$124,Calc!$AD$2:$AD$124,Calc!$AK$2:$AK$124,Calc!$AN$2:$AN$124,Calc!$AO$2:$AO$124),MATCH($W188,Calc!$A$2:$A$124,0)),"")</f>
        <v/>
      </c>
      <c r="H188" s="9">
        <f>IF(G188="","",IF(LEFT($X188,1)="H",SQRT(G188*(IFERROR(INDEX(Calc!$AP$2:$AP$124,MATCH($W188,Calc!$A$2:$A$124,0)),0.5)*Config!$B$5+1-IFERROR(INDEX(Calc!$AP$2:$AP$124,MATCH($W188,Calc!$A$2:$A$124,0)),0.5))),SQRT(G188*Config!$B$5)))</f>
        <v/>
      </c>
      <c r="I188" s="8">
        <f>IF(OR(F188="",G188="",N(H188)&lt;=0),"",1-NORMDIST(FLOOR(F188,1)+0.5,G188,H188,TRUE))</f>
        <v/>
      </c>
      <c r="J188" s="8">
        <f>IF(I188="","",NORMDIST(CEILING(F188,1)-0.5,G188,H188,TRUE))</f>
        <v/>
      </c>
      <c r="K188" s="8">
        <f>IF(I188="","",MAX(0,1-I188-J188))</f>
        <v/>
      </c>
      <c r="L188">
        <f>IF(I188="","",IF(I188&gt;=0.5+Config!$B$6,"OVER",IF(J188&gt;=0.5+Config!$B$6,"UNDER","—")))</f>
        <v/>
      </c>
      <c r="M188" t="n">
        <v>30</v>
      </c>
      <c r="N188" t="n">
        <v>30</v>
      </c>
      <c r="O188" s="8" t="n">
        <v>0.4</v>
      </c>
      <c r="P188" s="8" t="n">
        <v>0.5</v>
      </c>
      <c r="Q188" s="8" t="n">
        <v>0.47</v>
      </c>
      <c r="R188" t="inlineStr">
        <is>
          <t>33%/1/3</t>
        </is>
      </c>
      <c r="S188" t="n">
        <v>1</v>
      </c>
      <c r="T188">
        <f>INDEX(Calc!$G$2:$G$124,MATCH($W188,Calc!$A$2:$A$124,0))&amp;" / "&amp;INDEX(Calc!$H$2:$H$124,MATCH($W188,Calc!$A$2:$A$124,0))</f>
        <v/>
      </c>
      <c r="U188">
        <f>TEXT(INDEX(Calc!$J$2:$J$124,MATCH($W188,Calc!$A$2:$A$124,0)),"0.0")&amp;" / "&amp;TEXT(INDEX(Calc!$K$2:$K$124,MATCH($W188,Calc!$A$2:$A$124,0)),"0.0")</f>
        <v/>
      </c>
      <c r="V188">
        <f>IFERROR(INDEX(Calc!$AQ$2:$AQ$124,MATCH($W188,Calc!$A$2:$A$124,0)),"")</f>
        <v/>
      </c>
      <c r="W188" t="inlineStr">
        <is>
          <t>ih00nznuepxs9r3|CS2 · MOUZ vs 9z</t>
        </is>
      </c>
      <c r="X188" t="inlineStr">
        <is>
          <t>K12</t>
        </is>
      </c>
      <c r="Y188">
        <f>W188&amp;"|"&amp;X188</f>
        <v/>
      </c>
      <c r="Z188" s="9">
        <f>IFERROR(INDEX(CHOOSE(MATCH($X188,{"K1","K2","K3","K12","K13","H1","H2","H3","H12","H13"},0),Calc!$BA$2:$BA$124,Calc!$BB$2:$BB$124,Calc!$BC$2:$BC$124,Calc!$BD$2:$BD$124,Calc!$BE$2:$BE$124,Calc!$BF$2:$BF$124,Calc!$BG$2:$BG$124,Calc!$BH$2:$BH$124,Calc!$BI$2:$BI$124,Calc!$BJ$2:$BJ$124),MATCH($W188,Calc!$A$2:$A$124,0)),"")</f>
        <v/>
      </c>
      <c r="AA188" s="9">
        <f>IF(Z188="","",IF(LEFT($X188,1)="H",SQRT(Z188*(IFERROR(INDEX(Calc!$AP$2:$AP$124,MATCH($W188,Calc!$A$2:$A$124,0)),0.5)*Config!$B$5+1-IFERROR(INDEX(Calc!$AP$2:$AP$124,MATCH($W188,Calc!$A$2:$A$124,0)),0.5))),SQRT(Z188*Config!$B$5)))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TS vs TYLOO</t>
        </is>
      </c>
      <c r="C189" t="inlineStr">
        <is>
          <t>donk</t>
        </is>
      </c>
      <c r="D189" t="inlineStr">
        <is>
          <t>TS</t>
        </is>
      </c>
      <c r="E189" t="inlineStr">
        <is>
          <t>Maps 1-2 HS</t>
        </is>
      </c>
      <c r="F189" t="n">
        <v>24</v>
      </c>
      <c r="G189" s="9">
        <f>IFERROR(INDEX(CHOOSE(MATCH($X189,{"K1","K2","K3","K12","K13","H1","H2","H3","H12","H13"},0),Calc!$V$2:$V$124,Calc!$AC$2:$AC$124,Calc!$AJ$2:$AJ$124,Calc!$AL$2:$AL$124,Calc!$AM$2:$AM$124,Calc!$W$2:$W$124,Calc!$AD$2:$AD$124,Calc!$AK$2:$AK$124,Calc!$AN$2:$AN$124,Calc!$AO$2:$AO$124),MATCH($W189,Calc!$A$2:$A$124,0)),"")</f>
        <v/>
      </c>
      <c r="H189" s="9">
        <f>IF(G189="","",IF(LEFT($X189,1)="H",SQRT(G189*(IFERROR(INDEX(Calc!$AP$2:$AP$124,MATCH($W189,Calc!$A$2:$A$124,0)),0.5)*Config!$B$5+1-IFERROR(INDEX(Calc!$AP$2:$AP$124,MATCH($W189,Calc!$A$2:$A$124,0)),0.5))),SQRT(G189*Config!$B$5)))</f>
        <v/>
      </c>
      <c r="I189" s="8">
        <f>IF(OR(F189="",G189="",N(H189)&lt;=0),"",1-NORMDIST(FLOOR(F189,1)+0.5,G189,H189,TRUE))</f>
        <v/>
      </c>
      <c r="J189" s="8">
        <f>IF(I189="","",NORMDIST(CEILING(F189,1)-0.5,G189,H189,TRUE))</f>
        <v/>
      </c>
      <c r="K189" s="8">
        <f>IF(I189="","",MAX(0,1-I189-J189))</f>
        <v/>
      </c>
      <c r="L189">
        <f>IF(I189="","",IF(I189&gt;=0.5+Config!$B$6,"OVER",IF(J189&gt;=0.5+Config!$B$6,"UNDER","—")))</f>
        <v/>
      </c>
      <c r="N189" t="n">
        <v>22.7</v>
      </c>
      <c r="O189" s="8" t="n">
        <v>0.2</v>
      </c>
      <c r="P189" s="8" t="n">
        <v>0.4</v>
      </c>
      <c r="Q189" s="8" t="n">
        <v>0.47</v>
      </c>
      <c r="R189" t="inlineStr">
        <is>
          <t>100%/1/1</t>
        </is>
      </c>
      <c r="S189" t="n">
        <v>-4</v>
      </c>
      <c r="T189">
        <f>INDEX(Calc!$G$2:$G$124,MATCH($W189,Calc!$A$2:$A$124,0))&amp;" / "&amp;INDEX(Calc!$H$2:$H$124,MATCH($W189,Calc!$A$2:$A$124,0))</f>
        <v/>
      </c>
      <c r="U189">
        <f>TEXT(INDEX(Calc!$J$2:$J$124,MATCH($W189,Calc!$A$2:$A$124,0)),"0.0")&amp;" / "&amp;TEXT(INDEX(Calc!$K$2:$K$124,MATCH($W189,Calc!$A$2:$A$124,0)),"0.0")</f>
        <v/>
      </c>
      <c r="V189">
        <f>IFERROR(INDEX(Calc!$AQ$2:$AQ$124,MATCH($W189,Calc!$A$2:$A$124,0)),"")</f>
        <v/>
      </c>
      <c r="W189" t="inlineStr">
        <is>
          <t>jm8g7f19qs3a8gx|CS2 · TS vs TYLOO</t>
        </is>
      </c>
      <c r="X189" t="inlineStr">
        <is>
          <t>H12</t>
        </is>
      </c>
      <c r="Y189">
        <f>W189&amp;"|"&amp;X189</f>
        <v/>
      </c>
      <c r="Z189" s="9">
        <f>IFERROR(INDEX(CHOOSE(MATCH($X189,{"K1","K2","K3","K12","K13","H1","H2","H3","H12","H13"},0),Calc!$BA$2:$BA$124,Calc!$BB$2:$BB$124,Calc!$BC$2:$BC$124,Calc!$BD$2:$BD$124,Calc!$BE$2:$BE$124,Calc!$BF$2:$BF$124,Calc!$BG$2:$BG$124,Calc!$BH$2:$BH$124,Calc!$BI$2:$BI$124,Calc!$BJ$2:$BJ$124),MATCH($W189,Calc!$A$2:$A$124,0)),"")</f>
        <v/>
      </c>
      <c r="AA189" s="9">
        <f>IF(Z189="","",IF(LEFT($X189,1)="H",SQRT(Z189*(IFERROR(INDEX(Calc!$AP$2:$AP$124,MATCH($W189,Calc!$A$2:$A$124,0)),0.5)*Config!$B$5+1-IFERROR(INDEX(Calc!$AP$2:$AP$124,MATCH($W189,Calc!$A$2:$A$124,0)),0.5))),SQRT(Z189*Config!$B$5)))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TS vs TYLOO</t>
        </is>
      </c>
      <c r="C190" t="inlineStr">
        <is>
          <t>donk</t>
        </is>
      </c>
      <c r="D190" t="inlineStr">
        <is>
          <t>TS</t>
        </is>
      </c>
      <c r="E190" t="inlineStr">
        <is>
          <t>Maps 1-2 Kills</t>
        </is>
      </c>
      <c r="F190" t="n">
        <v>38.5</v>
      </c>
      <c r="G190" s="9">
        <f>IFERROR(INDEX(CHOOSE(MATCH($X190,{"K1","K2","K3","K12","K13","H1","H2","H3","H12","H13"},0),Calc!$V$2:$V$124,Calc!$AC$2:$AC$124,Calc!$AJ$2:$AJ$124,Calc!$AL$2:$AL$124,Calc!$AM$2:$AM$124,Calc!$W$2:$W$124,Calc!$AD$2:$AD$124,Calc!$AK$2:$AK$124,Calc!$AN$2:$AN$124,Calc!$AO$2:$AO$124),MATCH($W190,Calc!$A$2:$A$124,0)),"")</f>
        <v/>
      </c>
      <c r="H190" s="9">
        <f>IF(G190="","",IF(LEFT($X190,1)="H",SQRT(G190*(IFERROR(INDEX(Calc!$AP$2:$AP$124,MATCH($W190,Calc!$A$2:$A$124,0)),0.5)*Config!$B$5+1-IFERROR(INDEX(Calc!$AP$2:$AP$124,MATCH($W190,Calc!$A$2:$A$124,0)),0.5))),SQRT(G190*Config!$B$5)))</f>
        <v/>
      </c>
      <c r="I190" s="8">
        <f>IF(OR(F190="",G190="",N(H190)&lt;=0),"",1-NORMDIST(FLOOR(F190,1)+0.5,G190,H190,TRUE))</f>
        <v/>
      </c>
      <c r="J190" s="8">
        <f>IF(I190="","",NORMDIST(CEILING(F190,1)-0.5,G190,H190,TRUE))</f>
        <v/>
      </c>
      <c r="K190" s="8">
        <f>IF(I190="","",MAX(0,1-I190-J190))</f>
        <v/>
      </c>
      <c r="L190">
        <f>IF(I190="","",IF(I190&gt;=0.5+Config!$B$6,"OVER",IF(J190&gt;=0.5+Config!$B$6,"UNDER","—")))</f>
        <v/>
      </c>
      <c r="M190" t="n">
        <v>39</v>
      </c>
      <c r="N190" t="n">
        <v>34</v>
      </c>
      <c r="O190" s="8" t="n">
        <v>0.2</v>
      </c>
      <c r="P190" s="8" t="n">
        <v>0.2</v>
      </c>
      <c r="Q190" s="8" t="n">
        <v>0.33</v>
      </c>
      <c r="R190" t="inlineStr">
        <is>
          <t>100%/1/1</t>
        </is>
      </c>
      <c r="S190" t="n">
        <v>-4</v>
      </c>
      <c r="T190">
        <f>INDEX(Calc!$G$2:$G$124,MATCH($W190,Calc!$A$2:$A$124,0))&amp;" / "&amp;INDEX(Calc!$H$2:$H$124,MATCH($W190,Calc!$A$2:$A$124,0))</f>
        <v/>
      </c>
      <c r="U190">
        <f>TEXT(INDEX(Calc!$J$2:$J$124,MATCH($W190,Calc!$A$2:$A$124,0)),"0.0")&amp;" / "&amp;TEXT(INDEX(Calc!$K$2:$K$124,MATCH($W190,Calc!$A$2:$A$124,0)),"0.0")</f>
        <v/>
      </c>
      <c r="V190">
        <f>IFERROR(INDEX(Calc!$AQ$2:$AQ$124,MATCH($W190,Calc!$A$2:$A$124,0)),"")</f>
        <v/>
      </c>
      <c r="W190" t="inlineStr">
        <is>
          <t>jm8g7f19qs3a8gx|CS2 · TS vs TYLOO</t>
        </is>
      </c>
      <c r="X190" t="inlineStr">
        <is>
          <t>K12</t>
        </is>
      </c>
      <c r="Y190">
        <f>W190&amp;"|"&amp;X190</f>
        <v/>
      </c>
      <c r="Z190" s="9">
        <f>IFERROR(INDEX(CHOOSE(MATCH($X190,{"K1","K2","K3","K12","K13","H1","H2","H3","H12","H13"},0),Calc!$BA$2:$BA$124,Calc!$BB$2:$BB$124,Calc!$BC$2:$BC$124,Calc!$BD$2:$BD$124,Calc!$BE$2:$BE$124,Calc!$BF$2:$BF$124,Calc!$BG$2:$BG$124,Calc!$BH$2:$BH$124,Calc!$BI$2:$BI$124,Calc!$BJ$2:$BJ$124),MATCH($W190,Calc!$A$2:$A$124,0)),"")</f>
        <v/>
      </c>
      <c r="AA190" s="9">
        <f>IF(Z190="","",IF(LEFT($X190,1)="H",SQRT(Z190*(IFERROR(INDEX(Calc!$AP$2:$AP$124,MATCH($W190,Calc!$A$2:$A$124,0)),0.5)*Config!$B$5+1-IFERROR(INDEX(Calc!$AP$2:$AP$124,MATCH($W190,Calc!$A$2:$A$124,0)),0.5))),SQRT(Z190*Config!$B$5)))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TS vs TYLOO</t>
        </is>
      </c>
      <c r="C191" t="inlineStr">
        <is>
          <t>magixx</t>
        </is>
      </c>
      <c r="D191" t="inlineStr">
        <is>
          <t>TS</t>
        </is>
      </c>
      <c r="E191" t="inlineStr">
        <is>
          <t>Maps 1-2 HS</t>
        </is>
      </c>
      <c r="F191" t="n">
        <v>13</v>
      </c>
      <c r="G191" s="9">
        <f>IFERROR(INDEX(CHOOSE(MATCH($X191,{"K1","K2","K3","K12","K13","H1","H2","H3","H12","H13"},0),Calc!$V$2:$V$124,Calc!$AC$2:$AC$124,Calc!$AJ$2:$AJ$124,Calc!$AL$2:$AL$124,Calc!$AM$2:$AM$124,Calc!$W$2:$W$124,Calc!$AD$2:$AD$124,Calc!$AK$2:$AK$124,Calc!$AN$2:$AN$124,Calc!$AO$2:$AO$124),MATCH($W191,Calc!$A$2:$A$124,0)),"")</f>
        <v/>
      </c>
      <c r="H191" s="9">
        <f>IF(G191="","",IF(LEFT($X191,1)="H",SQRT(G191*(IFERROR(INDEX(Calc!$AP$2:$AP$124,MATCH($W191,Calc!$A$2:$A$124,0)),0.5)*Config!$B$5+1-IFERROR(INDEX(Calc!$AP$2:$AP$124,MATCH($W191,Calc!$A$2:$A$124,0)),0.5))),SQRT(G191*Config!$B$5)))</f>
        <v/>
      </c>
      <c r="I191" s="8">
        <f>IF(OR(F191="",G191="",N(H191)&lt;=0),"",1-NORMDIST(FLOOR(F191,1)+0.5,G191,H191,TRUE))</f>
        <v/>
      </c>
      <c r="J191" s="8">
        <f>IF(I191="","",NORMDIST(CEILING(F191,1)-0.5,G191,H191,TRUE))</f>
        <v/>
      </c>
      <c r="K191" s="8">
        <f>IF(I191="","",MAX(0,1-I191-J191))</f>
        <v/>
      </c>
      <c r="L191">
        <f>IF(I191="","",IF(I191&gt;=0.5+Config!$B$6,"OVER",IF(J191&gt;=0.5+Config!$B$6,"UNDER","—")))</f>
        <v/>
      </c>
      <c r="N191" t="n">
        <v>12.3</v>
      </c>
      <c r="O191" s="8" t="n">
        <v>0.4</v>
      </c>
      <c r="P191" s="8" t="n">
        <v>0.3</v>
      </c>
      <c r="Q191" s="8" t="n">
        <v>0.4</v>
      </c>
      <c r="R191" t="inlineStr">
        <is>
          <t>100%/1/1</t>
        </is>
      </c>
      <c r="S191" t="n">
        <v>-3</v>
      </c>
      <c r="T191">
        <f>INDEX(Calc!$G$2:$G$124,MATCH($W191,Calc!$A$2:$A$124,0))&amp;" / "&amp;INDEX(Calc!$H$2:$H$124,MATCH($W191,Calc!$A$2:$A$124,0))</f>
        <v/>
      </c>
      <c r="U191">
        <f>TEXT(INDEX(Calc!$J$2:$J$124,MATCH($W191,Calc!$A$2:$A$124,0)),"0.0")&amp;" / "&amp;TEXT(INDEX(Calc!$K$2:$K$124,MATCH($W191,Calc!$A$2:$A$124,0)),"0.0")</f>
        <v/>
      </c>
      <c r="V191">
        <f>IFERROR(INDEX(Calc!$AQ$2:$AQ$124,MATCH($W191,Calc!$A$2:$A$124,0)),"")</f>
        <v/>
      </c>
      <c r="W191" t="inlineStr">
        <is>
          <t>lfjx2i4g14pwgag|CS2 · TS vs TYLOO</t>
        </is>
      </c>
      <c r="X191" t="inlineStr">
        <is>
          <t>H12</t>
        </is>
      </c>
      <c r="Y191">
        <f>W191&amp;"|"&amp;X191</f>
        <v/>
      </c>
      <c r="Z191" s="9">
        <f>IFERROR(INDEX(CHOOSE(MATCH($X191,{"K1","K2","K3","K12","K13","H1","H2","H3","H12","H13"},0),Calc!$BA$2:$BA$124,Calc!$BB$2:$BB$124,Calc!$BC$2:$BC$124,Calc!$BD$2:$BD$124,Calc!$BE$2:$BE$124,Calc!$BF$2:$BF$124,Calc!$BG$2:$BG$124,Calc!$BH$2:$BH$124,Calc!$BI$2:$BI$124,Calc!$BJ$2:$BJ$124),MATCH($W191,Calc!$A$2:$A$124,0)),"")</f>
        <v/>
      </c>
      <c r="AA191" s="9">
        <f>IF(Z191="","",IF(LEFT($X191,1)="H",SQRT(Z191*(IFERROR(INDEX(Calc!$AP$2:$AP$124,MATCH($W191,Calc!$A$2:$A$124,0)),0.5)*Config!$B$5+1-IFERROR(INDEX(Calc!$AP$2:$AP$124,MATCH($W191,Calc!$A$2:$A$124,0)),0.5))),SQRT(Z191*Config!$B$5)))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TS vs TYLOO</t>
        </is>
      </c>
      <c r="C192" t="inlineStr">
        <is>
          <t>magixx</t>
        </is>
      </c>
      <c r="D192" t="inlineStr">
        <is>
          <t>TS</t>
        </is>
      </c>
      <c r="E192" t="inlineStr">
        <is>
          <t>Maps 1-2 Kills</t>
        </is>
      </c>
      <c r="F192" t="n">
        <v>25.5</v>
      </c>
      <c r="G192" s="9">
        <f>IFERROR(INDEX(CHOOSE(MATCH($X192,{"K1","K2","K3","K12","K13","H1","H2","H3","H12","H13"},0),Calc!$V$2:$V$124,Calc!$AC$2:$AC$124,Calc!$AJ$2:$AJ$124,Calc!$AL$2:$AL$124,Calc!$AM$2:$AM$124,Calc!$W$2:$W$124,Calc!$AD$2:$AD$124,Calc!$AK$2:$AK$124,Calc!$AN$2:$AN$124,Calc!$AO$2:$AO$124),MATCH($W192,Calc!$A$2:$A$124,0)),"")</f>
        <v/>
      </c>
      <c r="H192" s="9">
        <f>IF(G192="","",IF(LEFT($X192,1)="H",SQRT(G192*(IFERROR(INDEX(Calc!$AP$2:$AP$124,MATCH($W192,Calc!$A$2:$A$124,0)),0.5)*Config!$B$5+1-IFERROR(INDEX(Calc!$AP$2:$AP$124,MATCH($W192,Calc!$A$2:$A$124,0)),0.5))),SQRT(G192*Config!$B$5)))</f>
        <v/>
      </c>
      <c r="I192" s="8">
        <f>IF(OR(F192="",G192="",N(H192)&lt;=0),"",1-NORMDIST(FLOOR(F192,1)+0.5,G192,H192,TRUE))</f>
        <v/>
      </c>
      <c r="J192" s="8">
        <f>IF(I192="","",NORMDIST(CEILING(F192,1)-0.5,G192,H192,TRUE))</f>
        <v/>
      </c>
      <c r="K192" s="8">
        <f>IF(I192="","",MAX(0,1-I192-J192))</f>
        <v/>
      </c>
      <c r="L192">
        <f>IF(I192="","",IF(I192&gt;=0.5+Config!$B$6,"OVER",IF(J192&gt;=0.5+Config!$B$6,"UNDER","—")))</f>
        <v/>
      </c>
      <c r="M192" t="n">
        <v>25</v>
      </c>
      <c r="N192" t="n">
        <v>23.6</v>
      </c>
      <c r="O192" s="8" t="n">
        <v>0.4</v>
      </c>
      <c r="P192" s="8" t="n">
        <v>0.3</v>
      </c>
      <c r="Q192" s="8" t="n">
        <v>0.33</v>
      </c>
      <c r="R192" t="inlineStr">
        <is>
          <t>0%/0/1</t>
        </is>
      </c>
      <c r="S192" t="n">
        <v>-3</v>
      </c>
      <c r="T192">
        <f>INDEX(Calc!$G$2:$G$124,MATCH($W192,Calc!$A$2:$A$124,0))&amp;" / "&amp;INDEX(Calc!$H$2:$H$124,MATCH($W192,Calc!$A$2:$A$124,0))</f>
        <v/>
      </c>
      <c r="U192">
        <f>TEXT(INDEX(Calc!$J$2:$J$124,MATCH($W192,Calc!$A$2:$A$124,0)),"0.0")&amp;" / "&amp;TEXT(INDEX(Calc!$K$2:$K$124,MATCH($W192,Calc!$A$2:$A$124,0)),"0.0")</f>
        <v/>
      </c>
      <c r="V192">
        <f>IFERROR(INDEX(Calc!$AQ$2:$AQ$124,MATCH($W192,Calc!$A$2:$A$124,0)),"")</f>
        <v/>
      </c>
      <c r="W192" t="inlineStr">
        <is>
          <t>lfjx2i4g14pwgag|CS2 · TS vs TYLOO</t>
        </is>
      </c>
      <c r="X192" t="inlineStr">
        <is>
          <t>K12</t>
        </is>
      </c>
      <c r="Y192">
        <f>W192&amp;"|"&amp;X192</f>
        <v/>
      </c>
      <c r="Z192" s="9">
        <f>IFERROR(INDEX(CHOOSE(MATCH($X192,{"K1","K2","K3","K12","K13","H1","H2","H3","H12","H13"},0),Calc!$BA$2:$BA$124,Calc!$BB$2:$BB$124,Calc!$BC$2:$BC$124,Calc!$BD$2:$BD$124,Calc!$BE$2:$BE$124,Calc!$BF$2:$BF$124,Calc!$BG$2:$BG$124,Calc!$BH$2:$BH$124,Calc!$BI$2:$BI$124,Calc!$BJ$2:$BJ$124),MATCH($W192,Calc!$A$2:$A$124,0)),"")</f>
        <v/>
      </c>
      <c r="AA192" s="9">
        <f>IF(Z192="","",IF(LEFT($X192,1)="H",SQRT(Z192*(IFERROR(INDEX(Calc!$AP$2:$AP$124,MATCH($W192,Calc!$A$2:$A$124,0)),0.5)*Config!$B$5+1-IFERROR(INDEX(Calc!$AP$2:$AP$124,MATCH($W192,Calc!$A$2:$A$124,0)),0.5))),SQRT(Z192*Config!$B$5)))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TS vs TYLOO</t>
        </is>
      </c>
      <c r="C193" t="inlineStr">
        <is>
          <t>sh1ro</t>
        </is>
      </c>
      <c r="D193" t="inlineStr">
        <is>
          <t>TS</t>
        </is>
      </c>
      <c r="E193" t="inlineStr">
        <is>
          <t>Maps 1-2 HS</t>
        </is>
      </c>
      <c r="F193" t="n">
        <v>10.5</v>
      </c>
      <c r="G193" s="9">
        <f>IFERROR(INDEX(CHOOSE(MATCH($X193,{"K1","K2","K3","K12","K13","H1","H2","H3","H12","H13"},0),Calc!$V$2:$V$124,Calc!$AC$2:$AC$124,Calc!$AJ$2:$AJ$124,Calc!$AL$2:$AL$124,Calc!$AM$2:$AM$124,Calc!$W$2:$W$124,Calc!$AD$2:$AD$124,Calc!$AK$2:$AK$124,Calc!$AN$2:$AN$124,Calc!$AO$2:$AO$124),MATCH($W193,Calc!$A$2:$A$124,0)),"")</f>
        <v/>
      </c>
      <c r="H193" s="9">
        <f>IF(G193="","",IF(LEFT($X193,1)="H",SQRT(G193*(IFERROR(INDEX(Calc!$AP$2:$AP$124,MATCH($W193,Calc!$A$2:$A$124,0)),0.5)*Config!$B$5+1-IFERROR(INDEX(Calc!$AP$2:$AP$124,MATCH($W193,Calc!$A$2:$A$124,0)),0.5))),SQRT(G193*Config!$B$5)))</f>
        <v/>
      </c>
      <c r="I193" s="8">
        <f>IF(OR(F193="",G193="",N(H193)&lt;=0),"",1-NORMDIST(FLOOR(F193,1)+0.5,G193,H193,TRUE))</f>
        <v/>
      </c>
      <c r="J193" s="8">
        <f>IF(I193="","",NORMDIST(CEILING(F193,1)-0.5,G193,H193,TRUE))</f>
        <v/>
      </c>
      <c r="K193" s="8">
        <f>IF(I193="","",MAX(0,1-I193-J193))</f>
        <v/>
      </c>
      <c r="L193">
        <f>IF(I193="","",IF(I193&gt;=0.5+Config!$B$6,"OVER",IF(J193&gt;=0.5+Config!$B$6,"UNDER","—")))</f>
        <v/>
      </c>
      <c r="N193" t="n">
        <v>10.2</v>
      </c>
      <c r="O193" s="8" t="n">
        <v>0.2</v>
      </c>
      <c r="P193" s="8" t="n">
        <v>0.5</v>
      </c>
      <c r="Q193" s="8" t="n">
        <v>0.6</v>
      </c>
      <c r="R193" t="inlineStr">
        <is>
          <t>100%/1/1</t>
        </is>
      </c>
      <c r="S193" t="n">
        <v>-1</v>
      </c>
      <c r="T193">
        <f>INDEX(Calc!$G$2:$G$124,MATCH($W193,Calc!$A$2:$A$124,0))&amp;" / "&amp;INDEX(Calc!$H$2:$H$124,MATCH($W193,Calc!$A$2:$A$124,0))</f>
        <v/>
      </c>
      <c r="U193">
        <f>TEXT(INDEX(Calc!$J$2:$J$124,MATCH($W193,Calc!$A$2:$A$124,0)),"0.0")&amp;" / "&amp;TEXT(INDEX(Calc!$K$2:$K$124,MATCH($W193,Calc!$A$2:$A$124,0)),"0.0")</f>
        <v/>
      </c>
      <c r="V193">
        <f>IFERROR(INDEX(Calc!$AQ$2:$AQ$124,MATCH($W193,Calc!$A$2:$A$124,0)),"")</f>
        <v/>
      </c>
      <c r="W193" t="inlineStr">
        <is>
          <t>4hpvy9eb05vcrre|CS2 · TS vs TYLOO</t>
        </is>
      </c>
      <c r="X193" t="inlineStr">
        <is>
          <t>H12</t>
        </is>
      </c>
      <c r="Y193">
        <f>W193&amp;"|"&amp;X193</f>
        <v/>
      </c>
      <c r="Z193" s="9">
        <f>IFERROR(INDEX(CHOOSE(MATCH($X193,{"K1","K2","K3","K12","K13","H1","H2","H3","H12","H13"},0),Calc!$BA$2:$BA$124,Calc!$BB$2:$BB$124,Calc!$BC$2:$BC$124,Calc!$BD$2:$BD$124,Calc!$BE$2:$BE$124,Calc!$BF$2:$BF$124,Calc!$BG$2:$BG$124,Calc!$BH$2:$BH$124,Calc!$BI$2:$BI$124,Calc!$BJ$2:$BJ$124),MATCH($W193,Calc!$A$2:$A$124,0)),"")</f>
        <v/>
      </c>
      <c r="AA193" s="9">
        <f>IF(Z193="","",IF(LEFT($X193,1)="H",SQRT(Z193*(IFERROR(INDEX(Calc!$AP$2:$AP$124,MATCH($W193,Calc!$A$2:$A$124,0)),0.5)*Config!$B$5+1-IFERROR(INDEX(Calc!$AP$2:$AP$124,MATCH($W193,Calc!$A$2:$A$124,0)),0.5))),SQRT(Z193*Config!$B$5)))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TS vs TYLOO</t>
        </is>
      </c>
      <c r="C194" t="inlineStr">
        <is>
          <t>sh1ro</t>
        </is>
      </c>
      <c r="D194" t="inlineStr">
        <is>
          <t>TS</t>
        </is>
      </c>
      <c r="E194" t="inlineStr">
        <is>
          <t>Maps 1-2 Kills</t>
        </is>
      </c>
      <c r="F194" t="n">
        <v>31</v>
      </c>
      <c r="G194" s="9">
        <f>IFERROR(INDEX(CHOOSE(MATCH($X194,{"K1","K2","K3","K12","K13","H1","H2","H3","H12","H13"},0),Calc!$V$2:$V$124,Calc!$AC$2:$AC$124,Calc!$AJ$2:$AJ$124,Calc!$AL$2:$AL$124,Calc!$AM$2:$AM$124,Calc!$W$2:$W$124,Calc!$AD$2:$AD$124,Calc!$AK$2:$AK$124,Calc!$AN$2:$AN$124,Calc!$AO$2:$AO$124),MATCH($W194,Calc!$A$2:$A$124,0)),"")</f>
        <v/>
      </c>
      <c r="H194" s="9">
        <f>IF(G194="","",IF(LEFT($X194,1)="H",SQRT(G194*(IFERROR(INDEX(Calc!$AP$2:$AP$124,MATCH($W194,Calc!$A$2:$A$124,0)),0.5)*Config!$B$5+1-IFERROR(INDEX(Calc!$AP$2:$AP$124,MATCH($W194,Calc!$A$2:$A$124,0)),0.5))),SQRT(G194*Config!$B$5)))</f>
        <v/>
      </c>
      <c r="I194" s="8">
        <f>IF(OR(F194="",G194="",N(H194)&lt;=0),"",1-NORMDIST(FLOOR(F194,1)+0.5,G194,H194,TRUE))</f>
        <v/>
      </c>
      <c r="J194" s="8">
        <f>IF(I194="","",NORMDIST(CEILING(F194,1)-0.5,G194,H194,TRUE))</f>
        <v/>
      </c>
      <c r="K194" s="8">
        <f>IF(I194="","",MAX(0,1-I194-J194))</f>
        <v/>
      </c>
      <c r="L194">
        <f>IF(I194="","",IF(I194&gt;=0.5+Config!$B$6,"OVER",IF(J194&gt;=0.5+Config!$B$6,"UNDER","—")))</f>
        <v/>
      </c>
      <c r="M194" t="n">
        <v>31.59</v>
      </c>
      <c r="N194" t="n">
        <v>31</v>
      </c>
      <c r="O194" s="8" t="n">
        <v>0.2</v>
      </c>
      <c r="P194" s="8" t="n">
        <v>0.4</v>
      </c>
      <c r="Q194" s="8" t="n">
        <v>0.47</v>
      </c>
      <c r="R194" t="inlineStr">
        <is>
          <t>100%/1/1</t>
        </is>
      </c>
      <c r="S194" t="n">
        <v>-4</v>
      </c>
      <c r="T194">
        <f>INDEX(Calc!$G$2:$G$124,MATCH($W194,Calc!$A$2:$A$124,0))&amp;" / "&amp;INDEX(Calc!$H$2:$H$124,MATCH($W194,Calc!$A$2:$A$124,0))</f>
        <v/>
      </c>
      <c r="U194">
        <f>TEXT(INDEX(Calc!$J$2:$J$124,MATCH($W194,Calc!$A$2:$A$124,0)),"0.0")&amp;" / "&amp;TEXT(INDEX(Calc!$K$2:$K$124,MATCH($W194,Calc!$A$2:$A$124,0)),"0.0")</f>
        <v/>
      </c>
      <c r="V194">
        <f>IFERROR(INDEX(Calc!$AQ$2:$AQ$124,MATCH($W194,Calc!$A$2:$A$124,0)),"")</f>
        <v/>
      </c>
      <c r="W194" t="inlineStr">
        <is>
          <t>4hpvy9eb05vcrre|CS2 · TS vs TYLOO</t>
        </is>
      </c>
      <c r="X194" t="inlineStr">
        <is>
          <t>K12</t>
        </is>
      </c>
      <c r="Y194">
        <f>W194&amp;"|"&amp;X194</f>
        <v/>
      </c>
      <c r="Z194" s="9">
        <f>IFERROR(INDEX(CHOOSE(MATCH($X194,{"K1","K2","K3","K12","K13","H1","H2","H3","H12","H13"},0),Calc!$BA$2:$BA$124,Calc!$BB$2:$BB$124,Calc!$BC$2:$BC$124,Calc!$BD$2:$BD$124,Calc!$BE$2:$BE$124,Calc!$BF$2:$BF$124,Calc!$BG$2:$BG$124,Calc!$BH$2:$BH$124,Calc!$BI$2:$BI$124,Calc!$BJ$2:$BJ$124),MATCH($W194,Calc!$A$2:$A$124,0)),"")</f>
        <v/>
      </c>
      <c r="AA194" s="9">
        <f>IF(Z194="","",IF(LEFT($X194,1)="H",SQRT(Z194*(IFERROR(INDEX(Calc!$AP$2:$AP$124,MATCH($W194,Calc!$A$2:$A$124,0)),0.5)*Config!$B$5+1-IFERROR(INDEX(Calc!$AP$2:$AP$124,MATCH($W194,Calc!$A$2:$A$124,0)),0.5))),SQRT(Z194*Config!$B$5)))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TS vs TYLOO</t>
        </is>
      </c>
      <c r="C195" t="inlineStr">
        <is>
          <t>tN1R</t>
        </is>
      </c>
      <c r="D195" t="inlineStr">
        <is>
          <t>TS</t>
        </is>
      </c>
      <c r="E195" t="inlineStr">
        <is>
          <t>Maps 1-2 HS</t>
        </is>
      </c>
      <c r="F195" t="n">
        <v>16.5</v>
      </c>
      <c r="G195" s="9">
        <f>IFERROR(INDEX(CHOOSE(MATCH($X195,{"K1","K2","K3","K12","K13","H1","H2","H3","H12","H13"},0),Calc!$V$2:$V$124,Calc!$AC$2:$AC$124,Calc!$AJ$2:$AJ$124,Calc!$AL$2:$AL$124,Calc!$AM$2:$AM$124,Calc!$W$2:$W$124,Calc!$AD$2:$AD$124,Calc!$AK$2:$AK$124,Calc!$AN$2:$AN$124,Calc!$AO$2:$AO$124),MATCH($W195,Calc!$A$2:$A$124,0)),"")</f>
        <v/>
      </c>
      <c r="H195" s="9">
        <f>IF(G195="","",IF(LEFT($X195,1)="H",SQRT(G195*(IFERROR(INDEX(Calc!$AP$2:$AP$124,MATCH($W195,Calc!$A$2:$A$124,0)),0.5)*Config!$B$5+1-IFERROR(INDEX(Calc!$AP$2:$AP$124,MATCH($W195,Calc!$A$2:$A$124,0)),0.5))),SQRT(G195*Config!$B$5)))</f>
        <v/>
      </c>
      <c r="I195" s="8">
        <f>IF(OR(F195="",G195="",N(H195)&lt;=0),"",1-NORMDIST(FLOOR(F195,1)+0.5,G195,H195,TRUE))</f>
        <v/>
      </c>
      <c r="J195" s="8">
        <f>IF(I195="","",NORMDIST(CEILING(F195,1)-0.5,G195,H195,TRUE))</f>
        <v/>
      </c>
      <c r="K195" s="8">
        <f>IF(I195="","",MAX(0,1-I195-J195))</f>
        <v/>
      </c>
      <c r="L195">
        <f>IF(I195="","",IF(I195&gt;=0.5+Config!$B$6,"OVER",IF(J195&gt;=0.5+Config!$B$6,"UNDER","—")))</f>
        <v/>
      </c>
      <c r="N195" t="n">
        <v>15.9</v>
      </c>
      <c r="O195" s="8" t="n">
        <v>0.2</v>
      </c>
      <c r="P195" s="8" t="n">
        <v>0.3</v>
      </c>
      <c r="Q195" s="8" t="n">
        <v>0.47</v>
      </c>
      <c r="R195" t="inlineStr">
        <is>
          <t>100%/1/1</t>
        </is>
      </c>
      <c r="S195" t="n">
        <v>-3</v>
      </c>
      <c r="T195">
        <f>INDEX(Calc!$G$2:$G$124,MATCH($W195,Calc!$A$2:$A$124,0))&amp;" / "&amp;INDEX(Calc!$H$2:$H$124,MATCH($W195,Calc!$A$2:$A$124,0))</f>
        <v/>
      </c>
      <c r="U195">
        <f>TEXT(INDEX(Calc!$J$2:$J$124,MATCH($W195,Calc!$A$2:$A$124,0)),"0.0")&amp;" / "&amp;TEXT(INDEX(Calc!$K$2:$K$124,MATCH($W195,Calc!$A$2:$A$124,0)),"0.0")</f>
        <v/>
      </c>
      <c r="V195">
        <f>IFERROR(INDEX(Calc!$AQ$2:$AQ$124,MATCH($W195,Calc!$A$2:$A$124,0)),"")</f>
        <v/>
      </c>
      <c r="W195" t="inlineStr">
        <is>
          <t>23ihz3d4vuve2an|CS2 · TS vs TYLOO</t>
        </is>
      </c>
      <c r="X195" t="inlineStr">
        <is>
          <t>H12</t>
        </is>
      </c>
      <c r="Y195">
        <f>W195&amp;"|"&amp;X195</f>
        <v/>
      </c>
      <c r="Z195" s="9">
        <f>IFERROR(INDEX(CHOOSE(MATCH($X195,{"K1","K2","K3","K12","K13","H1","H2","H3","H12","H13"},0),Calc!$BA$2:$BA$124,Calc!$BB$2:$BB$124,Calc!$BC$2:$BC$124,Calc!$BD$2:$BD$124,Calc!$BE$2:$BE$124,Calc!$BF$2:$BF$124,Calc!$BG$2:$BG$124,Calc!$BH$2:$BH$124,Calc!$BI$2:$BI$124,Calc!$BJ$2:$BJ$124),MATCH($W195,Calc!$A$2:$A$124,0)),"")</f>
        <v/>
      </c>
      <c r="AA195" s="9">
        <f>IF(Z195="","",IF(LEFT($X195,1)="H",SQRT(Z195*(IFERROR(INDEX(Calc!$AP$2:$AP$124,MATCH($W195,Calc!$A$2:$A$124,0)),0.5)*Config!$B$5+1-IFERROR(INDEX(Calc!$AP$2:$AP$124,MATCH($W195,Calc!$A$2:$A$124,0)),0.5))),SQRT(Z195*Config!$B$5)))</f>
        <v/>
      </c>
      <c r="AB195" s="8">
        <f>IF(OR(F195="",Z195="",N(AA195)&lt;=0),"",1-NORMDIST(FLOOR(F195,1)+0.5,Z195,AA195,TRUE))</f>
        <v/>
      </c>
      <c r="AC195" s="8">
        <f>IF(AB195="","",NORMDIST(CEILING(F195,1)-0.5,Z195,AA195,TRUE))</f>
        <v/>
      </c>
      <c r="AD195">
        <f>IF(AB195="","",IF(AB195&gt;=0.5+Config!$B$6,"OVER",IF(AC195&gt;=0.5+Config!$B$6,"UNDER","—")))</f>
        <v/>
      </c>
      <c r="AE195" s="11">
        <f>IFERROR(Z195/G195,"")</f>
        <v/>
      </c>
    </row>
    <row r="196">
      <c r="A196" t="inlineStr">
        <is>
          <t>CS2</t>
        </is>
      </c>
      <c r="B196" t="inlineStr">
        <is>
          <t>CS2 · TS vs TYLOO</t>
        </is>
      </c>
      <c r="C196" t="inlineStr">
        <is>
          <t>tN1R</t>
        </is>
      </c>
      <c r="D196" t="inlineStr">
        <is>
          <t>TS</t>
        </is>
      </c>
      <c r="E196" t="inlineStr">
        <is>
          <t>Maps 1-2 Kills</t>
        </is>
      </c>
      <c r="F196" t="n">
        <v>28.5</v>
      </c>
      <c r="G196" s="9">
        <f>IFERROR(INDEX(CHOOSE(MATCH($X196,{"K1","K2","K3","K12","K13","H1","H2","H3","H12","H13"},0),Calc!$V$2:$V$124,Calc!$AC$2:$AC$124,Calc!$AJ$2:$AJ$124,Calc!$AL$2:$AL$124,Calc!$AM$2:$AM$124,Calc!$W$2:$W$124,Calc!$AD$2:$AD$124,Calc!$AK$2:$AK$124,Calc!$AN$2:$AN$124,Calc!$AO$2:$AO$124),MATCH($W196,Calc!$A$2:$A$124,0)),"")</f>
        <v/>
      </c>
      <c r="H196" s="9">
        <f>IF(G196="","",IF(LEFT($X196,1)="H",SQRT(G196*(IFERROR(INDEX(Calc!$AP$2:$AP$124,MATCH($W196,Calc!$A$2:$A$124,0)),0.5)*Config!$B$5+1-IFERROR(INDEX(Calc!$AP$2:$AP$124,MATCH($W196,Calc!$A$2:$A$124,0)),0.5))),SQRT(G196*Config!$B$5)))</f>
        <v/>
      </c>
      <c r="I196" s="8">
        <f>IF(OR(F196="",G196="",N(H196)&lt;=0),"",1-NORMDIST(FLOOR(F196,1)+0.5,G196,H196,TRUE))</f>
        <v/>
      </c>
      <c r="J196" s="8">
        <f>IF(I196="","",NORMDIST(CEILING(F196,1)-0.5,G196,H196,TRUE))</f>
        <v/>
      </c>
      <c r="K196" s="8">
        <f>IF(I196="","",MAX(0,1-I196-J196))</f>
        <v/>
      </c>
      <c r="L196">
        <f>IF(I196="","",IF(I196&gt;=0.5+Config!$B$6,"OVER",IF(J196&gt;=0.5+Config!$B$6,"UNDER","—")))</f>
        <v/>
      </c>
      <c r="M196" t="n">
        <v>29.18</v>
      </c>
      <c r="N196" t="n">
        <v>28</v>
      </c>
      <c r="O196" s="8" t="n">
        <v>0.2</v>
      </c>
      <c r="P196" s="8" t="n">
        <v>0.4</v>
      </c>
      <c r="Q196" s="8" t="n">
        <v>0.53</v>
      </c>
      <c r="R196" t="inlineStr">
        <is>
          <t>100%/1/1</t>
        </is>
      </c>
      <c r="S196" t="n">
        <v>-3</v>
      </c>
      <c r="T196">
        <f>INDEX(Calc!$G$2:$G$124,MATCH($W196,Calc!$A$2:$A$124,0))&amp;" / "&amp;INDEX(Calc!$H$2:$H$124,MATCH($W196,Calc!$A$2:$A$124,0))</f>
        <v/>
      </c>
      <c r="U196">
        <f>TEXT(INDEX(Calc!$J$2:$J$124,MATCH($W196,Calc!$A$2:$A$124,0)),"0.0")&amp;" / "&amp;TEXT(INDEX(Calc!$K$2:$K$124,MATCH($W196,Calc!$A$2:$A$124,0)),"0.0")</f>
        <v/>
      </c>
      <c r="V196">
        <f>IFERROR(INDEX(Calc!$AQ$2:$AQ$124,MATCH($W196,Calc!$A$2:$A$124,0)),"")</f>
        <v/>
      </c>
      <c r="W196" t="inlineStr">
        <is>
          <t>23ihz3d4vuve2an|CS2 · TS vs TYLOO</t>
        </is>
      </c>
      <c r="X196" t="inlineStr">
        <is>
          <t>K12</t>
        </is>
      </c>
      <c r="Y196">
        <f>W196&amp;"|"&amp;X196</f>
        <v/>
      </c>
      <c r="Z196" s="9">
        <f>IFERROR(INDEX(CHOOSE(MATCH($X196,{"K1","K2","K3","K12","K13","H1","H2","H3","H12","H13"},0),Calc!$BA$2:$BA$124,Calc!$BB$2:$BB$124,Calc!$BC$2:$BC$124,Calc!$BD$2:$BD$124,Calc!$BE$2:$BE$124,Calc!$BF$2:$BF$124,Calc!$BG$2:$BG$124,Calc!$BH$2:$BH$124,Calc!$BI$2:$BI$124,Calc!$BJ$2:$BJ$124),MATCH($W196,Calc!$A$2:$A$124,0)),"")</f>
        <v/>
      </c>
      <c r="AA196" s="9">
        <f>IF(Z196="","",IF(LEFT($X196,1)="H",SQRT(Z196*(IFERROR(INDEX(Calc!$AP$2:$AP$124,MATCH($W196,Calc!$A$2:$A$124,0)),0.5)*Config!$B$5+1-IFERROR(INDEX(Calc!$AP$2:$AP$124,MATCH($W196,Calc!$A$2:$A$124,0)),0.5))),SQRT(Z196*Config!$B$5)))</f>
        <v/>
      </c>
      <c r="AB196" s="8">
        <f>IF(OR(F196="",Z196="",N(AA196)&lt;=0),"",1-NORMDIST(FLOOR(F196,1)+0.5,Z196,AA196,TRUE))</f>
        <v/>
      </c>
      <c r="AC196" s="8">
        <f>IF(AB196="","",NORMDIST(CEILING(F196,1)-0.5,Z196,AA196,TRUE))</f>
        <v/>
      </c>
      <c r="AD196">
        <f>IF(AB196="","",IF(AB196&gt;=0.5+Config!$B$6,"OVER",IF(AC196&gt;=0.5+Config!$B$6,"UNDER","—")))</f>
        <v/>
      </c>
      <c r="AE196" s="11">
        <f>IFERROR(Z196/G196,"")</f>
        <v/>
      </c>
    </row>
    <row r="197">
      <c r="A197" t="inlineStr">
        <is>
          <t>CS2</t>
        </is>
      </c>
      <c r="B197" t="inlineStr">
        <is>
          <t>CS2 · TS vs TYLOO</t>
        </is>
      </c>
      <c r="C197" t="inlineStr">
        <is>
          <t>zont1x</t>
        </is>
      </c>
      <c r="D197" t="inlineStr">
        <is>
          <t>TS</t>
        </is>
      </c>
      <c r="E197" t="inlineStr">
        <is>
          <t>Maps 1-2 HS</t>
        </is>
      </c>
      <c r="F197" t="n">
        <v>10.5</v>
      </c>
      <c r="G197" s="9">
        <f>IFERROR(INDEX(CHOOSE(MATCH($X197,{"K1","K2","K3","K12","K13","H1","H2","H3","H12","H13"},0),Calc!$V$2:$V$124,Calc!$AC$2:$AC$124,Calc!$AJ$2:$AJ$124,Calc!$AL$2:$AL$124,Calc!$AM$2:$AM$124,Calc!$W$2:$W$124,Calc!$AD$2:$AD$124,Calc!$AK$2:$AK$124,Calc!$AN$2:$AN$124,Calc!$AO$2:$AO$124),MATCH($W197,Calc!$A$2:$A$124,0)),"")</f>
        <v/>
      </c>
      <c r="H197" s="9">
        <f>IF(G197="","",IF(LEFT($X197,1)="H",SQRT(G197*(IFERROR(INDEX(Calc!$AP$2:$AP$124,MATCH($W197,Calc!$A$2:$A$124,0)),0.5)*Config!$B$5+1-IFERROR(INDEX(Calc!$AP$2:$AP$124,MATCH($W197,Calc!$A$2:$A$124,0)),0.5))),SQRT(G197*Config!$B$5)))</f>
        <v/>
      </c>
      <c r="I197" s="8">
        <f>IF(OR(F197="",G197="",N(H197)&lt;=0),"",1-NORMDIST(FLOOR(F197,1)+0.5,G197,H197,TRUE))</f>
        <v/>
      </c>
      <c r="J197" s="8">
        <f>IF(I197="","",NORMDIST(CEILING(F197,1)-0.5,G197,H197,TRUE))</f>
        <v/>
      </c>
      <c r="K197" s="8">
        <f>IF(I197="","",MAX(0,1-I197-J197))</f>
        <v/>
      </c>
      <c r="L197">
        <f>IF(I197="","",IF(I197&gt;=0.5+Config!$B$6,"OVER",IF(J197&gt;=0.5+Config!$B$6,"UNDER","—")))</f>
        <v/>
      </c>
      <c r="N197" t="n">
        <v>8.6</v>
      </c>
      <c r="O197" s="8" t="n">
        <v>0</v>
      </c>
      <c r="P197" s="8" t="n">
        <v>0.2</v>
      </c>
      <c r="Q197" s="8" t="n">
        <v>0.4</v>
      </c>
      <c r="R197" t="inlineStr">
        <is>
          <t>0%/0/1</t>
        </is>
      </c>
      <c r="S197" t="n">
        <v>-6</v>
      </c>
      <c r="T197">
        <f>INDEX(Calc!$G$2:$G$124,MATCH($W197,Calc!$A$2:$A$124,0))&amp;" / "&amp;INDEX(Calc!$H$2:$H$124,MATCH($W197,Calc!$A$2:$A$124,0))</f>
        <v/>
      </c>
      <c r="U197">
        <f>TEXT(INDEX(Calc!$J$2:$J$124,MATCH($W197,Calc!$A$2:$A$124,0)),"0.0")&amp;" / "&amp;TEXT(INDEX(Calc!$K$2:$K$124,MATCH($W197,Calc!$A$2:$A$124,0)),"0.0")</f>
        <v/>
      </c>
      <c r="V197">
        <f>IFERROR(INDEX(Calc!$AQ$2:$AQ$124,MATCH($W197,Calc!$A$2:$A$124,0)),"")</f>
        <v/>
      </c>
      <c r="W197" t="inlineStr">
        <is>
          <t>4wgqqpezywhvfib|CS2 · TS vs TYLOO</t>
        </is>
      </c>
      <c r="X197" t="inlineStr">
        <is>
          <t>H12</t>
        </is>
      </c>
      <c r="Y197">
        <f>W197&amp;"|"&amp;X197</f>
        <v/>
      </c>
      <c r="Z197" s="9">
        <f>IFERROR(INDEX(CHOOSE(MATCH($X197,{"K1","K2","K3","K12","K13","H1","H2","H3","H12","H13"},0),Calc!$BA$2:$BA$124,Calc!$BB$2:$BB$124,Calc!$BC$2:$BC$124,Calc!$BD$2:$BD$124,Calc!$BE$2:$BE$124,Calc!$BF$2:$BF$124,Calc!$BG$2:$BG$124,Calc!$BH$2:$BH$124,Calc!$BI$2:$BI$124,Calc!$BJ$2:$BJ$124),MATCH($W197,Calc!$A$2:$A$124,0)),"")</f>
        <v/>
      </c>
      <c r="AA197" s="9">
        <f>IF(Z197="","",IF(LEFT($X197,1)="H",SQRT(Z197*(IFERROR(INDEX(Calc!$AP$2:$AP$124,MATCH($W197,Calc!$A$2:$A$124,0)),0.5)*Config!$B$5+1-IFERROR(INDEX(Calc!$AP$2:$AP$124,MATCH($W197,Calc!$A$2:$A$124,0)),0.5))),SQRT(Z197*Config!$B$5)))</f>
        <v/>
      </c>
      <c r="AB197" s="8">
        <f>IF(OR(F197="",Z197="",N(AA197)&lt;=0),"",1-NORMDIST(FLOOR(F197,1)+0.5,Z197,AA197,TRUE))</f>
        <v/>
      </c>
      <c r="AC197" s="8">
        <f>IF(AB197="","",NORMDIST(CEILING(F197,1)-0.5,Z197,AA197,TRUE))</f>
        <v/>
      </c>
      <c r="AD197">
        <f>IF(AB197="","",IF(AB197&gt;=0.5+Config!$B$6,"OVER",IF(AC197&gt;=0.5+Config!$B$6,"UNDER","—")))</f>
        <v/>
      </c>
      <c r="AE197" s="11">
        <f>IFERROR(Z197/G197,"")</f>
        <v/>
      </c>
    </row>
    <row r="198">
      <c r="A198" t="inlineStr">
        <is>
          <t>CS2</t>
        </is>
      </c>
      <c r="B198" t="inlineStr">
        <is>
          <t>CS2 · TS vs TYLOO</t>
        </is>
      </c>
      <c r="C198" t="inlineStr">
        <is>
          <t>zont1x</t>
        </is>
      </c>
      <c r="D198" t="inlineStr">
        <is>
          <t>TS</t>
        </is>
      </c>
      <c r="E198" t="inlineStr">
        <is>
          <t>Maps 1-2 Kills</t>
        </is>
      </c>
      <c r="F198" t="n">
        <v>25.5</v>
      </c>
      <c r="G198" s="9">
        <f>IFERROR(INDEX(CHOOSE(MATCH($X198,{"K1","K2","K3","K12","K13","H1","H2","H3","H12","H13"},0),Calc!$V$2:$V$124,Calc!$AC$2:$AC$124,Calc!$AJ$2:$AJ$124,Calc!$AL$2:$AL$124,Calc!$AM$2:$AM$124,Calc!$W$2:$W$124,Calc!$AD$2:$AD$124,Calc!$AK$2:$AK$124,Calc!$AN$2:$AN$124,Calc!$AO$2:$AO$124),MATCH($W198,Calc!$A$2:$A$124,0)),"")</f>
        <v/>
      </c>
      <c r="H198" s="9">
        <f>IF(G198="","",IF(LEFT($X198,1)="H",SQRT(G198*(IFERROR(INDEX(Calc!$AP$2:$AP$124,MATCH($W198,Calc!$A$2:$A$124,0)),0.5)*Config!$B$5+1-IFERROR(INDEX(Calc!$AP$2:$AP$124,MATCH($W198,Calc!$A$2:$A$124,0)),0.5))),SQRT(G198*Config!$B$5)))</f>
        <v/>
      </c>
      <c r="I198" s="8">
        <f>IF(OR(F198="",G198="",N(H198)&lt;=0),"",1-NORMDIST(FLOOR(F198,1)+0.5,G198,H198,TRUE))</f>
        <v/>
      </c>
      <c r="J198" s="8">
        <f>IF(I198="","",NORMDIST(CEILING(F198,1)-0.5,G198,H198,TRUE))</f>
        <v/>
      </c>
      <c r="K198" s="8">
        <f>IF(I198="","",MAX(0,1-I198-J198))</f>
        <v/>
      </c>
      <c r="L198">
        <f>IF(I198="","",IF(I198&gt;=0.5+Config!$B$6,"OVER",IF(J198&gt;=0.5+Config!$B$6,"UNDER","—")))</f>
        <v/>
      </c>
      <c r="M198" t="n">
        <v>26</v>
      </c>
      <c r="N198" t="n">
        <v>23.1</v>
      </c>
      <c r="O198" s="8" t="n">
        <v>0.4</v>
      </c>
      <c r="P198" s="8" t="n">
        <v>0.3</v>
      </c>
      <c r="Q198" s="8" t="n">
        <v>0.4</v>
      </c>
      <c r="R198" t="inlineStr">
        <is>
          <t>0%/0/1</t>
        </is>
      </c>
      <c r="S198" t="n">
        <v>-2</v>
      </c>
      <c r="T198">
        <f>INDEX(Calc!$G$2:$G$124,MATCH($W198,Calc!$A$2:$A$124,0))&amp;" / "&amp;INDEX(Calc!$H$2:$H$124,MATCH($W198,Calc!$A$2:$A$124,0))</f>
        <v/>
      </c>
      <c r="U198">
        <f>TEXT(INDEX(Calc!$J$2:$J$124,MATCH($W198,Calc!$A$2:$A$124,0)),"0.0")&amp;" / "&amp;TEXT(INDEX(Calc!$K$2:$K$124,MATCH($W198,Calc!$A$2:$A$124,0)),"0.0")</f>
        <v/>
      </c>
      <c r="V198">
        <f>IFERROR(INDEX(Calc!$AQ$2:$AQ$124,MATCH($W198,Calc!$A$2:$A$124,0)),"")</f>
        <v/>
      </c>
      <c r="W198" t="inlineStr">
        <is>
          <t>4wgqqpezywhvfib|CS2 · TS vs TYLOO</t>
        </is>
      </c>
      <c r="X198" t="inlineStr">
        <is>
          <t>K12</t>
        </is>
      </c>
      <c r="Y198">
        <f>W198&amp;"|"&amp;X198</f>
        <v/>
      </c>
      <c r="Z198" s="9">
        <f>IFERROR(INDEX(CHOOSE(MATCH($X198,{"K1","K2","K3","K12","K13","H1","H2","H3","H12","H13"},0),Calc!$BA$2:$BA$124,Calc!$BB$2:$BB$124,Calc!$BC$2:$BC$124,Calc!$BD$2:$BD$124,Calc!$BE$2:$BE$124,Calc!$BF$2:$BF$124,Calc!$BG$2:$BG$124,Calc!$BH$2:$BH$124,Calc!$BI$2:$BI$124,Calc!$BJ$2:$BJ$124),MATCH($W198,Calc!$A$2:$A$124,0)),"")</f>
        <v/>
      </c>
      <c r="AA198" s="9">
        <f>IF(Z198="","",IF(LEFT($X198,1)="H",SQRT(Z198*(IFERROR(INDEX(Calc!$AP$2:$AP$124,MATCH($W198,Calc!$A$2:$A$124,0)),0.5)*Config!$B$5+1-IFERROR(INDEX(Calc!$AP$2:$AP$124,MATCH($W198,Calc!$A$2:$A$124,0)),0.5))),SQRT(Z198*Config!$B$5)))</f>
        <v/>
      </c>
      <c r="AB198" s="8">
        <f>IF(OR(F198="",Z198="",N(AA198)&lt;=0),"",1-NORMDIST(FLOOR(F198,1)+0.5,Z198,AA198,TRUE))</f>
        <v/>
      </c>
      <c r="AC198" s="8">
        <f>IF(AB198="","",NORMDIST(CEILING(F198,1)-0.5,Z198,AA198,TRUE))</f>
        <v/>
      </c>
      <c r="AD198">
        <f>IF(AB198="","",IF(AB198&gt;=0.5+Config!$B$6,"OVER",IF(AC198&gt;=0.5+Config!$B$6,"UNDER","—")))</f>
        <v/>
      </c>
      <c r="AE198" s="11">
        <f>IFERROR(Z198/G198,"")</f>
        <v/>
      </c>
    </row>
    <row r="199">
      <c r="A199" t="inlineStr">
        <is>
          <t>CS2</t>
        </is>
      </c>
      <c r="B199" t="inlineStr">
        <is>
          <t>CS2 · TS vs TYLOO</t>
        </is>
      </c>
      <c r="C199" t="inlineStr">
        <is>
          <t>JamYoung</t>
        </is>
      </c>
      <c r="D199" t="inlineStr">
        <is>
          <t>TYLOO</t>
        </is>
      </c>
      <c r="E199" t="inlineStr">
        <is>
          <t>Maps 1-2 HS</t>
        </is>
      </c>
      <c r="F199" t="n">
        <v>15</v>
      </c>
      <c r="G199" s="9">
        <f>IFERROR(INDEX(CHOOSE(MATCH($X199,{"K1","K2","K3","K12","K13","H1","H2","H3","H12","H13"},0),Calc!$V$2:$V$124,Calc!$AC$2:$AC$124,Calc!$AJ$2:$AJ$124,Calc!$AL$2:$AL$124,Calc!$AM$2:$AM$124,Calc!$W$2:$W$124,Calc!$AD$2:$AD$124,Calc!$AK$2:$AK$124,Calc!$AN$2:$AN$124,Calc!$AO$2:$AO$124),MATCH($W199,Calc!$A$2:$A$124,0)),"")</f>
        <v/>
      </c>
      <c r="H199" s="9">
        <f>IF(G199="","",IF(LEFT($X199,1)="H",SQRT(G199*(IFERROR(INDEX(Calc!$AP$2:$AP$124,MATCH($W199,Calc!$A$2:$A$124,0)),0.5)*Config!$B$5+1-IFERROR(INDEX(Calc!$AP$2:$AP$124,MATCH($W199,Calc!$A$2:$A$124,0)),0.5))),SQRT(G199*Config!$B$5)))</f>
        <v/>
      </c>
      <c r="I199" s="8">
        <f>IF(OR(F199="",G199="",N(H199)&lt;=0),"",1-NORMDIST(FLOOR(F199,1)+0.5,G199,H199,TRUE))</f>
        <v/>
      </c>
      <c r="J199" s="8">
        <f>IF(I199="","",NORMDIST(CEILING(F199,1)-0.5,G199,H199,TRUE))</f>
        <v/>
      </c>
      <c r="K199" s="8">
        <f>IF(I199="","",MAX(0,1-I199-J199))</f>
        <v/>
      </c>
      <c r="L199">
        <f>IF(I199="","",IF(I199&gt;=0.5+Config!$B$6,"OVER",IF(J199&gt;=0.5+Config!$B$6,"UNDER","—")))</f>
        <v/>
      </c>
      <c r="N199" t="n">
        <v>17.9</v>
      </c>
      <c r="O199" s="8" t="n">
        <v>0.4</v>
      </c>
      <c r="P199" s="8" t="n">
        <v>0.7</v>
      </c>
      <c r="Q199" s="8" t="n">
        <v>0.67</v>
      </c>
      <c r="R199" t="inlineStr">
        <is>
          <t>0%/0/1</t>
        </is>
      </c>
      <c r="S199" t="n">
        <v>-3</v>
      </c>
      <c r="T199">
        <f>INDEX(Calc!$G$2:$G$124,MATCH($W199,Calc!$A$2:$A$124,0))&amp;" / "&amp;INDEX(Calc!$H$2:$H$124,MATCH($W199,Calc!$A$2:$A$124,0))</f>
        <v/>
      </c>
      <c r="U199">
        <f>TEXT(INDEX(Calc!$J$2:$J$124,MATCH($W199,Calc!$A$2:$A$124,0)),"0.0")&amp;" / "&amp;TEXT(INDEX(Calc!$K$2:$K$124,MATCH($W199,Calc!$A$2:$A$124,0)),"0.0")</f>
        <v/>
      </c>
      <c r="V199">
        <f>IFERROR(INDEX(Calc!$AQ$2:$AQ$124,MATCH($W199,Calc!$A$2:$A$124,0)),"")</f>
        <v/>
      </c>
      <c r="W199" t="inlineStr">
        <is>
          <t>eolw6ia2z9ydnyh|CS2 · TS vs TYLOO</t>
        </is>
      </c>
      <c r="X199" t="inlineStr">
        <is>
          <t>H12</t>
        </is>
      </c>
      <c r="Y199">
        <f>W199&amp;"|"&amp;X199</f>
        <v/>
      </c>
      <c r="Z199" s="9">
        <f>IFERROR(INDEX(CHOOSE(MATCH($X199,{"K1","K2","K3","K12","K13","H1","H2","H3","H12","H13"},0),Calc!$BA$2:$BA$124,Calc!$BB$2:$BB$124,Calc!$BC$2:$BC$124,Calc!$BD$2:$BD$124,Calc!$BE$2:$BE$124,Calc!$BF$2:$BF$124,Calc!$BG$2:$BG$124,Calc!$BH$2:$BH$124,Calc!$BI$2:$BI$124,Calc!$BJ$2:$BJ$124),MATCH($W199,Calc!$A$2:$A$124,0)),"")</f>
        <v/>
      </c>
      <c r="AA199" s="9">
        <f>IF(Z199="","",IF(LEFT($X199,1)="H",SQRT(Z199*(IFERROR(INDEX(Calc!$AP$2:$AP$124,MATCH($W199,Calc!$A$2:$A$124,0)),0.5)*Config!$B$5+1-IFERROR(INDEX(Calc!$AP$2:$AP$124,MATCH($W199,Calc!$A$2:$A$124,0)),0.5))),SQRT(Z199*Config!$B$5)))</f>
        <v/>
      </c>
      <c r="AB199" s="8">
        <f>IF(OR(F199="",Z199="",N(AA199)&lt;=0),"",1-NORMDIST(FLOOR(F199,1)+0.5,Z199,AA199,TRUE))</f>
        <v/>
      </c>
      <c r="AC199" s="8">
        <f>IF(AB199="","",NORMDIST(CEILING(F199,1)-0.5,Z199,AA199,TRUE))</f>
        <v/>
      </c>
      <c r="AD199">
        <f>IF(AB199="","",IF(AB199&gt;=0.5+Config!$B$6,"OVER",IF(AC199&gt;=0.5+Config!$B$6,"UNDER","—")))</f>
        <v/>
      </c>
      <c r="AE199" s="11">
        <f>IFERROR(Z199/G199,"")</f>
        <v/>
      </c>
    </row>
    <row r="200">
      <c r="A200" t="inlineStr">
        <is>
          <t>CS2</t>
        </is>
      </c>
      <c r="B200" t="inlineStr">
        <is>
          <t>CS2 · TS vs TYLOO</t>
        </is>
      </c>
      <c r="C200" t="inlineStr">
        <is>
          <t>JamYoung</t>
        </is>
      </c>
      <c r="D200" t="inlineStr">
        <is>
          <t>TYLOO</t>
        </is>
      </c>
      <c r="E200" t="inlineStr">
        <is>
          <t>Maps 1-2 Kills</t>
        </is>
      </c>
      <c r="F200" t="n">
        <v>24.5</v>
      </c>
      <c r="G200" s="9">
        <f>IFERROR(INDEX(CHOOSE(MATCH($X200,{"K1","K2","K3","K12","K13","H1","H2","H3","H12","H13"},0),Calc!$V$2:$V$124,Calc!$AC$2:$AC$124,Calc!$AJ$2:$AJ$124,Calc!$AL$2:$AL$124,Calc!$AM$2:$AM$124,Calc!$W$2:$W$124,Calc!$AD$2:$AD$124,Calc!$AK$2:$AK$124,Calc!$AN$2:$AN$124,Calc!$AO$2:$AO$124),MATCH($W200,Calc!$A$2:$A$124,0)),"")</f>
        <v/>
      </c>
      <c r="H200" s="9">
        <f>IF(G200="","",IF(LEFT($X200,1)="H",SQRT(G200*(IFERROR(INDEX(Calc!$AP$2:$AP$124,MATCH($W200,Calc!$A$2:$A$124,0)),0.5)*Config!$B$5+1-IFERROR(INDEX(Calc!$AP$2:$AP$124,MATCH($W200,Calc!$A$2:$A$124,0)),0.5))),SQRT(G200*Config!$B$5)))</f>
        <v/>
      </c>
      <c r="I200" s="8">
        <f>IF(OR(F200="",G200="",N(H200)&lt;=0),"",1-NORMDIST(FLOOR(F200,1)+0.5,G200,H200,TRUE))</f>
        <v/>
      </c>
      <c r="J200" s="8">
        <f>IF(I200="","",NORMDIST(CEILING(F200,1)-0.5,G200,H200,TRUE))</f>
        <v/>
      </c>
      <c r="K200" s="8">
        <f>IF(I200="","",MAX(0,1-I200-J200))</f>
        <v/>
      </c>
      <c r="L200">
        <f>IF(I200="","",IF(I200&gt;=0.5+Config!$B$6,"OVER",IF(J200&gt;=0.5+Config!$B$6,"UNDER","—")))</f>
        <v/>
      </c>
      <c r="M200" t="n">
        <v>24.82</v>
      </c>
      <c r="N200" t="n">
        <v>28.7</v>
      </c>
      <c r="O200" s="8" t="n">
        <v>0.6</v>
      </c>
      <c r="P200" s="8" t="n">
        <v>0.7</v>
      </c>
      <c r="Q200" s="8" t="n">
        <v>0.73</v>
      </c>
      <c r="R200" t="inlineStr">
        <is>
          <t>0%/0/1</t>
        </is>
      </c>
      <c r="S200" t="n">
        <v>1</v>
      </c>
      <c r="T200">
        <f>INDEX(Calc!$G$2:$G$124,MATCH($W200,Calc!$A$2:$A$124,0))&amp;" / "&amp;INDEX(Calc!$H$2:$H$124,MATCH($W200,Calc!$A$2:$A$124,0))</f>
        <v/>
      </c>
      <c r="U200">
        <f>TEXT(INDEX(Calc!$J$2:$J$124,MATCH($W200,Calc!$A$2:$A$124,0)),"0.0")&amp;" / "&amp;TEXT(INDEX(Calc!$K$2:$K$124,MATCH($W200,Calc!$A$2:$A$124,0)),"0.0")</f>
        <v/>
      </c>
      <c r="V200">
        <f>IFERROR(INDEX(Calc!$AQ$2:$AQ$124,MATCH($W200,Calc!$A$2:$A$124,0)),"")</f>
        <v/>
      </c>
      <c r="W200" t="inlineStr">
        <is>
          <t>eolw6ia2z9ydnyh|CS2 · TS vs TYLOO</t>
        </is>
      </c>
      <c r="X200" t="inlineStr">
        <is>
          <t>K12</t>
        </is>
      </c>
      <c r="Y200">
        <f>W200&amp;"|"&amp;X200</f>
        <v/>
      </c>
      <c r="Z200" s="9">
        <f>IFERROR(INDEX(CHOOSE(MATCH($X200,{"K1","K2","K3","K12","K13","H1","H2","H3","H12","H13"},0),Calc!$BA$2:$BA$124,Calc!$BB$2:$BB$124,Calc!$BC$2:$BC$124,Calc!$BD$2:$BD$124,Calc!$BE$2:$BE$124,Calc!$BF$2:$BF$124,Calc!$BG$2:$BG$124,Calc!$BH$2:$BH$124,Calc!$BI$2:$BI$124,Calc!$BJ$2:$BJ$124),MATCH($W200,Calc!$A$2:$A$124,0)),"")</f>
        <v/>
      </c>
      <c r="AA200" s="9">
        <f>IF(Z200="","",IF(LEFT($X200,1)="H",SQRT(Z200*(IFERROR(INDEX(Calc!$AP$2:$AP$124,MATCH($W200,Calc!$A$2:$A$124,0)),0.5)*Config!$B$5+1-IFERROR(INDEX(Calc!$AP$2:$AP$124,MATCH($W200,Calc!$A$2:$A$124,0)),0.5))),SQRT(Z200*Config!$B$5)))</f>
        <v/>
      </c>
      <c r="AB200" s="8">
        <f>IF(OR(F200="",Z200="",N(AA200)&lt;=0),"",1-NORMDIST(FLOOR(F200,1)+0.5,Z200,AA200,TRUE))</f>
        <v/>
      </c>
      <c r="AC200" s="8">
        <f>IF(AB200="","",NORMDIST(CEILING(F200,1)-0.5,Z200,AA200,TRUE))</f>
        <v/>
      </c>
      <c r="AD200">
        <f>IF(AB200="","",IF(AB200&gt;=0.5+Config!$B$6,"OVER",IF(AC200&gt;=0.5+Config!$B$6,"UNDER","—")))</f>
        <v/>
      </c>
      <c r="AE200" s="11">
        <f>IFERROR(Z200/G200,"")</f>
        <v/>
      </c>
    </row>
    <row r="201">
      <c r="A201" t="inlineStr">
        <is>
          <t>CS2</t>
        </is>
      </c>
      <c r="B201" t="inlineStr">
        <is>
          <t>CS2 · TS vs TYLOO</t>
        </is>
      </c>
      <c r="C201" t="inlineStr">
        <is>
          <t>Jee</t>
        </is>
      </c>
      <c r="D201" t="inlineStr">
        <is>
          <t>TYLOO</t>
        </is>
      </c>
      <c r="E201" t="inlineStr">
        <is>
          <t>Maps 1-2 HS</t>
        </is>
      </c>
      <c r="F201" t="n">
        <v>8.5</v>
      </c>
      <c r="G201" s="9">
        <f>IFERROR(INDEX(CHOOSE(MATCH($X201,{"K1","K2","K3","K12","K13","H1","H2","H3","H12","H13"},0),Calc!$V$2:$V$124,Calc!$AC$2:$AC$124,Calc!$AJ$2:$AJ$124,Calc!$AL$2:$AL$124,Calc!$AM$2:$AM$124,Calc!$W$2:$W$124,Calc!$AD$2:$AD$124,Calc!$AK$2:$AK$124,Calc!$AN$2:$AN$124,Calc!$AO$2:$AO$124),MATCH($W201,Calc!$A$2:$A$124,0)),"")</f>
        <v/>
      </c>
      <c r="H201" s="9">
        <f>IF(G201="","",IF(LEFT($X201,1)="H",SQRT(G201*(IFERROR(INDEX(Calc!$AP$2:$AP$124,MATCH($W201,Calc!$A$2:$A$124,0)),0.5)*Config!$B$5+1-IFERROR(INDEX(Calc!$AP$2:$AP$124,MATCH($W201,Calc!$A$2:$A$124,0)),0.5))),SQRT(G201*Config!$B$5)))</f>
        <v/>
      </c>
      <c r="I201" s="8">
        <f>IF(OR(F201="",G201="",N(H201)&lt;=0),"",1-NORMDIST(FLOOR(F201,1)+0.5,G201,H201,TRUE))</f>
        <v/>
      </c>
      <c r="J201" s="8">
        <f>IF(I201="","",NORMDIST(CEILING(F201,1)-0.5,G201,H201,TRUE))</f>
        <v/>
      </c>
      <c r="K201" s="8">
        <f>IF(I201="","",MAX(0,1-I201-J201))</f>
        <v/>
      </c>
      <c r="L201">
        <f>IF(I201="","",IF(I201&gt;=0.5+Config!$B$6,"OVER",IF(J201&gt;=0.5+Config!$B$6,"UNDER","—")))</f>
        <v/>
      </c>
      <c r="N201" t="n">
        <v>9</v>
      </c>
      <c r="O201" s="8" t="n">
        <v>0.6</v>
      </c>
      <c r="P201" s="8" t="n">
        <v>0.4</v>
      </c>
      <c r="Q201" s="8" t="n">
        <v>0.47</v>
      </c>
      <c r="R201" t="inlineStr">
        <is>
          <t>100%/1/1</t>
        </is>
      </c>
      <c r="S201" t="n">
        <v>2</v>
      </c>
      <c r="T201">
        <f>INDEX(Calc!$G$2:$G$124,MATCH($W201,Calc!$A$2:$A$124,0))&amp;" / "&amp;INDEX(Calc!$H$2:$H$124,MATCH($W201,Calc!$A$2:$A$124,0))</f>
        <v/>
      </c>
      <c r="U201">
        <f>TEXT(INDEX(Calc!$J$2:$J$124,MATCH($W201,Calc!$A$2:$A$124,0)),"0.0")&amp;" / "&amp;TEXT(INDEX(Calc!$K$2:$K$124,MATCH($W201,Calc!$A$2:$A$124,0)),"0.0")</f>
        <v/>
      </c>
      <c r="V201">
        <f>IFERROR(INDEX(Calc!$AQ$2:$AQ$124,MATCH($W201,Calc!$A$2:$A$124,0)),"")</f>
        <v/>
      </c>
      <c r="W201" t="inlineStr">
        <is>
          <t>p3z2zy4su4m4nh0|CS2 · TS vs TYLOO</t>
        </is>
      </c>
      <c r="X201" t="inlineStr">
        <is>
          <t>H12</t>
        </is>
      </c>
      <c r="Y201">
        <f>W201&amp;"|"&amp;X201</f>
        <v/>
      </c>
      <c r="Z201" s="9">
        <f>IFERROR(INDEX(CHOOSE(MATCH($X201,{"K1","K2","K3","K12","K13","H1","H2","H3","H12","H13"},0),Calc!$BA$2:$BA$124,Calc!$BB$2:$BB$124,Calc!$BC$2:$BC$124,Calc!$BD$2:$BD$124,Calc!$BE$2:$BE$124,Calc!$BF$2:$BF$124,Calc!$BG$2:$BG$124,Calc!$BH$2:$BH$124,Calc!$BI$2:$BI$124,Calc!$BJ$2:$BJ$124),MATCH($W201,Calc!$A$2:$A$124,0)),"")</f>
        <v/>
      </c>
      <c r="AA201" s="9">
        <f>IF(Z201="","",IF(LEFT($X201,1)="H",SQRT(Z201*(IFERROR(INDEX(Calc!$AP$2:$AP$124,MATCH($W201,Calc!$A$2:$A$124,0)),0.5)*Config!$B$5+1-IFERROR(INDEX(Calc!$AP$2:$AP$124,MATCH($W201,Calc!$A$2:$A$124,0)),0.5))),SQRT(Z201*Config!$B$5)))</f>
        <v/>
      </c>
      <c r="AB201" s="8">
        <f>IF(OR(F201="",Z201="",N(AA201)&lt;=0),"",1-NORMDIST(FLOOR(F201,1)+0.5,Z201,AA201,TRUE))</f>
        <v/>
      </c>
      <c r="AC201" s="8">
        <f>IF(AB201="","",NORMDIST(CEILING(F201,1)-0.5,Z201,AA201,TRUE))</f>
        <v/>
      </c>
      <c r="AD201">
        <f>IF(AB201="","",IF(AB201&gt;=0.5+Config!$B$6,"OVER",IF(AC201&gt;=0.5+Config!$B$6,"UNDER","—")))</f>
        <v/>
      </c>
      <c r="AE201" s="11">
        <f>IFERROR(Z201/G201,"")</f>
        <v/>
      </c>
    </row>
    <row r="202">
      <c r="A202" t="inlineStr">
        <is>
          <t>CS2</t>
        </is>
      </c>
      <c r="B202" t="inlineStr">
        <is>
          <t>CS2 · TS vs TYLOO</t>
        </is>
      </c>
      <c r="C202" t="inlineStr">
        <is>
          <t>Jee</t>
        </is>
      </c>
      <c r="D202" t="inlineStr">
        <is>
          <t>TYLOO</t>
        </is>
      </c>
      <c r="E202" t="inlineStr">
        <is>
          <t>Maps 1-2 Kills</t>
        </is>
      </c>
      <c r="F202" t="n">
        <v>23</v>
      </c>
      <c r="G202" s="9">
        <f>IFERROR(INDEX(CHOOSE(MATCH($X202,{"K1","K2","K3","K12","K13","H1","H2","H3","H12","H13"},0),Calc!$V$2:$V$124,Calc!$AC$2:$AC$124,Calc!$AJ$2:$AJ$124,Calc!$AL$2:$AL$124,Calc!$AM$2:$AM$124,Calc!$W$2:$W$124,Calc!$AD$2:$AD$124,Calc!$AK$2:$AK$124,Calc!$AN$2:$AN$124,Calc!$AO$2:$AO$124),MATCH($W202,Calc!$A$2:$A$124,0)),"")</f>
        <v/>
      </c>
      <c r="H202" s="9">
        <f>IF(G202="","",IF(LEFT($X202,1)="H",SQRT(G202*(IFERROR(INDEX(Calc!$AP$2:$AP$124,MATCH($W202,Calc!$A$2:$A$124,0)),0.5)*Config!$B$5+1-IFERROR(INDEX(Calc!$AP$2:$AP$124,MATCH($W202,Calc!$A$2:$A$124,0)),0.5))),SQRT(G202*Config!$B$5)))</f>
        <v/>
      </c>
      <c r="I202" s="8">
        <f>IF(OR(F202="",G202="",N(H202)&lt;=0),"",1-NORMDIST(FLOOR(F202,1)+0.5,G202,H202,TRUE))</f>
        <v/>
      </c>
      <c r="J202" s="8">
        <f>IF(I202="","",NORMDIST(CEILING(F202,1)-0.5,G202,H202,TRUE))</f>
        <v/>
      </c>
      <c r="K202" s="8">
        <f>IF(I202="","",MAX(0,1-I202-J202))</f>
        <v/>
      </c>
      <c r="L202">
        <f>IF(I202="","",IF(I202&gt;=0.5+Config!$B$6,"OVER",IF(J202&gt;=0.5+Config!$B$6,"UNDER","—")))</f>
        <v/>
      </c>
      <c r="M202" t="n">
        <v>24.58</v>
      </c>
      <c r="N202" t="n">
        <v>26.5</v>
      </c>
      <c r="O202" s="8" t="n">
        <v>0.4</v>
      </c>
      <c r="P202" s="8" t="n">
        <v>0.7</v>
      </c>
      <c r="Q202" s="8" t="n">
        <v>0.67</v>
      </c>
      <c r="R202" t="inlineStr">
        <is>
          <t>100%/1/1</t>
        </is>
      </c>
      <c r="S202" t="n">
        <v>-1</v>
      </c>
      <c r="T202">
        <f>INDEX(Calc!$G$2:$G$124,MATCH($W202,Calc!$A$2:$A$124,0))&amp;" / "&amp;INDEX(Calc!$H$2:$H$124,MATCH($W202,Calc!$A$2:$A$124,0))</f>
        <v/>
      </c>
      <c r="U202">
        <f>TEXT(INDEX(Calc!$J$2:$J$124,MATCH($W202,Calc!$A$2:$A$124,0)),"0.0")&amp;" / "&amp;TEXT(INDEX(Calc!$K$2:$K$124,MATCH($W202,Calc!$A$2:$A$124,0)),"0.0")</f>
        <v/>
      </c>
      <c r="V202">
        <f>IFERROR(INDEX(Calc!$AQ$2:$AQ$124,MATCH($W202,Calc!$A$2:$A$124,0)),"")</f>
        <v/>
      </c>
      <c r="W202" t="inlineStr">
        <is>
          <t>p3z2zy4su4m4nh0|CS2 · TS vs TYLOO</t>
        </is>
      </c>
      <c r="X202" t="inlineStr">
        <is>
          <t>K12</t>
        </is>
      </c>
      <c r="Y202">
        <f>W202&amp;"|"&amp;X202</f>
        <v/>
      </c>
      <c r="Z202" s="9">
        <f>IFERROR(INDEX(CHOOSE(MATCH($X202,{"K1","K2","K3","K12","K13","H1","H2","H3","H12","H13"},0),Calc!$BA$2:$BA$124,Calc!$BB$2:$BB$124,Calc!$BC$2:$BC$124,Calc!$BD$2:$BD$124,Calc!$BE$2:$BE$124,Calc!$BF$2:$BF$124,Calc!$BG$2:$BG$124,Calc!$BH$2:$BH$124,Calc!$BI$2:$BI$124,Calc!$BJ$2:$BJ$124),MATCH($W202,Calc!$A$2:$A$124,0)),"")</f>
        <v/>
      </c>
      <c r="AA202" s="9">
        <f>IF(Z202="","",IF(LEFT($X202,1)="H",SQRT(Z202*(IFERROR(INDEX(Calc!$AP$2:$AP$124,MATCH($W202,Calc!$A$2:$A$124,0)),0.5)*Config!$B$5+1-IFERROR(INDEX(Calc!$AP$2:$AP$124,MATCH($W202,Calc!$A$2:$A$124,0)),0.5))),SQRT(Z202*Config!$B$5)))</f>
        <v/>
      </c>
      <c r="AB202" s="8">
        <f>IF(OR(F202="",Z202="",N(AA202)&lt;=0),"",1-NORMDIST(FLOOR(F202,1)+0.5,Z202,AA202,TRUE))</f>
        <v/>
      </c>
      <c r="AC202" s="8">
        <f>IF(AB202="","",NORMDIST(CEILING(F202,1)-0.5,Z202,AA202,TRUE))</f>
        <v/>
      </c>
      <c r="AD202">
        <f>IF(AB202="","",IF(AB202&gt;=0.5+Config!$B$6,"OVER",IF(AC202&gt;=0.5+Config!$B$6,"UNDER","—")))</f>
        <v/>
      </c>
      <c r="AE202" s="11">
        <f>IFERROR(Z202/G202,"")</f>
        <v/>
      </c>
    </row>
    <row r="203">
      <c r="A203" t="inlineStr">
        <is>
          <t>CS2</t>
        </is>
      </c>
      <c r="B203" t="inlineStr">
        <is>
          <t>CS2 · TS vs TYLOO</t>
        </is>
      </c>
      <c r="C203" t="inlineStr">
        <is>
          <t>Mercury</t>
        </is>
      </c>
      <c r="D203" t="inlineStr">
        <is>
          <t>TYLOO</t>
        </is>
      </c>
      <c r="E203" t="inlineStr">
        <is>
          <t>Maps 1-2 HS</t>
        </is>
      </c>
      <c r="F203" t="n">
        <v>13</v>
      </c>
      <c r="G203" s="9">
        <f>IFERROR(INDEX(CHOOSE(MATCH($X203,{"K1","K2","K3","K12","K13","H1","H2","H3","H12","H13"},0),Calc!$V$2:$V$124,Calc!$AC$2:$AC$124,Calc!$AJ$2:$AJ$124,Calc!$AL$2:$AL$124,Calc!$AM$2:$AM$124,Calc!$W$2:$W$124,Calc!$AD$2:$AD$124,Calc!$AK$2:$AK$124,Calc!$AN$2:$AN$124,Calc!$AO$2:$AO$124),MATCH($W203,Calc!$A$2:$A$124,0)),"")</f>
        <v/>
      </c>
      <c r="H203" s="9">
        <f>IF(G203="","",IF(LEFT($X203,1)="H",SQRT(G203*(IFERROR(INDEX(Calc!$AP$2:$AP$124,MATCH($W203,Calc!$A$2:$A$124,0)),0.5)*Config!$B$5+1-IFERROR(INDEX(Calc!$AP$2:$AP$124,MATCH($W203,Calc!$A$2:$A$124,0)),0.5))),SQRT(G203*Config!$B$5)))</f>
        <v/>
      </c>
      <c r="I203" s="8">
        <f>IF(OR(F203="",G203="",N(H203)&lt;=0),"",1-NORMDIST(FLOOR(F203,1)+0.5,G203,H203,TRUE))</f>
        <v/>
      </c>
      <c r="J203" s="8">
        <f>IF(I203="","",NORMDIST(CEILING(F203,1)-0.5,G203,H203,TRUE))</f>
        <v/>
      </c>
      <c r="K203" s="8">
        <f>IF(I203="","",MAX(0,1-I203-J203))</f>
        <v/>
      </c>
      <c r="L203">
        <f>IF(I203="","",IF(I203&gt;=0.5+Config!$B$6,"OVER",IF(J203&gt;=0.5+Config!$B$6,"UNDER","—")))</f>
        <v/>
      </c>
      <c r="N203" t="n">
        <v>16.9</v>
      </c>
      <c r="O203" s="8" t="n">
        <v>0.6</v>
      </c>
      <c r="P203" s="8" t="n">
        <v>0.8</v>
      </c>
      <c r="Q203" s="8" t="n">
        <v>0.8</v>
      </c>
      <c r="R203" t="inlineStr">
        <is>
          <t>100%/1/1</t>
        </is>
      </c>
      <c r="S203" t="n">
        <v>2</v>
      </c>
      <c r="T203">
        <f>INDEX(Calc!$G$2:$G$124,MATCH($W203,Calc!$A$2:$A$124,0))&amp;" / "&amp;INDEX(Calc!$H$2:$H$124,MATCH($W203,Calc!$A$2:$A$124,0))</f>
        <v/>
      </c>
      <c r="U203">
        <f>TEXT(INDEX(Calc!$J$2:$J$124,MATCH($W203,Calc!$A$2:$A$124,0)),"0.0")&amp;" / "&amp;TEXT(INDEX(Calc!$K$2:$K$124,MATCH($W203,Calc!$A$2:$A$124,0)),"0.0")</f>
        <v/>
      </c>
      <c r="V203">
        <f>IFERROR(INDEX(Calc!$AQ$2:$AQ$124,MATCH($W203,Calc!$A$2:$A$124,0)),"")</f>
        <v/>
      </c>
      <c r="W203" t="inlineStr">
        <is>
          <t>7jjpyjuolf7cdlx|CS2 · TS vs TYLOO</t>
        </is>
      </c>
      <c r="X203" t="inlineStr">
        <is>
          <t>H12</t>
        </is>
      </c>
      <c r="Y203">
        <f>W203&amp;"|"&amp;X203</f>
        <v/>
      </c>
      <c r="Z203" s="9">
        <f>IFERROR(INDEX(CHOOSE(MATCH($X203,{"K1","K2","K3","K12","K13","H1","H2","H3","H12","H13"},0),Calc!$BA$2:$BA$124,Calc!$BB$2:$BB$124,Calc!$BC$2:$BC$124,Calc!$BD$2:$BD$124,Calc!$BE$2:$BE$124,Calc!$BF$2:$BF$124,Calc!$BG$2:$BG$124,Calc!$BH$2:$BH$124,Calc!$BI$2:$BI$124,Calc!$BJ$2:$BJ$124),MATCH($W203,Calc!$A$2:$A$124,0)),"")</f>
        <v/>
      </c>
      <c r="AA203" s="9">
        <f>IF(Z203="","",IF(LEFT($X203,1)="H",SQRT(Z203*(IFERROR(INDEX(Calc!$AP$2:$AP$124,MATCH($W203,Calc!$A$2:$A$124,0)),0.5)*Config!$B$5+1-IFERROR(INDEX(Calc!$AP$2:$AP$124,MATCH($W203,Calc!$A$2:$A$124,0)),0.5))),SQRT(Z203*Config!$B$5)))</f>
        <v/>
      </c>
      <c r="AB203" s="8">
        <f>IF(OR(F203="",Z203="",N(AA203)&lt;=0),"",1-NORMDIST(FLOOR(F203,1)+0.5,Z203,AA203,TRUE))</f>
        <v/>
      </c>
      <c r="AC203" s="8">
        <f>IF(AB203="","",NORMDIST(CEILING(F203,1)-0.5,Z203,AA203,TRUE))</f>
        <v/>
      </c>
      <c r="AD203">
        <f>IF(AB203="","",IF(AB203&gt;=0.5+Config!$B$6,"OVER",IF(AC203&gt;=0.5+Config!$B$6,"UNDER","—")))</f>
        <v/>
      </c>
      <c r="AE203" s="11">
        <f>IFERROR(Z203/G203,"")</f>
        <v/>
      </c>
    </row>
    <row r="204">
      <c r="A204" t="inlineStr">
        <is>
          <t>CS2</t>
        </is>
      </c>
      <c r="B204" t="inlineStr">
        <is>
          <t>CS2 · TS vs TYLOO</t>
        </is>
      </c>
      <c r="C204" t="inlineStr">
        <is>
          <t>Mercury</t>
        </is>
      </c>
      <c r="D204" t="inlineStr">
        <is>
          <t>TYLOO</t>
        </is>
      </c>
      <c r="E204" t="inlineStr">
        <is>
          <t>Maps 1-2 Kills</t>
        </is>
      </c>
      <c r="F204" t="n">
        <v>21</v>
      </c>
      <c r="G204" s="9">
        <f>IFERROR(INDEX(CHOOSE(MATCH($X204,{"K1","K2","K3","K12","K13","H1","H2","H3","H12","H13"},0),Calc!$V$2:$V$124,Calc!$AC$2:$AC$124,Calc!$AJ$2:$AJ$124,Calc!$AL$2:$AL$124,Calc!$AM$2:$AM$124,Calc!$W$2:$W$124,Calc!$AD$2:$AD$124,Calc!$AK$2:$AK$124,Calc!$AN$2:$AN$124,Calc!$AO$2:$AO$124),MATCH($W204,Calc!$A$2:$A$124,0)),"")</f>
        <v/>
      </c>
      <c r="H204" s="9">
        <f>IF(G204="","",IF(LEFT($X204,1)="H",SQRT(G204*(IFERROR(INDEX(Calc!$AP$2:$AP$124,MATCH($W204,Calc!$A$2:$A$124,0)),0.5)*Config!$B$5+1-IFERROR(INDEX(Calc!$AP$2:$AP$124,MATCH($W204,Calc!$A$2:$A$124,0)),0.5))),SQRT(G204*Config!$B$5)))</f>
        <v/>
      </c>
      <c r="I204" s="8">
        <f>IF(OR(F204="",G204="",N(H204)&lt;=0),"",1-NORMDIST(FLOOR(F204,1)+0.5,G204,H204,TRUE))</f>
        <v/>
      </c>
      <c r="J204" s="8">
        <f>IF(I204="","",NORMDIST(CEILING(F204,1)-0.5,G204,H204,TRUE))</f>
        <v/>
      </c>
      <c r="K204" s="8">
        <f>IF(I204="","",MAX(0,1-I204-J204))</f>
        <v/>
      </c>
      <c r="L204">
        <f>IF(I204="","",IF(I204&gt;=0.5+Config!$B$6,"OVER",IF(J204&gt;=0.5+Config!$B$6,"UNDER","—")))</f>
        <v/>
      </c>
      <c r="M204" t="n">
        <v>21.65</v>
      </c>
      <c r="N204" t="n">
        <v>25.4</v>
      </c>
      <c r="O204" s="8" t="n">
        <v>0.6</v>
      </c>
      <c r="P204" s="8" t="n">
        <v>0.8</v>
      </c>
      <c r="Q204" s="8" t="n">
        <v>0.73</v>
      </c>
      <c r="R204" t="inlineStr">
        <is>
          <t>100%/1/1</t>
        </is>
      </c>
      <c r="S204" t="n">
        <v>2</v>
      </c>
      <c r="T204">
        <f>INDEX(Calc!$G$2:$G$124,MATCH($W204,Calc!$A$2:$A$124,0))&amp;" / "&amp;INDEX(Calc!$H$2:$H$124,MATCH($W204,Calc!$A$2:$A$124,0))</f>
        <v/>
      </c>
      <c r="U204">
        <f>TEXT(INDEX(Calc!$J$2:$J$124,MATCH($W204,Calc!$A$2:$A$124,0)),"0.0")&amp;" / "&amp;TEXT(INDEX(Calc!$K$2:$K$124,MATCH($W204,Calc!$A$2:$A$124,0)),"0.0")</f>
        <v/>
      </c>
      <c r="V204">
        <f>IFERROR(INDEX(Calc!$AQ$2:$AQ$124,MATCH($W204,Calc!$A$2:$A$124,0)),"")</f>
        <v/>
      </c>
      <c r="W204" t="inlineStr">
        <is>
          <t>7jjpyjuolf7cdlx|CS2 · TS vs TYLOO</t>
        </is>
      </c>
      <c r="X204" t="inlineStr">
        <is>
          <t>K12</t>
        </is>
      </c>
      <c r="Y204">
        <f>W204&amp;"|"&amp;X204</f>
        <v/>
      </c>
      <c r="Z204" s="9">
        <f>IFERROR(INDEX(CHOOSE(MATCH($X204,{"K1","K2","K3","K12","K13","H1","H2","H3","H12","H13"},0),Calc!$BA$2:$BA$124,Calc!$BB$2:$BB$124,Calc!$BC$2:$BC$124,Calc!$BD$2:$BD$124,Calc!$BE$2:$BE$124,Calc!$BF$2:$BF$124,Calc!$BG$2:$BG$124,Calc!$BH$2:$BH$124,Calc!$BI$2:$BI$124,Calc!$BJ$2:$BJ$124),MATCH($W204,Calc!$A$2:$A$124,0)),"")</f>
        <v/>
      </c>
      <c r="AA204" s="9">
        <f>IF(Z204="","",IF(LEFT($X204,1)="H",SQRT(Z204*(IFERROR(INDEX(Calc!$AP$2:$AP$124,MATCH($W204,Calc!$A$2:$A$124,0)),0.5)*Config!$B$5+1-IFERROR(INDEX(Calc!$AP$2:$AP$124,MATCH($W204,Calc!$A$2:$A$124,0)),0.5))),SQRT(Z204*Config!$B$5)))</f>
        <v/>
      </c>
      <c r="AB204" s="8">
        <f>IF(OR(F204="",Z204="",N(AA204)&lt;=0),"",1-NORMDIST(FLOOR(F204,1)+0.5,Z204,AA204,TRUE))</f>
        <v/>
      </c>
      <c r="AC204" s="8">
        <f>IF(AB204="","",NORMDIST(CEILING(F204,1)-0.5,Z204,AA204,TRUE))</f>
        <v/>
      </c>
      <c r="AD204">
        <f>IF(AB204="","",IF(AB204&gt;=0.5+Config!$B$6,"OVER",IF(AC204&gt;=0.5+Config!$B$6,"UNDER","—")))</f>
        <v/>
      </c>
      <c r="AE204" s="11">
        <f>IFERROR(Z204/G204,"")</f>
        <v/>
      </c>
    </row>
    <row r="205">
      <c r="A205" t="inlineStr">
        <is>
          <t>CS2</t>
        </is>
      </c>
      <c r="B205" t="inlineStr">
        <is>
          <t>CS2 · TS vs TYLOO</t>
        </is>
      </c>
      <c r="C205" t="inlineStr">
        <is>
          <t>Moseyuh</t>
        </is>
      </c>
      <c r="D205" t="inlineStr">
        <is>
          <t>TYLOO</t>
        </is>
      </c>
      <c r="E205" t="inlineStr">
        <is>
          <t>Maps 1-2 HS</t>
        </is>
      </c>
      <c r="F205" t="n">
        <v>13</v>
      </c>
      <c r="G205" s="9">
        <f>IFERROR(INDEX(CHOOSE(MATCH($X205,{"K1","K2","K3","K12","K13","H1","H2","H3","H12","H13"},0),Calc!$V$2:$V$124,Calc!$AC$2:$AC$124,Calc!$AJ$2:$AJ$124,Calc!$AL$2:$AL$124,Calc!$AM$2:$AM$124,Calc!$W$2:$W$124,Calc!$AD$2:$AD$124,Calc!$AK$2:$AK$124,Calc!$AN$2:$AN$124,Calc!$AO$2:$AO$124),MATCH($W205,Calc!$A$2:$A$124,0)),"")</f>
        <v/>
      </c>
      <c r="H205" s="9">
        <f>IF(G205="","",IF(LEFT($X205,1)="H",SQRT(G205*(IFERROR(INDEX(Calc!$AP$2:$AP$124,MATCH($W205,Calc!$A$2:$A$124,0)),0.5)*Config!$B$5+1-IFERROR(INDEX(Calc!$AP$2:$AP$124,MATCH($W205,Calc!$A$2:$A$124,0)),0.5))),SQRT(G205*Config!$B$5)))</f>
        <v/>
      </c>
      <c r="I205" s="8">
        <f>IF(OR(F205="",G205="",N(H205)&lt;=0),"",1-NORMDIST(FLOOR(F205,1)+0.5,G205,H205,TRUE))</f>
        <v/>
      </c>
      <c r="J205" s="8">
        <f>IF(I205="","",NORMDIST(CEILING(F205,1)-0.5,G205,H205,TRUE))</f>
        <v/>
      </c>
      <c r="K205" s="8">
        <f>IF(I205="","",MAX(0,1-I205-J205))</f>
        <v/>
      </c>
      <c r="L205">
        <f>IF(I205="","",IF(I205&gt;=0.5+Config!$B$6,"OVER",IF(J205&gt;=0.5+Config!$B$6,"UNDER","—")))</f>
        <v/>
      </c>
      <c r="N205" t="n">
        <v>15.9</v>
      </c>
      <c r="O205" s="8" t="n">
        <v>0.6</v>
      </c>
      <c r="P205" s="8" t="n">
        <v>0.7</v>
      </c>
      <c r="Q205" s="8" t="n">
        <v>0.53</v>
      </c>
      <c r="R205" t="inlineStr">
        <is>
          <t>0%/0/1</t>
        </is>
      </c>
      <c r="S205" t="n">
        <v>3</v>
      </c>
      <c r="T205">
        <f>INDEX(Calc!$G$2:$G$124,MATCH($W205,Calc!$A$2:$A$124,0))&amp;" / "&amp;INDEX(Calc!$H$2:$H$124,MATCH($W205,Calc!$A$2:$A$124,0))</f>
        <v/>
      </c>
      <c r="U205">
        <f>TEXT(INDEX(Calc!$J$2:$J$124,MATCH($W205,Calc!$A$2:$A$124,0)),"0.0")&amp;" / "&amp;TEXT(INDEX(Calc!$K$2:$K$124,MATCH($W205,Calc!$A$2:$A$124,0)),"0.0")</f>
        <v/>
      </c>
      <c r="V205">
        <f>IFERROR(INDEX(Calc!$AQ$2:$AQ$124,MATCH($W205,Calc!$A$2:$A$124,0)),"")</f>
        <v/>
      </c>
      <c r="W205" t="inlineStr">
        <is>
          <t>ypfqlkrrqevp8h4|CS2 · TS vs TYLOO</t>
        </is>
      </c>
      <c r="X205" t="inlineStr">
        <is>
          <t>H12</t>
        </is>
      </c>
      <c r="Y205">
        <f>W205&amp;"|"&amp;X205</f>
        <v/>
      </c>
      <c r="Z205" s="9">
        <f>IFERROR(INDEX(CHOOSE(MATCH($X205,{"K1","K2","K3","K12","K13","H1","H2","H3","H12","H13"},0),Calc!$BA$2:$BA$124,Calc!$BB$2:$BB$124,Calc!$BC$2:$BC$124,Calc!$BD$2:$BD$124,Calc!$BE$2:$BE$124,Calc!$BF$2:$BF$124,Calc!$BG$2:$BG$124,Calc!$BH$2:$BH$124,Calc!$BI$2:$BI$124,Calc!$BJ$2:$BJ$124),MATCH($W205,Calc!$A$2:$A$124,0)),"")</f>
        <v/>
      </c>
      <c r="AA205" s="9">
        <f>IF(Z205="","",IF(LEFT($X205,1)="H",SQRT(Z205*(IFERROR(INDEX(Calc!$AP$2:$AP$124,MATCH($W205,Calc!$A$2:$A$124,0)),0.5)*Config!$B$5+1-IFERROR(INDEX(Calc!$AP$2:$AP$124,MATCH($W205,Calc!$A$2:$A$124,0)),0.5))),SQRT(Z205*Config!$B$5)))</f>
        <v/>
      </c>
      <c r="AB205" s="8">
        <f>IF(OR(F205="",Z205="",N(AA205)&lt;=0),"",1-NORMDIST(FLOOR(F205,1)+0.5,Z205,AA205,TRUE))</f>
        <v/>
      </c>
      <c r="AC205" s="8">
        <f>IF(AB205="","",NORMDIST(CEILING(F205,1)-0.5,Z205,AA205,TRUE))</f>
        <v/>
      </c>
      <c r="AD205">
        <f>IF(AB205="","",IF(AB205&gt;=0.5+Config!$B$6,"OVER",IF(AC205&gt;=0.5+Config!$B$6,"UNDER","—")))</f>
        <v/>
      </c>
      <c r="AE205" s="11">
        <f>IFERROR(Z205/G205,"")</f>
        <v/>
      </c>
    </row>
    <row r="206">
      <c r="A206" t="inlineStr">
        <is>
          <t>CS2</t>
        </is>
      </c>
      <c r="B206" t="inlineStr">
        <is>
          <t>CS2 · TS vs TYLOO</t>
        </is>
      </c>
      <c r="C206" t="inlineStr">
        <is>
          <t>Moseyuh</t>
        </is>
      </c>
      <c r="D206" t="inlineStr">
        <is>
          <t>TYLOO</t>
        </is>
      </c>
      <c r="E206" t="inlineStr">
        <is>
          <t>Maps 1-2 Kills</t>
        </is>
      </c>
      <c r="F206" t="n">
        <v>21</v>
      </c>
      <c r="G206" s="9">
        <f>IFERROR(INDEX(CHOOSE(MATCH($X206,{"K1","K2","K3","K12","K13","H1","H2","H3","H12","H13"},0),Calc!$V$2:$V$124,Calc!$AC$2:$AC$124,Calc!$AJ$2:$AJ$124,Calc!$AL$2:$AL$124,Calc!$AM$2:$AM$124,Calc!$W$2:$W$124,Calc!$AD$2:$AD$124,Calc!$AK$2:$AK$124,Calc!$AN$2:$AN$124,Calc!$AO$2:$AO$124),MATCH($W206,Calc!$A$2:$A$124,0)),"")</f>
        <v/>
      </c>
      <c r="H206" s="9">
        <f>IF(G206="","",IF(LEFT($X206,1)="H",SQRT(G206*(IFERROR(INDEX(Calc!$AP$2:$AP$124,MATCH($W206,Calc!$A$2:$A$124,0)),0.5)*Config!$B$5+1-IFERROR(INDEX(Calc!$AP$2:$AP$124,MATCH($W206,Calc!$A$2:$A$124,0)),0.5))),SQRT(G206*Config!$B$5)))</f>
        <v/>
      </c>
      <c r="I206" s="8">
        <f>IF(OR(F206="",G206="",N(H206)&lt;=0),"",1-NORMDIST(FLOOR(F206,1)+0.5,G206,H206,TRUE))</f>
        <v/>
      </c>
      <c r="J206" s="8">
        <f>IF(I206="","",NORMDIST(CEILING(F206,1)-0.5,G206,H206,TRUE))</f>
        <v/>
      </c>
      <c r="K206" s="8">
        <f>IF(I206="","",MAX(0,1-I206-J206))</f>
        <v/>
      </c>
      <c r="L206">
        <f>IF(I206="","",IF(I206&gt;=0.5+Config!$B$6,"OVER",IF(J206&gt;=0.5+Config!$B$6,"UNDER","—")))</f>
        <v/>
      </c>
      <c r="M206" t="n">
        <v>23.06</v>
      </c>
      <c r="N206" t="n">
        <v>24.8</v>
      </c>
      <c r="O206" s="8" t="n">
        <v>1</v>
      </c>
      <c r="P206" s="8" t="n">
        <v>0.8</v>
      </c>
      <c r="Q206" s="8" t="n">
        <v>0.67</v>
      </c>
      <c r="R206" t="inlineStr">
        <is>
          <t>100%/1/1</t>
        </is>
      </c>
      <c r="S206" t="n">
        <v>6</v>
      </c>
      <c r="T206">
        <f>INDEX(Calc!$G$2:$G$124,MATCH($W206,Calc!$A$2:$A$124,0))&amp;" / "&amp;INDEX(Calc!$H$2:$H$124,MATCH($W206,Calc!$A$2:$A$124,0))</f>
        <v/>
      </c>
      <c r="U206">
        <f>TEXT(INDEX(Calc!$J$2:$J$124,MATCH($W206,Calc!$A$2:$A$124,0)),"0.0")&amp;" / "&amp;TEXT(INDEX(Calc!$K$2:$K$124,MATCH($W206,Calc!$A$2:$A$124,0)),"0.0")</f>
        <v/>
      </c>
      <c r="V206">
        <f>IFERROR(INDEX(Calc!$AQ$2:$AQ$124,MATCH($W206,Calc!$A$2:$A$124,0)),"")</f>
        <v/>
      </c>
      <c r="W206" t="inlineStr">
        <is>
          <t>ypfqlkrrqevp8h4|CS2 · TS vs TYLOO</t>
        </is>
      </c>
      <c r="X206" t="inlineStr">
        <is>
          <t>K12</t>
        </is>
      </c>
      <c r="Y206">
        <f>W206&amp;"|"&amp;X206</f>
        <v/>
      </c>
      <c r="Z206" s="9">
        <f>IFERROR(INDEX(CHOOSE(MATCH($X206,{"K1","K2","K3","K12","K13","H1","H2","H3","H12","H13"},0),Calc!$BA$2:$BA$124,Calc!$BB$2:$BB$124,Calc!$BC$2:$BC$124,Calc!$BD$2:$BD$124,Calc!$BE$2:$BE$124,Calc!$BF$2:$BF$124,Calc!$BG$2:$BG$124,Calc!$BH$2:$BH$124,Calc!$BI$2:$BI$124,Calc!$BJ$2:$BJ$124),MATCH($W206,Calc!$A$2:$A$124,0)),"")</f>
        <v/>
      </c>
      <c r="AA206" s="9">
        <f>IF(Z206="","",IF(LEFT($X206,1)="H",SQRT(Z206*(IFERROR(INDEX(Calc!$AP$2:$AP$124,MATCH($W206,Calc!$A$2:$A$124,0)),0.5)*Config!$B$5+1-IFERROR(INDEX(Calc!$AP$2:$AP$124,MATCH($W206,Calc!$A$2:$A$124,0)),0.5))),SQRT(Z206*Config!$B$5)))</f>
        <v/>
      </c>
      <c r="AB206" s="8">
        <f>IF(OR(F206="",Z206="",N(AA206)&lt;=0),"",1-NORMDIST(FLOOR(F206,1)+0.5,Z206,AA206,TRUE))</f>
        <v/>
      </c>
      <c r="AC206" s="8">
        <f>IF(AB206="","",NORMDIST(CEILING(F206,1)-0.5,Z206,AA206,TRUE))</f>
        <v/>
      </c>
      <c r="AD206">
        <f>IF(AB206="","",IF(AB206&gt;=0.5+Config!$B$6,"OVER",IF(AC206&gt;=0.5+Config!$B$6,"UNDER","—")))</f>
        <v/>
      </c>
      <c r="AE206" s="11">
        <f>IFERROR(Z206/G206,"")</f>
        <v/>
      </c>
    </row>
    <row r="207">
      <c r="A207" t="inlineStr">
        <is>
          <t>CS2</t>
        </is>
      </c>
      <c r="B207" t="inlineStr">
        <is>
          <t>CS2 · TS vs TYLOO</t>
        </is>
      </c>
      <c r="C207" t="inlineStr">
        <is>
          <t>zero</t>
        </is>
      </c>
      <c r="D207" t="inlineStr">
        <is>
          <t>TYLOO</t>
        </is>
      </c>
      <c r="E207" t="inlineStr">
        <is>
          <t>Maps 1-2 HS</t>
        </is>
      </c>
      <c r="F207" t="n">
        <v>12.5</v>
      </c>
      <c r="G207" s="9">
        <f>IFERROR(INDEX(CHOOSE(MATCH($X207,{"K1","K2","K3","K12","K13","H1","H2","H3","H12","H13"},0),Calc!$V$2:$V$124,Calc!$AC$2:$AC$124,Calc!$AJ$2:$AJ$124,Calc!$AL$2:$AL$124,Calc!$AM$2:$AM$124,Calc!$W$2:$W$124,Calc!$AD$2:$AD$124,Calc!$AK$2:$AK$124,Calc!$AN$2:$AN$124,Calc!$AO$2:$AO$124),MATCH($W207,Calc!$A$2:$A$124,0)),"")</f>
        <v/>
      </c>
      <c r="H207" s="9">
        <f>IF(G207="","",IF(LEFT($X207,1)="H",SQRT(G207*(IFERROR(INDEX(Calc!$AP$2:$AP$124,MATCH($W207,Calc!$A$2:$A$124,0)),0.5)*Config!$B$5+1-IFERROR(INDEX(Calc!$AP$2:$AP$124,MATCH($W207,Calc!$A$2:$A$124,0)),0.5))),SQRT(G207*Config!$B$5)))</f>
        <v/>
      </c>
      <c r="I207" s="8">
        <f>IF(OR(F207="",G207="",N(H207)&lt;=0),"",1-NORMDIST(FLOOR(F207,1)+0.5,G207,H207,TRUE))</f>
        <v/>
      </c>
      <c r="J207" s="8">
        <f>IF(I207="","",NORMDIST(CEILING(F207,1)-0.5,G207,H207,TRUE))</f>
        <v/>
      </c>
      <c r="K207" s="8">
        <f>IF(I207="","",MAX(0,1-I207-J207))</f>
        <v/>
      </c>
      <c r="L207">
        <f>IF(I207="","",IF(I207&gt;=0.5+Config!$B$6,"OVER",IF(J207&gt;=0.5+Config!$B$6,"UNDER","—")))</f>
        <v/>
      </c>
      <c r="N207" t="n">
        <v>15.1</v>
      </c>
      <c r="O207" s="8" t="n">
        <v>0.8</v>
      </c>
      <c r="P207" s="8" t="n">
        <v>0.7</v>
      </c>
      <c r="Q207" s="8" t="n">
        <v>0.67</v>
      </c>
      <c r="R207" t="inlineStr">
        <is>
          <t>-</t>
        </is>
      </c>
      <c r="S207" t="n">
        <v>4</v>
      </c>
      <c r="T207">
        <f>INDEX(Calc!$G$2:$G$124,MATCH($W207,Calc!$A$2:$A$124,0))&amp;" / "&amp;INDEX(Calc!$H$2:$H$124,MATCH($W207,Calc!$A$2:$A$124,0))</f>
        <v/>
      </c>
      <c r="U207">
        <f>TEXT(INDEX(Calc!$J$2:$J$124,MATCH($W207,Calc!$A$2:$A$124,0)),"0.0")&amp;" / "&amp;TEXT(INDEX(Calc!$K$2:$K$124,MATCH($W207,Calc!$A$2:$A$124,0)),"0.0")</f>
        <v/>
      </c>
      <c r="V207">
        <f>IFERROR(INDEX(Calc!$AQ$2:$AQ$124,MATCH($W207,Calc!$A$2:$A$124,0)),"")</f>
        <v/>
      </c>
      <c r="W207" t="inlineStr">
        <is>
          <t>8xh80pn743zwzp0|CS2 · TS vs TYLOO</t>
        </is>
      </c>
      <c r="X207" t="inlineStr">
        <is>
          <t>H12</t>
        </is>
      </c>
      <c r="Y207">
        <f>W207&amp;"|"&amp;X207</f>
        <v/>
      </c>
      <c r="Z207" s="9">
        <f>IFERROR(INDEX(CHOOSE(MATCH($X207,{"K1","K2","K3","K12","K13","H1","H2","H3","H12","H13"},0),Calc!$BA$2:$BA$124,Calc!$BB$2:$BB$124,Calc!$BC$2:$BC$124,Calc!$BD$2:$BD$124,Calc!$BE$2:$BE$124,Calc!$BF$2:$BF$124,Calc!$BG$2:$BG$124,Calc!$BH$2:$BH$124,Calc!$BI$2:$BI$124,Calc!$BJ$2:$BJ$124),MATCH($W207,Calc!$A$2:$A$124,0)),"")</f>
        <v/>
      </c>
      <c r="AA207" s="9">
        <f>IF(Z207="","",IF(LEFT($X207,1)="H",SQRT(Z207*(IFERROR(INDEX(Calc!$AP$2:$AP$124,MATCH($W207,Calc!$A$2:$A$124,0)),0.5)*Config!$B$5+1-IFERROR(INDEX(Calc!$AP$2:$AP$124,MATCH($W207,Calc!$A$2:$A$124,0)),0.5))),SQRT(Z207*Config!$B$5)))</f>
        <v/>
      </c>
      <c r="AB207" s="8">
        <f>IF(OR(F207="",Z207="",N(AA207)&lt;=0),"",1-NORMDIST(FLOOR(F207,1)+0.5,Z207,AA207,TRUE))</f>
        <v/>
      </c>
      <c r="AC207" s="8">
        <f>IF(AB207="","",NORMDIST(CEILING(F207,1)-0.5,Z207,AA207,TRUE))</f>
        <v/>
      </c>
      <c r="AD207">
        <f>IF(AB207="","",IF(AB207&gt;=0.5+Config!$B$6,"OVER",IF(AC207&gt;=0.5+Config!$B$6,"UNDER","—")))</f>
        <v/>
      </c>
      <c r="AE207" s="11">
        <f>IFERROR(Z207/G207,"")</f>
        <v/>
      </c>
    </row>
    <row r="208">
      <c r="A208" t="inlineStr">
        <is>
          <t>CS2</t>
        </is>
      </c>
      <c r="B208" t="inlineStr">
        <is>
          <t>CS2 · TS vs TYLOO</t>
        </is>
      </c>
      <c r="C208" t="inlineStr">
        <is>
          <t>zero</t>
        </is>
      </c>
      <c r="D208" t="inlineStr">
        <is>
          <t>TYLOO</t>
        </is>
      </c>
      <c r="E208" t="inlineStr">
        <is>
          <t>Maps 1-2 Kills</t>
        </is>
      </c>
      <c r="F208" t="n">
        <v>22.5</v>
      </c>
      <c r="G208" s="9">
        <f>IFERROR(INDEX(CHOOSE(MATCH($X208,{"K1","K2","K3","K12","K13","H1","H2","H3","H12","H13"},0),Calc!$V$2:$V$124,Calc!$AC$2:$AC$124,Calc!$AJ$2:$AJ$124,Calc!$AL$2:$AL$124,Calc!$AM$2:$AM$124,Calc!$W$2:$W$124,Calc!$AD$2:$AD$124,Calc!$AK$2:$AK$124,Calc!$AN$2:$AN$124,Calc!$AO$2:$AO$124),MATCH($W208,Calc!$A$2:$A$124,0)),"")</f>
        <v/>
      </c>
      <c r="H208" s="9">
        <f>IF(G208="","",IF(LEFT($X208,1)="H",SQRT(G208*(IFERROR(INDEX(Calc!$AP$2:$AP$124,MATCH($W208,Calc!$A$2:$A$124,0)),0.5)*Config!$B$5+1-IFERROR(INDEX(Calc!$AP$2:$AP$124,MATCH($W208,Calc!$A$2:$A$124,0)),0.5))),SQRT(G208*Config!$B$5)))</f>
        <v/>
      </c>
      <c r="I208" s="8">
        <f>IF(OR(F208="",G208="",N(H208)&lt;=0),"",1-NORMDIST(FLOOR(F208,1)+0.5,G208,H208,TRUE))</f>
        <v/>
      </c>
      <c r="J208" s="8">
        <f>IF(I208="","",NORMDIST(CEILING(F208,1)-0.5,G208,H208,TRUE))</f>
        <v/>
      </c>
      <c r="K208" s="8">
        <f>IF(I208="","",MAX(0,1-I208-J208))</f>
        <v/>
      </c>
      <c r="L208">
        <f>IF(I208="","",IF(I208&gt;=0.5+Config!$B$6,"OVER",IF(J208&gt;=0.5+Config!$B$6,"UNDER","—")))</f>
        <v/>
      </c>
      <c r="M208" t="n">
        <v>23.69</v>
      </c>
      <c r="N208" t="n">
        <v>26.8</v>
      </c>
      <c r="O208" s="8" t="n">
        <v>0.6</v>
      </c>
      <c r="P208" s="8" t="n">
        <v>0.8</v>
      </c>
      <c r="Q208" s="8" t="n">
        <v>0.73</v>
      </c>
      <c r="R208" t="inlineStr">
        <is>
          <t>-</t>
        </is>
      </c>
      <c r="S208" t="n">
        <v>2</v>
      </c>
      <c r="T208">
        <f>INDEX(Calc!$G$2:$G$124,MATCH($W208,Calc!$A$2:$A$124,0))&amp;" / "&amp;INDEX(Calc!$H$2:$H$124,MATCH($W208,Calc!$A$2:$A$124,0))</f>
        <v/>
      </c>
      <c r="U208">
        <f>TEXT(INDEX(Calc!$J$2:$J$124,MATCH($W208,Calc!$A$2:$A$124,0)),"0.0")&amp;" / "&amp;TEXT(INDEX(Calc!$K$2:$K$124,MATCH($W208,Calc!$A$2:$A$124,0)),"0.0")</f>
        <v/>
      </c>
      <c r="V208">
        <f>IFERROR(INDEX(Calc!$AQ$2:$AQ$124,MATCH($W208,Calc!$A$2:$A$124,0)),"")</f>
        <v/>
      </c>
      <c r="W208" t="inlineStr">
        <is>
          <t>8xh80pn743zwzp0|CS2 · TS vs TYLOO</t>
        </is>
      </c>
      <c r="X208" t="inlineStr">
        <is>
          <t>K12</t>
        </is>
      </c>
      <c r="Y208">
        <f>W208&amp;"|"&amp;X208</f>
        <v/>
      </c>
      <c r="Z208" s="9">
        <f>IFERROR(INDEX(CHOOSE(MATCH($X208,{"K1","K2","K3","K12","K13","H1","H2","H3","H12","H13"},0),Calc!$BA$2:$BA$124,Calc!$BB$2:$BB$124,Calc!$BC$2:$BC$124,Calc!$BD$2:$BD$124,Calc!$BE$2:$BE$124,Calc!$BF$2:$BF$124,Calc!$BG$2:$BG$124,Calc!$BH$2:$BH$124,Calc!$BI$2:$BI$124,Calc!$BJ$2:$BJ$124),MATCH($W208,Calc!$A$2:$A$124,0)),"")</f>
        <v/>
      </c>
      <c r="AA208" s="9">
        <f>IF(Z208="","",IF(LEFT($X208,1)="H",SQRT(Z208*(IFERROR(INDEX(Calc!$AP$2:$AP$124,MATCH($W208,Calc!$A$2:$A$124,0)),0.5)*Config!$B$5+1-IFERROR(INDEX(Calc!$AP$2:$AP$124,MATCH($W208,Calc!$A$2:$A$124,0)),0.5))),SQRT(Z208*Config!$B$5)))</f>
        <v/>
      </c>
      <c r="AB208" s="8">
        <f>IF(OR(F208="",Z208="",N(AA208)&lt;=0),"",1-NORMDIST(FLOOR(F208,1)+0.5,Z208,AA208,TRUE))</f>
        <v/>
      </c>
      <c r="AC208" s="8">
        <f>IF(AB208="","",NORMDIST(CEILING(F208,1)-0.5,Z208,AA208,TRUE))</f>
        <v/>
      </c>
      <c r="AD208">
        <f>IF(AB208="","",IF(AB208&gt;=0.5+Config!$B$6,"OVER",IF(AC208&gt;=0.5+Config!$B$6,"UNDER","—")))</f>
        <v/>
      </c>
      <c r="AE208" s="11">
        <f>IFERROR(Z208/G208,"")</f>
        <v/>
      </c>
    </row>
    <row r="209">
      <c r="A209" t="inlineStr">
        <is>
          <t>CS2</t>
        </is>
      </c>
      <c r="B209" t="inlineStr">
        <is>
          <t>CS2 · VIT vs MGLZ</t>
        </is>
      </c>
      <c r="C209" t="inlineStr">
        <is>
          <t>910</t>
        </is>
      </c>
      <c r="D209" t="inlineStr">
        <is>
          <t>MGLZ</t>
        </is>
      </c>
      <c r="E209" t="inlineStr">
        <is>
          <t>Maps 1-2 HS</t>
        </is>
      </c>
      <c r="F209" t="n">
        <v>11</v>
      </c>
      <c r="G209" s="9">
        <f>IFERROR(INDEX(CHOOSE(MATCH($X209,{"K1","K2","K3","K12","K13","H1","H2","H3","H12","H13"},0),Calc!$V$2:$V$124,Calc!$AC$2:$AC$124,Calc!$AJ$2:$AJ$124,Calc!$AL$2:$AL$124,Calc!$AM$2:$AM$124,Calc!$W$2:$W$124,Calc!$AD$2:$AD$124,Calc!$AK$2:$AK$124,Calc!$AN$2:$AN$124,Calc!$AO$2:$AO$124),MATCH($W209,Calc!$A$2:$A$124,0)),"")</f>
        <v/>
      </c>
      <c r="H209" s="9">
        <f>IF(G209="","",IF(LEFT($X209,1)="H",SQRT(G209*(IFERROR(INDEX(Calc!$AP$2:$AP$124,MATCH($W209,Calc!$A$2:$A$124,0)),0.5)*Config!$B$5+1-IFERROR(INDEX(Calc!$AP$2:$AP$124,MATCH($W209,Calc!$A$2:$A$124,0)),0.5))),SQRT(G209*Config!$B$5)))</f>
        <v/>
      </c>
      <c r="I209" s="8">
        <f>IF(OR(F209="",G209="",N(H209)&lt;=0),"",1-NORMDIST(FLOOR(F209,1)+0.5,G209,H209,TRUE))</f>
        <v/>
      </c>
      <c r="J209" s="8">
        <f>IF(I209="","",NORMDIST(CEILING(F209,1)-0.5,G209,H209,TRUE))</f>
        <v/>
      </c>
      <c r="K209" s="8">
        <f>IF(I209="","",MAX(0,1-I209-J209))</f>
        <v/>
      </c>
      <c r="L209">
        <f>IF(I209="","",IF(I209&gt;=0.5+Config!$B$6,"OVER",IF(J209&gt;=0.5+Config!$B$6,"UNDER","—")))</f>
        <v/>
      </c>
      <c r="N209" t="n">
        <v>13.1</v>
      </c>
      <c r="O209" s="8" t="n">
        <v>0.8</v>
      </c>
      <c r="P209" s="8" t="n">
        <v>0.9</v>
      </c>
      <c r="Q209" s="8" t="n">
        <v>0.87</v>
      </c>
      <c r="R209" t="inlineStr">
        <is>
          <t>36%/5/14</t>
        </is>
      </c>
      <c r="S209" t="n">
        <v>2</v>
      </c>
      <c r="T209">
        <f>INDEX(Calc!$G$2:$G$124,MATCH($W209,Calc!$A$2:$A$124,0))&amp;" / "&amp;INDEX(Calc!$H$2:$H$124,MATCH($W209,Calc!$A$2:$A$124,0))</f>
        <v/>
      </c>
      <c r="U209">
        <f>TEXT(INDEX(Calc!$J$2:$J$124,MATCH($W209,Calc!$A$2:$A$124,0)),"0.0")&amp;" / "&amp;TEXT(INDEX(Calc!$K$2:$K$124,MATCH($W209,Calc!$A$2:$A$124,0)),"0.0")</f>
        <v/>
      </c>
      <c r="V209">
        <f>IFERROR(INDEX(Calc!$AQ$2:$AQ$124,MATCH($W209,Calc!$A$2:$A$124,0)),"")</f>
        <v/>
      </c>
      <c r="W209" t="inlineStr">
        <is>
          <t>5ttqna5u230tb49|CS2 · VIT vs MGLZ</t>
        </is>
      </c>
      <c r="X209" t="inlineStr">
        <is>
          <t>H12</t>
        </is>
      </c>
      <c r="Y209">
        <f>W209&amp;"|"&amp;X209</f>
        <v/>
      </c>
      <c r="Z209" s="9">
        <f>IFERROR(INDEX(CHOOSE(MATCH($X209,{"K1","K2","K3","K12","K13","H1","H2","H3","H12","H13"},0),Calc!$BA$2:$BA$124,Calc!$BB$2:$BB$124,Calc!$BC$2:$BC$124,Calc!$BD$2:$BD$124,Calc!$BE$2:$BE$124,Calc!$BF$2:$BF$124,Calc!$BG$2:$BG$124,Calc!$BH$2:$BH$124,Calc!$BI$2:$BI$124,Calc!$BJ$2:$BJ$124),MATCH($W209,Calc!$A$2:$A$124,0)),"")</f>
        <v/>
      </c>
      <c r="AA209" s="9">
        <f>IF(Z209="","",IF(LEFT($X209,1)="H",SQRT(Z209*(IFERROR(INDEX(Calc!$AP$2:$AP$124,MATCH($W209,Calc!$A$2:$A$124,0)),0.5)*Config!$B$5+1-IFERROR(INDEX(Calc!$AP$2:$AP$124,MATCH($W209,Calc!$A$2:$A$124,0)),0.5))),SQRT(Z209*Config!$B$5)))</f>
        <v/>
      </c>
      <c r="AB209" s="8">
        <f>IF(OR(F209="",Z209="",N(AA209)&lt;=0),"",1-NORMDIST(FLOOR(F209,1)+0.5,Z209,AA209,TRUE))</f>
        <v/>
      </c>
      <c r="AC209" s="8">
        <f>IF(AB209="","",NORMDIST(CEILING(F209,1)-0.5,Z209,AA209,TRUE))</f>
        <v/>
      </c>
      <c r="AD209">
        <f>IF(AB209="","",IF(AB209&gt;=0.5+Config!$B$6,"OVER",IF(AC209&gt;=0.5+Config!$B$6,"UNDER","—")))</f>
        <v/>
      </c>
      <c r="AE209" s="11">
        <f>IFERROR(Z209/G209,"")</f>
        <v/>
      </c>
    </row>
    <row r="210">
      <c r="A210" t="inlineStr">
        <is>
          <t>CS2</t>
        </is>
      </c>
      <c r="B210" t="inlineStr">
        <is>
          <t>CS2 · VIT vs MGLZ</t>
        </is>
      </c>
      <c r="C210" t="inlineStr">
        <is>
          <t>910</t>
        </is>
      </c>
      <c r="D210" t="inlineStr">
        <is>
          <t>MGLZ</t>
        </is>
      </c>
      <c r="E210" t="inlineStr">
        <is>
          <t>Maps 1-2 Kills</t>
        </is>
      </c>
      <c r="F210" t="n">
        <v>27.5</v>
      </c>
      <c r="G210" s="9">
        <f>IFERROR(INDEX(CHOOSE(MATCH($X210,{"K1","K2","K3","K12","K13","H1","H2","H3","H12","H13"},0),Calc!$V$2:$V$124,Calc!$AC$2:$AC$124,Calc!$AJ$2:$AJ$124,Calc!$AL$2:$AL$124,Calc!$AM$2:$AM$124,Calc!$W$2:$W$124,Calc!$AD$2:$AD$124,Calc!$AK$2:$AK$124,Calc!$AN$2:$AN$124,Calc!$AO$2:$AO$124),MATCH($W210,Calc!$A$2:$A$124,0)),"")</f>
        <v/>
      </c>
      <c r="H210" s="9">
        <f>IF(G210="","",IF(LEFT($X210,1)="H",SQRT(G210*(IFERROR(INDEX(Calc!$AP$2:$AP$124,MATCH($W210,Calc!$A$2:$A$124,0)),0.5)*Config!$B$5+1-IFERROR(INDEX(Calc!$AP$2:$AP$124,MATCH($W210,Calc!$A$2:$A$124,0)),0.5))),SQRT(G210*Config!$B$5)))</f>
        <v/>
      </c>
      <c r="I210" s="8">
        <f>IF(OR(F210="",G210="",N(H210)&lt;=0),"",1-NORMDIST(FLOOR(F210,1)+0.5,G210,H210,TRUE))</f>
        <v/>
      </c>
      <c r="J210" s="8">
        <f>IF(I210="","",NORMDIST(CEILING(F210,1)-0.5,G210,H210,TRUE))</f>
        <v/>
      </c>
      <c r="K210" s="8">
        <f>IF(I210="","",MAX(0,1-I210-J210))</f>
        <v/>
      </c>
      <c r="L210">
        <f>IF(I210="","",IF(I210&gt;=0.5+Config!$B$6,"OVER",IF(J210&gt;=0.5+Config!$B$6,"UNDER","—")))</f>
        <v/>
      </c>
      <c r="M210" t="n">
        <v>29.77</v>
      </c>
      <c r="N210" t="n">
        <v>32.1</v>
      </c>
      <c r="O210" s="8" t="n">
        <v>0.8</v>
      </c>
      <c r="P210" s="8" t="n">
        <v>0.7</v>
      </c>
      <c r="Q210" s="8" t="n">
        <v>0.8</v>
      </c>
      <c r="R210" t="inlineStr">
        <is>
          <t>57%/8/14</t>
        </is>
      </c>
      <c r="S210" t="n">
        <v>2</v>
      </c>
      <c r="T210">
        <f>INDEX(Calc!$G$2:$G$124,MATCH($W210,Calc!$A$2:$A$124,0))&amp;" / "&amp;INDEX(Calc!$H$2:$H$124,MATCH($W210,Calc!$A$2:$A$124,0))</f>
        <v/>
      </c>
      <c r="U210">
        <f>TEXT(INDEX(Calc!$J$2:$J$124,MATCH($W210,Calc!$A$2:$A$124,0)),"0.0")&amp;" / "&amp;TEXT(INDEX(Calc!$K$2:$K$124,MATCH($W210,Calc!$A$2:$A$124,0)),"0.0")</f>
        <v/>
      </c>
      <c r="V210">
        <f>IFERROR(INDEX(Calc!$AQ$2:$AQ$124,MATCH($W210,Calc!$A$2:$A$124,0)),"")</f>
        <v/>
      </c>
      <c r="W210" t="inlineStr">
        <is>
          <t>5ttqna5u230tb49|CS2 · VIT vs MGLZ</t>
        </is>
      </c>
      <c r="X210" t="inlineStr">
        <is>
          <t>K12</t>
        </is>
      </c>
      <c r="Y210">
        <f>W210&amp;"|"&amp;X210</f>
        <v/>
      </c>
      <c r="Z210" s="9">
        <f>IFERROR(INDEX(CHOOSE(MATCH($X210,{"K1","K2","K3","K12","K13","H1","H2","H3","H12","H13"},0),Calc!$BA$2:$BA$124,Calc!$BB$2:$BB$124,Calc!$BC$2:$BC$124,Calc!$BD$2:$BD$124,Calc!$BE$2:$BE$124,Calc!$BF$2:$BF$124,Calc!$BG$2:$BG$124,Calc!$BH$2:$BH$124,Calc!$BI$2:$BI$124,Calc!$BJ$2:$BJ$124),MATCH($W210,Calc!$A$2:$A$124,0)),"")</f>
        <v/>
      </c>
      <c r="AA210" s="9">
        <f>IF(Z210="","",IF(LEFT($X210,1)="H",SQRT(Z210*(IFERROR(INDEX(Calc!$AP$2:$AP$124,MATCH($W210,Calc!$A$2:$A$124,0)),0.5)*Config!$B$5+1-IFERROR(INDEX(Calc!$AP$2:$AP$124,MATCH($W210,Calc!$A$2:$A$124,0)),0.5))),SQRT(Z210*Config!$B$5)))</f>
        <v/>
      </c>
      <c r="AB210" s="8">
        <f>IF(OR(F210="",Z210="",N(AA210)&lt;=0),"",1-NORMDIST(FLOOR(F210,1)+0.5,Z210,AA210,TRUE))</f>
        <v/>
      </c>
      <c r="AC210" s="8">
        <f>IF(AB210="","",NORMDIST(CEILING(F210,1)-0.5,Z210,AA210,TRUE))</f>
        <v/>
      </c>
      <c r="AD210">
        <f>IF(AB210="","",IF(AB210&gt;=0.5+Config!$B$6,"OVER",IF(AC210&gt;=0.5+Config!$B$6,"UNDER","—")))</f>
        <v/>
      </c>
      <c r="AE210" s="11">
        <f>IFERROR(Z210/G210,"")</f>
        <v/>
      </c>
    </row>
    <row r="211">
      <c r="A211" t="inlineStr">
        <is>
          <t>CS2</t>
        </is>
      </c>
      <c r="B211" t="inlineStr">
        <is>
          <t>CS2 · VIT vs MGLZ</t>
        </is>
      </c>
      <c r="C211" t="inlineStr">
        <is>
          <t>bLitz</t>
        </is>
      </c>
      <c r="D211" t="inlineStr">
        <is>
          <t>MGLZ</t>
        </is>
      </c>
      <c r="E211" t="inlineStr">
        <is>
          <t>Maps 1-2 HS</t>
        </is>
      </c>
      <c r="F211" t="n">
        <v>11.5</v>
      </c>
      <c r="G211" s="9">
        <f>IFERROR(INDEX(CHOOSE(MATCH($X211,{"K1","K2","K3","K12","K13","H1","H2","H3","H12","H13"},0),Calc!$V$2:$V$124,Calc!$AC$2:$AC$124,Calc!$AJ$2:$AJ$124,Calc!$AL$2:$AL$124,Calc!$AM$2:$AM$124,Calc!$W$2:$W$124,Calc!$AD$2:$AD$124,Calc!$AK$2:$AK$124,Calc!$AN$2:$AN$124,Calc!$AO$2:$AO$124),MATCH($W211,Calc!$A$2:$A$124,0)),"")</f>
        <v/>
      </c>
      <c r="H211" s="9">
        <f>IF(G211="","",IF(LEFT($X211,1)="H",SQRT(G211*(IFERROR(INDEX(Calc!$AP$2:$AP$124,MATCH($W211,Calc!$A$2:$A$124,0)),0.5)*Config!$B$5+1-IFERROR(INDEX(Calc!$AP$2:$AP$124,MATCH($W211,Calc!$A$2:$A$124,0)),0.5))),SQRT(G211*Config!$B$5)))</f>
        <v/>
      </c>
      <c r="I211" s="8">
        <f>IF(OR(F211="",G211="",N(H211)&lt;=0),"",1-NORMDIST(FLOOR(F211,1)+0.5,G211,H211,TRUE))</f>
        <v/>
      </c>
      <c r="J211" s="8">
        <f>IF(I211="","",NORMDIST(CEILING(F211,1)-0.5,G211,H211,TRUE))</f>
        <v/>
      </c>
      <c r="K211" s="8">
        <f>IF(I211="","",MAX(0,1-I211-J211))</f>
        <v/>
      </c>
      <c r="L211">
        <f>IF(I211="","",IF(I211&gt;=0.5+Config!$B$6,"OVER",IF(J211&gt;=0.5+Config!$B$6,"UNDER","—")))</f>
        <v/>
      </c>
      <c r="N211" t="n">
        <v>12.1</v>
      </c>
      <c r="O211" s="8" t="n">
        <v>0.4</v>
      </c>
      <c r="P211" s="8" t="n">
        <v>0.6</v>
      </c>
      <c r="Q211" s="8" t="n">
        <v>0.73</v>
      </c>
      <c r="R211" t="inlineStr">
        <is>
          <t>50%/7/14</t>
        </is>
      </c>
      <c r="S211" t="n">
        <v>-1</v>
      </c>
      <c r="T211">
        <f>INDEX(Calc!$G$2:$G$124,MATCH($W211,Calc!$A$2:$A$124,0))&amp;" / "&amp;INDEX(Calc!$H$2:$H$124,MATCH($W211,Calc!$A$2:$A$124,0))</f>
        <v/>
      </c>
      <c r="U211">
        <f>TEXT(INDEX(Calc!$J$2:$J$124,MATCH($W211,Calc!$A$2:$A$124,0)),"0.0")&amp;" / "&amp;TEXT(INDEX(Calc!$K$2:$K$124,MATCH($W211,Calc!$A$2:$A$124,0)),"0.0")</f>
        <v/>
      </c>
      <c r="V211">
        <f>IFERROR(INDEX(Calc!$AQ$2:$AQ$124,MATCH($W211,Calc!$A$2:$A$124,0)),"")</f>
        <v/>
      </c>
      <c r="W211" t="inlineStr">
        <is>
          <t>56bqvguml6vhetk|CS2 · VIT vs MGLZ</t>
        </is>
      </c>
      <c r="X211" t="inlineStr">
        <is>
          <t>H12</t>
        </is>
      </c>
      <c r="Y211">
        <f>W211&amp;"|"&amp;X211</f>
        <v/>
      </c>
      <c r="Z211" s="9">
        <f>IFERROR(INDEX(CHOOSE(MATCH($X211,{"K1","K2","K3","K12","K13","H1","H2","H3","H12","H13"},0),Calc!$BA$2:$BA$124,Calc!$BB$2:$BB$124,Calc!$BC$2:$BC$124,Calc!$BD$2:$BD$124,Calc!$BE$2:$BE$124,Calc!$BF$2:$BF$124,Calc!$BG$2:$BG$124,Calc!$BH$2:$BH$124,Calc!$BI$2:$BI$124,Calc!$BJ$2:$BJ$124),MATCH($W211,Calc!$A$2:$A$124,0)),"")</f>
        <v/>
      </c>
      <c r="AA211" s="9">
        <f>IF(Z211="","",IF(LEFT($X211,1)="H",SQRT(Z211*(IFERROR(INDEX(Calc!$AP$2:$AP$124,MATCH($W211,Calc!$A$2:$A$124,0)),0.5)*Config!$B$5+1-IFERROR(INDEX(Calc!$AP$2:$AP$124,MATCH($W211,Calc!$A$2:$A$124,0)),0.5))),SQRT(Z211*Config!$B$5)))</f>
        <v/>
      </c>
      <c r="AB211" s="8">
        <f>IF(OR(F211="",Z211="",N(AA211)&lt;=0),"",1-NORMDIST(FLOOR(F211,1)+0.5,Z211,AA211,TRUE))</f>
        <v/>
      </c>
      <c r="AC211" s="8">
        <f>IF(AB211="","",NORMDIST(CEILING(F211,1)-0.5,Z211,AA211,TRUE))</f>
        <v/>
      </c>
      <c r="AD211">
        <f>IF(AB211="","",IF(AB211&gt;=0.5+Config!$B$6,"OVER",IF(AC211&gt;=0.5+Config!$B$6,"UNDER","—")))</f>
        <v/>
      </c>
      <c r="AE211" s="11">
        <f>IFERROR(Z211/G211,"")</f>
        <v/>
      </c>
    </row>
    <row r="212">
      <c r="A212" t="inlineStr">
        <is>
          <t>CS2</t>
        </is>
      </c>
      <c r="B212" t="inlineStr">
        <is>
          <t>CS2 · VIT vs MGLZ</t>
        </is>
      </c>
      <c r="C212" t="inlineStr">
        <is>
          <t>bLitz</t>
        </is>
      </c>
      <c r="D212" t="inlineStr">
        <is>
          <t>MGLZ</t>
        </is>
      </c>
      <c r="E212" t="inlineStr">
        <is>
          <t>Maps 1-2 Kills</t>
        </is>
      </c>
      <c r="F212" t="n">
        <v>25</v>
      </c>
      <c r="G212" s="9">
        <f>IFERROR(INDEX(CHOOSE(MATCH($X212,{"K1","K2","K3","K12","K13","H1","H2","H3","H12","H13"},0),Calc!$V$2:$V$124,Calc!$AC$2:$AC$124,Calc!$AJ$2:$AJ$124,Calc!$AL$2:$AL$124,Calc!$AM$2:$AM$124,Calc!$W$2:$W$124,Calc!$AD$2:$AD$124,Calc!$AK$2:$AK$124,Calc!$AN$2:$AN$124,Calc!$AO$2:$AO$124),MATCH($W212,Calc!$A$2:$A$124,0)),"")</f>
        <v/>
      </c>
      <c r="H212" s="9">
        <f>IF(G212="","",IF(LEFT($X212,1)="H",SQRT(G212*(IFERROR(INDEX(Calc!$AP$2:$AP$124,MATCH($W212,Calc!$A$2:$A$124,0)),0.5)*Config!$B$5+1-IFERROR(INDEX(Calc!$AP$2:$AP$124,MATCH($W212,Calc!$A$2:$A$124,0)),0.5))),SQRT(G212*Config!$B$5)))</f>
        <v/>
      </c>
      <c r="I212" s="8">
        <f>IF(OR(F212="",G212="",N(H212)&lt;=0),"",1-NORMDIST(FLOOR(F212,1)+0.5,G212,H212,TRUE))</f>
        <v/>
      </c>
      <c r="J212" s="8">
        <f>IF(I212="","",NORMDIST(CEILING(F212,1)-0.5,G212,H212,TRUE))</f>
        <v/>
      </c>
      <c r="K212" s="8">
        <f>IF(I212="","",MAX(0,1-I212-J212))</f>
        <v/>
      </c>
      <c r="L212">
        <f>IF(I212="","",IF(I212&gt;=0.5+Config!$B$6,"OVER",IF(J212&gt;=0.5+Config!$B$6,"UNDER","—")))</f>
        <v/>
      </c>
      <c r="M212" t="n">
        <v>25.46</v>
      </c>
      <c r="N212" t="n">
        <v>27.5</v>
      </c>
      <c r="O212" s="8" t="n">
        <v>0.6</v>
      </c>
      <c r="P212" s="8" t="n">
        <v>0.6</v>
      </c>
      <c r="Q212" s="8" t="n">
        <v>0.67</v>
      </c>
      <c r="R212" t="inlineStr">
        <is>
          <t>57%/8/14</t>
        </is>
      </c>
      <c r="S212" t="n">
        <v>-1</v>
      </c>
      <c r="T212">
        <f>INDEX(Calc!$G$2:$G$124,MATCH($W212,Calc!$A$2:$A$124,0))&amp;" / "&amp;INDEX(Calc!$H$2:$H$124,MATCH($W212,Calc!$A$2:$A$124,0))</f>
        <v/>
      </c>
      <c r="U212">
        <f>TEXT(INDEX(Calc!$J$2:$J$124,MATCH($W212,Calc!$A$2:$A$124,0)),"0.0")&amp;" / "&amp;TEXT(INDEX(Calc!$K$2:$K$124,MATCH($W212,Calc!$A$2:$A$124,0)),"0.0")</f>
        <v/>
      </c>
      <c r="V212">
        <f>IFERROR(INDEX(Calc!$AQ$2:$AQ$124,MATCH($W212,Calc!$A$2:$A$124,0)),"")</f>
        <v/>
      </c>
      <c r="W212" t="inlineStr">
        <is>
          <t>56bqvguml6vhetk|CS2 · VIT vs MGLZ</t>
        </is>
      </c>
      <c r="X212" t="inlineStr">
        <is>
          <t>K12</t>
        </is>
      </c>
      <c r="Y212">
        <f>W212&amp;"|"&amp;X212</f>
        <v/>
      </c>
      <c r="Z212" s="9">
        <f>IFERROR(INDEX(CHOOSE(MATCH($X212,{"K1","K2","K3","K12","K13","H1","H2","H3","H12","H13"},0),Calc!$BA$2:$BA$124,Calc!$BB$2:$BB$124,Calc!$BC$2:$BC$124,Calc!$BD$2:$BD$124,Calc!$BE$2:$BE$124,Calc!$BF$2:$BF$124,Calc!$BG$2:$BG$124,Calc!$BH$2:$BH$124,Calc!$BI$2:$BI$124,Calc!$BJ$2:$BJ$124),MATCH($W212,Calc!$A$2:$A$124,0)),"")</f>
        <v/>
      </c>
      <c r="AA212" s="9">
        <f>IF(Z212="","",IF(LEFT($X212,1)="H",SQRT(Z212*(IFERROR(INDEX(Calc!$AP$2:$AP$124,MATCH($W212,Calc!$A$2:$A$124,0)),0.5)*Config!$B$5+1-IFERROR(INDEX(Calc!$AP$2:$AP$124,MATCH($W212,Calc!$A$2:$A$124,0)),0.5))),SQRT(Z212*Config!$B$5)))</f>
        <v/>
      </c>
      <c r="AB212" s="8">
        <f>IF(OR(F212="",Z212="",N(AA212)&lt;=0),"",1-NORMDIST(FLOOR(F212,1)+0.5,Z212,AA212,TRUE))</f>
        <v/>
      </c>
      <c r="AC212" s="8">
        <f>IF(AB212="","",NORMDIST(CEILING(F212,1)-0.5,Z212,AA212,TRUE))</f>
        <v/>
      </c>
      <c r="AD212">
        <f>IF(AB212="","",IF(AB212&gt;=0.5+Config!$B$6,"OVER",IF(AC212&gt;=0.5+Config!$B$6,"UNDER","—")))</f>
        <v/>
      </c>
      <c r="AE212" s="11">
        <f>IFERROR(Z212/G212,"")</f>
        <v/>
      </c>
    </row>
    <row r="213">
      <c r="A213" t="inlineStr">
        <is>
          <t>CS2</t>
        </is>
      </c>
      <c r="B213" t="inlineStr">
        <is>
          <t>CS2 · VIT vs MGLZ</t>
        </is>
      </c>
      <c r="C213" t="inlineStr">
        <is>
          <t>cobrazera</t>
        </is>
      </c>
      <c r="D213" t="inlineStr">
        <is>
          <t>MGLZ</t>
        </is>
      </c>
      <c r="E213" t="inlineStr">
        <is>
          <t>Maps 1-2 HS</t>
        </is>
      </c>
      <c r="F213" t="n">
        <v>14</v>
      </c>
      <c r="G213" s="9">
        <f>IFERROR(INDEX(CHOOSE(MATCH($X213,{"K1","K2","K3","K12","K13","H1","H2","H3","H12","H13"},0),Calc!$V$2:$V$124,Calc!$AC$2:$AC$124,Calc!$AJ$2:$AJ$124,Calc!$AL$2:$AL$124,Calc!$AM$2:$AM$124,Calc!$W$2:$W$124,Calc!$AD$2:$AD$124,Calc!$AK$2:$AK$124,Calc!$AN$2:$AN$124,Calc!$AO$2:$AO$124),MATCH($W213,Calc!$A$2:$A$124,0)),"")</f>
        <v/>
      </c>
      <c r="H213" s="9">
        <f>IF(G213="","",IF(LEFT($X213,1)="H",SQRT(G213*(IFERROR(INDEX(Calc!$AP$2:$AP$124,MATCH($W213,Calc!$A$2:$A$124,0)),0.5)*Config!$B$5+1-IFERROR(INDEX(Calc!$AP$2:$AP$124,MATCH($W213,Calc!$A$2:$A$124,0)),0.5))),SQRT(G213*Config!$B$5)))</f>
        <v/>
      </c>
      <c r="I213" s="8">
        <f>IF(OR(F213="",G213="",N(H213)&lt;=0),"",1-NORMDIST(FLOOR(F213,1)+0.5,G213,H213,TRUE))</f>
        <v/>
      </c>
      <c r="J213" s="8">
        <f>IF(I213="","",NORMDIST(CEILING(F213,1)-0.5,G213,H213,TRUE))</f>
        <v/>
      </c>
      <c r="K213" s="8">
        <f>IF(I213="","",MAX(0,1-I213-J213))</f>
        <v/>
      </c>
      <c r="L213">
        <f>IF(I213="","",IF(I213&gt;=0.5+Config!$B$6,"OVER",IF(J213&gt;=0.5+Config!$B$6,"UNDER","—")))</f>
        <v/>
      </c>
      <c r="N213" t="n">
        <v>17.5</v>
      </c>
      <c r="O213" s="8" t="n">
        <v>0.8</v>
      </c>
      <c r="P213" s="8" t="n">
        <v>0.9</v>
      </c>
      <c r="Q213" s="8" t="n">
        <v>0.93</v>
      </c>
      <c r="R213" t="inlineStr">
        <is>
          <t>67%/2/3</t>
        </is>
      </c>
      <c r="S213" t="n">
        <v>2</v>
      </c>
      <c r="T213">
        <f>INDEX(Calc!$G$2:$G$124,MATCH($W213,Calc!$A$2:$A$124,0))&amp;" / "&amp;INDEX(Calc!$H$2:$H$124,MATCH($W213,Calc!$A$2:$A$124,0))</f>
        <v/>
      </c>
      <c r="U213">
        <f>TEXT(INDEX(Calc!$J$2:$J$124,MATCH($W213,Calc!$A$2:$A$124,0)),"0.0")&amp;" / "&amp;TEXT(INDEX(Calc!$K$2:$K$124,MATCH($W213,Calc!$A$2:$A$124,0)),"0.0")</f>
        <v/>
      </c>
      <c r="V213">
        <f>IFERROR(INDEX(Calc!$AQ$2:$AQ$124,MATCH($W213,Calc!$A$2:$A$124,0)),"")</f>
        <v/>
      </c>
      <c r="W213" t="inlineStr">
        <is>
          <t>01464eymprqfx0w|CS2 · VIT vs MGLZ</t>
        </is>
      </c>
      <c r="X213" t="inlineStr">
        <is>
          <t>H12</t>
        </is>
      </c>
      <c r="Y213">
        <f>W213&amp;"|"&amp;X213</f>
        <v/>
      </c>
      <c r="Z213" s="9">
        <f>IFERROR(INDEX(CHOOSE(MATCH($X213,{"K1","K2","K3","K12","K13","H1","H2","H3","H12","H13"},0),Calc!$BA$2:$BA$124,Calc!$BB$2:$BB$124,Calc!$BC$2:$BC$124,Calc!$BD$2:$BD$124,Calc!$BE$2:$BE$124,Calc!$BF$2:$BF$124,Calc!$BG$2:$BG$124,Calc!$BH$2:$BH$124,Calc!$BI$2:$BI$124,Calc!$BJ$2:$BJ$124),MATCH($W213,Calc!$A$2:$A$124,0)),"")</f>
        <v/>
      </c>
      <c r="AA213" s="9">
        <f>IF(Z213="","",IF(LEFT($X213,1)="H",SQRT(Z213*(IFERROR(INDEX(Calc!$AP$2:$AP$124,MATCH($W213,Calc!$A$2:$A$124,0)),0.5)*Config!$B$5+1-IFERROR(INDEX(Calc!$AP$2:$AP$124,MATCH($W213,Calc!$A$2:$A$124,0)),0.5))),SQRT(Z213*Config!$B$5)))</f>
        <v/>
      </c>
      <c r="AB213" s="8">
        <f>IF(OR(F213="",Z213="",N(AA213)&lt;=0),"",1-NORMDIST(FLOOR(F213,1)+0.5,Z213,AA213,TRUE))</f>
        <v/>
      </c>
      <c r="AC213" s="8">
        <f>IF(AB213="","",NORMDIST(CEILING(F213,1)-0.5,Z213,AA213,TRUE))</f>
        <v/>
      </c>
      <c r="AD213">
        <f>IF(AB213="","",IF(AB213&gt;=0.5+Config!$B$6,"OVER",IF(AC213&gt;=0.5+Config!$B$6,"UNDER","—")))</f>
        <v/>
      </c>
      <c r="AE213" s="11">
        <f>IFERROR(Z213/G213,"")</f>
        <v/>
      </c>
    </row>
    <row r="214">
      <c r="A214" t="inlineStr">
        <is>
          <t>CS2</t>
        </is>
      </c>
      <c r="B214" t="inlineStr">
        <is>
          <t>CS2 · VIT vs MGLZ</t>
        </is>
      </c>
      <c r="C214" t="inlineStr">
        <is>
          <t>cobrazera</t>
        </is>
      </c>
      <c r="D214" t="inlineStr">
        <is>
          <t>MGLZ</t>
        </is>
      </c>
      <c r="E214" t="inlineStr">
        <is>
          <t>Maps 1-2 Kills</t>
        </is>
      </c>
      <c r="F214" t="n">
        <v>23.5</v>
      </c>
      <c r="G214" s="9">
        <f>IFERROR(INDEX(CHOOSE(MATCH($X214,{"K1","K2","K3","K12","K13","H1","H2","H3","H12","H13"},0),Calc!$V$2:$V$124,Calc!$AC$2:$AC$124,Calc!$AJ$2:$AJ$124,Calc!$AL$2:$AL$124,Calc!$AM$2:$AM$124,Calc!$W$2:$W$124,Calc!$AD$2:$AD$124,Calc!$AK$2:$AK$124,Calc!$AN$2:$AN$124,Calc!$AO$2:$AO$124),MATCH($W214,Calc!$A$2:$A$124,0)),"")</f>
        <v/>
      </c>
      <c r="H214" s="9">
        <f>IF(G214="","",IF(LEFT($X214,1)="H",SQRT(G214*(IFERROR(INDEX(Calc!$AP$2:$AP$124,MATCH($W214,Calc!$A$2:$A$124,0)),0.5)*Config!$B$5+1-IFERROR(INDEX(Calc!$AP$2:$AP$124,MATCH($W214,Calc!$A$2:$A$124,0)),0.5))),SQRT(G214*Config!$B$5)))</f>
        <v/>
      </c>
      <c r="I214" s="8">
        <f>IF(OR(F214="",G214="",N(H214)&lt;=0),"",1-NORMDIST(FLOOR(F214,1)+0.5,G214,H214,TRUE))</f>
        <v/>
      </c>
      <c r="J214" s="8">
        <f>IF(I214="","",NORMDIST(CEILING(F214,1)-0.5,G214,H214,TRUE))</f>
        <v/>
      </c>
      <c r="K214" s="8">
        <f>IF(I214="","",MAX(0,1-I214-J214))</f>
        <v/>
      </c>
      <c r="L214">
        <f>IF(I214="","",IF(I214&gt;=0.5+Config!$B$6,"OVER",IF(J214&gt;=0.5+Config!$B$6,"UNDER","—")))</f>
        <v/>
      </c>
      <c r="M214" t="n">
        <v>25.6</v>
      </c>
      <c r="N214" t="n">
        <v>29.2</v>
      </c>
      <c r="O214" s="8" t="n">
        <v>0.6</v>
      </c>
      <c r="P214" s="8" t="n">
        <v>0.7</v>
      </c>
      <c r="Q214" s="8" t="n">
        <v>0.8</v>
      </c>
      <c r="R214" t="inlineStr">
        <is>
          <t>100%/3/3</t>
        </is>
      </c>
      <c r="S214" t="n">
        <v>1</v>
      </c>
      <c r="T214">
        <f>INDEX(Calc!$G$2:$G$124,MATCH($W214,Calc!$A$2:$A$124,0))&amp;" / "&amp;INDEX(Calc!$H$2:$H$124,MATCH($W214,Calc!$A$2:$A$124,0))</f>
        <v/>
      </c>
      <c r="U214">
        <f>TEXT(INDEX(Calc!$J$2:$J$124,MATCH($W214,Calc!$A$2:$A$124,0)),"0.0")&amp;" / "&amp;TEXT(INDEX(Calc!$K$2:$K$124,MATCH($W214,Calc!$A$2:$A$124,0)),"0.0")</f>
        <v/>
      </c>
      <c r="V214">
        <f>IFERROR(INDEX(Calc!$AQ$2:$AQ$124,MATCH($W214,Calc!$A$2:$A$124,0)),"")</f>
        <v/>
      </c>
      <c r="W214" t="inlineStr">
        <is>
          <t>01464eymprqfx0w|CS2 · VIT vs MGLZ</t>
        </is>
      </c>
      <c r="X214" t="inlineStr">
        <is>
          <t>K12</t>
        </is>
      </c>
      <c r="Y214">
        <f>W214&amp;"|"&amp;X214</f>
        <v/>
      </c>
      <c r="Z214" s="9">
        <f>IFERROR(INDEX(CHOOSE(MATCH($X214,{"K1","K2","K3","K12","K13","H1","H2","H3","H12","H13"},0),Calc!$BA$2:$BA$124,Calc!$BB$2:$BB$124,Calc!$BC$2:$BC$124,Calc!$BD$2:$BD$124,Calc!$BE$2:$BE$124,Calc!$BF$2:$BF$124,Calc!$BG$2:$BG$124,Calc!$BH$2:$BH$124,Calc!$BI$2:$BI$124,Calc!$BJ$2:$BJ$124),MATCH($W214,Calc!$A$2:$A$124,0)),"")</f>
        <v/>
      </c>
      <c r="AA214" s="9">
        <f>IF(Z214="","",IF(LEFT($X214,1)="H",SQRT(Z214*(IFERROR(INDEX(Calc!$AP$2:$AP$124,MATCH($W214,Calc!$A$2:$A$124,0)),0.5)*Config!$B$5+1-IFERROR(INDEX(Calc!$AP$2:$AP$124,MATCH($W214,Calc!$A$2:$A$124,0)),0.5))),SQRT(Z214*Config!$B$5)))</f>
        <v/>
      </c>
      <c r="AB214" s="8">
        <f>IF(OR(F214="",Z214="",N(AA214)&lt;=0),"",1-NORMDIST(FLOOR(F214,1)+0.5,Z214,AA214,TRUE))</f>
        <v/>
      </c>
      <c r="AC214" s="8">
        <f>IF(AB214="","",NORMDIST(CEILING(F214,1)-0.5,Z214,AA214,TRUE))</f>
        <v/>
      </c>
      <c r="AD214">
        <f>IF(AB214="","",IF(AB214&gt;=0.5+Config!$B$6,"OVER",IF(AC214&gt;=0.5+Config!$B$6,"UNDER","—")))</f>
        <v/>
      </c>
      <c r="AE214" s="11">
        <f>IFERROR(Z214/G214,"")</f>
        <v/>
      </c>
    </row>
    <row r="215">
      <c r="A215" t="inlineStr">
        <is>
          <t>CS2</t>
        </is>
      </c>
      <c r="B215" t="inlineStr">
        <is>
          <t>CS2 · VIT vs MGLZ</t>
        </is>
      </c>
      <c r="C215" t="inlineStr">
        <is>
          <t>nin9</t>
        </is>
      </c>
      <c r="D215" t="inlineStr">
        <is>
          <t>MGLZ</t>
        </is>
      </c>
      <c r="E215" t="inlineStr">
        <is>
          <t>Maps 1-2 HS</t>
        </is>
      </c>
      <c r="F215" t="n">
        <v>13.5</v>
      </c>
      <c r="G215" s="9">
        <f>IFERROR(INDEX(CHOOSE(MATCH($X215,{"K1","K2","K3","K12","K13","H1","H2","H3","H12","H13"},0),Calc!$V$2:$V$124,Calc!$AC$2:$AC$124,Calc!$AJ$2:$AJ$124,Calc!$AL$2:$AL$124,Calc!$AM$2:$AM$124,Calc!$W$2:$W$124,Calc!$AD$2:$AD$124,Calc!$AK$2:$AK$124,Calc!$AN$2:$AN$124,Calc!$AO$2:$AO$124),MATCH($W215,Calc!$A$2:$A$124,0)),"")</f>
        <v/>
      </c>
      <c r="H215" s="9">
        <f>IF(G215="","",IF(LEFT($X215,1)="H",SQRT(G215*(IFERROR(INDEX(Calc!$AP$2:$AP$124,MATCH($W215,Calc!$A$2:$A$124,0)),0.5)*Config!$B$5+1-IFERROR(INDEX(Calc!$AP$2:$AP$124,MATCH($W215,Calc!$A$2:$A$124,0)),0.5))),SQRT(G215*Config!$B$5)))</f>
        <v/>
      </c>
      <c r="I215" s="8">
        <f>IF(OR(F215="",G215="",N(H215)&lt;=0),"",1-NORMDIST(FLOOR(F215,1)+0.5,G215,H215,TRUE))</f>
        <v/>
      </c>
      <c r="J215" s="8">
        <f>IF(I215="","",NORMDIST(CEILING(F215,1)-0.5,G215,H215,TRUE))</f>
        <v/>
      </c>
      <c r="K215" s="8">
        <f>IF(I215="","",MAX(0,1-I215-J215))</f>
        <v/>
      </c>
      <c r="L215">
        <f>IF(I215="","",IF(I215&gt;=0.5+Config!$B$6,"OVER",IF(J215&gt;=0.5+Config!$B$6,"UNDER","—")))</f>
        <v/>
      </c>
      <c r="N215" t="n">
        <v>15.9</v>
      </c>
      <c r="O215" s="8" t="n">
        <v>0.6</v>
      </c>
      <c r="P215" s="8" t="n">
        <v>0.6</v>
      </c>
      <c r="Q215" s="8" t="n">
        <v>0.6</v>
      </c>
      <c r="R215" t="inlineStr">
        <is>
          <t>-</t>
        </is>
      </c>
      <c r="S215" t="n">
        <v>2</v>
      </c>
      <c r="T215">
        <f>INDEX(Calc!$G$2:$G$124,MATCH($W215,Calc!$A$2:$A$124,0))&amp;" / "&amp;INDEX(Calc!$H$2:$H$124,MATCH($W215,Calc!$A$2:$A$124,0))</f>
        <v/>
      </c>
      <c r="U215">
        <f>TEXT(INDEX(Calc!$J$2:$J$124,MATCH($W215,Calc!$A$2:$A$124,0)),"0.0")&amp;" / "&amp;TEXT(INDEX(Calc!$K$2:$K$124,MATCH($W215,Calc!$A$2:$A$124,0)),"0.0")</f>
        <v/>
      </c>
      <c r="V215">
        <f>IFERROR(INDEX(Calc!$AQ$2:$AQ$124,MATCH($W215,Calc!$A$2:$A$124,0)),"")</f>
        <v/>
      </c>
      <c r="W215" t="inlineStr">
        <is>
          <t>dobeml44vsvpy4d|CS2 · VIT vs MGLZ</t>
        </is>
      </c>
      <c r="X215" t="inlineStr">
        <is>
          <t>H12</t>
        </is>
      </c>
      <c r="Y215">
        <f>W215&amp;"|"&amp;X215</f>
        <v/>
      </c>
      <c r="Z215" s="9">
        <f>IFERROR(INDEX(CHOOSE(MATCH($X215,{"K1","K2","K3","K12","K13","H1","H2","H3","H12","H13"},0),Calc!$BA$2:$BA$124,Calc!$BB$2:$BB$124,Calc!$BC$2:$BC$124,Calc!$BD$2:$BD$124,Calc!$BE$2:$BE$124,Calc!$BF$2:$BF$124,Calc!$BG$2:$BG$124,Calc!$BH$2:$BH$124,Calc!$BI$2:$BI$124,Calc!$BJ$2:$BJ$124),MATCH($W215,Calc!$A$2:$A$124,0)),"")</f>
        <v/>
      </c>
      <c r="AA215" s="9">
        <f>IF(Z215="","",IF(LEFT($X215,1)="H",SQRT(Z215*(IFERROR(INDEX(Calc!$AP$2:$AP$124,MATCH($W215,Calc!$A$2:$A$124,0)),0.5)*Config!$B$5+1-IFERROR(INDEX(Calc!$AP$2:$AP$124,MATCH($W215,Calc!$A$2:$A$124,0)),0.5))),SQRT(Z215*Config!$B$5)))</f>
        <v/>
      </c>
      <c r="AB215" s="8">
        <f>IF(OR(F215="",Z215="",N(AA215)&lt;=0),"",1-NORMDIST(FLOOR(F215,1)+0.5,Z215,AA215,TRUE))</f>
        <v/>
      </c>
      <c r="AC215" s="8">
        <f>IF(AB215="","",NORMDIST(CEILING(F215,1)-0.5,Z215,AA215,TRUE))</f>
        <v/>
      </c>
      <c r="AD215">
        <f>IF(AB215="","",IF(AB215&gt;=0.5+Config!$B$6,"OVER",IF(AC215&gt;=0.5+Config!$B$6,"UNDER","—")))</f>
        <v/>
      </c>
      <c r="AE215" s="11">
        <f>IFERROR(Z215/G215,"")</f>
        <v/>
      </c>
    </row>
    <row r="216">
      <c r="A216" t="inlineStr">
        <is>
          <t>CS2</t>
        </is>
      </c>
      <c r="B216" t="inlineStr">
        <is>
          <t>CS2 · VIT vs MGLZ</t>
        </is>
      </c>
      <c r="C216" t="inlineStr">
        <is>
          <t>nin9</t>
        </is>
      </c>
      <c r="D216" t="inlineStr">
        <is>
          <t>MGLZ</t>
        </is>
      </c>
      <c r="E216" t="inlineStr">
        <is>
          <t>Maps 1-2 Kills</t>
        </is>
      </c>
      <c r="F216" t="n">
        <v>23.5</v>
      </c>
      <c r="G216" s="9">
        <f>IFERROR(INDEX(CHOOSE(MATCH($X216,{"K1","K2","K3","K12","K13","H1","H2","H3","H12","H13"},0),Calc!$V$2:$V$124,Calc!$AC$2:$AC$124,Calc!$AJ$2:$AJ$124,Calc!$AL$2:$AL$124,Calc!$AM$2:$AM$124,Calc!$W$2:$W$124,Calc!$AD$2:$AD$124,Calc!$AK$2:$AK$124,Calc!$AN$2:$AN$124,Calc!$AO$2:$AO$124),MATCH($W216,Calc!$A$2:$A$124,0)),"")</f>
        <v/>
      </c>
      <c r="H216" s="9">
        <f>IF(G216="","",IF(LEFT($X216,1)="H",SQRT(G216*(IFERROR(INDEX(Calc!$AP$2:$AP$124,MATCH($W216,Calc!$A$2:$A$124,0)),0.5)*Config!$B$5+1-IFERROR(INDEX(Calc!$AP$2:$AP$124,MATCH($W216,Calc!$A$2:$A$124,0)),0.5))),SQRT(G216*Config!$B$5)))</f>
        <v/>
      </c>
      <c r="I216" s="8">
        <f>IF(OR(F216="",G216="",N(H216)&lt;=0),"",1-NORMDIST(FLOOR(F216,1)+0.5,G216,H216,TRUE))</f>
        <v/>
      </c>
      <c r="J216" s="8">
        <f>IF(I216="","",NORMDIST(CEILING(F216,1)-0.5,G216,H216,TRUE))</f>
        <v/>
      </c>
      <c r="K216" s="8">
        <f>IF(I216="","",MAX(0,1-I216-J216))</f>
        <v/>
      </c>
      <c r="L216">
        <f>IF(I216="","",IF(I216&gt;=0.5+Config!$B$6,"OVER",IF(J216&gt;=0.5+Config!$B$6,"UNDER","—")))</f>
        <v/>
      </c>
      <c r="M216" t="n">
        <v>24.54</v>
      </c>
      <c r="N216" t="n">
        <v>29.2</v>
      </c>
      <c r="O216" s="8" t="n">
        <v>0.8</v>
      </c>
      <c r="P216" s="8" t="n">
        <v>0.7</v>
      </c>
      <c r="Q216" s="8" t="n">
        <v>0.73</v>
      </c>
      <c r="R216" t="inlineStr">
        <is>
          <t>-</t>
        </is>
      </c>
      <c r="S216" t="n">
        <v>2</v>
      </c>
      <c r="T216">
        <f>INDEX(Calc!$G$2:$G$124,MATCH($W216,Calc!$A$2:$A$124,0))&amp;" / "&amp;INDEX(Calc!$H$2:$H$124,MATCH($W216,Calc!$A$2:$A$124,0))</f>
        <v/>
      </c>
      <c r="U216">
        <f>TEXT(INDEX(Calc!$J$2:$J$124,MATCH($W216,Calc!$A$2:$A$124,0)),"0.0")&amp;" / "&amp;TEXT(INDEX(Calc!$K$2:$K$124,MATCH($W216,Calc!$A$2:$A$124,0)),"0.0")</f>
        <v/>
      </c>
      <c r="V216">
        <f>IFERROR(INDEX(Calc!$AQ$2:$AQ$124,MATCH($W216,Calc!$A$2:$A$124,0)),"")</f>
        <v/>
      </c>
      <c r="W216" t="inlineStr">
        <is>
          <t>dobeml44vsvpy4d|CS2 · VIT vs MGLZ</t>
        </is>
      </c>
      <c r="X216" t="inlineStr">
        <is>
          <t>K12</t>
        </is>
      </c>
      <c r="Y216">
        <f>W216&amp;"|"&amp;X216</f>
        <v/>
      </c>
      <c r="Z216" s="9">
        <f>IFERROR(INDEX(CHOOSE(MATCH($X216,{"K1","K2","K3","K12","K13","H1","H2","H3","H12","H13"},0),Calc!$BA$2:$BA$124,Calc!$BB$2:$BB$124,Calc!$BC$2:$BC$124,Calc!$BD$2:$BD$124,Calc!$BE$2:$BE$124,Calc!$BF$2:$BF$124,Calc!$BG$2:$BG$124,Calc!$BH$2:$BH$124,Calc!$BI$2:$BI$124,Calc!$BJ$2:$BJ$124),MATCH($W216,Calc!$A$2:$A$124,0)),"")</f>
        <v/>
      </c>
      <c r="AA216" s="9">
        <f>IF(Z216="","",IF(LEFT($X216,1)="H",SQRT(Z216*(IFERROR(INDEX(Calc!$AP$2:$AP$124,MATCH($W216,Calc!$A$2:$A$124,0)),0.5)*Config!$B$5+1-IFERROR(INDEX(Calc!$AP$2:$AP$124,MATCH($W216,Calc!$A$2:$A$124,0)),0.5))),SQRT(Z216*Config!$B$5)))</f>
        <v/>
      </c>
      <c r="AB216" s="8">
        <f>IF(OR(F216="",Z216="",N(AA216)&lt;=0),"",1-NORMDIST(FLOOR(F216,1)+0.5,Z216,AA216,TRUE))</f>
        <v/>
      </c>
      <c r="AC216" s="8">
        <f>IF(AB216="","",NORMDIST(CEILING(F216,1)-0.5,Z216,AA216,TRUE))</f>
        <v/>
      </c>
      <c r="AD216">
        <f>IF(AB216="","",IF(AB216&gt;=0.5+Config!$B$6,"OVER",IF(AC216&gt;=0.5+Config!$B$6,"UNDER","—")))</f>
        <v/>
      </c>
      <c r="AE216" s="11">
        <f>IFERROR(Z216/G216,"")</f>
        <v/>
      </c>
    </row>
    <row r="217">
      <c r="A217" t="inlineStr">
        <is>
          <t>CS2</t>
        </is>
      </c>
      <c r="B217" t="inlineStr">
        <is>
          <t>CS2 · VIT vs MGLZ</t>
        </is>
      </c>
      <c r="C217" t="inlineStr">
        <is>
          <t>Techno</t>
        </is>
      </c>
      <c r="D217" t="inlineStr">
        <is>
          <t>MGLZ</t>
        </is>
      </c>
      <c r="E217" t="inlineStr">
        <is>
          <t>Maps 1-2 HS</t>
        </is>
      </c>
      <c r="F217" t="n">
        <v>14</v>
      </c>
      <c r="G217" s="9">
        <f>IFERROR(INDEX(CHOOSE(MATCH($X217,{"K1","K2","K3","K12","K13","H1","H2","H3","H12","H13"},0),Calc!$V$2:$V$124,Calc!$AC$2:$AC$124,Calc!$AJ$2:$AJ$124,Calc!$AL$2:$AL$124,Calc!$AM$2:$AM$124,Calc!$W$2:$W$124,Calc!$AD$2:$AD$124,Calc!$AK$2:$AK$124,Calc!$AN$2:$AN$124,Calc!$AO$2:$AO$124),MATCH($W217,Calc!$A$2:$A$124,0)),"")</f>
        <v/>
      </c>
      <c r="H217" s="9">
        <f>IF(G217="","",IF(LEFT($X217,1)="H",SQRT(G217*(IFERROR(INDEX(Calc!$AP$2:$AP$124,MATCH($W217,Calc!$A$2:$A$124,0)),0.5)*Config!$B$5+1-IFERROR(INDEX(Calc!$AP$2:$AP$124,MATCH($W217,Calc!$A$2:$A$124,0)),0.5))),SQRT(G217*Config!$B$5)))</f>
        <v/>
      </c>
      <c r="I217" s="8">
        <f>IF(OR(F217="",G217="",N(H217)&lt;=0),"",1-NORMDIST(FLOOR(F217,1)+0.5,G217,H217,TRUE))</f>
        <v/>
      </c>
      <c r="J217" s="8">
        <f>IF(I217="","",NORMDIST(CEILING(F217,1)-0.5,G217,H217,TRUE))</f>
        <v/>
      </c>
      <c r="K217" s="8">
        <f>IF(I217="","",MAX(0,1-I217-J217))</f>
        <v/>
      </c>
      <c r="L217">
        <f>IF(I217="","",IF(I217&gt;=0.5+Config!$B$6,"OVER",IF(J217&gt;=0.5+Config!$B$6,"UNDER","—")))</f>
        <v/>
      </c>
      <c r="N217" t="n">
        <v>16</v>
      </c>
      <c r="O217" s="8" t="n">
        <v>1</v>
      </c>
      <c r="P217" s="8" t="n">
        <v>0.8</v>
      </c>
      <c r="Q217" s="8" t="n">
        <v>0.6</v>
      </c>
      <c r="R217" t="inlineStr">
        <is>
          <t>64%/9/14</t>
        </is>
      </c>
      <c r="S217" t="n">
        <v>5</v>
      </c>
      <c r="T217">
        <f>INDEX(Calc!$G$2:$G$124,MATCH($W217,Calc!$A$2:$A$124,0))&amp;" / "&amp;INDEX(Calc!$H$2:$H$124,MATCH($W217,Calc!$A$2:$A$124,0))</f>
        <v/>
      </c>
      <c r="U217">
        <f>TEXT(INDEX(Calc!$J$2:$J$124,MATCH($W217,Calc!$A$2:$A$124,0)),"0.0")&amp;" / "&amp;TEXT(INDEX(Calc!$K$2:$K$124,MATCH($W217,Calc!$A$2:$A$124,0)),"0.0")</f>
        <v/>
      </c>
      <c r="V217">
        <f>IFERROR(INDEX(Calc!$AQ$2:$AQ$124,MATCH($W217,Calc!$A$2:$A$124,0)),"")</f>
        <v/>
      </c>
      <c r="W217" t="inlineStr">
        <is>
          <t>f34szm5kcyom32u|CS2 · VIT vs MGLZ</t>
        </is>
      </c>
      <c r="X217" t="inlineStr">
        <is>
          <t>H12</t>
        </is>
      </c>
      <c r="Y217">
        <f>W217&amp;"|"&amp;X217</f>
        <v/>
      </c>
      <c r="Z217" s="9">
        <f>IFERROR(INDEX(CHOOSE(MATCH($X217,{"K1","K2","K3","K12","K13","H1","H2","H3","H12","H13"},0),Calc!$BA$2:$BA$124,Calc!$BB$2:$BB$124,Calc!$BC$2:$BC$124,Calc!$BD$2:$BD$124,Calc!$BE$2:$BE$124,Calc!$BF$2:$BF$124,Calc!$BG$2:$BG$124,Calc!$BH$2:$BH$124,Calc!$BI$2:$BI$124,Calc!$BJ$2:$BJ$124),MATCH($W217,Calc!$A$2:$A$124,0)),"")</f>
        <v/>
      </c>
      <c r="AA217" s="9">
        <f>IF(Z217="","",IF(LEFT($X217,1)="H",SQRT(Z217*(IFERROR(INDEX(Calc!$AP$2:$AP$124,MATCH($W217,Calc!$A$2:$A$124,0)),0.5)*Config!$B$5+1-IFERROR(INDEX(Calc!$AP$2:$AP$124,MATCH($W217,Calc!$A$2:$A$124,0)),0.5))),SQRT(Z217*Config!$B$5)))</f>
        <v/>
      </c>
      <c r="AB217" s="8">
        <f>IF(OR(F217="",Z217="",N(AA217)&lt;=0),"",1-NORMDIST(FLOOR(F217,1)+0.5,Z217,AA217,TRUE))</f>
        <v/>
      </c>
      <c r="AC217" s="8">
        <f>IF(AB217="","",NORMDIST(CEILING(F217,1)-0.5,Z217,AA217,TRUE))</f>
        <v/>
      </c>
      <c r="AD217">
        <f>IF(AB217="","",IF(AB217&gt;=0.5+Config!$B$6,"OVER",IF(AC217&gt;=0.5+Config!$B$6,"UNDER","—")))</f>
        <v/>
      </c>
      <c r="AE217" s="11">
        <f>IFERROR(Z217/G217,"")</f>
        <v/>
      </c>
    </row>
    <row r="218">
      <c r="A218" t="inlineStr">
        <is>
          <t>CS2</t>
        </is>
      </c>
      <c r="B218" t="inlineStr">
        <is>
          <t>CS2 · VIT vs MGLZ</t>
        </is>
      </c>
      <c r="C218" t="inlineStr">
        <is>
          <t>Techno</t>
        </is>
      </c>
      <c r="D218" t="inlineStr">
        <is>
          <t>MGLZ</t>
        </is>
      </c>
      <c r="E218" t="inlineStr">
        <is>
          <t>Maps 1-2 Kills</t>
        </is>
      </c>
      <c r="F218" t="n">
        <v>22.5</v>
      </c>
      <c r="G218" s="9">
        <f>IFERROR(INDEX(CHOOSE(MATCH($X218,{"K1","K2","K3","K12","K13","H1","H2","H3","H12","H13"},0),Calc!$V$2:$V$124,Calc!$AC$2:$AC$124,Calc!$AJ$2:$AJ$124,Calc!$AL$2:$AL$124,Calc!$AM$2:$AM$124,Calc!$W$2:$W$124,Calc!$AD$2:$AD$124,Calc!$AK$2:$AK$124,Calc!$AN$2:$AN$124,Calc!$AO$2:$AO$124),MATCH($W218,Calc!$A$2:$A$124,0)),"")</f>
        <v/>
      </c>
      <c r="H218" s="9">
        <f>IF(G218="","",IF(LEFT($X218,1)="H",SQRT(G218*(IFERROR(INDEX(Calc!$AP$2:$AP$124,MATCH($W218,Calc!$A$2:$A$124,0)),0.5)*Config!$B$5+1-IFERROR(INDEX(Calc!$AP$2:$AP$124,MATCH($W218,Calc!$A$2:$A$124,0)),0.5))),SQRT(G218*Config!$B$5)))</f>
        <v/>
      </c>
      <c r="I218" s="8">
        <f>IF(OR(F218="",G218="",N(H218)&lt;=0),"",1-NORMDIST(FLOOR(F218,1)+0.5,G218,H218,TRUE))</f>
        <v/>
      </c>
      <c r="J218" s="8">
        <f>IF(I218="","",NORMDIST(CEILING(F218,1)-0.5,G218,H218,TRUE))</f>
        <v/>
      </c>
      <c r="K218" s="8">
        <f>IF(I218="","",MAX(0,1-I218-J218))</f>
        <v/>
      </c>
      <c r="L218">
        <f>IF(I218="","",IF(I218&gt;=0.5+Config!$B$6,"OVER",IF(J218&gt;=0.5+Config!$B$6,"UNDER","—")))</f>
        <v/>
      </c>
      <c r="M218" t="n">
        <v>23</v>
      </c>
      <c r="N218" t="n">
        <v>24.3</v>
      </c>
      <c r="O218" s="8" t="n">
        <v>1</v>
      </c>
      <c r="P218" s="8" t="n">
        <v>0.6</v>
      </c>
      <c r="Q218" s="8" t="n">
        <v>0.47</v>
      </c>
      <c r="R218" t="inlineStr">
        <is>
          <t>64%/9/14</t>
        </is>
      </c>
      <c r="S218" t="n">
        <v>5</v>
      </c>
      <c r="T218">
        <f>INDEX(Calc!$G$2:$G$124,MATCH($W218,Calc!$A$2:$A$124,0))&amp;" / "&amp;INDEX(Calc!$H$2:$H$124,MATCH($W218,Calc!$A$2:$A$124,0))</f>
        <v/>
      </c>
      <c r="U218">
        <f>TEXT(INDEX(Calc!$J$2:$J$124,MATCH($W218,Calc!$A$2:$A$124,0)),"0.0")&amp;" / "&amp;TEXT(INDEX(Calc!$K$2:$K$124,MATCH($W218,Calc!$A$2:$A$124,0)),"0.0")</f>
        <v/>
      </c>
      <c r="V218">
        <f>IFERROR(INDEX(Calc!$AQ$2:$AQ$124,MATCH($W218,Calc!$A$2:$A$124,0)),"")</f>
        <v/>
      </c>
      <c r="W218" t="inlineStr">
        <is>
          <t>f34szm5kcyom32u|CS2 · VIT vs MGLZ</t>
        </is>
      </c>
      <c r="X218" t="inlineStr">
        <is>
          <t>K12</t>
        </is>
      </c>
      <c r="Y218">
        <f>W218&amp;"|"&amp;X218</f>
        <v/>
      </c>
      <c r="Z218" s="9">
        <f>IFERROR(INDEX(CHOOSE(MATCH($X218,{"K1","K2","K3","K12","K13","H1","H2","H3","H12","H13"},0),Calc!$BA$2:$BA$124,Calc!$BB$2:$BB$124,Calc!$BC$2:$BC$124,Calc!$BD$2:$BD$124,Calc!$BE$2:$BE$124,Calc!$BF$2:$BF$124,Calc!$BG$2:$BG$124,Calc!$BH$2:$BH$124,Calc!$BI$2:$BI$124,Calc!$BJ$2:$BJ$124),MATCH($W218,Calc!$A$2:$A$124,0)),"")</f>
        <v/>
      </c>
      <c r="AA218" s="9">
        <f>IF(Z218="","",IF(LEFT($X218,1)="H",SQRT(Z218*(IFERROR(INDEX(Calc!$AP$2:$AP$124,MATCH($W218,Calc!$A$2:$A$124,0)),0.5)*Config!$B$5+1-IFERROR(INDEX(Calc!$AP$2:$AP$124,MATCH($W218,Calc!$A$2:$A$124,0)),0.5))),SQRT(Z218*Config!$B$5)))</f>
        <v/>
      </c>
      <c r="AB218" s="8">
        <f>IF(OR(F218="",Z218="",N(AA218)&lt;=0),"",1-NORMDIST(FLOOR(F218,1)+0.5,Z218,AA218,TRUE))</f>
        <v/>
      </c>
      <c r="AC218" s="8">
        <f>IF(AB218="","",NORMDIST(CEILING(F218,1)-0.5,Z218,AA218,TRUE))</f>
        <v/>
      </c>
      <c r="AD218">
        <f>IF(AB218="","",IF(AB218&gt;=0.5+Config!$B$6,"OVER",IF(AC218&gt;=0.5+Config!$B$6,"UNDER","—")))</f>
        <v/>
      </c>
      <c r="AE218" s="11">
        <f>IFERROR(Z218/G218,"")</f>
        <v/>
      </c>
    </row>
    <row r="219">
      <c r="A219" t="inlineStr">
        <is>
          <t>CS2</t>
        </is>
      </c>
      <c r="B219" t="inlineStr">
        <is>
          <t>CS2 · VIT vs MGLZ</t>
        </is>
      </c>
      <c r="C219" t="inlineStr">
        <is>
          <t>flameZ</t>
        </is>
      </c>
      <c r="D219" t="inlineStr">
        <is>
          <t>VIT</t>
        </is>
      </c>
      <c r="E219" t="inlineStr">
        <is>
          <t>Maps 1-2 HS</t>
        </is>
      </c>
      <c r="F219" t="n">
        <v>16</v>
      </c>
      <c r="G219" s="9">
        <f>IFERROR(INDEX(CHOOSE(MATCH($X219,{"K1","K2","K3","K12","K13","H1","H2","H3","H12","H13"},0),Calc!$V$2:$V$124,Calc!$AC$2:$AC$124,Calc!$AJ$2:$AJ$124,Calc!$AL$2:$AL$124,Calc!$AM$2:$AM$124,Calc!$W$2:$W$124,Calc!$AD$2:$AD$124,Calc!$AK$2:$AK$124,Calc!$AN$2:$AN$124,Calc!$AO$2:$AO$124),MATCH($W219,Calc!$A$2:$A$124,0)),"")</f>
        <v/>
      </c>
      <c r="H219" s="9">
        <f>IF(G219="","",IF(LEFT($X219,1)="H",SQRT(G219*(IFERROR(INDEX(Calc!$AP$2:$AP$124,MATCH($W219,Calc!$A$2:$A$124,0)),0.5)*Config!$B$5+1-IFERROR(INDEX(Calc!$AP$2:$AP$124,MATCH($W219,Calc!$A$2:$A$124,0)),0.5))),SQRT(G219*Config!$B$5)))</f>
        <v/>
      </c>
      <c r="I219" s="8">
        <f>IF(OR(F219="",G219="",N(H219)&lt;=0),"",1-NORMDIST(FLOOR(F219,1)+0.5,G219,H219,TRUE))</f>
        <v/>
      </c>
      <c r="J219" s="8">
        <f>IF(I219="","",NORMDIST(CEILING(F219,1)-0.5,G219,H219,TRUE))</f>
        <v/>
      </c>
      <c r="K219" s="8">
        <f>IF(I219="","",MAX(0,1-I219-J219))</f>
        <v/>
      </c>
      <c r="L219">
        <f>IF(I219="","",IF(I219&gt;=0.5+Config!$B$6,"OVER",IF(J219&gt;=0.5+Config!$B$6,"UNDER","—")))</f>
        <v/>
      </c>
      <c r="N219" t="n">
        <v>16.2</v>
      </c>
      <c r="O219" s="8" t="n">
        <v>0.6</v>
      </c>
      <c r="P219" s="8" t="n">
        <v>0.6</v>
      </c>
      <c r="Q219" s="8" t="n">
        <v>0.6</v>
      </c>
      <c r="R219" t="inlineStr">
        <is>
          <t>50%/7/14</t>
        </is>
      </c>
      <c r="S219" t="n">
        <v>2</v>
      </c>
      <c r="T219">
        <f>INDEX(Calc!$G$2:$G$124,MATCH($W219,Calc!$A$2:$A$124,0))&amp;" / "&amp;INDEX(Calc!$H$2:$H$124,MATCH($W219,Calc!$A$2:$A$124,0))</f>
        <v/>
      </c>
      <c r="U219">
        <f>TEXT(INDEX(Calc!$J$2:$J$124,MATCH($W219,Calc!$A$2:$A$124,0)),"0.0")&amp;" / "&amp;TEXT(INDEX(Calc!$K$2:$K$124,MATCH($W219,Calc!$A$2:$A$124,0)),"0.0")</f>
        <v/>
      </c>
      <c r="V219">
        <f>IFERROR(INDEX(Calc!$AQ$2:$AQ$124,MATCH($W219,Calc!$A$2:$A$124,0)),"")</f>
        <v/>
      </c>
      <c r="W219" t="inlineStr">
        <is>
          <t>uiy2ot3l9f0c2i9|CS2 · VIT vs MGLZ</t>
        </is>
      </c>
      <c r="X219" t="inlineStr">
        <is>
          <t>H12</t>
        </is>
      </c>
      <c r="Y219">
        <f>W219&amp;"|"&amp;X219</f>
        <v/>
      </c>
      <c r="Z219" s="9">
        <f>IFERROR(INDEX(CHOOSE(MATCH($X219,{"K1","K2","K3","K12","K13","H1","H2","H3","H12","H13"},0),Calc!$BA$2:$BA$124,Calc!$BB$2:$BB$124,Calc!$BC$2:$BC$124,Calc!$BD$2:$BD$124,Calc!$BE$2:$BE$124,Calc!$BF$2:$BF$124,Calc!$BG$2:$BG$124,Calc!$BH$2:$BH$124,Calc!$BI$2:$BI$124,Calc!$BJ$2:$BJ$124),MATCH($W219,Calc!$A$2:$A$124,0)),"")</f>
        <v/>
      </c>
      <c r="AA219" s="9">
        <f>IF(Z219="","",IF(LEFT($X219,1)="H",SQRT(Z219*(IFERROR(INDEX(Calc!$AP$2:$AP$124,MATCH($W219,Calc!$A$2:$A$124,0)),0.5)*Config!$B$5+1-IFERROR(INDEX(Calc!$AP$2:$AP$124,MATCH($W219,Calc!$A$2:$A$124,0)),0.5))),SQRT(Z219*Config!$B$5)))</f>
        <v/>
      </c>
      <c r="AB219" s="8">
        <f>IF(OR(F219="",Z219="",N(AA219)&lt;=0),"",1-NORMDIST(FLOOR(F219,1)+0.5,Z219,AA219,TRUE))</f>
        <v/>
      </c>
      <c r="AC219" s="8">
        <f>IF(AB219="","",NORMDIST(CEILING(F219,1)-0.5,Z219,AA219,TRUE))</f>
        <v/>
      </c>
      <c r="AD219">
        <f>IF(AB219="","",IF(AB219&gt;=0.5+Config!$B$6,"OVER",IF(AC219&gt;=0.5+Config!$B$6,"UNDER","—")))</f>
        <v/>
      </c>
      <c r="AE219" s="11">
        <f>IFERROR(Z219/G219,"")</f>
        <v/>
      </c>
    </row>
    <row r="220">
      <c r="A220" t="inlineStr">
        <is>
          <t>CS2</t>
        </is>
      </c>
      <c r="B220" t="inlineStr">
        <is>
          <t>CS2 · VIT vs MGLZ</t>
        </is>
      </c>
      <c r="C220" t="inlineStr">
        <is>
          <t>flameZ</t>
        </is>
      </c>
      <c r="D220" t="inlineStr">
        <is>
          <t>VIT</t>
        </is>
      </c>
      <c r="E220" t="inlineStr">
        <is>
          <t>Maps 1-2 Kills</t>
        </is>
      </c>
      <c r="F220" t="n">
        <v>30</v>
      </c>
      <c r="G220" s="9">
        <f>IFERROR(INDEX(CHOOSE(MATCH($X220,{"K1","K2","K3","K12","K13","H1","H2","H3","H12","H13"},0),Calc!$V$2:$V$124,Calc!$AC$2:$AC$124,Calc!$AJ$2:$AJ$124,Calc!$AL$2:$AL$124,Calc!$AM$2:$AM$124,Calc!$W$2:$W$124,Calc!$AD$2:$AD$124,Calc!$AK$2:$AK$124,Calc!$AN$2:$AN$124,Calc!$AO$2:$AO$124),MATCH($W220,Calc!$A$2:$A$124,0)),"")</f>
        <v/>
      </c>
      <c r="H220" s="9">
        <f>IF(G220="","",IF(LEFT($X220,1)="H",SQRT(G220*(IFERROR(INDEX(Calc!$AP$2:$AP$124,MATCH($W220,Calc!$A$2:$A$124,0)),0.5)*Config!$B$5+1-IFERROR(INDEX(Calc!$AP$2:$AP$124,MATCH($W220,Calc!$A$2:$A$124,0)),0.5))),SQRT(G220*Config!$B$5)))</f>
        <v/>
      </c>
      <c r="I220" s="8">
        <f>IF(OR(F220="",G220="",N(H220)&lt;=0),"",1-NORMDIST(FLOOR(F220,1)+0.5,G220,H220,TRUE))</f>
        <v/>
      </c>
      <c r="J220" s="8">
        <f>IF(I220="","",NORMDIST(CEILING(F220,1)-0.5,G220,H220,TRUE))</f>
        <v/>
      </c>
      <c r="K220" s="8">
        <f>IF(I220="","",MAX(0,1-I220-J220))</f>
        <v/>
      </c>
      <c r="L220">
        <f>IF(I220="","",IF(I220&gt;=0.5+Config!$B$6,"OVER",IF(J220&gt;=0.5+Config!$B$6,"UNDER","—")))</f>
        <v/>
      </c>
      <c r="M220" t="n">
        <v>30.82</v>
      </c>
      <c r="N220" t="n">
        <v>29.2</v>
      </c>
      <c r="O220" s="8" t="n">
        <v>0.8</v>
      </c>
      <c r="P220" s="8" t="n">
        <v>0.4</v>
      </c>
      <c r="Q220" s="8" t="n">
        <v>0.27</v>
      </c>
      <c r="R220" t="inlineStr">
        <is>
          <t>43%/6/14</t>
        </is>
      </c>
      <c r="S220" t="n">
        <v>2</v>
      </c>
      <c r="T220">
        <f>INDEX(Calc!$G$2:$G$124,MATCH($W220,Calc!$A$2:$A$124,0))&amp;" / "&amp;INDEX(Calc!$H$2:$H$124,MATCH($W220,Calc!$A$2:$A$124,0))</f>
        <v/>
      </c>
      <c r="U220">
        <f>TEXT(INDEX(Calc!$J$2:$J$124,MATCH($W220,Calc!$A$2:$A$124,0)),"0.0")&amp;" / "&amp;TEXT(INDEX(Calc!$K$2:$K$124,MATCH($W220,Calc!$A$2:$A$124,0)),"0.0")</f>
        <v/>
      </c>
      <c r="V220">
        <f>IFERROR(INDEX(Calc!$AQ$2:$AQ$124,MATCH($W220,Calc!$A$2:$A$124,0)),"")</f>
        <v/>
      </c>
      <c r="W220" t="inlineStr">
        <is>
          <t>uiy2ot3l9f0c2i9|CS2 · VIT vs MGLZ</t>
        </is>
      </c>
      <c r="X220" t="inlineStr">
        <is>
          <t>K12</t>
        </is>
      </c>
      <c r="Y220">
        <f>W220&amp;"|"&amp;X220</f>
        <v/>
      </c>
      <c r="Z220" s="9">
        <f>IFERROR(INDEX(CHOOSE(MATCH($X220,{"K1","K2","K3","K12","K13","H1","H2","H3","H12","H13"},0),Calc!$BA$2:$BA$124,Calc!$BB$2:$BB$124,Calc!$BC$2:$BC$124,Calc!$BD$2:$BD$124,Calc!$BE$2:$BE$124,Calc!$BF$2:$BF$124,Calc!$BG$2:$BG$124,Calc!$BH$2:$BH$124,Calc!$BI$2:$BI$124,Calc!$BJ$2:$BJ$124),MATCH($W220,Calc!$A$2:$A$124,0)),"")</f>
        <v/>
      </c>
      <c r="AA220" s="9">
        <f>IF(Z220="","",IF(LEFT($X220,1)="H",SQRT(Z220*(IFERROR(INDEX(Calc!$AP$2:$AP$124,MATCH($W220,Calc!$A$2:$A$124,0)),0.5)*Config!$B$5+1-IFERROR(INDEX(Calc!$AP$2:$AP$124,MATCH($W220,Calc!$A$2:$A$124,0)),0.5))),SQRT(Z220*Config!$B$5)))</f>
        <v/>
      </c>
      <c r="AB220" s="8">
        <f>IF(OR(F220="",Z220="",N(AA220)&lt;=0),"",1-NORMDIST(FLOOR(F220,1)+0.5,Z220,AA220,TRUE))</f>
        <v/>
      </c>
      <c r="AC220" s="8">
        <f>IF(AB220="","",NORMDIST(CEILING(F220,1)-0.5,Z220,AA220,TRUE))</f>
        <v/>
      </c>
      <c r="AD220">
        <f>IF(AB220="","",IF(AB220&gt;=0.5+Config!$B$6,"OVER",IF(AC220&gt;=0.5+Config!$B$6,"UNDER","—")))</f>
        <v/>
      </c>
      <c r="AE220" s="11">
        <f>IFERROR(Z220/G220,"")</f>
        <v/>
      </c>
    </row>
    <row r="221">
      <c r="A221" t="inlineStr">
        <is>
          <t>CS2</t>
        </is>
      </c>
      <c r="B221" t="inlineStr">
        <is>
          <t>CS2 · VIT vs MGLZ</t>
        </is>
      </c>
      <c r="C221" t="inlineStr">
        <is>
          <t>jL</t>
        </is>
      </c>
      <c r="D221" t="inlineStr">
        <is>
          <t>VIT</t>
        </is>
      </c>
      <c r="E221" t="inlineStr">
        <is>
          <t>Maps 1-2 HS</t>
        </is>
      </c>
      <c r="F221" t="n">
        <v>14</v>
      </c>
      <c r="G221" s="9">
        <f>IFERROR(INDEX(CHOOSE(MATCH($X221,{"K1","K2","K3","K12","K13","H1","H2","H3","H12","H13"},0),Calc!$V$2:$V$124,Calc!$AC$2:$AC$124,Calc!$AJ$2:$AJ$124,Calc!$AL$2:$AL$124,Calc!$AM$2:$AM$124,Calc!$W$2:$W$124,Calc!$AD$2:$AD$124,Calc!$AK$2:$AK$124,Calc!$AN$2:$AN$124,Calc!$AO$2:$AO$124),MATCH($W221,Calc!$A$2:$A$124,0)),"")</f>
        <v/>
      </c>
      <c r="H221" s="9">
        <f>IF(G221="","",IF(LEFT($X221,1)="H",SQRT(G221*(IFERROR(INDEX(Calc!$AP$2:$AP$124,MATCH($W221,Calc!$A$2:$A$124,0)),0.5)*Config!$B$5+1-IFERROR(INDEX(Calc!$AP$2:$AP$124,MATCH($W221,Calc!$A$2:$A$124,0)),0.5))),SQRT(G221*Config!$B$5)))</f>
        <v/>
      </c>
      <c r="I221" s="8">
        <f>IF(OR(F221="",G221="",N(H221)&lt;=0),"",1-NORMDIST(FLOOR(F221,1)+0.5,G221,H221,TRUE))</f>
        <v/>
      </c>
      <c r="J221" s="8">
        <f>IF(I221="","",NORMDIST(CEILING(F221,1)-0.5,G221,H221,TRUE))</f>
        <v/>
      </c>
      <c r="K221" s="8">
        <f>IF(I221="","",MAX(0,1-I221-J221))</f>
        <v/>
      </c>
      <c r="L221">
        <f>IF(I221="","",IF(I221&gt;=0.5+Config!$B$6,"OVER",IF(J221&gt;=0.5+Config!$B$6,"UNDER","—")))</f>
        <v/>
      </c>
      <c r="N221" t="n">
        <v>15.4</v>
      </c>
      <c r="O221" s="8" t="n">
        <v>0.6</v>
      </c>
      <c r="P221" s="8" t="n">
        <v>0.6</v>
      </c>
      <c r="Q221" s="8" t="n">
        <v>0.6</v>
      </c>
      <c r="R221" t="inlineStr">
        <is>
          <t>50%/2/4</t>
        </is>
      </c>
      <c r="S221" t="n">
        <v>-2</v>
      </c>
      <c r="T221">
        <f>INDEX(Calc!$G$2:$G$124,MATCH($W221,Calc!$A$2:$A$124,0))&amp;" / "&amp;INDEX(Calc!$H$2:$H$124,MATCH($W221,Calc!$A$2:$A$124,0))</f>
        <v/>
      </c>
      <c r="U221">
        <f>TEXT(INDEX(Calc!$J$2:$J$124,MATCH($W221,Calc!$A$2:$A$124,0)),"0.0")&amp;" / "&amp;TEXT(INDEX(Calc!$K$2:$K$124,MATCH($W221,Calc!$A$2:$A$124,0)),"0.0")</f>
        <v/>
      </c>
      <c r="V221">
        <f>IFERROR(INDEX(Calc!$AQ$2:$AQ$124,MATCH($W221,Calc!$A$2:$A$124,0)),"")</f>
        <v/>
      </c>
      <c r="W221" t="inlineStr">
        <is>
          <t>frzabcozzj3obrl|CS2 · VIT vs MGLZ</t>
        </is>
      </c>
      <c r="X221" t="inlineStr">
        <is>
          <t>H12</t>
        </is>
      </c>
      <c r="Y221">
        <f>W221&amp;"|"&amp;X221</f>
        <v/>
      </c>
      <c r="Z221" s="9">
        <f>IFERROR(INDEX(CHOOSE(MATCH($X221,{"K1","K2","K3","K12","K13","H1","H2","H3","H12","H13"},0),Calc!$BA$2:$BA$124,Calc!$BB$2:$BB$124,Calc!$BC$2:$BC$124,Calc!$BD$2:$BD$124,Calc!$BE$2:$BE$124,Calc!$BF$2:$BF$124,Calc!$BG$2:$BG$124,Calc!$BH$2:$BH$124,Calc!$BI$2:$BI$124,Calc!$BJ$2:$BJ$124),MATCH($W221,Calc!$A$2:$A$124,0)),"")</f>
        <v/>
      </c>
      <c r="AA221" s="9">
        <f>IF(Z221="","",IF(LEFT($X221,1)="H",SQRT(Z221*(IFERROR(INDEX(Calc!$AP$2:$AP$124,MATCH($W221,Calc!$A$2:$A$124,0)),0.5)*Config!$B$5+1-IFERROR(INDEX(Calc!$AP$2:$AP$124,MATCH($W221,Calc!$A$2:$A$124,0)),0.5))),SQRT(Z221*Config!$B$5)))</f>
        <v/>
      </c>
      <c r="AB221" s="8">
        <f>IF(OR(F221="",Z221="",N(AA221)&lt;=0),"",1-NORMDIST(FLOOR(F221,1)+0.5,Z221,AA221,TRUE))</f>
        <v/>
      </c>
      <c r="AC221" s="8">
        <f>IF(AB221="","",NORMDIST(CEILING(F221,1)-0.5,Z221,AA221,TRUE))</f>
        <v/>
      </c>
      <c r="AD221">
        <f>IF(AB221="","",IF(AB221&gt;=0.5+Config!$B$6,"OVER",IF(AC221&gt;=0.5+Config!$B$6,"UNDER","—")))</f>
        <v/>
      </c>
      <c r="AE221" s="11">
        <f>IFERROR(Z221/G221,"")</f>
        <v/>
      </c>
    </row>
    <row r="222">
      <c r="A222" t="inlineStr">
        <is>
          <t>CS2</t>
        </is>
      </c>
      <c r="B222" t="inlineStr">
        <is>
          <t>CS2 · VIT vs MGLZ</t>
        </is>
      </c>
      <c r="C222" t="inlineStr">
        <is>
          <t>jL</t>
        </is>
      </c>
      <c r="D222" t="inlineStr">
        <is>
          <t>VIT</t>
        </is>
      </c>
      <c r="E222" t="inlineStr">
        <is>
          <t>Maps 1-2 Kills</t>
        </is>
      </c>
      <c r="F222" t="n">
        <v>27</v>
      </c>
      <c r="G222" s="9">
        <f>IFERROR(INDEX(CHOOSE(MATCH($X222,{"K1","K2","K3","K12","K13","H1","H2","H3","H12","H13"},0),Calc!$V$2:$V$124,Calc!$AC$2:$AC$124,Calc!$AJ$2:$AJ$124,Calc!$AL$2:$AL$124,Calc!$AM$2:$AM$124,Calc!$W$2:$W$124,Calc!$AD$2:$AD$124,Calc!$AK$2:$AK$124,Calc!$AN$2:$AN$124,Calc!$AO$2:$AO$124),MATCH($W222,Calc!$A$2:$A$124,0)),"")</f>
        <v/>
      </c>
      <c r="H222" s="9">
        <f>IF(G222="","",IF(LEFT($X222,1)="H",SQRT(G222*(IFERROR(INDEX(Calc!$AP$2:$AP$124,MATCH($W222,Calc!$A$2:$A$124,0)),0.5)*Config!$B$5+1-IFERROR(INDEX(Calc!$AP$2:$AP$124,MATCH($W222,Calc!$A$2:$A$124,0)),0.5))),SQRT(G222*Config!$B$5)))</f>
        <v/>
      </c>
      <c r="I222" s="8">
        <f>IF(OR(F222="",G222="",N(H222)&lt;=0),"",1-NORMDIST(FLOOR(F222,1)+0.5,G222,H222,TRUE))</f>
        <v/>
      </c>
      <c r="J222" s="8">
        <f>IF(I222="","",NORMDIST(CEILING(F222,1)-0.5,G222,H222,TRUE))</f>
        <v/>
      </c>
      <c r="K222" s="8">
        <f>IF(I222="","",MAX(0,1-I222-J222))</f>
        <v/>
      </c>
      <c r="L222">
        <f>IF(I222="","",IF(I222&gt;=0.5+Config!$B$6,"OVER",IF(J222&gt;=0.5+Config!$B$6,"UNDER","—")))</f>
        <v/>
      </c>
      <c r="M222" t="n">
        <v>29</v>
      </c>
      <c r="N222" t="n">
        <v>28.4</v>
      </c>
      <c r="O222" s="8" t="n">
        <v>0.4</v>
      </c>
      <c r="P222" s="8" t="n">
        <v>0.7</v>
      </c>
      <c r="Q222" s="8" t="n">
        <v>0.67</v>
      </c>
      <c r="R222" t="inlineStr">
        <is>
          <t>50%/2/4</t>
        </is>
      </c>
      <c r="S222" t="n">
        <v>-3</v>
      </c>
      <c r="T222">
        <f>INDEX(Calc!$G$2:$G$124,MATCH($W222,Calc!$A$2:$A$124,0))&amp;" / "&amp;INDEX(Calc!$H$2:$H$124,MATCH($W222,Calc!$A$2:$A$124,0))</f>
        <v/>
      </c>
      <c r="U222">
        <f>TEXT(INDEX(Calc!$J$2:$J$124,MATCH($W222,Calc!$A$2:$A$124,0)),"0.0")&amp;" / "&amp;TEXT(INDEX(Calc!$K$2:$K$124,MATCH($W222,Calc!$A$2:$A$124,0)),"0.0")</f>
        <v/>
      </c>
      <c r="V222">
        <f>IFERROR(INDEX(Calc!$AQ$2:$AQ$124,MATCH($W222,Calc!$A$2:$A$124,0)),"")</f>
        <v/>
      </c>
      <c r="W222" t="inlineStr">
        <is>
          <t>frzabcozzj3obrl|CS2 · VIT vs MGLZ</t>
        </is>
      </c>
      <c r="X222" t="inlineStr">
        <is>
          <t>K12</t>
        </is>
      </c>
      <c r="Y222">
        <f>W222&amp;"|"&amp;X222</f>
        <v/>
      </c>
      <c r="Z222" s="9">
        <f>IFERROR(INDEX(CHOOSE(MATCH($X222,{"K1","K2","K3","K12","K13","H1","H2","H3","H12","H13"},0),Calc!$BA$2:$BA$124,Calc!$BB$2:$BB$124,Calc!$BC$2:$BC$124,Calc!$BD$2:$BD$124,Calc!$BE$2:$BE$124,Calc!$BF$2:$BF$124,Calc!$BG$2:$BG$124,Calc!$BH$2:$BH$124,Calc!$BI$2:$BI$124,Calc!$BJ$2:$BJ$124),MATCH($W222,Calc!$A$2:$A$124,0)),"")</f>
        <v/>
      </c>
      <c r="AA222" s="9">
        <f>IF(Z222="","",IF(LEFT($X222,1)="H",SQRT(Z222*(IFERROR(INDEX(Calc!$AP$2:$AP$124,MATCH($W222,Calc!$A$2:$A$124,0)),0.5)*Config!$B$5+1-IFERROR(INDEX(Calc!$AP$2:$AP$124,MATCH($W222,Calc!$A$2:$A$124,0)),0.5))),SQRT(Z222*Config!$B$5)))</f>
        <v/>
      </c>
      <c r="AB222" s="8">
        <f>IF(OR(F222="",Z222="",N(AA222)&lt;=0),"",1-NORMDIST(FLOOR(F222,1)+0.5,Z222,AA222,TRUE))</f>
        <v/>
      </c>
      <c r="AC222" s="8">
        <f>IF(AB222="","",NORMDIST(CEILING(F222,1)-0.5,Z222,AA222,TRUE))</f>
        <v/>
      </c>
      <c r="AD222">
        <f>IF(AB222="","",IF(AB222&gt;=0.5+Config!$B$6,"OVER",IF(AC222&gt;=0.5+Config!$B$6,"UNDER","—")))</f>
        <v/>
      </c>
      <c r="AE222" s="11">
        <f>IFERROR(Z222/G222,"")</f>
        <v/>
      </c>
    </row>
    <row r="223">
      <c r="A223" t="inlineStr">
        <is>
          <t>CS2</t>
        </is>
      </c>
      <c r="B223" t="inlineStr">
        <is>
          <t>CS2 · VIT vs MGLZ</t>
        </is>
      </c>
      <c r="C223" t="inlineStr">
        <is>
          <t>mezii</t>
        </is>
      </c>
      <c r="D223" t="inlineStr">
        <is>
          <t>VIT</t>
        </is>
      </c>
      <c r="E223" t="inlineStr">
        <is>
          <t>Maps 1-2 HS</t>
        </is>
      </c>
      <c r="F223" t="n">
        <v>15.5</v>
      </c>
      <c r="G223" s="9">
        <f>IFERROR(INDEX(CHOOSE(MATCH($X223,{"K1","K2","K3","K12","K13","H1","H2","H3","H12","H13"},0),Calc!$V$2:$V$124,Calc!$AC$2:$AC$124,Calc!$AJ$2:$AJ$124,Calc!$AL$2:$AL$124,Calc!$AM$2:$AM$124,Calc!$W$2:$W$124,Calc!$AD$2:$AD$124,Calc!$AK$2:$AK$124,Calc!$AN$2:$AN$124,Calc!$AO$2:$AO$124),MATCH($W223,Calc!$A$2:$A$124,0)),"")</f>
        <v/>
      </c>
      <c r="H223" s="9">
        <f>IF(G223="","",IF(LEFT($X223,1)="H",SQRT(G223*(IFERROR(INDEX(Calc!$AP$2:$AP$124,MATCH($W223,Calc!$A$2:$A$124,0)),0.5)*Config!$B$5+1-IFERROR(INDEX(Calc!$AP$2:$AP$124,MATCH($W223,Calc!$A$2:$A$124,0)),0.5))),SQRT(G223*Config!$B$5)))</f>
        <v/>
      </c>
      <c r="I223" s="8">
        <f>IF(OR(F223="",G223="",N(H223)&lt;=0),"",1-NORMDIST(FLOOR(F223,1)+0.5,G223,H223,TRUE))</f>
        <v/>
      </c>
      <c r="J223" s="8">
        <f>IF(I223="","",NORMDIST(CEILING(F223,1)-0.5,G223,H223,TRUE))</f>
        <v/>
      </c>
      <c r="K223" s="8">
        <f>IF(I223="","",MAX(0,1-I223-J223))</f>
        <v/>
      </c>
      <c r="L223">
        <f>IF(I223="","",IF(I223&gt;=0.5+Config!$B$6,"OVER",IF(J223&gt;=0.5+Config!$B$6,"UNDER","—")))</f>
        <v/>
      </c>
      <c r="N223" t="n">
        <v>12.6</v>
      </c>
      <c r="O223" s="8" t="n">
        <v>0.2</v>
      </c>
      <c r="P223" s="8" t="n">
        <v>0.2</v>
      </c>
      <c r="Q223" s="8" t="n">
        <v>0.4</v>
      </c>
      <c r="R223" t="inlineStr">
        <is>
          <t>64%/9/14</t>
        </is>
      </c>
      <c r="S223" t="n">
        <v>-3</v>
      </c>
      <c r="T223">
        <f>INDEX(Calc!$G$2:$G$124,MATCH($W223,Calc!$A$2:$A$124,0))&amp;" / "&amp;INDEX(Calc!$H$2:$H$124,MATCH($W223,Calc!$A$2:$A$124,0))</f>
        <v/>
      </c>
      <c r="U223">
        <f>TEXT(INDEX(Calc!$J$2:$J$124,MATCH($W223,Calc!$A$2:$A$124,0)),"0.0")&amp;" / "&amp;TEXT(INDEX(Calc!$K$2:$K$124,MATCH($W223,Calc!$A$2:$A$124,0)),"0.0")</f>
        <v/>
      </c>
      <c r="V223">
        <f>IFERROR(INDEX(Calc!$AQ$2:$AQ$124,MATCH($W223,Calc!$A$2:$A$124,0)),"")</f>
        <v/>
      </c>
      <c r="W223" t="inlineStr">
        <is>
          <t>w4swyv4mqy1ob42|CS2 · VIT vs MGLZ</t>
        </is>
      </c>
      <c r="X223" t="inlineStr">
        <is>
          <t>H12</t>
        </is>
      </c>
      <c r="Y223">
        <f>W223&amp;"|"&amp;X223</f>
        <v/>
      </c>
      <c r="Z223" s="9">
        <f>IFERROR(INDEX(CHOOSE(MATCH($X223,{"K1","K2","K3","K12","K13","H1","H2","H3","H12","H13"},0),Calc!$BA$2:$BA$124,Calc!$BB$2:$BB$124,Calc!$BC$2:$BC$124,Calc!$BD$2:$BD$124,Calc!$BE$2:$BE$124,Calc!$BF$2:$BF$124,Calc!$BG$2:$BG$124,Calc!$BH$2:$BH$124,Calc!$BI$2:$BI$124,Calc!$BJ$2:$BJ$124),MATCH($W223,Calc!$A$2:$A$124,0)),"")</f>
        <v/>
      </c>
      <c r="AA223" s="9">
        <f>IF(Z223="","",IF(LEFT($X223,1)="H",SQRT(Z223*(IFERROR(INDEX(Calc!$AP$2:$AP$124,MATCH($W223,Calc!$A$2:$A$124,0)),0.5)*Config!$B$5+1-IFERROR(INDEX(Calc!$AP$2:$AP$124,MATCH($W223,Calc!$A$2:$A$124,0)),0.5))),SQRT(Z223*Config!$B$5)))</f>
        <v/>
      </c>
      <c r="AB223" s="8">
        <f>IF(OR(F223="",Z223="",N(AA223)&lt;=0),"",1-NORMDIST(FLOOR(F223,1)+0.5,Z223,AA223,TRUE))</f>
        <v/>
      </c>
      <c r="AC223" s="8">
        <f>IF(AB223="","",NORMDIST(CEILING(F223,1)-0.5,Z223,AA223,TRUE))</f>
        <v/>
      </c>
      <c r="AD223">
        <f>IF(AB223="","",IF(AB223&gt;=0.5+Config!$B$6,"OVER",IF(AC223&gt;=0.5+Config!$B$6,"UNDER","—")))</f>
        <v/>
      </c>
      <c r="AE223" s="11">
        <f>IFERROR(Z223/G223,"")</f>
        <v/>
      </c>
    </row>
    <row r="224">
      <c r="A224" t="inlineStr">
        <is>
          <t>CS2</t>
        </is>
      </c>
      <c r="B224" t="inlineStr">
        <is>
          <t>CS2 · VIT vs MGLZ</t>
        </is>
      </c>
      <c r="C224" t="inlineStr">
        <is>
          <t>mezii</t>
        </is>
      </c>
      <c r="D224" t="inlineStr">
        <is>
          <t>VIT</t>
        </is>
      </c>
      <c r="E224" t="inlineStr">
        <is>
          <t>Maps 1-2 Kills</t>
        </is>
      </c>
      <c r="F224" t="n">
        <v>26.5</v>
      </c>
      <c r="G224" s="9">
        <f>IFERROR(INDEX(CHOOSE(MATCH($X224,{"K1","K2","K3","K12","K13","H1","H2","H3","H12","H13"},0),Calc!$V$2:$V$124,Calc!$AC$2:$AC$124,Calc!$AJ$2:$AJ$124,Calc!$AL$2:$AL$124,Calc!$AM$2:$AM$124,Calc!$W$2:$W$124,Calc!$AD$2:$AD$124,Calc!$AK$2:$AK$124,Calc!$AN$2:$AN$124,Calc!$AO$2:$AO$124),MATCH($W224,Calc!$A$2:$A$124,0)),"")</f>
        <v/>
      </c>
      <c r="H224" s="9">
        <f>IF(G224="","",IF(LEFT($X224,1)="H",SQRT(G224*(IFERROR(INDEX(Calc!$AP$2:$AP$124,MATCH($W224,Calc!$A$2:$A$124,0)),0.5)*Config!$B$5+1-IFERROR(INDEX(Calc!$AP$2:$AP$124,MATCH($W224,Calc!$A$2:$A$124,0)),0.5))),SQRT(G224*Config!$B$5)))</f>
        <v/>
      </c>
      <c r="I224" s="8">
        <f>IF(OR(F224="",G224="",N(H224)&lt;=0),"",1-NORMDIST(FLOOR(F224,1)+0.5,G224,H224,TRUE))</f>
        <v/>
      </c>
      <c r="J224" s="8">
        <f>IF(I224="","",NORMDIST(CEILING(F224,1)-0.5,G224,H224,TRUE))</f>
        <v/>
      </c>
      <c r="K224" s="8">
        <f>IF(I224="","",MAX(0,1-I224-J224))</f>
        <v/>
      </c>
      <c r="L224">
        <f>IF(I224="","",IF(I224&gt;=0.5+Config!$B$6,"OVER",IF(J224&gt;=0.5+Config!$B$6,"UNDER","—")))</f>
        <v/>
      </c>
      <c r="M224" t="n">
        <v>26.2</v>
      </c>
      <c r="N224" t="n">
        <v>23.2</v>
      </c>
      <c r="O224" s="8" t="n">
        <v>0.2</v>
      </c>
      <c r="P224" s="8" t="n">
        <v>0.2</v>
      </c>
      <c r="Q224" s="8" t="n">
        <v>0.4</v>
      </c>
      <c r="R224" t="inlineStr">
        <is>
          <t>64%/9/14</t>
        </is>
      </c>
      <c r="S224" t="n">
        <v>-3</v>
      </c>
      <c r="T224">
        <f>INDEX(Calc!$G$2:$G$124,MATCH($W224,Calc!$A$2:$A$124,0))&amp;" / "&amp;INDEX(Calc!$H$2:$H$124,MATCH($W224,Calc!$A$2:$A$124,0))</f>
        <v/>
      </c>
      <c r="U224">
        <f>TEXT(INDEX(Calc!$J$2:$J$124,MATCH($W224,Calc!$A$2:$A$124,0)),"0.0")&amp;" / "&amp;TEXT(INDEX(Calc!$K$2:$K$124,MATCH($W224,Calc!$A$2:$A$124,0)),"0.0")</f>
        <v/>
      </c>
      <c r="V224">
        <f>IFERROR(INDEX(Calc!$AQ$2:$AQ$124,MATCH($W224,Calc!$A$2:$A$124,0)),"")</f>
        <v/>
      </c>
      <c r="W224" t="inlineStr">
        <is>
          <t>w4swyv4mqy1ob42|CS2 · VIT vs MGLZ</t>
        </is>
      </c>
      <c r="X224" t="inlineStr">
        <is>
          <t>K12</t>
        </is>
      </c>
      <c r="Y224">
        <f>W224&amp;"|"&amp;X224</f>
        <v/>
      </c>
      <c r="Z224" s="9">
        <f>IFERROR(INDEX(CHOOSE(MATCH($X224,{"K1","K2","K3","K12","K13","H1","H2","H3","H12","H13"},0),Calc!$BA$2:$BA$124,Calc!$BB$2:$BB$124,Calc!$BC$2:$BC$124,Calc!$BD$2:$BD$124,Calc!$BE$2:$BE$124,Calc!$BF$2:$BF$124,Calc!$BG$2:$BG$124,Calc!$BH$2:$BH$124,Calc!$BI$2:$BI$124,Calc!$BJ$2:$BJ$124),MATCH($W224,Calc!$A$2:$A$124,0)),"")</f>
        <v/>
      </c>
      <c r="AA224" s="9">
        <f>IF(Z224="","",IF(LEFT($X224,1)="H",SQRT(Z224*(IFERROR(INDEX(Calc!$AP$2:$AP$124,MATCH($W224,Calc!$A$2:$A$124,0)),0.5)*Config!$B$5+1-IFERROR(INDEX(Calc!$AP$2:$AP$124,MATCH($W224,Calc!$A$2:$A$124,0)),0.5))),SQRT(Z224*Config!$B$5)))</f>
        <v/>
      </c>
      <c r="AB224" s="8">
        <f>IF(OR(F224="",Z224="",N(AA224)&lt;=0),"",1-NORMDIST(FLOOR(F224,1)+0.5,Z224,AA224,TRUE))</f>
        <v/>
      </c>
      <c r="AC224" s="8">
        <f>IF(AB224="","",NORMDIST(CEILING(F224,1)-0.5,Z224,AA224,TRUE))</f>
        <v/>
      </c>
      <c r="AD224">
        <f>IF(AB224="","",IF(AB224&gt;=0.5+Config!$B$6,"OVER",IF(AC224&gt;=0.5+Config!$B$6,"UNDER","—")))</f>
        <v/>
      </c>
      <c r="AE224" s="11">
        <f>IFERROR(Z224/G224,"")</f>
        <v/>
      </c>
    </row>
    <row r="225">
      <c r="A225" t="inlineStr">
        <is>
          <t>CS2</t>
        </is>
      </c>
      <c r="B225" t="inlineStr">
        <is>
          <t>CS2 · VIT vs MGLZ</t>
        </is>
      </c>
      <c r="C225" t="inlineStr">
        <is>
          <t>ropz</t>
        </is>
      </c>
      <c r="D225" t="inlineStr">
        <is>
          <t>VIT</t>
        </is>
      </c>
      <c r="E225" t="inlineStr">
        <is>
          <t>Maps 1-2 HS</t>
        </is>
      </c>
      <c r="F225" t="n">
        <v>15.5</v>
      </c>
      <c r="G225" s="9">
        <f>IFERROR(INDEX(CHOOSE(MATCH($X225,{"K1","K2","K3","K12","K13","H1","H2","H3","H12","H13"},0),Calc!$V$2:$V$124,Calc!$AC$2:$AC$124,Calc!$AJ$2:$AJ$124,Calc!$AL$2:$AL$124,Calc!$AM$2:$AM$124,Calc!$W$2:$W$124,Calc!$AD$2:$AD$124,Calc!$AK$2:$AK$124,Calc!$AN$2:$AN$124,Calc!$AO$2:$AO$124),MATCH($W225,Calc!$A$2:$A$124,0)),"")</f>
        <v/>
      </c>
      <c r="H225" s="9">
        <f>IF(G225="","",IF(LEFT($X225,1)="H",SQRT(G225*(IFERROR(INDEX(Calc!$AP$2:$AP$124,MATCH($W225,Calc!$A$2:$A$124,0)),0.5)*Config!$B$5+1-IFERROR(INDEX(Calc!$AP$2:$AP$124,MATCH($W225,Calc!$A$2:$A$124,0)),0.5))),SQRT(G225*Config!$B$5)))</f>
        <v/>
      </c>
      <c r="I225" s="8">
        <f>IF(OR(F225="",G225="",N(H225)&lt;=0),"",1-NORMDIST(FLOOR(F225,1)+0.5,G225,H225,TRUE))</f>
        <v/>
      </c>
      <c r="J225" s="8">
        <f>IF(I225="","",NORMDIST(CEILING(F225,1)-0.5,G225,H225,TRUE))</f>
        <v/>
      </c>
      <c r="K225" s="8">
        <f>IF(I225="","",MAX(0,1-I225-J225))</f>
        <v/>
      </c>
      <c r="L225">
        <f>IF(I225="","",IF(I225&gt;=0.5+Config!$B$6,"OVER",IF(J225&gt;=0.5+Config!$B$6,"UNDER","—")))</f>
        <v/>
      </c>
      <c r="N225" t="n">
        <v>15.8</v>
      </c>
      <c r="O225" s="8" t="n">
        <v>0.8</v>
      </c>
      <c r="P225" s="8" t="n">
        <v>0.7</v>
      </c>
      <c r="Q225" s="8" t="n">
        <v>0.6</v>
      </c>
      <c r="R225" t="inlineStr">
        <is>
          <t>33%/4/12</t>
        </is>
      </c>
      <c r="S225" t="n">
        <v>1</v>
      </c>
      <c r="T225">
        <f>INDEX(Calc!$G$2:$G$124,MATCH($W225,Calc!$A$2:$A$124,0))&amp;" / "&amp;INDEX(Calc!$H$2:$H$124,MATCH($W225,Calc!$A$2:$A$124,0))</f>
        <v/>
      </c>
      <c r="U225">
        <f>TEXT(INDEX(Calc!$J$2:$J$124,MATCH($W225,Calc!$A$2:$A$124,0)),"0.0")&amp;" / "&amp;TEXT(INDEX(Calc!$K$2:$K$124,MATCH($W225,Calc!$A$2:$A$124,0)),"0.0")</f>
        <v/>
      </c>
      <c r="V225">
        <f>IFERROR(INDEX(Calc!$AQ$2:$AQ$124,MATCH($W225,Calc!$A$2:$A$124,0)),"")</f>
        <v/>
      </c>
      <c r="W225" t="inlineStr">
        <is>
          <t>jbs33yc6r5ra8l4|CS2 · VIT vs MGLZ</t>
        </is>
      </c>
      <c r="X225" t="inlineStr">
        <is>
          <t>H12</t>
        </is>
      </c>
      <c r="Y225">
        <f>W225&amp;"|"&amp;X225</f>
        <v/>
      </c>
      <c r="Z225" s="9">
        <f>IFERROR(INDEX(CHOOSE(MATCH($X225,{"K1","K2","K3","K12","K13","H1","H2","H3","H12","H13"},0),Calc!$BA$2:$BA$124,Calc!$BB$2:$BB$124,Calc!$BC$2:$BC$124,Calc!$BD$2:$BD$124,Calc!$BE$2:$BE$124,Calc!$BF$2:$BF$124,Calc!$BG$2:$BG$124,Calc!$BH$2:$BH$124,Calc!$BI$2:$BI$124,Calc!$BJ$2:$BJ$124),MATCH($W225,Calc!$A$2:$A$124,0)),"")</f>
        <v/>
      </c>
      <c r="AA225" s="9">
        <f>IF(Z225="","",IF(LEFT($X225,1)="H",SQRT(Z225*(IFERROR(INDEX(Calc!$AP$2:$AP$124,MATCH($W225,Calc!$A$2:$A$124,0)),0.5)*Config!$B$5+1-IFERROR(INDEX(Calc!$AP$2:$AP$124,MATCH($W225,Calc!$A$2:$A$124,0)),0.5))),SQRT(Z225*Config!$B$5)))</f>
        <v/>
      </c>
      <c r="AB225" s="8">
        <f>IF(OR(F225="",Z225="",N(AA225)&lt;=0),"",1-NORMDIST(FLOOR(F225,1)+0.5,Z225,AA225,TRUE))</f>
        <v/>
      </c>
      <c r="AC225" s="8">
        <f>IF(AB225="","",NORMDIST(CEILING(F225,1)-0.5,Z225,AA225,TRUE))</f>
        <v/>
      </c>
      <c r="AD225">
        <f>IF(AB225="","",IF(AB225&gt;=0.5+Config!$B$6,"OVER",IF(AC225&gt;=0.5+Config!$B$6,"UNDER","—")))</f>
        <v/>
      </c>
      <c r="AE225" s="11">
        <f>IFERROR(Z225/G225,"")</f>
        <v/>
      </c>
    </row>
    <row r="226">
      <c r="A226" t="inlineStr">
        <is>
          <t>CS2</t>
        </is>
      </c>
      <c r="B226" t="inlineStr">
        <is>
          <t>CS2 · VIT vs MGLZ</t>
        </is>
      </c>
      <c r="C226" t="inlineStr">
        <is>
          <t>ropz</t>
        </is>
      </c>
      <c r="D226" t="inlineStr">
        <is>
          <t>VIT</t>
        </is>
      </c>
      <c r="E226" t="inlineStr">
        <is>
          <t>Maps 1-2 Kills</t>
        </is>
      </c>
      <c r="F226" t="n">
        <v>30.5</v>
      </c>
      <c r="G226" s="9">
        <f>IFERROR(INDEX(CHOOSE(MATCH($X226,{"K1","K2","K3","K12","K13","H1","H2","H3","H12","H13"},0),Calc!$V$2:$V$124,Calc!$AC$2:$AC$124,Calc!$AJ$2:$AJ$124,Calc!$AL$2:$AL$124,Calc!$AM$2:$AM$124,Calc!$W$2:$W$124,Calc!$AD$2:$AD$124,Calc!$AK$2:$AK$124,Calc!$AN$2:$AN$124,Calc!$AO$2:$AO$124),MATCH($W226,Calc!$A$2:$A$124,0)),"")</f>
        <v/>
      </c>
      <c r="H226" s="9">
        <f>IF(G226="","",IF(LEFT($X226,1)="H",SQRT(G226*(IFERROR(INDEX(Calc!$AP$2:$AP$124,MATCH($W226,Calc!$A$2:$A$124,0)),0.5)*Config!$B$5+1-IFERROR(INDEX(Calc!$AP$2:$AP$124,MATCH($W226,Calc!$A$2:$A$124,0)),0.5))),SQRT(G226*Config!$B$5)))</f>
        <v/>
      </c>
      <c r="I226" s="8">
        <f>IF(OR(F226="",G226="",N(H226)&lt;=0),"",1-NORMDIST(FLOOR(F226,1)+0.5,G226,H226,TRUE))</f>
        <v/>
      </c>
      <c r="J226" s="8">
        <f>IF(I226="","",NORMDIST(CEILING(F226,1)-0.5,G226,H226,TRUE))</f>
        <v/>
      </c>
      <c r="K226" s="8">
        <f>IF(I226="","",MAX(0,1-I226-J226))</f>
        <v/>
      </c>
      <c r="L226">
        <f>IF(I226="","",IF(I226&gt;=0.5+Config!$B$6,"OVER",IF(J226&gt;=0.5+Config!$B$6,"UNDER","—")))</f>
        <v/>
      </c>
      <c r="M226" t="n">
        <v>31.08</v>
      </c>
      <c r="N226" t="n">
        <v>28.6</v>
      </c>
      <c r="O226" s="8" t="n">
        <v>0</v>
      </c>
      <c r="P226" s="8" t="n">
        <v>0.2</v>
      </c>
      <c r="Q226" s="8" t="n">
        <v>0.33</v>
      </c>
      <c r="R226" t="inlineStr">
        <is>
          <t>50%/6/12</t>
        </is>
      </c>
      <c r="S226" t="n">
        <v>-7</v>
      </c>
      <c r="T226">
        <f>INDEX(Calc!$G$2:$G$124,MATCH($W226,Calc!$A$2:$A$124,0))&amp;" / "&amp;INDEX(Calc!$H$2:$H$124,MATCH($W226,Calc!$A$2:$A$124,0))</f>
        <v/>
      </c>
      <c r="U226">
        <f>TEXT(INDEX(Calc!$J$2:$J$124,MATCH($W226,Calc!$A$2:$A$124,0)),"0.0")&amp;" / "&amp;TEXT(INDEX(Calc!$K$2:$K$124,MATCH($W226,Calc!$A$2:$A$124,0)),"0.0")</f>
        <v/>
      </c>
      <c r="V226">
        <f>IFERROR(INDEX(Calc!$AQ$2:$AQ$124,MATCH($W226,Calc!$A$2:$A$124,0)),"")</f>
        <v/>
      </c>
      <c r="W226" t="inlineStr">
        <is>
          <t>jbs33yc6r5ra8l4|CS2 · VIT vs MGLZ</t>
        </is>
      </c>
      <c r="X226" t="inlineStr">
        <is>
          <t>K12</t>
        </is>
      </c>
      <c r="Y226">
        <f>W226&amp;"|"&amp;X226</f>
        <v/>
      </c>
      <c r="Z226" s="9">
        <f>IFERROR(INDEX(CHOOSE(MATCH($X226,{"K1","K2","K3","K12","K13","H1","H2","H3","H12","H13"},0),Calc!$BA$2:$BA$124,Calc!$BB$2:$BB$124,Calc!$BC$2:$BC$124,Calc!$BD$2:$BD$124,Calc!$BE$2:$BE$124,Calc!$BF$2:$BF$124,Calc!$BG$2:$BG$124,Calc!$BH$2:$BH$124,Calc!$BI$2:$BI$124,Calc!$BJ$2:$BJ$124),MATCH($W226,Calc!$A$2:$A$124,0)),"")</f>
        <v/>
      </c>
      <c r="AA226" s="9">
        <f>IF(Z226="","",IF(LEFT($X226,1)="H",SQRT(Z226*(IFERROR(INDEX(Calc!$AP$2:$AP$124,MATCH($W226,Calc!$A$2:$A$124,0)),0.5)*Config!$B$5+1-IFERROR(INDEX(Calc!$AP$2:$AP$124,MATCH($W226,Calc!$A$2:$A$124,0)),0.5))),SQRT(Z226*Config!$B$5)))</f>
        <v/>
      </c>
      <c r="AB226" s="8">
        <f>IF(OR(F226="",Z226="",N(AA226)&lt;=0),"",1-NORMDIST(FLOOR(F226,1)+0.5,Z226,AA226,TRUE))</f>
        <v/>
      </c>
      <c r="AC226" s="8">
        <f>IF(AB226="","",NORMDIST(CEILING(F226,1)-0.5,Z226,AA226,TRUE))</f>
        <v/>
      </c>
      <c r="AD226">
        <f>IF(AB226="","",IF(AB226&gt;=0.5+Config!$B$6,"OVER",IF(AC226&gt;=0.5+Config!$B$6,"UNDER","—")))</f>
        <v/>
      </c>
      <c r="AE226" s="11">
        <f>IFERROR(Z226/G226,"")</f>
        <v/>
      </c>
    </row>
    <row r="227">
      <c r="A227" t="inlineStr">
        <is>
          <t>CS2</t>
        </is>
      </c>
      <c r="B227" t="inlineStr">
        <is>
          <t>CS2 · VIT vs MGLZ</t>
        </is>
      </c>
      <c r="C227" t="inlineStr">
        <is>
          <t>ZywOo</t>
        </is>
      </c>
      <c r="D227" t="inlineStr">
        <is>
          <t>VIT</t>
        </is>
      </c>
      <c r="E227" t="inlineStr">
        <is>
          <t>Maps 1-2 HS</t>
        </is>
      </c>
      <c r="F227" t="n">
        <v>14.5</v>
      </c>
      <c r="G227" s="9">
        <f>IFERROR(INDEX(CHOOSE(MATCH($X227,{"K1","K2","K3","K12","K13","H1","H2","H3","H12","H13"},0),Calc!$V$2:$V$124,Calc!$AC$2:$AC$124,Calc!$AJ$2:$AJ$124,Calc!$AL$2:$AL$124,Calc!$AM$2:$AM$124,Calc!$W$2:$W$124,Calc!$AD$2:$AD$124,Calc!$AK$2:$AK$124,Calc!$AN$2:$AN$124,Calc!$AO$2:$AO$124),MATCH($W227,Calc!$A$2:$A$124,0)),"")</f>
        <v/>
      </c>
      <c r="H227" s="9">
        <f>IF(G227="","",IF(LEFT($X227,1)="H",SQRT(G227*(IFERROR(INDEX(Calc!$AP$2:$AP$124,MATCH($W227,Calc!$A$2:$A$124,0)),0.5)*Config!$B$5+1-IFERROR(INDEX(Calc!$AP$2:$AP$124,MATCH($W227,Calc!$A$2:$A$124,0)),0.5))),SQRT(G227*Config!$B$5)))</f>
        <v/>
      </c>
      <c r="I227" s="8">
        <f>IF(OR(F227="",G227="",N(H227)&lt;=0),"",1-NORMDIST(FLOOR(F227,1)+0.5,G227,H227,TRUE))</f>
        <v/>
      </c>
      <c r="J227" s="8">
        <f>IF(I227="","",NORMDIST(CEILING(F227,1)-0.5,G227,H227,TRUE))</f>
        <v/>
      </c>
      <c r="K227" s="8">
        <f>IF(I227="","",MAX(0,1-I227-J227))</f>
        <v/>
      </c>
      <c r="L227">
        <f>IF(I227="","",IF(I227&gt;=0.5+Config!$B$6,"OVER",IF(J227&gt;=0.5+Config!$B$6,"UNDER","—")))</f>
        <v/>
      </c>
      <c r="N227" t="n">
        <v>16</v>
      </c>
      <c r="O227" s="8" t="n">
        <v>0.4</v>
      </c>
      <c r="P227" s="8" t="n">
        <v>0.6</v>
      </c>
      <c r="Q227" s="8" t="n">
        <v>0.53</v>
      </c>
      <c r="R227" t="inlineStr">
        <is>
          <t>43%/6/14</t>
        </is>
      </c>
      <c r="S227" t="n">
        <v>-1</v>
      </c>
      <c r="T227">
        <f>INDEX(Calc!$G$2:$G$124,MATCH($W227,Calc!$A$2:$A$124,0))&amp;" / "&amp;INDEX(Calc!$H$2:$H$124,MATCH($W227,Calc!$A$2:$A$124,0))</f>
        <v/>
      </c>
      <c r="U227">
        <f>TEXT(INDEX(Calc!$J$2:$J$124,MATCH($W227,Calc!$A$2:$A$124,0)),"0.0")&amp;" / "&amp;TEXT(INDEX(Calc!$K$2:$K$124,MATCH($W227,Calc!$A$2:$A$124,0)),"0.0")</f>
        <v/>
      </c>
      <c r="V227">
        <f>IFERROR(INDEX(Calc!$AQ$2:$AQ$124,MATCH($W227,Calc!$A$2:$A$124,0)),"")</f>
        <v/>
      </c>
      <c r="W227" t="inlineStr">
        <is>
          <t>6vanqemhsqez4mc|CS2 · VIT vs MGLZ</t>
        </is>
      </c>
      <c r="X227" t="inlineStr">
        <is>
          <t>H12</t>
        </is>
      </c>
      <c r="Y227">
        <f>W227&amp;"|"&amp;X227</f>
        <v/>
      </c>
      <c r="Z227" s="9">
        <f>IFERROR(INDEX(CHOOSE(MATCH($X227,{"K1","K2","K3","K12","K13","H1","H2","H3","H12","H13"},0),Calc!$BA$2:$BA$124,Calc!$BB$2:$BB$124,Calc!$BC$2:$BC$124,Calc!$BD$2:$BD$124,Calc!$BE$2:$BE$124,Calc!$BF$2:$BF$124,Calc!$BG$2:$BG$124,Calc!$BH$2:$BH$124,Calc!$BI$2:$BI$124,Calc!$BJ$2:$BJ$124),MATCH($W227,Calc!$A$2:$A$124,0)),"")</f>
        <v/>
      </c>
      <c r="AA227" s="9">
        <f>IF(Z227="","",IF(LEFT($X227,1)="H",SQRT(Z227*(IFERROR(INDEX(Calc!$AP$2:$AP$124,MATCH($W227,Calc!$A$2:$A$124,0)),0.5)*Config!$B$5+1-IFERROR(INDEX(Calc!$AP$2:$AP$124,MATCH($W227,Calc!$A$2:$A$124,0)),0.5))),SQRT(Z227*Config!$B$5)))</f>
        <v/>
      </c>
      <c r="AB227" s="8">
        <f>IF(OR(F227="",Z227="",N(AA227)&lt;=0),"",1-NORMDIST(FLOOR(F227,1)+0.5,Z227,AA227,TRUE))</f>
        <v/>
      </c>
      <c r="AC227" s="8">
        <f>IF(AB227="","",NORMDIST(CEILING(F227,1)-0.5,Z227,AA227,TRUE))</f>
        <v/>
      </c>
      <c r="AD227">
        <f>IF(AB227="","",IF(AB227&gt;=0.5+Config!$B$6,"OVER",IF(AC227&gt;=0.5+Config!$B$6,"UNDER","—")))</f>
        <v/>
      </c>
      <c r="AE227" s="11">
        <f>IFERROR(Z227/G227,"")</f>
        <v/>
      </c>
    </row>
    <row r="228">
      <c r="A228" t="inlineStr">
        <is>
          <t>CS2</t>
        </is>
      </c>
      <c r="B228" t="inlineStr">
        <is>
          <t>CS2 · VIT vs MGLZ</t>
        </is>
      </c>
      <c r="C228" t="inlineStr">
        <is>
          <t>ZywOo</t>
        </is>
      </c>
      <c r="D228" t="inlineStr">
        <is>
          <t>VIT</t>
        </is>
      </c>
      <c r="E228" t="inlineStr">
        <is>
          <t>Maps 1-2 Kills</t>
        </is>
      </c>
      <c r="F228" t="n">
        <v>35.5</v>
      </c>
      <c r="G228" s="9">
        <f>IFERROR(INDEX(CHOOSE(MATCH($X228,{"K1","K2","K3","K12","K13","H1","H2","H3","H12","H13"},0),Calc!$V$2:$V$124,Calc!$AC$2:$AC$124,Calc!$AJ$2:$AJ$124,Calc!$AL$2:$AL$124,Calc!$AM$2:$AM$124,Calc!$W$2:$W$124,Calc!$AD$2:$AD$124,Calc!$AK$2:$AK$124,Calc!$AN$2:$AN$124,Calc!$AO$2:$AO$124),MATCH($W228,Calc!$A$2:$A$124,0)),"")</f>
        <v/>
      </c>
      <c r="H228" s="9">
        <f>IF(G228="","",IF(LEFT($X228,1)="H",SQRT(G228*(IFERROR(INDEX(Calc!$AP$2:$AP$124,MATCH($W228,Calc!$A$2:$A$124,0)),0.5)*Config!$B$5+1-IFERROR(INDEX(Calc!$AP$2:$AP$124,MATCH($W228,Calc!$A$2:$A$124,0)),0.5))),SQRT(G228*Config!$B$5)))</f>
        <v/>
      </c>
      <c r="I228" s="8">
        <f>IF(OR(F228="",G228="",N(H228)&lt;=0),"",1-NORMDIST(FLOOR(F228,1)+0.5,G228,H228,TRUE))</f>
        <v/>
      </c>
      <c r="J228" s="8">
        <f>IF(I228="","",NORMDIST(CEILING(F228,1)-0.5,G228,H228,TRUE))</f>
        <v/>
      </c>
      <c r="K228" s="8">
        <f>IF(I228="","",MAX(0,1-I228-J228))</f>
        <v/>
      </c>
      <c r="L228">
        <f>IF(I228="","",IF(I228&gt;=0.5+Config!$B$6,"OVER",IF(J228&gt;=0.5+Config!$B$6,"UNDER","—")))</f>
        <v/>
      </c>
      <c r="M228" t="n">
        <v>37</v>
      </c>
      <c r="N228" t="n">
        <v>33.5</v>
      </c>
      <c r="O228" s="8" t="n">
        <v>0.2</v>
      </c>
      <c r="P228" s="8" t="n">
        <v>0.4</v>
      </c>
      <c r="Q228" s="8" t="n">
        <v>0.4</v>
      </c>
      <c r="R228" t="inlineStr">
        <is>
          <t>71%/10/14</t>
        </is>
      </c>
      <c r="S228" t="n">
        <v>-1</v>
      </c>
      <c r="T228">
        <f>INDEX(Calc!$G$2:$G$124,MATCH($W228,Calc!$A$2:$A$124,0))&amp;" / "&amp;INDEX(Calc!$H$2:$H$124,MATCH($W228,Calc!$A$2:$A$124,0))</f>
        <v/>
      </c>
      <c r="U228">
        <f>TEXT(INDEX(Calc!$J$2:$J$124,MATCH($W228,Calc!$A$2:$A$124,0)),"0.0")&amp;" / "&amp;TEXT(INDEX(Calc!$K$2:$K$124,MATCH($W228,Calc!$A$2:$A$124,0)),"0.0")</f>
        <v/>
      </c>
      <c r="V228">
        <f>IFERROR(INDEX(Calc!$AQ$2:$AQ$124,MATCH($W228,Calc!$A$2:$A$124,0)),"")</f>
        <v/>
      </c>
      <c r="W228" t="inlineStr">
        <is>
          <t>6vanqemhsqez4mc|CS2 · VIT vs MGLZ</t>
        </is>
      </c>
      <c r="X228" t="inlineStr">
        <is>
          <t>K12</t>
        </is>
      </c>
      <c r="Y228">
        <f>W228&amp;"|"&amp;X228</f>
        <v/>
      </c>
      <c r="Z228" s="9">
        <f>IFERROR(INDEX(CHOOSE(MATCH($X228,{"K1","K2","K3","K12","K13","H1","H2","H3","H12","H13"},0),Calc!$BA$2:$BA$124,Calc!$BB$2:$BB$124,Calc!$BC$2:$BC$124,Calc!$BD$2:$BD$124,Calc!$BE$2:$BE$124,Calc!$BF$2:$BF$124,Calc!$BG$2:$BG$124,Calc!$BH$2:$BH$124,Calc!$BI$2:$BI$124,Calc!$BJ$2:$BJ$124),MATCH($W228,Calc!$A$2:$A$124,0)),"")</f>
        <v/>
      </c>
      <c r="AA228" s="9">
        <f>IF(Z228="","",IF(LEFT($X228,1)="H",SQRT(Z228*(IFERROR(INDEX(Calc!$AP$2:$AP$124,MATCH($W228,Calc!$A$2:$A$124,0)),0.5)*Config!$B$5+1-IFERROR(INDEX(Calc!$AP$2:$AP$124,MATCH($W228,Calc!$A$2:$A$124,0)),0.5))),SQRT(Z228*Config!$B$5)))</f>
        <v/>
      </c>
      <c r="AB228" s="8">
        <f>IF(OR(F228="",Z228="",N(AA228)&lt;=0),"",1-NORMDIST(FLOOR(F228,1)+0.5,Z228,AA228,TRUE))</f>
        <v/>
      </c>
      <c r="AC228" s="8">
        <f>IF(AB228="","",NORMDIST(CEILING(F228,1)-0.5,Z228,AA228,TRUE))</f>
        <v/>
      </c>
      <c r="AD228">
        <f>IF(AB228="","",IF(AB228&gt;=0.5+Config!$B$6,"OVER",IF(AC228&gt;=0.5+Config!$B$6,"UNDER","—")))</f>
        <v/>
      </c>
      <c r="AE228" s="11">
        <f>IFERROR(Z228/G228,"")</f>
        <v/>
      </c>
    </row>
    <row r="229">
      <c r="A229" t="inlineStr">
        <is>
          <t>CS2</t>
        </is>
      </c>
      <c r="B229" t="inlineStr">
        <is>
          <t>CS2 · paiN vs BST</t>
        </is>
      </c>
      <c r="C229" t="inlineStr">
        <is>
          <t>Buda</t>
        </is>
      </c>
      <c r="D229" t="inlineStr">
        <is>
          <t>BST</t>
        </is>
      </c>
      <c r="E229" t="inlineStr">
        <is>
          <t>Maps 1-2 HS</t>
        </is>
      </c>
      <c r="F229" t="n">
        <v>14.5</v>
      </c>
      <c r="G229" s="9">
        <f>IFERROR(INDEX(CHOOSE(MATCH($X229,{"K1","K2","K3","K12","K13","H1","H2","H3","H12","H13"},0),Calc!$V$2:$V$124,Calc!$AC$2:$AC$124,Calc!$AJ$2:$AJ$124,Calc!$AL$2:$AL$124,Calc!$AM$2:$AM$124,Calc!$W$2:$W$124,Calc!$AD$2:$AD$124,Calc!$AK$2:$AK$124,Calc!$AN$2:$AN$124,Calc!$AO$2:$AO$124),MATCH($W229,Calc!$A$2:$A$124,0)),"")</f>
        <v/>
      </c>
      <c r="H229" s="9">
        <f>IF(G229="","",IF(LEFT($X229,1)="H",SQRT(G229*(IFERROR(INDEX(Calc!$AP$2:$AP$124,MATCH($W229,Calc!$A$2:$A$124,0)),0.5)*Config!$B$5+1-IFERROR(INDEX(Calc!$AP$2:$AP$124,MATCH($W229,Calc!$A$2:$A$124,0)),0.5))),SQRT(G229*Config!$B$5)))</f>
        <v/>
      </c>
      <c r="I229" s="8">
        <f>IF(OR(F229="",G229="",N(H229)&lt;=0),"",1-NORMDIST(FLOOR(F229,1)+0.5,G229,H229,TRUE))</f>
        <v/>
      </c>
      <c r="J229" s="8">
        <f>IF(I229="","",NORMDIST(CEILING(F229,1)-0.5,G229,H229,TRUE))</f>
        <v/>
      </c>
      <c r="K229" s="8">
        <f>IF(I229="","",MAX(0,1-I229-J229))</f>
        <v/>
      </c>
      <c r="L229">
        <f>IF(I229="","",IF(I229&gt;=0.5+Config!$B$6,"OVER",IF(J229&gt;=0.5+Config!$B$6,"UNDER","—")))</f>
        <v/>
      </c>
      <c r="N229" t="n">
        <v>14.6</v>
      </c>
      <c r="O229" s="8" t="n">
        <v>0.6</v>
      </c>
      <c r="P229" s="8" t="n">
        <v>0.5</v>
      </c>
      <c r="Q229" s="8" t="n">
        <v>0.33</v>
      </c>
      <c r="R229" t="inlineStr">
        <is>
          <t>20%/1/5</t>
        </is>
      </c>
      <c r="S229" t="n">
        <v>1</v>
      </c>
      <c r="T229">
        <f>INDEX(Calc!$G$2:$G$124,MATCH($W229,Calc!$A$2:$A$124,0))&amp;" / "&amp;INDEX(Calc!$H$2:$H$124,MATCH($W229,Calc!$A$2:$A$124,0))</f>
        <v/>
      </c>
      <c r="U229">
        <f>TEXT(INDEX(Calc!$J$2:$J$124,MATCH($W229,Calc!$A$2:$A$124,0)),"0.0")&amp;" / "&amp;TEXT(INDEX(Calc!$K$2:$K$124,MATCH($W229,Calc!$A$2:$A$124,0)),"0.0")</f>
        <v/>
      </c>
      <c r="V229">
        <f>IFERROR(INDEX(Calc!$AQ$2:$AQ$124,MATCH($W229,Calc!$A$2:$A$124,0)),"")</f>
        <v/>
      </c>
      <c r="W229" t="inlineStr">
        <is>
          <t>x1hr6fp37qryd4d|CS2 · paiN vs BST</t>
        </is>
      </c>
      <c r="X229" t="inlineStr">
        <is>
          <t>H12</t>
        </is>
      </c>
      <c r="Y229">
        <f>W229&amp;"|"&amp;X229</f>
        <v/>
      </c>
      <c r="Z229" s="9">
        <f>IFERROR(INDEX(CHOOSE(MATCH($X229,{"K1","K2","K3","K12","K13","H1","H2","H3","H12","H13"},0),Calc!$BA$2:$BA$124,Calc!$BB$2:$BB$124,Calc!$BC$2:$BC$124,Calc!$BD$2:$BD$124,Calc!$BE$2:$BE$124,Calc!$BF$2:$BF$124,Calc!$BG$2:$BG$124,Calc!$BH$2:$BH$124,Calc!$BI$2:$BI$124,Calc!$BJ$2:$BJ$124),MATCH($W229,Calc!$A$2:$A$124,0)),"")</f>
        <v/>
      </c>
      <c r="AA229" s="9">
        <f>IF(Z229="","",IF(LEFT($X229,1)="H",SQRT(Z229*(IFERROR(INDEX(Calc!$AP$2:$AP$124,MATCH($W229,Calc!$A$2:$A$124,0)),0.5)*Config!$B$5+1-IFERROR(INDEX(Calc!$AP$2:$AP$124,MATCH($W229,Calc!$A$2:$A$124,0)),0.5))),SQRT(Z229*Config!$B$5)))</f>
        <v/>
      </c>
      <c r="AB229" s="8">
        <f>IF(OR(F229="",Z229="",N(AA229)&lt;=0),"",1-NORMDIST(FLOOR(F229,1)+0.5,Z229,AA229,TRUE))</f>
        <v/>
      </c>
      <c r="AC229" s="8">
        <f>IF(AB229="","",NORMDIST(CEILING(F229,1)-0.5,Z229,AA229,TRUE))</f>
        <v/>
      </c>
      <c r="AD229">
        <f>IF(AB229="","",IF(AB229&gt;=0.5+Config!$B$6,"OVER",IF(AC229&gt;=0.5+Config!$B$6,"UNDER","—")))</f>
        <v/>
      </c>
      <c r="AE229" s="11">
        <f>IFERROR(Z229/G229,"")</f>
        <v/>
      </c>
    </row>
    <row r="230">
      <c r="A230" t="inlineStr">
        <is>
          <t>CS2</t>
        </is>
      </c>
      <c r="B230" t="inlineStr">
        <is>
          <t>CS2 · paiN vs BST</t>
        </is>
      </c>
      <c r="C230" t="inlineStr">
        <is>
          <t>Buda</t>
        </is>
      </c>
      <c r="D230" t="inlineStr">
        <is>
          <t>BST</t>
        </is>
      </c>
      <c r="E230" t="inlineStr">
        <is>
          <t>Maps 1-2 Kills</t>
        </is>
      </c>
      <c r="F230" t="n">
        <v>29</v>
      </c>
      <c r="G230" s="9">
        <f>IFERROR(INDEX(CHOOSE(MATCH($X230,{"K1","K2","K3","K12","K13","H1","H2","H3","H12","H13"},0),Calc!$V$2:$V$124,Calc!$AC$2:$AC$124,Calc!$AJ$2:$AJ$124,Calc!$AL$2:$AL$124,Calc!$AM$2:$AM$124,Calc!$W$2:$W$124,Calc!$AD$2:$AD$124,Calc!$AK$2:$AK$124,Calc!$AN$2:$AN$124,Calc!$AO$2:$AO$124),MATCH($W230,Calc!$A$2:$A$124,0)),"")</f>
        <v/>
      </c>
      <c r="H230" s="9">
        <f>IF(G230="","",IF(LEFT($X230,1)="H",SQRT(G230*(IFERROR(INDEX(Calc!$AP$2:$AP$124,MATCH($W230,Calc!$A$2:$A$124,0)),0.5)*Config!$B$5+1-IFERROR(INDEX(Calc!$AP$2:$AP$124,MATCH($W230,Calc!$A$2:$A$124,0)),0.5))),SQRT(G230*Config!$B$5)))</f>
        <v/>
      </c>
      <c r="I230" s="8">
        <f>IF(OR(F230="",G230="",N(H230)&lt;=0),"",1-NORMDIST(FLOOR(F230,1)+0.5,G230,H230,TRUE))</f>
        <v/>
      </c>
      <c r="J230" s="8">
        <f>IF(I230="","",NORMDIST(CEILING(F230,1)-0.5,G230,H230,TRUE))</f>
        <v/>
      </c>
      <c r="K230" s="8">
        <f>IF(I230="","",MAX(0,1-I230-J230))</f>
        <v/>
      </c>
      <c r="L230">
        <f>IF(I230="","",IF(I230&gt;=0.5+Config!$B$6,"OVER",IF(J230&gt;=0.5+Config!$B$6,"UNDER","—")))</f>
        <v/>
      </c>
      <c r="N230" t="n">
        <v>30.1</v>
      </c>
      <c r="O230" s="8" t="n">
        <v>0.6</v>
      </c>
      <c r="P230" s="8" t="n">
        <v>0.5</v>
      </c>
      <c r="Q230" s="8" t="n">
        <v>0.47</v>
      </c>
      <c r="R230" t="inlineStr">
        <is>
          <t>20%/1/5</t>
        </is>
      </c>
      <c r="S230" t="n">
        <v>1</v>
      </c>
      <c r="T230">
        <f>INDEX(Calc!$G$2:$G$124,MATCH($W230,Calc!$A$2:$A$124,0))&amp;" / "&amp;INDEX(Calc!$H$2:$H$124,MATCH($W230,Calc!$A$2:$A$124,0))</f>
        <v/>
      </c>
      <c r="U230">
        <f>TEXT(INDEX(Calc!$J$2:$J$124,MATCH($W230,Calc!$A$2:$A$124,0)),"0.0")&amp;" / "&amp;TEXT(INDEX(Calc!$K$2:$K$124,MATCH($W230,Calc!$A$2:$A$124,0)),"0.0")</f>
        <v/>
      </c>
      <c r="V230">
        <f>IFERROR(INDEX(Calc!$AQ$2:$AQ$124,MATCH($W230,Calc!$A$2:$A$124,0)),"")</f>
        <v/>
      </c>
      <c r="W230" t="inlineStr">
        <is>
          <t>x1hr6fp37qryd4d|CS2 · paiN vs BST</t>
        </is>
      </c>
      <c r="X230" t="inlineStr">
        <is>
          <t>K12</t>
        </is>
      </c>
      <c r="Y230">
        <f>W230&amp;"|"&amp;X230</f>
        <v/>
      </c>
      <c r="Z230" s="9">
        <f>IFERROR(INDEX(CHOOSE(MATCH($X230,{"K1","K2","K3","K12","K13","H1","H2","H3","H12","H13"},0),Calc!$BA$2:$BA$124,Calc!$BB$2:$BB$124,Calc!$BC$2:$BC$124,Calc!$BD$2:$BD$124,Calc!$BE$2:$BE$124,Calc!$BF$2:$BF$124,Calc!$BG$2:$BG$124,Calc!$BH$2:$BH$124,Calc!$BI$2:$BI$124,Calc!$BJ$2:$BJ$124),MATCH($W230,Calc!$A$2:$A$124,0)),"")</f>
        <v/>
      </c>
      <c r="AA230" s="9">
        <f>IF(Z230="","",IF(LEFT($X230,1)="H",SQRT(Z230*(IFERROR(INDEX(Calc!$AP$2:$AP$124,MATCH($W230,Calc!$A$2:$A$124,0)),0.5)*Config!$B$5+1-IFERROR(INDEX(Calc!$AP$2:$AP$124,MATCH($W230,Calc!$A$2:$A$124,0)),0.5))),SQRT(Z230*Config!$B$5)))</f>
        <v/>
      </c>
      <c r="AB230" s="8">
        <f>IF(OR(F230="",Z230="",N(AA230)&lt;=0),"",1-NORMDIST(FLOOR(F230,1)+0.5,Z230,AA230,TRUE))</f>
        <v/>
      </c>
      <c r="AC230" s="8">
        <f>IF(AB230="","",NORMDIST(CEILING(F230,1)-0.5,Z230,AA230,TRUE))</f>
        <v/>
      </c>
      <c r="AD230">
        <f>IF(AB230="","",IF(AB230&gt;=0.5+Config!$B$6,"OVER",IF(AC230&gt;=0.5+Config!$B$6,"UNDER","—")))</f>
        <v/>
      </c>
      <c r="AE230" s="11">
        <f>IFERROR(Z230/G230,"")</f>
        <v/>
      </c>
    </row>
    <row r="231">
      <c r="A231" t="inlineStr">
        <is>
          <t>CS2</t>
        </is>
      </c>
      <c r="B231" t="inlineStr">
        <is>
          <t>CS2 · paiN vs BST</t>
        </is>
      </c>
      <c r="C231" t="inlineStr">
        <is>
          <t>cass1n</t>
        </is>
      </c>
      <c r="D231" t="inlineStr">
        <is>
          <t>BST</t>
        </is>
      </c>
      <c r="E231" t="inlineStr">
        <is>
          <t>Maps 1-2 HS</t>
        </is>
      </c>
      <c r="F231" t="n">
        <v>9.5</v>
      </c>
      <c r="G231" s="9">
        <f>IFERROR(INDEX(CHOOSE(MATCH($X231,{"K1","K2","K3","K12","K13","H1","H2","H3","H12","H13"},0),Calc!$V$2:$V$124,Calc!$AC$2:$AC$124,Calc!$AJ$2:$AJ$124,Calc!$AL$2:$AL$124,Calc!$AM$2:$AM$124,Calc!$W$2:$W$124,Calc!$AD$2:$AD$124,Calc!$AK$2:$AK$124,Calc!$AN$2:$AN$124,Calc!$AO$2:$AO$124),MATCH($W231,Calc!$A$2:$A$124,0)),"")</f>
        <v/>
      </c>
      <c r="H231" s="9">
        <f>IF(G231="","",IF(LEFT($X231,1)="H",SQRT(G231*(IFERROR(INDEX(Calc!$AP$2:$AP$124,MATCH($W231,Calc!$A$2:$A$124,0)),0.5)*Config!$B$5+1-IFERROR(INDEX(Calc!$AP$2:$AP$124,MATCH($W231,Calc!$A$2:$A$124,0)),0.5))),SQRT(G231*Config!$B$5)))</f>
        <v/>
      </c>
      <c r="I231" s="8">
        <f>IF(OR(F231="",G231="",N(H231)&lt;=0),"",1-NORMDIST(FLOOR(F231,1)+0.5,G231,H231,TRUE))</f>
        <v/>
      </c>
      <c r="J231" s="8">
        <f>IF(I231="","",NORMDIST(CEILING(F231,1)-0.5,G231,H231,TRUE))</f>
        <v/>
      </c>
      <c r="K231" s="8">
        <f>IF(I231="","",MAX(0,1-I231-J231))</f>
        <v/>
      </c>
      <c r="L231">
        <f>IF(I231="","",IF(I231&gt;=0.5+Config!$B$6,"OVER",IF(J231&gt;=0.5+Config!$B$6,"UNDER","—")))</f>
        <v/>
      </c>
      <c r="N231" t="n">
        <v>11.2</v>
      </c>
      <c r="O231" s="8" t="n">
        <v>0.4</v>
      </c>
      <c r="P231" s="8" t="n">
        <v>0.5</v>
      </c>
      <c r="Q231" s="8" t="n">
        <v>0.53</v>
      </c>
      <c r="R231" t="inlineStr">
        <is>
          <t>100%/2/2</t>
        </is>
      </c>
      <c r="S231" t="n">
        <v>2</v>
      </c>
      <c r="T231">
        <f>INDEX(Calc!$G$2:$G$124,MATCH($W231,Calc!$A$2:$A$124,0))&amp;" / "&amp;INDEX(Calc!$H$2:$H$124,MATCH($W231,Calc!$A$2:$A$124,0))</f>
        <v/>
      </c>
      <c r="U231">
        <f>TEXT(INDEX(Calc!$J$2:$J$124,MATCH($W231,Calc!$A$2:$A$124,0)),"0.0")&amp;" / "&amp;TEXT(INDEX(Calc!$K$2:$K$124,MATCH($W231,Calc!$A$2:$A$124,0)),"0.0")</f>
        <v/>
      </c>
      <c r="V231">
        <f>IFERROR(INDEX(Calc!$AQ$2:$AQ$124,MATCH($W231,Calc!$A$2:$A$124,0)),"")</f>
        <v/>
      </c>
      <c r="W231" t="inlineStr">
        <is>
          <t>px5zu5wf6psxdo7|CS2 · paiN vs BST</t>
        </is>
      </c>
      <c r="X231" t="inlineStr">
        <is>
          <t>H12</t>
        </is>
      </c>
      <c r="Y231">
        <f>W231&amp;"|"&amp;X231</f>
        <v/>
      </c>
      <c r="Z231" s="9">
        <f>IFERROR(INDEX(CHOOSE(MATCH($X231,{"K1","K2","K3","K12","K13","H1","H2","H3","H12","H13"},0),Calc!$BA$2:$BA$124,Calc!$BB$2:$BB$124,Calc!$BC$2:$BC$124,Calc!$BD$2:$BD$124,Calc!$BE$2:$BE$124,Calc!$BF$2:$BF$124,Calc!$BG$2:$BG$124,Calc!$BH$2:$BH$124,Calc!$BI$2:$BI$124,Calc!$BJ$2:$BJ$124),MATCH($W231,Calc!$A$2:$A$124,0)),"")</f>
        <v/>
      </c>
      <c r="AA231" s="9">
        <f>IF(Z231="","",IF(LEFT($X231,1)="H",SQRT(Z231*(IFERROR(INDEX(Calc!$AP$2:$AP$124,MATCH($W231,Calc!$A$2:$A$124,0)),0.5)*Config!$B$5+1-IFERROR(INDEX(Calc!$AP$2:$AP$124,MATCH($W231,Calc!$A$2:$A$124,0)),0.5))),SQRT(Z231*Config!$B$5)))</f>
        <v/>
      </c>
      <c r="AB231" s="8">
        <f>IF(OR(F231="",Z231="",N(AA231)&lt;=0),"",1-NORMDIST(FLOOR(F231,1)+0.5,Z231,AA231,TRUE))</f>
        <v/>
      </c>
      <c r="AC231" s="8">
        <f>IF(AB231="","",NORMDIST(CEILING(F231,1)-0.5,Z231,AA231,TRUE))</f>
        <v/>
      </c>
      <c r="AD231">
        <f>IF(AB231="","",IF(AB231&gt;=0.5+Config!$B$6,"OVER",IF(AC231&gt;=0.5+Config!$B$6,"UNDER","—")))</f>
        <v/>
      </c>
      <c r="AE231" s="11">
        <f>IFERROR(Z231/G231,"")</f>
        <v/>
      </c>
    </row>
    <row r="232">
      <c r="A232" t="inlineStr">
        <is>
          <t>CS2</t>
        </is>
      </c>
      <c r="B232" t="inlineStr">
        <is>
          <t>CS2 · paiN vs BST</t>
        </is>
      </c>
      <c r="C232" t="inlineStr">
        <is>
          <t>cass1n</t>
        </is>
      </c>
      <c r="D232" t="inlineStr">
        <is>
          <t>BST</t>
        </is>
      </c>
      <c r="E232" t="inlineStr">
        <is>
          <t>Maps 1-2 Kills</t>
        </is>
      </c>
      <c r="F232" t="n">
        <v>27</v>
      </c>
      <c r="G232" s="9">
        <f>IFERROR(INDEX(CHOOSE(MATCH($X232,{"K1","K2","K3","K12","K13","H1","H2","H3","H12","H13"},0),Calc!$V$2:$V$124,Calc!$AC$2:$AC$124,Calc!$AJ$2:$AJ$124,Calc!$AL$2:$AL$124,Calc!$AM$2:$AM$124,Calc!$W$2:$W$124,Calc!$AD$2:$AD$124,Calc!$AK$2:$AK$124,Calc!$AN$2:$AN$124,Calc!$AO$2:$AO$124),MATCH($W232,Calc!$A$2:$A$124,0)),"")</f>
        <v/>
      </c>
      <c r="H232" s="9">
        <f>IF(G232="","",IF(LEFT($X232,1)="H",SQRT(G232*(IFERROR(INDEX(Calc!$AP$2:$AP$124,MATCH($W232,Calc!$A$2:$A$124,0)),0.5)*Config!$B$5+1-IFERROR(INDEX(Calc!$AP$2:$AP$124,MATCH($W232,Calc!$A$2:$A$124,0)),0.5))),SQRT(G232*Config!$B$5)))</f>
        <v/>
      </c>
      <c r="I232" s="8">
        <f>IF(OR(F232="",G232="",N(H232)&lt;=0),"",1-NORMDIST(FLOOR(F232,1)+0.5,G232,H232,TRUE))</f>
        <v/>
      </c>
      <c r="J232" s="8">
        <f>IF(I232="","",NORMDIST(CEILING(F232,1)-0.5,G232,H232,TRUE))</f>
        <v/>
      </c>
      <c r="K232" s="8">
        <f>IF(I232="","",MAX(0,1-I232-J232))</f>
        <v/>
      </c>
      <c r="L232">
        <f>IF(I232="","",IF(I232&gt;=0.5+Config!$B$6,"OVER",IF(J232&gt;=0.5+Config!$B$6,"UNDER","—")))</f>
        <v/>
      </c>
      <c r="N232" t="n">
        <v>29.2</v>
      </c>
      <c r="O232" s="8" t="n">
        <v>0.4</v>
      </c>
      <c r="P232" s="8" t="n">
        <v>0.5</v>
      </c>
      <c r="Q232" s="8" t="n">
        <v>0.4</v>
      </c>
      <c r="R232" t="inlineStr">
        <is>
          <t>50%/1/2</t>
        </is>
      </c>
      <c r="S232" t="n">
        <v>2</v>
      </c>
      <c r="T232">
        <f>INDEX(Calc!$G$2:$G$124,MATCH($W232,Calc!$A$2:$A$124,0))&amp;" / "&amp;INDEX(Calc!$H$2:$H$124,MATCH($W232,Calc!$A$2:$A$124,0))</f>
        <v/>
      </c>
      <c r="U232">
        <f>TEXT(INDEX(Calc!$J$2:$J$124,MATCH($W232,Calc!$A$2:$A$124,0)),"0.0")&amp;" / "&amp;TEXT(INDEX(Calc!$K$2:$K$124,MATCH($W232,Calc!$A$2:$A$124,0)),"0.0")</f>
        <v/>
      </c>
      <c r="V232">
        <f>IFERROR(INDEX(Calc!$AQ$2:$AQ$124,MATCH($W232,Calc!$A$2:$A$124,0)),"")</f>
        <v/>
      </c>
      <c r="W232" t="inlineStr">
        <is>
          <t>px5zu5wf6psxdo7|CS2 · paiN vs BST</t>
        </is>
      </c>
      <c r="X232" t="inlineStr">
        <is>
          <t>K12</t>
        </is>
      </c>
      <c r="Y232">
        <f>W232&amp;"|"&amp;X232</f>
        <v/>
      </c>
      <c r="Z232" s="9">
        <f>IFERROR(INDEX(CHOOSE(MATCH($X232,{"K1","K2","K3","K12","K13","H1","H2","H3","H12","H13"},0),Calc!$BA$2:$BA$124,Calc!$BB$2:$BB$124,Calc!$BC$2:$BC$124,Calc!$BD$2:$BD$124,Calc!$BE$2:$BE$124,Calc!$BF$2:$BF$124,Calc!$BG$2:$BG$124,Calc!$BH$2:$BH$124,Calc!$BI$2:$BI$124,Calc!$BJ$2:$BJ$124),MATCH($W232,Calc!$A$2:$A$124,0)),"")</f>
        <v/>
      </c>
      <c r="AA232" s="9">
        <f>IF(Z232="","",IF(LEFT($X232,1)="H",SQRT(Z232*(IFERROR(INDEX(Calc!$AP$2:$AP$124,MATCH($W232,Calc!$A$2:$A$124,0)),0.5)*Config!$B$5+1-IFERROR(INDEX(Calc!$AP$2:$AP$124,MATCH($W232,Calc!$A$2:$A$124,0)),0.5))),SQRT(Z232*Config!$B$5)))</f>
        <v/>
      </c>
      <c r="AB232" s="8">
        <f>IF(OR(F232="",Z232="",N(AA232)&lt;=0),"",1-NORMDIST(FLOOR(F232,1)+0.5,Z232,AA232,TRUE))</f>
        <v/>
      </c>
      <c r="AC232" s="8">
        <f>IF(AB232="","",NORMDIST(CEILING(F232,1)-0.5,Z232,AA232,TRUE))</f>
        <v/>
      </c>
      <c r="AD232">
        <f>IF(AB232="","",IF(AB232&gt;=0.5+Config!$B$6,"OVER",IF(AC232&gt;=0.5+Config!$B$6,"UNDER","—")))</f>
        <v/>
      </c>
      <c r="AE232" s="11">
        <f>IFERROR(Z232/G232,"")</f>
        <v/>
      </c>
    </row>
    <row r="233">
      <c r="A233" t="inlineStr">
        <is>
          <t>CS2</t>
        </is>
      </c>
      <c r="B233" t="inlineStr">
        <is>
          <t>CS2 · paiN vs BST</t>
        </is>
      </c>
      <c r="C233" t="inlineStr">
        <is>
          <t>drop</t>
        </is>
      </c>
      <c r="D233" t="inlineStr">
        <is>
          <t>BST</t>
        </is>
      </c>
      <c r="E233" t="inlineStr">
        <is>
          <t>Maps 1-2 HS</t>
        </is>
      </c>
      <c r="F233" t="n">
        <v>18.5</v>
      </c>
      <c r="G233" s="9">
        <f>IFERROR(INDEX(CHOOSE(MATCH($X233,{"K1","K2","K3","K12","K13","H1","H2","H3","H12","H13"},0),Calc!$V$2:$V$124,Calc!$AC$2:$AC$124,Calc!$AJ$2:$AJ$124,Calc!$AL$2:$AL$124,Calc!$AM$2:$AM$124,Calc!$W$2:$W$124,Calc!$AD$2:$AD$124,Calc!$AK$2:$AK$124,Calc!$AN$2:$AN$124,Calc!$AO$2:$AO$124),MATCH($W233,Calc!$A$2:$A$124,0)),"")</f>
        <v/>
      </c>
      <c r="H233" s="9">
        <f>IF(G233="","",IF(LEFT($X233,1)="H",SQRT(G233*(IFERROR(INDEX(Calc!$AP$2:$AP$124,MATCH($W233,Calc!$A$2:$A$124,0)),0.5)*Config!$B$5+1-IFERROR(INDEX(Calc!$AP$2:$AP$124,MATCH($W233,Calc!$A$2:$A$124,0)),0.5))),SQRT(G233*Config!$B$5)))</f>
        <v/>
      </c>
      <c r="I233" s="8">
        <f>IF(OR(F233="",G233="",N(H233)&lt;=0),"",1-NORMDIST(FLOOR(F233,1)+0.5,G233,H233,TRUE))</f>
        <v/>
      </c>
      <c r="J233" s="8">
        <f>IF(I233="","",NORMDIST(CEILING(F233,1)-0.5,G233,H233,TRUE))</f>
        <v/>
      </c>
      <c r="K233" s="8">
        <f>IF(I233="","",MAX(0,1-I233-J233))</f>
        <v/>
      </c>
      <c r="L233">
        <f>IF(I233="","",IF(I233&gt;=0.5+Config!$B$6,"OVER",IF(J233&gt;=0.5+Config!$B$6,"UNDER","—")))</f>
        <v/>
      </c>
      <c r="N233" t="n">
        <v>20.2</v>
      </c>
      <c r="O233" s="8" t="n">
        <v>0.4</v>
      </c>
      <c r="P233" s="8" t="n">
        <v>0.5</v>
      </c>
      <c r="Q233" s="8" t="n">
        <v>0.4</v>
      </c>
      <c r="R233" t="inlineStr">
        <is>
          <t>33%/3/9</t>
        </is>
      </c>
      <c r="S233" t="n">
        <v>-2</v>
      </c>
      <c r="T233">
        <f>INDEX(Calc!$G$2:$G$124,MATCH($W233,Calc!$A$2:$A$124,0))&amp;" / "&amp;INDEX(Calc!$H$2:$H$124,MATCH($W233,Calc!$A$2:$A$124,0))</f>
        <v/>
      </c>
      <c r="U233">
        <f>TEXT(INDEX(Calc!$J$2:$J$124,MATCH($W233,Calc!$A$2:$A$124,0)),"0.0")&amp;" / "&amp;TEXT(INDEX(Calc!$K$2:$K$124,MATCH($W233,Calc!$A$2:$A$124,0)),"0.0")</f>
        <v/>
      </c>
      <c r="V233">
        <f>IFERROR(INDEX(Calc!$AQ$2:$AQ$124,MATCH($W233,Calc!$A$2:$A$124,0)),"")</f>
        <v/>
      </c>
      <c r="W233" t="inlineStr">
        <is>
          <t>w2pkqdsxhev22e4|CS2 · paiN vs BST</t>
        </is>
      </c>
      <c r="X233" t="inlineStr">
        <is>
          <t>H12</t>
        </is>
      </c>
      <c r="Y233">
        <f>W233&amp;"|"&amp;X233</f>
        <v/>
      </c>
      <c r="Z233" s="9">
        <f>IFERROR(INDEX(CHOOSE(MATCH($X233,{"K1","K2","K3","K12","K13","H1","H2","H3","H12","H13"},0),Calc!$BA$2:$BA$124,Calc!$BB$2:$BB$124,Calc!$BC$2:$BC$124,Calc!$BD$2:$BD$124,Calc!$BE$2:$BE$124,Calc!$BF$2:$BF$124,Calc!$BG$2:$BG$124,Calc!$BH$2:$BH$124,Calc!$BI$2:$BI$124,Calc!$BJ$2:$BJ$124),MATCH($W233,Calc!$A$2:$A$124,0)),"")</f>
        <v/>
      </c>
      <c r="AA233" s="9">
        <f>IF(Z233="","",IF(LEFT($X233,1)="H",SQRT(Z233*(IFERROR(INDEX(Calc!$AP$2:$AP$124,MATCH($W233,Calc!$A$2:$A$124,0)),0.5)*Config!$B$5+1-IFERROR(INDEX(Calc!$AP$2:$AP$124,MATCH($W233,Calc!$A$2:$A$124,0)),0.5))),SQRT(Z233*Config!$B$5)))</f>
        <v/>
      </c>
      <c r="AB233" s="8">
        <f>IF(OR(F233="",Z233="",N(AA233)&lt;=0),"",1-NORMDIST(FLOOR(F233,1)+0.5,Z233,AA233,TRUE))</f>
        <v/>
      </c>
      <c r="AC233" s="8">
        <f>IF(AB233="","",NORMDIST(CEILING(F233,1)-0.5,Z233,AA233,TRUE))</f>
        <v/>
      </c>
      <c r="AD233">
        <f>IF(AB233="","",IF(AB233&gt;=0.5+Config!$B$6,"OVER",IF(AC233&gt;=0.5+Config!$B$6,"UNDER","—")))</f>
        <v/>
      </c>
      <c r="AE233" s="11">
        <f>IFERROR(Z233/G233,"")</f>
        <v/>
      </c>
    </row>
    <row r="234">
      <c r="A234" t="inlineStr">
        <is>
          <t>CS2</t>
        </is>
      </c>
      <c r="B234" t="inlineStr">
        <is>
          <t>CS2 · paiN vs BST</t>
        </is>
      </c>
      <c r="C234" t="inlineStr">
        <is>
          <t>drop</t>
        </is>
      </c>
      <c r="D234" t="inlineStr">
        <is>
          <t>BST</t>
        </is>
      </c>
      <c r="E234" t="inlineStr">
        <is>
          <t>Maps 1-2 Kills</t>
        </is>
      </c>
      <c r="F234" t="n">
        <v>30.5</v>
      </c>
      <c r="G234" s="9">
        <f>IFERROR(INDEX(CHOOSE(MATCH($X234,{"K1","K2","K3","K12","K13","H1","H2","H3","H12","H13"},0),Calc!$V$2:$V$124,Calc!$AC$2:$AC$124,Calc!$AJ$2:$AJ$124,Calc!$AL$2:$AL$124,Calc!$AM$2:$AM$124,Calc!$W$2:$W$124,Calc!$AD$2:$AD$124,Calc!$AK$2:$AK$124,Calc!$AN$2:$AN$124,Calc!$AO$2:$AO$124),MATCH($W234,Calc!$A$2:$A$124,0)),"")</f>
        <v/>
      </c>
      <c r="H234" s="9">
        <f>IF(G234="","",IF(LEFT($X234,1)="H",SQRT(G234*(IFERROR(INDEX(Calc!$AP$2:$AP$124,MATCH($W234,Calc!$A$2:$A$124,0)),0.5)*Config!$B$5+1-IFERROR(INDEX(Calc!$AP$2:$AP$124,MATCH($W234,Calc!$A$2:$A$124,0)),0.5))),SQRT(G234*Config!$B$5)))</f>
        <v/>
      </c>
      <c r="I234" s="8">
        <f>IF(OR(F234="",G234="",N(H234)&lt;=0),"",1-NORMDIST(FLOOR(F234,1)+0.5,G234,H234,TRUE))</f>
        <v/>
      </c>
      <c r="J234" s="8">
        <f>IF(I234="","",NORMDIST(CEILING(F234,1)-0.5,G234,H234,TRUE))</f>
        <v/>
      </c>
      <c r="K234" s="8">
        <f>IF(I234="","",MAX(0,1-I234-J234))</f>
        <v/>
      </c>
      <c r="L234">
        <f>IF(I234="","",IF(I234&gt;=0.5+Config!$B$6,"OVER",IF(J234&gt;=0.5+Config!$B$6,"UNDER","—")))</f>
        <v/>
      </c>
      <c r="N234" t="n">
        <v>32.5</v>
      </c>
      <c r="O234" s="8" t="n">
        <v>0.8</v>
      </c>
      <c r="P234" s="8" t="n">
        <v>0.6</v>
      </c>
      <c r="Q234" s="8" t="n">
        <v>0.47</v>
      </c>
      <c r="R234" t="inlineStr">
        <is>
          <t>33%/3/9</t>
        </is>
      </c>
      <c r="S234" t="n">
        <v>3</v>
      </c>
      <c r="T234">
        <f>INDEX(Calc!$G$2:$G$124,MATCH($W234,Calc!$A$2:$A$124,0))&amp;" / "&amp;INDEX(Calc!$H$2:$H$124,MATCH($W234,Calc!$A$2:$A$124,0))</f>
        <v/>
      </c>
      <c r="U234">
        <f>TEXT(INDEX(Calc!$J$2:$J$124,MATCH($W234,Calc!$A$2:$A$124,0)),"0.0")&amp;" / "&amp;TEXT(INDEX(Calc!$K$2:$K$124,MATCH($W234,Calc!$A$2:$A$124,0)),"0.0")</f>
        <v/>
      </c>
      <c r="V234">
        <f>IFERROR(INDEX(Calc!$AQ$2:$AQ$124,MATCH($W234,Calc!$A$2:$A$124,0)),"")</f>
        <v/>
      </c>
      <c r="W234" t="inlineStr">
        <is>
          <t>w2pkqdsxhev22e4|CS2 · paiN vs BST</t>
        </is>
      </c>
      <c r="X234" t="inlineStr">
        <is>
          <t>K12</t>
        </is>
      </c>
      <c r="Y234">
        <f>W234&amp;"|"&amp;X234</f>
        <v/>
      </c>
      <c r="Z234" s="9">
        <f>IFERROR(INDEX(CHOOSE(MATCH($X234,{"K1","K2","K3","K12","K13","H1","H2","H3","H12","H13"},0),Calc!$BA$2:$BA$124,Calc!$BB$2:$BB$124,Calc!$BC$2:$BC$124,Calc!$BD$2:$BD$124,Calc!$BE$2:$BE$124,Calc!$BF$2:$BF$124,Calc!$BG$2:$BG$124,Calc!$BH$2:$BH$124,Calc!$BI$2:$BI$124,Calc!$BJ$2:$BJ$124),MATCH($W234,Calc!$A$2:$A$124,0)),"")</f>
        <v/>
      </c>
      <c r="AA234" s="9">
        <f>IF(Z234="","",IF(LEFT($X234,1)="H",SQRT(Z234*(IFERROR(INDEX(Calc!$AP$2:$AP$124,MATCH($W234,Calc!$A$2:$A$124,0)),0.5)*Config!$B$5+1-IFERROR(INDEX(Calc!$AP$2:$AP$124,MATCH($W234,Calc!$A$2:$A$124,0)),0.5))),SQRT(Z234*Config!$B$5)))</f>
        <v/>
      </c>
      <c r="AB234" s="8">
        <f>IF(OR(F234="",Z234="",N(AA234)&lt;=0),"",1-NORMDIST(FLOOR(F234,1)+0.5,Z234,AA234,TRUE))</f>
        <v/>
      </c>
      <c r="AC234" s="8">
        <f>IF(AB234="","",NORMDIST(CEILING(F234,1)-0.5,Z234,AA234,TRUE))</f>
        <v/>
      </c>
      <c r="AD234">
        <f>IF(AB234="","",IF(AB234&gt;=0.5+Config!$B$6,"OVER",IF(AC234&gt;=0.5+Config!$B$6,"UNDER","—")))</f>
        <v/>
      </c>
      <c r="AE234" s="11">
        <f>IFERROR(Z234/G234,"")</f>
        <v/>
      </c>
    </row>
    <row r="235">
      <c r="A235" t="inlineStr">
        <is>
          <t>CS2</t>
        </is>
      </c>
      <c r="B235" t="inlineStr">
        <is>
          <t>CS2 · paiN vs BST</t>
        </is>
      </c>
      <c r="C235" t="inlineStr">
        <is>
          <t>kauez</t>
        </is>
      </c>
      <c r="D235" t="inlineStr">
        <is>
          <t>BST</t>
        </is>
      </c>
      <c r="E235" t="inlineStr">
        <is>
          <t>Maps 1-2 HS</t>
        </is>
      </c>
      <c r="F235" t="n">
        <v>16</v>
      </c>
      <c r="G235" s="9">
        <f>IFERROR(INDEX(CHOOSE(MATCH($X235,{"K1","K2","K3","K12","K13","H1","H2","H3","H12","H13"},0),Calc!$V$2:$V$124,Calc!$AC$2:$AC$124,Calc!$AJ$2:$AJ$124,Calc!$AL$2:$AL$124,Calc!$AM$2:$AM$124,Calc!$W$2:$W$124,Calc!$AD$2:$AD$124,Calc!$AK$2:$AK$124,Calc!$AN$2:$AN$124,Calc!$AO$2:$AO$124),MATCH($W235,Calc!$A$2:$A$124,0)),"")</f>
        <v/>
      </c>
      <c r="H235" s="9">
        <f>IF(G235="","",IF(LEFT($X235,1)="H",SQRT(G235*(IFERROR(INDEX(Calc!$AP$2:$AP$124,MATCH($W235,Calc!$A$2:$A$124,0)),0.5)*Config!$B$5+1-IFERROR(INDEX(Calc!$AP$2:$AP$124,MATCH($W235,Calc!$A$2:$A$124,0)),0.5))),SQRT(G235*Config!$B$5)))</f>
        <v/>
      </c>
      <c r="I235" s="8">
        <f>IF(OR(F235="",G235="",N(H235)&lt;=0),"",1-NORMDIST(FLOOR(F235,1)+0.5,G235,H235,TRUE))</f>
        <v/>
      </c>
      <c r="J235" s="8">
        <f>IF(I235="","",NORMDIST(CEILING(F235,1)-0.5,G235,H235,TRUE))</f>
        <v/>
      </c>
      <c r="K235" s="8">
        <f>IF(I235="","",MAX(0,1-I235-J235))</f>
        <v/>
      </c>
      <c r="L235">
        <f>IF(I235="","",IF(I235&gt;=0.5+Config!$B$6,"OVER",IF(J235&gt;=0.5+Config!$B$6,"UNDER","—")))</f>
        <v/>
      </c>
      <c r="N235" t="n">
        <v>18</v>
      </c>
      <c r="O235" s="8" t="n">
        <v>0.6</v>
      </c>
      <c r="P235" s="8" t="n">
        <v>0.6</v>
      </c>
      <c r="Q235" s="8" t="n">
        <v>0.53</v>
      </c>
      <c r="R235" t="inlineStr">
        <is>
          <t>-</t>
        </is>
      </c>
      <c r="S235" t="n">
        <v>3</v>
      </c>
      <c r="T235">
        <f>INDEX(Calc!$G$2:$G$124,MATCH($W235,Calc!$A$2:$A$124,0))&amp;" / "&amp;INDEX(Calc!$H$2:$H$124,MATCH($W235,Calc!$A$2:$A$124,0))</f>
        <v/>
      </c>
      <c r="U235">
        <f>TEXT(INDEX(Calc!$J$2:$J$124,MATCH($W235,Calc!$A$2:$A$124,0)),"0.0")&amp;" / "&amp;TEXT(INDEX(Calc!$K$2:$K$124,MATCH($W235,Calc!$A$2:$A$124,0)),"0.0")</f>
        <v/>
      </c>
      <c r="V235">
        <f>IFERROR(INDEX(Calc!$AQ$2:$AQ$124,MATCH($W235,Calc!$A$2:$A$124,0)),"")</f>
        <v/>
      </c>
      <c r="W235" t="inlineStr">
        <is>
          <t>h7nuz2cmw8wvh2s|CS2 · paiN vs BST</t>
        </is>
      </c>
      <c r="X235" t="inlineStr">
        <is>
          <t>H12</t>
        </is>
      </c>
      <c r="Y235">
        <f>W235&amp;"|"&amp;X235</f>
        <v/>
      </c>
      <c r="Z235" s="9">
        <f>IFERROR(INDEX(CHOOSE(MATCH($X235,{"K1","K2","K3","K12","K13","H1","H2","H3","H12","H13"},0),Calc!$BA$2:$BA$124,Calc!$BB$2:$BB$124,Calc!$BC$2:$BC$124,Calc!$BD$2:$BD$124,Calc!$BE$2:$BE$124,Calc!$BF$2:$BF$124,Calc!$BG$2:$BG$124,Calc!$BH$2:$BH$124,Calc!$BI$2:$BI$124,Calc!$BJ$2:$BJ$124),MATCH($W235,Calc!$A$2:$A$124,0)),"")</f>
        <v/>
      </c>
      <c r="AA235" s="9">
        <f>IF(Z235="","",IF(LEFT($X235,1)="H",SQRT(Z235*(IFERROR(INDEX(Calc!$AP$2:$AP$124,MATCH($W235,Calc!$A$2:$A$124,0)),0.5)*Config!$B$5+1-IFERROR(INDEX(Calc!$AP$2:$AP$124,MATCH($W235,Calc!$A$2:$A$124,0)),0.5))),SQRT(Z235*Config!$B$5)))</f>
        <v/>
      </c>
      <c r="AB235" s="8">
        <f>IF(OR(F235="",Z235="",N(AA235)&lt;=0),"",1-NORMDIST(FLOOR(F235,1)+0.5,Z235,AA235,TRUE))</f>
        <v/>
      </c>
      <c r="AC235" s="8">
        <f>IF(AB235="","",NORMDIST(CEILING(F235,1)-0.5,Z235,AA235,TRUE))</f>
        <v/>
      </c>
      <c r="AD235">
        <f>IF(AB235="","",IF(AB235&gt;=0.5+Config!$B$6,"OVER",IF(AC235&gt;=0.5+Config!$B$6,"UNDER","—")))</f>
        <v/>
      </c>
      <c r="AE235" s="11">
        <f>IFERROR(Z235/G235,"")</f>
        <v/>
      </c>
    </row>
    <row r="236">
      <c r="A236" t="inlineStr">
        <is>
          <t>CS2</t>
        </is>
      </c>
      <c r="B236" t="inlineStr">
        <is>
          <t>CS2 · paiN vs BST</t>
        </is>
      </c>
      <c r="C236" t="inlineStr">
        <is>
          <t>kauez</t>
        </is>
      </c>
      <c r="D236" t="inlineStr">
        <is>
          <t>BST</t>
        </is>
      </c>
      <c r="E236" t="inlineStr">
        <is>
          <t>Maps 1-2 Kills</t>
        </is>
      </c>
      <c r="F236" t="n">
        <v>28.5</v>
      </c>
      <c r="G236" s="9">
        <f>IFERROR(INDEX(CHOOSE(MATCH($X236,{"K1","K2","K3","K12","K13","H1","H2","H3","H12","H13"},0),Calc!$V$2:$V$124,Calc!$AC$2:$AC$124,Calc!$AJ$2:$AJ$124,Calc!$AL$2:$AL$124,Calc!$AM$2:$AM$124,Calc!$W$2:$W$124,Calc!$AD$2:$AD$124,Calc!$AK$2:$AK$124,Calc!$AN$2:$AN$124,Calc!$AO$2:$AO$124),MATCH($W236,Calc!$A$2:$A$124,0)),"")</f>
        <v/>
      </c>
      <c r="H236" s="9">
        <f>IF(G236="","",IF(LEFT($X236,1)="H",SQRT(G236*(IFERROR(INDEX(Calc!$AP$2:$AP$124,MATCH($W236,Calc!$A$2:$A$124,0)),0.5)*Config!$B$5+1-IFERROR(INDEX(Calc!$AP$2:$AP$124,MATCH($W236,Calc!$A$2:$A$124,0)),0.5))),SQRT(G236*Config!$B$5)))</f>
        <v/>
      </c>
      <c r="I236" s="8">
        <f>IF(OR(F236="",G236="",N(H236)&lt;=0),"",1-NORMDIST(FLOOR(F236,1)+0.5,G236,H236,TRUE))</f>
        <v/>
      </c>
      <c r="J236" s="8">
        <f>IF(I236="","",NORMDIST(CEILING(F236,1)-0.5,G236,H236,TRUE))</f>
        <v/>
      </c>
      <c r="K236" s="8">
        <f>IF(I236="","",MAX(0,1-I236-J236))</f>
        <v/>
      </c>
      <c r="L236">
        <f>IF(I236="","",IF(I236&gt;=0.5+Config!$B$6,"OVER",IF(J236&gt;=0.5+Config!$B$6,"UNDER","—")))</f>
        <v/>
      </c>
      <c r="N236" t="n">
        <v>31.1</v>
      </c>
      <c r="O236" s="8" t="n">
        <v>0.6</v>
      </c>
      <c r="P236" s="8" t="n">
        <v>0.5</v>
      </c>
      <c r="Q236" s="8" t="n">
        <v>0.47</v>
      </c>
      <c r="R236" t="inlineStr">
        <is>
          <t>-</t>
        </is>
      </c>
      <c r="S236" t="n">
        <v>-1</v>
      </c>
      <c r="T236">
        <f>INDEX(Calc!$G$2:$G$124,MATCH($W236,Calc!$A$2:$A$124,0))&amp;" / "&amp;INDEX(Calc!$H$2:$H$124,MATCH($W236,Calc!$A$2:$A$124,0))</f>
        <v/>
      </c>
      <c r="U236">
        <f>TEXT(INDEX(Calc!$J$2:$J$124,MATCH($W236,Calc!$A$2:$A$124,0)),"0.0")&amp;" / "&amp;TEXT(INDEX(Calc!$K$2:$K$124,MATCH($W236,Calc!$A$2:$A$124,0)),"0.0")</f>
        <v/>
      </c>
      <c r="V236">
        <f>IFERROR(INDEX(Calc!$AQ$2:$AQ$124,MATCH($W236,Calc!$A$2:$A$124,0)),"")</f>
        <v/>
      </c>
      <c r="W236" t="inlineStr">
        <is>
          <t>h7nuz2cmw8wvh2s|CS2 · paiN vs BST</t>
        </is>
      </c>
      <c r="X236" t="inlineStr">
        <is>
          <t>K12</t>
        </is>
      </c>
      <c r="Y236">
        <f>W236&amp;"|"&amp;X236</f>
        <v/>
      </c>
      <c r="Z236" s="9">
        <f>IFERROR(INDEX(CHOOSE(MATCH($X236,{"K1","K2","K3","K12","K13","H1","H2","H3","H12","H13"},0),Calc!$BA$2:$BA$124,Calc!$BB$2:$BB$124,Calc!$BC$2:$BC$124,Calc!$BD$2:$BD$124,Calc!$BE$2:$BE$124,Calc!$BF$2:$BF$124,Calc!$BG$2:$BG$124,Calc!$BH$2:$BH$124,Calc!$BI$2:$BI$124,Calc!$BJ$2:$BJ$124),MATCH($W236,Calc!$A$2:$A$124,0)),"")</f>
        <v/>
      </c>
      <c r="AA236" s="9">
        <f>IF(Z236="","",IF(LEFT($X236,1)="H",SQRT(Z236*(IFERROR(INDEX(Calc!$AP$2:$AP$124,MATCH($W236,Calc!$A$2:$A$124,0)),0.5)*Config!$B$5+1-IFERROR(INDEX(Calc!$AP$2:$AP$124,MATCH($W236,Calc!$A$2:$A$124,0)),0.5))),SQRT(Z236*Config!$B$5)))</f>
        <v/>
      </c>
      <c r="AB236" s="8">
        <f>IF(OR(F236="",Z236="",N(AA236)&lt;=0),"",1-NORMDIST(FLOOR(F236,1)+0.5,Z236,AA236,TRUE))</f>
        <v/>
      </c>
      <c r="AC236" s="8">
        <f>IF(AB236="","",NORMDIST(CEILING(F236,1)-0.5,Z236,AA236,TRUE))</f>
        <v/>
      </c>
      <c r="AD236">
        <f>IF(AB236="","",IF(AB236&gt;=0.5+Config!$B$6,"OVER",IF(AC236&gt;=0.5+Config!$B$6,"UNDER","—")))</f>
        <v/>
      </c>
      <c r="AE236" s="11">
        <f>IFERROR(Z236/G236,"")</f>
        <v/>
      </c>
    </row>
    <row r="237">
      <c r="A237" t="inlineStr">
        <is>
          <t>CS2</t>
        </is>
      </c>
      <c r="B237" t="inlineStr">
        <is>
          <t>CS2 · paiN vs BST</t>
        </is>
      </c>
      <c r="C237" t="inlineStr">
        <is>
          <t>timo</t>
        </is>
      </c>
      <c r="D237" t="inlineStr">
        <is>
          <t>BST</t>
        </is>
      </c>
      <c r="E237" t="inlineStr">
        <is>
          <t>Maps 1-2 HS</t>
        </is>
      </c>
      <c r="F237" t="n">
        <v>17</v>
      </c>
      <c r="G237" s="9">
        <f>IFERROR(INDEX(CHOOSE(MATCH($X237,{"K1","K2","K3","K12","K13","H1","H2","H3","H12","H13"},0),Calc!$V$2:$V$124,Calc!$AC$2:$AC$124,Calc!$AJ$2:$AJ$124,Calc!$AL$2:$AL$124,Calc!$AM$2:$AM$124,Calc!$W$2:$W$124,Calc!$AD$2:$AD$124,Calc!$AK$2:$AK$124,Calc!$AN$2:$AN$124,Calc!$AO$2:$AO$124),MATCH($W237,Calc!$A$2:$A$124,0)),"")</f>
        <v/>
      </c>
      <c r="H237" s="9">
        <f>IF(G237="","",IF(LEFT($X237,1)="H",SQRT(G237*(IFERROR(INDEX(Calc!$AP$2:$AP$124,MATCH($W237,Calc!$A$2:$A$124,0)),0.5)*Config!$B$5+1-IFERROR(INDEX(Calc!$AP$2:$AP$124,MATCH($W237,Calc!$A$2:$A$124,0)),0.5))),SQRT(G237*Config!$B$5)))</f>
        <v/>
      </c>
      <c r="I237" s="8">
        <f>IF(OR(F237="",G237="",N(H237)&lt;=0),"",1-NORMDIST(FLOOR(F237,1)+0.5,G237,H237,TRUE))</f>
        <v/>
      </c>
      <c r="J237" s="8">
        <f>IF(I237="","",NORMDIST(CEILING(F237,1)-0.5,G237,H237,TRUE))</f>
        <v/>
      </c>
      <c r="K237" s="8">
        <f>IF(I237="","",MAX(0,1-I237-J237))</f>
        <v/>
      </c>
      <c r="L237">
        <f>IF(I237="","",IF(I237&gt;=0.5+Config!$B$6,"OVER",IF(J237&gt;=0.5+Config!$B$6,"UNDER","—")))</f>
        <v/>
      </c>
      <c r="N237" t="n">
        <v>19.7</v>
      </c>
      <c r="O237" s="8" t="n">
        <v>0.8</v>
      </c>
      <c r="P237" s="8" t="n">
        <v>0.8</v>
      </c>
      <c r="Q237" s="8" t="n">
        <v>0.6</v>
      </c>
      <c r="R237" t="inlineStr">
        <is>
          <t>-</t>
        </is>
      </c>
      <c r="S237" t="n">
        <v>2</v>
      </c>
      <c r="T237">
        <f>INDEX(Calc!$G$2:$G$124,MATCH($W237,Calc!$A$2:$A$124,0))&amp;" / "&amp;INDEX(Calc!$H$2:$H$124,MATCH($W237,Calc!$A$2:$A$124,0))</f>
        <v/>
      </c>
      <c r="U237">
        <f>TEXT(INDEX(Calc!$J$2:$J$124,MATCH($W237,Calc!$A$2:$A$124,0)),"0.0")&amp;" / "&amp;TEXT(INDEX(Calc!$K$2:$K$124,MATCH($W237,Calc!$A$2:$A$124,0)),"0.0")</f>
        <v/>
      </c>
      <c r="V237">
        <f>IFERROR(INDEX(Calc!$AQ$2:$AQ$124,MATCH($W237,Calc!$A$2:$A$124,0)),"")</f>
        <v/>
      </c>
      <c r="W237" t="inlineStr">
        <is>
          <t>coz7ncv7hdezsk9|CS2 · paiN vs BST</t>
        </is>
      </c>
      <c r="X237" t="inlineStr">
        <is>
          <t>H12</t>
        </is>
      </c>
      <c r="Y237">
        <f>W237&amp;"|"&amp;X237</f>
        <v/>
      </c>
      <c r="Z237" s="9">
        <f>IFERROR(INDEX(CHOOSE(MATCH($X237,{"K1","K2","K3","K12","K13","H1","H2","H3","H12","H13"},0),Calc!$BA$2:$BA$124,Calc!$BB$2:$BB$124,Calc!$BC$2:$BC$124,Calc!$BD$2:$BD$124,Calc!$BE$2:$BE$124,Calc!$BF$2:$BF$124,Calc!$BG$2:$BG$124,Calc!$BH$2:$BH$124,Calc!$BI$2:$BI$124,Calc!$BJ$2:$BJ$124),MATCH($W237,Calc!$A$2:$A$124,0)),"")</f>
        <v/>
      </c>
      <c r="AA237" s="9">
        <f>IF(Z237="","",IF(LEFT($X237,1)="H",SQRT(Z237*(IFERROR(INDEX(Calc!$AP$2:$AP$124,MATCH($W237,Calc!$A$2:$A$124,0)),0.5)*Config!$B$5+1-IFERROR(INDEX(Calc!$AP$2:$AP$124,MATCH($W237,Calc!$A$2:$A$124,0)),0.5))),SQRT(Z237*Config!$B$5)))</f>
        <v/>
      </c>
      <c r="AB237" s="8">
        <f>IF(OR(F237="",Z237="",N(AA237)&lt;=0),"",1-NORMDIST(FLOOR(F237,1)+0.5,Z237,AA237,TRUE))</f>
        <v/>
      </c>
      <c r="AC237" s="8">
        <f>IF(AB237="","",NORMDIST(CEILING(F237,1)-0.5,Z237,AA237,TRUE))</f>
        <v/>
      </c>
      <c r="AD237">
        <f>IF(AB237="","",IF(AB237&gt;=0.5+Config!$B$6,"OVER",IF(AC237&gt;=0.5+Config!$B$6,"UNDER","—")))</f>
        <v/>
      </c>
      <c r="AE237" s="11">
        <f>IFERROR(Z237/G237,"")</f>
        <v/>
      </c>
    </row>
    <row r="238">
      <c r="A238" t="inlineStr">
        <is>
          <t>CS2</t>
        </is>
      </c>
      <c r="B238" t="inlineStr">
        <is>
          <t>CS2 · paiN vs BST</t>
        </is>
      </c>
      <c r="C238" t="inlineStr">
        <is>
          <t>timo</t>
        </is>
      </c>
      <c r="D238" t="inlineStr">
        <is>
          <t>BST</t>
        </is>
      </c>
      <c r="E238" t="inlineStr">
        <is>
          <t>Maps 1-2 Kills</t>
        </is>
      </c>
      <c r="F238" t="n">
        <v>30</v>
      </c>
      <c r="G238" s="9">
        <f>IFERROR(INDEX(CHOOSE(MATCH($X238,{"K1","K2","K3","K12","K13","H1","H2","H3","H12","H13"},0),Calc!$V$2:$V$124,Calc!$AC$2:$AC$124,Calc!$AJ$2:$AJ$124,Calc!$AL$2:$AL$124,Calc!$AM$2:$AM$124,Calc!$W$2:$W$124,Calc!$AD$2:$AD$124,Calc!$AK$2:$AK$124,Calc!$AN$2:$AN$124,Calc!$AO$2:$AO$124),MATCH($W238,Calc!$A$2:$A$124,0)),"")</f>
        <v/>
      </c>
      <c r="H238" s="9">
        <f>IF(G238="","",IF(LEFT($X238,1)="H",SQRT(G238*(IFERROR(INDEX(Calc!$AP$2:$AP$124,MATCH($W238,Calc!$A$2:$A$124,0)),0.5)*Config!$B$5+1-IFERROR(INDEX(Calc!$AP$2:$AP$124,MATCH($W238,Calc!$A$2:$A$124,0)),0.5))),SQRT(G238*Config!$B$5)))</f>
        <v/>
      </c>
      <c r="I238" s="8">
        <f>IF(OR(F238="",G238="",N(H238)&lt;=0),"",1-NORMDIST(FLOOR(F238,1)+0.5,G238,H238,TRUE))</f>
        <v/>
      </c>
      <c r="J238" s="8">
        <f>IF(I238="","",NORMDIST(CEILING(F238,1)-0.5,G238,H238,TRUE))</f>
        <v/>
      </c>
      <c r="K238" s="8">
        <f>IF(I238="","",MAX(0,1-I238-J238))</f>
        <v/>
      </c>
      <c r="L238">
        <f>IF(I238="","",IF(I238&gt;=0.5+Config!$B$6,"OVER",IF(J238&gt;=0.5+Config!$B$6,"UNDER","—")))</f>
        <v/>
      </c>
      <c r="N238" t="n">
        <v>32.4</v>
      </c>
      <c r="O238" s="8" t="n">
        <v>0.4</v>
      </c>
      <c r="P238" s="8" t="n">
        <v>0.5</v>
      </c>
      <c r="Q238" s="8" t="n">
        <v>0.4</v>
      </c>
      <c r="R238" t="inlineStr">
        <is>
          <t>-</t>
        </is>
      </c>
      <c r="S238" t="n">
        <v>-1</v>
      </c>
      <c r="T238">
        <f>INDEX(Calc!$G$2:$G$124,MATCH($W238,Calc!$A$2:$A$124,0))&amp;" / "&amp;INDEX(Calc!$H$2:$H$124,MATCH($W238,Calc!$A$2:$A$124,0))</f>
        <v/>
      </c>
      <c r="U238">
        <f>TEXT(INDEX(Calc!$J$2:$J$124,MATCH($W238,Calc!$A$2:$A$124,0)),"0.0")&amp;" / "&amp;TEXT(INDEX(Calc!$K$2:$K$124,MATCH($W238,Calc!$A$2:$A$124,0)),"0.0")</f>
        <v/>
      </c>
      <c r="V238">
        <f>IFERROR(INDEX(Calc!$AQ$2:$AQ$124,MATCH($W238,Calc!$A$2:$A$124,0)),"")</f>
        <v/>
      </c>
      <c r="W238" t="inlineStr">
        <is>
          <t>coz7ncv7hdezsk9|CS2 · paiN vs BST</t>
        </is>
      </c>
      <c r="X238" t="inlineStr">
        <is>
          <t>K12</t>
        </is>
      </c>
      <c r="Y238">
        <f>W238&amp;"|"&amp;X238</f>
        <v/>
      </c>
      <c r="Z238" s="9">
        <f>IFERROR(INDEX(CHOOSE(MATCH($X238,{"K1","K2","K3","K12","K13","H1","H2","H3","H12","H13"},0),Calc!$BA$2:$BA$124,Calc!$BB$2:$BB$124,Calc!$BC$2:$BC$124,Calc!$BD$2:$BD$124,Calc!$BE$2:$BE$124,Calc!$BF$2:$BF$124,Calc!$BG$2:$BG$124,Calc!$BH$2:$BH$124,Calc!$BI$2:$BI$124,Calc!$BJ$2:$BJ$124),MATCH($W238,Calc!$A$2:$A$124,0)),"")</f>
        <v/>
      </c>
      <c r="AA238" s="9">
        <f>IF(Z238="","",IF(LEFT($X238,1)="H",SQRT(Z238*(IFERROR(INDEX(Calc!$AP$2:$AP$124,MATCH($W238,Calc!$A$2:$A$124,0)),0.5)*Config!$B$5+1-IFERROR(INDEX(Calc!$AP$2:$AP$124,MATCH($W238,Calc!$A$2:$A$124,0)),0.5))),SQRT(Z238*Config!$B$5)))</f>
        <v/>
      </c>
      <c r="AB238" s="8">
        <f>IF(OR(F238="",Z238="",N(AA238)&lt;=0),"",1-NORMDIST(FLOOR(F238,1)+0.5,Z238,AA238,TRUE))</f>
        <v/>
      </c>
      <c r="AC238" s="8">
        <f>IF(AB238="","",NORMDIST(CEILING(F238,1)-0.5,Z238,AA238,TRUE))</f>
        <v/>
      </c>
      <c r="AD238">
        <f>IF(AB238="","",IF(AB238&gt;=0.5+Config!$B$6,"OVER",IF(AC238&gt;=0.5+Config!$B$6,"UNDER","—")))</f>
        <v/>
      </c>
      <c r="AE238" s="11">
        <f>IFERROR(Z238/G238,"")</f>
        <v/>
      </c>
    </row>
    <row r="239">
      <c r="A239" t="inlineStr">
        <is>
          <t>CS2</t>
        </is>
      </c>
      <c r="B239" t="inlineStr">
        <is>
          <t>CS2 · paiN vs BST</t>
        </is>
      </c>
      <c r="C239" t="inlineStr">
        <is>
          <t>biguzera</t>
        </is>
      </c>
      <c r="D239" t="inlineStr">
        <is>
          <t>paiN</t>
        </is>
      </c>
      <c r="E239" t="inlineStr">
        <is>
          <t>Maps 1-2 HS</t>
        </is>
      </c>
      <c r="F239" t="n">
        <v>16.5</v>
      </c>
      <c r="G239" s="9">
        <f>IFERROR(INDEX(CHOOSE(MATCH($X239,{"K1","K2","K3","K12","K13","H1","H2","H3","H12","H13"},0),Calc!$V$2:$V$124,Calc!$AC$2:$AC$124,Calc!$AJ$2:$AJ$124,Calc!$AL$2:$AL$124,Calc!$AM$2:$AM$124,Calc!$W$2:$W$124,Calc!$AD$2:$AD$124,Calc!$AK$2:$AK$124,Calc!$AN$2:$AN$124,Calc!$AO$2:$AO$124),MATCH($W239,Calc!$A$2:$A$124,0)),"")</f>
        <v/>
      </c>
      <c r="H239" s="9">
        <f>IF(G239="","",IF(LEFT($X239,1)="H",SQRT(G239*(IFERROR(INDEX(Calc!$AP$2:$AP$124,MATCH($W239,Calc!$A$2:$A$124,0)),0.5)*Config!$B$5+1-IFERROR(INDEX(Calc!$AP$2:$AP$124,MATCH($W239,Calc!$A$2:$A$124,0)),0.5))),SQRT(G239*Config!$B$5)))</f>
        <v/>
      </c>
      <c r="I239" s="8">
        <f>IF(OR(F239="",G239="",N(H239)&lt;=0),"",1-NORMDIST(FLOOR(F239,1)+0.5,G239,H239,TRUE))</f>
        <v/>
      </c>
      <c r="J239" s="8">
        <f>IF(I239="","",NORMDIST(CEILING(F239,1)-0.5,G239,H239,TRUE))</f>
        <v/>
      </c>
      <c r="K239" s="8">
        <f>IF(I239="","",MAX(0,1-I239-J239))</f>
        <v/>
      </c>
      <c r="L239">
        <f>IF(I239="","",IF(I239&gt;=0.5+Config!$B$6,"OVER",IF(J239&gt;=0.5+Config!$B$6,"UNDER","—")))</f>
        <v/>
      </c>
      <c r="N239" t="n">
        <v>16.2</v>
      </c>
      <c r="O239" s="8" t="n">
        <v>0.6</v>
      </c>
      <c r="P239" s="8" t="n">
        <v>0.4</v>
      </c>
      <c r="Q239" s="8" t="n">
        <v>0.33</v>
      </c>
      <c r="R239" t="inlineStr">
        <is>
          <t>67%/2/3</t>
        </is>
      </c>
      <c r="S239" t="n">
        <v>1</v>
      </c>
      <c r="T239">
        <f>INDEX(Calc!$G$2:$G$124,MATCH($W239,Calc!$A$2:$A$124,0))&amp;" / "&amp;INDEX(Calc!$H$2:$H$124,MATCH($W239,Calc!$A$2:$A$124,0))</f>
        <v/>
      </c>
      <c r="U239">
        <f>TEXT(INDEX(Calc!$J$2:$J$124,MATCH($W239,Calc!$A$2:$A$124,0)),"0.0")&amp;" / "&amp;TEXT(INDEX(Calc!$K$2:$K$124,MATCH($W239,Calc!$A$2:$A$124,0)),"0.0")</f>
        <v/>
      </c>
      <c r="V239">
        <f>IFERROR(INDEX(Calc!$AQ$2:$AQ$124,MATCH($W239,Calc!$A$2:$A$124,0)),"")</f>
        <v/>
      </c>
      <c r="W239" t="inlineStr">
        <is>
          <t>3cunzce5pb15xlw|CS2 · paiN vs BST</t>
        </is>
      </c>
      <c r="X239" t="inlineStr">
        <is>
          <t>H12</t>
        </is>
      </c>
      <c r="Y239">
        <f>W239&amp;"|"&amp;X239</f>
        <v/>
      </c>
      <c r="Z239" s="9">
        <f>IFERROR(INDEX(CHOOSE(MATCH($X239,{"K1","K2","K3","K12","K13","H1","H2","H3","H12","H13"},0),Calc!$BA$2:$BA$124,Calc!$BB$2:$BB$124,Calc!$BC$2:$BC$124,Calc!$BD$2:$BD$124,Calc!$BE$2:$BE$124,Calc!$BF$2:$BF$124,Calc!$BG$2:$BG$124,Calc!$BH$2:$BH$124,Calc!$BI$2:$BI$124,Calc!$BJ$2:$BJ$124),MATCH($W239,Calc!$A$2:$A$124,0)),"")</f>
        <v/>
      </c>
      <c r="AA239" s="9">
        <f>IF(Z239="","",IF(LEFT($X239,1)="H",SQRT(Z239*(IFERROR(INDEX(Calc!$AP$2:$AP$124,MATCH($W239,Calc!$A$2:$A$124,0)),0.5)*Config!$B$5+1-IFERROR(INDEX(Calc!$AP$2:$AP$124,MATCH($W239,Calc!$A$2:$A$124,0)),0.5))),SQRT(Z239*Config!$B$5)))</f>
        <v/>
      </c>
      <c r="AB239" s="8">
        <f>IF(OR(F239="",Z239="",N(AA239)&lt;=0),"",1-NORMDIST(FLOOR(F239,1)+0.5,Z239,AA239,TRUE))</f>
        <v/>
      </c>
      <c r="AC239" s="8">
        <f>IF(AB239="","",NORMDIST(CEILING(F239,1)-0.5,Z239,AA239,TRUE))</f>
        <v/>
      </c>
      <c r="AD239">
        <f>IF(AB239="","",IF(AB239&gt;=0.5+Config!$B$6,"OVER",IF(AC239&gt;=0.5+Config!$B$6,"UNDER","—")))</f>
        <v/>
      </c>
      <c r="AE239" s="11">
        <f>IFERROR(Z239/G239,"")</f>
        <v/>
      </c>
    </row>
    <row r="240">
      <c r="A240" t="inlineStr">
        <is>
          <t>CS2</t>
        </is>
      </c>
      <c r="B240" t="inlineStr">
        <is>
          <t>CS2 · paiN vs BST</t>
        </is>
      </c>
      <c r="C240" t="inlineStr">
        <is>
          <t>biguzera</t>
        </is>
      </c>
      <c r="D240" t="inlineStr">
        <is>
          <t>paiN</t>
        </is>
      </c>
      <c r="E240" t="inlineStr">
        <is>
          <t>Maps 1-2 Kills</t>
        </is>
      </c>
      <c r="F240" t="n">
        <v>30.5</v>
      </c>
      <c r="G240" s="9">
        <f>IFERROR(INDEX(CHOOSE(MATCH($X240,{"K1","K2","K3","K12","K13","H1","H2","H3","H12","H13"},0),Calc!$V$2:$V$124,Calc!$AC$2:$AC$124,Calc!$AJ$2:$AJ$124,Calc!$AL$2:$AL$124,Calc!$AM$2:$AM$124,Calc!$W$2:$W$124,Calc!$AD$2:$AD$124,Calc!$AK$2:$AK$124,Calc!$AN$2:$AN$124,Calc!$AO$2:$AO$124),MATCH($W240,Calc!$A$2:$A$124,0)),"")</f>
        <v/>
      </c>
      <c r="H240" s="9">
        <f>IF(G240="","",IF(LEFT($X240,1)="H",SQRT(G240*(IFERROR(INDEX(Calc!$AP$2:$AP$124,MATCH($W240,Calc!$A$2:$A$124,0)),0.5)*Config!$B$5+1-IFERROR(INDEX(Calc!$AP$2:$AP$124,MATCH($W240,Calc!$A$2:$A$124,0)),0.5))),SQRT(G240*Config!$B$5)))</f>
        <v/>
      </c>
      <c r="I240" s="8">
        <f>IF(OR(F240="",G240="",N(H240)&lt;=0),"",1-NORMDIST(FLOOR(F240,1)+0.5,G240,H240,TRUE))</f>
        <v/>
      </c>
      <c r="J240" s="8">
        <f>IF(I240="","",NORMDIST(CEILING(F240,1)-0.5,G240,H240,TRUE))</f>
        <v/>
      </c>
      <c r="K240" s="8">
        <f>IF(I240="","",MAX(0,1-I240-J240))</f>
        <v/>
      </c>
      <c r="L240">
        <f>IF(I240="","",IF(I240&gt;=0.5+Config!$B$6,"OVER",IF(J240&gt;=0.5+Config!$B$6,"UNDER","—")))</f>
        <v/>
      </c>
      <c r="N240" t="n">
        <v>30</v>
      </c>
      <c r="O240" s="8" t="n">
        <v>0.4</v>
      </c>
      <c r="P240" s="8" t="n">
        <v>0.3</v>
      </c>
      <c r="Q240" s="8" t="n">
        <v>0.33</v>
      </c>
      <c r="R240" t="inlineStr">
        <is>
          <t>100%/3/3</t>
        </is>
      </c>
      <c r="S240" t="n">
        <v>1</v>
      </c>
      <c r="T240">
        <f>INDEX(Calc!$G$2:$G$124,MATCH($W240,Calc!$A$2:$A$124,0))&amp;" / "&amp;INDEX(Calc!$H$2:$H$124,MATCH($W240,Calc!$A$2:$A$124,0))</f>
        <v/>
      </c>
      <c r="U240">
        <f>TEXT(INDEX(Calc!$J$2:$J$124,MATCH($W240,Calc!$A$2:$A$124,0)),"0.0")&amp;" / "&amp;TEXT(INDEX(Calc!$K$2:$K$124,MATCH($W240,Calc!$A$2:$A$124,0)),"0.0")</f>
        <v/>
      </c>
      <c r="V240">
        <f>IFERROR(INDEX(Calc!$AQ$2:$AQ$124,MATCH($W240,Calc!$A$2:$A$124,0)),"")</f>
        <v/>
      </c>
      <c r="W240" t="inlineStr">
        <is>
          <t>3cunzce5pb15xlw|CS2 · paiN vs BST</t>
        </is>
      </c>
      <c r="X240" t="inlineStr">
        <is>
          <t>K12</t>
        </is>
      </c>
      <c r="Y240">
        <f>W240&amp;"|"&amp;X240</f>
        <v/>
      </c>
      <c r="Z240" s="9">
        <f>IFERROR(INDEX(CHOOSE(MATCH($X240,{"K1","K2","K3","K12","K13","H1","H2","H3","H12","H13"},0),Calc!$BA$2:$BA$124,Calc!$BB$2:$BB$124,Calc!$BC$2:$BC$124,Calc!$BD$2:$BD$124,Calc!$BE$2:$BE$124,Calc!$BF$2:$BF$124,Calc!$BG$2:$BG$124,Calc!$BH$2:$BH$124,Calc!$BI$2:$BI$124,Calc!$BJ$2:$BJ$124),MATCH($W240,Calc!$A$2:$A$124,0)),"")</f>
        <v/>
      </c>
      <c r="AA240" s="9">
        <f>IF(Z240="","",IF(LEFT($X240,1)="H",SQRT(Z240*(IFERROR(INDEX(Calc!$AP$2:$AP$124,MATCH($W240,Calc!$A$2:$A$124,0)),0.5)*Config!$B$5+1-IFERROR(INDEX(Calc!$AP$2:$AP$124,MATCH($W240,Calc!$A$2:$A$124,0)),0.5))),SQRT(Z240*Config!$B$5)))</f>
        <v/>
      </c>
      <c r="AB240" s="8">
        <f>IF(OR(F240="",Z240="",N(AA240)&lt;=0),"",1-NORMDIST(FLOOR(F240,1)+0.5,Z240,AA240,TRUE))</f>
        <v/>
      </c>
      <c r="AC240" s="8">
        <f>IF(AB240="","",NORMDIST(CEILING(F240,1)-0.5,Z240,AA240,TRUE))</f>
        <v/>
      </c>
      <c r="AD240">
        <f>IF(AB240="","",IF(AB240&gt;=0.5+Config!$B$6,"OVER",IF(AC240&gt;=0.5+Config!$B$6,"UNDER","—")))</f>
        <v/>
      </c>
      <c r="AE240" s="11">
        <f>IFERROR(Z240/G240,"")</f>
        <v/>
      </c>
    </row>
    <row r="241">
      <c r="A241" t="inlineStr">
        <is>
          <t>CS2</t>
        </is>
      </c>
      <c r="B241" t="inlineStr">
        <is>
          <t>CS2 · paiN vs BST</t>
        </is>
      </c>
      <c r="C241" t="inlineStr">
        <is>
          <t>Rkzinho</t>
        </is>
      </c>
      <c r="D241" t="inlineStr">
        <is>
          <t>paiN</t>
        </is>
      </c>
      <c r="E241" t="inlineStr">
        <is>
          <t>Maps 1-2 HS</t>
        </is>
      </c>
      <c r="F241" t="n">
        <v>17.5</v>
      </c>
      <c r="G241" s="9">
        <f>IFERROR(INDEX(CHOOSE(MATCH($X241,{"K1","K2","K3","K12","K13","H1","H2","H3","H12","H13"},0),Calc!$V$2:$V$124,Calc!$AC$2:$AC$124,Calc!$AJ$2:$AJ$124,Calc!$AL$2:$AL$124,Calc!$AM$2:$AM$124,Calc!$W$2:$W$124,Calc!$AD$2:$AD$124,Calc!$AK$2:$AK$124,Calc!$AN$2:$AN$124,Calc!$AO$2:$AO$124),MATCH($W241,Calc!$A$2:$A$124,0)),"")</f>
        <v/>
      </c>
      <c r="H241" s="9">
        <f>IF(G241="","",IF(LEFT($X241,1)="H",SQRT(G241*(IFERROR(INDEX(Calc!$AP$2:$AP$124,MATCH($W241,Calc!$A$2:$A$124,0)),0.5)*Config!$B$5+1-IFERROR(INDEX(Calc!$AP$2:$AP$124,MATCH($W241,Calc!$A$2:$A$124,0)),0.5))),SQRT(G241*Config!$B$5)))</f>
        <v/>
      </c>
      <c r="I241" s="8">
        <f>IF(OR(F241="",G241="",N(H241)&lt;=0),"",1-NORMDIST(FLOOR(F241,1)+0.5,G241,H241,TRUE))</f>
        <v/>
      </c>
      <c r="J241" s="8">
        <f>IF(I241="","",NORMDIST(CEILING(F241,1)-0.5,G241,H241,TRUE))</f>
        <v/>
      </c>
      <c r="K241" s="8">
        <f>IF(I241="","",MAX(0,1-I241-J241))</f>
        <v/>
      </c>
      <c r="L241">
        <f>IF(I241="","",IF(I241&gt;=0.5+Config!$B$6,"OVER",IF(J241&gt;=0.5+Config!$B$6,"UNDER","—")))</f>
        <v/>
      </c>
      <c r="N241" t="n">
        <v>18.3</v>
      </c>
      <c r="O241" s="8" t="n">
        <v>0.4</v>
      </c>
      <c r="P241" s="8" t="n">
        <v>0.5</v>
      </c>
      <c r="Q241" s="8" t="n">
        <v>0.6</v>
      </c>
      <c r="R241" t="inlineStr">
        <is>
          <t>-</t>
        </is>
      </c>
      <c r="S241" t="n">
        <v>1</v>
      </c>
      <c r="T241">
        <f>INDEX(Calc!$G$2:$G$124,MATCH($W241,Calc!$A$2:$A$124,0))&amp;" / "&amp;INDEX(Calc!$H$2:$H$124,MATCH($W241,Calc!$A$2:$A$124,0))</f>
        <v/>
      </c>
      <c r="U241">
        <f>TEXT(INDEX(Calc!$J$2:$J$124,MATCH($W241,Calc!$A$2:$A$124,0)),"0.0")&amp;" / "&amp;TEXT(INDEX(Calc!$K$2:$K$124,MATCH($W241,Calc!$A$2:$A$124,0)),"0.0")</f>
        <v/>
      </c>
      <c r="V241">
        <f>IFERROR(INDEX(Calc!$AQ$2:$AQ$124,MATCH($W241,Calc!$A$2:$A$124,0)),"")</f>
        <v/>
      </c>
      <c r="W241" t="inlineStr">
        <is>
          <t>1p3p5e3dcd3rbvt|CS2 · paiN vs BST</t>
        </is>
      </c>
      <c r="X241" t="inlineStr">
        <is>
          <t>H12</t>
        </is>
      </c>
      <c r="Y241">
        <f>W241&amp;"|"&amp;X241</f>
        <v/>
      </c>
      <c r="Z241" s="9">
        <f>IFERROR(INDEX(CHOOSE(MATCH($X241,{"K1","K2","K3","K12","K13","H1","H2","H3","H12","H13"},0),Calc!$BA$2:$BA$124,Calc!$BB$2:$BB$124,Calc!$BC$2:$BC$124,Calc!$BD$2:$BD$124,Calc!$BE$2:$BE$124,Calc!$BF$2:$BF$124,Calc!$BG$2:$BG$124,Calc!$BH$2:$BH$124,Calc!$BI$2:$BI$124,Calc!$BJ$2:$BJ$124),MATCH($W241,Calc!$A$2:$A$124,0)),"")</f>
        <v/>
      </c>
      <c r="AA241" s="9">
        <f>IF(Z241="","",IF(LEFT($X241,1)="H",SQRT(Z241*(IFERROR(INDEX(Calc!$AP$2:$AP$124,MATCH($W241,Calc!$A$2:$A$124,0)),0.5)*Config!$B$5+1-IFERROR(INDEX(Calc!$AP$2:$AP$124,MATCH($W241,Calc!$A$2:$A$124,0)),0.5))),SQRT(Z241*Config!$B$5)))</f>
        <v/>
      </c>
      <c r="AB241" s="8">
        <f>IF(OR(F241="",Z241="",N(AA241)&lt;=0),"",1-NORMDIST(FLOOR(F241,1)+0.5,Z241,AA241,TRUE))</f>
        <v/>
      </c>
      <c r="AC241" s="8">
        <f>IF(AB241="","",NORMDIST(CEILING(F241,1)-0.5,Z241,AA241,TRUE))</f>
        <v/>
      </c>
      <c r="AD241">
        <f>IF(AB241="","",IF(AB241&gt;=0.5+Config!$B$6,"OVER",IF(AC241&gt;=0.5+Config!$B$6,"UNDER","—")))</f>
        <v/>
      </c>
      <c r="AE241" s="11">
        <f>IFERROR(Z241/G241,"")</f>
        <v/>
      </c>
    </row>
    <row r="242">
      <c r="A242" t="inlineStr">
        <is>
          <t>CS2</t>
        </is>
      </c>
      <c r="B242" t="inlineStr">
        <is>
          <t>CS2 · paiN vs BST</t>
        </is>
      </c>
      <c r="C242" t="inlineStr">
        <is>
          <t>Rkzinho</t>
        </is>
      </c>
      <c r="D242" t="inlineStr">
        <is>
          <t>paiN</t>
        </is>
      </c>
      <c r="E242" t="inlineStr">
        <is>
          <t>Maps 1-2 Kills</t>
        </is>
      </c>
      <c r="F242" t="n">
        <v>29.5</v>
      </c>
      <c r="G242" s="9">
        <f>IFERROR(INDEX(CHOOSE(MATCH($X242,{"K1","K2","K3","K12","K13","H1","H2","H3","H12","H13"},0),Calc!$V$2:$V$124,Calc!$AC$2:$AC$124,Calc!$AJ$2:$AJ$124,Calc!$AL$2:$AL$124,Calc!$AM$2:$AM$124,Calc!$W$2:$W$124,Calc!$AD$2:$AD$124,Calc!$AK$2:$AK$124,Calc!$AN$2:$AN$124,Calc!$AO$2:$AO$124),MATCH($W242,Calc!$A$2:$A$124,0)),"")</f>
        <v/>
      </c>
      <c r="H242" s="9">
        <f>IF(G242="","",IF(LEFT($X242,1)="H",SQRT(G242*(IFERROR(INDEX(Calc!$AP$2:$AP$124,MATCH($W242,Calc!$A$2:$A$124,0)),0.5)*Config!$B$5+1-IFERROR(INDEX(Calc!$AP$2:$AP$124,MATCH($W242,Calc!$A$2:$A$124,0)),0.5))),SQRT(G242*Config!$B$5)))</f>
        <v/>
      </c>
      <c r="I242" s="8">
        <f>IF(OR(F242="",G242="",N(H242)&lt;=0),"",1-NORMDIST(FLOOR(F242,1)+0.5,G242,H242,TRUE))</f>
        <v/>
      </c>
      <c r="J242" s="8">
        <f>IF(I242="","",NORMDIST(CEILING(F242,1)-0.5,G242,H242,TRUE))</f>
        <v/>
      </c>
      <c r="K242" s="8">
        <f>IF(I242="","",MAX(0,1-I242-J242))</f>
        <v/>
      </c>
      <c r="L242">
        <f>IF(I242="","",IF(I242&gt;=0.5+Config!$B$6,"OVER",IF(J242&gt;=0.5+Config!$B$6,"UNDER","—")))</f>
        <v/>
      </c>
      <c r="N242" t="n">
        <v>30.2</v>
      </c>
      <c r="O242" s="8" t="n">
        <v>0.4</v>
      </c>
      <c r="P242" s="8" t="n">
        <v>0.6</v>
      </c>
      <c r="Q242" s="8" t="n">
        <v>0.67</v>
      </c>
      <c r="R242" t="inlineStr">
        <is>
          <t>-</t>
        </is>
      </c>
      <c r="S242" t="n">
        <v>1</v>
      </c>
      <c r="T242">
        <f>INDEX(Calc!$G$2:$G$124,MATCH($W242,Calc!$A$2:$A$124,0))&amp;" / "&amp;INDEX(Calc!$H$2:$H$124,MATCH($W242,Calc!$A$2:$A$124,0))</f>
        <v/>
      </c>
      <c r="U242">
        <f>TEXT(INDEX(Calc!$J$2:$J$124,MATCH($W242,Calc!$A$2:$A$124,0)),"0.0")&amp;" / "&amp;TEXT(INDEX(Calc!$K$2:$K$124,MATCH($W242,Calc!$A$2:$A$124,0)),"0.0")</f>
        <v/>
      </c>
      <c r="V242">
        <f>IFERROR(INDEX(Calc!$AQ$2:$AQ$124,MATCH($W242,Calc!$A$2:$A$124,0)),"")</f>
        <v/>
      </c>
      <c r="W242" t="inlineStr">
        <is>
          <t>1p3p5e3dcd3rbvt|CS2 · paiN vs BST</t>
        </is>
      </c>
      <c r="X242" t="inlineStr">
        <is>
          <t>K12</t>
        </is>
      </c>
      <c r="Y242">
        <f>W242&amp;"|"&amp;X242</f>
        <v/>
      </c>
      <c r="Z242" s="9">
        <f>IFERROR(INDEX(CHOOSE(MATCH($X242,{"K1","K2","K3","K12","K13","H1","H2","H3","H12","H13"},0),Calc!$BA$2:$BA$124,Calc!$BB$2:$BB$124,Calc!$BC$2:$BC$124,Calc!$BD$2:$BD$124,Calc!$BE$2:$BE$124,Calc!$BF$2:$BF$124,Calc!$BG$2:$BG$124,Calc!$BH$2:$BH$124,Calc!$BI$2:$BI$124,Calc!$BJ$2:$BJ$124),MATCH($W242,Calc!$A$2:$A$124,0)),"")</f>
        <v/>
      </c>
      <c r="AA242" s="9">
        <f>IF(Z242="","",IF(LEFT($X242,1)="H",SQRT(Z242*(IFERROR(INDEX(Calc!$AP$2:$AP$124,MATCH($W242,Calc!$A$2:$A$124,0)),0.5)*Config!$B$5+1-IFERROR(INDEX(Calc!$AP$2:$AP$124,MATCH($W242,Calc!$A$2:$A$124,0)),0.5))),SQRT(Z242*Config!$B$5)))</f>
        <v/>
      </c>
      <c r="AB242" s="8">
        <f>IF(OR(F242="",Z242="",N(AA242)&lt;=0),"",1-NORMDIST(FLOOR(F242,1)+0.5,Z242,AA242,TRUE))</f>
        <v/>
      </c>
      <c r="AC242" s="8">
        <f>IF(AB242="","",NORMDIST(CEILING(F242,1)-0.5,Z242,AA242,TRUE))</f>
        <v/>
      </c>
      <c r="AD242">
        <f>IF(AB242="","",IF(AB242&gt;=0.5+Config!$B$6,"OVER",IF(AC242&gt;=0.5+Config!$B$6,"UNDER","—")))</f>
        <v/>
      </c>
      <c r="AE242" s="11">
        <f>IFERROR(Z242/G242,"")</f>
        <v/>
      </c>
    </row>
    <row r="243">
      <c r="A243" t="inlineStr">
        <is>
          <t>CS2</t>
        </is>
      </c>
      <c r="B243" t="inlineStr">
        <is>
          <t>CS2 · paiN vs BST</t>
        </is>
      </c>
      <c r="C243" t="inlineStr">
        <is>
          <t>saffee</t>
        </is>
      </c>
      <c r="D243" t="inlineStr">
        <is>
          <t>paiN</t>
        </is>
      </c>
      <c r="E243" t="inlineStr">
        <is>
          <t>Maps 1-2 HS</t>
        </is>
      </c>
      <c r="F243" t="n">
        <v>8.5</v>
      </c>
      <c r="G243" s="9">
        <f>IFERROR(INDEX(CHOOSE(MATCH($X243,{"K1","K2","K3","K12","K13","H1","H2","H3","H12","H13"},0),Calc!$V$2:$V$124,Calc!$AC$2:$AC$124,Calc!$AJ$2:$AJ$124,Calc!$AL$2:$AL$124,Calc!$AM$2:$AM$124,Calc!$W$2:$W$124,Calc!$AD$2:$AD$124,Calc!$AK$2:$AK$124,Calc!$AN$2:$AN$124,Calc!$AO$2:$AO$124),MATCH($W243,Calc!$A$2:$A$124,0)),"")</f>
        <v/>
      </c>
      <c r="H243" s="9">
        <f>IF(G243="","",IF(LEFT($X243,1)="H",SQRT(G243*(IFERROR(INDEX(Calc!$AP$2:$AP$124,MATCH($W243,Calc!$A$2:$A$124,0)),0.5)*Config!$B$5+1-IFERROR(INDEX(Calc!$AP$2:$AP$124,MATCH($W243,Calc!$A$2:$A$124,0)),0.5))),SQRT(G243*Config!$B$5)))</f>
        <v/>
      </c>
      <c r="I243" s="8">
        <f>IF(OR(F243="",G243="",N(H243)&lt;=0),"",1-NORMDIST(FLOOR(F243,1)+0.5,G243,H243,TRUE))</f>
        <v/>
      </c>
      <c r="J243" s="8">
        <f>IF(I243="","",NORMDIST(CEILING(F243,1)-0.5,G243,H243,TRUE))</f>
        <v/>
      </c>
      <c r="K243" s="8">
        <f>IF(I243="","",MAX(0,1-I243-J243))</f>
        <v/>
      </c>
      <c r="L243">
        <f>IF(I243="","",IF(I243&gt;=0.5+Config!$B$6,"OVER",IF(J243&gt;=0.5+Config!$B$6,"UNDER","—")))</f>
        <v/>
      </c>
      <c r="N243" t="n">
        <v>7.4</v>
      </c>
      <c r="O243" s="8" t="n">
        <v>0.2</v>
      </c>
      <c r="P243" s="8" t="n">
        <v>0.3</v>
      </c>
      <c r="Q243" s="8" t="n">
        <v>0.27</v>
      </c>
      <c r="R243" t="inlineStr">
        <is>
          <t>50%/2/4</t>
        </is>
      </c>
      <c r="S243" t="n">
        <v>-4</v>
      </c>
      <c r="T243">
        <f>INDEX(Calc!$G$2:$G$124,MATCH($W243,Calc!$A$2:$A$124,0))&amp;" / "&amp;INDEX(Calc!$H$2:$H$124,MATCH($W243,Calc!$A$2:$A$124,0))</f>
        <v/>
      </c>
      <c r="U243">
        <f>TEXT(INDEX(Calc!$J$2:$J$124,MATCH($W243,Calc!$A$2:$A$124,0)),"0.0")&amp;" / "&amp;TEXT(INDEX(Calc!$K$2:$K$124,MATCH($W243,Calc!$A$2:$A$124,0)),"0.0")</f>
        <v/>
      </c>
      <c r="V243">
        <f>IFERROR(INDEX(Calc!$AQ$2:$AQ$124,MATCH($W243,Calc!$A$2:$A$124,0)),"")</f>
        <v/>
      </c>
      <c r="W243" t="inlineStr">
        <is>
          <t>d1hn3as545n029p|CS2 · paiN vs BST</t>
        </is>
      </c>
      <c r="X243" t="inlineStr">
        <is>
          <t>H12</t>
        </is>
      </c>
      <c r="Y243">
        <f>W243&amp;"|"&amp;X243</f>
        <v/>
      </c>
      <c r="Z243" s="9">
        <f>IFERROR(INDEX(CHOOSE(MATCH($X243,{"K1","K2","K3","K12","K13","H1","H2","H3","H12","H13"},0),Calc!$BA$2:$BA$124,Calc!$BB$2:$BB$124,Calc!$BC$2:$BC$124,Calc!$BD$2:$BD$124,Calc!$BE$2:$BE$124,Calc!$BF$2:$BF$124,Calc!$BG$2:$BG$124,Calc!$BH$2:$BH$124,Calc!$BI$2:$BI$124,Calc!$BJ$2:$BJ$124),MATCH($W243,Calc!$A$2:$A$124,0)),"")</f>
        <v/>
      </c>
      <c r="AA243" s="9">
        <f>IF(Z243="","",IF(LEFT($X243,1)="H",SQRT(Z243*(IFERROR(INDEX(Calc!$AP$2:$AP$124,MATCH($W243,Calc!$A$2:$A$124,0)),0.5)*Config!$B$5+1-IFERROR(INDEX(Calc!$AP$2:$AP$124,MATCH($W243,Calc!$A$2:$A$124,0)),0.5))),SQRT(Z243*Config!$B$5)))</f>
        <v/>
      </c>
      <c r="AB243" s="8">
        <f>IF(OR(F243="",Z243="",N(AA243)&lt;=0),"",1-NORMDIST(FLOOR(F243,1)+0.5,Z243,AA243,TRUE))</f>
        <v/>
      </c>
      <c r="AC243" s="8">
        <f>IF(AB243="","",NORMDIST(CEILING(F243,1)-0.5,Z243,AA243,TRUE))</f>
        <v/>
      </c>
      <c r="AD243">
        <f>IF(AB243="","",IF(AB243&gt;=0.5+Config!$B$6,"OVER",IF(AC243&gt;=0.5+Config!$B$6,"UNDER","—")))</f>
        <v/>
      </c>
      <c r="AE243" s="11">
        <f>IFERROR(Z243/G243,"")</f>
        <v/>
      </c>
    </row>
    <row r="244">
      <c r="A244" t="inlineStr">
        <is>
          <t>CS2</t>
        </is>
      </c>
      <c r="B244" t="inlineStr">
        <is>
          <t>CS2 · paiN vs BST</t>
        </is>
      </c>
      <c r="C244" t="inlineStr">
        <is>
          <t>saffee</t>
        </is>
      </c>
      <c r="D244" t="inlineStr">
        <is>
          <t>paiN</t>
        </is>
      </c>
      <c r="E244" t="inlineStr">
        <is>
          <t>Maps 1-2 Kills</t>
        </is>
      </c>
      <c r="F244" t="n">
        <v>29.5</v>
      </c>
      <c r="G244" s="9">
        <f>IFERROR(INDEX(CHOOSE(MATCH($X244,{"K1","K2","K3","K12","K13","H1","H2","H3","H12","H13"},0),Calc!$V$2:$V$124,Calc!$AC$2:$AC$124,Calc!$AJ$2:$AJ$124,Calc!$AL$2:$AL$124,Calc!$AM$2:$AM$124,Calc!$W$2:$W$124,Calc!$AD$2:$AD$124,Calc!$AK$2:$AK$124,Calc!$AN$2:$AN$124,Calc!$AO$2:$AO$124),MATCH($W244,Calc!$A$2:$A$124,0)),"")</f>
        <v/>
      </c>
      <c r="H244" s="9">
        <f>IF(G244="","",IF(LEFT($X244,1)="H",SQRT(G244*(IFERROR(INDEX(Calc!$AP$2:$AP$124,MATCH($W244,Calc!$A$2:$A$124,0)),0.5)*Config!$B$5+1-IFERROR(INDEX(Calc!$AP$2:$AP$124,MATCH($W244,Calc!$A$2:$A$124,0)),0.5))),SQRT(G244*Config!$B$5)))</f>
        <v/>
      </c>
      <c r="I244" s="8">
        <f>IF(OR(F244="",G244="",N(H244)&lt;=0),"",1-NORMDIST(FLOOR(F244,1)+0.5,G244,H244,TRUE))</f>
        <v/>
      </c>
      <c r="J244" s="8">
        <f>IF(I244="","",NORMDIST(CEILING(F244,1)-0.5,G244,H244,TRUE))</f>
        <v/>
      </c>
      <c r="K244" s="8">
        <f>IF(I244="","",MAX(0,1-I244-J244))</f>
        <v/>
      </c>
      <c r="L244">
        <f>IF(I244="","",IF(I244&gt;=0.5+Config!$B$6,"OVER",IF(J244&gt;=0.5+Config!$B$6,"UNDER","—")))</f>
        <v/>
      </c>
      <c r="N244" t="n">
        <v>28.5</v>
      </c>
      <c r="O244" s="8" t="n">
        <v>0.4</v>
      </c>
      <c r="P244" s="8" t="n">
        <v>0.5</v>
      </c>
      <c r="Q244" s="8" t="n">
        <v>0.4</v>
      </c>
      <c r="R244" t="inlineStr">
        <is>
          <t>25%/1/4</t>
        </is>
      </c>
      <c r="S244" t="n">
        <v>1</v>
      </c>
      <c r="T244">
        <f>INDEX(Calc!$G$2:$G$124,MATCH($W244,Calc!$A$2:$A$124,0))&amp;" / "&amp;INDEX(Calc!$H$2:$H$124,MATCH($W244,Calc!$A$2:$A$124,0))</f>
        <v/>
      </c>
      <c r="U244">
        <f>TEXT(INDEX(Calc!$J$2:$J$124,MATCH($W244,Calc!$A$2:$A$124,0)),"0.0")&amp;" / "&amp;TEXT(INDEX(Calc!$K$2:$K$124,MATCH($W244,Calc!$A$2:$A$124,0)),"0.0")</f>
        <v/>
      </c>
      <c r="V244">
        <f>IFERROR(INDEX(Calc!$AQ$2:$AQ$124,MATCH($W244,Calc!$A$2:$A$124,0)),"")</f>
        <v/>
      </c>
      <c r="W244" t="inlineStr">
        <is>
          <t>d1hn3as545n029p|CS2 · paiN vs BST</t>
        </is>
      </c>
      <c r="X244" t="inlineStr">
        <is>
          <t>K12</t>
        </is>
      </c>
      <c r="Y244">
        <f>W244&amp;"|"&amp;X244</f>
        <v/>
      </c>
      <c r="Z244" s="9">
        <f>IFERROR(INDEX(CHOOSE(MATCH($X244,{"K1","K2","K3","K12","K13","H1","H2","H3","H12","H13"},0),Calc!$BA$2:$BA$124,Calc!$BB$2:$BB$124,Calc!$BC$2:$BC$124,Calc!$BD$2:$BD$124,Calc!$BE$2:$BE$124,Calc!$BF$2:$BF$124,Calc!$BG$2:$BG$124,Calc!$BH$2:$BH$124,Calc!$BI$2:$BI$124,Calc!$BJ$2:$BJ$124),MATCH($W244,Calc!$A$2:$A$124,0)),"")</f>
        <v/>
      </c>
      <c r="AA244" s="9">
        <f>IF(Z244="","",IF(LEFT($X244,1)="H",SQRT(Z244*(IFERROR(INDEX(Calc!$AP$2:$AP$124,MATCH($W244,Calc!$A$2:$A$124,0)),0.5)*Config!$B$5+1-IFERROR(INDEX(Calc!$AP$2:$AP$124,MATCH($W244,Calc!$A$2:$A$124,0)),0.5))),SQRT(Z244*Config!$B$5)))</f>
        <v/>
      </c>
      <c r="AB244" s="8">
        <f>IF(OR(F244="",Z244="",N(AA244)&lt;=0),"",1-NORMDIST(FLOOR(F244,1)+0.5,Z244,AA244,TRUE))</f>
        <v/>
      </c>
      <c r="AC244" s="8">
        <f>IF(AB244="","",NORMDIST(CEILING(F244,1)-0.5,Z244,AA244,TRUE))</f>
        <v/>
      </c>
      <c r="AD244">
        <f>IF(AB244="","",IF(AB244&gt;=0.5+Config!$B$6,"OVER",IF(AC244&gt;=0.5+Config!$B$6,"UNDER","—")))</f>
        <v/>
      </c>
      <c r="AE244" s="11">
        <f>IFERROR(Z244/G244,"")</f>
        <v/>
      </c>
    </row>
    <row r="245">
      <c r="A245" t="inlineStr">
        <is>
          <t>CS2</t>
        </is>
      </c>
      <c r="B245" t="inlineStr">
        <is>
          <t>CS2 · paiN vs BST</t>
        </is>
      </c>
      <c r="C245" t="inlineStr">
        <is>
          <t>Tatu</t>
        </is>
      </c>
      <c r="D245" t="inlineStr">
        <is>
          <t>paiN</t>
        </is>
      </c>
      <c r="E245" t="inlineStr">
        <is>
          <t>Maps 1-2 HS</t>
        </is>
      </c>
      <c r="F245" t="n">
        <v>16</v>
      </c>
      <c r="G245" s="9">
        <f>IFERROR(INDEX(CHOOSE(MATCH($X245,{"K1","K2","K3","K12","K13","H1","H2","H3","H12","H13"},0),Calc!$V$2:$V$124,Calc!$AC$2:$AC$124,Calc!$AJ$2:$AJ$124,Calc!$AL$2:$AL$124,Calc!$AM$2:$AM$124,Calc!$W$2:$W$124,Calc!$AD$2:$AD$124,Calc!$AK$2:$AK$124,Calc!$AN$2:$AN$124,Calc!$AO$2:$AO$124),MATCH($W245,Calc!$A$2:$A$124,0)),"")</f>
        <v/>
      </c>
      <c r="H245" s="9">
        <f>IF(G245="","",IF(LEFT($X245,1)="H",SQRT(G245*(IFERROR(INDEX(Calc!$AP$2:$AP$124,MATCH($W245,Calc!$A$2:$A$124,0)),0.5)*Config!$B$5+1-IFERROR(INDEX(Calc!$AP$2:$AP$124,MATCH($W245,Calc!$A$2:$A$124,0)),0.5))),SQRT(G245*Config!$B$5)))</f>
        <v/>
      </c>
      <c r="I245" s="8">
        <f>IF(OR(F245="",G245="",N(H245)&lt;=0),"",1-NORMDIST(FLOOR(F245,1)+0.5,G245,H245,TRUE))</f>
        <v/>
      </c>
      <c r="J245" s="8">
        <f>IF(I245="","",NORMDIST(CEILING(F245,1)-0.5,G245,H245,TRUE))</f>
        <v/>
      </c>
      <c r="K245" s="8">
        <f>IF(I245="","",MAX(0,1-I245-J245))</f>
        <v/>
      </c>
      <c r="L245">
        <f>IF(I245="","",IF(I245&gt;=0.5+Config!$B$6,"OVER",IF(J245&gt;=0.5+Config!$B$6,"UNDER","—")))</f>
        <v/>
      </c>
      <c r="N245" t="n">
        <v>16.1</v>
      </c>
      <c r="O245" s="8" t="n">
        <v>0.4</v>
      </c>
      <c r="P245" s="8" t="n">
        <v>0.4</v>
      </c>
      <c r="Q245" s="8" t="n">
        <v>0.47</v>
      </c>
      <c r="R245" t="inlineStr">
        <is>
          <t>100%/1/1</t>
        </is>
      </c>
      <c r="S245" t="n">
        <v>2</v>
      </c>
      <c r="T245">
        <f>INDEX(Calc!$G$2:$G$124,MATCH($W245,Calc!$A$2:$A$124,0))&amp;" / "&amp;INDEX(Calc!$H$2:$H$124,MATCH($W245,Calc!$A$2:$A$124,0))</f>
        <v/>
      </c>
      <c r="U245">
        <f>TEXT(INDEX(Calc!$J$2:$J$124,MATCH($W245,Calc!$A$2:$A$124,0)),"0.0")&amp;" / "&amp;TEXT(INDEX(Calc!$K$2:$K$124,MATCH($W245,Calc!$A$2:$A$124,0)),"0.0")</f>
        <v/>
      </c>
      <c r="V245">
        <f>IFERROR(INDEX(Calc!$AQ$2:$AQ$124,MATCH($W245,Calc!$A$2:$A$124,0)),"")</f>
        <v/>
      </c>
      <c r="W245" t="inlineStr">
        <is>
          <t>tkkenn22b7r5gfa|CS2 · paiN vs BST</t>
        </is>
      </c>
      <c r="X245" t="inlineStr">
        <is>
          <t>H12</t>
        </is>
      </c>
      <c r="Y245">
        <f>W245&amp;"|"&amp;X245</f>
        <v/>
      </c>
      <c r="Z245" s="9">
        <f>IFERROR(INDEX(CHOOSE(MATCH($X245,{"K1","K2","K3","K12","K13","H1","H2","H3","H12","H13"},0),Calc!$BA$2:$BA$124,Calc!$BB$2:$BB$124,Calc!$BC$2:$BC$124,Calc!$BD$2:$BD$124,Calc!$BE$2:$BE$124,Calc!$BF$2:$BF$124,Calc!$BG$2:$BG$124,Calc!$BH$2:$BH$124,Calc!$BI$2:$BI$124,Calc!$BJ$2:$BJ$124),MATCH($W245,Calc!$A$2:$A$124,0)),"")</f>
        <v/>
      </c>
      <c r="AA245" s="9">
        <f>IF(Z245="","",IF(LEFT($X245,1)="H",SQRT(Z245*(IFERROR(INDEX(Calc!$AP$2:$AP$124,MATCH($W245,Calc!$A$2:$A$124,0)),0.5)*Config!$B$5+1-IFERROR(INDEX(Calc!$AP$2:$AP$124,MATCH($W245,Calc!$A$2:$A$124,0)),0.5))),SQRT(Z245*Config!$B$5)))</f>
        <v/>
      </c>
      <c r="AB245" s="8">
        <f>IF(OR(F245="",Z245="",N(AA245)&lt;=0),"",1-NORMDIST(FLOOR(F245,1)+0.5,Z245,AA245,TRUE))</f>
        <v/>
      </c>
      <c r="AC245" s="8">
        <f>IF(AB245="","",NORMDIST(CEILING(F245,1)-0.5,Z245,AA245,TRUE))</f>
        <v/>
      </c>
      <c r="AD245">
        <f>IF(AB245="","",IF(AB245&gt;=0.5+Config!$B$6,"OVER",IF(AC245&gt;=0.5+Config!$B$6,"UNDER","—")))</f>
        <v/>
      </c>
      <c r="AE245" s="11">
        <f>IFERROR(Z245/G245,"")</f>
        <v/>
      </c>
    </row>
    <row r="246">
      <c r="A246" t="inlineStr">
        <is>
          <t>CS2</t>
        </is>
      </c>
      <c r="B246" t="inlineStr">
        <is>
          <t>CS2 · paiN vs BST</t>
        </is>
      </c>
      <c r="C246" t="inlineStr">
        <is>
          <t>Tatu</t>
        </is>
      </c>
      <c r="D246" t="inlineStr">
        <is>
          <t>paiN</t>
        </is>
      </c>
      <c r="E246" t="inlineStr">
        <is>
          <t>Maps 1-2 Kills</t>
        </is>
      </c>
      <c r="F246" t="n">
        <v>26</v>
      </c>
      <c r="G246" s="9">
        <f>IFERROR(INDEX(CHOOSE(MATCH($X246,{"K1","K2","K3","K12","K13","H1","H2","H3","H12","H13"},0),Calc!$V$2:$V$124,Calc!$AC$2:$AC$124,Calc!$AJ$2:$AJ$124,Calc!$AL$2:$AL$124,Calc!$AM$2:$AM$124,Calc!$W$2:$W$124,Calc!$AD$2:$AD$124,Calc!$AK$2:$AK$124,Calc!$AN$2:$AN$124,Calc!$AO$2:$AO$124),MATCH($W246,Calc!$A$2:$A$124,0)),"")</f>
        <v/>
      </c>
      <c r="H246" s="9">
        <f>IF(G246="","",IF(LEFT($X246,1)="H",SQRT(G246*(IFERROR(INDEX(Calc!$AP$2:$AP$124,MATCH($W246,Calc!$A$2:$A$124,0)),0.5)*Config!$B$5+1-IFERROR(INDEX(Calc!$AP$2:$AP$124,MATCH($W246,Calc!$A$2:$A$124,0)),0.5))),SQRT(G246*Config!$B$5)))</f>
        <v/>
      </c>
      <c r="I246" s="8">
        <f>IF(OR(F246="",G246="",N(H246)&lt;=0),"",1-NORMDIST(FLOOR(F246,1)+0.5,G246,H246,TRUE))</f>
        <v/>
      </c>
      <c r="J246" s="8">
        <f>IF(I246="","",NORMDIST(CEILING(F246,1)-0.5,G246,H246,TRUE))</f>
        <v/>
      </c>
      <c r="K246" s="8">
        <f>IF(I246="","",MAX(0,1-I246-J246))</f>
        <v/>
      </c>
      <c r="L246">
        <f>IF(I246="","",IF(I246&gt;=0.5+Config!$B$6,"OVER",IF(J246&gt;=0.5+Config!$B$6,"UNDER","—")))</f>
        <v/>
      </c>
      <c r="N246" t="n">
        <v>25</v>
      </c>
      <c r="O246" s="8" t="n">
        <v>0.4</v>
      </c>
      <c r="P246" s="8" t="n">
        <v>0.5</v>
      </c>
      <c r="Q246" s="8" t="n">
        <v>0.6</v>
      </c>
      <c r="R246" t="inlineStr">
        <is>
          <t>100%/1/1</t>
        </is>
      </c>
      <c r="S246" t="n">
        <v>2</v>
      </c>
      <c r="T246">
        <f>INDEX(Calc!$G$2:$G$124,MATCH($W246,Calc!$A$2:$A$124,0))&amp;" / "&amp;INDEX(Calc!$H$2:$H$124,MATCH($W246,Calc!$A$2:$A$124,0))</f>
        <v/>
      </c>
      <c r="U246">
        <f>TEXT(INDEX(Calc!$J$2:$J$124,MATCH($W246,Calc!$A$2:$A$124,0)),"0.0")&amp;" / "&amp;TEXT(INDEX(Calc!$K$2:$K$124,MATCH($W246,Calc!$A$2:$A$124,0)),"0.0")</f>
        <v/>
      </c>
      <c r="V246">
        <f>IFERROR(INDEX(Calc!$AQ$2:$AQ$124,MATCH($W246,Calc!$A$2:$A$124,0)),"")</f>
        <v/>
      </c>
      <c r="W246" t="inlineStr">
        <is>
          <t>tkkenn22b7r5gfa|CS2 · paiN vs BST</t>
        </is>
      </c>
      <c r="X246" t="inlineStr">
        <is>
          <t>K12</t>
        </is>
      </c>
      <c r="Y246">
        <f>W246&amp;"|"&amp;X246</f>
        <v/>
      </c>
      <c r="Z246" s="9">
        <f>IFERROR(INDEX(CHOOSE(MATCH($X246,{"K1","K2","K3","K12","K13","H1","H2","H3","H12","H13"},0),Calc!$BA$2:$BA$124,Calc!$BB$2:$BB$124,Calc!$BC$2:$BC$124,Calc!$BD$2:$BD$124,Calc!$BE$2:$BE$124,Calc!$BF$2:$BF$124,Calc!$BG$2:$BG$124,Calc!$BH$2:$BH$124,Calc!$BI$2:$BI$124,Calc!$BJ$2:$BJ$124),MATCH($W246,Calc!$A$2:$A$124,0)),"")</f>
        <v/>
      </c>
      <c r="AA246" s="9">
        <f>IF(Z246="","",IF(LEFT($X246,1)="H",SQRT(Z246*(IFERROR(INDEX(Calc!$AP$2:$AP$124,MATCH($W246,Calc!$A$2:$A$124,0)),0.5)*Config!$B$5+1-IFERROR(INDEX(Calc!$AP$2:$AP$124,MATCH($W246,Calc!$A$2:$A$124,0)),0.5))),SQRT(Z246*Config!$B$5)))</f>
        <v/>
      </c>
      <c r="AB246" s="8">
        <f>IF(OR(F246="",Z246="",N(AA246)&lt;=0),"",1-NORMDIST(FLOOR(F246,1)+0.5,Z246,AA246,TRUE))</f>
        <v/>
      </c>
      <c r="AC246" s="8">
        <f>IF(AB246="","",NORMDIST(CEILING(F246,1)-0.5,Z246,AA246,TRUE))</f>
        <v/>
      </c>
      <c r="AD246">
        <f>IF(AB246="","",IF(AB246&gt;=0.5+Config!$B$6,"OVER",IF(AC246&gt;=0.5+Config!$B$6,"UNDER","—")))</f>
        <v/>
      </c>
      <c r="AE246" s="11">
        <f>IFERROR(Z246/G246,"")</f>
        <v/>
      </c>
    </row>
  </sheetData>
  <autoFilter ref="A1:AE246"/>
  <conditionalFormatting sqref="AB2:AB246">
    <cfRule type="colorScale" priority="1">
      <colorScale>
        <cfvo type="num" val="0.3"/>
        <cfvo type="num" val="0.5"/>
        <cfvo type="num" val="0.7"/>
        <color rgb="00F8D7DA"/>
        <color rgb="00FFFFFF"/>
        <color rgb="00D1E7DD"/>
      </colorScale>
    </cfRule>
  </conditionalFormatting>
  <conditionalFormatting sqref="I2:I246">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24"/>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q3hhhk7fp22ng9v|CS2 [NO MARKET] · ACE vs INOX</t>
        </is>
      </c>
      <c r="B2" t="inlineStr">
        <is>
          <t>CS2</t>
        </is>
      </c>
      <c r="C2" t="inlineStr">
        <is>
          <t>CS2 [NO MARKET] · ACE vs INOX</t>
        </is>
      </c>
      <c r="D2" t="inlineStr">
        <is>
          <t>INOX</t>
        </is>
      </c>
      <c r="E2" t="inlineStr">
        <is>
          <t>El1an</t>
        </is>
      </c>
      <c r="F2" t="inlineStr">
        <is>
          <t>q3hhhk7fp22ng9v</t>
        </is>
      </c>
      <c r="G2">
        <f>IFERROR(IF(INDEX(Matches!$W$5:$W$19,MATCH($C2,Matches!$A$5:$A$19,0))="","",INDEX(Matches!$W$5:$W$19,MATCH($C2,Matches!$A$5:$A$19,0))),"")</f>
        <v/>
      </c>
      <c r="H2">
        <f>IFERROR(IF(INDEX(Matches!$X$5:$X$19,MATCH($C2,Matches!$A$5:$A$19,0))="","",INDEX(Matches!$X$5:$X$19,MATCH($C2,Matches!$A$5:$A$19,0))),"")</f>
        <v/>
      </c>
      <c r="I2">
        <f>IFERROR(IF(INDEX(Matches!$Y$5:$Y$19,MATCH($C2,Matches!$A$5:$A$19,0))="","",INDEX(Matches!$Y$5:$Y$19,MATCH($C2,Matches!$A$5:$A$19,0))),"")</f>
        <v/>
      </c>
      <c r="J2">
        <f>IFERROR(IF(INDEX(Matches!$Z$5:$Z$19,MATCH($C2,Matches!$A$5:$A$19,0))="","",INDEX(Matches!$Z$5:$Z$19,MATCH($C2,Matches!$A$5:$A$19,0))),"")</f>
        <v/>
      </c>
      <c r="K2">
        <f>IFERROR(IF(INDEX(Matches!$AA$5:$AA$19,MATCH($C2,Matches!$A$5:$A$19,0))="","",INDEX(Matches!$AA$5:$AA$19,MATCH($C2,Matches!$A$5:$A$19,0))),"")</f>
        <v/>
      </c>
      <c r="L2">
        <f>IFERROR(IF(INDEX(Matches!$AB$5:$AB$19,MATCH($C2,Matches!$A$5:$A$19,0))="","",INDEX(Matches!$AB$5:$AB$19,MATCH($C2,Matches!$A$5:$A$19,0))),"")</f>
        <v/>
      </c>
      <c r="M2" s="8">
        <f>IFERROR(IF(INDEX(Matches!$AC$5:$AC$19,MATCH($C2,Matches!$A$5:$A$19,0))="","",INDEX(Matches!$AC$5:$AC$19,MATCH($C2,Matches!$A$5:$A$19,0))),"")</f>
        <v/>
      </c>
      <c r="N2">
        <f>IFERROR(INDEX(Players!$F$2:$F$124,MATCH($F2,Players!$A$2:$A$124,0)),0)</f>
        <v/>
      </c>
      <c r="O2" s="11">
        <f>IFERROR(1/(1/INDEX(Players!$H$2:$H$124,MATCH($F2,Players!$A$2:$A$124,0))),"")</f>
        <v/>
      </c>
      <c r="P2" s="8">
        <f>IFERROR(1/(1/INDEX(Players!$I$2:$I$124,MATCH($F2,Players!$A$2:$A$124,0))),"")</f>
        <v/>
      </c>
      <c r="Q2">
        <f>IF($G2="",0,SUMIFS(Map_Stats!$F$2:$F$779,Map_Stats!$A$2:$A$779,$F2&amp;"|"&amp;$G2))</f>
        <v/>
      </c>
      <c r="R2" s="11">
        <f>IF($G2="","",IFERROR(1/(1/INDEX(Map_Stats!$K$2:$K$779,MATCH($F2&amp;"|"&amp;$G2,Map_Stats!$A$2:$A$779,0))),$O2))</f>
        <v/>
      </c>
      <c r="S2" s="8">
        <f>IF(OR($G2="",$P2=""),"",IFERROR(1/(1/INDEX(Map_Stats!$I$2:$I$779,MATCH($F2&amp;"|"&amp;$G2,Map_Stats!$A$2:$A$779,0))),$P2))</f>
        <v/>
      </c>
      <c r="T2" s="11">
        <f>IF(OR($G2="",R2=""),"",IF($O2="",R2,(Q2*R2+Config!$B$4*$O2)/(Q2+Config!$B$4)))</f>
        <v/>
      </c>
      <c r="U2" s="8">
        <f>IF(S2="","",(Q2*S2+Config!$B$4*$P2)/(Q2+Config!$B$4))</f>
        <v/>
      </c>
      <c r="V2" s="15">
        <f>IF(OR(T2="",$J2=""),"",T2*$J2*($J2/Config!$B$10)^Config!$B$9)</f>
        <v/>
      </c>
      <c r="W2" s="15">
        <f>IF(OR(V2="",U2=""),"",V2*U2)</f>
        <v/>
      </c>
      <c r="X2">
        <f>IF($H2="",0,SUMIFS(Map_Stats!$F$2:$F$779,Map_Stats!$A$2:$A$779,$F2&amp;"|"&amp;$H2))</f>
        <v/>
      </c>
      <c r="Y2" s="11">
        <f>IF($H2="","",IFERROR(1/(1/INDEX(Map_Stats!$K$2:$K$779,MATCH($F2&amp;"|"&amp;$H2,Map_Stats!$A$2:$A$779,0))),$O2))</f>
        <v/>
      </c>
      <c r="Z2" s="8">
        <f>IF(OR($H2="",$P2=""),"",IFERROR(1/(1/INDEX(Map_Stats!$I$2:$I$779,MATCH($F2&amp;"|"&amp;$H2,Map_Stats!$A$2:$A$779,0))),$P2))</f>
        <v/>
      </c>
      <c r="AA2" s="11">
        <f>IF(OR($H2="",Y2=""),"",IF($O2="",Y2,(X2*Y2+Config!$B$4*$O2)/(X2+Config!$B$4)))</f>
        <v/>
      </c>
      <c r="AB2" s="8">
        <f>IF(Z2="","",(X2*Z2+Config!$B$4*$P2)/(X2+Config!$B$4))</f>
        <v/>
      </c>
      <c r="AC2" s="15">
        <f>IF(OR(AA2="",$K2=""),"",AA2*$K2*($K2/Config!$B$10)^Config!$B$9)</f>
        <v/>
      </c>
      <c r="AD2" s="15">
        <f>IF(OR(AC2="",AB2=""),"",AC2*AB2)</f>
        <v/>
      </c>
      <c r="AE2">
        <f>IF($I2="",0,SUMIFS(Map_Stats!$F$2:$F$779,Map_Stats!$A$2:$A$779,$F2&amp;"|"&amp;$I2))</f>
        <v/>
      </c>
      <c r="AF2" s="11">
        <f>IF($I2="","",IFERROR(1/(1/INDEX(Map_Stats!$K$2:$K$779,MATCH($F2&amp;"|"&amp;$I2,Map_Stats!$A$2:$A$779,0))),$O2))</f>
        <v/>
      </c>
      <c r="AG2" s="8">
        <f>IF(OR($I2="",$P2=""),"",IFERROR(1/(1/INDEX(Map_Stats!$I$2:$I$779,MATCH($F2&amp;"|"&amp;$I2,Map_Stats!$A$2:$A$779,0))),$P2))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IF($C2=Board!$B$2,COUNTIFS($C$2:$C$124,Board!$B$2,$AL$2:$AL$124,"&gt;"&amp;$AL2)+COUNTIFS($C$1:$C1,Board!$B$2,$AL$1:$AL1,$AL2)+1,"")</f>
        <v/>
      </c>
      <c r="AS2">
        <f>IFERROR(IF($D2=INDEX(Matches!$AD$5:$AD$19,MATCH($C2,Matches!$A$5:$A$19,0)),"A",IF($D2=INDEX(Matches!$AE$5:$AE$19,MATCH($C2,Matches!$A$5:$A$19,0)),"B","")),"")</f>
        <v/>
      </c>
      <c r="AT2" s="8">
        <f>IF($AS2="","",IFERROR(IF($AS2="A",INDEX(Matches!$AI$5:$AI$19,MATCH($C2,Matches!$A$5:$A$19,0)),INDEX(Matches!$AJ$5:$AJ$19,MATCH($C2,Matches!$A$5:$A$19,0))),""))</f>
        <v/>
      </c>
      <c r="AU2" s="8">
        <f>IF($AS2="","",IFERROR(IF(INDEX(Matches!$AP$5:$AP$19,MATCH($C2,Matches!$A$5:$A$19,0))="","",IF($AS2="A",INDEX(Matches!$AP$5:$AP$19,MATCH($C2,Matches!$A$5:$A$19,0)),1-INDEX(Matches!$AP$5:$AP$19,MATCH($C2,Matches!$A$5:$A$19,0)))),""))</f>
        <v/>
      </c>
      <c r="AV2" s="11">
        <f>IF(OR($AU2="",$AT2=""),1,((Config!$B$14*$AU2+Config!$B$15*(1-$AU2))/(Config!$B$14*$AT2+Config!$B$15*(1-$AT2)))^Config!$B$13)</f>
        <v/>
      </c>
      <c r="AW2" s="8">
        <f>IF($AS2="","",IFERROR(IF(INDEX(Matches!$AV$5:$AV$19,MATCH($C2,Matches!$A$5:$A$19,0))="","",IF($AS2="A",INDEX(Matches!$AV$5:$AV$19,MATCH($C2,Matches!$A$5:$A$19,0)),1-INDEX(Matches!$AV$5:$AV$19,MATCH($C2,Matches!$A$5:$A$19,0)))),""))</f>
        <v/>
      </c>
      <c r="AX2" s="11">
        <f>IF(OR($AW2="",$AT2=""),1,((Config!$B$14*$AW2+Config!$B$15*(1-$AW2))/(Config!$B$14*$AT2+Config!$B$15*(1-$AT2)))^Config!$B$13)</f>
        <v/>
      </c>
      <c r="AY2" s="8">
        <f>IF($AS2="","",IFERROR(IF(INDEX(Matches!$BB$5:$BB$19,MATCH($C2,Matches!$A$5:$A$19,0))="","",IF($AS2="A",INDEX(Matches!$BB$5:$BB$19,MATCH($C2,Matches!$A$5:$A$19,0)),1-INDEX(Matches!$BB$5:$BB$19,MATCH($C2,Matches!$A$5:$A$19,0)))),""))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wtkbukkt9i8g1y0|CS2 [NO MARKET] · ACE vs INOX</t>
        </is>
      </c>
      <c r="B3" t="inlineStr">
        <is>
          <t>CS2</t>
        </is>
      </c>
      <c r="C3" t="inlineStr">
        <is>
          <t>CS2 [NO MARKET] · ACE vs INOX</t>
        </is>
      </c>
      <c r="D3" t="inlineStr">
        <is>
          <t>INOX</t>
        </is>
      </c>
      <c r="E3" t="inlineStr">
        <is>
          <t>finW</t>
        </is>
      </c>
      <c r="F3" t="inlineStr">
        <is>
          <t>wtkbukkt9i8g1y0</t>
        </is>
      </c>
      <c r="G3">
        <f>IFERROR(IF(INDEX(Matches!$W$5:$W$19,MATCH($C3,Matches!$A$5:$A$19,0))="","",INDEX(Matches!$W$5:$W$19,MATCH($C3,Matches!$A$5:$A$19,0))),"")</f>
        <v/>
      </c>
      <c r="H3">
        <f>IFERROR(IF(INDEX(Matches!$X$5:$X$19,MATCH($C3,Matches!$A$5:$A$19,0))="","",INDEX(Matches!$X$5:$X$19,MATCH($C3,Matches!$A$5:$A$19,0))),"")</f>
        <v/>
      </c>
      <c r="I3">
        <f>IFERROR(IF(INDEX(Matches!$Y$5:$Y$19,MATCH($C3,Matches!$A$5:$A$19,0))="","",INDEX(Matches!$Y$5:$Y$19,MATCH($C3,Matches!$A$5:$A$19,0))),"")</f>
        <v/>
      </c>
      <c r="J3">
        <f>IFERROR(IF(INDEX(Matches!$Z$5:$Z$19,MATCH($C3,Matches!$A$5:$A$19,0))="","",INDEX(Matches!$Z$5:$Z$19,MATCH($C3,Matches!$A$5:$A$19,0))),"")</f>
        <v/>
      </c>
      <c r="K3">
        <f>IFERROR(IF(INDEX(Matches!$AA$5:$AA$19,MATCH($C3,Matches!$A$5:$A$19,0))="","",INDEX(Matches!$AA$5:$AA$19,MATCH($C3,Matches!$A$5:$A$19,0))),"")</f>
        <v/>
      </c>
      <c r="L3">
        <f>IFERROR(IF(INDEX(Matches!$AB$5:$AB$19,MATCH($C3,Matches!$A$5:$A$19,0))="","",INDEX(Matches!$AB$5:$AB$19,MATCH($C3,Matches!$A$5:$A$19,0))),"")</f>
        <v/>
      </c>
      <c r="M3" s="8">
        <f>IFERROR(IF(INDEX(Matches!$AC$5:$AC$19,MATCH($C3,Matches!$A$5:$A$19,0))="","",INDEX(Matches!$AC$5:$AC$19,MATCH($C3,Matches!$A$5:$A$19,0))),"")</f>
        <v/>
      </c>
      <c r="N3">
        <f>IFERROR(INDEX(Players!$F$2:$F$124,MATCH($F3,Players!$A$2:$A$124,0)),0)</f>
        <v/>
      </c>
      <c r="O3" s="11">
        <f>IFERROR(1/(1/INDEX(Players!$H$2:$H$124,MATCH($F3,Players!$A$2:$A$124,0))),"")</f>
        <v/>
      </c>
      <c r="P3" s="8">
        <f>IFERROR(1/(1/INDEX(Players!$I$2:$I$124,MATCH($F3,Players!$A$2:$A$124,0))),"")</f>
        <v/>
      </c>
      <c r="Q3">
        <f>IF($G3="",0,SUMIFS(Map_Stats!$F$2:$F$779,Map_Stats!$A$2:$A$779,$F3&amp;"|"&amp;$G3))</f>
        <v/>
      </c>
      <c r="R3" s="11">
        <f>IF($G3="","",IFERROR(1/(1/INDEX(Map_Stats!$K$2:$K$779,MATCH($F3&amp;"|"&amp;$G3,Map_Stats!$A$2:$A$779,0))),$O3))</f>
        <v/>
      </c>
      <c r="S3" s="8">
        <f>IF(OR($G3="",$P3=""),"",IFERROR(1/(1/INDEX(Map_Stats!$I$2:$I$779,MATCH($F3&amp;"|"&amp;$G3,Map_Stats!$A$2:$A$779,0))),$P3))</f>
        <v/>
      </c>
      <c r="T3" s="11">
        <f>IF(OR($G3="",R3=""),"",IF($O3="",R3,(Q3*R3+Config!$B$4*$O3)/(Q3+Config!$B$4)))</f>
        <v/>
      </c>
      <c r="U3" s="8">
        <f>IF(S3="","",(Q3*S3+Config!$B$4*$P3)/(Q3+Config!$B$4))</f>
        <v/>
      </c>
      <c r="V3" s="15">
        <f>IF(OR(T3="",$J3=""),"",T3*$J3*($J3/Config!$B$10)^Config!$B$9)</f>
        <v/>
      </c>
      <c r="W3" s="15">
        <f>IF(OR(V3="",U3=""),"",V3*U3)</f>
        <v/>
      </c>
      <c r="X3">
        <f>IF($H3="",0,SUMIFS(Map_Stats!$F$2:$F$779,Map_Stats!$A$2:$A$779,$F3&amp;"|"&amp;$H3))</f>
        <v/>
      </c>
      <c r="Y3" s="11">
        <f>IF($H3="","",IFERROR(1/(1/INDEX(Map_Stats!$K$2:$K$779,MATCH($F3&amp;"|"&amp;$H3,Map_Stats!$A$2:$A$779,0))),$O3))</f>
        <v/>
      </c>
      <c r="Z3" s="8">
        <f>IF(OR($H3="",$P3=""),"",IFERROR(1/(1/INDEX(Map_Stats!$I$2:$I$779,MATCH($F3&amp;"|"&amp;$H3,Map_Stats!$A$2:$A$779,0))),$P3))</f>
        <v/>
      </c>
      <c r="AA3" s="11">
        <f>IF(OR($H3="",Y3=""),"",IF($O3="",Y3,(X3*Y3+Config!$B$4*$O3)/(X3+Config!$B$4)))</f>
        <v/>
      </c>
      <c r="AB3" s="8">
        <f>IF(Z3="","",(X3*Z3+Config!$B$4*$P3)/(X3+Config!$B$4))</f>
        <v/>
      </c>
      <c r="AC3" s="15">
        <f>IF(OR(AA3="",$K3=""),"",AA3*$K3*($K3/Config!$B$10)^Config!$B$9)</f>
        <v/>
      </c>
      <c r="AD3" s="15">
        <f>IF(OR(AC3="",AB3=""),"",AC3*AB3)</f>
        <v/>
      </c>
      <c r="AE3">
        <f>IF($I3="",0,SUMIFS(Map_Stats!$F$2:$F$779,Map_Stats!$A$2:$A$779,$F3&amp;"|"&amp;$I3))</f>
        <v/>
      </c>
      <c r="AF3" s="11">
        <f>IF($I3="","",IFERROR(1/(1/INDEX(Map_Stats!$K$2:$K$779,MATCH($F3&amp;"|"&amp;$I3,Map_Stats!$A$2:$A$779,0))),$O3))</f>
        <v/>
      </c>
      <c r="AG3" s="8">
        <f>IF(OR($I3="",$P3=""),"",IFERROR(1/(1/INDEX(Map_Stats!$I$2:$I$779,MATCH($F3&amp;"|"&amp;$I3,Map_Stats!$A$2:$A$779,0))),$P3))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IF($C3=Board!$B$2,COUNTIFS($C$2:$C$124,Board!$B$2,$AL$2:$AL$124,"&gt;"&amp;$AL3)+COUNTIFS($C$1:$C2,Board!$B$2,$AL$1:$AL2,$AL3)+1,"")</f>
        <v/>
      </c>
      <c r="AS3">
        <f>IFERROR(IF($D3=INDEX(Matches!$AD$5:$AD$19,MATCH($C3,Matches!$A$5:$A$19,0)),"A",IF($D3=INDEX(Matches!$AE$5:$AE$19,MATCH($C3,Matches!$A$5:$A$19,0)),"B","")),"")</f>
        <v/>
      </c>
      <c r="AT3" s="8">
        <f>IF($AS3="","",IFERROR(IF($AS3="A",INDEX(Matches!$AI$5:$AI$19,MATCH($C3,Matches!$A$5:$A$19,0)),INDEX(Matches!$AJ$5:$AJ$19,MATCH($C3,Matches!$A$5:$A$19,0))),""))</f>
        <v/>
      </c>
      <c r="AU3" s="8">
        <f>IF($AS3="","",IFERROR(IF(INDEX(Matches!$AP$5:$AP$19,MATCH($C3,Matches!$A$5:$A$19,0))="","",IF($AS3="A",INDEX(Matches!$AP$5:$AP$19,MATCH($C3,Matches!$A$5:$A$19,0)),1-INDEX(Matches!$AP$5:$AP$19,MATCH($C3,Matches!$A$5:$A$19,0)))),""))</f>
        <v/>
      </c>
      <c r="AV3" s="11">
        <f>IF(OR($AU3="",$AT3=""),1,((Config!$B$14*$AU3+Config!$B$15*(1-$AU3))/(Config!$B$14*$AT3+Config!$B$15*(1-$AT3)))^Config!$B$13)</f>
        <v/>
      </c>
      <c r="AW3" s="8">
        <f>IF($AS3="","",IFERROR(IF(INDEX(Matches!$AV$5:$AV$19,MATCH($C3,Matches!$A$5:$A$19,0))="","",IF($AS3="A",INDEX(Matches!$AV$5:$AV$19,MATCH($C3,Matches!$A$5:$A$19,0)),1-INDEX(Matches!$AV$5:$AV$19,MATCH($C3,Matches!$A$5:$A$19,0)))),""))</f>
        <v/>
      </c>
      <c r="AX3" s="11">
        <f>IF(OR($AW3="",$AT3=""),1,((Config!$B$14*$AW3+Config!$B$15*(1-$AW3))/(Config!$B$14*$AT3+Config!$B$15*(1-$AT3)))^Config!$B$13)</f>
        <v/>
      </c>
      <c r="AY3" s="8">
        <f>IF($AS3="","",IFERROR(IF(INDEX(Matches!$BB$5:$BB$19,MATCH($C3,Matches!$A$5:$A$19,0))="","",IF($AS3="A",INDEX(Matches!$BB$5:$BB$19,MATCH($C3,Matches!$A$5:$A$19,0)),1-INDEX(Matches!$BB$5:$BB$19,MATCH($C3,Matches!$A$5:$A$19,0)))),""))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m02i8zld44pmsf6|CS2 [NO MARKET] · ACE vs INOX</t>
        </is>
      </c>
      <c r="B4" t="inlineStr">
        <is>
          <t>CS2</t>
        </is>
      </c>
      <c r="C4" t="inlineStr">
        <is>
          <t>CS2 [NO MARKET] · ACE vs INOX</t>
        </is>
      </c>
      <c r="D4" t="inlineStr">
        <is>
          <t>INOX</t>
        </is>
      </c>
      <c r="E4" t="inlineStr">
        <is>
          <t>K0s</t>
        </is>
      </c>
      <c r="F4" t="inlineStr">
        <is>
          <t>m02i8zld44pmsf6</t>
        </is>
      </c>
      <c r="G4">
        <f>IFERROR(IF(INDEX(Matches!$W$5:$W$19,MATCH($C4,Matches!$A$5:$A$19,0))="","",INDEX(Matches!$W$5:$W$19,MATCH($C4,Matches!$A$5:$A$19,0))),"")</f>
        <v/>
      </c>
      <c r="H4">
        <f>IFERROR(IF(INDEX(Matches!$X$5:$X$19,MATCH($C4,Matches!$A$5:$A$19,0))="","",INDEX(Matches!$X$5:$X$19,MATCH($C4,Matches!$A$5:$A$19,0))),"")</f>
        <v/>
      </c>
      <c r="I4">
        <f>IFERROR(IF(INDEX(Matches!$Y$5:$Y$19,MATCH($C4,Matches!$A$5:$A$19,0))="","",INDEX(Matches!$Y$5:$Y$19,MATCH($C4,Matches!$A$5:$A$19,0))),"")</f>
        <v/>
      </c>
      <c r="J4">
        <f>IFERROR(IF(INDEX(Matches!$Z$5:$Z$19,MATCH($C4,Matches!$A$5:$A$19,0))="","",INDEX(Matches!$Z$5:$Z$19,MATCH($C4,Matches!$A$5:$A$19,0))),"")</f>
        <v/>
      </c>
      <c r="K4">
        <f>IFERROR(IF(INDEX(Matches!$AA$5:$AA$19,MATCH($C4,Matches!$A$5:$A$19,0))="","",INDEX(Matches!$AA$5:$AA$19,MATCH($C4,Matches!$A$5:$A$19,0))),"")</f>
        <v/>
      </c>
      <c r="L4">
        <f>IFERROR(IF(INDEX(Matches!$AB$5:$AB$19,MATCH($C4,Matches!$A$5:$A$19,0))="","",INDEX(Matches!$AB$5:$AB$19,MATCH($C4,Matches!$A$5:$A$19,0))),"")</f>
        <v/>
      </c>
      <c r="M4" s="8">
        <f>IFERROR(IF(INDEX(Matches!$AC$5:$AC$19,MATCH($C4,Matches!$A$5:$A$19,0))="","",INDEX(Matches!$AC$5:$AC$19,MATCH($C4,Matches!$A$5:$A$19,0))),"")</f>
        <v/>
      </c>
      <c r="N4">
        <f>IFERROR(INDEX(Players!$F$2:$F$124,MATCH($F4,Players!$A$2:$A$124,0)),0)</f>
        <v/>
      </c>
      <c r="O4" s="11">
        <f>IFERROR(1/(1/INDEX(Players!$H$2:$H$124,MATCH($F4,Players!$A$2:$A$124,0))),"")</f>
        <v/>
      </c>
      <c r="P4" s="8">
        <f>IFERROR(1/(1/INDEX(Players!$I$2:$I$124,MATCH($F4,Players!$A$2:$A$124,0))),"")</f>
        <v/>
      </c>
      <c r="Q4">
        <f>IF($G4="",0,SUMIFS(Map_Stats!$F$2:$F$779,Map_Stats!$A$2:$A$779,$F4&amp;"|"&amp;$G4))</f>
        <v/>
      </c>
      <c r="R4" s="11">
        <f>IF($G4="","",IFERROR(1/(1/INDEX(Map_Stats!$K$2:$K$779,MATCH($F4&amp;"|"&amp;$G4,Map_Stats!$A$2:$A$779,0))),$O4))</f>
        <v/>
      </c>
      <c r="S4" s="8">
        <f>IF(OR($G4="",$P4=""),"",IFERROR(1/(1/INDEX(Map_Stats!$I$2:$I$779,MATCH($F4&amp;"|"&amp;$G4,Map_Stats!$A$2:$A$779,0))),$P4))</f>
        <v/>
      </c>
      <c r="T4" s="11">
        <f>IF(OR($G4="",R4=""),"",IF($O4="",R4,(Q4*R4+Config!$B$4*$O4)/(Q4+Config!$B$4)))</f>
        <v/>
      </c>
      <c r="U4" s="8">
        <f>IF(S4="","",(Q4*S4+Config!$B$4*$P4)/(Q4+Config!$B$4))</f>
        <v/>
      </c>
      <c r="V4" s="15">
        <f>IF(OR(T4="",$J4=""),"",T4*$J4*($J4/Config!$B$10)^Config!$B$9)</f>
        <v/>
      </c>
      <c r="W4" s="15">
        <f>IF(OR(V4="",U4=""),"",V4*U4)</f>
        <v/>
      </c>
      <c r="X4">
        <f>IF($H4="",0,SUMIFS(Map_Stats!$F$2:$F$779,Map_Stats!$A$2:$A$779,$F4&amp;"|"&amp;$H4))</f>
        <v/>
      </c>
      <c r="Y4" s="11">
        <f>IF($H4="","",IFERROR(1/(1/INDEX(Map_Stats!$K$2:$K$779,MATCH($F4&amp;"|"&amp;$H4,Map_Stats!$A$2:$A$779,0))),$O4))</f>
        <v/>
      </c>
      <c r="Z4" s="8">
        <f>IF(OR($H4="",$P4=""),"",IFERROR(1/(1/INDEX(Map_Stats!$I$2:$I$779,MATCH($F4&amp;"|"&amp;$H4,Map_Stats!$A$2:$A$779,0))),$P4))</f>
        <v/>
      </c>
      <c r="AA4" s="11">
        <f>IF(OR($H4="",Y4=""),"",IF($O4="",Y4,(X4*Y4+Config!$B$4*$O4)/(X4+Config!$B$4)))</f>
        <v/>
      </c>
      <c r="AB4" s="8">
        <f>IF(Z4="","",(X4*Z4+Config!$B$4*$P4)/(X4+Config!$B$4))</f>
        <v/>
      </c>
      <c r="AC4" s="15">
        <f>IF(OR(AA4="",$K4=""),"",AA4*$K4*($K4/Config!$B$10)^Config!$B$9)</f>
        <v/>
      </c>
      <c r="AD4" s="15">
        <f>IF(OR(AC4="",AB4=""),"",AC4*AB4)</f>
        <v/>
      </c>
      <c r="AE4">
        <f>IF($I4="",0,SUMIFS(Map_Stats!$F$2:$F$779,Map_Stats!$A$2:$A$779,$F4&amp;"|"&amp;$I4))</f>
        <v/>
      </c>
      <c r="AF4" s="11">
        <f>IF($I4="","",IFERROR(1/(1/INDEX(Map_Stats!$K$2:$K$779,MATCH($F4&amp;"|"&amp;$I4,Map_Stats!$A$2:$A$779,0))),$O4))</f>
        <v/>
      </c>
      <c r="AG4" s="8">
        <f>IF(OR($I4="",$P4=""),"",IFERROR(1/(1/INDEX(Map_Stats!$I$2:$I$779,MATCH($F4&amp;"|"&amp;$I4,Map_Stats!$A$2:$A$779,0))),$P4))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IF($C4=Board!$B$2,COUNTIFS($C$2:$C$124,Board!$B$2,$AL$2:$AL$124,"&gt;"&amp;$AL4)+COUNTIFS($C$1:$C3,Board!$B$2,$AL$1:$AL3,$AL4)+1,"")</f>
        <v/>
      </c>
      <c r="AS4">
        <f>IFERROR(IF($D4=INDEX(Matches!$AD$5:$AD$19,MATCH($C4,Matches!$A$5:$A$19,0)),"A",IF($D4=INDEX(Matches!$AE$5:$AE$19,MATCH($C4,Matches!$A$5:$A$19,0)),"B","")),"")</f>
        <v/>
      </c>
      <c r="AT4" s="8">
        <f>IF($AS4="","",IFERROR(IF($AS4="A",INDEX(Matches!$AI$5:$AI$19,MATCH($C4,Matches!$A$5:$A$19,0)),INDEX(Matches!$AJ$5:$AJ$19,MATCH($C4,Matches!$A$5:$A$19,0))),""))</f>
        <v/>
      </c>
      <c r="AU4" s="8">
        <f>IF($AS4="","",IFERROR(IF(INDEX(Matches!$AP$5:$AP$19,MATCH($C4,Matches!$A$5:$A$19,0))="","",IF($AS4="A",INDEX(Matches!$AP$5:$AP$19,MATCH($C4,Matches!$A$5:$A$19,0)),1-INDEX(Matches!$AP$5:$AP$19,MATCH($C4,Matches!$A$5:$A$19,0)))),""))</f>
        <v/>
      </c>
      <c r="AV4" s="11">
        <f>IF(OR($AU4="",$AT4=""),1,((Config!$B$14*$AU4+Config!$B$15*(1-$AU4))/(Config!$B$14*$AT4+Config!$B$15*(1-$AT4)))^Config!$B$13)</f>
        <v/>
      </c>
      <c r="AW4" s="8">
        <f>IF($AS4="","",IFERROR(IF(INDEX(Matches!$AV$5:$AV$19,MATCH($C4,Matches!$A$5:$A$19,0))="","",IF($AS4="A",INDEX(Matches!$AV$5:$AV$19,MATCH($C4,Matches!$A$5:$A$19,0)),1-INDEX(Matches!$AV$5:$AV$19,MATCH($C4,Matches!$A$5:$A$19,0)))),""))</f>
        <v/>
      </c>
      <c r="AX4" s="11">
        <f>IF(OR($AW4="",$AT4=""),1,((Config!$B$14*$AW4+Config!$B$15*(1-$AW4))/(Config!$B$14*$AT4+Config!$B$15*(1-$AT4)))^Config!$B$13)</f>
        <v/>
      </c>
      <c r="AY4" s="8">
        <f>IF($AS4="","",IFERROR(IF(INDEX(Matches!$BB$5:$BB$19,MATCH($C4,Matches!$A$5:$A$19,0))="","",IF($AS4="A",INDEX(Matches!$BB$5:$BB$19,MATCH($C4,Matches!$A$5:$A$19,0)),1-INDEX(Matches!$BB$5:$BB$19,MATCH($C4,Matches!$A$5:$A$19,0)))),""))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jqawnnqgchzqat7|CS2 [NO MARKET] · ACE vs INOX</t>
        </is>
      </c>
      <c r="B5" t="inlineStr">
        <is>
          <t>CS2</t>
        </is>
      </c>
      <c r="C5" t="inlineStr">
        <is>
          <t>CS2 [NO MARKET] · ACE vs INOX</t>
        </is>
      </c>
      <c r="D5" t="inlineStr">
        <is>
          <t>INOX</t>
        </is>
      </c>
      <c r="E5" t="inlineStr">
        <is>
          <t>k1slll</t>
        </is>
      </c>
      <c r="F5" t="inlineStr">
        <is>
          <t>jqawnnqgchzqat7</t>
        </is>
      </c>
      <c r="G5">
        <f>IFERROR(IF(INDEX(Matches!$W$5:$W$19,MATCH($C5,Matches!$A$5:$A$19,0))="","",INDEX(Matches!$W$5:$W$19,MATCH($C5,Matches!$A$5:$A$19,0))),"")</f>
        <v/>
      </c>
      <c r="H5">
        <f>IFERROR(IF(INDEX(Matches!$X$5:$X$19,MATCH($C5,Matches!$A$5:$A$19,0))="","",INDEX(Matches!$X$5:$X$19,MATCH($C5,Matches!$A$5:$A$19,0))),"")</f>
        <v/>
      </c>
      <c r="I5">
        <f>IFERROR(IF(INDEX(Matches!$Y$5:$Y$19,MATCH($C5,Matches!$A$5:$A$19,0))="","",INDEX(Matches!$Y$5:$Y$19,MATCH($C5,Matches!$A$5:$A$19,0))),"")</f>
        <v/>
      </c>
      <c r="J5">
        <f>IFERROR(IF(INDEX(Matches!$Z$5:$Z$19,MATCH($C5,Matches!$A$5:$A$19,0))="","",INDEX(Matches!$Z$5:$Z$19,MATCH($C5,Matches!$A$5:$A$19,0))),"")</f>
        <v/>
      </c>
      <c r="K5">
        <f>IFERROR(IF(INDEX(Matches!$AA$5:$AA$19,MATCH($C5,Matches!$A$5:$A$19,0))="","",INDEX(Matches!$AA$5:$AA$19,MATCH($C5,Matches!$A$5:$A$19,0))),"")</f>
        <v/>
      </c>
      <c r="L5">
        <f>IFERROR(IF(INDEX(Matches!$AB$5:$AB$19,MATCH($C5,Matches!$A$5:$A$19,0))="","",INDEX(Matches!$AB$5:$AB$19,MATCH($C5,Matches!$A$5:$A$19,0))),"")</f>
        <v/>
      </c>
      <c r="M5" s="8">
        <f>IFERROR(IF(INDEX(Matches!$AC$5:$AC$19,MATCH($C5,Matches!$A$5:$A$19,0))="","",INDEX(Matches!$AC$5:$AC$19,MATCH($C5,Matches!$A$5:$A$19,0))),"")</f>
        <v/>
      </c>
      <c r="N5">
        <f>IFERROR(INDEX(Players!$F$2:$F$124,MATCH($F5,Players!$A$2:$A$124,0)),0)</f>
        <v/>
      </c>
      <c r="O5" s="11">
        <f>IFERROR(1/(1/INDEX(Players!$H$2:$H$124,MATCH($F5,Players!$A$2:$A$124,0))),"")</f>
        <v/>
      </c>
      <c r="P5" s="8">
        <f>IFERROR(1/(1/INDEX(Players!$I$2:$I$124,MATCH($F5,Players!$A$2:$A$124,0))),"")</f>
        <v/>
      </c>
      <c r="Q5">
        <f>IF($G5="",0,SUMIFS(Map_Stats!$F$2:$F$779,Map_Stats!$A$2:$A$779,$F5&amp;"|"&amp;$G5))</f>
        <v/>
      </c>
      <c r="R5" s="11">
        <f>IF($G5="","",IFERROR(1/(1/INDEX(Map_Stats!$K$2:$K$779,MATCH($F5&amp;"|"&amp;$G5,Map_Stats!$A$2:$A$779,0))),$O5))</f>
        <v/>
      </c>
      <c r="S5" s="8">
        <f>IF(OR($G5="",$P5=""),"",IFERROR(1/(1/INDEX(Map_Stats!$I$2:$I$779,MATCH($F5&amp;"|"&amp;$G5,Map_Stats!$A$2:$A$779,0))),$P5))</f>
        <v/>
      </c>
      <c r="T5" s="11">
        <f>IF(OR($G5="",R5=""),"",IF($O5="",R5,(Q5*R5+Config!$B$4*$O5)/(Q5+Config!$B$4)))</f>
        <v/>
      </c>
      <c r="U5" s="8">
        <f>IF(S5="","",(Q5*S5+Config!$B$4*$P5)/(Q5+Config!$B$4))</f>
        <v/>
      </c>
      <c r="V5" s="15">
        <f>IF(OR(T5="",$J5=""),"",T5*$J5*($J5/Config!$B$10)^Config!$B$9)</f>
        <v/>
      </c>
      <c r="W5" s="15">
        <f>IF(OR(V5="",U5=""),"",V5*U5)</f>
        <v/>
      </c>
      <c r="X5">
        <f>IF($H5="",0,SUMIFS(Map_Stats!$F$2:$F$779,Map_Stats!$A$2:$A$779,$F5&amp;"|"&amp;$H5))</f>
        <v/>
      </c>
      <c r="Y5" s="11">
        <f>IF($H5="","",IFERROR(1/(1/INDEX(Map_Stats!$K$2:$K$779,MATCH($F5&amp;"|"&amp;$H5,Map_Stats!$A$2:$A$779,0))),$O5))</f>
        <v/>
      </c>
      <c r="Z5" s="8">
        <f>IF(OR($H5="",$P5=""),"",IFERROR(1/(1/INDEX(Map_Stats!$I$2:$I$779,MATCH($F5&amp;"|"&amp;$H5,Map_Stats!$A$2:$A$779,0))),$P5))</f>
        <v/>
      </c>
      <c r="AA5" s="11">
        <f>IF(OR($H5="",Y5=""),"",IF($O5="",Y5,(X5*Y5+Config!$B$4*$O5)/(X5+Config!$B$4)))</f>
        <v/>
      </c>
      <c r="AB5" s="8">
        <f>IF(Z5="","",(X5*Z5+Config!$B$4*$P5)/(X5+Config!$B$4))</f>
        <v/>
      </c>
      <c r="AC5" s="15">
        <f>IF(OR(AA5="",$K5=""),"",AA5*$K5*($K5/Config!$B$10)^Config!$B$9)</f>
        <v/>
      </c>
      <c r="AD5" s="15">
        <f>IF(OR(AC5="",AB5=""),"",AC5*AB5)</f>
        <v/>
      </c>
      <c r="AE5">
        <f>IF($I5="",0,SUMIFS(Map_Stats!$F$2:$F$779,Map_Stats!$A$2:$A$779,$F5&amp;"|"&amp;$I5))</f>
        <v/>
      </c>
      <c r="AF5" s="11">
        <f>IF($I5="","",IFERROR(1/(1/INDEX(Map_Stats!$K$2:$K$779,MATCH($F5&amp;"|"&amp;$I5,Map_Stats!$A$2:$A$779,0))),$O5))</f>
        <v/>
      </c>
      <c r="AG5" s="8">
        <f>IF(OR($I5="",$P5=""),"",IFERROR(1/(1/INDEX(Map_Stats!$I$2:$I$779,MATCH($F5&amp;"|"&amp;$I5,Map_Stats!$A$2:$A$779,0))),$P5))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IF($C5=Board!$B$2,COUNTIFS($C$2:$C$124,Board!$B$2,$AL$2:$AL$124,"&gt;"&amp;$AL5)+COUNTIFS($C$1:$C4,Board!$B$2,$AL$1:$AL4,$AL5)+1,"")</f>
        <v/>
      </c>
      <c r="AS5">
        <f>IFERROR(IF($D5=INDEX(Matches!$AD$5:$AD$19,MATCH($C5,Matches!$A$5:$A$19,0)),"A",IF($D5=INDEX(Matches!$AE$5:$AE$19,MATCH($C5,Matches!$A$5:$A$19,0)),"B","")),"")</f>
        <v/>
      </c>
      <c r="AT5" s="8">
        <f>IF($AS5="","",IFERROR(IF($AS5="A",INDEX(Matches!$AI$5:$AI$19,MATCH($C5,Matches!$A$5:$A$19,0)),INDEX(Matches!$AJ$5:$AJ$19,MATCH($C5,Matches!$A$5:$A$19,0))),""))</f>
        <v/>
      </c>
      <c r="AU5" s="8">
        <f>IF($AS5="","",IFERROR(IF(INDEX(Matches!$AP$5:$AP$19,MATCH($C5,Matches!$A$5:$A$19,0))="","",IF($AS5="A",INDEX(Matches!$AP$5:$AP$19,MATCH($C5,Matches!$A$5:$A$19,0)),1-INDEX(Matches!$AP$5:$AP$19,MATCH($C5,Matches!$A$5:$A$19,0)))),""))</f>
        <v/>
      </c>
      <c r="AV5" s="11">
        <f>IF(OR($AU5="",$AT5=""),1,((Config!$B$14*$AU5+Config!$B$15*(1-$AU5))/(Config!$B$14*$AT5+Config!$B$15*(1-$AT5)))^Config!$B$13)</f>
        <v/>
      </c>
      <c r="AW5" s="8">
        <f>IF($AS5="","",IFERROR(IF(INDEX(Matches!$AV$5:$AV$19,MATCH($C5,Matches!$A$5:$A$19,0))="","",IF($AS5="A",INDEX(Matches!$AV$5:$AV$19,MATCH($C5,Matches!$A$5:$A$19,0)),1-INDEX(Matches!$AV$5:$AV$19,MATCH($C5,Matches!$A$5:$A$19,0)))),""))</f>
        <v/>
      </c>
      <c r="AX5" s="11">
        <f>IF(OR($AW5="",$AT5=""),1,((Config!$B$14*$AW5+Config!$B$15*(1-$AW5))/(Config!$B$14*$AT5+Config!$B$15*(1-$AT5)))^Config!$B$13)</f>
        <v/>
      </c>
      <c r="AY5" s="8">
        <f>IF($AS5="","",IFERROR(IF(INDEX(Matches!$BB$5:$BB$19,MATCH($C5,Matches!$A$5:$A$19,0))="","",IF($AS5="A",INDEX(Matches!$BB$5:$BB$19,MATCH($C5,Matches!$A$5:$A$19,0)),1-INDEX(Matches!$BB$5:$BB$19,MATCH($C5,Matches!$A$5:$A$19,0)))),""))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6ztw7i4ms6nvy7y|CS2 [NO MARKET] · ACE vs INOX</t>
        </is>
      </c>
      <c r="B6" t="inlineStr">
        <is>
          <t>CS2</t>
        </is>
      </c>
      <c r="C6" t="inlineStr">
        <is>
          <t>CS2 [NO MARKET] · ACE vs INOX</t>
        </is>
      </c>
      <c r="D6" t="inlineStr">
        <is>
          <t>INOX</t>
        </is>
      </c>
      <c r="E6" t="inlineStr">
        <is>
          <t>m1QUSE</t>
        </is>
      </c>
      <c r="F6" t="inlineStr">
        <is>
          <t>6ztw7i4ms6nvy7y</t>
        </is>
      </c>
      <c r="G6">
        <f>IFERROR(IF(INDEX(Matches!$W$5:$W$19,MATCH($C6,Matches!$A$5:$A$19,0))="","",INDEX(Matches!$W$5:$W$19,MATCH($C6,Matches!$A$5:$A$19,0))),"")</f>
        <v/>
      </c>
      <c r="H6">
        <f>IFERROR(IF(INDEX(Matches!$X$5:$X$19,MATCH($C6,Matches!$A$5:$A$19,0))="","",INDEX(Matches!$X$5:$X$19,MATCH($C6,Matches!$A$5:$A$19,0))),"")</f>
        <v/>
      </c>
      <c r="I6">
        <f>IFERROR(IF(INDEX(Matches!$Y$5:$Y$19,MATCH($C6,Matches!$A$5:$A$19,0))="","",INDEX(Matches!$Y$5:$Y$19,MATCH($C6,Matches!$A$5:$A$19,0))),"")</f>
        <v/>
      </c>
      <c r="J6">
        <f>IFERROR(IF(INDEX(Matches!$Z$5:$Z$19,MATCH($C6,Matches!$A$5:$A$19,0))="","",INDEX(Matches!$Z$5:$Z$19,MATCH($C6,Matches!$A$5:$A$19,0))),"")</f>
        <v/>
      </c>
      <c r="K6">
        <f>IFERROR(IF(INDEX(Matches!$AA$5:$AA$19,MATCH($C6,Matches!$A$5:$A$19,0))="","",INDEX(Matches!$AA$5:$AA$19,MATCH($C6,Matches!$A$5:$A$19,0))),"")</f>
        <v/>
      </c>
      <c r="L6">
        <f>IFERROR(IF(INDEX(Matches!$AB$5:$AB$19,MATCH($C6,Matches!$A$5:$A$19,0))="","",INDEX(Matches!$AB$5:$AB$19,MATCH($C6,Matches!$A$5:$A$19,0))),"")</f>
        <v/>
      </c>
      <c r="M6" s="8">
        <f>IFERROR(IF(INDEX(Matches!$AC$5:$AC$19,MATCH($C6,Matches!$A$5:$A$19,0))="","",INDEX(Matches!$AC$5:$AC$19,MATCH($C6,Matches!$A$5:$A$19,0))),"")</f>
        <v/>
      </c>
      <c r="N6">
        <f>IFERROR(INDEX(Players!$F$2:$F$124,MATCH($F6,Players!$A$2:$A$124,0)),0)</f>
        <v/>
      </c>
      <c r="O6" s="11">
        <f>IFERROR(1/(1/INDEX(Players!$H$2:$H$124,MATCH($F6,Players!$A$2:$A$124,0))),"")</f>
        <v/>
      </c>
      <c r="P6" s="8">
        <f>IFERROR(1/(1/INDEX(Players!$I$2:$I$124,MATCH($F6,Players!$A$2:$A$124,0))),"")</f>
        <v/>
      </c>
      <c r="Q6">
        <f>IF($G6="",0,SUMIFS(Map_Stats!$F$2:$F$779,Map_Stats!$A$2:$A$779,$F6&amp;"|"&amp;$G6))</f>
        <v/>
      </c>
      <c r="R6" s="11">
        <f>IF($G6="","",IFERROR(1/(1/INDEX(Map_Stats!$K$2:$K$779,MATCH($F6&amp;"|"&amp;$G6,Map_Stats!$A$2:$A$779,0))),$O6))</f>
        <v/>
      </c>
      <c r="S6" s="8">
        <f>IF(OR($G6="",$P6=""),"",IFERROR(1/(1/INDEX(Map_Stats!$I$2:$I$779,MATCH($F6&amp;"|"&amp;$G6,Map_Stats!$A$2:$A$779,0))),$P6))</f>
        <v/>
      </c>
      <c r="T6" s="11">
        <f>IF(OR($G6="",R6=""),"",IF($O6="",R6,(Q6*R6+Config!$B$4*$O6)/(Q6+Config!$B$4)))</f>
        <v/>
      </c>
      <c r="U6" s="8">
        <f>IF(S6="","",(Q6*S6+Config!$B$4*$P6)/(Q6+Config!$B$4))</f>
        <v/>
      </c>
      <c r="V6" s="15">
        <f>IF(OR(T6="",$J6=""),"",T6*$J6*($J6/Config!$B$10)^Config!$B$9)</f>
        <v/>
      </c>
      <c r="W6" s="15">
        <f>IF(OR(V6="",U6=""),"",V6*U6)</f>
        <v/>
      </c>
      <c r="X6">
        <f>IF($H6="",0,SUMIFS(Map_Stats!$F$2:$F$779,Map_Stats!$A$2:$A$779,$F6&amp;"|"&amp;$H6))</f>
        <v/>
      </c>
      <c r="Y6" s="11">
        <f>IF($H6="","",IFERROR(1/(1/INDEX(Map_Stats!$K$2:$K$779,MATCH($F6&amp;"|"&amp;$H6,Map_Stats!$A$2:$A$779,0))),$O6))</f>
        <v/>
      </c>
      <c r="Z6" s="8">
        <f>IF(OR($H6="",$P6=""),"",IFERROR(1/(1/INDEX(Map_Stats!$I$2:$I$779,MATCH($F6&amp;"|"&amp;$H6,Map_Stats!$A$2:$A$779,0))),$P6))</f>
        <v/>
      </c>
      <c r="AA6" s="11">
        <f>IF(OR($H6="",Y6=""),"",IF($O6="",Y6,(X6*Y6+Config!$B$4*$O6)/(X6+Config!$B$4)))</f>
        <v/>
      </c>
      <c r="AB6" s="8">
        <f>IF(Z6="","",(X6*Z6+Config!$B$4*$P6)/(X6+Config!$B$4))</f>
        <v/>
      </c>
      <c r="AC6" s="15">
        <f>IF(OR(AA6="",$K6=""),"",AA6*$K6*($K6/Config!$B$10)^Config!$B$9)</f>
        <v/>
      </c>
      <c r="AD6" s="15">
        <f>IF(OR(AC6="",AB6=""),"",AC6*AB6)</f>
        <v/>
      </c>
      <c r="AE6">
        <f>IF($I6="",0,SUMIFS(Map_Stats!$F$2:$F$779,Map_Stats!$A$2:$A$779,$F6&amp;"|"&amp;$I6))</f>
        <v/>
      </c>
      <c r="AF6" s="11">
        <f>IF($I6="","",IFERROR(1/(1/INDEX(Map_Stats!$K$2:$K$779,MATCH($F6&amp;"|"&amp;$I6,Map_Stats!$A$2:$A$779,0))),$O6))</f>
        <v/>
      </c>
      <c r="AG6" s="8">
        <f>IF(OR($I6="",$P6=""),"",IFERROR(1/(1/INDEX(Map_Stats!$I$2:$I$779,MATCH($F6&amp;"|"&amp;$I6,Map_Stats!$A$2:$A$779,0))),$P6))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IF($C6=Board!$B$2,COUNTIFS($C$2:$C$124,Board!$B$2,$AL$2:$AL$124,"&gt;"&amp;$AL6)+COUNTIFS($C$1:$C5,Board!$B$2,$AL$1:$AL5,$AL6)+1,"")</f>
        <v/>
      </c>
      <c r="AS6">
        <f>IFERROR(IF($D6=INDEX(Matches!$AD$5:$AD$19,MATCH($C6,Matches!$A$5:$A$19,0)),"A",IF($D6=INDEX(Matches!$AE$5:$AE$19,MATCH($C6,Matches!$A$5:$A$19,0)),"B","")),"")</f>
        <v/>
      </c>
      <c r="AT6" s="8">
        <f>IF($AS6="","",IFERROR(IF($AS6="A",INDEX(Matches!$AI$5:$AI$19,MATCH($C6,Matches!$A$5:$A$19,0)),INDEX(Matches!$AJ$5:$AJ$19,MATCH($C6,Matches!$A$5:$A$19,0))),""))</f>
        <v/>
      </c>
      <c r="AU6" s="8">
        <f>IF($AS6="","",IFERROR(IF(INDEX(Matches!$AP$5:$AP$19,MATCH($C6,Matches!$A$5:$A$19,0))="","",IF($AS6="A",INDEX(Matches!$AP$5:$AP$19,MATCH($C6,Matches!$A$5:$A$19,0)),1-INDEX(Matches!$AP$5:$AP$19,MATCH($C6,Matches!$A$5:$A$19,0)))),""))</f>
        <v/>
      </c>
      <c r="AV6" s="11">
        <f>IF(OR($AU6="",$AT6=""),1,((Config!$B$14*$AU6+Config!$B$15*(1-$AU6))/(Config!$B$14*$AT6+Config!$B$15*(1-$AT6)))^Config!$B$13)</f>
        <v/>
      </c>
      <c r="AW6" s="8">
        <f>IF($AS6="","",IFERROR(IF(INDEX(Matches!$AV$5:$AV$19,MATCH($C6,Matches!$A$5:$A$19,0))="","",IF($AS6="A",INDEX(Matches!$AV$5:$AV$19,MATCH($C6,Matches!$A$5:$A$19,0)),1-INDEX(Matches!$AV$5:$AV$19,MATCH($C6,Matches!$A$5:$A$19,0)))),""))</f>
        <v/>
      </c>
      <c r="AX6" s="11">
        <f>IF(OR($AW6="",$AT6=""),1,((Config!$B$14*$AW6+Config!$B$15*(1-$AW6))/(Config!$B$14*$AT6+Config!$B$15*(1-$AT6)))^Config!$B$13)</f>
        <v/>
      </c>
      <c r="AY6" s="8">
        <f>IF($AS6="","",IFERROR(IF(INDEX(Matches!$BB$5:$BB$19,MATCH($C6,Matches!$A$5:$A$19,0))="","",IF($AS6="A",INDEX(Matches!$BB$5:$BB$19,MATCH($C6,Matches!$A$5:$A$19,0)),1-INDEX(Matches!$BB$5:$BB$19,MATCH($C6,Matches!$A$5:$A$19,0)))),""))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slm7b5sevqrznls|CS2 [NO MARKET] · ACE vs UNiTY</t>
        </is>
      </c>
      <c r="B7" t="inlineStr">
        <is>
          <t>CS2</t>
        </is>
      </c>
      <c r="C7" t="inlineStr">
        <is>
          <t>CS2 [NO MARKET] · ACE vs UNiTY</t>
        </is>
      </c>
      <c r="D7" t="inlineStr">
        <is>
          <t>UNiTY</t>
        </is>
      </c>
      <c r="E7" t="inlineStr">
        <is>
          <t>2high</t>
        </is>
      </c>
      <c r="F7" t="inlineStr">
        <is>
          <t>slm7b5sevqrznls</t>
        </is>
      </c>
      <c r="G7">
        <f>IFERROR(IF(INDEX(Matches!$W$5:$W$19,MATCH($C7,Matches!$A$5:$A$19,0))="","",INDEX(Matches!$W$5:$W$19,MATCH($C7,Matches!$A$5:$A$19,0))),"")</f>
        <v/>
      </c>
      <c r="H7">
        <f>IFERROR(IF(INDEX(Matches!$X$5:$X$19,MATCH($C7,Matches!$A$5:$A$19,0))="","",INDEX(Matches!$X$5:$X$19,MATCH($C7,Matches!$A$5:$A$19,0))),"")</f>
        <v/>
      </c>
      <c r="I7">
        <f>IFERROR(IF(INDEX(Matches!$Y$5:$Y$19,MATCH($C7,Matches!$A$5:$A$19,0))="","",INDEX(Matches!$Y$5:$Y$19,MATCH($C7,Matches!$A$5:$A$19,0))),"")</f>
        <v/>
      </c>
      <c r="J7">
        <f>IFERROR(IF(INDEX(Matches!$Z$5:$Z$19,MATCH($C7,Matches!$A$5:$A$19,0))="","",INDEX(Matches!$Z$5:$Z$19,MATCH($C7,Matches!$A$5:$A$19,0))),"")</f>
        <v/>
      </c>
      <c r="K7">
        <f>IFERROR(IF(INDEX(Matches!$AA$5:$AA$19,MATCH($C7,Matches!$A$5:$A$19,0))="","",INDEX(Matches!$AA$5:$AA$19,MATCH($C7,Matches!$A$5:$A$19,0))),"")</f>
        <v/>
      </c>
      <c r="L7">
        <f>IFERROR(IF(INDEX(Matches!$AB$5:$AB$19,MATCH($C7,Matches!$A$5:$A$19,0))="","",INDEX(Matches!$AB$5:$AB$19,MATCH($C7,Matches!$A$5:$A$19,0))),"")</f>
        <v/>
      </c>
      <c r="M7" s="8">
        <f>IFERROR(IF(INDEX(Matches!$AC$5:$AC$19,MATCH($C7,Matches!$A$5:$A$19,0))="","",INDEX(Matches!$AC$5:$AC$19,MATCH($C7,Matches!$A$5:$A$19,0))),"")</f>
        <v/>
      </c>
      <c r="N7">
        <f>IFERROR(INDEX(Players!$F$2:$F$124,MATCH($F7,Players!$A$2:$A$124,0)),0)</f>
        <v/>
      </c>
      <c r="O7" s="11">
        <f>IFERROR(1/(1/INDEX(Players!$H$2:$H$124,MATCH($F7,Players!$A$2:$A$124,0))),"")</f>
        <v/>
      </c>
      <c r="P7" s="8">
        <f>IFERROR(1/(1/INDEX(Players!$I$2:$I$124,MATCH($F7,Players!$A$2:$A$124,0))),"")</f>
        <v/>
      </c>
      <c r="Q7">
        <f>IF($G7="",0,SUMIFS(Map_Stats!$F$2:$F$779,Map_Stats!$A$2:$A$779,$F7&amp;"|"&amp;$G7))</f>
        <v/>
      </c>
      <c r="R7" s="11">
        <f>IF($G7="","",IFERROR(1/(1/INDEX(Map_Stats!$K$2:$K$779,MATCH($F7&amp;"|"&amp;$G7,Map_Stats!$A$2:$A$779,0))),$O7))</f>
        <v/>
      </c>
      <c r="S7" s="8">
        <f>IF(OR($G7="",$P7=""),"",IFERROR(1/(1/INDEX(Map_Stats!$I$2:$I$779,MATCH($F7&amp;"|"&amp;$G7,Map_Stats!$A$2:$A$779,0))),$P7))</f>
        <v/>
      </c>
      <c r="T7" s="11">
        <f>IF(OR($G7="",R7=""),"",IF($O7="",R7,(Q7*R7+Config!$B$4*$O7)/(Q7+Config!$B$4)))</f>
        <v/>
      </c>
      <c r="U7" s="8">
        <f>IF(S7="","",(Q7*S7+Config!$B$4*$P7)/(Q7+Config!$B$4))</f>
        <v/>
      </c>
      <c r="V7" s="15">
        <f>IF(OR(T7="",$J7=""),"",T7*$J7*($J7/Config!$B$10)^Config!$B$9)</f>
        <v/>
      </c>
      <c r="W7" s="15">
        <f>IF(OR(V7="",U7=""),"",V7*U7)</f>
        <v/>
      </c>
      <c r="X7">
        <f>IF($H7="",0,SUMIFS(Map_Stats!$F$2:$F$779,Map_Stats!$A$2:$A$779,$F7&amp;"|"&amp;$H7))</f>
        <v/>
      </c>
      <c r="Y7" s="11">
        <f>IF($H7="","",IFERROR(1/(1/INDEX(Map_Stats!$K$2:$K$779,MATCH($F7&amp;"|"&amp;$H7,Map_Stats!$A$2:$A$779,0))),$O7))</f>
        <v/>
      </c>
      <c r="Z7" s="8">
        <f>IF(OR($H7="",$P7=""),"",IFERROR(1/(1/INDEX(Map_Stats!$I$2:$I$779,MATCH($F7&amp;"|"&amp;$H7,Map_Stats!$A$2:$A$779,0))),$P7))</f>
        <v/>
      </c>
      <c r="AA7" s="11">
        <f>IF(OR($H7="",Y7=""),"",IF($O7="",Y7,(X7*Y7+Config!$B$4*$O7)/(X7+Config!$B$4)))</f>
        <v/>
      </c>
      <c r="AB7" s="8">
        <f>IF(Z7="","",(X7*Z7+Config!$B$4*$P7)/(X7+Config!$B$4))</f>
        <v/>
      </c>
      <c r="AC7" s="15">
        <f>IF(OR(AA7="",$K7=""),"",AA7*$K7*($K7/Config!$B$10)^Config!$B$9)</f>
        <v/>
      </c>
      <c r="AD7" s="15">
        <f>IF(OR(AC7="",AB7=""),"",AC7*AB7)</f>
        <v/>
      </c>
      <c r="AE7">
        <f>IF($I7="",0,SUMIFS(Map_Stats!$F$2:$F$779,Map_Stats!$A$2:$A$779,$F7&amp;"|"&amp;$I7))</f>
        <v/>
      </c>
      <c r="AF7" s="11">
        <f>IF($I7="","",IFERROR(1/(1/INDEX(Map_Stats!$K$2:$K$779,MATCH($F7&amp;"|"&amp;$I7,Map_Stats!$A$2:$A$779,0))),$O7))</f>
        <v/>
      </c>
      <c r="AG7" s="8">
        <f>IF(OR($I7="",$P7=""),"",IFERROR(1/(1/INDEX(Map_Stats!$I$2:$I$779,MATCH($F7&amp;"|"&amp;$I7,Map_Stats!$A$2:$A$779,0))),$P7))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IF($C7=Board!$B$2,COUNTIFS($C$2:$C$124,Board!$B$2,$AL$2:$AL$124,"&gt;"&amp;$AL7)+COUNTIFS($C$1:$C6,Board!$B$2,$AL$1:$AL6,$AL7)+1,"")</f>
        <v/>
      </c>
      <c r="AS7">
        <f>IFERROR(IF($D7=INDEX(Matches!$AD$5:$AD$19,MATCH($C7,Matches!$A$5:$A$19,0)),"A",IF($D7=INDEX(Matches!$AE$5:$AE$19,MATCH($C7,Matches!$A$5:$A$19,0)),"B","")),"")</f>
        <v/>
      </c>
      <c r="AT7" s="8">
        <f>IF($AS7="","",IFERROR(IF($AS7="A",INDEX(Matches!$AI$5:$AI$19,MATCH($C7,Matches!$A$5:$A$19,0)),INDEX(Matches!$AJ$5:$AJ$19,MATCH($C7,Matches!$A$5:$A$19,0))),""))</f>
        <v/>
      </c>
      <c r="AU7" s="8">
        <f>IF($AS7="","",IFERROR(IF(INDEX(Matches!$AP$5:$AP$19,MATCH($C7,Matches!$A$5:$A$19,0))="","",IF($AS7="A",INDEX(Matches!$AP$5:$AP$19,MATCH($C7,Matches!$A$5:$A$19,0)),1-INDEX(Matches!$AP$5:$AP$19,MATCH($C7,Matches!$A$5:$A$19,0)))),""))</f>
        <v/>
      </c>
      <c r="AV7" s="11">
        <f>IF(OR($AU7="",$AT7=""),1,((Config!$B$14*$AU7+Config!$B$15*(1-$AU7))/(Config!$B$14*$AT7+Config!$B$15*(1-$AT7)))^Config!$B$13)</f>
        <v/>
      </c>
      <c r="AW7" s="8">
        <f>IF($AS7="","",IFERROR(IF(INDEX(Matches!$AV$5:$AV$19,MATCH($C7,Matches!$A$5:$A$19,0))="","",IF($AS7="A",INDEX(Matches!$AV$5:$AV$19,MATCH($C7,Matches!$A$5:$A$19,0)),1-INDEX(Matches!$AV$5:$AV$19,MATCH($C7,Matches!$A$5:$A$19,0)))),""))</f>
        <v/>
      </c>
      <c r="AX7" s="11">
        <f>IF(OR($AW7="",$AT7=""),1,((Config!$B$14*$AW7+Config!$B$15*(1-$AW7))/(Config!$B$14*$AT7+Config!$B$15*(1-$AT7)))^Config!$B$13)</f>
        <v/>
      </c>
      <c r="AY7" s="8">
        <f>IF($AS7="","",IFERROR(IF(INDEX(Matches!$BB$5:$BB$19,MATCH($C7,Matches!$A$5:$A$19,0))="","",IF($AS7="A",INDEX(Matches!$BB$5:$BB$19,MATCH($C7,Matches!$A$5:$A$19,0)),1-INDEX(Matches!$BB$5:$BB$19,MATCH($C7,Matches!$A$5:$A$19,0)))),""))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9xneuyz69zuftic|CS2 [NO MARKET] · ACE vs UNiTY</t>
        </is>
      </c>
      <c r="B8" t="inlineStr">
        <is>
          <t>CS2</t>
        </is>
      </c>
      <c r="C8" t="inlineStr">
        <is>
          <t>CS2 [NO MARKET] · ACE vs UNiTY</t>
        </is>
      </c>
      <c r="D8" t="inlineStr">
        <is>
          <t>UNiTY</t>
        </is>
      </c>
      <c r="E8" t="inlineStr">
        <is>
          <t>Dytor</t>
        </is>
      </c>
      <c r="F8" t="inlineStr">
        <is>
          <t>9xneuyz69zuftic</t>
        </is>
      </c>
      <c r="G8">
        <f>IFERROR(IF(INDEX(Matches!$W$5:$W$19,MATCH($C8,Matches!$A$5:$A$19,0))="","",INDEX(Matches!$W$5:$W$19,MATCH($C8,Matches!$A$5:$A$19,0))),"")</f>
        <v/>
      </c>
      <c r="H8">
        <f>IFERROR(IF(INDEX(Matches!$X$5:$X$19,MATCH($C8,Matches!$A$5:$A$19,0))="","",INDEX(Matches!$X$5:$X$19,MATCH($C8,Matches!$A$5:$A$19,0))),"")</f>
        <v/>
      </c>
      <c r="I8">
        <f>IFERROR(IF(INDEX(Matches!$Y$5:$Y$19,MATCH($C8,Matches!$A$5:$A$19,0))="","",INDEX(Matches!$Y$5:$Y$19,MATCH($C8,Matches!$A$5:$A$19,0))),"")</f>
        <v/>
      </c>
      <c r="J8">
        <f>IFERROR(IF(INDEX(Matches!$Z$5:$Z$19,MATCH($C8,Matches!$A$5:$A$19,0))="","",INDEX(Matches!$Z$5:$Z$19,MATCH($C8,Matches!$A$5:$A$19,0))),"")</f>
        <v/>
      </c>
      <c r="K8">
        <f>IFERROR(IF(INDEX(Matches!$AA$5:$AA$19,MATCH($C8,Matches!$A$5:$A$19,0))="","",INDEX(Matches!$AA$5:$AA$19,MATCH($C8,Matches!$A$5:$A$19,0))),"")</f>
        <v/>
      </c>
      <c r="L8">
        <f>IFERROR(IF(INDEX(Matches!$AB$5:$AB$19,MATCH($C8,Matches!$A$5:$A$19,0))="","",INDEX(Matches!$AB$5:$AB$19,MATCH($C8,Matches!$A$5:$A$19,0))),"")</f>
        <v/>
      </c>
      <c r="M8" s="8">
        <f>IFERROR(IF(INDEX(Matches!$AC$5:$AC$19,MATCH($C8,Matches!$A$5:$A$19,0))="","",INDEX(Matches!$AC$5:$AC$19,MATCH($C8,Matches!$A$5:$A$19,0))),"")</f>
        <v/>
      </c>
      <c r="N8">
        <f>IFERROR(INDEX(Players!$F$2:$F$124,MATCH($F8,Players!$A$2:$A$124,0)),0)</f>
        <v/>
      </c>
      <c r="O8" s="11">
        <f>IFERROR(1/(1/INDEX(Players!$H$2:$H$124,MATCH($F8,Players!$A$2:$A$124,0))),"")</f>
        <v/>
      </c>
      <c r="P8" s="8">
        <f>IFERROR(1/(1/INDEX(Players!$I$2:$I$124,MATCH($F8,Players!$A$2:$A$124,0))),"")</f>
        <v/>
      </c>
      <c r="Q8">
        <f>IF($G8="",0,SUMIFS(Map_Stats!$F$2:$F$779,Map_Stats!$A$2:$A$779,$F8&amp;"|"&amp;$G8))</f>
        <v/>
      </c>
      <c r="R8" s="11">
        <f>IF($G8="","",IFERROR(1/(1/INDEX(Map_Stats!$K$2:$K$779,MATCH($F8&amp;"|"&amp;$G8,Map_Stats!$A$2:$A$779,0))),$O8))</f>
        <v/>
      </c>
      <c r="S8" s="8">
        <f>IF(OR($G8="",$P8=""),"",IFERROR(1/(1/INDEX(Map_Stats!$I$2:$I$779,MATCH($F8&amp;"|"&amp;$G8,Map_Stats!$A$2:$A$779,0))),$P8))</f>
        <v/>
      </c>
      <c r="T8" s="11">
        <f>IF(OR($G8="",R8=""),"",IF($O8="",R8,(Q8*R8+Config!$B$4*$O8)/(Q8+Config!$B$4)))</f>
        <v/>
      </c>
      <c r="U8" s="8">
        <f>IF(S8="","",(Q8*S8+Config!$B$4*$P8)/(Q8+Config!$B$4))</f>
        <v/>
      </c>
      <c r="V8" s="15">
        <f>IF(OR(T8="",$J8=""),"",T8*$J8*($J8/Config!$B$10)^Config!$B$9)</f>
        <v/>
      </c>
      <c r="W8" s="15">
        <f>IF(OR(V8="",U8=""),"",V8*U8)</f>
        <v/>
      </c>
      <c r="X8">
        <f>IF($H8="",0,SUMIFS(Map_Stats!$F$2:$F$779,Map_Stats!$A$2:$A$779,$F8&amp;"|"&amp;$H8))</f>
        <v/>
      </c>
      <c r="Y8" s="11">
        <f>IF($H8="","",IFERROR(1/(1/INDEX(Map_Stats!$K$2:$K$779,MATCH($F8&amp;"|"&amp;$H8,Map_Stats!$A$2:$A$779,0))),$O8))</f>
        <v/>
      </c>
      <c r="Z8" s="8">
        <f>IF(OR($H8="",$P8=""),"",IFERROR(1/(1/INDEX(Map_Stats!$I$2:$I$779,MATCH($F8&amp;"|"&amp;$H8,Map_Stats!$A$2:$A$779,0))),$P8))</f>
        <v/>
      </c>
      <c r="AA8" s="11">
        <f>IF(OR($H8="",Y8=""),"",IF($O8="",Y8,(X8*Y8+Config!$B$4*$O8)/(X8+Config!$B$4)))</f>
        <v/>
      </c>
      <c r="AB8" s="8">
        <f>IF(Z8="","",(X8*Z8+Config!$B$4*$P8)/(X8+Config!$B$4))</f>
        <v/>
      </c>
      <c r="AC8" s="15">
        <f>IF(OR(AA8="",$K8=""),"",AA8*$K8*($K8/Config!$B$10)^Config!$B$9)</f>
        <v/>
      </c>
      <c r="AD8" s="15">
        <f>IF(OR(AC8="",AB8=""),"",AC8*AB8)</f>
        <v/>
      </c>
      <c r="AE8">
        <f>IF($I8="",0,SUMIFS(Map_Stats!$F$2:$F$779,Map_Stats!$A$2:$A$779,$F8&amp;"|"&amp;$I8))</f>
        <v/>
      </c>
      <c r="AF8" s="11">
        <f>IF($I8="","",IFERROR(1/(1/INDEX(Map_Stats!$K$2:$K$779,MATCH($F8&amp;"|"&amp;$I8,Map_Stats!$A$2:$A$779,0))),$O8))</f>
        <v/>
      </c>
      <c r="AG8" s="8">
        <f>IF(OR($I8="",$P8=""),"",IFERROR(1/(1/INDEX(Map_Stats!$I$2:$I$779,MATCH($F8&amp;"|"&amp;$I8,Map_Stats!$A$2:$A$779,0))),$P8))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IF($C8=Board!$B$2,COUNTIFS($C$2:$C$124,Board!$B$2,$AL$2:$AL$124,"&gt;"&amp;$AL8)+COUNTIFS($C$1:$C7,Board!$B$2,$AL$1:$AL7,$AL8)+1,"")</f>
        <v/>
      </c>
      <c r="AS8">
        <f>IFERROR(IF($D8=INDEX(Matches!$AD$5:$AD$19,MATCH($C8,Matches!$A$5:$A$19,0)),"A",IF($D8=INDEX(Matches!$AE$5:$AE$19,MATCH($C8,Matches!$A$5:$A$19,0)),"B","")),"")</f>
        <v/>
      </c>
      <c r="AT8" s="8">
        <f>IF($AS8="","",IFERROR(IF($AS8="A",INDEX(Matches!$AI$5:$AI$19,MATCH($C8,Matches!$A$5:$A$19,0)),INDEX(Matches!$AJ$5:$AJ$19,MATCH($C8,Matches!$A$5:$A$19,0))),""))</f>
        <v/>
      </c>
      <c r="AU8" s="8">
        <f>IF($AS8="","",IFERROR(IF(INDEX(Matches!$AP$5:$AP$19,MATCH($C8,Matches!$A$5:$A$19,0))="","",IF($AS8="A",INDEX(Matches!$AP$5:$AP$19,MATCH($C8,Matches!$A$5:$A$19,0)),1-INDEX(Matches!$AP$5:$AP$19,MATCH($C8,Matches!$A$5:$A$19,0)))),""))</f>
        <v/>
      </c>
      <c r="AV8" s="11">
        <f>IF(OR($AU8="",$AT8=""),1,((Config!$B$14*$AU8+Config!$B$15*(1-$AU8))/(Config!$B$14*$AT8+Config!$B$15*(1-$AT8)))^Config!$B$13)</f>
        <v/>
      </c>
      <c r="AW8" s="8">
        <f>IF($AS8="","",IFERROR(IF(INDEX(Matches!$AV$5:$AV$19,MATCH($C8,Matches!$A$5:$A$19,0))="","",IF($AS8="A",INDEX(Matches!$AV$5:$AV$19,MATCH($C8,Matches!$A$5:$A$19,0)),1-INDEX(Matches!$AV$5:$AV$19,MATCH($C8,Matches!$A$5:$A$19,0)))),""))</f>
        <v/>
      </c>
      <c r="AX8" s="11">
        <f>IF(OR($AW8="",$AT8=""),1,((Config!$B$14*$AW8+Config!$B$15*(1-$AW8))/(Config!$B$14*$AT8+Config!$B$15*(1-$AT8)))^Config!$B$13)</f>
        <v/>
      </c>
      <c r="AY8" s="8">
        <f>IF($AS8="","",IFERROR(IF(INDEX(Matches!$BB$5:$BB$19,MATCH($C8,Matches!$A$5:$A$19,0))="","",IF($AS8="A",INDEX(Matches!$BB$5:$BB$19,MATCH($C8,Matches!$A$5:$A$19,0)),1-INDEX(Matches!$BB$5:$BB$19,MATCH($C8,Matches!$A$5:$A$19,0)))),""))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efi7mmb5o1ctn6l|CS2 [NO MARKET] · ACE vs UNiTY</t>
        </is>
      </c>
      <c r="B9" t="inlineStr">
        <is>
          <t>CS2</t>
        </is>
      </c>
      <c r="C9" t="inlineStr">
        <is>
          <t>CS2 [NO MARKET] · ACE vs UNiTY</t>
        </is>
      </c>
      <c r="D9" t="inlineStr">
        <is>
          <t>UNiTY</t>
        </is>
      </c>
      <c r="E9" t="inlineStr">
        <is>
          <t>KWERTZZ</t>
        </is>
      </c>
      <c r="F9" t="inlineStr">
        <is>
          <t>efi7mmb5o1ctn6l</t>
        </is>
      </c>
      <c r="G9">
        <f>IFERROR(IF(INDEX(Matches!$W$5:$W$19,MATCH($C9,Matches!$A$5:$A$19,0))="","",INDEX(Matches!$W$5:$W$19,MATCH($C9,Matches!$A$5:$A$19,0))),"")</f>
        <v/>
      </c>
      <c r="H9">
        <f>IFERROR(IF(INDEX(Matches!$X$5:$X$19,MATCH($C9,Matches!$A$5:$A$19,0))="","",INDEX(Matches!$X$5:$X$19,MATCH($C9,Matches!$A$5:$A$19,0))),"")</f>
        <v/>
      </c>
      <c r="I9">
        <f>IFERROR(IF(INDEX(Matches!$Y$5:$Y$19,MATCH($C9,Matches!$A$5:$A$19,0))="","",INDEX(Matches!$Y$5:$Y$19,MATCH($C9,Matches!$A$5:$A$19,0))),"")</f>
        <v/>
      </c>
      <c r="J9">
        <f>IFERROR(IF(INDEX(Matches!$Z$5:$Z$19,MATCH($C9,Matches!$A$5:$A$19,0))="","",INDEX(Matches!$Z$5:$Z$19,MATCH($C9,Matches!$A$5:$A$19,0))),"")</f>
        <v/>
      </c>
      <c r="K9">
        <f>IFERROR(IF(INDEX(Matches!$AA$5:$AA$19,MATCH($C9,Matches!$A$5:$A$19,0))="","",INDEX(Matches!$AA$5:$AA$19,MATCH($C9,Matches!$A$5:$A$19,0))),"")</f>
        <v/>
      </c>
      <c r="L9">
        <f>IFERROR(IF(INDEX(Matches!$AB$5:$AB$19,MATCH($C9,Matches!$A$5:$A$19,0))="","",INDEX(Matches!$AB$5:$AB$19,MATCH($C9,Matches!$A$5:$A$19,0))),"")</f>
        <v/>
      </c>
      <c r="M9" s="8">
        <f>IFERROR(IF(INDEX(Matches!$AC$5:$AC$19,MATCH($C9,Matches!$A$5:$A$19,0))="","",INDEX(Matches!$AC$5:$AC$19,MATCH($C9,Matches!$A$5:$A$19,0))),"")</f>
        <v/>
      </c>
      <c r="N9">
        <f>IFERROR(INDEX(Players!$F$2:$F$124,MATCH($F9,Players!$A$2:$A$124,0)),0)</f>
        <v/>
      </c>
      <c r="O9" s="11">
        <f>IFERROR(1/(1/INDEX(Players!$H$2:$H$124,MATCH($F9,Players!$A$2:$A$124,0))),"")</f>
        <v/>
      </c>
      <c r="P9" s="8">
        <f>IFERROR(1/(1/INDEX(Players!$I$2:$I$124,MATCH($F9,Players!$A$2:$A$124,0))),"")</f>
        <v/>
      </c>
      <c r="Q9">
        <f>IF($G9="",0,SUMIFS(Map_Stats!$F$2:$F$779,Map_Stats!$A$2:$A$779,$F9&amp;"|"&amp;$G9))</f>
        <v/>
      </c>
      <c r="R9" s="11">
        <f>IF($G9="","",IFERROR(1/(1/INDEX(Map_Stats!$K$2:$K$779,MATCH($F9&amp;"|"&amp;$G9,Map_Stats!$A$2:$A$779,0))),$O9))</f>
        <v/>
      </c>
      <c r="S9" s="8">
        <f>IF(OR($G9="",$P9=""),"",IFERROR(1/(1/INDEX(Map_Stats!$I$2:$I$779,MATCH($F9&amp;"|"&amp;$G9,Map_Stats!$A$2:$A$779,0))),$P9))</f>
        <v/>
      </c>
      <c r="T9" s="11">
        <f>IF(OR($G9="",R9=""),"",IF($O9="",R9,(Q9*R9+Config!$B$4*$O9)/(Q9+Config!$B$4)))</f>
        <v/>
      </c>
      <c r="U9" s="8">
        <f>IF(S9="","",(Q9*S9+Config!$B$4*$P9)/(Q9+Config!$B$4))</f>
        <v/>
      </c>
      <c r="V9" s="15">
        <f>IF(OR(T9="",$J9=""),"",T9*$J9*($J9/Config!$B$10)^Config!$B$9)</f>
        <v/>
      </c>
      <c r="W9" s="15">
        <f>IF(OR(V9="",U9=""),"",V9*U9)</f>
        <v/>
      </c>
      <c r="X9">
        <f>IF($H9="",0,SUMIFS(Map_Stats!$F$2:$F$779,Map_Stats!$A$2:$A$779,$F9&amp;"|"&amp;$H9))</f>
        <v/>
      </c>
      <c r="Y9" s="11">
        <f>IF($H9="","",IFERROR(1/(1/INDEX(Map_Stats!$K$2:$K$779,MATCH($F9&amp;"|"&amp;$H9,Map_Stats!$A$2:$A$779,0))),$O9))</f>
        <v/>
      </c>
      <c r="Z9" s="8">
        <f>IF(OR($H9="",$P9=""),"",IFERROR(1/(1/INDEX(Map_Stats!$I$2:$I$779,MATCH($F9&amp;"|"&amp;$H9,Map_Stats!$A$2:$A$779,0))),$P9))</f>
        <v/>
      </c>
      <c r="AA9" s="11">
        <f>IF(OR($H9="",Y9=""),"",IF($O9="",Y9,(X9*Y9+Config!$B$4*$O9)/(X9+Config!$B$4)))</f>
        <v/>
      </c>
      <c r="AB9" s="8">
        <f>IF(Z9="","",(X9*Z9+Config!$B$4*$P9)/(X9+Config!$B$4))</f>
        <v/>
      </c>
      <c r="AC9" s="15">
        <f>IF(OR(AA9="",$K9=""),"",AA9*$K9*($K9/Config!$B$10)^Config!$B$9)</f>
        <v/>
      </c>
      <c r="AD9" s="15">
        <f>IF(OR(AC9="",AB9=""),"",AC9*AB9)</f>
        <v/>
      </c>
      <c r="AE9">
        <f>IF($I9="",0,SUMIFS(Map_Stats!$F$2:$F$779,Map_Stats!$A$2:$A$779,$F9&amp;"|"&amp;$I9))</f>
        <v/>
      </c>
      <c r="AF9" s="11">
        <f>IF($I9="","",IFERROR(1/(1/INDEX(Map_Stats!$K$2:$K$779,MATCH($F9&amp;"|"&amp;$I9,Map_Stats!$A$2:$A$779,0))),$O9))</f>
        <v/>
      </c>
      <c r="AG9" s="8">
        <f>IF(OR($I9="",$P9=""),"",IFERROR(1/(1/INDEX(Map_Stats!$I$2:$I$779,MATCH($F9&amp;"|"&amp;$I9,Map_Stats!$A$2:$A$779,0))),$P9))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IF($C9=Board!$B$2,COUNTIFS($C$2:$C$124,Board!$B$2,$AL$2:$AL$124,"&gt;"&amp;$AL9)+COUNTIFS($C$1:$C8,Board!$B$2,$AL$1:$AL8,$AL9)+1,"")</f>
        <v/>
      </c>
      <c r="AS9">
        <f>IFERROR(IF($D9=INDEX(Matches!$AD$5:$AD$19,MATCH($C9,Matches!$A$5:$A$19,0)),"A",IF($D9=INDEX(Matches!$AE$5:$AE$19,MATCH($C9,Matches!$A$5:$A$19,0)),"B","")),"")</f>
        <v/>
      </c>
      <c r="AT9" s="8">
        <f>IF($AS9="","",IFERROR(IF($AS9="A",INDEX(Matches!$AI$5:$AI$19,MATCH($C9,Matches!$A$5:$A$19,0)),INDEX(Matches!$AJ$5:$AJ$19,MATCH($C9,Matches!$A$5:$A$19,0))),""))</f>
        <v/>
      </c>
      <c r="AU9" s="8">
        <f>IF($AS9="","",IFERROR(IF(INDEX(Matches!$AP$5:$AP$19,MATCH($C9,Matches!$A$5:$A$19,0))="","",IF($AS9="A",INDEX(Matches!$AP$5:$AP$19,MATCH($C9,Matches!$A$5:$A$19,0)),1-INDEX(Matches!$AP$5:$AP$19,MATCH($C9,Matches!$A$5:$A$19,0)))),""))</f>
        <v/>
      </c>
      <c r="AV9" s="11">
        <f>IF(OR($AU9="",$AT9=""),1,((Config!$B$14*$AU9+Config!$B$15*(1-$AU9))/(Config!$B$14*$AT9+Config!$B$15*(1-$AT9)))^Config!$B$13)</f>
        <v/>
      </c>
      <c r="AW9" s="8">
        <f>IF($AS9="","",IFERROR(IF(INDEX(Matches!$AV$5:$AV$19,MATCH($C9,Matches!$A$5:$A$19,0))="","",IF($AS9="A",INDEX(Matches!$AV$5:$AV$19,MATCH($C9,Matches!$A$5:$A$19,0)),1-INDEX(Matches!$AV$5:$AV$19,MATCH($C9,Matches!$A$5:$A$19,0)))),""))</f>
        <v/>
      </c>
      <c r="AX9" s="11">
        <f>IF(OR($AW9="",$AT9=""),1,((Config!$B$14*$AW9+Config!$B$15*(1-$AW9))/(Config!$B$14*$AT9+Config!$B$15*(1-$AT9)))^Config!$B$13)</f>
        <v/>
      </c>
      <c r="AY9" s="8">
        <f>IF($AS9="","",IFERROR(IF(INDEX(Matches!$BB$5:$BB$19,MATCH($C9,Matches!$A$5:$A$19,0))="","",IF($AS9="A",INDEX(Matches!$BB$5:$BB$19,MATCH($C9,Matches!$A$5:$A$19,0)),1-INDEX(Matches!$BB$5:$BB$19,MATCH($C9,Matches!$A$5:$A$19,0)))),""))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r0t80uiaisgetxr|CS2 [NO MARKET] · ACE vs UNiTY</t>
        </is>
      </c>
      <c r="B10" t="inlineStr">
        <is>
          <t>CS2</t>
        </is>
      </c>
      <c r="C10" t="inlineStr">
        <is>
          <t>CS2 [NO MARKET] · ACE vs UNiTY</t>
        </is>
      </c>
      <c r="D10" t="inlineStr">
        <is>
          <t>UNiTY</t>
        </is>
      </c>
      <c r="E10" t="inlineStr">
        <is>
          <t>M1key</t>
        </is>
      </c>
      <c r="F10" t="inlineStr">
        <is>
          <t>r0t80uiaisgetxr</t>
        </is>
      </c>
      <c r="G10">
        <f>IFERROR(IF(INDEX(Matches!$W$5:$W$19,MATCH($C10,Matches!$A$5:$A$19,0))="","",INDEX(Matches!$W$5:$W$19,MATCH($C10,Matches!$A$5:$A$19,0))),"")</f>
        <v/>
      </c>
      <c r="H10">
        <f>IFERROR(IF(INDEX(Matches!$X$5:$X$19,MATCH($C10,Matches!$A$5:$A$19,0))="","",INDEX(Matches!$X$5:$X$19,MATCH($C10,Matches!$A$5:$A$19,0))),"")</f>
        <v/>
      </c>
      <c r="I10">
        <f>IFERROR(IF(INDEX(Matches!$Y$5:$Y$19,MATCH($C10,Matches!$A$5:$A$19,0))="","",INDEX(Matches!$Y$5:$Y$19,MATCH($C10,Matches!$A$5:$A$19,0))),"")</f>
        <v/>
      </c>
      <c r="J10">
        <f>IFERROR(IF(INDEX(Matches!$Z$5:$Z$19,MATCH($C10,Matches!$A$5:$A$19,0))="","",INDEX(Matches!$Z$5:$Z$19,MATCH($C10,Matches!$A$5:$A$19,0))),"")</f>
        <v/>
      </c>
      <c r="K10">
        <f>IFERROR(IF(INDEX(Matches!$AA$5:$AA$19,MATCH($C10,Matches!$A$5:$A$19,0))="","",INDEX(Matches!$AA$5:$AA$19,MATCH($C10,Matches!$A$5:$A$19,0))),"")</f>
        <v/>
      </c>
      <c r="L10">
        <f>IFERROR(IF(INDEX(Matches!$AB$5:$AB$19,MATCH($C10,Matches!$A$5:$A$19,0))="","",INDEX(Matches!$AB$5:$AB$19,MATCH($C10,Matches!$A$5:$A$19,0))),"")</f>
        <v/>
      </c>
      <c r="M10" s="8">
        <f>IFERROR(IF(INDEX(Matches!$AC$5:$AC$19,MATCH($C10,Matches!$A$5:$A$19,0))="","",INDEX(Matches!$AC$5:$AC$19,MATCH($C10,Matches!$A$5:$A$19,0))),"")</f>
        <v/>
      </c>
      <c r="N10">
        <f>IFERROR(INDEX(Players!$F$2:$F$124,MATCH($F10,Players!$A$2:$A$124,0)),0)</f>
        <v/>
      </c>
      <c r="O10" s="11">
        <f>IFERROR(1/(1/INDEX(Players!$H$2:$H$124,MATCH($F10,Players!$A$2:$A$124,0))),"")</f>
        <v/>
      </c>
      <c r="P10" s="8">
        <f>IFERROR(1/(1/INDEX(Players!$I$2:$I$124,MATCH($F10,Players!$A$2:$A$124,0))),"")</f>
        <v/>
      </c>
      <c r="Q10">
        <f>IF($G10="",0,SUMIFS(Map_Stats!$F$2:$F$779,Map_Stats!$A$2:$A$779,$F10&amp;"|"&amp;$G10))</f>
        <v/>
      </c>
      <c r="R10" s="11">
        <f>IF($G10="","",IFERROR(1/(1/INDEX(Map_Stats!$K$2:$K$779,MATCH($F10&amp;"|"&amp;$G10,Map_Stats!$A$2:$A$779,0))),$O10))</f>
        <v/>
      </c>
      <c r="S10" s="8">
        <f>IF(OR($G10="",$P10=""),"",IFERROR(1/(1/INDEX(Map_Stats!$I$2:$I$779,MATCH($F10&amp;"|"&amp;$G10,Map_Stats!$A$2:$A$779,0))),$P10))</f>
        <v/>
      </c>
      <c r="T10" s="11">
        <f>IF(OR($G10="",R10=""),"",IF($O10="",R10,(Q10*R10+Config!$B$4*$O10)/(Q10+Config!$B$4)))</f>
        <v/>
      </c>
      <c r="U10" s="8">
        <f>IF(S10="","",(Q10*S10+Config!$B$4*$P10)/(Q10+Config!$B$4))</f>
        <v/>
      </c>
      <c r="V10" s="15">
        <f>IF(OR(T10="",$J10=""),"",T10*$J10*($J10/Config!$B$10)^Config!$B$9)</f>
        <v/>
      </c>
      <c r="W10" s="15">
        <f>IF(OR(V10="",U10=""),"",V10*U10)</f>
        <v/>
      </c>
      <c r="X10">
        <f>IF($H10="",0,SUMIFS(Map_Stats!$F$2:$F$779,Map_Stats!$A$2:$A$779,$F10&amp;"|"&amp;$H10))</f>
        <v/>
      </c>
      <c r="Y10" s="11">
        <f>IF($H10="","",IFERROR(1/(1/INDEX(Map_Stats!$K$2:$K$779,MATCH($F10&amp;"|"&amp;$H10,Map_Stats!$A$2:$A$779,0))),$O10))</f>
        <v/>
      </c>
      <c r="Z10" s="8">
        <f>IF(OR($H10="",$P10=""),"",IFERROR(1/(1/INDEX(Map_Stats!$I$2:$I$779,MATCH($F10&amp;"|"&amp;$H10,Map_Stats!$A$2:$A$779,0))),$P10))</f>
        <v/>
      </c>
      <c r="AA10" s="11">
        <f>IF(OR($H10="",Y10=""),"",IF($O10="",Y10,(X10*Y10+Config!$B$4*$O10)/(X10+Config!$B$4)))</f>
        <v/>
      </c>
      <c r="AB10" s="8">
        <f>IF(Z10="","",(X10*Z10+Config!$B$4*$P10)/(X10+Config!$B$4))</f>
        <v/>
      </c>
      <c r="AC10" s="15">
        <f>IF(OR(AA10="",$K10=""),"",AA10*$K10*($K10/Config!$B$10)^Config!$B$9)</f>
        <v/>
      </c>
      <c r="AD10" s="15">
        <f>IF(OR(AC10="",AB10=""),"",AC10*AB10)</f>
        <v/>
      </c>
      <c r="AE10">
        <f>IF($I10="",0,SUMIFS(Map_Stats!$F$2:$F$779,Map_Stats!$A$2:$A$779,$F10&amp;"|"&amp;$I10))</f>
        <v/>
      </c>
      <c r="AF10" s="11">
        <f>IF($I10="","",IFERROR(1/(1/INDEX(Map_Stats!$K$2:$K$779,MATCH($F10&amp;"|"&amp;$I10,Map_Stats!$A$2:$A$779,0))),$O10))</f>
        <v/>
      </c>
      <c r="AG10" s="8">
        <f>IF(OR($I10="",$P10=""),"",IFERROR(1/(1/INDEX(Map_Stats!$I$2:$I$779,MATCH($F10&amp;"|"&amp;$I10,Map_Stats!$A$2:$A$779,0))),$P10))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IF($C10=Board!$B$2,COUNTIFS($C$2:$C$124,Board!$B$2,$AL$2:$AL$124,"&gt;"&amp;$AL10)+COUNTIFS($C$1:$C9,Board!$B$2,$AL$1:$AL9,$AL10)+1,"")</f>
        <v/>
      </c>
      <c r="AS10">
        <f>IFERROR(IF($D10=INDEX(Matches!$AD$5:$AD$19,MATCH($C10,Matches!$A$5:$A$19,0)),"A",IF($D10=INDEX(Matches!$AE$5:$AE$19,MATCH($C10,Matches!$A$5:$A$19,0)),"B","")),"")</f>
        <v/>
      </c>
      <c r="AT10" s="8">
        <f>IF($AS10="","",IFERROR(IF($AS10="A",INDEX(Matches!$AI$5:$AI$19,MATCH($C10,Matches!$A$5:$A$19,0)),INDEX(Matches!$AJ$5:$AJ$19,MATCH($C10,Matches!$A$5:$A$19,0))),""))</f>
        <v/>
      </c>
      <c r="AU10" s="8">
        <f>IF($AS10="","",IFERROR(IF(INDEX(Matches!$AP$5:$AP$19,MATCH($C10,Matches!$A$5:$A$19,0))="","",IF($AS10="A",INDEX(Matches!$AP$5:$AP$19,MATCH($C10,Matches!$A$5:$A$19,0)),1-INDEX(Matches!$AP$5:$AP$19,MATCH($C10,Matches!$A$5:$A$19,0)))),""))</f>
        <v/>
      </c>
      <c r="AV10" s="11">
        <f>IF(OR($AU10="",$AT10=""),1,((Config!$B$14*$AU10+Config!$B$15*(1-$AU10))/(Config!$B$14*$AT10+Config!$B$15*(1-$AT10)))^Config!$B$13)</f>
        <v/>
      </c>
      <c r="AW10" s="8">
        <f>IF($AS10="","",IFERROR(IF(INDEX(Matches!$AV$5:$AV$19,MATCH($C10,Matches!$A$5:$A$19,0))="","",IF($AS10="A",INDEX(Matches!$AV$5:$AV$19,MATCH($C10,Matches!$A$5:$A$19,0)),1-INDEX(Matches!$AV$5:$AV$19,MATCH($C10,Matches!$A$5:$A$19,0)))),""))</f>
        <v/>
      </c>
      <c r="AX10" s="11">
        <f>IF(OR($AW10="",$AT10=""),1,((Config!$B$14*$AW10+Config!$B$15*(1-$AW10))/(Config!$B$14*$AT10+Config!$B$15*(1-$AT10)))^Config!$B$13)</f>
        <v/>
      </c>
      <c r="AY10" s="8">
        <f>IF($AS10="","",IFERROR(IF(INDEX(Matches!$BB$5:$BB$19,MATCH($C10,Matches!$A$5:$A$19,0))="","",IF($AS10="A",INDEX(Matches!$BB$5:$BB$19,MATCH($C10,Matches!$A$5:$A$19,0)),1-INDEX(Matches!$BB$5:$BB$19,MATCH($C10,Matches!$A$5:$A$19,0)))),""))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c8wc8d745qhelxm|CS2 [NO MARKET] · ACE vs UNiTY</t>
        </is>
      </c>
      <c r="B11" t="inlineStr">
        <is>
          <t>CS2</t>
        </is>
      </c>
      <c r="C11" t="inlineStr">
        <is>
          <t>CS2 [NO MARKET] · ACE vs UNiTY</t>
        </is>
      </c>
      <c r="D11" t="inlineStr">
        <is>
          <t>UNiTY</t>
        </is>
      </c>
      <c r="E11" t="inlineStr">
        <is>
          <t>Sn0w</t>
        </is>
      </c>
      <c r="F11" t="inlineStr">
        <is>
          <t>c8wc8d745qhelxm</t>
        </is>
      </c>
      <c r="G11">
        <f>IFERROR(IF(INDEX(Matches!$W$5:$W$19,MATCH($C11,Matches!$A$5:$A$19,0))="","",INDEX(Matches!$W$5:$W$19,MATCH($C11,Matches!$A$5:$A$19,0))),"")</f>
        <v/>
      </c>
      <c r="H11">
        <f>IFERROR(IF(INDEX(Matches!$X$5:$X$19,MATCH($C11,Matches!$A$5:$A$19,0))="","",INDEX(Matches!$X$5:$X$19,MATCH($C11,Matches!$A$5:$A$19,0))),"")</f>
        <v/>
      </c>
      <c r="I11">
        <f>IFERROR(IF(INDEX(Matches!$Y$5:$Y$19,MATCH($C11,Matches!$A$5:$A$19,0))="","",INDEX(Matches!$Y$5:$Y$19,MATCH($C11,Matches!$A$5:$A$19,0))),"")</f>
        <v/>
      </c>
      <c r="J11">
        <f>IFERROR(IF(INDEX(Matches!$Z$5:$Z$19,MATCH($C11,Matches!$A$5:$A$19,0))="","",INDEX(Matches!$Z$5:$Z$19,MATCH($C11,Matches!$A$5:$A$19,0))),"")</f>
        <v/>
      </c>
      <c r="K11">
        <f>IFERROR(IF(INDEX(Matches!$AA$5:$AA$19,MATCH($C11,Matches!$A$5:$A$19,0))="","",INDEX(Matches!$AA$5:$AA$19,MATCH($C11,Matches!$A$5:$A$19,0))),"")</f>
        <v/>
      </c>
      <c r="L11">
        <f>IFERROR(IF(INDEX(Matches!$AB$5:$AB$19,MATCH($C11,Matches!$A$5:$A$19,0))="","",INDEX(Matches!$AB$5:$AB$19,MATCH($C11,Matches!$A$5:$A$19,0))),"")</f>
        <v/>
      </c>
      <c r="M11" s="8">
        <f>IFERROR(IF(INDEX(Matches!$AC$5:$AC$19,MATCH($C11,Matches!$A$5:$A$19,0))="","",INDEX(Matches!$AC$5:$AC$19,MATCH($C11,Matches!$A$5:$A$19,0))),"")</f>
        <v/>
      </c>
      <c r="N11">
        <f>IFERROR(INDEX(Players!$F$2:$F$124,MATCH($F11,Players!$A$2:$A$124,0)),0)</f>
        <v/>
      </c>
      <c r="O11" s="11">
        <f>IFERROR(1/(1/INDEX(Players!$H$2:$H$124,MATCH($F11,Players!$A$2:$A$124,0))),"")</f>
        <v/>
      </c>
      <c r="P11" s="8">
        <f>IFERROR(1/(1/INDEX(Players!$I$2:$I$124,MATCH($F11,Players!$A$2:$A$124,0))),"")</f>
        <v/>
      </c>
      <c r="Q11">
        <f>IF($G11="",0,SUMIFS(Map_Stats!$F$2:$F$779,Map_Stats!$A$2:$A$779,$F11&amp;"|"&amp;$G11))</f>
        <v/>
      </c>
      <c r="R11" s="11">
        <f>IF($G11="","",IFERROR(1/(1/INDEX(Map_Stats!$K$2:$K$779,MATCH($F11&amp;"|"&amp;$G11,Map_Stats!$A$2:$A$779,0))),$O11))</f>
        <v/>
      </c>
      <c r="S11" s="8">
        <f>IF(OR($G11="",$P11=""),"",IFERROR(1/(1/INDEX(Map_Stats!$I$2:$I$779,MATCH($F11&amp;"|"&amp;$G11,Map_Stats!$A$2:$A$779,0))),$P11))</f>
        <v/>
      </c>
      <c r="T11" s="11">
        <f>IF(OR($G11="",R11=""),"",IF($O11="",R11,(Q11*R11+Config!$B$4*$O11)/(Q11+Config!$B$4)))</f>
        <v/>
      </c>
      <c r="U11" s="8">
        <f>IF(S11="","",(Q11*S11+Config!$B$4*$P11)/(Q11+Config!$B$4))</f>
        <v/>
      </c>
      <c r="V11" s="15">
        <f>IF(OR(T11="",$J11=""),"",T11*$J11*($J11/Config!$B$10)^Config!$B$9)</f>
        <v/>
      </c>
      <c r="W11" s="15">
        <f>IF(OR(V11="",U11=""),"",V11*U11)</f>
        <v/>
      </c>
      <c r="X11">
        <f>IF($H11="",0,SUMIFS(Map_Stats!$F$2:$F$779,Map_Stats!$A$2:$A$779,$F11&amp;"|"&amp;$H11))</f>
        <v/>
      </c>
      <c r="Y11" s="11">
        <f>IF($H11="","",IFERROR(1/(1/INDEX(Map_Stats!$K$2:$K$779,MATCH($F11&amp;"|"&amp;$H11,Map_Stats!$A$2:$A$779,0))),$O11))</f>
        <v/>
      </c>
      <c r="Z11" s="8">
        <f>IF(OR($H11="",$P11=""),"",IFERROR(1/(1/INDEX(Map_Stats!$I$2:$I$779,MATCH($F11&amp;"|"&amp;$H11,Map_Stats!$A$2:$A$779,0))),$P11))</f>
        <v/>
      </c>
      <c r="AA11" s="11">
        <f>IF(OR($H11="",Y11=""),"",IF($O11="",Y11,(X11*Y11+Config!$B$4*$O11)/(X11+Config!$B$4)))</f>
        <v/>
      </c>
      <c r="AB11" s="8">
        <f>IF(Z11="","",(X11*Z11+Config!$B$4*$P11)/(X11+Config!$B$4))</f>
        <v/>
      </c>
      <c r="AC11" s="15">
        <f>IF(OR(AA11="",$K11=""),"",AA11*$K11*($K11/Config!$B$10)^Config!$B$9)</f>
        <v/>
      </c>
      <c r="AD11" s="15">
        <f>IF(OR(AC11="",AB11=""),"",AC11*AB11)</f>
        <v/>
      </c>
      <c r="AE11">
        <f>IF($I11="",0,SUMIFS(Map_Stats!$F$2:$F$779,Map_Stats!$A$2:$A$779,$F11&amp;"|"&amp;$I11))</f>
        <v/>
      </c>
      <c r="AF11" s="11">
        <f>IF($I11="","",IFERROR(1/(1/INDEX(Map_Stats!$K$2:$K$779,MATCH($F11&amp;"|"&amp;$I11,Map_Stats!$A$2:$A$779,0))),$O11))</f>
        <v/>
      </c>
      <c r="AG11" s="8">
        <f>IF(OR($I11="",$P11=""),"",IFERROR(1/(1/INDEX(Map_Stats!$I$2:$I$779,MATCH($F11&amp;"|"&amp;$I11,Map_Stats!$A$2:$A$779,0))),$P11))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IF($C11=Board!$B$2,COUNTIFS($C$2:$C$124,Board!$B$2,$AL$2:$AL$124,"&gt;"&amp;$AL11)+COUNTIFS($C$1:$C10,Board!$B$2,$AL$1:$AL10,$AL11)+1,"")</f>
        <v/>
      </c>
      <c r="AS11">
        <f>IFERROR(IF($D11=INDEX(Matches!$AD$5:$AD$19,MATCH($C11,Matches!$A$5:$A$19,0)),"A",IF($D11=INDEX(Matches!$AE$5:$AE$19,MATCH($C11,Matches!$A$5:$A$19,0)),"B","")),"")</f>
        <v/>
      </c>
      <c r="AT11" s="8">
        <f>IF($AS11="","",IFERROR(IF($AS11="A",INDEX(Matches!$AI$5:$AI$19,MATCH($C11,Matches!$A$5:$A$19,0)),INDEX(Matches!$AJ$5:$AJ$19,MATCH($C11,Matches!$A$5:$A$19,0))),""))</f>
        <v/>
      </c>
      <c r="AU11" s="8">
        <f>IF($AS11="","",IFERROR(IF(INDEX(Matches!$AP$5:$AP$19,MATCH($C11,Matches!$A$5:$A$19,0))="","",IF($AS11="A",INDEX(Matches!$AP$5:$AP$19,MATCH($C11,Matches!$A$5:$A$19,0)),1-INDEX(Matches!$AP$5:$AP$19,MATCH($C11,Matches!$A$5:$A$19,0)))),""))</f>
        <v/>
      </c>
      <c r="AV11" s="11">
        <f>IF(OR($AU11="",$AT11=""),1,((Config!$B$14*$AU11+Config!$B$15*(1-$AU11))/(Config!$B$14*$AT11+Config!$B$15*(1-$AT11)))^Config!$B$13)</f>
        <v/>
      </c>
      <c r="AW11" s="8">
        <f>IF($AS11="","",IFERROR(IF(INDEX(Matches!$AV$5:$AV$19,MATCH($C11,Matches!$A$5:$A$19,0))="","",IF($AS11="A",INDEX(Matches!$AV$5:$AV$19,MATCH($C11,Matches!$A$5:$A$19,0)),1-INDEX(Matches!$AV$5:$AV$19,MATCH($C11,Matches!$A$5:$A$19,0)))),""))</f>
        <v/>
      </c>
      <c r="AX11" s="11">
        <f>IF(OR($AW11="",$AT11=""),1,((Config!$B$14*$AW11+Config!$B$15*(1-$AW11))/(Config!$B$14*$AT11+Config!$B$15*(1-$AT11)))^Config!$B$13)</f>
        <v/>
      </c>
      <c r="AY11" s="8">
        <f>IF($AS11="","",IFERROR(IF(INDEX(Matches!$BB$5:$BB$19,MATCH($C11,Matches!$A$5:$A$19,0))="","",IF($AS11="A",INDEX(Matches!$BB$5:$BB$19,MATCH($C11,Matches!$A$5:$A$19,0)),1-INDEX(Matches!$BB$5:$BB$19,MATCH($C11,Matches!$A$5:$A$19,0)))),""))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h2c84157n2ymvv2|CS2 [NO MARKET] · BAKS vs MZP</t>
        </is>
      </c>
      <c r="B12" t="inlineStr">
        <is>
          <t>CS2</t>
        </is>
      </c>
      <c r="C12" t="inlineStr">
        <is>
          <t>CS2 [NO MARKET] · BAKS vs MZP</t>
        </is>
      </c>
      <c r="D12" t="inlineStr">
        <is>
          <t>MZP</t>
        </is>
      </c>
      <c r="E12" t="inlineStr">
        <is>
          <t>F1KU</t>
        </is>
      </c>
      <c r="F12" t="inlineStr">
        <is>
          <t>h2c84157n2ymvv2</t>
        </is>
      </c>
      <c r="G12">
        <f>IFERROR(IF(INDEX(Matches!$W$5:$W$19,MATCH($C12,Matches!$A$5:$A$19,0))="","",INDEX(Matches!$W$5:$W$19,MATCH($C12,Matches!$A$5:$A$19,0))),"")</f>
        <v/>
      </c>
      <c r="H12">
        <f>IFERROR(IF(INDEX(Matches!$X$5:$X$19,MATCH($C12,Matches!$A$5:$A$19,0))="","",INDEX(Matches!$X$5:$X$19,MATCH($C12,Matches!$A$5:$A$19,0))),"")</f>
        <v/>
      </c>
      <c r="I12">
        <f>IFERROR(IF(INDEX(Matches!$Y$5:$Y$19,MATCH($C12,Matches!$A$5:$A$19,0))="","",INDEX(Matches!$Y$5:$Y$19,MATCH($C12,Matches!$A$5:$A$19,0))),"")</f>
        <v/>
      </c>
      <c r="J12">
        <f>IFERROR(IF(INDEX(Matches!$Z$5:$Z$19,MATCH($C12,Matches!$A$5:$A$19,0))="","",INDEX(Matches!$Z$5:$Z$19,MATCH($C12,Matches!$A$5:$A$19,0))),"")</f>
        <v/>
      </c>
      <c r="K12">
        <f>IFERROR(IF(INDEX(Matches!$AA$5:$AA$19,MATCH($C12,Matches!$A$5:$A$19,0))="","",INDEX(Matches!$AA$5:$AA$19,MATCH($C12,Matches!$A$5:$A$19,0))),"")</f>
        <v/>
      </c>
      <c r="L12">
        <f>IFERROR(IF(INDEX(Matches!$AB$5:$AB$19,MATCH($C12,Matches!$A$5:$A$19,0))="","",INDEX(Matches!$AB$5:$AB$19,MATCH($C12,Matches!$A$5:$A$19,0))),"")</f>
        <v/>
      </c>
      <c r="M12" s="8">
        <f>IFERROR(IF(INDEX(Matches!$AC$5:$AC$19,MATCH($C12,Matches!$A$5:$A$19,0))="","",INDEX(Matches!$AC$5:$AC$19,MATCH($C12,Matches!$A$5:$A$19,0))),"")</f>
        <v/>
      </c>
      <c r="N12">
        <f>IFERROR(INDEX(Players!$F$2:$F$124,MATCH($F12,Players!$A$2:$A$124,0)),0)</f>
        <v/>
      </c>
      <c r="O12" s="11">
        <f>IFERROR(1/(1/INDEX(Players!$H$2:$H$124,MATCH($F12,Players!$A$2:$A$124,0))),"")</f>
        <v/>
      </c>
      <c r="P12" s="8">
        <f>IFERROR(1/(1/INDEX(Players!$I$2:$I$124,MATCH($F12,Players!$A$2:$A$124,0))),"")</f>
        <v/>
      </c>
      <c r="Q12">
        <f>IF($G12="",0,SUMIFS(Map_Stats!$F$2:$F$779,Map_Stats!$A$2:$A$779,$F12&amp;"|"&amp;$G12))</f>
        <v/>
      </c>
      <c r="R12" s="11">
        <f>IF($G12="","",IFERROR(1/(1/INDEX(Map_Stats!$K$2:$K$779,MATCH($F12&amp;"|"&amp;$G12,Map_Stats!$A$2:$A$779,0))),$O12))</f>
        <v/>
      </c>
      <c r="S12" s="8">
        <f>IF(OR($G12="",$P12=""),"",IFERROR(1/(1/INDEX(Map_Stats!$I$2:$I$779,MATCH($F12&amp;"|"&amp;$G12,Map_Stats!$A$2:$A$779,0))),$P12))</f>
        <v/>
      </c>
      <c r="T12" s="11">
        <f>IF(OR($G12="",R12=""),"",IF($O12="",R12,(Q12*R12+Config!$B$4*$O12)/(Q12+Config!$B$4)))</f>
        <v/>
      </c>
      <c r="U12" s="8">
        <f>IF(S12="","",(Q12*S12+Config!$B$4*$P12)/(Q12+Config!$B$4))</f>
        <v/>
      </c>
      <c r="V12" s="15">
        <f>IF(OR(T12="",$J12=""),"",T12*$J12*($J12/Config!$B$10)^Config!$B$9)</f>
        <v/>
      </c>
      <c r="W12" s="15">
        <f>IF(OR(V12="",U12=""),"",V12*U12)</f>
        <v/>
      </c>
      <c r="X12">
        <f>IF($H12="",0,SUMIFS(Map_Stats!$F$2:$F$779,Map_Stats!$A$2:$A$779,$F12&amp;"|"&amp;$H12))</f>
        <v/>
      </c>
      <c r="Y12" s="11">
        <f>IF($H12="","",IFERROR(1/(1/INDEX(Map_Stats!$K$2:$K$779,MATCH($F12&amp;"|"&amp;$H12,Map_Stats!$A$2:$A$779,0))),$O12))</f>
        <v/>
      </c>
      <c r="Z12" s="8">
        <f>IF(OR($H12="",$P12=""),"",IFERROR(1/(1/INDEX(Map_Stats!$I$2:$I$779,MATCH($F12&amp;"|"&amp;$H12,Map_Stats!$A$2:$A$779,0))),$P12))</f>
        <v/>
      </c>
      <c r="AA12" s="11">
        <f>IF(OR($H12="",Y12=""),"",IF($O12="",Y12,(X12*Y12+Config!$B$4*$O12)/(X12+Config!$B$4)))</f>
        <v/>
      </c>
      <c r="AB12" s="8">
        <f>IF(Z12="","",(X12*Z12+Config!$B$4*$P12)/(X12+Config!$B$4))</f>
        <v/>
      </c>
      <c r="AC12" s="15">
        <f>IF(OR(AA12="",$K12=""),"",AA12*$K12*($K12/Config!$B$10)^Config!$B$9)</f>
        <v/>
      </c>
      <c r="AD12" s="15">
        <f>IF(OR(AC12="",AB12=""),"",AC12*AB12)</f>
        <v/>
      </c>
      <c r="AE12">
        <f>IF($I12="",0,SUMIFS(Map_Stats!$F$2:$F$779,Map_Stats!$A$2:$A$779,$F12&amp;"|"&amp;$I12))</f>
        <v/>
      </c>
      <c r="AF12" s="11">
        <f>IF($I12="","",IFERROR(1/(1/INDEX(Map_Stats!$K$2:$K$779,MATCH($F12&amp;"|"&amp;$I12,Map_Stats!$A$2:$A$779,0))),$O12))</f>
        <v/>
      </c>
      <c r="AG12" s="8">
        <f>IF(OR($I12="",$P12=""),"",IFERROR(1/(1/INDEX(Map_Stats!$I$2:$I$779,MATCH($F12&amp;"|"&amp;$I12,Map_Stats!$A$2:$A$779,0))),$P12))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IF($C12=Board!$B$2,COUNTIFS($C$2:$C$124,Board!$B$2,$AL$2:$AL$124,"&gt;"&amp;$AL12)+COUNTIFS($C$1:$C11,Board!$B$2,$AL$1:$AL11,$AL12)+1,"")</f>
        <v/>
      </c>
      <c r="AS12">
        <f>IFERROR(IF($D12=INDEX(Matches!$AD$5:$AD$19,MATCH($C12,Matches!$A$5:$A$19,0)),"A",IF($D12=INDEX(Matches!$AE$5:$AE$19,MATCH($C12,Matches!$A$5:$A$19,0)),"B","")),"")</f>
        <v/>
      </c>
      <c r="AT12" s="8">
        <f>IF($AS12="","",IFERROR(IF($AS12="A",INDEX(Matches!$AI$5:$AI$19,MATCH($C12,Matches!$A$5:$A$19,0)),INDEX(Matches!$AJ$5:$AJ$19,MATCH($C12,Matches!$A$5:$A$19,0))),""))</f>
        <v/>
      </c>
      <c r="AU12" s="8">
        <f>IF($AS12="","",IFERROR(IF(INDEX(Matches!$AP$5:$AP$19,MATCH($C12,Matches!$A$5:$A$19,0))="","",IF($AS12="A",INDEX(Matches!$AP$5:$AP$19,MATCH($C12,Matches!$A$5:$A$19,0)),1-INDEX(Matches!$AP$5:$AP$19,MATCH($C12,Matches!$A$5:$A$19,0)))),""))</f>
        <v/>
      </c>
      <c r="AV12" s="11">
        <f>IF(OR($AU12="",$AT12=""),1,((Config!$B$14*$AU12+Config!$B$15*(1-$AU12))/(Config!$B$14*$AT12+Config!$B$15*(1-$AT12)))^Config!$B$13)</f>
        <v/>
      </c>
      <c r="AW12" s="8">
        <f>IF($AS12="","",IFERROR(IF(INDEX(Matches!$AV$5:$AV$19,MATCH($C12,Matches!$A$5:$A$19,0))="","",IF($AS12="A",INDEX(Matches!$AV$5:$AV$19,MATCH($C12,Matches!$A$5:$A$19,0)),1-INDEX(Matches!$AV$5:$AV$19,MATCH($C12,Matches!$A$5:$A$19,0)))),""))</f>
        <v/>
      </c>
      <c r="AX12" s="11">
        <f>IF(OR($AW12="",$AT12=""),1,((Config!$B$14*$AW12+Config!$B$15*(1-$AW12))/(Config!$B$14*$AT12+Config!$B$15*(1-$AT12)))^Config!$B$13)</f>
        <v/>
      </c>
      <c r="AY12" s="8">
        <f>IF($AS12="","",IFERROR(IF(INDEX(Matches!$BB$5:$BB$19,MATCH($C12,Matches!$A$5:$A$19,0))="","",IF($AS12="A",INDEX(Matches!$BB$5:$BB$19,MATCH($C12,Matches!$A$5:$A$19,0)),1-INDEX(Matches!$BB$5:$BB$19,MATCH($C12,Matches!$A$5:$A$19,0)))),""))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4bqrch5n45sx5u9|CS2 [NO MARKET] · BAKS vs MZP</t>
        </is>
      </c>
      <c r="B13" t="inlineStr">
        <is>
          <t>CS2</t>
        </is>
      </c>
      <c r="C13" t="inlineStr">
        <is>
          <t>CS2 [NO MARKET] · BAKS vs MZP</t>
        </is>
      </c>
      <c r="D13" t="inlineStr">
        <is>
          <t>MZP</t>
        </is>
      </c>
      <c r="E13" t="inlineStr">
        <is>
          <t>forsyy</t>
        </is>
      </c>
      <c r="F13" t="inlineStr">
        <is>
          <t>4bqrch5n45sx5u9</t>
        </is>
      </c>
      <c r="G13">
        <f>IFERROR(IF(INDEX(Matches!$W$5:$W$19,MATCH($C13,Matches!$A$5:$A$19,0))="","",INDEX(Matches!$W$5:$W$19,MATCH($C13,Matches!$A$5:$A$19,0))),"")</f>
        <v/>
      </c>
      <c r="H13">
        <f>IFERROR(IF(INDEX(Matches!$X$5:$X$19,MATCH($C13,Matches!$A$5:$A$19,0))="","",INDEX(Matches!$X$5:$X$19,MATCH($C13,Matches!$A$5:$A$19,0))),"")</f>
        <v/>
      </c>
      <c r="I13">
        <f>IFERROR(IF(INDEX(Matches!$Y$5:$Y$19,MATCH($C13,Matches!$A$5:$A$19,0))="","",INDEX(Matches!$Y$5:$Y$19,MATCH($C13,Matches!$A$5:$A$19,0))),"")</f>
        <v/>
      </c>
      <c r="J13">
        <f>IFERROR(IF(INDEX(Matches!$Z$5:$Z$19,MATCH($C13,Matches!$A$5:$A$19,0))="","",INDEX(Matches!$Z$5:$Z$19,MATCH($C13,Matches!$A$5:$A$19,0))),"")</f>
        <v/>
      </c>
      <c r="K13">
        <f>IFERROR(IF(INDEX(Matches!$AA$5:$AA$19,MATCH($C13,Matches!$A$5:$A$19,0))="","",INDEX(Matches!$AA$5:$AA$19,MATCH($C13,Matches!$A$5:$A$19,0))),"")</f>
        <v/>
      </c>
      <c r="L13">
        <f>IFERROR(IF(INDEX(Matches!$AB$5:$AB$19,MATCH($C13,Matches!$A$5:$A$19,0))="","",INDEX(Matches!$AB$5:$AB$19,MATCH($C13,Matches!$A$5:$A$19,0))),"")</f>
        <v/>
      </c>
      <c r="M13" s="8">
        <f>IFERROR(IF(INDEX(Matches!$AC$5:$AC$19,MATCH($C13,Matches!$A$5:$A$19,0))="","",INDEX(Matches!$AC$5:$AC$19,MATCH($C13,Matches!$A$5:$A$19,0))),"")</f>
        <v/>
      </c>
      <c r="N13">
        <f>IFERROR(INDEX(Players!$F$2:$F$124,MATCH($F13,Players!$A$2:$A$124,0)),0)</f>
        <v/>
      </c>
      <c r="O13" s="11">
        <f>IFERROR(1/(1/INDEX(Players!$H$2:$H$124,MATCH($F13,Players!$A$2:$A$124,0))),"")</f>
        <v/>
      </c>
      <c r="P13" s="8">
        <f>IFERROR(1/(1/INDEX(Players!$I$2:$I$124,MATCH($F13,Players!$A$2:$A$124,0))),"")</f>
        <v/>
      </c>
      <c r="Q13">
        <f>IF($G13="",0,SUMIFS(Map_Stats!$F$2:$F$779,Map_Stats!$A$2:$A$779,$F13&amp;"|"&amp;$G13))</f>
        <v/>
      </c>
      <c r="R13" s="11">
        <f>IF($G13="","",IFERROR(1/(1/INDEX(Map_Stats!$K$2:$K$779,MATCH($F13&amp;"|"&amp;$G13,Map_Stats!$A$2:$A$779,0))),$O13))</f>
        <v/>
      </c>
      <c r="S13" s="8">
        <f>IF(OR($G13="",$P13=""),"",IFERROR(1/(1/INDEX(Map_Stats!$I$2:$I$779,MATCH($F13&amp;"|"&amp;$G13,Map_Stats!$A$2:$A$779,0))),$P13))</f>
        <v/>
      </c>
      <c r="T13" s="11">
        <f>IF(OR($G13="",R13=""),"",IF($O13="",R13,(Q13*R13+Config!$B$4*$O13)/(Q13+Config!$B$4)))</f>
        <v/>
      </c>
      <c r="U13" s="8">
        <f>IF(S13="","",(Q13*S13+Config!$B$4*$P13)/(Q13+Config!$B$4))</f>
        <v/>
      </c>
      <c r="V13" s="15">
        <f>IF(OR(T13="",$J13=""),"",T13*$J13*($J13/Config!$B$10)^Config!$B$9)</f>
        <v/>
      </c>
      <c r="W13" s="15">
        <f>IF(OR(V13="",U13=""),"",V13*U13)</f>
        <v/>
      </c>
      <c r="X13">
        <f>IF($H13="",0,SUMIFS(Map_Stats!$F$2:$F$779,Map_Stats!$A$2:$A$779,$F13&amp;"|"&amp;$H13))</f>
        <v/>
      </c>
      <c r="Y13" s="11">
        <f>IF($H13="","",IFERROR(1/(1/INDEX(Map_Stats!$K$2:$K$779,MATCH($F13&amp;"|"&amp;$H13,Map_Stats!$A$2:$A$779,0))),$O13))</f>
        <v/>
      </c>
      <c r="Z13" s="8">
        <f>IF(OR($H13="",$P13=""),"",IFERROR(1/(1/INDEX(Map_Stats!$I$2:$I$779,MATCH($F13&amp;"|"&amp;$H13,Map_Stats!$A$2:$A$779,0))),$P13))</f>
        <v/>
      </c>
      <c r="AA13" s="11">
        <f>IF(OR($H13="",Y13=""),"",IF($O13="",Y13,(X13*Y13+Config!$B$4*$O13)/(X13+Config!$B$4)))</f>
        <v/>
      </c>
      <c r="AB13" s="8">
        <f>IF(Z13="","",(X13*Z13+Config!$B$4*$P13)/(X13+Config!$B$4))</f>
        <v/>
      </c>
      <c r="AC13" s="15">
        <f>IF(OR(AA13="",$K13=""),"",AA13*$K13*($K13/Config!$B$10)^Config!$B$9)</f>
        <v/>
      </c>
      <c r="AD13" s="15">
        <f>IF(OR(AC13="",AB13=""),"",AC13*AB13)</f>
        <v/>
      </c>
      <c r="AE13">
        <f>IF($I13="",0,SUMIFS(Map_Stats!$F$2:$F$779,Map_Stats!$A$2:$A$779,$F13&amp;"|"&amp;$I13))</f>
        <v/>
      </c>
      <c r="AF13" s="11">
        <f>IF($I13="","",IFERROR(1/(1/INDEX(Map_Stats!$K$2:$K$779,MATCH($F13&amp;"|"&amp;$I13,Map_Stats!$A$2:$A$779,0))),$O13))</f>
        <v/>
      </c>
      <c r="AG13" s="8">
        <f>IF(OR($I13="",$P13=""),"",IFERROR(1/(1/INDEX(Map_Stats!$I$2:$I$779,MATCH($F13&amp;"|"&amp;$I13,Map_Stats!$A$2:$A$779,0))),$P13))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IF($C13=Board!$B$2,COUNTIFS($C$2:$C$124,Board!$B$2,$AL$2:$AL$124,"&gt;"&amp;$AL13)+COUNTIFS($C$1:$C12,Board!$B$2,$AL$1:$AL12,$AL13)+1,"")</f>
        <v/>
      </c>
      <c r="AS13">
        <f>IFERROR(IF($D13=INDEX(Matches!$AD$5:$AD$19,MATCH($C13,Matches!$A$5:$A$19,0)),"A",IF($D13=INDEX(Matches!$AE$5:$AE$19,MATCH($C13,Matches!$A$5:$A$19,0)),"B","")),"")</f>
        <v/>
      </c>
      <c r="AT13" s="8">
        <f>IF($AS13="","",IFERROR(IF($AS13="A",INDEX(Matches!$AI$5:$AI$19,MATCH($C13,Matches!$A$5:$A$19,0)),INDEX(Matches!$AJ$5:$AJ$19,MATCH($C13,Matches!$A$5:$A$19,0))),""))</f>
        <v/>
      </c>
      <c r="AU13" s="8">
        <f>IF($AS13="","",IFERROR(IF(INDEX(Matches!$AP$5:$AP$19,MATCH($C13,Matches!$A$5:$A$19,0))="","",IF($AS13="A",INDEX(Matches!$AP$5:$AP$19,MATCH($C13,Matches!$A$5:$A$19,0)),1-INDEX(Matches!$AP$5:$AP$19,MATCH($C13,Matches!$A$5:$A$19,0)))),""))</f>
        <v/>
      </c>
      <c r="AV13" s="11">
        <f>IF(OR($AU13="",$AT13=""),1,((Config!$B$14*$AU13+Config!$B$15*(1-$AU13))/(Config!$B$14*$AT13+Config!$B$15*(1-$AT13)))^Config!$B$13)</f>
        <v/>
      </c>
      <c r="AW13" s="8">
        <f>IF($AS13="","",IFERROR(IF(INDEX(Matches!$AV$5:$AV$19,MATCH($C13,Matches!$A$5:$A$19,0))="","",IF($AS13="A",INDEX(Matches!$AV$5:$AV$19,MATCH($C13,Matches!$A$5:$A$19,0)),1-INDEX(Matches!$AV$5:$AV$19,MATCH($C13,Matches!$A$5:$A$19,0)))),""))</f>
        <v/>
      </c>
      <c r="AX13" s="11">
        <f>IF(OR($AW13="",$AT13=""),1,((Config!$B$14*$AW13+Config!$B$15*(1-$AW13))/(Config!$B$14*$AT13+Config!$B$15*(1-$AT13)))^Config!$B$13)</f>
        <v/>
      </c>
      <c r="AY13" s="8">
        <f>IF($AS13="","",IFERROR(IF(INDEX(Matches!$BB$5:$BB$19,MATCH($C13,Matches!$A$5:$A$19,0))="","",IF($AS13="A",INDEX(Matches!$BB$5:$BB$19,MATCH($C13,Matches!$A$5:$A$19,0)),1-INDEX(Matches!$BB$5:$BB$19,MATCH($C13,Matches!$A$5:$A$19,0)))),""))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cenz32hm5akyeqy|CS2 [NO MARKET] · BAKS vs MZP</t>
        </is>
      </c>
      <c r="B14" t="inlineStr">
        <is>
          <t>CS2</t>
        </is>
      </c>
      <c r="C14" t="inlineStr">
        <is>
          <t>CS2 [NO MARKET] · BAKS vs MZP</t>
        </is>
      </c>
      <c r="D14" t="inlineStr">
        <is>
          <t>MZP</t>
        </is>
      </c>
      <c r="E14" t="inlineStr">
        <is>
          <t>MaiL09</t>
        </is>
      </c>
      <c r="F14" t="inlineStr">
        <is>
          <t>cenz32hm5akyeqy</t>
        </is>
      </c>
      <c r="G14">
        <f>IFERROR(IF(INDEX(Matches!$W$5:$W$19,MATCH($C14,Matches!$A$5:$A$19,0))="","",INDEX(Matches!$W$5:$W$19,MATCH($C14,Matches!$A$5:$A$19,0))),"")</f>
        <v/>
      </c>
      <c r="H14">
        <f>IFERROR(IF(INDEX(Matches!$X$5:$X$19,MATCH($C14,Matches!$A$5:$A$19,0))="","",INDEX(Matches!$X$5:$X$19,MATCH($C14,Matches!$A$5:$A$19,0))),"")</f>
        <v/>
      </c>
      <c r="I14">
        <f>IFERROR(IF(INDEX(Matches!$Y$5:$Y$19,MATCH($C14,Matches!$A$5:$A$19,0))="","",INDEX(Matches!$Y$5:$Y$19,MATCH($C14,Matches!$A$5:$A$19,0))),"")</f>
        <v/>
      </c>
      <c r="J14">
        <f>IFERROR(IF(INDEX(Matches!$Z$5:$Z$19,MATCH($C14,Matches!$A$5:$A$19,0))="","",INDEX(Matches!$Z$5:$Z$19,MATCH($C14,Matches!$A$5:$A$19,0))),"")</f>
        <v/>
      </c>
      <c r="K14">
        <f>IFERROR(IF(INDEX(Matches!$AA$5:$AA$19,MATCH($C14,Matches!$A$5:$A$19,0))="","",INDEX(Matches!$AA$5:$AA$19,MATCH($C14,Matches!$A$5:$A$19,0))),"")</f>
        <v/>
      </c>
      <c r="L14">
        <f>IFERROR(IF(INDEX(Matches!$AB$5:$AB$19,MATCH($C14,Matches!$A$5:$A$19,0))="","",INDEX(Matches!$AB$5:$AB$19,MATCH($C14,Matches!$A$5:$A$19,0))),"")</f>
        <v/>
      </c>
      <c r="M14" s="8">
        <f>IFERROR(IF(INDEX(Matches!$AC$5:$AC$19,MATCH($C14,Matches!$A$5:$A$19,0))="","",INDEX(Matches!$AC$5:$AC$19,MATCH($C14,Matches!$A$5:$A$19,0))),"")</f>
        <v/>
      </c>
      <c r="N14">
        <f>IFERROR(INDEX(Players!$F$2:$F$124,MATCH($F14,Players!$A$2:$A$124,0)),0)</f>
        <v/>
      </c>
      <c r="O14" s="11">
        <f>IFERROR(1/(1/INDEX(Players!$H$2:$H$124,MATCH($F14,Players!$A$2:$A$124,0))),"")</f>
        <v/>
      </c>
      <c r="P14" s="8">
        <f>IFERROR(1/(1/INDEX(Players!$I$2:$I$124,MATCH($F14,Players!$A$2:$A$124,0))),"")</f>
        <v/>
      </c>
      <c r="Q14">
        <f>IF($G14="",0,SUMIFS(Map_Stats!$F$2:$F$779,Map_Stats!$A$2:$A$779,$F14&amp;"|"&amp;$G14))</f>
        <v/>
      </c>
      <c r="R14" s="11">
        <f>IF($G14="","",IFERROR(1/(1/INDEX(Map_Stats!$K$2:$K$779,MATCH($F14&amp;"|"&amp;$G14,Map_Stats!$A$2:$A$779,0))),$O14))</f>
        <v/>
      </c>
      <c r="S14" s="8">
        <f>IF(OR($G14="",$P14=""),"",IFERROR(1/(1/INDEX(Map_Stats!$I$2:$I$779,MATCH($F14&amp;"|"&amp;$G14,Map_Stats!$A$2:$A$779,0))),$P14))</f>
        <v/>
      </c>
      <c r="T14" s="11">
        <f>IF(OR($G14="",R14=""),"",IF($O14="",R14,(Q14*R14+Config!$B$4*$O14)/(Q14+Config!$B$4)))</f>
        <v/>
      </c>
      <c r="U14" s="8">
        <f>IF(S14="","",(Q14*S14+Config!$B$4*$P14)/(Q14+Config!$B$4))</f>
        <v/>
      </c>
      <c r="V14" s="15">
        <f>IF(OR(T14="",$J14=""),"",T14*$J14*($J14/Config!$B$10)^Config!$B$9)</f>
        <v/>
      </c>
      <c r="W14" s="15">
        <f>IF(OR(V14="",U14=""),"",V14*U14)</f>
        <v/>
      </c>
      <c r="X14">
        <f>IF($H14="",0,SUMIFS(Map_Stats!$F$2:$F$779,Map_Stats!$A$2:$A$779,$F14&amp;"|"&amp;$H14))</f>
        <v/>
      </c>
      <c r="Y14" s="11">
        <f>IF($H14="","",IFERROR(1/(1/INDEX(Map_Stats!$K$2:$K$779,MATCH($F14&amp;"|"&amp;$H14,Map_Stats!$A$2:$A$779,0))),$O14))</f>
        <v/>
      </c>
      <c r="Z14" s="8">
        <f>IF(OR($H14="",$P14=""),"",IFERROR(1/(1/INDEX(Map_Stats!$I$2:$I$779,MATCH($F14&amp;"|"&amp;$H14,Map_Stats!$A$2:$A$779,0))),$P14))</f>
        <v/>
      </c>
      <c r="AA14" s="11">
        <f>IF(OR($H14="",Y14=""),"",IF($O14="",Y14,(X14*Y14+Config!$B$4*$O14)/(X14+Config!$B$4)))</f>
        <v/>
      </c>
      <c r="AB14" s="8">
        <f>IF(Z14="","",(X14*Z14+Config!$B$4*$P14)/(X14+Config!$B$4))</f>
        <v/>
      </c>
      <c r="AC14" s="15">
        <f>IF(OR(AA14="",$K14=""),"",AA14*$K14*($K14/Config!$B$10)^Config!$B$9)</f>
        <v/>
      </c>
      <c r="AD14" s="15">
        <f>IF(OR(AC14="",AB14=""),"",AC14*AB14)</f>
        <v/>
      </c>
      <c r="AE14">
        <f>IF($I14="",0,SUMIFS(Map_Stats!$F$2:$F$779,Map_Stats!$A$2:$A$779,$F14&amp;"|"&amp;$I14))</f>
        <v/>
      </c>
      <c r="AF14" s="11">
        <f>IF($I14="","",IFERROR(1/(1/INDEX(Map_Stats!$K$2:$K$779,MATCH($F14&amp;"|"&amp;$I14,Map_Stats!$A$2:$A$779,0))),$O14))</f>
        <v/>
      </c>
      <c r="AG14" s="8">
        <f>IF(OR($I14="",$P14=""),"",IFERROR(1/(1/INDEX(Map_Stats!$I$2:$I$779,MATCH($F14&amp;"|"&amp;$I14,Map_Stats!$A$2:$A$779,0))),$P14))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IF($C14=Board!$B$2,COUNTIFS($C$2:$C$124,Board!$B$2,$AL$2:$AL$124,"&gt;"&amp;$AL14)+COUNTIFS($C$1:$C13,Board!$B$2,$AL$1:$AL13,$AL14)+1,"")</f>
        <v/>
      </c>
      <c r="AS14">
        <f>IFERROR(IF($D14=INDEX(Matches!$AD$5:$AD$19,MATCH($C14,Matches!$A$5:$A$19,0)),"A",IF($D14=INDEX(Matches!$AE$5:$AE$19,MATCH($C14,Matches!$A$5:$A$19,0)),"B","")),"")</f>
        <v/>
      </c>
      <c r="AT14" s="8">
        <f>IF($AS14="","",IFERROR(IF($AS14="A",INDEX(Matches!$AI$5:$AI$19,MATCH($C14,Matches!$A$5:$A$19,0)),INDEX(Matches!$AJ$5:$AJ$19,MATCH($C14,Matches!$A$5:$A$19,0))),""))</f>
        <v/>
      </c>
      <c r="AU14" s="8">
        <f>IF($AS14="","",IFERROR(IF(INDEX(Matches!$AP$5:$AP$19,MATCH($C14,Matches!$A$5:$A$19,0))="","",IF($AS14="A",INDEX(Matches!$AP$5:$AP$19,MATCH($C14,Matches!$A$5:$A$19,0)),1-INDEX(Matches!$AP$5:$AP$19,MATCH($C14,Matches!$A$5:$A$19,0)))),""))</f>
        <v/>
      </c>
      <c r="AV14" s="11">
        <f>IF(OR($AU14="",$AT14=""),1,((Config!$B$14*$AU14+Config!$B$15*(1-$AU14))/(Config!$B$14*$AT14+Config!$B$15*(1-$AT14)))^Config!$B$13)</f>
        <v/>
      </c>
      <c r="AW14" s="8">
        <f>IF($AS14="","",IFERROR(IF(INDEX(Matches!$AV$5:$AV$19,MATCH($C14,Matches!$A$5:$A$19,0))="","",IF($AS14="A",INDEX(Matches!$AV$5:$AV$19,MATCH($C14,Matches!$A$5:$A$19,0)),1-INDEX(Matches!$AV$5:$AV$19,MATCH($C14,Matches!$A$5:$A$19,0)))),""))</f>
        <v/>
      </c>
      <c r="AX14" s="11">
        <f>IF(OR($AW14="",$AT14=""),1,((Config!$B$14*$AW14+Config!$B$15*(1-$AW14))/(Config!$B$14*$AT14+Config!$B$15*(1-$AT14)))^Config!$B$13)</f>
        <v/>
      </c>
      <c r="AY14" s="8">
        <f>IF($AS14="","",IFERROR(IF(INDEX(Matches!$BB$5:$BB$19,MATCH($C14,Matches!$A$5:$A$19,0))="","",IF($AS14="A",INDEX(Matches!$BB$5:$BB$19,MATCH($C14,Matches!$A$5:$A$19,0)),1-INDEX(Matches!$BB$5:$BB$19,MATCH($C14,Matches!$A$5:$A$19,0)))),""))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vwa09ypl40r89pt|CS2 [NO MARKET] · BAKS vs MZP</t>
        </is>
      </c>
      <c r="B15" t="inlineStr">
        <is>
          <t>CS2</t>
        </is>
      </c>
      <c r="C15" t="inlineStr">
        <is>
          <t>CS2 [NO MARKET] · BAKS vs MZP</t>
        </is>
      </c>
      <c r="D15" t="inlineStr">
        <is>
          <t>MZP</t>
        </is>
      </c>
      <c r="E15" t="inlineStr">
        <is>
          <t>Plopski</t>
        </is>
      </c>
      <c r="F15" t="inlineStr">
        <is>
          <t>vwa09ypl40r89pt</t>
        </is>
      </c>
      <c r="G15">
        <f>IFERROR(IF(INDEX(Matches!$W$5:$W$19,MATCH($C15,Matches!$A$5:$A$19,0))="","",INDEX(Matches!$W$5:$W$19,MATCH($C15,Matches!$A$5:$A$19,0))),"")</f>
        <v/>
      </c>
      <c r="H15">
        <f>IFERROR(IF(INDEX(Matches!$X$5:$X$19,MATCH($C15,Matches!$A$5:$A$19,0))="","",INDEX(Matches!$X$5:$X$19,MATCH($C15,Matches!$A$5:$A$19,0))),"")</f>
        <v/>
      </c>
      <c r="I15">
        <f>IFERROR(IF(INDEX(Matches!$Y$5:$Y$19,MATCH($C15,Matches!$A$5:$A$19,0))="","",INDEX(Matches!$Y$5:$Y$19,MATCH($C15,Matches!$A$5:$A$19,0))),"")</f>
        <v/>
      </c>
      <c r="J15">
        <f>IFERROR(IF(INDEX(Matches!$Z$5:$Z$19,MATCH($C15,Matches!$A$5:$A$19,0))="","",INDEX(Matches!$Z$5:$Z$19,MATCH($C15,Matches!$A$5:$A$19,0))),"")</f>
        <v/>
      </c>
      <c r="K15">
        <f>IFERROR(IF(INDEX(Matches!$AA$5:$AA$19,MATCH($C15,Matches!$A$5:$A$19,0))="","",INDEX(Matches!$AA$5:$AA$19,MATCH($C15,Matches!$A$5:$A$19,0))),"")</f>
        <v/>
      </c>
      <c r="L15">
        <f>IFERROR(IF(INDEX(Matches!$AB$5:$AB$19,MATCH($C15,Matches!$A$5:$A$19,0))="","",INDEX(Matches!$AB$5:$AB$19,MATCH($C15,Matches!$A$5:$A$19,0))),"")</f>
        <v/>
      </c>
      <c r="M15" s="8">
        <f>IFERROR(IF(INDEX(Matches!$AC$5:$AC$19,MATCH($C15,Matches!$A$5:$A$19,0))="","",INDEX(Matches!$AC$5:$AC$19,MATCH($C15,Matches!$A$5:$A$19,0))),"")</f>
        <v/>
      </c>
      <c r="N15">
        <f>IFERROR(INDEX(Players!$F$2:$F$124,MATCH($F15,Players!$A$2:$A$124,0)),0)</f>
        <v/>
      </c>
      <c r="O15" s="11">
        <f>IFERROR(1/(1/INDEX(Players!$H$2:$H$124,MATCH($F15,Players!$A$2:$A$124,0))),"")</f>
        <v/>
      </c>
      <c r="P15" s="8">
        <f>IFERROR(1/(1/INDEX(Players!$I$2:$I$124,MATCH($F15,Players!$A$2:$A$124,0))),"")</f>
        <v/>
      </c>
      <c r="Q15">
        <f>IF($G15="",0,SUMIFS(Map_Stats!$F$2:$F$779,Map_Stats!$A$2:$A$779,$F15&amp;"|"&amp;$G15))</f>
        <v/>
      </c>
      <c r="R15" s="11">
        <f>IF($G15="","",IFERROR(1/(1/INDEX(Map_Stats!$K$2:$K$779,MATCH($F15&amp;"|"&amp;$G15,Map_Stats!$A$2:$A$779,0))),$O15))</f>
        <v/>
      </c>
      <c r="S15" s="8">
        <f>IF(OR($G15="",$P15=""),"",IFERROR(1/(1/INDEX(Map_Stats!$I$2:$I$779,MATCH($F15&amp;"|"&amp;$G15,Map_Stats!$A$2:$A$779,0))),$P15))</f>
        <v/>
      </c>
      <c r="T15" s="11">
        <f>IF(OR($G15="",R15=""),"",IF($O15="",R15,(Q15*R15+Config!$B$4*$O15)/(Q15+Config!$B$4)))</f>
        <v/>
      </c>
      <c r="U15" s="8">
        <f>IF(S15="","",(Q15*S15+Config!$B$4*$P15)/(Q15+Config!$B$4))</f>
        <v/>
      </c>
      <c r="V15" s="15">
        <f>IF(OR(T15="",$J15=""),"",T15*$J15*($J15/Config!$B$10)^Config!$B$9)</f>
        <v/>
      </c>
      <c r="W15" s="15">
        <f>IF(OR(V15="",U15=""),"",V15*U15)</f>
        <v/>
      </c>
      <c r="X15">
        <f>IF($H15="",0,SUMIFS(Map_Stats!$F$2:$F$779,Map_Stats!$A$2:$A$779,$F15&amp;"|"&amp;$H15))</f>
        <v/>
      </c>
      <c r="Y15" s="11">
        <f>IF($H15="","",IFERROR(1/(1/INDEX(Map_Stats!$K$2:$K$779,MATCH($F15&amp;"|"&amp;$H15,Map_Stats!$A$2:$A$779,0))),$O15))</f>
        <v/>
      </c>
      <c r="Z15" s="8">
        <f>IF(OR($H15="",$P15=""),"",IFERROR(1/(1/INDEX(Map_Stats!$I$2:$I$779,MATCH($F15&amp;"|"&amp;$H15,Map_Stats!$A$2:$A$779,0))),$P15))</f>
        <v/>
      </c>
      <c r="AA15" s="11">
        <f>IF(OR($H15="",Y15=""),"",IF($O15="",Y15,(X15*Y15+Config!$B$4*$O15)/(X15+Config!$B$4)))</f>
        <v/>
      </c>
      <c r="AB15" s="8">
        <f>IF(Z15="","",(X15*Z15+Config!$B$4*$P15)/(X15+Config!$B$4))</f>
        <v/>
      </c>
      <c r="AC15" s="15">
        <f>IF(OR(AA15="",$K15=""),"",AA15*$K15*($K15/Config!$B$10)^Config!$B$9)</f>
        <v/>
      </c>
      <c r="AD15" s="15">
        <f>IF(OR(AC15="",AB15=""),"",AC15*AB15)</f>
        <v/>
      </c>
      <c r="AE15">
        <f>IF($I15="",0,SUMIFS(Map_Stats!$F$2:$F$779,Map_Stats!$A$2:$A$779,$F15&amp;"|"&amp;$I15))</f>
        <v/>
      </c>
      <c r="AF15" s="11">
        <f>IF($I15="","",IFERROR(1/(1/INDEX(Map_Stats!$K$2:$K$779,MATCH($F15&amp;"|"&amp;$I15,Map_Stats!$A$2:$A$779,0))),$O15))</f>
        <v/>
      </c>
      <c r="AG15" s="8">
        <f>IF(OR($I15="",$P15=""),"",IFERROR(1/(1/INDEX(Map_Stats!$I$2:$I$779,MATCH($F15&amp;"|"&amp;$I15,Map_Stats!$A$2:$A$779,0))),$P15))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IF($C15=Board!$B$2,COUNTIFS($C$2:$C$124,Board!$B$2,$AL$2:$AL$124,"&gt;"&amp;$AL15)+COUNTIFS($C$1:$C14,Board!$B$2,$AL$1:$AL14,$AL15)+1,"")</f>
        <v/>
      </c>
      <c r="AS15">
        <f>IFERROR(IF($D15=INDEX(Matches!$AD$5:$AD$19,MATCH($C15,Matches!$A$5:$A$19,0)),"A",IF($D15=INDEX(Matches!$AE$5:$AE$19,MATCH($C15,Matches!$A$5:$A$19,0)),"B","")),"")</f>
        <v/>
      </c>
      <c r="AT15" s="8">
        <f>IF($AS15="","",IFERROR(IF($AS15="A",INDEX(Matches!$AI$5:$AI$19,MATCH($C15,Matches!$A$5:$A$19,0)),INDEX(Matches!$AJ$5:$AJ$19,MATCH($C15,Matches!$A$5:$A$19,0))),""))</f>
        <v/>
      </c>
      <c r="AU15" s="8">
        <f>IF($AS15="","",IFERROR(IF(INDEX(Matches!$AP$5:$AP$19,MATCH($C15,Matches!$A$5:$A$19,0))="","",IF($AS15="A",INDEX(Matches!$AP$5:$AP$19,MATCH($C15,Matches!$A$5:$A$19,0)),1-INDEX(Matches!$AP$5:$AP$19,MATCH($C15,Matches!$A$5:$A$19,0)))),""))</f>
        <v/>
      </c>
      <c r="AV15" s="11">
        <f>IF(OR($AU15="",$AT15=""),1,((Config!$B$14*$AU15+Config!$B$15*(1-$AU15))/(Config!$B$14*$AT15+Config!$B$15*(1-$AT15)))^Config!$B$13)</f>
        <v/>
      </c>
      <c r="AW15" s="8">
        <f>IF($AS15="","",IFERROR(IF(INDEX(Matches!$AV$5:$AV$19,MATCH($C15,Matches!$A$5:$A$19,0))="","",IF($AS15="A",INDEX(Matches!$AV$5:$AV$19,MATCH($C15,Matches!$A$5:$A$19,0)),1-INDEX(Matches!$AV$5:$AV$19,MATCH($C15,Matches!$A$5:$A$19,0)))),""))</f>
        <v/>
      </c>
      <c r="AX15" s="11">
        <f>IF(OR($AW15="",$AT15=""),1,((Config!$B$14*$AW15+Config!$B$15*(1-$AW15))/(Config!$B$14*$AT15+Config!$B$15*(1-$AT15)))^Config!$B$13)</f>
        <v/>
      </c>
      <c r="AY15" s="8">
        <f>IF($AS15="","",IFERROR(IF(INDEX(Matches!$BB$5:$BB$19,MATCH($C15,Matches!$A$5:$A$19,0))="","",IF($AS15="A",INDEX(Matches!$BB$5:$BB$19,MATCH($C15,Matches!$A$5:$A$19,0)),1-INDEX(Matches!$BB$5:$BB$19,MATCH($C15,Matches!$A$5:$A$19,0)))),""))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vl85mzwiy0ds144|CS2 [NO MARKET] · BAKS vs MZP</t>
        </is>
      </c>
      <c r="B16" t="inlineStr">
        <is>
          <t>CS2</t>
        </is>
      </c>
      <c r="C16" t="inlineStr">
        <is>
          <t>CS2 [NO MARKET] · BAKS vs MZP</t>
        </is>
      </c>
      <c r="D16" t="inlineStr">
        <is>
          <t>MZP</t>
        </is>
      </c>
      <c r="E16" t="inlineStr">
        <is>
          <t>stanislaw</t>
        </is>
      </c>
      <c r="F16" t="inlineStr">
        <is>
          <t>vl85mzwiy0ds144</t>
        </is>
      </c>
      <c r="G16">
        <f>IFERROR(IF(INDEX(Matches!$W$5:$W$19,MATCH($C16,Matches!$A$5:$A$19,0))="","",INDEX(Matches!$W$5:$W$19,MATCH($C16,Matches!$A$5:$A$19,0))),"")</f>
        <v/>
      </c>
      <c r="H16">
        <f>IFERROR(IF(INDEX(Matches!$X$5:$X$19,MATCH($C16,Matches!$A$5:$A$19,0))="","",INDEX(Matches!$X$5:$X$19,MATCH($C16,Matches!$A$5:$A$19,0))),"")</f>
        <v/>
      </c>
      <c r="I16">
        <f>IFERROR(IF(INDEX(Matches!$Y$5:$Y$19,MATCH($C16,Matches!$A$5:$A$19,0))="","",INDEX(Matches!$Y$5:$Y$19,MATCH($C16,Matches!$A$5:$A$19,0))),"")</f>
        <v/>
      </c>
      <c r="J16">
        <f>IFERROR(IF(INDEX(Matches!$Z$5:$Z$19,MATCH($C16,Matches!$A$5:$A$19,0))="","",INDEX(Matches!$Z$5:$Z$19,MATCH($C16,Matches!$A$5:$A$19,0))),"")</f>
        <v/>
      </c>
      <c r="K16">
        <f>IFERROR(IF(INDEX(Matches!$AA$5:$AA$19,MATCH($C16,Matches!$A$5:$A$19,0))="","",INDEX(Matches!$AA$5:$AA$19,MATCH($C16,Matches!$A$5:$A$19,0))),"")</f>
        <v/>
      </c>
      <c r="L16">
        <f>IFERROR(IF(INDEX(Matches!$AB$5:$AB$19,MATCH($C16,Matches!$A$5:$A$19,0))="","",INDEX(Matches!$AB$5:$AB$19,MATCH($C16,Matches!$A$5:$A$19,0))),"")</f>
        <v/>
      </c>
      <c r="M16" s="8">
        <f>IFERROR(IF(INDEX(Matches!$AC$5:$AC$19,MATCH($C16,Matches!$A$5:$A$19,0))="","",INDEX(Matches!$AC$5:$AC$19,MATCH($C16,Matches!$A$5:$A$19,0))),"")</f>
        <v/>
      </c>
      <c r="N16">
        <f>IFERROR(INDEX(Players!$F$2:$F$124,MATCH($F16,Players!$A$2:$A$124,0)),0)</f>
        <v/>
      </c>
      <c r="O16" s="11">
        <f>IFERROR(1/(1/INDEX(Players!$H$2:$H$124,MATCH($F16,Players!$A$2:$A$124,0))),"")</f>
        <v/>
      </c>
      <c r="P16" s="8">
        <f>IFERROR(1/(1/INDEX(Players!$I$2:$I$124,MATCH($F16,Players!$A$2:$A$124,0))),"")</f>
        <v/>
      </c>
      <c r="Q16">
        <f>IF($G16="",0,SUMIFS(Map_Stats!$F$2:$F$779,Map_Stats!$A$2:$A$779,$F16&amp;"|"&amp;$G16))</f>
        <v/>
      </c>
      <c r="R16" s="11">
        <f>IF($G16="","",IFERROR(1/(1/INDEX(Map_Stats!$K$2:$K$779,MATCH($F16&amp;"|"&amp;$G16,Map_Stats!$A$2:$A$779,0))),$O16))</f>
        <v/>
      </c>
      <c r="S16" s="8">
        <f>IF(OR($G16="",$P16=""),"",IFERROR(1/(1/INDEX(Map_Stats!$I$2:$I$779,MATCH($F16&amp;"|"&amp;$G16,Map_Stats!$A$2:$A$779,0))),$P16))</f>
        <v/>
      </c>
      <c r="T16" s="11">
        <f>IF(OR($G16="",R16=""),"",IF($O16="",R16,(Q16*R16+Config!$B$4*$O16)/(Q16+Config!$B$4)))</f>
        <v/>
      </c>
      <c r="U16" s="8">
        <f>IF(S16="","",(Q16*S16+Config!$B$4*$P16)/(Q16+Config!$B$4))</f>
        <v/>
      </c>
      <c r="V16" s="15">
        <f>IF(OR(T16="",$J16=""),"",T16*$J16*($J16/Config!$B$10)^Config!$B$9)</f>
        <v/>
      </c>
      <c r="W16" s="15">
        <f>IF(OR(V16="",U16=""),"",V16*U16)</f>
        <v/>
      </c>
      <c r="X16">
        <f>IF($H16="",0,SUMIFS(Map_Stats!$F$2:$F$779,Map_Stats!$A$2:$A$779,$F16&amp;"|"&amp;$H16))</f>
        <v/>
      </c>
      <c r="Y16" s="11">
        <f>IF($H16="","",IFERROR(1/(1/INDEX(Map_Stats!$K$2:$K$779,MATCH($F16&amp;"|"&amp;$H16,Map_Stats!$A$2:$A$779,0))),$O16))</f>
        <v/>
      </c>
      <c r="Z16" s="8">
        <f>IF(OR($H16="",$P16=""),"",IFERROR(1/(1/INDEX(Map_Stats!$I$2:$I$779,MATCH($F16&amp;"|"&amp;$H16,Map_Stats!$A$2:$A$779,0))),$P16))</f>
        <v/>
      </c>
      <c r="AA16" s="11">
        <f>IF(OR($H16="",Y16=""),"",IF($O16="",Y16,(X16*Y16+Config!$B$4*$O16)/(X16+Config!$B$4)))</f>
        <v/>
      </c>
      <c r="AB16" s="8">
        <f>IF(Z16="","",(X16*Z16+Config!$B$4*$P16)/(X16+Config!$B$4))</f>
        <v/>
      </c>
      <c r="AC16" s="15">
        <f>IF(OR(AA16="",$K16=""),"",AA16*$K16*($K16/Config!$B$10)^Config!$B$9)</f>
        <v/>
      </c>
      <c r="AD16" s="15">
        <f>IF(OR(AC16="",AB16=""),"",AC16*AB16)</f>
        <v/>
      </c>
      <c r="AE16">
        <f>IF($I16="",0,SUMIFS(Map_Stats!$F$2:$F$779,Map_Stats!$A$2:$A$779,$F16&amp;"|"&amp;$I16))</f>
        <v/>
      </c>
      <c r="AF16" s="11">
        <f>IF($I16="","",IFERROR(1/(1/INDEX(Map_Stats!$K$2:$K$779,MATCH($F16&amp;"|"&amp;$I16,Map_Stats!$A$2:$A$779,0))),$O16))</f>
        <v/>
      </c>
      <c r="AG16" s="8">
        <f>IF(OR($I16="",$P16=""),"",IFERROR(1/(1/INDEX(Map_Stats!$I$2:$I$779,MATCH($F16&amp;"|"&amp;$I16,Map_Stats!$A$2:$A$779,0))),$P16))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IF($C16=Board!$B$2,COUNTIFS($C$2:$C$124,Board!$B$2,$AL$2:$AL$124,"&gt;"&amp;$AL16)+COUNTIFS($C$1:$C15,Board!$B$2,$AL$1:$AL15,$AL16)+1,"")</f>
        <v/>
      </c>
      <c r="AS16">
        <f>IFERROR(IF($D16=INDEX(Matches!$AD$5:$AD$19,MATCH($C16,Matches!$A$5:$A$19,0)),"A",IF($D16=INDEX(Matches!$AE$5:$AE$19,MATCH($C16,Matches!$A$5:$A$19,0)),"B","")),"")</f>
        <v/>
      </c>
      <c r="AT16" s="8">
        <f>IF($AS16="","",IFERROR(IF($AS16="A",INDEX(Matches!$AI$5:$AI$19,MATCH($C16,Matches!$A$5:$A$19,0)),INDEX(Matches!$AJ$5:$AJ$19,MATCH($C16,Matches!$A$5:$A$19,0))),""))</f>
        <v/>
      </c>
      <c r="AU16" s="8">
        <f>IF($AS16="","",IFERROR(IF(INDEX(Matches!$AP$5:$AP$19,MATCH($C16,Matches!$A$5:$A$19,0))="","",IF($AS16="A",INDEX(Matches!$AP$5:$AP$19,MATCH($C16,Matches!$A$5:$A$19,0)),1-INDEX(Matches!$AP$5:$AP$19,MATCH($C16,Matches!$A$5:$A$19,0)))),""))</f>
        <v/>
      </c>
      <c r="AV16" s="11">
        <f>IF(OR($AU16="",$AT16=""),1,((Config!$B$14*$AU16+Config!$B$15*(1-$AU16))/(Config!$B$14*$AT16+Config!$B$15*(1-$AT16)))^Config!$B$13)</f>
        <v/>
      </c>
      <c r="AW16" s="8">
        <f>IF($AS16="","",IFERROR(IF(INDEX(Matches!$AV$5:$AV$19,MATCH($C16,Matches!$A$5:$A$19,0))="","",IF($AS16="A",INDEX(Matches!$AV$5:$AV$19,MATCH($C16,Matches!$A$5:$A$19,0)),1-INDEX(Matches!$AV$5:$AV$19,MATCH($C16,Matches!$A$5:$A$19,0)))),""))</f>
        <v/>
      </c>
      <c r="AX16" s="11">
        <f>IF(OR($AW16="",$AT16=""),1,((Config!$B$14*$AW16+Config!$B$15*(1-$AW16))/(Config!$B$14*$AT16+Config!$B$15*(1-$AT16)))^Config!$B$13)</f>
        <v/>
      </c>
      <c r="AY16" s="8">
        <f>IF($AS16="","",IFERROR(IF(INDEX(Matches!$BB$5:$BB$19,MATCH($C16,Matches!$A$5:$A$19,0))="","",IF($AS16="A",INDEX(Matches!$BB$5:$BB$19,MATCH($C16,Matches!$A$5:$A$19,0)),1-INDEX(Matches!$BB$5:$BB$19,MATCH($C16,Matches!$A$5:$A$19,0)))),""))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0hbeigv9v9oomi7|CS2 [NO MARKET] · Color vs ex-ZT</t>
        </is>
      </c>
      <c r="B17" t="inlineStr">
        <is>
          <t>CS2</t>
        </is>
      </c>
      <c r="C17" t="inlineStr">
        <is>
          <t>CS2 [NO MARKET] · Color vs ex-ZT</t>
        </is>
      </c>
      <c r="D17" t="inlineStr">
        <is>
          <t>Color</t>
        </is>
      </c>
      <c r="E17" t="inlineStr">
        <is>
          <t>cronuss</t>
        </is>
      </c>
      <c r="F17" t="inlineStr">
        <is>
          <t>0hbeigv9v9oomi7</t>
        </is>
      </c>
      <c r="G17">
        <f>IFERROR(IF(INDEX(Matches!$W$5:$W$19,MATCH($C17,Matches!$A$5:$A$19,0))="","",INDEX(Matches!$W$5:$W$19,MATCH($C17,Matches!$A$5:$A$19,0))),"")</f>
        <v/>
      </c>
      <c r="H17">
        <f>IFERROR(IF(INDEX(Matches!$X$5:$X$19,MATCH($C17,Matches!$A$5:$A$19,0))="","",INDEX(Matches!$X$5:$X$19,MATCH($C17,Matches!$A$5:$A$19,0))),"")</f>
        <v/>
      </c>
      <c r="I17">
        <f>IFERROR(IF(INDEX(Matches!$Y$5:$Y$19,MATCH($C17,Matches!$A$5:$A$19,0))="","",INDEX(Matches!$Y$5:$Y$19,MATCH($C17,Matches!$A$5:$A$19,0))),"")</f>
        <v/>
      </c>
      <c r="J17">
        <f>IFERROR(IF(INDEX(Matches!$Z$5:$Z$19,MATCH($C17,Matches!$A$5:$A$19,0))="","",INDEX(Matches!$Z$5:$Z$19,MATCH($C17,Matches!$A$5:$A$19,0))),"")</f>
        <v/>
      </c>
      <c r="K17">
        <f>IFERROR(IF(INDEX(Matches!$AA$5:$AA$19,MATCH($C17,Matches!$A$5:$A$19,0))="","",INDEX(Matches!$AA$5:$AA$19,MATCH($C17,Matches!$A$5:$A$19,0))),"")</f>
        <v/>
      </c>
      <c r="L17">
        <f>IFERROR(IF(INDEX(Matches!$AB$5:$AB$19,MATCH($C17,Matches!$A$5:$A$19,0))="","",INDEX(Matches!$AB$5:$AB$19,MATCH($C17,Matches!$A$5:$A$19,0))),"")</f>
        <v/>
      </c>
      <c r="M17" s="8">
        <f>IFERROR(IF(INDEX(Matches!$AC$5:$AC$19,MATCH($C17,Matches!$A$5:$A$19,0))="","",INDEX(Matches!$AC$5:$AC$19,MATCH($C17,Matches!$A$5:$A$19,0))),"")</f>
        <v/>
      </c>
      <c r="N17">
        <f>IFERROR(INDEX(Players!$F$2:$F$124,MATCH($F17,Players!$A$2:$A$124,0)),0)</f>
        <v/>
      </c>
      <c r="O17" s="11">
        <f>IFERROR(1/(1/INDEX(Players!$H$2:$H$124,MATCH($F17,Players!$A$2:$A$124,0))),"")</f>
        <v/>
      </c>
      <c r="P17" s="8">
        <f>IFERROR(1/(1/INDEX(Players!$I$2:$I$124,MATCH($F17,Players!$A$2:$A$124,0))),"")</f>
        <v/>
      </c>
      <c r="Q17">
        <f>IF($G17="",0,SUMIFS(Map_Stats!$F$2:$F$779,Map_Stats!$A$2:$A$779,$F17&amp;"|"&amp;$G17))</f>
        <v/>
      </c>
      <c r="R17" s="11">
        <f>IF($G17="","",IFERROR(1/(1/INDEX(Map_Stats!$K$2:$K$779,MATCH($F17&amp;"|"&amp;$G17,Map_Stats!$A$2:$A$779,0))),$O17))</f>
        <v/>
      </c>
      <c r="S17" s="8">
        <f>IF(OR($G17="",$P17=""),"",IFERROR(1/(1/INDEX(Map_Stats!$I$2:$I$779,MATCH($F17&amp;"|"&amp;$G17,Map_Stats!$A$2:$A$779,0))),$P17))</f>
        <v/>
      </c>
      <c r="T17" s="11">
        <f>IF(OR($G17="",R17=""),"",IF($O17="",R17,(Q17*R17+Config!$B$4*$O17)/(Q17+Config!$B$4)))</f>
        <v/>
      </c>
      <c r="U17" s="8">
        <f>IF(S17="","",(Q17*S17+Config!$B$4*$P17)/(Q17+Config!$B$4))</f>
        <v/>
      </c>
      <c r="V17" s="15">
        <f>IF(OR(T17="",$J17=""),"",T17*$J17*($J17/Config!$B$10)^Config!$B$9)</f>
        <v/>
      </c>
      <c r="W17" s="15">
        <f>IF(OR(V17="",U17=""),"",V17*U17)</f>
        <v/>
      </c>
      <c r="X17">
        <f>IF($H17="",0,SUMIFS(Map_Stats!$F$2:$F$779,Map_Stats!$A$2:$A$779,$F17&amp;"|"&amp;$H17))</f>
        <v/>
      </c>
      <c r="Y17" s="11">
        <f>IF($H17="","",IFERROR(1/(1/INDEX(Map_Stats!$K$2:$K$779,MATCH($F17&amp;"|"&amp;$H17,Map_Stats!$A$2:$A$779,0))),$O17))</f>
        <v/>
      </c>
      <c r="Z17" s="8">
        <f>IF(OR($H17="",$P17=""),"",IFERROR(1/(1/INDEX(Map_Stats!$I$2:$I$779,MATCH($F17&amp;"|"&amp;$H17,Map_Stats!$A$2:$A$779,0))),$P17))</f>
        <v/>
      </c>
      <c r="AA17" s="11">
        <f>IF(OR($H17="",Y17=""),"",IF($O17="",Y17,(X17*Y17+Config!$B$4*$O17)/(X17+Config!$B$4)))</f>
        <v/>
      </c>
      <c r="AB17" s="8">
        <f>IF(Z17="","",(X17*Z17+Config!$B$4*$P17)/(X17+Config!$B$4))</f>
        <v/>
      </c>
      <c r="AC17" s="15">
        <f>IF(OR(AA17="",$K17=""),"",AA17*$K17*($K17/Config!$B$10)^Config!$B$9)</f>
        <v/>
      </c>
      <c r="AD17" s="15">
        <f>IF(OR(AC17="",AB17=""),"",AC17*AB17)</f>
        <v/>
      </c>
      <c r="AE17">
        <f>IF($I17="",0,SUMIFS(Map_Stats!$F$2:$F$779,Map_Stats!$A$2:$A$779,$F17&amp;"|"&amp;$I17))</f>
        <v/>
      </c>
      <c r="AF17" s="11">
        <f>IF($I17="","",IFERROR(1/(1/INDEX(Map_Stats!$K$2:$K$779,MATCH($F17&amp;"|"&amp;$I17,Map_Stats!$A$2:$A$779,0))),$O17))</f>
        <v/>
      </c>
      <c r="AG17" s="8">
        <f>IF(OR($I17="",$P17=""),"",IFERROR(1/(1/INDEX(Map_Stats!$I$2:$I$779,MATCH($F17&amp;"|"&amp;$I17,Map_Stats!$A$2:$A$779,0))),$P17))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IF($C17=Board!$B$2,COUNTIFS($C$2:$C$124,Board!$B$2,$AL$2:$AL$124,"&gt;"&amp;$AL17)+COUNTIFS($C$1:$C16,Board!$B$2,$AL$1:$AL16,$AL17)+1,"")</f>
        <v/>
      </c>
      <c r="AS17">
        <f>IFERROR(IF($D17=INDEX(Matches!$AD$5:$AD$19,MATCH($C17,Matches!$A$5:$A$19,0)),"A",IF($D17=INDEX(Matches!$AE$5:$AE$19,MATCH($C17,Matches!$A$5:$A$19,0)),"B","")),"")</f>
        <v/>
      </c>
      <c r="AT17" s="8">
        <f>IF($AS17="","",IFERROR(IF($AS17="A",INDEX(Matches!$AI$5:$AI$19,MATCH($C17,Matches!$A$5:$A$19,0)),INDEX(Matches!$AJ$5:$AJ$19,MATCH($C17,Matches!$A$5:$A$19,0))),""))</f>
        <v/>
      </c>
      <c r="AU17" s="8">
        <f>IF($AS17="","",IFERROR(IF(INDEX(Matches!$AP$5:$AP$19,MATCH($C17,Matches!$A$5:$A$19,0))="","",IF($AS17="A",INDEX(Matches!$AP$5:$AP$19,MATCH($C17,Matches!$A$5:$A$19,0)),1-INDEX(Matches!$AP$5:$AP$19,MATCH($C17,Matches!$A$5:$A$19,0)))),""))</f>
        <v/>
      </c>
      <c r="AV17" s="11">
        <f>IF(OR($AU17="",$AT17=""),1,((Config!$B$14*$AU17+Config!$B$15*(1-$AU17))/(Config!$B$14*$AT17+Config!$B$15*(1-$AT17)))^Config!$B$13)</f>
        <v/>
      </c>
      <c r="AW17" s="8">
        <f>IF($AS17="","",IFERROR(IF(INDEX(Matches!$AV$5:$AV$19,MATCH($C17,Matches!$A$5:$A$19,0))="","",IF($AS17="A",INDEX(Matches!$AV$5:$AV$19,MATCH($C17,Matches!$A$5:$A$19,0)),1-INDEX(Matches!$AV$5:$AV$19,MATCH($C17,Matches!$A$5:$A$19,0)))),""))</f>
        <v/>
      </c>
      <c r="AX17" s="11">
        <f>IF(OR($AW17="",$AT17=""),1,((Config!$B$14*$AW17+Config!$B$15*(1-$AW17))/(Config!$B$14*$AT17+Config!$B$15*(1-$AT17)))^Config!$B$13)</f>
        <v/>
      </c>
      <c r="AY17" s="8">
        <f>IF($AS17="","",IFERROR(IF(INDEX(Matches!$BB$5:$BB$19,MATCH($C17,Matches!$A$5:$A$19,0))="","",IF($AS17="A",INDEX(Matches!$BB$5:$BB$19,MATCH($C17,Matches!$A$5:$A$19,0)),1-INDEX(Matches!$BB$5:$BB$19,MATCH($C17,Matches!$A$5:$A$19,0)))),""))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x9afncgn4bx6f1l|CS2 [NO MARKET] · Color vs ex-ZT</t>
        </is>
      </c>
      <c r="B18" t="inlineStr">
        <is>
          <t>CS2</t>
        </is>
      </c>
      <c r="C18" t="inlineStr">
        <is>
          <t>CS2 [NO MARKET] · Color vs ex-ZT</t>
        </is>
      </c>
      <c r="D18" t="inlineStr">
        <is>
          <t>Color</t>
        </is>
      </c>
      <c r="E18" t="inlineStr">
        <is>
          <t>Oz1k</t>
        </is>
      </c>
      <c r="F18" t="inlineStr">
        <is>
          <t>x9afncgn4bx6f1l</t>
        </is>
      </c>
      <c r="G18">
        <f>IFERROR(IF(INDEX(Matches!$W$5:$W$19,MATCH($C18,Matches!$A$5:$A$19,0))="","",INDEX(Matches!$W$5:$W$19,MATCH($C18,Matches!$A$5:$A$19,0))),"")</f>
        <v/>
      </c>
      <c r="H18">
        <f>IFERROR(IF(INDEX(Matches!$X$5:$X$19,MATCH($C18,Matches!$A$5:$A$19,0))="","",INDEX(Matches!$X$5:$X$19,MATCH($C18,Matches!$A$5:$A$19,0))),"")</f>
        <v/>
      </c>
      <c r="I18">
        <f>IFERROR(IF(INDEX(Matches!$Y$5:$Y$19,MATCH($C18,Matches!$A$5:$A$19,0))="","",INDEX(Matches!$Y$5:$Y$19,MATCH($C18,Matches!$A$5:$A$19,0))),"")</f>
        <v/>
      </c>
      <c r="J18">
        <f>IFERROR(IF(INDEX(Matches!$Z$5:$Z$19,MATCH($C18,Matches!$A$5:$A$19,0))="","",INDEX(Matches!$Z$5:$Z$19,MATCH($C18,Matches!$A$5:$A$19,0))),"")</f>
        <v/>
      </c>
      <c r="K18">
        <f>IFERROR(IF(INDEX(Matches!$AA$5:$AA$19,MATCH($C18,Matches!$A$5:$A$19,0))="","",INDEX(Matches!$AA$5:$AA$19,MATCH($C18,Matches!$A$5:$A$19,0))),"")</f>
        <v/>
      </c>
      <c r="L18">
        <f>IFERROR(IF(INDEX(Matches!$AB$5:$AB$19,MATCH($C18,Matches!$A$5:$A$19,0))="","",INDEX(Matches!$AB$5:$AB$19,MATCH($C18,Matches!$A$5:$A$19,0))),"")</f>
        <v/>
      </c>
      <c r="M18" s="8">
        <f>IFERROR(IF(INDEX(Matches!$AC$5:$AC$19,MATCH($C18,Matches!$A$5:$A$19,0))="","",INDEX(Matches!$AC$5:$AC$19,MATCH($C18,Matches!$A$5:$A$19,0))),"")</f>
        <v/>
      </c>
      <c r="N18">
        <f>IFERROR(INDEX(Players!$F$2:$F$124,MATCH($F18,Players!$A$2:$A$124,0)),0)</f>
        <v/>
      </c>
      <c r="O18" s="11">
        <f>IFERROR(1/(1/INDEX(Players!$H$2:$H$124,MATCH($F18,Players!$A$2:$A$124,0))),"")</f>
        <v/>
      </c>
      <c r="P18" s="8">
        <f>IFERROR(1/(1/INDEX(Players!$I$2:$I$124,MATCH($F18,Players!$A$2:$A$124,0))),"")</f>
        <v/>
      </c>
      <c r="Q18">
        <f>IF($G18="",0,SUMIFS(Map_Stats!$F$2:$F$779,Map_Stats!$A$2:$A$779,$F18&amp;"|"&amp;$G18))</f>
        <v/>
      </c>
      <c r="R18" s="11">
        <f>IF($G18="","",IFERROR(1/(1/INDEX(Map_Stats!$K$2:$K$779,MATCH($F18&amp;"|"&amp;$G18,Map_Stats!$A$2:$A$779,0))),$O18))</f>
        <v/>
      </c>
      <c r="S18" s="8">
        <f>IF(OR($G18="",$P18=""),"",IFERROR(1/(1/INDEX(Map_Stats!$I$2:$I$779,MATCH($F18&amp;"|"&amp;$G18,Map_Stats!$A$2:$A$779,0))),$P18))</f>
        <v/>
      </c>
      <c r="T18" s="11">
        <f>IF(OR($G18="",R18=""),"",IF($O18="",R18,(Q18*R18+Config!$B$4*$O18)/(Q18+Config!$B$4)))</f>
        <v/>
      </c>
      <c r="U18" s="8">
        <f>IF(S18="","",(Q18*S18+Config!$B$4*$P18)/(Q18+Config!$B$4))</f>
        <v/>
      </c>
      <c r="V18" s="15">
        <f>IF(OR(T18="",$J18=""),"",T18*$J18*($J18/Config!$B$10)^Config!$B$9)</f>
        <v/>
      </c>
      <c r="W18" s="15">
        <f>IF(OR(V18="",U18=""),"",V18*U18)</f>
        <v/>
      </c>
      <c r="X18">
        <f>IF($H18="",0,SUMIFS(Map_Stats!$F$2:$F$779,Map_Stats!$A$2:$A$779,$F18&amp;"|"&amp;$H18))</f>
        <v/>
      </c>
      <c r="Y18" s="11">
        <f>IF($H18="","",IFERROR(1/(1/INDEX(Map_Stats!$K$2:$K$779,MATCH($F18&amp;"|"&amp;$H18,Map_Stats!$A$2:$A$779,0))),$O18))</f>
        <v/>
      </c>
      <c r="Z18" s="8">
        <f>IF(OR($H18="",$P18=""),"",IFERROR(1/(1/INDEX(Map_Stats!$I$2:$I$779,MATCH($F18&amp;"|"&amp;$H18,Map_Stats!$A$2:$A$779,0))),$P18))</f>
        <v/>
      </c>
      <c r="AA18" s="11">
        <f>IF(OR($H18="",Y18=""),"",IF($O18="",Y18,(X18*Y18+Config!$B$4*$O18)/(X18+Config!$B$4)))</f>
        <v/>
      </c>
      <c r="AB18" s="8">
        <f>IF(Z18="","",(X18*Z18+Config!$B$4*$P18)/(X18+Config!$B$4))</f>
        <v/>
      </c>
      <c r="AC18" s="15">
        <f>IF(OR(AA18="",$K18=""),"",AA18*$K18*($K18/Config!$B$10)^Config!$B$9)</f>
        <v/>
      </c>
      <c r="AD18" s="15">
        <f>IF(OR(AC18="",AB18=""),"",AC18*AB18)</f>
        <v/>
      </c>
      <c r="AE18">
        <f>IF($I18="",0,SUMIFS(Map_Stats!$F$2:$F$779,Map_Stats!$A$2:$A$779,$F18&amp;"|"&amp;$I18))</f>
        <v/>
      </c>
      <c r="AF18" s="11">
        <f>IF($I18="","",IFERROR(1/(1/INDEX(Map_Stats!$K$2:$K$779,MATCH($F18&amp;"|"&amp;$I18,Map_Stats!$A$2:$A$779,0))),$O18))</f>
        <v/>
      </c>
      <c r="AG18" s="8">
        <f>IF(OR($I18="",$P18=""),"",IFERROR(1/(1/INDEX(Map_Stats!$I$2:$I$779,MATCH($F18&amp;"|"&amp;$I18,Map_Stats!$A$2:$A$779,0))),$P18))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IF($C18=Board!$B$2,COUNTIFS($C$2:$C$124,Board!$B$2,$AL$2:$AL$124,"&gt;"&amp;$AL18)+COUNTIFS($C$1:$C17,Board!$B$2,$AL$1:$AL17,$AL18)+1,"")</f>
        <v/>
      </c>
      <c r="AS18">
        <f>IFERROR(IF($D18=INDEX(Matches!$AD$5:$AD$19,MATCH($C18,Matches!$A$5:$A$19,0)),"A",IF($D18=INDEX(Matches!$AE$5:$AE$19,MATCH($C18,Matches!$A$5:$A$19,0)),"B","")),"")</f>
        <v/>
      </c>
      <c r="AT18" s="8">
        <f>IF($AS18="","",IFERROR(IF($AS18="A",INDEX(Matches!$AI$5:$AI$19,MATCH($C18,Matches!$A$5:$A$19,0)),INDEX(Matches!$AJ$5:$AJ$19,MATCH($C18,Matches!$A$5:$A$19,0))),""))</f>
        <v/>
      </c>
      <c r="AU18" s="8">
        <f>IF($AS18="","",IFERROR(IF(INDEX(Matches!$AP$5:$AP$19,MATCH($C18,Matches!$A$5:$A$19,0))="","",IF($AS18="A",INDEX(Matches!$AP$5:$AP$19,MATCH($C18,Matches!$A$5:$A$19,0)),1-INDEX(Matches!$AP$5:$AP$19,MATCH($C18,Matches!$A$5:$A$19,0)))),""))</f>
        <v/>
      </c>
      <c r="AV18" s="11">
        <f>IF(OR($AU18="",$AT18=""),1,((Config!$B$14*$AU18+Config!$B$15*(1-$AU18))/(Config!$B$14*$AT18+Config!$B$15*(1-$AT18)))^Config!$B$13)</f>
        <v/>
      </c>
      <c r="AW18" s="8">
        <f>IF($AS18="","",IFERROR(IF(INDEX(Matches!$AV$5:$AV$19,MATCH($C18,Matches!$A$5:$A$19,0))="","",IF($AS18="A",INDEX(Matches!$AV$5:$AV$19,MATCH($C18,Matches!$A$5:$A$19,0)),1-INDEX(Matches!$AV$5:$AV$19,MATCH($C18,Matches!$A$5:$A$19,0)))),""))</f>
        <v/>
      </c>
      <c r="AX18" s="11">
        <f>IF(OR($AW18="",$AT18=""),1,((Config!$B$14*$AW18+Config!$B$15*(1-$AW18))/(Config!$B$14*$AT18+Config!$B$15*(1-$AT18)))^Config!$B$13)</f>
        <v/>
      </c>
      <c r="AY18" s="8">
        <f>IF($AS18="","",IFERROR(IF(INDEX(Matches!$BB$5:$BB$19,MATCH($C18,Matches!$A$5:$A$19,0))="","",IF($AS18="A",INDEX(Matches!$BB$5:$BB$19,MATCH($C18,Matches!$A$5:$A$19,0)),1-INDEX(Matches!$BB$5:$BB$19,MATCH($C18,Matches!$A$5:$A$19,0)))),""))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66ajrvmetqiufsf|CS2 · AUR vs G2</t>
        </is>
      </c>
      <c r="B19" t="inlineStr">
        <is>
          <t>CS2</t>
        </is>
      </c>
      <c r="C19" t="inlineStr">
        <is>
          <t>CS2 · AUR vs G2</t>
        </is>
      </c>
      <c r="D19" t="inlineStr">
        <is>
          <t>AUR</t>
        </is>
      </c>
      <c r="E19" t="inlineStr">
        <is>
          <t>Jimpphat</t>
        </is>
      </c>
      <c r="F19" t="inlineStr">
        <is>
          <t>66ajrvmetqiufsf</t>
        </is>
      </c>
      <c r="G19">
        <f>IFERROR(IF(INDEX(Matches!$W$5:$W$19,MATCH($C19,Matches!$A$5:$A$19,0))="","",INDEX(Matches!$W$5:$W$19,MATCH($C19,Matches!$A$5:$A$19,0))),"")</f>
        <v/>
      </c>
      <c r="H19">
        <f>IFERROR(IF(INDEX(Matches!$X$5:$X$19,MATCH($C19,Matches!$A$5:$A$19,0))="","",INDEX(Matches!$X$5:$X$19,MATCH($C19,Matches!$A$5:$A$19,0))),"")</f>
        <v/>
      </c>
      <c r="I19">
        <f>IFERROR(IF(INDEX(Matches!$Y$5:$Y$19,MATCH($C19,Matches!$A$5:$A$19,0))="","",INDEX(Matches!$Y$5:$Y$19,MATCH($C19,Matches!$A$5:$A$19,0))),"")</f>
        <v/>
      </c>
      <c r="J19">
        <f>IFERROR(IF(INDEX(Matches!$Z$5:$Z$19,MATCH($C19,Matches!$A$5:$A$19,0))="","",INDEX(Matches!$Z$5:$Z$19,MATCH($C19,Matches!$A$5:$A$19,0))),"")</f>
        <v/>
      </c>
      <c r="K19">
        <f>IFERROR(IF(INDEX(Matches!$AA$5:$AA$19,MATCH($C19,Matches!$A$5:$A$19,0))="","",INDEX(Matches!$AA$5:$AA$19,MATCH($C19,Matches!$A$5:$A$19,0))),"")</f>
        <v/>
      </c>
      <c r="L19">
        <f>IFERROR(IF(INDEX(Matches!$AB$5:$AB$19,MATCH($C19,Matches!$A$5:$A$19,0))="","",INDEX(Matches!$AB$5:$AB$19,MATCH($C19,Matches!$A$5:$A$19,0))),"")</f>
        <v/>
      </c>
      <c r="M19" s="8">
        <f>IFERROR(IF(INDEX(Matches!$AC$5:$AC$19,MATCH($C19,Matches!$A$5:$A$19,0))="","",INDEX(Matches!$AC$5:$AC$19,MATCH($C19,Matches!$A$5:$A$19,0))),"")</f>
        <v/>
      </c>
      <c r="N19">
        <f>IFERROR(INDEX(Players!$F$2:$F$124,MATCH($F19,Players!$A$2:$A$124,0)),0)</f>
        <v/>
      </c>
      <c r="O19" s="11">
        <f>IFERROR(1/(1/INDEX(Players!$H$2:$H$124,MATCH($F19,Players!$A$2:$A$124,0))),"")</f>
        <v/>
      </c>
      <c r="P19" s="8">
        <f>IFERROR(1/(1/INDEX(Players!$I$2:$I$124,MATCH($F19,Players!$A$2:$A$124,0))),"")</f>
        <v/>
      </c>
      <c r="Q19">
        <f>IF($G19="",0,SUMIFS(Map_Stats!$F$2:$F$779,Map_Stats!$A$2:$A$779,$F19&amp;"|"&amp;$G19))</f>
        <v/>
      </c>
      <c r="R19" s="11">
        <f>IF($G19="","",IFERROR(1/(1/INDEX(Map_Stats!$K$2:$K$779,MATCH($F19&amp;"|"&amp;$G19,Map_Stats!$A$2:$A$779,0))),$O19))</f>
        <v/>
      </c>
      <c r="S19" s="8">
        <f>IF(OR($G19="",$P19=""),"",IFERROR(1/(1/INDEX(Map_Stats!$I$2:$I$779,MATCH($F19&amp;"|"&amp;$G19,Map_Stats!$A$2:$A$779,0))),$P19))</f>
        <v/>
      </c>
      <c r="T19" s="11">
        <f>IF(OR($G19="",R19=""),"",IF($O19="",R19,(Q19*R19+Config!$B$4*$O19)/(Q19+Config!$B$4)))</f>
        <v/>
      </c>
      <c r="U19" s="8">
        <f>IF(S19="","",(Q19*S19+Config!$B$4*$P19)/(Q19+Config!$B$4))</f>
        <v/>
      </c>
      <c r="V19" s="15">
        <f>IF(OR(T19="",$J19=""),"",T19*$J19*($J19/Config!$B$10)^Config!$B$9)</f>
        <v/>
      </c>
      <c r="W19" s="15">
        <f>IF(OR(V19="",U19=""),"",V19*U19)</f>
        <v/>
      </c>
      <c r="X19">
        <f>IF($H19="",0,SUMIFS(Map_Stats!$F$2:$F$779,Map_Stats!$A$2:$A$779,$F19&amp;"|"&amp;$H19))</f>
        <v/>
      </c>
      <c r="Y19" s="11">
        <f>IF($H19="","",IFERROR(1/(1/INDEX(Map_Stats!$K$2:$K$779,MATCH($F19&amp;"|"&amp;$H19,Map_Stats!$A$2:$A$779,0))),$O19))</f>
        <v/>
      </c>
      <c r="Z19" s="8">
        <f>IF(OR($H19="",$P19=""),"",IFERROR(1/(1/INDEX(Map_Stats!$I$2:$I$779,MATCH($F19&amp;"|"&amp;$H19,Map_Stats!$A$2:$A$779,0))),$P19))</f>
        <v/>
      </c>
      <c r="AA19" s="11">
        <f>IF(OR($H19="",Y19=""),"",IF($O19="",Y19,(X19*Y19+Config!$B$4*$O19)/(X19+Config!$B$4)))</f>
        <v/>
      </c>
      <c r="AB19" s="8">
        <f>IF(Z19="","",(X19*Z19+Config!$B$4*$P19)/(X19+Config!$B$4))</f>
        <v/>
      </c>
      <c r="AC19" s="15">
        <f>IF(OR(AA19="",$K19=""),"",AA19*$K19*($K19/Config!$B$10)^Config!$B$9)</f>
        <v/>
      </c>
      <c r="AD19" s="15">
        <f>IF(OR(AC19="",AB19=""),"",AC19*AB19)</f>
        <v/>
      </c>
      <c r="AE19">
        <f>IF($I19="",0,SUMIFS(Map_Stats!$F$2:$F$779,Map_Stats!$A$2:$A$779,$F19&amp;"|"&amp;$I19))</f>
        <v/>
      </c>
      <c r="AF19" s="11">
        <f>IF($I19="","",IFERROR(1/(1/INDEX(Map_Stats!$K$2:$K$779,MATCH($F19&amp;"|"&amp;$I19,Map_Stats!$A$2:$A$779,0))),$O19))</f>
        <v/>
      </c>
      <c r="AG19" s="8">
        <f>IF(OR($I19="",$P19=""),"",IFERROR(1/(1/INDEX(Map_Stats!$I$2:$I$779,MATCH($F19&amp;"|"&amp;$I19,Map_Stats!$A$2:$A$779,0))),$P19))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IF($C19=Board!$B$2,COUNTIFS($C$2:$C$124,Board!$B$2,$AL$2:$AL$124,"&gt;"&amp;$AL19)+COUNTIFS($C$1:$C18,Board!$B$2,$AL$1:$AL18,$AL19)+1,"")</f>
        <v/>
      </c>
      <c r="AS19">
        <f>IFERROR(IF($D19=INDEX(Matches!$AD$5:$AD$19,MATCH($C19,Matches!$A$5:$A$19,0)),"A",IF($D19=INDEX(Matches!$AE$5:$AE$19,MATCH($C19,Matches!$A$5:$A$19,0)),"B","")),"")</f>
        <v/>
      </c>
      <c r="AT19" s="8">
        <f>IF($AS19="","",IFERROR(IF($AS19="A",INDEX(Matches!$AI$5:$AI$19,MATCH($C19,Matches!$A$5:$A$19,0)),INDEX(Matches!$AJ$5:$AJ$19,MATCH($C19,Matches!$A$5:$A$19,0))),""))</f>
        <v/>
      </c>
      <c r="AU19" s="8">
        <f>IF($AS19="","",IFERROR(IF(INDEX(Matches!$AP$5:$AP$19,MATCH($C19,Matches!$A$5:$A$19,0))="","",IF($AS19="A",INDEX(Matches!$AP$5:$AP$19,MATCH($C19,Matches!$A$5:$A$19,0)),1-INDEX(Matches!$AP$5:$AP$19,MATCH($C19,Matches!$A$5:$A$19,0)))),""))</f>
        <v/>
      </c>
      <c r="AV19" s="11">
        <f>IF(OR($AU19="",$AT19=""),1,((Config!$B$14*$AU19+Config!$B$15*(1-$AU19))/(Config!$B$14*$AT19+Config!$B$15*(1-$AT19)))^Config!$B$13)</f>
        <v/>
      </c>
      <c r="AW19" s="8">
        <f>IF($AS19="","",IFERROR(IF(INDEX(Matches!$AV$5:$AV$19,MATCH($C19,Matches!$A$5:$A$19,0))="","",IF($AS19="A",INDEX(Matches!$AV$5:$AV$19,MATCH($C19,Matches!$A$5:$A$19,0)),1-INDEX(Matches!$AV$5:$AV$19,MATCH($C19,Matches!$A$5:$A$19,0)))),""))</f>
        <v/>
      </c>
      <c r="AX19" s="11">
        <f>IF(OR($AW19="",$AT19=""),1,((Config!$B$14*$AW19+Config!$B$15*(1-$AW19))/(Config!$B$14*$AT19+Config!$B$15*(1-$AT19)))^Config!$B$13)</f>
        <v/>
      </c>
      <c r="AY19" s="8">
        <f>IF($AS19="","",IFERROR(IF(INDEX(Matches!$BB$5:$BB$19,MATCH($C19,Matches!$A$5:$A$19,0))="","",IF($AS19="A",INDEX(Matches!$BB$5:$BB$19,MATCH($C19,Matches!$A$5:$A$19,0)),1-INDEX(Matches!$BB$5:$BB$19,MATCH($C19,Matches!$A$5:$A$19,0)))),""))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gzghvr1quamb0xn|CS2 · AUR vs G2</t>
        </is>
      </c>
      <c r="B20" t="inlineStr">
        <is>
          <t>CS2</t>
        </is>
      </c>
      <c r="C20" t="inlineStr">
        <is>
          <t>CS2 · AUR vs G2</t>
        </is>
      </c>
      <c r="D20" t="inlineStr">
        <is>
          <t>AUR</t>
        </is>
      </c>
      <c r="E20" t="inlineStr">
        <is>
          <t>kyxsan</t>
        </is>
      </c>
      <c r="F20" t="inlineStr">
        <is>
          <t>gzghvr1quamb0xn</t>
        </is>
      </c>
      <c r="G20">
        <f>IFERROR(IF(INDEX(Matches!$W$5:$W$19,MATCH($C20,Matches!$A$5:$A$19,0))="","",INDEX(Matches!$W$5:$W$19,MATCH($C20,Matches!$A$5:$A$19,0))),"")</f>
        <v/>
      </c>
      <c r="H20">
        <f>IFERROR(IF(INDEX(Matches!$X$5:$X$19,MATCH($C20,Matches!$A$5:$A$19,0))="","",INDEX(Matches!$X$5:$X$19,MATCH($C20,Matches!$A$5:$A$19,0))),"")</f>
        <v/>
      </c>
      <c r="I20">
        <f>IFERROR(IF(INDEX(Matches!$Y$5:$Y$19,MATCH($C20,Matches!$A$5:$A$19,0))="","",INDEX(Matches!$Y$5:$Y$19,MATCH($C20,Matches!$A$5:$A$19,0))),"")</f>
        <v/>
      </c>
      <c r="J20">
        <f>IFERROR(IF(INDEX(Matches!$Z$5:$Z$19,MATCH($C20,Matches!$A$5:$A$19,0))="","",INDEX(Matches!$Z$5:$Z$19,MATCH($C20,Matches!$A$5:$A$19,0))),"")</f>
        <v/>
      </c>
      <c r="K20">
        <f>IFERROR(IF(INDEX(Matches!$AA$5:$AA$19,MATCH($C20,Matches!$A$5:$A$19,0))="","",INDEX(Matches!$AA$5:$AA$19,MATCH($C20,Matches!$A$5:$A$19,0))),"")</f>
        <v/>
      </c>
      <c r="L20">
        <f>IFERROR(IF(INDEX(Matches!$AB$5:$AB$19,MATCH($C20,Matches!$A$5:$A$19,0))="","",INDEX(Matches!$AB$5:$AB$19,MATCH($C20,Matches!$A$5:$A$19,0))),"")</f>
        <v/>
      </c>
      <c r="M20" s="8">
        <f>IFERROR(IF(INDEX(Matches!$AC$5:$AC$19,MATCH($C20,Matches!$A$5:$A$19,0))="","",INDEX(Matches!$AC$5:$AC$19,MATCH($C20,Matches!$A$5:$A$19,0))),"")</f>
        <v/>
      </c>
      <c r="N20">
        <f>IFERROR(INDEX(Players!$F$2:$F$124,MATCH($F20,Players!$A$2:$A$124,0)),0)</f>
        <v/>
      </c>
      <c r="O20" s="11">
        <f>IFERROR(1/(1/INDEX(Players!$H$2:$H$124,MATCH($F20,Players!$A$2:$A$124,0))),"")</f>
        <v/>
      </c>
      <c r="P20" s="8">
        <f>IFERROR(1/(1/INDEX(Players!$I$2:$I$124,MATCH($F20,Players!$A$2:$A$124,0))),"")</f>
        <v/>
      </c>
      <c r="Q20">
        <f>IF($G20="",0,SUMIFS(Map_Stats!$F$2:$F$779,Map_Stats!$A$2:$A$779,$F20&amp;"|"&amp;$G20))</f>
        <v/>
      </c>
      <c r="R20" s="11">
        <f>IF($G20="","",IFERROR(1/(1/INDEX(Map_Stats!$K$2:$K$779,MATCH($F20&amp;"|"&amp;$G20,Map_Stats!$A$2:$A$779,0))),$O20))</f>
        <v/>
      </c>
      <c r="S20" s="8">
        <f>IF(OR($G20="",$P20=""),"",IFERROR(1/(1/INDEX(Map_Stats!$I$2:$I$779,MATCH($F20&amp;"|"&amp;$G20,Map_Stats!$A$2:$A$779,0))),$P20))</f>
        <v/>
      </c>
      <c r="T20" s="11">
        <f>IF(OR($G20="",R20=""),"",IF($O20="",R20,(Q20*R20+Config!$B$4*$O20)/(Q20+Config!$B$4)))</f>
        <v/>
      </c>
      <c r="U20" s="8">
        <f>IF(S20="","",(Q20*S20+Config!$B$4*$P20)/(Q20+Config!$B$4))</f>
        <v/>
      </c>
      <c r="V20" s="15">
        <f>IF(OR(T20="",$J20=""),"",T20*$J20*($J20/Config!$B$10)^Config!$B$9)</f>
        <v/>
      </c>
      <c r="W20" s="15">
        <f>IF(OR(V20="",U20=""),"",V20*U20)</f>
        <v/>
      </c>
      <c r="X20">
        <f>IF($H20="",0,SUMIFS(Map_Stats!$F$2:$F$779,Map_Stats!$A$2:$A$779,$F20&amp;"|"&amp;$H20))</f>
        <v/>
      </c>
      <c r="Y20" s="11">
        <f>IF($H20="","",IFERROR(1/(1/INDEX(Map_Stats!$K$2:$K$779,MATCH($F20&amp;"|"&amp;$H20,Map_Stats!$A$2:$A$779,0))),$O20))</f>
        <v/>
      </c>
      <c r="Z20" s="8">
        <f>IF(OR($H20="",$P20=""),"",IFERROR(1/(1/INDEX(Map_Stats!$I$2:$I$779,MATCH($F20&amp;"|"&amp;$H20,Map_Stats!$A$2:$A$779,0))),$P20))</f>
        <v/>
      </c>
      <c r="AA20" s="11">
        <f>IF(OR($H20="",Y20=""),"",IF($O20="",Y20,(X20*Y20+Config!$B$4*$O20)/(X20+Config!$B$4)))</f>
        <v/>
      </c>
      <c r="AB20" s="8">
        <f>IF(Z20="","",(X20*Z20+Config!$B$4*$P20)/(X20+Config!$B$4))</f>
        <v/>
      </c>
      <c r="AC20" s="15">
        <f>IF(OR(AA20="",$K20=""),"",AA20*$K20*($K20/Config!$B$10)^Config!$B$9)</f>
        <v/>
      </c>
      <c r="AD20" s="15">
        <f>IF(OR(AC20="",AB20=""),"",AC20*AB20)</f>
        <v/>
      </c>
      <c r="AE20">
        <f>IF($I20="",0,SUMIFS(Map_Stats!$F$2:$F$779,Map_Stats!$A$2:$A$779,$F20&amp;"|"&amp;$I20))</f>
        <v/>
      </c>
      <c r="AF20" s="11">
        <f>IF($I20="","",IFERROR(1/(1/INDEX(Map_Stats!$K$2:$K$779,MATCH($F20&amp;"|"&amp;$I20,Map_Stats!$A$2:$A$779,0))),$O20))</f>
        <v/>
      </c>
      <c r="AG20" s="8">
        <f>IF(OR($I20="",$P20=""),"",IFERROR(1/(1/INDEX(Map_Stats!$I$2:$I$779,MATCH($F20&amp;"|"&amp;$I20,Map_Stats!$A$2:$A$779,0))),$P20))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IF($C20=Board!$B$2,COUNTIFS($C$2:$C$124,Board!$B$2,$AL$2:$AL$124,"&gt;"&amp;$AL20)+COUNTIFS($C$1:$C19,Board!$B$2,$AL$1:$AL19,$AL20)+1,"")</f>
        <v/>
      </c>
      <c r="AS20">
        <f>IFERROR(IF($D20=INDEX(Matches!$AD$5:$AD$19,MATCH($C20,Matches!$A$5:$A$19,0)),"A",IF($D20=INDEX(Matches!$AE$5:$AE$19,MATCH($C20,Matches!$A$5:$A$19,0)),"B","")),"")</f>
        <v/>
      </c>
      <c r="AT20" s="8">
        <f>IF($AS20="","",IFERROR(IF($AS20="A",INDEX(Matches!$AI$5:$AI$19,MATCH($C20,Matches!$A$5:$A$19,0)),INDEX(Matches!$AJ$5:$AJ$19,MATCH($C20,Matches!$A$5:$A$19,0))),""))</f>
        <v/>
      </c>
      <c r="AU20" s="8">
        <f>IF($AS20="","",IFERROR(IF(INDEX(Matches!$AP$5:$AP$19,MATCH($C20,Matches!$A$5:$A$19,0))="","",IF($AS20="A",INDEX(Matches!$AP$5:$AP$19,MATCH($C20,Matches!$A$5:$A$19,0)),1-INDEX(Matches!$AP$5:$AP$19,MATCH($C20,Matches!$A$5:$A$19,0)))),""))</f>
        <v/>
      </c>
      <c r="AV20" s="11">
        <f>IF(OR($AU20="",$AT20=""),1,((Config!$B$14*$AU20+Config!$B$15*(1-$AU20))/(Config!$B$14*$AT20+Config!$B$15*(1-$AT20)))^Config!$B$13)</f>
        <v/>
      </c>
      <c r="AW20" s="8">
        <f>IF($AS20="","",IFERROR(IF(INDEX(Matches!$AV$5:$AV$19,MATCH($C20,Matches!$A$5:$A$19,0))="","",IF($AS20="A",INDEX(Matches!$AV$5:$AV$19,MATCH($C20,Matches!$A$5:$A$19,0)),1-INDEX(Matches!$AV$5:$AV$19,MATCH($C20,Matches!$A$5:$A$19,0)))),""))</f>
        <v/>
      </c>
      <c r="AX20" s="11">
        <f>IF(OR($AW20="",$AT20=""),1,((Config!$B$14*$AW20+Config!$B$15*(1-$AW20))/(Config!$B$14*$AT20+Config!$B$15*(1-$AT20)))^Config!$B$13)</f>
        <v/>
      </c>
      <c r="AY20" s="8">
        <f>IF($AS20="","",IFERROR(IF(INDEX(Matches!$BB$5:$BB$19,MATCH($C20,Matches!$A$5:$A$19,0))="","",IF($AS20="A",INDEX(Matches!$BB$5:$BB$19,MATCH($C20,Matches!$A$5:$A$19,0)),1-INDEX(Matches!$BB$5:$BB$19,MATCH($C20,Matches!$A$5:$A$19,0)))),""))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9clq2dpvqugkf0i|CS2 · AUR vs G2</t>
        </is>
      </c>
      <c r="B21" t="inlineStr">
        <is>
          <t>CS2</t>
        </is>
      </c>
      <c r="C21" t="inlineStr">
        <is>
          <t>CS2 · AUR vs G2</t>
        </is>
      </c>
      <c r="D21" t="inlineStr">
        <is>
          <t>AUR</t>
        </is>
      </c>
      <c r="E21" t="inlineStr">
        <is>
          <t>Wicadia</t>
        </is>
      </c>
      <c r="F21" t="inlineStr">
        <is>
          <t>9clq2dpvqugkf0i</t>
        </is>
      </c>
      <c r="G21">
        <f>IFERROR(IF(INDEX(Matches!$W$5:$W$19,MATCH($C21,Matches!$A$5:$A$19,0))="","",INDEX(Matches!$W$5:$W$19,MATCH($C21,Matches!$A$5:$A$19,0))),"")</f>
        <v/>
      </c>
      <c r="H21">
        <f>IFERROR(IF(INDEX(Matches!$X$5:$X$19,MATCH($C21,Matches!$A$5:$A$19,0))="","",INDEX(Matches!$X$5:$X$19,MATCH($C21,Matches!$A$5:$A$19,0))),"")</f>
        <v/>
      </c>
      <c r="I21">
        <f>IFERROR(IF(INDEX(Matches!$Y$5:$Y$19,MATCH($C21,Matches!$A$5:$A$19,0))="","",INDEX(Matches!$Y$5:$Y$19,MATCH($C21,Matches!$A$5:$A$19,0))),"")</f>
        <v/>
      </c>
      <c r="J21">
        <f>IFERROR(IF(INDEX(Matches!$Z$5:$Z$19,MATCH($C21,Matches!$A$5:$A$19,0))="","",INDEX(Matches!$Z$5:$Z$19,MATCH($C21,Matches!$A$5:$A$19,0))),"")</f>
        <v/>
      </c>
      <c r="K21">
        <f>IFERROR(IF(INDEX(Matches!$AA$5:$AA$19,MATCH($C21,Matches!$A$5:$A$19,0))="","",INDEX(Matches!$AA$5:$AA$19,MATCH($C21,Matches!$A$5:$A$19,0))),"")</f>
        <v/>
      </c>
      <c r="L21">
        <f>IFERROR(IF(INDEX(Matches!$AB$5:$AB$19,MATCH($C21,Matches!$A$5:$A$19,0))="","",INDEX(Matches!$AB$5:$AB$19,MATCH($C21,Matches!$A$5:$A$19,0))),"")</f>
        <v/>
      </c>
      <c r="M21" s="8">
        <f>IFERROR(IF(INDEX(Matches!$AC$5:$AC$19,MATCH($C21,Matches!$A$5:$A$19,0))="","",INDEX(Matches!$AC$5:$AC$19,MATCH($C21,Matches!$A$5:$A$19,0))),"")</f>
        <v/>
      </c>
      <c r="N21">
        <f>IFERROR(INDEX(Players!$F$2:$F$124,MATCH($F21,Players!$A$2:$A$124,0)),0)</f>
        <v/>
      </c>
      <c r="O21" s="11">
        <f>IFERROR(1/(1/INDEX(Players!$H$2:$H$124,MATCH($F21,Players!$A$2:$A$124,0))),"")</f>
        <v/>
      </c>
      <c r="P21" s="8">
        <f>IFERROR(1/(1/INDEX(Players!$I$2:$I$124,MATCH($F21,Players!$A$2:$A$124,0))),"")</f>
        <v/>
      </c>
      <c r="Q21">
        <f>IF($G21="",0,SUMIFS(Map_Stats!$F$2:$F$779,Map_Stats!$A$2:$A$779,$F21&amp;"|"&amp;$G21))</f>
        <v/>
      </c>
      <c r="R21" s="11">
        <f>IF($G21="","",IFERROR(1/(1/INDEX(Map_Stats!$K$2:$K$779,MATCH($F21&amp;"|"&amp;$G21,Map_Stats!$A$2:$A$779,0))),$O21))</f>
        <v/>
      </c>
      <c r="S21" s="8">
        <f>IF(OR($G21="",$P21=""),"",IFERROR(1/(1/INDEX(Map_Stats!$I$2:$I$779,MATCH($F21&amp;"|"&amp;$G21,Map_Stats!$A$2:$A$779,0))),$P21))</f>
        <v/>
      </c>
      <c r="T21" s="11">
        <f>IF(OR($G21="",R21=""),"",IF($O21="",R21,(Q21*R21+Config!$B$4*$O21)/(Q21+Config!$B$4)))</f>
        <v/>
      </c>
      <c r="U21" s="8">
        <f>IF(S21="","",(Q21*S21+Config!$B$4*$P21)/(Q21+Config!$B$4))</f>
        <v/>
      </c>
      <c r="V21" s="15">
        <f>IF(OR(T21="",$J21=""),"",T21*$J21*($J21/Config!$B$10)^Config!$B$9)</f>
        <v/>
      </c>
      <c r="W21" s="15">
        <f>IF(OR(V21="",U21=""),"",V21*U21)</f>
        <v/>
      </c>
      <c r="X21">
        <f>IF($H21="",0,SUMIFS(Map_Stats!$F$2:$F$779,Map_Stats!$A$2:$A$779,$F21&amp;"|"&amp;$H21))</f>
        <v/>
      </c>
      <c r="Y21" s="11">
        <f>IF($H21="","",IFERROR(1/(1/INDEX(Map_Stats!$K$2:$K$779,MATCH($F21&amp;"|"&amp;$H21,Map_Stats!$A$2:$A$779,0))),$O21))</f>
        <v/>
      </c>
      <c r="Z21" s="8">
        <f>IF(OR($H21="",$P21=""),"",IFERROR(1/(1/INDEX(Map_Stats!$I$2:$I$779,MATCH($F21&amp;"|"&amp;$H21,Map_Stats!$A$2:$A$779,0))),$P21))</f>
        <v/>
      </c>
      <c r="AA21" s="11">
        <f>IF(OR($H21="",Y21=""),"",IF($O21="",Y21,(X21*Y21+Config!$B$4*$O21)/(X21+Config!$B$4)))</f>
        <v/>
      </c>
      <c r="AB21" s="8">
        <f>IF(Z21="","",(X21*Z21+Config!$B$4*$P21)/(X21+Config!$B$4))</f>
        <v/>
      </c>
      <c r="AC21" s="15">
        <f>IF(OR(AA21="",$K21=""),"",AA21*$K21*($K21/Config!$B$10)^Config!$B$9)</f>
        <v/>
      </c>
      <c r="AD21" s="15">
        <f>IF(OR(AC21="",AB21=""),"",AC21*AB21)</f>
        <v/>
      </c>
      <c r="AE21">
        <f>IF($I21="",0,SUMIFS(Map_Stats!$F$2:$F$779,Map_Stats!$A$2:$A$779,$F21&amp;"|"&amp;$I21))</f>
        <v/>
      </c>
      <c r="AF21" s="11">
        <f>IF($I21="","",IFERROR(1/(1/INDEX(Map_Stats!$K$2:$K$779,MATCH($F21&amp;"|"&amp;$I21,Map_Stats!$A$2:$A$779,0))),$O21))</f>
        <v/>
      </c>
      <c r="AG21" s="8">
        <f>IF(OR($I21="",$P21=""),"",IFERROR(1/(1/INDEX(Map_Stats!$I$2:$I$779,MATCH($F21&amp;"|"&amp;$I21,Map_Stats!$A$2:$A$779,0))),$P21))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IF($C21=Board!$B$2,COUNTIFS($C$2:$C$124,Board!$B$2,$AL$2:$AL$124,"&gt;"&amp;$AL21)+COUNTIFS($C$1:$C20,Board!$B$2,$AL$1:$AL20,$AL21)+1,"")</f>
        <v/>
      </c>
      <c r="AS21">
        <f>IFERROR(IF($D21=INDEX(Matches!$AD$5:$AD$19,MATCH($C21,Matches!$A$5:$A$19,0)),"A",IF($D21=INDEX(Matches!$AE$5:$AE$19,MATCH($C21,Matches!$A$5:$A$19,0)),"B","")),"")</f>
        <v/>
      </c>
      <c r="AT21" s="8">
        <f>IF($AS21="","",IFERROR(IF($AS21="A",INDEX(Matches!$AI$5:$AI$19,MATCH($C21,Matches!$A$5:$A$19,0)),INDEX(Matches!$AJ$5:$AJ$19,MATCH($C21,Matches!$A$5:$A$19,0))),""))</f>
        <v/>
      </c>
      <c r="AU21" s="8">
        <f>IF($AS21="","",IFERROR(IF(INDEX(Matches!$AP$5:$AP$19,MATCH($C21,Matches!$A$5:$A$19,0))="","",IF($AS21="A",INDEX(Matches!$AP$5:$AP$19,MATCH($C21,Matches!$A$5:$A$19,0)),1-INDEX(Matches!$AP$5:$AP$19,MATCH($C21,Matches!$A$5:$A$19,0)))),""))</f>
        <v/>
      </c>
      <c r="AV21" s="11">
        <f>IF(OR($AU21="",$AT21=""),1,((Config!$B$14*$AU21+Config!$B$15*(1-$AU21))/(Config!$B$14*$AT21+Config!$B$15*(1-$AT21)))^Config!$B$13)</f>
        <v/>
      </c>
      <c r="AW21" s="8">
        <f>IF($AS21="","",IFERROR(IF(INDEX(Matches!$AV$5:$AV$19,MATCH($C21,Matches!$A$5:$A$19,0))="","",IF($AS21="A",INDEX(Matches!$AV$5:$AV$19,MATCH($C21,Matches!$A$5:$A$19,0)),1-INDEX(Matches!$AV$5:$AV$19,MATCH($C21,Matches!$A$5:$A$19,0)))),""))</f>
        <v/>
      </c>
      <c r="AX21" s="11">
        <f>IF(OR($AW21="",$AT21=""),1,((Config!$B$14*$AW21+Config!$B$15*(1-$AW21))/(Config!$B$14*$AT21+Config!$B$15*(1-$AT21)))^Config!$B$13)</f>
        <v/>
      </c>
      <c r="AY21" s="8">
        <f>IF($AS21="","",IFERROR(IF(INDEX(Matches!$BB$5:$BB$19,MATCH($C21,Matches!$A$5:$A$19,0))="","",IF($AS21="A",INDEX(Matches!$BB$5:$BB$19,MATCH($C21,Matches!$A$5:$A$19,0)),1-INDEX(Matches!$BB$5:$BB$19,MATCH($C21,Matches!$A$5:$A$19,0)))),""))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lpkyyhtoofj8ova|CS2 · AUR vs G2</t>
        </is>
      </c>
      <c r="B22" t="inlineStr">
        <is>
          <t>CS2</t>
        </is>
      </c>
      <c r="C22" t="inlineStr">
        <is>
          <t>CS2 · AUR vs G2</t>
        </is>
      </c>
      <c r="D22" t="inlineStr">
        <is>
          <t>AUR</t>
        </is>
      </c>
      <c r="E22" t="inlineStr">
        <is>
          <t>woxic</t>
        </is>
      </c>
      <c r="F22" t="inlineStr">
        <is>
          <t>lpkyyhtoofj8ova</t>
        </is>
      </c>
      <c r="G22">
        <f>IFERROR(IF(INDEX(Matches!$W$5:$W$19,MATCH($C22,Matches!$A$5:$A$19,0))="","",INDEX(Matches!$W$5:$W$19,MATCH($C22,Matches!$A$5:$A$19,0))),"")</f>
        <v/>
      </c>
      <c r="H22">
        <f>IFERROR(IF(INDEX(Matches!$X$5:$X$19,MATCH($C22,Matches!$A$5:$A$19,0))="","",INDEX(Matches!$X$5:$X$19,MATCH($C22,Matches!$A$5:$A$19,0))),"")</f>
        <v/>
      </c>
      <c r="I22">
        <f>IFERROR(IF(INDEX(Matches!$Y$5:$Y$19,MATCH($C22,Matches!$A$5:$A$19,0))="","",INDEX(Matches!$Y$5:$Y$19,MATCH($C22,Matches!$A$5:$A$19,0))),"")</f>
        <v/>
      </c>
      <c r="J22">
        <f>IFERROR(IF(INDEX(Matches!$Z$5:$Z$19,MATCH($C22,Matches!$A$5:$A$19,0))="","",INDEX(Matches!$Z$5:$Z$19,MATCH($C22,Matches!$A$5:$A$19,0))),"")</f>
        <v/>
      </c>
      <c r="K22">
        <f>IFERROR(IF(INDEX(Matches!$AA$5:$AA$19,MATCH($C22,Matches!$A$5:$A$19,0))="","",INDEX(Matches!$AA$5:$AA$19,MATCH($C22,Matches!$A$5:$A$19,0))),"")</f>
        <v/>
      </c>
      <c r="L22">
        <f>IFERROR(IF(INDEX(Matches!$AB$5:$AB$19,MATCH($C22,Matches!$A$5:$A$19,0))="","",INDEX(Matches!$AB$5:$AB$19,MATCH($C22,Matches!$A$5:$A$19,0))),"")</f>
        <v/>
      </c>
      <c r="M22" s="8">
        <f>IFERROR(IF(INDEX(Matches!$AC$5:$AC$19,MATCH($C22,Matches!$A$5:$A$19,0))="","",INDEX(Matches!$AC$5:$AC$19,MATCH($C22,Matches!$A$5:$A$19,0))),"")</f>
        <v/>
      </c>
      <c r="N22">
        <f>IFERROR(INDEX(Players!$F$2:$F$124,MATCH($F22,Players!$A$2:$A$124,0)),0)</f>
        <v/>
      </c>
      <c r="O22" s="11">
        <f>IFERROR(1/(1/INDEX(Players!$H$2:$H$124,MATCH($F22,Players!$A$2:$A$124,0))),"")</f>
        <v/>
      </c>
      <c r="P22" s="8">
        <f>IFERROR(1/(1/INDEX(Players!$I$2:$I$124,MATCH($F22,Players!$A$2:$A$124,0))),"")</f>
        <v/>
      </c>
      <c r="Q22">
        <f>IF($G22="",0,SUMIFS(Map_Stats!$F$2:$F$779,Map_Stats!$A$2:$A$779,$F22&amp;"|"&amp;$G22))</f>
        <v/>
      </c>
      <c r="R22" s="11">
        <f>IF($G22="","",IFERROR(1/(1/INDEX(Map_Stats!$K$2:$K$779,MATCH($F22&amp;"|"&amp;$G22,Map_Stats!$A$2:$A$779,0))),$O22))</f>
        <v/>
      </c>
      <c r="S22" s="8">
        <f>IF(OR($G22="",$P22=""),"",IFERROR(1/(1/INDEX(Map_Stats!$I$2:$I$779,MATCH($F22&amp;"|"&amp;$G22,Map_Stats!$A$2:$A$779,0))),$P22))</f>
        <v/>
      </c>
      <c r="T22" s="11">
        <f>IF(OR($G22="",R22=""),"",IF($O22="",R22,(Q22*R22+Config!$B$4*$O22)/(Q22+Config!$B$4)))</f>
        <v/>
      </c>
      <c r="U22" s="8">
        <f>IF(S22="","",(Q22*S22+Config!$B$4*$P22)/(Q22+Config!$B$4))</f>
        <v/>
      </c>
      <c r="V22" s="15">
        <f>IF(OR(T22="",$J22=""),"",T22*$J22*($J22/Config!$B$10)^Config!$B$9)</f>
        <v/>
      </c>
      <c r="W22" s="15">
        <f>IF(OR(V22="",U22=""),"",V22*U22)</f>
        <v/>
      </c>
      <c r="X22">
        <f>IF($H22="",0,SUMIFS(Map_Stats!$F$2:$F$779,Map_Stats!$A$2:$A$779,$F22&amp;"|"&amp;$H22))</f>
        <v/>
      </c>
      <c r="Y22" s="11">
        <f>IF($H22="","",IFERROR(1/(1/INDEX(Map_Stats!$K$2:$K$779,MATCH($F22&amp;"|"&amp;$H22,Map_Stats!$A$2:$A$779,0))),$O22))</f>
        <v/>
      </c>
      <c r="Z22" s="8">
        <f>IF(OR($H22="",$P22=""),"",IFERROR(1/(1/INDEX(Map_Stats!$I$2:$I$779,MATCH($F22&amp;"|"&amp;$H22,Map_Stats!$A$2:$A$779,0))),$P22))</f>
        <v/>
      </c>
      <c r="AA22" s="11">
        <f>IF(OR($H22="",Y22=""),"",IF($O22="",Y22,(X22*Y22+Config!$B$4*$O22)/(X22+Config!$B$4)))</f>
        <v/>
      </c>
      <c r="AB22" s="8">
        <f>IF(Z22="","",(X22*Z22+Config!$B$4*$P22)/(X22+Config!$B$4))</f>
        <v/>
      </c>
      <c r="AC22" s="15">
        <f>IF(OR(AA22="",$K22=""),"",AA22*$K22*($K22/Config!$B$10)^Config!$B$9)</f>
        <v/>
      </c>
      <c r="AD22" s="15">
        <f>IF(OR(AC22="",AB22=""),"",AC22*AB22)</f>
        <v/>
      </c>
      <c r="AE22">
        <f>IF($I22="",0,SUMIFS(Map_Stats!$F$2:$F$779,Map_Stats!$A$2:$A$779,$F22&amp;"|"&amp;$I22))</f>
        <v/>
      </c>
      <c r="AF22" s="11">
        <f>IF($I22="","",IFERROR(1/(1/INDEX(Map_Stats!$K$2:$K$779,MATCH($F22&amp;"|"&amp;$I22,Map_Stats!$A$2:$A$779,0))),$O22))</f>
        <v/>
      </c>
      <c r="AG22" s="8">
        <f>IF(OR($I22="",$P22=""),"",IFERROR(1/(1/INDEX(Map_Stats!$I$2:$I$779,MATCH($F22&amp;"|"&amp;$I22,Map_Stats!$A$2:$A$779,0))),$P22))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IF($C22=Board!$B$2,COUNTIFS($C$2:$C$124,Board!$B$2,$AL$2:$AL$124,"&gt;"&amp;$AL22)+COUNTIFS($C$1:$C21,Board!$B$2,$AL$1:$AL21,$AL22)+1,"")</f>
        <v/>
      </c>
      <c r="AS22">
        <f>IFERROR(IF($D22=INDEX(Matches!$AD$5:$AD$19,MATCH($C22,Matches!$A$5:$A$19,0)),"A",IF($D22=INDEX(Matches!$AE$5:$AE$19,MATCH($C22,Matches!$A$5:$A$19,0)),"B","")),"")</f>
        <v/>
      </c>
      <c r="AT22" s="8">
        <f>IF($AS22="","",IFERROR(IF($AS22="A",INDEX(Matches!$AI$5:$AI$19,MATCH($C22,Matches!$A$5:$A$19,0)),INDEX(Matches!$AJ$5:$AJ$19,MATCH($C22,Matches!$A$5:$A$19,0))),""))</f>
        <v/>
      </c>
      <c r="AU22" s="8">
        <f>IF($AS22="","",IFERROR(IF(INDEX(Matches!$AP$5:$AP$19,MATCH($C22,Matches!$A$5:$A$19,0))="","",IF($AS22="A",INDEX(Matches!$AP$5:$AP$19,MATCH($C22,Matches!$A$5:$A$19,0)),1-INDEX(Matches!$AP$5:$AP$19,MATCH($C22,Matches!$A$5:$A$19,0)))),""))</f>
        <v/>
      </c>
      <c r="AV22" s="11">
        <f>IF(OR($AU22="",$AT22=""),1,((Config!$B$14*$AU22+Config!$B$15*(1-$AU22))/(Config!$B$14*$AT22+Config!$B$15*(1-$AT22)))^Config!$B$13)</f>
        <v/>
      </c>
      <c r="AW22" s="8">
        <f>IF($AS22="","",IFERROR(IF(INDEX(Matches!$AV$5:$AV$19,MATCH($C22,Matches!$A$5:$A$19,0))="","",IF($AS22="A",INDEX(Matches!$AV$5:$AV$19,MATCH($C22,Matches!$A$5:$A$19,0)),1-INDEX(Matches!$AV$5:$AV$19,MATCH($C22,Matches!$A$5:$A$19,0)))),""))</f>
        <v/>
      </c>
      <c r="AX22" s="11">
        <f>IF(OR($AW22="",$AT22=""),1,((Config!$B$14*$AW22+Config!$B$15*(1-$AW22))/(Config!$B$14*$AT22+Config!$B$15*(1-$AT22)))^Config!$B$13)</f>
        <v/>
      </c>
      <c r="AY22" s="8">
        <f>IF($AS22="","",IFERROR(IF(INDEX(Matches!$BB$5:$BB$19,MATCH($C22,Matches!$A$5:$A$19,0))="","",IF($AS22="A",INDEX(Matches!$BB$5:$BB$19,MATCH($C22,Matches!$A$5:$A$19,0)),1-INDEX(Matches!$BB$5:$BB$19,MATCH($C22,Matches!$A$5:$A$19,0)))),""))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zauqna21klkp1rt|CS2 · AUR vs G2</t>
        </is>
      </c>
      <c r="B23" t="inlineStr">
        <is>
          <t>CS2</t>
        </is>
      </c>
      <c r="C23" t="inlineStr">
        <is>
          <t>CS2 · AUR vs G2</t>
        </is>
      </c>
      <c r="D23" t="inlineStr">
        <is>
          <t>AUR</t>
        </is>
      </c>
      <c r="E23" t="inlineStr">
        <is>
          <t>XANTARES</t>
        </is>
      </c>
      <c r="F23" t="inlineStr">
        <is>
          <t>zauqna21klkp1rt</t>
        </is>
      </c>
      <c r="G23">
        <f>IFERROR(IF(INDEX(Matches!$W$5:$W$19,MATCH($C23,Matches!$A$5:$A$19,0))="","",INDEX(Matches!$W$5:$W$19,MATCH($C23,Matches!$A$5:$A$19,0))),"")</f>
        <v/>
      </c>
      <c r="H23">
        <f>IFERROR(IF(INDEX(Matches!$X$5:$X$19,MATCH($C23,Matches!$A$5:$A$19,0))="","",INDEX(Matches!$X$5:$X$19,MATCH($C23,Matches!$A$5:$A$19,0))),"")</f>
        <v/>
      </c>
      <c r="I23">
        <f>IFERROR(IF(INDEX(Matches!$Y$5:$Y$19,MATCH($C23,Matches!$A$5:$A$19,0))="","",INDEX(Matches!$Y$5:$Y$19,MATCH($C23,Matches!$A$5:$A$19,0))),"")</f>
        <v/>
      </c>
      <c r="J23">
        <f>IFERROR(IF(INDEX(Matches!$Z$5:$Z$19,MATCH($C23,Matches!$A$5:$A$19,0))="","",INDEX(Matches!$Z$5:$Z$19,MATCH($C23,Matches!$A$5:$A$19,0))),"")</f>
        <v/>
      </c>
      <c r="K23">
        <f>IFERROR(IF(INDEX(Matches!$AA$5:$AA$19,MATCH($C23,Matches!$A$5:$A$19,0))="","",INDEX(Matches!$AA$5:$AA$19,MATCH($C23,Matches!$A$5:$A$19,0))),"")</f>
        <v/>
      </c>
      <c r="L23">
        <f>IFERROR(IF(INDEX(Matches!$AB$5:$AB$19,MATCH($C23,Matches!$A$5:$A$19,0))="","",INDEX(Matches!$AB$5:$AB$19,MATCH($C23,Matches!$A$5:$A$19,0))),"")</f>
        <v/>
      </c>
      <c r="M23" s="8">
        <f>IFERROR(IF(INDEX(Matches!$AC$5:$AC$19,MATCH($C23,Matches!$A$5:$A$19,0))="","",INDEX(Matches!$AC$5:$AC$19,MATCH($C23,Matches!$A$5:$A$19,0))),"")</f>
        <v/>
      </c>
      <c r="N23">
        <f>IFERROR(INDEX(Players!$F$2:$F$124,MATCH($F23,Players!$A$2:$A$124,0)),0)</f>
        <v/>
      </c>
      <c r="O23" s="11">
        <f>IFERROR(1/(1/INDEX(Players!$H$2:$H$124,MATCH($F23,Players!$A$2:$A$124,0))),"")</f>
        <v/>
      </c>
      <c r="P23" s="8">
        <f>IFERROR(1/(1/INDEX(Players!$I$2:$I$124,MATCH($F23,Players!$A$2:$A$124,0))),"")</f>
        <v/>
      </c>
      <c r="Q23">
        <f>IF($G23="",0,SUMIFS(Map_Stats!$F$2:$F$779,Map_Stats!$A$2:$A$779,$F23&amp;"|"&amp;$G23))</f>
        <v/>
      </c>
      <c r="R23" s="11">
        <f>IF($G23="","",IFERROR(1/(1/INDEX(Map_Stats!$K$2:$K$779,MATCH($F23&amp;"|"&amp;$G23,Map_Stats!$A$2:$A$779,0))),$O23))</f>
        <v/>
      </c>
      <c r="S23" s="8">
        <f>IF(OR($G23="",$P23=""),"",IFERROR(1/(1/INDEX(Map_Stats!$I$2:$I$779,MATCH($F23&amp;"|"&amp;$G23,Map_Stats!$A$2:$A$779,0))),$P23))</f>
        <v/>
      </c>
      <c r="T23" s="11">
        <f>IF(OR($G23="",R23=""),"",IF($O23="",R23,(Q23*R23+Config!$B$4*$O23)/(Q23+Config!$B$4)))</f>
        <v/>
      </c>
      <c r="U23" s="8">
        <f>IF(S23="","",(Q23*S23+Config!$B$4*$P23)/(Q23+Config!$B$4))</f>
        <v/>
      </c>
      <c r="V23" s="15">
        <f>IF(OR(T23="",$J23=""),"",T23*$J23*($J23/Config!$B$10)^Config!$B$9)</f>
        <v/>
      </c>
      <c r="W23" s="15">
        <f>IF(OR(V23="",U23=""),"",V23*U23)</f>
        <v/>
      </c>
      <c r="X23">
        <f>IF($H23="",0,SUMIFS(Map_Stats!$F$2:$F$779,Map_Stats!$A$2:$A$779,$F23&amp;"|"&amp;$H23))</f>
        <v/>
      </c>
      <c r="Y23" s="11">
        <f>IF($H23="","",IFERROR(1/(1/INDEX(Map_Stats!$K$2:$K$779,MATCH($F23&amp;"|"&amp;$H23,Map_Stats!$A$2:$A$779,0))),$O23))</f>
        <v/>
      </c>
      <c r="Z23" s="8">
        <f>IF(OR($H23="",$P23=""),"",IFERROR(1/(1/INDEX(Map_Stats!$I$2:$I$779,MATCH($F23&amp;"|"&amp;$H23,Map_Stats!$A$2:$A$779,0))),$P23))</f>
        <v/>
      </c>
      <c r="AA23" s="11">
        <f>IF(OR($H23="",Y23=""),"",IF($O23="",Y23,(X23*Y23+Config!$B$4*$O23)/(X23+Config!$B$4)))</f>
        <v/>
      </c>
      <c r="AB23" s="8">
        <f>IF(Z23="","",(X23*Z23+Config!$B$4*$P23)/(X23+Config!$B$4))</f>
        <v/>
      </c>
      <c r="AC23" s="15">
        <f>IF(OR(AA23="",$K23=""),"",AA23*$K23*($K23/Config!$B$10)^Config!$B$9)</f>
        <v/>
      </c>
      <c r="AD23" s="15">
        <f>IF(OR(AC23="",AB23=""),"",AC23*AB23)</f>
        <v/>
      </c>
      <c r="AE23">
        <f>IF($I23="",0,SUMIFS(Map_Stats!$F$2:$F$779,Map_Stats!$A$2:$A$779,$F23&amp;"|"&amp;$I23))</f>
        <v/>
      </c>
      <c r="AF23" s="11">
        <f>IF($I23="","",IFERROR(1/(1/INDEX(Map_Stats!$K$2:$K$779,MATCH($F23&amp;"|"&amp;$I23,Map_Stats!$A$2:$A$779,0))),$O23))</f>
        <v/>
      </c>
      <c r="AG23" s="8">
        <f>IF(OR($I23="",$P23=""),"",IFERROR(1/(1/INDEX(Map_Stats!$I$2:$I$779,MATCH($F23&amp;"|"&amp;$I23,Map_Stats!$A$2:$A$779,0))),$P23))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IF($C23=Board!$B$2,COUNTIFS($C$2:$C$124,Board!$B$2,$AL$2:$AL$124,"&gt;"&amp;$AL23)+COUNTIFS($C$1:$C22,Board!$B$2,$AL$1:$AL22,$AL23)+1,"")</f>
        <v/>
      </c>
      <c r="AS23">
        <f>IFERROR(IF($D23=INDEX(Matches!$AD$5:$AD$19,MATCH($C23,Matches!$A$5:$A$19,0)),"A",IF($D23=INDEX(Matches!$AE$5:$AE$19,MATCH($C23,Matches!$A$5:$A$19,0)),"B","")),"")</f>
        <v/>
      </c>
      <c r="AT23" s="8">
        <f>IF($AS23="","",IFERROR(IF($AS23="A",INDEX(Matches!$AI$5:$AI$19,MATCH($C23,Matches!$A$5:$A$19,0)),INDEX(Matches!$AJ$5:$AJ$19,MATCH($C23,Matches!$A$5:$A$19,0))),""))</f>
        <v/>
      </c>
      <c r="AU23" s="8">
        <f>IF($AS23="","",IFERROR(IF(INDEX(Matches!$AP$5:$AP$19,MATCH($C23,Matches!$A$5:$A$19,0))="","",IF($AS23="A",INDEX(Matches!$AP$5:$AP$19,MATCH($C23,Matches!$A$5:$A$19,0)),1-INDEX(Matches!$AP$5:$AP$19,MATCH($C23,Matches!$A$5:$A$19,0)))),""))</f>
        <v/>
      </c>
      <c r="AV23" s="11">
        <f>IF(OR($AU23="",$AT23=""),1,((Config!$B$14*$AU23+Config!$B$15*(1-$AU23))/(Config!$B$14*$AT23+Config!$B$15*(1-$AT23)))^Config!$B$13)</f>
        <v/>
      </c>
      <c r="AW23" s="8">
        <f>IF($AS23="","",IFERROR(IF(INDEX(Matches!$AV$5:$AV$19,MATCH($C23,Matches!$A$5:$A$19,0))="","",IF($AS23="A",INDEX(Matches!$AV$5:$AV$19,MATCH($C23,Matches!$A$5:$A$19,0)),1-INDEX(Matches!$AV$5:$AV$19,MATCH($C23,Matches!$A$5:$A$19,0)))),""))</f>
        <v/>
      </c>
      <c r="AX23" s="11">
        <f>IF(OR($AW23="",$AT23=""),1,((Config!$B$14*$AW23+Config!$B$15*(1-$AW23))/(Config!$B$14*$AT23+Config!$B$15*(1-$AT23)))^Config!$B$13)</f>
        <v/>
      </c>
      <c r="AY23" s="8">
        <f>IF($AS23="","",IFERROR(IF(INDEX(Matches!$BB$5:$BB$19,MATCH($C23,Matches!$A$5:$A$19,0))="","",IF($AS23="A",INDEX(Matches!$BB$5:$BB$19,MATCH($C23,Matches!$A$5:$A$19,0)),1-INDEX(Matches!$BB$5:$BB$19,MATCH($C23,Matches!$A$5:$A$19,0)))),""))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tyf3s6dikrrtlem|CS2 · AUR vs G2</t>
        </is>
      </c>
      <c r="B24" t="inlineStr">
        <is>
          <t>CS2</t>
        </is>
      </c>
      <c r="C24" t="inlineStr">
        <is>
          <t>CS2 · AUR vs G2</t>
        </is>
      </c>
      <c r="D24" t="inlineStr">
        <is>
          <t>G2</t>
        </is>
      </c>
      <c r="E24" t="inlineStr">
        <is>
          <t>HeavyGod</t>
        </is>
      </c>
      <c r="F24" t="inlineStr">
        <is>
          <t>tyf3s6dikrrtlem</t>
        </is>
      </c>
      <c r="G24">
        <f>IFERROR(IF(INDEX(Matches!$W$5:$W$19,MATCH($C24,Matches!$A$5:$A$19,0))="","",INDEX(Matches!$W$5:$W$19,MATCH($C24,Matches!$A$5:$A$19,0))),"")</f>
        <v/>
      </c>
      <c r="H24">
        <f>IFERROR(IF(INDEX(Matches!$X$5:$X$19,MATCH($C24,Matches!$A$5:$A$19,0))="","",INDEX(Matches!$X$5:$X$19,MATCH($C24,Matches!$A$5:$A$19,0))),"")</f>
        <v/>
      </c>
      <c r="I24">
        <f>IFERROR(IF(INDEX(Matches!$Y$5:$Y$19,MATCH($C24,Matches!$A$5:$A$19,0))="","",INDEX(Matches!$Y$5:$Y$19,MATCH($C24,Matches!$A$5:$A$19,0))),"")</f>
        <v/>
      </c>
      <c r="J24">
        <f>IFERROR(IF(INDEX(Matches!$Z$5:$Z$19,MATCH($C24,Matches!$A$5:$A$19,0))="","",INDEX(Matches!$Z$5:$Z$19,MATCH($C24,Matches!$A$5:$A$19,0))),"")</f>
        <v/>
      </c>
      <c r="K24">
        <f>IFERROR(IF(INDEX(Matches!$AA$5:$AA$19,MATCH($C24,Matches!$A$5:$A$19,0))="","",INDEX(Matches!$AA$5:$AA$19,MATCH($C24,Matches!$A$5:$A$19,0))),"")</f>
        <v/>
      </c>
      <c r="L24">
        <f>IFERROR(IF(INDEX(Matches!$AB$5:$AB$19,MATCH($C24,Matches!$A$5:$A$19,0))="","",INDEX(Matches!$AB$5:$AB$19,MATCH($C24,Matches!$A$5:$A$19,0))),"")</f>
        <v/>
      </c>
      <c r="M24" s="8">
        <f>IFERROR(IF(INDEX(Matches!$AC$5:$AC$19,MATCH($C24,Matches!$A$5:$A$19,0))="","",INDEX(Matches!$AC$5:$AC$19,MATCH($C24,Matches!$A$5:$A$19,0))),"")</f>
        <v/>
      </c>
      <c r="N24">
        <f>IFERROR(INDEX(Players!$F$2:$F$124,MATCH($F24,Players!$A$2:$A$124,0)),0)</f>
        <v/>
      </c>
      <c r="O24" s="11">
        <f>IFERROR(1/(1/INDEX(Players!$H$2:$H$124,MATCH($F24,Players!$A$2:$A$124,0))),"")</f>
        <v/>
      </c>
      <c r="P24" s="8">
        <f>IFERROR(1/(1/INDEX(Players!$I$2:$I$124,MATCH($F24,Players!$A$2:$A$124,0))),"")</f>
        <v/>
      </c>
      <c r="Q24">
        <f>IF($G24="",0,SUMIFS(Map_Stats!$F$2:$F$779,Map_Stats!$A$2:$A$779,$F24&amp;"|"&amp;$G24))</f>
        <v/>
      </c>
      <c r="R24" s="11">
        <f>IF($G24="","",IFERROR(1/(1/INDEX(Map_Stats!$K$2:$K$779,MATCH($F24&amp;"|"&amp;$G24,Map_Stats!$A$2:$A$779,0))),$O24))</f>
        <v/>
      </c>
      <c r="S24" s="8">
        <f>IF(OR($G24="",$P24=""),"",IFERROR(1/(1/INDEX(Map_Stats!$I$2:$I$779,MATCH($F24&amp;"|"&amp;$G24,Map_Stats!$A$2:$A$779,0))),$P24))</f>
        <v/>
      </c>
      <c r="T24" s="11">
        <f>IF(OR($G24="",R24=""),"",IF($O24="",R24,(Q24*R24+Config!$B$4*$O24)/(Q24+Config!$B$4)))</f>
        <v/>
      </c>
      <c r="U24" s="8">
        <f>IF(S24="","",(Q24*S24+Config!$B$4*$P24)/(Q24+Config!$B$4))</f>
        <v/>
      </c>
      <c r="V24" s="15">
        <f>IF(OR(T24="",$J24=""),"",T24*$J24*($J24/Config!$B$10)^Config!$B$9)</f>
        <v/>
      </c>
      <c r="W24" s="15">
        <f>IF(OR(V24="",U24=""),"",V24*U24)</f>
        <v/>
      </c>
      <c r="X24">
        <f>IF($H24="",0,SUMIFS(Map_Stats!$F$2:$F$779,Map_Stats!$A$2:$A$779,$F24&amp;"|"&amp;$H24))</f>
        <v/>
      </c>
      <c r="Y24" s="11">
        <f>IF($H24="","",IFERROR(1/(1/INDEX(Map_Stats!$K$2:$K$779,MATCH($F24&amp;"|"&amp;$H24,Map_Stats!$A$2:$A$779,0))),$O24))</f>
        <v/>
      </c>
      <c r="Z24" s="8">
        <f>IF(OR($H24="",$P24=""),"",IFERROR(1/(1/INDEX(Map_Stats!$I$2:$I$779,MATCH($F24&amp;"|"&amp;$H24,Map_Stats!$A$2:$A$779,0))),$P24))</f>
        <v/>
      </c>
      <c r="AA24" s="11">
        <f>IF(OR($H24="",Y24=""),"",IF($O24="",Y24,(X24*Y24+Config!$B$4*$O24)/(X24+Config!$B$4)))</f>
        <v/>
      </c>
      <c r="AB24" s="8">
        <f>IF(Z24="","",(X24*Z24+Config!$B$4*$P24)/(X24+Config!$B$4))</f>
        <v/>
      </c>
      <c r="AC24" s="15">
        <f>IF(OR(AA24="",$K24=""),"",AA24*$K24*($K24/Config!$B$10)^Config!$B$9)</f>
        <v/>
      </c>
      <c r="AD24" s="15">
        <f>IF(OR(AC24="",AB24=""),"",AC24*AB24)</f>
        <v/>
      </c>
      <c r="AE24">
        <f>IF($I24="",0,SUMIFS(Map_Stats!$F$2:$F$779,Map_Stats!$A$2:$A$779,$F24&amp;"|"&amp;$I24))</f>
        <v/>
      </c>
      <c r="AF24" s="11">
        <f>IF($I24="","",IFERROR(1/(1/INDEX(Map_Stats!$K$2:$K$779,MATCH($F24&amp;"|"&amp;$I24,Map_Stats!$A$2:$A$779,0))),$O24))</f>
        <v/>
      </c>
      <c r="AG24" s="8">
        <f>IF(OR($I24="",$P24=""),"",IFERROR(1/(1/INDEX(Map_Stats!$I$2:$I$779,MATCH($F24&amp;"|"&amp;$I24,Map_Stats!$A$2:$A$779,0))),$P24))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IF($C24=Board!$B$2,COUNTIFS($C$2:$C$124,Board!$B$2,$AL$2:$AL$124,"&gt;"&amp;$AL24)+COUNTIFS($C$1:$C23,Board!$B$2,$AL$1:$AL23,$AL24)+1,"")</f>
        <v/>
      </c>
      <c r="AS24">
        <f>IFERROR(IF($D24=INDEX(Matches!$AD$5:$AD$19,MATCH($C24,Matches!$A$5:$A$19,0)),"A",IF($D24=INDEX(Matches!$AE$5:$AE$19,MATCH($C24,Matches!$A$5:$A$19,0)),"B","")),"")</f>
        <v/>
      </c>
      <c r="AT24" s="8">
        <f>IF($AS24="","",IFERROR(IF($AS24="A",INDEX(Matches!$AI$5:$AI$19,MATCH($C24,Matches!$A$5:$A$19,0)),INDEX(Matches!$AJ$5:$AJ$19,MATCH($C24,Matches!$A$5:$A$19,0))),""))</f>
        <v/>
      </c>
      <c r="AU24" s="8">
        <f>IF($AS24="","",IFERROR(IF(INDEX(Matches!$AP$5:$AP$19,MATCH($C24,Matches!$A$5:$A$19,0))="","",IF($AS24="A",INDEX(Matches!$AP$5:$AP$19,MATCH($C24,Matches!$A$5:$A$19,0)),1-INDEX(Matches!$AP$5:$AP$19,MATCH($C24,Matches!$A$5:$A$19,0)))),""))</f>
        <v/>
      </c>
      <c r="AV24" s="11">
        <f>IF(OR($AU24="",$AT24=""),1,((Config!$B$14*$AU24+Config!$B$15*(1-$AU24))/(Config!$B$14*$AT24+Config!$B$15*(1-$AT24)))^Config!$B$13)</f>
        <v/>
      </c>
      <c r="AW24" s="8">
        <f>IF($AS24="","",IFERROR(IF(INDEX(Matches!$AV$5:$AV$19,MATCH($C24,Matches!$A$5:$A$19,0))="","",IF($AS24="A",INDEX(Matches!$AV$5:$AV$19,MATCH($C24,Matches!$A$5:$A$19,0)),1-INDEX(Matches!$AV$5:$AV$19,MATCH($C24,Matches!$A$5:$A$19,0)))),""))</f>
        <v/>
      </c>
      <c r="AX24" s="11">
        <f>IF(OR($AW24="",$AT24=""),1,((Config!$B$14*$AW24+Config!$B$15*(1-$AW24))/(Config!$B$14*$AT24+Config!$B$15*(1-$AT24)))^Config!$B$13)</f>
        <v/>
      </c>
      <c r="AY24" s="8">
        <f>IF($AS24="","",IFERROR(IF(INDEX(Matches!$BB$5:$BB$19,MATCH($C24,Matches!$A$5:$A$19,0))="","",IF($AS24="A",INDEX(Matches!$BB$5:$BB$19,MATCH($C24,Matches!$A$5:$A$19,0)),1-INDEX(Matches!$BB$5:$BB$19,MATCH($C24,Matches!$A$5:$A$19,0)))),""))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ikw7yck0lcpdqwz|CS2 · AUR vs G2</t>
        </is>
      </c>
      <c r="B25" t="inlineStr">
        <is>
          <t>CS2</t>
        </is>
      </c>
      <c r="C25" t="inlineStr">
        <is>
          <t>CS2 · AUR vs G2</t>
        </is>
      </c>
      <c r="D25" t="inlineStr">
        <is>
          <t>G2</t>
        </is>
      </c>
      <c r="E25" t="inlineStr">
        <is>
          <t>huNter-</t>
        </is>
      </c>
      <c r="F25" t="inlineStr">
        <is>
          <t>ikw7yck0lcpdqwz</t>
        </is>
      </c>
      <c r="G25">
        <f>IFERROR(IF(INDEX(Matches!$W$5:$W$19,MATCH($C25,Matches!$A$5:$A$19,0))="","",INDEX(Matches!$W$5:$W$19,MATCH($C25,Matches!$A$5:$A$19,0))),"")</f>
        <v/>
      </c>
      <c r="H25">
        <f>IFERROR(IF(INDEX(Matches!$X$5:$X$19,MATCH($C25,Matches!$A$5:$A$19,0))="","",INDEX(Matches!$X$5:$X$19,MATCH($C25,Matches!$A$5:$A$19,0))),"")</f>
        <v/>
      </c>
      <c r="I25">
        <f>IFERROR(IF(INDEX(Matches!$Y$5:$Y$19,MATCH($C25,Matches!$A$5:$A$19,0))="","",INDEX(Matches!$Y$5:$Y$19,MATCH($C25,Matches!$A$5:$A$19,0))),"")</f>
        <v/>
      </c>
      <c r="J25">
        <f>IFERROR(IF(INDEX(Matches!$Z$5:$Z$19,MATCH($C25,Matches!$A$5:$A$19,0))="","",INDEX(Matches!$Z$5:$Z$19,MATCH($C25,Matches!$A$5:$A$19,0))),"")</f>
        <v/>
      </c>
      <c r="K25">
        <f>IFERROR(IF(INDEX(Matches!$AA$5:$AA$19,MATCH($C25,Matches!$A$5:$A$19,0))="","",INDEX(Matches!$AA$5:$AA$19,MATCH($C25,Matches!$A$5:$A$19,0))),"")</f>
        <v/>
      </c>
      <c r="L25">
        <f>IFERROR(IF(INDEX(Matches!$AB$5:$AB$19,MATCH($C25,Matches!$A$5:$A$19,0))="","",INDEX(Matches!$AB$5:$AB$19,MATCH($C25,Matches!$A$5:$A$19,0))),"")</f>
        <v/>
      </c>
      <c r="M25" s="8">
        <f>IFERROR(IF(INDEX(Matches!$AC$5:$AC$19,MATCH($C25,Matches!$A$5:$A$19,0))="","",INDEX(Matches!$AC$5:$AC$19,MATCH($C25,Matches!$A$5:$A$19,0))),"")</f>
        <v/>
      </c>
      <c r="N25">
        <f>IFERROR(INDEX(Players!$F$2:$F$124,MATCH($F25,Players!$A$2:$A$124,0)),0)</f>
        <v/>
      </c>
      <c r="O25" s="11">
        <f>IFERROR(1/(1/INDEX(Players!$H$2:$H$124,MATCH($F25,Players!$A$2:$A$124,0))),"")</f>
        <v/>
      </c>
      <c r="P25" s="8">
        <f>IFERROR(1/(1/INDEX(Players!$I$2:$I$124,MATCH($F25,Players!$A$2:$A$124,0))),"")</f>
        <v/>
      </c>
      <c r="Q25">
        <f>IF($G25="",0,SUMIFS(Map_Stats!$F$2:$F$779,Map_Stats!$A$2:$A$779,$F25&amp;"|"&amp;$G25))</f>
        <v/>
      </c>
      <c r="R25" s="11">
        <f>IF($G25="","",IFERROR(1/(1/INDEX(Map_Stats!$K$2:$K$779,MATCH($F25&amp;"|"&amp;$G25,Map_Stats!$A$2:$A$779,0))),$O25))</f>
        <v/>
      </c>
      <c r="S25" s="8">
        <f>IF(OR($G25="",$P25=""),"",IFERROR(1/(1/INDEX(Map_Stats!$I$2:$I$779,MATCH($F25&amp;"|"&amp;$G25,Map_Stats!$A$2:$A$779,0))),$P25))</f>
        <v/>
      </c>
      <c r="T25" s="11">
        <f>IF(OR($G25="",R25=""),"",IF($O25="",R25,(Q25*R25+Config!$B$4*$O25)/(Q25+Config!$B$4)))</f>
        <v/>
      </c>
      <c r="U25" s="8">
        <f>IF(S25="","",(Q25*S25+Config!$B$4*$P25)/(Q25+Config!$B$4))</f>
        <v/>
      </c>
      <c r="V25" s="15">
        <f>IF(OR(T25="",$J25=""),"",T25*$J25*($J25/Config!$B$10)^Config!$B$9)</f>
        <v/>
      </c>
      <c r="W25" s="15">
        <f>IF(OR(V25="",U25=""),"",V25*U25)</f>
        <v/>
      </c>
      <c r="X25">
        <f>IF($H25="",0,SUMIFS(Map_Stats!$F$2:$F$779,Map_Stats!$A$2:$A$779,$F25&amp;"|"&amp;$H25))</f>
        <v/>
      </c>
      <c r="Y25" s="11">
        <f>IF($H25="","",IFERROR(1/(1/INDEX(Map_Stats!$K$2:$K$779,MATCH($F25&amp;"|"&amp;$H25,Map_Stats!$A$2:$A$779,0))),$O25))</f>
        <v/>
      </c>
      <c r="Z25" s="8">
        <f>IF(OR($H25="",$P25=""),"",IFERROR(1/(1/INDEX(Map_Stats!$I$2:$I$779,MATCH($F25&amp;"|"&amp;$H25,Map_Stats!$A$2:$A$779,0))),$P25))</f>
        <v/>
      </c>
      <c r="AA25" s="11">
        <f>IF(OR($H25="",Y25=""),"",IF($O25="",Y25,(X25*Y25+Config!$B$4*$O25)/(X25+Config!$B$4)))</f>
        <v/>
      </c>
      <c r="AB25" s="8">
        <f>IF(Z25="","",(X25*Z25+Config!$B$4*$P25)/(X25+Config!$B$4))</f>
        <v/>
      </c>
      <c r="AC25" s="15">
        <f>IF(OR(AA25="",$K25=""),"",AA25*$K25*($K25/Config!$B$10)^Config!$B$9)</f>
        <v/>
      </c>
      <c r="AD25" s="15">
        <f>IF(OR(AC25="",AB25=""),"",AC25*AB25)</f>
        <v/>
      </c>
      <c r="AE25">
        <f>IF($I25="",0,SUMIFS(Map_Stats!$F$2:$F$779,Map_Stats!$A$2:$A$779,$F25&amp;"|"&amp;$I25))</f>
        <v/>
      </c>
      <c r="AF25" s="11">
        <f>IF($I25="","",IFERROR(1/(1/INDEX(Map_Stats!$K$2:$K$779,MATCH($F25&amp;"|"&amp;$I25,Map_Stats!$A$2:$A$779,0))),$O25))</f>
        <v/>
      </c>
      <c r="AG25" s="8">
        <f>IF(OR($I25="",$P25=""),"",IFERROR(1/(1/INDEX(Map_Stats!$I$2:$I$779,MATCH($F25&amp;"|"&amp;$I25,Map_Stats!$A$2:$A$779,0))),$P25))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IF($C25=Board!$B$2,COUNTIFS($C$2:$C$124,Board!$B$2,$AL$2:$AL$124,"&gt;"&amp;$AL25)+COUNTIFS($C$1:$C24,Board!$B$2,$AL$1:$AL24,$AL25)+1,"")</f>
        <v/>
      </c>
      <c r="AS25">
        <f>IFERROR(IF($D25=INDEX(Matches!$AD$5:$AD$19,MATCH($C25,Matches!$A$5:$A$19,0)),"A",IF($D25=INDEX(Matches!$AE$5:$AE$19,MATCH($C25,Matches!$A$5:$A$19,0)),"B","")),"")</f>
        <v/>
      </c>
      <c r="AT25" s="8">
        <f>IF($AS25="","",IFERROR(IF($AS25="A",INDEX(Matches!$AI$5:$AI$19,MATCH($C25,Matches!$A$5:$A$19,0)),INDEX(Matches!$AJ$5:$AJ$19,MATCH($C25,Matches!$A$5:$A$19,0))),""))</f>
        <v/>
      </c>
      <c r="AU25" s="8">
        <f>IF($AS25="","",IFERROR(IF(INDEX(Matches!$AP$5:$AP$19,MATCH($C25,Matches!$A$5:$A$19,0))="","",IF($AS25="A",INDEX(Matches!$AP$5:$AP$19,MATCH($C25,Matches!$A$5:$A$19,0)),1-INDEX(Matches!$AP$5:$AP$19,MATCH($C25,Matches!$A$5:$A$19,0)))),""))</f>
        <v/>
      </c>
      <c r="AV25" s="11">
        <f>IF(OR($AU25="",$AT25=""),1,((Config!$B$14*$AU25+Config!$B$15*(1-$AU25))/(Config!$B$14*$AT25+Config!$B$15*(1-$AT25)))^Config!$B$13)</f>
        <v/>
      </c>
      <c r="AW25" s="8">
        <f>IF($AS25="","",IFERROR(IF(INDEX(Matches!$AV$5:$AV$19,MATCH($C25,Matches!$A$5:$A$19,0))="","",IF($AS25="A",INDEX(Matches!$AV$5:$AV$19,MATCH($C25,Matches!$A$5:$A$19,0)),1-INDEX(Matches!$AV$5:$AV$19,MATCH($C25,Matches!$A$5:$A$19,0)))),""))</f>
        <v/>
      </c>
      <c r="AX25" s="11">
        <f>IF(OR($AW25="",$AT25=""),1,((Config!$B$14*$AW25+Config!$B$15*(1-$AW25))/(Config!$B$14*$AT25+Config!$B$15*(1-$AT25)))^Config!$B$13)</f>
        <v/>
      </c>
      <c r="AY25" s="8">
        <f>IF($AS25="","",IFERROR(IF(INDEX(Matches!$BB$5:$BB$19,MATCH($C25,Matches!$A$5:$A$19,0))="","",IF($AS25="A",INDEX(Matches!$BB$5:$BB$19,MATCH($C25,Matches!$A$5:$A$19,0)),1-INDEX(Matches!$BB$5:$BB$19,MATCH($C25,Matches!$A$5:$A$19,0)))),""))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5l639x0qis2rfwi|CS2 · AUR vs G2</t>
        </is>
      </c>
      <c r="B26" t="inlineStr">
        <is>
          <t>CS2</t>
        </is>
      </c>
      <c r="C26" t="inlineStr">
        <is>
          <t>CS2 · AUR vs G2</t>
        </is>
      </c>
      <c r="D26" t="inlineStr">
        <is>
          <t>G2</t>
        </is>
      </c>
      <c r="E26" t="inlineStr">
        <is>
          <t>MATYS</t>
        </is>
      </c>
      <c r="F26" t="inlineStr">
        <is>
          <t>5l639x0qis2rfwi</t>
        </is>
      </c>
      <c r="G26">
        <f>IFERROR(IF(INDEX(Matches!$W$5:$W$19,MATCH($C26,Matches!$A$5:$A$19,0))="","",INDEX(Matches!$W$5:$W$19,MATCH($C26,Matches!$A$5:$A$19,0))),"")</f>
        <v/>
      </c>
      <c r="H26">
        <f>IFERROR(IF(INDEX(Matches!$X$5:$X$19,MATCH($C26,Matches!$A$5:$A$19,0))="","",INDEX(Matches!$X$5:$X$19,MATCH($C26,Matches!$A$5:$A$19,0))),"")</f>
        <v/>
      </c>
      <c r="I26">
        <f>IFERROR(IF(INDEX(Matches!$Y$5:$Y$19,MATCH($C26,Matches!$A$5:$A$19,0))="","",INDEX(Matches!$Y$5:$Y$19,MATCH($C26,Matches!$A$5:$A$19,0))),"")</f>
        <v/>
      </c>
      <c r="J26">
        <f>IFERROR(IF(INDEX(Matches!$Z$5:$Z$19,MATCH($C26,Matches!$A$5:$A$19,0))="","",INDEX(Matches!$Z$5:$Z$19,MATCH($C26,Matches!$A$5:$A$19,0))),"")</f>
        <v/>
      </c>
      <c r="K26">
        <f>IFERROR(IF(INDEX(Matches!$AA$5:$AA$19,MATCH($C26,Matches!$A$5:$A$19,0))="","",INDEX(Matches!$AA$5:$AA$19,MATCH($C26,Matches!$A$5:$A$19,0))),"")</f>
        <v/>
      </c>
      <c r="L26">
        <f>IFERROR(IF(INDEX(Matches!$AB$5:$AB$19,MATCH($C26,Matches!$A$5:$A$19,0))="","",INDEX(Matches!$AB$5:$AB$19,MATCH($C26,Matches!$A$5:$A$19,0))),"")</f>
        <v/>
      </c>
      <c r="M26" s="8">
        <f>IFERROR(IF(INDEX(Matches!$AC$5:$AC$19,MATCH($C26,Matches!$A$5:$A$19,0))="","",INDEX(Matches!$AC$5:$AC$19,MATCH($C26,Matches!$A$5:$A$19,0))),"")</f>
        <v/>
      </c>
      <c r="N26">
        <f>IFERROR(INDEX(Players!$F$2:$F$124,MATCH($F26,Players!$A$2:$A$124,0)),0)</f>
        <v/>
      </c>
      <c r="O26" s="11">
        <f>IFERROR(1/(1/INDEX(Players!$H$2:$H$124,MATCH($F26,Players!$A$2:$A$124,0))),"")</f>
        <v/>
      </c>
      <c r="P26" s="8">
        <f>IFERROR(1/(1/INDEX(Players!$I$2:$I$124,MATCH($F26,Players!$A$2:$A$124,0))),"")</f>
        <v/>
      </c>
      <c r="Q26">
        <f>IF($G26="",0,SUMIFS(Map_Stats!$F$2:$F$779,Map_Stats!$A$2:$A$779,$F26&amp;"|"&amp;$G26))</f>
        <v/>
      </c>
      <c r="R26" s="11">
        <f>IF($G26="","",IFERROR(1/(1/INDEX(Map_Stats!$K$2:$K$779,MATCH($F26&amp;"|"&amp;$G26,Map_Stats!$A$2:$A$779,0))),$O26))</f>
        <v/>
      </c>
      <c r="S26" s="8">
        <f>IF(OR($G26="",$P26=""),"",IFERROR(1/(1/INDEX(Map_Stats!$I$2:$I$779,MATCH($F26&amp;"|"&amp;$G26,Map_Stats!$A$2:$A$779,0))),$P26))</f>
        <v/>
      </c>
      <c r="T26" s="11">
        <f>IF(OR($G26="",R26=""),"",IF($O26="",R26,(Q26*R26+Config!$B$4*$O26)/(Q26+Config!$B$4)))</f>
        <v/>
      </c>
      <c r="U26" s="8">
        <f>IF(S26="","",(Q26*S26+Config!$B$4*$P26)/(Q26+Config!$B$4))</f>
        <v/>
      </c>
      <c r="V26" s="15">
        <f>IF(OR(T26="",$J26=""),"",T26*$J26*($J26/Config!$B$10)^Config!$B$9)</f>
        <v/>
      </c>
      <c r="W26" s="15">
        <f>IF(OR(V26="",U26=""),"",V26*U26)</f>
        <v/>
      </c>
      <c r="X26">
        <f>IF($H26="",0,SUMIFS(Map_Stats!$F$2:$F$779,Map_Stats!$A$2:$A$779,$F26&amp;"|"&amp;$H26))</f>
        <v/>
      </c>
      <c r="Y26" s="11">
        <f>IF($H26="","",IFERROR(1/(1/INDEX(Map_Stats!$K$2:$K$779,MATCH($F26&amp;"|"&amp;$H26,Map_Stats!$A$2:$A$779,0))),$O26))</f>
        <v/>
      </c>
      <c r="Z26" s="8">
        <f>IF(OR($H26="",$P26=""),"",IFERROR(1/(1/INDEX(Map_Stats!$I$2:$I$779,MATCH($F26&amp;"|"&amp;$H26,Map_Stats!$A$2:$A$779,0))),$P26))</f>
        <v/>
      </c>
      <c r="AA26" s="11">
        <f>IF(OR($H26="",Y26=""),"",IF($O26="",Y26,(X26*Y26+Config!$B$4*$O26)/(X26+Config!$B$4)))</f>
        <v/>
      </c>
      <c r="AB26" s="8">
        <f>IF(Z26="","",(X26*Z26+Config!$B$4*$P26)/(X26+Config!$B$4))</f>
        <v/>
      </c>
      <c r="AC26" s="15">
        <f>IF(OR(AA26="",$K26=""),"",AA26*$K26*($K26/Config!$B$10)^Config!$B$9)</f>
        <v/>
      </c>
      <c r="AD26" s="15">
        <f>IF(OR(AC26="",AB26=""),"",AC26*AB26)</f>
        <v/>
      </c>
      <c r="AE26">
        <f>IF($I26="",0,SUMIFS(Map_Stats!$F$2:$F$779,Map_Stats!$A$2:$A$779,$F26&amp;"|"&amp;$I26))</f>
        <v/>
      </c>
      <c r="AF26" s="11">
        <f>IF($I26="","",IFERROR(1/(1/INDEX(Map_Stats!$K$2:$K$779,MATCH($F26&amp;"|"&amp;$I26,Map_Stats!$A$2:$A$779,0))),$O26))</f>
        <v/>
      </c>
      <c r="AG26" s="8">
        <f>IF(OR($I26="",$P26=""),"",IFERROR(1/(1/INDEX(Map_Stats!$I$2:$I$779,MATCH($F26&amp;"|"&amp;$I26,Map_Stats!$A$2:$A$779,0))),$P26))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IF($C26=Board!$B$2,COUNTIFS($C$2:$C$124,Board!$B$2,$AL$2:$AL$124,"&gt;"&amp;$AL26)+COUNTIFS($C$1:$C25,Board!$B$2,$AL$1:$AL25,$AL26)+1,"")</f>
        <v/>
      </c>
      <c r="AS26">
        <f>IFERROR(IF($D26=INDEX(Matches!$AD$5:$AD$19,MATCH($C26,Matches!$A$5:$A$19,0)),"A",IF($D26=INDEX(Matches!$AE$5:$AE$19,MATCH($C26,Matches!$A$5:$A$19,0)),"B","")),"")</f>
        <v/>
      </c>
      <c r="AT26" s="8">
        <f>IF($AS26="","",IFERROR(IF($AS26="A",INDEX(Matches!$AI$5:$AI$19,MATCH($C26,Matches!$A$5:$A$19,0)),INDEX(Matches!$AJ$5:$AJ$19,MATCH($C26,Matches!$A$5:$A$19,0))),""))</f>
        <v/>
      </c>
      <c r="AU26" s="8">
        <f>IF($AS26="","",IFERROR(IF(INDEX(Matches!$AP$5:$AP$19,MATCH($C26,Matches!$A$5:$A$19,0))="","",IF($AS26="A",INDEX(Matches!$AP$5:$AP$19,MATCH($C26,Matches!$A$5:$A$19,0)),1-INDEX(Matches!$AP$5:$AP$19,MATCH($C26,Matches!$A$5:$A$19,0)))),""))</f>
        <v/>
      </c>
      <c r="AV26" s="11">
        <f>IF(OR($AU26="",$AT26=""),1,((Config!$B$14*$AU26+Config!$B$15*(1-$AU26))/(Config!$B$14*$AT26+Config!$B$15*(1-$AT26)))^Config!$B$13)</f>
        <v/>
      </c>
      <c r="AW26" s="8">
        <f>IF($AS26="","",IFERROR(IF(INDEX(Matches!$AV$5:$AV$19,MATCH($C26,Matches!$A$5:$A$19,0))="","",IF($AS26="A",INDEX(Matches!$AV$5:$AV$19,MATCH($C26,Matches!$A$5:$A$19,0)),1-INDEX(Matches!$AV$5:$AV$19,MATCH($C26,Matches!$A$5:$A$19,0)))),""))</f>
        <v/>
      </c>
      <c r="AX26" s="11">
        <f>IF(OR($AW26="",$AT26=""),1,((Config!$B$14*$AW26+Config!$B$15*(1-$AW26))/(Config!$B$14*$AT26+Config!$B$15*(1-$AT26)))^Config!$B$13)</f>
        <v/>
      </c>
      <c r="AY26" s="8">
        <f>IF($AS26="","",IFERROR(IF(INDEX(Matches!$BB$5:$BB$19,MATCH($C26,Matches!$A$5:$A$19,0))="","",IF($AS26="A",INDEX(Matches!$BB$5:$BB$19,MATCH($C26,Matches!$A$5:$A$19,0)),1-INDEX(Matches!$BB$5:$BB$19,MATCH($C26,Matches!$A$5:$A$19,0)))),""))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ysvz6uswynmfc98|CS2 · AUR vs G2</t>
        </is>
      </c>
      <c r="B27" t="inlineStr">
        <is>
          <t>CS2</t>
        </is>
      </c>
      <c r="C27" t="inlineStr">
        <is>
          <t>CS2 · AUR vs G2</t>
        </is>
      </c>
      <c r="D27" t="inlineStr">
        <is>
          <t>G2</t>
        </is>
      </c>
      <c r="E27" t="inlineStr">
        <is>
          <t>NertZ</t>
        </is>
      </c>
      <c r="F27" t="inlineStr">
        <is>
          <t>ysvz6uswynmfc98</t>
        </is>
      </c>
      <c r="G27">
        <f>IFERROR(IF(INDEX(Matches!$W$5:$W$19,MATCH($C27,Matches!$A$5:$A$19,0))="","",INDEX(Matches!$W$5:$W$19,MATCH($C27,Matches!$A$5:$A$19,0))),"")</f>
        <v/>
      </c>
      <c r="H27">
        <f>IFERROR(IF(INDEX(Matches!$X$5:$X$19,MATCH($C27,Matches!$A$5:$A$19,0))="","",INDEX(Matches!$X$5:$X$19,MATCH($C27,Matches!$A$5:$A$19,0))),"")</f>
        <v/>
      </c>
      <c r="I27">
        <f>IFERROR(IF(INDEX(Matches!$Y$5:$Y$19,MATCH($C27,Matches!$A$5:$A$19,0))="","",INDEX(Matches!$Y$5:$Y$19,MATCH($C27,Matches!$A$5:$A$19,0))),"")</f>
        <v/>
      </c>
      <c r="J27">
        <f>IFERROR(IF(INDEX(Matches!$Z$5:$Z$19,MATCH($C27,Matches!$A$5:$A$19,0))="","",INDEX(Matches!$Z$5:$Z$19,MATCH($C27,Matches!$A$5:$A$19,0))),"")</f>
        <v/>
      </c>
      <c r="K27">
        <f>IFERROR(IF(INDEX(Matches!$AA$5:$AA$19,MATCH($C27,Matches!$A$5:$A$19,0))="","",INDEX(Matches!$AA$5:$AA$19,MATCH($C27,Matches!$A$5:$A$19,0))),"")</f>
        <v/>
      </c>
      <c r="L27">
        <f>IFERROR(IF(INDEX(Matches!$AB$5:$AB$19,MATCH($C27,Matches!$A$5:$A$19,0))="","",INDEX(Matches!$AB$5:$AB$19,MATCH($C27,Matches!$A$5:$A$19,0))),"")</f>
        <v/>
      </c>
      <c r="M27" s="8">
        <f>IFERROR(IF(INDEX(Matches!$AC$5:$AC$19,MATCH($C27,Matches!$A$5:$A$19,0))="","",INDEX(Matches!$AC$5:$AC$19,MATCH($C27,Matches!$A$5:$A$19,0))),"")</f>
        <v/>
      </c>
      <c r="N27">
        <f>IFERROR(INDEX(Players!$F$2:$F$124,MATCH($F27,Players!$A$2:$A$124,0)),0)</f>
        <v/>
      </c>
      <c r="O27" s="11">
        <f>IFERROR(1/(1/INDEX(Players!$H$2:$H$124,MATCH($F27,Players!$A$2:$A$124,0))),"")</f>
        <v/>
      </c>
      <c r="P27" s="8">
        <f>IFERROR(1/(1/INDEX(Players!$I$2:$I$124,MATCH($F27,Players!$A$2:$A$124,0))),"")</f>
        <v/>
      </c>
      <c r="Q27">
        <f>IF($G27="",0,SUMIFS(Map_Stats!$F$2:$F$779,Map_Stats!$A$2:$A$779,$F27&amp;"|"&amp;$G27))</f>
        <v/>
      </c>
      <c r="R27" s="11">
        <f>IF($G27="","",IFERROR(1/(1/INDEX(Map_Stats!$K$2:$K$779,MATCH($F27&amp;"|"&amp;$G27,Map_Stats!$A$2:$A$779,0))),$O27))</f>
        <v/>
      </c>
      <c r="S27" s="8">
        <f>IF(OR($G27="",$P27=""),"",IFERROR(1/(1/INDEX(Map_Stats!$I$2:$I$779,MATCH($F27&amp;"|"&amp;$G27,Map_Stats!$A$2:$A$779,0))),$P27))</f>
        <v/>
      </c>
      <c r="T27" s="11">
        <f>IF(OR($G27="",R27=""),"",IF($O27="",R27,(Q27*R27+Config!$B$4*$O27)/(Q27+Config!$B$4)))</f>
        <v/>
      </c>
      <c r="U27" s="8">
        <f>IF(S27="","",(Q27*S27+Config!$B$4*$P27)/(Q27+Config!$B$4))</f>
        <v/>
      </c>
      <c r="V27" s="15">
        <f>IF(OR(T27="",$J27=""),"",T27*$J27*($J27/Config!$B$10)^Config!$B$9)</f>
        <v/>
      </c>
      <c r="W27" s="15">
        <f>IF(OR(V27="",U27=""),"",V27*U27)</f>
        <v/>
      </c>
      <c r="X27">
        <f>IF($H27="",0,SUMIFS(Map_Stats!$F$2:$F$779,Map_Stats!$A$2:$A$779,$F27&amp;"|"&amp;$H27))</f>
        <v/>
      </c>
      <c r="Y27" s="11">
        <f>IF($H27="","",IFERROR(1/(1/INDEX(Map_Stats!$K$2:$K$779,MATCH($F27&amp;"|"&amp;$H27,Map_Stats!$A$2:$A$779,0))),$O27))</f>
        <v/>
      </c>
      <c r="Z27" s="8">
        <f>IF(OR($H27="",$P27=""),"",IFERROR(1/(1/INDEX(Map_Stats!$I$2:$I$779,MATCH($F27&amp;"|"&amp;$H27,Map_Stats!$A$2:$A$779,0))),$P27))</f>
        <v/>
      </c>
      <c r="AA27" s="11">
        <f>IF(OR($H27="",Y27=""),"",IF($O27="",Y27,(X27*Y27+Config!$B$4*$O27)/(X27+Config!$B$4)))</f>
        <v/>
      </c>
      <c r="AB27" s="8">
        <f>IF(Z27="","",(X27*Z27+Config!$B$4*$P27)/(X27+Config!$B$4))</f>
        <v/>
      </c>
      <c r="AC27" s="15">
        <f>IF(OR(AA27="",$K27=""),"",AA27*$K27*($K27/Config!$B$10)^Config!$B$9)</f>
        <v/>
      </c>
      <c r="AD27" s="15">
        <f>IF(OR(AC27="",AB27=""),"",AC27*AB27)</f>
        <v/>
      </c>
      <c r="AE27">
        <f>IF($I27="",0,SUMIFS(Map_Stats!$F$2:$F$779,Map_Stats!$A$2:$A$779,$F27&amp;"|"&amp;$I27))</f>
        <v/>
      </c>
      <c r="AF27" s="11">
        <f>IF($I27="","",IFERROR(1/(1/INDEX(Map_Stats!$K$2:$K$779,MATCH($F27&amp;"|"&amp;$I27,Map_Stats!$A$2:$A$779,0))),$O27))</f>
        <v/>
      </c>
      <c r="AG27" s="8">
        <f>IF(OR($I27="",$P27=""),"",IFERROR(1/(1/INDEX(Map_Stats!$I$2:$I$779,MATCH($F27&amp;"|"&amp;$I27,Map_Stats!$A$2:$A$779,0))),$P27))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IF($C27=Board!$B$2,COUNTIFS($C$2:$C$124,Board!$B$2,$AL$2:$AL$124,"&gt;"&amp;$AL27)+COUNTIFS($C$1:$C26,Board!$B$2,$AL$1:$AL26,$AL27)+1,"")</f>
        <v/>
      </c>
      <c r="AS27">
        <f>IFERROR(IF($D27=INDEX(Matches!$AD$5:$AD$19,MATCH($C27,Matches!$A$5:$A$19,0)),"A",IF($D27=INDEX(Matches!$AE$5:$AE$19,MATCH($C27,Matches!$A$5:$A$19,0)),"B","")),"")</f>
        <v/>
      </c>
      <c r="AT27" s="8">
        <f>IF($AS27="","",IFERROR(IF($AS27="A",INDEX(Matches!$AI$5:$AI$19,MATCH($C27,Matches!$A$5:$A$19,0)),INDEX(Matches!$AJ$5:$AJ$19,MATCH($C27,Matches!$A$5:$A$19,0))),""))</f>
        <v/>
      </c>
      <c r="AU27" s="8">
        <f>IF($AS27="","",IFERROR(IF(INDEX(Matches!$AP$5:$AP$19,MATCH($C27,Matches!$A$5:$A$19,0))="","",IF($AS27="A",INDEX(Matches!$AP$5:$AP$19,MATCH($C27,Matches!$A$5:$A$19,0)),1-INDEX(Matches!$AP$5:$AP$19,MATCH($C27,Matches!$A$5:$A$19,0)))),""))</f>
        <v/>
      </c>
      <c r="AV27" s="11">
        <f>IF(OR($AU27="",$AT27=""),1,((Config!$B$14*$AU27+Config!$B$15*(1-$AU27))/(Config!$B$14*$AT27+Config!$B$15*(1-$AT27)))^Config!$B$13)</f>
        <v/>
      </c>
      <c r="AW27" s="8">
        <f>IF($AS27="","",IFERROR(IF(INDEX(Matches!$AV$5:$AV$19,MATCH($C27,Matches!$A$5:$A$19,0))="","",IF($AS27="A",INDEX(Matches!$AV$5:$AV$19,MATCH($C27,Matches!$A$5:$A$19,0)),1-INDEX(Matches!$AV$5:$AV$19,MATCH($C27,Matches!$A$5:$A$19,0)))),""))</f>
        <v/>
      </c>
      <c r="AX27" s="11">
        <f>IF(OR($AW27="",$AT27=""),1,((Config!$B$14*$AW27+Config!$B$15*(1-$AW27))/(Config!$B$14*$AT27+Config!$B$15*(1-$AT27)))^Config!$B$13)</f>
        <v/>
      </c>
      <c r="AY27" s="8">
        <f>IF($AS27="","",IFERROR(IF(INDEX(Matches!$BB$5:$BB$19,MATCH($C27,Matches!$A$5:$A$19,0))="","",IF($AS27="A",INDEX(Matches!$BB$5:$BB$19,MATCH($C27,Matches!$A$5:$A$19,0)),1-INDEX(Matches!$BB$5:$BB$19,MATCH($C27,Matches!$A$5:$A$19,0)))),""))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3v2vw55rjp5df2r|CS2 · AUR vs G2</t>
        </is>
      </c>
      <c r="B28" t="inlineStr">
        <is>
          <t>CS2</t>
        </is>
      </c>
      <c r="C28" t="inlineStr">
        <is>
          <t>CS2 · AUR vs G2</t>
        </is>
      </c>
      <c r="D28" t="inlineStr">
        <is>
          <t>G2</t>
        </is>
      </c>
      <c r="E28" t="inlineStr">
        <is>
          <t>r1nkle</t>
        </is>
      </c>
      <c r="F28" t="inlineStr">
        <is>
          <t>3v2vw55rjp5df2r</t>
        </is>
      </c>
      <c r="G28">
        <f>IFERROR(IF(INDEX(Matches!$W$5:$W$19,MATCH($C28,Matches!$A$5:$A$19,0))="","",INDEX(Matches!$W$5:$W$19,MATCH($C28,Matches!$A$5:$A$19,0))),"")</f>
        <v/>
      </c>
      <c r="H28">
        <f>IFERROR(IF(INDEX(Matches!$X$5:$X$19,MATCH($C28,Matches!$A$5:$A$19,0))="","",INDEX(Matches!$X$5:$X$19,MATCH($C28,Matches!$A$5:$A$19,0))),"")</f>
        <v/>
      </c>
      <c r="I28">
        <f>IFERROR(IF(INDEX(Matches!$Y$5:$Y$19,MATCH($C28,Matches!$A$5:$A$19,0))="","",INDEX(Matches!$Y$5:$Y$19,MATCH($C28,Matches!$A$5:$A$19,0))),"")</f>
        <v/>
      </c>
      <c r="J28">
        <f>IFERROR(IF(INDEX(Matches!$Z$5:$Z$19,MATCH($C28,Matches!$A$5:$A$19,0))="","",INDEX(Matches!$Z$5:$Z$19,MATCH($C28,Matches!$A$5:$A$19,0))),"")</f>
        <v/>
      </c>
      <c r="K28">
        <f>IFERROR(IF(INDEX(Matches!$AA$5:$AA$19,MATCH($C28,Matches!$A$5:$A$19,0))="","",INDEX(Matches!$AA$5:$AA$19,MATCH($C28,Matches!$A$5:$A$19,0))),"")</f>
        <v/>
      </c>
      <c r="L28">
        <f>IFERROR(IF(INDEX(Matches!$AB$5:$AB$19,MATCH($C28,Matches!$A$5:$A$19,0))="","",INDEX(Matches!$AB$5:$AB$19,MATCH($C28,Matches!$A$5:$A$19,0))),"")</f>
        <v/>
      </c>
      <c r="M28" s="8">
        <f>IFERROR(IF(INDEX(Matches!$AC$5:$AC$19,MATCH($C28,Matches!$A$5:$A$19,0))="","",INDEX(Matches!$AC$5:$AC$19,MATCH($C28,Matches!$A$5:$A$19,0))),"")</f>
        <v/>
      </c>
      <c r="N28">
        <f>IFERROR(INDEX(Players!$F$2:$F$124,MATCH($F28,Players!$A$2:$A$124,0)),0)</f>
        <v/>
      </c>
      <c r="O28" s="11">
        <f>IFERROR(1/(1/INDEX(Players!$H$2:$H$124,MATCH($F28,Players!$A$2:$A$124,0))),"")</f>
        <v/>
      </c>
      <c r="P28" s="8">
        <f>IFERROR(1/(1/INDEX(Players!$I$2:$I$124,MATCH($F28,Players!$A$2:$A$124,0))),"")</f>
        <v/>
      </c>
      <c r="Q28">
        <f>IF($G28="",0,SUMIFS(Map_Stats!$F$2:$F$779,Map_Stats!$A$2:$A$779,$F28&amp;"|"&amp;$G28))</f>
        <v/>
      </c>
      <c r="R28" s="11">
        <f>IF($G28="","",IFERROR(1/(1/INDEX(Map_Stats!$K$2:$K$779,MATCH($F28&amp;"|"&amp;$G28,Map_Stats!$A$2:$A$779,0))),$O28))</f>
        <v/>
      </c>
      <c r="S28" s="8">
        <f>IF(OR($G28="",$P28=""),"",IFERROR(1/(1/INDEX(Map_Stats!$I$2:$I$779,MATCH($F28&amp;"|"&amp;$G28,Map_Stats!$A$2:$A$779,0))),$P28))</f>
        <v/>
      </c>
      <c r="T28" s="11">
        <f>IF(OR($G28="",R28=""),"",IF($O28="",R28,(Q28*R28+Config!$B$4*$O28)/(Q28+Config!$B$4)))</f>
        <v/>
      </c>
      <c r="U28" s="8">
        <f>IF(S28="","",(Q28*S28+Config!$B$4*$P28)/(Q28+Config!$B$4))</f>
        <v/>
      </c>
      <c r="V28" s="15">
        <f>IF(OR(T28="",$J28=""),"",T28*$J28*($J28/Config!$B$10)^Config!$B$9)</f>
        <v/>
      </c>
      <c r="W28" s="15">
        <f>IF(OR(V28="",U28=""),"",V28*U28)</f>
        <v/>
      </c>
      <c r="X28">
        <f>IF($H28="",0,SUMIFS(Map_Stats!$F$2:$F$779,Map_Stats!$A$2:$A$779,$F28&amp;"|"&amp;$H28))</f>
        <v/>
      </c>
      <c r="Y28" s="11">
        <f>IF($H28="","",IFERROR(1/(1/INDEX(Map_Stats!$K$2:$K$779,MATCH($F28&amp;"|"&amp;$H28,Map_Stats!$A$2:$A$779,0))),$O28))</f>
        <v/>
      </c>
      <c r="Z28" s="8">
        <f>IF(OR($H28="",$P28=""),"",IFERROR(1/(1/INDEX(Map_Stats!$I$2:$I$779,MATCH($F28&amp;"|"&amp;$H28,Map_Stats!$A$2:$A$779,0))),$P28))</f>
        <v/>
      </c>
      <c r="AA28" s="11">
        <f>IF(OR($H28="",Y28=""),"",IF($O28="",Y28,(X28*Y28+Config!$B$4*$O28)/(X28+Config!$B$4)))</f>
        <v/>
      </c>
      <c r="AB28" s="8">
        <f>IF(Z28="","",(X28*Z28+Config!$B$4*$P28)/(X28+Config!$B$4))</f>
        <v/>
      </c>
      <c r="AC28" s="15">
        <f>IF(OR(AA28="",$K28=""),"",AA28*$K28*($K28/Config!$B$10)^Config!$B$9)</f>
        <v/>
      </c>
      <c r="AD28" s="15">
        <f>IF(OR(AC28="",AB28=""),"",AC28*AB28)</f>
        <v/>
      </c>
      <c r="AE28">
        <f>IF($I28="",0,SUMIFS(Map_Stats!$F$2:$F$779,Map_Stats!$A$2:$A$779,$F28&amp;"|"&amp;$I28))</f>
        <v/>
      </c>
      <c r="AF28" s="11">
        <f>IF($I28="","",IFERROR(1/(1/INDEX(Map_Stats!$K$2:$K$779,MATCH($F28&amp;"|"&amp;$I28,Map_Stats!$A$2:$A$779,0))),$O28))</f>
        <v/>
      </c>
      <c r="AG28" s="8">
        <f>IF(OR($I28="",$P28=""),"",IFERROR(1/(1/INDEX(Map_Stats!$I$2:$I$779,MATCH($F28&amp;"|"&amp;$I28,Map_Stats!$A$2:$A$779,0))),$P28))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IF($C28=Board!$B$2,COUNTIFS($C$2:$C$124,Board!$B$2,$AL$2:$AL$124,"&gt;"&amp;$AL28)+COUNTIFS($C$1:$C27,Board!$B$2,$AL$1:$AL27,$AL28)+1,"")</f>
        <v/>
      </c>
      <c r="AS28">
        <f>IFERROR(IF($D28=INDEX(Matches!$AD$5:$AD$19,MATCH($C28,Matches!$A$5:$A$19,0)),"A",IF($D28=INDEX(Matches!$AE$5:$AE$19,MATCH($C28,Matches!$A$5:$A$19,0)),"B","")),"")</f>
        <v/>
      </c>
      <c r="AT28" s="8">
        <f>IF($AS28="","",IFERROR(IF($AS28="A",INDEX(Matches!$AI$5:$AI$19,MATCH($C28,Matches!$A$5:$A$19,0)),INDEX(Matches!$AJ$5:$AJ$19,MATCH($C28,Matches!$A$5:$A$19,0))),""))</f>
        <v/>
      </c>
      <c r="AU28" s="8">
        <f>IF($AS28="","",IFERROR(IF(INDEX(Matches!$AP$5:$AP$19,MATCH($C28,Matches!$A$5:$A$19,0))="","",IF($AS28="A",INDEX(Matches!$AP$5:$AP$19,MATCH($C28,Matches!$A$5:$A$19,0)),1-INDEX(Matches!$AP$5:$AP$19,MATCH($C28,Matches!$A$5:$A$19,0)))),""))</f>
        <v/>
      </c>
      <c r="AV28" s="11">
        <f>IF(OR($AU28="",$AT28=""),1,((Config!$B$14*$AU28+Config!$B$15*(1-$AU28))/(Config!$B$14*$AT28+Config!$B$15*(1-$AT28)))^Config!$B$13)</f>
        <v/>
      </c>
      <c r="AW28" s="8">
        <f>IF($AS28="","",IFERROR(IF(INDEX(Matches!$AV$5:$AV$19,MATCH($C28,Matches!$A$5:$A$19,0))="","",IF($AS28="A",INDEX(Matches!$AV$5:$AV$19,MATCH($C28,Matches!$A$5:$A$19,0)),1-INDEX(Matches!$AV$5:$AV$19,MATCH($C28,Matches!$A$5:$A$19,0)))),""))</f>
        <v/>
      </c>
      <c r="AX28" s="11">
        <f>IF(OR($AW28="",$AT28=""),1,((Config!$B$14*$AW28+Config!$B$15*(1-$AW28))/(Config!$B$14*$AT28+Config!$B$15*(1-$AT28)))^Config!$B$13)</f>
        <v/>
      </c>
      <c r="AY28" s="8">
        <f>IF($AS28="","",IFERROR(IF(INDEX(Matches!$BB$5:$BB$19,MATCH($C28,Matches!$A$5:$A$19,0))="","",IF($AS28="A",INDEX(Matches!$BB$5:$BB$19,MATCH($C28,Matches!$A$5:$A$19,0)),1-INDEX(Matches!$BB$5:$BB$19,MATCH($C28,Matches!$A$5:$A$19,0)))),""))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75r40osa6cjt3o0|CS2 · BB vs NEMI</t>
        </is>
      </c>
      <c r="B29" t="inlineStr">
        <is>
          <t>CS2</t>
        </is>
      </c>
      <c r="C29" t="inlineStr">
        <is>
          <t>CS2 · BB vs NEMI</t>
        </is>
      </c>
      <c r="D29" t="inlineStr">
        <is>
          <t>BB</t>
        </is>
      </c>
      <c r="E29" t="inlineStr">
        <is>
          <t>Boombl4</t>
        </is>
      </c>
      <c r="F29" t="inlineStr">
        <is>
          <t>75r40osa6cjt3o0</t>
        </is>
      </c>
      <c r="G29">
        <f>IFERROR(IF(INDEX(Matches!$W$5:$W$19,MATCH($C29,Matches!$A$5:$A$19,0))="","",INDEX(Matches!$W$5:$W$19,MATCH($C29,Matches!$A$5:$A$19,0))),"")</f>
        <v/>
      </c>
      <c r="H29">
        <f>IFERROR(IF(INDEX(Matches!$X$5:$X$19,MATCH($C29,Matches!$A$5:$A$19,0))="","",INDEX(Matches!$X$5:$X$19,MATCH($C29,Matches!$A$5:$A$19,0))),"")</f>
        <v/>
      </c>
      <c r="I29">
        <f>IFERROR(IF(INDEX(Matches!$Y$5:$Y$19,MATCH($C29,Matches!$A$5:$A$19,0))="","",INDEX(Matches!$Y$5:$Y$19,MATCH($C29,Matches!$A$5:$A$19,0))),"")</f>
        <v/>
      </c>
      <c r="J29">
        <f>IFERROR(IF(INDEX(Matches!$Z$5:$Z$19,MATCH($C29,Matches!$A$5:$A$19,0))="","",INDEX(Matches!$Z$5:$Z$19,MATCH($C29,Matches!$A$5:$A$19,0))),"")</f>
        <v/>
      </c>
      <c r="K29">
        <f>IFERROR(IF(INDEX(Matches!$AA$5:$AA$19,MATCH($C29,Matches!$A$5:$A$19,0))="","",INDEX(Matches!$AA$5:$AA$19,MATCH($C29,Matches!$A$5:$A$19,0))),"")</f>
        <v/>
      </c>
      <c r="L29">
        <f>IFERROR(IF(INDEX(Matches!$AB$5:$AB$19,MATCH($C29,Matches!$A$5:$A$19,0))="","",INDEX(Matches!$AB$5:$AB$19,MATCH($C29,Matches!$A$5:$A$19,0))),"")</f>
        <v/>
      </c>
      <c r="M29" s="8">
        <f>IFERROR(IF(INDEX(Matches!$AC$5:$AC$19,MATCH($C29,Matches!$A$5:$A$19,0))="","",INDEX(Matches!$AC$5:$AC$19,MATCH($C29,Matches!$A$5:$A$19,0))),"")</f>
        <v/>
      </c>
      <c r="N29">
        <f>IFERROR(INDEX(Players!$F$2:$F$124,MATCH($F29,Players!$A$2:$A$124,0)),0)</f>
        <v/>
      </c>
      <c r="O29" s="11">
        <f>IFERROR(1/(1/INDEX(Players!$H$2:$H$124,MATCH($F29,Players!$A$2:$A$124,0))),"")</f>
        <v/>
      </c>
      <c r="P29" s="8">
        <f>IFERROR(1/(1/INDEX(Players!$I$2:$I$124,MATCH($F29,Players!$A$2:$A$124,0))),"")</f>
        <v/>
      </c>
      <c r="Q29">
        <f>IF($G29="",0,SUMIFS(Map_Stats!$F$2:$F$779,Map_Stats!$A$2:$A$779,$F29&amp;"|"&amp;$G29))</f>
        <v/>
      </c>
      <c r="R29" s="11">
        <f>IF($G29="","",IFERROR(1/(1/INDEX(Map_Stats!$K$2:$K$779,MATCH($F29&amp;"|"&amp;$G29,Map_Stats!$A$2:$A$779,0))),$O29))</f>
        <v/>
      </c>
      <c r="S29" s="8">
        <f>IF(OR($G29="",$P29=""),"",IFERROR(1/(1/INDEX(Map_Stats!$I$2:$I$779,MATCH($F29&amp;"|"&amp;$G29,Map_Stats!$A$2:$A$779,0))),$P29))</f>
        <v/>
      </c>
      <c r="T29" s="11">
        <f>IF(OR($G29="",R29=""),"",IF($O29="",R29,(Q29*R29+Config!$B$4*$O29)/(Q29+Config!$B$4)))</f>
        <v/>
      </c>
      <c r="U29" s="8">
        <f>IF(S29="","",(Q29*S29+Config!$B$4*$P29)/(Q29+Config!$B$4))</f>
        <v/>
      </c>
      <c r="V29" s="15">
        <f>IF(OR(T29="",$J29=""),"",T29*$J29*($J29/Config!$B$10)^Config!$B$9)</f>
        <v/>
      </c>
      <c r="W29" s="15">
        <f>IF(OR(V29="",U29=""),"",V29*U29)</f>
        <v/>
      </c>
      <c r="X29">
        <f>IF($H29="",0,SUMIFS(Map_Stats!$F$2:$F$779,Map_Stats!$A$2:$A$779,$F29&amp;"|"&amp;$H29))</f>
        <v/>
      </c>
      <c r="Y29" s="11">
        <f>IF($H29="","",IFERROR(1/(1/INDEX(Map_Stats!$K$2:$K$779,MATCH($F29&amp;"|"&amp;$H29,Map_Stats!$A$2:$A$779,0))),$O29))</f>
        <v/>
      </c>
      <c r="Z29" s="8">
        <f>IF(OR($H29="",$P29=""),"",IFERROR(1/(1/INDEX(Map_Stats!$I$2:$I$779,MATCH($F29&amp;"|"&amp;$H29,Map_Stats!$A$2:$A$779,0))),$P29))</f>
        <v/>
      </c>
      <c r="AA29" s="11">
        <f>IF(OR($H29="",Y29=""),"",IF($O29="",Y29,(X29*Y29+Config!$B$4*$O29)/(X29+Config!$B$4)))</f>
        <v/>
      </c>
      <c r="AB29" s="8">
        <f>IF(Z29="","",(X29*Z29+Config!$B$4*$P29)/(X29+Config!$B$4))</f>
        <v/>
      </c>
      <c r="AC29" s="15">
        <f>IF(OR(AA29="",$K29=""),"",AA29*$K29*($K29/Config!$B$10)^Config!$B$9)</f>
        <v/>
      </c>
      <c r="AD29" s="15">
        <f>IF(OR(AC29="",AB29=""),"",AC29*AB29)</f>
        <v/>
      </c>
      <c r="AE29">
        <f>IF($I29="",0,SUMIFS(Map_Stats!$F$2:$F$779,Map_Stats!$A$2:$A$779,$F29&amp;"|"&amp;$I29))</f>
        <v/>
      </c>
      <c r="AF29" s="11">
        <f>IF($I29="","",IFERROR(1/(1/INDEX(Map_Stats!$K$2:$K$779,MATCH($F29&amp;"|"&amp;$I29,Map_Stats!$A$2:$A$779,0))),$O29))</f>
        <v/>
      </c>
      <c r="AG29" s="8">
        <f>IF(OR($I29="",$P29=""),"",IFERROR(1/(1/INDEX(Map_Stats!$I$2:$I$779,MATCH($F29&amp;"|"&amp;$I29,Map_Stats!$A$2:$A$779,0))),$P29))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IF($C29=Board!$B$2,COUNTIFS($C$2:$C$124,Board!$B$2,$AL$2:$AL$124,"&gt;"&amp;$AL29)+COUNTIFS($C$1:$C28,Board!$B$2,$AL$1:$AL28,$AL29)+1,"")</f>
        <v/>
      </c>
      <c r="AS29">
        <f>IFERROR(IF($D29=INDEX(Matches!$AD$5:$AD$19,MATCH($C29,Matches!$A$5:$A$19,0)),"A",IF($D29=INDEX(Matches!$AE$5:$AE$19,MATCH($C29,Matches!$A$5:$A$19,0)),"B","")),"")</f>
        <v/>
      </c>
      <c r="AT29" s="8">
        <f>IF($AS29="","",IFERROR(IF($AS29="A",INDEX(Matches!$AI$5:$AI$19,MATCH($C29,Matches!$A$5:$A$19,0)),INDEX(Matches!$AJ$5:$AJ$19,MATCH($C29,Matches!$A$5:$A$19,0))),""))</f>
        <v/>
      </c>
      <c r="AU29" s="8">
        <f>IF($AS29="","",IFERROR(IF(INDEX(Matches!$AP$5:$AP$19,MATCH($C29,Matches!$A$5:$A$19,0))="","",IF($AS29="A",INDEX(Matches!$AP$5:$AP$19,MATCH($C29,Matches!$A$5:$A$19,0)),1-INDEX(Matches!$AP$5:$AP$19,MATCH($C29,Matches!$A$5:$A$19,0)))),""))</f>
        <v/>
      </c>
      <c r="AV29" s="11">
        <f>IF(OR($AU29="",$AT29=""),1,((Config!$B$14*$AU29+Config!$B$15*(1-$AU29))/(Config!$B$14*$AT29+Config!$B$15*(1-$AT29)))^Config!$B$13)</f>
        <v/>
      </c>
      <c r="AW29" s="8">
        <f>IF($AS29="","",IFERROR(IF(INDEX(Matches!$AV$5:$AV$19,MATCH($C29,Matches!$A$5:$A$19,0))="","",IF($AS29="A",INDEX(Matches!$AV$5:$AV$19,MATCH($C29,Matches!$A$5:$A$19,0)),1-INDEX(Matches!$AV$5:$AV$19,MATCH($C29,Matches!$A$5:$A$19,0)))),""))</f>
        <v/>
      </c>
      <c r="AX29" s="11">
        <f>IF(OR($AW29="",$AT29=""),1,((Config!$B$14*$AW29+Config!$B$15*(1-$AW29))/(Config!$B$14*$AT29+Config!$B$15*(1-$AT29)))^Config!$B$13)</f>
        <v/>
      </c>
      <c r="AY29" s="8">
        <f>IF($AS29="","",IFERROR(IF(INDEX(Matches!$BB$5:$BB$19,MATCH($C29,Matches!$A$5:$A$19,0))="","",IF($AS29="A",INDEX(Matches!$BB$5:$BB$19,MATCH($C29,Matches!$A$5:$A$19,0)),1-INDEX(Matches!$BB$5:$BB$19,MATCH($C29,Matches!$A$5:$A$19,0)))),""))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kgpnwz42wxtq29r|CS2 · BB vs NEMI</t>
        </is>
      </c>
      <c r="B30" t="inlineStr">
        <is>
          <t>CS2</t>
        </is>
      </c>
      <c r="C30" t="inlineStr">
        <is>
          <t>CS2 · BB vs NEMI</t>
        </is>
      </c>
      <c r="D30" t="inlineStr">
        <is>
          <t>BB</t>
        </is>
      </c>
      <c r="E30" t="inlineStr">
        <is>
          <t>d1Ledez</t>
        </is>
      </c>
      <c r="F30" t="inlineStr">
        <is>
          <t>kgpnwz42wxtq29r</t>
        </is>
      </c>
      <c r="G30">
        <f>IFERROR(IF(INDEX(Matches!$W$5:$W$19,MATCH($C30,Matches!$A$5:$A$19,0))="","",INDEX(Matches!$W$5:$W$19,MATCH($C30,Matches!$A$5:$A$19,0))),"")</f>
        <v/>
      </c>
      <c r="H30">
        <f>IFERROR(IF(INDEX(Matches!$X$5:$X$19,MATCH($C30,Matches!$A$5:$A$19,0))="","",INDEX(Matches!$X$5:$X$19,MATCH($C30,Matches!$A$5:$A$19,0))),"")</f>
        <v/>
      </c>
      <c r="I30">
        <f>IFERROR(IF(INDEX(Matches!$Y$5:$Y$19,MATCH($C30,Matches!$A$5:$A$19,0))="","",INDEX(Matches!$Y$5:$Y$19,MATCH($C30,Matches!$A$5:$A$19,0))),"")</f>
        <v/>
      </c>
      <c r="J30">
        <f>IFERROR(IF(INDEX(Matches!$Z$5:$Z$19,MATCH($C30,Matches!$A$5:$A$19,0))="","",INDEX(Matches!$Z$5:$Z$19,MATCH($C30,Matches!$A$5:$A$19,0))),"")</f>
        <v/>
      </c>
      <c r="K30">
        <f>IFERROR(IF(INDEX(Matches!$AA$5:$AA$19,MATCH($C30,Matches!$A$5:$A$19,0))="","",INDEX(Matches!$AA$5:$AA$19,MATCH($C30,Matches!$A$5:$A$19,0))),"")</f>
        <v/>
      </c>
      <c r="L30">
        <f>IFERROR(IF(INDEX(Matches!$AB$5:$AB$19,MATCH($C30,Matches!$A$5:$A$19,0))="","",INDEX(Matches!$AB$5:$AB$19,MATCH($C30,Matches!$A$5:$A$19,0))),"")</f>
        <v/>
      </c>
      <c r="M30" s="8">
        <f>IFERROR(IF(INDEX(Matches!$AC$5:$AC$19,MATCH($C30,Matches!$A$5:$A$19,0))="","",INDEX(Matches!$AC$5:$AC$19,MATCH($C30,Matches!$A$5:$A$19,0))),"")</f>
        <v/>
      </c>
      <c r="N30">
        <f>IFERROR(INDEX(Players!$F$2:$F$124,MATCH($F30,Players!$A$2:$A$124,0)),0)</f>
        <v/>
      </c>
      <c r="O30" s="11">
        <f>IFERROR(1/(1/INDEX(Players!$H$2:$H$124,MATCH($F30,Players!$A$2:$A$124,0))),"")</f>
        <v/>
      </c>
      <c r="P30" s="8">
        <f>IFERROR(1/(1/INDEX(Players!$I$2:$I$124,MATCH($F30,Players!$A$2:$A$124,0))),"")</f>
        <v/>
      </c>
      <c r="Q30">
        <f>IF($G30="",0,SUMIFS(Map_Stats!$F$2:$F$779,Map_Stats!$A$2:$A$779,$F30&amp;"|"&amp;$G30))</f>
        <v/>
      </c>
      <c r="R30" s="11">
        <f>IF($G30="","",IFERROR(1/(1/INDEX(Map_Stats!$K$2:$K$779,MATCH($F30&amp;"|"&amp;$G30,Map_Stats!$A$2:$A$779,0))),$O30))</f>
        <v/>
      </c>
      <c r="S30" s="8">
        <f>IF(OR($G30="",$P30=""),"",IFERROR(1/(1/INDEX(Map_Stats!$I$2:$I$779,MATCH($F30&amp;"|"&amp;$G30,Map_Stats!$A$2:$A$779,0))),$P30))</f>
        <v/>
      </c>
      <c r="T30" s="11">
        <f>IF(OR($G30="",R30=""),"",IF($O30="",R30,(Q30*R30+Config!$B$4*$O30)/(Q30+Config!$B$4)))</f>
        <v/>
      </c>
      <c r="U30" s="8">
        <f>IF(S30="","",(Q30*S30+Config!$B$4*$P30)/(Q30+Config!$B$4))</f>
        <v/>
      </c>
      <c r="V30" s="15">
        <f>IF(OR(T30="",$J30=""),"",T30*$J30*($J30/Config!$B$10)^Config!$B$9)</f>
        <v/>
      </c>
      <c r="W30" s="15">
        <f>IF(OR(V30="",U30=""),"",V30*U30)</f>
        <v/>
      </c>
      <c r="X30">
        <f>IF($H30="",0,SUMIFS(Map_Stats!$F$2:$F$779,Map_Stats!$A$2:$A$779,$F30&amp;"|"&amp;$H30))</f>
        <v/>
      </c>
      <c r="Y30" s="11">
        <f>IF($H30="","",IFERROR(1/(1/INDEX(Map_Stats!$K$2:$K$779,MATCH($F30&amp;"|"&amp;$H30,Map_Stats!$A$2:$A$779,0))),$O30))</f>
        <v/>
      </c>
      <c r="Z30" s="8">
        <f>IF(OR($H30="",$P30=""),"",IFERROR(1/(1/INDEX(Map_Stats!$I$2:$I$779,MATCH($F30&amp;"|"&amp;$H30,Map_Stats!$A$2:$A$779,0))),$P30))</f>
        <v/>
      </c>
      <c r="AA30" s="11">
        <f>IF(OR($H30="",Y30=""),"",IF($O30="",Y30,(X30*Y30+Config!$B$4*$O30)/(X30+Config!$B$4)))</f>
        <v/>
      </c>
      <c r="AB30" s="8">
        <f>IF(Z30="","",(X30*Z30+Config!$B$4*$P30)/(X30+Config!$B$4))</f>
        <v/>
      </c>
      <c r="AC30" s="15">
        <f>IF(OR(AA30="",$K30=""),"",AA30*$K30*($K30/Config!$B$10)^Config!$B$9)</f>
        <v/>
      </c>
      <c r="AD30" s="15">
        <f>IF(OR(AC30="",AB30=""),"",AC30*AB30)</f>
        <v/>
      </c>
      <c r="AE30">
        <f>IF($I30="",0,SUMIFS(Map_Stats!$F$2:$F$779,Map_Stats!$A$2:$A$779,$F30&amp;"|"&amp;$I30))</f>
        <v/>
      </c>
      <c r="AF30" s="11">
        <f>IF($I30="","",IFERROR(1/(1/INDEX(Map_Stats!$K$2:$K$779,MATCH($F30&amp;"|"&amp;$I30,Map_Stats!$A$2:$A$779,0))),$O30))</f>
        <v/>
      </c>
      <c r="AG30" s="8">
        <f>IF(OR($I30="",$P30=""),"",IFERROR(1/(1/INDEX(Map_Stats!$I$2:$I$779,MATCH($F30&amp;"|"&amp;$I30,Map_Stats!$A$2:$A$779,0))),$P30))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IF($C30=Board!$B$2,COUNTIFS($C$2:$C$124,Board!$B$2,$AL$2:$AL$124,"&gt;"&amp;$AL30)+COUNTIFS($C$1:$C29,Board!$B$2,$AL$1:$AL29,$AL30)+1,"")</f>
        <v/>
      </c>
      <c r="AS30">
        <f>IFERROR(IF($D30=INDEX(Matches!$AD$5:$AD$19,MATCH($C30,Matches!$A$5:$A$19,0)),"A",IF($D30=INDEX(Matches!$AE$5:$AE$19,MATCH($C30,Matches!$A$5:$A$19,0)),"B","")),"")</f>
        <v/>
      </c>
      <c r="AT30" s="8">
        <f>IF($AS30="","",IFERROR(IF($AS30="A",INDEX(Matches!$AI$5:$AI$19,MATCH($C30,Matches!$A$5:$A$19,0)),INDEX(Matches!$AJ$5:$AJ$19,MATCH($C30,Matches!$A$5:$A$19,0))),""))</f>
        <v/>
      </c>
      <c r="AU30" s="8">
        <f>IF($AS30="","",IFERROR(IF(INDEX(Matches!$AP$5:$AP$19,MATCH($C30,Matches!$A$5:$A$19,0))="","",IF($AS30="A",INDEX(Matches!$AP$5:$AP$19,MATCH($C30,Matches!$A$5:$A$19,0)),1-INDEX(Matches!$AP$5:$AP$19,MATCH($C30,Matches!$A$5:$A$19,0)))),""))</f>
        <v/>
      </c>
      <c r="AV30" s="11">
        <f>IF(OR($AU30="",$AT30=""),1,((Config!$B$14*$AU30+Config!$B$15*(1-$AU30))/(Config!$B$14*$AT30+Config!$B$15*(1-$AT30)))^Config!$B$13)</f>
        <v/>
      </c>
      <c r="AW30" s="8">
        <f>IF($AS30="","",IFERROR(IF(INDEX(Matches!$AV$5:$AV$19,MATCH($C30,Matches!$A$5:$A$19,0))="","",IF($AS30="A",INDEX(Matches!$AV$5:$AV$19,MATCH($C30,Matches!$A$5:$A$19,0)),1-INDEX(Matches!$AV$5:$AV$19,MATCH($C30,Matches!$A$5:$A$19,0)))),""))</f>
        <v/>
      </c>
      <c r="AX30" s="11">
        <f>IF(OR($AW30="",$AT30=""),1,((Config!$B$14*$AW30+Config!$B$15*(1-$AW30))/(Config!$B$14*$AT30+Config!$B$15*(1-$AT30)))^Config!$B$13)</f>
        <v/>
      </c>
      <c r="AY30" s="8">
        <f>IF($AS30="","",IFERROR(IF(INDEX(Matches!$BB$5:$BB$19,MATCH($C30,Matches!$A$5:$A$19,0))="","",IF($AS30="A",INDEX(Matches!$BB$5:$BB$19,MATCH($C30,Matches!$A$5:$A$19,0)),1-INDEX(Matches!$BB$5:$BB$19,MATCH($C30,Matches!$A$5:$A$19,0)))),""))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w2jejpg0j9hthoo|CS2 · BB vs NEMI</t>
        </is>
      </c>
      <c r="B31" t="inlineStr">
        <is>
          <t>CS2</t>
        </is>
      </c>
      <c r="C31" t="inlineStr">
        <is>
          <t>CS2 · BB vs NEMI</t>
        </is>
      </c>
      <c r="D31" t="inlineStr">
        <is>
          <t>BB</t>
        </is>
      </c>
      <c r="E31" t="inlineStr">
        <is>
          <t>Magnojez</t>
        </is>
      </c>
      <c r="F31" t="inlineStr">
        <is>
          <t>w2jejpg0j9hthoo</t>
        </is>
      </c>
      <c r="G31">
        <f>IFERROR(IF(INDEX(Matches!$W$5:$W$19,MATCH($C31,Matches!$A$5:$A$19,0))="","",INDEX(Matches!$W$5:$W$19,MATCH($C31,Matches!$A$5:$A$19,0))),"")</f>
        <v/>
      </c>
      <c r="H31">
        <f>IFERROR(IF(INDEX(Matches!$X$5:$X$19,MATCH($C31,Matches!$A$5:$A$19,0))="","",INDEX(Matches!$X$5:$X$19,MATCH($C31,Matches!$A$5:$A$19,0))),"")</f>
        <v/>
      </c>
      <c r="I31">
        <f>IFERROR(IF(INDEX(Matches!$Y$5:$Y$19,MATCH($C31,Matches!$A$5:$A$19,0))="","",INDEX(Matches!$Y$5:$Y$19,MATCH($C31,Matches!$A$5:$A$19,0))),"")</f>
        <v/>
      </c>
      <c r="J31">
        <f>IFERROR(IF(INDEX(Matches!$Z$5:$Z$19,MATCH($C31,Matches!$A$5:$A$19,0))="","",INDEX(Matches!$Z$5:$Z$19,MATCH($C31,Matches!$A$5:$A$19,0))),"")</f>
        <v/>
      </c>
      <c r="K31">
        <f>IFERROR(IF(INDEX(Matches!$AA$5:$AA$19,MATCH($C31,Matches!$A$5:$A$19,0))="","",INDEX(Matches!$AA$5:$AA$19,MATCH($C31,Matches!$A$5:$A$19,0))),"")</f>
        <v/>
      </c>
      <c r="L31">
        <f>IFERROR(IF(INDEX(Matches!$AB$5:$AB$19,MATCH($C31,Matches!$A$5:$A$19,0))="","",INDEX(Matches!$AB$5:$AB$19,MATCH($C31,Matches!$A$5:$A$19,0))),"")</f>
        <v/>
      </c>
      <c r="M31" s="8">
        <f>IFERROR(IF(INDEX(Matches!$AC$5:$AC$19,MATCH($C31,Matches!$A$5:$A$19,0))="","",INDEX(Matches!$AC$5:$AC$19,MATCH($C31,Matches!$A$5:$A$19,0))),"")</f>
        <v/>
      </c>
      <c r="N31">
        <f>IFERROR(INDEX(Players!$F$2:$F$124,MATCH($F31,Players!$A$2:$A$124,0)),0)</f>
        <v/>
      </c>
      <c r="O31" s="11">
        <f>IFERROR(1/(1/INDEX(Players!$H$2:$H$124,MATCH($F31,Players!$A$2:$A$124,0))),"")</f>
        <v/>
      </c>
      <c r="P31" s="8">
        <f>IFERROR(1/(1/INDEX(Players!$I$2:$I$124,MATCH($F31,Players!$A$2:$A$124,0))),"")</f>
        <v/>
      </c>
      <c r="Q31">
        <f>IF($G31="",0,SUMIFS(Map_Stats!$F$2:$F$779,Map_Stats!$A$2:$A$779,$F31&amp;"|"&amp;$G31))</f>
        <v/>
      </c>
      <c r="R31" s="11">
        <f>IF($G31="","",IFERROR(1/(1/INDEX(Map_Stats!$K$2:$K$779,MATCH($F31&amp;"|"&amp;$G31,Map_Stats!$A$2:$A$779,0))),$O31))</f>
        <v/>
      </c>
      <c r="S31" s="8">
        <f>IF(OR($G31="",$P31=""),"",IFERROR(1/(1/INDEX(Map_Stats!$I$2:$I$779,MATCH($F31&amp;"|"&amp;$G31,Map_Stats!$A$2:$A$779,0))),$P31))</f>
        <v/>
      </c>
      <c r="T31" s="11">
        <f>IF(OR($G31="",R31=""),"",IF($O31="",R31,(Q31*R31+Config!$B$4*$O31)/(Q31+Config!$B$4)))</f>
        <v/>
      </c>
      <c r="U31" s="8">
        <f>IF(S31="","",(Q31*S31+Config!$B$4*$P31)/(Q31+Config!$B$4))</f>
        <v/>
      </c>
      <c r="V31" s="15">
        <f>IF(OR(T31="",$J31=""),"",T31*$J31*($J31/Config!$B$10)^Config!$B$9)</f>
        <v/>
      </c>
      <c r="W31" s="15">
        <f>IF(OR(V31="",U31=""),"",V31*U31)</f>
        <v/>
      </c>
      <c r="X31">
        <f>IF($H31="",0,SUMIFS(Map_Stats!$F$2:$F$779,Map_Stats!$A$2:$A$779,$F31&amp;"|"&amp;$H31))</f>
        <v/>
      </c>
      <c r="Y31" s="11">
        <f>IF($H31="","",IFERROR(1/(1/INDEX(Map_Stats!$K$2:$K$779,MATCH($F31&amp;"|"&amp;$H31,Map_Stats!$A$2:$A$779,0))),$O31))</f>
        <v/>
      </c>
      <c r="Z31" s="8">
        <f>IF(OR($H31="",$P31=""),"",IFERROR(1/(1/INDEX(Map_Stats!$I$2:$I$779,MATCH($F31&amp;"|"&amp;$H31,Map_Stats!$A$2:$A$779,0))),$P31))</f>
        <v/>
      </c>
      <c r="AA31" s="11">
        <f>IF(OR($H31="",Y31=""),"",IF($O31="",Y31,(X31*Y31+Config!$B$4*$O31)/(X31+Config!$B$4)))</f>
        <v/>
      </c>
      <c r="AB31" s="8">
        <f>IF(Z31="","",(X31*Z31+Config!$B$4*$P31)/(X31+Config!$B$4))</f>
        <v/>
      </c>
      <c r="AC31" s="15">
        <f>IF(OR(AA31="",$K31=""),"",AA31*$K31*($K31/Config!$B$10)^Config!$B$9)</f>
        <v/>
      </c>
      <c r="AD31" s="15">
        <f>IF(OR(AC31="",AB31=""),"",AC31*AB31)</f>
        <v/>
      </c>
      <c r="AE31">
        <f>IF($I31="",0,SUMIFS(Map_Stats!$F$2:$F$779,Map_Stats!$A$2:$A$779,$F31&amp;"|"&amp;$I31))</f>
        <v/>
      </c>
      <c r="AF31" s="11">
        <f>IF($I31="","",IFERROR(1/(1/INDEX(Map_Stats!$K$2:$K$779,MATCH($F31&amp;"|"&amp;$I31,Map_Stats!$A$2:$A$779,0))),$O31))</f>
        <v/>
      </c>
      <c r="AG31" s="8">
        <f>IF(OR($I31="",$P31=""),"",IFERROR(1/(1/INDEX(Map_Stats!$I$2:$I$779,MATCH($F31&amp;"|"&amp;$I31,Map_Stats!$A$2:$A$779,0))),$P31))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IF($C31=Board!$B$2,COUNTIFS($C$2:$C$124,Board!$B$2,$AL$2:$AL$124,"&gt;"&amp;$AL31)+COUNTIFS($C$1:$C30,Board!$B$2,$AL$1:$AL30,$AL31)+1,"")</f>
        <v/>
      </c>
      <c r="AS31">
        <f>IFERROR(IF($D31=INDEX(Matches!$AD$5:$AD$19,MATCH($C31,Matches!$A$5:$A$19,0)),"A",IF($D31=INDEX(Matches!$AE$5:$AE$19,MATCH($C31,Matches!$A$5:$A$19,0)),"B","")),"")</f>
        <v/>
      </c>
      <c r="AT31" s="8">
        <f>IF($AS31="","",IFERROR(IF($AS31="A",INDEX(Matches!$AI$5:$AI$19,MATCH($C31,Matches!$A$5:$A$19,0)),INDEX(Matches!$AJ$5:$AJ$19,MATCH($C31,Matches!$A$5:$A$19,0))),""))</f>
        <v/>
      </c>
      <c r="AU31" s="8">
        <f>IF($AS31="","",IFERROR(IF(INDEX(Matches!$AP$5:$AP$19,MATCH($C31,Matches!$A$5:$A$19,0))="","",IF($AS31="A",INDEX(Matches!$AP$5:$AP$19,MATCH($C31,Matches!$A$5:$A$19,0)),1-INDEX(Matches!$AP$5:$AP$19,MATCH($C31,Matches!$A$5:$A$19,0)))),""))</f>
        <v/>
      </c>
      <c r="AV31" s="11">
        <f>IF(OR($AU31="",$AT31=""),1,((Config!$B$14*$AU31+Config!$B$15*(1-$AU31))/(Config!$B$14*$AT31+Config!$B$15*(1-$AT31)))^Config!$B$13)</f>
        <v/>
      </c>
      <c r="AW31" s="8">
        <f>IF($AS31="","",IFERROR(IF(INDEX(Matches!$AV$5:$AV$19,MATCH($C31,Matches!$A$5:$A$19,0))="","",IF($AS31="A",INDEX(Matches!$AV$5:$AV$19,MATCH($C31,Matches!$A$5:$A$19,0)),1-INDEX(Matches!$AV$5:$AV$19,MATCH($C31,Matches!$A$5:$A$19,0)))),""))</f>
        <v/>
      </c>
      <c r="AX31" s="11">
        <f>IF(OR($AW31="",$AT31=""),1,((Config!$B$14*$AW31+Config!$B$15*(1-$AW31))/(Config!$B$14*$AT31+Config!$B$15*(1-$AT31)))^Config!$B$13)</f>
        <v/>
      </c>
      <c r="AY31" s="8">
        <f>IF($AS31="","",IFERROR(IF(INDEX(Matches!$BB$5:$BB$19,MATCH($C31,Matches!$A$5:$A$19,0))="","",IF($AS31="A",INDEX(Matches!$BB$5:$BB$19,MATCH($C31,Matches!$A$5:$A$19,0)),1-INDEX(Matches!$BB$5:$BB$19,MATCH($C31,Matches!$A$5:$A$19,0)))),""))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bn3mlvy0cst11z3|CS2 · BB vs NEMI</t>
        </is>
      </c>
      <c r="B32" t="inlineStr">
        <is>
          <t>CS2</t>
        </is>
      </c>
      <c r="C32" t="inlineStr">
        <is>
          <t>CS2 · BB vs NEMI</t>
        </is>
      </c>
      <c r="D32" t="inlineStr">
        <is>
          <t>BB</t>
        </is>
      </c>
      <c r="E32" t="inlineStr">
        <is>
          <t>s1ren</t>
        </is>
      </c>
      <c r="F32" t="inlineStr">
        <is>
          <t>bn3mlvy0cst11z3</t>
        </is>
      </c>
      <c r="G32">
        <f>IFERROR(IF(INDEX(Matches!$W$5:$W$19,MATCH($C32,Matches!$A$5:$A$19,0))="","",INDEX(Matches!$W$5:$W$19,MATCH($C32,Matches!$A$5:$A$19,0))),"")</f>
        <v/>
      </c>
      <c r="H32">
        <f>IFERROR(IF(INDEX(Matches!$X$5:$X$19,MATCH($C32,Matches!$A$5:$A$19,0))="","",INDEX(Matches!$X$5:$X$19,MATCH($C32,Matches!$A$5:$A$19,0))),"")</f>
        <v/>
      </c>
      <c r="I32">
        <f>IFERROR(IF(INDEX(Matches!$Y$5:$Y$19,MATCH($C32,Matches!$A$5:$A$19,0))="","",INDEX(Matches!$Y$5:$Y$19,MATCH($C32,Matches!$A$5:$A$19,0))),"")</f>
        <v/>
      </c>
      <c r="J32">
        <f>IFERROR(IF(INDEX(Matches!$Z$5:$Z$19,MATCH($C32,Matches!$A$5:$A$19,0))="","",INDEX(Matches!$Z$5:$Z$19,MATCH($C32,Matches!$A$5:$A$19,0))),"")</f>
        <v/>
      </c>
      <c r="K32">
        <f>IFERROR(IF(INDEX(Matches!$AA$5:$AA$19,MATCH($C32,Matches!$A$5:$A$19,0))="","",INDEX(Matches!$AA$5:$AA$19,MATCH($C32,Matches!$A$5:$A$19,0))),"")</f>
        <v/>
      </c>
      <c r="L32">
        <f>IFERROR(IF(INDEX(Matches!$AB$5:$AB$19,MATCH($C32,Matches!$A$5:$A$19,0))="","",INDEX(Matches!$AB$5:$AB$19,MATCH($C32,Matches!$A$5:$A$19,0))),"")</f>
        <v/>
      </c>
      <c r="M32" s="8">
        <f>IFERROR(IF(INDEX(Matches!$AC$5:$AC$19,MATCH($C32,Matches!$A$5:$A$19,0))="","",INDEX(Matches!$AC$5:$AC$19,MATCH($C32,Matches!$A$5:$A$19,0))),"")</f>
        <v/>
      </c>
      <c r="N32">
        <f>IFERROR(INDEX(Players!$F$2:$F$124,MATCH($F32,Players!$A$2:$A$124,0)),0)</f>
        <v/>
      </c>
      <c r="O32" s="11">
        <f>IFERROR(1/(1/INDEX(Players!$H$2:$H$124,MATCH($F32,Players!$A$2:$A$124,0))),"")</f>
        <v/>
      </c>
      <c r="P32" s="8">
        <f>IFERROR(1/(1/INDEX(Players!$I$2:$I$124,MATCH($F32,Players!$A$2:$A$124,0))),"")</f>
        <v/>
      </c>
      <c r="Q32">
        <f>IF($G32="",0,SUMIFS(Map_Stats!$F$2:$F$779,Map_Stats!$A$2:$A$779,$F32&amp;"|"&amp;$G32))</f>
        <v/>
      </c>
      <c r="R32" s="11">
        <f>IF($G32="","",IFERROR(1/(1/INDEX(Map_Stats!$K$2:$K$779,MATCH($F32&amp;"|"&amp;$G32,Map_Stats!$A$2:$A$779,0))),$O32))</f>
        <v/>
      </c>
      <c r="S32" s="8">
        <f>IF(OR($G32="",$P32=""),"",IFERROR(1/(1/INDEX(Map_Stats!$I$2:$I$779,MATCH($F32&amp;"|"&amp;$G32,Map_Stats!$A$2:$A$779,0))),$P32))</f>
        <v/>
      </c>
      <c r="T32" s="11">
        <f>IF(OR($G32="",R32=""),"",IF($O32="",R32,(Q32*R32+Config!$B$4*$O32)/(Q32+Config!$B$4)))</f>
        <v/>
      </c>
      <c r="U32" s="8">
        <f>IF(S32="","",(Q32*S32+Config!$B$4*$P32)/(Q32+Config!$B$4))</f>
        <v/>
      </c>
      <c r="V32" s="15">
        <f>IF(OR(T32="",$J32=""),"",T32*$J32*($J32/Config!$B$10)^Config!$B$9)</f>
        <v/>
      </c>
      <c r="W32" s="15">
        <f>IF(OR(V32="",U32=""),"",V32*U32)</f>
        <v/>
      </c>
      <c r="X32">
        <f>IF($H32="",0,SUMIFS(Map_Stats!$F$2:$F$779,Map_Stats!$A$2:$A$779,$F32&amp;"|"&amp;$H32))</f>
        <v/>
      </c>
      <c r="Y32" s="11">
        <f>IF($H32="","",IFERROR(1/(1/INDEX(Map_Stats!$K$2:$K$779,MATCH($F32&amp;"|"&amp;$H32,Map_Stats!$A$2:$A$779,0))),$O32))</f>
        <v/>
      </c>
      <c r="Z32" s="8">
        <f>IF(OR($H32="",$P32=""),"",IFERROR(1/(1/INDEX(Map_Stats!$I$2:$I$779,MATCH($F32&amp;"|"&amp;$H32,Map_Stats!$A$2:$A$779,0))),$P32))</f>
        <v/>
      </c>
      <c r="AA32" s="11">
        <f>IF(OR($H32="",Y32=""),"",IF($O32="",Y32,(X32*Y32+Config!$B$4*$O32)/(X32+Config!$B$4)))</f>
        <v/>
      </c>
      <c r="AB32" s="8">
        <f>IF(Z32="","",(X32*Z32+Config!$B$4*$P32)/(X32+Config!$B$4))</f>
        <v/>
      </c>
      <c r="AC32" s="15">
        <f>IF(OR(AA32="",$K32=""),"",AA32*$K32*($K32/Config!$B$10)^Config!$B$9)</f>
        <v/>
      </c>
      <c r="AD32" s="15">
        <f>IF(OR(AC32="",AB32=""),"",AC32*AB32)</f>
        <v/>
      </c>
      <c r="AE32">
        <f>IF($I32="",0,SUMIFS(Map_Stats!$F$2:$F$779,Map_Stats!$A$2:$A$779,$F32&amp;"|"&amp;$I32))</f>
        <v/>
      </c>
      <c r="AF32" s="11">
        <f>IF($I32="","",IFERROR(1/(1/INDEX(Map_Stats!$K$2:$K$779,MATCH($F32&amp;"|"&amp;$I32,Map_Stats!$A$2:$A$779,0))),$O32))</f>
        <v/>
      </c>
      <c r="AG32" s="8">
        <f>IF(OR($I32="",$P32=""),"",IFERROR(1/(1/INDEX(Map_Stats!$I$2:$I$779,MATCH($F32&amp;"|"&amp;$I32,Map_Stats!$A$2:$A$779,0))),$P32))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IF($C32=Board!$B$2,COUNTIFS($C$2:$C$124,Board!$B$2,$AL$2:$AL$124,"&gt;"&amp;$AL32)+COUNTIFS($C$1:$C31,Board!$B$2,$AL$1:$AL31,$AL32)+1,"")</f>
        <v/>
      </c>
      <c r="AS32">
        <f>IFERROR(IF($D32=INDEX(Matches!$AD$5:$AD$19,MATCH($C32,Matches!$A$5:$A$19,0)),"A",IF($D32=INDEX(Matches!$AE$5:$AE$19,MATCH($C32,Matches!$A$5:$A$19,0)),"B","")),"")</f>
        <v/>
      </c>
      <c r="AT32" s="8">
        <f>IF($AS32="","",IFERROR(IF($AS32="A",INDEX(Matches!$AI$5:$AI$19,MATCH($C32,Matches!$A$5:$A$19,0)),INDEX(Matches!$AJ$5:$AJ$19,MATCH($C32,Matches!$A$5:$A$19,0))),""))</f>
        <v/>
      </c>
      <c r="AU32" s="8">
        <f>IF($AS32="","",IFERROR(IF(INDEX(Matches!$AP$5:$AP$19,MATCH($C32,Matches!$A$5:$A$19,0))="","",IF($AS32="A",INDEX(Matches!$AP$5:$AP$19,MATCH($C32,Matches!$A$5:$A$19,0)),1-INDEX(Matches!$AP$5:$AP$19,MATCH($C32,Matches!$A$5:$A$19,0)))),""))</f>
        <v/>
      </c>
      <c r="AV32" s="11">
        <f>IF(OR($AU32="",$AT32=""),1,((Config!$B$14*$AU32+Config!$B$15*(1-$AU32))/(Config!$B$14*$AT32+Config!$B$15*(1-$AT32)))^Config!$B$13)</f>
        <v/>
      </c>
      <c r="AW32" s="8">
        <f>IF($AS32="","",IFERROR(IF(INDEX(Matches!$AV$5:$AV$19,MATCH($C32,Matches!$A$5:$A$19,0))="","",IF($AS32="A",INDEX(Matches!$AV$5:$AV$19,MATCH($C32,Matches!$A$5:$A$19,0)),1-INDEX(Matches!$AV$5:$AV$19,MATCH($C32,Matches!$A$5:$A$19,0)))),""))</f>
        <v/>
      </c>
      <c r="AX32" s="11">
        <f>IF(OR($AW32="",$AT32=""),1,((Config!$B$14*$AW32+Config!$B$15*(1-$AW32))/(Config!$B$14*$AT32+Config!$B$15*(1-$AT32)))^Config!$B$13)</f>
        <v/>
      </c>
      <c r="AY32" s="8">
        <f>IF($AS32="","",IFERROR(IF(INDEX(Matches!$BB$5:$BB$19,MATCH($C32,Matches!$A$5:$A$19,0))="","",IF($AS32="A",INDEX(Matches!$BB$5:$BB$19,MATCH($C32,Matches!$A$5:$A$19,0)),1-INDEX(Matches!$BB$5:$BB$19,MATCH($C32,Matches!$A$5:$A$19,0)))),""))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c4m3zncm4mxvzoh|CS2 · BB vs NEMI</t>
        </is>
      </c>
      <c r="B33" t="inlineStr">
        <is>
          <t>CS2</t>
        </is>
      </c>
      <c r="C33" t="inlineStr">
        <is>
          <t>CS2 · BB vs NEMI</t>
        </is>
      </c>
      <c r="D33" t="inlineStr">
        <is>
          <t>BB</t>
        </is>
      </c>
      <c r="E33" t="inlineStr">
        <is>
          <t>zorte</t>
        </is>
      </c>
      <c r="F33" t="inlineStr">
        <is>
          <t>c4m3zncm4mxvzoh</t>
        </is>
      </c>
      <c r="G33">
        <f>IFERROR(IF(INDEX(Matches!$W$5:$W$19,MATCH($C33,Matches!$A$5:$A$19,0))="","",INDEX(Matches!$W$5:$W$19,MATCH($C33,Matches!$A$5:$A$19,0))),"")</f>
        <v/>
      </c>
      <c r="H33">
        <f>IFERROR(IF(INDEX(Matches!$X$5:$X$19,MATCH($C33,Matches!$A$5:$A$19,0))="","",INDEX(Matches!$X$5:$X$19,MATCH($C33,Matches!$A$5:$A$19,0))),"")</f>
        <v/>
      </c>
      <c r="I33">
        <f>IFERROR(IF(INDEX(Matches!$Y$5:$Y$19,MATCH($C33,Matches!$A$5:$A$19,0))="","",INDEX(Matches!$Y$5:$Y$19,MATCH($C33,Matches!$A$5:$A$19,0))),"")</f>
        <v/>
      </c>
      <c r="J33">
        <f>IFERROR(IF(INDEX(Matches!$Z$5:$Z$19,MATCH($C33,Matches!$A$5:$A$19,0))="","",INDEX(Matches!$Z$5:$Z$19,MATCH($C33,Matches!$A$5:$A$19,0))),"")</f>
        <v/>
      </c>
      <c r="K33">
        <f>IFERROR(IF(INDEX(Matches!$AA$5:$AA$19,MATCH($C33,Matches!$A$5:$A$19,0))="","",INDEX(Matches!$AA$5:$AA$19,MATCH($C33,Matches!$A$5:$A$19,0))),"")</f>
        <v/>
      </c>
      <c r="L33">
        <f>IFERROR(IF(INDEX(Matches!$AB$5:$AB$19,MATCH($C33,Matches!$A$5:$A$19,0))="","",INDEX(Matches!$AB$5:$AB$19,MATCH($C33,Matches!$A$5:$A$19,0))),"")</f>
        <v/>
      </c>
      <c r="M33" s="8">
        <f>IFERROR(IF(INDEX(Matches!$AC$5:$AC$19,MATCH($C33,Matches!$A$5:$A$19,0))="","",INDEX(Matches!$AC$5:$AC$19,MATCH($C33,Matches!$A$5:$A$19,0))),"")</f>
        <v/>
      </c>
      <c r="N33">
        <f>IFERROR(INDEX(Players!$F$2:$F$124,MATCH($F33,Players!$A$2:$A$124,0)),0)</f>
        <v/>
      </c>
      <c r="O33" s="11">
        <f>IFERROR(1/(1/INDEX(Players!$H$2:$H$124,MATCH($F33,Players!$A$2:$A$124,0))),"")</f>
        <v/>
      </c>
      <c r="P33" s="8">
        <f>IFERROR(1/(1/INDEX(Players!$I$2:$I$124,MATCH($F33,Players!$A$2:$A$124,0))),"")</f>
        <v/>
      </c>
      <c r="Q33">
        <f>IF($G33="",0,SUMIFS(Map_Stats!$F$2:$F$779,Map_Stats!$A$2:$A$779,$F33&amp;"|"&amp;$G33))</f>
        <v/>
      </c>
      <c r="R33" s="11">
        <f>IF($G33="","",IFERROR(1/(1/INDEX(Map_Stats!$K$2:$K$779,MATCH($F33&amp;"|"&amp;$G33,Map_Stats!$A$2:$A$779,0))),$O33))</f>
        <v/>
      </c>
      <c r="S33" s="8">
        <f>IF(OR($G33="",$P33=""),"",IFERROR(1/(1/INDEX(Map_Stats!$I$2:$I$779,MATCH($F33&amp;"|"&amp;$G33,Map_Stats!$A$2:$A$779,0))),$P33))</f>
        <v/>
      </c>
      <c r="T33" s="11">
        <f>IF(OR($G33="",R33=""),"",IF($O33="",R33,(Q33*R33+Config!$B$4*$O33)/(Q33+Config!$B$4)))</f>
        <v/>
      </c>
      <c r="U33" s="8">
        <f>IF(S33="","",(Q33*S33+Config!$B$4*$P33)/(Q33+Config!$B$4))</f>
        <v/>
      </c>
      <c r="V33" s="15">
        <f>IF(OR(T33="",$J33=""),"",T33*$J33*($J33/Config!$B$10)^Config!$B$9)</f>
        <v/>
      </c>
      <c r="W33" s="15">
        <f>IF(OR(V33="",U33=""),"",V33*U33)</f>
        <v/>
      </c>
      <c r="X33">
        <f>IF($H33="",0,SUMIFS(Map_Stats!$F$2:$F$779,Map_Stats!$A$2:$A$779,$F33&amp;"|"&amp;$H33))</f>
        <v/>
      </c>
      <c r="Y33" s="11">
        <f>IF($H33="","",IFERROR(1/(1/INDEX(Map_Stats!$K$2:$K$779,MATCH($F33&amp;"|"&amp;$H33,Map_Stats!$A$2:$A$779,0))),$O33))</f>
        <v/>
      </c>
      <c r="Z33" s="8">
        <f>IF(OR($H33="",$P33=""),"",IFERROR(1/(1/INDEX(Map_Stats!$I$2:$I$779,MATCH($F33&amp;"|"&amp;$H33,Map_Stats!$A$2:$A$779,0))),$P33))</f>
        <v/>
      </c>
      <c r="AA33" s="11">
        <f>IF(OR($H33="",Y33=""),"",IF($O33="",Y33,(X33*Y33+Config!$B$4*$O33)/(X33+Config!$B$4)))</f>
        <v/>
      </c>
      <c r="AB33" s="8">
        <f>IF(Z33="","",(X33*Z33+Config!$B$4*$P33)/(X33+Config!$B$4))</f>
        <v/>
      </c>
      <c r="AC33" s="15">
        <f>IF(OR(AA33="",$K33=""),"",AA33*$K33*($K33/Config!$B$10)^Config!$B$9)</f>
        <v/>
      </c>
      <c r="AD33" s="15">
        <f>IF(OR(AC33="",AB33=""),"",AC33*AB33)</f>
        <v/>
      </c>
      <c r="AE33">
        <f>IF($I33="",0,SUMIFS(Map_Stats!$F$2:$F$779,Map_Stats!$A$2:$A$779,$F33&amp;"|"&amp;$I33))</f>
        <v/>
      </c>
      <c r="AF33" s="11">
        <f>IF($I33="","",IFERROR(1/(1/INDEX(Map_Stats!$K$2:$K$779,MATCH($F33&amp;"|"&amp;$I33,Map_Stats!$A$2:$A$779,0))),$O33))</f>
        <v/>
      </c>
      <c r="AG33" s="8">
        <f>IF(OR($I33="",$P33=""),"",IFERROR(1/(1/INDEX(Map_Stats!$I$2:$I$779,MATCH($F33&amp;"|"&amp;$I33,Map_Stats!$A$2:$A$779,0))),$P33))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IF($C33=Board!$B$2,COUNTIFS($C$2:$C$124,Board!$B$2,$AL$2:$AL$124,"&gt;"&amp;$AL33)+COUNTIFS($C$1:$C32,Board!$B$2,$AL$1:$AL32,$AL33)+1,"")</f>
        <v/>
      </c>
      <c r="AS33">
        <f>IFERROR(IF($D33=INDEX(Matches!$AD$5:$AD$19,MATCH($C33,Matches!$A$5:$A$19,0)),"A",IF($D33=INDEX(Matches!$AE$5:$AE$19,MATCH($C33,Matches!$A$5:$A$19,0)),"B","")),"")</f>
        <v/>
      </c>
      <c r="AT33" s="8">
        <f>IF($AS33="","",IFERROR(IF($AS33="A",INDEX(Matches!$AI$5:$AI$19,MATCH($C33,Matches!$A$5:$A$19,0)),INDEX(Matches!$AJ$5:$AJ$19,MATCH($C33,Matches!$A$5:$A$19,0))),""))</f>
        <v/>
      </c>
      <c r="AU33" s="8">
        <f>IF($AS33="","",IFERROR(IF(INDEX(Matches!$AP$5:$AP$19,MATCH($C33,Matches!$A$5:$A$19,0))="","",IF($AS33="A",INDEX(Matches!$AP$5:$AP$19,MATCH($C33,Matches!$A$5:$A$19,0)),1-INDEX(Matches!$AP$5:$AP$19,MATCH($C33,Matches!$A$5:$A$19,0)))),""))</f>
        <v/>
      </c>
      <c r="AV33" s="11">
        <f>IF(OR($AU33="",$AT33=""),1,((Config!$B$14*$AU33+Config!$B$15*(1-$AU33))/(Config!$B$14*$AT33+Config!$B$15*(1-$AT33)))^Config!$B$13)</f>
        <v/>
      </c>
      <c r="AW33" s="8">
        <f>IF($AS33="","",IFERROR(IF(INDEX(Matches!$AV$5:$AV$19,MATCH($C33,Matches!$A$5:$A$19,0))="","",IF($AS33="A",INDEX(Matches!$AV$5:$AV$19,MATCH($C33,Matches!$A$5:$A$19,0)),1-INDEX(Matches!$AV$5:$AV$19,MATCH($C33,Matches!$A$5:$A$19,0)))),""))</f>
        <v/>
      </c>
      <c r="AX33" s="11">
        <f>IF(OR($AW33="",$AT33=""),1,((Config!$B$14*$AW33+Config!$B$15*(1-$AW33))/(Config!$B$14*$AT33+Config!$B$15*(1-$AT33)))^Config!$B$13)</f>
        <v/>
      </c>
      <c r="AY33" s="8">
        <f>IF($AS33="","",IFERROR(IF(INDEX(Matches!$BB$5:$BB$19,MATCH($C33,Matches!$A$5:$A$19,0))="","",IF($AS33="A",INDEX(Matches!$BB$5:$BB$19,MATCH($C33,Matches!$A$5:$A$19,0)),1-INDEX(Matches!$BB$5:$BB$19,MATCH($C33,Matches!$A$5:$A$19,0)))),""))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fhr6sqp0a6355ky|CS2 · BB vs NEMI</t>
        </is>
      </c>
      <c r="B34" t="inlineStr">
        <is>
          <t>CS2</t>
        </is>
      </c>
      <c r="C34" t="inlineStr">
        <is>
          <t>CS2 · BB vs NEMI</t>
        </is>
      </c>
      <c r="D34" t="inlineStr">
        <is>
          <t>NEMI</t>
        </is>
      </c>
      <c r="E34" t="inlineStr">
        <is>
          <t>KaiR0N</t>
        </is>
      </c>
      <c r="F34" t="inlineStr">
        <is>
          <t>fhr6sqp0a6355ky</t>
        </is>
      </c>
      <c r="G34">
        <f>IFERROR(IF(INDEX(Matches!$W$5:$W$19,MATCH($C34,Matches!$A$5:$A$19,0))="","",INDEX(Matches!$W$5:$W$19,MATCH($C34,Matches!$A$5:$A$19,0))),"")</f>
        <v/>
      </c>
      <c r="H34">
        <f>IFERROR(IF(INDEX(Matches!$X$5:$X$19,MATCH($C34,Matches!$A$5:$A$19,0))="","",INDEX(Matches!$X$5:$X$19,MATCH($C34,Matches!$A$5:$A$19,0))),"")</f>
        <v/>
      </c>
      <c r="I34">
        <f>IFERROR(IF(INDEX(Matches!$Y$5:$Y$19,MATCH($C34,Matches!$A$5:$A$19,0))="","",INDEX(Matches!$Y$5:$Y$19,MATCH($C34,Matches!$A$5:$A$19,0))),"")</f>
        <v/>
      </c>
      <c r="J34">
        <f>IFERROR(IF(INDEX(Matches!$Z$5:$Z$19,MATCH($C34,Matches!$A$5:$A$19,0))="","",INDEX(Matches!$Z$5:$Z$19,MATCH($C34,Matches!$A$5:$A$19,0))),"")</f>
        <v/>
      </c>
      <c r="K34">
        <f>IFERROR(IF(INDEX(Matches!$AA$5:$AA$19,MATCH($C34,Matches!$A$5:$A$19,0))="","",INDEX(Matches!$AA$5:$AA$19,MATCH($C34,Matches!$A$5:$A$19,0))),"")</f>
        <v/>
      </c>
      <c r="L34">
        <f>IFERROR(IF(INDEX(Matches!$AB$5:$AB$19,MATCH($C34,Matches!$A$5:$A$19,0))="","",INDEX(Matches!$AB$5:$AB$19,MATCH($C34,Matches!$A$5:$A$19,0))),"")</f>
        <v/>
      </c>
      <c r="M34" s="8">
        <f>IFERROR(IF(INDEX(Matches!$AC$5:$AC$19,MATCH($C34,Matches!$A$5:$A$19,0))="","",INDEX(Matches!$AC$5:$AC$19,MATCH($C34,Matches!$A$5:$A$19,0))),"")</f>
        <v/>
      </c>
      <c r="N34">
        <f>IFERROR(INDEX(Players!$F$2:$F$124,MATCH($F34,Players!$A$2:$A$124,0)),0)</f>
        <v/>
      </c>
      <c r="O34" s="11">
        <f>IFERROR(1/(1/INDEX(Players!$H$2:$H$124,MATCH($F34,Players!$A$2:$A$124,0))),"")</f>
        <v/>
      </c>
      <c r="P34" s="8">
        <f>IFERROR(1/(1/INDEX(Players!$I$2:$I$124,MATCH($F34,Players!$A$2:$A$124,0))),"")</f>
        <v/>
      </c>
      <c r="Q34">
        <f>IF($G34="",0,SUMIFS(Map_Stats!$F$2:$F$779,Map_Stats!$A$2:$A$779,$F34&amp;"|"&amp;$G34))</f>
        <v/>
      </c>
      <c r="R34" s="11">
        <f>IF($G34="","",IFERROR(1/(1/INDEX(Map_Stats!$K$2:$K$779,MATCH($F34&amp;"|"&amp;$G34,Map_Stats!$A$2:$A$779,0))),$O34))</f>
        <v/>
      </c>
      <c r="S34" s="8">
        <f>IF(OR($G34="",$P34=""),"",IFERROR(1/(1/INDEX(Map_Stats!$I$2:$I$779,MATCH($F34&amp;"|"&amp;$G34,Map_Stats!$A$2:$A$779,0))),$P34))</f>
        <v/>
      </c>
      <c r="T34" s="11">
        <f>IF(OR($G34="",R34=""),"",IF($O34="",R34,(Q34*R34+Config!$B$4*$O34)/(Q34+Config!$B$4)))</f>
        <v/>
      </c>
      <c r="U34" s="8">
        <f>IF(S34="","",(Q34*S34+Config!$B$4*$P34)/(Q34+Config!$B$4))</f>
        <v/>
      </c>
      <c r="V34" s="15">
        <f>IF(OR(T34="",$J34=""),"",T34*$J34*($J34/Config!$B$10)^Config!$B$9)</f>
        <v/>
      </c>
      <c r="W34" s="15">
        <f>IF(OR(V34="",U34=""),"",V34*U34)</f>
        <v/>
      </c>
      <c r="X34">
        <f>IF($H34="",0,SUMIFS(Map_Stats!$F$2:$F$779,Map_Stats!$A$2:$A$779,$F34&amp;"|"&amp;$H34))</f>
        <v/>
      </c>
      <c r="Y34" s="11">
        <f>IF($H34="","",IFERROR(1/(1/INDEX(Map_Stats!$K$2:$K$779,MATCH($F34&amp;"|"&amp;$H34,Map_Stats!$A$2:$A$779,0))),$O34))</f>
        <v/>
      </c>
      <c r="Z34" s="8">
        <f>IF(OR($H34="",$P34=""),"",IFERROR(1/(1/INDEX(Map_Stats!$I$2:$I$779,MATCH($F34&amp;"|"&amp;$H34,Map_Stats!$A$2:$A$779,0))),$P34))</f>
        <v/>
      </c>
      <c r="AA34" s="11">
        <f>IF(OR($H34="",Y34=""),"",IF($O34="",Y34,(X34*Y34+Config!$B$4*$O34)/(X34+Config!$B$4)))</f>
        <v/>
      </c>
      <c r="AB34" s="8">
        <f>IF(Z34="","",(X34*Z34+Config!$B$4*$P34)/(X34+Config!$B$4))</f>
        <v/>
      </c>
      <c r="AC34" s="15">
        <f>IF(OR(AA34="",$K34=""),"",AA34*$K34*($K34/Config!$B$10)^Config!$B$9)</f>
        <v/>
      </c>
      <c r="AD34" s="15">
        <f>IF(OR(AC34="",AB34=""),"",AC34*AB34)</f>
        <v/>
      </c>
      <c r="AE34">
        <f>IF($I34="",0,SUMIFS(Map_Stats!$F$2:$F$779,Map_Stats!$A$2:$A$779,$F34&amp;"|"&amp;$I34))</f>
        <v/>
      </c>
      <c r="AF34" s="11">
        <f>IF($I34="","",IFERROR(1/(1/INDEX(Map_Stats!$K$2:$K$779,MATCH($F34&amp;"|"&amp;$I34,Map_Stats!$A$2:$A$779,0))),$O34))</f>
        <v/>
      </c>
      <c r="AG34" s="8">
        <f>IF(OR($I34="",$P34=""),"",IFERROR(1/(1/INDEX(Map_Stats!$I$2:$I$779,MATCH($F34&amp;"|"&amp;$I34,Map_Stats!$A$2:$A$779,0))),$P34))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IF($C34=Board!$B$2,COUNTIFS($C$2:$C$124,Board!$B$2,$AL$2:$AL$124,"&gt;"&amp;$AL34)+COUNTIFS($C$1:$C33,Board!$B$2,$AL$1:$AL33,$AL34)+1,"")</f>
        <v/>
      </c>
      <c r="AS34">
        <f>IFERROR(IF($D34=INDEX(Matches!$AD$5:$AD$19,MATCH($C34,Matches!$A$5:$A$19,0)),"A",IF($D34=INDEX(Matches!$AE$5:$AE$19,MATCH($C34,Matches!$A$5:$A$19,0)),"B","")),"")</f>
        <v/>
      </c>
      <c r="AT34" s="8">
        <f>IF($AS34="","",IFERROR(IF($AS34="A",INDEX(Matches!$AI$5:$AI$19,MATCH($C34,Matches!$A$5:$A$19,0)),INDEX(Matches!$AJ$5:$AJ$19,MATCH($C34,Matches!$A$5:$A$19,0))),""))</f>
        <v/>
      </c>
      <c r="AU34" s="8">
        <f>IF($AS34="","",IFERROR(IF(INDEX(Matches!$AP$5:$AP$19,MATCH($C34,Matches!$A$5:$A$19,0))="","",IF($AS34="A",INDEX(Matches!$AP$5:$AP$19,MATCH($C34,Matches!$A$5:$A$19,0)),1-INDEX(Matches!$AP$5:$AP$19,MATCH($C34,Matches!$A$5:$A$19,0)))),""))</f>
        <v/>
      </c>
      <c r="AV34" s="11">
        <f>IF(OR($AU34="",$AT34=""),1,((Config!$B$14*$AU34+Config!$B$15*(1-$AU34))/(Config!$B$14*$AT34+Config!$B$15*(1-$AT34)))^Config!$B$13)</f>
        <v/>
      </c>
      <c r="AW34" s="8">
        <f>IF($AS34="","",IFERROR(IF(INDEX(Matches!$AV$5:$AV$19,MATCH($C34,Matches!$A$5:$A$19,0))="","",IF($AS34="A",INDEX(Matches!$AV$5:$AV$19,MATCH($C34,Matches!$A$5:$A$19,0)),1-INDEX(Matches!$AV$5:$AV$19,MATCH($C34,Matches!$A$5:$A$19,0)))),""))</f>
        <v/>
      </c>
      <c r="AX34" s="11">
        <f>IF(OR($AW34="",$AT34=""),1,((Config!$B$14*$AW34+Config!$B$15*(1-$AW34))/(Config!$B$14*$AT34+Config!$B$15*(1-$AT34)))^Config!$B$13)</f>
        <v/>
      </c>
      <c r="AY34" s="8">
        <f>IF($AS34="","",IFERROR(IF(INDEX(Matches!$BB$5:$BB$19,MATCH($C34,Matches!$A$5:$A$19,0))="","",IF($AS34="A",INDEX(Matches!$BB$5:$BB$19,MATCH($C34,Matches!$A$5:$A$19,0)),1-INDEX(Matches!$BB$5:$BB$19,MATCH($C34,Matches!$A$5:$A$19,0)))),""))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sj7nkpqagh6m88h|CS2 · BB vs NEMI</t>
        </is>
      </c>
      <c r="B35" t="inlineStr">
        <is>
          <t>CS2</t>
        </is>
      </c>
      <c r="C35" t="inlineStr">
        <is>
          <t>CS2 · BB vs NEMI</t>
        </is>
      </c>
      <c r="D35" t="inlineStr">
        <is>
          <t>NEMI</t>
        </is>
      </c>
      <c r="E35" t="inlineStr">
        <is>
          <t>khaN</t>
        </is>
      </c>
      <c r="F35" t="inlineStr">
        <is>
          <t>sj7nkpqagh6m88h</t>
        </is>
      </c>
      <c r="G35">
        <f>IFERROR(IF(INDEX(Matches!$W$5:$W$19,MATCH($C35,Matches!$A$5:$A$19,0))="","",INDEX(Matches!$W$5:$W$19,MATCH($C35,Matches!$A$5:$A$19,0))),"")</f>
        <v/>
      </c>
      <c r="H35">
        <f>IFERROR(IF(INDEX(Matches!$X$5:$X$19,MATCH($C35,Matches!$A$5:$A$19,0))="","",INDEX(Matches!$X$5:$X$19,MATCH($C35,Matches!$A$5:$A$19,0))),"")</f>
        <v/>
      </c>
      <c r="I35">
        <f>IFERROR(IF(INDEX(Matches!$Y$5:$Y$19,MATCH($C35,Matches!$A$5:$A$19,0))="","",INDEX(Matches!$Y$5:$Y$19,MATCH($C35,Matches!$A$5:$A$19,0))),"")</f>
        <v/>
      </c>
      <c r="J35">
        <f>IFERROR(IF(INDEX(Matches!$Z$5:$Z$19,MATCH($C35,Matches!$A$5:$A$19,0))="","",INDEX(Matches!$Z$5:$Z$19,MATCH($C35,Matches!$A$5:$A$19,0))),"")</f>
        <v/>
      </c>
      <c r="K35">
        <f>IFERROR(IF(INDEX(Matches!$AA$5:$AA$19,MATCH($C35,Matches!$A$5:$A$19,0))="","",INDEX(Matches!$AA$5:$AA$19,MATCH($C35,Matches!$A$5:$A$19,0))),"")</f>
        <v/>
      </c>
      <c r="L35">
        <f>IFERROR(IF(INDEX(Matches!$AB$5:$AB$19,MATCH($C35,Matches!$A$5:$A$19,0))="","",INDEX(Matches!$AB$5:$AB$19,MATCH($C35,Matches!$A$5:$A$19,0))),"")</f>
        <v/>
      </c>
      <c r="M35" s="8">
        <f>IFERROR(IF(INDEX(Matches!$AC$5:$AC$19,MATCH($C35,Matches!$A$5:$A$19,0))="","",INDEX(Matches!$AC$5:$AC$19,MATCH($C35,Matches!$A$5:$A$19,0))),"")</f>
        <v/>
      </c>
      <c r="N35">
        <f>IFERROR(INDEX(Players!$F$2:$F$124,MATCH($F35,Players!$A$2:$A$124,0)),0)</f>
        <v/>
      </c>
      <c r="O35" s="11">
        <f>IFERROR(1/(1/INDEX(Players!$H$2:$H$124,MATCH($F35,Players!$A$2:$A$124,0))),"")</f>
        <v/>
      </c>
      <c r="P35" s="8">
        <f>IFERROR(1/(1/INDEX(Players!$I$2:$I$124,MATCH($F35,Players!$A$2:$A$124,0))),"")</f>
        <v/>
      </c>
      <c r="Q35">
        <f>IF($G35="",0,SUMIFS(Map_Stats!$F$2:$F$779,Map_Stats!$A$2:$A$779,$F35&amp;"|"&amp;$G35))</f>
        <v/>
      </c>
      <c r="R35" s="11">
        <f>IF($G35="","",IFERROR(1/(1/INDEX(Map_Stats!$K$2:$K$779,MATCH($F35&amp;"|"&amp;$G35,Map_Stats!$A$2:$A$779,0))),$O35))</f>
        <v/>
      </c>
      <c r="S35" s="8">
        <f>IF(OR($G35="",$P35=""),"",IFERROR(1/(1/INDEX(Map_Stats!$I$2:$I$779,MATCH($F35&amp;"|"&amp;$G35,Map_Stats!$A$2:$A$779,0))),$P35))</f>
        <v/>
      </c>
      <c r="T35" s="11">
        <f>IF(OR($G35="",R35=""),"",IF($O35="",R35,(Q35*R35+Config!$B$4*$O35)/(Q35+Config!$B$4)))</f>
        <v/>
      </c>
      <c r="U35" s="8">
        <f>IF(S35="","",(Q35*S35+Config!$B$4*$P35)/(Q35+Config!$B$4))</f>
        <v/>
      </c>
      <c r="V35" s="15">
        <f>IF(OR(T35="",$J35=""),"",T35*$J35*($J35/Config!$B$10)^Config!$B$9)</f>
        <v/>
      </c>
      <c r="W35" s="15">
        <f>IF(OR(V35="",U35=""),"",V35*U35)</f>
        <v/>
      </c>
      <c r="X35">
        <f>IF($H35="",0,SUMIFS(Map_Stats!$F$2:$F$779,Map_Stats!$A$2:$A$779,$F35&amp;"|"&amp;$H35))</f>
        <v/>
      </c>
      <c r="Y35" s="11">
        <f>IF($H35="","",IFERROR(1/(1/INDEX(Map_Stats!$K$2:$K$779,MATCH($F35&amp;"|"&amp;$H35,Map_Stats!$A$2:$A$779,0))),$O35))</f>
        <v/>
      </c>
      <c r="Z35" s="8">
        <f>IF(OR($H35="",$P35=""),"",IFERROR(1/(1/INDEX(Map_Stats!$I$2:$I$779,MATCH($F35&amp;"|"&amp;$H35,Map_Stats!$A$2:$A$779,0))),$P35))</f>
        <v/>
      </c>
      <c r="AA35" s="11">
        <f>IF(OR($H35="",Y35=""),"",IF($O35="",Y35,(X35*Y35+Config!$B$4*$O35)/(X35+Config!$B$4)))</f>
        <v/>
      </c>
      <c r="AB35" s="8">
        <f>IF(Z35="","",(X35*Z35+Config!$B$4*$P35)/(X35+Config!$B$4))</f>
        <v/>
      </c>
      <c r="AC35" s="15">
        <f>IF(OR(AA35="",$K35=""),"",AA35*$K35*($K35/Config!$B$10)^Config!$B$9)</f>
        <v/>
      </c>
      <c r="AD35" s="15">
        <f>IF(OR(AC35="",AB35=""),"",AC35*AB35)</f>
        <v/>
      </c>
      <c r="AE35">
        <f>IF($I35="",0,SUMIFS(Map_Stats!$F$2:$F$779,Map_Stats!$A$2:$A$779,$F35&amp;"|"&amp;$I35))</f>
        <v/>
      </c>
      <c r="AF35" s="11">
        <f>IF($I35="","",IFERROR(1/(1/INDEX(Map_Stats!$K$2:$K$779,MATCH($F35&amp;"|"&amp;$I35,Map_Stats!$A$2:$A$779,0))),$O35))</f>
        <v/>
      </c>
      <c r="AG35" s="8">
        <f>IF(OR($I35="",$P35=""),"",IFERROR(1/(1/INDEX(Map_Stats!$I$2:$I$779,MATCH($F35&amp;"|"&amp;$I35,Map_Stats!$A$2:$A$779,0))),$P35))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IF($C35=Board!$B$2,COUNTIFS($C$2:$C$124,Board!$B$2,$AL$2:$AL$124,"&gt;"&amp;$AL35)+COUNTIFS($C$1:$C34,Board!$B$2,$AL$1:$AL34,$AL35)+1,"")</f>
        <v/>
      </c>
      <c r="AS35">
        <f>IFERROR(IF($D35=INDEX(Matches!$AD$5:$AD$19,MATCH($C35,Matches!$A$5:$A$19,0)),"A",IF($D35=INDEX(Matches!$AE$5:$AE$19,MATCH($C35,Matches!$A$5:$A$19,0)),"B","")),"")</f>
        <v/>
      </c>
      <c r="AT35" s="8">
        <f>IF($AS35="","",IFERROR(IF($AS35="A",INDEX(Matches!$AI$5:$AI$19,MATCH($C35,Matches!$A$5:$A$19,0)),INDEX(Matches!$AJ$5:$AJ$19,MATCH($C35,Matches!$A$5:$A$19,0))),""))</f>
        <v/>
      </c>
      <c r="AU35" s="8">
        <f>IF($AS35="","",IFERROR(IF(INDEX(Matches!$AP$5:$AP$19,MATCH($C35,Matches!$A$5:$A$19,0))="","",IF($AS35="A",INDEX(Matches!$AP$5:$AP$19,MATCH($C35,Matches!$A$5:$A$19,0)),1-INDEX(Matches!$AP$5:$AP$19,MATCH($C35,Matches!$A$5:$A$19,0)))),""))</f>
        <v/>
      </c>
      <c r="AV35" s="11">
        <f>IF(OR($AU35="",$AT35=""),1,((Config!$B$14*$AU35+Config!$B$15*(1-$AU35))/(Config!$B$14*$AT35+Config!$B$15*(1-$AT35)))^Config!$B$13)</f>
        <v/>
      </c>
      <c r="AW35" s="8">
        <f>IF($AS35="","",IFERROR(IF(INDEX(Matches!$AV$5:$AV$19,MATCH($C35,Matches!$A$5:$A$19,0))="","",IF($AS35="A",INDEX(Matches!$AV$5:$AV$19,MATCH($C35,Matches!$A$5:$A$19,0)),1-INDEX(Matches!$AV$5:$AV$19,MATCH($C35,Matches!$A$5:$A$19,0)))),""))</f>
        <v/>
      </c>
      <c r="AX35" s="11">
        <f>IF(OR($AW35="",$AT35=""),1,((Config!$B$14*$AW35+Config!$B$15*(1-$AW35))/(Config!$B$14*$AT35+Config!$B$15*(1-$AT35)))^Config!$B$13)</f>
        <v/>
      </c>
      <c r="AY35" s="8">
        <f>IF($AS35="","",IFERROR(IF(INDEX(Matches!$BB$5:$BB$19,MATCH($C35,Matches!$A$5:$A$19,0))="","",IF($AS35="A",INDEX(Matches!$BB$5:$BB$19,MATCH($C35,Matches!$A$5:$A$19,0)),1-INDEX(Matches!$BB$5:$BB$19,MATCH($C35,Matches!$A$5:$A$19,0)))),""))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ewe4j1nrqwzs0q7|CS2 · BB vs NEMI</t>
        </is>
      </c>
      <c r="B36" t="inlineStr">
        <is>
          <t>CS2</t>
        </is>
      </c>
      <c r="C36" t="inlineStr">
        <is>
          <t>CS2 · BB vs NEMI</t>
        </is>
      </c>
      <c r="D36" t="inlineStr">
        <is>
          <t>NEMI</t>
        </is>
      </c>
      <c r="E36" t="inlineStr">
        <is>
          <t>robo</t>
        </is>
      </c>
      <c r="F36" t="inlineStr">
        <is>
          <t>ewe4j1nrqwzs0q7</t>
        </is>
      </c>
      <c r="G36">
        <f>IFERROR(IF(INDEX(Matches!$W$5:$W$19,MATCH($C36,Matches!$A$5:$A$19,0))="","",INDEX(Matches!$W$5:$W$19,MATCH($C36,Matches!$A$5:$A$19,0))),"")</f>
        <v/>
      </c>
      <c r="H36">
        <f>IFERROR(IF(INDEX(Matches!$X$5:$X$19,MATCH($C36,Matches!$A$5:$A$19,0))="","",INDEX(Matches!$X$5:$X$19,MATCH($C36,Matches!$A$5:$A$19,0))),"")</f>
        <v/>
      </c>
      <c r="I36">
        <f>IFERROR(IF(INDEX(Matches!$Y$5:$Y$19,MATCH($C36,Matches!$A$5:$A$19,0))="","",INDEX(Matches!$Y$5:$Y$19,MATCH($C36,Matches!$A$5:$A$19,0))),"")</f>
        <v/>
      </c>
      <c r="J36">
        <f>IFERROR(IF(INDEX(Matches!$Z$5:$Z$19,MATCH($C36,Matches!$A$5:$A$19,0))="","",INDEX(Matches!$Z$5:$Z$19,MATCH($C36,Matches!$A$5:$A$19,0))),"")</f>
        <v/>
      </c>
      <c r="K36">
        <f>IFERROR(IF(INDEX(Matches!$AA$5:$AA$19,MATCH($C36,Matches!$A$5:$A$19,0))="","",INDEX(Matches!$AA$5:$AA$19,MATCH($C36,Matches!$A$5:$A$19,0))),"")</f>
        <v/>
      </c>
      <c r="L36">
        <f>IFERROR(IF(INDEX(Matches!$AB$5:$AB$19,MATCH($C36,Matches!$A$5:$A$19,0))="","",INDEX(Matches!$AB$5:$AB$19,MATCH($C36,Matches!$A$5:$A$19,0))),"")</f>
        <v/>
      </c>
      <c r="M36" s="8">
        <f>IFERROR(IF(INDEX(Matches!$AC$5:$AC$19,MATCH($C36,Matches!$A$5:$A$19,0))="","",INDEX(Matches!$AC$5:$AC$19,MATCH($C36,Matches!$A$5:$A$19,0))),"")</f>
        <v/>
      </c>
      <c r="N36">
        <f>IFERROR(INDEX(Players!$F$2:$F$124,MATCH($F36,Players!$A$2:$A$124,0)),0)</f>
        <v/>
      </c>
      <c r="O36" s="11">
        <f>IFERROR(1/(1/INDEX(Players!$H$2:$H$124,MATCH($F36,Players!$A$2:$A$124,0))),"")</f>
        <v/>
      </c>
      <c r="P36" s="8">
        <f>IFERROR(1/(1/INDEX(Players!$I$2:$I$124,MATCH($F36,Players!$A$2:$A$124,0))),"")</f>
        <v/>
      </c>
      <c r="Q36">
        <f>IF($G36="",0,SUMIFS(Map_Stats!$F$2:$F$779,Map_Stats!$A$2:$A$779,$F36&amp;"|"&amp;$G36))</f>
        <v/>
      </c>
      <c r="R36" s="11">
        <f>IF($G36="","",IFERROR(1/(1/INDEX(Map_Stats!$K$2:$K$779,MATCH($F36&amp;"|"&amp;$G36,Map_Stats!$A$2:$A$779,0))),$O36))</f>
        <v/>
      </c>
      <c r="S36" s="8">
        <f>IF(OR($G36="",$P36=""),"",IFERROR(1/(1/INDEX(Map_Stats!$I$2:$I$779,MATCH($F36&amp;"|"&amp;$G36,Map_Stats!$A$2:$A$779,0))),$P36))</f>
        <v/>
      </c>
      <c r="T36" s="11">
        <f>IF(OR($G36="",R36=""),"",IF($O36="",R36,(Q36*R36+Config!$B$4*$O36)/(Q36+Config!$B$4)))</f>
        <v/>
      </c>
      <c r="U36" s="8">
        <f>IF(S36="","",(Q36*S36+Config!$B$4*$P36)/(Q36+Config!$B$4))</f>
        <v/>
      </c>
      <c r="V36" s="15">
        <f>IF(OR(T36="",$J36=""),"",T36*$J36*($J36/Config!$B$10)^Config!$B$9)</f>
        <v/>
      </c>
      <c r="W36" s="15">
        <f>IF(OR(V36="",U36=""),"",V36*U36)</f>
        <v/>
      </c>
      <c r="X36">
        <f>IF($H36="",0,SUMIFS(Map_Stats!$F$2:$F$779,Map_Stats!$A$2:$A$779,$F36&amp;"|"&amp;$H36))</f>
        <v/>
      </c>
      <c r="Y36" s="11">
        <f>IF($H36="","",IFERROR(1/(1/INDEX(Map_Stats!$K$2:$K$779,MATCH($F36&amp;"|"&amp;$H36,Map_Stats!$A$2:$A$779,0))),$O36))</f>
        <v/>
      </c>
      <c r="Z36" s="8">
        <f>IF(OR($H36="",$P36=""),"",IFERROR(1/(1/INDEX(Map_Stats!$I$2:$I$779,MATCH($F36&amp;"|"&amp;$H36,Map_Stats!$A$2:$A$779,0))),$P36))</f>
        <v/>
      </c>
      <c r="AA36" s="11">
        <f>IF(OR($H36="",Y36=""),"",IF($O36="",Y36,(X36*Y36+Config!$B$4*$O36)/(X36+Config!$B$4)))</f>
        <v/>
      </c>
      <c r="AB36" s="8">
        <f>IF(Z36="","",(X36*Z36+Config!$B$4*$P36)/(X36+Config!$B$4))</f>
        <v/>
      </c>
      <c r="AC36" s="15">
        <f>IF(OR(AA36="",$K36=""),"",AA36*$K36*($K36/Config!$B$10)^Config!$B$9)</f>
        <v/>
      </c>
      <c r="AD36" s="15">
        <f>IF(OR(AC36="",AB36=""),"",AC36*AB36)</f>
        <v/>
      </c>
      <c r="AE36">
        <f>IF($I36="",0,SUMIFS(Map_Stats!$F$2:$F$779,Map_Stats!$A$2:$A$779,$F36&amp;"|"&amp;$I36))</f>
        <v/>
      </c>
      <c r="AF36" s="11">
        <f>IF($I36="","",IFERROR(1/(1/INDEX(Map_Stats!$K$2:$K$779,MATCH($F36&amp;"|"&amp;$I36,Map_Stats!$A$2:$A$779,0))),$O36))</f>
        <v/>
      </c>
      <c r="AG36" s="8">
        <f>IF(OR($I36="",$P36=""),"",IFERROR(1/(1/INDEX(Map_Stats!$I$2:$I$779,MATCH($F36&amp;"|"&amp;$I36,Map_Stats!$A$2:$A$779,0))),$P36))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IF($C36=Board!$B$2,COUNTIFS($C$2:$C$124,Board!$B$2,$AL$2:$AL$124,"&gt;"&amp;$AL36)+COUNTIFS($C$1:$C35,Board!$B$2,$AL$1:$AL35,$AL36)+1,"")</f>
        <v/>
      </c>
      <c r="AS36">
        <f>IFERROR(IF($D36=INDEX(Matches!$AD$5:$AD$19,MATCH($C36,Matches!$A$5:$A$19,0)),"A",IF($D36=INDEX(Matches!$AE$5:$AE$19,MATCH($C36,Matches!$A$5:$A$19,0)),"B","")),"")</f>
        <v/>
      </c>
      <c r="AT36" s="8">
        <f>IF($AS36="","",IFERROR(IF($AS36="A",INDEX(Matches!$AI$5:$AI$19,MATCH($C36,Matches!$A$5:$A$19,0)),INDEX(Matches!$AJ$5:$AJ$19,MATCH($C36,Matches!$A$5:$A$19,0))),""))</f>
        <v/>
      </c>
      <c r="AU36" s="8">
        <f>IF($AS36="","",IFERROR(IF(INDEX(Matches!$AP$5:$AP$19,MATCH($C36,Matches!$A$5:$A$19,0))="","",IF($AS36="A",INDEX(Matches!$AP$5:$AP$19,MATCH($C36,Matches!$A$5:$A$19,0)),1-INDEX(Matches!$AP$5:$AP$19,MATCH($C36,Matches!$A$5:$A$19,0)))),""))</f>
        <v/>
      </c>
      <c r="AV36" s="11">
        <f>IF(OR($AU36="",$AT36=""),1,((Config!$B$14*$AU36+Config!$B$15*(1-$AU36))/(Config!$B$14*$AT36+Config!$B$15*(1-$AT36)))^Config!$B$13)</f>
        <v/>
      </c>
      <c r="AW36" s="8">
        <f>IF($AS36="","",IFERROR(IF(INDEX(Matches!$AV$5:$AV$19,MATCH($C36,Matches!$A$5:$A$19,0))="","",IF($AS36="A",INDEX(Matches!$AV$5:$AV$19,MATCH($C36,Matches!$A$5:$A$19,0)),1-INDEX(Matches!$AV$5:$AV$19,MATCH($C36,Matches!$A$5:$A$19,0)))),""))</f>
        <v/>
      </c>
      <c r="AX36" s="11">
        <f>IF(OR($AW36="",$AT36=""),1,((Config!$B$14*$AW36+Config!$B$15*(1-$AW36))/(Config!$B$14*$AT36+Config!$B$15*(1-$AT36)))^Config!$B$13)</f>
        <v/>
      </c>
      <c r="AY36" s="8">
        <f>IF($AS36="","",IFERROR(IF(INDEX(Matches!$BB$5:$BB$19,MATCH($C36,Matches!$A$5:$A$19,0))="","",IF($AS36="A",INDEX(Matches!$BB$5:$BB$19,MATCH($C36,Matches!$A$5:$A$19,0)),1-INDEX(Matches!$BB$5:$BB$19,MATCH($C36,Matches!$A$5:$A$19,0)))),""))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f00llyg1ocypenv|CS2 · BB vs NEMI</t>
        </is>
      </c>
      <c r="B37" t="inlineStr">
        <is>
          <t>CS2</t>
        </is>
      </c>
      <c r="C37" t="inlineStr">
        <is>
          <t>CS2 · BB vs NEMI</t>
        </is>
      </c>
      <c r="D37" t="inlineStr">
        <is>
          <t>NEMI</t>
        </is>
      </c>
      <c r="E37" t="inlineStr">
        <is>
          <t>syph0</t>
        </is>
      </c>
      <c r="F37" t="inlineStr">
        <is>
          <t>f00llyg1ocypenv</t>
        </is>
      </c>
      <c r="G37">
        <f>IFERROR(IF(INDEX(Matches!$W$5:$W$19,MATCH($C37,Matches!$A$5:$A$19,0))="","",INDEX(Matches!$W$5:$W$19,MATCH($C37,Matches!$A$5:$A$19,0))),"")</f>
        <v/>
      </c>
      <c r="H37">
        <f>IFERROR(IF(INDEX(Matches!$X$5:$X$19,MATCH($C37,Matches!$A$5:$A$19,0))="","",INDEX(Matches!$X$5:$X$19,MATCH($C37,Matches!$A$5:$A$19,0))),"")</f>
        <v/>
      </c>
      <c r="I37">
        <f>IFERROR(IF(INDEX(Matches!$Y$5:$Y$19,MATCH($C37,Matches!$A$5:$A$19,0))="","",INDEX(Matches!$Y$5:$Y$19,MATCH($C37,Matches!$A$5:$A$19,0))),"")</f>
        <v/>
      </c>
      <c r="J37">
        <f>IFERROR(IF(INDEX(Matches!$Z$5:$Z$19,MATCH($C37,Matches!$A$5:$A$19,0))="","",INDEX(Matches!$Z$5:$Z$19,MATCH($C37,Matches!$A$5:$A$19,0))),"")</f>
        <v/>
      </c>
      <c r="K37">
        <f>IFERROR(IF(INDEX(Matches!$AA$5:$AA$19,MATCH($C37,Matches!$A$5:$A$19,0))="","",INDEX(Matches!$AA$5:$AA$19,MATCH($C37,Matches!$A$5:$A$19,0))),"")</f>
        <v/>
      </c>
      <c r="L37">
        <f>IFERROR(IF(INDEX(Matches!$AB$5:$AB$19,MATCH($C37,Matches!$A$5:$A$19,0))="","",INDEX(Matches!$AB$5:$AB$19,MATCH($C37,Matches!$A$5:$A$19,0))),"")</f>
        <v/>
      </c>
      <c r="M37" s="8">
        <f>IFERROR(IF(INDEX(Matches!$AC$5:$AC$19,MATCH($C37,Matches!$A$5:$A$19,0))="","",INDEX(Matches!$AC$5:$AC$19,MATCH($C37,Matches!$A$5:$A$19,0))),"")</f>
        <v/>
      </c>
      <c r="N37">
        <f>IFERROR(INDEX(Players!$F$2:$F$124,MATCH($F37,Players!$A$2:$A$124,0)),0)</f>
        <v/>
      </c>
      <c r="O37" s="11">
        <f>IFERROR(1/(1/INDEX(Players!$H$2:$H$124,MATCH($F37,Players!$A$2:$A$124,0))),"")</f>
        <v/>
      </c>
      <c r="P37" s="8">
        <f>IFERROR(1/(1/INDEX(Players!$I$2:$I$124,MATCH($F37,Players!$A$2:$A$124,0))),"")</f>
        <v/>
      </c>
      <c r="Q37">
        <f>IF($G37="",0,SUMIFS(Map_Stats!$F$2:$F$779,Map_Stats!$A$2:$A$779,$F37&amp;"|"&amp;$G37))</f>
        <v/>
      </c>
      <c r="R37" s="11">
        <f>IF($G37="","",IFERROR(1/(1/INDEX(Map_Stats!$K$2:$K$779,MATCH($F37&amp;"|"&amp;$G37,Map_Stats!$A$2:$A$779,0))),$O37))</f>
        <v/>
      </c>
      <c r="S37" s="8">
        <f>IF(OR($G37="",$P37=""),"",IFERROR(1/(1/INDEX(Map_Stats!$I$2:$I$779,MATCH($F37&amp;"|"&amp;$G37,Map_Stats!$A$2:$A$779,0))),$P37))</f>
        <v/>
      </c>
      <c r="T37" s="11">
        <f>IF(OR($G37="",R37=""),"",IF($O37="",R37,(Q37*R37+Config!$B$4*$O37)/(Q37+Config!$B$4)))</f>
        <v/>
      </c>
      <c r="U37" s="8">
        <f>IF(S37="","",(Q37*S37+Config!$B$4*$P37)/(Q37+Config!$B$4))</f>
        <v/>
      </c>
      <c r="V37" s="15">
        <f>IF(OR(T37="",$J37=""),"",T37*$J37*($J37/Config!$B$10)^Config!$B$9)</f>
        <v/>
      </c>
      <c r="W37" s="15">
        <f>IF(OR(V37="",U37=""),"",V37*U37)</f>
        <v/>
      </c>
      <c r="X37">
        <f>IF($H37="",0,SUMIFS(Map_Stats!$F$2:$F$779,Map_Stats!$A$2:$A$779,$F37&amp;"|"&amp;$H37))</f>
        <v/>
      </c>
      <c r="Y37" s="11">
        <f>IF($H37="","",IFERROR(1/(1/INDEX(Map_Stats!$K$2:$K$779,MATCH($F37&amp;"|"&amp;$H37,Map_Stats!$A$2:$A$779,0))),$O37))</f>
        <v/>
      </c>
      <c r="Z37" s="8">
        <f>IF(OR($H37="",$P37=""),"",IFERROR(1/(1/INDEX(Map_Stats!$I$2:$I$779,MATCH($F37&amp;"|"&amp;$H37,Map_Stats!$A$2:$A$779,0))),$P37))</f>
        <v/>
      </c>
      <c r="AA37" s="11">
        <f>IF(OR($H37="",Y37=""),"",IF($O37="",Y37,(X37*Y37+Config!$B$4*$O37)/(X37+Config!$B$4)))</f>
        <v/>
      </c>
      <c r="AB37" s="8">
        <f>IF(Z37="","",(X37*Z37+Config!$B$4*$P37)/(X37+Config!$B$4))</f>
        <v/>
      </c>
      <c r="AC37" s="15">
        <f>IF(OR(AA37="",$K37=""),"",AA37*$K37*($K37/Config!$B$10)^Config!$B$9)</f>
        <v/>
      </c>
      <c r="AD37" s="15">
        <f>IF(OR(AC37="",AB37=""),"",AC37*AB37)</f>
        <v/>
      </c>
      <c r="AE37">
        <f>IF($I37="",0,SUMIFS(Map_Stats!$F$2:$F$779,Map_Stats!$A$2:$A$779,$F37&amp;"|"&amp;$I37))</f>
        <v/>
      </c>
      <c r="AF37" s="11">
        <f>IF($I37="","",IFERROR(1/(1/INDEX(Map_Stats!$K$2:$K$779,MATCH($F37&amp;"|"&amp;$I37,Map_Stats!$A$2:$A$779,0))),$O37))</f>
        <v/>
      </c>
      <c r="AG37" s="8">
        <f>IF(OR($I37="",$P37=""),"",IFERROR(1/(1/INDEX(Map_Stats!$I$2:$I$779,MATCH($F37&amp;"|"&amp;$I37,Map_Stats!$A$2:$A$779,0))),$P37))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IF($C37=Board!$B$2,COUNTIFS($C$2:$C$124,Board!$B$2,$AL$2:$AL$124,"&gt;"&amp;$AL37)+COUNTIFS($C$1:$C36,Board!$B$2,$AL$1:$AL36,$AL37)+1,"")</f>
        <v/>
      </c>
      <c r="AS37">
        <f>IFERROR(IF($D37=INDEX(Matches!$AD$5:$AD$19,MATCH($C37,Matches!$A$5:$A$19,0)),"A",IF($D37=INDEX(Matches!$AE$5:$AE$19,MATCH($C37,Matches!$A$5:$A$19,0)),"B","")),"")</f>
        <v/>
      </c>
      <c r="AT37" s="8">
        <f>IF($AS37="","",IFERROR(IF($AS37="A",INDEX(Matches!$AI$5:$AI$19,MATCH($C37,Matches!$A$5:$A$19,0)),INDEX(Matches!$AJ$5:$AJ$19,MATCH($C37,Matches!$A$5:$A$19,0))),""))</f>
        <v/>
      </c>
      <c r="AU37" s="8">
        <f>IF($AS37="","",IFERROR(IF(INDEX(Matches!$AP$5:$AP$19,MATCH($C37,Matches!$A$5:$A$19,0))="","",IF($AS37="A",INDEX(Matches!$AP$5:$AP$19,MATCH($C37,Matches!$A$5:$A$19,0)),1-INDEX(Matches!$AP$5:$AP$19,MATCH($C37,Matches!$A$5:$A$19,0)))),""))</f>
        <v/>
      </c>
      <c r="AV37" s="11">
        <f>IF(OR($AU37="",$AT37=""),1,((Config!$B$14*$AU37+Config!$B$15*(1-$AU37))/(Config!$B$14*$AT37+Config!$B$15*(1-$AT37)))^Config!$B$13)</f>
        <v/>
      </c>
      <c r="AW37" s="8">
        <f>IF($AS37="","",IFERROR(IF(INDEX(Matches!$AV$5:$AV$19,MATCH($C37,Matches!$A$5:$A$19,0))="","",IF($AS37="A",INDEX(Matches!$AV$5:$AV$19,MATCH($C37,Matches!$A$5:$A$19,0)),1-INDEX(Matches!$AV$5:$AV$19,MATCH($C37,Matches!$A$5:$A$19,0)))),""))</f>
        <v/>
      </c>
      <c r="AX37" s="11">
        <f>IF(OR($AW37="",$AT37=""),1,((Config!$B$14*$AW37+Config!$B$15*(1-$AW37))/(Config!$B$14*$AT37+Config!$B$15*(1-$AT37)))^Config!$B$13)</f>
        <v/>
      </c>
      <c r="AY37" s="8">
        <f>IF($AS37="","",IFERROR(IF(INDEX(Matches!$BB$5:$BB$19,MATCH($C37,Matches!$A$5:$A$19,0))="","",IF($AS37="A",INDEX(Matches!$BB$5:$BB$19,MATCH($C37,Matches!$A$5:$A$19,0)),1-INDEX(Matches!$BB$5:$BB$19,MATCH($C37,Matches!$A$5:$A$19,0)))),""))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jc1nf38p0b44dfy|CS2 · BB vs NEMI</t>
        </is>
      </c>
      <c r="B38" t="inlineStr">
        <is>
          <t>CS2</t>
        </is>
      </c>
      <c r="C38" t="inlineStr">
        <is>
          <t>CS2 · BB vs NEMI</t>
        </is>
      </c>
      <c r="D38" t="inlineStr">
        <is>
          <t>NEMI</t>
        </is>
      </c>
      <c r="E38" t="inlineStr">
        <is>
          <t>Xant3r</t>
        </is>
      </c>
      <c r="F38" t="inlineStr">
        <is>
          <t>jc1nf38p0b44dfy</t>
        </is>
      </c>
      <c r="G38">
        <f>IFERROR(IF(INDEX(Matches!$W$5:$W$19,MATCH($C38,Matches!$A$5:$A$19,0))="","",INDEX(Matches!$W$5:$W$19,MATCH($C38,Matches!$A$5:$A$19,0))),"")</f>
        <v/>
      </c>
      <c r="H38">
        <f>IFERROR(IF(INDEX(Matches!$X$5:$X$19,MATCH($C38,Matches!$A$5:$A$19,0))="","",INDEX(Matches!$X$5:$X$19,MATCH($C38,Matches!$A$5:$A$19,0))),"")</f>
        <v/>
      </c>
      <c r="I38">
        <f>IFERROR(IF(INDEX(Matches!$Y$5:$Y$19,MATCH($C38,Matches!$A$5:$A$19,0))="","",INDEX(Matches!$Y$5:$Y$19,MATCH($C38,Matches!$A$5:$A$19,0))),"")</f>
        <v/>
      </c>
      <c r="J38">
        <f>IFERROR(IF(INDEX(Matches!$Z$5:$Z$19,MATCH($C38,Matches!$A$5:$A$19,0))="","",INDEX(Matches!$Z$5:$Z$19,MATCH($C38,Matches!$A$5:$A$19,0))),"")</f>
        <v/>
      </c>
      <c r="K38">
        <f>IFERROR(IF(INDEX(Matches!$AA$5:$AA$19,MATCH($C38,Matches!$A$5:$A$19,0))="","",INDEX(Matches!$AA$5:$AA$19,MATCH($C38,Matches!$A$5:$A$19,0))),"")</f>
        <v/>
      </c>
      <c r="L38">
        <f>IFERROR(IF(INDEX(Matches!$AB$5:$AB$19,MATCH($C38,Matches!$A$5:$A$19,0))="","",INDEX(Matches!$AB$5:$AB$19,MATCH($C38,Matches!$A$5:$A$19,0))),"")</f>
        <v/>
      </c>
      <c r="M38" s="8">
        <f>IFERROR(IF(INDEX(Matches!$AC$5:$AC$19,MATCH($C38,Matches!$A$5:$A$19,0))="","",INDEX(Matches!$AC$5:$AC$19,MATCH($C38,Matches!$A$5:$A$19,0))),"")</f>
        <v/>
      </c>
      <c r="N38">
        <f>IFERROR(INDEX(Players!$F$2:$F$124,MATCH($F38,Players!$A$2:$A$124,0)),0)</f>
        <v/>
      </c>
      <c r="O38" s="11">
        <f>IFERROR(1/(1/INDEX(Players!$H$2:$H$124,MATCH($F38,Players!$A$2:$A$124,0))),"")</f>
        <v/>
      </c>
      <c r="P38" s="8">
        <f>IFERROR(1/(1/INDEX(Players!$I$2:$I$124,MATCH($F38,Players!$A$2:$A$124,0))),"")</f>
        <v/>
      </c>
      <c r="Q38">
        <f>IF($G38="",0,SUMIFS(Map_Stats!$F$2:$F$779,Map_Stats!$A$2:$A$779,$F38&amp;"|"&amp;$G38))</f>
        <v/>
      </c>
      <c r="R38" s="11">
        <f>IF($G38="","",IFERROR(1/(1/INDEX(Map_Stats!$K$2:$K$779,MATCH($F38&amp;"|"&amp;$G38,Map_Stats!$A$2:$A$779,0))),$O38))</f>
        <v/>
      </c>
      <c r="S38" s="8">
        <f>IF(OR($G38="",$P38=""),"",IFERROR(1/(1/INDEX(Map_Stats!$I$2:$I$779,MATCH($F38&amp;"|"&amp;$G38,Map_Stats!$A$2:$A$779,0))),$P38))</f>
        <v/>
      </c>
      <c r="T38" s="11">
        <f>IF(OR($G38="",R38=""),"",IF($O38="",R38,(Q38*R38+Config!$B$4*$O38)/(Q38+Config!$B$4)))</f>
        <v/>
      </c>
      <c r="U38" s="8">
        <f>IF(S38="","",(Q38*S38+Config!$B$4*$P38)/(Q38+Config!$B$4))</f>
        <v/>
      </c>
      <c r="V38" s="15">
        <f>IF(OR(T38="",$J38=""),"",T38*$J38*($J38/Config!$B$10)^Config!$B$9)</f>
        <v/>
      </c>
      <c r="W38" s="15">
        <f>IF(OR(V38="",U38=""),"",V38*U38)</f>
        <v/>
      </c>
      <c r="X38">
        <f>IF($H38="",0,SUMIFS(Map_Stats!$F$2:$F$779,Map_Stats!$A$2:$A$779,$F38&amp;"|"&amp;$H38))</f>
        <v/>
      </c>
      <c r="Y38" s="11">
        <f>IF($H38="","",IFERROR(1/(1/INDEX(Map_Stats!$K$2:$K$779,MATCH($F38&amp;"|"&amp;$H38,Map_Stats!$A$2:$A$779,0))),$O38))</f>
        <v/>
      </c>
      <c r="Z38" s="8">
        <f>IF(OR($H38="",$P38=""),"",IFERROR(1/(1/INDEX(Map_Stats!$I$2:$I$779,MATCH($F38&amp;"|"&amp;$H38,Map_Stats!$A$2:$A$779,0))),$P38))</f>
        <v/>
      </c>
      <c r="AA38" s="11">
        <f>IF(OR($H38="",Y38=""),"",IF($O38="",Y38,(X38*Y38+Config!$B$4*$O38)/(X38+Config!$B$4)))</f>
        <v/>
      </c>
      <c r="AB38" s="8">
        <f>IF(Z38="","",(X38*Z38+Config!$B$4*$P38)/(X38+Config!$B$4))</f>
        <v/>
      </c>
      <c r="AC38" s="15">
        <f>IF(OR(AA38="",$K38=""),"",AA38*$K38*($K38/Config!$B$10)^Config!$B$9)</f>
        <v/>
      </c>
      <c r="AD38" s="15">
        <f>IF(OR(AC38="",AB38=""),"",AC38*AB38)</f>
        <v/>
      </c>
      <c r="AE38">
        <f>IF($I38="",0,SUMIFS(Map_Stats!$F$2:$F$779,Map_Stats!$A$2:$A$779,$F38&amp;"|"&amp;$I38))</f>
        <v/>
      </c>
      <c r="AF38" s="11">
        <f>IF($I38="","",IFERROR(1/(1/INDEX(Map_Stats!$K$2:$K$779,MATCH($F38&amp;"|"&amp;$I38,Map_Stats!$A$2:$A$779,0))),$O38))</f>
        <v/>
      </c>
      <c r="AG38" s="8">
        <f>IF(OR($I38="",$P38=""),"",IFERROR(1/(1/INDEX(Map_Stats!$I$2:$I$779,MATCH($F38&amp;"|"&amp;$I38,Map_Stats!$A$2:$A$779,0))),$P38))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IF($C38=Board!$B$2,COUNTIFS($C$2:$C$124,Board!$B$2,$AL$2:$AL$124,"&gt;"&amp;$AL38)+COUNTIFS($C$1:$C37,Board!$B$2,$AL$1:$AL37,$AL38)+1,"")</f>
        <v/>
      </c>
      <c r="AS38">
        <f>IFERROR(IF($D38=INDEX(Matches!$AD$5:$AD$19,MATCH($C38,Matches!$A$5:$A$19,0)),"A",IF($D38=INDEX(Matches!$AE$5:$AE$19,MATCH($C38,Matches!$A$5:$A$19,0)),"B","")),"")</f>
        <v/>
      </c>
      <c r="AT38" s="8">
        <f>IF($AS38="","",IFERROR(IF($AS38="A",INDEX(Matches!$AI$5:$AI$19,MATCH($C38,Matches!$A$5:$A$19,0)),INDEX(Matches!$AJ$5:$AJ$19,MATCH($C38,Matches!$A$5:$A$19,0))),""))</f>
        <v/>
      </c>
      <c r="AU38" s="8">
        <f>IF($AS38="","",IFERROR(IF(INDEX(Matches!$AP$5:$AP$19,MATCH($C38,Matches!$A$5:$A$19,0))="","",IF($AS38="A",INDEX(Matches!$AP$5:$AP$19,MATCH($C38,Matches!$A$5:$A$19,0)),1-INDEX(Matches!$AP$5:$AP$19,MATCH($C38,Matches!$A$5:$A$19,0)))),""))</f>
        <v/>
      </c>
      <c r="AV38" s="11">
        <f>IF(OR($AU38="",$AT38=""),1,((Config!$B$14*$AU38+Config!$B$15*(1-$AU38))/(Config!$B$14*$AT38+Config!$B$15*(1-$AT38)))^Config!$B$13)</f>
        <v/>
      </c>
      <c r="AW38" s="8">
        <f>IF($AS38="","",IFERROR(IF(INDEX(Matches!$AV$5:$AV$19,MATCH($C38,Matches!$A$5:$A$19,0))="","",IF($AS38="A",INDEX(Matches!$AV$5:$AV$19,MATCH($C38,Matches!$A$5:$A$19,0)),1-INDEX(Matches!$AV$5:$AV$19,MATCH($C38,Matches!$A$5:$A$19,0)))),""))</f>
        <v/>
      </c>
      <c r="AX38" s="11">
        <f>IF(OR($AW38="",$AT38=""),1,((Config!$B$14*$AW38+Config!$B$15*(1-$AW38))/(Config!$B$14*$AT38+Config!$B$15*(1-$AT38)))^Config!$B$13)</f>
        <v/>
      </c>
      <c r="AY38" s="8">
        <f>IF($AS38="","",IFERROR(IF(INDEX(Matches!$BB$5:$BB$19,MATCH($C38,Matches!$A$5:$A$19,0))="","",IF($AS38="A",INDEX(Matches!$BB$5:$BB$19,MATCH($C38,Matches!$A$5:$A$19,0)),1-INDEX(Matches!$BB$5:$BB$19,MATCH($C38,Matches!$A$5:$A$19,0)))),""))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012uwaetq7hevsp|CS2 · FORZE.R vs ex-RUSTEC</t>
        </is>
      </c>
      <c r="B39" t="inlineStr">
        <is>
          <t>CS2</t>
        </is>
      </c>
      <c r="C39" t="inlineStr">
        <is>
          <t>CS2 · FORZE.R vs ex-RUSTEC</t>
        </is>
      </c>
      <c r="D39" t="inlineStr">
        <is>
          <t>FORZE.R</t>
        </is>
      </c>
      <c r="E39" t="inlineStr">
        <is>
          <t>HeCkBNk</t>
        </is>
      </c>
      <c r="F39" t="inlineStr">
        <is>
          <t>012uwaetq7hevsp</t>
        </is>
      </c>
      <c r="G39">
        <f>IFERROR(IF(INDEX(Matches!$W$5:$W$19,MATCH($C39,Matches!$A$5:$A$19,0))="","",INDEX(Matches!$W$5:$W$19,MATCH($C39,Matches!$A$5:$A$19,0))),"")</f>
        <v/>
      </c>
      <c r="H39">
        <f>IFERROR(IF(INDEX(Matches!$X$5:$X$19,MATCH($C39,Matches!$A$5:$A$19,0))="","",INDEX(Matches!$X$5:$X$19,MATCH($C39,Matches!$A$5:$A$19,0))),"")</f>
        <v/>
      </c>
      <c r="I39">
        <f>IFERROR(IF(INDEX(Matches!$Y$5:$Y$19,MATCH($C39,Matches!$A$5:$A$19,0))="","",INDEX(Matches!$Y$5:$Y$19,MATCH($C39,Matches!$A$5:$A$19,0))),"")</f>
        <v/>
      </c>
      <c r="J39">
        <f>IFERROR(IF(INDEX(Matches!$Z$5:$Z$19,MATCH($C39,Matches!$A$5:$A$19,0))="","",INDEX(Matches!$Z$5:$Z$19,MATCH($C39,Matches!$A$5:$A$19,0))),"")</f>
        <v/>
      </c>
      <c r="K39">
        <f>IFERROR(IF(INDEX(Matches!$AA$5:$AA$19,MATCH($C39,Matches!$A$5:$A$19,0))="","",INDEX(Matches!$AA$5:$AA$19,MATCH($C39,Matches!$A$5:$A$19,0))),"")</f>
        <v/>
      </c>
      <c r="L39">
        <f>IFERROR(IF(INDEX(Matches!$AB$5:$AB$19,MATCH($C39,Matches!$A$5:$A$19,0))="","",INDEX(Matches!$AB$5:$AB$19,MATCH($C39,Matches!$A$5:$A$19,0))),"")</f>
        <v/>
      </c>
      <c r="M39" s="8">
        <f>IFERROR(IF(INDEX(Matches!$AC$5:$AC$19,MATCH($C39,Matches!$A$5:$A$19,0))="","",INDEX(Matches!$AC$5:$AC$19,MATCH($C39,Matches!$A$5:$A$19,0))),"")</f>
        <v/>
      </c>
      <c r="N39">
        <f>IFERROR(INDEX(Players!$F$2:$F$124,MATCH($F39,Players!$A$2:$A$124,0)),0)</f>
        <v/>
      </c>
      <c r="O39" s="11">
        <f>IFERROR(1/(1/INDEX(Players!$H$2:$H$124,MATCH($F39,Players!$A$2:$A$124,0))),"")</f>
        <v/>
      </c>
      <c r="P39" s="8">
        <f>IFERROR(1/(1/INDEX(Players!$I$2:$I$124,MATCH($F39,Players!$A$2:$A$124,0))),"")</f>
        <v/>
      </c>
      <c r="Q39">
        <f>IF($G39="",0,SUMIFS(Map_Stats!$F$2:$F$779,Map_Stats!$A$2:$A$779,$F39&amp;"|"&amp;$G39))</f>
        <v/>
      </c>
      <c r="R39" s="11">
        <f>IF($G39="","",IFERROR(1/(1/INDEX(Map_Stats!$K$2:$K$779,MATCH($F39&amp;"|"&amp;$G39,Map_Stats!$A$2:$A$779,0))),$O39))</f>
        <v/>
      </c>
      <c r="S39" s="8">
        <f>IF(OR($G39="",$P39=""),"",IFERROR(1/(1/INDEX(Map_Stats!$I$2:$I$779,MATCH($F39&amp;"|"&amp;$G39,Map_Stats!$A$2:$A$779,0))),$P39))</f>
        <v/>
      </c>
      <c r="T39" s="11">
        <f>IF(OR($G39="",R39=""),"",IF($O39="",R39,(Q39*R39+Config!$B$4*$O39)/(Q39+Config!$B$4)))</f>
        <v/>
      </c>
      <c r="U39" s="8">
        <f>IF(S39="","",(Q39*S39+Config!$B$4*$P39)/(Q39+Config!$B$4))</f>
        <v/>
      </c>
      <c r="V39" s="15">
        <f>IF(OR(T39="",$J39=""),"",T39*$J39*($J39/Config!$B$10)^Config!$B$9)</f>
        <v/>
      </c>
      <c r="W39" s="15">
        <f>IF(OR(V39="",U39=""),"",V39*U39)</f>
        <v/>
      </c>
      <c r="X39">
        <f>IF($H39="",0,SUMIFS(Map_Stats!$F$2:$F$779,Map_Stats!$A$2:$A$779,$F39&amp;"|"&amp;$H39))</f>
        <v/>
      </c>
      <c r="Y39" s="11">
        <f>IF($H39="","",IFERROR(1/(1/INDEX(Map_Stats!$K$2:$K$779,MATCH($F39&amp;"|"&amp;$H39,Map_Stats!$A$2:$A$779,0))),$O39))</f>
        <v/>
      </c>
      <c r="Z39" s="8">
        <f>IF(OR($H39="",$P39=""),"",IFERROR(1/(1/INDEX(Map_Stats!$I$2:$I$779,MATCH($F39&amp;"|"&amp;$H39,Map_Stats!$A$2:$A$779,0))),$P39))</f>
        <v/>
      </c>
      <c r="AA39" s="11">
        <f>IF(OR($H39="",Y39=""),"",IF($O39="",Y39,(X39*Y39+Config!$B$4*$O39)/(X39+Config!$B$4)))</f>
        <v/>
      </c>
      <c r="AB39" s="8">
        <f>IF(Z39="","",(X39*Z39+Config!$B$4*$P39)/(X39+Config!$B$4))</f>
        <v/>
      </c>
      <c r="AC39" s="15">
        <f>IF(OR(AA39="",$K39=""),"",AA39*$K39*($K39/Config!$B$10)^Config!$B$9)</f>
        <v/>
      </c>
      <c r="AD39" s="15">
        <f>IF(OR(AC39="",AB39=""),"",AC39*AB39)</f>
        <v/>
      </c>
      <c r="AE39">
        <f>IF($I39="",0,SUMIFS(Map_Stats!$F$2:$F$779,Map_Stats!$A$2:$A$779,$F39&amp;"|"&amp;$I39))</f>
        <v/>
      </c>
      <c r="AF39" s="11">
        <f>IF($I39="","",IFERROR(1/(1/INDEX(Map_Stats!$K$2:$K$779,MATCH($F39&amp;"|"&amp;$I39,Map_Stats!$A$2:$A$779,0))),$O39))</f>
        <v/>
      </c>
      <c r="AG39" s="8">
        <f>IF(OR($I39="",$P39=""),"",IFERROR(1/(1/INDEX(Map_Stats!$I$2:$I$779,MATCH($F39&amp;"|"&amp;$I39,Map_Stats!$A$2:$A$779,0))),$P39))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IF($C39=Board!$B$2,COUNTIFS($C$2:$C$124,Board!$B$2,$AL$2:$AL$124,"&gt;"&amp;$AL39)+COUNTIFS($C$1:$C38,Board!$B$2,$AL$1:$AL38,$AL39)+1,"")</f>
        <v/>
      </c>
      <c r="AS39">
        <f>IFERROR(IF($D39=INDEX(Matches!$AD$5:$AD$19,MATCH($C39,Matches!$A$5:$A$19,0)),"A",IF($D39=INDEX(Matches!$AE$5:$AE$19,MATCH($C39,Matches!$A$5:$A$19,0)),"B","")),"")</f>
        <v/>
      </c>
      <c r="AT39" s="8">
        <f>IF($AS39="","",IFERROR(IF($AS39="A",INDEX(Matches!$AI$5:$AI$19,MATCH($C39,Matches!$A$5:$A$19,0)),INDEX(Matches!$AJ$5:$AJ$19,MATCH($C39,Matches!$A$5:$A$19,0))),""))</f>
        <v/>
      </c>
      <c r="AU39" s="8">
        <f>IF($AS39="","",IFERROR(IF(INDEX(Matches!$AP$5:$AP$19,MATCH($C39,Matches!$A$5:$A$19,0))="","",IF($AS39="A",INDEX(Matches!$AP$5:$AP$19,MATCH($C39,Matches!$A$5:$A$19,0)),1-INDEX(Matches!$AP$5:$AP$19,MATCH($C39,Matches!$A$5:$A$19,0)))),""))</f>
        <v/>
      </c>
      <c r="AV39" s="11">
        <f>IF(OR($AU39="",$AT39=""),1,((Config!$B$14*$AU39+Config!$B$15*(1-$AU39))/(Config!$B$14*$AT39+Config!$B$15*(1-$AT39)))^Config!$B$13)</f>
        <v/>
      </c>
      <c r="AW39" s="8">
        <f>IF($AS39="","",IFERROR(IF(INDEX(Matches!$AV$5:$AV$19,MATCH($C39,Matches!$A$5:$A$19,0))="","",IF($AS39="A",INDEX(Matches!$AV$5:$AV$19,MATCH($C39,Matches!$A$5:$A$19,0)),1-INDEX(Matches!$AV$5:$AV$19,MATCH($C39,Matches!$A$5:$A$19,0)))),""))</f>
        <v/>
      </c>
      <c r="AX39" s="11">
        <f>IF(OR($AW39="",$AT39=""),1,((Config!$B$14*$AW39+Config!$B$15*(1-$AW39))/(Config!$B$14*$AT39+Config!$B$15*(1-$AT39)))^Config!$B$13)</f>
        <v/>
      </c>
      <c r="AY39" s="8">
        <f>IF($AS39="","",IFERROR(IF(INDEX(Matches!$BB$5:$BB$19,MATCH($C39,Matches!$A$5:$A$19,0))="","",IF($AS39="A",INDEX(Matches!$BB$5:$BB$19,MATCH($C39,Matches!$A$5:$A$19,0)),1-INDEX(Matches!$BB$5:$BB$19,MATCH($C39,Matches!$A$5:$A$19,0)))),""))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2s3qwqpg7uefnn7|CS2 · FORZE.R vs ex-RUSTEC</t>
        </is>
      </c>
      <c r="B40" t="inlineStr">
        <is>
          <t>CS2</t>
        </is>
      </c>
      <c r="C40" t="inlineStr">
        <is>
          <t>CS2 · FORZE.R vs ex-RUSTEC</t>
        </is>
      </c>
      <c r="D40" t="inlineStr">
        <is>
          <t>FORZE.R</t>
        </is>
      </c>
      <c r="E40" t="inlineStr">
        <is>
          <t>KusMe</t>
        </is>
      </c>
      <c r="F40" t="inlineStr">
        <is>
          <t>2s3qwqpg7uefnn7</t>
        </is>
      </c>
      <c r="G40">
        <f>IFERROR(IF(INDEX(Matches!$W$5:$W$19,MATCH($C40,Matches!$A$5:$A$19,0))="","",INDEX(Matches!$W$5:$W$19,MATCH($C40,Matches!$A$5:$A$19,0))),"")</f>
        <v/>
      </c>
      <c r="H40">
        <f>IFERROR(IF(INDEX(Matches!$X$5:$X$19,MATCH($C40,Matches!$A$5:$A$19,0))="","",INDEX(Matches!$X$5:$X$19,MATCH($C40,Matches!$A$5:$A$19,0))),"")</f>
        <v/>
      </c>
      <c r="I40">
        <f>IFERROR(IF(INDEX(Matches!$Y$5:$Y$19,MATCH($C40,Matches!$A$5:$A$19,0))="","",INDEX(Matches!$Y$5:$Y$19,MATCH($C40,Matches!$A$5:$A$19,0))),"")</f>
        <v/>
      </c>
      <c r="J40">
        <f>IFERROR(IF(INDEX(Matches!$Z$5:$Z$19,MATCH($C40,Matches!$A$5:$A$19,0))="","",INDEX(Matches!$Z$5:$Z$19,MATCH($C40,Matches!$A$5:$A$19,0))),"")</f>
        <v/>
      </c>
      <c r="K40">
        <f>IFERROR(IF(INDEX(Matches!$AA$5:$AA$19,MATCH($C40,Matches!$A$5:$A$19,0))="","",INDEX(Matches!$AA$5:$AA$19,MATCH($C40,Matches!$A$5:$A$19,0))),"")</f>
        <v/>
      </c>
      <c r="L40">
        <f>IFERROR(IF(INDEX(Matches!$AB$5:$AB$19,MATCH($C40,Matches!$A$5:$A$19,0))="","",INDEX(Matches!$AB$5:$AB$19,MATCH($C40,Matches!$A$5:$A$19,0))),"")</f>
        <v/>
      </c>
      <c r="M40" s="8">
        <f>IFERROR(IF(INDEX(Matches!$AC$5:$AC$19,MATCH($C40,Matches!$A$5:$A$19,0))="","",INDEX(Matches!$AC$5:$AC$19,MATCH($C40,Matches!$A$5:$A$19,0))),"")</f>
        <v/>
      </c>
      <c r="N40">
        <f>IFERROR(INDEX(Players!$F$2:$F$124,MATCH($F40,Players!$A$2:$A$124,0)),0)</f>
        <v/>
      </c>
      <c r="O40" s="11">
        <f>IFERROR(1/(1/INDEX(Players!$H$2:$H$124,MATCH($F40,Players!$A$2:$A$124,0))),"")</f>
        <v/>
      </c>
      <c r="P40" s="8">
        <f>IFERROR(1/(1/INDEX(Players!$I$2:$I$124,MATCH($F40,Players!$A$2:$A$124,0))),"")</f>
        <v/>
      </c>
      <c r="Q40">
        <f>IF($G40="",0,SUMIFS(Map_Stats!$F$2:$F$779,Map_Stats!$A$2:$A$779,$F40&amp;"|"&amp;$G40))</f>
        <v/>
      </c>
      <c r="R40" s="11">
        <f>IF($G40="","",IFERROR(1/(1/INDEX(Map_Stats!$K$2:$K$779,MATCH($F40&amp;"|"&amp;$G40,Map_Stats!$A$2:$A$779,0))),$O40))</f>
        <v/>
      </c>
      <c r="S40" s="8">
        <f>IF(OR($G40="",$P40=""),"",IFERROR(1/(1/INDEX(Map_Stats!$I$2:$I$779,MATCH($F40&amp;"|"&amp;$G40,Map_Stats!$A$2:$A$779,0))),$P40))</f>
        <v/>
      </c>
      <c r="T40" s="11">
        <f>IF(OR($G40="",R40=""),"",IF($O40="",R40,(Q40*R40+Config!$B$4*$O40)/(Q40+Config!$B$4)))</f>
        <v/>
      </c>
      <c r="U40" s="8">
        <f>IF(S40="","",(Q40*S40+Config!$B$4*$P40)/(Q40+Config!$B$4))</f>
        <v/>
      </c>
      <c r="V40" s="15">
        <f>IF(OR(T40="",$J40=""),"",T40*$J40*($J40/Config!$B$10)^Config!$B$9)</f>
        <v/>
      </c>
      <c r="W40" s="15">
        <f>IF(OR(V40="",U40=""),"",V40*U40)</f>
        <v/>
      </c>
      <c r="X40">
        <f>IF($H40="",0,SUMIFS(Map_Stats!$F$2:$F$779,Map_Stats!$A$2:$A$779,$F40&amp;"|"&amp;$H40))</f>
        <v/>
      </c>
      <c r="Y40" s="11">
        <f>IF($H40="","",IFERROR(1/(1/INDEX(Map_Stats!$K$2:$K$779,MATCH($F40&amp;"|"&amp;$H40,Map_Stats!$A$2:$A$779,0))),$O40))</f>
        <v/>
      </c>
      <c r="Z40" s="8">
        <f>IF(OR($H40="",$P40=""),"",IFERROR(1/(1/INDEX(Map_Stats!$I$2:$I$779,MATCH($F40&amp;"|"&amp;$H40,Map_Stats!$A$2:$A$779,0))),$P40))</f>
        <v/>
      </c>
      <c r="AA40" s="11">
        <f>IF(OR($H40="",Y40=""),"",IF($O40="",Y40,(X40*Y40+Config!$B$4*$O40)/(X40+Config!$B$4)))</f>
        <v/>
      </c>
      <c r="AB40" s="8">
        <f>IF(Z40="","",(X40*Z40+Config!$B$4*$P40)/(X40+Config!$B$4))</f>
        <v/>
      </c>
      <c r="AC40" s="15">
        <f>IF(OR(AA40="",$K40=""),"",AA40*$K40*($K40/Config!$B$10)^Config!$B$9)</f>
        <v/>
      </c>
      <c r="AD40" s="15">
        <f>IF(OR(AC40="",AB40=""),"",AC40*AB40)</f>
        <v/>
      </c>
      <c r="AE40">
        <f>IF($I40="",0,SUMIFS(Map_Stats!$F$2:$F$779,Map_Stats!$A$2:$A$779,$F40&amp;"|"&amp;$I40))</f>
        <v/>
      </c>
      <c r="AF40" s="11">
        <f>IF($I40="","",IFERROR(1/(1/INDEX(Map_Stats!$K$2:$K$779,MATCH($F40&amp;"|"&amp;$I40,Map_Stats!$A$2:$A$779,0))),$O40))</f>
        <v/>
      </c>
      <c r="AG40" s="8">
        <f>IF(OR($I40="",$P40=""),"",IFERROR(1/(1/INDEX(Map_Stats!$I$2:$I$779,MATCH($F40&amp;"|"&amp;$I40,Map_Stats!$A$2:$A$779,0))),$P40))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IF($C40=Board!$B$2,COUNTIFS($C$2:$C$124,Board!$B$2,$AL$2:$AL$124,"&gt;"&amp;$AL40)+COUNTIFS($C$1:$C39,Board!$B$2,$AL$1:$AL39,$AL40)+1,"")</f>
        <v/>
      </c>
      <c r="AS40">
        <f>IFERROR(IF($D40=INDEX(Matches!$AD$5:$AD$19,MATCH($C40,Matches!$A$5:$A$19,0)),"A",IF($D40=INDEX(Matches!$AE$5:$AE$19,MATCH($C40,Matches!$A$5:$A$19,0)),"B","")),"")</f>
        <v/>
      </c>
      <c r="AT40" s="8">
        <f>IF($AS40="","",IFERROR(IF($AS40="A",INDEX(Matches!$AI$5:$AI$19,MATCH($C40,Matches!$A$5:$A$19,0)),INDEX(Matches!$AJ$5:$AJ$19,MATCH($C40,Matches!$A$5:$A$19,0))),""))</f>
        <v/>
      </c>
      <c r="AU40" s="8">
        <f>IF($AS40="","",IFERROR(IF(INDEX(Matches!$AP$5:$AP$19,MATCH($C40,Matches!$A$5:$A$19,0))="","",IF($AS40="A",INDEX(Matches!$AP$5:$AP$19,MATCH($C40,Matches!$A$5:$A$19,0)),1-INDEX(Matches!$AP$5:$AP$19,MATCH($C40,Matches!$A$5:$A$19,0)))),""))</f>
        <v/>
      </c>
      <c r="AV40" s="11">
        <f>IF(OR($AU40="",$AT40=""),1,((Config!$B$14*$AU40+Config!$B$15*(1-$AU40))/(Config!$B$14*$AT40+Config!$B$15*(1-$AT40)))^Config!$B$13)</f>
        <v/>
      </c>
      <c r="AW40" s="8">
        <f>IF($AS40="","",IFERROR(IF(INDEX(Matches!$AV$5:$AV$19,MATCH($C40,Matches!$A$5:$A$19,0))="","",IF($AS40="A",INDEX(Matches!$AV$5:$AV$19,MATCH($C40,Matches!$A$5:$A$19,0)),1-INDEX(Matches!$AV$5:$AV$19,MATCH($C40,Matches!$A$5:$A$19,0)))),""))</f>
        <v/>
      </c>
      <c r="AX40" s="11">
        <f>IF(OR($AW40="",$AT40=""),1,((Config!$B$14*$AW40+Config!$B$15*(1-$AW40))/(Config!$B$14*$AT40+Config!$B$15*(1-$AT40)))^Config!$B$13)</f>
        <v/>
      </c>
      <c r="AY40" s="8">
        <f>IF($AS40="","",IFERROR(IF(INDEX(Matches!$BB$5:$BB$19,MATCH($C40,Matches!$A$5:$A$19,0))="","",IF($AS40="A",INDEX(Matches!$BB$5:$BB$19,MATCH($C40,Matches!$A$5:$A$19,0)),1-INDEX(Matches!$BB$5:$BB$19,MATCH($C40,Matches!$A$5:$A$19,0)))),""))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798yw8my6zycp2s|CS2 · FORZE.R vs ex-RUSTEC</t>
        </is>
      </c>
      <c r="B41" t="inlineStr">
        <is>
          <t>CS2</t>
        </is>
      </c>
      <c r="C41" t="inlineStr">
        <is>
          <t>CS2 · FORZE.R vs ex-RUSTEC</t>
        </is>
      </c>
      <c r="D41" t="inlineStr">
        <is>
          <t>FORZE.R</t>
        </is>
      </c>
      <c r="E41" t="inlineStr">
        <is>
          <t>Lack1</t>
        </is>
      </c>
      <c r="F41" t="inlineStr">
        <is>
          <t>798yw8my6zycp2s</t>
        </is>
      </c>
      <c r="G41">
        <f>IFERROR(IF(INDEX(Matches!$W$5:$W$19,MATCH($C41,Matches!$A$5:$A$19,0))="","",INDEX(Matches!$W$5:$W$19,MATCH($C41,Matches!$A$5:$A$19,0))),"")</f>
        <v/>
      </c>
      <c r="H41">
        <f>IFERROR(IF(INDEX(Matches!$X$5:$X$19,MATCH($C41,Matches!$A$5:$A$19,0))="","",INDEX(Matches!$X$5:$X$19,MATCH($C41,Matches!$A$5:$A$19,0))),"")</f>
        <v/>
      </c>
      <c r="I41">
        <f>IFERROR(IF(INDEX(Matches!$Y$5:$Y$19,MATCH($C41,Matches!$A$5:$A$19,0))="","",INDEX(Matches!$Y$5:$Y$19,MATCH($C41,Matches!$A$5:$A$19,0))),"")</f>
        <v/>
      </c>
      <c r="J41">
        <f>IFERROR(IF(INDEX(Matches!$Z$5:$Z$19,MATCH($C41,Matches!$A$5:$A$19,0))="","",INDEX(Matches!$Z$5:$Z$19,MATCH($C41,Matches!$A$5:$A$19,0))),"")</f>
        <v/>
      </c>
      <c r="K41">
        <f>IFERROR(IF(INDEX(Matches!$AA$5:$AA$19,MATCH($C41,Matches!$A$5:$A$19,0))="","",INDEX(Matches!$AA$5:$AA$19,MATCH($C41,Matches!$A$5:$A$19,0))),"")</f>
        <v/>
      </c>
      <c r="L41">
        <f>IFERROR(IF(INDEX(Matches!$AB$5:$AB$19,MATCH($C41,Matches!$A$5:$A$19,0))="","",INDEX(Matches!$AB$5:$AB$19,MATCH($C41,Matches!$A$5:$A$19,0))),"")</f>
        <v/>
      </c>
      <c r="M41" s="8">
        <f>IFERROR(IF(INDEX(Matches!$AC$5:$AC$19,MATCH($C41,Matches!$A$5:$A$19,0))="","",INDEX(Matches!$AC$5:$AC$19,MATCH($C41,Matches!$A$5:$A$19,0))),"")</f>
        <v/>
      </c>
      <c r="N41">
        <f>IFERROR(INDEX(Players!$F$2:$F$124,MATCH($F41,Players!$A$2:$A$124,0)),0)</f>
        <v/>
      </c>
      <c r="O41" s="11">
        <f>IFERROR(1/(1/INDEX(Players!$H$2:$H$124,MATCH($F41,Players!$A$2:$A$124,0))),"")</f>
        <v/>
      </c>
      <c r="P41" s="8">
        <f>IFERROR(1/(1/INDEX(Players!$I$2:$I$124,MATCH($F41,Players!$A$2:$A$124,0))),"")</f>
        <v/>
      </c>
      <c r="Q41">
        <f>IF($G41="",0,SUMIFS(Map_Stats!$F$2:$F$779,Map_Stats!$A$2:$A$779,$F41&amp;"|"&amp;$G41))</f>
        <v/>
      </c>
      <c r="R41" s="11">
        <f>IF($G41="","",IFERROR(1/(1/INDEX(Map_Stats!$K$2:$K$779,MATCH($F41&amp;"|"&amp;$G41,Map_Stats!$A$2:$A$779,0))),$O41))</f>
        <v/>
      </c>
      <c r="S41" s="8">
        <f>IF(OR($G41="",$P41=""),"",IFERROR(1/(1/INDEX(Map_Stats!$I$2:$I$779,MATCH($F41&amp;"|"&amp;$G41,Map_Stats!$A$2:$A$779,0))),$P41))</f>
        <v/>
      </c>
      <c r="T41" s="11">
        <f>IF(OR($G41="",R41=""),"",IF($O41="",R41,(Q41*R41+Config!$B$4*$O41)/(Q41+Config!$B$4)))</f>
        <v/>
      </c>
      <c r="U41" s="8">
        <f>IF(S41="","",(Q41*S41+Config!$B$4*$P41)/(Q41+Config!$B$4))</f>
        <v/>
      </c>
      <c r="V41" s="15">
        <f>IF(OR(T41="",$J41=""),"",T41*$J41*($J41/Config!$B$10)^Config!$B$9)</f>
        <v/>
      </c>
      <c r="W41" s="15">
        <f>IF(OR(V41="",U41=""),"",V41*U41)</f>
        <v/>
      </c>
      <c r="X41">
        <f>IF($H41="",0,SUMIFS(Map_Stats!$F$2:$F$779,Map_Stats!$A$2:$A$779,$F41&amp;"|"&amp;$H41))</f>
        <v/>
      </c>
      <c r="Y41" s="11">
        <f>IF($H41="","",IFERROR(1/(1/INDEX(Map_Stats!$K$2:$K$779,MATCH($F41&amp;"|"&amp;$H41,Map_Stats!$A$2:$A$779,0))),$O41))</f>
        <v/>
      </c>
      <c r="Z41" s="8">
        <f>IF(OR($H41="",$P41=""),"",IFERROR(1/(1/INDEX(Map_Stats!$I$2:$I$779,MATCH($F41&amp;"|"&amp;$H41,Map_Stats!$A$2:$A$779,0))),$P41))</f>
        <v/>
      </c>
      <c r="AA41" s="11">
        <f>IF(OR($H41="",Y41=""),"",IF($O41="",Y41,(X41*Y41+Config!$B$4*$O41)/(X41+Config!$B$4)))</f>
        <v/>
      </c>
      <c r="AB41" s="8">
        <f>IF(Z41="","",(X41*Z41+Config!$B$4*$P41)/(X41+Config!$B$4))</f>
        <v/>
      </c>
      <c r="AC41" s="15">
        <f>IF(OR(AA41="",$K41=""),"",AA41*$K41*($K41/Config!$B$10)^Config!$B$9)</f>
        <v/>
      </c>
      <c r="AD41" s="15">
        <f>IF(OR(AC41="",AB41=""),"",AC41*AB41)</f>
        <v/>
      </c>
      <c r="AE41">
        <f>IF($I41="",0,SUMIFS(Map_Stats!$F$2:$F$779,Map_Stats!$A$2:$A$779,$F41&amp;"|"&amp;$I41))</f>
        <v/>
      </c>
      <c r="AF41" s="11">
        <f>IF($I41="","",IFERROR(1/(1/INDEX(Map_Stats!$K$2:$K$779,MATCH($F41&amp;"|"&amp;$I41,Map_Stats!$A$2:$A$779,0))),$O41))</f>
        <v/>
      </c>
      <c r="AG41" s="8">
        <f>IF(OR($I41="",$P41=""),"",IFERROR(1/(1/INDEX(Map_Stats!$I$2:$I$779,MATCH($F41&amp;"|"&amp;$I41,Map_Stats!$A$2:$A$779,0))),$P41))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IF($C41=Board!$B$2,COUNTIFS($C$2:$C$124,Board!$B$2,$AL$2:$AL$124,"&gt;"&amp;$AL41)+COUNTIFS($C$1:$C40,Board!$B$2,$AL$1:$AL40,$AL41)+1,"")</f>
        <v/>
      </c>
      <c r="AS41">
        <f>IFERROR(IF($D41=INDEX(Matches!$AD$5:$AD$19,MATCH($C41,Matches!$A$5:$A$19,0)),"A",IF($D41=INDEX(Matches!$AE$5:$AE$19,MATCH($C41,Matches!$A$5:$A$19,0)),"B","")),"")</f>
        <v/>
      </c>
      <c r="AT41" s="8">
        <f>IF($AS41="","",IFERROR(IF($AS41="A",INDEX(Matches!$AI$5:$AI$19,MATCH($C41,Matches!$A$5:$A$19,0)),INDEX(Matches!$AJ$5:$AJ$19,MATCH($C41,Matches!$A$5:$A$19,0))),""))</f>
        <v/>
      </c>
      <c r="AU41" s="8">
        <f>IF($AS41="","",IFERROR(IF(INDEX(Matches!$AP$5:$AP$19,MATCH($C41,Matches!$A$5:$A$19,0))="","",IF($AS41="A",INDEX(Matches!$AP$5:$AP$19,MATCH($C41,Matches!$A$5:$A$19,0)),1-INDEX(Matches!$AP$5:$AP$19,MATCH($C41,Matches!$A$5:$A$19,0)))),""))</f>
        <v/>
      </c>
      <c r="AV41" s="11">
        <f>IF(OR($AU41="",$AT41=""),1,((Config!$B$14*$AU41+Config!$B$15*(1-$AU41))/(Config!$B$14*$AT41+Config!$B$15*(1-$AT41)))^Config!$B$13)</f>
        <v/>
      </c>
      <c r="AW41" s="8">
        <f>IF($AS41="","",IFERROR(IF(INDEX(Matches!$AV$5:$AV$19,MATCH($C41,Matches!$A$5:$A$19,0))="","",IF($AS41="A",INDEX(Matches!$AV$5:$AV$19,MATCH($C41,Matches!$A$5:$A$19,0)),1-INDEX(Matches!$AV$5:$AV$19,MATCH($C41,Matches!$A$5:$A$19,0)))),""))</f>
        <v/>
      </c>
      <c r="AX41" s="11">
        <f>IF(OR($AW41="",$AT41=""),1,((Config!$B$14*$AW41+Config!$B$15*(1-$AW41))/(Config!$B$14*$AT41+Config!$B$15*(1-$AT41)))^Config!$B$13)</f>
        <v/>
      </c>
      <c r="AY41" s="8">
        <f>IF($AS41="","",IFERROR(IF(INDEX(Matches!$BB$5:$BB$19,MATCH($C41,Matches!$A$5:$A$19,0))="","",IF($AS41="A",INDEX(Matches!$BB$5:$BB$19,MATCH($C41,Matches!$A$5:$A$19,0)),1-INDEX(Matches!$BB$5:$BB$19,MATCH($C41,Matches!$A$5:$A$19,0)))),""))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udiua4ttm49q2v4|CS2 · FORZE.R vs ex-RUSTEC</t>
        </is>
      </c>
      <c r="B42" t="inlineStr">
        <is>
          <t>CS2</t>
        </is>
      </c>
      <c r="C42" t="inlineStr">
        <is>
          <t>CS2 · FORZE.R vs ex-RUSTEC</t>
        </is>
      </c>
      <c r="D42" t="inlineStr">
        <is>
          <t>FORZE.R</t>
        </is>
      </c>
      <c r="E42" t="inlineStr">
        <is>
          <t>NickelBack</t>
        </is>
      </c>
      <c r="F42" t="inlineStr">
        <is>
          <t>udiua4ttm49q2v4</t>
        </is>
      </c>
      <c r="G42">
        <f>IFERROR(IF(INDEX(Matches!$W$5:$W$19,MATCH($C42,Matches!$A$5:$A$19,0))="","",INDEX(Matches!$W$5:$W$19,MATCH($C42,Matches!$A$5:$A$19,0))),"")</f>
        <v/>
      </c>
      <c r="H42">
        <f>IFERROR(IF(INDEX(Matches!$X$5:$X$19,MATCH($C42,Matches!$A$5:$A$19,0))="","",INDEX(Matches!$X$5:$X$19,MATCH($C42,Matches!$A$5:$A$19,0))),"")</f>
        <v/>
      </c>
      <c r="I42">
        <f>IFERROR(IF(INDEX(Matches!$Y$5:$Y$19,MATCH($C42,Matches!$A$5:$A$19,0))="","",INDEX(Matches!$Y$5:$Y$19,MATCH($C42,Matches!$A$5:$A$19,0))),"")</f>
        <v/>
      </c>
      <c r="J42">
        <f>IFERROR(IF(INDEX(Matches!$Z$5:$Z$19,MATCH($C42,Matches!$A$5:$A$19,0))="","",INDEX(Matches!$Z$5:$Z$19,MATCH($C42,Matches!$A$5:$A$19,0))),"")</f>
        <v/>
      </c>
      <c r="K42">
        <f>IFERROR(IF(INDEX(Matches!$AA$5:$AA$19,MATCH($C42,Matches!$A$5:$A$19,0))="","",INDEX(Matches!$AA$5:$AA$19,MATCH($C42,Matches!$A$5:$A$19,0))),"")</f>
        <v/>
      </c>
      <c r="L42">
        <f>IFERROR(IF(INDEX(Matches!$AB$5:$AB$19,MATCH($C42,Matches!$A$5:$A$19,0))="","",INDEX(Matches!$AB$5:$AB$19,MATCH($C42,Matches!$A$5:$A$19,0))),"")</f>
        <v/>
      </c>
      <c r="M42" s="8">
        <f>IFERROR(IF(INDEX(Matches!$AC$5:$AC$19,MATCH($C42,Matches!$A$5:$A$19,0))="","",INDEX(Matches!$AC$5:$AC$19,MATCH($C42,Matches!$A$5:$A$19,0))),"")</f>
        <v/>
      </c>
      <c r="N42">
        <f>IFERROR(INDEX(Players!$F$2:$F$124,MATCH($F42,Players!$A$2:$A$124,0)),0)</f>
        <v/>
      </c>
      <c r="O42" s="11">
        <f>IFERROR(1/(1/INDEX(Players!$H$2:$H$124,MATCH($F42,Players!$A$2:$A$124,0))),"")</f>
        <v/>
      </c>
      <c r="P42" s="8">
        <f>IFERROR(1/(1/INDEX(Players!$I$2:$I$124,MATCH($F42,Players!$A$2:$A$124,0))),"")</f>
        <v/>
      </c>
      <c r="Q42">
        <f>IF($G42="",0,SUMIFS(Map_Stats!$F$2:$F$779,Map_Stats!$A$2:$A$779,$F42&amp;"|"&amp;$G42))</f>
        <v/>
      </c>
      <c r="R42" s="11">
        <f>IF($G42="","",IFERROR(1/(1/INDEX(Map_Stats!$K$2:$K$779,MATCH($F42&amp;"|"&amp;$G42,Map_Stats!$A$2:$A$779,0))),$O42))</f>
        <v/>
      </c>
      <c r="S42" s="8">
        <f>IF(OR($G42="",$P42=""),"",IFERROR(1/(1/INDEX(Map_Stats!$I$2:$I$779,MATCH($F42&amp;"|"&amp;$G42,Map_Stats!$A$2:$A$779,0))),$P42))</f>
        <v/>
      </c>
      <c r="T42" s="11">
        <f>IF(OR($G42="",R42=""),"",IF($O42="",R42,(Q42*R42+Config!$B$4*$O42)/(Q42+Config!$B$4)))</f>
        <v/>
      </c>
      <c r="U42" s="8">
        <f>IF(S42="","",(Q42*S42+Config!$B$4*$P42)/(Q42+Config!$B$4))</f>
        <v/>
      </c>
      <c r="V42" s="15">
        <f>IF(OR(T42="",$J42=""),"",T42*$J42*($J42/Config!$B$10)^Config!$B$9)</f>
        <v/>
      </c>
      <c r="W42" s="15">
        <f>IF(OR(V42="",U42=""),"",V42*U42)</f>
        <v/>
      </c>
      <c r="X42">
        <f>IF($H42="",0,SUMIFS(Map_Stats!$F$2:$F$779,Map_Stats!$A$2:$A$779,$F42&amp;"|"&amp;$H42))</f>
        <v/>
      </c>
      <c r="Y42" s="11">
        <f>IF($H42="","",IFERROR(1/(1/INDEX(Map_Stats!$K$2:$K$779,MATCH($F42&amp;"|"&amp;$H42,Map_Stats!$A$2:$A$779,0))),$O42))</f>
        <v/>
      </c>
      <c r="Z42" s="8">
        <f>IF(OR($H42="",$P42=""),"",IFERROR(1/(1/INDEX(Map_Stats!$I$2:$I$779,MATCH($F42&amp;"|"&amp;$H42,Map_Stats!$A$2:$A$779,0))),$P42))</f>
        <v/>
      </c>
      <c r="AA42" s="11">
        <f>IF(OR($H42="",Y42=""),"",IF($O42="",Y42,(X42*Y42+Config!$B$4*$O42)/(X42+Config!$B$4)))</f>
        <v/>
      </c>
      <c r="AB42" s="8">
        <f>IF(Z42="","",(X42*Z42+Config!$B$4*$P42)/(X42+Config!$B$4))</f>
        <v/>
      </c>
      <c r="AC42" s="15">
        <f>IF(OR(AA42="",$K42=""),"",AA42*$K42*($K42/Config!$B$10)^Config!$B$9)</f>
        <v/>
      </c>
      <c r="AD42" s="15">
        <f>IF(OR(AC42="",AB42=""),"",AC42*AB42)</f>
        <v/>
      </c>
      <c r="AE42">
        <f>IF($I42="",0,SUMIFS(Map_Stats!$F$2:$F$779,Map_Stats!$A$2:$A$779,$F42&amp;"|"&amp;$I42))</f>
        <v/>
      </c>
      <c r="AF42" s="11">
        <f>IF($I42="","",IFERROR(1/(1/INDEX(Map_Stats!$K$2:$K$779,MATCH($F42&amp;"|"&amp;$I42,Map_Stats!$A$2:$A$779,0))),$O42))</f>
        <v/>
      </c>
      <c r="AG42" s="8">
        <f>IF(OR($I42="",$P42=""),"",IFERROR(1/(1/INDEX(Map_Stats!$I$2:$I$779,MATCH($F42&amp;"|"&amp;$I42,Map_Stats!$A$2:$A$779,0))),$P42))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IF($C42=Board!$B$2,COUNTIFS($C$2:$C$124,Board!$B$2,$AL$2:$AL$124,"&gt;"&amp;$AL42)+COUNTIFS($C$1:$C41,Board!$B$2,$AL$1:$AL41,$AL42)+1,"")</f>
        <v/>
      </c>
      <c r="AS42">
        <f>IFERROR(IF($D42=INDEX(Matches!$AD$5:$AD$19,MATCH($C42,Matches!$A$5:$A$19,0)),"A",IF($D42=INDEX(Matches!$AE$5:$AE$19,MATCH($C42,Matches!$A$5:$A$19,0)),"B","")),"")</f>
        <v/>
      </c>
      <c r="AT42" s="8">
        <f>IF($AS42="","",IFERROR(IF($AS42="A",INDEX(Matches!$AI$5:$AI$19,MATCH($C42,Matches!$A$5:$A$19,0)),INDEX(Matches!$AJ$5:$AJ$19,MATCH($C42,Matches!$A$5:$A$19,0))),""))</f>
        <v/>
      </c>
      <c r="AU42" s="8">
        <f>IF($AS42="","",IFERROR(IF(INDEX(Matches!$AP$5:$AP$19,MATCH($C42,Matches!$A$5:$A$19,0))="","",IF($AS42="A",INDEX(Matches!$AP$5:$AP$19,MATCH($C42,Matches!$A$5:$A$19,0)),1-INDEX(Matches!$AP$5:$AP$19,MATCH($C42,Matches!$A$5:$A$19,0)))),""))</f>
        <v/>
      </c>
      <c r="AV42" s="11">
        <f>IF(OR($AU42="",$AT42=""),1,((Config!$B$14*$AU42+Config!$B$15*(1-$AU42))/(Config!$B$14*$AT42+Config!$B$15*(1-$AT42)))^Config!$B$13)</f>
        <v/>
      </c>
      <c r="AW42" s="8">
        <f>IF($AS42="","",IFERROR(IF(INDEX(Matches!$AV$5:$AV$19,MATCH($C42,Matches!$A$5:$A$19,0))="","",IF($AS42="A",INDEX(Matches!$AV$5:$AV$19,MATCH($C42,Matches!$A$5:$A$19,0)),1-INDEX(Matches!$AV$5:$AV$19,MATCH($C42,Matches!$A$5:$A$19,0)))),""))</f>
        <v/>
      </c>
      <c r="AX42" s="11">
        <f>IF(OR($AW42="",$AT42=""),1,((Config!$B$14*$AW42+Config!$B$15*(1-$AW42))/(Config!$B$14*$AT42+Config!$B$15*(1-$AT42)))^Config!$B$13)</f>
        <v/>
      </c>
      <c r="AY42" s="8">
        <f>IF($AS42="","",IFERROR(IF(INDEX(Matches!$BB$5:$BB$19,MATCH($C42,Matches!$A$5:$A$19,0))="","",IF($AS42="A",INDEX(Matches!$BB$5:$BB$19,MATCH($C42,Matches!$A$5:$A$19,0)),1-INDEX(Matches!$BB$5:$BB$19,MATCH($C42,Matches!$A$5:$A$19,0)))),""))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fcekd28mes5c7xs|CS2 · FORZE.R vs ex-RUSTEC</t>
        </is>
      </c>
      <c r="B43" t="inlineStr">
        <is>
          <t>CS2</t>
        </is>
      </c>
      <c r="C43" t="inlineStr">
        <is>
          <t>CS2 · FORZE.R vs ex-RUSTEC</t>
        </is>
      </c>
      <c r="D43" t="inlineStr">
        <is>
          <t>FORZE.R</t>
        </is>
      </c>
      <c r="E43" t="inlineStr">
        <is>
          <t>YumsaN</t>
        </is>
      </c>
      <c r="F43" t="inlineStr">
        <is>
          <t>fcekd28mes5c7xs</t>
        </is>
      </c>
      <c r="G43">
        <f>IFERROR(IF(INDEX(Matches!$W$5:$W$19,MATCH($C43,Matches!$A$5:$A$19,0))="","",INDEX(Matches!$W$5:$W$19,MATCH($C43,Matches!$A$5:$A$19,0))),"")</f>
        <v/>
      </c>
      <c r="H43">
        <f>IFERROR(IF(INDEX(Matches!$X$5:$X$19,MATCH($C43,Matches!$A$5:$A$19,0))="","",INDEX(Matches!$X$5:$X$19,MATCH($C43,Matches!$A$5:$A$19,0))),"")</f>
        <v/>
      </c>
      <c r="I43">
        <f>IFERROR(IF(INDEX(Matches!$Y$5:$Y$19,MATCH($C43,Matches!$A$5:$A$19,0))="","",INDEX(Matches!$Y$5:$Y$19,MATCH($C43,Matches!$A$5:$A$19,0))),"")</f>
        <v/>
      </c>
      <c r="J43">
        <f>IFERROR(IF(INDEX(Matches!$Z$5:$Z$19,MATCH($C43,Matches!$A$5:$A$19,0))="","",INDEX(Matches!$Z$5:$Z$19,MATCH($C43,Matches!$A$5:$A$19,0))),"")</f>
        <v/>
      </c>
      <c r="K43">
        <f>IFERROR(IF(INDEX(Matches!$AA$5:$AA$19,MATCH($C43,Matches!$A$5:$A$19,0))="","",INDEX(Matches!$AA$5:$AA$19,MATCH($C43,Matches!$A$5:$A$19,0))),"")</f>
        <v/>
      </c>
      <c r="L43">
        <f>IFERROR(IF(INDEX(Matches!$AB$5:$AB$19,MATCH($C43,Matches!$A$5:$A$19,0))="","",INDEX(Matches!$AB$5:$AB$19,MATCH($C43,Matches!$A$5:$A$19,0))),"")</f>
        <v/>
      </c>
      <c r="M43" s="8">
        <f>IFERROR(IF(INDEX(Matches!$AC$5:$AC$19,MATCH($C43,Matches!$A$5:$A$19,0))="","",INDEX(Matches!$AC$5:$AC$19,MATCH($C43,Matches!$A$5:$A$19,0))),"")</f>
        <v/>
      </c>
      <c r="N43">
        <f>IFERROR(INDEX(Players!$F$2:$F$124,MATCH($F43,Players!$A$2:$A$124,0)),0)</f>
        <v/>
      </c>
      <c r="O43" s="11">
        <f>IFERROR(1/(1/INDEX(Players!$H$2:$H$124,MATCH($F43,Players!$A$2:$A$124,0))),"")</f>
        <v/>
      </c>
      <c r="P43" s="8">
        <f>IFERROR(1/(1/INDEX(Players!$I$2:$I$124,MATCH($F43,Players!$A$2:$A$124,0))),"")</f>
        <v/>
      </c>
      <c r="Q43">
        <f>IF($G43="",0,SUMIFS(Map_Stats!$F$2:$F$779,Map_Stats!$A$2:$A$779,$F43&amp;"|"&amp;$G43))</f>
        <v/>
      </c>
      <c r="R43" s="11">
        <f>IF($G43="","",IFERROR(1/(1/INDEX(Map_Stats!$K$2:$K$779,MATCH($F43&amp;"|"&amp;$G43,Map_Stats!$A$2:$A$779,0))),$O43))</f>
        <v/>
      </c>
      <c r="S43" s="8">
        <f>IF(OR($G43="",$P43=""),"",IFERROR(1/(1/INDEX(Map_Stats!$I$2:$I$779,MATCH($F43&amp;"|"&amp;$G43,Map_Stats!$A$2:$A$779,0))),$P43))</f>
        <v/>
      </c>
      <c r="T43" s="11">
        <f>IF(OR($G43="",R43=""),"",IF($O43="",R43,(Q43*R43+Config!$B$4*$O43)/(Q43+Config!$B$4)))</f>
        <v/>
      </c>
      <c r="U43" s="8">
        <f>IF(S43="","",(Q43*S43+Config!$B$4*$P43)/(Q43+Config!$B$4))</f>
        <v/>
      </c>
      <c r="V43" s="15">
        <f>IF(OR(T43="",$J43=""),"",T43*$J43*($J43/Config!$B$10)^Config!$B$9)</f>
        <v/>
      </c>
      <c r="W43" s="15">
        <f>IF(OR(V43="",U43=""),"",V43*U43)</f>
        <v/>
      </c>
      <c r="X43">
        <f>IF($H43="",0,SUMIFS(Map_Stats!$F$2:$F$779,Map_Stats!$A$2:$A$779,$F43&amp;"|"&amp;$H43))</f>
        <v/>
      </c>
      <c r="Y43" s="11">
        <f>IF($H43="","",IFERROR(1/(1/INDEX(Map_Stats!$K$2:$K$779,MATCH($F43&amp;"|"&amp;$H43,Map_Stats!$A$2:$A$779,0))),$O43))</f>
        <v/>
      </c>
      <c r="Z43" s="8">
        <f>IF(OR($H43="",$P43=""),"",IFERROR(1/(1/INDEX(Map_Stats!$I$2:$I$779,MATCH($F43&amp;"|"&amp;$H43,Map_Stats!$A$2:$A$779,0))),$P43))</f>
        <v/>
      </c>
      <c r="AA43" s="11">
        <f>IF(OR($H43="",Y43=""),"",IF($O43="",Y43,(X43*Y43+Config!$B$4*$O43)/(X43+Config!$B$4)))</f>
        <v/>
      </c>
      <c r="AB43" s="8">
        <f>IF(Z43="","",(X43*Z43+Config!$B$4*$P43)/(X43+Config!$B$4))</f>
        <v/>
      </c>
      <c r="AC43" s="15">
        <f>IF(OR(AA43="",$K43=""),"",AA43*$K43*($K43/Config!$B$10)^Config!$B$9)</f>
        <v/>
      </c>
      <c r="AD43" s="15">
        <f>IF(OR(AC43="",AB43=""),"",AC43*AB43)</f>
        <v/>
      </c>
      <c r="AE43">
        <f>IF($I43="",0,SUMIFS(Map_Stats!$F$2:$F$779,Map_Stats!$A$2:$A$779,$F43&amp;"|"&amp;$I43))</f>
        <v/>
      </c>
      <c r="AF43" s="11">
        <f>IF($I43="","",IFERROR(1/(1/INDEX(Map_Stats!$K$2:$K$779,MATCH($F43&amp;"|"&amp;$I43,Map_Stats!$A$2:$A$779,0))),$O43))</f>
        <v/>
      </c>
      <c r="AG43" s="8">
        <f>IF(OR($I43="",$P43=""),"",IFERROR(1/(1/INDEX(Map_Stats!$I$2:$I$779,MATCH($F43&amp;"|"&amp;$I43,Map_Stats!$A$2:$A$779,0))),$P43))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IF($C43=Board!$B$2,COUNTIFS($C$2:$C$124,Board!$B$2,$AL$2:$AL$124,"&gt;"&amp;$AL43)+COUNTIFS($C$1:$C42,Board!$B$2,$AL$1:$AL42,$AL43)+1,"")</f>
        <v/>
      </c>
      <c r="AS43">
        <f>IFERROR(IF($D43=INDEX(Matches!$AD$5:$AD$19,MATCH($C43,Matches!$A$5:$A$19,0)),"A",IF($D43=INDEX(Matches!$AE$5:$AE$19,MATCH($C43,Matches!$A$5:$A$19,0)),"B","")),"")</f>
        <v/>
      </c>
      <c r="AT43" s="8">
        <f>IF($AS43="","",IFERROR(IF($AS43="A",INDEX(Matches!$AI$5:$AI$19,MATCH($C43,Matches!$A$5:$A$19,0)),INDEX(Matches!$AJ$5:$AJ$19,MATCH($C43,Matches!$A$5:$A$19,0))),""))</f>
        <v/>
      </c>
      <c r="AU43" s="8">
        <f>IF($AS43="","",IFERROR(IF(INDEX(Matches!$AP$5:$AP$19,MATCH($C43,Matches!$A$5:$A$19,0))="","",IF($AS43="A",INDEX(Matches!$AP$5:$AP$19,MATCH($C43,Matches!$A$5:$A$19,0)),1-INDEX(Matches!$AP$5:$AP$19,MATCH($C43,Matches!$A$5:$A$19,0)))),""))</f>
        <v/>
      </c>
      <c r="AV43" s="11">
        <f>IF(OR($AU43="",$AT43=""),1,((Config!$B$14*$AU43+Config!$B$15*(1-$AU43))/(Config!$B$14*$AT43+Config!$B$15*(1-$AT43)))^Config!$B$13)</f>
        <v/>
      </c>
      <c r="AW43" s="8">
        <f>IF($AS43="","",IFERROR(IF(INDEX(Matches!$AV$5:$AV$19,MATCH($C43,Matches!$A$5:$A$19,0))="","",IF($AS43="A",INDEX(Matches!$AV$5:$AV$19,MATCH($C43,Matches!$A$5:$A$19,0)),1-INDEX(Matches!$AV$5:$AV$19,MATCH($C43,Matches!$A$5:$A$19,0)))),""))</f>
        <v/>
      </c>
      <c r="AX43" s="11">
        <f>IF(OR($AW43="",$AT43=""),1,((Config!$B$14*$AW43+Config!$B$15*(1-$AW43))/(Config!$B$14*$AT43+Config!$B$15*(1-$AT43)))^Config!$B$13)</f>
        <v/>
      </c>
      <c r="AY43" s="8">
        <f>IF($AS43="","",IFERROR(IF(INDEX(Matches!$BB$5:$BB$19,MATCH($C43,Matches!$A$5:$A$19,0))="","",IF($AS43="A",INDEX(Matches!$BB$5:$BB$19,MATCH($C43,Matches!$A$5:$A$19,0)),1-INDEX(Matches!$BB$5:$BB$19,MATCH($C43,Matches!$A$5:$A$19,0)))),""))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u2qbkafgxd78s8o|CS2 · FORZE.R vs ex-RUSTEC</t>
        </is>
      </c>
      <c r="B44" t="inlineStr">
        <is>
          <t>CS2</t>
        </is>
      </c>
      <c r="C44" t="inlineStr">
        <is>
          <t>CS2 · FORZE.R vs ex-RUSTEC</t>
        </is>
      </c>
      <c r="D44" t="inlineStr">
        <is>
          <t>ex-RUSTEC</t>
        </is>
      </c>
      <c r="E44" t="inlineStr">
        <is>
          <t>bl1x1</t>
        </is>
      </c>
      <c r="F44" t="inlineStr">
        <is>
          <t>u2qbkafgxd78s8o</t>
        </is>
      </c>
      <c r="G44">
        <f>IFERROR(IF(INDEX(Matches!$W$5:$W$19,MATCH($C44,Matches!$A$5:$A$19,0))="","",INDEX(Matches!$W$5:$W$19,MATCH($C44,Matches!$A$5:$A$19,0))),"")</f>
        <v/>
      </c>
      <c r="H44">
        <f>IFERROR(IF(INDEX(Matches!$X$5:$X$19,MATCH($C44,Matches!$A$5:$A$19,0))="","",INDEX(Matches!$X$5:$X$19,MATCH($C44,Matches!$A$5:$A$19,0))),"")</f>
        <v/>
      </c>
      <c r="I44">
        <f>IFERROR(IF(INDEX(Matches!$Y$5:$Y$19,MATCH($C44,Matches!$A$5:$A$19,0))="","",INDEX(Matches!$Y$5:$Y$19,MATCH($C44,Matches!$A$5:$A$19,0))),"")</f>
        <v/>
      </c>
      <c r="J44">
        <f>IFERROR(IF(INDEX(Matches!$Z$5:$Z$19,MATCH($C44,Matches!$A$5:$A$19,0))="","",INDEX(Matches!$Z$5:$Z$19,MATCH($C44,Matches!$A$5:$A$19,0))),"")</f>
        <v/>
      </c>
      <c r="K44">
        <f>IFERROR(IF(INDEX(Matches!$AA$5:$AA$19,MATCH($C44,Matches!$A$5:$A$19,0))="","",INDEX(Matches!$AA$5:$AA$19,MATCH($C44,Matches!$A$5:$A$19,0))),"")</f>
        <v/>
      </c>
      <c r="L44">
        <f>IFERROR(IF(INDEX(Matches!$AB$5:$AB$19,MATCH($C44,Matches!$A$5:$A$19,0))="","",INDEX(Matches!$AB$5:$AB$19,MATCH($C44,Matches!$A$5:$A$19,0))),"")</f>
        <v/>
      </c>
      <c r="M44" s="8">
        <f>IFERROR(IF(INDEX(Matches!$AC$5:$AC$19,MATCH($C44,Matches!$A$5:$A$19,0))="","",INDEX(Matches!$AC$5:$AC$19,MATCH($C44,Matches!$A$5:$A$19,0))),"")</f>
        <v/>
      </c>
      <c r="N44">
        <f>IFERROR(INDEX(Players!$F$2:$F$124,MATCH($F44,Players!$A$2:$A$124,0)),0)</f>
        <v/>
      </c>
      <c r="O44" s="11">
        <f>IFERROR(1/(1/INDEX(Players!$H$2:$H$124,MATCH($F44,Players!$A$2:$A$124,0))),"")</f>
        <v/>
      </c>
      <c r="P44" s="8">
        <f>IFERROR(1/(1/INDEX(Players!$I$2:$I$124,MATCH($F44,Players!$A$2:$A$124,0))),"")</f>
        <v/>
      </c>
      <c r="Q44">
        <f>IF($G44="",0,SUMIFS(Map_Stats!$F$2:$F$779,Map_Stats!$A$2:$A$779,$F44&amp;"|"&amp;$G44))</f>
        <v/>
      </c>
      <c r="R44" s="11">
        <f>IF($G44="","",IFERROR(1/(1/INDEX(Map_Stats!$K$2:$K$779,MATCH($F44&amp;"|"&amp;$G44,Map_Stats!$A$2:$A$779,0))),$O44))</f>
        <v/>
      </c>
      <c r="S44" s="8">
        <f>IF(OR($G44="",$P44=""),"",IFERROR(1/(1/INDEX(Map_Stats!$I$2:$I$779,MATCH($F44&amp;"|"&amp;$G44,Map_Stats!$A$2:$A$779,0))),$P44))</f>
        <v/>
      </c>
      <c r="T44" s="11">
        <f>IF(OR($G44="",R44=""),"",IF($O44="",R44,(Q44*R44+Config!$B$4*$O44)/(Q44+Config!$B$4)))</f>
        <v/>
      </c>
      <c r="U44" s="8">
        <f>IF(S44="","",(Q44*S44+Config!$B$4*$P44)/(Q44+Config!$B$4))</f>
        <v/>
      </c>
      <c r="V44" s="15">
        <f>IF(OR(T44="",$J44=""),"",T44*$J44*($J44/Config!$B$10)^Config!$B$9)</f>
        <v/>
      </c>
      <c r="W44" s="15">
        <f>IF(OR(V44="",U44=""),"",V44*U44)</f>
        <v/>
      </c>
      <c r="X44">
        <f>IF($H44="",0,SUMIFS(Map_Stats!$F$2:$F$779,Map_Stats!$A$2:$A$779,$F44&amp;"|"&amp;$H44))</f>
        <v/>
      </c>
      <c r="Y44" s="11">
        <f>IF($H44="","",IFERROR(1/(1/INDEX(Map_Stats!$K$2:$K$779,MATCH($F44&amp;"|"&amp;$H44,Map_Stats!$A$2:$A$779,0))),$O44))</f>
        <v/>
      </c>
      <c r="Z44" s="8">
        <f>IF(OR($H44="",$P44=""),"",IFERROR(1/(1/INDEX(Map_Stats!$I$2:$I$779,MATCH($F44&amp;"|"&amp;$H44,Map_Stats!$A$2:$A$779,0))),$P44))</f>
        <v/>
      </c>
      <c r="AA44" s="11">
        <f>IF(OR($H44="",Y44=""),"",IF($O44="",Y44,(X44*Y44+Config!$B$4*$O44)/(X44+Config!$B$4)))</f>
        <v/>
      </c>
      <c r="AB44" s="8">
        <f>IF(Z44="","",(X44*Z44+Config!$B$4*$P44)/(X44+Config!$B$4))</f>
        <v/>
      </c>
      <c r="AC44" s="15">
        <f>IF(OR(AA44="",$K44=""),"",AA44*$K44*($K44/Config!$B$10)^Config!$B$9)</f>
        <v/>
      </c>
      <c r="AD44" s="15">
        <f>IF(OR(AC44="",AB44=""),"",AC44*AB44)</f>
        <v/>
      </c>
      <c r="AE44">
        <f>IF($I44="",0,SUMIFS(Map_Stats!$F$2:$F$779,Map_Stats!$A$2:$A$779,$F44&amp;"|"&amp;$I44))</f>
        <v/>
      </c>
      <c r="AF44" s="11">
        <f>IF($I44="","",IFERROR(1/(1/INDEX(Map_Stats!$K$2:$K$779,MATCH($F44&amp;"|"&amp;$I44,Map_Stats!$A$2:$A$779,0))),$O44))</f>
        <v/>
      </c>
      <c r="AG44" s="8">
        <f>IF(OR($I44="",$P44=""),"",IFERROR(1/(1/INDEX(Map_Stats!$I$2:$I$779,MATCH($F44&amp;"|"&amp;$I44,Map_Stats!$A$2:$A$779,0))),$P44))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IF($C44=Board!$B$2,COUNTIFS($C$2:$C$124,Board!$B$2,$AL$2:$AL$124,"&gt;"&amp;$AL44)+COUNTIFS($C$1:$C43,Board!$B$2,$AL$1:$AL43,$AL44)+1,"")</f>
        <v/>
      </c>
      <c r="AS44">
        <f>IFERROR(IF($D44=INDEX(Matches!$AD$5:$AD$19,MATCH($C44,Matches!$A$5:$A$19,0)),"A",IF($D44=INDEX(Matches!$AE$5:$AE$19,MATCH($C44,Matches!$A$5:$A$19,0)),"B","")),"")</f>
        <v/>
      </c>
      <c r="AT44" s="8">
        <f>IF($AS44="","",IFERROR(IF($AS44="A",INDEX(Matches!$AI$5:$AI$19,MATCH($C44,Matches!$A$5:$A$19,0)),INDEX(Matches!$AJ$5:$AJ$19,MATCH($C44,Matches!$A$5:$A$19,0))),""))</f>
        <v/>
      </c>
      <c r="AU44" s="8">
        <f>IF($AS44="","",IFERROR(IF(INDEX(Matches!$AP$5:$AP$19,MATCH($C44,Matches!$A$5:$A$19,0))="","",IF($AS44="A",INDEX(Matches!$AP$5:$AP$19,MATCH($C44,Matches!$A$5:$A$19,0)),1-INDEX(Matches!$AP$5:$AP$19,MATCH($C44,Matches!$A$5:$A$19,0)))),""))</f>
        <v/>
      </c>
      <c r="AV44" s="11">
        <f>IF(OR($AU44="",$AT44=""),1,((Config!$B$14*$AU44+Config!$B$15*(1-$AU44))/(Config!$B$14*$AT44+Config!$B$15*(1-$AT44)))^Config!$B$13)</f>
        <v/>
      </c>
      <c r="AW44" s="8">
        <f>IF($AS44="","",IFERROR(IF(INDEX(Matches!$AV$5:$AV$19,MATCH($C44,Matches!$A$5:$A$19,0))="","",IF($AS44="A",INDEX(Matches!$AV$5:$AV$19,MATCH($C44,Matches!$A$5:$A$19,0)),1-INDEX(Matches!$AV$5:$AV$19,MATCH($C44,Matches!$A$5:$A$19,0)))),""))</f>
        <v/>
      </c>
      <c r="AX44" s="11">
        <f>IF(OR($AW44="",$AT44=""),1,((Config!$B$14*$AW44+Config!$B$15*(1-$AW44))/(Config!$B$14*$AT44+Config!$B$15*(1-$AT44)))^Config!$B$13)</f>
        <v/>
      </c>
      <c r="AY44" s="8">
        <f>IF($AS44="","",IFERROR(IF(INDEX(Matches!$BB$5:$BB$19,MATCH($C44,Matches!$A$5:$A$19,0))="","",IF($AS44="A",INDEX(Matches!$BB$5:$BB$19,MATCH($C44,Matches!$A$5:$A$19,0)),1-INDEX(Matches!$BB$5:$BB$19,MATCH($C44,Matches!$A$5:$A$19,0)))),""))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ib0ui40iou8m5h8|CS2 · FORZE.R vs ex-RUSTEC</t>
        </is>
      </c>
      <c r="B45" t="inlineStr">
        <is>
          <t>CS2</t>
        </is>
      </c>
      <c r="C45" t="inlineStr">
        <is>
          <t>CS2 · FORZE.R vs ex-RUSTEC</t>
        </is>
      </c>
      <c r="D45" t="inlineStr">
        <is>
          <t>ex-RUSTEC</t>
        </is>
      </c>
      <c r="E45" t="inlineStr">
        <is>
          <t>Brilliance</t>
        </is>
      </c>
      <c r="F45" t="inlineStr">
        <is>
          <t>ib0ui40iou8m5h8</t>
        </is>
      </c>
      <c r="G45">
        <f>IFERROR(IF(INDEX(Matches!$W$5:$W$19,MATCH($C45,Matches!$A$5:$A$19,0))="","",INDEX(Matches!$W$5:$W$19,MATCH($C45,Matches!$A$5:$A$19,0))),"")</f>
        <v/>
      </c>
      <c r="H45">
        <f>IFERROR(IF(INDEX(Matches!$X$5:$X$19,MATCH($C45,Matches!$A$5:$A$19,0))="","",INDEX(Matches!$X$5:$X$19,MATCH($C45,Matches!$A$5:$A$19,0))),"")</f>
        <v/>
      </c>
      <c r="I45">
        <f>IFERROR(IF(INDEX(Matches!$Y$5:$Y$19,MATCH($C45,Matches!$A$5:$A$19,0))="","",INDEX(Matches!$Y$5:$Y$19,MATCH($C45,Matches!$A$5:$A$19,0))),"")</f>
        <v/>
      </c>
      <c r="J45">
        <f>IFERROR(IF(INDEX(Matches!$Z$5:$Z$19,MATCH($C45,Matches!$A$5:$A$19,0))="","",INDEX(Matches!$Z$5:$Z$19,MATCH($C45,Matches!$A$5:$A$19,0))),"")</f>
        <v/>
      </c>
      <c r="K45">
        <f>IFERROR(IF(INDEX(Matches!$AA$5:$AA$19,MATCH($C45,Matches!$A$5:$A$19,0))="","",INDEX(Matches!$AA$5:$AA$19,MATCH($C45,Matches!$A$5:$A$19,0))),"")</f>
        <v/>
      </c>
      <c r="L45">
        <f>IFERROR(IF(INDEX(Matches!$AB$5:$AB$19,MATCH($C45,Matches!$A$5:$A$19,0))="","",INDEX(Matches!$AB$5:$AB$19,MATCH($C45,Matches!$A$5:$A$19,0))),"")</f>
        <v/>
      </c>
      <c r="M45" s="8">
        <f>IFERROR(IF(INDEX(Matches!$AC$5:$AC$19,MATCH($C45,Matches!$A$5:$A$19,0))="","",INDEX(Matches!$AC$5:$AC$19,MATCH($C45,Matches!$A$5:$A$19,0))),"")</f>
        <v/>
      </c>
      <c r="N45">
        <f>IFERROR(INDEX(Players!$F$2:$F$124,MATCH($F45,Players!$A$2:$A$124,0)),0)</f>
        <v/>
      </c>
      <c r="O45" s="11">
        <f>IFERROR(1/(1/INDEX(Players!$H$2:$H$124,MATCH($F45,Players!$A$2:$A$124,0))),"")</f>
        <v/>
      </c>
      <c r="P45" s="8">
        <f>IFERROR(1/(1/INDEX(Players!$I$2:$I$124,MATCH($F45,Players!$A$2:$A$124,0))),"")</f>
        <v/>
      </c>
      <c r="Q45">
        <f>IF($G45="",0,SUMIFS(Map_Stats!$F$2:$F$779,Map_Stats!$A$2:$A$779,$F45&amp;"|"&amp;$G45))</f>
        <v/>
      </c>
      <c r="R45" s="11">
        <f>IF($G45="","",IFERROR(1/(1/INDEX(Map_Stats!$K$2:$K$779,MATCH($F45&amp;"|"&amp;$G45,Map_Stats!$A$2:$A$779,0))),$O45))</f>
        <v/>
      </c>
      <c r="S45" s="8">
        <f>IF(OR($G45="",$P45=""),"",IFERROR(1/(1/INDEX(Map_Stats!$I$2:$I$779,MATCH($F45&amp;"|"&amp;$G45,Map_Stats!$A$2:$A$779,0))),$P45))</f>
        <v/>
      </c>
      <c r="T45" s="11">
        <f>IF(OR($G45="",R45=""),"",IF($O45="",R45,(Q45*R45+Config!$B$4*$O45)/(Q45+Config!$B$4)))</f>
        <v/>
      </c>
      <c r="U45" s="8">
        <f>IF(S45="","",(Q45*S45+Config!$B$4*$P45)/(Q45+Config!$B$4))</f>
        <v/>
      </c>
      <c r="V45" s="15">
        <f>IF(OR(T45="",$J45=""),"",T45*$J45*($J45/Config!$B$10)^Config!$B$9)</f>
        <v/>
      </c>
      <c r="W45" s="15">
        <f>IF(OR(V45="",U45=""),"",V45*U45)</f>
        <v/>
      </c>
      <c r="X45">
        <f>IF($H45="",0,SUMIFS(Map_Stats!$F$2:$F$779,Map_Stats!$A$2:$A$779,$F45&amp;"|"&amp;$H45))</f>
        <v/>
      </c>
      <c r="Y45" s="11">
        <f>IF($H45="","",IFERROR(1/(1/INDEX(Map_Stats!$K$2:$K$779,MATCH($F45&amp;"|"&amp;$H45,Map_Stats!$A$2:$A$779,0))),$O45))</f>
        <v/>
      </c>
      <c r="Z45" s="8">
        <f>IF(OR($H45="",$P45=""),"",IFERROR(1/(1/INDEX(Map_Stats!$I$2:$I$779,MATCH($F45&amp;"|"&amp;$H45,Map_Stats!$A$2:$A$779,0))),$P45))</f>
        <v/>
      </c>
      <c r="AA45" s="11">
        <f>IF(OR($H45="",Y45=""),"",IF($O45="",Y45,(X45*Y45+Config!$B$4*$O45)/(X45+Config!$B$4)))</f>
        <v/>
      </c>
      <c r="AB45" s="8">
        <f>IF(Z45="","",(X45*Z45+Config!$B$4*$P45)/(X45+Config!$B$4))</f>
        <v/>
      </c>
      <c r="AC45" s="15">
        <f>IF(OR(AA45="",$K45=""),"",AA45*$K45*($K45/Config!$B$10)^Config!$B$9)</f>
        <v/>
      </c>
      <c r="AD45" s="15">
        <f>IF(OR(AC45="",AB45=""),"",AC45*AB45)</f>
        <v/>
      </c>
      <c r="AE45">
        <f>IF($I45="",0,SUMIFS(Map_Stats!$F$2:$F$779,Map_Stats!$A$2:$A$779,$F45&amp;"|"&amp;$I45))</f>
        <v/>
      </c>
      <c r="AF45" s="11">
        <f>IF($I45="","",IFERROR(1/(1/INDEX(Map_Stats!$K$2:$K$779,MATCH($F45&amp;"|"&amp;$I45,Map_Stats!$A$2:$A$779,0))),$O45))</f>
        <v/>
      </c>
      <c r="AG45" s="8">
        <f>IF(OR($I45="",$P45=""),"",IFERROR(1/(1/INDEX(Map_Stats!$I$2:$I$779,MATCH($F45&amp;"|"&amp;$I45,Map_Stats!$A$2:$A$779,0))),$P45))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IF($C45=Board!$B$2,COUNTIFS($C$2:$C$124,Board!$B$2,$AL$2:$AL$124,"&gt;"&amp;$AL45)+COUNTIFS($C$1:$C44,Board!$B$2,$AL$1:$AL44,$AL45)+1,"")</f>
        <v/>
      </c>
      <c r="AS45">
        <f>IFERROR(IF($D45=INDEX(Matches!$AD$5:$AD$19,MATCH($C45,Matches!$A$5:$A$19,0)),"A",IF($D45=INDEX(Matches!$AE$5:$AE$19,MATCH($C45,Matches!$A$5:$A$19,0)),"B","")),"")</f>
        <v/>
      </c>
      <c r="AT45" s="8">
        <f>IF($AS45="","",IFERROR(IF($AS45="A",INDEX(Matches!$AI$5:$AI$19,MATCH($C45,Matches!$A$5:$A$19,0)),INDEX(Matches!$AJ$5:$AJ$19,MATCH($C45,Matches!$A$5:$A$19,0))),""))</f>
        <v/>
      </c>
      <c r="AU45" s="8">
        <f>IF($AS45="","",IFERROR(IF(INDEX(Matches!$AP$5:$AP$19,MATCH($C45,Matches!$A$5:$A$19,0))="","",IF($AS45="A",INDEX(Matches!$AP$5:$AP$19,MATCH($C45,Matches!$A$5:$A$19,0)),1-INDEX(Matches!$AP$5:$AP$19,MATCH($C45,Matches!$A$5:$A$19,0)))),""))</f>
        <v/>
      </c>
      <c r="AV45" s="11">
        <f>IF(OR($AU45="",$AT45=""),1,((Config!$B$14*$AU45+Config!$B$15*(1-$AU45))/(Config!$B$14*$AT45+Config!$B$15*(1-$AT45)))^Config!$B$13)</f>
        <v/>
      </c>
      <c r="AW45" s="8">
        <f>IF($AS45="","",IFERROR(IF(INDEX(Matches!$AV$5:$AV$19,MATCH($C45,Matches!$A$5:$A$19,0))="","",IF($AS45="A",INDEX(Matches!$AV$5:$AV$19,MATCH($C45,Matches!$A$5:$A$19,0)),1-INDEX(Matches!$AV$5:$AV$19,MATCH($C45,Matches!$A$5:$A$19,0)))),""))</f>
        <v/>
      </c>
      <c r="AX45" s="11">
        <f>IF(OR($AW45="",$AT45=""),1,((Config!$B$14*$AW45+Config!$B$15*(1-$AW45))/(Config!$B$14*$AT45+Config!$B$15*(1-$AT45)))^Config!$B$13)</f>
        <v/>
      </c>
      <c r="AY45" s="8">
        <f>IF($AS45="","",IFERROR(IF(INDEX(Matches!$BB$5:$BB$19,MATCH($C45,Matches!$A$5:$A$19,0))="","",IF($AS45="A",INDEX(Matches!$BB$5:$BB$19,MATCH($C45,Matches!$A$5:$A$19,0)),1-INDEX(Matches!$BB$5:$BB$19,MATCH($C45,Matches!$A$5:$A$19,0)))),""))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5efm2s88qbsnvv0|CS2 · FORZE.R vs ex-RUSTEC</t>
        </is>
      </c>
      <c r="B46" t="inlineStr">
        <is>
          <t>CS2</t>
        </is>
      </c>
      <c r="C46" t="inlineStr">
        <is>
          <t>CS2 · FORZE.R vs ex-RUSTEC</t>
        </is>
      </c>
      <c r="D46" t="inlineStr">
        <is>
          <t>ex-RUSTEC</t>
        </is>
      </c>
      <c r="E46" t="inlineStr">
        <is>
          <t>jakekeS</t>
        </is>
      </c>
      <c r="F46" t="inlineStr">
        <is>
          <t>5efm2s88qbsnvv0</t>
        </is>
      </c>
      <c r="G46">
        <f>IFERROR(IF(INDEX(Matches!$W$5:$W$19,MATCH($C46,Matches!$A$5:$A$19,0))="","",INDEX(Matches!$W$5:$W$19,MATCH($C46,Matches!$A$5:$A$19,0))),"")</f>
        <v/>
      </c>
      <c r="H46">
        <f>IFERROR(IF(INDEX(Matches!$X$5:$X$19,MATCH($C46,Matches!$A$5:$A$19,0))="","",INDEX(Matches!$X$5:$X$19,MATCH($C46,Matches!$A$5:$A$19,0))),"")</f>
        <v/>
      </c>
      <c r="I46">
        <f>IFERROR(IF(INDEX(Matches!$Y$5:$Y$19,MATCH($C46,Matches!$A$5:$A$19,0))="","",INDEX(Matches!$Y$5:$Y$19,MATCH($C46,Matches!$A$5:$A$19,0))),"")</f>
        <v/>
      </c>
      <c r="J46">
        <f>IFERROR(IF(INDEX(Matches!$Z$5:$Z$19,MATCH($C46,Matches!$A$5:$A$19,0))="","",INDEX(Matches!$Z$5:$Z$19,MATCH($C46,Matches!$A$5:$A$19,0))),"")</f>
        <v/>
      </c>
      <c r="K46">
        <f>IFERROR(IF(INDEX(Matches!$AA$5:$AA$19,MATCH($C46,Matches!$A$5:$A$19,0))="","",INDEX(Matches!$AA$5:$AA$19,MATCH($C46,Matches!$A$5:$A$19,0))),"")</f>
        <v/>
      </c>
      <c r="L46">
        <f>IFERROR(IF(INDEX(Matches!$AB$5:$AB$19,MATCH($C46,Matches!$A$5:$A$19,0))="","",INDEX(Matches!$AB$5:$AB$19,MATCH($C46,Matches!$A$5:$A$19,0))),"")</f>
        <v/>
      </c>
      <c r="M46" s="8">
        <f>IFERROR(IF(INDEX(Matches!$AC$5:$AC$19,MATCH($C46,Matches!$A$5:$A$19,0))="","",INDEX(Matches!$AC$5:$AC$19,MATCH($C46,Matches!$A$5:$A$19,0))),"")</f>
        <v/>
      </c>
      <c r="N46">
        <f>IFERROR(INDEX(Players!$F$2:$F$124,MATCH($F46,Players!$A$2:$A$124,0)),0)</f>
        <v/>
      </c>
      <c r="O46" s="11">
        <f>IFERROR(1/(1/INDEX(Players!$H$2:$H$124,MATCH($F46,Players!$A$2:$A$124,0))),"")</f>
        <v/>
      </c>
      <c r="P46" s="8">
        <f>IFERROR(1/(1/INDEX(Players!$I$2:$I$124,MATCH($F46,Players!$A$2:$A$124,0))),"")</f>
        <v/>
      </c>
      <c r="Q46">
        <f>IF($G46="",0,SUMIFS(Map_Stats!$F$2:$F$779,Map_Stats!$A$2:$A$779,$F46&amp;"|"&amp;$G46))</f>
        <v/>
      </c>
      <c r="R46" s="11">
        <f>IF($G46="","",IFERROR(1/(1/INDEX(Map_Stats!$K$2:$K$779,MATCH($F46&amp;"|"&amp;$G46,Map_Stats!$A$2:$A$779,0))),$O46))</f>
        <v/>
      </c>
      <c r="S46" s="8">
        <f>IF(OR($G46="",$P46=""),"",IFERROR(1/(1/INDEX(Map_Stats!$I$2:$I$779,MATCH($F46&amp;"|"&amp;$G46,Map_Stats!$A$2:$A$779,0))),$P46))</f>
        <v/>
      </c>
      <c r="T46" s="11">
        <f>IF(OR($G46="",R46=""),"",IF($O46="",R46,(Q46*R46+Config!$B$4*$O46)/(Q46+Config!$B$4)))</f>
        <v/>
      </c>
      <c r="U46" s="8">
        <f>IF(S46="","",(Q46*S46+Config!$B$4*$P46)/(Q46+Config!$B$4))</f>
        <v/>
      </c>
      <c r="V46" s="15">
        <f>IF(OR(T46="",$J46=""),"",T46*$J46*($J46/Config!$B$10)^Config!$B$9)</f>
        <v/>
      </c>
      <c r="W46" s="15">
        <f>IF(OR(V46="",U46=""),"",V46*U46)</f>
        <v/>
      </c>
      <c r="X46">
        <f>IF($H46="",0,SUMIFS(Map_Stats!$F$2:$F$779,Map_Stats!$A$2:$A$779,$F46&amp;"|"&amp;$H46))</f>
        <v/>
      </c>
      <c r="Y46" s="11">
        <f>IF($H46="","",IFERROR(1/(1/INDEX(Map_Stats!$K$2:$K$779,MATCH($F46&amp;"|"&amp;$H46,Map_Stats!$A$2:$A$779,0))),$O46))</f>
        <v/>
      </c>
      <c r="Z46" s="8">
        <f>IF(OR($H46="",$P46=""),"",IFERROR(1/(1/INDEX(Map_Stats!$I$2:$I$779,MATCH($F46&amp;"|"&amp;$H46,Map_Stats!$A$2:$A$779,0))),$P46))</f>
        <v/>
      </c>
      <c r="AA46" s="11">
        <f>IF(OR($H46="",Y46=""),"",IF($O46="",Y46,(X46*Y46+Config!$B$4*$O46)/(X46+Config!$B$4)))</f>
        <v/>
      </c>
      <c r="AB46" s="8">
        <f>IF(Z46="","",(X46*Z46+Config!$B$4*$P46)/(X46+Config!$B$4))</f>
        <v/>
      </c>
      <c r="AC46" s="15">
        <f>IF(OR(AA46="",$K46=""),"",AA46*$K46*($K46/Config!$B$10)^Config!$B$9)</f>
        <v/>
      </c>
      <c r="AD46" s="15">
        <f>IF(OR(AC46="",AB46=""),"",AC46*AB46)</f>
        <v/>
      </c>
      <c r="AE46">
        <f>IF($I46="",0,SUMIFS(Map_Stats!$F$2:$F$779,Map_Stats!$A$2:$A$779,$F46&amp;"|"&amp;$I46))</f>
        <v/>
      </c>
      <c r="AF46" s="11">
        <f>IF($I46="","",IFERROR(1/(1/INDEX(Map_Stats!$K$2:$K$779,MATCH($F46&amp;"|"&amp;$I46,Map_Stats!$A$2:$A$779,0))),$O46))</f>
        <v/>
      </c>
      <c r="AG46" s="8">
        <f>IF(OR($I46="",$P46=""),"",IFERROR(1/(1/INDEX(Map_Stats!$I$2:$I$779,MATCH($F46&amp;"|"&amp;$I46,Map_Stats!$A$2:$A$779,0))),$P46))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IF($C46=Board!$B$2,COUNTIFS($C$2:$C$124,Board!$B$2,$AL$2:$AL$124,"&gt;"&amp;$AL46)+COUNTIFS($C$1:$C45,Board!$B$2,$AL$1:$AL45,$AL46)+1,"")</f>
        <v/>
      </c>
      <c r="AS46">
        <f>IFERROR(IF($D46=INDEX(Matches!$AD$5:$AD$19,MATCH($C46,Matches!$A$5:$A$19,0)),"A",IF($D46=INDEX(Matches!$AE$5:$AE$19,MATCH($C46,Matches!$A$5:$A$19,0)),"B","")),"")</f>
        <v/>
      </c>
      <c r="AT46" s="8">
        <f>IF($AS46="","",IFERROR(IF($AS46="A",INDEX(Matches!$AI$5:$AI$19,MATCH($C46,Matches!$A$5:$A$19,0)),INDEX(Matches!$AJ$5:$AJ$19,MATCH($C46,Matches!$A$5:$A$19,0))),""))</f>
        <v/>
      </c>
      <c r="AU46" s="8">
        <f>IF($AS46="","",IFERROR(IF(INDEX(Matches!$AP$5:$AP$19,MATCH($C46,Matches!$A$5:$A$19,0))="","",IF($AS46="A",INDEX(Matches!$AP$5:$AP$19,MATCH($C46,Matches!$A$5:$A$19,0)),1-INDEX(Matches!$AP$5:$AP$19,MATCH($C46,Matches!$A$5:$A$19,0)))),""))</f>
        <v/>
      </c>
      <c r="AV46" s="11">
        <f>IF(OR($AU46="",$AT46=""),1,((Config!$B$14*$AU46+Config!$B$15*(1-$AU46))/(Config!$B$14*$AT46+Config!$B$15*(1-$AT46)))^Config!$B$13)</f>
        <v/>
      </c>
      <c r="AW46" s="8">
        <f>IF($AS46="","",IFERROR(IF(INDEX(Matches!$AV$5:$AV$19,MATCH($C46,Matches!$A$5:$A$19,0))="","",IF($AS46="A",INDEX(Matches!$AV$5:$AV$19,MATCH($C46,Matches!$A$5:$A$19,0)),1-INDEX(Matches!$AV$5:$AV$19,MATCH($C46,Matches!$A$5:$A$19,0)))),""))</f>
        <v/>
      </c>
      <c r="AX46" s="11">
        <f>IF(OR($AW46="",$AT46=""),1,((Config!$B$14*$AW46+Config!$B$15*(1-$AW46))/(Config!$B$14*$AT46+Config!$B$15*(1-$AT46)))^Config!$B$13)</f>
        <v/>
      </c>
      <c r="AY46" s="8">
        <f>IF($AS46="","",IFERROR(IF(INDEX(Matches!$BB$5:$BB$19,MATCH($C46,Matches!$A$5:$A$19,0))="","",IF($AS46="A",INDEX(Matches!$BB$5:$BB$19,MATCH($C46,Matches!$A$5:$A$19,0)),1-INDEX(Matches!$BB$5:$BB$19,MATCH($C46,Matches!$A$5:$A$19,0)))),""))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dvwiagwt3fsxpwe|CS2 · FORZE.R vs ex-RUSTEC</t>
        </is>
      </c>
      <c r="B47" t="inlineStr">
        <is>
          <t>CS2</t>
        </is>
      </c>
      <c r="C47" t="inlineStr">
        <is>
          <t>CS2 · FORZE.R vs ex-RUSTEC</t>
        </is>
      </c>
      <c r="D47" t="inlineStr">
        <is>
          <t>ex-RUSTEC</t>
        </is>
      </c>
      <c r="E47" t="inlineStr">
        <is>
          <t>yiksrezo</t>
        </is>
      </c>
      <c r="F47" t="inlineStr">
        <is>
          <t>dvwiagwt3fsxpwe</t>
        </is>
      </c>
      <c r="G47">
        <f>IFERROR(IF(INDEX(Matches!$W$5:$W$19,MATCH($C47,Matches!$A$5:$A$19,0))="","",INDEX(Matches!$W$5:$W$19,MATCH($C47,Matches!$A$5:$A$19,0))),"")</f>
        <v/>
      </c>
      <c r="H47">
        <f>IFERROR(IF(INDEX(Matches!$X$5:$X$19,MATCH($C47,Matches!$A$5:$A$19,0))="","",INDEX(Matches!$X$5:$X$19,MATCH($C47,Matches!$A$5:$A$19,0))),"")</f>
        <v/>
      </c>
      <c r="I47">
        <f>IFERROR(IF(INDEX(Matches!$Y$5:$Y$19,MATCH($C47,Matches!$A$5:$A$19,0))="","",INDEX(Matches!$Y$5:$Y$19,MATCH($C47,Matches!$A$5:$A$19,0))),"")</f>
        <v/>
      </c>
      <c r="J47">
        <f>IFERROR(IF(INDEX(Matches!$Z$5:$Z$19,MATCH($C47,Matches!$A$5:$A$19,0))="","",INDEX(Matches!$Z$5:$Z$19,MATCH($C47,Matches!$A$5:$A$19,0))),"")</f>
        <v/>
      </c>
      <c r="K47">
        <f>IFERROR(IF(INDEX(Matches!$AA$5:$AA$19,MATCH($C47,Matches!$A$5:$A$19,0))="","",INDEX(Matches!$AA$5:$AA$19,MATCH($C47,Matches!$A$5:$A$19,0))),"")</f>
        <v/>
      </c>
      <c r="L47">
        <f>IFERROR(IF(INDEX(Matches!$AB$5:$AB$19,MATCH($C47,Matches!$A$5:$A$19,0))="","",INDEX(Matches!$AB$5:$AB$19,MATCH($C47,Matches!$A$5:$A$19,0))),"")</f>
        <v/>
      </c>
      <c r="M47" s="8">
        <f>IFERROR(IF(INDEX(Matches!$AC$5:$AC$19,MATCH($C47,Matches!$A$5:$A$19,0))="","",INDEX(Matches!$AC$5:$AC$19,MATCH($C47,Matches!$A$5:$A$19,0))),"")</f>
        <v/>
      </c>
      <c r="N47">
        <f>IFERROR(INDEX(Players!$F$2:$F$124,MATCH($F47,Players!$A$2:$A$124,0)),0)</f>
        <v/>
      </c>
      <c r="O47" s="11">
        <f>IFERROR(1/(1/INDEX(Players!$H$2:$H$124,MATCH($F47,Players!$A$2:$A$124,0))),"")</f>
        <v/>
      </c>
      <c r="P47" s="8">
        <f>IFERROR(1/(1/INDEX(Players!$I$2:$I$124,MATCH($F47,Players!$A$2:$A$124,0))),"")</f>
        <v/>
      </c>
      <c r="Q47">
        <f>IF($G47="",0,SUMIFS(Map_Stats!$F$2:$F$779,Map_Stats!$A$2:$A$779,$F47&amp;"|"&amp;$G47))</f>
        <v/>
      </c>
      <c r="R47" s="11">
        <f>IF($G47="","",IFERROR(1/(1/INDEX(Map_Stats!$K$2:$K$779,MATCH($F47&amp;"|"&amp;$G47,Map_Stats!$A$2:$A$779,0))),$O47))</f>
        <v/>
      </c>
      <c r="S47" s="8">
        <f>IF(OR($G47="",$P47=""),"",IFERROR(1/(1/INDEX(Map_Stats!$I$2:$I$779,MATCH($F47&amp;"|"&amp;$G47,Map_Stats!$A$2:$A$779,0))),$P47))</f>
        <v/>
      </c>
      <c r="T47" s="11">
        <f>IF(OR($G47="",R47=""),"",IF($O47="",R47,(Q47*R47+Config!$B$4*$O47)/(Q47+Config!$B$4)))</f>
        <v/>
      </c>
      <c r="U47" s="8">
        <f>IF(S47="","",(Q47*S47+Config!$B$4*$P47)/(Q47+Config!$B$4))</f>
        <v/>
      </c>
      <c r="V47" s="15">
        <f>IF(OR(T47="",$J47=""),"",T47*$J47*($J47/Config!$B$10)^Config!$B$9)</f>
        <v/>
      </c>
      <c r="W47" s="15">
        <f>IF(OR(V47="",U47=""),"",V47*U47)</f>
        <v/>
      </c>
      <c r="X47">
        <f>IF($H47="",0,SUMIFS(Map_Stats!$F$2:$F$779,Map_Stats!$A$2:$A$779,$F47&amp;"|"&amp;$H47))</f>
        <v/>
      </c>
      <c r="Y47" s="11">
        <f>IF($H47="","",IFERROR(1/(1/INDEX(Map_Stats!$K$2:$K$779,MATCH($F47&amp;"|"&amp;$H47,Map_Stats!$A$2:$A$779,0))),$O47))</f>
        <v/>
      </c>
      <c r="Z47" s="8">
        <f>IF(OR($H47="",$P47=""),"",IFERROR(1/(1/INDEX(Map_Stats!$I$2:$I$779,MATCH($F47&amp;"|"&amp;$H47,Map_Stats!$A$2:$A$779,0))),$P47))</f>
        <v/>
      </c>
      <c r="AA47" s="11">
        <f>IF(OR($H47="",Y47=""),"",IF($O47="",Y47,(X47*Y47+Config!$B$4*$O47)/(X47+Config!$B$4)))</f>
        <v/>
      </c>
      <c r="AB47" s="8">
        <f>IF(Z47="","",(X47*Z47+Config!$B$4*$P47)/(X47+Config!$B$4))</f>
        <v/>
      </c>
      <c r="AC47" s="15">
        <f>IF(OR(AA47="",$K47=""),"",AA47*$K47*($K47/Config!$B$10)^Config!$B$9)</f>
        <v/>
      </c>
      <c r="AD47" s="15">
        <f>IF(OR(AC47="",AB47=""),"",AC47*AB47)</f>
        <v/>
      </c>
      <c r="AE47">
        <f>IF($I47="",0,SUMIFS(Map_Stats!$F$2:$F$779,Map_Stats!$A$2:$A$779,$F47&amp;"|"&amp;$I47))</f>
        <v/>
      </c>
      <c r="AF47" s="11">
        <f>IF($I47="","",IFERROR(1/(1/INDEX(Map_Stats!$K$2:$K$779,MATCH($F47&amp;"|"&amp;$I47,Map_Stats!$A$2:$A$779,0))),$O47))</f>
        <v/>
      </c>
      <c r="AG47" s="8">
        <f>IF(OR($I47="",$P47=""),"",IFERROR(1/(1/INDEX(Map_Stats!$I$2:$I$779,MATCH($F47&amp;"|"&amp;$I47,Map_Stats!$A$2:$A$779,0))),$P47))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IF($C47=Board!$B$2,COUNTIFS($C$2:$C$124,Board!$B$2,$AL$2:$AL$124,"&gt;"&amp;$AL47)+COUNTIFS($C$1:$C46,Board!$B$2,$AL$1:$AL46,$AL47)+1,"")</f>
        <v/>
      </c>
      <c r="AS47">
        <f>IFERROR(IF($D47=INDEX(Matches!$AD$5:$AD$19,MATCH($C47,Matches!$A$5:$A$19,0)),"A",IF($D47=INDEX(Matches!$AE$5:$AE$19,MATCH($C47,Matches!$A$5:$A$19,0)),"B","")),"")</f>
        <v/>
      </c>
      <c r="AT47" s="8">
        <f>IF($AS47="","",IFERROR(IF($AS47="A",INDEX(Matches!$AI$5:$AI$19,MATCH($C47,Matches!$A$5:$A$19,0)),INDEX(Matches!$AJ$5:$AJ$19,MATCH($C47,Matches!$A$5:$A$19,0))),""))</f>
        <v/>
      </c>
      <c r="AU47" s="8">
        <f>IF($AS47="","",IFERROR(IF(INDEX(Matches!$AP$5:$AP$19,MATCH($C47,Matches!$A$5:$A$19,0))="","",IF($AS47="A",INDEX(Matches!$AP$5:$AP$19,MATCH($C47,Matches!$A$5:$A$19,0)),1-INDEX(Matches!$AP$5:$AP$19,MATCH($C47,Matches!$A$5:$A$19,0)))),""))</f>
        <v/>
      </c>
      <c r="AV47" s="11">
        <f>IF(OR($AU47="",$AT47=""),1,((Config!$B$14*$AU47+Config!$B$15*(1-$AU47))/(Config!$B$14*$AT47+Config!$B$15*(1-$AT47)))^Config!$B$13)</f>
        <v/>
      </c>
      <c r="AW47" s="8">
        <f>IF($AS47="","",IFERROR(IF(INDEX(Matches!$AV$5:$AV$19,MATCH($C47,Matches!$A$5:$A$19,0))="","",IF($AS47="A",INDEX(Matches!$AV$5:$AV$19,MATCH($C47,Matches!$A$5:$A$19,0)),1-INDEX(Matches!$AV$5:$AV$19,MATCH($C47,Matches!$A$5:$A$19,0)))),""))</f>
        <v/>
      </c>
      <c r="AX47" s="11">
        <f>IF(OR($AW47="",$AT47=""),1,((Config!$B$14*$AW47+Config!$B$15*(1-$AW47))/(Config!$B$14*$AT47+Config!$B$15*(1-$AT47)))^Config!$B$13)</f>
        <v/>
      </c>
      <c r="AY47" s="8">
        <f>IF($AS47="","",IFERROR(IF(INDEX(Matches!$BB$5:$BB$19,MATCH($C47,Matches!$A$5:$A$19,0))="","",IF($AS47="A",INDEX(Matches!$BB$5:$BB$19,MATCH($C47,Matches!$A$5:$A$19,0)),1-INDEX(Matches!$BB$5:$BB$19,MATCH($C47,Matches!$A$5:$A$19,0)))),""))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41ry45brll61gbm|CS2 · FORZE.R vs ex-RUSTEC</t>
        </is>
      </c>
      <c r="B48" t="inlineStr">
        <is>
          <t>CS2</t>
        </is>
      </c>
      <c r="C48" t="inlineStr">
        <is>
          <t>CS2 · FORZE.R vs ex-RUSTEC</t>
        </is>
      </c>
      <c r="D48" t="inlineStr">
        <is>
          <t>ex-RUSTEC</t>
        </is>
      </c>
      <c r="E48" t="inlineStr">
        <is>
          <t>youka</t>
        </is>
      </c>
      <c r="F48" t="inlineStr">
        <is>
          <t>41ry45brll61gbm</t>
        </is>
      </c>
      <c r="G48">
        <f>IFERROR(IF(INDEX(Matches!$W$5:$W$19,MATCH($C48,Matches!$A$5:$A$19,0))="","",INDEX(Matches!$W$5:$W$19,MATCH($C48,Matches!$A$5:$A$19,0))),"")</f>
        <v/>
      </c>
      <c r="H48">
        <f>IFERROR(IF(INDEX(Matches!$X$5:$X$19,MATCH($C48,Matches!$A$5:$A$19,0))="","",INDEX(Matches!$X$5:$X$19,MATCH($C48,Matches!$A$5:$A$19,0))),"")</f>
        <v/>
      </c>
      <c r="I48">
        <f>IFERROR(IF(INDEX(Matches!$Y$5:$Y$19,MATCH($C48,Matches!$A$5:$A$19,0))="","",INDEX(Matches!$Y$5:$Y$19,MATCH($C48,Matches!$A$5:$A$19,0))),"")</f>
        <v/>
      </c>
      <c r="J48">
        <f>IFERROR(IF(INDEX(Matches!$Z$5:$Z$19,MATCH($C48,Matches!$A$5:$A$19,0))="","",INDEX(Matches!$Z$5:$Z$19,MATCH($C48,Matches!$A$5:$A$19,0))),"")</f>
        <v/>
      </c>
      <c r="K48">
        <f>IFERROR(IF(INDEX(Matches!$AA$5:$AA$19,MATCH($C48,Matches!$A$5:$A$19,0))="","",INDEX(Matches!$AA$5:$AA$19,MATCH($C48,Matches!$A$5:$A$19,0))),"")</f>
        <v/>
      </c>
      <c r="L48">
        <f>IFERROR(IF(INDEX(Matches!$AB$5:$AB$19,MATCH($C48,Matches!$A$5:$A$19,0))="","",INDEX(Matches!$AB$5:$AB$19,MATCH($C48,Matches!$A$5:$A$19,0))),"")</f>
        <v/>
      </c>
      <c r="M48" s="8">
        <f>IFERROR(IF(INDEX(Matches!$AC$5:$AC$19,MATCH($C48,Matches!$A$5:$A$19,0))="","",INDEX(Matches!$AC$5:$AC$19,MATCH($C48,Matches!$A$5:$A$19,0))),"")</f>
        <v/>
      </c>
      <c r="N48">
        <f>IFERROR(INDEX(Players!$F$2:$F$124,MATCH($F48,Players!$A$2:$A$124,0)),0)</f>
        <v/>
      </c>
      <c r="O48" s="11">
        <f>IFERROR(1/(1/INDEX(Players!$H$2:$H$124,MATCH($F48,Players!$A$2:$A$124,0))),"")</f>
        <v/>
      </c>
      <c r="P48" s="8">
        <f>IFERROR(1/(1/INDEX(Players!$I$2:$I$124,MATCH($F48,Players!$A$2:$A$124,0))),"")</f>
        <v/>
      </c>
      <c r="Q48">
        <f>IF($G48="",0,SUMIFS(Map_Stats!$F$2:$F$779,Map_Stats!$A$2:$A$779,$F48&amp;"|"&amp;$G48))</f>
        <v/>
      </c>
      <c r="R48" s="11">
        <f>IF($G48="","",IFERROR(1/(1/INDEX(Map_Stats!$K$2:$K$779,MATCH($F48&amp;"|"&amp;$G48,Map_Stats!$A$2:$A$779,0))),$O48))</f>
        <v/>
      </c>
      <c r="S48" s="8">
        <f>IF(OR($G48="",$P48=""),"",IFERROR(1/(1/INDEX(Map_Stats!$I$2:$I$779,MATCH($F48&amp;"|"&amp;$G48,Map_Stats!$A$2:$A$779,0))),$P48))</f>
        <v/>
      </c>
      <c r="T48" s="11">
        <f>IF(OR($G48="",R48=""),"",IF($O48="",R48,(Q48*R48+Config!$B$4*$O48)/(Q48+Config!$B$4)))</f>
        <v/>
      </c>
      <c r="U48" s="8">
        <f>IF(S48="","",(Q48*S48+Config!$B$4*$P48)/(Q48+Config!$B$4))</f>
        <v/>
      </c>
      <c r="V48" s="15">
        <f>IF(OR(T48="",$J48=""),"",T48*$J48*($J48/Config!$B$10)^Config!$B$9)</f>
        <v/>
      </c>
      <c r="W48" s="15">
        <f>IF(OR(V48="",U48=""),"",V48*U48)</f>
        <v/>
      </c>
      <c r="X48">
        <f>IF($H48="",0,SUMIFS(Map_Stats!$F$2:$F$779,Map_Stats!$A$2:$A$779,$F48&amp;"|"&amp;$H48))</f>
        <v/>
      </c>
      <c r="Y48" s="11">
        <f>IF($H48="","",IFERROR(1/(1/INDEX(Map_Stats!$K$2:$K$779,MATCH($F48&amp;"|"&amp;$H48,Map_Stats!$A$2:$A$779,0))),$O48))</f>
        <v/>
      </c>
      <c r="Z48" s="8">
        <f>IF(OR($H48="",$P48=""),"",IFERROR(1/(1/INDEX(Map_Stats!$I$2:$I$779,MATCH($F48&amp;"|"&amp;$H48,Map_Stats!$A$2:$A$779,0))),$P48))</f>
        <v/>
      </c>
      <c r="AA48" s="11">
        <f>IF(OR($H48="",Y48=""),"",IF($O48="",Y48,(X48*Y48+Config!$B$4*$O48)/(X48+Config!$B$4)))</f>
        <v/>
      </c>
      <c r="AB48" s="8">
        <f>IF(Z48="","",(X48*Z48+Config!$B$4*$P48)/(X48+Config!$B$4))</f>
        <v/>
      </c>
      <c r="AC48" s="15">
        <f>IF(OR(AA48="",$K48=""),"",AA48*$K48*($K48/Config!$B$10)^Config!$B$9)</f>
        <v/>
      </c>
      <c r="AD48" s="15">
        <f>IF(OR(AC48="",AB48=""),"",AC48*AB48)</f>
        <v/>
      </c>
      <c r="AE48">
        <f>IF($I48="",0,SUMIFS(Map_Stats!$F$2:$F$779,Map_Stats!$A$2:$A$779,$F48&amp;"|"&amp;$I48))</f>
        <v/>
      </c>
      <c r="AF48" s="11">
        <f>IF($I48="","",IFERROR(1/(1/INDEX(Map_Stats!$K$2:$K$779,MATCH($F48&amp;"|"&amp;$I48,Map_Stats!$A$2:$A$779,0))),$O48))</f>
        <v/>
      </c>
      <c r="AG48" s="8">
        <f>IF(OR($I48="",$P48=""),"",IFERROR(1/(1/INDEX(Map_Stats!$I$2:$I$779,MATCH($F48&amp;"|"&amp;$I48,Map_Stats!$A$2:$A$779,0))),$P48))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IF($C48=Board!$B$2,COUNTIFS($C$2:$C$124,Board!$B$2,$AL$2:$AL$124,"&gt;"&amp;$AL48)+COUNTIFS($C$1:$C47,Board!$B$2,$AL$1:$AL47,$AL48)+1,"")</f>
        <v/>
      </c>
      <c r="AS48">
        <f>IFERROR(IF($D48=INDEX(Matches!$AD$5:$AD$19,MATCH($C48,Matches!$A$5:$A$19,0)),"A",IF($D48=INDEX(Matches!$AE$5:$AE$19,MATCH($C48,Matches!$A$5:$A$19,0)),"B","")),"")</f>
        <v/>
      </c>
      <c r="AT48" s="8">
        <f>IF($AS48="","",IFERROR(IF($AS48="A",INDEX(Matches!$AI$5:$AI$19,MATCH($C48,Matches!$A$5:$A$19,0)),INDEX(Matches!$AJ$5:$AJ$19,MATCH($C48,Matches!$A$5:$A$19,0))),""))</f>
        <v/>
      </c>
      <c r="AU48" s="8">
        <f>IF($AS48="","",IFERROR(IF(INDEX(Matches!$AP$5:$AP$19,MATCH($C48,Matches!$A$5:$A$19,0))="","",IF($AS48="A",INDEX(Matches!$AP$5:$AP$19,MATCH($C48,Matches!$A$5:$A$19,0)),1-INDEX(Matches!$AP$5:$AP$19,MATCH($C48,Matches!$A$5:$A$19,0)))),""))</f>
        <v/>
      </c>
      <c r="AV48" s="11">
        <f>IF(OR($AU48="",$AT48=""),1,((Config!$B$14*$AU48+Config!$B$15*(1-$AU48))/(Config!$B$14*$AT48+Config!$B$15*(1-$AT48)))^Config!$B$13)</f>
        <v/>
      </c>
      <c r="AW48" s="8">
        <f>IF($AS48="","",IFERROR(IF(INDEX(Matches!$AV$5:$AV$19,MATCH($C48,Matches!$A$5:$A$19,0))="","",IF($AS48="A",INDEX(Matches!$AV$5:$AV$19,MATCH($C48,Matches!$A$5:$A$19,0)),1-INDEX(Matches!$AV$5:$AV$19,MATCH($C48,Matches!$A$5:$A$19,0)))),""))</f>
        <v/>
      </c>
      <c r="AX48" s="11">
        <f>IF(OR($AW48="",$AT48=""),1,((Config!$B$14*$AW48+Config!$B$15*(1-$AW48))/(Config!$B$14*$AT48+Config!$B$15*(1-$AT48)))^Config!$B$13)</f>
        <v/>
      </c>
      <c r="AY48" s="8">
        <f>IF($AS48="","",IFERROR(IF(INDEX(Matches!$BB$5:$BB$19,MATCH($C48,Matches!$A$5:$A$19,0))="","",IF($AS48="A",INDEX(Matches!$BB$5:$BB$19,MATCH($C48,Matches!$A$5:$A$19,0)),1-INDEX(Matches!$BB$5:$BB$19,MATCH($C48,Matches!$A$5:$A$19,0)))),""))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upsdzrueyrfmr1m|CS2 · FURIA vs NAVI</t>
        </is>
      </c>
      <c r="B49" t="inlineStr">
        <is>
          <t>CS2</t>
        </is>
      </c>
      <c r="C49" t="inlineStr">
        <is>
          <t>CS2 · FURIA vs NAVI</t>
        </is>
      </c>
      <c r="D49" t="inlineStr">
        <is>
          <t>FURIA</t>
        </is>
      </c>
      <c r="E49" t="inlineStr">
        <is>
          <t>FalleN</t>
        </is>
      </c>
      <c r="F49" t="inlineStr">
        <is>
          <t>upsdzrueyrfmr1m</t>
        </is>
      </c>
      <c r="G49">
        <f>IFERROR(IF(INDEX(Matches!$W$5:$W$19,MATCH($C49,Matches!$A$5:$A$19,0))="","",INDEX(Matches!$W$5:$W$19,MATCH($C49,Matches!$A$5:$A$19,0))),"")</f>
        <v/>
      </c>
      <c r="H49">
        <f>IFERROR(IF(INDEX(Matches!$X$5:$X$19,MATCH($C49,Matches!$A$5:$A$19,0))="","",INDEX(Matches!$X$5:$X$19,MATCH($C49,Matches!$A$5:$A$19,0))),"")</f>
        <v/>
      </c>
      <c r="I49">
        <f>IFERROR(IF(INDEX(Matches!$Y$5:$Y$19,MATCH($C49,Matches!$A$5:$A$19,0))="","",INDEX(Matches!$Y$5:$Y$19,MATCH($C49,Matches!$A$5:$A$19,0))),"")</f>
        <v/>
      </c>
      <c r="J49">
        <f>IFERROR(IF(INDEX(Matches!$Z$5:$Z$19,MATCH($C49,Matches!$A$5:$A$19,0))="","",INDEX(Matches!$Z$5:$Z$19,MATCH($C49,Matches!$A$5:$A$19,0))),"")</f>
        <v/>
      </c>
      <c r="K49">
        <f>IFERROR(IF(INDEX(Matches!$AA$5:$AA$19,MATCH($C49,Matches!$A$5:$A$19,0))="","",INDEX(Matches!$AA$5:$AA$19,MATCH($C49,Matches!$A$5:$A$19,0))),"")</f>
        <v/>
      </c>
      <c r="L49">
        <f>IFERROR(IF(INDEX(Matches!$AB$5:$AB$19,MATCH($C49,Matches!$A$5:$A$19,0))="","",INDEX(Matches!$AB$5:$AB$19,MATCH($C49,Matches!$A$5:$A$19,0))),"")</f>
        <v/>
      </c>
      <c r="M49" s="8">
        <f>IFERROR(IF(INDEX(Matches!$AC$5:$AC$19,MATCH($C49,Matches!$A$5:$A$19,0))="","",INDEX(Matches!$AC$5:$AC$19,MATCH($C49,Matches!$A$5:$A$19,0))),"")</f>
        <v/>
      </c>
      <c r="N49">
        <f>IFERROR(INDEX(Players!$F$2:$F$124,MATCH($F49,Players!$A$2:$A$124,0)),0)</f>
        <v/>
      </c>
      <c r="O49" s="11">
        <f>IFERROR(1/(1/INDEX(Players!$H$2:$H$124,MATCH($F49,Players!$A$2:$A$124,0))),"")</f>
        <v/>
      </c>
      <c r="P49" s="8">
        <f>IFERROR(1/(1/INDEX(Players!$I$2:$I$124,MATCH($F49,Players!$A$2:$A$124,0))),"")</f>
        <v/>
      </c>
      <c r="Q49">
        <f>IF($G49="",0,SUMIFS(Map_Stats!$F$2:$F$779,Map_Stats!$A$2:$A$779,$F49&amp;"|"&amp;$G49))</f>
        <v/>
      </c>
      <c r="R49" s="11">
        <f>IF($G49="","",IFERROR(1/(1/INDEX(Map_Stats!$K$2:$K$779,MATCH($F49&amp;"|"&amp;$G49,Map_Stats!$A$2:$A$779,0))),$O49))</f>
        <v/>
      </c>
      <c r="S49" s="8">
        <f>IF(OR($G49="",$P49=""),"",IFERROR(1/(1/INDEX(Map_Stats!$I$2:$I$779,MATCH($F49&amp;"|"&amp;$G49,Map_Stats!$A$2:$A$779,0))),$P49))</f>
        <v/>
      </c>
      <c r="T49" s="11">
        <f>IF(OR($G49="",R49=""),"",IF($O49="",R49,(Q49*R49+Config!$B$4*$O49)/(Q49+Config!$B$4)))</f>
        <v/>
      </c>
      <c r="U49" s="8">
        <f>IF(S49="","",(Q49*S49+Config!$B$4*$P49)/(Q49+Config!$B$4))</f>
        <v/>
      </c>
      <c r="V49" s="15">
        <f>IF(OR(T49="",$J49=""),"",T49*$J49*($J49/Config!$B$10)^Config!$B$9)</f>
        <v/>
      </c>
      <c r="W49" s="15">
        <f>IF(OR(V49="",U49=""),"",V49*U49)</f>
        <v/>
      </c>
      <c r="X49">
        <f>IF($H49="",0,SUMIFS(Map_Stats!$F$2:$F$779,Map_Stats!$A$2:$A$779,$F49&amp;"|"&amp;$H49))</f>
        <v/>
      </c>
      <c r="Y49" s="11">
        <f>IF($H49="","",IFERROR(1/(1/INDEX(Map_Stats!$K$2:$K$779,MATCH($F49&amp;"|"&amp;$H49,Map_Stats!$A$2:$A$779,0))),$O49))</f>
        <v/>
      </c>
      <c r="Z49" s="8">
        <f>IF(OR($H49="",$P49=""),"",IFERROR(1/(1/INDEX(Map_Stats!$I$2:$I$779,MATCH($F49&amp;"|"&amp;$H49,Map_Stats!$A$2:$A$779,0))),$P49))</f>
        <v/>
      </c>
      <c r="AA49" s="11">
        <f>IF(OR($H49="",Y49=""),"",IF($O49="",Y49,(X49*Y49+Config!$B$4*$O49)/(X49+Config!$B$4)))</f>
        <v/>
      </c>
      <c r="AB49" s="8">
        <f>IF(Z49="","",(X49*Z49+Config!$B$4*$P49)/(X49+Config!$B$4))</f>
        <v/>
      </c>
      <c r="AC49" s="15">
        <f>IF(OR(AA49="",$K49=""),"",AA49*$K49*($K49/Config!$B$10)^Config!$B$9)</f>
        <v/>
      </c>
      <c r="AD49" s="15">
        <f>IF(OR(AC49="",AB49=""),"",AC49*AB49)</f>
        <v/>
      </c>
      <c r="AE49">
        <f>IF($I49="",0,SUMIFS(Map_Stats!$F$2:$F$779,Map_Stats!$A$2:$A$779,$F49&amp;"|"&amp;$I49))</f>
        <v/>
      </c>
      <c r="AF49" s="11">
        <f>IF($I49="","",IFERROR(1/(1/INDEX(Map_Stats!$K$2:$K$779,MATCH($F49&amp;"|"&amp;$I49,Map_Stats!$A$2:$A$779,0))),$O49))</f>
        <v/>
      </c>
      <c r="AG49" s="8">
        <f>IF(OR($I49="",$P49=""),"",IFERROR(1/(1/INDEX(Map_Stats!$I$2:$I$779,MATCH($F49&amp;"|"&amp;$I49,Map_Stats!$A$2:$A$779,0))),$P49))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IF($C49=Board!$B$2,COUNTIFS($C$2:$C$124,Board!$B$2,$AL$2:$AL$124,"&gt;"&amp;$AL49)+COUNTIFS($C$1:$C48,Board!$B$2,$AL$1:$AL48,$AL49)+1,"")</f>
        <v/>
      </c>
      <c r="AS49">
        <f>IFERROR(IF($D49=INDEX(Matches!$AD$5:$AD$19,MATCH($C49,Matches!$A$5:$A$19,0)),"A",IF($D49=INDEX(Matches!$AE$5:$AE$19,MATCH($C49,Matches!$A$5:$A$19,0)),"B","")),"")</f>
        <v/>
      </c>
      <c r="AT49" s="8">
        <f>IF($AS49="","",IFERROR(IF($AS49="A",INDEX(Matches!$AI$5:$AI$19,MATCH($C49,Matches!$A$5:$A$19,0)),INDEX(Matches!$AJ$5:$AJ$19,MATCH($C49,Matches!$A$5:$A$19,0))),""))</f>
        <v/>
      </c>
      <c r="AU49" s="8">
        <f>IF($AS49="","",IFERROR(IF(INDEX(Matches!$AP$5:$AP$19,MATCH($C49,Matches!$A$5:$A$19,0))="","",IF($AS49="A",INDEX(Matches!$AP$5:$AP$19,MATCH($C49,Matches!$A$5:$A$19,0)),1-INDEX(Matches!$AP$5:$AP$19,MATCH($C49,Matches!$A$5:$A$19,0)))),""))</f>
        <v/>
      </c>
      <c r="AV49" s="11">
        <f>IF(OR($AU49="",$AT49=""),1,((Config!$B$14*$AU49+Config!$B$15*(1-$AU49))/(Config!$B$14*$AT49+Config!$B$15*(1-$AT49)))^Config!$B$13)</f>
        <v/>
      </c>
      <c r="AW49" s="8">
        <f>IF($AS49="","",IFERROR(IF(INDEX(Matches!$AV$5:$AV$19,MATCH($C49,Matches!$A$5:$A$19,0))="","",IF($AS49="A",INDEX(Matches!$AV$5:$AV$19,MATCH($C49,Matches!$A$5:$A$19,0)),1-INDEX(Matches!$AV$5:$AV$19,MATCH($C49,Matches!$A$5:$A$19,0)))),""))</f>
        <v/>
      </c>
      <c r="AX49" s="11">
        <f>IF(OR($AW49="",$AT49=""),1,((Config!$B$14*$AW49+Config!$B$15*(1-$AW49))/(Config!$B$14*$AT49+Config!$B$15*(1-$AT49)))^Config!$B$13)</f>
        <v/>
      </c>
      <c r="AY49" s="8">
        <f>IF($AS49="","",IFERROR(IF(INDEX(Matches!$BB$5:$BB$19,MATCH($C49,Matches!$A$5:$A$19,0))="","",IF($AS49="A",INDEX(Matches!$BB$5:$BB$19,MATCH($C49,Matches!$A$5:$A$19,0)),1-INDEX(Matches!$BB$5:$BB$19,MATCH($C49,Matches!$A$5:$A$19,0)))),""))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xlunjfskczbvxwn|CS2 · FURIA vs NAVI</t>
        </is>
      </c>
      <c r="B50" t="inlineStr">
        <is>
          <t>CS2</t>
        </is>
      </c>
      <c r="C50" t="inlineStr">
        <is>
          <t>CS2 · FURIA vs NAVI</t>
        </is>
      </c>
      <c r="D50" t="inlineStr">
        <is>
          <t>FURIA</t>
        </is>
      </c>
      <c r="E50" t="inlineStr">
        <is>
          <t>KSCERATO</t>
        </is>
      </c>
      <c r="F50" t="inlineStr">
        <is>
          <t>xlunjfskczbvxwn</t>
        </is>
      </c>
      <c r="G50">
        <f>IFERROR(IF(INDEX(Matches!$W$5:$W$19,MATCH($C50,Matches!$A$5:$A$19,0))="","",INDEX(Matches!$W$5:$W$19,MATCH($C50,Matches!$A$5:$A$19,0))),"")</f>
        <v/>
      </c>
      <c r="H50">
        <f>IFERROR(IF(INDEX(Matches!$X$5:$X$19,MATCH($C50,Matches!$A$5:$A$19,0))="","",INDEX(Matches!$X$5:$X$19,MATCH($C50,Matches!$A$5:$A$19,0))),"")</f>
        <v/>
      </c>
      <c r="I50">
        <f>IFERROR(IF(INDEX(Matches!$Y$5:$Y$19,MATCH($C50,Matches!$A$5:$A$19,0))="","",INDEX(Matches!$Y$5:$Y$19,MATCH($C50,Matches!$A$5:$A$19,0))),"")</f>
        <v/>
      </c>
      <c r="J50">
        <f>IFERROR(IF(INDEX(Matches!$Z$5:$Z$19,MATCH($C50,Matches!$A$5:$A$19,0))="","",INDEX(Matches!$Z$5:$Z$19,MATCH($C50,Matches!$A$5:$A$19,0))),"")</f>
        <v/>
      </c>
      <c r="K50">
        <f>IFERROR(IF(INDEX(Matches!$AA$5:$AA$19,MATCH($C50,Matches!$A$5:$A$19,0))="","",INDEX(Matches!$AA$5:$AA$19,MATCH($C50,Matches!$A$5:$A$19,0))),"")</f>
        <v/>
      </c>
      <c r="L50">
        <f>IFERROR(IF(INDEX(Matches!$AB$5:$AB$19,MATCH($C50,Matches!$A$5:$A$19,0))="","",INDEX(Matches!$AB$5:$AB$19,MATCH($C50,Matches!$A$5:$A$19,0))),"")</f>
        <v/>
      </c>
      <c r="M50" s="8">
        <f>IFERROR(IF(INDEX(Matches!$AC$5:$AC$19,MATCH($C50,Matches!$A$5:$A$19,0))="","",INDEX(Matches!$AC$5:$AC$19,MATCH($C50,Matches!$A$5:$A$19,0))),"")</f>
        <v/>
      </c>
      <c r="N50">
        <f>IFERROR(INDEX(Players!$F$2:$F$124,MATCH($F50,Players!$A$2:$A$124,0)),0)</f>
        <v/>
      </c>
      <c r="O50" s="11">
        <f>IFERROR(1/(1/INDEX(Players!$H$2:$H$124,MATCH($F50,Players!$A$2:$A$124,0))),"")</f>
        <v/>
      </c>
      <c r="P50" s="8">
        <f>IFERROR(1/(1/INDEX(Players!$I$2:$I$124,MATCH($F50,Players!$A$2:$A$124,0))),"")</f>
        <v/>
      </c>
      <c r="Q50">
        <f>IF($G50="",0,SUMIFS(Map_Stats!$F$2:$F$779,Map_Stats!$A$2:$A$779,$F50&amp;"|"&amp;$G50))</f>
        <v/>
      </c>
      <c r="R50" s="11">
        <f>IF($G50="","",IFERROR(1/(1/INDEX(Map_Stats!$K$2:$K$779,MATCH($F50&amp;"|"&amp;$G50,Map_Stats!$A$2:$A$779,0))),$O50))</f>
        <v/>
      </c>
      <c r="S50" s="8">
        <f>IF(OR($G50="",$P50=""),"",IFERROR(1/(1/INDEX(Map_Stats!$I$2:$I$779,MATCH($F50&amp;"|"&amp;$G50,Map_Stats!$A$2:$A$779,0))),$P50))</f>
        <v/>
      </c>
      <c r="T50" s="11">
        <f>IF(OR($G50="",R50=""),"",IF($O50="",R50,(Q50*R50+Config!$B$4*$O50)/(Q50+Config!$B$4)))</f>
        <v/>
      </c>
      <c r="U50" s="8">
        <f>IF(S50="","",(Q50*S50+Config!$B$4*$P50)/(Q50+Config!$B$4))</f>
        <v/>
      </c>
      <c r="V50" s="15">
        <f>IF(OR(T50="",$J50=""),"",T50*$J50*($J50/Config!$B$10)^Config!$B$9)</f>
        <v/>
      </c>
      <c r="W50" s="15">
        <f>IF(OR(V50="",U50=""),"",V50*U50)</f>
        <v/>
      </c>
      <c r="X50">
        <f>IF($H50="",0,SUMIFS(Map_Stats!$F$2:$F$779,Map_Stats!$A$2:$A$779,$F50&amp;"|"&amp;$H50))</f>
        <v/>
      </c>
      <c r="Y50" s="11">
        <f>IF($H50="","",IFERROR(1/(1/INDEX(Map_Stats!$K$2:$K$779,MATCH($F50&amp;"|"&amp;$H50,Map_Stats!$A$2:$A$779,0))),$O50))</f>
        <v/>
      </c>
      <c r="Z50" s="8">
        <f>IF(OR($H50="",$P50=""),"",IFERROR(1/(1/INDEX(Map_Stats!$I$2:$I$779,MATCH($F50&amp;"|"&amp;$H50,Map_Stats!$A$2:$A$779,0))),$P50))</f>
        <v/>
      </c>
      <c r="AA50" s="11">
        <f>IF(OR($H50="",Y50=""),"",IF($O50="",Y50,(X50*Y50+Config!$B$4*$O50)/(X50+Config!$B$4)))</f>
        <v/>
      </c>
      <c r="AB50" s="8">
        <f>IF(Z50="","",(X50*Z50+Config!$B$4*$P50)/(X50+Config!$B$4))</f>
        <v/>
      </c>
      <c r="AC50" s="15">
        <f>IF(OR(AA50="",$K50=""),"",AA50*$K50*($K50/Config!$B$10)^Config!$B$9)</f>
        <v/>
      </c>
      <c r="AD50" s="15">
        <f>IF(OR(AC50="",AB50=""),"",AC50*AB50)</f>
        <v/>
      </c>
      <c r="AE50">
        <f>IF($I50="",0,SUMIFS(Map_Stats!$F$2:$F$779,Map_Stats!$A$2:$A$779,$F50&amp;"|"&amp;$I50))</f>
        <v/>
      </c>
      <c r="AF50" s="11">
        <f>IF($I50="","",IFERROR(1/(1/INDEX(Map_Stats!$K$2:$K$779,MATCH($F50&amp;"|"&amp;$I50,Map_Stats!$A$2:$A$779,0))),$O50))</f>
        <v/>
      </c>
      <c r="AG50" s="8">
        <f>IF(OR($I50="",$P50=""),"",IFERROR(1/(1/INDEX(Map_Stats!$I$2:$I$779,MATCH($F50&amp;"|"&amp;$I50,Map_Stats!$A$2:$A$779,0))),$P50))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IF($C50=Board!$B$2,COUNTIFS($C$2:$C$124,Board!$B$2,$AL$2:$AL$124,"&gt;"&amp;$AL50)+COUNTIFS($C$1:$C49,Board!$B$2,$AL$1:$AL49,$AL50)+1,"")</f>
        <v/>
      </c>
      <c r="AS50">
        <f>IFERROR(IF($D50=INDEX(Matches!$AD$5:$AD$19,MATCH($C50,Matches!$A$5:$A$19,0)),"A",IF($D50=INDEX(Matches!$AE$5:$AE$19,MATCH($C50,Matches!$A$5:$A$19,0)),"B","")),"")</f>
        <v/>
      </c>
      <c r="AT50" s="8">
        <f>IF($AS50="","",IFERROR(IF($AS50="A",INDEX(Matches!$AI$5:$AI$19,MATCH($C50,Matches!$A$5:$A$19,0)),INDEX(Matches!$AJ$5:$AJ$19,MATCH($C50,Matches!$A$5:$A$19,0))),""))</f>
        <v/>
      </c>
      <c r="AU50" s="8">
        <f>IF($AS50="","",IFERROR(IF(INDEX(Matches!$AP$5:$AP$19,MATCH($C50,Matches!$A$5:$A$19,0))="","",IF($AS50="A",INDEX(Matches!$AP$5:$AP$19,MATCH($C50,Matches!$A$5:$A$19,0)),1-INDEX(Matches!$AP$5:$AP$19,MATCH($C50,Matches!$A$5:$A$19,0)))),""))</f>
        <v/>
      </c>
      <c r="AV50" s="11">
        <f>IF(OR($AU50="",$AT50=""),1,((Config!$B$14*$AU50+Config!$B$15*(1-$AU50))/(Config!$B$14*$AT50+Config!$B$15*(1-$AT50)))^Config!$B$13)</f>
        <v/>
      </c>
      <c r="AW50" s="8">
        <f>IF($AS50="","",IFERROR(IF(INDEX(Matches!$AV$5:$AV$19,MATCH($C50,Matches!$A$5:$A$19,0))="","",IF($AS50="A",INDEX(Matches!$AV$5:$AV$19,MATCH($C50,Matches!$A$5:$A$19,0)),1-INDEX(Matches!$AV$5:$AV$19,MATCH($C50,Matches!$A$5:$A$19,0)))),""))</f>
        <v/>
      </c>
      <c r="AX50" s="11">
        <f>IF(OR($AW50="",$AT50=""),1,((Config!$B$14*$AW50+Config!$B$15*(1-$AW50))/(Config!$B$14*$AT50+Config!$B$15*(1-$AT50)))^Config!$B$13)</f>
        <v/>
      </c>
      <c r="AY50" s="8">
        <f>IF($AS50="","",IFERROR(IF(INDEX(Matches!$BB$5:$BB$19,MATCH($C50,Matches!$A$5:$A$19,0))="","",IF($AS50="A",INDEX(Matches!$BB$5:$BB$19,MATCH($C50,Matches!$A$5:$A$19,0)),1-INDEX(Matches!$BB$5:$BB$19,MATCH($C50,Matches!$A$5:$A$19,0)))),""))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g1czin1kua6nls5|CS2 · FURIA vs NAVI</t>
        </is>
      </c>
      <c r="B51" t="inlineStr">
        <is>
          <t>CS2</t>
        </is>
      </c>
      <c r="C51" t="inlineStr">
        <is>
          <t>CS2 · FURIA vs NAVI</t>
        </is>
      </c>
      <c r="D51" t="inlineStr">
        <is>
          <t>FURIA</t>
        </is>
      </c>
      <c r="E51" t="inlineStr">
        <is>
          <t>molodoy</t>
        </is>
      </c>
      <c r="F51" t="inlineStr">
        <is>
          <t>g1czin1kua6nls5</t>
        </is>
      </c>
      <c r="G51">
        <f>IFERROR(IF(INDEX(Matches!$W$5:$W$19,MATCH($C51,Matches!$A$5:$A$19,0))="","",INDEX(Matches!$W$5:$W$19,MATCH($C51,Matches!$A$5:$A$19,0))),"")</f>
        <v/>
      </c>
      <c r="H51">
        <f>IFERROR(IF(INDEX(Matches!$X$5:$X$19,MATCH($C51,Matches!$A$5:$A$19,0))="","",INDEX(Matches!$X$5:$X$19,MATCH($C51,Matches!$A$5:$A$19,0))),"")</f>
        <v/>
      </c>
      <c r="I51">
        <f>IFERROR(IF(INDEX(Matches!$Y$5:$Y$19,MATCH($C51,Matches!$A$5:$A$19,0))="","",INDEX(Matches!$Y$5:$Y$19,MATCH($C51,Matches!$A$5:$A$19,0))),"")</f>
        <v/>
      </c>
      <c r="J51">
        <f>IFERROR(IF(INDEX(Matches!$Z$5:$Z$19,MATCH($C51,Matches!$A$5:$A$19,0))="","",INDEX(Matches!$Z$5:$Z$19,MATCH($C51,Matches!$A$5:$A$19,0))),"")</f>
        <v/>
      </c>
      <c r="K51">
        <f>IFERROR(IF(INDEX(Matches!$AA$5:$AA$19,MATCH($C51,Matches!$A$5:$A$19,0))="","",INDEX(Matches!$AA$5:$AA$19,MATCH($C51,Matches!$A$5:$A$19,0))),"")</f>
        <v/>
      </c>
      <c r="L51">
        <f>IFERROR(IF(INDEX(Matches!$AB$5:$AB$19,MATCH($C51,Matches!$A$5:$A$19,0))="","",INDEX(Matches!$AB$5:$AB$19,MATCH($C51,Matches!$A$5:$A$19,0))),"")</f>
        <v/>
      </c>
      <c r="M51" s="8">
        <f>IFERROR(IF(INDEX(Matches!$AC$5:$AC$19,MATCH($C51,Matches!$A$5:$A$19,0))="","",INDEX(Matches!$AC$5:$AC$19,MATCH($C51,Matches!$A$5:$A$19,0))),"")</f>
        <v/>
      </c>
      <c r="N51">
        <f>IFERROR(INDEX(Players!$F$2:$F$124,MATCH($F51,Players!$A$2:$A$124,0)),0)</f>
        <v/>
      </c>
      <c r="O51" s="11">
        <f>IFERROR(1/(1/INDEX(Players!$H$2:$H$124,MATCH($F51,Players!$A$2:$A$124,0))),"")</f>
        <v/>
      </c>
      <c r="P51" s="8">
        <f>IFERROR(1/(1/INDEX(Players!$I$2:$I$124,MATCH($F51,Players!$A$2:$A$124,0))),"")</f>
        <v/>
      </c>
      <c r="Q51">
        <f>IF($G51="",0,SUMIFS(Map_Stats!$F$2:$F$779,Map_Stats!$A$2:$A$779,$F51&amp;"|"&amp;$G51))</f>
        <v/>
      </c>
      <c r="R51" s="11">
        <f>IF($G51="","",IFERROR(1/(1/INDEX(Map_Stats!$K$2:$K$779,MATCH($F51&amp;"|"&amp;$G51,Map_Stats!$A$2:$A$779,0))),$O51))</f>
        <v/>
      </c>
      <c r="S51" s="8">
        <f>IF(OR($G51="",$P51=""),"",IFERROR(1/(1/INDEX(Map_Stats!$I$2:$I$779,MATCH($F51&amp;"|"&amp;$G51,Map_Stats!$A$2:$A$779,0))),$P51))</f>
        <v/>
      </c>
      <c r="T51" s="11">
        <f>IF(OR($G51="",R51=""),"",IF($O51="",R51,(Q51*R51+Config!$B$4*$O51)/(Q51+Config!$B$4)))</f>
        <v/>
      </c>
      <c r="U51" s="8">
        <f>IF(S51="","",(Q51*S51+Config!$B$4*$P51)/(Q51+Config!$B$4))</f>
        <v/>
      </c>
      <c r="V51" s="15">
        <f>IF(OR(T51="",$J51=""),"",T51*$J51*($J51/Config!$B$10)^Config!$B$9)</f>
        <v/>
      </c>
      <c r="W51" s="15">
        <f>IF(OR(V51="",U51=""),"",V51*U51)</f>
        <v/>
      </c>
      <c r="X51">
        <f>IF($H51="",0,SUMIFS(Map_Stats!$F$2:$F$779,Map_Stats!$A$2:$A$779,$F51&amp;"|"&amp;$H51))</f>
        <v/>
      </c>
      <c r="Y51" s="11">
        <f>IF($H51="","",IFERROR(1/(1/INDEX(Map_Stats!$K$2:$K$779,MATCH($F51&amp;"|"&amp;$H51,Map_Stats!$A$2:$A$779,0))),$O51))</f>
        <v/>
      </c>
      <c r="Z51" s="8">
        <f>IF(OR($H51="",$P51=""),"",IFERROR(1/(1/INDEX(Map_Stats!$I$2:$I$779,MATCH($F51&amp;"|"&amp;$H51,Map_Stats!$A$2:$A$779,0))),$P51))</f>
        <v/>
      </c>
      <c r="AA51" s="11">
        <f>IF(OR($H51="",Y51=""),"",IF($O51="",Y51,(X51*Y51+Config!$B$4*$O51)/(X51+Config!$B$4)))</f>
        <v/>
      </c>
      <c r="AB51" s="8">
        <f>IF(Z51="","",(X51*Z51+Config!$B$4*$P51)/(X51+Config!$B$4))</f>
        <v/>
      </c>
      <c r="AC51" s="15">
        <f>IF(OR(AA51="",$K51=""),"",AA51*$K51*($K51/Config!$B$10)^Config!$B$9)</f>
        <v/>
      </c>
      <c r="AD51" s="15">
        <f>IF(OR(AC51="",AB51=""),"",AC51*AB51)</f>
        <v/>
      </c>
      <c r="AE51">
        <f>IF($I51="",0,SUMIFS(Map_Stats!$F$2:$F$779,Map_Stats!$A$2:$A$779,$F51&amp;"|"&amp;$I51))</f>
        <v/>
      </c>
      <c r="AF51" s="11">
        <f>IF($I51="","",IFERROR(1/(1/INDEX(Map_Stats!$K$2:$K$779,MATCH($F51&amp;"|"&amp;$I51,Map_Stats!$A$2:$A$779,0))),$O51))</f>
        <v/>
      </c>
      <c r="AG51" s="8">
        <f>IF(OR($I51="",$P51=""),"",IFERROR(1/(1/INDEX(Map_Stats!$I$2:$I$779,MATCH($F51&amp;"|"&amp;$I51,Map_Stats!$A$2:$A$779,0))),$P51))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IF($C51=Board!$B$2,COUNTIFS($C$2:$C$124,Board!$B$2,$AL$2:$AL$124,"&gt;"&amp;$AL51)+COUNTIFS($C$1:$C50,Board!$B$2,$AL$1:$AL50,$AL51)+1,"")</f>
        <v/>
      </c>
      <c r="AS51">
        <f>IFERROR(IF($D51=INDEX(Matches!$AD$5:$AD$19,MATCH($C51,Matches!$A$5:$A$19,0)),"A",IF($D51=INDEX(Matches!$AE$5:$AE$19,MATCH($C51,Matches!$A$5:$A$19,0)),"B","")),"")</f>
        <v/>
      </c>
      <c r="AT51" s="8">
        <f>IF($AS51="","",IFERROR(IF($AS51="A",INDEX(Matches!$AI$5:$AI$19,MATCH($C51,Matches!$A$5:$A$19,0)),INDEX(Matches!$AJ$5:$AJ$19,MATCH($C51,Matches!$A$5:$A$19,0))),""))</f>
        <v/>
      </c>
      <c r="AU51" s="8">
        <f>IF($AS51="","",IFERROR(IF(INDEX(Matches!$AP$5:$AP$19,MATCH($C51,Matches!$A$5:$A$19,0))="","",IF($AS51="A",INDEX(Matches!$AP$5:$AP$19,MATCH($C51,Matches!$A$5:$A$19,0)),1-INDEX(Matches!$AP$5:$AP$19,MATCH($C51,Matches!$A$5:$A$19,0)))),""))</f>
        <v/>
      </c>
      <c r="AV51" s="11">
        <f>IF(OR($AU51="",$AT51=""),1,((Config!$B$14*$AU51+Config!$B$15*(1-$AU51))/(Config!$B$14*$AT51+Config!$B$15*(1-$AT51)))^Config!$B$13)</f>
        <v/>
      </c>
      <c r="AW51" s="8">
        <f>IF($AS51="","",IFERROR(IF(INDEX(Matches!$AV$5:$AV$19,MATCH($C51,Matches!$A$5:$A$19,0))="","",IF($AS51="A",INDEX(Matches!$AV$5:$AV$19,MATCH($C51,Matches!$A$5:$A$19,0)),1-INDEX(Matches!$AV$5:$AV$19,MATCH($C51,Matches!$A$5:$A$19,0)))),""))</f>
        <v/>
      </c>
      <c r="AX51" s="11">
        <f>IF(OR($AW51="",$AT51=""),1,((Config!$B$14*$AW51+Config!$B$15*(1-$AW51))/(Config!$B$14*$AT51+Config!$B$15*(1-$AT51)))^Config!$B$13)</f>
        <v/>
      </c>
      <c r="AY51" s="8">
        <f>IF($AS51="","",IFERROR(IF(INDEX(Matches!$BB$5:$BB$19,MATCH($C51,Matches!$A$5:$A$19,0))="","",IF($AS51="A",INDEX(Matches!$BB$5:$BB$19,MATCH($C51,Matches!$A$5:$A$19,0)),1-INDEX(Matches!$BB$5:$BB$19,MATCH($C51,Matches!$A$5:$A$19,0)))),""))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vl5i6xbqmsocy69|CS2 · FURIA vs NAVI</t>
        </is>
      </c>
      <c r="B52" t="inlineStr">
        <is>
          <t>CS2</t>
        </is>
      </c>
      <c r="C52" t="inlineStr">
        <is>
          <t>CS2 · FURIA vs NAVI</t>
        </is>
      </c>
      <c r="D52" t="inlineStr">
        <is>
          <t>FURIA</t>
        </is>
      </c>
      <c r="E52" t="inlineStr">
        <is>
          <t>YEKINDAR</t>
        </is>
      </c>
      <c r="F52" t="inlineStr">
        <is>
          <t>vl5i6xbqmsocy69</t>
        </is>
      </c>
      <c r="G52">
        <f>IFERROR(IF(INDEX(Matches!$W$5:$W$19,MATCH($C52,Matches!$A$5:$A$19,0))="","",INDEX(Matches!$W$5:$W$19,MATCH($C52,Matches!$A$5:$A$19,0))),"")</f>
        <v/>
      </c>
      <c r="H52">
        <f>IFERROR(IF(INDEX(Matches!$X$5:$X$19,MATCH($C52,Matches!$A$5:$A$19,0))="","",INDEX(Matches!$X$5:$X$19,MATCH($C52,Matches!$A$5:$A$19,0))),"")</f>
        <v/>
      </c>
      <c r="I52">
        <f>IFERROR(IF(INDEX(Matches!$Y$5:$Y$19,MATCH($C52,Matches!$A$5:$A$19,0))="","",INDEX(Matches!$Y$5:$Y$19,MATCH($C52,Matches!$A$5:$A$19,0))),"")</f>
        <v/>
      </c>
      <c r="J52">
        <f>IFERROR(IF(INDEX(Matches!$Z$5:$Z$19,MATCH($C52,Matches!$A$5:$A$19,0))="","",INDEX(Matches!$Z$5:$Z$19,MATCH($C52,Matches!$A$5:$A$19,0))),"")</f>
        <v/>
      </c>
      <c r="K52">
        <f>IFERROR(IF(INDEX(Matches!$AA$5:$AA$19,MATCH($C52,Matches!$A$5:$A$19,0))="","",INDEX(Matches!$AA$5:$AA$19,MATCH($C52,Matches!$A$5:$A$19,0))),"")</f>
        <v/>
      </c>
      <c r="L52">
        <f>IFERROR(IF(INDEX(Matches!$AB$5:$AB$19,MATCH($C52,Matches!$A$5:$A$19,0))="","",INDEX(Matches!$AB$5:$AB$19,MATCH($C52,Matches!$A$5:$A$19,0))),"")</f>
        <v/>
      </c>
      <c r="M52" s="8">
        <f>IFERROR(IF(INDEX(Matches!$AC$5:$AC$19,MATCH($C52,Matches!$A$5:$A$19,0))="","",INDEX(Matches!$AC$5:$AC$19,MATCH($C52,Matches!$A$5:$A$19,0))),"")</f>
        <v/>
      </c>
      <c r="N52">
        <f>IFERROR(INDEX(Players!$F$2:$F$124,MATCH($F52,Players!$A$2:$A$124,0)),0)</f>
        <v/>
      </c>
      <c r="O52" s="11">
        <f>IFERROR(1/(1/INDEX(Players!$H$2:$H$124,MATCH($F52,Players!$A$2:$A$124,0))),"")</f>
        <v/>
      </c>
      <c r="P52" s="8">
        <f>IFERROR(1/(1/INDEX(Players!$I$2:$I$124,MATCH($F52,Players!$A$2:$A$124,0))),"")</f>
        <v/>
      </c>
      <c r="Q52">
        <f>IF($G52="",0,SUMIFS(Map_Stats!$F$2:$F$779,Map_Stats!$A$2:$A$779,$F52&amp;"|"&amp;$G52))</f>
        <v/>
      </c>
      <c r="R52" s="11">
        <f>IF($G52="","",IFERROR(1/(1/INDEX(Map_Stats!$K$2:$K$779,MATCH($F52&amp;"|"&amp;$G52,Map_Stats!$A$2:$A$779,0))),$O52))</f>
        <v/>
      </c>
      <c r="S52" s="8">
        <f>IF(OR($G52="",$P52=""),"",IFERROR(1/(1/INDEX(Map_Stats!$I$2:$I$779,MATCH($F52&amp;"|"&amp;$G52,Map_Stats!$A$2:$A$779,0))),$P52))</f>
        <v/>
      </c>
      <c r="T52" s="11">
        <f>IF(OR($G52="",R52=""),"",IF($O52="",R52,(Q52*R52+Config!$B$4*$O52)/(Q52+Config!$B$4)))</f>
        <v/>
      </c>
      <c r="U52" s="8">
        <f>IF(S52="","",(Q52*S52+Config!$B$4*$P52)/(Q52+Config!$B$4))</f>
        <v/>
      </c>
      <c r="V52" s="15">
        <f>IF(OR(T52="",$J52=""),"",T52*$J52*($J52/Config!$B$10)^Config!$B$9)</f>
        <v/>
      </c>
      <c r="W52" s="15">
        <f>IF(OR(V52="",U52=""),"",V52*U52)</f>
        <v/>
      </c>
      <c r="X52">
        <f>IF($H52="",0,SUMIFS(Map_Stats!$F$2:$F$779,Map_Stats!$A$2:$A$779,$F52&amp;"|"&amp;$H52))</f>
        <v/>
      </c>
      <c r="Y52" s="11">
        <f>IF($H52="","",IFERROR(1/(1/INDEX(Map_Stats!$K$2:$K$779,MATCH($F52&amp;"|"&amp;$H52,Map_Stats!$A$2:$A$779,0))),$O52))</f>
        <v/>
      </c>
      <c r="Z52" s="8">
        <f>IF(OR($H52="",$P52=""),"",IFERROR(1/(1/INDEX(Map_Stats!$I$2:$I$779,MATCH($F52&amp;"|"&amp;$H52,Map_Stats!$A$2:$A$779,0))),$P52))</f>
        <v/>
      </c>
      <c r="AA52" s="11">
        <f>IF(OR($H52="",Y52=""),"",IF($O52="",Y52,(X52*Y52+Config!$B$4*$O52)/(X52+Config!$B$4)))</f>
        <v/>
      </c>
      <c r="AB52" s="8">
        <f>IF(Z52="","",(X52*Z52+Config!$B$4*$P52)/(X52+Config!$B$4))</f>
        <v/>
      </c>
      <c r="AC52" s="15">
        <f>IF(OR(AA52="",$K52=""),"",AA52*$K52*($K52/Config!$B$10)^Config!$B$9)</f>
        <v/>
      </c>
      <c r="AD52" s="15">
        <f>IF(OR(AC52="",AB52=""),"",AC52*AB52)</f>
        <v/>
      </c>
      <c r="AE52">
        <f>IF($I52="",0,SUMIFS(Map_Stats!$F$2:$F$779,Map_Stats!$A$2:$A$779,$F52&amp;"|"&amp;$I52))</f>
        <v/>
      </c>
      <c r="AF52" s="11">
        <f>IF($I52="","",IFERROR(1/(1/INDEX(Map_Stats!$K$2:$K$779,MATCH($F52&amp;"|"&amp;$I52,Map_Stats!$A$2:$A$779,0))),$O52))</f>
        <v/>
      </c>
      <c r="AG52" s="8">
        <f>IF(OR($I52="",$P52=""),"",IFERROR(1/(1/INDEX(Map_Stats!$I$2:$I$779,MATCH($F52&amp;"|"&amp;$I52,Map_Stats!$A$2:$A$779,0))),$P52))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IF($C52=Board!$B$2,COUNTIFS($C$2:$C$124,Board!$B$2,$AL$2:$AL$124,"&gt;"&amp;$AL52)+COUNTIFS($C$1:$C51,Board!$B$2,$AL$1:$AL51,$AL52)+1,"")</f>
        <v/>
      </c>
      <c r="AS52">
        <f>IFERROR(IF($D52=INDEX(Matches!$AD$5:$AD$19,MATCH($C52,Matches!$A$5:$A$19,0)),"A",IF($D52=INDEX(Matches!$AE$5:$AE$19,MATCH($C52,Matches!$A$5:$A$19,0)),"B","")),"")</f>
        <v/>
      </c>
      <c r="AT52" s="8">
        <f>IF($AS52="","",IFERROR(IF($AS52="A",INDEX(Matches!$AI$5:$AI$19,MATCH($C52,Matches!$A$5:$A$19,0)),INDEX(Matches!$AJ$5:$AJ$19,MATCH($C52,Matches!$A$5:$A$19,0))),""))</f>
        <v/>
      </c>
      <c r="AU52" s="8">
        <f>IF($AS52="","",IFERROR(IF(INDEX(Matches!$AP$5:$AP$19,MATCH($C52,Matches!$A$5:$A$19,0))="","",IF($AS52="A",INDEX(Matches!$AP$5:$AP$19,MATCH($C52,Matches!$A$5:$A$19,0)),1-INDEX(Matches!$AP$5:$AP$19,MATCH($C52,Matches!$A$5:$A$19,0)))),""))</f>
        <v/>
      </c>
      <c r="AV52" s="11">
        <f>IF(OR($AU52="",$AT52=""),1,((Config!$B$14*$AU52+Config!$B$15*(1-$AU52))/(Config!$B$14*$AT52+Config!$B$15*(1-$AT52)))^Config!$B$13)</f>
        <v/>
      </c>
      <c r="AW52" s="8">
        <f>IF($AS52="","",IFERROR(IF(INDEX(Matches!$AV$5:$AV$19,MATCH($C52,Matches!$A$5:$A$19,0))="","",IF($AS52="A",INDEX(Matches!$AV$5:$AV$19,MATCH($C52,Matches!$A$5:$A$19,0)),1-INDEX(Matches!$AV$5:$AV$19,MATCH($C52,Matches!$A$5:$A$19,0)))),""))</f>
        <v/>
      </c>
      <c r="AX52" s="11">
        <f>IF(OR($AW52="",$AT52=""),1,((Config!$B$14*$AW52+Config!$B$15*(1-$AW52))/(Config!$B$14*$AT52+Config!$B$15*(1-$AT52)))^Config!$B$13)</f>
        <v/>
      </c>
      <c r="AY52" s="8">
        <f>IF($AS52="","",IFERROR(IF(INDEX(Matches!$BB$5:$BB$19,MATCH($C52,Matches!$A$5:$A$19,0))="","",IF($AS52="A",INDEX(Matches!$BB$5:$BB$19,MATCH($C52,Matches!$A$5:$A$19,0)),1-INDEX(Matches!$BB$5:$BB$19,MATCH($C52,Matches!$A$5:$A$19,0)))),""))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npowbduexyegr6i|CS2 · FURIA vs NAVI</t>
        </is>
      </c>
      <c r="B53" t="inlineStr">
        <is>
          <t>CS2</t>
        </is>
      </c>
      <c r="C53" t="inlineStr">
        <is>
          <t>CS2 · FURIA vs NAVI</t>
        </is>
      </c>
      <c r="D53" t="inlineStr">
        <is>
          <t>FURIA</t>
        </is>
      </c>
      <c r="E53" t="inlineStr">
        <is>
          <t>yuurih</t>
        </is>
      </c>
      <c r="F53" t="inlineStr">
        <is>
          <t>npowbduexyegr6i</t>
        </is>
      </c>
      <c r="G53">
        <f>IFERROR(IF(INDEX(Matches!$W$5:$W$19,MATCH($C53,Matches!$A$5:$A$19,0))="","",INDEX(Matches!$W$5:$W$19,MATCH($C53,Matches!$A$5:$A$19,0))),"")</f>
        <v/>
      </c>
      <c r="H53">
        <f>IFERROR(IF(INDEX(Matches!$X$5:$X$19,MATCH($C53,Matches!$A$5:$A$19,0))="","",INDEX(Matches!$X$5:$X$19,MATCH($C53,Matches!$A$5:$A$19,0))),"")</f>
        <v/>
      </c>
      <c r="I53">
        <f>IFERROR(IF(INDEX(Matches!$Y$5:$Y$19,MATCH($C53,Matches!$A$5:$A$19,0))="","",INDEX(Matches!$Y$5:$Y$19,MATCH($C53,Matches!$A$5:$A$19,0))),"")</f>
        <v/>
      </c>
      <c r="J53">
        <f>IFERROR(IF(INDEX(Matches!$Z$5:$Z$19,MATCH($C53,Matches!$A$5:$A$19,0))="","",INDEX(Matches!$Z$5:$Z$19,MATCH($C53,Matches!$A$5:$A$19,0))),"")</f>
        <v/>
      </c>
      <c r="K53">
        <f>IFERROR(IF(INDEX(Matches!$AA$5:$AA$19,MATCH($C53,Matches!$A$5:$A$19,0))="","",INDEX(Matches!$AA$5:$AA$19,MATCH($C53,Matches!$A$5:$A$19,0))),"")</f>
        <v/>
      </c>
      <c r="L53">
        <f>IFERROR(IF(INDEX(Matches!$AB$5:$AB$19,MATCH($C53,Matches!$A$5:$A$19,0))="","",INDEX(Matches!$AB$5:$AB$19,MATCH($C53,Matches!$A$5:$A$19,0))),"")</f>
        <v/>
      </c>
      <c r="M53" s="8">
        <f>IFERROR(IF(INDEX(Matches!$AC$5:$AC$19,MATCH($C53,Matches!$A$5:$A$19,0))="","",INDEX(Matches!$AC$5:$AC$19,MATCH($C53,Matches!$A$5:$A$19,0))),"")</f>
        <v/>
      </c>
      <c r="N53">
        <f>IFERROR(INDEX(Players!$F$2:$F$124,MATCH($F53,Players!$A$2:$A$124,0)),0)</f>
        <v/>
      </c>
      <c r="O53" s="11">
        <f>IFERROR(1/(1/INDEX(Players!$H$2:$H$124,MATCH($F53,Players!$A$2:$A$124,0))),"")</f>
        <v/>
      </c>
      <c r="P53" s="8">
        <f>IFERROR(1/(1/INDEX(Players!$I$2:$I$124,MATCH($F53,Players!$A$2:$A$124,0))),"")</f>
        <v/>
      </c>
      <c r="Q53">
        <f>IF($G53="",0,SUMIFS(Map_Stats!$F$2:$F$779,Map_Stats!$A$2:$A$779,$F53&amp;"|"&amp;$G53))</f>
        <v/>
      </c>
      <c r="R53" s="11">
        <f>IF($G53="","",IFERROR(1/(1/INDEX(Map_Stats!$K$2:$K$779,MATCH($F53&amp;"|"&amp;$G53,Map_Stats!$A$2:$A$779,0))),$O53))</f>
        <v/>
      </c>
      <c r="S53" s="8">
        <f>IF(OR($G53="",$P53=""),"",IFERROR(1/(1/INDEX(Map_Stats!$I$2:$I$779,MATCH($F53&amp;"|"&amp;$G53,Map_Stats!$A$2:$A$779,0))),$P53))</f>
        <v/>
      </c>
      <c r="T53" s="11">
        <f>IF(OR($G53="",R53=""),"",IF($O53="",R53,(Q53*R53+Config!$B$4*$O53)/(Q53+Config!$B$4)))</f>
        <v/>
      </c>
      <c r="U53" s="8">
        <f>IF(S53="","",(Q53*S53+Config!$B$4*$P53)/(Q53+Config!$B$4))</f>
        <v/>
      </c>
      <c r="V53" s="15">
        <f>IF(OR(T53="",$J53=""),"",T53*$J53*($J53/Config!$B$10)^Config!$B$9)</f>
        <v/>
      </c>
      <c r="W53" s="15">
        <f>IF(OR(V53="",U53=""),"",V53*U53)</f>
        <v/>
      </c>
      <c r="X53">
        <f>IF($H53="",0,SUMIFS(Map_Stats!$F$2:$F$779,Map_Stats!$A$2:$A$779,$F53&amp;"|"&amp;$H53))</f>
        <v/>
      </c>
      <c r="Y53" s="11">
        <f>IF($H53="","",IFERROR(1/(1/INDEX(Map_Stats!$K$2:$K$779,MATCH($F53&amp;"|"&amp;$H53,Map_Stats!$A$2:$A$779,0))),$O53))</f>
        <v/>
      </c>
      <c r="Z53" s="8">
        <f>IF(OR($H53="",$P53=""),"",IFERROR(1/(1/INDEX(Map_Stats!$I$2:$I$779,MATCH($F53&amp;"|"&amp;$H53,Map_Stats!$A$2:$A$779,0))),$P53))</f>
        <v/>
      </c>
      <c r="AA53" s="11">
        <f>IF(OR($H53="",Y53=""),"",IF($O53="",Y53,(X53*Y53+Config!$B$4*$O53)/(X53+Config!$B$4)))</f>
        <v/>
      </c>
      <c r="AB53" s="8">
        <f>IF(Z53="","",(X53*Z53+Config!$B$4*$P53)/(X53+Config!$B$4))</f>
        <v/>
      </c>
      <c r="AC53" s="15">
        <f>IF(OR(AA53="",$K53=""),"",AA53*$K53*($K53/Config!$B$10)^Config!$B$9)</f>
        <v/>
      </c>
      <c r="AD53" s="15">
        <f>IF(OR(AC53="",AB53=""),"",AC53*AB53)</f>
        <v/>
      </c>
      <c r="AE53">
        <f>IF($I53="",0,SUMIFS(Map_Stats!$F$2:$F$779,Map_Stats!$A$2:$A$779,$F53&amp;"|"&amp;$I53))</f>
        <v/>
      </c>
      <c r="AF53" s="11">
        <f>IF($I53="","",IFERROR(1/(1/INDEX(Map_Stats!$K$2:$K$779,MATCH($F53&amp;"|"&amp;$I53,Map_Stats!$A$2:$A$779,0))),$O53))</f>
        <v/>
      </c>
      <c r="AG53" s="8">
        <f>IF(OR($I53="",$P53=""),"",IFERROR(1/(1/INDEX(Map_Stats!$I$2:$I$779,MATCH($F53&amp;"|"&amp;$I53,Map_Stats!$A$2:$A$779,0))),$P53))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IF($C53=Board!$B$2,COUNTIFS($C$2:$C$124,Board!$B$2,$AL$2:$AL$124,"&gt;"&amp;$AL53)+COUNTIFS($C$1:$C52,Board!$B$2,$AL$1:$AL52,$AL53)+1,"")</f>
        <v/>
      </c>
      <c r="AS53">
        <f>IFERROR(IF($D53=INDEX(Matches!$AD$5:$AD$19,MATCH($C53,Matches!$A$5:$A$19,0)),"A",IF($D53=INDEX(Matches!$AE$5:$AE$19,MATCH($C53,Matches!$A$5:$A$19,0)),"B","")),"")</f>
        <v/>
      </c>
      <c r="AT53" s="8">
        <f>IF($AS53="","",IFERROR(IF($AS53="A",INDEX(Matches!$AI$5:$AI$19,MATCH($C53,Matches!$A$5:$A$19,0)),INDEX(Matches!$AJ$5:$AJ$19,MATCH($C53,Matches!$A$5:$A$19,0))),""))</f>
        <v/>
      </c>
      <c r="AU53" s="8">
        <f>IF($AS53="","",IFERROR(IF(INDEX(Matches!$AP$5:$AP$19,MATCH($C53,Matches!$A$5:$A$19,0))="","",IF($AS53="A",INDEX(Matches!$AP$5:$AP$19,MATCH($C53,Matches!$A$5:$A$19,0)),1-INDEX(Matches!$AP$5:$AP$19,MATCH($C53,Matches!$A$5:$A$19,0)))),""))</f>
        <v/>
      </c>
      <c r="AV53" s="11">
        <f>IF(OR($AU53="",$AT53=""),1,((Config!$B$14*$AU53+Config!$B$15*(1-$AU53))/(Config!$B$14*$AT53+Config!$B$15*(1-$AT53)))^Config!$B$13)</f>
        <v/>
      </c>
      <c r="AW53" s="8">
        <f>IF($AS53="","",IFERROR(IF(INDEX(Matches!$AV$5:$AV$19,MATCH($C53,Matches!$A$5:$A$19,0))="","",IF($AS53="A",INDEX(Matches!$AV$5:$AV$19,MATCH($C53,Matches!$A$5:$A$19,0)),1-INDEX(Matches!$AV$5:$AV$19,MATCH($C53,Matches!$A$5:$A$19,0)))),""))</f>
        <v/>
      </c>
      <c r="AX53" s="11">
        <f>IF(OR($AW53="",$AT53=""),1,((Config!$B$14*$AW53+Config!$B$15*(1-$AW53))/(Config!$B$14*$AT53+Config!$B$15*(1-$AT53)))^Config!$B$13)</f>
        <v/>
      </c>
      <c r="AY53" s="8">
        <f>IF($AS53="","",IFERROR(IF(INDEX(Matches!$BB$5:$BB$19,MATCH($C53,Matches!$A$5:$A$19,0))="","",IF($AS53="A",INDEX(Matches!$BB$5:$BB$19,MATCH($C53,Matches!$A$5:$A$19,0)),1-INDEX(Matches!$BB$5:$BB$19,MATCH($C53,Matches!$A$5:$A$19,0)))),""))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509x6s2e70l3hhg|CS2 · FURIA vs NAVI</t>
        </is>
      </c>
      <c r="B54" t="inlineStr">
        <is>
          <t>CS2</t>
        </is>
      </c>
      <c r="C54" t="inlineStr">
        <is>
          <t>CS2 · FURIA vs NAVI</t>
        </is>
      </c>
      <c r="D54" t="inlineStr">
        <is>
          <t>NAVI</t>
        </is>
      </c>
      <c r="E54" t="inlineStr">
        <is>
          <t>Aleksib</t>
        </is>
      </c>
      <c r="F54" t="inlineStr">
        <is>
          <t>509x6s2e70l3hhg</t>
        </is>
      </c>
      <c r="G54">
        <f>IFERROR(IF(INDEX(Matches!$W$5:$W$19,MATCH($C54,Matches!$A$5:$A$19,0))="","",INDEX(Matches!$W$5:$W$19,MATCH($C54,Matches!$A$5:$A$19,0))),"")</f>
        <v/>
      </c>
      <c r="H54">
        <f>IFERROR(IF(INDEX(Matches!$X$5:$X$19,MATCH($C54,Matches!$A$5:$A$19,0))="","",INDEX(Matches!$X$5:$X$19,MATCH($C54,Matches!$A$5:$A$19,0))),"")</f>
        <v/>
      </c>
      <c r="I54">
        <f>IFERROR(IF(INDEX(Matches!$Y$5:$Y$19,MATCH($C54,Matches!$A$5:$A$19,0))="","",INDEX(Matches!$Y$5:$Y$19,MATCH($C54,Matches!$A$5:$A$19,0))),"")</f>
        <v/>
      </c>
      <c r="J54">
        <f>IFERROR(IF(INDEX(Matches!$Z$5:$Z$19,MATCH($C54,Matches!$A$5:$A$19,0))="","",INDEX(Matches!$Z$5:$Z$19,MATCH($C54,Matches!$A$5:$A$19,0))),"")</f>
        <v/>
      </c>
      <c r="K54">
        <f>IFERROR(IF(INDEX(Matches!$AA$5:$AA$19,MATCH($C54,Matches!$A$5:$A$19,0))="","",INDEX(Matches!$AA$5:$AA$19,MATCH($C54,Matches!$A$5:$A$19,0))),"")</f>
        <v/>
      </c>
      <c r="L54">
        <f>IFERROR(IF(INDEX(Matches!$AB$5:$AB$19,MATCH($C54,Matches!$A$5:$A$19,0))="","",INDEX(Matches!$AB$5:$AB$19,MATCH($C54,Matches!$A$5:$A$19,0))),"")</f>
        <v/>
      </c>
      <c r="M54" s="8">
        <f>IFERROR(IF(INDEX(Matches!$AC$5:$AC$19,MATCH($C54,Matches!$A$5:$A$19,0))="","",INDEX(Matches!$AC$5:$AC$19,MATCH($C54,Matches!$A$5:$A$19,0))),"")</f>
        <v/>
      </c>
      <c r="N54">
        <f>IFERROR(INDEX(Players!$F$2:$F$124,MATCH($F54,Players!$A$2:$A$124,0)),0)</f>
        <v/>
      </c>
      <c r="O54" s="11">
        <f>IFERROR(1/(1/INDEX(Players!$H$2:$H$124,MATCH($F54,Players!$A$2:$A$124,0))),"")</f>
        <v/>
      </c>
      <c r="P54" s="8">
        <f>IFERROR(1/(1/INDEX(Players!$I$2:$I$124,MATCH($F54,Players!$A$2:$A$124,0))),"")</f>
        <v/>
      </c>
      <c r="Q54">
        <f>IF($G54="",0,SUMIFS(Map_Stats!$F$2:$F$779,Map_Stats!$A$2:$A$779,$F54&amp;"|"&amp;$G54))</f>
        <v/>
      </c>
      <c r="R54" s="11">
        <f>IF($G54="","",IFERROR(1/(1/INDEX(Map_Stats!$K$2:$K$779,MATCH($F54&amp;"|"&amp;$G54,Map_Stats!$A$2:$A$779,0))),$O54))</f>
        <v/>
      </c>
      <c r="S54" s="8">
        <f>IF(OR($G54="",$P54=""),"",IFERROR(1/(1/INDEX(Map_Stats!$I$2:$I$779,MATCH($F54&amp;"|"&amp;$G54,Map_Stats!$A$2:$A$779,0))),$P54))</f>
        <v/>
      </c>
      <c r="T54" s="11">
        <f>IF(OR($G54="",R54=""),"",IF($O54="",R54,(Q54*R54+Config!$B$4*$O54)/(Q54+Config!$B$4)))</f>
        <v/>
      </c>
      <c r="U54" s="8">
        <f>IF(S54="","",(Q54*S54+Config!$B$4*$P54)/(Q54+Config!$B$4))</f>
        <v/>
      </c>
      <c r="V54" s="15">
        <f>IF(OR(T54="",$J54=""),"",T54*$J54*($J54/Config!$B$10)^Config!$B$9)</f>
        <v/>
      </c>
      <c r="W54" s="15">
        <f>IF(OR(V54="",U54=""),"",V54*U54)</f>
        <v/>
      </c>
      <c r="X54">
        <f>IF($H54="",0,SUMIFS(Map_Stats!$F$2:$F$779,Map_Stats!$A$2:$A$779,$F54&amp;"|"&amp;$H54))</f>
        <v/>
      </c>
      <c r="Y54" s="11">
        <f>IF($H54="","",IFERROR(1/(1/INDEX(Map_Stats!$K$2:$K$779,MATCH($F54&amp;"|"&amp;$H54,Map_Stats!$A$2:$A$779,0))),$O54))</f>
        <v/>
      </c>
      <c r="Z54" s="8">
        <f>IF(OR($H54="",$P54=""),"",IFERROR(1/(1/INDEX(Map_Stats!$I$2:$I$779,MATCH($F54&amp;"|"&amp;$H54,Map_Stats!$A$2:$A$779,0))),$P54))</f>
        <v/>
      </c>
      <c r="AA54" s="11">
        <f>IF(OR($H54="",Y54=""),"",IF($O54="",Y54,(X54*Y54+Config!$B$4*$O54)/(X54+Config!$B$4)))</f>
        <v/>
      </c>
      <c r="AB54" s="8">
        <f>IF(Z54="","",(X54*Z54+Config!$B$4*$P54)/(X54+Config!$B$4))</f>
        <v/>
      </c>
      <c r="AC54" s="15">
        <f>IF(OR(AA54="",$K54=""),"",AA54*$K54*($K54/Config!$B$10)^Config!$B$9)</f>
        <v/>
      </c>
      <c r="AD54" s="15">
        <f>IF(OR(AC54="",AB54=""),"",AC54*AB54)</f>
        <v/>
      </c>
      <c r="AE54">
        <f>IF($I54="",0,SUMIFS(Map_Stats!$F$2:$F$779,Map_Stats!$A$2:$A$779,$F54&amp;"|"&amp;$I54))</f>
        <v/>
      </c>
      <c r="AF54" s="11">
        <f>IF($I54="","",IFERROR(1/(1/INDEX(Map_Stats!$K$2:$K$779,MATCH($F54&amp;"|"&amp;$I54,Map_Stats!$A$2:$A$779,0))),$O54))</f>
        <v/>
      </c>
      <c r="AG54" s="8">
        <f>IF(OR($I54="",$P54=""),"",IFERROR(1/(1/INDEX(Map_Stats!$I$2:$I$779,MATCH($F54&amp;"|"&amp;$I54,Map_Stats!$A$2:$A$779,0))),$P54))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IF($C54=Board!$B$2,COUNTIFS($C$2:$C$124,Board!$B$2,$AL$2:$AL$124,"&gt;"&amp;$AL54)+COUNTIFS($C$1:$C53,Board!$B$2,$AL$1:$AL53,$AL54)+1,"")</f>
        <v/>
      </c>
      <c r="AS54">
        <f>IFERROR(IF($D54=INDEX(Matches!$AD$5:$AD$19,MATCH($C54,Matches!$A$5:$A$19,0)),"A",IF($D54=INDEX(Matches!$AE$5:$AE$19,MATCH($C54,Matches!$A$5:$A$19,0)),"B","")),"")</f>
        <v/>
      </c>
      <c r="AT54" s="8">
        <f>IF($AS54="","",IFERROR(IF($AS54="A",INDEX(Matches!$AI$5:$AI$19,MATCH($C54,Matches!$A$5:$A$19,0)),INDEX(Matches!$AJ$5:$AJ$19,MATCH($C54,Matches!$A$5:$A$19,0))),""))</f>
        <v/>
      </c>
      <c r="AU54" s="8">
        <f>IF($AS54="","",IFERROR(IF(INDEX(Matches!$AP$5:$AP$19,MATCH($C54,Matches!$A$5:$A$19,0))="","",IF($AS54="A",INDEX(Matches!$AP$5:$AP$19,MATCH($C54,Matches!$A$5:$A$19,0)),1-INDEX(Matches!$AP$5:$AP$19,MATCH($C54,Matches!$A$5:$A$19,0)))),""))</f>
        <v/>
      </c>
      <c r="AV54" s="11">
        <f>IF(OR($AU54="",$AT54=""),1,((Config!$B$14*$AU54+Config!$B$15*(1-$AU54))/(Config!$B$14*$AT54+Config!$B$15*(1-$AT54)))^Config!$B$13)</f>
        <v/>
      </c>
      <c r="AW54" s="8">
        <f>IF($AS54="","",IFERROR(IF(INDEX(Matches!$AV$5:$AV$19,MATCH($C54,Matches!$A$5:$A$19,0))="","",IF($AS54="A",INDEX(Matches!$AV$5:$AV$19,MATCH($C54,Matches!$A$5:$A$19,0)),1-INDEX(Matches!$AV$5:$AV$19,MATCH($C54,Matches!$A$5:$A$19,0)))),""))</f>
        <v/>
      </c>
      <c r="AX54" s="11">
        <f>IF(OR($AW54="",$AT54=""),1,((Config!$B$14*$AW54+Config!$B$15*(1-$AW54))/(Config!$B$14*$AT54+Config!$B$15*(1-$AT54)))^Config!$B$13)</f>
        <v/>
      </c>
      <c r="AY54" s="8">
        <f>IF($AS54="","",IFERROR(IF(INDEX(Matches!$BB$5:$BB$19,MATCH($C54,Matches!$A$5:$A$19,0))="","",IF($AS54="A",INDEX(Matches!$BB$5:$BB$19,MATCH($C54,Matches!$A$5:$A$19,0)),1-INDEX(Matches!$BB$5:$BB$19,MATCH($C54,Matches!$A$5:$A$19,0)))),""))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2y1yay7td9d3pb6|CS2 · FURIA vs NAVI</t>
        </is>
      </c>
      <c r="B55" t="inlineStr">
        <is>
          <t>CS2</t>
        </is>
      </c>
      <c r="C55" t="inlineStr">
        <is>
          <t>CS2 · FURIA vs NAVI</t>
        </is>
      </c>
      <c r="D55" t="inlineStr">
        <is>
          <t>NAVI</t>
        </is>
      </c>
      <c r="E55" t="inlineStr">
        <is>
          <t>b1t</t>
        </is>
      </c>
      <c r="F55" t="inlineStr">
        <is>
          <t>2y1yay7td9d3pb6</t>
        </is>
      </c>
      <c r="G55">
        <f>IFERROR(IF(INDEX(Matches!$W$5:$W$19,MATCH($C55,Matches!$A$5:$A$19,0))="","",INDEX(Matches!$W$5:$W$19,MATCH($C55,Matches!$A$5:$A$19,0))),"")</f>
        <v/>
      </c>
      <c r="H55">
        <f>IFERROR(IF(INDEX(Matches!$X$5:$X$19,MATCH($C55,Matches!$A$5:$A$19,0))="","",INDEX(Matches!$X$5:$X$19,MATCH($C55,Matches!$A$5:$A$19,0))),"")</f>
        <v/>
      </c>
      <c r="I55">
        <f>IFERROR(IF(INDEX(Matches!$Y$5:$Y$19,MATCH($C55,Matches!$A$5:$A$19,0))="","",INDEX(Matches!$Y$5:$Y$19,MATCH($C55,Matches!$A$5:$A$19,0))),"")</f>
        <v/>
      </c>
      <c r="J55">
        <f>IFERROR(IF(INDEX(Matches!$Z$5:$Z$19,MATCH($C55,Matches!$A$5:$A$19,0))="","",INDEX(Matches!$Z$5:$Z$19,MATCH($C55,Matches!$A$5:$A$19,0))),"")</f>
        <v/>
      </c>
      <c r="K55">
        <f>IFERROR(IF(INDEX(Matches!$AA$5:$AA$19,MATCH($C55,Matches!$A$5:$A$19,0))="","",INDEX(Matches!$AA$5:$AA$19,MATCH($C55,Matches!$A$5:$A$19,0))),"")</f>
        <v/>
      </c>
      <c r="L55">
        <f>IFERROR(IF(INDEX(Matches!$AB$5:$AB$19,MATCH($C55,Matches!$A$5:$A$19,0))="","",INDEX(Matches!$AB$5:$AB$19,MATCH($C55,Matches!$A$5:$A$19,0))),"")</f>
        <v/>
      </c>
      <c r="M55" s="8">
        <f>IFERROR(IF(INDEX(Matches!$AC$5:$AC$19,MATCH($C55,Matches!$A$5:$A$19,0))="","",INDEX(Matches!$AC$5:$AC$19,MATCH($C55,Matches!$A$5:$A$19,0))),"")</f>
        <v/>
      </c>
      <c r="N55">
        <f>IFERROR(INDEX(Players!$F$2:$F$124,MATCH($F55,Players!$A$2:$A$124,0)),0)</f>
        <v/>
      </c>
      <c r="O55" s="11">
        <f>IFERROR(1/(1/INDEX(Players!$H$2:$H$124,MATCH($F55,Players!$A$2:$A$124,0))),"")</f>
        <v/>
      </c>
      <c r="P55" s="8">
        <f>IFERROR(1/(1/INDEX(Players!$I$2:$I$124,MATCH($F55,Players!$A$2:$A$124,0))),"")</f>
        <v/>
      </c>
      <c r="Q55">
        <f>IF($G55="",0,SUMIFS(Map_Stats!$F$2:$F$779,Map_Stats!$A$2:$A$779,$F55&amp;"|"&amp;$G55))</f>
        <v/>
      </c>
      <c r="R55" s="11">
        <f>IF($G55="","",IFERROR(1/(1/INDEX(Map_Stats!$K$2:$K$779,MATCH($F55&amp;"|"&amp;$G55,Map_Stats!$A$2:$A$779,0))),$O55))</f>
        <v/>
      </c>
      <c r="S55" s="8">
        <f>IF(OR($G55="",$P55=""),"",IFERROR(1/(1/INDEX(Map_Stats!$I$2:$I$779,MATCH($F55&amp;"|"&amp;$G55,Map_Stats!$A$2:$A$779,0))),$P55))</f>
        <v/>
      </c>
      <c r="T55" s="11">
        <f>IF(OR($G55="",R55=""),"",IF($O55="",R55,(Q55*R55+Config!$B$4*$O55)/(Q55+Config!$B$4)))</f>
        <v/>
      </c>
      <c r="U55" s="8">
        <f>IF(S55="","",(Q55*S55+Config!$B$4*$P55)/(Q55+Config!$B$4))</f>
        <v/>
      </c>
      <c r="V55" s="15">
        <f>IF(OR(T55="",$J55=""),"",T55*$J55*($J55/Config!$B$10)^Config!$B$9)</f>
        <v/>
      </c>
      <c r="W55" s="15">
        <f>IF(OR(V55="",U55=""),"",V55*U55)</f>
        <v/>
      </c>
      <c r="X55">
        <f>IF($H55="",0,SUMIFS(Map_Stats!$F$2:$F$779,Map_Stats!$A$2:$A$779,$F55&amp;"|"&amp;$H55))</f>
        <v/>
      </c>
      <c r="Y55" s="11">
        <f>IF($H55="","",IFERROR(1/(1/INDEX(Map_Stats!$K$2:$K$779,MATCH($F55&amp;"|"&amp;$H55,Map_Stats!$A$2:$A$779,0))),$O55))</f>
        <v/>
      </c>
      <c r="Z55" s="8">
        <f>IF(OR($H55="",$P55=""),"",IFERROR(1/(1/INDEX(Map_Stats!$I$2:$I$779,MATCH($F55&amp;"|"&amp;$H55,Map_Stats!$A$2:$A$779,0))),$P55))</f>
        <v/>
      </c>
      <c r="AA55" s="11">
        <f>IF(OR($H55="",Y55=""),"",IF($O55="",Y55,(X55*Y55+Config!$B$4*$O55)/(X55+Config!$B$4)))</f>
        <v/>
      </c>
      <c r="AB55" s="8">
        <f>IF(Z55="","",(X55*Z55+Config!$B$4*$P55)/(X55+Config!$B$4))</f>
        <v/>
      </c>
      <c r="AC55" s="15">
        <f>IF(OR(AA55="",$K55=""),"",AA55*$K55*($K55/Config!$B$10)^Config!$B$9)</f>
        <v/>
      </c>
      <c r="AD55" s="15">
        <f>IF(OR(AC55="",AB55=""),"",AC55*AB55)</f>
        <v/>
      </c>
      <c r="AE55">
        <f>IF($I55="",0,SUMIFS(Map_Stats!$F$2:$F$779,Map_Stats!$A$2:$A$779,$F55&amp;"|"&amp;$I55))</f>
        <v/>
      </c>
      <c r="AF55" s="11">
        <f>IF($I55="","",IFERROR(1/(1/INDEX(Map_Stats!$K$2:$K$779,MATCH($F55&amp;"|"&amp;$I55,Map_Stats!$A$2:$A$779,0))),$O55))</f>
        <v/>
      </c>
      <c r="AG55" s="8">
        <f>IF(OR($I55="",$P55=""),"",IFERROR(1/(1/INDEX(Map_Stats!$I$2:$I$779,MATCH($F55&amp;"|"&amp;$I55,Map_Stats!$A$2:$A$779,0))),$P55))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IF($C55=Board!$B$2,COUNTIFS($C$2:$C$124,Board!$B$2,$AL$2:$AL$124,"&gt;"&amp;$AL55)+COUNTIFS($C$1:$C54,Board!$B$2,$AL$1:$AL54,$AL55)+1,"")</f>
        <v/>
      </c>
      <c r="AS55">
        <f>IFERROR(IF($D55=INDEX(Matches!$AD$5:$AD$19,MATCH($C55,Matches!$A$5:$A$19,0)),"A",IF($D55=INDEX(Matches!$AE$5:$AE$19,MATCH($C55,Matches!$A$5:$A$19,0)),"B","")),"")</f>
        <v/>
      </c>
      <c r="AT55" s="8">
        <f>IF($AS55="","",IFERROR(IF($AS55="A",INDEX(Matches!$AI$5:$AI$19,MATCH($C55,Matches!$A$5:$A$19,0)),INDEX(Matches!$AJ$5:$AJ$19,MATCH($C55,Matches!$A$5:$A$19,0))),""))</f>
        <v/>
      </c>
      <c r="AU55" s="8">
        <f>IF($AS55="","",IFERROR(IF(INDEX(Matches!$AP$5:$AP$19,MATCH($C55,Matches!$A$5:$A$19,0))="","",IF($AS55="A",INDEX(Matches!$AP$5:$AP$19,MATCH($C55,Matches!$A$5:$A$19,0)),1-INDEX(Matches!$AP$5:$AP$19,MATCH($C55,Matches!$A$5:$A$19,0)))),""))</f>
        <v/>
      </c>
      <c r="AV55" s="11">
        <f>IF(OR($AU55="",$AT55=""),1,((Config!$B$14*$AU55+Config!$B$15*(1-$AU55))/(Config!$B$14*$AT55+Config!$B$15*(1-$AT55)))^Config!$B$13)</f>
        <v/>
      </c>
      <c r="AW55" s="8">
        <f>IF($AS55="","",IFERROR(IF(INDEX(Matches!$AV$5:$AV$19,MATCH($C55,Matches!$A$5:$A$19,0))="","",IF($AS55="A",INDEX(Matches!$AV$5:$AV$19,MATCH($C55,Matches!$A$5:$A$19,0)),1-INDEX(Matches!$AV$5:$AV$19,MATCH($C55,Matches!$A$5:$A$19,0)))),""))</f>
        <v/>
      </c>
      <c r="AX55" s="11">
        <f>IF(OR($AW55="",$AT55=""),1,((Config!$B$14*$AW55+Config!$B$15*(1-$AW55))/(Config!$B$14*$AT55+Config!$B$15*(1-$AT55)))^Config!$B$13)</f>
        <v/>
      </c>
      <c r="AY55" s="8">
        <f>IF($AS55="","",IFERROR(IF(INDEX(Matches!$BB$5:$BB$19,MATCH($C55,Matches!$A$5:$A$19,0))="","",IF($AS55="A",INDEX(Matches!$BB$5:$BB$19,MATCH($C55,Matches!$A$5:$A$19,0)),1-INDEX(Matches!$BB$5:$BB$19,MATCH($C55,Matches!$A$5:$A$19,0)))),""))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6fnysfxfr7gofjk|CS2 · FURIA vs NAVI</t>
        </is>
      </c>
      <c r="B56" t="inlineStr">
        <is>
          <t>CS2</t>
        </is>
      </c>
      <c r="C56" t="inlineStr">
        <is>
          <t>CS2 · FURIA vs NAVI</t>
        </is>
      </c>
      <c r="D56" t="inlineStr">
        <is>
          <t>NAVI</t>
        </is>
      </c>
      <c r="E56" t="inlineStr">
        <is>
          <t>iM</t>
        </is>
      </c>
      <c r="F56" t="inlineStr">
        <is>
          <t>6fnysfxfr7gofjk</t>
        </is>
      </c>
      <c r="G56">
        <f>IFERROR(IF(INDEX(Matches!$W$5:$W$19,MATCH($C56,Matches!$A$5:$A$19,0))="","",INDEX(Matches!$W$5:$W$19,MATCH($C56,Matches!$A$5:$A$19,0))),"")</f>
        <v/>
      </c>
      <c r="H56">
        <f>IFERROR(IF(INDEX(Matches!$X$5:$X$19,MATCH($C56,Matches!$A$5:$A$19,0))="","",INDEX(Matches!$X$5:$X$19,MATCH($C56,Matches!$A$5:$A$19,0))),"")</f>
        <v/>
      </c>
      <c r="I56">
        <f>IFERROR(IF(INDEX(Matches!$Y$5:$Y$19,MATCH($C56,Matches!$A$5:$A$19,0))="","",INDEX(Matches!$Y$5:$Y$19,MATCH($C56,Matches!$A$5:$A$19,0))),"")</f>
        <v/>
      </c>
      <c r="J56">
        <f>IFERROR(IF(INDEX(Matches!$Z$5:$Z$19,MATCH($C56,Matches!$A$5:$A$19,0))="","",INDEX(Matches!$Z$5:$Z$19,MATCH($C56,Matches!$A$5:$A$19,0))),"")</f>
        <v/>
      </c>
      <c r="K56">
        <f>IFERROR(IF(INDEX(Matches!$AA$5:$AA$19,MATCH($C56,Matches!$A$5:$A$19,0))="","",INDEX(Matches!$AA$5:$AA$19,MATCH($C56,Matches!$A$5:$A$19,0))),"")</f>
        <v/>
      </c>
      <c r="L56">
        <f>IFERROR(IF(INDEX(Matches!$AB$5:$AB$19,MATCH($C56,Matches!$A$5:$A$19,0))="","",INDEX(Matches!$AB$5:$AB$19,MATCH($C56,Matches!$A$5:$A$19,0))),"")</f>
        <v/>
      </c>
      <c r="M56" s="8">
        <f>IFERROR(IF(INDEX(Matches!$AC$5:$AC$19,MATCH($C56,Matches!$A$5:$A$19,0))="","",INDEX(Matches!$AC$5:$AC$19,MATCH($C56,Matches!$A$5:$A$19,0))),"")</f>
        <v/>
      </c>
      <c r="N56">
        <f>IFERROR(INDEX(Players!$F$2:$F$124,MATCH($F56,Players!$A$2:$A$124,0)),0)</f>
        <v/>
      </c>
      <c r="O56" s="11">
        <f>IFERROR(1/(1/INDEX(Players!$H$2:$H$124,MATCH($F56,Players!$A$2:$A$124,0))),"")</f>
        <v/>
      </c>
      <c r="P56" s="8">
        <f>IFERROR(1/(1/INDEX(Players!$I$2:$I$124,MATCH($F56,Players!$A$2:$A$124,0))),"")</f>
        <v/>
      </c>
      <c r="Q56">
        <f>IF($G56="",0,SUMIFS(Map_Stats!$F$2:$F$779,Map_Stats!$A$2:$A$779,$F56&amp;"|"&amp;$G56))</f>
        <v/>
      </c>
      <c r="R56" s="11">
        <f>IF($G56="","",IFERROR(1/(1/INDEX(Map_Stats!$K$2:$K$779,MATCH($F56&amp;"|"&amp;$G56,Map_Stats!$A$2:$A$779,0))),$O56))</f>
        <v/>
      </c>
      <c r="S56" s="8">
        <f>IF(OR($G56="",$P56=""),"",IFERROR(1/(1/INDEX(Map_Stats!$I$2:$I$779,MATCH($F56&amp;"|"&amp;$G56,Map_Stats!$A$2:$A$779,0))),$P56))</f>
        <v/>
      </c>
      <c r="T56" s="11">
        <f>IF(OR($G56="",R56=""),"",IF($O56="",R56,(Q56*R56+Config!$B$4*$O56)/(Q56+Config!$B$4)))</f>
        <v/>
      </c>
      <c r="U56" s="8">
        <f>IF(S56="","",(Q56*S56+Config!$B$4*$P56)/(Q56+Config!$B$4))</f>
        <v/>
      </c>
      <c r="V56" s="15">
        <f>IF(OR(T56="",$J56=""),"",T56*$J56*($J56/Config!$B$10)^Config!$B$9)</f>
        <v/>
      </c>
      <c r="W56" s="15">
        <f>IF(OR(V56="",U56=""),"",V56*U56)</f>
        <v/>
      </c>
      <c r="X56">
        <f>IF($H56="",0,SUMIFS(Map_Stats!$F$2:$F$779,Map_Stats!$A$2:$A$779,$F56&amp;"|"&amp;$H56))</f>
        <v/>
      </c>
      <c r="Y56" s="11">
        <f>IF($H56="","",IFERROR(1/(1/INDEX(Map_Stats!$K$2:$K$779,MATCH($F56&amp;"|"&amp;$H56,Map_Stats!$A$2:$A$779,0))),$O56))</f>
        <v/>
      </c>
      <c r="Z56" s="8">
        <f>IF(OR($H56="",$P56=""),"",IFERROR(1/(1/INDEX(Map_Stats!$I$2:$I$779,MATCH($F56&amp;"|"&amp;$H56,Map_Stats!$A$2:$A$779,0))),$P56))</f>
        <v/>
      </c>
      <c r="AA56" s="11">
        <f>IF(OR($H56="",Y56=""),"",IF($O56="",Y56,(X56*Y56+Config!$B$4*$O56)/(X56+Config!$B$4)))</f>
        <v/>
      </c>
      <c r="AB56" s="8">
        <f>IF(Z56="","",(X56*Z56+Config!$B$4*$P56)/(X56+Config!$B$4))</f>
        <v/>
      </c>
      <c r="AC56" s="15">
        <f>IF(OR(AA56="",$K56=""),"",AA56*$K56*($K56/Config!$B$10)^Config!$B$9)</f>
        <v/>
      </c>
      <c r="AD56" s="15">
        <f>IF(OR(AC56="",AB56=""),"",AC56*AB56)</f>
        <v/>
      </c>
      <c r="AE56">
        <f>IF($I56="",0,SUMIFS(Map_Stats!$F$2:$F$779,Map_Stats!$A$2:$A$779,$F56&amp;"|"&amp;$I56))</f>
        <v/>
      </c>
      <c r="AF56" s="11">
        <f>IF($I56="","",IFERROR(1/(1/INDEX(Map_Stats!$K$2:$K$779,MATCH($F56&amp;"|"&amp;$I56,Map_Stats!$A$2:$A$779,0))),$O56))</f>
        <v/>
      </c>
      <c r="AG56" s="8">
        <f>IF(OR($I56="",$P56=""),"",IFERROR(1/(1/INDEX(Map_Stats!$I$2:$I$779,MATCH($F56&amp;"|"&amp;$I56,Map_Stats!$A$2:$A$779,0))),$P56))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IF($C56=Board!$B$2,COUNTIFS($C$2:$C$124,Board!$B$2,$AL$2:$AL$124,"&gt;"&amp;$AL56)+COUNTIFS($C$1:$C55,Board!$B$2,$AL$1:$AL55,$AL56)+1,"")</f>
        <v/>
      </c>
      <c r="AS56">
        <f>IFERROR(IF($D56=INDEX(Matches!$AD$5:$AD$19,MATCH($C56,Matches!$A$5:$A$19,0)),"A",IF($D56=INDEX(Matches!$AE$5:$AE$19,MATCH($C56,Matches!$A$5:$A$19,0)),"B","")),"")</f>
        <v/>
      </c>
      <c r="AT56" s="8">
        <f>IF($AS56="","",IFERROR(IF($AS56="A",INDEX(Matches!$AI$5:$AI$19,MATCH($C56,Matches!$A$5:$A$19,0)),INDEX(Matches!$AJ$5:$AJ$19,MATCH($C56,Matches!$A$5:$A$19,0))),""))</f>
        <v/>
      </c>
      <c r="AU56" s="8">
        <f>IF($AS56="","",IFERROR(IF(INDEX(Matches!$AP$5:$AP$19,MATCH($C56,Matches!$A$5:$A$19,0))="","",IF($AS56="A",INDEX(Matches!$AP$5:$AP$19,MATCH($C56,Matches!$A$5:$A$19,0)),1-INDEX(Matches!$AP$5:$AP$19,MATCH($C56,Matches!$A$5:$A$19,0)))),""))</f>
        <v/>
      </c>
      <c r="AV56" s="11">
        <f>IF(OR($AU56="",$AT56=""),1,((Config!$B$14*$AU56+Config!$B$15*(1-$AU56))/(Config!$B$14*$AT56+Config!$B$15*(1-$AT56)))^Config!$B$13)</f>
        <v/>
      </c>
      <c r="AW56" s="8">
        <f>IF($AS56="","",IFERROR(IF(INDEX(Matches!$AV$5:$AV$19,MATCH($C56,Matches!$A$5:$A$19,0))="","",IF($AS56="A",INDEX(Matches!$AV$5:$AV$19,MATCH($C56,Matches!$A$5:$A$19,0)),1-INDEX(Matches!$AV$5:$AV$19,MATCH($C56,Matches!$A$5:$A$19,0)))),""))</f>
        <v/>
      </c>
      <c r="AX56" s="11">
        <f>IF(OR($AW56="",$AT56=""),1,((Config!$B$14*$AW56+Config!$B$15*(1-$AW56))/(Config!$B$14*$AT56+Config!$B$15*(1-$AT56)))^Config!$B$13)</f>
        <v/>
      </c>
      <c r="AY56" s="8">
        <f>IF($AS56="","",IFERROR(IF(INDEX(Matches!$BB$5:$BB$19,MATCH($C56,Matches!$A$5:$A$19,0))="","",IF($AS56="A",INDEX(Matches!$BB$5:$BB$19,MATCH($C56,Matches!$A$5:$A$19,0)),1-INDEX(Matches!$BB$5:$BB$19,MATCH($C56,Matches!$A$5:$A$19,0)))),""))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6oi74s8csyxqh63|CS2 · FURIA vs NAVI</t>
        </is>
      </c>
      <c r="B57" t="inlineStr">
        <is>
          <t>CS2</t>
        </is>
      </c>
      <c r="C57" t="inlineStr">
        <is>
          <t>CS2 · FURIA vs NAVI</t>
        </is>
      </c>
      <c r="D57" t="inlineStr">
        <is>
          <t>NAVI</t>
        </is>
      </c>
      <c r="E57" t="inlineStr">
        <is>
          <t>makazze</t>
        </is>
      </c>
      <c r="F57" t="inlineStr">
        <is>
          <t>6oi74s8csyxqh63</t>
        </is>
      </c>
      <c r="G57">
        <f>IFERROR(IF(INDEX(Matches!$W$5:$W$19,MATCH($C57,Matches!$A$5:$A$19,0))="","",INDEX(Matches!$W$5:$W$19,MATCH($C57,Matches!$A$5:$A$19,0))),"")</f>
        <v/>
      </c>
      <c r="H57">
        <f>IFERROR(IF(INDEX(Matches!$X$5:$X$19,MATCH($C57,Matches!$A$5:$A$19,0))="","",INDEX(Matches!$X$5:$X$19,MATCH($C57,Matches!$A$5:$A$19,0))),"")</f>
        <v/>
      </c>
      <c r="I57">
        <f>IFERROR(IF(INDEX(Matches!$Y$5:$Y$19,MATCH($C57,Matches!$A$5:$A$19,0))="","",INDEX(Matches!$Y$5:$Y$19,MATCH($C57,Matches!$A$5:$A$19,0))),"")</f>
        <v/>
      </c>
      <c r="J57">
        <f>IFERROR(IF(INDEX(Matches!$Z$5:$Z$19,MATCH($C57,Matches!$A$5:$A$19,0))="","",INDEX(Matches!$Z$5:$Z$19,MATCH($C57,Matches!$A$5:$A$19,0))),"")</f>
        <v/>
      </c>
      <c r="K57">
        <f>IFERROR(IF(INDEX(Matches!$AA$5:$AA$19,MATCH($C57,Matches!$A$5:$A$19,0))="","",INDEX(Matches!$AA$5:$AA$19,MATCH($C57,Matches!$A$5:$A$19,0))),"")</f>
        <v/>
      </c>
      <c r="L57">
        <f>IFERROR(IF(INDEX(Matches!$AB$5:$AB$19,MATCH($C57,Matches!$A$5:$A$19,0))="","",INDEX(Matches!$AB$5:$AB$19,MATCH($C57,Matches!$A$5:$A$19,0))),"")</f>
        <v/>
      </c>
      <c r="M57" s="8">
        <f>IFERROR(IF(INDEX(Matches!$AC$5:$AC$19,MATCH($C57,Matches!$A$5:$A$19,0))="","",INDEX(Matches!$AC$5:$AC$19,MATCH($C57,Matches!$A$5:$A$19,0))),"")</f>
        <v/>
      </c>
      <c r="N57">
        <f>IFERROR(INDEX(Players!$F$2:$F$124,MATCH($F57,Players!$A$2:$A$124,0)),0)</f>
        <v/>
      </c>
      <c r="O57" s="11">
        <f>IFERROR(1/(1/INDEX(Players!$H$2:$H$124,MATCH($F57,Players!$A$2:$A$124,0))),"")</f>
        <v/>
      </c>
      <c r="P57" s="8">
        <f>IFERROR(1/(1/INDEX(Players!$I$2:$I$124,MATCH($F57,Players!$A$2:$A$124,0))),"")</f>
        <v/>
      </c>
      <c r="Q57">
        <f>IF($G57="",0,SUMIFS(Map_Stats!$F$2:$F$779,Map_Stats!$A$2:$A$779,$F57&amp;"|"&amp;$G57))</f>
        <v/>
      </c>
      <c r="R57" s="11">
        <f>IF($G57="","",IFERROR(1/(1/INDEX(Map_Stats!$K$2:$K$779,MATCH($F57&amp;"|"&amp;$G57,Map_Stats!$A$2:$A$779,0))),$O57))</f>
        <v/>
      </c>
      <c r="S57" s="8">
        <f>IF(OR($G57="",$P57=""),"",IFERROR(1/(1/INDEX(Map_Stats!$I$2:$I$779,MATCH($F57&amp;"|"&amp;$G57,Map_Stats!$A$2:$A$779,0))),$P57))</f>
        <v/>
      </c>
      <c r="T57" s="11">
        <f>IF(OR($G57="",R57=""),"",IF($O57="",R57,(Q57*R57+Config!$B$4*$O57)/(Q57+Config!$B$4)))</f>
        <v/>
      </c>
      <c r="U57" s="8">
        <f>IF(S57="","",(Q57*S57+Config!$B$4*$P57)/(Q57+Config!$B$4))</f>
        <v/>
      </c>
      <c r="V57" s="15">
        <f>IF(OR(T57="",$J57=""),"",T57*$J57*($J57/Config!$B$10)^Config!$B$9)</f>
        <v/>
      </c>
      <c r="W57" s="15">
        <f>IF(OR(V57="",U57=""),"",V57*U57)</f>
        <v/>
      </c>
      <c r="X57">
        <f>IF($H57="",0,SUMIFS(Map_Stats!$F$2:$F$779,Map_Stats!$A$2:$A$779,$F57&amp;"|"&amp;$H57))</f>
        <v/>
      </c>
      <c r="Y57" s="11">
        <f>IF($H57="","",IFERROR(1/(1/INDEX(Map_Stats!$K$2:$K$779,MATCH($F57&amp;"|"&amp;$H57,Map_Stats!$A$2:$A$779,0))),$O57))</f>
        <v/>
      </c>
      <c r="Z57" s="8">
        <f>IF(OR($H57="",$P57=""),"",IFERROR(1/(1/INDEX(Map_Stats!$I$2:$I$779,MATCH($F57&amp;"|"&amp;$H57,Map_Stats!$A$2:$A$779,0))),$P57))</f>
        <v/>
      </c>
      <c r="AA57" s="11">
        <f>IF(OR($H57="",Y57=""),"",IF($O57="",Y57,(X57*Y57+Config!$B$4*$O57)/(X57+Config!$B$4)))</f>
        <v/>
      </c>
      <c r="AB57" s="8">
        <f>IF(Z57="","",(X57*Z57+Config!$B$4*$P57)/(X57+Config!$B$4))</f>
        <v/>
      </c>
      <c r="AC57" s="15">
        <f>IF(OR(AA57="",$K57=""),"",AA57*$K57*($K57/Config!$B$10)^Config!$B$9)</f>
        <v/>
      </c>
      <c r="AD57" s="15">
        <f>IF(OR(AC57="",AB57=""),"",AC57*AB57)</f>
        <v/>
      </c>
      <c r="AE57">
        <f>IF($I57="",0,SUMIFS(Map_Stats!$F$2:$F$779,Map_Stats!$A$2:$A$779,$F57&amp;"|"&amp;$I57))</f>
        <v/>
      </c>
      <c r="AF57" s="11">
        <f>IF($I57="","",IFERROR(1/(1/INDEX(Map_Stats!$K$2:$K$779,MATCH($F57&amp;"|"&amp;$I57,Map_Stats!$A$2:$A$779,0))),$O57))</f>
        <v/>
      </c>
      <c r="AG57" s="8">
        <f>IF(OR($I57="",$P57=""),"",IFERROR(1/(1/INDEX(Map_Stats!$I$2:$I$779,MATCH($F57&amp;"|"&amp;$I57,Map_Stats!$A$2:$A$779,0))),$P57))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IF($C57=Board!$B$2,COUNTIFS($C$2:$C$124,Board!$B$2,$AL$2:$AL$124,"&gt;"&amp;$AL57)+COUNTIFS($C$1:$C56,Board!$B$2,$AL$1:$AL56,$AL57)+1,"")</f>
        <v/>
      </c>
      <c r="AS57">
        <f>IFERROR(IF($D57=INDEX(Matches!$AD$5:$AD$19,MATCH($C57,Matches!$A$5:$A$19,0)),"A",IF($D57=INDEX(Matches!$AE$5:$AE$19,MATCH($C57,Matches!$A$5:$A$19,0)),"B","")),"")</f>
        <v/>
      </c>
      <c r="AT57" s="8">
        <f>IF($AS57="","",IFERROR(IF($AS57="A",INDEX(Matches!$AI$5:$AI$19,MATCH($C57,Matches!$A$5:$A$19,0)),INDEX(Matches!$AJ$5:$AJ$19,MATCH($C57,Matches!$A$5:$A$19,0))),""))</f>
        <v/>
      </c>
      <c r="AU57" s="8">
        <f>IF($AS57="","",IFERROR(IF(INDEX(Matches!$AP$5:$AP$19,MATCH($C57,Matches!$A$5:$A$19,0))="","",IF($AS57="A",INDEX(Matches!$AP$5:$AP$19,MATCH($C57,Matches!$A$5:$A$19,0)),1-INDEX(Matches!$AP$5:$AP$19,MATCH($C57,Matches!$A$5:$A$19,0)))),""))</f>
        <v/>
      </c>
      <c r="AV57" s="11">
        <f>IF(OR($AU57="",$AT57=""),1,((Config!$B$14*$AU57+Config!$B$15*(1-$AU57))/(Config!$B$14*$AT57+Config!$B$15*(1-$AT57)))^Config!$B$13)</f>
        <v/>
      </c>
      <c r="AW57" s="8">
        <f>IF($AS57="","",IFERROR(IF(INDEX(Matches!$AV$5:$AV$19,MATCH($C57,Matches!$A$5:$A$19,0))="","",IF($AS57="A",INDEX(Matches!$AV$5:$AV$19,MATCH($C57,Matches!$A$5:$A$19,0)),1-INDEX(Matches!$AV$5:$AV$19,MATCH($C57,Matches!$A$5:$A$19,0)))),""))</f>
        <v/>
      </c>
      <c r="AX57" s="11">
        <f>IF(OR($AW57="",$AT57=""),1,((Config!$B$14*$AW57+Config!$B$15*(1-$AW57))/(Config!$B$14*$AT57+Config!$B$15*(1-$AT57)))^Config!$B$13)</f>
        <v/>
      </c>
      <c r="AY57" s="8">
        <f>IF($AS57="","",IFERROR(IF(INDEX(Matches!$BB$5:$BB$19,MATCH($C57,Matches!$A$5:$A$19,0))="","",IF($AS57="A",INDEX(Matches!$BB$5:$BB$19,MATCH($C57,Matches!$A$5:$A$19,0)),1-INDEX(Matches!$BB$5:$BB$19,MATCH($C57,Matches!$A$5:$A$19,0)))),""))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9wdj3z2kekttkk3|CS2 · FURIA vs NAVI</t>
        </is>
      </c>
      <c r="B58" t="inlineStr">
        <is>
          <t>CS2</t>
        </is>
      </c>
      <c r="C58" t="inlineStr">
        <is>
          <t>CS2 · FURIA vs NAVI</t>
        </is>
      </c>
      <c r="D58" t="inlineStr">
        <is>
          <t>NAVI</t>
        </is>
      </c>
      <c r="E58" t="inlineStr">
        <is>
          <t>w0nderful</t>
        </is>
      </c>
      <c r="F58" t="inlineStr">
        <is>
          <t>9wdj3z2kekttkk3</t>
        </is>
      </c>
      <c r="G58">
        <f>IFERROR(IF(INDEX(Matches!$W$5:$W$19,MATCH($C58,Matches!$A$5:$A$19,0))="","",INDEX(Matches!$W$5:$W$19,MATCH($C58,Matches!$A$5:$A$19,0))),"")</f>
        <v/>
      </c>
      <c r="H58">
        <f>IFERROR(IF(INDEX(Matches!$X$5:$X$19,MATCH($C58,Matches!$A$5:$A$19,0))="","",INDEX(Matches!$X$5:$X$19,MATCH($C58,Matches!$A$5:$A$19,0))),"")</f>
        <v/>
      </c>
      <c r="I58">
        <f>IFERROR(IF(INDEX(Matches!$Y$5:$Y$19,MATCH($C58,Matches!$A$5:$A$19,0))="","",INDEX(Matches!$Y$5:$Y$19,MATCH($C58,Matches!$A$5:$A$19,0))),"")</f>
        <v/>
      </c>
      <c r="J58">
        <f>IFERROR(IF(INDEX(Matches!$Z$5:$Z$19,MATCH($C58,Matches!$A$5:$A$19,0))="","",INDEX(Matches!$Z$5:$Z$19,MATCH($C58,Matches!$A$5:$A$19,0))),"")</f>
        <v/>
      </c>
      <c r="K58">
        <f>IFERROR(IF(INDEX(Matches!$AA$5:$AA$19,MATCH($C58,Matches!$A$5:$A$19,0))="","",INDEX(Matches!$AA$5:$AA$19,MATCH($C58,Matches!$A$5:$A$19,0))),"")</f>
        <v/>
      </c>
      <c r="L58">
        <f>IFERROR(IF(INDEX(Matches!$AB$5:$AB$19,MATCH($C58,Matches!$A$5:$A$19,0))="","",INDEX(Matches!$AB$5:$AB$19,MATCH($C58,Matches!$A$5:$A$19,0))),"")</f>
        <v/>
      </c>
      <c r="M58" s="8">
        <f>IFERROR(IF(INDEX(Matches!$AC$5:$AC$19,MATCH($C58,Matches!$A$5:$A$19,0))="","",INDEX(Matches!$AC$5:$AC$19,MATCH($C58,Matches!$A$5:$A$19,0))),"")</f>
        <v/>
      </c>
      <c r="N58">
        <f>IFERROR(INDEX(Players!$F$2:$F$124,MATCH($F58,Players!$A$2:$A$124,0)),0)</f>
        <v/>
      </c>
      <c r="O58" s="11">
        <f>IFERROR(1/(1/INDEX(Players!$H$2:$H$124,MATCH($F58,Players!$A$2:$A$124,0))),"")</f>
        <v/>
      </c>
      <c r="P58" s="8">
        <f>IFERROR(1/(1/INDEX(Players!$I$2:$I$124,MATCH($F58,Players!$A$2:$A$124,0))),"")</f>
        <v/>
      </c>
      <c r="Q58">
        <f>IF($G58="",0,SUMIFS(Map_Stats!$F$2:$F$779,Map_Stats!$A$2:$A$779,$F58&amp;"|"&amp;$G58))</f>
        <v/>
      </c>
      <c r="R58" s="11">
        <f>IF($G58="","",IFERROR(1/(1/INDEX(Map_Stats!$K$2:$K$779,MATCH($F58&amp;"|"&amp;$G58,Map_Stats!$A$2:$A$779,0))),$O58))</f>
        <v/>
      </c>
      <c r="S58" s="8">
        <f>IF(OR($G58="",$P58=""),"",IFERROR(1/(1/INDEX(Map_Stats!$I$2:$I$779,MATCH($F58&amp;"|"&amp;$G58,Map_Stats!$A$2:$A$779,0))),$P58))</f>
        <v/>
      </c>
      <c r="T58" s="11">
        <f>IF(OR($G58="",R58=""),"",IF($O58="",R58,(Q58*R58+Config!$B$4*$O58)/(Q58+Config!$B$4)))</f>
        <v/>
      </c>
      <c r="U58" s="8">
        <f>IF(S58="","",(Q58*S58+Config!$B$4*$P58)/(Q58+Config!$B$4))</f>
        <v/>
      </c>
      <c r="V58" s="15">
        <f>IF(OR(T58="",$J58=""),"",T58*$J58*($J58/Config!$B$10)^Config!$B$9)</f>
        <v/>
      </c>
      <c r="W58" s="15">
        <f>IF(OR(V58="",U58=""),"",V58*U58)</f>
        <v/>
      </c>
      <c r="X58">
        <f>IF($H58="",0,SUMIFS(Map_Stats!$F$2:$F$779,Map_Stats!$A$2:$A$779,$F58&amp;"|"&amp;$H58))</f>
        <v/>
      </c>
      <c r="Y58" s="11">
        <f>IF($H58="","",IFERROR(1/(1/INDEX(Map_Stats!$K$2:$K$779,MATCH($F58&amp;"|"&amp;$H58,Map_Stats!$A$2:$A$779,0))),$O58))</f>
        <v/>
      </c>
      <c r="Z58" s="8">
        <f>IF(OR($H58="",$P58=""),"",IFERROR(1/(1/INDEX(Map_Stats!$I$2:$I$779,MATCH($F58&amp;"|"&amp;$H58,Map_Stats!$A$2:$A$779,0))),$P58))</f>
        <v/>
      </c>
      <c r="AA58" s="11">
        <f>IF(OR($H58="",Y58=""),"",IF($O58="",Y58,(X58*Y58+Config!$B$4*$O58)/(X58+Config!$B$4)))</f>
        <v/>
      </c>
      <c r="AB58" s="8">
        <f>IF(Z58="","",(X58*Z58+Config!$B$4*$P58)/(X58+Config!$B$4))</f>
        <v/>
      </c>
      <c r="AC58" s="15">
        <f>IF(OR(AA58="",$K58=""),"",AA58*$K58*($K58/Config!$B$10)^Config!$B$9)</f>
        <v/>
      </c>
      <c r="AD58" s="15">
        <f>IF(OR(AC58="",AB58=""),"",AC58*AB58)</f>
        <v/>
      </c>
      <c r="AE58">
        <f>IF($I58="",0,SUMIFS(Map_Stats!$F$2:$F$779,Map_Stats!$A$2:$A$779,$F58&amp;"|"&amp;$I58))</f>
        <v/>
      </c>
      <c r="AF58" s="11">
        <f>IF($I58="","",IFERROR(1/(1/INDEX(Map_Stats!$K$2:$K$779,MATCH($F58&amp;"|"&amp;$I58,Map_Stats!$A$2:$A$779,0))),$O58))</f>
        <v/>
      </c>
      <c r="AG58" s="8">
        <f>IF(OR($I58="",$P58=""),"",IFERROR(1/(1/INDEX(Map_Stats!$I$2:$I$779,MATCH($F58&amp;"|"&amp;$I58,Map_Stats!$A$2:$A$779,0))),$P58))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IF($C58=Board!$B$2,COUNTIFS($C$2:$C$124,Board!$B$2,$AL$2:$AL$124,"&gt;"&amp;$AL58)+COUNTIFS($C$1:$C57,Board!$B$2,$AL$1:$AL57,$AL58)+1,"")</f>
        <v/>
      </c>
      <c r="AS58">
        <f>IFERROR(IF($D58=INDEX(Matches!$AD$5:$AD$19,MATCH($C58,Matches!$A$5:$A$19,0)),"A",IF($D58=INDEX(Matches!$AE$5:$AE$19,MATCH($C58,Matches!$A$5:$A$19,0)),"B","")),"")</f>
        <v/>
      </c>
      <c r="AT58" s="8">
        <f>IF($AS58="","",IFERROR(IF($AS58="A",INDEX(Matches!$AI$5:$AI$19,MATCH($C58,Matches!$A$5:$A$19,0)),INDEX(Matches!$AJ$5:$AJ$19,MATCH($C58,Matches!$A$5:$A$19,0))),""))</f>
        <v/>
      </c>
      <c r="AU58" s="8">
        <f>IF($AS58="","",IFERROR(IF(INDEX(Matches!$AP$5:$AP$19,MATCH($C58,Matches!$A$5:$A$19,0))="","",IF($AS58="A",INDEX(Matches!$AP$5:$AP$19,MATCH($C58,Matches!$A$5:$A$19,0)),1-INDEX(Matches!$AP$5:$AP$19,MATCH($C58,Matches!$A$5:$A$19,0)))),""))</f>
        <v/>
      </c>
      <c r="AV58" s="11">
        <f>IF(OR($AU58="",$AT58=""),1,((Config!$B$14*$AU58+Config!$B$15*(1-$AU58))/(Config!$B$14*$AT58+Config!$B$15*(1-$AT58)))^Config!$B$13)</f>
        <v/>
      </c>
      <c r="AW58" s="8">
        <f>IF($AS58="","",IFERROR(IF(INDEX(Matches!$AV$5:$AV$19,MATCH($C58,Matches!$A$5:$A$19,0))="","",IF($AS58="A",INDEX(Matches!$AV$5:$AV$19,MATCH($C58,Matches!$A$5:$A$19,0)),1-INDEX(Matches!$AV$5:$AV$19,MATCH($C58,Matches!$A$5:$A$19,0)))),""))</f>
        <v/>
      </c>
      <c r="AX58" s="11">
        <f>IF(OR($AW58="",$AT58=""),1,((Config!$B$14*$AW58+Config!$B$15*(1-$AW58))/(Config!$B$14*$AT58+Config!$B$15*(1-$AT58)))^Config!$B$13)</f>
        <v/>
      </c>
      <c r="AY58" s="8">
        <f>IF($AS58="","",IFERROR(IF(INDEX(Matches!$BB$5:$BB$19,MATCH($C58,Matches!$A$5:$A$19,0))="","",IF($AS58="A",INDEX(Matches!$BB$5:$BB$19,MATCH($C58,Matches!$A$5:$A$19,0)),1-INDEX(Matches!$BB$5:$BB$19,MATCH($C58,Matches!$A$5:$A$19,0)))),""))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w5k5az5ca72wkvb|CS2 · FUT vs TL</t>
        </is>
      </c>
      <c r="B59" t="inlineStr">
        <is>
          <t>CS2</t>
        </is>
      </c>
      <c r="C59" t="inlineStr">
        <is>
          <t>CS2 · FUT vs TL</t>
        </is>
      </c>
      <c r="D59" t="inlineStr">
        <is>
          <t>FUT</t>
        </is>
      </c>
      <c r="E59" t="inlineStr">
        <is>
          <t>Dem0N</t>
        </is>
      </c>
      <c r="F59" t="inlineStr">
        <is>
          <t>w5k5az5ca72wkvb</t>
        </is>
      </c>
      <c r="G59">
        <f>IFERROR(IF(INDEX(Matches!$W$5:$W$19,MATCH($C59,Matches!$A$5:$A$19,0))="","",INDEX(Matches!$W$5:$W$19,MATCH($C59,Matches!$A$5:$A$19,0))),"")</f>
        <v/>
      </c>
      <c r="H59">
        <f>IFERROR(IF(INDEX(Matches!$X$5:$X$19,MATCH($C59,Matches!$A$5:$A$19,0))="","",INDEX(Matches!$X$5:$X$19,MATCH($C59,Matches!$A$5:$A$19,0))),"")</f>
        <v/>
      </c>
      <c r="I59">
        <f>IFERROR(IF(INDEX(Matches!$Y$5:$Y$19,MATCH($C59,Matches!$A$5:$A$19,0))="","",INDEX(Matches!$Y$5:$Y$19,MATCH($C59,Matches!$A$5:$A$19,0))),"")</f>
        <v/>
      </c>
      <c r="J59">
        <f>IFERROR(IF(INDEX(Matches!$Z$5:$Z$19,MATCH($C59,Matches!$A$5:$A$19,0))="","",INDEX(Matches!$Z$5:$Z$19,MATCH($C59,Matches!$A$5:$A$19,0))),"")</f>
        <v/>
      </c>
      <c r="K59">
        <f>IFERROR(IF(INDEX(Matches!$AA$5:$AA$19,MATCH($C59,Matches!$A$5:$A$19,0))="","",INDEX(Matches!$AA$5:$AA$19,MATCH($C59,Matches!$A$5:$A$19,0))),"")</f>
        <v/>
      </c>
      <c r="L59">
        <f>IFERROR(IF(INDEX(Matches!$AB$5:$AB$19,MATCH($C59,Matches!$A$5:$A$19,0))="","",INDEX(Matches!$AB$5:$AB$19,MATCH($C59,Matches!$A$5:$A$19,0))),"")</f>
        <v/>
      </c>
      <c r="M59" s="8">
        <f>IFERROR(IF(INDEX(Matches!$AC$5:$AC$19,MATCH($C59,Matches!$A$5:$A$19,0))="","",INDEX(Matches!$AC$5:$AC$19,MATCH($C59,Matches!$A$5:$A$19,0))),"")</f>
        <v/>
      </c>
      <c r="N59">
        <f>IFERROR(INDEX(Players!$F$2:$F$124,MATCH($F59,Players!$A$2:$A$124,0)),0)</f>
        <v/>
      </c>
      <c r="O59" s="11">
        <f>IFERROR(1/(1/INDEX(Players!$H$2:$H$124,MATCH($F59,Players!$A$2:$A$124,0))),"")</f>
        <v/>
      </c>
      <c r="P59" s="8">
        <f>IFERROR(1/(1/INDEX(Players!$I$2:$I$124,MATCH($F59,Players!$A$2:$A$124,0))),"")</f>
        <v/>
      </c>
      <c r="Q59">
        <f>IF($G59="",0,SUMIFS(Map_Stats!$F$2:$F$779,Map_Stats!$A$2:$A$779,$F59&amp;"|"&amp;$G59))</f>
        <v/>
      </c>
      <c r="R59" s="11">
        <f>IF($G59="","",IFERROR(1/(1/INDEX(Map_Stats!$K$2:$K$779,MATCH($F59&amp;"|"&amp;$G59,Map_Stats!$A$2:$A$779,0))),$O59))</f>
        <v/>
      </c>
      <c r="S59" s="8">
        <f>IF(OR($G59="",$P59=""),"",IFERROR(1/(1/INDEX(Map_Stats!$I$2:$I$779,MATCH($F59&amp;"|"&amp;$G59,Map_Stats!$A$2:$A$779,0))),$P59))</f>
        <v/>
      </c>
      <c r="T59" s="11">
        <f>IF(OR($G59="",R59=""),"",IF($O59="",R59,(Q59*R59+Config!$B$4*$O59)/(Q59+Config!$B$4)))</f>
        <v/>
      </c>
      <c r="U59" s="8">
        <f>IF(S59="","",(Q59*S59+Config!$B$4*$P59)/(Q59+Config!$B$4))</f>
        <v/>
      </c>
      <c r="V59" s="15">
        <f>IF(OR(T59="",$J59=""),"",T59*$J59*($J59/Config!$B$10)^Config!$B$9)</f>
        <v/>
      </c>
      <c r="W59" s="15">
        <f>IF(OR(V59="",U59=""),"",V59*U59)</f>
        <v/>
      </c>
      <c r="X59">
        <f>IF($H59="",0,SUMIFS(Map_Stats!$F$2:$F$779,Map_Stats!$A$2:$A$779,$F59&amp;"|"&amp;$H59))</f>
        <v/>
      </c>
      <c r="Y59" s="11">
        <f>IF($H59="","",IFERROR(1/(1/INDEX(Map_Stats!$K$2:$K$779,MATCH($F59&amp;"|"&amp;$H59,Map_Stats!$A$2:$A$779,0))),$O59))</f>
        <v/>
      </c>
      <c r="Z59" s="8">
        <f>IF(OR($H59="",$P59=""),"",IFERROR(1/(1/INDEX(Map_Stats!$I$2:$I$779,MATCH($F59&amp;"|"&amp;$H59,Map_Stats!$A$2:$A$779,0))),$P59))</f>
        <v/>
      </c>
      <c r="AA59" s="11">
        <f>IF(OR($H59="",Y59=""),"",IF($O59="",Y59,(X59*Y59+Config!$B$4*$O59)/(X59+Config!$B$4)))</f>
        <v/>
      </c>
      <c r="AB59" s="8">
        <f>IF(Z59="","",(X59*Z59+Config!$B$4*$P59)/(X59+Config!$B$4))</f>
        <v/>
      </c>
      <c r="AC59" s="15">
        <f>IF(OR(AA59="",$K59=""),"",AA59*$K59*($K59/Config!$B$10)^Config!$B$9)</f>
        <v/>
      </c>
      <c r="AD59" s="15">
        <f>IF(OR(AC59="",AB59=""),"",AC59*AB59)</f>
        <v/>
      </c>
      <c r="AE59">
        <f>IF($I59="",0,SUMIFS(Map_Stats!$F$2:$F$779,Map_Stats!$A$2:$A$779,$F59&amp;"|"&amp;$I59))</f>
        <v/>
      </c>
      <c r="AF59" s="11">
        <f>IF($I59="","",IFERROR(1/(1/INDEX(Map_Stats!$K$2:$K$779,MATCH($F59&amp;"|"&amp;$I59,Map_Stats!$A$2:$A$779,0))),$O59))</f>
        <v/>
      </c>
      <c r="AG59" s="8">
        <f>IF(OR($I59="",$P59=""),"",IFERROR(1/(1/INDEX(Map_Stats!$I$2:$I$779,MATCH($F59&amp;"|"&amp;$I59,Map_Stats!$A$2:$A$779,0))),$P59))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IF($C59=Board!$B$2,COUNTIFS($C$2:$C$124,Board!$B$2,$AL$2:$AL$124,"&gt;"&amp;$AL59)+COUNTIFS($C$1:$C58,Board!$B$2,$AL$1:$AL58,$AL59)+1,"")</f>
        <v/>
      </c>
      <c r="AS59">
        <f>IFERROR(IF($D59=INDEX(Matches!$AD$5:$AD$19,MATCH($C59,Matches!$A$5:$A$19,0)),"A",IF($D59=INDEX(Matches!$AE$5:$AE$19,MATCH($C59,Matches!$A$5:$A$19,0)),"B","")),"")</f>
        <v/>
      </c>
      <c r="AT59" s="8">
        <f>IF($AS59="","",IFERROR(IF($AS59="A",INDEX(Matches!$AI$5:$AI$19,MATCH($C59,Matches!$A$5:$A$19,0)),INDEX(Matches!$AJ$5:$AJ$19,MATCH($C59,Matches!$A$5:$A$19,0))),""))</f>
        <v/>
      </c>
      <c r="AU59" s="8">
        <f>IF($AS59="","",IFERROR(IF(INDEX(Matches!$AP$5:$AP$19,MATCH($C59,Matches!$A$5:$A$19,0))="","",IF($AS59="A",INDEX(Matches!$AP$5:$AP$19,MATCH($C59,Matches!$A$5:$A$19,0)),1-INDEX(Matches!$AP$5:$AP$19,MATCH($C59,Matches!$A$5:$A$19,0)))),""))</f>
        <v/>
      </c>
      <c r="AV59" s="11">
        <f>IF(OR($AU59="",$AT59=""),1,((Config!$B$14*$AU59+Config!$B$15*(1-$AU59))/(Config!$B$14*$AT59+Config!$B$15*(1-$AT59)))^Config!$B$13)</f>
        <v/>
      </c>
      <c r="AW59" s="8">
        <f>IF($AS59="","",IFERROR(IF(INDEX(Matches!$AV$5:$AV$19,MATCH($C59,Matches!$A$5:$A$19,0))="","",IF($AS59="A",INDEX(Matches!$AV$5:$AV$19,MATCH($C59,Matches!$A$5:$A$19,0)),1-INDEX(Matches!$AV$5:$AV$19,MATCH($C59,Matches!$A$5:$A$19,0)))),""))</f>
        <v/>
      </c>
      <c r="AX59" s="11">
        <f>IF(OR($AW59="",$AT59=""),1,((Config!$B$14*$AW59+Config!$B$15*(1-$AW59))/(Config!$B$14*$AT59+Config!$B$15*(1-$AT59)))^Config!$B$13)</f>
        <v/>
      </c>
      <c r="AY59" s="8">
        <f>IF($AS59="","",IFERROR(IF(INDEX(Matches!$BB$5:$BB$19,MATCH($C59,Matches!$A$5:$A$19,0))="","",IF($AS59="A",INDEX(Matches!$BB$5:$BB$19,MATCH($C59,Matches!$A$5:$A$19,0)),1-INDEX(Matches!$BB$5:$BB$19,MATCH($C59,Matches!$A$5:$A$19,0)))),""))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jf6rt002svd50mx|CS2 · FUT vs TL</t>
        </is>
      </c>
      <c r="B60" t="inlineStr">
        <is>
          <t>CS2</t>
        </is>
      </c>
      <c r="C60" t="inlineStr">
        <is>
          <t>CS2 · FUT vs TL</t>
        </is>
      </c>
      <c r="D60" t="inlineStr">
        <is>
          <t>FUT</t>
        </is>
      </c>
      <c r="E60" t="inlineStr">
        <is>
          <t>dziugss</t>
        </is>
      </c>
      <c r="F60" t="inlineStr">
        <is>
          <t>jf6rt002svd50mx</t>
        </is>
      </c>
      <c r="G60">
        <f>IFERROR(IF(INDEX(Matches!$W$5:$W$19,MATCH($C60,Matches!$A$5:$A$19,0))="","",INDEX(Matches!$W$5:$W$19,MATCH($C60,Matches!$A$5:$A$19,0))),"")</f>
        <v/>
      </c>
      <c r="H60">
        <f>IFERROR(IF(INDEX(Matches!$X$5:$X$19,MATCH($C60,Matches!$A$5:$A$19,0))="","",INDEX(Matches!$X$5:$X$19,MATCH($C60,Matches!$A$5:$A$19,0))),"")</f>
        <v/>
      </c>
      <c r="I60">
        <f>IFERROR(IF(INDEX(Matches!$Y$5:$Y$19,MATCH($C60,Matches!$A$5:$A$19,0))="","",INDEX(Matches!$Y$5:$Y$19,MATCH($C60,Matches!$A$5:$A$19,0))),"")</f>
        <v/>
      </c>
      <c r="J60">
        <f>IFERROR(IF(INDEX(Matches!$Z$5:$Z$19,MATCH($C60,Matches!$A$5:$A$19,0))="","",INDEX(Matches!$Z$5:$Z$19,MATCH($C60,Matches!$A$5:$A$19,0))),"")</f>
        <v/>
      </c>
      <c r="K60">
        <f>IFERROR(IF(INDEX(Matches!$AA$5:$AA$19,MATCH($C60,Matches!$A$5:$A$19,0))="","",INDEX(Matches!$AA$5:$AA$19,MATCH($C60,Matches!$A$5:$A$19,0))),"")</f>
        <v/>
      </c>
      <c r="L60">
        <f>IFERROR(IF(INDEX(Matches!$AB$5:$AB$19,MATCH($C60,Matches!$A$5:$A$19,0))="","",INDEX(Matches!$AB$5:$AB$19,MATCH($C60,Matches!$A$5:$A$19,0))),"")</f>
        <v/>
      </c>
      <c r="M60" s="8">
        <f>IFERROR(IF(INDEX(Matches!$AC$5:$AC$19,MATCH($C60,Matches!$A$5:$A$19,0))="","",INDEX(Matches!$AC$5:$AC$19,MATCH($C60,Matches!$A$5:$A$19,0))),"")</f>
        <v/>
      </c>
      <c r="N60">
        <f>IFERROR(INDEX(Players!$F$2:$F$124,MATCH($F60,Players!$A$2:$A$124,0)),0)</f>
        <v/>
      </c>
      <c r="O60" s="11">
        <f>IFERROR(1/(1/INDEX(Players!$H$2:$H$124,MATCH($F60,Players!$A$2:$A$124,0))),"")</f>
        <v/>
      </c>
      <c r="P60" s="8">
        <f>IFERROR(1/(1/INDEX(Players!$I$2:$I$124,MATCH($F60,Players!$A$2:$A$124,0))),"")</f>
        <v/>
      </c>
      <c r="Q60">
        <f>IF($G60="",0,SUMIFS(Map_Stats!$F$2:$F$779,Map_Stats!$A$2:$A$779,$F60&amp;"|"&amp;$G60))</f>
        <v/>
      </c>
      <c r="R60" s="11">
        <f>IF($G60="","",IFERROR(1/(1/INDEX(Map_Stats!$K$2:$K$779,MATCH($F60&amp;"|"&amp;$G60,Map_Stats!$A$2:$A$779,0))),$O60))</f>
        <v/>
      </c>
      <c r="S60" s="8">
        <f>IF(OR($G60="",$P60=""),"",IFERROR(1/(1/INDEX(Map_Stats!$I$2:$I$779,MATCH($F60&amp;"|"&amp;$G60,Map_Stats!$A$2:$A$779,0))),$P60))</f>
        <v/>
      </c>
      <c r="T60" s="11">
        <f>IF(OR($G60="",R60=""),"",IF($O60="",R60,(Q60*R60+Config!$B$4*$O60)/(Q60+Config!$B$4)))</f>
        <v/>
      </c>
      <c r="U60" s="8">
        <f>IF(S60="","",(Q60*S60+Config!$B$4*$P60)/(Q60+Config!$B$4))</f>
        <v/>
      </c>
      <c r="V60" s="15">
        <f>IF(OR(T60="",$J60=""),"",T60*$J60*($J60/Config!$B$10)^Config!$B$9)</f>
        <v/>
      </c>
      <c r="W60" s="15">
        <f>IF(OR(V60="",U60=""),"",V60*U60)</f>
        <v/>
      </c>
      <c r="X60">
        <f>IF($H60="",0,SUMIFS(Map_Stats!$F$2:$F$779,Map_Stats!$A$2:$A$779,$F60&amp;"|"&amp;$H60))</f>
        <v/>
      </c>
      <c r="Y60" s="11">
        <f>IF($H60="","",IFERROR(1/(1/INDEX(Map_Stats!$K$2:$K$779,MATCH($F60&amp;"|"&amp;$H60,Map_Stats!$A$2:$A$779,0))),$O60))</f>
        <v/>
      </c>
      <c r="Z60" s="8">
        <f>IF(OR($H60="",$P60=""),"",IFERROR(1/(1/INDEX(Map_Stats!$I$2:$I$779,MATCH($F60&amp;"|"&amp;$H60,Map_Stats!$A$2:$A$779,0))),$P60))</f>
        <v/>
      </c>
      <c r="AA60" s="11">
        <f>IF(OR($H60="",Y60=""),"",IF($O60="",Y60,(X60*Y60+Config!$B$4*$O60)/(X60+Config!$B$4)))</f>
        <v/>
      </c>
      <c r="AB60" s="8">
        <f>IF(Z60="","",(X60*Z60+Config!$B$4*$P60)/(X60+Config!$B$4))</f>
        <v/>
      </c>
      <c r="AC60" s="15">
        <f>IF(OR(AA60="",$K60=""),"",AA60*$K60*($K60/Config!$B$10)^Config!$B$9)</f>
        <v/>
      </c>
      <c r="AD60" s="15">
        <f>IF(OR(AC60="",AB60=""),"",AC60*AB60)</f>
        <v/>
      </c>
      <c r="AE60">
        <f>IF($I60="",0,SUMIFS(Map_Stats!$F$2:$F$779,Map_Stats!$A$2:$A$779,$F60&amp;"|"&amp;$I60))</f>
        <v/>
      </c>
      <c r="AF60" s="11">
        <f>IF($I60="","",IFERROR(1/(1/INDEX(Map_Stats!$K$2:$K$779,MATCH($F60&amp;"|"&amp;$I60,Map_Stats!$A$2:$A$779,0))),$O60))</f>
        <v/>
      </c>
      <c r="AG60" s="8">
        <f>IF(OR($I60="",$P60=""),"",IFERROR(1/(1/INDEX(Map_Stats!$I$2:$I$779,MATCH($F60&amp;"|"&amp;$I60,Map_Stats!$A$2:$A$779,0))),$P60))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IF($C60=Board!$B$2,COUNTIFS($C$2:$C$124,Board!$B$2,$AL$2:$AL$124,"&gt;"&amp;$AL60)+COUNTIFS($C$1:$C59,Board!$B$2,$AL$1:$AL59,$AL60)+1,"")</f>
        <v/>
      </c>
      <c r="AS60">
        <f>IFERROR(IF($D60=INDEX(Matches!$AD$5:$AD$19,MATCH($C60,Matches!$A$5:$A$19,0)),"A",IF($D60=INDEX(Matches!$AE$5:$AE$19,MATCH($C60,Matches!$A$5:$A$19,0)),"B","")),"")</f>
        <v/>
      </c>
      <c r="AT60" s="8">
        <f>IF($AS60="","",IFERROR(IF($AS60="A",INDEX(Matches!$AI$5:$AI$19,MATCH($C60,Matches!$A$5:$A$19,0)),INDEX(Matches!$AJ$5:$AJ$19,MATCH($C60,Matches!$A$5:$A$19,0))),""))</f>
        <v/>
      </c>
      <c r="AU60" s="8">
        <f>IF($AS60="","",IFERROR(IF(INDEX(Matches!$AP$5:$AP$19,MATCH($C60,Matches!$A$5:$A$19,0))="","",IF($AS60="A",INDEX(Matches!$AP$5:$AP$19,MATCH($C60,Matches!$A$5:$A$19,0)),1-INDEX(Matches!$AP$5:$AP$19,MATCH($C60,Matches!$A$5:$A$19,0)))),""))</f>
        <v/>
      </c>
      <c r="AV60" s="11">
        <f>IF(OR($AU60="",$AT60=""),1,((Config!$B$14*$AU60+Config!$B$15*(1-$AU60))/(Config!$B$14*$AT60+Config!$B$15*(1-$AT60)))^Config!$B$13)</f>
        <v/>
      </c>
      <c r="AW60" s="8">
        <f>IF($AS60="","",IFERROR(IF(INDEX(Matches!$AV$5:$AV$19,MATCH($C60,Matches!$A$5:$A$19,0))="","",IF($AS60="A",INDEX(Matches!$AV$5:$AV$19,MATCH($C60,Matches!$A$5:$A$19,0)),1-INDEX(Matches!$AV$5:$AV$19,MATCH($C60,Matches!$A$5:$A$19,0)))),""))</f>
        <v/>
      </c>
      <c r="AX60" s="11">
        <f>IF(OR($AW60="",$AT60=""),1,((Config!$B$14*$AW60+Config!$B$15*(1-$AW60))/(Config!$B$14*$AT60+Config!$B$15*(1-$AT60)))^Config!$B$13)</f>
        <v/>
      </c>
      <c r="AY60" s="8">
        <f>IF($AS60="","",IFERROR(IF(INDEX(Matches!$BB$5:$BB$19,MATCH($C60,Matches!$A$5:$A$19,0))="","",IF($AS60="A",INDEX(Matches!$BB$5:$BB$19,MATCH($C60,Matches!$A$5:$A$19,0)),1-INDEX(Matches!$BB$5:$BB$19,MATCH($C60,Matches!$A$5:$A$19,0)))),""))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rhz6c2hq5wcant1|CS2 · FUT vs TL</t>
        </is>
      </c>
      <c r="B61" t="inlineStr">
        <is>
          <t>CS2</t>
        </is>
      </c>
      <c r="C61" t="inlineStr">
        <is>
          <t>CS2 · FUT vs TL</t>
        </is>
      </c>
      <c r="D61" t="inlineStr">
        <is>
          <t>FUT</t>
        </is>
      </c>
      <c r="E61" t="inlineStr">
        <is>
          <t>Krabeni</t>
        </is>
      </c>
      <c r="F61" t="inlineStr">
        <is>
          <t>rhz6c2hq5wcant1</t>
        </is>
      </c>
      <c r="G61">
        <f>IFERROR(IF(INDEX(Matches!$W$5:$W$19,MATCH($C61,Matches!$A$5:$A$19,0))="","",INDEX(Matches!$W$5:$W$19,MATCH($C61,Matches!$A$5:$A$19,0))),"")</f>
        <v/>
      </c>
      <c r="H61">
        <f>IFERROR(IF(INDEX(Matches!$X$5:$X$19,MATCH($C61,Matches!$A$5:$A$19,0))="","",INDEX(Matches!$X$5:$X$19,MATCH($C61,Matches!$A$5:$A$19,0))),"")</f>
        <v/>
      </c>
      <c r="I61">
        <f>IFERROR(IF(INDEX(Matches!$Y$5:$Y$19,MATCH($C61,Matches!$A$5:$A$19,0))="","",INDEX(Matches!$Y$5:$Y$19,MATCH($C61,Matches!$A$5:$A$19,0))),"")</f>
        <v/>
      </c>
      <c r="J61">
        <f>IFERROR(IF(INDEX(Matches!$Z$5:$Z$19,MATCH($C61,Matches!$A$5:$A$19,0))="","",INDEX(Matches!$Z$5:$Z$19,MATCH($C61,Matches!$A$5:$A$19,0))),"")</f>
        <v/>
      </c>
      <c r="K61">
        <f>IFERROR(IF(INDEX(Matches!$AA$5:$AA$19,MATCH($C61,Matches!$A$5:$A$19,0))="","",INDEX(Matches!$AA$5:$AA$19,MATCH($C61,Matches!$A$5:$A$19,0))),"")</f>
        <v/>
      </c>
      <c r="L61">
        <f>IFERROR(IF(INDEX(Matches!$AB$5:$AB$19,MATCH($C61,Matches!$A$5:$A$19,0))="","",INDEX(Matches!$AB$5:$AB$19,MATCH($C61,Matches!$A$5:$A$19,0))),"")</f>
        <v/>
      </c>
      <c r="M61" s="8">
        <f>IFERROR(IF(INDEX(Matches!$AC$5:$AC$19,MATCH($C61,Matches!$A$5:$A$19,0))="","",INDEX(Matches!$AC$5:$AC$19,MATCH($C61,Matches!$A$5:$A$19,0))),"")</f>
        <v/>
      </c>
      <c r="N61">
        <f>IFERROR(INDEX(Players!$F$2:$F$124,MATCH($F61,Players!$A$2:$A$124,0)),0)</f>
        <v/>
      </c>
      <c r="O61" s="11">
        <f>IFERROR(1/(1/INDEX(Players!$H$2:$H$124,MATCH($F61,Players!$A$2:$A$124,0))),"")</f>
        <v/>
      </c>
      <c r="P61" s="8">
        <f>IFERROR(1/(1/INDEX(Players!$I$2:$I$124,MATCH($F61,Players!$A$2:$A$124,0))),"")</f>
        <v/>
      </c>
      <c r="Q61">
        <f>IF($G61="",0,SUMIFS(Map_Stats!$F$2:$F$779,Map_Stats!$A$2:$A$779,$F61&amp;"|"&amp;$G61))</f>
        <v/>
      </c>
      <c r="R61" s="11">
        <f>IF($G61="","",IFERROR(1/(1/INDEX(Map_Stats!$K$2:$K$779,MATCH($F61&amp;"|"&amp;$G61,Map_Stats!$A$2:$A$779,0))),$O61))</f>
        <v/>
      </c>
      <c r="S61" s="8">
        <f>IF(OR($G61="",$P61=""),"",IFERROR(1/(1/INDEX(Map_Stats!$I$2:$I$779,MATCH($F61&amp;"|"&amp;$G61,Map_Stats!$A$2:$A$779,0))),$P61))</f>
        <v/>
      </c>
      <c r="T61" s="11">
        <f>IF(OR($G61="",R61=""),"",IF($O61="",R61,(Q61*R61+Config!$B$4*$O61)/(Q61+Config!$B$4)))</f>
        <v/>
      </c>
      <c r="U61" s="8">
        <f>IF(S61="","",(Q61*S61+Config!$B$4*$P61)/(Q61+Config!$B$4))</f>
        <v/>
      </c>
      <c r="V61" s="15">
        <f>IF(OR(T61="",$J61=""),"",T61*$J61*($J61/Config!$B$10)^Config!$B$9)</f>
        <v/>
      </c>
      <c r="W61" s="15">
        <f>IF(OR(V61="",U61=""),"",V61*U61)</f>
        <v/>
      </c>
      <c r="X61">
        <f>IF($H61="",0,SUMIFS(Map_Stats!$F$2:$F$779,Map_Stats!$A$2:$A$779,$F61&amp;"|"&amp;$H61))</f>
        <v/>
      </c>
      <c r="Y61" s="11">
        <f>IF($H61="","",IFERROR(1/(1/INDEX(Map_Stats!$K$2:$K$779,MATCH($F61&amp;"|"&amp;$H61,Map_Stats!$A$2:$A$779,0))),$O61))</f>
        <v/>
      </c>
      <c r="Z61" s="8">
        <f>IF(OR($H61="",$P61=""),"",IFERROR(1/(1/INDEX(Map_Stats!$I$2:$I$779,MATCH($F61&amp;"|"&amp;$H61,Map_Stats!$A$2:$A$779,0))),$P61))</f>
        <v/>
      </c>
      <c r="AA61" s="11">
        <f>IF(OR($H61="",Y61=""),"",IF($O61="",Y61,(X61*Y61+Config!$B$4*$O61)/(X61+Config!$B$4)))</f>
        <v/>
      </c>
      <c r="AB61" s="8">
        <f>IF(Z61="","",(X61*Z61+Config!$B$4*$P61)/(X61+Config!$B$4))</f>
        <v/>
      </c>
      <c r="AC61" s="15">
        <f>IF(OR(AA61="",$K61=""),"",AA61*$K61*($K61/Config!$B$10)^Config!$B$9)</f>
        <v/>
      </c>
      <c r="AD61" s="15">
        <f>IF(OR(AC61="",AB61=""),"",AC61*AB61)</f>
        <v/>
      </c>
      <c r="AE61">
        <f>IF($I61="",0,SUMIFS(Map_Stats!$F$2:$F$779,Map_Stats!$A$2:$A$779,$F61&amp;"|"&amp;$I61))</f>
        <v/>
      </c>
      <c r="AF61" s="11">
        <f>IF($I61="","",IFERROR(1/(1/INDEX(Map_Stats!$K$2:$K$779,MATCH($F61&amp;"|"&amp;$I61,Map_Stats!$A$2:$A$779,0))),$O61))</f>
        <v/>
      </c>
      <c r="AG61" s="8">
        <f>IF(OR($I61="",$P61=""),"",IFERROR(1/(1/INDEX(Map_Stats!$I$2:$I$779,MATCH($F61&amp;"|"&amp;$I61,Map_Stats!$A$2:$A$779,0))),$P61))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IF($C61=Board!$B$2,COUNTIFS($C$2:$C$124,Board!$B$2,$AL$2:$AL$124,"&gt;"&amp;$AL61)+COUNTIFS($C$1:$C60,Board!$B$2,$AL$1:$AL60,$AL61)+1,"")</f>
        <v/>
      </c>
      <c r="AS61">
        <f>IFERROR(IF($D61=INDEX(Matches!$AD$5:$AD$19,MATCH($C61,Matches!$A$5:$A$19,0)),"A",IF($D61=INDEX(Matches!$AE$5:$AE$19,MATCH($C61,Matches!$A$5:$A$19,0)),"B","")),"")</f>
        <v/>
      </c>
      <c r="AT61" s="8">
        <f>IF($AS61="","",IFERROR(IF($AS61="A",INDEX(Matches!$AI$5:$AI$19,MATCH($C61,Matches!$A$5:$A$19,0)),INDEX(Matches!$AJ$5:$AJ$19,MATCH($C61,Matches!$A$5:$A$19,0))),""))</f>
        <v/>
      </c>
      <c r="AU61" s="8">
        <f>IF($AS61="","",IFERROR(IF(INDEX(Matches!$AP$5:$AP$19,MATCH($C61,Matches!$A$5:$A$19,0))="","",IF($AS61="A",INDEX(Matches!$AP$5:$AP$19,MATCH($C61,Matches!$A$5:$A$19,0)),1-INDEX(Matches!$AP$5:$AP$19,MATCH($C61,Matches!$A$5:$A$19,0)))),""))</f>
        <v/>
      </c>
      <c r="AV61" s="11">
        <f>IF(OR($AU61="",$AT61=""),1,((Config!$B$14*$AU61+Config!$B$15*(1-$AU61))/(Config!$B$14*$AT61+Config!$B$15*(1-$AT61)))^Config!$B$13)</f>
        <v/>
      </c>
      <c r="AW61" s="8">
        <f>IF($AS61="","",IFERROR(IF(INDEX(Matches!$AV$5:$AV$19,MATCH($C61,Matches!$A$5:$A$19,0))="","",IF($AS61="A",INDEX(Matches!$AV$5:$AV$19,MATCH($C61,Matches!$A$5:$A$19,0)),1-INDEX(Matches!$AV$5:$AV$19,MATCH($C61,Matches!$A$5:$A$19,0)))),""))</f>
        <v/>
      </c>
      <c r="AX61" s="11">
        <f>IF(OR($AW61="",$AT61=""),1,((Config!$B$14*$AW61+Config!$B$15*(1-$AW61))/(Config!$B$14*$AT61+Config!$B$15*(1-$AT61)))^Config!$B$13)</f>
        <v/>
      </c>
      <c r="AY61" s="8">
        <f>IF($AS61="","",IFERROR(IF(INDEX(Matches!$BB$5:$BB$19,MATCH($C61,Matches!$A$5:$A$19,0))="","",IF($AS61="A",INDEX(Matches!$BB$5:$BB$19,MATCH($C61,Matches!$A$5:$A$19,0)),1-INDEX(Matches!$BB$5:$BB$19,MATCH($C61,Matches!$A$5:$A$19,0)))),""))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xwyhvw38gardzpx|CS2 · FUT vs TL</t>
        </is>
      </c>
      <c r="B62" t="inlineStr">
        <is>
          <t>CS2</t>
        </is>
      </c>
      <c r="C62" t="inlineStr">
        <is>
          <t>CS2 · FUT vs TL</t>
        </is>
      </c>
      <c r="D62" t="inlineStr">
        <is>
          <t>FUT</t>
        </is>
      </c>
      <c r="E62" t="inlineStr">
        <is>
          <t>SunPayus</t>
        </is>
      </c>
      <c r="F62" t="inlineStr">
        <is>
          <t>xwyhvw38gardzpx</t>
        </is>
      </c>
      <c r="G62">
        <f>IFERROR(IF(INDEX(Matches!$W$5:$W$19,MATCH($C62,Matches!$A$5:$A$19,0))="","",INDEX(Matches!$W$5:$W$19,MATCH($C62,Matches!$A$5:$A$19,0))),"")</f>
        <v/>
      </c>
      <c r="H62">
        <f>IFERROR(IF(INDEX(Matches!$X$5:$X$19,MATCH($C62,Matches!$A$5:$A$19,0))="","",INDEX(Matches!$X$5:$X$19,MATCH($C62,Matches!$A$5:$A$19,0))),"")</f>
        <v/>
      </c>
      <c r="I62">
        <f>IFERROR(IF(INDEX(Matches!$Y$5:$Y$19,MATCH($C62,Matches!$A$5:$A$19,0))="","",INDEX(Matches!$Y$5:$Y$19,MATCH($C62,Matches!$A$5:$A$19,0))),"")</f>
        <v/>
      </c>
      <c r="J62">
        <f>IFERROR(IF(INDEX(Matches!$Z$5:$Z$19,MATCH($C62,Matches!$A$5:$A$19,0))="","",INDEX(Matches!$Z$5:$Z$19,MATCH($C62,Matches!$A$5:$A$19,0))),"")</f>
        <v/>
      </c>
      <c r="K62">
        <f>IFERROR(IF(INDEX(Matches!$AA$5:$AA$19,MATCH($C62,Matches!$A$5:$A$19,0))="","",INDEX(Matches!$AA$5:$AA$19,MATCH($C62,Matches!$A$5:$A$19,0))),"")</f>
        <v/>
      </c>
      <c r="L62">
        <f>IFERROR(IF(INDEX(Matches!$AB$5:$AB$19,MATCH($C62,Matches!$A$5:$A$19,0))="","",INDEX(Matches!$AB$5:$AB$19,MATCH($C62,Matches!$A$5:$A$19,0))),"")</f>
        <v/>
      </c>
      <c r="M62" s="8">
        <f>IFERROR(IF(INDEX(Matches!$AC$5:$AC$19,MATCH($C62,Matches!$A$5:$A$19,0))="","",INDEX(Matches!$AC$5:$AC$19,MATCH($C62,Matches!$A$5:$A$19,0))),"")</f>
        <v/>
      </c>
      <c r="N62">
        <f>IFERROR(INDEX(Players!$F$2:$F$124,MATCH($F62,Players!$A$2:$A$124,0)),0)</f>
        <v/>
      </c>
      <c r="O62" s="11">
        <f>IFERROR(1/(1/INDEX(Players!$H$2:$H$124,MATCH($F62,Players!$A$2:$A$124,0))),"")</f>
        <v/>
      </c>
      <c r="P62" s="8">
        <f>IFERROR(1/(1/INDEX(Players!$I$2:$I$124,MATCH($F62,Players!$A$2:$A$124,0))),"")</f>
        <v/>
      </c>
      <c r="Q62">
        <f>IF($G62="",0,SUMIFS(Map_Stats!$F$2:$F$779,Map_Stats!$A$2:$A$779,$F62&amp;"|"&amp;$G62))</f>
        <v/>
      </c>
      <c r="R62" s="11">
        <f>IF($G62="","",IFERROR(1/(1/INDEX(Map_Stats!$K$2:$K$779,MATCH($F62&amp;"|"&amp;$G62,Map_Stats!$A$2:$A$779,0))),$O62))</f>
        <v/>
      </c>
      <c r="S62" s="8">
        <f>IF(OR($G62="",$P62=""),"",IFERROR(1/(1/INDEX(Map_Stats!$I$2:$I$779,MATCH($F62&amp;"|"&amp;$G62,Map_Stats!$A$2:$A$779,0))),$P62))</f>
        <v/>
      </c>
      <c r="T62" s="11">
        <f>IF(OR($G62="",R62=""),"",IF($O62="",R62,(Q62*R62+Config!$B$4*$O62)/(Q62+Config!$B$4)))</f>
        <v/>
      </c>
      <c r="U62" s="8">
        <f>IF(S62="","",(Q62*S62+Config!$B$4*$P62)/(Q62+Config!$B$4))</f>
        <v/>
      </c>
      <c r="V62" s="15">
        <f>IF(OR(T62="",$J62=""),"",T62*$J62*($J62/Config!$B$10)^Config!$B$9)</f>
        <v/>
      </c>
      <c r="W62" s="15">
        <f>IF(OR(V62="",U62=""),"",V62*U62)</f>
        <v/>
      </c>
      <c r="X62">
        <f>IF($H62="",0,SUMIFS(Map_Stats!$F$2:$F$779,Map_Stats!$A$2:$A$779,$F62&amp;"|"&amp;$H62))</f>
        <v/>
      </c>
      <c r="Y62" s="11">
        <f>IF($H62="","",IFERROR(1/(1/INDEX(Map_Stats!$K$2:$K$779,MATCH($F62&amp;"|"&amp;$H62,Map_Stats!$A$2:$A$779,0))),$O62))</f>
        <v/>
      </c>
      <c r="Z62" s="8">
        <f>IF(OR($H62="",$P62=""),"",IFERROR(1/(1/INDEX(Map_Stats!$I$2:$I$779,MATCH($F62&amp;"|"&amp;$H62,Map_Stats!$A$2:$A$779,0))),$P62))</f>
        <v/>
      </c>
      <c r="AA62" s="11">
        <f>IF(OR($H62="",Y62=""),"",IF($O62="",Y62,(X62*Y62+Config!$B$4*$O62)/(X62+Config!$B$4)))</f>
        <v/>
      </c>
      <c r="AB62" s="8">
        <f>IF(Z62="","",(X62*Z62+Config!$B$4*$P62)/(X62+Config!$B$4))</f>
        <v/>
      </c>
      <c r="AC62" s="15">
        <f>IF(OR(AA62="",$K62=""),"",AA62*$K62*($K62/Config!$B$10)^Config!$B$9)</f>
        <v/>
      </c>
      <c r="AD62" s="15">
        <f>IF(OR(AC62="",AB62=""),"",AC62*AB62)</f>
        <v/>
      </c>
      <c r="AE62">
        <f>IF($I62="",0,SUMIFS(Map_Stats!$F$2:$F$779,Map_Stats!$A$2:$A$779,$F62&amp;"|"&amp;$I62))</f>
        <v/>
      </c>
      <c r="AF62" s="11">
        <f>IF($I62="","",IFERROR(1/(1/INDEX(Map_Stats!$K$2:$K$779,MATCH($F62&amp;"|"&amp;$I62,Map_Stats!$A$2:$A$779,0))),$O62))</f>
        <v/>
      </c>
      <c r="AG62" s="8">
        <f>IF(OR($I62="",$P62=""),"",IFERROR(1/(1/INDEX(Map_Stats!$I$2:$I$779,MATCH($F62&amp;"|"&amp;$I62,Map_Stats!$A$2:$A$779,0))),$P62))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IF($C62=Board!$B$2,COUNTIFS($C$2:$C$124,Board!$B$2,$AL$2:$AL$124,"&gt;"&amp;$AL62)+COUNTIFS($C$1:$C61,Board!$B$2,$AL$1:$AL61,$AL62)+1,"")</f>
        <v/>
      </c>
      <c r="AS62">
        <f>IFERROR(IF($D62=INDEX(Matches!$AD$5:$AD$19,MATCH($C62,Matches!$A$5:$A$19,0)),"A",IF($D62=INDEX(Matches!$AE$5:$AE$19,MATCH($C62,Matches!$A$5:$A$19,0)),"B","")),"")</f>
        <v/>
      </c>
      <c r="AT62" s="8">
        <f>IF($AS62="","",IFERROR(IF($AS62="A",INDEX(Matches!$AI$5:$AI$19,MATCH($C62,Matches!$A$5:$A$19,0)),INDEX(Matches!$AJ$5:$AJ$19,MATCH($C62,Matches!$A$5:$A$19,0))),""))</f>
        <v/>
      </c>
      <c r="AU62" s="8">
        <f>IF($AS62="","",IFERROR(IF(INDEX(Matches!$AP$5:$AP$19,MATCH($C62,Matches!$A$5:$A$19,0))="","",IF($AS62="A",INDEX(Matches!$AP$5:$AP$19,MATCH($C62,Matches!$A$5:$A$19,0)),1-INDEX(Matches!$AP$5:$AP$19,MATCH($C62,Matches!$A$5:$A$19,0)))),""))</f>
        <v/>
      </c>
      <c r="AV62" s="11">
        <f>IF(OR($AU62="",$AT62=""),1,((Config!$B$14*$AU62+Config!$B$15*(1-$AU62))/(Config!$B$14*$AT62+Config!$B$15*(1-$AT62)))^Config!$B$13)</f>
        <v/>
      </c>
      <c r="AW62" s="8">
        <f>IF($AS62="","",IFERROR(IF(INDEX(Matches!$AV$5:$AV$19,MATCH($C62,Matches!$A$5:$A$19,0))="","",IF($AS62="A",INDEX(Matches!$AV$5:$AV$19,MATCH($C62,Matches!$A$5:$A$19,0)),1-INDEX(Matches!$AV$5:$AV$19,MATCH($C62,Matches!$A$5:$A$19,0)))),""))</f>
        <v/>
      </c>
      <c r="AX62" s="11">
        <f>IF(OR($AW62="",$AT62=""),1,((Config!$B$14*$AW62+Config!$B$15*(1-$AW62))/(Config!$B$14*$AT62+Config!$B$15*(1-$AT62)))^Config!$B$13)</f>
        <v/>
      </c>
      <c r="AY62" s="8">
        <f>IF($AS62="","",IFERROR(IF(INDEX(Matches!$BB$5:$BB$19,MATCH($C62,Matches!$A$5:$A$19,0))="","",IF($AS62="A",INDEX(Matches!$BB$5:$BB$19,MATCH($C62,Matches!$A$5:$A$19,0)),1-INDEX(Matches!$BB$5:$BB$19,MATCH($C62,Matches!$A$5:$A$19,0)))),""))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lj8zw2mudcbj35u|CS2 · FUT vs TL</t>
        </is>
      </c>
      <c r="B63" t="inlineStr">
        <is>
          <t>CS2</t>
        </is>
      </c>
      <c r="C63" t="inlineStr">
        <is>
          <t>CS2 · FUT vs TL</t>
        </is>
      </c>
      <c r="D63" t="inlineStr">
        <is>
          <t>FUT</t>
        </is>
      </c>
      <c r="E63" t="inlineStr">
        <is>
          <t>xfl0ud</t>
        </is>
      </c>
      <c r="F63" t="inlineStr">
        <is>
          <t>lj8zw2mudcbj35u</t>
        </is>
      </c>
      <c r="G63">
        <f>IFERROR(IF(INDEX(Matches!$W$5:$W$19,MATCH($C63,Matches!$A$5:$A$19,0))="","",INDEX(Matches!$W$5:$W$19,MATCH($C63,Matches!$A$5:$A$19,0))),"")</f>
        <v/>
      </c>
      <c r="H63">
        <f>IFERROR(IF(INDEX(Matches!$X$5:$X$19,MATCH($C63,Matches!$A$5:$A$19,0))="","",INDEX(Matches!$X$5:$X$19,MATCH($C63,Matches!$A$5:$A$19,0))),"")</f>
        <v/>
      </c>
      <c r="I63">
        <f>IFERROR(IF(INDEX(Matches!$Y$5:$Y$19,MATCH($C63,Matches!$A$5:$A$19,0))="","",INDEX(Matches!$Y$5:$Y$19,MATCH($C63,Matches!$A$5:$A$19,0))),"")</f>
        <v/>
      </c>
      <c r="J63">
        <f>IFERROR(IF(INDEX(Matches!$Z$5:$Z$19,MATCH($C63,Matches!$A$5:$A$19,0))="","",INDEX(Matches!$Z$5:$Z$19,MATCH($C63,Matches!$A$5:$A$19,0))),"")</f>
        <v/>
      </c>
      <c r="K63">
        <f>IFERROR(IF(INDEX(Matches!$AA$5:$AA$19,MATCH($C63,Matches!$A$5:$A$19,0))="","",INDEX(Matches!$AA$5:$AA$19,MATCH($C63,Matches!$A$5:$A$19,0))),"")</f>
        <v/>
      </c>
      <c r="L63">
        <f>IFERROR(IF(INDEX(Matches!$AB$5:$AB$19,MATCH($C63,Matches!$A$5:$A$19,0))="","",INDEX(Matches!$AB$5:$AB$19,MATCH($C63,Matches!$A$5:$A$19,0))),"")</f>
        <v/>
      </c>
      <c r="M63" s="8">
        <f>IFERROR(IF(INDEX(Matches!$AC$5:$AC$19,MATCH($C63,Matches!$A$5:$A$19,0))="","",INDEX(Matches!$AC$5:$AC$19,MATCH($C63,Matches!$A$5:$A$19,0))),"")</f>
        <v/>
      </c>
      <c r="N63">
        <f>IFERROR(INDEX(Players!$F$2:$F$124,MATCH($F63,Players!$A$2:$A$124,0)),0)</f>
        <v/>
      </c>
      <c r="O63" s="11">
        <f>IFERROR(1/(1/INDEX(Players!$H$2:$H$124,MATCH($F63,Players!$A$2:$A$124,0))),"")</f>
        <v/>
      </c>
      <c r="P63" s="8">
        <f>IFERROR(1/(1/INDEX(Players!$I$2:$I$124,MATCH($F63,Players!$A$2:$A$124,0))),"")</f>
        <v/>
      </c>
      <c r="Q63">
        <f>IF($G63="",0,SUMIFS(Map_Stats!$F$2:$F$779,Map_Stats!$A$2:$A$779,$F63&amp;"|"&amp;$G63))</f>
        <v/>
      </c>
      <c r="R63" s="11">
        <f>IF($G63="","",IFERROR(1/(1/INDEX(Map_Stats!$K$2:$K$779,MATCH($F63&amp;"|"&amp;$G63,Map_Stats!$A$2:$A$779,0))),$O63))</f>
        <v/>
      </c>
      <c r="S63" s="8">
        <f>IF(OR($G63="",$P63=""),"",IFERROR(1/(1/INDEX(Map_Stats!$I$2:$I$779,MATCH($F63&amp;"|"&amp;$G63,Map_Stats!$A$2:$A$779,0))),$P63))</f>
        <v/>
      </c>
      <c r="T63" s="11">
        <f>IF(OR($G63="",R63=""),"",IF($O63="",R63,(Q63*R63+Config!$B$4*$O63)/(Q63+Config!$B$4)))</f>
        <v/>
      </c>
      <c r="U63" s="8">
        <f>IF(S63="","",(Q63*S63+Config!$B$4*$P63)/(Q63+Config!$B$4))</f>
        <v/>
      </c>
      <c r="V63" s="15">
        <f>IF(OR(T63="",$J63=""),"",T63*$J63*($J63/Config!$B$10)^Config!$B$9)</f>
        <v/>
      </c>
      <c r="W63" s="15">
        <f>IF(OR(V63="",U63=""),"",V63*U63)</f>
        <v/>
      </c>
      <c r="X63">
        <f>IF($H63="",0,SUMIFS(Map_Stats!$F$2:$F$779,Map_Stats!$A$2:$A$779,$F63&amp;"|"&amp;$H63))</f>
        <v/>
      </c>
      <c r="Y63" s="11">
        <f>IF($H63="","",IFERROR(1/(1/INDEX(Map_Stats!$K$2:$K$779,MATCH($F63&amp;"|"&amp;$H63,Map_Stats!$A$2:$A$779,0))),$O63))</f>
        <v/>
      </c>
      <c r="Z63" s="8">
        <f>IF(OR($H63="",$P63=""),"",IFERROR(1/(1/INDEX(Map_Stats!$I$2:$I$779,MATCH($F63&amp;"|"&amp;$H63,Map_Stats!$A$2:$A$779,0))),$P63))</f>
        <v/>
      </c>
      <c r="AA63" s="11">
        <f>IF(OR($H63="",Y63=""),"",IF($O63="",Y63,(X63*Y63+Config!$B$4*$O63)/(X63+Config!$B$4)))</f>
        <v/>
      </c>
      <c r="AB63" s="8">
        <f>IF(Z63="","",(X63*Z63+Config!$B$4*$P63)/(X63+Config!$B$4))</f>
        <v/>
      </c>
      <c r="AC63" s="15">
        <f>IF(OR(AA63="",$K63=""),"",AA63*$K63*($K63/Config!$B$10)^Config!$B$9)</f>
        <v/>
      </c>
      <c r="AD63" s="15">
        <f>IF(OR(AC63="",AB63=""),"",AC63*AB63)</f>
        <v/>
      </c>
      <c r="AE63">
        <f>IF($I63="",0,SUMIFS(Map_Stats!$F$2:$F$779,Map_Stats!$A$2:$A$779,$F63&amp;"|"&amp;$I63))</f>
        <v/>
      </c>
      <c r="AF63" s="11">
        <f>IF($I63="","",IFERROR(1/(1/INDEX(Map_Stats!$K$2:$K$779,MATCH($F63&amp;"|"&amp;$I63,Map_Stats!$A$2:$A$779,0))),$O63))</f>
        <v/>
      </c>
      <c r="AG63" s="8">
        <f>IF(OR($I63="",$P63=""),"",IFERROR(1/(1/INDEX(Map_Stats!$I$2:$I$779,MATCH($F63&amp;"|"&amp;$I63,Map_Stats!$A$2:$A$779,0))),$P63))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IF($C63=Board!$B$2,COUNTIFS($C$2:$C$124,Board!$B$2,$AL$2:$AL$124,"&gt;"&amp;$AL63)+COUNTIFS($C$1:$C62,Board!$B$2,$AL$1:$AL62,$AL63)+1,"")</f>
        <v/>
      </c>
      <c r="AS63">
        <f>IFERROR(IF($D63=INDEX(Matches!$AD$5:$AD$19,MATCH($C63,Matches!$A$5:$A$19,0)),"A",IF($D63=INDEX(Matches!$AE$5:$AE$19,MATCH($C63,Matches!$A$5:$A$19,0)),"B","")),"")</f>
        <v/>
      </c>
      <c r="AT63" s="8">
        <f>IF($AS63="","",IFERROR(IF($AS63="A",INDEX(Matches!$AI$5:$AI$19,MATCH($C63,Matches!$A$5:$A$19,0)),INDEX(Matches!$AJ$5:$AJ$19,MATCH($C63,Matches!$A$5:$A$19,0))),""))</f>
        <v/>
      </c>
      <c r="AU63" s="8">
        <f>IF($AS63="","",IFERROR(IF(INDEX(Matches!$AP$5:$AP$19,MATCH($C63,Matches!$A$5:$A$19,0))="","",IF($AS63="A",INDEX(Matches!$AP$5:$AP$19,MATCH($C63,Matches!$A$5:$A$19,0)),1-INDEX(Matches!$AP$5:$AP$19,MATCH($C63,Matches!$A$5:$A$19,0)))),""))</f>
        <v/>
      </c>
      <c r="AV63" s="11">
        <f>IF(OR($AU63="",$AT63=""),1,((Config!$B$14*$AU63+Config!$B$15*(1-$AU63))/(Config!$B$14*$AT63+Config!$B$15*(1-$AT63)))^Config!$B$13)</f>
        <v/>
      </c>
      <c r="AW63" s="8">
        <f>IF($AS63="","",IFERROR(IF(INDEX(Matches!$AV$5:$AV$19,MATCH($C63,Matches!$A$5:$A$19,0))="","",IF($AS63="A",INDEX(Matches!$AV$5:$AV$19,MATCH($C63,Matches!$A$5:$A$19,0)),1-INDEX(Matches!$AV$5:$AV$19,MATCH($C63,Matches!$A$5:$A$19,0)))),""))</f>
        <v/>
      </c>
      <c r="AX63" s="11">
        <f>IF(OR($AW63="",$AT63=""),1,((Config!$B$14*$AW63+Config!$B$15*(1-$AW63))/(Config!$B$14*$AT63+Config!$B$15*(1-$AT63)))^Config!$B$13)</f>
        <v/>
      </c>
      <c r="AY63" s="8">
        <f>IF($AS63="","",IFERROR(IF(INDEX(Matches!$BB$5:$BB$19,MATCH($C63,Matches!$A$5:$A$19,0))="","",IF($AS63="A",INDEX(Matches!$BB$5:$BB$19,MATCH($C63,Matches!$A$5:$A$19,0)),1-INDEX(Matches!$BB$5:$BB$19,MATCH($C63,Matches!$A$5:$A$19,0)))),""))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we8rbjpf65bc2tn|CS2 · FUT vs TL</t>
        </is>
      </c>
      <c r="B64" t="inlineStr">
        <is>
          <t>CS2</t>
        </is>
      </c>
      <c r="C64" t="inlineStr">
        <is>
          <t>CS2 · FUT vs TL</t>
        </is>
      </c>
      <c r="D64" t="inlineStr">
        <is>
          <t>TL</t>
        </is>
      </c>
      <c r="E64" t="inlineStr">
        <is>
          <t>EliGE</t>
        </is>
      </c>
      <c r="F64" t="inlineStr">
        <is>
          <t>we8rbjpf65bc2tn</t>
        </is>
      </c>
      <c r="G64">
        <f>IFERROR(IF(INDEX(Matches!$W$5:$W$19,MATCH($C64,Matches!$A$5:$A$19,0))="","",INDEX(Matches!$W$5:$W$19,MATCH($C64,Matches!$A$5:$A$19,0))),"")</f>
        <v/>
      </c>
      <c r="H64">
        <f>IFERROR(IF(INDEX(Matches!$X$5:$X$19,MATCH($C64,Matches!$A$5:$A$19,0))="","",INDEX(Matches!$X$5:$X$19,MATCH($C64,Matches!$A$5:$A$19,0))),"")</f>
        <v/>
      </c>
      <c r="I64">
        <f>IFERROR(IF(INDEX(Matches!$Y$5:$Y$19,MATCH($C64,Matches!$A$5:$A$19,0))="","",INDEX(Matches!$Y$5:$Y$19,MATCH($C64,Matches!$A$5:$A$19,0))),"")</f>
        <v/>
      </c>
      <c r="J64">
        <f>IFERROR(IF(INDEX(Matches!$Z$5:$Z$19,MATCH($C64,Matches!$A$5:$A$19,0))="","",INDEX(Matches!$Z$5:$Z$19,MATCH($C64,Matches!$A$5:$A$19,0))),"")</f>
        <v/>
      </c>
      <c r="K64">
        <f>IFERROR(IF(INDEX(Matches!$AA$5:$AA$19,MATCH($C64,Matches!$A$5:$A$19,0))="","",INDEX(Matches!$AA$5:$AA$19,MATCH($C64,Matches!$A$5:$A$19,0))),"")</f>
        <v/>
      </c>
      <c r="L64">
        <f>IFERROR(IF(INDEX(Matches!$AB$5:$AB$19,MATCH($C64,Matches!$A$5:$A$19,0))="","",INDEX(Matches!$AB$5:$AB$19,MATCH($C64,Matches!$A$5:$A$19,0))),"")</f>
        <v/>
      </c>
      <c r="M64" s="8">
        <f>IFERROR(IF(INDEX(Matches!$AC$5:$AC$19,MATCH($C64,Matches!$A$5:$A$19,0))="","",INDEX(Matches!$AC$5:$AC$19,MATCH($C64,Matches!$A$5:$A$19,0))),"")</f>
        <v/>
      </c>
      <c r="N64">
        <f>IFERROR(INDEX(Players!$F$2:$F$124,MATCH($F64,Players!$A$2:$A$124,0)),0)</f>
        <v/>
      </c>
      <c r="O64" s="11">
        <f>IFERROR(1/(1/INDEX(Players!$H$2:$H$124,MATCH($F64,Players!$A$2:$A$124,0))),"")</f>
        <v/>
      </c>
      <c r="P64" s="8">
        <f>IFERROR(1/(1/INDEX(Players!$I$2:$I$124,MATCH($F64,Players!$A$2:$A$124,0))),"")</f>
        <v/>
      </c>
      <c r="Q64">
        <f>IF($G64="",0,SUMIFS(Map_Stats!$F$2:$F$779,Map_Stats!$A$2:$A$779,$F64&amp;"|"&amp;$G64))</f>
        <v/>
      </c>
      <c r="R64" s="11">
        <f>IF($G64="","",IFERROR(1/(1/INDEX(Map_Stats!$K$2:$K$779,MATCH($F64&amp;"|"&amp;$G64,Map_Stats!$A$2:$A$779,0))),$O64))</f>
        <v/>
      </c>
      <c r="S64" s="8">
        <f>IF(OR($G64="",$P64=""),"",IFERROR(1/(1/INDEX(Map_Stats!$I$2:$I$779,MATCH($F64&amp;"|"&amp;$G64,Map_Stats!$A$2:$A$779,0))),$P64))</f>
        <v/>
      </c>
      <c r="T64" s="11">
        <f>IF(OR($G64="",R64=""),"",IF($O64="",R64,(Q64*R64+Config!$B$4*$O64)/(Q64+Config!$B$4)))</f>
        <v/>
      </c>
      <c r="U64" s="8">
        <f>IF(S64="","",(Q64*S64+Config!$B$4*$P64)/(Q64+Config!$B$4))</f>
        <v/>
      </c>
      <c r="V64" s="15">
        <f>IF(OR(T64="",$J64=""),"",T64*$J64*($J64/Config!$B$10)^Config!$B$9)</f>
        <v/>
      </c>
      <c r="W64" s="15">
        <f>IF(OR(V64="",U64=""),"",V64*U64)</f>
        <v/>
      </c>
      <c r="X64">
        <f>IF($H64="",0,SUMIFS(Map_Stats!$F$2:$F$779,Map_Stats!$A$2:$A$779,$F64&amp;"|"&amp;$H64))</f>
        <v/>
      </c>
      <c r="Y64" s="11">
        <f>IF($H64="","",IFERROR(1/(1/INDEX(Map_Stats!$K$2:$K$779,MATCH($F64&amp;"|"&amp;$H64,Map_Stats!$A$2:$A$779,0))),$O64))</f>
        <v/>
      </c>
      <c r="Z64" s="8">
        <f>IF(OR($H64="",$P64=""),"",IFERROR(1/(1/INDEX(Map_Stats!$I$2:$I$779,MATCH($F64&amp;"|"&amp;$H64,Map_Stats!$A$2:$A$779,0))),$P64))</f>
        <v/>
      </c>
      <c r="AA64" s="11">
        <f>IF(OR($H64="",Y64=""),"",IF($O64="",Y64,(X64*Y64+Config!$B$4*$O64)/(X64+Config!$B$4)))</f>
        <v/>
      </c>
      <c r="AB64" s="8">
        <f>IF(Z64="","",(X64*Z64+Config!$B$4*$P64)/(X64+Config!$B$4))</f>
        <v/>
      </c>
      <c r="AC64" s="15">
        <f>IF(OR(AA64="",$K64=""),"",AA64*$K64*($K64/Config!$B$10)^Config!$B$9)</f>
        <v/>
      </c>
      <c r="AD64" s="15">
        <f>IF(OR(AC64="",AB64=""),"",AC64*AB64)</f>
        <v/>
      </c>
      <c r="AE64">
        <f>IF($I64="",0,SUMIFS(Map_Stats!$F$2:$F$779,Map_Stats!$A$2:$A$779,$F64&amp;"|"&amp;$I64))</f>
        <v/>
      </c>
      <c r="AF64" s="11">
        <f>IF($I64="","",IFERROR(1/(1/INDEX(Map_Stats!$K$2:$K$779,MATCH($F64&amp;"|"&amp;$I64,Map_Stats!$A$2:$A$779,0))),$O64))</f>
        <v/>
      </c>
      <c r="AG64" s="8">
        <f>IF(OR($I64="",$P64=""),"",IFERROR(1/(1/INDEX(Map_Stats!$I$2:$I$779,MATCH($F64&amp;"|"&amp;$I64,Map_Stats!$A$2:$A$779,0))),$P64))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IF($C64=Board!$B$2,COUNTIFS($C$2:$C$124,Board!$B$2,$AL$2:$AL$124,"&gt;"&amp;$AL64)+COUNTIFS($C$1:$C63,Board!$B$2,$AL$1:$AL63,$AL64)+1,"")</f>
        <v/>
      </c>
      <c r="AS64">
        <f>IFERROR(IF($D64=INDEX(Matches!$AD$5:$AD$19,MATCH($C64,Matches!$A$5:$A$19,0)),"A",IF($D64=INDEX(Matches!$AE$5:$AE$19,MATCH($C64,Matches!$A$5:$A$19,0)),"B","")),"")</f>
        <v/>
      </c>
      <c r="AT64" s="8">
        <f>IF($AS64="","",IFERROR(IF($AS64="A",INDEX(Matches!$AI$5:$AI$19,MATCH($C64,Matches!$A$5:$A$19,0)),INDEX(Matches!$AJ$5:$AJ$19,MATCH($C64,Matches!$A$5:$A$19,0))),""))</f>
        <v/>
      </c>
      <c r="AU64" s="8">
        <f>IF($AS64="","",IFERROR(IF(INDEX(Matches!$AP$5:$AP$19,MATCH($C64,Matches!$A$5:$A$19,0))="","",IF($AS64="A",INDEX(Matches!$AP$5:$AP$19,MATCH($C64,Matches!$A$5:$A$19,0)),1-INDEX(Matches!$AP$5:$AP$19,MATCH($C64,Matches!$A$5:$A$19,0)))),""))</f>
        <v/>
      </c>
      <c r="AV64" s="11">
        <f>IF(OR($AU64="",$AT64=""),1,((Config!$B$14*$AU64+Config!$B$15*(1-$AU64))/(Config!$B$14*$AT64+Config!$B$15*(1-$AT64)))^Config!$B$13)</f>
        <v/>
      </c>
      <c r="AW64" s="8">
        <f>IF($AS64="","",IFERROR(IF(INDEX(Matches!$AV$5:$AV$19,MATCH($C64,Matches!$A$5:$A$19,0))="","",IF($AS64="A",INDEX(Matches!$AV$5:$AV$19,MATCH($C64,Matches!$A$5:$A$19,0)),1-INDEX(Matches!$AV$5:$AV$19,MATCH($C64,Matches!$A$5:$A$19,0)))),""))</f>
        <v/>
      </c>
      <c r="AX64" s="11">
        <f>IF(OR($AW64="",$AT64=""),1,((Config!$B$14*$AW64+Config!$B$15*(1-$AW64))/(Config!$B$14*$AT64+Config!$B$15*(1-$AT64)))^Config!$B$13)</f>
        <v/>
      </c>
      <c r="AY64" s="8">
        <f>IF($AS64="","",IFERROR(IF(INDEX(Matches!$BB$5:$BB$19,MATCH($C64,Matches!$A$5:$A$19,0))="","",IF($AS64="A",INDEX(Matches!$BB$5:$BB$19,MATCH($C64,Matches!$A$5:$A$19,0)),1-INDEX(Matches!$BB$5:$BB$19,MATCH($C64,Matches!$A$5:$A$19,0)))),""))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eb7cqiuc8bqx4zr|CS2 · FUT vs TL</t>
        </is>
      </c>
      <c r="B65" t="inlineStr">
        <is>
          <t>CS2</t>
        </is>
      </c>
      <c r="C65" t="inlineStr">
        <is>
          <t>CS2 · FUT vs TL</t>
        </is>
      </c>
      <c r="D65" t="inlineStr">
        <is>
          <t>TL</t>
        </is>
      </c>
      <c r="E65" t="inlineStr">
        <is>
          <t>Jorko</t>
        </is>
      </c>
      <c r="F65" t="inlineStr">
        <is>
          <t>eb7cqiuc8bqx4zr</t>
        </is>
      </c>
      <c r="G65">
        <f>IFERROR(IF(INDEX(Matches!$W$5:$W$19,MATCH($C65,Matches!$A$5:$A$19,0))="","",INDEX(Matches!$W$5:$W$19,MATCH($C65,Matches!$A$5:$A$19,0))),"")</f>
        <v/>
      </c>
      <c r="H65">
        <f>IFERROR(IF(INDEX(Matches!$X$5:$X$19,MATCH($C65,Matches!$A$5:$A$19,0))="","",INDEX(Matches!$X$5:$X$19,MATCH($C65,Matches!$A$5:$A$19,0))),"")</f>
        <v/>
      </c>
      <c r="I65">
        <f>IFERROR(IF(INDEX(Matches!$Y$5:$Y$19,MATCH($C65,Matches!$A$5:$A$19,0))="","",INDEX(Matches!$Y$5:$Y$19,MATCH($C65,Matches!$A$5:$A$19,0))),"")</f>
        <v/>
      </c>
      <c r="J65">
        <f>IFERROR(IF(INDEX(Matches!$Z$5:$Z$19,MATCH($C65,Matches!$A$5:$A$19,0))="","",INDEX(Matches!$Z$5:$Z$19,MATCH($C65,Matches!$A$5:$A$19,0))),"")</f>
        <v/>
      </c>
      <c r="K65">
        <f>IFERROR(IF(INDEX(Matches!$AA$5:$AA$19,MATCH($C65,Matches!$A$5:$A$19,0))="","",INDEX(Matches!$AA$5:$AA$19,MATCH($C65,Matches!$A$5:$A$19,0))),"")</f>
        <v/>
      </c>
      <c r="L65">
        <f>IFERROR(IF(INDEX(Matches!$AB$5:$AB$19,MATCH($C65,Matches!$A$5:$A$19,0))="","",INDEX(Matches!$AB$5:$AB$19,MATCH($C65,Matches!$A$5:$A$19,0))),"")</f>
        <v/>
      </c>
      <c r="M65" s="8">
        <f>IFERROR(IF(INDEX(Matches!$AC$5:$AC$19,MATCH($C65,Matches!$A$5:$A$19,0))="","",INDEX(Matches!$AC$5:$AC$19,MATCH($C65,Matches!$A$5:$A$19,0))),"")</f>
        <v/>
      </c>
      <c r="N65">
        <f>IFERROR(INDEX(Players!$F$2:$F$124,MATCH($F65,Players!$A$2:$A$124,0)),0)</f>
        <v/>
      </c>
      <c r="O65" s="11">
        <f>IFERROR(1/(1/INDEX(Players!$H$2:$H$124,MATCH($F65,Players!$A$2:$A$124,0))),"")</f>
        <v/>
      </c>
      <c r="P65" s="8">
        <f>IFERROR(1/(1/INDEX(Players!$I$2:$I$124,MATCH($F65,Players!$A$2:$A$124,0))),"")</f>
        <v/>
      </c>
      <c r="Q65">
        <f>IF($G65="",0,SUMIFS(Map_Stats!$F$2:$F$779,Map_Stats!$A$2:$A$779,$F65&amp;"|"&amp;$G65))</f>
        <v/>
      </c>
      <c r="R65" s="11">
        <f>IF($G65="","",IFERROR(1/(1/INDEX(Map_Stats!$K$2:$K$779,MATCH($F65&amp;"|"&amp;$G65,Map_Stats!$A$2:$A$779,0))),$O65))</f>
        <v/>
      </c>
      <c r="S65" s="8">
        <f>IF(OR($G65="",$P65=""),"",IFERROR(1/(1/INDEX(Map_Stats!$I$2:$I$779,MATCH($F65&amp;"|"&amp;$G65,Map_Stats!$A$2:$A$779,0))),$P65))</f>
        <v/>
      </c>
      <c r="T65" s="11">
        <f>IF(OR($G65="",R65=""),"",IF($O65="",R65,(Q65*R65+Config!$B$4*$O65)/(Q65+Config!$B$4)))</f>
        <v/>
      </c>
      <c r="U65" s="8">
        <f>IF(S65="","",(Q65*S65+Config!$B$4*$P65)/(Q65+Config!$B$4))</f>
        <v/>
      </c>
      <c r="V65" s="15">
        <f>IF(OR(T65="",$J65=""),"",T65*$J65*($J65/Config!$B$10)^Config!$B$9)</f>
        <v/>
      </c>
      <c r="W65" s="15">
        <f>IF(OR(V65="",U65=""),"",V65*U65)</f>
        <v/>
      </c>
      <c r="X65">
        <f>IF($H65="",0,SUMIFS(Map_Stats!$F$2:$F$779,Map_Stats!$A$2:$A$779,$F65&amp;"|"&amp;$H65))</f>
        <v/>
      </c>
      <c r="Y65" s="11">
        <f>IF($H65="","",IFERROR(1/(1/INDEX(Map_Stats!$K$2:$K$779,MATCH($F65&amp;"|"&amp;$H65,Map_Stats!$A$2:$A$779,0))),$O65))</f>
        <v/>
      </c>
      <c r="Z65" s="8">
        <f>IF(OR($H65="",$P65=""),"",IFERROR(1/(1/INDEX(Map_Stats!$I$2:$I$779,MATCH($F65&amp;"|"&amp;$H65,Map_Stats!$A$2:$A$779,0))),$P65))</f>
        <v/>
      </c>
      <c r="AA65" s="11">
        <f>IF(OR($H65="",Y65=""),"",IF($O65="",Y65,(X65*Y65+Config!$B$4*$O65)/(X65+Config!$B$4)))</f>
        <v/>
      </c>
      <c r="AB65" s="8">
        <f>IF(Z65="","",(X65*Z65+Config!$B$4*$P65)/(X65+Config!$B$4))</f>
        <v/>
      </c>
      <c r="AC65" s="15">
        <f>IF(OR(AA65="",$K65=""),"",AA65*$K65*($K65/Config!$B$10)^Config!$B$9)</f>
        <v/>
      </c>
      <c r="AD65" s="15">
        <f>IF(OR(AC65="",AB65=""),"",AC65*AB65)</f>
        <v/>
      </c>
      <c r="AE65">
        <f>IF($I65="",0,SUMIFS(Map_Stats!$F$2:$F$779,Map_Stats!$A$2:$A$779,$F65&amp;"|"&amp;$I65))</f>
        <v/>
      </c>
      <c r="AF65" s="11">
        <f>IF($I65="","",IFERROR(1/(1/INDEX(Map_Stats!$K$2:$K$779,MATCH($F65&amp;"|"&amp;$I65,Map_Stats!$A$2:$A$779,0))),$O65))</f>
        <v/>
      </c>
      <c r="AG65" s="8">
        <f>IF(OR($I65="",$P65=""),"",IFERROR(1/(1/INDEX(Map_Stats!$I$2:$I$779,MATCH($F65&amp;"|"&amp;$I65,Map_Stats!$A$2:$A$779,0))),$P65))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IF($C65=Board!$B$2,COUNTIFS($C$2:$C$124,Board!$B$2,$AL$2:$AL$124,"&gt;"&amp;$AL65)+COUNTIFS($C$1:$C64,Board!$B$2,$AL$1:$AL64,$AL65)+1,"")</f>
        <v/>
      </c>
      <c r="AS65">
        <f>IFERROR(IF($D65=INDEX(Matches!$AD$5:$AD$19,MATCH($C65,Matches!$A$5:$A$19,0)),"A",IF($D65=INDEX(Matches!$AE$5:$AE$19,MATCH($C65,Matches!$A$5:$A$19,0)),"B","")),"")</f>
        <v/>
      </c>
      <c r="AT65" s="8">
        <f>IF($AS65="","",IFERROR(IF($AS65="A",INDEX(Matches!$AI$5:$AI$19,MATCH($C65,Matches!$A$5:$A$19,0)),INDEX(Matches!$AJ$5:$AJ$19,MATCH($C65,Matches!$A$5:$A$19,0))),""))</f>
        <v/>
      </c>
      <c r="AU65" s="8">
        <f>IF($AS65="","",IFERROR(IF(INDEX(Matches!$AP$5:$AP$19,MATCH($C65,Matches!$A$5:$A$19,0))="","",IF($AS65="A",INDEX(Matches!$AP$5:$AP$19,MATCH($C65,Matches!$A$5:$A$19,0)),1-INDEX(Matches!$AP$5:$AP$19,MATCH($C65,Matches!$A$5:$A$19,0)))),""))</f>
        <v/>
      </c>
      <c r="AV65" s="11">
        <f>IF(OR($AU65="",$AT65=""),1,((Config!$B$14*$AU65+Config!$B$15*(1-$AU65))/(Config!$B$14*$AT65+Config!$B$15*(1-$AT65)))^Config!$B$13)</f>
        <v/>
      </c>
      <c r="AW65" s="8">
        <f>IF($AS65="","",IFERROR(IF(INDEX(Matches!$AV$5:$AV$19,MATCH($C65,Matches!$A$5:$A$19,0))="","",IF($AS65="A",INDEX(Matches!$AV$5:$AV$19,MATCH($C65,Matches!$A$5:$A$19,0)),1-INDEX(Matches!$AV$5:$AV$19,MATCH($C65,Matches!$A$5:$A$19,0)))),""))</f>
        <v/>
      </c>
      <c r="AX65" s="11">
        <f>IF(OR($AW65="",$AT65=""),1,((Config!$B$14*$AW65+Config!$B$15*(1-$AW65))/(Config!$B$14*$AT65+Config!$B$15*(1-$AT65)))^Config!$B$13)</f>
        <v/>
      </c>
      <c r="AY65" s="8">
        <f>IF($AS65="","",IFERROR(IF(INDEX(Matches!$BB$5:$BB$19,MATCH($C65,Matches!$A$5:$A$19,0))="","",IF($AS65="A",INDEX(Matches!$BB$5:$BB$19,MATCH($C65,Matches!$A$5:$A$19,0)),1-INDEX(Matches!$BB$5:$BB$19,MATCH($C65,Matches!$A$5:$A$19,0)))),""))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j4y4z5p4stvkatz|CS2 · FUT vs TL</t>
        </is>
      </c>
      <c r="B66" t="inlineStr">
        <is>
          <t>CS2</t>
        </is>
      </c>
      <c r="C66" t="inlineStr">
        <is>
          <t>CS2 · FUT vs TL</t>
        </is>
      </c>
      <c r="D66" t="inlineStr">
        <is>
          <t>TL</t>
        </is>
      </c>
      <c r="E66" t="inlineStr">
        <is>
          <t>JT</t>
        </is>
      </c>
      <c r="F66" t="inlineStr">
        <is>
          <t>j4y4z5p4stvkatz</t>
        </is>
      </c>
      <c r="G66">
        <f>IFERROR(IF(INDEX(Matches!$W$5:$W$19,MATCH($C66,Matches!$A$5:$A$19,0))="","",INDEX(Matches!$W$5:$W$19,MATCH($C66,Matches!$A$5:$A$19,0))),"")</f>
        <v/>
      </c>
      <c r="H66">
        <f>IFERROR(IF(INDEX(Matches!$X$5:$X$19,MATCH($C66,Matches!$A$5:$A$19,0))="","",INDEX(Matches!$X$5:$X$19,MATCH($C66,Matches!$A$5:$A$19,0))),"")</f>
        <v/>
      </c>
      <c r="I66">
        <f>IFERROR(IF(INDEX(Matches!$Y$5:$Y$19,MATCH($C66,Matches!$A$5:$A$19,0))="","",INDEX(Matches!$Y$5:$Y$19,MATCH($C66,Matches!$A$5:$A$19,0))),"")</f>
        <v/>
      </c>
      <c r="J66">
        <f>IFERROR(IF(INDEX(Matches!$Z$5:$Z$19,MATCH($C66,Matches!$A$5:$A$19,0))="","",INDEX(Matches!$Z$5:$Z$19,MATCH($C66,Matches!$A$5:$A$19,0))),"")</f>
        <v/>
      </c>
      <c r="K66">
        <f>IFERROR(IF(INDEX(Matches!$AA$5:$AA$19,MATCH($C66,Matches!$A$5:$A$19,0))="","",INDEX(Matches!$AA$5:$AA$19,MATCH($C66,Matches!$A$5:$A$19,0))),"")</f>
        <v/>
      </c>
      <c r="L66">
        <f>IFERROR(IF(INDEX(Matches!$AB$5:$AB$19,MATCH($C66,Matches!$A$5:$A$19,0))="","",INDEX(Matches!$AB$5:$AB$19,MATCH($C66,Matches!$A$5:$A$19,0))),"")</f>
        <v/>
      </c>
      <c r="M66" s="8">
        <f>IFERROR(IF(INDEX(Matches!$AC$5:$AC$19,MATCH($C66,Matches!$A$5:$A$19,0))="","",INDEX(Matches!$AC$5:$AC$19,MATCH($C66,Matches!$A$5:$A$19,0))),"")</f>
        <v/>
      </c>
      <c r="N66">
        <f>IFERROR(INDEX(Players!$F$2:$F$124,MATCH($F66,Players!$A$2:$A$124,0)),0)</f>
        <v/>
      </c>
      <c r="O66" s="11">
        <f>IFERROR(1/(1/INDEX(Players!$H$2:$H$124,MATCH($F66,Players!$A$2:$A$124,0))),"")</f>
        <v/>
      </c>
      <c r="P66" s="8">
        <f>IFERROR(1/(1/INDEX(Players!$I$2:$I$124,MATCH($F66,Players!$A$2:$A$124,0))),"")</f>
        <v/>
      </c>
      <c r="Q66">
        <f>IF($G66="",0,SUMIFS(Map_Stats!$F$2:$F$779,Map_Stats!$A$2:$A$779,$F66&amp;"|"&amp;$G66))</f>
        <v/>
      </c>
      <c r="R66" s="11">
        <f>IF($G66="","",IFERROR(1/(1/INDEX(Map_Stats!$K$2:$K$779,MATCH($F66&amp;"|"&amp;$G66,Map_Stats!$A$2:$A$779,0))),$O66))</f>
        <v/>
      </c>
      <c r="S66" s="8">
        <f>IF(OR($G66="",$P66=""),"",IFERROR(1/(1/INDEX(Map_Stats!$I$2:$I$779,MATCH($F66&amp;"|"&amp;$G66,Map_Stats!$A$2:$A$779,0))),$P66))</f>
        <v/>
      </c>
      <c r="T66" s="11">
        <f>IF(OR($G66="",R66=""),"",IF($O66="",R66,(Q66*R66+Config!$B$4*$O66)/(Q66+Config!$B$4)))</f>
        <v/>
      </c>
      <c r="U66" s="8">
        <f>IF(S66="","",(Q66*S66+Config!$B$4*$P66)/(Q66+Config!$B$4))</f>
        <v/>
      </c>
      <c r="V66" s="15">
        <f>IF(OR(T66="",$J66=""),"",T66*$J66*($J66/Config!$B$10)^Config!$B$9)</f>
        <v/>
      </c>
      <c r="W66" s="15">
        <f>IF(OR(V66="",U66=""),"",V66*U66)</f>
        <v/>
      </c>
      <c r="X66">
        <f>IF($H66="",0,SUMIFS(Map_Stats!$F$2:$F$779,Map_Stats!$A$2:$A$779,$F66&amp;"|"&amp;$H66))</f>
        <v/>
      </c>
      <c r="Y66" s="11">
        <f>IF($H66="","",IFERROR(1/(1/INDEX(Map_Stats!$K$2:$K$779,MATCH($F66&amp;"|"&amp;$H66,Map_Stats!$A$2:$A$779,0))),$O66))</f>
        <v/>
      </c>
      <c r="Z66" s="8">
        <f>IF(OR($H66="",$P66=""),"",IFERROR(1/(1/INDEX(Map_Stats!$I$2:$I$779,MATCH($F66&amp;"|"&amp;$H66,Map_Stats!$A$2:$A$779,0))),$P66))</f>
        <v/>
      </c>
      <c r="AA66" s="11">
        <f>IF(OR($H66="",Y66=""),"",IF($O66="",Y66,(X66*Y66+Config!$B$4*$O66)/(X66+Config!$B$4)))</f>
        <v/>
      </c>
      <c r="AB66" s="8">
        <f>IF(Z66="","",(X66*Z66+Config!$B$4*$P66)/(X66+Config!$B$4))</f>
        <v/>
      </c>
      <c r="AC66" s="15">
        <f>IF(OR(AA66="",$K66=""),"",AA66*$K66*($K66/Config!$B$10)^Config!$B$9)</f>
        <v/>
      </c>
      <c r="AD66" s="15">
        <f>IF(OR(AC66="",AB66=""),"",AC66*AB66)</f>
        <v/>
      </c>
      <c r="AE66">
        <f>IF($I66="",0,SUMIFS(Map_Stats!$F$2:$F$779,Map_Stats!$A$2:$A$779,$F66&amp;"|"&amp;$I66))</f>
        <v/>
      </c>
      <c r="AF66" s="11">
        <f>IF($I66="","",IFERROR(1/(1/INDEX(Map_Stats!$K$2:$K$779,MATCH($F66&amp;"|"&amp;$I66,Map_Stats!$A$2:$A$779,0))),$O66))</f>
        <v/>
      </c>
      <c r="AG66" s="8">
        <f>IF(OR($I66="",$P66=""),"",IFERROR(1/(1/INDEX(Map_Stats!$I$2:$I$779,MATCH($F66&amp;"|"&amp;$I66,Map_Stats!$A$2:$A$779,0))),$P66))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IF($C66=Board!$B$2,COUNTIFS($C$2:$C$124,Board!$B$2,$AL$2:$AL$124,"&gt;"&amp;$AL66)+COUNTIFS($C$1:$C65,Board!$B$2,$AL$1:$AL65,$AL66)+1,"")</f>
        <v/>
      </c>
      <c r="AS66">
        <f>IFERROR(IF($D66=INDEX(Matches!$AD$5:$AD$19,MATCH($C66,Matches!$A$5:$A$19,0)),"A",IF($D66=INDEX(Matches!$AE$5:$AE$19,MATCH($C66,Matches!$A$5:$A$19,0)),"B","")),"")</f>
        <v/>
      </c>
      <c r="AT66" s="8">
        <f>IF($AS66="","",IFERROR(IF($AS66="A",INDEX(Matches!$AI$5:$AI$19,MATCH($C66,Matches!$A$5:$A$19,0)),INDEX(Matches!$AJ$5:$AJ$19,MATCH($C66,Matches!$A$5:$A$19,0))),""))</f>
        <v/>
      </c>
      <c r="AU66" s="8">
        <f>IF($AS66="","",IFERROR(IF(INDEX(Matches!$AP$5:$AP$19,MATCH($C66,Matches!$A$5:$A$19,0))="","",IF($AS66="A",INDEX(Matches!$AP$5:$AP$19,MATCH($C66,Matches!$A$5:$A$19,0)),1-INDEX(Matches!$AP$5:$AP$19,MATCH($C66,Matches!$A$5:$A$19,0)))),""))</f>
        <v/>
      </c>
      <c r="AV66" s="11">
        <f>IF(OR($AU66="",$AT66=""),1,((Config!$B$14*$AU66+Config!$B$15*(1-$AU66))/(Config!$B$14*$AT66+Config!$B$15*(1-$AT66)))^Config!$B$13)</f>
        <v/>
      </c>
      <c r="AW66" s="8">
        <f>IF($AS66="","",IFERROR(IF(INDEX(Matches!$AV$5:$AV$19,MATCH($C66,Matches!$A$5:$A$19,0))="","",IF($AS66="A",INDEX(Matches!$AV$5:$AV$19,MATCH($C66,Matches!$A$5:$A$19,0)),1-INDEX(Matches!$AV$5:$AV$19,MATCH($C66,Matches!$A$5:$A$19,0)))),""))</f>
        <v/>
      </c>
      <c r="AX66" s="11">
        <f>IF(OR($AW66="",$AT66=""),1,((Config!$B$14*$AW66+Config!$B$15*(1-$AW66))/(Config!$B$14*$AT66+Config!$B$15*(1-$AT66)))^Config!$B$13)</f>
        <v/>
      </c>
      <c r="AY66" s="8">
        <f>IF($AS66="","",IFERROR(IF(INDEX(Matches!$BB$5:$BB$19,MATCH($C66,Matches!$A$5:$A$19,0))="","",IF($AS66="A",INDEX(Matches!$BB$5:$BB$19,MATCH($C66,Matches!$A$5:$A$19,0)),1-INDEX(Matches!$BB$5:$BB$19,MATCH($C66,Matches!$A$5:$A$19,0)))),""))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30ba4vwtbgb75sn|CS2 · FUT vs TL</t>
        </is>
      </c>
      <c r="B67" t="inlineStr">
        <is>
          <t>CS2</t>
        </is>
      </c>
      <c r="C67" t="inlineStr">
        <is>
          <t>CS2 · FUT vs TL</t>
        </is>
      </c>
      <c r="D67" t="inlineStr">
        <is>
          <t>TL</t>
        </is>
      </c>
      <c r="E67" t="inlineStr">
        <is>
          <t>malbsMd</t>
        </is>
      </c>
      <c r="F67" t="inlineStr">
        <is>
          <t>30ba4vwtbgb75sn</t>
        </is>
      </c>
      <c r="G67">
        <f>IFERROR(IF(INDEX(Matches!$W$5:$W$19,MATCH($C67,Matches!$A$5:$A$19,0))="","",INDEX(Matches!$W$5:$W$19,MATCH($C67,Matches!$A$5:$A$19,0))),"")</f>
        <v/>
      </c>
      <c r="H67">
        <f>IFERROR(IF(INDEX(Matches!$X$5:$X$19,MATCH($C67,Matches!$A$5:$A$19,0))="","",INDEX(Matches!$X$5:$X$19,MATCH($C67,Matches!$A$5:$A$19,0))),"")</f>
        <v/>
      </c>
      <c r="I67">
        <f>IFERROR(IF(INDEX(Matches!$Y$5:$Y$19,MATCH($C67,Matches!$A$5:$A$19,0))="","",INDEX(Matches!$Y$5:$Y$19,MATCH($C67,Matches!$A$5:$A$19,0))),"")</f>
        <v/>
      </c>
      <c r="J67">
        <f>IFERROR(IF(INDEX(Matches!$Z$5:$Z$19,MATCH($C67,Matches!$A$5:$A$19,0))="","",INDEX(Matches!$Z$5:$Z$19,MATCH($C67,Matches!$A$5:$A$19,0))),"")</f>
        <v/>
      </c>
      <c r="K67">
        <f>IFERROR(IF(INDEX(Matches!$AA$5:$AA$19,MATCH($C67,Matches!$A$5:$A$19,0))="","",INDEX(Matches!$AA$5:$AA$19,MATCH($C67,Matches!$A$5:$A$19,0))),"")</f>
        <v/>
      </c>
      <c r="L67">
        <f>IFERROR(IF(INDEX(Matches!$AB$5:$AB$19,MATCH($C67,Matches!$A$5:$A$19,0))="","",INDEX(Matches!$AB$5:$AB$19,MATCH($C67,Matches!$A$5:$A$19,0))),"")</f>
        <v/>
      </c>
      <c r="M67" s="8">
        <f>IFERROR(IF(INDEX(Matches!$AC$5:$AC$19,MATCH($C67,Matches!$A$5:$A$19,0))="","",INDEX(Matches!$AC$5:$AC$19,MATCH($C67,Matches!$A$5:$A$19,0))),"")</f>
        <v/>
      </c>
      <c r="N67">
        <f>IFERROR(INDEX(Players!$F$2:$F$124,MATCH($F67,Players!$A$2:$A$124,0)),0)</f>
        <v/>
      </c>
      <c r="O67" s="11">
        <f>IFERROR(1/(1/INDEX(Players!$H$2:$H$124,MATCH($F67,Players!$A$2:$A$124,0))),"")</f>
        <v/>
      </c>
      <c r="P67" s="8">
        <f>IFERROR(1/(1/INDEX(Players!$I$2:$I$124,MATCH($F67,Players!$A$2:$A$124,0))),"")</f>
        <v/>
      </c>
      <c r="Q67">
        <f>IF($G67="",0,SUMIFS(Map_Stats!$F$2:$F$779,Map_Stats!$A$2:$A$779,$F67&amp;"|"&amp;$G67))</f>
        <v/>
      </c>
      <c r="R67" s="11">
        <f>IF($G67="","",IFERROR(1/(1/INDEX(Map_Stats!$K$2:$K$779,MATCH($F67&amp;"|"&amp;$G67,Map_Stats!$A$2:$A$779,0))),$O67))</f>
        <v/>
      </c>
      <c r="S67" s="8">
        <f>IF(OR($G67="",$P67=""),"",IFERROR(1/(1/INDEX(Map_Stats!$I$2:$I$779,MATCH($F67&amp;"|"&amp;$G67,Map_Stats!$A$2:$A$779,0))),$P67))</f>
        <v/>
      </c>
      <c r="T67" s="11">
        <f>IF(OR($G67="",R67=""),"",IF($O67="",R67,(Q67*R67+Config!$B$4*$O67)/(Q67+Config!$B$4)))</f>
        <v/>
      </c>
      <c r="U67" s="8">
        <f>IF(S67="","",(Q67*S67+Config!$B$4*$P67)/(Q67+Config!$B$4))</f>
        <v/>
      </c>
      <c r="V67" s="15">
        <f>IF(OR(T67="",$J67=""),"",T67*$J67*($J67/Config!$B$10)^Config!$B$9)</f>
        <v/>
      </c>
      <c r="W67" s="15">
        <f>IF(OR(V67="",U67=""),"",V67*U67)</f>
        <v/>
      </c>
      <c r="X67">
        <f>IF($H67="",0,SUMIFS(Map_Stats!$F$2:$F$779,Map_Stats!$A$2:$A$779,$F67&amp;"|"&amp;$H67))</f>
        <v/>
      </c>
      <c r="Y67" s="11">
        <f>IF($H67="","",IFERROR(1/(1/INDEX(Map_Stats!$K$2:$K$779,MATCH($F67&amp;"|"&amp;$H67,Map_Stats!$A$2:$A$779,0))),$O67))</f>
        <v/>
      </c>
      <c r="Z67" s="8">
        <f>IF(OR($H67="",$P67=""),"",IFERROR(1/(1/INDEX(Map_Stats!$I$2:$I$779,MATCH($F67&amp;"|"&amp;$H67,Map_Stats!$A$2:$A$779,0))),$P67))</f>
        <v/>
      </c>
      <c r="AA67" s="11">
        <f>IF(OR($H67="",Y67=""),"",IF($O67="",Y67,(X67*Y67+Config!$B$4*$O67)/(X67+Config!$B$4)))</f>
        <v/>
      </c>
      <c r="AB67" s="8">
        <f>IF(Z67="","",(X67*Z67+Config!$B$4*$P67)/(X67+Config!$B$4))</f>
        <v/>
      </c>
      <c r="AC67" s="15">
        <f>IF(OR(AA67="",$K67=""),"",AA67*$K67*($K67/Config!$B$10)^Config!$B$9)</f>
        <v/>
      </c>
      <c r="AD67" s="15">
        <f>IF(OR(AC67="",AB67=""),"",AC67*AB67)</f>
        <v/>
      </c>
      <c r="AE67">
        <f>IF($I67="",0,SUMIFS(Map_Stats!$F$2:$F$779,Map_Stats!$A$2:$A$779,$F67&amp;"|"&amp;$I67))</f>
        <v/>
      </c>
      <c r="AF67" s="11">
        <f>IF($I67="","",IFERROR(1/(1/INDEX(Map_Stats!$K$2:$K$779,MATCH($F67&amp;"|"&amp;$I67,Map_Stats!$A$2:$A$779,0))),$O67))</f>
        <v/>
      </c>
      <c r="AG67" s="8">
        <f>IF(OR($I67="",$P67=""),"",IFERROR(1/(1/INDEX(Map_Stats!$I$2:$I$779,MATCH($F67&amp;"|"&amp;$I67,Map_Stats!$A$2:$A$779,0))),$P67))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IF($C67=Board!$B$2,COUNTIFS($C$2:$C$124,Board!$B$2,$AL$2:$AL$124,"&gt;"&amp;$AL67)+COUNTIFS($C$1:$C66,Board!$B$2,$AL$1:$AL66,$AL67)+1,"")</f>
        <v/>
      </c>
      <c r="AS67">
        <f>IFERROR(IF($D67=INDEX(Matches!$AD$5:$AD$19,MATCH($C67,Matches!$A$5:$A$19,0)),"A",IF($D67=INDEX(Matches!$AE$5:$AE$19,MATCH($C67,Matches!$A$5:$A$19,0)),"B","")),"")</f>
        <v/>
      </c>
      <c r="AT67" s="8">
        <f>IF($AS67="","",IFERROR(IF($AS67="A",INDEX(Matches!$AI$5:$AI$19,MATCH($C67,Matches!$A$5:$A$19,0)),INDEX(Matches!$AJ$5:$AJ$19,MATCH($C67,Matches!$A$5:$A$19,0))),""))</f>
        <v/>
      </c>
      <c r="AU67" s="8">
        <f>IF($AS67="","",IFERROR(IF(INDEX(Matches!$AP$5:$AP$19,MATCH($C67,Matches!$A$5:$A$19,0))="","",IF($AS67="A",INDEX(Matches!$AP$5:$AP$19,MATCH($C67,Matches!$A$5:$A$19,0)),1-INDEX(Matches!$AP$5:$AP$19,MATCH($C67,Matches!$A$5:$A$19,0)))),""))</f>
        <v/>
      </c>
      <c r="AV67" s="11">
        <f>IF(OR($AU67="",$AT67=""),1,((Config!$B$14*$AU67+Config!$B$15*(1-$AU67))/(Config!$B$14*$AT67+Config!$B$15*(1-$AT67)))^Config!$B$13)</f>
        <v/>
      </c>
      <c r="AW67" s="8">
        <f>IF($AS67="","",IFERROR(IF(INDEX(Matches!$AV$5:$AV$19,MATCH($C67,Matches!$A$5:$A$19,0))="","",IF($AS67="A",INDEX(Matches!$AV$5:$AV$19,MATCH($C67,Matches!$A$5:$A$19,0)),1-INDEX(Matches!$AV$5:$AV$19,MATCH($C67,Matches!$A$5:$A$19,0)))),""))</f>
        <v/>
      </c>
      <c r="AX67" s="11">
        <f>IF(OR($AW67="",$AT67=""),1,((Config!$B$14*$AW67+Config!$B$15*(1-$AW67))/(Config!$B$14*$AT67+Config!$B$15*(1-$AT67)))^Config!$B$13)</f>
        <v/>
      </c>
      <c r="AY67" s="8">
        <f>IF($AS67="","",IFERROR(IF(INDEX(Matches!$BB$5:$BB$19,MATCH($C67,Matches!$A$5:$A$19,0))="","",IF($AS67="A",INDEX(Matches!$BB$5:$BB$19,MATCH($C67,Matches!$A$5:$A$19,0)),1-INDEX(Matches!$BB$5:$BB$19,MATCH($C67,Matches!$A$5:$A$19,0)))),""))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as14gj4lvoykr11|CS2 · FUT vs TL</t>
        </is>
      </c>
      <c r="B68" t="inlineStr">
        <is>
          <t>CS2</t>
        </is>
      </c>
      <c r="C68" t="inlineStr">
        <is>
          <t>CS2 · FUT vs TL</t>
        </is>
      </c>
      <c r="D68" t="inlineStr">
        <is>
          <t>TL</t>
        </is>
      </c>
      <c r="E68" t="inlineStr">
        <is>
          <t>NAF</t>
        </is>
      </c>
      <c r="F68" t="inlineStr">
        <is>
          <t>as14gj4lvoykr11</t>
        </is>
      </c>
      <c r="G68">
        <f>IFERROR(IF(INDEX(Matches!$W$5:$W$19,MATCH($C68,Matches!$A$5:$A$19,0))="","",INDEX(Matches!$W$5:$W$19,MATCH($C68,Matches!$A$5:$A$19,0))),"")</f>
        <v/>
      </c>
      <c r="H68">
        <f>IFERROR(IF(INDEX(Matches!$X$5:$X$19,MATCH($C68,Matches!$A$5:$A$19,0))="","",INDEX(Matches!$X$5:$X$19,MATCH($C68,Matches!$A$5:$A$19,0))),"")</f>
        <v/>
      </c>
      <c r="I68">
        <f>IFERROR(IF(INDEX(Matches!$Y$5:$Y$19,MATCH($C68,Matches!$A$5:$A$19,0))="","",INDEX(Matches!$Y$5:$Y$19,MATCH($C68,Matches!$A$5:$A$19,0))),"")</f>
        <v/>
      </c>
      <c r="J68">
        <f>IFERROR(IF(INDEX(Matches!$Z$5:$Z$19,MATCH($C68,Matches!$A$5:$A$19,0))="","",INDEX(Matches!$Z$5:$Z$19,MATCH($C68,Matches!$A$5:$A$19,0))),"")</f>
        <v/>
      </c>
      <c r="K68">
        <f>IFERROR(IF(INDEX(Matches!$AA$5:$AA$19,MATCH($C68,Matches!$A$5:$A$19,0))="","",INDEX(Matches!$AA$5:$AA$19,MATCH($C68,Matches!$A$5:$A$19,0))),"")</f>
        <v/>
      </c>
      <c r="L68">
        <f>IFERROR(IF(INDEX(Matches!$AB$5:$AB$19,MATCH($C68,Matches!$A$5:$A$19,0))="","",INDEX(Matches!$AB$5:$AB$19,MATCH($C68,Matches!$A$5:$A$19,0))),"")</f>
        <v/>
      </c>
      <c r="M68" s="8">
        <f>IFERROR(IF(INDEX(Matches!$AC$5:$AC$19,MATCH($C68,Matches!$A$5:$A$19,0))="","",INDEX(Matches!$AC$5:$AC$19,MATCH($C68,Matches!$A$5:$A$19,0))),"")</f>
        <v/>
      </c>
      <c r="N68">
        <f>IFERROR(INDEX(Players!$F$2:$F$124,MATCH($F68,Players!$A$2:$A$124,0)),0)</f>
        <v/>
      </c>
      <c r="O68" s="11">
        <f>IFERROR(1/(1/INDEX(Players!$H$2:$H$124,MATCH($F68,Players!$A$2:$A$124,0))),"")</f>
        <v/>
      </c>
      <c r="P68" s="8">
        <f>IFERROR(1/(1/INDEX(Players!$I$2:$I$124,MATCH($F68,Players!$A$2:$A$124,0))),"")</f>
        <v/>
      </c>
      <c r="Q68">
        <f>IF($G68="",0,SUMIFS(Map_Stats!$F$2:$F$779,Map_Stats!$A$2:$A$779,$F68&amp;"|"&amp;$G68))</f>
        <v/>
      </c>
      <c r="R68" s="11">
        <f>IF($G68="","",IFERROR(1/(1/INDEX(Map_Stats!$K$2:$K$779,MATCH($F68&amp;"|"&amp;$G68,Map_Stats!$A$2:$A$779,0))),$O68))</f>
        <v/>
      </c>
      <c r="S68" s="8">
        <f>IF(OR($G68="",$P68=""),"",IFERROR(1/(1/INDEX(Map_Stats!$I$2:$I$779,MATCH($F68&amp;"|"&amp;$G68,Map_Stats!$A$2:$A$779,0))),$P68))</f>
        <v/>
      </c>
      <c r="T68" s="11">
        <f>IF(OR($G68="",R68=""),"",IF($O68="",R68,(Q68*R68+Config!$B$4*$O68)/(Q68+Config!$B$4)))</f>
        <v/>
      </c>
      <c r="U68" s="8">
        <f>IF(S68="","",(Q68*S68+Config!$B$4*$P68)/(Q68+Config!$B$4))</f>
        <v/>
      </c>
      <c r="V68" s="15">
        <f>IF(OR(T68="",$J68=""),"",T68*$J68*($J68/Config!$B$10)^Config!$B$9)</f>
        <v/>
      </c>
      <c r="W68" s="15">
        <f>IF(OR(V68="",U68=""),"",V68*U68)</f>
        <v/>
      </c>
      <c r="X68">
        <f>IF($H68="",0,SUMIFS(Map_Stats!$F$2:$F$779,Map_Stats!$A$2:$A$779,$F68&amp;"|"&amp;$H68))</f>
        <v/>
      </c>
      <c r="Y68" s="11">
        <f>IF($H68="","",IFERROR(1/(1/INDEX(Map_Stats!$K$2:$K$779,MATCH($F68&amp;"|"&amp;$H68,Map_Stats!$A$2:$A$779,0))),$O68))</f>
        <v/>
      </c>
      <c r="Z68" s="8">
        <f>IF(OR($H68="",$P68=""),"",IFERROR(1/(1/INDEX(Map_Stats!$I$2:$I$779,MATCH($F68&amp;"|"&amp;$H68,Map_Stats!$A$2:$A$779,0))),$P68))</f>
        <v/>
      </c>
      <c r="AA68" s="11">
        <f>IF(OR($H68="",Y68=""),"",IF($O68="",Y68,(X68*Y68+Config!$B$4*$O68)/(X68+Config!$B$4)))</f>
        <v/>
      </c>
      <c r="AB68" s="8">
        <f>IF(Z68="","",(X68*Z68+Config!$B$4*$P68)/(X68+Config!$B$4))</f>
        <v/>
      </c>
      <c r="AC68" s="15">
        <f>IF(OR(AA68="",$K68=""),"",AA68*$K68*($K68/Config!$B$10)^Config!$B$9)</f>
        <v/>
      </c>
      <c r="AD68" s="15">
        <f>IF(OR(AC68="",AB68=""),"",AC68*AB68)</f>
        <v/>
      </c>
      <c r="AE68">
        <f>IF($I68="",0,SUMIFS(Map_Stats!$F$2:$F$779,Map_Stats!$A$2:$A$779,$F68&amp;"|"&amp;$I68))</f>
        <v/>
      </c>
      <c r="AF68" s="11">
        <f>IF($I68="","",IFERROR(1/(1/INDEX(Map_Stats!$K$2:$K$779,MATCH($F68&amp;"|"&amp;$I68,Map_Stats!$A$2:$A$779,0))),$O68))</f>
        <v/>
      </c>
      <c r="AG68" s="8">
        <f>IF(OR($I68="",$P68=""),"",IFERROR(1/(1/INDEX(Map_Stats!$I$2:$I$779,MATCH($F68&amp;"|"&amp;$I68,Map_Stats!$A$2:$A$779,0))),$P68))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IF($C68=Board!$B$2,COUNTIFS($C$2:$C$124,Board!$B$2,$AL$2:$AL$124,"&gt;"&amp;$AL68)+COUNTIFS($C$1:$C67,Board!$B$2,$AL$1:$AL67,$AL68)+1,"")</f>
        <v/>
      </c>
      <c r="AS68">
        <f>IFERROR(IF($D68=INDEX(Matches!$AD$5:$AD$19,MATCH($C68,Matches!$A$5:$A$19,0)),"A",IF($D68=INDEX(Matches!$AE$5:$AE$19,MATCH($C68,Matches!$A$5:$A$19,0)),"B","")),"")</f>
        <v/>
      </c>
      <c r="AT68" s="8">
        <f>IF($AS68="","",IFERROR(IF($AS68="A",INDEX(Matches!$AI$5:$AI$19,MATCH($C68,Matches!$A$5:$A$19,0)),INDEX(Matches!$AJ$5:$AJ$19,MATCH($C68,Matches!$A$5:$A$19,0))),""))</f>
        <v/>
      </c>
      <c r="AU68" s="8">
        <f>IF($AS68="","",IFERROR(IF(INDEX(Matches!$AP$5:$AP$19,MATCH($C68,Matches!$A$5:$A$19,0))="","",IF($AS68="A",INDEX(Matches!$AP$5:$AP$19,MATCH($C68,Matches!$A$5:$A$19,0)),1-INDEX(Matches!$AP$5:$AP$19,MATCH($C68,Matches!$A$5:$A$19,0)))),""))</f>
        <v/>
      </c>
      <c r="AV68" s="11">
        <f>IF(OR($AU68="",$AT68=""),1,((Config!$B$14*$AU68+Config!$B$15*(1-$AU68))/(Config!$B$14*$AT68+Config!$B$15*(1-$AT68)))^Config!$B$13)</f>
        <v/>
      </c>
      <c r="AW68" s="8">
        <f>IF($AS68="","",IFERROR(IF(INDEX(Matches!$AV$5:$AV$19,MATCH($C68,Matches!$A$5:$A$19,0))="","",IF($AS68="A",INDEX(Matches!$AV$5:$AV$19,MATCH($C68,Matches!$A$5:$A$19,0)),1-INDEX(Matches!$AV$5:$AV$19,MATCH($C68,Matches!$A$5:$A$19,0)))),""))</f>
        <v/>
      </c>
      <c r="AX68" s="11">
        <f>IF(OR($AW68="",$AT68=""),1,((Config!$B$14*$AW68+Config!$B$15*(1-$AW68))/(Config!$B$14*$AT68+Config!$B$15*(1-$AT68)))^Config!$B$13)</f>
        <v/>
      </c>
      <c r="AY68" s="8">
        <f>IF($AS68="","",IFERROR(IF(INDEX(Matches!$BB$5:$BB$19,MATCH($C68,Matches!$A$5:$A$19,0))="","",IF($AS68="A",INDEX(Matches!$BB$5:$BB$19,MATCH($C68,Matches!$A$5:$A$19,0)),1-INDEX(Matches!$BB$5:$BB$19,MATCH($C68,Matches!$A$5:$A$19,0)))),""))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l65e6bpbpsopabo|CS2 · INF vs BRUTE</t>
        </is>
      </c>
      <c r="B69" t="inlineStr">
        <is>
          <t>CS2</t>
        </is>
      </c>
      <c r="C69" t="inlineStr">
        <is>
          <t>CS2 · INF vs BRUTE</t>
        </is>
      </c>
      <c r="D69" t="inlineStr">
        <is>
          <t>BRUTE</t>
        </is>
      </c>
      <c r="E69" t="inlineStr">
        <is>
          <t>nbqq</t>
        </is>
      </c>
      <c r="F69" t="inlineStr">
        <is>
          <t>l65e6bpbpsopabo</t>
        </is>
      </c>
      <c r="G69">
        <f>IFERROR(IF(INDEX(Matches!$W$5:$W$19,MATCH($C69,Matches!$A$5:$A$19,0))="","",INDEX(Matches!$W$5:$W$19,MATCH($C69,Matches!$A$5:$A$19,0))),"")</f>
        <v/>
      </c>
      <c r="H69">
        <f>IFERROR(IF(INDEX(Matches!$X$5:$X$19,MATCH($C69,Matches!$A$5:$A$19,0))="","",INDEX(Matches!$X$5:$X$19,MATCH($C69,Matches!$A$5:$A$19,0))),"")</f>
        <v/>
      </c>
      <c r="I69">
        <f>IFERROR(IF(INDEX(Matches!$Y$5:$Y$19,MATCH($C69,Matches!$A$5:$A$19,0))="","",INDEX(Matches!$Y$5:$Y$19,MATCH($C69,Matches!$A$5:$A$19,0))),"")</f>
        <v/>
      </c>
      <c r="J69">
        <f>IFERROR(IF(INDEX(Matches!$Z$5:$Z$19,MATCH($C69,Matches!$A$5:$A$19,0))="","",INDEX(Matches!$Z$5:$Z$19,MATCH($C69,Matches!$A$5:$A$19,0))),"")</f>
        <v/>
      </c>
      <c r="K69">
        <f>IFERROR(IF(INDEX(Matches!$AA$5:$AA$19,MATCH($C69,Matches!$A$5:$A$19,0))="","",INDEX(Matches!$AA$5:$AA$19,MATCH($C69,Matches!$A$5:$A$19,0))),"")</f>
        <v/>
      </c>
      <c r="L69">
        <f>IFERROR(IF(INDEX(Matches!$AB$5:$AB$19,MATCH($C69,Matches!$A$5:$A$19,0))="","",INDEX(Matches!$AB$5:$AB$19,MATCH($C69,Matches!$A$5:$A$19,0))),"")</f>
        <v/>
      </c>
      <c r="M69" s="8">
        <f>IFERROR(IF(INDEX(Matches!$AC$5:$AC$19,MATCH($C69,Matches!$A$5:$A$19,0))="","",INDEX(Matches!$AC$5:$AC$19,MATCH($C69,Matches!$A$5:$A$19,0))),"")</f>
        <v/>
      </c>
      <c r="N69">
        <f>IFERROR(INDEX(Players!$F$2:$F$124,MATCH($F69,Players!$A$2:$A$124,0)),0)</f>
        <v/>
      </c>
      <c r="O69" s="11">
        <f>IFERROR(1/(1/INDEX(Players!$H$2:$H$124,MATCH($F69,Players!$A$2:$A$124,0))),"")</f>
        <v/>
      </c>
      <c r="P69" s="8">
        <f>IFERROR(1/(1/INDEX(Players!$I$2:$I$124,MATCH($F69,Players!$A$2:$A$124,0))),"")</f>
        <v/>
      </c>
      <c r="Q69">
        <f>IF($G69="",0,SUMIFS(Map_Stats!$F$2:$F$779,Map_Stats!$A$2:$A$779,$F69&amp;"|"&amp;$G69))</f>
        <v/>
      </c>
      <c r="R69" s="11">
        <f>IF($G69="","",IFERROR(1/(1/INDEX(Map_Stats!$K$2:$K$779,MATCH($F69&amp;"|"&amp;$G69,Map_Stats!$A$2:$A$779,0))),$O69))</f>
        <v/>
      </c>
      <c r="S69" s="8">
        <f>IF(OR($G69="",$P69=""),"",IFERROR(1/(1/INDEX(Map_Stats!$I$2:$I$779,MATCH($F69&amp;"|"&amp;$G69,Map_Stats!$A$2:$A$779,0))),$P69))</f>
        <v/>
      </c>
      <c r="T69" s="11">
        <f>IF(OR($G69="",R69=""),"",IF($O69="",R69,(Q69*R69+Config!$B$4*$O69)/(Q69+Config!$B$4)))</f>
        <v/>
      </c>
      <c r="U69" s="8">
        <f>IF(S69="","",(Q69*S69+Config!$B$4*$P69)/(Q69+Config!$B$4))</f>
        <v/>
      </c>
      <c r="V69" s="15">
        <f>IF(OR(T69="",$J69=""),"",T69*$J69*($J69/Config!$B$10)^Config!$B$9)</f>
        <v/>
      </c>
      <c r="W69" s="15">
        <f>IF(OR(V69="",U69=""),"",V69*U69)</f>
        <v/>
      </c>
      <c r="X69">
        <f>IF($H69="",0,SUMIFS(Map_Stats!$F$2:$F$779,Map_Stats!$A$2:$A$779,$F69&amp;"|"&amp;$H69))</f>
        <v/>
      </c>
      <c r="Y69" s="11">
        <f>IF($H69="","",IFERROR(1/(1/INDEX(Map_Stats!$K$2:$K$779,MATCH($F69&amp;"|"&amp;$H69,Map_Stats!$A$2:$A$779,0))),$O69))</f>
        <v/>
      </c>
      <c r="Z69" s="8">
        <f>IF(OR($H69="",$P69=""),"",IFERROR(1/(1/INDEX(Map_Stats!$I$2:$I$779,MATCH($F69&amp;"|"&amp;$H69,Map_Stats!$A$2:$A$779,0))),$P69))</f>
        <v/>
      </c>
      <c r="AA69" s="11">
        <f>IF(OR($H69="",Y69=""),"",IF($O69="",Y69,(X69*Y69+Config!$B$4*$O69)/(X69+Config!$B$4)))</f>
        <v/>
      </c>
      <c r="AB69" s="8">
        <f>IF(Z69="","",(X69*Z69+Config!$B$4*$P69)/(X69+Config!$B$4))</f>
        <v/>
      </c>
      <c r="AC69" s="15">
        <f>IF(OR(AA69="",$K69=""),"",AA69*$K69*($K69/Config!$B$10)^Config!$B$9)</f>
        <v/>
      </c>
      <c r="AD69" s="15">
        <f>IF(OR(AC69="",AB69=""),"",AC69*AB69)</f>
        <v/>
      </c>
      <c r="AE69">
        <f>IF($I69="",0,SUMIFS(Map_Stats!$F$2:$F$779,Map_Stats!$A$2:$A$779,$F69&amp;"|"&amp;$I69))</f>
        <v/>
      </c>
      <c r="AF69" s="11">
        <f>IF($I69="","",IFERROR(1/(1/INDEX(Map_Stats!$K$2:$K$779,MATCH($F69&amp;"|"&amp;$I69,Map_Stats!$A$2:$A$779,0))),$O69))</f>
        <v/>
      </c>
      <c r="AG69" s="8">
        <f>IF(OR($I69="",$P69=""),"",IFERROR(1/(1/INDEX(Map_Stats!$I$2:$I$779,MATCH($F69&amp;"|"&amp;$I69,Map_Stats!$A$2:$A$779,0))),$P69))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IF($C69=Board!$B$2,COUNTIFS($C$2:$C$124,Board!$B$2,$AL$2:$AL$124,"&gt;"&amp;$AL69)+COUNTIFS($C$1:$C68,Board!$B$2,$AL$1:$AL68,$AL69)+1,"")</f>
        <v/>
      </c>
      <c r="AS69">
        <f>IFERROR(IF($D69=INDEX(Matches!$AD$5:$AD$19,MATCH($C69,Matches!$A$5:$A$19,0)),"A",IF($D69=INDEX(Matches!$AE$5:$AE$19,MATCH($C69,Matches!$A$5:$A$19,0)),"B","")),"")</f>
        <v/>
      </c>
      <c r="AT69" s="8">
        <f>IF($AS69="","",IFERROR(IF($AS69="A",INDEX(Matches!$AI$5:$AI$19,MATCH($C69,Matches!$A$5:$A$19,0)),INDEX(Matches!$AJ$5:$AJ$19,MATCH($C69,Matches!$A$5:$A$19,0))),""))</f>
        <v/>
      </c>
      <c r="AU69" s="8">
        <f>IF($AS69="","",IFERROR(IF(INDEX(Matches!$AP$5:$AP$19,MATCH($C69,Matches!$A$5:$A$19,0))="","",IF($AS69="A",INDEX(Matches!$AP$5:$AP$19,MATCH($C69,Matches!$A$5:$A$19,0)),1-INDEX(Matches!$AP$5:$AP$19,MATCH($C69,Matches!$A$5:$A$19,0)))),""))</f>
        <v/>
      </c>
      <c r="AV69" s="11">
        <f>IF(OR($AU69="",$AT69=""),1,((Config!$B$14*$AU69+Config!$B$15*(1-$AU69))/(Config!$B$14*$AT69+Config!$B$15*(1-$AT69)))^Config!$B$13)</f>
        <v/>
      </c>
      <c r="AW69" s="8">
        <f>IF($AS69="","",IFERROR(IF(INDEX(Matches!$AV$5:$AV$19,MATCH($C69,Matches!$A$5:$A$19,0))="","",IF($AS69="A",INDEX(Matches!$AV$5:$AV$19,MATCH($C69,Matches!$A$5:$A$19,0)),1-INDEX(Matches!$AV$5:$AV$19,MATCH($C69,Matches!$A$5:$A$19,0)))),""))</f>
        <v/>
      </c>
      <c r="AX69" s="11">
        <f>IF(OR($AW69="",$AT69=""),1,((Config!$B$14*$AW69+Config!$B$15*(1-$AW69))/(Config!$B$14*$AT69+Config!$B$15*(1-$AT69)))^Config!$B$13)</f>
        <v/>
      </c>
      <c r="AY69" s="8">
        <f>IF($AS69="","",IFERROR(IF(INDEX(Matches!$BB$5:$BB$19,MATCH($C69,Matches!$A$5:$A$19,0))="","",IF($AS69="A",INDEX(Matches!$BB$5:$BB$19,MATCH($C69,Matches!$A$5:$A$19,0)),1-INDEX(Matches!$BB$5:$BB$19,MATCH($C69,Matches!$A$5:$A$19,0)))),""))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2fcfnso9a3rhpcr|CS2 · INF vs BRUTE</t>
        </is>
      </c>
      <c r="B70" t="inlineStr">
        <is>
          <t>CS2</t>
        </is>
      </c>
      <c r="C70" t="inlineStr">
        <is>
          <t>CS2 · INF vs BRUTE</t>
        </is>
      </c>
      <c r="D70" t="inlineStr">
        <is>
          <t>BRUTE</t>
        </is>
      </c>
      <c r="E70" t="inlineStr">
        <is>
          <t>tAk</t>
        </is>
      </c>
      <c r="F70" t="inlineStr">
        <is>
          <t>2fcfnso9a3rhpcr</t>
        </is>
      </c>
      <c r="G70">
        <f>IFERROR(IF(INDEX(Matches!$W$5:$W$19,MATCH($C70,Matches!$A$5:$A$19,0))="","",INDEX(Matches!$W$5:$W$19,MATCH($C70,Matches!$A$5:$A$19,0))),"")</f>
        <v/>
      </c>
      <c r="H70">
        <f>IFERROR(IF(INDEX(Matches!$X$5:$X$19,MATCH($C70,Matches!$A$5:$A$19,0))="","",INDEX(Matches!$X$5:$X$19,MATCH($C70,Matches!$A$5:$A$19,0))),"")</f>
        <v/>
      </c>
      <c r="I70">
        <f>IFERROR(IF(INDEX(Matches!$Y$5:$Y$19,MATCH($C70,Matches!$A$5:$A$19,0))="","",INDEX(Matches!$Y$5:$Y$19,MATCH($C70,Matches!$A$5:$A$19,0))),"")</f>
        <v/>
      </c>
      <c r="J70">
        <f>IFERROR(IF(INDEX(Matches!$Z$5:$Z$19,MATCH($C70,Matches!$A$5:$A$19,0))="","",INDEX(Matches!$Z$5:$Z$19,MATCH($C70,Matches!$A$5:$A$19,0))),"")</f>
        <v/>
      </c>
      <c r="K70">
        <f>IFERROR(IF(INDEX(Matches!$AA$5:$AA$19,MATCH($C70,Matches!$A$5:$A$19,0))="","",INDEX(Matches!$AA$5:$AA$19,MATCH($C70,Matches!$A$5:$A$19,0))),"")</f>
        <v/>
      </c>
      <c r="L70">
        <f>IFERROR(IF(INDEX(Matches!$AB$5:$AB$19,MATCH($C70,Matches!$A$5:$A$19,0))="","",INDEX(Matches!$AB$5:$AB$19,MATCH($C70,Matches!$A$5:$A$19,0))),"")</f>
        <v/>
      </c>
      <c r="M70" s="8">
        <f>IFERROR(IF(INDEX(Matches!$AC$5:$AC$19,MATCH($C70,Matches!$A$5:$A$19,0))="","",INDEX(Matches!$AC$5:$AC$19,MATCH($C70,Matches!$A$5:$A$19,0))),"")</f>
        <v/>
      </c>
      <c r="N70">
        <f>IFERROR(INDEX(Players!$F$2:$F$124,MATCH($F70,Players!$A$2:$A$124,0)),0)</f>
        <v/>
      </c>
      <c r="O70" s="11">
        <f>IFERROR(1/(1/INDEX(Players!$H$2:$H$124,MATCH($F70,Players!$A$2:$A$124,0))),"")</f>
        <v/>
      </c>
      <c r="P70" s="8">
        <f>IFERROR(1/(1/INDEX(Players!$I$2:$I$124,MATCH($F70,Players!$A$2:$A$124,0))),"")</f>
        <v/>
      </c>
      <c r="Q70">
        <f>IF($G70="",0,SUMIFS(Map_Stats!$F$2:$F$779,Map_Stats!$A$2:$A$779,$F70&amp;"|"&amp;$G70))</f>
        <v/>
      </c>
      <c r="R70" s="11">
        <f>IF($G70="","",IFERROR(1/(1/INDEX(Map_Stats!$K$2:$K$779,MATCH($F70&amp;"|"&amp;$G70,Map_Stats!$A$2:$A$779,0))),$O70))</f>
        <v/>
      </c>
      <c r="S70" s="8">
        <f>IF(OR($G70="",$P70=""),"",IFERROR(1/(1/INDEX(Map_Stats!$I$2:$I$779,MATCH($F70&amp;"|"&amp;$G70,Map_Stats!$A$2:$A$779,0))),$P70))</f>
        <v/>
      </c>
      <c r="T70" s="11">
        <f>IF(OR($G70="",R70=""),"",IF($O70="",R70,(Q70*R70+Config!$B$4*$O70)/(Q70+Config!$B$4)))</f>
        <v/>
      </c>
      <c r="U70" s="8">
        <f>IF(S70="","",(Q70*S70+Config!$B$4*$P70)/(Q70+Config!$B$4))</f>
        <v/>
      </c>
      <c r="V70" s="15">
        <f>IF(OR(T70="",$J70=""),"",T70*$J70*($J70/Config!$B$10)^Config!$B$9)</f>
        <v/>
      </c>
      <c r="W70" s="15">
        <f>IF(OR(V70="",U70=""),"",V70*U70)</f>
        <v/>
      </c>
      <c r="X70">
        <f>IF($H70="",0,SUMIFS(Map_Stats!$F$2:$F$779,Map_Stats!$A$2:$A$779,$F70&amp;"|"&amp;$H70))</f>
        <v/>
      </c>
      <c r="Y70" s="11">
        <f>IF($H70="","",IFERROR(1/(1/INDEX(Map_Stats!$K$2:$K$779,MATCH($F70&amp;"|"&amp;$H70,Map_Stats!$A$2:$A$779,0))),$O70))</f>
        <v/>
      </c>
      <c r="Z70" s="8">
        <f>IF(OR($H70="",$P70=""),"",IFERROR(1/(1/INDEX(Map_Stats!$I$2:$I$779,MATCH($F70&amp;"|"&amp;$H70,Map_Stats!$A$2:$A$779,0))),$P70))</f>
        <v/>
      </c>
      <c r="AA70" s="11">
        <f>IF(OR($H70="",Y70=""),"",IF($O70="",Y70,(X70*Y70+Config!$B$4*$O70)/(X70+Config!$B$4)))</f>
        <v/>
      </c>
      <c r="AB70" s="8">
        <f>IF(Z70="","",(X70*Z70+Config!$B$4*$P70)/(X70+Config!$B$4))</f>
        <v/>
      </c>
      <c r="AC70" s="15">
        <f>IF(OR(AA70="",$K70=""),"",AA70*$K70*($K70/Config!$B$10)^Config!$B$9)</f>
        <v/>
      </c>
      <c r="AD70" s="15">
        <f>IF(OR(AC70="",AB70=""),"",AC70*AB70)</f>
        <v/>
      </c>
      <c r="AE70">
        <f>IF($I70="",0,SUMIFS(Map_Stats!$F$2:$F$779,Map_Stats!$A$2:$A$779,$F70&amp;"|"&amp;$I70))</f>
        <v/>
      </c>
      <c r="AF70" s="11">
        <f>IF($I70="","",IFERROR(1/(1/INDEX(Map_Stats!$K$2:$K$779,MATCH($F70&amp;"|"&amp;$I70,Map_Stats!$A$2:$A$779,0))),$O70))</f>
        <v/>
      </c>
      <c r="AG70" s="8">
        <f>IF(OR($I70="",$P70=""),"",IFERROR(1/(1/INDEX(Map_Stats!$I$2:$I$779,MATCH($F70&amp;"|"&amp;$I70,Map_Stats!$A$2:$A$779,0))),$P70))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IF($C70=Board!$B$2,COUNTIFS($C$2:$C$124,Board!$B$2,$AL$2:$AL$124,"&gt;"&amp;$AL70)+COUNTIFS($C$1:$C69,Board!$B$2,$AL$1:$AL69,$AL70)+1,"")</f>
        <v/>
      </c>
      <c r="AS70">
        <f>IFERROR(IF($D70=INDEX(Matches!$AD$5:$AD$19,MATCH($C70,Matches!$A$5:$A$19,0)),"A",IF($D70=INDEX(Matches!$AE$5:$AE$19,MATCH($C70,Matches!$A$5:$A$19,0)),"B","")),"")</f>
        <v/>
      </c>
      <c r="AT70" s="8">
        <f>IF($AS70="","",IFERROR(IF($AS70="A",INDEX(Matches!$AI$5:$AI$19,MATCH($C70,Matches!$A$5:$A$19,0)),INDEX(Matches!$AJ$5:$AJ$19,MATCH($C70,Matches!$A$5:$A$19,0))),""))</f>
        <v/>
      </c>
      <c r="AU70" s="8">
        <f>IF($AS70="","",IFERROR(IF(INDEX(Matches!$AP$5:$AP$19,MATCH($C70,Matches!$A$5:$A$19,0))="","",IF($AS70="A",INDEX(Matches!$AP$5:$AP$19,MATCH($C70,Matches!$A$5:$A$19,0)),1-INDEX(Matches!$AP$5:$AP$19,MATCH($C70,Matches!$A$5:$A$19,0)))),""))</f>
        <v/>
      </c>
      <c r="AV70" s="11">
        <f>IF(OR($AU70="",$AT70=""),1,((Config!$B$14*$AU70+Config!$B$15*(1-$AU70))/(Config!$B$14*$AT70+Config!$B$15*(1-$AT70)))^Config!$B$13)</f>
        <v/>
      </c>
      <c r="AW70" s="8">
        <f>IF($AS70="","",IFERROR(IF(INDEX(Matches!$AV$5:$AV$19,MATCH($C70,Matches!$A$5:$A$19,0))="","",IF($AS70="A",INDEX(Matches!$AV$5:$AV$19,MATCH($C70,Matches!$A$5:$A$19,0)),1-INDEX(Matches!$AV$5:$AV$19,MATCH($C70,Matches!$A$5:$A$19,0)))),""))</f>
        <v/>
      </c>
      <c r="AX70" s="11">
        <f>IF(OR($AW70="",$AT70=""),1,((Config!$B$14*$AW70+Config!$B$15*(1-$AW70))/(Config!$B$14*$AT70+Config!$B$15*(1-$AT70)))^Config!$B$13)</f>
        <v/>
      </c>
      <c r="AY70" s="8">
        <f>IF($AS70="","",IFERROR(IF(INDEX(Matches!$BB$5:$BB$19,MATCH($C70,Matches!$A$5:$A$19,0))="","",IF($AS70="A",INDEX(Matches!$BB$5:$BB$19,MATCH($C70,Matches!$A$5:$A$19,0)),1-INDEX(Matches!$BB$5:$BB$19,MATCH($C70,Matches!$A$5:$A$19,0)))),""))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a5ni4ejys4e3xjq|CS2 · INF vs BRUTE</t>
        </is>
      </c>
      <c r="B71" t="inlineStr">
        <is>
          <t>CS2</t>
        </is>
      </c>
      <c r="C71" t="inlineStr">
        <is>
          <t>CS2 · INF vs BRUTE</t>
        </is>
      </c>
      <c r="D71" t="inlineStr">
        <is>
          <t>BRUTE</t>
        </is>
      </c>
      <c r="E71" t="inlineStr">
        <is>
          <t>ZEDKO</t>
        </is>
      </c>
      <c r="F71" t="inlineStr">
        <is>
          <t>a5ni4ejys4e3xjq</t>
        </is>
      </c>
      <c r="G71">
        <f>IFERROR(IF(INDEX(Matches!$W$5:$W$19,MATCH($C71,Matches!$A$5:$A$19,0))="","",INDEX(Matches!$W$5:$W$19,MATCH($C71,Matches!$A$5:$A$19,0))),"")</f>
        <v/>
      </c>
      <c r="H71">
        <f>IFERROR(IF(INDEX(Matches!$X$5:$X$19,MATCH($C71,Matches!$A$5:$A$19,0))="","",INDEX(Matches!$X$5:$X$19,MATCH($C71,Matches!$A$5:$A$19,0))),"")</f>
        <v/>
      </c>
      <c r="I71">
        <f>IFERROR(IF(INDEX(Matches!$Y$5:$Y$19,MATCH($C71,Matches!$A$5:$A$19,0))="","",INDEX(Matches!$Y$5:$Y$19,MATCH($C71,Matches!$A$5:$A$19,0))),"")</f>
        <v/>
      </c>
      <c r="J71">
        <f>IFERROR(IF(INDEX(Matches!$Z$5:$Z$19,MATCH($C71,Matches!$A$5:$A$19,0))="","",INDEX(Matches!$Z$5:$Z$19,MATCH($C71,Matches!$A$5:$A$19,0))),"")</f>
        <v/>
      </c>
      <c r="K71">
        <f>IFERROR(IF(INDEX(Matches!$AA$5:$AA$19,MATCH($C71,Matches!$A$5:$A$19,0))="","",INDEX(Matches!$AA$5:$AA$19,MATCH($C71,Matches!$A$5:$A$19,0))),"")</f>
        <v/>
      </c>
      <c r="L71">
        <f>IFERROR(IF(INDEX(Matches!$AB$5:$AB$19,MATCH($C71,Matches!$A$5:$A$19,0))="","",INDEX(Matches!$AB$5:$AB$19,MATCH($C71,Matches!$A$5:$A$19,0))),"")</f>
        <v/>
      </c>
      <c r="M71" s="8">
        <f>IFERROR(IF(INDEX(Matches!$AC$5:$AC$19,MATCH($C71,Matches!$A$5:$A$19,0))="","",INDEX(Matches!$AC$5:$AC$19,MATCH($C71,Matches!$A$5:$A$19,0))),"")</f>
        <v/>
      </c>
      <c r="N71">
        <f>IFERROR(INDEX(Players!$F$2:$F$124,MATCH($F71,Players!$A$2:$A$124,0)),0)</f>
        <v/>
      </c>
      <c r="O71" s="11">
        <f>IFERROR(1/(1/INDEX(Players!$H$2:$H$124,MATCH($F71,Players!$A$2:$A$124,0))),"")</f>
        <v/>
      </c>
      <c r="P71" s="8">
        <f>IFERROR(1/(1/INDEX(Players!$I$2:$I$124,MATCH($F71,Players!$A$2:$A$124,0))),"")</f>
        <v/>
      </c>
      <c r="Q71">
        <f>IF($G71="",0,SUMIFS(Map_Stats!$F$2:$F$779,Map_Stats!$A$2:$A$779,$F71&amp;"|"&amp;$G71))</f>
        <v/>
      </c>
      <c r="R71" s="11">
        <f>IF($G71="","",IFERROR(1/(1/INDEX(Map_Stats!$K$2:$K$779,MATCH($F71&amp;"|"&amp;$G71,Map_Stats!$A$2:$A$779,0))),$O71))</f>
        <v/>
      </c>
      <c r="S71" s="8">
        <f>IF(OR($G71="",$P71=""),"",IFERROR(1/(1/INDEX(Map_Stats!$I$2:$I$779,MATCH($F71&amp;"|"&amp;$G71,Map_Stats!$A$2:$A$779,0))),$P71))</f>
        <v/>
      </c>
      <c r="T71" s="11">
        <f>IF(OR($G71="",R71=""),"",IF($O71="",R71,(Q71*R71+Config!$B$4*$O71)/(Q71+Config!$B$4)))</f>
        <v/>
      </c>
      <c r="U71" s="8">
        <f>IF(S71="","",(Q71*S71+Config!$B$4*$P71)/(Q71+Config!$B$4))</f>
        <v/>
      </c>
      <c r="V71" s="15">
        <f>IF(OR(T71="",$J71=""),"",T71*$J71*($J71/Config!$B$10)^Config!$B$9)</f>
        <v/>
      </c>
      <c r="W71" s="15">
        <f>IF(OR(V71="",U71=""),"",V71*U71)</f>
        <v/>
      </c>
      <c r="X71">
        <f>IF($H71="",0,SUMIFS(Map_Stats!$F$2:$F$779,Map_Stats!$A$2:$A$779,$F71&amp;"|"&amp;$H71))</f>
        <v/>
      </c>
      <c r="Y71" s="11">
        <f>IF($H71="","",IFERROR(1/(1/INDEX(Map_Stats!$K$2:$K$779,MATCH($F71&amp;"|"&amp;$H71,Map_Stats!$A$2:$A$779,0))),$O71))</f>
        <v/>
      </c>
      <c r="Z71" s="8">
        <f>IF(OR($H71="",$P71=""),"",IFERROR(1/(1/INDEX(Map_Stats!$I$2:$I$779,MATCH($F71&amp;"|"&amp;$H71,Map_Stats!$A$2:$A$779,0))),$P71))</f>
        <v/>
      </c>
      <c r="AA71" s="11">
        <f>IF(OR($H71="",Y71=""),"",IF($O71="",Y71,(X71*Y71+Config!$B$4*$O71)/(X71+Config!$B$4)))</f>
        <v/>
      </c>
      <c r="AB71" s="8">
        <f>IF(Z71="","",(X71*Z71+Config!$B$4*$P71)/(X71+Config!$B$4))</f>
        <v/>
      </c>
      <c r="AC71" s="15">
        <f>IF(OR(AA71="",$K71=""),"",AA71*$K71*($K71/Config!$B$10)^Config!$B$9)</f>
        <v/>
      </c>
      <c r="AD71" s="15">
        <f>IF(OR(AC71="",AB71=""),"",AC71*AB71)</f>
        <v/>
      </c>
      <c r="AE71">
        <f>IF($I71="",0,SUMIFS(Map_Stats!$F$2:$F$779,Map_Stats!$A$2:$A$779,$F71&amp;"|"&amp;$I71))</f>
        <v/>
      </c>
      <c r="AF71" s="11">
        <f>IF($I71="","",IFERROR(1/(1/INDEX(Map_Stats!$K$2:$K$779,MATCH($F71&amp;"|"&amp;$I71,Map_Stats!$A$2:$A$779,0))),$O71))</f>
        <v/>
      </c>
      <c r="AG71" s="8">
        <f>IF(OR($I71="",$P71=""),"",IFERROR(1/(1/INDEX(Map_Stats!$I$2:$I$779,MATCH($F71&amp;"|"&amp;$I71,Map_Stats!$A$2:$A$779,0))),$P71))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IF($C71=Board!$B$2,COUNTIFS($C$2:$C$124,Board!$B$2,$AL$2:$AL$124,"&gt;"&amp;$AL71)+COUNTIFS($C$1:$C70,Board!$B$2,$AL$1:$AL70,$AL71)+1,"")</f>
        <v/>
      </c>
      <c r="AS71">
        <f>IFERROR(IF($D71=INDEX(Matches!$AD$5:$AD$19,MATCH($C71,Matches!$A$5:$A$19,0)),"A",IF($D71=INDEX(Matches!$AE$5:$AE$19,MATCH($C71,Matches!$A$5:$A$19,0)),"B","")),"")</f>
        <v/>
      </c>
      <c r="AT71" s="8">
        <f>IF($AS71="","",IFERROR(IF($AS71="A",INDEX(Matches!$AI$5:$AI$19,MATCH($C71,Matches!$A$5:$A$19,0)),INDEX(Matches!$AJ$5:$AJ$19,MATCH($C71,Matches!$A$5:$A$19,0))),""))</f>
        <v/>
      </c>
      <c r="AU71" s="8">
        <f>IF($AS71="","",IFERROR(IF(INDEX(Matches!$AP$5:$AP$19,MATCH($C71,Matches!$A$5:$A$19,0))="","",IF($AS71="A",INDEX(Matches!$AP$5:$AP$19,MATCH($C71,Matches!$A$5:$A$19,0)),1-INDEX(Matches!$AP$5:$AP$19,MATCH($C71,Matches!$A$5:$A$19,0)))),""))</f>
        <v/>
      </c>
      <c r="AV71" s="11">
        <f>IF(OR($AU71="",$AT71=""),1,((Config!$B$14*$AU71+Config!$B$15*(1-$AU71))/(Config!$B$14*$AT71+Config!$B$15*(1-$AT71)))^Config!$B$13)</f>
        <v/>
      </c>
      <c r="AW71" s="8">
        <f>IF($AS71="","",IFERROR(IF(INDEX(Matches!$AV$5:$AV$19,MATCH($C71,Matches!$A$5:$A$19,0))="","",IF($AS71="A",INDEX(Matches!$AV$5:$AV$19,MATCH($C71,Matches!$A$5:$A$19,0)),1-INDEX(Matches!$AV$5:$AV$19,MATCH($C71,Matches!$A$5:$A$19,0)))),""))</f>
        <v/>
      </c>
      <c r="AX71" s="11">
        <f>IF(OR($AW71="",$AT71=""),1,((Config!$B$14*$AW71+Config!$B$15*(1-$AW71))/(Config!$B$14*$AT71+Config!$B$15*(1-$AT71)))^Config!$B$13)</f>
        <v/>
      </c>
      <c r="AY71" s="8">
        <f>IF($AS71="","",IFERROR(IF(INDEX(Matches!$BB$5:$BB$19,MATCH($C71,Matches!$A$5:$A$19,0))="","",IF($AS71="A",INDEX(Matches!$BB$5:$BB$19,MATCH($C71,Matches!$A$5:$A$19,0)),1-INDEX(Matches!$BB$5:$BB$19,MATCH($C71,Matches!$A$5:$A$19,0)))),""))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80bybpfrkhru947|CS2 · INF vs BRUTE</t>
        </is>
      </c>
      <c r="B72" t="inlineStr">
        <is>
          <t>CS2</t>
        </is>
      </c>
      <c r="C72" t="inlineStr">
        <is>
          <t>CS2 · INF vs BRUTE</t>
        </is>
      </c>
      <c r="D72" t="inlineStr">
        <is>
          <t>INF</t>
        </is>
      </c>
      <c r="E72" t="inlineStr">
        <is>
          <t>kyuubii</t>
        </is>
      </c>
      <c r="F72" t="inlineStr">
        <is>
          <t>80bybpfrkhru947</t>
        </is>
      </c>
      <c r="G72">
        <f>IFERROR(IF(INDEX(Matches!$W$5:$W$19,MATCH($C72,Matches!$A$5:$A$19,0))="","",INDEX(Matches!$W$5:$W$19,MATCH($C72,Matches!$A$5:$A$19,0))),"")</f>
        <v/>
      </c>
      <c r="H72">
        <f>IFERROR(IF(INDEX(Matches!$X$5:$X$19,MATCH($C72,Matches!$A$5:$A$19,0))="","",INDEX(Matches!$X$5:$X$19,MATCH($C72,Matches!$A$5:$A$19,0))),"")</f>
        <v/>
      </c>
      <c r="I72">
        <f>IFERROR(IF(INDEX(Matches!$Y$5:$Y$19,MATCH($C72,Matches!$A$5:$A$19,0))="","",INDEX(Matches!$Y$5:$Y$19,MATCH($C72,Matches!$A$5:$A$19,0))),"")</f>
        <v/>
      </c>
      <c r="J72">
        <f>IFERROR(IF(INDEX(Matches!$Z$5:$Z$19,MATCH($C72,Matches!$A$5:$A$19,0))="","",INDEX(Matches!$Z$5:$Z$19,MATCH($C72,Matches!$A$5:$A$19,0))),"")</f>
        <v/>
      </c>
      <c r="K72">
        <f>IFERROR(IF(INDEX(Matches!$AA$5:$AA$19,MATCH($C72,Matches!$A$5:$A$19,0))="","",INDEX(Matches!$AA$5:$AA$19,MATCH($C72,Matches!$A$5:$A$19,0))),"")</f>
        <v/>
      </c>
      <c r="L72">
        <f>IFERROR(IF(INDEX(Matches!$AB$5:$AB$19,MATCH($C72,Matches!$A$5:$A$19,0))="","",INDEX(Matches!$AB$5:$AB$19,MATCH($C72,Matches!$A$5:$A$19,0))),"")</f>
        <v/>
      </c>
      <c r="M72" s="8">
        <f>IFERROR(IF(INDEX(Matches!$AC$5:$AC$19,MATCH($C72,Matches!$A$5:$A$19,0))="","",INDEX(Matches!$AC$5:$AC$19,MATCH($C72,Matches!$A$5:$A$19,0))),"")</f>
        <v/>
      </c>
      <c r="N72">
        <f>IFERROR(INDEX(Players!$F$2:$F$124,MATCH($F72,Players!$A$2:$A$124,0)),0)</f>
        <v/>
      </c>
      <c r="O72" s="11">
        <f>IFERROR(1/(1/INDEX(Players!$H$2:$H$124,MATCH($F72,Players!$A$2:$A$124,0))),"")</f>
        <v/>
      </c>
      <c r="P72" s="8">
        <f>IFERROR(1/(1/INDEX(Players!$I$2:$I$124,MATCH($F72,Players!$A$2:$A$124,0))),"")</f>
        <v/>
      </c>
      <c r="Q72">
        <f>IF($G72="",0,SUMIFS(Map_Stats!$F$2:$F$779,Map_Stats!$A$2:$A$779,$F72&amp;"|"&amp;$G72))</f>
        <v/>
      </c>
      <c r="R72" s="11">
        <f>IF($G72="","",IFERROR(1/(1/INDEX(Map_Stats!$K$2:$K$779,MATCH($F72&amp;"|"&amp;$G72,Map_Stats!$A$2:$A$779,0))),$O72))</f>
        <v/>
      </c>
      <c r="S72" s="8">
        <f>IF(OR($G72="",$P72=""),"",IFERROR(1/(1/INDEX(Map_Stats!$I$2:$I$779,MATCH($F72&amp;"|"&amp;$G72,Map_Stats!$A$2:$A$779,0))),$P72))</f>
        <v/>
      </c>
      <c r="T72" s="11">
        <f>IF(OR($G72="",R72=""),"",IF($O72="",R72,(Q72*R72+Config!$B$4*$O72)/(Q72+Config!$B$4)))</f>
        <v/>
      </c>
      <c r="U72" s="8">
        <f>IF(S72="","",(Q72*S72+Config!$B$4*$P72)/(Q72+Config!$B$4))</f>
        <v/>
      </c>
      <c r="V72" s="15">
        <f>IF(OR(T72="",$J72=""),"",T72*$J72*($J72/Config!$B$10)^Config!$B$9)</f>
        <v/>
      </c>
      <c r="W72" s="15">
        <f>IF(OR(V72="",U72=""),"",V72*U72)</f>
        <v/>
      </c>
      <c r="X72">
        <f>IF($H72="",0,SUMIFS(Map_Stats!$F$2:$F$779,Map_Stats!$A$2:$A$779,$F72&amp;"|"&amp;$H72))</f>
        <v/>
      </c>
      <c r="Y72" s="11">
        <f>IF($H72="","",IFERROR(1/(1/INDEX(Map_Stats!$K$2:$K$779,MATCH($F72&amp;"|"&amp;$H72,Map_Stats!$A$2:$A$779,0))),$O72))</f>
        <v/>
      </c>
      <c r="Z72" s="8">
        <f>IF(OR($H72="",$P72=""),"",IFERROR(1/(1/INDEX(Map_Stats!$I$2:$I$779,MATCH($F72&amp;"|"&amp;$H72,Map_Stats!$A$2:$A$779,0))),$P72))</f>
        <v/>
      </c>
      <c r="AA72" s="11">
        <f>IF(OR($H72="",Y72=""),"",IF($O72="",Y72,(X72*Y72+Config!$B$4*$O72)/(X72+Config!$B$4)))</f>
        <v/>
      </c>
      <c r="AB72" s="8">
        <f>IF(Z72="","",(X72*Z72+Config!$B$4*$P72)/(X72+Config!$B$4))</f>
        <v/>
      </c>
      <c r="AC72" s="15">
        <f>IF(OR(AA72="",$K72=""),"",AA72*$K72*($K72/Config!$B$10)^Config!$B$9)</f>
        <v/>
      </c>
      <c r="AD72" s="15">
        <f>IF(OR(AC72="",AB72=""),"",AC72*AB72)</f>
        <v/>
      </c>
      <c r="AE72">
        <f>IF($I72="",0,SUMIFS(Map_Stats!$F$2:$F$779,Map_Stats!$A$2:$A$779,$F72&amp;"|"&amp;$I72))</f>
        <v/>
      </c>
      <c r="AF72" s="11">
        <f>IF($I72="","",IFERROR(1/(1/INDEX(Map_Stats!$K$2:$K$779,MATCH($F72&amp;"|"&amp;$I72,Map_Stats!$A$2:$A$779,0))),$O72))</f>
        <v/>
      </c>
      <c r="AG72" s="8">
        <f>IF(OR($I72="",$P72=""),"",IFERROR(1/(1/INDEX(Map_Stats!$I$2:$I$779,MATCH($F72&amp;"|"&amp;$I72,Map_Stats!$A$2:$A$779,0))),$P72))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IF($C72=Board!$B$2,COUNTIFS($C$2:$C$124,Board!$B$2,$AL$2:$AL$124,"&gt;"&amp;$AL72)+COUNTIFS($C$1:$C71,Board!$B$2,$AL$1:$AL71,$AL72)+1,"")</f>
        <v/>
      </c>
      <c r="AS72">
        <f>IFERROR(IF($D72=INDEX(Matches!$AD$5:$AD$19,MATCH($C72,Matches!$A$5:$A$19,0)),"A",IF($D72=INDEX(Matches!$AE$5:$AE$19,MATCH($C72,Matches!$A$5:$A$19,0)),"B","")),"")</f>
        <v/>
      </c>
      <c r="AT72" s="8">
        <f>IF($AS72="","",IFERROR(IF($AS72="A",INDEX(Matches!$AI$5:$AI$19,MATCH($C72,Matches!$A$5:$A$19,0)),INDEX(Matches!$AJ$5:$AJ$19,MATCH($C72,Matches!$A$5:$A$19,0))),""))</f>
        <v/>
      </c>
      <c r="AU72" s="8">
        <f>IF($AS72="","",IFERROR(IF(INDEX(Matches!$AP$5:$AP$19,MATCH($C72,Matches!$A$5:$A$19,0))="","",IF($AS72="A",INDEX(Matches!$AP$5:$AP$19,MATCH($C72,Matches!$A$5:$A$19,0)),1-INDEX(Matches!$AP$5:$AP$19,MATCH($C72,Matches!$A$5:$A$19,0)))),""))</f>
        <v/>
      </c>
      <c r="AV72" s="11">
        <f>IF(OR($AU72="",$AT72=""),1,((Config!$B$14*$AU72+Config!$B$15*(1-$AU72))/(Config!$B$14*$AT72+Config!$B$15*(1-$AT72)))^Config!$B$13)</f>
        <v/>
      </c>
      <c r="AW72" s="8">
        <f>IF($AS72="","",IFERROR(IF(INDEX(Matches!$AV$5:$AV$19,MATCH($C72,Matches!$A$5:$A$19,0))="","",IF($AS72="A",INDEX(Matches!$AV$5:$AV$19,MATCH($C72,Matches!$A$5:$A$19,0)),1-INDEX(Matches!$AV$5:$AV$19,MATCH($C72,Matches!$A$5:$A$19,0)))),""))</f>
        <v/>
      </c>
      <c r="AX72" s="11">
        <f>IF(OR($AW72="",$AT72=""),1,((Config!$B$14*$AW72+Config!$B$15*(1-$AW72))/(Config!$B$14*$AT72+Config!$B$15*(1-$AT72)))^Config!$B$13)</f>
        <v/>
      </c>
      <c r="AY72" s="8">
        <f>IF($AS72="","",IFERROR(IF(INDEX(Matches!$BB$5:$BB$19,MATCH($C72,Matches!$A$5:$A$19,0))="","",IF($AS72="A",INDEX(Matches!$BB$5:$BB$19,MATCH($C72,Matches!$A$5:$A$19,0)),1-INDEX(Matches!$BB$5:$BB$19,MATCH($C72,Matches!$A$5:$A$19,0)))),""))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wcfyexekmhuiiin|CS2 · INF vs BRUTE</t>
        </is>
      </c>
      <c r="B73" t="inlineStr">
        <is>
          <t>CS2</t>
        </is>
      </c>
      <c r="C73" t="inlineStr">
        <is>
          <t>CS2 · INF vs BRUTE</t>
        </is>
      </c>
      <c r="D73" t="inlineStr">
        <is>
          <t>INF</t>
        </is>
      </c>
      <c r="E73" t="inlineStr">
        <is>
          <t>ScrunK</t>
        </is>
      </c>
      <c r="F73" t="inlineStr">
        <is>
          <t>wcfyexekmhuiiin</t>
        </is>
      </c>
      <c r="G73">
        <f>IFERROR(IF(INDEX(Matches!$W$5:$W$19,MATCH($C73,Matches!$A$5:$A$19,0))="","",INDEX(Matches!$W$5:$W$19,MATCH($C73,Matches!$A$5:$A$19,0))),"")</f>
        <v/>
      </c>
      <c r="H73">
        <f>IFERROR(IF(INDEX(Matches!$X$5:$X$19,MATCH($C73,Matches!$A$5:$A$19,0))="","",INDEX(Matches!$X$5:$X$19,MATCH($C73,Matches!$A$5:$A$19,0))),"")</f>
        <v/>
      </c>
      <c r="I73">
        <f>IFERROR(IF(INDEX(Matches!$Y$5:$Y$19,MATCH($C73,Matches!$A$5:$A$19,0))="","",INDEX(Matches!$Y$5:$Y$19,MATCH($C73,Matches!$A$5:$A$19,0))),"")</f>
        <v/>
      </c>
      <c r="J73">
        <f>IFERROR(IF(INDEX(Matches!$Z$5:$Z$19,MATCH($C73,Matches!$A$5:$A$19,0))="","",INDEX(Matches!$Z$5:$Z$19,MATCH($C73,Matches!$A$5:$A$19,0))),"")</f>
        <v/>
      </c>
      <c r="K73">
        <f>IFERROR(IF(INDEX(Matches!$AA$5:$AA$19,MATCH($C73,Matches!$A$5:$A$19,0))="","",INDEX(Matches!$AA$5:$AA$19,MATCH($C73,Matches!$A$5:$A$19,0))),"")</f>
        <v/>
      </c>
      <c r="L73">
        <f>IFERROR(IF(INDEX(Matches!$AB$5:$AB$19,MATCH($C73,Matches!$A$5:$A$19,0))="","",INDEX(Matches!$AB$5:$AB$19,MATCH($C73,Matches!$A$5:$A$19,0))),"")</f>
        <v/>
      </c>
      <c r="M73" s="8">
        <f>IFERROR(IF(INDEX(Matches!$AC$5:$AC$19,MATCH($C73,Matches!$A$5:$A$19,0))="","",INDEX(Matches!$AC$5:$AC$19,MATCH($C73,Matches!$A$5:$A$19,0))),"")</f>
        <v/>
      </c>
      <c r="N73">
        <f>IFERROR(INDEX(Players!$F$2:$F$124,MATCH($F73,Players!$A$2:$A$124,0)),0)</f>
        <v/>
      </c>
      <c r="O73" s="11">
        <f>IFERROR(1/(1/INDEX(Players!$H$2:$H$124,MATCH($F73,Players!$A$2:$A$124,0))),"")</f>
        <v/>
      </c>
      <c r="P73" s="8">
        <f>IFERROR(1/(1/INDEX(Players!$I$2:$I$124,MATCH($F73,Players!$A$2:$A$124,0))),"")</f>
        <v/>
      </c>
      <c r="Q73">
        <f>IF($G73="",0,SUMIFS(Map_Stats!$F$2:$F$779,Map_Stats!$A$2:$A$779,$F73&amp;"|"&amp;$G73))</f>
        <v/>
      </c>
      <c r="R73" s="11">
        <f>IF($G73="","",IFERROR(1/(1/INDEX(Map_Stats!$K$2:$K$779,MATCH($F73&amp;"|"&amp;$G73,Map_Stats!$A$2:$A$779,0))),$O73))</f>
        <v/>
      </c>
      <c r="S73" s="8">
        <f>IF(OR($G73="",$P73=""),"",IFERROR(1/(1/INDEX(Map_Stats!$I$2:$I$779,MATCH($F73&amp;"|"&amp;$G73,Map_Stats!$A$2:$A$779,0))),$P73))</f>
        <v/>
      </c>
      <c r="T73" s="11">
        <f>IF(OR($G73="",R73=""),"",IF($O73="",R73,(Q73*R73+Config!$B$4*$O73)/(Q73+Config!$B$4)))</f>
        <v/>
      </c>
      <c r="U73" s="8">
        <f>IF(S73="","",(Q73*S73+Config!$B$4*$P73)/(Q73+Config!$B$4))</f>
        <v/>
      </c>
      <c r="V73" s="15">
        <f>IF(OR(T73="",$J73=""),"",T73*$J73*($J73/Config!$B$10)^Config!$B$9)</f>
        <v/>
      </c>
      <c r="W73" s="15">
        <f>IF(OR(V73="",U73=""),"",V73*U73)</f>
        <v/>
      </c>
      <c r="X73">
        <f>IF($H73="",0,SUMIFS(Map_Stats!$F$2:$F$779,Map_Stats!$A$2:$A$779,$F73&amp;"|"&amp;$H73))</f>
        <v/>
      </c>
      <c r="Y73" s="11">
        <f>IF($H73="","",IFERROR(1/(1/INDEX(Map_Stats!$K$2:$K$779,MATCH($F73&amp;"|"&amp;$H73,Map_Stats!$A$2:$A$779,0))),$O73))</f>
        <v/>
      </c>
      <c r="Z73" s="8">
        <f>IF(OR($H73="",$P73=""),"",IFERROR(1/(1/INDEX(Map_Stats!$I$2:$I$779,MATCH($F73&amp;"|"&amp;$H73,Map_Stats!$A$2:$A$779,0))),$P73))</f>
        <v/>
      </c>
      <c r="AA73" s="11">
        <f>IF(OR($H73="",Y73=""),"",IF($O73="",Y73,(X73*Y73+Config!$B$4*$O73)/(X73+Config!$B$4)))</f>
        <v/>
      </c>
      <c r="AB73" s="8">
        <f>IF(Z73="","",(X73*Z73+Config!$B$4*$P73)/(X73+Config!$B$4))</f>
        <v/>
      </c>
      <c r="AC73" s="15">
        <f>IF(OR(AA73="",$K73=""),"",AA73*$K73*($K73/Config!$B$10)^Config!$B$9)</f>
        <v/>
      </c>
      <c r="AD73" s="15">
        <f>IF(OR(AC73="",AB73=""),"",AC73*AB73)</f>
        <v/>
      </c>
      <c r="AE73">
        <f>IF($I73="",0,SUMIFS(Map_Stats!$F$2:$F$779,Map_Stats!$A$2:$A$779,$F73&amp;"|"&amp;$I73))</f>
        <v/>
      </c>
      <c r="AF73" s="11">
        <f>IF($I73="","",IFERROR(1/(1/INDEX(Map_Stats!$K$2:$K$779,MATCH($F73&amp;"|"&amp;$I73,Map_Stats!$A$2:$A$779,0))),$O73))</f>
        <v/>
      </c>
      <c r="AG73" s="8">
        <f>IF(OR($I73="",$P73=""),"",IFERROR(1/(1/INDEX(Map_Stats!$I$2:$I$779,MATCH($F73&amp;"|"&amp;$I73,Map_Stats!$A$2:$A$779,0))),$P73))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IF($C73=Board!$B$2,COUNTIFS($C$2:$C$124,Board!$B$2,$AL$2:$AL$124,"&gt;"&amp;$AL73)+COUNTIFS($C$1:$C72,Board!$B$2,$AL$1:$AL72,$AL73)+1,"")</f>
        <v/>
      </c>
      <c r="AS73">
        <f>IFERROR(IF($D73=INDEX(Matches!$AD$5:$AD$19,MATCH($C73,Matches!$A$5:$A$19,0)),"A",IF($D73=INDEX(Matches!$AE$5:$AE$19,MATCH($C73,Matches!$A$5:$A$19,0)),"B","")),"")</f>
        <v/>
      </c>
      <c r="AT73" s="8">
        <f>IF($AS73="","",IFERROR(IF($AS73="A",INDEX(Matches!$AI$5:$AI$19,MATCH($C73,Matches!$A$5:$A$19,0)),INDEX(Matches!$AJ$5:$AJ$19,MATCH($C73,Matches!$A$5:$A$19,0))),""))</f>
        <v/>
      </c>
      <c r="AU73" s="8">
        <f>IF($AS73="","",IFERROR(IF(INDEX(Matches!$AP$5:$AP$19,MATCH($C73,Matches!$A$5:$A$19,0))="","",IF($AS73="A",INDEX(Matches!$AP$5:$AP$19,MATCH($C73,Matches!$A$5:$A$19,0)),1-INDEX(Matches!$AP$5:$AP$19,MATCH($C73,Matches!$A$5:$A$19,0)))),""))</f>
        <v/>
      </c>
      <c r="AV73" s="11">
        <f>IF(OR($AU73="",$AT73=""),1,((Config!$B$14*$AU73+Config!$B$15*(1-$AU73))/(Config!$B$14*$AT73+Config!$B$15*(1-$AT73)))^Config!$B$13)</f>
        <v/>
      </c>
      <c r="AW73" s="8">
        <f>IF($AS73="","",IFERROR(IF(INDEX(Matches!$AV$5:$AV$19,MATCH($C73,Matches!$A$5:$A$19,0))="","",IF($AS73="A",INDEX(Matches!$AV$5:$AV$19,MATCH($C73,Matches!$A$5:$A$19,0)),1-INDEX(Matches!$AV$5:$AV$19,MATCH($C73,Matches!$A$5:$A$19,0)))),""))</f>
        <v/>
      </c>
      <c r="AX73" s="11">
        <f>IF(OR($AW73="",$AT73=""),1,((Config!$B$14*$AW73+Config!$B$15*(1-$AW73))/(Config!$B$14*$AT73+Config!$B$15*(1-$AT73)))^Config!$B$13)</f>
        <v/>
      </c>
      <c r="AY73" s="8">
        <f>IF($AS73="","",IFERROR(IF(INDEX(Matches!$BB$5:$BB$19,MATCH($C73,Matches!$A$5:$A$19,0))="","",IF($AS73="A",INDEX(Matches!$BB$5:$BB$19,MATCH($C73,Matches!$A$5:$A$19,0)),1-INDEX(Matches!$BB$5:$BB$19,MATCH($C73,Matches!$A$5:$A$19,0)))),""))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9ycphxjddne0u4w|CS2 · INF vs BRUTE</t>
        </is>
      </c>
      <c r="B74" t="inlineStr">
        <is>
          <t>CS2</t>
        </is>
      </c>
      <c r="C74" t="inlineStr">
        <is>
          <t>CS2 · INF vs BRUTE</t>
        </is>
      </c>
      <c r="D74" t="inlineStr">
        <is>
          <t>INF</t>
        </is>
      </c>
      <c r="E74" t="inlineStr">
        <is>
          <t>sl3nd</t>
        </is>
      </c>
      <c r="F74" t="inlineStr">
        <is>
          <t>9ycphxjddne0u4w</t>
        </is>
      </c>
      <c r="G74">
        <f>IFERROR(IF(INDEX(Matches!$W$5:$W$19,MATCH($C74,Matches!$A$5:$A$19,0))="","",INDEX(Matches!$W$5:$W$19,MATCH($C74,Matches!$A$5:$A$19,0))),"")</f>
        <v/>
      </c>
      <c r="H74">
        <f>IFERROR(IF(INDEX(Matches!$X$5:$X$19,MATCH($C74,Matches!$A$5:$A$19,0))="","",INDEX(Matches!$X$5:$X$19,MATCH($C74,Matches!$A$5:$A$19,0))),"")</f>
        <v/>
      </c>
      <c r="I74">
        <f>IFERROR(IF(INDEX(Matches!$Y$5:$Y$19,MATCH($C74,Matches!$A$5:$A$19,0))="","",INDEX(Matches!$Y$5:$Y$19,MATCH($C74,Matches!$A$5:$A$19,0))),"")</f>
        <v/>
      </c>
      <c r="J74">
        <f>IFERROR(IF(INDEX(Matches!$Z$5:$Z$19,MATCH($C74,Matches!$A$5:$A$19,0))="","",INDEX(Matches!$Z$5:$Z$19,MATCH($C74,Matches!$A$5:$A$19,0))),"")</f>
        <v/>
      </c>
      <c r="K74">
        <f>IFERROR(IF(INDEX(Matches!$AA$5:$AA$19,MATCH($C74,Matches!$A$5:$A$19,0))="","",INDEX(Matches!$AA$5:$AA$19,MATCH($C74,Matches!$A$5:$A$19,0))),"")</f>
        <v/>
      </c>
      <c r="L74">
        <f>IFERROR(IF(INDEX(Matches!$AB$5:$AB$19,MATCH($C74,Matches!$A$5:$A$19,0))="","",INDEX(Matches!$AB$5:$AB$19,MATCH($C74,Matches!$A$5:$A$19,0))),"")</f>
        <v/>
      </c>
      <c r="M74" s="8">
        <f>IFERROR(IF(INDEX(Matches!$AC$5:$AC$19,MATCH($C74,Matches!$A$5:$A$19,0))="","",INDEX(Matches!$AC$5:$AC$19,MATCH($C74,Matches!$A$5:$A$19,0))),"")</f>
        <v/>
      </c>
      <c r="N74">
        <f>IFERROR(INDEX(Players!$F$2:$F$124,MATCH($F74,Players!$A$2:$A$124,0)),0)</f>
        <v/>
      </c>
      <c r="O74" s="11">
        <f>IFERROR(1/(1/INDEX(Players!$H$2:$H$124,MATCH($F74,Players!$A$2:$A$124,0))),"")</f>
        <v/>
      </c>
      <c r="P74" s="8">
        <f>IFERROR(1/(1/INDEX(Players!$I$2:$I$124,MATCH($F74,Players!$A$2:$A$124,0))),"")</f>
        <v/>
      </c>
      <c r="Q74">
        <f>IF($G74="",0,SUMIFS(Map_Stats!$F$2:$F$779,Map_Stats!$A$2:$A$779,$F74&amp;"|"&amp;$G74))</f>
        <v/>
      </c>
      <c r="R74" s="11">
        <f>IF($G74="","",IFERROR(1/(1/INDEX(Map_Stats!$K$2:$K$779,MATCH($F74&amp;"|"&amp;$G74,Map_Stats!$A$2:$A$779,0))),$O74))</f>
        <v/>
      </c>
      <c r="S74" s="8">
        <f>IF(OR($G74="",$P74=""),"",IFERROR(1/(1/INDEX(Map_Stats!$I$2:$I$779,MATCH($F74&amp;"|"&amp;$G74,Map_Stats!$A$2:$A$779,0))),$P74))</f>
        <v/>
      </c>
      <c r="T74" s="11">
        <f>IF(OR($G74="",R74=""),"",IF($O74="",R74,(Q74*R74+Config!$B$4*$O74)/(Q74+Config!$B$4)))</f>
        <v/>
      </c>
      <c r="U74" s="8">
        <f>IF(S74="","",(Q74*S74+Config!$B$4*$P74)/(Q74+Config!$B$4))</f>
        <v/>
      </c>
      <c r="V74" s="15">
        <f>IF(OR(T74="",$J74=""),"",T74*$J74*($J74/Config!$B$10)^Config!$B$9)</f>
        <v/>
      </c>
      <c r="W74" s="15">
        <f>IF(OR(V74="",U74=""),"",V74*U74)</f>
        <v/>
      </c>
      <c r="X74">
        <f>IF($H74="",0,SUMIFS(Map_Stats!$F$2:$F$779,Map_Stats!$A$2:$A$779,$F74&amp;"|"&amp;$H74))</f>
        <v/>
      </c>
      <c r="Y74" s="11">
        <f>IF($H74="","",IFERROR(1/(1/INDEX(Map_Stats!$K$2:$K$779,MATCH($F74&amp;"|"&amp;$H74,Map_Stats!$A$2:$A$779,0))),$O74))</f>
        <v/>
      </c>
      <c r="Z74" s="8">
        <f>IF(OR($H74="",$P74=""),"",IFERROR(1/(1/INDEX(Map_Stats!$I$2:$I$779,MATCH($F74&amp;"|"&amp;$H74,Map_Stats!$A$2:$A$779,0))),$P74))</f>
        <v/>
      </c>
      <c r="AA74" s="11">
        <f>IF(OR($H74="",Y74=""),"",IF($O74="",Y74,(X74*Y74+Config!$B$4*$O74)/(X74+Config!$B$4)))</f>
        <v/>
      </c>
      <c r="AB74" s="8">
        <f>IF(Z74="","",(X74*Z74+Config!$B$4*$P74)/(X74+Config!$B$4))</f>
        <v/>
      </c>
      <c r="AC74" s="15">
        <f>IF(OR(AA74="",$K74=""),"",AA74*$K74*($K74/Config!$B$10)^Config!$B$9)</f>
        <v/>
      </c>
      <c r="AD74" s="15">
        <f>IF(OR(AC74="",AB74=""),"",AC74*AB74)</f>
        <v/>
      </c>
      <c r="AE74">
        <f>IF($I74="",0,SUMIFS(Map_Stats!$F$2:$F$779,Map_Stats!$A$2:$A$779,$F74&amp;"|"&amp;$I74))</f>
        <v/>
      </c>
      <c r="AF74" s="11">
        <f>IF($I74="","",IFERROR(1/(1/INDEX(Map_Stats!$K$2:$K$779,MATCH($F74&amp;"|"&amp;$I74,Map_Stats!$A$2:$A$779,0))),$O74))</f>
        <v/>
      </c>
      <c r="AG74" s="8">
        <f>IF(OR($I74="",$P74=""),"",IFERROR(1/(1/INDEX(Map_Stats!$I$2:$I$779,MATCH($F74&amp;"|"&amp;$I74,Map_Stats!$A$2:$A$779,0))),$P74))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IF($C74=Board!$B$2,COUNTIFS($C$2:$C$124,Board!$B$2,$AL$2:$AL$124,"&gt;"&amp;$AL74)+COUNTIFS($C$1:$C73,Board!$B$2,$AL$1:$AL73,$AL74)+1,"")</f>
        <v/>
      </c>
      <c r="AS74">
        <f>IFERROR(IF($D74=INDEX(Matches!$AD$5:$AD$19,MATCH($C74,Matches!$A$5:$A$19,0)),"A",IF($D74=INDEX(Matches!$AE$5:$AE$19,MATCH($C74,Matches!$A$5:$A$19,0)),"B","")),"")</f>
        <v/>
      </c>
      <c r="AT74" s="8">
        <f>IF($AS74="","",IFERROR(IF($AS74="A",INDEX(Matches!$AI$5:$AI$19,MATCH($C74,Matches!$A$5:$A$19,0)),INDEX(Matches!$AJ$5:$AJ$19,MATCH($C74,Matches!$A$5:$A$19,0))),""))</f>
        <v/>
      </c>
      <c r="AU74" s="8">
        <f>IF($AS74="","",IFERROR(IF(INDEX(Matches!$AP$5:$AP$19,MATCH($C74,Matches!$A$5:$A$19,0))="","",IF($AS74="A",INDEX(Matches!$AP$5:$AP$19,MATCH($C74,Matches!$A$5:$A$19,0)),1-INDEX(Matches!$AP$5:$AP$19,MATCH($C74,Matches!$A$5:$A$19,0)))),""))</f>
        <v/>
      </c>
      <c r="AV74" s="11">
        <f>IF(OR($AU74="",$AT74=""),1,((Config!$B$14*$AU74+Config!$B$15*(1-$AU74))/(Config!$B$14*$AT74+Config!$B$15*(1-$AT74)))^Config!$B$13)</f>
        <v/>
      </c>
      <c r="AW74" s="8">
        <f>IF($AS74="","",IFERROR(IF(INDEX(Matches!$AV$5:$AV$19,MATCH($C74,Matches!$A$5:$A$19,0))="","",IF($AS74="A",INDEX(Matches!$AV$5:$AV$19,MATCH($C74,Matches!$A$5:$A$19,0)),1-INDEX(Matches!$AV$5:$AV$19,MATCH($C74,Matches!$A$5:$A$19,0)))),""))</f>
        <v/>
      </c>
      <c r="AX74" s="11">
        <f>IF(OR($AW74="",$AT74=""),1,((Config!$B$14*$AW74+Config!$B$15*(1-$AW74))/(Config!$B$14*$AT74+Config!$B$15*(1-$AT74)))^Config!$B$13)</f>
        <v/>
      </c>
      <c r="AY74" s="8">
        <f>IF($AS74="","",IFERROR(IF(INDEX(Matches!$BB$5:$BB$19,MATCH($C74,Matches!$A$5:$A$19,0))="","",IF($AS74="A",INDEX(Matches!$BB$5:$BB$19,MATCH($C74,Matches!$A$5:$A$19,0)),1-INDEX(Matches!$BB$5:$BB$19,MATCH($C74,Matches!$A$5:$A$19,0)))),""))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12s4j1y56sietsk|CS2 · INF vs BRUTE</t>
        </is>
      </c>
      <c r="B75" t="inlineStr">
        <is>
          <t>CS2</t>
        </is>
      </c>
      <c r="C75" t="inlineStr">
        <is>
          <t>CS2 · INF vs BRUTE</t>
        </is>
      </c>
      <c r="D75" t="inlineStr">
        <is>
          <t>INF</t>
        </is>
      </c>
      <c r="E75" t="inlineStr">
        <is>
          <t>volt</t>
        </is>
      </c>
      <c r="F75" t="inlineStr">
        <is>
          <t>12s4j1y56sietsk</t>
        </is>
      </c>
      <c r="G75">
        <f>IFERROR(IF(INDEX(Matches!$W$5:$W$19,MATCH($C75,Matches!$A$5:$A$19,0))="","",INDEX(Matches!$W$5:$W$19,MATCH($C75,Matches!$A$5:$A$19,0))),"")</f>
        <v/>
      </c>
      <c r="H75">
        <f>IFERROR(IF(INDEX(Matches!$X$5:$X$19,MATCH($C75,Matches!$A$5:$A$19,0))="","",INDEX(Matches!$X$5:$X$19,MATCH($C75,Matches!$A$5:$A$19,0))),"")</f>
        <v/>
      </c>
      <c r="I75">
        <f>IFERROR(IF(INDEX(Matches!$Y$5:$Y$19,MATCH($C75,Matches!$A$5:$A$19,0))="","",INDEX(Matches!$Y$5:$Y$19,MATCH($C75,Matches!$A$5:$A$19,0))),"")</f>
        <v/>
      </c>
      <c r="J75">
        <f>IFERROR(IF(INDEX(Matches!$Z$5:$Z$19,MATCH($C75,Matches!$A$5:$A$19,0))="","",INDEX(Matches!$Z$5:$Z$19,MATCH($C75,Matches!$A$5:$A$19,0))),"")</f>
        <v/>
      </c>
      <c r="K75">
        <f>IFERROR(IF(INDEX(Matches!$AA$5:$AA$19,MATCH($C75,Matches!$A$5:$A$19,0))="","",INDEX(Matches!$AA$5:$AA$19,MATCH($C75,Matches!$A$5:$A$19,0))),"")</f>
        <v/>
      </c>
      <c r="L75">
        <f>IFERROR(IF(INDEX(Matches!$AB$5:$AB$19,MATCH($C75,Matches!$A$5:$A$19,0))="","",INDEX(Matches!$AB$5:$AB$19,MATCH($C75,Matches!$A$5:$A$19,0))),"")</f>
        <v/>
      </c>
      <c r="M75" s="8">
        <f>IFERROR(IF(INDEX(Matches!$AC$5:$AC$19,MATCH($C75,Matches!$A$5:$A$19,0))="","",INDEX(Matches!$AC$5:$AC$19,MATCH($C75,Matches!$A$5:$A$19,0))),"")</f>
        <v/>
      </c>
      <c r="N75">
        <f>IFERROR(INDEX(Players!$F$2:$F$124,MATCH($F75,Players!$A$2:$A$124,0)),0)</f>
        <v/>
      </c>
      <c r="O75" s="11">
        <f>IFERROR(1/(1/INDEX(Players!$H$2:$H$124,MATCH($F75,Players!$A$2:$A$124,0))),"")</f>
        <v/>
      </c>
      <c r="P75" s="8">
        <f>IFERROR(1/(1/INDEX(Players!$I$2:$I$124,MATCH($F75,Players!$A$2:$A$124,0))),"")</f>
        <v/>
      </c>
      <c r="Q75">
        <f>IF($G75="",0,SUMIFS(Map_Stats!$F$2:$F$779,Map_Stats!$A$2:$A$779,$F75&amp;"|"&amp;$G75))</f>
        <v/>
      </c>
      <c r="R75" s="11">
        <f>IF($G75="","",IFERROR(1/(1/INDEX(Map_Stats!$K$2:$K$779,MATCH($F75&amp;"|"&amp;$G75,Map_Stats!$A$2:$A$779,0))),$O75))</f>
        <v/>
      </c>
      <c r="S75" s="8">
        <f>IF(OR($G75="",$P75=""),"",IFERROR(1/(1/INDEX(Map_Stats!$I$2:$I$779,MATCH($F75&amp;"|"&amp;$G75,Map_Stats!$A$2:$A$779,0))),$P75))</f>
        <v/>
      </c>
      <c r="T75" s="11">
        <f>IF(OR($G75="",R75=""),"",IF($O75="",R75,(Q75*R75+Config!$B$4*$O75)/(Q75+Config!$B$4)))</f>
        <v/>
      </c>
      <c r="U75" s="8">
        <f>IF(S75="","",(Q75*S75+Config!$B$4*$P75)/(Q75+Config!$B$4))</f>
        <v/>
      </c>
      <c r="V75" s="15">
        <f>IF(OR(T75="",$J75=""),"",T75*$J75*($J75/Config!$B$10)^Config!$B$9)</f>
        <v/>
      </c>
      <c r="W75" s="15">
        <f>IF(OR(V75="",U75=""),"",V75*U75)</f>
        <v/>
      </c>
      <c r="X75">
        <f>IF($H75="",0,SUMIFS(Map_Stats!$F$2:$F$779,Map_Stats!$A$2:$A$779,$F75&amp;"|"&amp;$H75))</f>
        <v/>
      </c>
      <c r="Y75" s="11">
        <f>IF($H75="","",IFERROR(1/(1/INDEX(Map_Stats!$K$2:$K$779,MATCH($F75&amp;"|"&amp;$H75,Map_Stats!$A$2:$A$779,0))),$O75))</f>
        <v/>
      </c>
      <c r="Z75" s="8">
        <f>IF(OR($H75="",$P75=""),"",IFERROR(1/(1/INDEX(Map_Stats!$I$2:$I$779,MATCH($F75&amp;"|"&amp;$H75,Map_Stats!$A$2:$A$779,0))),$P75))</f>
        <v/>
      </c>
      <c r="AA75" s="11">
        <f>IF(OR($H75="",Y75=""),"",IF($O75="",Y75,(X75*Y75+Config!$B$4*$O75)/(X75+Config!$B$4)))</f>
        <v/>
      </c>
      <c r="AB75" s="8">
        <f>IF(Z75="","",(X75*Z75+Config!$B$4*$P75)/(X75+Config!$B$4))</f>
        <v/>
      </c>
      <c r="AC75" s="15">
        <f>IF(OR(AA75="",$K75=""),"",AA75*$K75*($K75/Config!$B$10)^Config!$B$9)</f>
        <v/>
      </c>
      <c r="AD75" s="15">
        <f>IF(OR(AC75="",AB75=""),"",AC75*AB75)</f>
        <v/>
      </c>
      <c r="AE75">
        <f>IF($I75="",0,SUMIFS(Map_Stats!$F$2:$F$779,Map_Stats!$A$2:$A$779,$F75&amp;"|"&amp;$I75))</f>
        <v/>
      </c>
      <c r="AF75" s="11">
        <f>IF($I75="","",IFERROR(1/(1/INDEX(Map_Stats!$K$2:$K$779,MATCH($F75&amp;"|"&amp;$I75,Map_Stats!$A$2:$A$779,0))),$O75))</f>
        <v/>
      </c>
      <c r="AG75" s="8">
        <f>IF(OR($I75="",$P75=""),"",IFERROR(1/(1/INDEX(Map_Stats!$I$2:$I$779,MATCH($F75&amp;"|"&amp;$I75,Map_Stats!$A$2:$A$779,0))),$P75))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IF($C75=Board!$B$2,COUNTIFS($C$2:$C$124,Board!$B$2,$AL$2:$AL$124,"&gt;"&amp;$AL75)+COUNTIFS($C$1:$C74,Board!$B$2,$AL$1:$AL74,$AL75)+1,"")</f>
        <v/>
      </c>
      <c r="AS75">
        <f>IFERROR(IF($D75=INDEX(Matches!$AD$5:$AD$19,MATCH($C75,Matches!$A$5:$A$19,0)),"A",IF($D75=INDEX(Matches!$AE$5:$AE$19,MATCH($C75,Matches!$A$5:$A$19,0)),"B","")),"")</f>
        <v/>
      </c>
      <c r="AT75" s="8">
        <f>IF($AS75="","",IFERROR(IF($AS75="A",INDEX(Matches!$AI$5:$AI$19,MATCH($C75,Matches!$A$5:$A$19,0)),INDEX(Matches!$AJ$5:$AJ$19,MATCH($C75,Matches!$A$5:$A$19,0))),""))</f>
        <v/>
      </c>
      <c r="AU75" s="8">
        <f>IF($AS75="","",IFERROR(IF(INDEX(Matches!$AP$5:$AP$19,MATCH($C75,Matches!$A$5:$A$19,0))="","",IF($AS75="A",INDEX(Matches!$AP$5:$AP$19,MATCH($C75,Matches!$A$5:$A$19,0)),1-INDEX(Matches!$AP$5:$AP$19,MATCH($C75,Matches!$A$5:$A$19,0)))),""))</f>
        <v/>
      </c>
      <c r="AV75" s="11">
        <f>IF(OR($AU75="",$AT75=""),1,((Config!$B$14*$AU75+Config!$B$15*(1-$AU75))/(Config!$B$14*$AT75+Config!$B$15*(1-$AT75)))^Config!$B$13)</f>
        <v/>
      </c>
      <c r="AW75" s="8">
        <f>IF($AS75="","",IFERROR(IF(INDEX(Matches!$AV$5:$AV$19,MATCH($C75,Matches!$A$5:$A$19,0))="","",IF($AS75="A",INDEX(Matches!$AV$5:$AV$19,MATCH($C75,Matches!$A$5:$A$19,0)),1-INDEX(Matches!$AV$5:$AV$19,MATCH($C75,Matches!$A$5:$A$19,0)))),""))</f>
        <v/>
      </c>
      <c r="AX75" s="11">
        <f>IF(OR($AW75="",$AT75=""),1,((Config!$B$14*$AW75+Config!$B$15*(1-$AW75))/(Config!$B$14*$AT75+Config!$B$15*(1-$AT75)))^Config!$B$13)</f>
        <v/>
      </c>
      <c r="AY75" s="8">
        <f>IF($AS75="","",IFERROR(IF(INDEX(Matches!$BB$5:$BB$19,MATCH($C75,Matches!$A$5:$A$19,0))="","",IF($AS75="A",INDEX(Matches!$BB$5:$BB$19,MATCH($C75,Matches!$A$5:$A$19,0)),1-INDEX(Matches!$BB$5:$BB$19,MATCH($C75,Matches!$A$5:$A$19,0)))),""))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oilrc57yb4vi4v4|CS2 · LGC vs DEN</t>
        </is>
      </c>
      <c r="B76" t="inlineStr">
        <is>
          <t>CS2</t>
        </is>
      </c>
      <c r="C76" t="inlineStr">
        <is>
          <t>CS2 · LGC vs DEN</t>
        </is>
      </c>
      <c r="D76" t="inlineStr">
        <is>
          <t>DEN</t>
        </is>
      </c>
      <c r="E76" t="inlineStr">
        <is>
          <t>doc</t>
        </is>
      </c>
      <c r="F76" t="inlineStr">
        <is>
          <t>oilrc57yb4vi4v4</t>
        </is>
      </c>
      <c r="G76">
        <f>IFERROR(IF(INDEX(Matches!$W$5:$W$19,MATCH($C76,Matches!$A$5:$A$19,0))="","",INDEX(Matches!$W$5:$W$19,MATCH($C76,Matches!$A$5:$A$19,0))),"")</f>
        <v/>
      </c>
      <c r="H76">
        <f>IFERROR(IF(INDEX(Matches!$X$5:$X$19,MATCH($C76,Matches!$A$5:$A$19,0))="","",INDEX(Matches!$X$5:$X$19,MATCH($C76,Matches!$A$5:$A$19,0))),"")</f>
        <v/>
      </c>
      <c r="I76">
        <f>IFERROR(IF(INDEX(Matches!$Y$5:$Y$19,MATCH($C76,Matches!$A$5:$A$19,0))="","",INDEX(Matches!$Y$5:$Y$19,MATCH($C76,Matches!$A$5:$A$19,0))),"")</f>
        <v/>
      </c>
      <c r="J76">
        <f>IFERROR(IF(INDEX(Matches!$Z$5:$Z$19,MATCH($C76,Matches!$A$5:$A$19,0))="","",INDEX(Matches!$Z$5:$Z$19,MATCH($C76,Matches!$A$5:$A$19,0))),"")</f>
        <v/>
      </c>
      <c r="K76">
        <f>IFERROR(IF(INDEX(Matches!$AA$5:$AA$19,MATCH($C76,Matches!$A$5:$A$19,0))="","",INDEX(Matches!$AA$5:$AA$19,MATCH($C76,Matches!$A$5:$A$19,0))),"")</f>
        <v/>
      </c>
      <c r="L76">
        <f>IFERROR(IF(INDEX(Matches!$AB$5:$AB$19,MATCH($C76,Matches!$A$5:$A$19,0))="","",INDEX(Matches!$AB$5:$AB$19,MATCH($C76,Matches!$A$5:$A$19,0))),"")</f>
        <v/>
      </c>
      <c r="M76" s="8">
        <f>IFERROR(IF(INDEX(Matches!$AC$5:$AC$19,MATCH($C76,Matches!$A$5:$A$19,0))="","",INDEX(Matches!$AC$5:$AC$19,MATCH($C76,Matches!$A$5:$A$19,0))),"")</f>
        <v/>
      </c>
      <c r="N76">
        <f>IFERROR(INDEX(Players!$F$2:$F$124,MATCH($F76,Players!$A$2:$A$124,0)),0)</f>
        <v/>
      </c>
      <c r="O76" s="11">
        <f>IFERROR(1/(1/INDEX(Players!$H$2:$H$124,MATCH($F76,Players!$A$2:$A$124,0))),"")</f>
        <v/>
      </c>
      <c r="P76" s="8">
        <f>IFERROR(1/(1/INDEX(Players!$I$2:$I$124,MATCH($F76,Players!$A$2:$A$124,0))),"")</f>
        <v/>
      </c>
      <c r="Q76">
        <f>IF($G76="",0,SUMIFS(Map_Stats!$F$2:$F$779,Map_Stats!$A$2:$A$779,$F76&amp;"|"&amp;$G76))</f>
        <v/>
      </c>
      <c r="R76" s="11">
        <f>IF($G76="","",IFERROR(1/(1/INDEX(Map_Stats!$K$2:$K$779,MATCH($F76&amp;"|"&amp;$G76,Map_Stats!$A$2:$A$779,0))),$O76))</f>
        <v/>
      </c>
      <c r="S76" s="8">
        <f>IF(OR($G76="",$P76=""),"",IFERROR(1/(1/INDEX(Map_Stats!$I$2:$I$779,MATCH($F76&amp;"|"&amp;$G76,Map_Stats!$A$2:$A$779,0))),$P76))</f>
        <v/>
      </c>
      <c r="T76" s="11">
        <f>IF(OR($G76="",R76=""),"",IF($O76="",R76,(Q76*R76+Config!$B$4*$O76)/(Q76+Config!$B$4)))</f>
        <v/>
      </c>
      <c r="U76" s="8">
        <f>IF(S76="","",(Q76*S76+Config!$B$4*$P76)/(Q76+Config!$B$4))</f>
        <v/>
      </c>
      <c r="V76" s="15">
        <f>IF(OR(T76="",$J76=""),"",T76*$J76*($J76/Config!$B$10)^Config!$B$9)</f>
        <v/>
      </c>
      <c r="W76" s="15">
        <f>IF(OR(V76="",U76=""),"",V76*U76)</f>
        <v/>
      </c>
      <c r="X76">
        <f>IF($H76="",0,SUMIFS(Map_Stats!$F$2:$F$779,Map_Stats!$A$2:$A$779,$F76&amp;"|"&amp;$H76))</f>
        <v/>
      </c>
      <c r="Y76" s="11">
        <f>IF($H76="","",IFERROR(1/(1/INDEX(Map_Stats!$K$2:$K$779,MATCH($F76&amp;"|"&amp;$H76,Map_Stats!$A$2:$A$779,0))),$O76))</f>
        <v/>
      </c>
      <c r="Z76" s="8">
        <f>IF(OR($H76="",$P76=""),"",IFERROR(1/(1/INDEX(Map_Stats!$I$2:$I$779,MATCH($F76&amp;"|"&amp;$H76,Map_Stats!$A$2:$A$779,0))),$P76))</f>
        <v/>
      </c>
      <c r="AA76" s="11">
        <f>IF(OR($H76="",Y76=""),"",IF($O76="",Y76,(X76*Y76+Config!$B$4*$O76)/(X76+Config!$B$4)))</f>
        <v/>
      </c>
      <c r="AB76" s="8">
        <f>IF(Z76="","",(X76*Z76+Config!$B$4*$P76)/(X76+Config!$B$4))</f>
        <v/>
      </c>
      <c r="AC76" s="15">
        <f>IF(OR(AA76="",$K76=""),"",AA76*$K76*($K76/Config!$B$10)^Config!$B$9)</f>
        <v/>
      </c>
      <c r="AD76" s="15">
        <f>IF(OR(AC76="",AB76=""),"",AC76*AB76)</f>
        <v/>
      </c>
      <c r="AE76">
        <f>IF($I76="",0,SUMIFS(Map_Stats!$F$2:$F$779,Map_Stats!$A$2:$A$779,$F76&amp;"|"&amp;$I76))</f>
        <v/>
      </c>
      <c r="AF76" s="11">
        <f>IF($I76="","",IFERROR(1/(1/INDEX(Map_Stats!$K$2:$K$779,MATCH($F76&amp;"|"&amp;$I76,Map_Stats!$A$2:$A$779,0))),$O76))</f>
        <v/>
      </c>
      <c r="AG76" s="8">
        <f>IF(OR($I76="",$P76=""),"",IFERROR(1/(1/INDEX(Map_Stats!$I$2:$I$779,MATCH($F76&amp;"|"&amp;$I76,Map_Stats!$A$2:$A$779,0))),$P76))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IF($C76=Board!$B$2,COUNTIFS($C$2:$C$124,Board!$B$2,$AL$2:$AL$124,"&gt;"&amp;$AL76)+COUNTIFS($C$1:$C75,Board!$B$2,$AL$1:$AL75,$AL76)+1,"")</f>
        <v/>
      </c>
      <c r="AS76">
        <f>IFERROR(IF($D76=INDEX(Matches!$AD$5:$AD$19,MATCH($C76,Matches!$A$5:$A$19,0)),"A",IF($D76=INDEX(Matches!$AE$5:$AE$19,MATCH($C76,Matches!$A$5:$A$19,0)),"B","")),"")</f>
        <v/>
      </c>
      <c r="AT76" s="8">
        <f>IF($AS76="","",IFERROR(IF($AS76="A",INDEX(Matches!$AI$5:$AI$19,MATCH($C76,Matches!$A$5:$A$19,0)),INDEX(Matches!$AJ$5:$AJ$19,MATCH($C76,Matches!$A$5:$A$19,0))),""))</f>
        <v/>
      </c>
      <c r="AU76" s="8">
        <f>IF($AS76="","",IFERROR(IF(INDEX(Matches!$AP$5:$AP$19,MATCH($C76,Matches!$A$5:$A$19,0))="","",IF($AS76="A",INDEX(Matches!$AP$5:$AP$19,MATCH($C76,Matches!$A$5:$A$19,0)),1-INDEX(Matches!$AP$5:$AP$19,MATCH($C76,Matches!$A$5:$A$19,0)))),""))</f>
        <v/>
      </c>
      <c r="AV76" s="11">
        <f>IF(OR($AU76="",$AT76=""),1,((Config!$B$14*$AU76+Config!$B$15*(1-$AU76))/(Config!$B$14*$AT76+Config!$B$15*(1-$AT76)))^Config!$B$13)</f>
        <v/>
      </c>
      <c r="AW76" s="8">
        <f>IF($AS76="","",IFERROR(IF(INDEX(Matches!$AV$5:$AV$19,MATCH($C76,Matches!$A$5:$A$19,0))="","",IF($AS76="A",INDEX(Matches!$AV$5:$AV$19,MATCH($C76,Matches!$A$5:$A$19,0)),1-INDEX(Matches!$AV$5:$AV$19,MATCH($C76,Matches!$A$5:$A$19,0)))),""))</f>
        <v/>
      </c>
      <c r="AX76" s="11">
        <f>IF(OR($AW76="",$AT76=""),1,((Config!$B$14*$AW76+Config!$B$15*(1-$AW76))/(Config!$B$14*$AT76+Config!$B$15*(1-$AT76)))^Config!$B$13)</f>
        <v/>
      </c>
      <c r="AY76" s="8">
        <f>IF($AS76="","",IFERROR(IF(INDEX(Matches!$BB$5:$BB$19,MATCH($C76,Matches!$A$5:$A$19,0))="","",IF($AS76="A",INDEX(Matches!$BB$5:$BB$19,MATCH($C76,Matches!$A$5:$A$19,0)),1-INDEX(Matches!$BB$5:$BB$19,MATCH($C76,Matches!$A$5:$A$19,0)))),""))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xq939tnpy5hluwa|CS2 · LGC vs DEN</t>
        </is>
      </c>
      <c r="B77" t="inlineStr">
        <is>
          <t>CS2</t>
        </is>
      </c>
      <c r="C77" t="inlineStr">
        <is>
          <t>CS2 · LGC vs DEN</t>
        </is>
      </c>
      <c r="D77" t="inlineStr">
        <is>
          <t>DEN</t>
        </is>
      </c>
      <c r="E77" t="inlineStr">
        <is>
          <t>Gafolo</t>
        </is>
      </c>
      <c r="F77" t="inlineStr">
        <is>
          <t>xq939tnpy5hluwa</t>
        </is>
      </c>
      <c r="G77">
        <f>IFERROR(IF(INDEX(Matches!$W$5:$W$19,MATCH($C77,Matches!$A$5:$A$19,0))="","",INDEX(Matches!$W$5:$W$19,MATCH($C77,Matches!$A$5:$A$19,0))),"")</f>
        <v/>
      </c>
      <c r="H77">
        <f>IFERROR(IF(INDEX(Matches!$X$5:$X$19,MATCH($C77,Matches!$A$5:$A$19,0))="","",INDEX(Matches!$X$5:$X$19,MATCH($C77,Matches!$A$5:$A$19,0))),"")</f>
        <v/>
      </c>
      <c r="I77">
        <f>IFERROR(IF(INDEX(Matches!$Y$5:$Y$19,MATCH($C77,Matches!$A$5:$A$19,0))="","",INDEX(Matches!$Y$5:$Y$19,MATCH($C77,Matches!$A$5:$A$19,0))),"")</f>
        <v/>
      </c>
      <c r="J77">
        <f>IFERROR(IF(INDEX(Matches!$Z$5:$Z$19,MATCH($C77,Matches!$A$5:$A$19,0))="","",INDEX(Matches!$Z$5:$Z$19,MATCH($C77,Matches!$A$5:$A$19,0))),"")</f>
        <v/>
      </c>
      <c r="K77">
        <f>IFERROR(IF(INDEX(Matches!$AA$5:$AA$19,MATCH($C77,Matches!$A$5:$A$19,0))="","",INDEX(Matches!$AA$5:$AA$19,MATCH($C77,Matches!$A$5:$A$19,0))),"")</f>
        <v/>
      </c>
      <c r="L77">
        <f>IFERROR(IF(INDEX(Matches!$AB$5:$AB$19,MATCH($C77,Matches!$A$5:$A$19,0))="","",INDEX(Matches!$AB$5:$AB$19,MATCH($C77,Matches!$A$5:$A$19,0))),"")</f>
        <v/>
      </c>
      <c r="M77" s="8">
        <f>IFERROR(IF(INDEX(Matches!$AC$5:$AC$19,MATCH($C77,Matches!$A$5:$A$19,0))="","",INDEX(Matches!$AC$5:$AC$19,MATCH($C77,Matches!$A$5:$A$19,0))),"")</f>
        <v/>
      </c>
      <c r="N77">
        <f>IFERROR(INDEX(Players!$F$2:$F$124,MATCH($F77,Players!$A$2:$A$124,0)),0)</f>
        <v/>
      </c>
      <c r="O77" s="11">
        <f>IFERROR(1/(1/INDEX(Players!$H$2:$H$124,MATCH($F77,Players!$A$2:$A$124,0))),"")</f>
        <v/>
      </c>
      <c r="P77" s="8">
        <f>IFERROR(1/(1/INDEX(Players!$I$2:$I$124,MATCH($F77,Players!$A$2:$A$124,0))),"")</f>
        <v/>
      </c>
      <c r="Q77">
        <f>IF($G77="",0,SUMIFS(Map_Stats!$F$2:$F$779,Map_Stats!$A$2:$A$779,$F77&amp;"|"&amp;$G77))</f>
        <v/>
      </c>
      <c r="R77" s="11">
        <f>IF($G77="","",IFERROR(1/(1/INDEX(Map_Stats!$K$2:$K$779,MATCH($F77&amp;"|"&amp;$G77,Map_Stats!$A$2:$A$779,0))),$O77))</f>
        <v/>
      </c>
      <c r="S77" s="8">
        <f>IF(OR($G77="",$P77=""),"",IFERROR(1/(1/INDEX(Map_Stats!$I$2:$I$779,MATCH($F77&amp;"|"&amp;$G77,Map_Stats!$A$2:$A$779,0))),$P77))</f>
        <v/>
      </c>
      <c r="T77" s="11">
        <f>IF(OR($G77="",R77=""),"",IF($O77="",R77,(Q77*R77+Config!$B$4*$O77)/(Q77+Config!$B$4)))</f>
        <v/>
      </c>
      <c r="U77" s="8">
        <f>IF(S77="","",(Q77*S77+Config!$B$4*$P77)/(Q77+Config!$B$4))</f>
        <v/>
      </c>
      <c r="V77" s="15">
        <f>IF(OR(T77="",$J77=""),"",T77*$J77*($J77/Config!$B$10)^Config!$B$9)</f>
        <v/>
      </c>
      <c r="W77" s="15">
        <f>IF(OR(V77="",U77=""),"",V77*U77)</f>
        <v/>
      </c>
      <c r="X77">
        <f>IF($H77="",0,SUMIFS(Map_Stats!$F$2:$F$779,Map_Stats!$A$2:$A$779,$F77&amp;"|"&amp;$H77))</f>
        <v/>
      </c>
      <c r="Y77" s="11">
        <f>IF($H77="","",IFERROR(1/(1/INDEX(Map_Stats!$K$2:$K$779,MATCH($F77&amp;"|"&amp;$H77,Map_Stats!$A$2:$A$779,0))),$O77))</f>
        <v/>
      </c>
      <c r="Z77" s="8">
        <f>IF(OR($H77="",$P77=""),"",IFERROR(1/(1/INDEX(Map_Stats!$I$2:$I$779,MATCH($F77&amp;"|"&amp;$H77,Map_Stats!$A$2:$A$779,0))),$P77))</f>
        <v/>
      </c>
      <c r="AA77" s="11">
        <f>IF(OR($H77="",Y77=""),"",IF($O77="",Y77,(X77*Y77+Config!$B$4*$O77)/(X77+Config!$B$4)))</f>
        <v/>
      </c>
      <c r="AB77" s="8">
        <f>IF(Z77="","",(X77*Z77+Config!$B$4*$P77)/(X77+Config!$B$4))</f>
        <v/>
      </c>
      <c r="AC77" s="15">
        <f>IF(OR(AA77="",$K77=""),"",AA77*$K77*($K77/Config!$B$10)^Config!$B$9)</f>
        <v/>
      </c>
      <c r="AD77" s="15">
        <f>IF(OR(AC77="",AB77=""),"",AC77*AB77)</f>
        <v/>
      </c>
      <c r="AE77">
        <f>IF($I77="",0,SUMIFS(Map_Stats!$F$2:$F$779,Map_Stats!$A$2:$A$779,$F77&amp;"|"&amp;$I77))</f>
        <v/>
      </c>
      <c r="AF77" s="11">
        <f>IF($I77="","",IFERROR(1/(1/INDEX(Map_Stats!$K$2:$K$779,MATCH($F77&amp;"|"&amp;$I77,Map_Stats!$A$2:$A$779,0))),$O77))</f>
        <v/>
      </c>
      <c r="AG77" s="8">
        <f>IF(OR($I77="",$P77=""),"",IFERROR(1/(1/INDEX(Map_Stats!$I$2:$I$779,MATCH($F77&amp;"|"&amp;$I77,Map_Stats!$A$2:$A$779,0))),$P77))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IF($C77=Board!$B$2,COUNTIFS($C$2:$C$124,Board!$B$2,$AL$2:$AL$124,"&gt;"&amp;$AL77)+COUNTIFS($C$1:$C76,Board!$B$2,$AL$1:$AL76,$AL77)+1,"")</f>
        <v/>
      </c>
      <c r="AS77">
        <f>IFERROR(IF($D77=INDEX(Matches!$AD$5:$AD$19,MATCH($C77,Matches!$A$5:$A$19,0)),"A",IF($D77=INDEX(Matches!$AE$5:$AE$19,MATCH($C77,Matches!$A$5:$A$19,0)),"B","")),"")</f>
        <v/>
      </c>
      <c r="AT77" s="8">
        <f>IF($AS77="","",IFERROR(IF($AS77="A",INDEX(Matches!$AI$5:$AI$19,MATCH($C77,Matches!$A$5:$A$19,0)),INDEX(Matches!$AJ$5:$AJ$19,MATCH($C77,Matches!$A$5:$A$19,0))),""))</f>
        <v/>
      </c>
      <c r="AU77" s="8">
        <f>IF($AS77="","",IFERROR(IF(INDEX(Matches!$AP$5:$AP$19,MATCH($C77,Matches!$A$5:$A$19,0))="","",IF($AS77="A",INDEX(Matches!$AP$5:$AP$19,MATCH($C77,Matches!$A$5:$A$19,0)),1-INDEX(Matches!$AP$5:$AP$19,MATCH($C77,Matches!$A$5:$A$19,0)))),""))</f>
        <v/>
      </c>
      <c r="AV77" s="11">
        <f>IF(OR($AU77="",$AT77=""),1,((Config!$B$14*$AU77+Config!$B$15*(1-$AU77))/(Config!$B$14*$AT77+Config!$B$15*(1-$AT77)))^Config!$B$13)</f>
        <v/>
      </c>
      <c r="AW77" s="8">
        <f>IF($AS77="","",IFERROR(IF(INDEX(Matches!$AV$5:$AV$19,MATCH($C77,Matches!$A$5:$A$19,0))="","",IF($AS77="A",INDEX(Matches!$AV$5:$AV$19,MATCH($C77,Matches!$A$5:$A$19,0)),1-INDEX(Matches!$AV$5:$AV$19,MATCH($C77,Matches!$A$5:$A$19,0)))),""))</f>
        <v/>
      </c>
      <c r="AX77" s="11">
        <f>IF(OR($AW77="",$AT77=""),1,((Config!$B$14*$AW77+Config!$B$15*(1-$AW77))/(Config!$B$14*$AT77+Config!$B$15*(1-$AT77)))^Config!$B$13)</f>
        <v/>
      </c>
      <c r="AY77" s="8">
        <f>IF($AS77="","",IFERROR(IF(INDEX(Matches!$BB$5:$BB$19,MATCH($C77,Matches!$A$5:$A$19,0))="","",IF($AS77="A",INDEX(Matches!$BB$5:$BB$19,MATCH($C77,Matches!$A$5:$A$19,0)),1-INDEX(Matches!$BB$5:$BB$19,MATCH($C77,Matches!$A$5:$A$19,0)))),""))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at2vo8jmt9hrk3m|CS2 · LGC vs DEN</t>
        </is>
      </c>
      <c r="B78" t="inlineStr">
        <is>
          <t>CS2</t>
        </is>
      </c>
      <c r="C78" t="inlineStr">
        <is>
          <t>CS2 · LGC vs DEN</t>
        </is>
      </c>
      <c r="D78" t="inlineStr">
        <is>
          <t>DEN</t>
        </is>
      </c>
      <c r="E78" t="inlineStr">
        <is>
          <t>koala</t>
        </is>
      </c>
      <c r="F78" t="inlineStr">
        <is>
          <t>at2vo8jmt9hrk3m</t>
        </is>
      </c>
      <c r="G78">
        <f>IFERROR(IF(INDEX(Matches!$W$5:$W$19,MATCH($C78,Matches!$A$5:$A$19,0))="","",INDEX(Matches!$W$5:$W$19,MATCH($C78,Matches!$A$5:$A$19,0))),"")</f>
        <v/>
      </c>
      <c r="H78">
        <f>IFERROR(IF(INDEX(Matches!$X$5:$X$19,MATCH($C78,Matches!$A$5:$A$19,0))="","",INDEX(Matches!$X$5:$X$19,MATCH($C78,Matches!$A$5:$A$19,0))),"")</f>
        <v/>
      </c>
      <c r="I78">
        <f>IFERROR(IF(INDEX(Matches!$Y$5:$Y$19,MATCH($C78,Matches!$A$5:$A$19,0))="","",INDEX(Matches!$Y$5:$Y$19,MATCH($C78,Matches!$A$5:$A$19,0))),"")</f>
        <v/>
      </c>
      <c r="J78">
        <f>IFERROR(IF(INDEX(Matches!$Z$5:$Z$19,MATCH($C78,Matches!$A$5:$A$19,0))="","",INDEX(Matches!$Z$5:$Z$19,MATCH($C78,Matches!$A$5:$A$19,0))),"")</f>
        <v/>
      </c>
      <c r="K78">
        <f>IFERROR(IF(INDEX(Matches!$AA$5:$AA$19,MATCH($C78,Matches!$A$5:$A$19,0))="","",INDEX(Matches!$AA$5:$AA$19,MATCH($C78,Matches!$A$5:$A$19,0))),"")</f>
        <v/>
      </c>
      <c r="L78">
        <f>IFERROR(IF(INDEX(Matches!$AB$5:$AB$19,MATCH($C78,Matches!$A$5:$A$19,0))="","",INDEX(Matches!$AB$5:$AB$19,MATCH($C78,Matches!$A$5:$A$19,0))),"")</f>
        <v/>
      </c>
      <c r="M78" s="8">
        <f>IFERROR(IF(INDEX(Matches!$AC$5:$AC$19,MATCH($C78,Matches!$A$5:$A$19,0))="","",INDEX(Matches!$AC$5:$AC$19,MATCH($C78,Matches!$A$5:$A$19,0))),"")</f>
        <v/>
      </c>
      <c r="N78">
        <f>IFERROR(INDEX(Players!$F$2:$F$124,MATCH($F78,Players!$A$2:$A$124,0)),0)</f>
        <v/>
      </c>
      <c r="O78" s="11">
        <f>IFERROR(1/(1/INDEX(Players!$H$2:$H$124,MATCH($F78,Players!$A$2:$A$124,0))),"")</f>
        <v/>
      </c>
      <c r="P78" s="8">
        <f>IFERROR(1/(1/INDEX(Players!$I$2:$I$124,MATCH($F78,Players!$A$2:$A$124,0))),"")</f>
        <v/>
      </c>
      <c r="Q78">
        <f>IF($G78="",0,SUMIFS(Map_Stats!$F$2:$F$779,Map_Stats!$A$2:$A$779,$F78&amp;"|"&amp;$G78))</f>
        <v/>
      </c>
      <c r="R78" s="11">
        <f>IF($G78="","",IFERROR(1/(1/INDEX(Map_Stats!$K$2:$K$779,MATCH($F78&amp;"|"&amp;$G78,Map_Stats!$A$2:$A$779,0))),$O78))</f>
        <v/>
      </c>
      <c r="S78" s="8">
        <f>IF(OR($G78="",$P78=""),"",IFERROR(1/(1/INDEX(Map_Stats!$I$2:$I$779,MATCH($F78&amp;"|"&amp;$G78,Map_Stats!$A$2:$A$779,0))),$P78))</f>
        <v/>
      </c>
      <c r="T78" s="11">
        <f>IF(OR($G78="",R78=""),"",IF($O78="",R78,(Q78*R78+Config!$B$4*$O78)/(Q78+Config!$B$4)))</f>
        <v/>
      </c>
      <c r="U78" s="8">
        <f>IF(S78="","",(Q78*S78+Config!$B$4*$P78)/(Q78+Config!$B$4))</f>
        <v/>
      </c>
      <c r="V78" s="15">
        <f>IF(OR(T78="",$J78=""),"",T78*$J78*($J78/Config!$B$10)^Config!$B$9)</f>
        <v/>
      </c>
      <c r="W78" s="15">
        <f>IF(OR(V78="",U78=""),"",V78*U78)</f>
        <v/>
      </c>
      <c r="X78">
        <f>IF($H78="",0,SUMIFS(Map_Stats!$F$2:$F$779,Map_Stats!$A$2:$A$779,$F78&amp;"|"&amp;$H78))</f>
        <v/>
      </c>
      <c r="Y78" s="11">
        <f>IF($H78="","",IFERROR(1/(1/INDEX(Map_Stats!$K$2:$K$779,MATCH($F78&amp;"|"&amp;$H78,Map_Stats!$A$2:$A$779,0))),$O78))</f>
        <v/>
      </c>
      <c r="Z78" s="8">
        <f>IF(OR($H78="",$P78=""),"",IFERROR(1/(1/INDEX(Map_Stats!$I$2:$I$779,MATCH($F78&amp;"|"&amp;$H78,Map_Stats!$A$2:$A$779,0))),$P78))</f>
        <v/>
      </c>
      <c r="AA78" s="11">
        <f>IF(OR($H78="",Y78=""),"",IF($O78="",Y78,(X78*Y78+Config!$B$4*$O78)/(X78+Config!$B$4)))</f>
        <v/>
      </c>
      <c r="AB78" s="8">
        <f>IF(Z78="","",(X78*Z78+Config!$B$4*$P78)/(X78+Config!$B$4))</f>
        <v/>
      </c>
      <c r="AC78" s="15">
        <f>IF(OR(AA78="",$K78=""),"",AA78*$K78*($K78/Config!$B$10)^Config!$B$9)</f>
        <v/>
      </c>
      <c r="AD78" s="15">
        <f>IF(OR(AC78="",AB78=""),"",AC78*AB78)</f>
        <v/>
      </c>
      <c r="AE78">
        <f>IF($I78="",0,SUMIFS(Map_Stats!$F$2:$F$779,Map_Stats!$A$2:$A$779,$F78&amp;"|"&amp;$I78))</f>
        <v/>
      </c>
      <c r="AF78" s="11">
        <f>IF($I78="","",IFERROR(1/(1/INDEX(Map_Stats!$K$2:$K$779,MATCH($F78&amp;"|"&amp;$I78,Map_Stats!$A$2:$A$779,0))),$O78))</f>
        <v/>
      </c>
      <c r="AG78" s="8">
        <f>IF(OR($I78="",$P78=""),"",IFERROR(1/(1/INDEX(Map_Stats!$I$2:$I$779,MATCH($F78&amp;"|"&amp;$I78,Map_Stats!$A$2:$A$779,0))),$P78))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IF($C78=Board!$B$2,COUNTIFS($C$2:$C$124,Board!$B$2,$AL$2:$AL$124,"&gt;"&amp;$AL78)+COUNTIFS($C$1:$C77,Board!$B$2,$AL$1:$AL77,$AL78)+1,"")</f>
        <v/>
      </c>
      <c r="AS78">
        <f>IFERROR(IF($D78=INDEX(Matches!$AD$5:$AD$19,MATCH($C78,Matches!$A$5:$A$19,0)),"A",IF($D78=INDEX(Matches!$AE$5:$AE$19,MATCH($C78,Matches!$A$5:$A$19,0)),"B","")),"")</f>
        <v/>
      </c>
      <c r="AT78" s="8">
        <f>IF($AS78="","",IFERROR(IF($AS78="A",INDEX(Matches!$AI$5:$AI$19,MATCH($C78,Matches!$A$5:$A$19,0)),INDEX(Matches!$AJ$5:$AJ$19,MATCH($C78,Matches!$A$5:$A$19,0))),""))</f>
        <v/>
      </c>
      <c r="AU78" s="8">
        <f>IF($AS78="","",IFERROR(IF(INDEX(Matches!$AP$5:$AP$19,MATCH($C78,Matches!$A$5:$A$19,0))="","",IF($AS78="A",INDEX(Matches!$AP$5:$AP$19,MATCH($C78,Matches!$A$5:$A$19,0)),1-INDEX(Matches!$AP$5:$AP$19,MATCH($C78,Matches!$A$5:$A$19,0)))),""))</f>
        <v/>
      </c>
      <c r="AV78" s="11">
        <f>IF(OR($AU78="",$AT78=""),1,((Config!$B$14*$AU78+Config!$B$15*(1-$AU78))/(Config!$B$14*$AT78+Config!$B$15*(1-$AT78)))^Config!$B$13)</f>
        <v/>
      </c>
      <c r="AW78" s="8">
        <f>IF($AS78="","",IFERROR(IF(INDEX(Matches!$AV$5:$AV$19,MATCH($C78,Matches!$A$5:$A$19,0))="","",IF($AS78="A",INDEX(Matches!$AV$5:$AV$19,MATCH($C78,Matches!$A$5:$A$19,0)),1-INDEX(Matches!$AV$5:$AV$19,MATCH($C78,Matches!$A$5:$A$19,0)))),""))</f>
        <v/>
      </c>
      <c r="AX78" s="11">
        <f>IF(OR($AW78="",$AT78=""),1,((Config!$B$14*$AW78+Config!$B$15*(1-$AW78))/(Config!$B$14*$AT78+Config!$B$15*(1-$AT78)))^Config!$B$13)</f>
        <v/>
      </c>
      <c r="AY78" s="8">
        <f>IF($AS78="","",IFERROR(IF(INDEX(Matches!$BB$5:$BB$19,MATCH($C78,Matches!$A$5:$A$19,0))="","",IF($AS78="A",INDEX(Matches!$BB$5:$BB$19,MATCH($C78,Matches!$A$5:$A$19,0)),1-INDEX(Matches!$BB$5:$BB$19,MATCH($C78,Matches!$A$5:$A$19,0)))),""))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sir58v1hxyyne29|CS2 · LGC vs DEN</t>
        </is>
      </c>
      <c r="B79" t="inlineStr">
        <is>
          <t>CS2</t>
        </is>
      </c>
      <c r="C79" t="inlineStr">
        <is>
          <t>CS2 · LGC vs DEN</t>
        </is>
      </c>
      <c r="D79" t="inlineStr">
        <is>
          <t>DEN</t>
        </is>
      </c>
      <c r="E79" t="inlineStr">
        <is>
          <t>maxxkor</t>
        </is>
      </c>
      <c r="F79" t="inlineStr">
        <is>
          <t>sir58v1hxyyne29</t>
        </is>
      </c>
      <c r="G79">
        <f>IFERROR(IF(INDEX(Matches!$W$5:$W$19,MATCH($C79,Matches!$A$5:$A$19,0))="","",INDEX(Matches!$W$5:$W$19,MATCH($C79,Matches!$A$5:$A$19,0))),"")</f>
        <v/>
      </c>
      <c r="H79">
        <f>IFERROR(IF(INDEX(Matches!$X$5:$X$19,MATCH($C79,Matches!$A$5:$A$19,0))="","",INDEX(Matches!$X$5:$X$19,MATCH($C79,Matches!$A$5:$A$19,0))),"")</f>
        <v/>
      </c>
      <c r="I79">
        <f>IFERROR(IF(INDEX(Matches!$Y$5:$Y$19,MATCH($C79,Matches!$A$5:$A$19,0))="","",INDEX(Matches!$Y$5:$Y$19,MATCH($C79,Matches!$A$5:$A$19,0))),"")</f>
        <v/>
      </c>
      <c r="J79">
        <f>IFERROR(IF(INDEX(Matches!$Z$5:$Z$19,MATCH($C79,Matches!$A$5:$A$19,0))="","",INDEX(Matches!$Z$5:$Z$19,MATCH($C79,Matches!$A$5:$A$19,0))),"")</f>
        <v/>
      </c>
      <c r="K79">
        <f>IFERROR(IF(INDEX(Matches!$AA$5:$AA$19,MATCH($C79,Matches!$A$5:$A$19,0))="","",INDEX(Matches!$AA$5:$AA$19,MATCH($C79,Matches!$A$5:$A$19,0))),"")</f>
        <v/>
      </c>
      <c r="L79">
        <f>IFERROR(IF(INDEX(Matches!$AB$5:$AB$19,MATCH($C79,Matches!$A$5:$A$19,0))="","",INDEX(Matches!$AB$5:$AB$19,MATCH($C79,Matches!$A$5:$A$19,0))),"")</f>
        <v/>
      </c>
      <c r="M79" s="8">
        <f>IFERROR(IF(INDEX(Matches!$AC$5:$AC$19,MATCH($C79,Matches!$A$5:$A$19,0))="","",INDEX(Matches!$AC$5:$AC$19,MATCH($C79,Matches!$A$5:$A$19,0))),"")</f>
        <v/>
      </c>
      <c r="N79">
        <f>IFERROR(INDEX(Players!$F$2:$F$124,MATCH($F79,Players!$A$2:$A$124,0)),0)</f>
        <v/>
      </c>
      <c r="O79" s="11">
        <f>IFERROR(1/(1/INDEX(Players!$H$2:$H$124,MATCH($F79,Players!$A$2:$A$124,0))),"")</f>
        <v/>
      </c>
      <c r="P79" s="8">
        <f>IFERROR(1/(1/INDEX(Players!$I$2:$I$124,MATCH($F79,Players!$A$2:$A$124,0))),"")</f>
        <v/>
      </c>
      <c r="Q79">
        <f>IF($G79="",0,SUMIFS(Map_Stats!$F$2:$F$779,Map_Stats!$A$2:$A$779,$F79&amp;"|"&amp;$G79))</f>
        <v/>
      </c>
      <c r="R79" s="11">
        <f>IF($G79="","",IFERROR(1/(1/INDEX(Map_Stats!$K$2:$K$779,MATCH($F79&amp;"|"&amp;$G79,Map_Stats!$A$2:$A$779,0))),$O79))</f>
        <v/>
      </c>
      <c r="S79" s="8">
        <f>IF(OR($G79="",$P79=""),"",IFERROR(1/(1/INDEX(Map_Stats!$I$2:$I$779,MATCH($F79&amp;"|"&amp;$G79,Map_Stats!$A$2:$A$779,0))),$P79))</f>
        <v/>
      </c>
      <c r="T79" s="11">
        <f>IF(OR($G79="",R79=""),"",IF($O79="",R79,(Q79*R79+Config!$B$4*$O79)/(Q79+Config!$B$4)))</f>
        <v/>
      </c>
      <c r="U79" s="8">
        <f>IF(S79="","",(Q79*S79+Config!$B$4*$P79)/(Q79+Config!$B$4))</f>
        <v/>
      </c>
      <c r="V79" s="15">
        <f>IF(OR(T79="",$J79=""),"",T79*$J79*($J79/Config!$B$10)^Config!$B$9)</f>
        <v/>
      </c>
      <c r="W79" s="15">
        <f>IF(OR(V79="",U79=""),"",V79*U79)</f>
        <v/>
      </c>
      <c r="X79">
        <f>IF($H79="",0,SUMIFS(Map_Stats!$F$2:$F$779,Map_Stats!$A$2:$A$779,$F79&amp;"|"&amp;$H79))</f>
        <v/>
      </c>
      <c r="Y79" s="11">
        <f>IF($H79="","",IFERROR(1/(1/INDEX(Map_Stats!$K$2:$K$779,MATCH($F79&amp;"|"&amp;$H79,Map_Stats!$A$2:$A$779,0))),$O79))</f>
        <v/>
      </c>
      <c r="Z79" s="8">
        <f>IF(OR($H79="",$P79=""),"",IFERROR(1/(1/INDEX(Map_Stats!$I$2:$I$779,MATCH($F79&amp;"|"&amp;$H79,Map_Stats!$A$2:$A$779,0))),$P79))</f>
        <v/>
      </c>
      <c r="AA79" s="11">
        <f>IF(OR($H79="",Y79=""),"",IF($O79="",Y79,(X79*Y79+Config!$B$4*$O79)/(X79+Config!$B$4)))</f>
        <v/>
      </c>
      <c r="AB79" s="8">
        <f>IF(Z79="","",(X79*Z79+Config!$B$4*$P79)/(X79+Config!$B$4))</f>
        <v/>
      </c>
      <c r="AC79" s="15">
        <f>IF(OR(AA79="",$K79=""),"",AA79*$K79*($K79/Config!$B$10)^Config!$B$9)</f>
        <v/>
      </c>
      <c r="AD79" s="15">
        <f>IF(OR(AC79="",AB79=""),"",AC79*AB79)</f>
        <v/>
      </c>
      <c r="AE79">
        <f>IF($I79="",0,SUMIFS(Map_Stats!$F$2:$F$779,Map_Stats!$A$2:$A$779,$F79&amp;"|"&amp;$I79))</f>
        <v/>
      </c>
      <c r="AF79" s="11">
        <f>IF($I79="","",IFERROR(1/(1/INDEX(Map_Stats!$K$2:$K$779,MATCH($F79&amp;"|"&amp;$I79,Map_Stats!$A$2:$A$779,0))),$O79))</f>
        <v/>
      </c>
      <c r="AG79" s="8">
        <f>IF(OR($I79="",$P79=""),"",IFERROR(1/(1/INDEX(Map_Stats!$I$2:$I$779,MATCH($F79&amp;"|"&amp;$I79,Map_Stats!$A$2:$A$779,0))),$P79))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IF($C79=Board!$B$2,COUNTIFS($C$2:$C$124,Board!$B$2,$AL$2:$AL$124,"&gt;"&amp;$AL79)+COUNTIFS($C$1:$C78,Board!$B$2,$AL$1:$AL78,$AL79)+1,"")</f>
        <v/>
      </c>
      <c r="AS79">
        <f>IFERROR(IF($D79=INDEX(Matches!$AD$5:$AD$19,MATCH($C79,Matches!$A$5:$A$19,0)),"A",IF($D79=INDEX(Matches!$AE$5:$AE$19,MATCH($C79,Matches!$A$5:$A$19,0)),"B","")),"")</f>
        <v/>
      </c>
      <c r="AT79" s="8">
        <f>IF($AS79="","",IFERROR(IF($AS79="A",INDEX(Matches!$AI$5:$AI$19,MATCH($C79,Matches!$A$5:$A$19,0)),INDEX(Matches!$AJ$5:$AJ$19,MATCH($C79,Matches!$A$5:$A$19,0))),""))</f>
        <v/>
      </c>
      <c r="AU79" s="8">
        <f>IF($AS79="","",IFERROR(IF(INDEX(Matches!$AP$5:$AP$19,MATCH($C79,Matches!$A$5:$A$19,0))="","",IF($AS79="A",INDEX(Matches!$AP$5:$AP$19,MATCH($C79,Matches!$A$5:$A$19,0)),1-INDEX(Matches!$AP$5:$AP$19,MATCH($C79,Matches!$A$5:$A$19,0)))),""))</f>
        <v/>
      </c>
      <c r="AV79" s="11">
        <f>IF(OR($AU79="",$AT79=""),1,((Config!$B$14*$AU79+Config!$B$15*(1-$AU79))/(Config!$B$14*$AT79+Config!$B$15*(1-$AT79)))^Config!$B$13)</f>
        <v/>
      </c>
      <c r="AW79" s="8">
        <f>IF($AS79="","",IFERROR(IF(INDEX(Matches!$AV$5:$AV$19,MATCH($C79,Matches!$A$5:$A$19,0))="","",IF($AS79="A",INDEX(Matches!$AV$5:$AV$19,MATCH($C79,Matches!$A$5:$A$19,0)),1-INDEX(Matches!$AV$5:$AV$19,MATCH($C79,Matches!$A$5:$A$19,0)))),""))</f>
        <v/>
      </c>
      <c r="AX79" s="11">
        <f>IF(OR($AW79="",$AT79=""),1,((Config!$B$14*$AW79+Config!$B$15*(1-$AW79))/(Config!$B$14*$AT79+Config!$B$15*(1-$AT79)))^Config!$B$13)</f>
        <v/>
      </c>
      <c r="AY79" s="8">
        <f>IF($AS79="","",IFERROR(IF(INDEX(Matches!$BB$5:$BB$19,MATCH($C79,Matches!$A$5:$A$19,0))="","",IF($AS79="A",INDEX(Matches!$BB$5:$BB$19,MATCH($C79,Matches!$A$5:$A$19,0)),1-INDEX(Matches!$BB$5:$BB$19,MATCH($C79,Matches!$A$5:$A$19,0)))),""))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a0u1qo22a3z9rh8|CS2 · LGC vs DEN</t>
        </is>
      </c>
      <c r="B80" t="inlineStr">
        <is>
          <t>CS2</t>
        </is>
      </c>
      <c r="C80" t="inlineStr">
        <is>
          <t>CS2 · LGC vs DEN</t>
        </is>
      </c>
      <c r="D80" t="inlineStr">
        <is>
          <t>DEN</t>
        </is>
      </c>
      <c r="E80" t="inlineStr">
        <is>
          <t>rdnzao</t>
        </is>
      </c>
      <c r="F80" t="inlineStr">
        <is>
          <t>a0u1qo22a3z9rh8</t>
        </is>
      </c>
      <c r="G80">
        <f>IFERROR(IF(INDEX(Matches!$W$5:$W$19,MATCH($C80,Matches!$A$5:$A$19,0))="","",INDEX(Matches!$W$5:$W$19,MATCH($C80,Matches!$A$5:$A$19,0))),"")</f>
        <v/>
      </c>
      <c r="H80">
        <f>IFERROR(IF(INDEX(Matches!$X$5:$X$19,MATCH($C80,Matches!$A$5:$A$19,0))="","",INDEX(Matches!$X$5:$X$19,MATCH($C80,Matches!$A$5:$A$19,0))),"")</f>
        <v/>
      </c>
      <c r="I80">
        <f>IFERROR(IF(INDEX(Matches!$Y$5:$Y$19,MATCH($C80,Matches!$A$5:$A$19,0))="","",INDEX(Matches!$Y$5:$Y$19,MATCH($C80,Matches!$A$5:$A$19,0))),"")</f>
        <v/>
      </c>
      <c r="J80">
        <f>IFERROR(IF(INDEX(Matches!$Z$5:$Z$19,MATCH($C80,Matches!$A$5:$A$19,0))="","",INDEX(Matches!$Z$5:$Z$19,MATCH($C80,Matches!$A$5:$A$19,0))),"")</f>
        <v/>
      </c>
      <c r="K80">
        <f>IFERROR(IF(INDEX(Matches!$AA$5:$AA$19,MATCH($C80,Matches!$A$5:$A$19,0))="","",INDEX(Matches!$AA$5:$AA$19,MATCH($C80,Matches!$A$5:$A$19,0))),"")</f>
        <v/>
      </c>
      <c r="L80">
        <f>IFERROR(IF(INDEX(Matches!$AB$5:$AB$19,MATCH($C80,Matches!$A$5:$A$19,0))="","",INDEX(Matches!$AB$5:$AB$19,MATCH($C80,Matches!$A$5:$A$19,0))),"")</f>
        <v/>
      </c>
      <c r="M80" s="8">
        <f>IFERROR(IF(INDEX(Matches!$AC$5:$AC$19,MATCH($C80,Matches!$A$5:$A$19,0))="","",INDEX(Matches!$AC$5:$AC$19,MATCH($C80,Matches!$A$5:$A$19,0))),"")</f>
        <v/>
      </c>
      <c r="N80">
        <f>IFERROR(INDEX(Players!$F$2:$F$124,MATCH($F80,Players!$A$2:$A$124,0)),0)</f>
        <v/>
      </c>
      <c r="O80" s="11">
        <f>IFERROR(1/(1/INDEX(Players!$H$2:$H$124,MATCH($F80,Players!$A$2:$A$124,0))),"")</f>
        <v/>
      </c>
      <c r="P80" s="8">
        <f>IFERROR(1/(1/INDEX(Players!$I$2:$I$124,MATCH($F80,Players!$A$2:$A$124,0))),"")</f>
        <v/>
      </c>
      <c r="Q80">
        <f>IF($G80="",0,SUMIFS(Map_Stats!$F$2:$F$779,Map_Stats!$A$2:$A$779,$F80&amp;"|"&amp;$G80))</f>
        <v/>
      </c>
      <c r="R80" s="11">
        <f>IF($G80="","",IFERROR(1/(1/INDEX(Map_Stats!$K$2:$K$779,MATCH($F80&amp;"|"&amp;$G80,Map_Stats!$A$2:$A$779,0))),$O80))</f>
        <v/>
      </c>
      <c r="S80" s="8">
        <f>IF(OR($G80="",$P80=""),"",IFERROR(1/(1/INDEX(Map_Stats!$I$2:$I$779,MATCH($F80&amp;"|"&amp;$G80,Map_Stats!$A$2:$A$779,0))),$P80))</f>
        <v/>
      </c>
      <c r="T80" s="11">
        <f>IF(OR($G80="",R80=""),"",IF($O80="",R80,(Q80*R80+Config!$B$4*$O80)/(Q80+Config!$B$4)))</f>
        <v/>
      </c>
      <c r="U80" s="8">
        <f>IF(S80="","",(Q80*S80+Config!$B$4*$P80)/(Q80+Config!$B$4))</f>
        <v/>
      </c>
      <c r="V80" s="15">
        <f>IF(OR(T80="",$J80=""),"",T80*$J80*($J80/Config!$B$10)^Config!$B$9)</f>
        <v/>
      </c>
      <c r="W80" s="15">
        <f>IF(OR(V80="",U80=""),"",V80*U80)</f>
        <v/>
      </c>
      <c r="X80">
        <f>IF($H80="",0,SUMIFS(Map_Stats!$F$2:$F$779,Map_Stats!$A$2:$A$779,$F80&amp;"|"&amp;$H80))</f>
        <v/>
      </c>
      <c r="Y80" s="11">
        <f>IF($H80="","",IFERROR(1/(1/INDEX(Map_Stats!$K$2:$K$779,MATCH($F80&amp;"|"&amp;$H80,Map_Stats!$A$2:$A$779,0))),$O80))</f>
        <v/>
      </c>
      <c r="Z80" s="8">
        <f>IF(OR($H80="",$P80=""),"",IFERROR(1/(1/INDEX(Map_Stats!$I$2:$I$779,MATCH($F80&amp;"|"&amp;$H80,Map_Stats!$A$2:$A$779,0))),$P80))</f>
        <v/>
      </c>
      <c r="AA80" s="11">
        <f>IF(OR($H80="",Y80=""),"",IF($O80="",Y80,(X80*Y80+Config!$B$4*$O80)/(X80+Config!$B$4)))</f>
        <v/>
      </c>
      <c r="AB80" s="8">
        <f>IF(Z80="","",(X80*Z80+Config!$B$4*$P80)/(X80+Config!$B$4))</f>
        <v/>
      </c>
      <c r="AC80" s="15">
        <f>IF(OR(AA80="",$K80=""),"",AA80*$K80*($K80/Config!$B$10)^Config!$B$9)</f>
        <v/>
      </c>
      <c r="AD80" s="15">
        <f>IF(OR(AC80="",AB80=""),"",AC80*AB80)</f>
        <v/>
      </c>
      <c r="AE80">
        <f>IF($I80="",0,SUMIFS(Map_Stats!$F$2:$F$779,Map_Stats!$A$2:$A$779,$F80&amp;"|"&amp;$I80))</f>
        <v/>
      </c>
      <c r="AF80" s="11">
        <f>IF($I80="","",IFERROR(1/(1/INDEX(Map_Stats!$K$2:$K$779,MATCH($F80&amp;"|"&amp;$I80,Map_Stats!$A$2:$A$779,0))),$O80))</f>
        <v/>
      </c>
      <c r="AG80" s="8">
        <f>IF(OR($I80="",$P80=""),"",IFERROR(1/(1/INDEX(Map_Stats!$I$2:$I$779,MATCH($F80&amp;"|"&amp;$I80,Map_Stats!$A$2:$A$779,0))),$P80))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IF($C80=Board!$B$2,COUNTIFS($C$2:$C$124,Board!$B$2,$AL$2:$AL$124,"&gt;"&amp;$AL80)+COUNTIFS($C$1:$C79,Board!$B$2,$AL$1:$AL79,$AL80)+1,"")</f>
        <v/>
      </c>
      <c r="AS80">
        <f>IFERROR(IF($D80=INDEX(Matches!$AD$5:$AD$19,MATCH($C80,Matches!$A$5:$A$19,0)),"A",IF($D80=INDEX(Matches!$AE$5:$AE$19,MATCH($C80,Matches!$A$5:$A$19,0)),"B","")),"")</f>
        <v/>
      </c>
      <c r="AT80" s="8">
        <f>IF($AS80="","",IFERROR(IF($AS80="A",INDEX(Matches!$AI$5:$AI$19,MATCH($C80,Matches!$A$5:$A$19,0)),INDEX(Matches!$AJ$5:$AJ$19,MATCH($C80,Matches!$A$5:$A$19,0))),""))</f>
        <v/>
      </c>
      <c r="AU80" s="8">
        <f>IF($AS80="","",IFERROR(IF(INDEX(Matches!$AP$5:$AP$19,MATCH($C80,Matches!$A$5:$A$19,0))="","",IF($AS80="A",INDEX(Matches!$AP$5:$AP$19,MATCH($C80,Matches!$A$5:$A$19,0)),1-INDEX(Matches!$AP$5:$AP$19,MATCH($C80,Matches!$A$5:$A$19,0)))),""))</f>
        <v/>
      </c>
      <c r="AV80" s="11">
        <f>IF(OR($AU80="",$AT80=""),1,((Config!$B$14*$AU80+Config!$B$15*(1-$AU80))/(Config!$B$14*$AT80+Config!$B$15*(1-$AT80)))^Config!$B$13)</f>
        <v/>
      </c>
      <c r="AW80" s="8">
        <f>IF($AS80="","",IFERROR(IF(INDEX(Matches!$AV$5:$AV$19,MATCH($C80,Matches!$A$5:$A$19,0))="","",IF($AS80="A",INDEX(Matches!$AV$5:$AV$19,MATCH($C80,Matches!$A$5:$A$19,0)),1-INDEX(Matches!$AV$5:$AV$19,MATCH($C80,Matches!$A$5:$A$19,0)))),""))</f>
        <v/>
      </c>
      <c r="AX80" s="11">
        <f>IF(OR($AW80="",$AT80=""),1,((Config!$B$14*$AW80+Config!$B$15*(1-$AW80))/(Config!$B$14*$AT80+Config!$B$15*(1-$AT80)))^Config!$B$13)</f>
        <v/>
      </c>
      <c r="AY80" s="8">
        <f>IF($AS80="","",IFERROR(IF(INDEX(Matches!$BB$5:$BB$19,MATCH($C80,Matches!$A$5:$A$19,0))="","",IF($AS80="A",INDEX(Matches!$BB$5:$BB$19,MATCH($C80,Matches!$A$5:$A$19,0)),1-INDEX(Matches!$BB$5:$BB$19,MATCH($C80,Matches!$A$5:$A$19,0)))),""))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6ihem6avn05n11t|CS2 · LGC vs DEN</t>
        </is>
      </c>
      <c r="B81" t="inlineStr">
        <is>
          <t>CS2</t>
        </is>
      </c>
      <c r="C81" t="inlineStr">
        <is>
          <t>CS2 · LGC vs DEN</t>
        </is>
      </c>
      <c r="D81" t="inlineStr">
        <is>
          <t>LGC</t>
        </is>
      </c>
      <c r="E81" t="inlineStr">
        <is>
          <t>arT</t>
        </is>
      </c>
      <c r="F81" t="inlineStr">
        <is>
          <t>6ihem6avn05n11t</t>
        </is>
      </c>
      <c r="G81">
        <f>IFERROR(IF(INDEX(Matches!$W$5:$W$19,MATCH($C81,Matches!$A$5:$A$19,0))="","",INDEX(Matches!$W$5:$W$19,MATCH($C81,Matches!$A$5:$A$19,0))),"")</f>
        <v/>
      </c>
      <c r="H81">
        <f>IFERROR(IF(INDEX(Matches!$X$5:$X$19,MATCH($C81,Matches!$A$5:$A$19,0))="","",INDEX(Matches!$X$5:$X$19,MATCH($C81,Matches!$A$5:$A$19,0))),"")</f>
        <v/>
      </c>
      <c r="I81">
        <f>IFERROR(IF(INDEX(Matches!$Y$5:$Y$19,MATCH($C81,Matches!$A$5:$A$19,0))="","",INDEX(Matches!$Y$5:$Y$19,MATCH($C81,Matches!$A$5:$A$19,0))),"")</f>
        <v/>
      </c>
      <c r="J81">
        <f>IFERROR(IF(INDEX(Matches!$Z$5:$Z$19,MATCH($C81,Matches!$A$5:$A$19,0))="","",INDEX(Matches!$Z$5:$Z$19,MATCH($C81,Matches!$A$5:$A$19,0))),"")</f>
        <v/>
      </c>
      <c r="K81">
        <f>IFERROR(IF(INDEX(Matches!$AA$5:$AA$19,MATCH($C81,Matches!$A$5:$A$19,0))="","",INDEX(Matches!$AA$5:$AA$19,MATCH($C81,Matches!$A$5:$A$19,0))),"")</f>
        <v/>
      </c>
      <c r="L81">
        <f>IFERROR(IF(INDEX(Matches!$AB$5:$AB$19,MATCH($C81,Matches!$A$5:$A$19,0))="","",INDEX(Matches!$AB$5:$AB$19,MATCH($C81,Matches!$A$5:$A$19,0))),"")</f>
        <v/>
      </c>
      <c r="M81" s="8">
        <f>IFERROR(IF(INDEX(Matches!$AC$5:$AC$19,MATCH($C81,Matches!$A$5:$A$19,0))="","",INDEX(Matches!$AC$5:$AC$19,MATCH($C81,Matches!$A$5:$A$19,0))),"")</f>
        <v/>
      </c>
      <c r="N81">
        <f>IFERROR(INDEX(Players!$F$2:$F$124,MATCH($F81,Players!$A$2:$A$124,0)),0)</f>
        <v/>
      </c>
      <c r="O81" s="11">
        <f>IFERROR(1/(1/INDEX(Players!$H$2:$H$124,MATCH($F81,Players!$A$2:$A$124,0))),"")</f>
        <v/>
      </c>
      <c r="P81" s="8">
        <f>IFERROR(1/(1/INDEX(Players!$I$2:$I$124,MATCH($F81,Players!$A$2:$A$124,0))),"")</f>
        <v/>
      </c>
      <c r="Q81">
        <f>IF($G81="",0,SUMIFS(Map_Stats!$F$2:$F$779,Map_Stats!$A$2:$A$779,$F81&amp;"|"&amp;$G81))</f>
        <v/>
      </c>
      <c r="R81" s="11">
        <f>IF($G81="","",IFERROR(1/(1/INDEX(Map_Stats!$K$2:$K$779,MATCH($F81&amp;"|"&amp;$G81,Map_Stats!$A$2:$A$779,0))),$O81))</f>
        <v/>
      </c>
      <c r="S81" s="8">
        <f>IF(OR($G81="",$P81=""),"",IFERROR(1/(1/INDEX(Map_Stats!$I$2:$I$779,MATCH($F81&amp;"|"&amp;$G81,Map_Stats!$A$2:$A$779,0))),$P81))</f>
        <v/>
      </c>
      <c r="T81" s="11">
        <f>IF(OR($G81="",R81=""),"",IF($O81="",R81,(Q81*R81+Config!$B$4*$O81)/(Q81+Config!$B$4)))</f>
        <v/>
      </c>
      <c r="U81" s="8">
        <f>IF(S81="","",(Q81*S81+Config!$B$4*$P81)/(Q81+Config!$B$4))</f>
        <v/>
      </c>
      <c r="V81" s="15">
        <f>IF(OR(T81="",$J81=""),"",T81*$J81*($J81/Config!$B$10)^Config!$B$9)</f>
        <v/>
      </c>
      <c r="W81" s="15">
        <f>IF(OR(V81="",U81=""),"",V81*U81)</f>
        <v/>
      </c>
      <c r="X81">
        <f>IF($H81="",0,SUMIFS(Map_Stats!$F$2:$F$779,Map_Stats!$A$2:$A$779,$F81&amp;"|"&amp;$H81))</f>
        <v/>
      </c>
      <c r="Y81" s="11">
        <f>IF($H81="","",IFERROR(1/(1/INDEX(Map_Stats!$K$2:$K$779,MATCH($F81&amp;"|"&amp;$H81,Map_Stats!$A$2:$A$779,0))),$O81))</f>
        <v/>
      </c>
      <c r="Z81" s="8">
        <f>IF(OR($H81="",$P81=""),"",IFERROR(1/(1/INDEX(Map_Stats!$I$2:$I$779,MATCH($F81&amp;"|"&amp;$H81,Map_Stats!$A$2:$A$779,0))),$P81))</f>
        <v/>
      </c>
      <c r="AA81" s="11">
        <f>IF(OR($H81="",Y81=""),"",IF($O81="",Y81,(X81*Y81+Config!$B$4*$O81)/(X81+Config!$B$4)))</f>
        <v/>
      </c>
      <c r="AB81" s="8">
        <f>IF(Z81="","",(X81*Z81+Config!$B$4*$P81)/(X81+Config!$B$4))</f>
        <v/>
      </c>
      <c r="AC81" s="15">
        <f>IF(OR(AA81="",$K81=""),"",AA81*$K81*($K81/Config!$B$10)^Config!$B$9)</f>
        <v/>
      </c>
      <c r="AD81" s="15">
        <f>IF(OR(AC81="",AB81=""),"",AC81*AB81)</f>
        <v/>
      </c>
      <c r="AE81">
        <f>IF($I81="",0,SUMIFS(Map_Stats!$F$2:$F$779,Map_Stats!$A$2:$A$779,$F81&amp;"|"&amp;$I81))</f>
        <v/>
      </c>
      <c r="AF81" s="11">
        <f>IF($I81="","",IFERROR(1/(1/INDEX(Map_Stats!$K$2:$K$779,MATCH($F81&amp;"|"&amp;$I81,Map_Stats!$A$2:$A$779,0))),$O81))</f>
        <v/>
      </c>
      <c r="AG81" s="8">
        <f>IF(OR($I81="",$P81=""),"",IFERROR(1/(1/INDEX(Map_Stats!$I$2:$I$779,MATCH($F81&amp;"|"&amp;$I81,Map_Stats!$A$2:$A$779,0))),$P81))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IF($C81=Board!$B$2,COUNTIFS($C$2:$C$124,Board!$B$2,$AL$2:$AL$124,"&gt;"&amp;$AL81)+COUNTIFS($C$1:$C80,Board!$B$2,$AL$1:$AL80,$AL81)+1,"")</f>
        <v/>
      </c>
      <c r="AS81">
        <f>IFERROR(IF($D81=INDEX(Matches!$AD$5:$AD$19,MATCH($C81,Matches!$A$5:$A$19,0)),"A",IF($D81=INDEX(Matches!$AE$5:$AE$19,MATCH($C81,Matches!$A$5:$A$19,0)),"B","")),"")</f>
        <v/>
      </c>
      <c r="AT81" s="8">
        <f>IF($AS81="","",IFERROR(IF($AS81="A",INDEX(Matches!$AI$5:$AI$19,MATCH($C81,Matches!$A$5:$A$19,0)),INDEX(Matches!$AJ$5:$AJ$19,MATCH($C81,Matches!$A$5:$A$19,0))),""))</f>
        <v/>
      </c>
      <c r="AU81" s="8">
        <f>IF($AS81="","",IFERROR(IF(INDEX(Matches!$AP$5:$AP$19,MATCH($C81,Matches!$A$5:$A$19,0))="","",IF($AS81="A",INDEX(Matches!$AP$5:$AP$19,MATCH($C81,Matches!$A$5:$A$19,0)),1-INDEX(Matches!$AP$5:$AP$19,MATCH($C81,Matches!$A$5:$A$19,0)))),""))</f>
        <v/>
      </c>
      <c r="AV81" s="11">
        <f>IF(OR($AU81="",$AT81=""),1,((Config!$B$14*$AU81+Config!$B$15*(1-$AU81))/(Config!$B$14*$AT81+Config!$B$15*(1-$AT81)))^Config!$B$13)</f>
        <v/>
      </c>
      <c r="AW81" s="8">
        <f>IF($AS81="","",IFERROR(IF(INDEX(Matches!$AV$5:$AV$19,MATCH($C81,Matches!$A$5:$A$19,0))="","",IF($AS81="A",INDEX(Matches!$AV$5:$AV$19,MATCH($C81,Matches!$A$5:$A$19,0)),1-INDEX(Matches!$AV$5:$AV$19,MATCH($C81,Matches!$A$5:$A$19,0)))),""))</f>
        <v/>
      </c>
      <c r="AX81" s="11">
        <f>IF(OR($AW81="",$AT81=""),1,((Config!$B$14*$AW81+Config!$B$15*(1-$AW81))/(Config!$B$14*$AT81+Config!$B$15*(1-$AT81)))^Config!$B$13)</f>
        <v/>
      </c>
      <c r="AY81" s="8">
        <f>IF($AS81="","",IFERROR(IF(INDEX(Matches!$BB$5:$BB$19,MATCH($C81,Matches!$A$5:$A$19,0))="","",IF($AS81="A",INDEX(Matches!$BB$5:$BB$19,MATCH($C81,Matches!$A$5:$A$19,0)),1-INDEX(Matches!$BB$5:$BB$19,MATCH($C81,Matches!$A$5:$A$19,0)))),""))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fegzpn598j6etni|CS2 · LGC vs DEN</t>
        </is>
      </c>
      <c r="B82" t="inlineStr">
        <is>
          <t>CS2</t>
        </is>
      </c>
      <c r="C82" t="inlineStr">
        <is>
          <t>CS2 · LGC vs DEN</t>
        </is>
      </c>
      <c r="D82" t="inlineStr">
        <is>
          <t>LGC</t>
        </is>
      </c>
      <c r="E82" t="inlineStr">
        <is>
          <t>dumau</t>
        </is>
      </c>
      <c r="F82" t="inlineStr">
        <is>
          <t>fegzpn598j6etni</t>
        </is>
      </c>
      <c r="G82">
        <f>IFERROR(IF(INDEX(Matches!$W$5:$W$19,MATCH($C82,Matches!$A$5:$A$19,0))="","",INDEX(Matches!$W$5:$W$19,MATCH($C82,Matches!$A$5:$A$19,0))),"")</f>
        <v/>
      </c>
      <c r="H82">
        <f>IFERROR(IF(INDEX(Matches!$X$5:$X$19,MATCH($C82,Matches!$A$5:$A$19,0))="","",INDEX(Matches!$X$5:$X$19,MATCH($C82,Matches!$A$5:$A$19,0))),"")</f>
        <v/>
      </c>
      <c r="I82">
        <f>IFERROR(IF(INDEX(Matches!$Y$5:$Y$19,MATCH($C82,Matches!$A$5:$A$19,0))="","",INDEX(Matches!$Y$5:$Y$19,MATCH($C82,Matches!$A$5:$A$19,0))),"")</f>
        <v/>
      </c>
      <c r="J82">
        <f>IFERROR(IF(INDEX(Matches!$Z$5:$Z$19,MATCH($C82,Matches!$A$5:$A$19,0))="","",INDEX(Matches!$Z$5:$Z$19,MATCH($C82,Matches!$A$5:$A$19,0))),"")</f>
        <v/>
      </c>
      <c r="K82">
        <f>IFERROR(IF(INDEX(Matches!$AA$5:$AA$19,MATCH($C82,Matches!$A$5:$A$19,0))="","",INDEX(Matches!$AA$5:$AA$19,MATCH($C82,Matches!$A$5:$A$19,0))),"")</f>
        <v/>
      </c>
      <c r="L82">
        <f>IFERROR(IF(INDEX(Matches!$AB$5:$AB$19,MATCH($C82,Matches!$A$5:$A$19,0))="","",INDEX(Matches!$AB$5:$AB$19,MATCH($C82,Matches!$A$5:$A$19,0))),"")</f>
        <v/>
      </c>
      <c r="M82" s="8">
        <f>IFERROR(IF(INDEX(Matches!$AC$5:$AC$19,MATCH($C82,Matches!$A$5:$A$19,0))="","",INDEX(Matches!$AC$5:$AC$19,MATCH($C82,Matches!$A$5:$A$19,0))),"")</f>
        <v/>
      </c>
      <c r="N82">
        <f>IFERROR(INDEX(Players!$F$2:$F$124,MATCH($F82,Players!$A$2:$A$124,0)),0)</f>
        <v/>
      </c>
      <c r="O82" s="11">
        <f>IFERROR(1/(1/INDEX(Players!$H$2:$H$124,MATCH($F82,Players!$A$2:$A$124,0))),"")</f>
        <v/>
      </c>
      <c r="P82" s="8">
        <f>IFERROR(1/(1/INDEX(Players!$I$2:$I$124,MATCH($F82,Players!$A$2:$A$124,0))),"")</f>
        <v/>
      </c>
      <c r="Q82">
        <f>IF($G82="",0,SUMIFS(Map_Stats!$F$2:$F$779,Map_Stats!$A$2:$A$779,$F82&amp;"|"&amp;$G82))</f>
        <v/>
      </c>
      <c r="R82" s="11">
        <f>IF($G82="","",IFERROR(1/(1/INDEX(Map_Stats!$K$2:$K$779,MATCH($F82&amp;"|"&amp;$G82,Map_Stats!$A$2:$A$779,0))),$O82))</f>
        <v/>
      </c>
      <c r="S82" s="8">
        <f>IF(OR($G82="",$P82=""),"",IFERROR(1/(1/INDEX(Map_Stats!$I$2:$I$779,MATCH($F82&amp;"|"&amp;$G82,Map_Stats!$A$2:$A$779,0))),$P82))</f>
        <v/>
      </c>
      <c r="T82" s="11">
        <f>IF(OR($G82="",R82=""),"",IF($O82="",R82,(Q82*R82+Config!$B$4*$O82)/(Q82+Config!$B$4)))</f>
        <v/>
      </c>
      <c r="U82" s="8">
        <f>IF(S82="","",(Q82*S82+Config!$B$4*$P82)/(Q82+Config!$B$4))</f>
        <v/>
      </c>
      <c r="V82" s="15">
        <f>IF(OR(T82="",$J82=""),"",T82*$J82*($J82/Config!$B$10)^Config!$B$9)</f>
        <v/>
      </c>
      <c r="W82" s="15">
        <f>IF(OR(V82="",U82=""),"",V82*U82)</f>
        <v/>
      </c>
      <c r="X82">
        <f>IF($H82="",0,SUMIFS(Map_Stats!$F$2:$F$779,Map_Stats!$A$2:$A$779,$F82&amp;"|"&amp;$H82))</f>
        <v/>
      </c>
      <c r="Y82" s="11">
        <f>IF($H82="","",IFERROR(1/(1/INDEX(Map_Stats!$K$2:$K$779,MATCH($F82&amp;"|"&amp;$H82,Map_Stats!$A$2:$A$779,0))),$O82))</f>
        <v/>
      </c>
      <c r="Z82" s="8">
        <f>IF(OR($H82="",$P82=""),"",IFERROR(1/(1/INDEX(Map_Stats!$I$2:$I$779,MATCH($F82&amp;"|"&amp;$H82,Map_Stats!$A$2:$A$779,0))),$P82))</f>
        <v/>
      </c>
      <c r="AA82" s="11">
        <f>IF(OR($H82="",Y82=""),"",IF($O82="",Y82,(X82*Y82+Config!$B$4*$O82)/(X82+Config!$B$4)))</f>
        <v/>
      </c>
      <c r="AB82" s="8">
        <f>IF(Z82="","",(X82*Z82+Config!$B$4*$P82)/(X82+Config!$B$4))</f>
        <v/>
      </c>
      <c r="AC82" s="15">
        <f>IF(OR(AA82="",$K82=""),"",AA82*$K82*($K82/Config!$B$10)^Config!$B$9)</f>
        <v/>
      </c>
      <c r="AD82" s="15">
        <f>IF(OR(AC82="",AB82=""),"",AC82*AB82)</f>
        <v/>
      </c>
      <c r="AE82">
        <f>IF($I82="",0,SUMIFS(Map_Stats!$F$2:$F$779,Map_Stats!$A$2:$A$779,$F82&amp;"|"&amp;$I82))</f>
        <v/>
      </c>
      <c r="AF82" s="11">
        <f>IF($I82="","",IFERROR(1/(1/INDEX(Map_Stats!$K$2:$K$779,MATCH($F82&amp;"|"&amp;$I82,Map_Stats!$A$2:$A$779,0))),$O82))</f>
        <v/>
      </c>
      <c r="AG82" s="8">
        <f>IF(OR($I82="",$P82=""),"",IFERROR(1/(1/INDEX(Map_Stats!$I$2:$I$779,MATCH($F82&amp;"|"&amp;$I82,Map_Stats!$A$2:$A$779,0))),$P82))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IF($C82=Board!$B$2,COUNTIFS($C$2:$C$124,Board!$B$2,$AL$2:$AL$124,"&gt;"&amp;$AL82)+COUNTIFS($C$1:$C81,Board!$B$2,$AL$1:$AL81,$AL82)+1,"")</f>
        <v/>
      </c>
      <c r="AS82">
        <f>IFERROR(IF($D82=INDEX(Matches!$AD$5:$AD$19,MATCH($C82,Matches!$A$5:$A$19,0)),"A",IF($D82=INDEX(Matches!$AE$5:$AE$19,MATCH($C82,Matches!$A$5:$A$19,0)),"B","")),"")</f>
        <v/>
      </c>
      <c r="AT82" s="8">
        <f>IF($AS82="","",IFERROR(IF($AS82="A",INDEX(Matches!$AI$5:$AI$19,MATCH($C82,Matches!$A$5:$A$19,0)),INDEX(Matches!$AJ$5:$AJ$19,MATCH($C82,Matches!$A$5:$A$19,0))),""))</f>
        <v/>
      </c>
      <c r="AU82" s="8">
        <f>IF($AS82="","",IFERROR(IF(INDEX(Matches!$AP$5:$AP$19,MATCH($C82,Matches!$A$5:$A$19,0))="","",IF($AS82="A",INDEX(Matches!$AP$5:$AP$19,MATCH($C82,Matches!$A$5:$A$19,0)),1-INDEX(Matches!$AP$5:$AP$19,MATCH($C82,Matches!$A$5:$A$19,0)))),""))</f>
        <v/>
      </c>
      <c r="AV82" s="11">
        <f>IF(OR($AU82="",$AT82=""),1,((Config!$B$14*$AU82+Config!$B$15*(1-$AU82))/(Config!$B$14*$AT82+Config!$B$15*(1-$AT82)))^Config!$B$13)</f>
        <v/>
      </c>
      <c r="AW82" s="8">
        <f>IF($AS82="","",IFERROR(IF(INDEX(Matches!$AV$5:$AV$19,MATCH($C82,Matches!$A$5:$A$19,0))="","",IF($AS82="A",INDEX(Matches!$AV$5:$AV$19,MATCH($C82,Matches!$A$5:$A$19,0)),1-INDEX(Matches!$AV$5:$AV$19,MATCH($C82,Matches!$A$5:$A$19,0)))),""))</f>
        <v/>
      </c>
      <c r="AX82" s="11">
        <f>IF(OR($AW82="",$AT82=""),1,((Config!$B$14*$AW82+Config!$B$15*(1-$AW82))/(Config!$B$14*$AT82+Config!$B$15*(1-$AT82)))^Config!$B$13)</f>
        <v/>
      </c>
      <c r="AY82" s="8">
        <f>IF($AS82="","",IFERROR(IF(INDEX(Matches!$BB$5:$BB$19,MATCH($C82,Matches!$A$5:$A$19,0))="","",IF($AS82="A",INDEX(Matches!$BB$5:$BB$19,MATCH($C82,Matches!$A$5:$A$19,0)),1-INDEX(Matches!$BB$5:$BB$19,MATCH($C82,Matches!$A$5:$A$19,0)))),""))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1wpbb1hb0wgcwoh|CS2 · LGC vs DEN</t>
        </is>
      </c>
      <c r="B83" t="inlineStr">
        <is>
          <t>CS2</t>
        </is>
      </c>
      <c r="C83" t="inlineStr">
        <is>
          <t>CS2 · LGC vs DEN</t>
        </is>
      </c>
      <c r="D83" t="inlineStr">
        <is>
          <t>LGC</t>
        </is>
      </c>
      <c r="E83" t="inlineStr">
        <is>
          <t>latto</t>
        </is>
      </c>
      <c r="F83" t="inlineStr">
        <is>
          <t>1wpbb1hb0wgcwoh</t>
        </is>
      </c>
      <c r="G83">
        <f>IFERROR(IF(INDEX(Matches!$W$5:$W$19,MATCH($C83,Matches!$A$5:$A$19,0))="","",INDEX(Matches!$W$5:$W$19,MATCH($C83,Matches!$A$5:$A$19,0))),"")</f>
        <v/>
      </c>
      <c r="H83">
        <f>IFERROR(IF(INDEX(Matches!$X$5:$X$19,MATCH($C83,Matches!$A$5:$A$19,0))="","",INDEX(Matches!$X$5:$X$19,MATCH($C83,Matches!$A$5:$A$19,0))),"")</f>
        <v/>
      </c>
      <c r="I83">
        <f>IFERROR(IF(INDEX(Matches!$Y$5:$Y$19,MATCH($C83,Matches!$A$5:$A$19,0))="","",INDEX(Matches!$Y$5:$Y$19,MATCH($C83,Matches!$A$5:$A$19,0))),"")</f>
        <v/>
      </c>
      <c r="J83">
        <f>IFERROR(IF(INDEX(Matches!$Z$5:$Z$19,MATCH($C83,Matches!$A$5:$A$19,0))="","",INDEX(Matches!$Z$5:$Z$19,MATCH($C83,Matches!$A$5:$A$19,0))),"")</f>
        <v/>
      </c>
      <c r="K83">
        <f>IFERROR(IF(INDEX(Matches!$AA$5:$AA$19,MATCH($C83,Matches!$A$5:$A$19,0))="","",INDEX(Matches!$AA$5:$AA$19,MATCH($C83,Matches!$A$5:$A$19,0))),"")</f>
        <v/>
      </c>
      <c r="L83">
        <f>IFERROR(IF(INDEX(Matches!$AB$5:$AB$19,MATCH($C83,Matches!$A$5:$A$19,0))="","",INDEX(Matches!$AB$5:$AB$19,MATCH($C83,Matches!$A$5:$A$19,0))),"")</f>
        <v/>
      </c>
      <c r="M83" s="8">
        <f>IFERROR(IF(INDEX(Matches!$AC$5:$AC$19,MATCH($C83,Matches!$A$5:$A$19,0))="","",INDEX(Matches!$AC$5:$AC$19,MATCH($C83,Matches!$A$5:$A$19,0))),"")</f>
        <v/>
      </c>
      <c r="N83">
        <f>IFERROR(INDEX(Players!$F$2:$F$124,MATCH($F83,Players!$A$2:$A$124,0)),0)</f>
        <v/>
      </c>
      <c r="O83" s="11">
        <f>IFERROR(1/(1/INDEX(Players!$H$2:$H$124,MATCH($F83,Players!$A$2:$A$124,0))),"")</f>
        <v/>
      </c>
      <c r="P83" s="8">
        <f>IFERROR(1/(1/INDEX(Players!$I$2:$I$124,MATCH($F83,Players!$A$2:$A$124,0))),"")</f>
        <v/>
      </c>
      <c r="Q83">
        <f>IF($G83="",0,SUMIFS(Map_Stats!$F$2:$F$779,Map_Stats!$A$2:$A$779,$F83&amp;"|"&amp;$G83))</f>
        <v/>
      </c>
      <c r="R83" s="11">
        <f>IF($G83="","",IFERROR(1/(1/INDEX(Map_Stats!$K$2:$K$779,MATCH($F83&amp;"|"&amp;$G83,Map_Stats!$A$2:$A$779,0))),$O83))</f>
        <v/>
      </c>
      <c r="S83" s="8">
        <f>IF(OR($G83="",$P83=""),"",IFERROR(1/(1/INDEX(Map_Stats!$I$2:$I$779,MATCH($F83&amp;"|"&amp;$G83,Map_Stats!$A$2:$A$779,0))),$P83))</f>
        <v/>
      </c>
      <c r="T83" s="11">
        <f>IF(OR($G83="",R83=""),"",IF($O83="",R83,(Q83*R83+Config!$B$4*$O83)/(Q83+Config!$B$4)))</f>
        <v/>
      </c>
      <c r="U83" s="8">
        <f>IF(S83="","",(Q83*S83+Config!$B$4*$P83)/(Q83+Config!$B$4))</f>
        <v/>
      </c>
      <c r="V83" s="15">
        <f>IF(OR(T83="",$J83=""),"",T83*$J83*($J83/Config!$B$10)^Config!$B$9)</f>
        <v/>
      </c>
      <c r="W83" s="15">
        <f>IF(OR(V83="",U83=""),"",V83*U83)</f>
        <v/>
      </c>
      <c r="X83">
        <f>IF($H83="",0,SUMIFS(Map_Stats!$F$2:$F$779,Map_Stats!$A$2:$A$779,$F83&amp;"|"&amp;$H83))</f>
        <v/>
      </c>
      <c r="Y83" s="11">
        <f>IF($H83="","",IFERROR(1/(1/INDEX(Map_Stats!$K$2:$K$779,MATCH($F83&amp;"|"&amp;$H83,Map_Stats!$A$2:$A$779,0))),$O83))</f>
        <v/>
      </c>
      <c r="Z83" s="8">
        <f>IF(OR($H83="",$P83=""),"",IFERROR(1/(1/INDEX(Map_Stats!$I$2:$I$779,MATCH($F83&amp;"|"&amp;$H83,Map_Stats!$A$2:$A$779,0))),$P83))</f>
        <v/>
      </c>
      <c r="AA83" s="11">
        <f>IF(OR($H83="",Y83=""),"",IF($O83="",Y83,(X83*Y83+Config!$B$4*$O83)/(X83+Config!$B$4)))</f>
        <v/>
      </c>
      <c r="AB83" s="8">
        <f>IF(Z83="","",(X83*Z83+Config!$B$4*$P83)/(X83+Config!$B$4))</f>
        <v/>
      </c>
      <c r="AC83" s="15">
        <f>IF(OR(AA83="",$K83=""),"",AA83*$K83*($K83/Config!$B$10)^Config!$B$9)</f>
        <v/>
      </c>
      <c r="AD83" s="15">
        <f>IF(OR(AC83="",AB83=""),"",AC83*AB83)</f>
        <v/>
      </c>
      <c r="AE83">
        <f>IF($I83="",0,SUMIFS(Map_Stats!$F$2:$F$779,Map_Stats!$A$2:$A$779,$F83&amp;"|"&amp;$I83))</f>
        <v/>
      </c>
      <c r="AF83" s="11">
        <f>IF($I83="","",IFERROR(1/(1/INDEX(Map_Stats!$K$2:$K$779,MATCH($F83&amp;"|"&amp;$I83,Map_Stats!$A$2:$A$779,0))),$O83))</f>
        <v/>
      </c>
      <c r="AG83" s="8">
        <f>IF(OR($I83="",$P83=""),"",IFERROR(1/(1/INDEX(Map_Stats!$I$2:$I$779,MATCH($F83&amp;"|"&amp;$I83,Map_Stats!$A$2:$A$779,0))),$P83))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IF($C83=Board!$B$2,COUNTIFS($C$2:$C$124,Board!$B$2,$AL$2:$AL$124,"&gt;"&amp;$AL83)+COUNTIFS($C$1:$C82,Board!$B$2,$AL$1:$AL82,$AL83)+1,"")</f>
        <v/>
      </c>
      <c r="AS83">
        <f>IFERROR(IF($D83=INDEX(Matches!$AD$5:$AD$19,MATCH($C83,Matches!$A$5:$A$19,0)),"A",IF($D83=INDEX(Matches!$AE$5:$AE$19,MATCH($C83,Matches!$A$5:$A$19,0)),"B","")),"")</f>
        <v/>
      </c>
      <c r="AT83" s="8">
        <f>IF($AS83="","",IFERROR(IF($AS83="A",INDEX(Matches!$AI$5:$AI$19,MATCH($C83,Matches!$A$5:$A$19,0)),INDEX(Matches!$AJ$5:$AJ$19,MATCH($C83,Matches!$A$5:$A$19,0))),""))</f>
        <v/>
      </c>
      <c r="AU83" s="8">
        <f>IF($AS83="","",IFERROR(IF(INDEX(Matches!$AP$5:$AP$19,MATCH($C83,Matches!$A$5:$A$19,0))="","",IF($AS83="A",INDEX(Matches!$AP$5:$AP$19,MATCH($C83,Matches!$A$5:$A$19,0)),1-INDEX(Matches!$AP$5:$AP$19,MATCH($C83,Matches!$A$5:$A$19,0)))),""))</f>
        <v/>
      </c>
      <c r="AV83" s="11">
        <f>IF(OR($AU83="",$AT83=""),1,((Config!$B$14*$AU83+Config!$B$15*(1-$AU83))/(Config!$B$14*$AT83+Config!$B$15*(1-$AT83)))^Config!$B$13)</f>
        <v/>
      </c>
      <c r="AW83" s="8">
        <f>IF($AS83="","",IFERROR(IF(INDEX(Matches!$AV$5:$AV$19,MATCH($C83,Matches!$A$5:$A$19,0))="","",IF($AS83="A",INDEX(Matches!$AV$5:$AV$19,MATCH($C83,Matches!$A$5:$A$19,0)),1-INDEX(Matches!$AV$5:$AV$19,MATCH($C83,Matches!$A$5:$A$19,0)))),""))</f>
        <v/>
      </c>
      <c r="AX83" s="11">
        <f>IF(OR($AW83="",$AT83=""),1,((Config!$B$14*$AW83+Config!$B$15*(1-$AW83))/(Config!$B$14*$AT83+Config!$B$15*(1-$AT83)))^Config!$B$13)</f>
        <v/>
      </c>
      <c r="AY83" s="8">
        <f>IF($AS83="","",IFERROR(IF(INDEX(Matches!$BB$5:$BB$19,MATCH($C83,Matches!$A$5:$A$19,0))="","",IF($AS83="A",INDEX(Matches!$BB$5:$BB$19,MATCH($C83,Matches!$A$5:$A$19,0)),1-INDEX(Matches!$BB$5:$BB$19,MATCH($C83,Matches!$A$5:$A$19,0)))),""))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wgxwl9snnyzsfwq|CS2 · LGC vs DEN</t>
        </is>
      </c>
      <c r="B84" t="inlineStr">
        <is>
          <t>CS2</t>
        </is>
      </c>
      <c r="C84" t="inlineStr">
        <is>
          <t>CS2 · LGC vs DEN</t>
        </is>
      </c>
      <c r="D84" t="inlineStr">
        <is>
          <t>LGC</t>
        </is>
      </c>
      <c r="E84" t="inlineStr">
        <is>
          <t>n1ssim</t>
        </is>
      </c>
      <c r="F84" t="inlineStr">
        <is>
          <t>wgxwl9snnyzsfwq</t>
        </is>
      </c>
      <c r="G84">
        <f>IFERROR(IF(INDEX(Matches!$W$5:$W$19,MATCH($C84,Matches!$A$5:$A$19,0))="","",INDEX(Matches!$W$5:$W$19,MATCH($C84,Matches!$A$5:$A$19,0))),"")</f>
        <v/>
      </c>
      <c r="H84">
        <f>IFERROR(IF(INDEX(Matches!$X$5:$X$19,MATCH($C84,Matches!$A$5:$A$19,0))="","",INDEX(Matches!$X$5:$X$19,MATCH($C84,Matches!$A$5:$A$19,0))),"")</f>
        <v/>
      </c>
      <c r="I84">
        <f>IFERROR(IF(INDEX(Matches!$Y$5:$Y$19,MATCH($C84,Matches!$A$5:$A$19,0))="","",INDEX(Matches!$Y$5:$Y$19,MATCH($C84,Matches!$A$5:$A$19,0))),"")</f>
        <v/>
      </c>
      <c r="J84">
        <f>IFERROR(IF(INDEX(Matches!$Z$5:$Z$19,MATCH($C84,Matches!$A$5:$A$19,0))="","",INDEX(Matches!$Z$5:$Z$19,MATCH($C84,Matches!$A$5:$A$19,0))),"")</f>
        <v/>
      </c>
      <c r="K84">
        <f>IFERROR(IF(INDEX(Matches!$AA$5:$AA$19,MATCH($C84,Matches!$A$5:$A$19,0))="","",INDEX(Matches!$AA$5:$AA$19,MATCH($C84,Matches!$A$5:$A$19,0))),"")</f>
        <v/>
      </c>
      <c r="L84">
        <f>IFERROR(IF(INDEX(Matches!$AB$5:$AB$19,MATCH($C84,Matches!$A$5:$A$19,0))="","",INDEX(Matches!$AB$5:$AB$19,MATCH($C84,Matches!$A$5:$A$19,0))),"")</f>
        <v/>
      </c>
      <c r="M84" s="8">
        <f>IFERROR(IF(INDEX(Matches!$AC$5:$AC$19,MATCH($C84,Matches!$A$5:$A$19,0))="","",INDEX(Matches!$AC$5:$AC$19,MATCH($C84,Matches!$A$5:$A$19,0))),"")</f>
        <v/>
      </c>
      <c r="N84">
        <f>IFERROR(INDEX(Players!$F$2:$F$124,MATCH($F84,Players!$A$2:$A$124,0)),0)</f>
        <v/>
      </c>
      <c r="O84" s="11">
        <f>IFERROR(1/(1/INDEX(Players!$H$2:$H$124,MATCH($F84,Players!$A$2:$A$124,0))),"")</f>
        <v/>
      </c>
      <c r="P84" s="8">
        <f>IFERROR(1/(1/INDEX(Players!$I$2:$I$124,MATCH($F84,Players!$A$2:$A$124,0))),"")</f>
        <v/>
      </c>
      <c r="Q84">
        <f>IF($G84="",0,SUMIFS(Map_Stats!$F$2:$F$779,Map_Stats!$A$2:$A$779,$F84&amp;"|"&amp;$G84))</f>
        <v/>
      </c>
      <c r="R84" s="11">
        <f>IF($G84="","",IFERROR(1/(1/INDEX(Map_Stats!$K$2:$K$779,MATCH($F84&amp;"|"&amp;$G84,Map_Stats!$A$2:$A$779,0))),$O84))</f>
        <v/>
      </c>
      <c r="S84" s="8">
        <f>IF(OR($G84="",$P84=""),"",IFERROR(1/(1/INDEX(Map_Stats!$I$2:$I$779,MATCH($F84&amp;"|"&amp;$G84,Map_Stats!$A$2:$A$779,0))),$P84))</f>
        <v/>
      </c>
      <c r="T84" s="11">
        <f>IF(OR($G84="",R84=""),"",IF($O84="",R84,(Q84*R84+Config!$B$4*$O84)/(Q84+Config!$B$4)))</f>
        <v/>
      </c>
      <c r="U84" s="8">
        <f>IF(S84="","",(Q84*S84+Config!$B$4*$P84)/(Q84+Config!$B$4))</f>
        <v/>
      </c>
      <c r="V84" s="15">
        <f>IF(OR(T84="",$J84=""),"",T84*$J84*($J84/Config!$B$10)^Config!$B$9)</f>
        <v/>
      </c>
      <c r="W84" s="15">
        <f>IF(OR(V84="",U84=""),"",V84*U84)</f>
        <v/>
      </c>
      <c r="X84">
        <f>IF($H84="",0,SUMIFS(Map_Stats!$F$2:$F$779,Map_Stats!$A$2:$A$779,$F84&amp;"|"&amp;$H84))</f>
        <v/>
      </c>
      <c r="Y84" s="11">
        <f>IF($H84="","",IFERROR(1/(1/INDEX(Map_Stats!$K$2:$K$779,MATCH($F84&amp;"|"&amp;$H84,Map_Stats!$A$2:$A$779,0))),$O84))</f>
        <v/>
      </c>
      <c r="Z84" s="8">
        <f>IF(OR($H84="",$P84=""),"",IFERROR(1/(1/INDEX(Map_Stats!$I$2:$I$779,MATCH($F84&amp;"|"&amp;$H84,Map_Stats!$A$2:$A$779,0))),$P84))</f>
        <v/>
      </c>
      <c r="AA84" s="11">
        <f>IF(OR($H84="",Y84=""),"",IF($O84="",Y84,(X84*Y84+Config!$B$4*$O84)/(X84+Config!$B$4)))</f>
        <v/>
      </c>
      <c r="AB84" s="8">
        <f>IF(Z84="","",(X84*Z84+Config!$B$4*$P84)/(X84+Config!$B$4))</f>
        <v/>
      </c>
      <c r="AC84" s="15">
        <f>IF(OR(AA84="",$K84=""),"",AA84*$K84*($K84/Config!$B$10)^Config!$B$9)</f>
        <v/>
      </c>
      <c r="AD84" s="15">
        <f>IF(OR(AC84="",AB84=""),"",AC84*AB84)</f>
        <v/>
      </c>
      <c r="AE84">
        <f>IF($I84="",0,SUMIFS(Map_Stats!$F$2:$F$779,Map_Stats!$A$2:$A$779,$F84&amp;"|"&amp;$I84))</f>
        <v/>
      </c>
      <c r="AF84" s="11">
        <f>IF($I84="","",IFERROR(1/(1/INDEX(Map_Stats!$K$2:$K$779,MATCH($F84&amp;"|"&amp;$I84,Map_Stats!$A$2:$A$779,0))),$O84))</f>
        <v/>
      </c>
      <c r="AG84" s="8">
        <f>IF(OR($I84="",$P84=""),"",IFERROR(1/(1/INDEX(Map_Stats!$I$2:$I$779,MATCH($F84&amp;"|"&amp;$I84,Map_Stats!$A$2:$A$779,0))),$P84))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IF($C84=Board!$B$2,COUNTIFS($C$2:$C$124,Board!$B$2,$AL$2:$AL$124,"&gt;"&amp;$AL84)+COUNTIFS($C$1:$C83,Board!$B$2,$AL$1:$AL83,$AL84)+1,"")</f>
        <v/>
      </c>
      <c r="AS84">
        <f>IFERROR(IF($D84=INDEX(Matches!$AD$5:$AD$19,MATCH($C84,Matches!$A$5:$A$19,0)),"A",IF($D84=INDEX(Matches!$AE$5:$AE$19,MATCH($C84,Matches!$A$5:$A$19,0)),"B","")),"")</f>
        <v/>
      </c>
      <c r="AT84" s="8">
        <f>IF($AS84="","",IFERROR(IF($AS84="A",INDEX(Matches!$AI$5:$AI$19,MATCH($C84,Matches!$A$5:$A$19,0)),INDEX(Matches!$AJ$5:$AJ$19,MATCH($C84,Matches!$A$5:$A$19,0))),""))</f>
        <v/>
      </c>
      <c r="AU84" s="8">
        <f>IF($AS84="","",IFERROR(IF(INDEX(Matches!$AP$5:$AP$19,MATCH($C84,Matches!$A$5:$A$19,0))="","",IF($AS84="A",INDEX(Matches!$AP$5:$AP$19,MATCH($C84,Matches!$A$5:$A$19,0)),1-INDEX(Matches!$AP$5:$AP$19,MATCH($C84,Matches!$A$5:$A$19,0)))),""))</f>
        <v/>
      </c>
      <c r="AV84" s="11">
        <f>IF(OR($AU84="",$AT84=""),1,((Config!$B$14*$AU84+Config!$B$15*(1-$AU84))/(Config!$B$14*$AT84+Config!$B$15*(1-$AT84)))^Config!$B$13)</f>
        <v/>
      </c>
      <c r="AW84" s="8">
        <f>IF($AS84="","",IFERROR(IF(INDEX(Matches!$AV$5:$AV$19,MATCH($C84,Matches!$A$5:$A$19,0))="","",IF($AS84="A",INDEX(Matches!$AV$5:$AV$19,MATCH($C84,Matches!$A$5:$A$19,0)),1-INDEX(Matches!$AV$5:$AV$19,MATCH($C84,Matches!$A$5:$A$19,0)))),""))</f>
        <v/>
      </c>
      <c r="AX84" s="11">
        <f>IF(OR($AW84="",$AT84=""),1,((Config!$B$14*$AW84+Config!$B$15*(1-$AW84))/(Config!$B$14*$AT84+Config!$B$15*(1-$AT84)))^Config!$B$13)</f>
        <v/>
      </c>
      <c r="AY84" s="8">
        <f>IF($AS84="","",IFERROR(IF(INDEX(Matches!$BB$5:$BB$19,MATCH($C84,Matches!$A$5:$A$19,0))="","",IF($AS84="A",INDEX(Matches!$BB$5:$BB$19,MATCH($C84,Matches!$A$5:$A$19,0)),1-INDEX(Matches!$BB$5:$BB$19,MATCH($C84,Matches!$A$5:$A$19,0)))),""))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qtomd625i03qfpk|CS2 · LGC vs DEN</t>
        </is>
      </c>
      <c r="B85" t="inlineStr">
        <is>
          <t>CS2</t>
        </is>
      </c>
      <c r="C85" t="inlineStr">
        <is>
          <t>CS2 · LGC vs DEN</t>
        </is>
      </c>
      <c r="D85" t="inlineStr">
        <is>
          <t>LGC</t>
        </is>
      </c>
      <c r="E85" t="inlineStr">
        <is>
          <t>try</t>
        </is>
      </c>
      <c r="F85" t="inlineStr">
        <is>
          <t>qtomd625i03qfpk</t>
        </is>
      </c>
      <c r="G85">
        <f>IFERROR(IF(INDEX(Matches!$W$5:$W$19,MATCH($C85,Matches!$A$5:$A$19,0))="","",INDEX(Matches!$W$5:$W$19,MATCH($C85,Matches!$A$5:$A$19,0))),"")</f>
        <v/>
      </c>
      <c r="H85">
        <f>IFERROR(IF(INDEX(Matches!$X$5:$X$19,MATCH($C85,Matches!$A$5:$A$19,0))="","",INDEX(Matches!$X$5:$X$19,MATCH($C85,Matches!$A$5:$A$19,0))),"")</f>
        <v/>
      </c>
      <c r="I85">
        <f>IFERROR(IF(INDEX(Matches!$Y$5:$Y$19,MATCH($C85,Matches!$A$5:$A$19,0))="","",INDEX(Matches!$Y$5:$Y$19,MATCH($C85,Matches!$A$5:$A$19,0))),"")</f>
        <v/>
      </c>
      <c r="J85">
        <f>IFERROR(IF(INDEX(Matches!$Z$5:$Z$19,MATCH($C85,Matches!$A$5:$A$19,0))="","",INDEX(Matches!$Z$5:$Z$19,MATCH($C85,Matches!$A$5:$A$19,0))),"")</f>
        <v/>
      </c>
      <c r="K85">
        <f>IFERROR(IF(INDEX(Matches!$AA$5:$AA$19,MATCH($C85,Matches!$A$5:$A$19,0))="","",INDEX(Matches!$AA$5:$AA$19,MATCH($C85,Matches!$A$5:$A$19,0))),"")</f>
        <v/>
      </c>
      <c r="L85">
        <f>IFERROR(IF(INDEX(Matches!$AB$5:$AB$19,MATCH($C85,Matches!$A$5:$A$19,0))="","",INDEX(Matches!$AB$5:$AB$19,MATCH($C85,Matches!$A$5:$A$19,0))),"")</f>
        <v/>
      </c>
      <c r="M85" s="8">
        <f>IFERROR(IF(INDEX(Matches!$AC$5:$AC$19,MATCH($C85,Matches!$A$5:$A$19,0))="","",INDEX(Matches!$AC$5:$AC$19,MATCH($C85,Matches!$A$5:$A$19,0))),"")</f>
        <v/>
      </c>
      <c r="N85">
        <f>IFERROR(INDEX(Players!$F$2:$F$124,MATCH($F85,Players!$A$2:$A$124,0)),0)</f>
        <v/>
      </c>
      <c r="O85" s="11">
        <f>IFERROR(1/(1/INDEX(Players!$H$2:$H$124,MATCH($F85,Players!$A$2:$A$124,0))),"")</f>
        <v/>
      </c>
      <c r="P85" s="8">
        <f>IFERROR(1/(1/INDEX(Players!$I$2:$I$124,MATCH($F85,Players!$A$2:$A$124,0))),"")</f>
        <v/>
      </c>
      <c r="Q85">
        <f>IF($G85="",0,SUMIFS(Map_Stats!$F$2:$F$779,Map_Stats!$A$2:$A$779,$F85&amp;"|"&amp;$G85))</f>
        <v/>
      </c>
      <c r="R85" s="11">
        <f>IF($G85="","",IFERROR(1/(1/INDEX(Map_Stats!$K$2:$K$779,MATCH($F85&amp;"|"&amp;$G85,Map_Stats!$A$2:$A$779,0))),$O85))</f>
        <v/>
      </c>
      <c r="S85" s="8">
        <f>IF(OR($G85="",$P85=""),"",IFERROR(1/(1/INDEX(Map_Stats!$I$2:$I$779,MATCH($F85&amp;"|"&amp;$G85,Map_Stats!$A$2:$A$779,0))),$P85))</f>
        <v/>
      </c>
      <c r="T85" s="11">
        <f>IF(OR($G85="",R85=""),"",IF($O85="",R85,(Q85*R85+Config!$B$4*$O85)/(Q85+Config!$B$4)))</f>
        <v/>
      </c>
      <c r="U85" s="8">
        <f>IF(S85="","",(Q85*S85+Config!$B$4*$P85)/(Q85+Config!$B$4))</f>
        <v/>
      </c>
      <c r="V85" s="15">
        <f>IF(OR(T85="",$J85=""),"",T85*$J85*($J85/Config!$B$10)^Config!$B$9)</f>
        <v/>
      </c>
      <c r="W85" s="15">
        <f>IF(OR(V85="",U85=""),"",V85*U85)</f>
        <v/>
      </c>
      <c r="X85">
        <f>IF($H85="",0,SUMIFS(Map_Stats!$F$2:$F$779,Map_Stats!$A$2:$A$779,$F85&amp;"|"&amp;$H85))</f>
        <v/>
      </c>
      <c r="Y85" s="11">
        <f>IF($H85="","",IFERROR(1/(1/INDEX(Map_Stats!$K$2:$K$779,MATCH($F85&amp;"|"&amp;$H85,Map_Stats!$A$2:$A$779,0))),$O85))</f>
        <v/>
      </c>
      <c r="Z85" s="8">
        <f>IF(OR($H85="",$P85=""),"",IFERROR(1/(1/INDEX(Map_Stats!$I$2:$I$779,MATCH($F85&amp;"|"&amp;$H85,Map_Stats!$A$2:$A$779,0))),$P85))</f>
        <v/>
      </c>
      <c r="AA85" s="11">
        <f>IF(OR($H85="",Y85=""),"",IF($O85="",Y85,(X85*Y85+Config!$B$4*$O85)/(X85+Config!$B$4)))</f>
        <v/>
      </c>
      <c r="AB85" s="8">
        <f>IF(Z85="","",(X85*Z85+Config!$B$4*$P85)/(X85+Config!$B$4))</f>
        <v/>
      </c>
      <c r="AC85" s="15">
        <f>IF(OR(AA85="",$K85=""),"",AA85*$K85*($K85/Config!$B$10)^Config!$B$9)</f>
        <v/>
      </c>
      <c r="AD85" s="15">
        <f>IF(OR(AC85="",AB85=""),"",AC85*AB85)</f>
        <v/>
      </c>
      <c r="AE85">
        <f>IF($I85="",0,SUMIFS(Map_Stats!$F$2:$F$779,Map_Stats!$A$2:$A$779,$F85&amp;"|"&amp;$I85))</f>
        <v/>
      </c>
      <c r="AF85" s="11">
        <f>IF($I85="","",IFERROR(1/(1/INDEX(Map_Stats!$K$2:$K$779,MATCH($F85&amp;"|"&amp;$I85,Map_Stats!$A$2:$A$779,0))),$O85))</f>
        <v/>
      </c>
      <c r="AG85" s="8">
        <f>IF(OR($I85="",$P85=""),"",IFERROR(1/(1/INDEX(Map_Stats!$I$2:$I$779,MATCH($F85&amp;"|"&amp;$I85,Map_Stats!$A$2:$A$779,0))),$P85))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IF($C85=Board!$B$2,COUNTIFS($C$2:$C$124,Board!$B$2,$AL$2:$AL$124,"&gt;"&amp;$AL85)+COUNTIFS($C$1:$C84,Board!$B$2,$AL$1:$AL84,$AL85)+1,"")</f>
        <v/>
      </c>
      <c r="AS85">
        <f>IFERROR(IF($D85=INDEX(Matches!$AD$5:$AD$19,MATCH($C85,Matches!$A$5:$A$19,0)),"A",IF($D85=INDEX(Matches!$AE$5:$AE$19,MATCH($C85,Matches!$A$5:$A$19,0)),"B","")),"")</f>
        <v/>
      </c>
      <c r="AT85" s="8">
        <f>IF($AS85="","",IFERROR(IF($AS85="A",INDEX(Matches!$AI$5:$AI$19,MATCH($C85,Matches!$A$5:$A$19,0)),INDEX(Matches!$AJ$5:$AJ$19,MATCH($C85,Matches!$A$5:$A$19,0))),""))</f>
        <v/>
      </c>
      <c r="AU85" s="8">
        <f>IF($AS85="","",IFERROR(IF(INDEX(Matches!$AP$5:$AP$19,MATCH($C85,Matches!$A$5:$A$19,0))="","",IF($AS85="A",INDEX(Matches!$AP$5:$AP$19,MATCH($C85,Matches!$A$5:$A$19,0)),1-INDEX(Matches!$AP$5:$AP$19,MATCH($C85,Matches!$A$5:$A$19,0)))),""))</f>
        <v/>
      </c>
      <c r="AV85" s="11">
        <f>IF(OR($AU85="",$AT85=""),1,((Config!$B$14*$AU85+Config!$B$15*(1-$AU85))/(Config!$B$14*$AT85+Config!$B$15*(1-$AT85)))^Config!$B$13)</f>
        <v/>
      </c>
      <c r="AW85" s="8">
        <f>IF($AS85="","",IFERROR(IF(INDEX(Matches!$AV$5:$AV$19,MATCH($C85,Matches!$A$5:$A$19,0))="","",IF($AS85="A",INDEX(Matches!$AV$5:$AV$19,MATCH($C85,Matches!$A$5:$A$19,0)),1-INDEX(Matches!$AV$5:$AV$19,MATCH($C85,Matches!$A$5:$A$19,0)))),""))</f>
        <v/>
      </c>
      <c r="AX85" s="11">
        <f>IF(OR($AW85="",$AT85=""),1,((Config!$B$14*$AW85+Config!$B$15*(1-$AW85))/(Config!$B$14*$AT85+Config!$B$15*(1-$AT85)))^Config!$B$13)</f>
        <v/>
      </c>
      <c r="AY85" s="8">
        <f>IF($AS85="","",IFERROR(IF(INDEX(Matches!$BB$5:$BB$19,MATCH($C85,Matches!$A$5:$A$19,0))="","",IF($AS85="A",INDEX(Matches!$BB$5:$BB$19,MATCH($C85,Matches!$A$5:$A$19,0)),1-INDEX(Matches!$BB$5:$BB$19,MATCH($C85,Matches!$A$5:$A$19,0)))),""))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id2uf5ot80ms5oo|CS2 · MOUZ vs 9z</t>
        </is>
      </c>
      <c r="B86" t="inlineStr">
        <is>
          <t>CS2</t>
        </is>
      </c>
      <c r="C86" t="inlineStr">
        <is>
          <t>CS2 · MOUZ vs 9z</t>
        </is>
      </c>
      <c r="D86" t="inlineStr">
        <is>
          <t>9z</t>
        </is>
      </c>
      <c r="E86" t="inlineStr">
        <is>
          <t>dgt</t>
        </is>
      </c>
      <c r="F86" t="inlineStr">
        <is>
          <t>id2uf5ot80ms5oo</t>
        </is>
      </c>
      <c r="G86">
        <f>IFERROR(IF(INDEX(Matches!$W$5:$W$19,MATCH($C86,Matches!$A$5:$A$19,0))="","",INDEX(Matches!$W$5:$W$19,MATCH($C86,Matches!$A$5:$A$19,0))),"")</f>
        <v/>
      </c>
      <c r="H86">
        <f>IFERROR(IF(INDEX(Matches!$X$5:$X$19,MATCH($C86,Matches!$A$5:$A$19,0))="","",INDEX(Matches!$X$5:$X$19,MATCH($C86,Matches!$A$5:$A$19,0))),"")</f>
        <v/>
      </c>
      <c r="I86">
        <f>IFERROR(IF(INDEX(Matches!$Y$5:$Y$19,MATCH($C86,Matches!$A$5:$A$19,0))="","",INDEX(Matches!$Y$5:$Y$19,MATCH($C86,Matches!$A$5:$A$19,0))),"")</f>
        <v/>
      </c>
      <c r="J86">
        <f>IFERROR(IF(INDEX(Matches!$Z$5:$Z$19,MATCH($C86,Matches!$A$5:$A$19,0))="","",INDEX(Matches!$Z$5:$Z$19,MATCH($C86,Matches!$A$5:$A$19,0))),"")</f>
        <v/>
      </c>
      <c r="K86">
        <f>IFERROR(IF(INDEX(Matches!$AA$5:$AA$19,MATCH($C86,Matches!$A$5:$A$19,0))="","",INDEX(Matches!$AA$5:$AA$19,MATCH($C86,Matches!$A$5:$A$19,0))),"")</f>
        <v/>
      </c>
      <c r="L86">
        <f>IFERROR(IF(INDEX(Matches!$AB$5:$AB$19,MATCH($C86,Matches!$A$5:$A$19,0))="","",INDEX(Matches!$AB$5:$AB$19,MATCH($C86,Matches!$A$5:$A$19,0))),"")</f>
        <v/>
      </c>
      <c r="M86" s="8">
        <f>IFERROR(IF(INDEX(Matches!$AC$5:$AC$19,MATCH($C86,Matches!$A$5:$A$19,0))="","",INDEX(Matches!$AC$5:$AC$19,MATCH($C86,Matches!$A$5:$A$19,0))),"")</f>
        <v/>
      </c>
      <c r="N86">
        <f>IFERROR(INDEX(Players!$F$2:$F$124,MATCH($F86,Players!$A$2:$A$124,0)),0)</f>
        <v/>
      </c>
      <c r="O86" s="11">
        <f>IFERROR(1/(1/INDEX(Players!$H$2:$H$124,MATCH($F86,Players!$A$2:$A$124,0))),"")</f>
        <v/>
      </c>
      <c r="P86" s="8">
        <f>IFERROR(1/(1/INDEX(Players!$I$2:$I$124,MATCH($F86,Players!$A$2:$A$124,0))),"")</f>
        <v/>
      </c>
      <c r="Q86">
        <f>IF($G86="",0,SUMIFS(Map_Stats!$F$2:$F$779,Map_Stats!$A$2:$A$779,$F86&amp;"|"&amp;$G86))</f>
        <v/>
      </c>
      <c r="R86" s="11">
        <f>IF($G86="","",IFERROR(1/(1/INDEX(Map_Stats!$K$2:$K$779,MATCH($F86&amp;"|"&amp;$G86,Map_Stats!$A$2:$A$779,0))),$O86))</f>
        <v/>
      </c>
      <c r="S86" s="8">
        <f>IF(OR($G86="",$P86=""),"",IFERROR(1/(1/INDEX(Map_Stats!$I$2:$I$779,MATCH($F86&amp;"|"&amp;$G86,Map_Stats!$A$2:$A$779,0))),$P86))</f>
        <v/>
      </c>
      <c r="T86" s="11">
        <f>IF(OR($G86="",R86=""),"",IF($O86="",R86,(Q86*R86+Config!$B$4*$O86)/(Q86+Config!$B$4)))</f>
        <v/>
      </c>
      <c r="U86" s="8">
        <f>IF(S86="","",(Q86*S86+Config!$B$4*$P86)/(Q86+Config!$B$4))</f>
        <v/>
      </c>
      <c r="V86" s="15">
        <f>IF(OR(T86="",$J86=""),"",T86*$J86*($J86/Config!$B$10)^Config!$B$9)</f>
        <v/>
      </c>
      <c r="W86" s="15">
        <f>IF(OR(V86="",U86=""),"",V86*U86)</f>
        <v/>
      </c>
      <c r="X86">
        <f>IF($H86="",0,SUMIFS(Map_Stats!$F$2:$F$779,Map_Stats!$A$2:$A$779,$F86&amp;"|"&amp;$H86))</f>
        <v/>
      </c>
      <c r="Y86" s="11">
        <f>IF($H86="","",IFERROR(1/(1/INDEX(Map_Stats!$K$2:$K$779,MATCH($F86&amp;"|"&amp;$H86,Map_Stats!$A$2:$A$779,0))),$O86))</f>
        <v/>
      </c>
      <c r="Z86" s="8">
        <f>IF(OR($H86="",$P86=""),"",IFERROR(1/(1/INDEX(Map_Stats!$I$2:$I$779,MATCH($F86&amp;"|"&amp;$H86,Map_Stats!$A$2:$A$779,0))),$P86))</f>
        <v/>
      </c>
      <c r="AA86" s="11">
        <f>IF(OR($H86="",Y86=""),"",IF($O86="",Y86,(X86*Y86+Config!$B$4*$O86)/(X86+Config!$B$4)))</f>
        <v/>
      </c>
      <c r="AB86" s="8">
        <f>IF(Z86="","",(X86*Z86+Config!$B$4*$P86)/(X86+Config!$B$4))</f>
        <v/>
      </c>
      <c r="AC86" s="15">
        <f>IF(OR(AA86="",$K86=""),"",AA86*$K86*($K86/Config!$B$10)^Config!$B$9)</f>
        <v/>
      </c>
      <c r="AD86" s="15">
        <f>IF(OR(AC86="",AB86=""),"",AC86*AB86)</f>
        <v/>
      </c>
      <c r="AE86">
        <f>IF($I86="",0,SUMIFS(Map_Stats!$F$2:$F$779,Map_Stats!$A$2:$A$779,$F86&amp;"|"&amp;$I86))</f>
        <v/>
      </c>
      <c r="AF86" s="11">
        <f>IF($I86="","",IFERROR(1/(1/INDEX(Map_Stats!$K$2:$K$779,MATCH($F86&amp;"|"&amp;$I86,Map_Stats!$A$2:$A$779,0))),$O86))</f>
        <v/>
      </c>
      <c r="AG86" s="8">
        <f>IF(OR($I86="",$P86=""),"",IFERROR(1/(1/INDEX(Map_Stats!$I$2:$I$779,MATCH($F86&amp;"|"&amp;$I86,Map_Stats!$A$2:$A$779,0))),$P86))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IF($C86=Board!$B$2,COUNTIFS($C$2:$C$124,Board!$B$2,$AL$2:$AL$124,"&gt;"&amp;$AL86)+COUNTIFS($C$1:$C85,Board!$B$2,$AL$1:$AL85,$AL86)+1,"")</f>
        <v/>
      </c>
      <c r="AS86">
        <f>IFERROR(IF($D86=INDEX(Matches!$AD$5:$AD$19,MATCH($C86,Matches!$A$5:$A$19,0)),"A",IF($D86=INDEX(Matches!$AE$5:$AE$19,MATCH($C86,Matches!$A$5:$A$19,0)),"B","")),"")</f>
        <v/>
      </c>
      <c r="AT86" s="8">
        <f>IF($AS86="","",IFERROR(IF($AS86="A",INDEX(Matches!$AI$5:$AI$19,MATCH($C86,Matches!$A$5:$A$19,0)),INDEX(Matches!$AJ$5:$AJ$19,MATCH($C86,Matches!$A$5:$A$19,0))),""))</f>
        <v/>
      </c>
      <c r="AU86" s="8">
        <f>IF($AS86="","",IFERROR(IF(INDEX(Matches!$AP$5:$AP$19,MATCH($C86,Matches!$A$5:$A$19,0))="","",IF($AS86="A",INDEX(Matches!$AP$5:$AP$19,MATCH($C86,Matches!$A$5:$A$19,0)),1-INDEX(Matches!$AP$5:$AP$19,MATCH($C86,Matches!$A$5:$A$19,0)))),""))</f>
        <v/>
      </c>
      <c r="AV86" s="11">
        <f>IF(OR($AU86="",$AT86=""),1,((Config!$B$14*$AU86+Config!$B$15*(1-$AU86))/(Config!$B$14*$AT86+Config!$B$15*(1-$AT86)))^Config!$B$13)</f>
        <v/>
      </c>
      <c r="AW86" s="8">
        <f>IF($AS86="","",IFERROR(IF(INDEX(Matches!$AV$5:$AV$19,MATCH($C86,Matches!$A$5:$A$19,0))="","",IF($AS86="A",INDEX(Matches!$AV$5:$AV$19,MATCH($C86,Matches!$A$5:$A$19,0)),1-INDEX(Matches!$AV$5:$AV$19,MATCH($C86,Matches!$A$5:$A$19,0)))),""))</f>
        <v/>
      </c>
      <c r="AX86" s="11">
        <f>IF(OR($AW86="",$AT86=""),1,((Config!$B$14*$AW86+Config!$B$15*(1-$AW86))/(Config!$B$14*$AT86+Config!$B$15*(1-$AT86)))^Config!$B$13)</f>
        <v/>
      </c>
      <c r="AY86" s="8">
        <f>IF($AS86="","",IFERROR(IF(INDEX(Matches!$BB$5:$BB$19,MATCH($C86,Matches!$A$5:$A$19,0))="","",IF($AS86="A",INDEX(Matches!$BB$5:$BB$19,MATCH($C86,Matches!$A$5:$A$19,0)),1-INDEX(Matches!$BB$5:$BB$19,MATCH($C86,Matches!$A$5:$A$19,0)))),""))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fg52qcdy7yej5d9|CS2 · MOUZ vs 9z</t>
        </is>
      </c>
      <c r="B87" t="inlineStr">
        <is>
          <t>CS2</t>
        </is>
      </c>
      <c r="C87" t="inlineStr">
        <is>
          <t>CS2 · MOUZ vs 9z</t>
        </is>
      </c>
      <c r="D87" t="inlineStr">
        <is>
          <t>9z</t>
        </is>
      </c>
      <c r="E87" t="inlineStr">
        <is>
          <t>HUASOPEEK</t>
        </is>
      </c>
      <c r="F87" t="inlineStr">
        <is>
          <t>fg52qcdy7yej5d9</t>
        </is>
      </c>
      <c r="G87">
        <f>IFERROR(IF(INDEX(Matches!$W$5:$W$19,MATCH($C87,Matches!$A$5:$A$19,0))="","",INDEX(Matches!$W$5:$W$19,MATCH($C87,Matches!$A$5:$A$19,0))),"")</f>
        <v/>
      </c>
      <c r="H87">
        <f>IFERROR(IF(INDEX(Matches!$X$5:$X$19,MATCH($C87,Matches!$A$5:$A$19,0))="","",INDEX(Matches!$X$5:$X$19,MATCH($C87,Matches!$A$5:$A$19,0))),"")</f>
        <v/>
      </c>
      <c r="I87">
        <f>IFERROR(IF(INDEX(Matches!$Y$5:$Y$19,MATCH($C87,Matches!$A$5:$A$19,0))="","",INDEX(Matches!$Y$5:$Y$19,MATCH($C87,Matches!$A$5:$A$19,0))),"")</f>
        <v/>
      </c>
      <c r="J87">
        <f>IFERROR(IF(INDEX(Matches!$Z$5:$Z$19,MATCH($C87,Matches!$A$5:$A$19,0))="","",INDEX(Matches!$Z$5:$Z$19,MATCH($C87,Matches!$A$5:$A$19,0))),"")</f>
        <v/>
      </c>
      <c r="K87">
        <f>IFERROR(IF(INDEX(Matches!$AA$5:$AA$19,MATCH($C87,Matches!$A$5:$A$19,0))="","",INDEX(Matches!$AA$5:$AA$19,MATCH($C87,Matches!$A$5:$A$19,0))),"")</f>
        <v/>
      </c>
      <c r="L87">
        <f>IFERROR(IF(INDEX(Matches!$AB$5:$AB$19,MATCH($C87,Matches!$A$5:$A$19,0))="","",INDEX(Matches!$AB$5:$AB$19,MATCH($C87,Matches!$A$5:$A$19,0))),"")</f>
        <v/>
      </c>
      <c r="M87" s="8">
        <f>IFERROR(IF(INDEX(Matches!$AC$5:$AC$19,MATCH($C87,Matches!$A$5:$A$19,0))="","",INDEX(Matches!$AC$5:$AC$19,MATCH($C87,Matches!$A$5:$A$19,0))),"")</f>
        <v/>
      </c>
      <c r="N87">
        <f>IFERROR(INDEX(Players!$F$2:$F$124,MATCH($F87,Players!$A$2:$A$124,0)),0)</f>
        <v/>
      </c>
      <c r="O87" s="11">
        <f>IFERROR(1/(1/INDEX(Players!$H$2:$H$124,MATCH($F87,Players!$A$2:$A$124,0))),"")</f>
        <v/>
      </c>
      <c r="P87" s="8">
        <f>IFERROR(1/(1/INDEX(Players!$I$2:$I$124,MATCH($F87,Players!$A$2:$A$124,0))),"")</f>
        <v/>
      </c>
      <c r="Q87">
        <f>IF($G87="",0,SUMIFS(Map_Stats!$F$2:$F$779,Map_Stats!$A$2:$A$779,$F87&amp;"|"&amp;$G87))</f>
        <v/>
      </c>
      <c r="R87" s="11">
        <f>IF($G87="","",IFERROR(1/(1/INDEX(Map_Stats!$K$2:$K$779,MATCH($F87&amp;"|"&amp;$G87,Map_Stats!$A$2:$A$779,0))),$O87))</f>
        <v/>
      </c>
      <c r="S87" s="8">
        <f>IF(OR($G87="",$P87=""),"",IFERROR(1/(1/INDEX(Map_Stats!$I$2:$I$779,MATCH($F87&amp;"|"&amp;$G87,Map_Stats!$A$2:$A$779,0))),$P87))</f>
        <v/>
      </c>
      <c r="T87" s="11">
        <f>IF(OR($G87="",R87=""),"",IF($O87="",R87,(Q87*R87+Config!$B$4*$O87)/(Q87+Config!$B$4)))</f>
        <v/>
      </c>
      <c r="U87" s="8">
        <f>IF(S87="","",(Q87*S87+Config!$B$4*$P87)/(Q87+Config!$B$4))</f>
        <v/>
      </c>
      <c r="V87" s="15">
        <f>IF(OR(T87="",$J87=""),"",T87*$J87*($J87/Config!$B$10)^Config!$B$9)</f>
        <v/>
      </c>
      <c r="W87" s="15">
        <f>IF(OR(V87="",U87=""),"",V87*U87)</f>
        <v/>
      </c>
      <c r="X87">
        <f>IF($H87="",0,SUMIFS(Map_Stats!$F$2:$F$779,Map_Stats!$A$2:$A$779,$F87&amp;"|"&amp;$H87))</f>
        <v/>
      </c>
      <c r="Y87" s="11">
        <f>IF($H87="","",IFERROR(1/(1/INDEX(Map_Stats!$K$2:$K$779,MATCH($F87&amp;"|"&amp;$H87,Map_Stats!$A$2:$A$779,0))),$O87))</f>
        <v/>
      </c>
      <c r="Z87" s="8">
        <f>IF(OR($H87="",$P87=""),"",IFERROR(1/(1/INDEX(Map_Stats!$I$2:$I$779,MATCH($F87&amp;"|"&amp;$H87,Map_Stats!$A$2:$A$779,0))),$P87))</f>
        <v/>
      </c>
      <c r="AA87" s="11">
        <f>IF(OR($H87="",Y87=""),"",IF($O87="",Y87,(X87*Y87+Config!$B$4*$O87)/(X87+Config!$B$4)))</f>
        <v/>
      </c>
      <c r="AB87" s="8">
        <f>IF(Z87="","",(X87*Z87+Config!$B$4*$P87)/(X87+Config!$B$4))</f>
        <v/>
      </c>
      <c r="AC87" s="15">
        <f>IF(OR(AA87="",$K87=""),"",AA87*$K87*($K87/Config!$B$10)^Config!$B$9)</f>
        <v/>
      </c>
      <c r="AD87" s="15">
        <f>IF(OR(AC87="",AB87=""),"",AC87*AB87)</f>
        <v/>
      </c>
      <c r="AE87">
        <f>IF($I87="",0,SUMIFS(Map_Stats!$F$2:$F$779,Map_Stats!$A$2:$A$779,$F87&amp;"|"&amp;$I87))</f>
        <v/>
      </c>
      <c r="AF87" s="11">
        <f>IF($I87="","",IFERROR(1/(1/INDEX(Map_Stats!$K$2:$K$779,MATCH($F87&amp;"|"&amp;$I87,Map_Stats!$A$2:$A$779,0))),$O87))</f>
        <v/>
      </c>
      <c r="AG87" s="8">
        <f>IF(OR($I87="",$P87=""),"",IFERROR(1/(1/INDEX(Map_Stats!$I$2:$I$779,MATCH($F87&amp;"|"&amp;$I87,Map_Stats!$A$2:$A$779,0))),$P87))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IF($C87=Board!$B$2,COUNTIFS($C$2:$C$124,Board!$B$2,$AL$2:$AL$124,"&gt;"&amp;$AL87)+COUNTIFS($C$1:$C86,Board!$B$2,$AL$1:$AL86,$AL87)+1,"")</f>
        <v/>
      </c>
      <c r="AS87">
        <f>IFERROR(IF($D87=INDEX(Matches!$AD$5:$AD$19,MATCH($C87,Matches!$A$5:$A$19,0)),"A",IF($D87=INDEX(Matches!$AE$5:$AE$19,MATCH($C87,Matches!$A$5:$A$19,0)),"B","")),"")</f>
        <v/>
      </c>
      <c r="AT87" s="8">
        <f>IF($AS87="","",IFERROR(IF($AS87="A",INDEX(Matches!$AI$5:$AI$19,MATCH($C87,Matches!$A$5:$A$19,0)),INDEX(Matches!$AJ$5:$AJ$19,MATCH($C87,Matches!$A$5:$A$19,0))),""))</f>
        <v/>
      </c>
      <c r="AU87" s="8">
        <f>IF($AS87="","",IFERROR(IF(INDEX(Matches!$AP$5:$AP$19,MATCH($C87,Matches!$A$5:$A$19,0))="","",IF($AS87="A",INDEX(Matches!$AP$5:$AP$19,MATCH($C87,Matches!$A$5:$A$19,0)),1-INDEX(Matches!$AP$5:$AP$19,MATCH($C87,Matches!$A$5:$A$19,0)))),""))</f>
        <v/>
      </c>
      <c r="AV87" s="11">
        <f>IF(OR($AU87="",$AT87=""),1,((Config!$B$14*$AU87+Config!$B$15*(1-$AU87))/(Config!$B$14*$AT87+Config!$B$15*(1-$AT87)))^Config!$B$13)</f>
        <v/>
      </c>
      <c r="AW87" s="8">
        <f>IF($AS87="","",IFERROR(IF(INDEX(Matches!$AV$5:$AV$19,MATCH($C87,Matches!$A$5:$A$19,0))="","",IF($AS87="A",INDEX(Matches!$AV$5:$AV$19,MATCH($C87,Matches!$A$5:$A$19,0)),1-INDEX(Matches!$AV$5:$AV$19,MATCH($C87,Matches!$A$5:$A$19,0)))),""))</f>
        <v/>
      </c>
      <c r="AX87" s="11">
        <f>IF(OR($AW87="",$AT87=""),1,((Config!$B$14*$AW87+Config!$B$15*(1-$AW87))/(Config!$B$14*$AT87+Config!$B$15*(1-$AT87)))^Config!$B$13)</f>
        <v/>
      </c>
      <c r="AY87" s="8">
        <f>IF($AS87="","",IFERROR(IF(INDEX(Matches!$BB$5:$BB$19,MATCH($C87,Matches!$A$5:$A$19,0))="","",IF($AS87="A",INDEX(Matches!$BB$5:$BB$19,MATCH($C87,Matches!$A$5:$A$19,0)),1-INDEX(Matches!$BB$5:$BB$19,MATCH($C87,Matches!$A$5:$A$19,0)))),""))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uf3pcvx03g3k6xm|CS2 · MOUZ vs 9z</t>
        </is>
      </c>
      <c r="B88" t="inlineStr">
        <is>
          <t>CS2</t>
        </is>
      </c>
      <c r="C88" t="inlineStr">
        <is>
          <t>CS2 · MOUZ vs 9z</t>
        </is>
      </c>
      <c r="D88" t="inlineStr">
        <is>
          <t>9z</t>
        </is>
      </c>
      <c r="E88" t="inlineStr">
        <is>
          <t>luchov</t>
        </is>
      </c>
      <c r="F88" t="inlineStr">
        <is>
          <t>uf3pcvx03g3k6xm</t>
        </is>
      </c>
      <c r="G88">
        <f>IFERROR(IF(INDEX(Matches!$W$5:$W$19,MATCH($C88,Matches!$A$5:$A$19,0))="","",INDEX(Matches!$W$5:$W$19,MATCH($C88,Matches!$A$5:$A$19,0))),"")</f>
        <v/>
      </c>
      <c r="H88">
        <f>IFERROR(IF(INDEX(Matches!$X$5:$X$19,MATCH($C88,Matches!$A$5:$A$19,0))="","",INDEX(Matches!$X$5:$X$19,MATCH($C88,Matches!$A$5:$A$19,0))),"")</f>
        <v/>
      </c>
      <c r="I88">
        <f>IFERROR(IF(INDEX(Matches!$Y$5:$Y$19,MATCH($C88,Matches!$A$5:$A$19,0))="","",INDEX(Matches!$Y$5:$Y$19,MATCH($C88,Matches!$A$5:$A$19,0))),"")</f>
        <v/>
      </c>
      <c r="J88">
        <f>IFERROR(IF(INDEX(Matches!$Z$5:$Z$19,MATCH($C88,Matches!$A$5:$A$19,0))="","",INDEX(Matches!$Z$5:$Z$19,MATCH($C88,Matches!$A$5:$A$19,0))),"")</f>
        <v/>
      </c>
      <c r="K88">
        <f>IFERROR(IF(INDEX(Matches!$AA$5:$AA$19,MATCH($C88,Matches!$A$5:$A$19,0))="","",INDEX(Matches!$AA$5:$AA$19,MATCH($C88,Matches!$A$5:$A$19,0))),"")</f>
        <v/>
      </c>
      <c r="L88">
        <f>IFERROR(IF(INDEX(Matches!$AB$5:$AB$19,MATCH($C88,Matches!$A$5:$A$19,0))="","",INDEX(Matches!$AB$5:$AB$19,MATCH($C88,Matches!$A$5:$A$19,0))),"")</f>
        <v/>
      </c>
      <c r="M88" s="8">
        <f>IFERROR(IF(INDEX(Matches!$AC$5:$AC$19,MATCH($C88,Matches!$A$5:$A$19,0))="","",INDEX(Matches!$AC$5:$AC$19,MATCH($C88,Matches!$A$5:$A$19,0))),"")</f>
        <v/>
      </c>
      <c r="N88">
        <f>IFERROR(INDEX(Players!$F$2:$F$124,MATCH($F88,Players!$A$2:$A$124,0)),0)</f>
        <v/>
      </c>
      <c r="O88" s="11">
        <f>IFERROR(1/(1/INDEX(Players!$H$2:$H$124,MATCH($F88,Players!$A$2:$A$124,0))),"")</f>
        <v/>
      </c>
      <c r="P88" s="8">
        <f>IFERROR(1/(1/INDEX(Players!$I$2:$I$124,MATCH($F88,Players!$A$2:$A$124,0))),"")</f>
        <v/>
      </c>
      <c r="Q88">
        <f>IF($G88="",0,SUMIFS(Map_Stats!$F$2:$F$779,Map_Stats!$A$2:$A$779,$F88&amp;"|"&amp;$G88))</f>
        <v/>
      </c>
      <c r="R88" s="11">
        <f>IF($G88="","",IFERROR(1/(1/INDEX(Map_Stats!$K$2:$K$779,MATCH($F88&amp;"|"&amp;$G88,Map_Stats!$A$2:$A$779,0))),$O88))</f>
        <v/>
      </c>
      <c r="S88" s="8">
        <f>IF(OR($G88="",$P88=""),"",IFERROR(1/(1/INDEX(Map_Stats!$I$2:$I$779,MATCH($F88&amp;"|"&amp;$G88,Map_Stats!$A$2:$A$779,0))),$P88))</f>
        <v/>
      </c>
      <c r="T88" s="11">
        <f>IF(OR($G88="",R88=""),"",IF($O88="",R88,(Q88*R88+Config!$B$4*$O88)/(Q88+Config!$B$4)))</f>
        <v/>
      </c>
      <c r="U88" s="8">
        <f>IF(S88="","",(Q88*S88+Config!$B$4*$P88)/(Q88+Config!$B$4))</f>
        <v/>
      </c>
      <c r="V88" s="15">
        <f>IF(OR(T88="",$J88=""),"",T88*$J88*($J88/Config!$B$10)^Config!$B$9)</f>
        <v/>
      </c>
      <c r="W88" s="15">
        <f>IF(OR(V88="",U88=""),"",V88*U88)</f>
        <v/>
      </c>
      <c r="X88">
        <f>IF($H88="",0,SUMIFS(Map_Stats!$F$2:$F$779,Map_Stats!$A$2:$A$779,$F88&amp;"|"&amp;$H88))</f>
        <v/>
      </c>
      <c r="Y88" s="11">
        <f>IF($H88="","",IFERROR(1/(1/INDEX(Map_Stats!$K$2:$K$779,MATCH($F88&amp;"|"&amp;$H88,Map_Stats!$A$2:$A$779,0))),$O88))</f>
        <v/>
      </c>
      <c r="Z88" s="8">
        <f>IF(OR($H88="",$P88=""),"",IFERROR(1/(1/INDEX(Map_Stats!$I$2:$I$779,MATCH($F88&amp;"|"&amp;$H88,Map_Stats!$A$2:$A$779,0))),$P88))</f>
        <v/>
      </c>
      <c r="AA88" s="11">
        <f>IF(OR($H88="",Y88=""),"",IF($O88="",Y88,(X88*Y88+Config!$B$4*$O88)/(X88+Config!$B$4)))</f>
        <v/>
      </c>
      <c r="AB88" s="8">
        <f>IF(Z88="","",(X88*Z88+Config!$B$4*$P88)/(X88+Config!$B$4))</f>
        <v/>
      </c>
      <c r="AC88" s="15">
        <f>IF(OR(AA88="",$K88=""),"",AA88*$K88*($K88/Config!$B$10)^Config!$B$9)</f>
        <v/>
      </c>
      <c r="AD88" s="15">
        <f>IF(OR(AC88="",AB88=""),"",AC88*AB88)</f>
        <v/>
      </c>
      <c r="AE88">
        <f>IF($I88="",0,SUMIFS(Map_Stats!$F$2:$F$779,Map_Stats!$A$2:$A$779,$F88&amp;"|"&amp;$I88))</f>
        <v/>
      </c>
      <c r="AF88" s="11">
        <f>IF($I88="","",IFERROR(1/(1/INDEX(Map_Stats!$K$2:$K$779,MATCH($F88&amp;"|"&amp;$I88,Map_Stats!$A$2:$A$779,0))),$O88))</f>
        <v/>
      </c>
      <c r="AG88" s="8">
        <f>IF(OR($I88="",$P88=""),"",IFERROR(1/(1/INDEX(Map_Stats!$I$2:$I$779,MATCH($F88&amp;"|"&amp;$I88,Map_Stats!$A$2:$A$779,0))),$P88))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IF($C88=Board!$B$2,COUNTIFS($C$2:$C$124,Board!$B$2,$AL$2:$AL$124,"&gt;"&amp;$AL88)+COUNTIFS($C$1:$C87,Board!$B$2,$AL$1:$AL87,$AL88)+1,"")</f>
        <v/>
      </c>
      <c r="AS88">
        <f>IFERROR(IF($D88=INDEX(Matches!$AD$5:$AD$19,MATCH($C88,Matches!$A$5:$A$19,0)),"A",IF($D88=INDEX(Matches!$AE$5:$AE$19,MATCH($C88,Matches!$A$5:$A$19,0)),"B","")),"")</f>
        <v/>
      </c>
      <c r="AT88" s="8">
        <f>IF($AS88="","",IFERROR(IF($AS88="A",INDEX(Matches!$AI$5:$AI$19,MATCH($C88,Matches!$A$5:$A$19,0)),INDEX(Matches!$AJ$5:$AJ$19,MATCH($C88,Matches!$A$5:$A$19,0))),""))</f>
        <v/>
      </c>
      <c r="AU88" s="8">
        <f>IF($AS88="","",IFERROR(IF(INDEX(Matches!$AP$5:$AP$19,MATCH($C88,Matches!$A$5:$A$19,0))="","",IF($AS88="A",INDEX(Matches!$AP$5:$AP$19,MATCH($C88,Matches!$A$5:$A$19,0)),1-INDEX(Matches!$AP$5:$AP$19,MATCH($C88,Matches!$A$5:$A$19,0)))),""))</f>
        <v/>
      </c>
      <c r="AV88" s="11">
        <f>IF(OR($AU88="",$AT88=""),1,((Config!$B$14*$AU88+Config!$B$15*(1-$AU88))/(Config!$B$14*$AT88+Config!$B$15*(1-$AT88)))^Config!$B$13)</f>
        <v/>
      </c>
      <c r="AW88" s="8">
        <f>IF($AS88="","",IFERROR(IF(INDEX(Matches!$AV$5:$AV$19,MATCH($C88,Matches!$A$5:$A$19,0))="","",IF($AS88="A",INDEX(Matches!$AV$5:$AV$19,MATCH($C88,Matches!$A$5:$A$19,0)),1-INDEX(Matches!$AV$5:$AV$19,MATCH($C88,Matches!$A$5:$A$19,0)))),""))</f>
        <v/>
      </c>
      <c r="AX88" s="11">
        <f>IF(OR($AW88="",$AT88=""),1,((Config!$B$14*$AW88+Config!$B$15*(1-$AW88))/(Config!$B$14*$AT88+Config!$B$15*(1-$AT88)))^Config!$B$13)</f>
        <v/>
      </c>
      <c r="AY88" s="8">
        <f>IF($AS88="","",IFERROR(IF(INDEX(Matches!$BB$5:$BB$19,MATCH($C88,Matches!$A$5:$A$19,0))="","",IF($AS88="A",INDEX(Matches!$BB$5:$BB$19,MATCH($C88,Matches!$A$5:$A$19,0)),1-INDEX(Matches!$BB$5:$BB$19,MATCH($C88,Matches!$A$5:$A$19,0)))),""))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2l8hxj94mm620bg|CS2 · MOUZ vs 9z</t>
        </is>
      </c>
      <c r="B89" t="inlineStr">
        <is>
          <t>CS2</t>
        </is>
      </c>
      <c r="C89" t="inlineStr">
        <is>
          <t>CS2 · MOUZ vs 9z</t>
        </is>
      </c>
      <c r="D89" t="inlineStr">
        <is>
          <t>9z</t>
        </is>
      </c>
      <c r="E89" t="inlineStr">
        <is>
          <t>max</t>
        </is>
      </c>
      <c r="F89" t="inlineStr">
        <is>
          <t>2l8hxj94mm620bg</t>
        </is>
      </c>
      <c r="G89">
        <f>IFERROR(IF(INDEX(Matches!$W$5:$W$19,MATCH($C89,Matches!$A$5:$A$19,0))="","",INDEX(Matches!$W$5:$W$19,MATCH($C89,Matches!$A$5:$A$19,0))),"")</f>
        <v/>
      </c>
      <c r="H89">
        <f>IFERROR(IF(INDEX(Matches!$X$5:$X$19,MATCH($C89,Matches!$A$5:$A$19,0))="","",INDEX(Matches!$X$5:$X$19,MATCH($C89,Matches!$A$5:$A$19,0))),"")</f>
        <v/>
      </c>
      <c r="I89">
        <f>IFERROR(IF(INDEX(Matches!$Y$5:$Y$19,MATCH($C89,Matches!$A$5:$A$19,0))="","",INDEX(Matches!$Y$5:$Y$19,MATCH($C89,Matches!$A$5:$A$19,0))),"")</f>
        <v/>
      </c>
      <c r="J89">
        <f>IFERROR(IF(INDEX(Matches!$Z$5:$Z$19,MATCH($C89,Matches!$A$5:$A$19,0))="","",INDEX(Matches!$Z$5:$Z$19,MATCH($C89,Matches!$A$5:$A$19,0))),"")</f>
        <v/>
      </c>
      <c r="K89">
        <f>IFERROR(IF(INDEX(Matches!$AA$5:$AA$19,MATCH($C89,Matches!$A$5:$A$19,0))="","",INDEX(Matches!$AA$5:$AA$19,MATCH($C89,Matches!$A$5:$A$19,0))),"")</f>
        <v/>
      </c>
      <c r="L89">
        <f>IFERROR(IF(INDEX(Matches!$AB$5:$AB$19,MATCH($C89,Matches!$A$5:$A$19,0))="","",INDEX(Matches!$AB$5:$AB$19,MATCH($C89,Matches!$A$5:$A$19,0))),"")</f>
        <v/>
      </c>
      <c r="M89" s="8">
        <f>IFERROR(IF(INDEX(Matches!$AC$5:$AC$19,MATCH($C89,Matches!$A$5:$A$19,0))="","",INDEX(Matches!$AC$5:$AC$19,MATCH($C89,Matches!$A$5:$A$19,0))),"")</f>
        <v/>
      </c>
      <c r="N89">
        <f>IFERROR(INDEX(Players!$F$2:$F$124,MATCH($F89,Players!$A$2:$A$124,0)),0)</f>
        <v/>
      </c>
      <c r="O89" s="11">
        <f>IFERROR(1/(1/INDEX(Players!$H$2:$H$124,MATCH($F89,Players!$A$2:$A$124,0))),"")</f>
        <v/>
      </c>
      <c r="P89" s="8">
        <f>IFERROR(1/(1/INDEX(Players!$I$2:$I$124,MATCH($F89,Players!$A$2:$A$124,0))),"")</f>
        <v/>
      </c>
      <c r="Q89">
        <f>IF($G89="",0,SUMIFS(Map_Stats!$F$2:$F$779,Map_Stats!$A$2:$A$779,$F89&amp;"|"&amp;$G89))</f>
        <v/>
      </c>
      <c r="R89" s="11">
        <f>IF($G89="","",IFERROR(1/(1/INDEX(Map_Stats!$K$2:$K$779,MATCH($F89&amp;"|"&amp;$G89,Map_Stats!$A$2:$A$779,0))),$O89))</f>
        <v/>
      </c>
      <c r="S89" s="8">
        <f>IF(OR($G89="",$P89=""),"",IFERROR(1/(1/INDEX(Map_Stats!$I$2:$I$779,MATCH($F89&amp;"|"&amp;$G89,Map_Stats!$A$2:$A$779,0))),$P89))</f>
        <v/>
      </c>
      <c r="T89" s="11">
        <f>IF(OR($G89="",R89=""),"",IF($O89="",R89,(Q89*R89+Config!$B$4*$O89)/(Q89+Config!$B$4)))</f>
        <v/>
      </c>
      <c r="U89" s="8">
        <f>IF(S89="","",(Q89*S89+Config!$B$4*$P89)/(Q89+Config!$B$4))</f>
        <v/>
      </c>
      <c r="V89" s="15">
        <f>IF(OR(T89="",$J89=""),"",T89*$J89*($J89/Config!$B$10)^Config!$B$9)</f>
        <v/>
      </c>
      <c r="W89" s="15">
        <f>IF(OR(V89="",U89=""),"",V89*U89)</f>
        <v/>
      </c>
      <c r="X89">
        <f>IF($H89="",0,SUMIFS(Map_Stats!$F$2:$F$779,Map_Stats!$A$2:$A$779,$F89&amp;"|"&amp;$H89))</f>
        <v/>
      </c>
      <c r="Y89" s="11">
        <f>IF($H89="","",IFERROR(1/(1/INDEX(Map_Stats!$K$2:$K$779,MATCH($F89&amp;"|"&amp;$H89,Map_Stats!$A$2:$A$779,0))),$O89))</f>
        <v/>
      </c>
      <c r="Z89" s="8">
        <f>IF(OR($H89="",$P89=""),"",IFERROR(1/(1/INDEX(Map_Stats!$I$2:$I$779,MATCH($F89&amp;"|"&amp;$H89,Map_Stats!$A$2:$A$779,0))),$P89))</f>
        <v/>
      </c>
      <c r="AA89" s="11">
        <f>IF(OR($H89="",Y89=""),"",IF($O89="",Y89,(X89*Y89+Config!$B$4*$O89)/(X89+Config!$B$4)))</f>
        <v/>
      </c>
      <c r="AB89" s="8">
        <f>IF(Z89="","",(X89*Z89+Config!$B$4*$P89)/(X89+Config!$B$4))</f>
        <v/>
      </c>
      <c r="AC89" s="15">
        <f>IF(OR(AA89="",$K89=""),"",AA89*$K89*($K89/Config!$B$10)^Config!$B$9)</f>
        <v/>
      </c>
      <c r="AD89" s="15">
        <f>IF(OR(AC89="",AB89=""),"",AC89*AB89)</f>
        <v/>
      </c>
      <c r="AE89">
        <f>IF($I89="",0,SUMIFS(Map_Stats!$F$2:$F$779,Map_Stats!$A$2:$A$779,$F89&amp;"|"&amp;$I89))</f>
        <v/>
      </c>
      <c r="AF89" s="11">
        <f>IF($I89="","",IFERROR(1/(1/INDEX(Map_Stats!$K$2:$K$779,MATCH($F89&amp;"|"&amp;$I89,Map_Stats!$A$2:$A$779,0))),$O89))</f>
        <v/>
      </c>
      <c r="AG89" s="8">
        <f>IF(OR($I89="",$P89=""),"",IFERROR(1/(1/INDEX(Map_Stats!$I$2:$I$779,MATCH($F89&amp;"|"&amp;$I89,Map_Stats!$A$2:$A$779,0))),$P89))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IF($C89=Board!$B$2,COUNTIFS($C$2:$C$124,Board!$B$2,$AL$2:$AL$124,"&gt;"&amp;$AL89)+COUNTIFS($C$1:$C88,Board!$B$2,$AL$1:$AL88,$AL89)+1,"")</f>
        <v/>
      </c>
      <c r="AS89">
        <f>IFERROR(IF($D89=INDEX(Matches!$AD$5:$AD$19,MATCH($C89,Matches!$A$5:$A$19,0)),"A",IF($D89=INDEX(Matches!$AE$5:$AE$19,MATCH($C89,Matches!$A$5:$A$19,0)),"B","")),"")</f>
        <v/>
      </c>
      <c r="AT89" s="8">
        <f>IF($AS89="","",IFERROR(IF($AS89="A",INDEX(Matches!$AI$5:$AI$19,MATCH($C89,Matches!$A$5:$A$19,0)),INDEX(Matches!$AJ$5:$AJ$19,MATCH($C89,Matches!$A$5:$A$19,0))),""))</f>
        <v/>
      </c>
      <c r="AU89" s="8">
        <f>IF($AS89="","",IFERROR(IF(INDEX(Matches!$AP$5:$AP$19,MATCH($C89,Matches!$A$5:$A$19,0))="","",IF($AS89="A",INDEX(Matches!$AP$5:$AP$19,MATCH($C89,Matches!$A$5:$A$19,0)),1-INDEX(Matches!$AP$5:$AP$19,MATCH($C89,Matches!$A$5:$A$19,0)))),""))</f>
        <v/>
      </c>
      <c r="AV89" s="11">
        <f>IF(OR($AU89="",$AT89=""),1,((Config!$B$14*$AU89+Config!$B$15*(1-$AU89))/(Config!$B$14*$AT89+Config!$B$15*(1-$AT89)))^Config!$B$13)</f>
        <v/>
      </c>
      <c r="AW89" s="8">
        <f>IF($AS89="","",IFERROR(IF(INDEX(Matches!$AV$5:$AV$19,MATCH($C89,Matches!$A$5:$A$19,0))="","",IF($AS89="A",INDEX(Matches!$AV$5:$AV$19,MATCH($C89,Matches!$A$5:$A$19,0)),1-INDEX(Matches!$AV$5:$AV$19,MATCH($C89,Matches!$A$5:$A$19,0)))),""))</f>
        <v/>
      </c>
      <c r="AX89" s="11">
        <f>IF(OR($AW89="",$AT89=""),1,((Config!$B$14*$AW89+Config!$B$15*(1-$AW89))/(Config!$B$14*$AT89+Config!$B$15*(1-$AT89)))^Config!$B$13)</f>
        <v/>
      </c>
      <c r="AY89" s="8">
        <f>IF($AS89="","",IFERROR(IF(INDEX(Matches!$BB$5:$BB$19,MATCH($C89,Matches!$A$5:$A$19,0))="","",IF($AS89="A",INDEX(Matches!$BB$5:$BB$19,MATCH($C89,Matches!$A$5:$A$19,0)),1-INDEX(Matches!$BB$5:$BB$19,MATCH($C89,Matches!$A$5:$A$19,0)))),""))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pumzitjp9bsniic|CS2 · MOUZ vs 9z</t>
        </is>
      </c>
      <c r="B90" t="inlineStr">
        <is>
          <t>CS2</t>
        </is>
      </c>
      <c r="C90" t="inlineStr">
        <is>
          <t>CS2 · MOUZ vs 9z</t>
        </is>
      </c>
      <c r="D90" t="inlineStr">
        <is>
          <t>9z</t>
        </is>
      </c>
      <c r="E90" t="inlineStr">
        <is>
          <t>meyern</t>
        </is>
      </c>
      <c r="F90" t="inlineStr">
        <is>
          <t>pumzitjp9bsniic</t>
        </is>
      </c>
      <c r="G90">
        <f>IFERROR(IF(INDEX(Matches!$W$5:$W$19,MATCH($C90,Matches!$A$5:$A$19,0))="","",INDEX(Matches!$W$5:$W$19,MATCH($C90,Matches!$A$5:$A$19,0))),"")</f>
        <v/>
      </c>
      <c r="H90">
        <f>IFERROR(IF(INDEX(Matches!$X$5:$X$19,MATCH($C90,Matches!$A$5:$A$19,0))="","",INDEX(Matches!$X$5:$X$19,MATCH($C90,Matches!$A$5:$A$19,0))),"")</f>
        <v/>
      </c>
      <c r="I90">
        <f>IFERROR(IF(INDEX(Matches!$Y$5:$Y$19,MATCH($C90,Matches!$A$5:$A$19,0))="","",INDEX(Matches!$Y$5:$Y$19,MATCH($C90,Matches!$A$5:$A$19,0))),"")</f>
        <v/>
      </c>
      <c r="J90">
        <f>IFERROR(IF(INDEX(Matches!$Z$5:$Z$19,MATCH($C90,Matches!$A$5:$A$19,0))="","",INDEX(Matches!$Z$5:$Z$19,MATCH($C90,Matches!$A$5:$A$19,0))),"")</f>
        <v/>
      </c>
      <c r="K90">
        <f>IFERROR(IF(INDEX(Matches!$AA$5:$AA$19,MATCH($C90,Matches!$A$5:$A$19,0))="","",INDEX(Matches!$AA$5:$AA$19,MATCH($C90,Matches!$A$5:$A$19,0))),"")</f>
        <v/>
      </c>
      <c r="L90">
        <f>IFERROR(IF(INDEX(Matches!$AB$5:$AB$19,MATCH($C90,Matches!$A$5:$A$19,0))="","",INDEX(Matches!$AB$5:$AB$19,MATCH($C90,Matches!$A$5:$A$19,0))),"")</f>
        <v/>
      </c>
      <c r="M90" s="8">
        <f>IFERROR(IF(INDEX(Matches!$AC$5:$AC$19,MATCH($C90,Matches!$A$5:$A$19,0))="","",INDEX(Matches!$AC$5:$AC$19,MATCH($C90,Matches!$A$5:$A$19,0))),"")</f>
        <v/>
      </c>
      <c r="N90">
        <f>IFERROR(INDEX(Players!$F$2:$F$124,MATCH($F90,Players!$A$2:$A$124,0)),0)</f>
        <v/>
      </c>
      <c r="O90" s="11">
        <f>IFERROR(1/(1/INDEX(Players!$H$2:$H$124,MATCH($F90,Players!$A$2:$A$124,0))),"")</f>
        <v/>
      </c>
      <c r="P90" s="8">
        <f>IFERROR(1/(1/INDEX(Players!$I$2:$I$124,MATCH($F90,Players!$A$2:$A$124,0))),"")</f>
        <v/>
      </c>
      <c r="Q90">
        <f>IF($G90="",0,SUMIFS(Map_Stats!$F$2:$F$779,Map_Stats!$A$2:$A$779,$F90&amp;"|"&amp;$G90))</f>
        <v/>
      </c>
      <c r="R90" s="11">
        <f>IF($G90="","",IFERROR(1/(1/INDEX(Map_Stats!$K$2:$K$779,MATCH($F90&amp;"|"&amp;$G90,Map_Stats!$A$2:$A$779,0))),$O90))</f>
        <v/>
      </c>
      <c r="S90" s="8">
        <f>IF(OR($G90="",$P90=""),"",IFERROR(1/(1/INDEX(Map_Stats!$I$2:$I$779,MATCH($F90&amp;"|"&amp;$G90,Map_Stats!$A$2:$A$779,0))),$P90))</f>
        <v/>
      </c>
      <c r="T90" s="11">
        <f>IF(OR($G90="",R90=""),"",IF($O90="",R90,(Q90*R90+Config!$B$4*$O90)/(Q90+Config!$B$4)))</f>
        <v/>
      </c>
      <c r="U90" s="8">
        <f>IF(S90="","",(Q90*S90+Config!$B$4*$P90)/(Q90+Config!$B$4))</f>
        <v/>
      </c>
      <c r="V90" s="15">
        <f>IF(OR(T90="",$J90=""),"",T90*$J90*($J90/Config!$B$10)^Config!$B$9)</f>
        <v/>
      </c>
      <c r="W90" s="15">
        <f>IF(OR(V90="",U90=""),"",V90*U90)</f>
        <v/>
      </c>
      <c r="X90">
        <f>IF($H90="",0,SUMIFS(Map_Stats!$F$2:$F$779,Map_Stats!$A$2:$A$779,$F90&amp;"|"&amp;$H90))</f>
        <v/>
      </c>
      <c r="Y90" s="11">
        <f>IF($H90="","",IFERROR(1/(1/INDEX(Map_Stats!$K$2:$K$779,MATCH($F90&amp;"|"&amp;$H90,Map_Stats!$A$2:$A$779,0))),$O90))</f>
        <v/>
      </c>
      <c r="Z90" s="8">
        <f>IF(OR($H90="",$P90=""),"",IFERROR(1/(1/INDEX(Map_Stats!$I$2:$I$779,MATCH($F90&amp;"|"&amp;$H90,Map_Stats!$A$2:$A$779,0))),$P90))</f>
        <v/>
      </c>
      <c r="AA90" s="11">
        <f>IF(OR($H90="",Y90=""),"",IF($O90="",Y90,(X90*Y90+Config!$B$4*$O90)/(X90+Config!$B$4)))</f>
        <v/>
      </c>
      <c r="AB90" s="8">
        <f>IF(Z90="","",(X90*Z90+Config!$B$4*$P90)/(X90+Config!$B$4))</f>
        <v/>
      </c>
      <c r="AC90" s="15">
        <f>IF(OR(AA90="",$K90=""),"",AA90*$K90*($K90/Config!$B$10)^Config!$B$9)</f>
        <v/>
      </c>
      <c r="AD90" s="15">
        <f>IF(OR(AC90="",AB90=""),"",AC90*AB90)</f>
        <v/>
      </c>
      <c r="AE90">
        <f>IF($I90="",0,SUMIFS(Map_Stats!$F$2:$F$779,Map_Stats!$A$2:$A$779,$F90&amp;"|"&amp;$I90))</f>
        <v/>
      </c>
      <c r="AF90" s="11">
        <f>IF($I90="","",IFERROR(1/(1/INDEX(Map_Stats!$K$2:$K$779,MATCH($F90&amp;"|"&amp;$I90,Map_Stats!$A$2:$A$779,0))),$O90))</f>
        <v/>
      </c>
      <c r="AG90" s="8">
        <f>IF(OR($I90="",$P90=""),"",IFERROR(1/(1/INDEX(Map_Stats!$I$2:$I$779,MATCH($F90&amp;"|"&amp;$I90,Map_Stats!$A$2:$A$779,0))),$P90))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IF($C90=Board!$B$2,COUNTIFS($C$2:$C$124,Board!$B$2,$AL$2:$AL$124,"&gt;"&amp;$AL90)+COUNTIFS($C$1:$C89,Board!$B$2,$AL$1:$AL89,$AL90)+1,"")</f>
        <v/>
      </c>
      <c r="AS90">
        <f>IFERROR(IF($D90=INDEX(Matches!$AD$5:$AD$19,MATCH($C90,Matches!$A$5:$A$19,0)),"A",IF($D90=INDEX(Matches!$AE$5:$AE$19,MATCH($C90,Matches!$A$5:$A$19,0)),"B","")),"")</f>
        <v/>
      </c>
      <c r="AT90" s="8">
        <f>IF($AS90="","",IFERROR(IF($AS90="A",INDEX(Matches!$AI$5:$AI$19,MATCH($C90,Matches!$A$5:$A$19,0)),INDEX(Matches!$AJ$5:$AJ$19,MATCH($C90,Matches!$A$5:$A$19,0))),""))</f>
        <v/>
      </c>
      <c r="AU90" s="8">
        <f>IF($AS90="","",IFERROR(IF(INDEX(Matches!$AP$5:$AP$19,MATCH($C90,Matches!$A$5:$A$19,0))="","",IF($AS90="A",INDEX(Matches!$AP$5:$AP$19,MATCH($C90,Matches!$A$5:$A$19,0)),1-INDEX(Matches!$AP$5:$AP$19,MATCH($C90,Matches!$A$5:$A$19,0)))),""))</f>
        <v/>
      </c>
      <c r="AV90" s="11">
        <f>IF(OR($AU90="",$AT90=""),1,((Config!$B$14*$AU90+Config!$B$15*(1-$AU90))/(Config!$B$14*$AT90+Config!$B$15*(1-$AT90)))^Config!$B$13)</f>
        <v/>
      </c>
      <c r="AW90" s="8">
        <f>IF($AS90="","",IFERROR(IF(INDEX(Matches!$AV$5:$AV$19,MATCH($C90,Matches!$A$5:$A$19,0))="","",IF($AS90="A",INDEX(Matches!$AV$5:$AV$19,MATCH($C90,Matches!$A$5:$A$19,0)),1-INDEX(Matches!$AV$5:$AV$19,MATCH($C90,Matches!$A$5:$A$19,0)))),""))</f>
        <v/>
      </c>
      <c r="AX90" s="11">
        <f>IF(OR($AW90="",$AT90=""),1,((Config!$B$14*$AW90+Config!$B$15*(1-$AW90))/(Config!$B$14*$AT90+Config!$B$15*(1-$AT90)))^Config!$B$13)</f>
        <v/>
      </c>
      <c r="AY90" s="8">
        <f>IF($AS90="","",IFERROR(IF(INDEX(Matches!$BB$5:$BB$19,MATCH($C90,Matches!$A$5:$A$19,0))="","",IF($AS90="A",INDEX(Matches!$BB$5:$BB$19,MATCH($C90,Matches!$A$5:$A$19,0)),1-INDEX(Matches!$BB$5:$BB$19,MATCH($C90,Matches!$A$5:$A$19,0)))),""))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pddkiy5mogisq4i|CS2 · MOUZ vs 9z</t>
        </is>
      </c>
      <c r="B91" t="inlineStr">
        <is>
          <t>CS2</t>
        </is>
      </c>
      <c r="C91" t="inlineStr">
        <is>
          <t>CS2 · MOUZ vs 9z</t>
        </is>
      </c>
      <c r="D91" t="inlineStr">
        <is>
          <t>MOUZ</t>
        </is>
      </c>
      <c r="E91" t="inlineStr">
        <is>
          <t>PR</t>
        </is>
      </c>
      <c r="F91" t="inlineStr">
        <is>
          <t>pddkiy5mogisq4i</t>
        </is>
      </c>
      <c r="G91">
        <f>IFERROR(IF(INDEX(Matches!$W$5:$W$19,MATCH($C91,Matches!$A$5:$A$19,0))="","",INDEX(Matches!$W$5:$W$19,MATCH($C91,Matches!$A$5:$A$19,0))),"")</f>
        <v/>
      </c>
      <c r="H91">
        <f>IFERROR(IF(INDEX(Matches!$X$5:$X$19,MATCH($C91,Matches!$A$5:$A$19,0))="","",INDEX(Matches!$X$5:$X$19,MATCH($C91,Matches!$A$5:$A$19,0))),"")</f>
        <v/>
      </c>
      <c r="I91">
        <f>IFERROR(IF(INDEX(Matches!$Y$5:$Y$19,MATCH($C91,Matches!$A$5:$A$19,0))="","",INDEX(Matches!$Y$5:$Y$19,MATCH($C91,Matches!$A$5:$A$19,0))),"")</f>
        <v/>
      </c>
      <c r="J91">
        <f>IFERROR(IF(INDEX(Matches!$Z$5:$Z$19,MATCH($C91,Matches!$A$5:$A$19,0))="","",INDEX(Matches!$Z$5:$Z$19,MATCH($C91,Matches!$A$5:$A$19,0))),"")</f>
        <v/>
      </c>
      <c r="K91">
        <f>IFERROR(IF(INDEX(Matches!$AA$5:$AA$19,MATCH($C91,Matches!$A$5:$A$19,0))="","",INDEX(Matches!$AA$5:$AA$19,MATCH($C91,Matches!$A$5:$A$19,0))),"")</f>
        <v/>
      </c>
      <c r="L91">
        <f>IFERROR(IF(INDEX(Matches!$AB$5:$AB$19,MATCH($C91,Matches!$A$5:$A$19,0))="","",INDEX(Matches!$AB$5:$AB$19,MATCH($C91,Matches!$A$5:$A$19,0))),"")</f>
        <v/>
      </c>
      <c r="M91" s="8">
        <f>IFERROR(IF(INDEX(Matches!$AC$5:$AC$19,MATCH($C91,Matches!$A$5:$A$19,0))="","",INDEX(Matches!$AC$5:$AC$19,MATCH($C91,Matches!$A$5:$A$19,0))),"")</f>
        <v/>
      </c>
      <c r="N91">
        <f>IFERROR(INDEX(Players!$F$2:$F$124,MATCH($F91,Players!$A$2:$A$124,0)),0)</f>
        <v/>
      </c>
      <c r="O91" s="11">
        <f>IFERROR(1/(1/INDEX(Players!$H$2:$H$124,MATCH($F91,Players!$A$2:$A$124,0))),"")</f>
        <v/>
      </c>
      <c r="P91" s="8">
        <f>IFERROR(1/(1/INDEX(Players!$I$2:$I$124,MATCH($F91,Players!$A$2:$A$124,0))),"")</f>
        <v/>
      </c>
      <c r="Q91">
        <f>IF($G91="",0,SUMIFS(Map_Stats!$F$2:$F$779,Map_Stats!$A$2:$A$779,$F91&amp;"|"&amp;$G91))</f>
        <v/>
      </c>
      <c r="R91" s="11">
        <f>IF($G91="","",IFERROR(1/(1/INDEX(Map_Stats!$K$2:$K$779,MATCH($F91&amp;"|"&amp;$G91,Map_Stats!$A$2:$A$779,0))),$O91))</f>
        <v/>
      </c>
      <c r="S91" s="8">
        <f>IF(OR($G91="",$P91=""),"",IFERROR(1/(1/INDEX(Map_Stats!$I$2:$I$779,MATCH($F91&amp;"|"&amp;$G91,Map_Stats!$A$2:$A$779,0))),$P91))</f>
        <v/>
      </c>
      <c r="T91" s="11">
        <f>IF(OR($G91="",R91=""),"",IF($O91="",R91,(Q91*R91+Config!$B$4*$O91)/(Q91+Config!$B$4)))</f>
        <v/>
      </c>
      <c r="U91" s="8">
        <f>IF(S91="","",(Q91*S91+Config!$B$4*$P91)/(Q91+Config!$B$4))</f>
        <v/>
      </c>
      <c r="V91" s="15">
        <f>IF(OR(T91="",$J91=""),"",T91*$J91*($J91/Config!$B$10)^Config!$B$9)</f>
        <v/>
      </c>
      <c r="W91" s="15">
        <f>IF(OR(V91="",U91=""),"",V91*U91)</f>
        <v/>
      </c>
      <c r="X91">
        <f>IF($H91="",0,SUMIFS(Map_Stats!$F$2:$F$779,Map_Stats!$A$2:$A$779,$F91&amp;"|"&amp;$H91))</f>
        <v/>
      </c>
      <c r="Y91" s="11">
        <f>IF($H91="","",IFERROR(1/(1/INDEX(Map_Stats!$K$2:$K$779,MATCH($F91&amp;"|"&amp;$H91,Map_Stats!$A$2:$A$779,0))),$O91))</f>
        <v/>
      </c>
      <c r="Z91" s="8">
        <f>IF(OR($H91="",$P91=""),"",IFERROR(1/(1/INDEX(Map_Stats!$I$2:$I$779,MATCH($F91&amp;"|"&amp;$H91,Map_Stats!$A$2:$A$779,0))),$P91))</f>
        <v/>
      </c>
      <c r="AA91" s="11">
        <f>IF(OR($H91="",Y91=""),"",IF($O91="",Y91,(X91*Y91+Config!$B$4*$O91)/(X91+Config!$B$4)))</f>
        <v/>
      </c>
      <c r="AB91" s="8">
        <f>IF(Z91="","",(X91*Z91+Config!$B$4*$P91)/(X91+Config!$B$4))</f>
        <v/>
      </c>
      <c r="AC91" s="15">
        <f>IF(OR(AA91="",$K91=""),"",AA91*$K91*($K91/Config!$B$10)^Config!$B$9)</f>
        <v/>
      </c>
      <c r="AD91" s="15">
        <f>IF(OR(AC91="",AB91=""),"",AC91*AB91)</f>
        <v/>
      </c>
      <c r="AE91">
        <f>IF($I91="",0,SUMIFS(Map_Stats!$F$2:$F$779,Map_Stats!$A$2:$A$779,$F91&amp;"|"&amp;$I91))</f>
        <v/>
      </c>
      <c r="AF91" s="11">
        <f>IF($I91="","",IFERROR(1/(1/INDEX(Map_Stats!$K$2:$K$779,MATCH($F91&amp;"|"&amp;$I91,Map_Stats!$A$2:$A$779,0))),$O91))</f>
        <v/>
      </c>
      <c r="AG91" s="8">
        <f>IF(OR($I91="",$P91=""),"",IFERROR(1/(1/INDEX(Map_Stats!$I$2:$I$779,MATCH($F91&amp;"|"&amp;$I91,Map_Stats!$A$2:$A$779,0))),$P91))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IF($C91=Board!$B$2,COUNTIFS($C$2:$C$124,Board!$B$2,$AL$2:$AL$124,"&gt;"&amp;$AL91)+COUNTIFS($C$1:$C90,Board!$B$2,$AL$1:$AL90,$AL91)+1,"")</f>
        <v/>
      </c>
      <c r="AS91">
        <f>IFERROR(IF($D91=INDEX(Matches!$AD$5:$AD$19,MATCH($C91,Matches!$A$5:$A$19,0)),"A",IF($D91=INDEX(Matches!$AE$5:$AE$19,MATCH($C91,Matches!$A$5:$A$19,0)),"B","")),"")</f>
        <v/>
      </c>
      <c r="AT91" s="8">
        <f>IF($AS91="","",IFERROR(IF($AS91="A",INDEX(Matches!$AI$5:$AI$19,MATCH($C91,Matches!$A$5:$A$19,0)),INDEX(Matches!$AJ$5:$AJ$19,MATCH($C91,Matches!$A$5:$A$19,0))),""))</f>
        <v/>
      </c>
      <c r="AU91" s="8">
        <f>IF($AS91="","",IFERROR(IF(INDEX(Matches!$AP$5:$AP$19,MATCH($C91,Matches!$A$5:$A$19,0))="","",IF($AS91="A",INDEX(Matches!$AP$5:$AP$19,MATCH($C91,Matches!$A$5:$A$19,0)),1-INDEX(Matches!$AP$5:$AP$19,MATCH($C91,Matches!$A$5:$A$19,0)))),""))</f>
        <v/>
      </c>
      <c r="AV91" s="11">
        <f>IF(OR($AU91="",$AT91=""),1,((Config!$B$14*$AU91+Config!$B$15*(1-$AU91))/(Config!$B$14*$AT91+Config!$B$15*(1-$AT91)))^Config!$B$13)</f>
        <v/>
      </c>
      <c r="AW91" s="8">
        <f>IF($AS91="","",IFERROR(IF(INDEX(Matches!$AV$5:$AV$19,MATCH($C91,Matches!$A$5:$A$19,0))="","",IF($AS91="A",INDEX(Matches!$AV$5:$AV$19,MATCH($C91,Matches!$A$5:$A$19,0)),1-INDEX(Matches!$AV$5:$AV$19,MATCH($C91,Matches!$A$5:$A$19,0)))),""))</f>
        <v/>
      </c>
      <c r="AX91" s="11">
        <f>IF(OR($AW91="",$AT91=""),1,((Config!$B$14*$AW91+Config!$B$15*(1-$AW91))/(Config!$B$14*$AT91+Config!$B$15*(1-$AT91)))^Config!$B$13)</f>
        <v/>
      </c>
      <c r="AY91" s="8">
        <f>IF($AS91="","",IFERROR(IF(INDEX(Matches!$BB$5:$BB$19,MATCH($C91,Matches!$A$5:$A$19,0))="","",IF($AS91="A",INDEX(Matches!$BB$5:$BB$19,MATCH($C91,Matches!$A$5:$A$19,0)),1-INDEX(Matches!$BB$5:$BB$19,MATCH($C91,Matches!$A$5:$A$19,0)))),""))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qlzigrqycoim5ix|CS2 · MOUZ vs 9z</t>
        </is>
      </c>
      <c r="B92" t="inlineStr">
        <is>
          <t>CS2</t>
        </is>
      </c>
      <c r="C92" t="inlineStr">
        <is>
          <t>CS2 · MOUZ vs 9z</t>
        </is>
      </c>
      <c r="D92" t="inlineStr">
        <is>
          <t>MOUZ</t>
        </is>
      </c>
      <c r="E92" t="inlineStr">
        <is>
          <t>Spinx</t>
        </is>
      </c>
      <c r="F92" t="inlineStr">
        <is>
          <t>qlzigrqycoim5ix</t>
        </is>
      </c>
      <c r="G92">
        <f>IFERROR(IF(INDEX(Matches!$W$5:$W$19,MATCH($C92,Matches!$A$5:$A$19,0))="","",INDEX(Matches!$W$5:$W$19,MATCH($C92,Matches!$A$5:$A$19,0))),"")</f>
        <v/>
      </c>
      <c r="H92">
        <f>IFERROR(IF(INDEX(Matches!$X$5:$X$19,MATCH($C92,Matches!$A$5:$A$19,0))="","",INDEX(Matches!$X$5:$X$19,MATCH($C92,Matches!$A$5:$A$19,0))),"")</f>
        <v/>
      </c>
      <c r="I92">
        <f>IFERROR(IF(INDEX(Matches!$Y$5:$Y$19,MATCH($C92,Matches!$A$5:$A$19,0))="","",INDEX(Matches!$Y$5:$Y$19,MATCH($C92,Matches!$A$5:$A$19,0))),"")</f>
        <v/>
      </c>
      <c r="J92">
        <f>IFERROR(IF(INDEX(Matches!$Z$5:$Z$19,MATCH($C92,Matches!$A$5:$A$19,0))="","",INDEX(Matches!$Z$5:$Z$19,MATCH($C92,Matches!$A$5:$A$19,0))),"")</f>
        <v/>
      </c>
      <c r="K92">
        <f>IFERROR(IF(INDEX(Matches!$AA$5:$AA$19,MATCH($C92,Matches!$A$5:$A$19,0))="","",INDEX(Matches!$AA$5:$AA$19,MATCH($C92,Matches!$A$5:$A$19,0))),"")</f>
        <v/>
      </c>
      <c r="L92">
        <f>IFERROR(IF(INDEX(Matches!$AB$5:$AB$19,MATCH($C92,Matches!$A$5:$A$19,0))="","",INDEX(Matches!$AB$5:$AB$19,MATCH($C92,Matches!$A$5:$A$19,0))),"")</f>
        <v/>
      </c>
      <c r="M92" s="8">
        <f>IFERROR(IF(INDEX(Matches!$AC$5:$AC$19,MATCH($C92,Matches!$A$5:$A$19,0))="","",INDEX(Matches!$AC$5:$AC$19,MATCH($C92,Matches!$A$5:$A$19,0))),"")</f>
        <v/>
      </c>
      <c r="N92">
        <f>IFERROR(INDEX(Players!$F$2:$F$124,MATCH($F92,Players!$A$2:$A$124,0)),0)</f>
        <v/>
      </c>
      <c r="O92" s="11">
        <f>IFERROR(1/(1/INDEX(Players!$H$2:$H$124,MATCH($F92,Players!$A$2:$A$124,0))),"")</f>
        <v/>
      </c>
      <c r="P92" s="8">
        <f>IFERROR(1/(1/INDEX(Players!$I$2:$I$124,MATCH($F92,Players!$A$2:$A$124,0))),"")</f>
        <v/>
      </c>
      <c r="Q92">
        <f>IF($G92="",0,SUMIFS(Map_Stats!$F$2:$F$779,Map_Stats!$A$2:$A$779,$F92&amp;"|"&amp;$G92))</f>
        <v/>
      </c>
      <c r="R92" s="11">
        <f>IF($G92="","",IFERROR(1/(1/INDEX(Map_Stats!$K$2:$K$779,MATCH($F92&amp;"|"&amp;$G92,Map_Stats!$A$2:$A$779,0))),$O92))</f>
        <v/>
      </c>
      <c r="S92" s="8">
        <f>IF(OR($G92="",$P92=""),"",IFERROR(1/(1/INDEX(Map_Stats!$I$2:$I$779,MATCH($F92&amp;"|"&amp;$G92,Map_Stats!$A$2:$A$779,0))),$P92))</f>
        <v/>
      </c>
      <c r="T92" s="11">
        <f>IF(OR($G92="",R92=""),"",IF($O92="",R92,(Q92*R92+Config!$B$4*$O92)/(Q92+Config!$B$4)))</f>
        <v/>
      </c>
      <c r="U92" s="8">
        <f>IF(S92="","",(Q92*S92+Config!$B$4*$P92)/(Q92+Config!$B$4))</f>
        <v/>
      </c>
      <c r="V92" s="15">
        <f>IF(OR(T92="",$J92=""),"",T92*$J92*($J92/Config!$B$10)^Config!$B$9)</f>
        <v/>
      </c>
      <c r="W92" s="15">
        <f>IF(OR(V92="",U92=""),"",V92*U92)</f>
        <v/>
      </c>
      <c r="X92">
        <f>IF($H92="",0,SUMIFS(Map_Stats!$F$2:$F$779,Map_Stats!$A$2:$A$779,$F92&amp;"|"&amp;$H92))</f>
        <v/>
      </c>
      <c r="Y92" s="11">
        <f>IF($H92="","",IFERROR(1/(1/INDEX(Map_Stats!$K$2:$K$779,MATCH($F92&amp;"|"&amp;$H92,Map_Stats!$A$2:$A$779,0))),$O92))</f>
        <v/>
      </c>
      <c r="Z92" s="8">
        <f>IF(OR($H92="",$P92=""),"",IFERROR(1/(1/INDEX(Map_Stats!$I$2:$I$779,MATCH($F92&amp;"|"&amp;$H92,Map_Stats!$A$2:$A$779,0))),$P92))</f>
        <v/>
      </c>
      <c r="AA92" s="11">
        <f>IF(OR($H92="",Y92=""),"",IF($O92="",Y92,(X92*Y92+Config!$B$4*$O92)/(X92+Config!$B$4)))</f>
        <v/>
      </c>
      <c r="AB92" s="8">
        <f>IF(Z92="","",(X92*Z92+Config!$B$4*$P92)/(X92+Config!$B$4))</f>
        <v/>
      </c>
      <c r="AC92" s="15">
        <f>IF(OR(AA92="",$K92=""),"",AA92*$K92*($K92/Config!$B$10)^Config!$B$9)</f>
        <v/>
      </c>
      <c r="AD92" s="15">
        <f>IF(OR(AC92="",AB92=""),"",AC92*AB92)</f>
        <v/>
      </c>
      <c r="AE92">
        <f>IF($I92="",0,SUMIFS(Map_Stats!$F$2:$F$779,Map_Stats!$A$2:$A$779,$F92&amp;"|"&amp;$I92))</f>
        <v/>
      </c>
      <c r="AF92" s="11">
        <f>IF($I92="","",IFERROR(1/(1/INDEX(Map_Stats!$K$2:$K$779,MATCH($F92&amp;"|"&amp;$I92,Map_Stats!$A$2:$A$779,0))),$O92))</f>
        <v/>
      </c>
      <c r="AG92" s="8">
        <f>IF(OR($I92="",$P92=""),"",IFERROR(1/(1/INDEX(Map_Stats!$I$2:$I$779,MATCH($F92&amp;"|"&amp;$I92,Map_Stats!$A$2:$A$779,0))),$P92))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IF($C92=Board!$B$2,COUNTIFS($C$2:$C$124,Board!$B$2,$AL$2:$AL$124,"&gt;"&amp;$AL92)+COUNTIFS($C$1:$C91,Board!$B$2,$AL$1:$AL91,$AL92)+1,"")</f>
        <v/>
      </c>
      <c r="AS92">
        <f>IFERROR(IF($D92=INDEX(Matches!$AD$5:$AD$19,MATCH($C92,Matches!$A$5:$A$19,0)),"A",IF($D92=INDEX(Matches!$AE$5:$AE$19,MATCH($C92,Matches!$A$5:$A$19,0)),"B","")),"")</f>
        <v/>
      </c>
      <c r="AT92" s="8">
        <f>IF($AS92="","",IFERROR(IF($AS92="A",INDEX(Matches!$AI$5:$AI$19,MATCH($C92,Matches!$A$5:$A$19,0)),INDEX(Matches!$AJ$5:$AJ$19,MATCH($C92,Matches!$A$5:$A$19,0))),""))</f>
        <v/>
      </c>
      <c r="AU92" s="8">
        <f>IF($AS92="","",IFERROR(IF(INDEX(Matches!$AP$5:$AP$19,MATCH($C92,Matches!$A$5:$A$19,0))="","",IF($AS92="A",INDEX(Matches!$AP$5:$AP$19,MATCH($C92,Matches!$A$5:$A$19,0)),1-INDEX(Matches!$AP$5:$AP$19,MATCH($C92,Matches!$A$5:$A$19,0)))),""))</f>
        <v/>
      </c>
      <c r="AV92" s="11">
        <f>IF(OR($AU92="",$AT92=""),1,((Config!$B$14*$AU92+Config!$B$15*(1-$AU92))/(Config!$B$14*$AT92+Config!$B$15*(1-$AT92)))^Config!$B$13)</f>
        <v/>
      </c>
      <c r="AW92" s="8">
        <f>IF($AS92="","",IFERROR(IF(INDEX(Matches!$AV$5:$AV$19,MATCH($C92,Matches!$A$5:$A$19,0))="","",IF($AS92="A",INDEX(Matches!$AV$5:$AV$19,MATCH($C92,Matches!$A$5:$A$19,0)),1-INDEX(Matches!$AV$5:$AV$19,MATCH($C92,Matches!$A$5:$A$19,0)))),""))</f>
        <v/>
      </c>
      <c r="AX92" s="11">
        <f>IF(OR($AW92="",$AT92=""),1,((Config!$B$14*$AW92+Config!$B$15*(1-$AW92))/(Config!$B$14*$AT92+Config!$B$15*(1-$AT92)))^Config!$B$13)</f>
        <v/>
      </c>
      <c r="AY92" s="8">
        <f>IF($AS92="","",IFERROR(IF(INDEX(Matches!$BB$5:$BB$19,MATCH($C92,Matches!$A$5:$A$19,0))="","",IF($AS92="A",INDEX(Matches!$BB$5:$BB$19,MATCH($C92,Matches!$A$5:$A$19,0)),1-INDEX(Matches!$BB$5:$BB$19,MATCH($C92,Matches!$A$5:$A$19,0)))),""))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jk73jbuxys7dhxb|CS2 · MOUZ vs 9z</t>
        </is>
      </c>
      <c r="B93" t="inlineStr">
        <is>
          <t>CS2</t>
        </is>
      </c>
      <c r="C93" t="inlineStr">
        <is>
          <t>CS2 · MOUZ vs 9z</t>
        </is>
      </c>
      <c r="D93" t="inlineStr">
        <is>
          <t>MOUZ</t>
        </is>
      </c>
      <c r="E93" t="inlineStr">
        <is>
          <t>torzsi</t>
        </is>
      </c>
      <c r="F93" t="inlineStr">
        <is>
          <t>jk73jbuxys7dhxb</t>
        </is>
      </c>
      <c r="G93">
        <f>IFERROR(IF(INDEX(Matches!$W$5:$W$19,MATCH($C93,Matches!$A$5:$A$19,0))="","",INDEX(Matches!$W$5:$W$19,MATCH($C93,Matches!$A$5:$A$19,0))),"")</f>
        <v/>
      </c>
      <c r="H93">
        <f>IFERROR(IF(INDEX(Matches!$X$5:$X$19,MATCH($C93,Matches!$A$5:$A$19,0))="","",INDEX(Matches!$X$5:$X$19,MATCH($C93,Matches!$A$5:$A$19,0))),"")</f>
        <v/>
      </c>
      <c r="I93">
        <f>IFERROR(IF(INDEX(Matches!$Y$5:$Y$19,MATCH($C93,Matches!$A$5:$A$19,0))="","",INDEX(Matches!$Y$5:$Y$19,MATCH($C93,Matches!$A$5:$A$19,0))),"")</f>
        <v/>
      </c>
      <c r="J93">
        <f>IFERROR(IF(INDEX(Matches!$Z$5:$Z$19,MATCH($C93,Matches!$A$5:$A$19,0))="","",INDEX(Matches!$Z$5:$Z$19,MATCH($C93,Matches!$A$5:$A$19,0))),"")</f>
        <v/>
      </c>
      <c r="K93">
        <f>IFERROR(IF(INDEX(Matches!$AA$5:$AA$19,MATCH($C93,Matches!$A$5:$A$19,0))="","",INDEX(Matches!$AA$5:$AA$19,MATCH($C93,Matches!$A$5:$A$19,0))),"")</f>
        <v/>
      </c>
      <c r="L93">
        <f>IFERROR(IF(INDEX(Matches!$AB$5:$AB$19,MATCH($C93,Matches!$A$5:$A$19,0))="","",INDEX(Matches!$AB$5:$AB$19,MATCH($C93,Matches!$A$5:$A$19,0))),"")</f>
        <v/>
      </c>
      <c r="M93" s="8">
        <f>IFERROR(IF(INDEX(Matches!$AC$5:$AC$19,MATCH($C93,Matches!$A$5:$A$19,0))="","",INDEX(Matches!$AC$5:$AC$19,MATCH($C93,Matches!$A$5:$A$19,0))),"")</f>
        <v/>
      </c>
      <c r="N93">
        <f>IFERROR(INDEX(Players!$F$2:$F$124,MATCH($F93,Players!$A$2:$A$124,0)),0)</f>
        <v/>
      </c>
      <c r="O93" s="11">
        <f>IFERROR(1/(1/INDEX(Players!$H$2:$H$124,MATCH($F93,Players!$A$2:$A$124,0))),"")</f>
        <v/>
      </c>
      <c r="P93" s="8">
        <f>IFERROR(1/(1/INDEX(Players!$I$2:$I$124,MATCH($F93,Players!$A$2:$A$124,0))),"")</f>
        <v/>
      </c>
      <c r="Q93">
        <f>IF($G93="",0,SUMIFS(Map_Stats!$F$2:$F$779,Map_Stats!$A$2:$A$779,$F93&amp;"|"&amp;$G93))</f>
        <v/>
      </c>
      <c r="R93" s="11">
        <f>IF($G93="","",IFERROR(1/(1/INDEX(Map_Stats!$K$2:$K$779,MATCH($F93&amp;"|"&amp;$G93,Map_Stats!$A$2:$A$779,0))),$O93))</f>
        <v/>
      </c>
      <c r="S93" s="8">
        <f>IF(OR($G93="",$P93=""),"",IFERROR(1/(1/INDEX(Map_Stats!$I$2:$I$779,MATCH($F93&amp;"|"&amp;$G93,Map_Stats!$A$2:$A$779,0))),$P93))</f>
        <v/>
      </c>
      <c r="T93" s="11">
        <f>IF(OR($G93="",R93=""),"",IF($O93="",R93,(Q93*R93+Config!$B$4*$O93)/(Q93+Config!$B$4)))</f>
        <v/>
      </c>
      <c r="U93" s="8">
        <f>IF(S93="","",(Q93*S93+Config!$B$4*$P93)/(Q93+Config!$B$4))</f>
        <v/>
      </c>
      <c r="V93" s="15">
        <f>IF(OR(T93="",$J93=""),"",T93*$J93*($J93/Config!$B$10)^Config!$B$9)</f>
        <v/>
      </c>
      <c r="W93" s="15">
        <f>IF(OR(V93="",U93=""),"",V93*U93)</f>
        <v/>
      </c>
      <c r="X93">
        <f>IF($H93="",0,SUMIFS(Map_Stats!$F$2:$F$779,Map_Stats!$A$2:$A$779,$F93&amp;"|"&amp;$H93))</f>
        <v/>
      </c>
      <c r="Y93" s="11">
        <f>IF($H93="","",IFERROR(1/(1/INDEX(Map_Stats!$K$2:$K$779,MATCH($F93&amp;"|"&amp;$H93,Map_Stats!$A$2:$A$779,0))),$O93))</f>
        <v/>
      </c>
      <c r="Z93" s="8">
        <f>IF(OR($H93="",$P93=""),"",IFERROR(1/(1/INDEX(Map_Stats!$I$2:$I$779,MATCH($F93&amp;"|"&amp;$H93,Map_Stats!$A$2:$A$779,0))),$P93))</f>
        <v/>
      </c>
      <c r="AA93" s="11">
        <f>IF(OR($H93="",Y93=""),"",IF($O93="",Y93,(X93*Y93+Config!$B$4*$O93)/(X93+Config!$B$4)))</f>
        <v/>
      </c>
      <c r="AB93" s="8">
        <f>IF(Z93="","",(X93*Z93+Config!$B$4*$P93)/(X93+Config!$B$4))</f>
        <v/>
      </c>
      <c r="AC93" s="15">
        <f>IF(OR(AA93="",$K93=""),"",AA93*$K93*($K93/Config!$B$10)^Config!$B$9)</f>
        <v/>
      </c>
      <c r="AD93" s="15">
        <f>IF(OR(AC93="",AB93=""),"",AC93*AB93)</f>
        <v/>
      </c>
      <c r="AE93">
        <f>IF($I93="",0,SUMIFS(Map_Stats!$F$2:$F$779,Map_Stats!$A$2:$A$779,$F93&amp;"|"&amp;$I93))</f>
        <v/>
      </c>
      <c r="AF93" s="11">
        <f>IF($I93="","",IFERROR(1/(1/INDEX(Map_Stats!$K$2:$K$779,MATCH($F93&amp;"|"&amp;$I93,Map_Stats!$A$2:$A$779,0))),$O93))</f>
        <v/>
      </c>
      <c r="AG93" s="8">
        <f>IF(OR($I93="",$P93=""),"",IFERROR(1/(1/INDEX(Map_Stats!$I$2:$I$779,MATCH($F93&amp;"|"&amp;$I93,Map_Stats!$A$2:$A$779,0))),$P93))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IF($C93=Board!$B$2,COUNTIFS($C$2:$C$124,Board!$B$2,$AL$2:$AL$124,"&gt;"&amp;$AL93)+COUNTIFS($C$1:$C92,Board!$B$2,$AL$1:$AL92,$AL93)+1,"")</f>
        <v/>
      </c>
      <c r="AS93">
        <f>IFERROR(IF($D93=INDEX(Matches!$AD$5:$AD$19,MATCH($C93,Matches!$A$5:$A$19,0)),"A",IF($D93=INDEX(Matches!$AE$5:$AE$19,MATCH($C93,Matches!$A$5:$A$19,0)),"B","")),"")</f>
        <v/>
      </c>
      <c r="AT93" s="8">
        <f>IF($AS93="","",IFERROR(IF($AS93="A",INDEX(Matches!$AI$5:$AI$19,MATCH($C93,Matches!$A$5:$A$19,0)),INDEX(Matches!$AJ$5:$AJ$19,MATCH($C93,Matches!$A$5:$A$19,0))),""))</f>
        <v/>
      </c>
      <c r="AU93" s="8">
        <f>IF($AS93="","",IFERROR(IF(INDEX(Matches!$AP$5:$AP$19,MATCH($C93,Matches!$A$5:$A$19,0))="","",IF($AS93="A",INDEX(Matches!$AP$5:$AP$19,MATCH($C93,Matches!$A$5:$A$19,0)),1-INDEX(Matches!$AP$5:$AP$19,MATCH($C93,Matches!$A$5:$A$19,0)))),""))</f>
        <v/>
      </c>
      <c r="AV93" s="11">
        <f>IF(OR($AU93="",$AT93=""),1,((Config!$B$14*$AU93+Config!$B$15*(1-$AU93))/(Config!$B$14*$AT93+Config!$B$15*(1-$AT93)))^Config!$B$13)</f>
        <v/>
      </c>
      <c r="AW93" s="8">
        <f>IF($AS93="","",IFERROR(IF(INDEX(Matches!$AV$5:$AV$19,MATCH($C93,Matches!$A$5:$A$19,0))="","",IF($AS93="A",INDEX(Matches!$AV$5:$AV$19,MATCH($C93,Matches!$A$5:$A$19,0)),1-INDEX(Matches!$AV$5:$AV$19,MATCH($C93,Matches!$A$5:$A$19,0)))),""))</f>
        <v/>
      </c>
      <c r="AX93" s="11">
        <f>IF(OR($AW93="",$AT93=""),1,((Config!$B$14*$AW93+Config!$B$15*(1-$AW93))/(Config!$B$14*$AT93+Config!$B$15*(1-$AT93)))^Config!$B$13)</f>
        <v/>
      </c>
      <c r="AY93" s="8">
        <f>IF($AS93="","",IFERROR(IF(INDEX(Matches!$BB$5:$BB$19,MATCH($C93,Matches!$A$5:$A$19,0))="","",IF($AS93="A",INDEX(Matches!$BB$5:$BB$19,MATCH($C93,Matches!$A$5:$A$19,0)),1-INDEX(Matches!$BB$5:$BB$19,MATCH($C93,Matches!$A$5:$A$19,0)))),""))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zs2lsmobreb35xn|CS2 · MOUZ vs 9z</t>
        </is>
      </c>
      <c r="B94" t="inlineStr">
        <is>
          <t>CS2</t>
        </is>
      </c>
      <c r="C94" t="inlineStr">
        <is>
          <t>CS2 · MOUZ vs 9z</t>
        </is>
      </c>
      <c r="D94" t="inlineStr">
        <is>
          <t>MOUZ</t>
        </is>
      </c>
      <c r="E94" t="inlineStr">
        <is>
          <t>xelex</t>
        </is>
      </c>
      <c r="F94" t="inlineStr">
        <is>
          <t>zs2lsmobreb35xn</t>
        </is>
      </c>
      <c r="G94">
        <f>IFERROR(IF(INDEX(Matches!$W$5:$W$19,MATCH($C94,Matches!$A$5:$A$19,0))="","",INDEX(Matches!$W$5:$W$19,MATCH($C94,Matches!$A$5:$A$19,0))),"")</f>
        <v/>
      </c>
      <c r="H94">
        <f>IFERROR(IF(INDEX(Matches!$X$5:$X$19,MATCH($C94,Matches!$A$5:$A$19,0))="","",INDEX(Matches!$X$5:$X$19,MATCH($C94,Matches!$A$5:$A$19,0))),"")</f>
        <v/>
      </c>
      <c r="I94">
        <f>IFERROR(IF(INDEX(Matches!$Y$5:$Y$19,MATCH($C94,Matches!$A$5:$A$19,0))="","",INDEX(Matches!$Y$5:$Y$19,MATCH($C94,Matches!$A$5:$A$19,0))),"")</f>
        <v/>
      </c>
      <c r="J94">
        <f>IFERROR(IF(INDEX(Matches!$Z$5:$Z$19,MATCH($C94,Matches!$A$5:$A$19,0))="","",INDEX(Matches!$Z$5:$Z$19,MATCH($C94,Matches!$A$5:$A$19,0))),"")</f>
        <v/>
      </c>
      <c r="K94">
        <f>IFERROR(IF(INDEX(Matches!$AA$5:$AA$19,MATCH($C94,Matches!$A$5:$A$19,0))="","",INDEX(Matches!$AA$5:$AA$19,MATCH($C94,Matches!$A$5:$A$19,0))),"")</f>
        <v/>
      </c>
      <c r="L94">
        <f>IFERROR(IF(INDEX(Matches!$AB$5:$AB$19,MATCH($C94,Matches!$A$5:$A$19,0))="","",INDEX(Matches!$AB$5:$AB$19,MATCH($C94,Matches!$A$5:$A$19,0))),"")</f>
        <v/>
      </c>
      <c r="M94" s="8">
        <f>IFERROR(IF(INDEX(Matches!$AC$5:$AC$19,MATCH($C94,Matches!$A$5:$A$19,0))="","",INDEX(Matches!$AC$5:$AC$19,MATCH($C94,Matches!$A$5:$A$19,0))),"")</f>
        <v/>
      </c>
      <c r="N94">
        <f>IFERROR(INDEX(Players!$F$2:$F$124,MATCH($F94,Players!$A$2:$A$124,0)),0)</f>
        <v/>
      </c>
      <c r="O94" s="11">
        <f>IFERROR(1/(1/INDEX(Players!$H$2:$H$124,MATCH($F94,Players!$A$2:$A$124,0))),"")</f>
        <v/>
      </c>
      <c r="P94" s="8">
        <f>IFERROR(1/(1/INDEX(Players!$I$2:$I$124,MATCH($F94,Players!$A$2:$A$124,0))),"")</f>
        <v/>
      </c>
      <c r="Q94">
        <f>IF($G94="",0,SUMIFS(Map_Stats!$F$2:$F$779,Map_Stats!$A$2:$A$779,$F94&amp;"|"&amp;$G94))</f>
        <v/>
      </c>
      <c r="R94" s="11">
        <f>IF($G94="","",IFERROR(1/(1/INDEX(Map_Stats!$K$2:$K$779,MATCH($F94&amp;"|"&amp;$G94,Map_Stats!$A$2:$A$779,0))),$O94))</f>
        <v/>
      </c>
      <c r="S94" s="8">
        <f>IF(OR($G94="",$P94=""),"",IFERROR(1/(1/INDEX(Map_Stats!$I$2:$I$779,MATCH($F94&amp;"|"&amp;$G94,Map_Stats!$A$2:$A$779,0))),$P94))</f>
        <v/>
      </c>
      <c r="T94" s="11">
        <f>IF(OR($G94="",R94=""),"",IF($O94="",R94,(Q94*R94+Config!$B$4*$O94)/(Q94+Config!$B$4)))</f>
        <v/>
      </c>
      <c r="U94" s="8">
        <f>IF(S94="","",(Q94*S94+Config!$B$4*$P94)/(Q94+Config!$B$4))</f>
        <v/>
      </c>
      <c r="V94" s="15">
        <f>IF(OR(T94="",$J94=""),"",T94*$J94*($J94/Config!$B$10)^Config!$B$9)</f>
        <v/>
      </c>
      <c r="W94" s="15">
        <f>IF(OR(V94="",U94=""),"",V94*U94)</f>
        <v/>
      </c>
      <c r="X94">
        <f>IF($H94="",0,SUMIFS(Map_Stats!$F$2:$F$779,Map_Stats!$A$2:$A$779,$F94&amp;"|"&amp;$H94))</f>
        <v/>
      </c>
      <c r="Y94" s="11">
        <f>IF($H94="","",IFERROR(1/(1/INDEX(Map_Stats!$K$2:$K$779,MATCH($F94&amp;"|"&amp;$H94,Map_Stats!$A$2:$A$779,0))),$O94))</f>
        <v/>
      </c>
      <c r="Z94" s="8">
        <f>IF(OR($H94="",$P94=""),"",IFERROR(1/(1/INDEX(Map_Stats!$I$2:$I$779,MATCH($F94&amp;"|"&amp;$H94,Map_Stats!$A$2:$A$779,0))),$P94))</f>
        <v/>
      </c>
      <c r="AA94" s="11">
        <f>IF(OR($H94="",Y94=""),"",IF($O94="",Y94,(X94*Y94+Config!$B$4*$O94)/(X94+Config!$B$4)))</f>
        <v/>
      </c>
      <c r="AB94" s="8">
        <f>IF(Z94="","",(X94*Z94+Config!$B$4*$P94)/(X94+Config!$B$4))</f>
        <v/>
      </c>
      <c r="AC94" s="15">
        <f>IF(OR(AA94="",$K94=""),"",AA94*$K94*($K94/Config!$B$10)^Config!$B$9)</f>
        <v/>
      </c>
      <c r="AD94" s="15">
        <f>IF(OR(AC94="",AB94=""),"",AC94*AB94)</f>
        <v/>
      </c>
      <c r="AE94">
        <f>IF($I94="",0,SUMIFS(Map_Stats!$F$2:$F$779,Map_Stats!$A$2:$A$779,$F94&amp;"|"&amp;$I94))</f>
        <v/>
      </c>
      <c r="AF94" s="11">
        <f>IF($I94="","",IFERROR(1/(1/INDEX(Map_Stats!$K$2:$K$779,MATCH($F94&amp;"|"&amp;$I94,Map_Stats!$A$2:$A$779,0))),$O94))</f>
        <v/>
      </c>
      <c r="AG94" s="8">
        <f>IF(OR($I94="",$P94=""),"",IFERROR(1/(1/INDEX(Map_Stats!$I$2:$I$779,MATCH($F94&amp;"|"&amp;$I94,Map_Stats!$A$2:$A$779,0))),$P94))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IF($C94=Board!$B$2,COUNTIFS($C$2:$C$124,Board!$B$2,$AL$2:$AL$124,"&gt;"&amp;$AL94)+COUNTIFS($C$1:$C93,Board!$B$2,$AL$1:$AL93,$AL94)+1,"")</f>
        <v/>
      </c>
      <c r="AS94">
        <f>IFERROR(IF($D94=INDEX(Matches!$AD$5:$AD$19,MATCH($C94,Matches!$A$5:$A$19,0)),"A",IF($D94=INDEX(Matches!$AE$5:$AE$19,MATCH($C94,Matches!$A$5:$A$19,0)),"B","")),"")</f>
        <v/>
      </c>
      <c r="AT94" s="8">
        <f>IF($AS94="","",IFERROR(IF($AS94="A",INDEX(Matches!$AI$5:$AI$19,MATCH($C94,Matches!$A$5:$A$19,0)),INDEX(Matches!$AJ$5:$AJ$19,MATCH($C94,Matches!$A$5:$A$19,0))),""))</f>
        <v/>
      </c>
      <c r="AU94" s="8">
        <f>IF($AS94="","",IFERROR(IF(INDEX(Matches!$AP$5:$AP$19,MATCH($C94,Matches!$A$5:$A$19,0))="","",IF($AS94="A",INDEX(Matches!$AP$5:$AP$19,MATCH($C94,Matches!$A$5:$A$19,0)),1-INDEX(Matches!$AP$5:$AP$19,MATCH($C94,Matches!$A$5:$A$19,0)))),""))</f>
        <v/>
      </c>
      <c r="AV94" s="11">
        <f>IF(OR($AU94="",$AT94=""),1,((Config!$B$14*$AU94+Config!$B$15*(1-$AU94))/(Config!$B$14*$AT94+Config!$B$15*(1-$AT94)))^Config!$B$13)</f>
        <v/>
      </c>
      <c r="AW94" s="8">
        <f>IF($AS94="","",IFERROR(IF(INDEX(Matches!$AV$5:$AV$19,MATCH($C94,Matches!$A$5:$A$19,0))="","",IF($AS94="A",INDEX(Matches!$AV$5:$AV$19,MATCH($C94,Matches!$A$5:$A$19,0)),1-INDEX(Matches!$AV$5:$AV$19,MATCH($C94,Matches!$A$5:$A$19,0)))),""))</f>
        <v/>
      </c>
      <c r="AX94" s="11">
        <f>IF(OR($AW94="",$AT94=""),1,((Config!$B$14*$AW94+Config!$B$15*(1-$AW94))/(Config!$B$14*$AT94+Config!$B$15*(1-$AT94)))^Config!$B$13)</f>
        <v/>
      </c>
      <c r="AY94" s="8">
        <f>IF($AS94="","",IFERROR(IF(INDEX(Matches!$BB$5:$BB$19,MATCH($C94,Matches!$A$5:$A$19,0))="","",IF($AS94="A",INDEX(Matches!$BB$5:$BB$19,MATCH($C94,Matches!$A$5:$A$19,0)),1-INDEX(Matches!$BB$5:$BB$19,MATCH($C94,Matches!$A$5:$A$19,0)))),""))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ih00nznuepxs9r3|CS2 · MOUZ vs 9z</t>
        </is>
      </c>
      <c r="B95" t="inlineStr">
        <is>
          <t>CS2</t>
        </is>
      </c>
      <c r="C95" t="inlineStr">
        <is>
          <t>CS2 · MOUZ vs 9z</t>
        </is>
      </c>
      <c r="D95" t="inlineStr">
        <is>
          <t>MOUZ</t>
        </is>
      </c>
      <c r="E95" t="inlineStr">
        <is>
          <t>xertioN</t>
        </is>
      </c>
      <c r="F95" t="inlineStr">
        <is>
          <t>ih00nznuepxs9r3</t>
        </is>
      </c>
      <c r="G95">
        <f>IFERROR(IF(INDEX(Matches!$W$5:$W$19,MATCH($C95,Matches!$A$5:$A$19,0))="","",INDEX(Matches!$W$5:$W$19,MATCH($C95,Matches!$A$5:$A$19,0))),"")</f>
        <v/>
      </c>
      <c r="H95">
        <f>IFERROR(IF(INDEX(Matches!$X$5:$X$19,MATCH($C95,Matches!$A$5:$A$19,0))="","",INDEX(Matches!$X$5:$X$19,MATCH($C95,Matches!$A$5:$A$19,0))),"")</f>
        <v/>
      </c>
      <c r="I95">
        <f>IFERROR(IF(INDEX(Matches!$Y$5:$Y$19,MATCH($C95,Matches!$A$5:$A$19,0))="","",INDEX(Matches!$Y$5:$Y$19,MATCH($C95,Matches!$A$5:$A$19,0))),"")</f>
        <v/>
      </c>
      <c r="J95">
        <f>IFERROR(IF(INDEX(Matches!$Z$5:$Z$19,MATCH($C95,Matches!$A$5:$A$19,0))="","",INDEX(Matches!$Z$5:$Z$19,MATCH($C95,Matches!$A$5:$A$19,0))),"")</f>
        <v/>
      </c>
      <c r="K95">
        <f>IFERROR(IF(INDEX(Matches!$AA$5:$AA$19,MATCH($C95,Matches!$A$5:$A$19,0))="","",INDEX(Matches!$AA$5:$AA$19,MATCH($C95,Matches!$A$5:$A$19,0))),"")</f>
        <v/>
      </c>
      <c r="L95">
        <f>IFERROR(IF(INDEX(Matches!$AB$5:$AB$19,MATCH($C95,Matches!$A$5:$A$19,0))="","",INDEX(Matches!$AB$5:$AB$19,MATCH($C95,Matches!$A$5:$A$19,0))),"")</f>
        <v/>
      </c>
      <c r="M95" s="8">
        <f>IFERROR(IF(INDEX(Matches!$AC$5:$AC$19,MATCH($C95,Matches!$A$5:$A$19,0))="","",INDEX(Matches!$AC$5:$AC$19,MATCH($C95,Matches!$A$5:$A$19,0))),"")</f>
        <v/>
      </c>
      <c r="N95">
        <f>IFERROR(INDEX(Players!$F$2:$F$124,MATCH($F95,Players!$A$2:$A$124,0)),0)</f>
        <v/>
      </c>
      <c r="O95" s="11">
        <f>IFERROR(1/(1/INDEX(Players!$H$2:$H$124,MATCH($F95,Players!$A$2:$A$124,0))),"")</f>
        <v/>
      </c>
      <c r="P95" s="8">
        <f>IFERROR(1/(1/INDEX(Players!$I$2:$I$124,MATCH($F95,Players!$A$2:$A$124,0))),"")</f>
        <v/>
      </c>
      <c r="Q95">
        <f>IF($G95="",0,SUMIFS(Map_Stats!$F$2:$F$779,Map_Stats!$A$2:$A$779,$F95&amp;"|"&amp;$G95))</f>
        <v/>
      </c>
      <c r="R95" s="11">
        <f>IF($G95="","",IFERROR(1/(1/INDEX(Map_Stats!$K$2:$K$779,MATCH($F95&amp;"|"&amp;$G95,Map_Stats!$A$2:$A$779,0))),$O95))</f>
        <v/>
      </c>
      <c r="S95" s="8">
        <f>IF(OR($G95="",$P95=""),"",IFERROR(1/(1/INDEX(Map_Stats!$I$2:$I$779,MATCH($F95&amp;"|"&amp;$G95,Map_Stats!$A$2:$A$779,0))),$P95))</f>
        <v/>
      </c>
      <c r="T95" s="11">
        <f>IF(OR($G95="",R95=""),"",IF($O95="",R95,(Q95*R95+Config!$B$4*$O95)/(Q95+Config!$B$4)))</f>
        <v/>
      </c>
      <c r="U95" s="8">
        <f>IF(S95="","",(Q95*S95+Config!$B$4*$P95)/(Q95+Config!$B$4))</f>
        <v/>
      </c>
      <c r="V95" s="15">
        <f>IF(OR(T95="",$J95=""),"",T95*$J95*($J95/Config!$B$10)^Config!$B$9)</f>
        <v/>
      </c>
      <c r="W95" s="15">
        <f>IF(OR(V95="",U95=""),"",V95*U95)</f>
        <v/>
      </c>
      <c r="X95">
        <f>IF($H95="",0,SUMIFS(Map_Stats!$F$2:$F$779,Map_Stats!$A$2:$A$779,$F95&amp;"|"&amp;$H95))</f>
        <v/>
      </c>
      <c r="Y95" s="11">
        <f>IF($H95="","",IFERROR(1/(1/INDEX(Map_Stats!$K$2:$K$779,MATCH($F95&amp;"|"&amp;$H95,Map_Stats!$A$2:$A$779,0))),$O95))</f>
        <v/>
      </c>
      <c r="Z95" s="8">
        <f>IF(OR($H95="",$P95=""),"",IFERROR(1/(1/INDEX(Map_Stats!$I$2:$I$779,MATCH($F95&amp;"|"&amp;$H95,Map_Stats!$A$2:$A$779,0))),$P95))</f>
        <v/>
      </c>
      <c r="AA95" s="11">
        <f>IF(OR($H95="",Y95=""),"",IF($O95="",Y95,(X95*Y95+Config!$B$4*$O95)/(X95+Config!$B$4)))</f>
        <v/>
      </c>
      <c r="AB95" s="8">
        <f>IF(Z95="","",(X95*Z95+Config!$B$4*$P95)/(X95+Config!$B$4))</f>
        <v/>
      </c>
      <c r="AC95" s="15">
        <f>IF(OR(AA95="",$K95=""),"",AA95*$K95*($K95/Config!$B$10)^Config!$B$9)</f>
        <v/>
      </c>
      <c r="AD95" s="15">
        <f>IF(OR(AC95="",AB95=""),"",AC95*AB95)</f>
        <v/>
      </c>
      <c r="AE95">
        <f>IF($I95="",0,SUMIFS(Map_Stats!$F$2:$F$779,Map_Stats!$A$2:$A$779,$F95&amp;"|"&amp;$I95))</f>
        <v/>
      </c>
      <c r="AF95" s="11">
        <f>IF($I95="","",IFERROR(1/(1/INDEX(Map_Stats!$K$2:$K$779,MATCH($F95&amp;"|"&amp;$I95,Map_Stats!$A$2:$A$779,0))),$O95))</f>
        <v/>
      </c>
      <c r="AG95" s="8">
        <f>IF(OR($I95="",$P95=""),"",IFERROR(1/(1/INDEX(Map_Stats!$I$2:$I$779,MATCH($F95&amp;"|"&amp;$I95,Map_Stats!$A$2:$A$779,0))),$P95))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IF($C95=Board!$B$2,COUNTIFS($C$2:$C$124,Board!$B$2,$AL$2:$AL$124,"&gt;"&amp;$AL95)+COUNTIFS($C$1:$C94,Board!$B$2,$AL$1:$AL94,$AL95)+1,"")</f>
        <v/>
      </c>
      <c r="AS95">
        <f>IFERROR(IF($D95=INDEX(Matches!$AD$5:$AD$19,MATCH($C95,Matches!$A$5:$A$19,0)),"A",IF($D95=INDEX(Matches!$AE$5:$AE$19,MATCH($C95,Matches!$A$5:$A$19,0)),"B","")),"")</f>
        <v/>
      </c>
      <c r="AT95" s="8">
        <f>IF($AS95="","",IFERROR(IF($AS95="A",INDEX(Matches!$AI$5:$AI$19,MATCH($C95,Matches!$A$5:$A$19,0)),INDEX(Matches!$AJ$5:$AJ$19,MATCH($C95,Matches!$A$5:$A$19,0))),""))</f>
        <v/>
      </c>
      <c r="AU95" s="8">
        <f>IF($AS95="","",IFERROR(IF(INDEX(Matches!$AP$5:$AP$19,MATCH($C95,Matches!$A$5:$A$19,0))="","",IF($AS95="A",INDEX(Matches!$AP$5:$AP$19,MATCH($C95,Matches!$A$5:$A$19,0)),1-INDEX(Matches!$AP$5:$AP$19,MATCH($C95,Matches!$A$5:$A$19,0)))),""))</f>
        <v/>
      </c>
      <c r="AV95" s="11">
        <f>IF(OR($AU95="",$AT95=""),1,((Config!$B$14*$AU95+Config!$B$15*(1-$AU95))/(Config!$B$14*$AT95+Config!$B$15*(1-$AT95)))^Config!$B$13)</f>
        <v/>
      </c>
      <c r="AW95" s="8">
        <f>IF($AS95="","",IFERROR(IF(INDEX(Matches!$AV$5:$AV$19,MATCH($C95,Matches!$A$5:$A$19,0))="","",IF($AS95="A",INDEX(Matches!$AV$5:$AV$19,MATCH($C95,Matches!$A$5:$A$19,0)),1-INDEX(Matches!$AV$5:$AV$19,MATCH($C95,Matches!$A$5:$A$19,0)))),""))</f>
        <v/>
      </c>
      <c r="AX95" s="11">
        <f>IF(OR($AW95="",$AT95=""),1,((Config!$B$14*$AW95+Config!$B$15*(1-$AW95))/(Config!$B$14*$AT95+Config!$B$15*(1-$AT95)))^Config!$B$13)</f>
        <v/>
      </c>
      <c r="AY95" s="8">
        <f>IF($AS95="","",IFERROR(IF(INDEX(Matches!$BB$5:$BB$19,MATCH($C95,Matches!$A$5:$A$19,0))="","",IF($AS95="A",INDEX(Matches!$BB$5:$BB$19,MATCH($C95,Matches!$A$5:$A$19,0)),1-INDEX(Matches!$BB$5:$BB$19,MATCH($C95,Matches!$A$5:$A$19,0)))),""))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jm8g7f19qs3a8gx|CS2 · TS vs TYLOO</t>
        </is>
      </c>
      <c r="B96" t="inlineStr">
        <is>
          <t>CS2</t>
        </is>
      </c>
      <c r="C96" t="inlineStr">
        <is>
          <t>CS2 · TS vs TYLOO</t>
        </is>
      </c>
      <c r="D96" t="inlineStr">
        <is>
          <t>TS</t>
        </is>
      </c>
      <c r="E96" t="inlineStr">
        <is>
          <t>donk</t>
        </is>
      </c>
      <c r="F96" t="inlineStr">
        <is>
          <t>jm8g7f19qs3a8gx</t>
        </is>
      </c>
      <c r="G96">
        <f>IFERROR(IF(INDEX(Matches!$W$5:$W$19,MATCH($C96,Matches!$A$5:$A$19,0))="","",INDEX(Matches!$W$5:$W$19,MATCH($C96,Matches!$A$5:$A$19,0))),"")</f>
        <v/>
      </c>
      <c r="H96">
        <f>IFERROR(IF(INDEX(Matches!$X$5:$X$19,MATCH($C96,Matches!$A$5:$A$19,0))="","",INDEX(Matches!$X$5:$X$19,MATCH($C96,Matches!$A$5:$A$19,0))),"")</f>
        <v/>
      </c>
      <c r="I96">
        <f>IFERROR(IF(INDEX(Matches!$Y$5:$Y$19,MATCH($C96,Matches!$A$5:$A$19,0))="","",INDEX(Matches!$Y$5:$Y$19,MATCH($C96,Matches!$A$5:$A$19,0))),"")</f>
        <v/>
      </c>
      <c r="J96">
        <f>IFERROR(IF(INDEX(Matches!$Z$5:$Z$19,MATCH($C96,Matches!$A$5:$A$19,0))="","",INDEX(Matches!$Z$5:$Z$19,MATCH($C96,Matches!$A$5:$A$19,0))),"")</f>
        <v/>
      </c>
      <c r="K96">
        <f>IFERROR(IF(INDEX(Matches!$AA$5:$AA$19,MATCH($C96,Matches!$A$5:$A$19,0))="","",INDEX(Matches!$AA$5:$AA$19,MATCH($C96,Matches!$A$5:$A$19,0))),"")</f>
        <v/>
      </c>
      <c r="L96">
        <f>IFERROR(IF(INDEX(Matches!$AB$5:$AB$19,MATCH($C96,Matches!$A$5:$A$19,0))="","",INDEX(Matches!$AB$5:$AB$19,MATCH($C96,Matches!$A$5:$A$19,0))),"")</f>
        <v/>
      </c>
      <c r="M96" s="8">
        <f>IFERROR(IF(INDEX(Matches!$AC$5:$AC$19,MATCH($C96,Matches!$A$5:$A$19,0))="","",INDEX(Matches!$AC$5:$AC$19,MATCH($C96,Matches!$A$5:$A$19,0))),"")</f>
        <v/>
      </c>
      <c r="N96">
        <f>IFERROR(INDEX(Players!$F$2:$F$124,MATCH($F96,Players!$A$2:$A$124,0)),0)</f>
        <v/>
      </c>
      <c r="O96" s="11">
        <f>IFERROR(1/(1/INDEX(Players!$H$2:$H$124,MATCH($F96,Players!$A$2:$A$124,0))),"")</f>
        <v/>
      </c>
      <c r="P96" s="8">
        <f>IFERROR(1/(1/INDEX(Players!$I$2:$I$124,MATCH($F96,Players!$A$2:$A$124,0))),"")</f>
        <v/>
      </c>
      <c r="Q96">
        <f>IF($G96="",0,SUMIFS(Map_Stats!$F$2:$F$779,Map_Stats!$A$2:$A$779,$F96&amp;"|"&amp;$G96))</f>
        <v/>
      </c>
      <c r="R96" s="11">
        <f>IF($G96="","",IFERROR(1/(1/INDEX(Map_Stats!$K$2:$K$779,MATCH($F96&amp;"|"&amp;$G96,Map_Stats!$A$2:$A$779,0))),$O96))</f>
        <v/>
      </c>
      <c r="S96" s="8">
        <f>IF(OR($G96="",$P96=""),"",IFERROR(1/(1/INDEX(Map_Stats!$I$2:$I$779,MATCH($F96&amp;"|"&amp;$G96,Map_Stats!$A$2:$A$779,0))),$P96))</f>
        <v/>
      </c>
      <c r="T96" s="11">
        <f>IF(OR($G96="",R96=""),"",IF($O96="",R96,(Q96*R96+Config!$B$4*$O96)/(Q96+Config!$B$4)))</f>
        <v/>
      </c>
      <c r="U96" s="8">
        <f>IF(S96="","",(Q96*S96+Config!$B$4*$P96)/(Q96+Config!$B$4))</f>
        <v/>
      </c>
      <c r="V96" s="15">
        <f>IF(OR(T96="",$J96=""),"",T96*$J96*($J96/Config!$B$10)^Config!$B$9)</f>
        <v/>
      </c>
      <c r="W96" s="15">
        <f>IF(OR(V96="",U96=""),"",V96*U96)</f>
        <v/>
      </c>
      <c r="X96">
        <f>IF($H96="",0,SUMIFS(Map_Stats!$F$2:$F$779,Map_Stats!$A$2:$A$779,$F96&amp;"|"&amp;$H96))</f>
        <v/>
      </c>
      <c r="Y96" s="11">
        <f>IF($H96="","",IFERROR(1/(1/INDEX(Map_Stats!$K$2:$K$779,MATCH($F96&amp;"|"&amp;$H96,Map_Stats!$A$2:$A$779,0))),$O96))</f>
        <v/>
      </c>
      <c r="Z96" s="8">
        <f>IF(OR($H96="",$P96=""),"",IFERROR(1/(1/INDEX(Map_Stats!$I$2:$I$779,MATCH($F96&amp;"|"&amp;$H96,Map_Stats!$A$2:$A$779,0))),$P96))</f>
        <v/>
      </c>
      <c r="AA96" s="11">
        <f>IF(OR($H96="",Y96=""),"",IF($O96="",Y96,(X96*Y96+Config!$B$4*$O96)/(X96+Config!$B$4)))</f>
        <v/>
      </c>
      <c r="AB96" s="8">
        <f>IF(Z96="","",(X96*Z96+Config!$B$4*$P96)/(X96+Config!$B$4))</f>
        <v/>
      </c>
      <c r="AC96" s="15">
        <f>IF(OR(AA96="",$K96=""),"",AA96*$K96*($K96/Config!$B$10)^Config!$B$9)</f>
        <v/>
      </c>
      <c r="AD96" s="15">
        <f>IF(OR(AC96="",AB96=""),"",AC96*AB96)</f>
        <v/>
      </c>
      <c r="AE96">
        <f>IF($I96="",0,SUMIFS(Map_Stats!$F$2:$F$779,Map_Stats!$A$2:$A$779,$F96&amp;"|"&amp;$I96))</f>
        <v/>
      </c>
      <c r="AF96" s="11">
        <f>IF($I96="","",IFERROR(1/(1/INDEX(Map_Stats!$K$2:$K$779,MATCH($F96&amp;"|"&amp;$I96,Map_Stats!$A$2:$A$779,0))),$O96))</f>
        <v/>
      </c>
      <c r="AG96" s="8">
        <f>IF(OR($I96="",$P96=""),"",IFERROR(1/(1/INDEX(Map_Stats!$I$2:$I$779,MATCH($F96&amp;"|"&amp;$I96,Map_Stats!$A$2:$A$779,0))),$P96))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IF($C96=Board!$B$2,COUNTIFS($C$2:$C$124,Board!$B$2,$AL$2:$AL$124,"&gt;"&amp;$AL96)+COUNTIFS($C$1:$C95,Board!$B$2,$AL$1:$AL95,$AL96)+1,"")</f>
        <v/>
      </c>
      <c r="AS96">
        <f>IFERROR(IF($D96=INDEX(Matches!$AD$5:$AD$19,MATCH($C96,Matches!$A$5:$A$19,0)),"A",IF($D96=INDEX(Matches!$AE$5:$AE$19,MATCH($C96,Matches!$A$5:$A$19,0)),"B","")),"")</f>
        <v/>
      </c>
      <c r="AT96" s="8">
        <f>IF($AS96="","",IFERROR(IF($AS96="A",INDEX(Matches!$AI$5:$AI$19,MATCH($C96,Matches!$A$5:$A$19,0)),INDEX(Matches!$AJ$5:$AJ$19,MATCH($C96,Matches!$A$5:$A$19,0))),""))</f>
        <v/>
      </c>
      <c r="AU96" s="8">
        <f>IF($AS96="","",IFERROR(IF(INDEX(Matches!$AP$5:$AP$19,MATCH($C96,Matches!$A$5:$A$19,0))="","",IF($AS96="A",INDEX(Matches!$AP$5:$AP$19,MATCH($C96,Matches!$A$5:$A$19,0)),1-INDEX(Matches!$AP$5:$AP$19,MATCH($C96,Matches!$A$5:$A$19,0)))),""))</f>
        <v/>
      </c>
      <c r="AV96" s="11">
        <f>IF(OR($AU96="",$AT96=""),1,((Config!$B$14*$AU96+Config!$B$15*(1-$AU96))/(Config!$B$14*$AT96+Config!$B$15*(1-$AT96)))^Config!$B$13)</f>
        <v/>
      </c>
      <c r="AW96" s="8">
        <f>IF($AS96="","",IFERROR(IF(INDEX(Matches!$AV$5:$AV$19,MATCH($C96,Matches!$A$5:$A$19,0))="","",IF($AS96="A",INDEX(Matches!$AV$5:$AV$19,MATCH($C96,Matches!$A$5:$A$19,0)),1-INDEX(Matches!$AV$5:$AV$19,MATCH($C96,Matches!$A$5:$A$19,0)))),""))</f>
        <v/>
      </c>
      <c r="AX96" s="11">
        <f>IF(OR($AW96="",$AT96=""),1,((Config!$B$14*$AW96+Config!$B$15*(1-$AW96))/(Config!$B$14*$AT96+Config!$B$15*(1-$AT96)))^Config!$B$13)</f>
        <v/>
      </c>
      <c r="AY96" s="8">
        <f>IF($AS96="","",IFERROR(IF(INDEX(Matches!$BB$5:$BB$19,MATCH($C96,Matches!$A$5:$A$19,0))="","",IF($AS96="A",INDEX(Matches!$BB$5:$BB$19,MATCH($C96,Matches!$A$5:$A$19,0)),1-INDEX(Matches!$BB$5:$BB$19,MATCH($C96,Matches!$A$5:$A$19,0)))),""))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lfjx2i4g14pwgag|CS2 · TS vs TYLOO</t>
        </is>
      </c>
      <c r="B97" t="inlineStr">
        <is>
          <t>CS2</t>
        </is>
      </c>
      <c r="C97" t="inlineStr">
        <is>
          <t>CS2 · TS vs TYLOO</t>
        </is>
      </c>
      <c r="D97" t="inlineStr">
        <is>
          <t>TS</t>
        </is>
      </c>
      <c r="E97" t="inlineStr">
        <is>
          <t>magixx</t>
        </is>
      </c>
      <c r="F97" t="inlineStr">
        <is>
          <t>lfjx2i4g14pwgag</t>
        </is>
      </c>
      <c r="G97">
        <f>IFERROR(IF(INDEX(Matches!$W$5:$W$19,MATCH($C97,Matches!$A$5:$A$19,0))="","",INDEX(Matches!$W$5:$W$19,MATCH($C97,Matches!$A$5:$A$19,0))),"")</f>
        <v/>
      </c>
      <c r="H97">
        <f>IFERROR(IF(INDEX(Matches!$X$5:$X$19,MATCH($C97,Matches!$A$5:$A$19,0))="","",INDEX(Matches!$X$5:$X$19,MATCH($C97,Matches!$A$5:$A$19,0))),"")</f>
        <v/>
      </c>
      <c r="I97">
        <f>IFERROR(IF(INDEX(Matches!$Y$5:$Y$19,MATCH($C97,Matches!$A$5:$A$19,0))="","",INDEX(Matches!$Y$5:$Y$19,MATCH($C97,Matches!$A$5:$A$19,0))),"")</f>
        <v/>
      </c>
      <c r="J97">
        <f>IFERROR(IF(INDEX(Matches!$Z$5:$Z$19,MATCH($C97,Matches!$A$5:$A$19,0))="","",INDEX(Matches!$Z$5:$Z$19,MATCH($C97,Matches!$A$5:$A$19,0))),"")</f>
        <v/>
      </c>
      <c r="K97">
        <f>IFERROR(IF(INDEX(Matches!$AA$5:$AA$19,MATCH($C97,Matches!$A$5:$A$19,0))="","",INDEX(Matches!$AA$5:$AA$19,MATCH($C97,Matches!$A$5:$A$19,0))),"")</f>
        <v/>
      </c>
      <c r="L97">
        <f>IFERROR(IF(INDEX(Matches!$AB$5:$AB$19,MATCH($C97,Matches!$A$5:$A$19,0))="","",INDEX(Matches!$AB$5:$AB$19,MATCH($C97,Matches!$A$5:$A$19,0))),"")</f>
        <v/>
      </c>
      <c r="M97" s="8">
        <f>IFERROR(IF(INDEX(Matches!$AC$5:$AC$19,MATCH($C97,Matches!$A$5:$A$19,0))="","",INDEX(Matches!$AC$5:$AC$19,MATCH($C97,Matches!$A$5:$A$19,0))),"")</f>
        <v/>
      </c>
      <c r="N97">
        <f>IFERROR(INDEX(Players!$F$2:$F$124,MATCH($F97,Players!$A$2:$A$124,0)),0)</f>
        <v/>
      </c>
      <c r="O97" s="11">
        <f>IFERROR(1/(1/INDEX(Players!$H$2:$H$124,MATCH($F97,Players!$A$2:$A$124,0))),"")</f>
        <v/>
      </c>
      <c r="P97" s="8">
        <f>IFERROR(1/(1/INDEX(Players!$I$2:$I$124,MATCH($F97,Players!$A$2:$A$124,0))),"")</f>
        <v/>
      </c>
      <c r="Q97">
        <f>IF($G97="",0,SUMIFS(Map_Stats!$F$2:$F$779,Map_Stats!$A$2:$A$779,$F97&amp;"|"&amp;$G97))</f>
        <v/>
      </c>
      <c r="R97" s="11">
        <f>IF($G97="","",IFERROR(1/(1/INDEX(Map_Stats!$K$2:$K$779,MATCH($F97&amp;"|"&amp;$G97,Map_Stats!$A$2:$A$779,0))),$O97))</f>
        <v/>
      </c>
      <c r="S97" s="8">
        <f>IF(OR($G97="",$P97=""),"",IFERROR(1/(1/INDEX(Map_Stats!$I$2:$I$779,MATCH($F97&amp;"|"&amp;$G97,Map_Stats!$A$2:$A$779,0))),$P97))</f>
        <v/>
      </c>
      <c r="T97" s="11">
        <f>IF(OR($G97="",R97=""),"",IF($O97="",R97,(Q97*R97+Config!$B$4*$O97)/(Q97+Config!$B$4)))</f>
        <v/>
      </c>
      <c r="U97" s="8">
        <f>IF(S97="","",(Q97*S97+Config!$B$4*$P97)/(Q97+Config!$B$4))</f>
        <v/>
      </c>
      <c r="V97" s="15">
        <f>IF(OR(T97="",$J97=""),"",T97*$J97*($J97/Config!$B$10)^Config!$B$9)</f>
        <v/>
      </c>
      <c r="W97" s="15">
        <f>IF(OR(V97="",U97=""),"",V97*U97)</f>
        <v/>
      </c>
      <c r="X97">
        <f>IF($H97="",0,SUMIFS(Map_Stats!$F$2:$F$779,Map_Stats!$A$2:$A$779,$F97&amp;"|"&amp;$H97))</f>
        <v/>
      </c>
      <c r="Y97" s="11">
        <f>IF($H97="","",IFERROR(1/(1/INDEX(Map_Stats!$K$2:$K$779,MATCH($F97&amp;"|"&amp;$H97,Map_Stats!$A$2:$A$779,0))),$O97))</f>
        <v/>
      </c>
      <c r="Z97" s="8">
        <f>IF(OR($H97="",$P97=""),"",IFERROR(1/(1/INDEX(Map_Stats!$I$2:$I$779,MATCH($F97&amp;"|"&amp;$H97,Map_Stats!$A$2:$A$779,0))),$P97))</f>
        <v/>
      </c>
      <c r="AA97" s="11">
        <f>IF(OR($H97="",Y97=""),"",IF($O97="",Y97,(X97*Y97+Config!$B$4*$O97)/(X97+Config!$B$4)))</f>
        <v/>
      </c>
      <c r="AB97" s="8">
        <f>IF(Z97="","",(X97*Z97+Config!$B$4*$P97)/(X97+Config!$B$4))</f>
        <v/>
      </c>
      <c r="AC97" s="15">
        <f>IF(OR(AA97="",$K97=""),"",AA97*$K97*($K97/Config!$B$10)^Config!$B$9)</f>
        <v/>
      </c>
      <c r="AD97" s="15">
        <f>IF(OR(AC97="",AB97=""),"",AC97*AB97)</f>
        <v/>
      </c>
      <c r="AE97">
        <f>IF($I97="",0,SUMIFS(Map_Stats!$F$2:$F$779,Map_Stats!$A$2:$A$779,$F97&amp;"|"&amp;$I97))</f>
        <v/>
      </c>
      <c r="AF97" s="11">
        <f>IF($I97="","",IFERROR(1/(1/INDEX(Map_Stats!$K$2:$K$779,MATCH($F97&amp;"|"&amp;$I97,Map_Stats!$A$2:$A$779,0))),$O97))</f>
        <v/>
      </c>
      <c r="AG97" s="8">
        <f>IF(OR($I97="",$P97=""),"",IFERROR(1/(1/INDEX(Map_Stats!$I$2:$I$779,MATCH($F97&amp;"|"&amp;$I97,Map_Stats!$A$2:$A$779,0))),$P97))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IF($C97=Board!$B$2,COUNTIFS($C$2:$C$124,Board!$B$2,$AL$2:$AL$124,"&gt;"&amp;$AL97)+COUNTIFS($C$1:$C96,Board!$B$2,$AL$1:$AL96,$AL97)+1,"")</f>
        <v/>
      </c>
      <c r="AS97">
        <f>IFERROR(IF($D97=INDEX(Matches!$AD$5:$AD$19,MATCH($C97,Matches!$A$5:$A$19,0)),"A",IF($D97=INDEX(Matches!$AE$5:$AE$19,MATCH($C97,Matches!$A$5:$A$19,0)),"B","")),"")</f>
        <v/>
      </c>
      <c r="AT97" s="8">
        <f>IF($AS97="","",IFERROR(IF($AS97="A",INDEX(Matches!$AI$5:$AI$19,MATCH($C97,Matches!$A$5:$A$19,0)),INDEX(Matches!$AJ$5:$AJ$19,MATCH($C97,Matches!$A$5:$A$19,0))),""))</f>
        <v/>
      </c>
      <c r="AU97" s="8">
        <f>IF($AS97="","",IFERROR(IF(INDEX(Matches!$AP$5:$AP$19,MATCH($C97,Matches!$A$5:$A$19,0))="","",IF($AS97="A",INDEX(Matches!$AP$5:$AP$19,MATCH($C97,Matches!$A$5:$A$19,0)),1-INDEX(Matches!$AP$5:$AP$19,MATCH($C97,Matches!$A$5:$A$19,0)))),""))</f>
        <v/>
      </c>
      <c r="AV97" s="11">
        <f>IF(OR($AU97="",$AT97=""),1,((Config!$B$14*$AU97+Config!$B$15*(1-$AU97))/(Config!$B$14*$AT97+Config!$B$15*(1-$AT97)))^Config!$B$13)</f>
        <v/>
      </c>
      <c r="AW97" s="8">
        <f>IF($AS97="","",IFERROR(IF(INDEX(Matches!$AV$5:$AV$19,MATCH($C97,Matches!$A$5:$A$19,0))="","",IF($AS97="A",INDEX(Matches!$AV$5:$AV$19,MATCH($C97,Matches!$A$5:$A$19,0)),1-INDEX(Matches!$AV$5:$AV$19,MATCH($C97,Matches!$A$5:$A$19,0)))),""))</f>
        <v/>
      </c>
      <c r="AX97" s="11">
        <f>IF(OR($AW97="",$AT97=""),1,((Config!$B$14*$AW97+Config!$B$15*(1-$AW97))/(Config!$B$14*$AT97+Config!$B$15*(1-$AT97)))^Config!$B$13)</f>
        <v/>
      </c>
      <c r="AY97" s="8">
        <f>IF($AS97="","",IFERROR(IF(INDEX(Matches!$BB$5:$BB$19,MATCH($C97,Matches!$A$5:$A$19,0))="","",IF($AS97="A",INDEX(Matches!$BB$5:$BB$19,MATCH($C97,Matches!$A$5:$A$19,0)),1-INDEX(Matches!$BB$5:$BB$19,MATCH($C97,Matches!$A$5:$A$19,0)))),""))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4hpvy9eb05vcrre|CS2 · TS vs TYLOO</t>
        </is>
      </c>
      <c r="B98" t="inlineStr">
        <is>
          <t>CS2</t>
        </is>
      </c>
      <c r="C98" t="inlineStr">
        <is>
          <t>CS2 · TS vs TYLOO</t>
        </is>
      </c>
      <c r="D98" t="inlineStr">
        <is>
          <t>TS</t>
        </is>
      </c>
      <c r="E98" t="inlineStr">
        <is>
          <t>sh1ro</t>
        </is>
      </c>
      <c r="F98" t="inlineStr">
        <is>
          <t>4hpvy9eb05vcrre</t>
        </is>
      </c>
      <c r="G98">
        <f>IFERROR(IF(INDEX(Matches!$W$5:$W$19,MATCH($C98,Matches!$A$5:$A$19,0))="","",INDEX(Matches!$W$5:$W$19,MATCH($C98,Matches!$A$5:$A$19,0))),"")</f>
        <v/>
      </c>
      <c r="H98">
        <f>IFERROR(IF(INDEX(Matches!$X$5:$X$19,MATCH($C98,Matches!$A$5:$A$19,0))="","",INDEX(Matches!$X$5:$X$19,MATCH($C98,Matches!$A$5:$A$19,0))),"")</f>
        <v/>
      </c>
      <c r="I98">
        <f>IFERROR(IF(INDEX(Matches!$Y$5:$Y$19,MATCH($C98,Matches!$A$5:$A$19,0))="","",INDEX(Matches!$Y$5:$Y$19,MATCH($C98,Matches!$A$5:$A$19,0))),"")</f>
        <v/>
      </c>
      <c r="J98">
        <f>IFERROR(IF(INDEX(Matches!$Z$5:$Z$19,MATCH($C98,Matches!$A$5:$A$19,0))="","",INDEX(Matches!$Z$5:$Z$19,MATCH($C98,Matches!$A$5:$A$19,0))),"")</f>
        <v/>
      </c>
      <c r="K98">
        <f>IFERROR(IF(INDEX(Matches!$AA$5:$AA$19,MATCH($C98,Matches!$A$5:$A$19,0))="","",INDEX(Matches!$AA$5:$AA$19,MATCH($C98,Matches!$A$5:$A$19,0))),"")</f>
        <v/>
      </c>
      <c r="L98">
        <f>IFERROR(IF(INDEX(Matches!$AB$5:$AB$19,MATCH($C98,Matches!$A$5:$A$19,0))="","",INDEX(Matches!$AB$5:$AB$19,MATCH($C98,Matches!$A$5:$A$19,0))),"")</f>
        <v/>
      </c>
      <c r="M98" s="8">
        <f>IFERROR(IF(INDEX(Matches!$AC$5:$AC$19,MATCH($C98,Matches!$A$5:$A$19,0))="","",INDEX(Matches!$AC$5:$AC$19,MATCH($C98,Matches!$A$5:$A$19,0))),"")</f>
        <v/>
      </c>
      <c r="N98">
        <f>IFERROR(INDEX(Players!$F$2:$F$124,MATCH($F98,Players!$A$2:$A$124,0)),0)</f>
        <v/>
      </c>
      <c r="O98" s="11">
        <f>IFERROR(1/(1/INDEX(Players!$H$2:$H$124,MATCH($F98,Players!$A$2:$A$124,0))),"")</f>
        <v/>
      </c>
      <c r="P98" s="8">
        <f>IFERROR(1/(1/INDEX(Players!$I$2:$I$124,MATCH($F98,Players!$A$2:$A$124,0))),"")</f>
        <v/>
      </c>
      <c r="Q98">
        <f>IF($G98="",0,SUMIFS(Map_Stats!$F$2:$F$779,Map_Stats!$A$2:$A$779,$F98&amp;"|"&amp;$G98))</f>
        <v/>
      </c>
      <c r="R98" s="11">
        <f>IF($G98="","",IFERROR(1/(1/INDEX(Map_Stats!$K$2:$K$779,MATCH($F98&amp;"|"&amp;$G98,Map_Stats!$A$2:$A$779,0))),$O98))</f>
        <v/>
      </c>
      <c r="S98" s="8">
        <f>IF(OR($G98="",$P98=""),"",IFERROR(1/(1/INDEX(Map_Stats!$I$2:$I$779,MATCH($F98&amp;"|"&amp;$G98,Map_Stats!$A$2:$A$779,0))),$P98))</f>
        <v/>
      </c>
      <c r="T98" s="11">
        <f>IF(OR($G98="",R98=""),"",IF($O98="",R98,(Q98*R98+Config!$B$4*$O98)/(Q98+Config!$B$4)))</f>
        <v/>
      </c>
      <c r="U98" s="8">
        <f>IF(S98="","",(Q98*S98+Config!$B$4*$P98)/(Q98+Config!$B$4))</f>
        <v/>
      </c>
      <c r="V98" s="15">
        <f>IF(OR(T98="",$J98=""),"",T98*$J98*($J98/Config!$B$10)^Config!$B$9)</f>
        <v/>
      </c>
      <c r="W98" s="15">
        <f>IF(OR(V98="",U98=""),"",V98*U98)</f>
        <v/>
      </c>
      <c r="X98">
        <f>IF($H98="",0,SUMIFS(Map_Stats!$F$2:$F$779,Map_Stats!$A$2:$A$779,$F98&amp;"|"&amp;$H98))</f>
        <v/>
      </c>
      <c r="Y98" s="11">
        <f>IF($H98="","",IFERROR(1/(1/INDEX(Map_Stats!$K$2:$K$779,MATCH($F98&amp;"|"&amp;$H98,Map_Stats!$A$2:$A$779,0))),$O98))</f>
        <v/>
      </c>
      <c r="Z98" s="8">
        <f>IF(OR($H98="",$P98=""),"",IFERROR(1/(1/INDEX(Map_Stats!$I$2:$I$779,MATCH($F98&amp;"|"&amp;$H98,Map_Stats!$A$2:$A$779,0))),$P98))</f>
        <v/>
      </c>
      <c r="AA98" s="11">
        <f>IF(OR($H98="",Y98=""),"",IF($O98="",Y98,(X98*Y98+Config!$B$4*$O98)/(X98+Config!$B$4)))</f>
        <v/>
      </c>
      <c r="AB98" s="8">
        <f>IF(Z98="","",(X98*Z98+Config!$B$4*$P98)/(X98+Config!$B$4))</f>
        <v/>
      </c>
      <c r="AC98" s="15">
        <f>IF(OR(AA98="",$K98=""),"",AA98*$K98*($K98/Config!$B$10)^Config!$B$9)</f>
        <v/>
      </c>
      <c r="AD98" s="15">
        <f>IF(OR(AC98="",AB98=""),"",AC98*AB98)</f>
        <v/>
      </c>
      <c r="AE98">
        <f>IF($I98="",0,SUMIFS(Map_Stats!$F$2:$F$779,Map_Stats!$A$2:$A$779,$F98&amp;"|"&amp;$I98))</f>
        <v/>
      </c>
      <c r="AF98" s="11">
        <f>IF($I98="","",IFERROR(1/(1/INDEX(Map_Stats!$K$2:$K$779,MATCH($F98&amp;"|"&amp;$I98,Map_Stats!$A$2:$A$779,0))),$O98))</f>
        <v/>
      </c>
      <c r="AG98" s="8">
        <f>IF(OR($I98="",$P98=""),"",IFERROR(1/(1/INDEX(Map_Stats!$I$2:$I$779,MATCH($F98&amp;"|"&amp;$I98,Map_Stats!$A$2:$A$779,0))),$P98))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IF($C98=Board!$B$2,COUNTIFS($C$2:$C$124,Board!$B$2,$AL$2:$AL$124,"&gt;"&amp;$AL98)+COUNTIFS($C$1:$C97,Board!$B$2,$AL$1:$AL97,$AL98)+1,"")</f>
        <v/>
      </c>
      <c r="AS98">
        <f>IFERROR(IF($D98=INDEX(Matches!$AD$5:$AD$19,MATCH($C98,Matches!$A$5:$A$19,0)),"A",IF($D98=INDEX(Matches!$AE$5:$AE$19,MATCH($C98,Matches!$A$5:$A$19,0)),"B","")),"")</f>
        <v/>
      </c>
      <c r="AT98" s="8">
        <f>IF($AS98="","",IFERROR(IF($AS98="A",INDEX(Matches!$AI$5:$AI$19,MATCH($C98,Matches!$A$5:$A$19,0)),INDEX(Matches!$AJ$5:$AJ$19,MATCH($C98,Matches!$A$5:$A$19,0))),""))</f>
        <v/>
      </c>
      <c r="AU98" s="8">
        <f>IF($AS98="","",IFERROR(IF(INDEX(Matches!$AP$5:$AP$19,MATCH($C98,Matches!$A$5:$A$19,0))="","",IF($AS98="A",INDEX(Matches!$AP$5:$AP$19,MATCH($C98,Matches!$A$5:$A$19,0)),1-INDEX(Matches!$AP$5:$AP$19,MATCH($C98,Matches!$A$5:$A$19,0)))),""))</f>
        <v/>
      </c>
      <c r="AV98" s="11">
        <f>IF(OR($AU98="",$AT98=""),1,((Config!$B$14*$AU98+Config!$B$15*(1-$AU98))/(Config!$B$14*$AT98+Config!$B$15*(1-$AT98)))^Config!$B$13)</f>
        <v/>
      </c>
      <c r="AW98" s="8">
        <f>IF($AS98="","",IFERROR(IF(INDEX(Matches!$AV$5:$AV$19,MATCH($C98,Matches!$A$5:$A$19,0))="","",IF($AS98="A",INDEX(Matches!$AV$5:$AV$19,MATCH($C98,Matches!$A$5:$A$19,0)),1-INDEX(Matches!$AV$5:$AV$19,MATCH($C98,Matches!$A$5:$A$19,0)))),""))</f>
        <v/>
      </c>
      <c r="AX98" s="11">
        <f>IF(OR($AW98="",$AT98=""),1,((Config!$B$14*$AW98+Config!$B$15*(1-$AW98))/(Config!$B$14*$AT98+Config!$B$15*(1-$AT98)))^Config!$B$13)</f>
        <v/>
      </c>
      <c r="AY98" s="8">
        <f>IF($AS98="","",IFERROR(IF(INDEX(Matches!$BB$5:$BB$19,MATCH($C98,Matches!$A$5:$A$19,0))="","",IF($AS98="A",INDEX(Matches!$BB$5:$BB$19,MATCH($C98,Matches!$A$5:$A$19,0)),1-INDEX(Matches!$BB$5:$BB$19,MATCH($C98,Matches!$A$5:$A$19,0)))),""))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23ihz3d4vuve2an|CS2 · TS vs TYLOO</t>
        </is>
      </c>
      <c r="B99" t="inlineStr">
        <is>
          <t>CS2</t>
        </is>
      </c>
      <c r="C99" t="inlineStr">
        <is>
          <t>CS2 · TS vs TYLOO</t>
        </is>
      </c>
      <c r="D99" t="inlineStr">
        <is>
          <t>TS</t>
        </is>
      </c>
      <c r="E99" t="inlineStr">
        <is>
          <t>tN1R</t>
        </is>
      </c>
      <c r="F99" t="inlineStr">
        <is>
          <t>23ihz3d4vuve2an</t>
        </is>
      </c>
      <c r="G99">
        <f>IFERROR(IF(INDEX(Matches!$W$5:$W$19,MATCH($C99,Matches!$A$5:$A$19,0))="","",INDEX(Matches!$W$5:$W$19,MATCH($C99,Matches!$A$5:$A$19,0))),"")</f>
        <v/>
      </c>
      <c r="H99">
        <f>IFERROR(IF(INDEX(Matches!$X$5:$X$19,MATCH($C99,Matches!$A$5:$A$19,0))="","",INDEX(Matches!$X$5:$X$19,MATCH($C99,Matches!$A$5:$A$19,0))),"")</f>
        <v/>
      </c>
      <c r="I99">
        <f>IFERROR(IF(INDEX(Matches!$Y$5:$Y$19,MATCH($C99,Matches!$A$5:$A$19,0))="","",INDEX(Matches!$Y$5:$Y$19,MATCH($C99,Matches!$A$5:$A$19,0))),"")</f>
        <v/>
      </c>
      <c r="J99">
        <f>IFERROR(IF(INDEX(Matches!$Z$5:$Z$19,MATCH($C99,Matches!$A$5:$A$19,0))="","",INDEX(Matches!$Z$5:$Z$19,MATCH($C99,Matches!$A$5:$A$19,0))),"")</f>
        <v/>
      </c>
      <c r="K99">
        <f>IFERROR(IF(INDEX(Matches!$AA$5:$AA$19,MATCH($C99,Matches!$A$5:$A$19,0))="","",INDEX(Matches!$AA$5:$AA$19,MATCH($C99,Matches!$A$5:$A$19,0))),"")</f>
        <v/>
      </c>
      <c r="L99">
        <f>IFERROR(IF(INDEX(Matches!$AB$5:$AB$19,MATCH($C99,Matches!$A$5:$A$19,0))="","",INDEX(Matches!$AB$5:$AB$19,MATCH($C99,Matches!$A$5:$A$19,0))),"")</f>
        <v/>
      </c>
      <c r="M99" s="8">
        <f>IFERROR(IF(INDEX(Matches!$AC$5:$AC$19,MATCH($C99,Matches!$A$5:$A$19,0))="","",INDEX(Matches!$AC$5:$AC$19,MATCH($C99,Matches!$A$5:$A$19,0))),"")</f>
        <v/>
      </c>
      <c r="N99">
        <f>IFERROR(INDEX(Players!$F$2:$F$124,MATCH($F99,Players!$A$2:$A$124,0)),0)</f>
        <v/>
      </c>
      <c r="O99" s="11">
        <f>IFERROR(1/(1/INDEX(Players!$H$2:$H$124,MATCH($F99,Players!$A$2:$A$124,0))),"")</f>
        <v/>
      </c>
      <c r="P99" s="8">
        <f>IFERROR(1/(1/INDEX(Players!$I$2:$I$124,MATCH($F99,Players!$A$2:$A$124,0))),"")</f>
        <v/>
      </c>
      <c r="Q99">
        <f>IF($G99="",0,SUMIFS(Map_Stats!$F$2:$F$779,Map_Stats!$A$2:$A$779,$F99&amp;"|"&amp;$G99))</f>
        <v/>
      </c>
      <c r="R99" s="11">
        <f>IF($G99="","",IFERROR(1/(1/INDEX(Map_Stats!$K$2:$K$779,MATCH($F99&amp;"|"&amp;$G99,Map_Stats!$A$2:$A$779,0))),$O99))</f>
        <v/>
      </c>
      <c r="S99" s="8">
        <f>IF(OR($G99="",$P99=""),"",IFERROR(1/(1/INDEX(Map_Stats!$I$2:$I$779,MATCH($F99&amp;"|"&amp;$G99,Map_Stats!$A$2:$A$779,0))),$P99))</f>
        <v/>
      </c>
      <c r="T99" s="11">
        <f>IF(OR($G99="",R99=""),"",IF($O99="",R99,(Q99*R99+Config!$B$4*$O99)/(Q99+Config!$B$4)))</f>
        <v/>
      </c>
      <c r="U99" s="8">
        <f>IF(S99="","",(Q99*S99+Config!$B$4*$P99)/(Q99+Config!$B$4))</f>
        <v/>
      </c>
      <c r="V99" s="15">
        <f>IF(OR(T99="",$J99=""),"",T99*$J99*($J99/Config!$B$10)^Config!$B$9)</f>
        <v/>
      </c>
      <c r="W99" s="15">
        <f>IF(OR(V99="",U99=""),"",V99*U99)</f>
        <v/>
      </c>
      <c r="X99">
        <f>IF($H99="",0,SUMIFS(Map_Stats!$F$2:$F$779,Map_Stats!$A$2:$A$779,$F99&amp;"|"&amp;$H99))</f>
        <v/>
      </c>
      <c r="Y99" s="11">
        <f>IF($H99="","",IFERROR(1/(1/INDEX(Map_Stats!$K$2:$K$779,MATCH($F99&amp;"|"&amp;$H99,Map_Stats!$A$2:$A$779,0))),$O99))</f>
        <v/>
      </c>
      <c r="Z99" s="8">
        <f>IF(OR($H99="",$P99=""),"",IFERROR(1/(1/INDEX(Map_Stats!$I$2:$I$779,MATCH($F99&amp;"|"&amp;$H99,Map_Stats!$A$2:$A$779,0))),$P99))</f>
        <v/>
      </c>
      <c r="AA99" s="11">
        <f>IF(OR($H99="",Y99=""),"",IF($O99="",Y99,(X99*Y99+Config!$B$4*$O99)/(X99+Config!$B$4)))</f>
        <v/>
      </c>
      <c r="AB99" s="8">
        <f>IF(Z99="","",(X99*Z99+Config!$B$4*$P99)/(X99+Config!$B$4))</f>
        <v/>
      </c>
      <c r="AC99" s="15">
        <f>IF(OR(AA99="",$K99=""),"",AA99*$K99*($K99/Config!$B$10)^Config!$B$9)</f>
        <v/>
      </c>
      <c r="AD99" s="15">
        <f>IF(OR(AC99="",AB99=""),"",AC99*AB99)</f>
        <v/>
      </c>
      <c r="AE99">
        <f>IF($I99="",0,SUMIFS(Map_Stats!$F$2:$F$779,Map_Stats!$A$2:$A$779,$F99&amp;"|"&amp;$I99))</f>
        <v/>
      </c>
      <c r="AF99" s="11">
        <f>IF($I99="","",IFERROR(1/(1/INDEX(Map_Stats!$K$2:$K$779,MATCH($F99&amp;"|"&amp;$I99,Map_Stats!$A$2:$A$779,0))),$O99))</f>
        <v/>
      </c>
      <c r="AG99" s="8">
        <f>IF(OR($I99="",$P99=""),"",IFERROR(1/(1/INDEX(Map_Stats!$I$2:$I$779,MATCH($F99&amp;"|"&amp;$I99,Map_Stats!$A$2:$A$779,0))),$P99))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IF($C99=Board!$B$2,COUNTIFS($C$2:$C$124,Board!$B$2,$AL$2:$AL$124,"&gt;"&amp;$AL99)+COUNTIFS($C$1:$C98,Board!$B$2,$AL$1:$AL98,$AL99)+1,"")</f>
        <v/>
      </c>
      <c r="AS99">
        <f>IFERROR(IF($D99=INDEX(Matches!$AD$5:$AD$19,MATCH($C99,Matches!$A$5:$A$19,0)),"A",IF($D99=INDEX(Matches!$AE$5:$AE$19,MATCH($C99,Matches!$A$5:$A$19,0)),"B","")),"")</f>
        <v/>
      </c>
      <c r="AT99" s="8">
        <f>IF($AS99="","",IFERROR(IF($AS99="A",INDEX(Matches!$AI$5:$AI$19,MATCH($C99,Matches!$A$5:$A$19,0)),INDEX(Matches!$AJ$5:$AJ$19,MATCH($C99,Matches!$A$5:$A$19,0))),""))</f>
        <v/>
      </c>
      <c r="AU99" s="8">
        <f>IF($AS99="","",IFERROR(IF(INDEX(Matches!$AP$5:$AP$19,MATCH($C99,Matches!$A$5:$A$19,0))="","",IF($AS99="A",INDEX(Matches!$AP$5:$AP$19,MATCH($C99,Matches!$A$5:$A$19,0)),1-INDEX(Matches!$AP$5:$AP$19,MATCH($C99,Matches!$A$5:$A$19,0)))),""))</f>
        <v/>
      </c>
      <c r="AV99" s="11">
        <f>IF(OR($AU99="",$AT99=""),1,((Config!$B$14*$AU99+Config!$B$15*(1-$AU99))/(Config!$B$14*$AT99+Config!$B$15*(1-$AT99)))^Config!$B$13)</f>
        <v/>
      </c>
      <c r="AW99" s="8">
        <f>IF($AS99="","",IFERROR(IF(INDEX(Matches!$AV$5:$AV$19,MATCH($C99,Matches!$A$5:$A$19,0))="","",IF($AS99="A",INDEX(Matches!$AV$5:$AV$19,MATCH($C99,Matches!$A$5:$A$19,0)),1-INDEX(Matches!$AV$5:$AV$19,MATCH($C99,Matches!$A$5:$A$19,0)))),""))</f>
        <v/>
      </c>
      <c r="AX99" s="11">
        <f>IF(OR($AW99="",$AT99=""),1,((Config!$B$14*$AW99+Config!$B$15*(1-$AW99))/(Config!$B$14*$AT99+Config!$B$15*(1-$AT99)))^Config!$B$13)</f>
        <v/>
      </c>
      <c r="AY99" s="8">
        <f>IF($AS99="","",IFERROR(IF(INDEX(Matches!$BB$5:$BB$19,MATCH($C99,Matches!$A$5:$A$19,0))="","",IF($AS99="A",INDEX(Matches!$BB$5:$BB$19,MATCH($C99,Matches!$A$5:$A$19,0)),1-INDEX(Matches!$BB$5:$BB$19,MATCH($C99,Matches!$A$5:$A$19,0)))),""))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4wgqqpezywhvfib|CS2 · TS vs TYLOO</t>
        </is>
      </c>
      <c r="B100" t="inlineStr">
        <is>
          <t>CS2</t>
        </is>
      </c>
      <c r="C100" t="inlineStr">
        <is>
          <t>CS2 · TS vs TYLOO</t>
        </is>
      </c>
      <c r="D100" t="inlineStr">
        <is>
          <t>TS</t>
        </is>
      </c>
      <c r="E100" t="inlineStr">
        <is>
          <t>zont1x</t>
        </is>
      </c>
      <c r="F100" t="inlineStr">
        <is>
          <t>4wgqqpezywhvfib</t>
        </is>
      </c>
      <c r="G100">
        <f>IFERROR(IF(INDEX(Matches!$W$5:$W$19,MATCH($C100,Matches!$A$5:$A$19,0))="","",INDEX(Matches!$W$5:$W$19,MATCH($C100,Matches!$A$5:$A$19,0))),"")</f>
        <v/>
      </c>
      <c r="H100">
        <f>IFERROR(IF(INDEX(Matches!$X$5:$X$19,MATCH($C100,Matches!$A$5:$A$19,0))="","",INDEX(Matches!$X$5:$X$19,MATCH($C100,Matches!$A$5:$A$19,0))),"")</f>
        <v/>
      </c>
      <c r="I100">
        <f>IFERROR(IF(INDEX(Matches!$Y$5:$Y$19,MATCH($C100,Matches!$A$5:$A$19,0))="","",INDEX(Matches!$Y$5:$Y$19,MATCH($C100,Matches!$A$5:$A$19,0))),"")</f>
        <v/>
      </c>
      <c r="J100">
        <f>IFERROR(IF(INDEX(Matches!$Z$5:$Z$19,MATCH($C100,Matches!$A$5:$A$19,0))="","",INDEX(Matches!$Z$5:$Z$19,MATCH($C100,Matches!$A$5:$A$19,0))),"")</f>
        <v/>
      </c>
      <c r="K100">
        <f>IFERROR(IF(INDEX(Matches!$AA$5:$AA$19,MATCH($C100,Matches!$A$5:$A$19,0))="","",INDEX(Matches!$AA$5:$AA$19,MATCH($C100,Matches!$A$5:$A$19,0))),"")</f>
        <v/>
      </c>
      <c r="L100">
        <f>IFERROR(IF(INDEX(Matches!$AB$5:$AB$19,MATCH($C100,Matches!$A$5:$A$19,0))="","",INDEX(Matches!$AB$5:$AB$19,MATCH($C100,Matches!$A$5:$A$19,0))),"")</f>
        <v/>
      </c>
      <c r="M100" s="8">
        <f>IFERROR(IF(INDEX(Matches!$AC$5:$AC$19,MATCH($C100,Matches!$A$5:$A$19,0))="","",INDEX(Matches!$AC$5:$AC$19,MATCH($C100,Matches!$A$5:$A$19,0))),"")</f>
        <v/>
      </c>
      <c r="N100">
        <f>IFERROR(INDEX(Players!$F$2:$F$124,MATCH($F100,Players!$A$2:$A$124,0)),0)</f>
        <v/>
      </c>
      <c r="O100" s="11">
        <f>IFERROR(1/(1/INDEX(Players!$H$2:$H$124,MATCH($F100,Players!$A$2:$A$124,0))),"")</f>
        <v/>
      </c>
      <c r="P100" s="8">
        <f>IFERROR(1/(1/INDEX(Players!$I$2:$I$124,MATCH($F100,Players!$A$2:$A$124,0))),"")</f>
        <v/>
      </c>
      <c r="Q100">
        <f>IF($G100="",0,SUMIFS(Map_Stats!$F$2:$F$779,Map_Stats!$A$2:$A$779,$F100&amp;"|"&amp;$G100))</f>
        <v/>
      </c>
      <c r="R100" s="11">
        <f>IF($G100="","",IFERROR(1/(1/INDEX(Map_Stats!$K$2:$K$779,MATCH($F100&amp;"|"&amp;$G100,Map_Stats!$A$2:$A$779,0))),$O100))</f>
        <v/>
      </c>
      <c r="S100" s="8">
        <f>IF(OR($G100="",$P100=""),"",IFERROR(1/(1/INDEX(Map_Stats!$I$2:$I$779,MATCH($F100&amp;"|"&amp;$G100,Map_Stats!$A$2:$A$779,0))),$P100))</f>
        <v/>
      </c>
      <c r="T100" s="11">
        <f>IF(OR($G100="",R100=""),"",IF($O100="",R100,(Q100*R100+Config!$B$4*$O100)/(Q100+Config!$B$4)))</f>
        <v/>
      </c>
      <c r="U100" s="8">
        <f>IF(S100="","",(Q100*S100+Config!$B$4*$P100)/(Q100+Config!$B$4))</f>
        <v/>
      </c>
      <c r="V100" s="15">
        <f>IF(OR(T100="",$J100=""),"",T100*$J100*($J100/Config!$B$10)^Config!$B$9)</f>
        <v/>
      </c>
      <c r="W100" s="15">
        <f>IF(OR(V100="",U100=""),"",V100*U100)</f>
        <v/>
      </c>
      <c r="X100">
        <f>IF($H100="",0,SUMIFS(Map_Stats!$F$2:$F$779,Map_Stats!$A$2:$A$779,$F100&amp;"|"&amp;$H100))</f>
        <v/>
      </c>
      <c r="Y100" s="11">
        <f>IF($H100="","",IFERROR(1/(1/INDEX(Map_Stats!$K$2:$K$779,MATCH($F100&amp;"|"&amp;$H100,Map_Stats!$A$2:$A$779,0))),$O100))</f>
        <v/>
      </c>
      <c r="Z100" s="8">
        <f>IF(OR($H100="",$P100=""),"",IFERROR(1/(1/INDEX(Map_Stats!$I$2:$I$779,MATCH($F100&amp;"|"&amp;$H100,Map_Stats!$A$2:$A$779,0))),$P100))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IF($I100="",0,SUMIFS(Map_Stats!$F$2:$F$779,Map_Stats!$A$2:$A$779,$F100&amp;"|"&amp;$I100))</f>
        <v/>
      </c>
      <c r="AF100" s="11">
        <f>IF($I100="","",IFERROR(1/(1/INDEX(Map_Stats!$K$2:$K$779,MATCH($F100&amp;"|"&amp;$I100,Map_Stats!$A$2:$A$779,0))),$O100))</f>
        <v/>
      </c>
      <c r="AG100" s="8">
        <f>IF(OR($I100="",$P100=""),"",IFERROR(1/(1/INDEX(Map_Stats!$I$2:$I$779,MATCH($F100&amp;"|"&amp;$I100,Map_Stats!$A$2:$A$779,0))),$P100))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IF($C100=Board!$B$2,COUNTIFS($C$2:$C$124,Board!$B$2,$AL$2:$AL$124,"&gt;"&amp;$AL100)+COUNTIFS($C$1:$C99,Board!$B$2,$AL$1:$AL99,$AL100)+1,"")</f>
        <v/>
      </c>
      <c r="AS100">
        <f>IFERROR(IF($D100=INDEX(Matches!$AD$5:$AD$19,MATCH($C100,Matches!$A$5:$A$19,0)),"A",IF($D100=INDEX(Matches!$AE$5:$AE$19,MATCH($C100,Matches!$A$5:$A$19,0)),"B","")),"")</f>
        <v/>
      </c>
      <c r="AT100" s="8">
        <f>IF($AS100="","",IFERROR(IF($AS100="A",INDEX(Matches!$AI$5:$AI$19,MATCH($C100,Matches!$A$5:$A$19,0)),INDEX(Matches!$AJ$5:$AJ$19,MATCH($C100,Matches!$A$5:$A$19,0))),""))</f>
        <v/>
      </c>
      <c r="AU100" s="8">
        <f>IF($AS100="","",IFERROR(IF(INDEX(Matches!$AP$5:$AP$19,MATCH($C100,Matches!$A$5:$A$19,0))="","",IF($AS100="A",INDEX(Matches!$AP$5:$AP$19,MATCH($C100,Matches!$A$5:$A$19,0)),1-INDEX(Matches!$AP$5:$AP$19,MATCH($C100,Matches!$A$5:$A$19,0)))),""))</f>
        <v/>
      </c>
      <c r="AV100" s="11">
        <f>IF(OR($AU100="",$AT100=""),1,((Config!$B$14*$AU100+Config!$B$15*(1-$AU100))/(Config!$B$14*$AT100+Config!$B$15*(1-$AT100)))^Config!$B$13)</f>
        <v/>
      </c>
      <c r="AW100" s="8">
        <f>IF($AS100="","",IFERROR(IF(INDEX(Matches!$AV$5:$AV$19,MATCH($C100,Matches!$A$5:$A$19,0))="","",IF($AS100="A",INDEX(Matches!$AV$5:$AV$19,MATCH($C100,Matches!$A$5:$A$19,0)),1-INDEX(Matches!$AV$5:$AV$19,MATCH($C100,Matches!$A$5:$A$19,0)))),""))</f>
        <v/>
      </c>
      <c r="AX100" s="11">
        <f>IF(OR($AW100="",$AT100=""),1,((Config!$B$14*$AW100+Config!$B$15*(1-$AW100))/(Config!$B$14*$AT100+Config!$B$15*(1-$AT100)))^Config!$B$13)</f>
        <v/>
      </c>
      <c r="AY100" s="8">
        <f>IF($AS100="","",IFERROR(IF(INDEX(Matches!$BB$5:$BB$19,MATCH($C100,Matches!$A$5:$A$19,0))="","",IF($AS100="A",INDEX(Matches!$BB$5:$BB$19,MATCH($C100,Matches!$A$5:$A$19,0)),1-INDEX(Matches!$BB$5:$BB$19,MATCH($C100,Matches!$A$5:$A$19,0)))),""))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eolw6ia2z9ydnyh|CS2 · TS vs TYLOO</t>
        </is>
      </c>
      <c r="B101" t="inlineStr">
        <is>
          <t>CS2</t>
        </is>
      </c>
      <c r="C101" t="inlineStr">
        <is>
          <t>CS2 · TS vs TYLOO</t>
        </is>
      </c>
      <c r="D101" t="inlineStr">
        <is>
          <t>TYLOO</t>
        </is>
      </c>
      <c r="E101" t="inlineStr">
        <is>
          <t>JamYoung</t>
        </is>
      </c>
      <c r="F101" t="inlineStr">
        <is>
          <t>eolw6ia2z9ydnyh</t>
        </is>
      </c>
      <c r="G101">
        <f>IFERROR(IF(INDEX(Matches!$W$5:$W$19,MATCH($C101,Matches!$A$5:$A$19,0))="","",INDEX(Matches!$W$5:$W$19,MATCH($C101,Matches!$A$5:$A$19,0))),"")</f>
        <v/>
      </c>
      <c r="H101">
        <f>IFERROR(IF(INDEX(Matches!$X$5:$X$19,MATCH($C101,Matches!$A$5:$A$19,0))="","",INDEX(Matches!$X$5:$X$19,MATCH($C101,Matches!$A$5:$A$19,0))),"")</f>
        <v/>
      </c>
      <c r="I101">
        <f>IFERROR(IF(INDEX(Matches!$Y$5:$Y$19,MATCH($C101,Matches!$A$5:$A$19,0))="","",INDEX(Matches!$Y$5:$Y$19,MATCH($C101,Matches!$A$5:$A$19,0))),"")</f>
        <v/>
      </c>
      <c r="J101">
        <f>IFERROR(IF(INDEX(Matches!$Z$5:$Z$19,MATCH($C101,Matches!$A$5:$A$19,0))="","",INDEX(Matches!$Z$5:$Z$19,MATCH($C101,Matches!$A$5:$A$19,0))),"")</f>
        <v/>
      </c>
      <c r="K101">
        <f>IFERROR(IF(INDEX(Matches!$AA$5:$AA$19,MATCH($C101,Matches!$A$5:$A$19,0))="","",INDEX(Matches!$AA$5:$AA$19,MATCH($C101,Matches!$A$5:$A$19,0))),"")</f>
        <v/>
      </c>
      <c r="L101">
        <f>IFERROR(IF(INDEX(Matches!$AB$5:$AB$19,MATCH($C101,Matches!$A$5:$A$19,0))="","",INDEX(Matches!$AB$5:$AB$19,MATCH($C101,Matches!$A$5:$A$19,0))),"")</f>
        <v/>
      </c>
      <c r="M101" s="8">
        <f>IFERROR(IF(INDEX(Matches!$AC$5:$AC$19,MATCH($C101,Matches!$A$5:$A$19,0))="","",INDEX(Matches!$AC$5:$AC$19,MATCH($C101,Matches!$A$5:$A$19,0))),"")</f>
        <v/>
      </c>
      <c r="N101">
        <f>IFERROR(INDEX(Players!$F$2:$F$124,MATCH($F101,Players!$A$2:$A$124,0)),0)</f>
        <v/>
      </c>
      <c r="O101" s="11">
        <f>IFERROR(1/(1/INDEX(Players!$H$2:$H$124,MATCH($F101,Players!$A$2:$A$124,0))),"")</f>
        <v/>
      </c>
      <c r="P101" s="8">
        <f>IFERROR(1/(1/INDEX(Players!$I$2:$I$124,MATCH($F101,Players!$A$2:$A$124,0))),"")</f>
        <v/>
      </c>
      <c r="Q101">
        <f>IF($G101="",0,SUMIFS(Map_Stats!$F$2:$F$779,Map_Stats!$A$2:$A$779,$F101&amp;"|"&amp;$G101))</f>
        <v/>
      </c>
      <c r="R101" s="11">
        <f>IF($G101="","",IFERROR(1/(1/INDEX(Map_Stats!$K$2:$K$779,MATCH($F101&amp;"|"&amp;$G101,Map_Stats!$A$2:$A$779,0))),$O101))</f>
        <v/>
      </c>
      <c r="S101" s="8">
        <f>IF(OR($G101="",$P101=""),"",IFERROR(1/(1/INDEX(Map_Stats!$I$2:$I$779,MATCH($F101&amp;"|"&amp;$G101,Map_Stats!$A$2:$A$779,0))),$P101))</f>
        <v/>
      </c>
      <c r="T101" s="11">
        <f>IF(OR($G101="",R101=""),"",IF($O101="",R101,(Q101*R101+Config!$B$4*$O101)/(Q101+Config!$B$4)))</f>
        <v/>
      </c>
      <c r="U101" s="8">
        <f>IF(S101="","",(Q101*S101+Config!$B$4*$P101)/(Q101+Config!$B$4))</f>
        <v/>
      </c>
      <c r="V101" s="15">
        <f>IF(OR(T101="",$J101=""),"",T101*$J101*($J101/Config!$B$10)^Config!$B$9)</f>
        <v/>
      </c>
      <c r="W101" s="15">
        <f>IF(OR(V101="",U101=""),"",V101*U101)</f>
        <v/>
      </c>
      <c r="X101">
        <f>IF($H101="",0,SUMIFS(Map_Stats!$F$2:$F$779,Map_Stats!$A$2:$A$779,$F101&amp;"|"&amp;$H101))</f>
        <v/>
      </c>
      <c r="Y101" s="11">
        <f>IF($H101="","",IFERROR(1/(1/INDEX(Map_Stats!$K$2:$K$779,MATCH($F101&amp;"|"&amp;$H101,Map_Stats!$A$2:$A$779,0))),$O101))</f>
        <v/>
      </c>
      <c r="Z101" s="8">
        <f>IF(OR($H101="",$P101=""),"",IFERROR(1/(1/INDEX(Map_Stats!$I$2:$I$779,MATCH($F101&amp;"|"&amp;$H101,Map_Stats!$A$2:$A$779,0))),$P101))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IF($I101="",0,SUMIFS(Map_Stats!$F$2:$F$779,Map_Stats!$A$2:$A$779,$F101&amp;"|"&amp;$I101))</f>
        <v/>
      </c>
      <c r="AF101" s="11">
        <f>IF($I101="","",IFERROR(1/(1/INDEX(Map_Stats!$K$2:$K$779,MATCH($F101&amp;"|"&amp;$I101,Map_Stats!$A$2:$A$779,0))),$O101))</f>
        <v/>
      </c>
      <c r="AG101" s="8">
        <f>IF(OR($I101="",$P101=""),"",IFERROR(1/(1/INDEX(Map_Stats!$I$2:$I$779,MATCH($F101&amp;"|"&amp;$I101,Map_Stats!$A$2:$A$779,0))),$P101))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IF($C101=Board!$B$2,COUNTIFS($C$2:$C$124,Board!$B$2,$AL$2:$AL$124,"&gt;"&amp;$AL101)+COUNTIFS($C$1:$C100,Board!$B$2,$AL$1:$AL100,$AL101)+1,"")</f>
        <v/>
      </c>
      <c r="AS101">
        <f>IFERROR(IF($D101=INDEX(Matches!$AD$5:$AD$19,MATCH($C101,Matches!$A$5:$A$19,0)),"A",IF($D101=INDEX(Matches!$AE$5:$AE$19,MATCH($C101,Matches!$A$5:$A$19,0)),"B","")),"")</f>
        <v/>
      </c>
      <c r="AT101" s="8">
        <f>IF($AS101="","",IFERROR(IF($AS101="A",INDEX(Matches!$AI$5:$AI$19,MATCH($C101,Matches!$A$5:$A$19,0)),INDEX(Matches!$AJ$5:$AJ$19,MATCH($C101,Matches!$A$5:$A$19,0))),""))</f>
        <v/>
      </c>
      <c r="AU101" s="8">
        <f>IF($AS101="","",IFERROR(IF(INDEX(Matches!$AP$5:$AP$19,MATCH($C101,Matches!$A$5:$A$19,0))="","",IF($AS101="A",INDEX(Matches!$AP$5:$AP$19,MATCH($C101,Matches!$A$5:$A$19,0)),1-INDEX(Matches!$AP$5:$AP$19,MATCH($C101,Matches!$A$5:$A$19,0)))),""))</f>
        <v/>
      </c>
      <c r="AV101" s="11">
        <f>IF(OR($AU101="",$AT101=""),1,((Config!$B$14*$AU101+Config!$B$15*(1-$AU101))/(Config!$B$14*$AT101+Config!$B$15*(1-$AT101)))^Config!$B$13)</f>
        <v/>
      </c>
      <c r="AW101" s="8">
        <f>IF($AS101="","",IFERROR(IF(INDEX(Matches!$AV$5:$AV$19,MATCH($C101,Matches!$A$5:$A$19,0))="","",IF($AS101="A",INDEX(Matches!$AV$5:$AV$19,MATCH($C101,Matches!$A$5:$A$19,0)),1-INDEX(Matches!$AV$5:$AV$19,MATCH($C101,Matches!$A$5:$A$19,0)))),""))</f>
        <v/>
      </c>
      <c r="AX101" s="11">
        <f>IF(OR($AW101="",$AT101=""),1,((Config!$B$14*$AW101+Config!$B$15*(1-$AW101))/(Config!$B$14*$AT101+Config!$B$15*(1-$AT101)))^Config!$B$13)</f>
        <v/>
      </c>
      <c r="AY101" s="8">
        <f>IF($AS101="","",IFERROR(IF(INDEX(Matches!$BB$5:$BB$19,MATCH($C101,Matches!$A$5:$A$19,0))="","",IF($AS101="A",INDEX(Matches!$BB$5:$BB$19,MATCH($C101,Matches!$A$5:$A$19,0)),1-INDEX(Matches!$BB$5:$BB$19,MATCH($C101,Matches!$A$5:$A$19,0)))),""))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p3z2zy4su4m4nh0|CS2 · TS vs TYLOO</t>
        </is>
      </c>
      <c r="B102" t="inlineStr">
        <is>
          <t>CS2</t>
        </is>
      </c>
      <c r="C102" t="inlineStr">
        <is>
          <t>CS2 · TS vs TYLOO</t>
        </is>
      </c>
      <c r="D102" t="inlineStr">
        <is>
          <t>TYLOO</t>
        </is>
      </c>
      <c r="E102" t="inlineStr">
        <is>
          <t>Jee</t>
        </is>
      </c>
      <c r="F102" t="inlineStr">
        <is>
          <t>p3z2zy4su4m4nh0</t>
        </is>
      </c>
      <c r="G102">
        <f>IFERROR(IF(INDEX(Matches!$W$5:$W$19,MATCH($C102,Matches!$A$5:$A$19,0))="","",INDEX(Matches!$W$5:$W$19,MATCH($C102,Matches!$A$5:$A$19,0))),"")</f>
        <v/>
      </c>
      <c r="H102">
        <f>IFERROR(IF(INDEX(Matches!$X$5:$X$19,MATCH($C102,Matches!$A$5:$A$19,0))="","",INDEX(Matches!$X$5:$X$19,MATCH($C102,Matches!$A$5:$A$19,0))),"")</f>
        <v/>
      </c>
      <c r="I102">
        <f>IFERROR(IF(INDEX(Matches!$Y$5:$Y$19,MATCH($C102,Matches!$A$5:$A$19,0))="","",INDEX(Matches!$Y$5:$Y$19,MATCH($C102,Matches!$A$5:$A$19,0))),"")</f>
        <v/>
      </c>
      <c r="J102">
        <f>IFERROR(IF(INDEX(Matches!$Z$5:$Z$19,MATCH($C102,Matches!$A$5:$A$19,0))="","",INDEX(Matches!$Z$5:$Z$19,MATCH($C102,Matches!$A$5:$A$19,0))),"")</f>
        <v/>
      </c>
      <c r="K102">
        <f>IFERROR(IF(INDEX(Matches!$AA$5:$AA$19,MATCH($C102,Matches!$A$5:$A$19,0))="","",INDEX(Matches!$AA$5:$AA$19,MATCH($C102,Matches!$A$5:$A$19,0))),"")</f>
        <v/>
      </c>
      <c r="L102">
        <f>IFERROR(IF(INDEX(Matches!$AB$5:$AB$19,MATCH($C102,Matches!$A$5:$A$19,0))="","",INDEX(Matches!$AB$5:$AB$19,MATCH($C102,Matches!$A$5:$A$19,0))),"")</f>
        <v/>
      </c>
      <c r="M102" s="8">
        <f>IFERROR(IF(INDEX(Matches!$AC$5:$AC$19,MATCH($C102,Matches!$A$5:$A$19,0))="","",INDEX(Matches!$AC$5:$AC$19,MATCH($C102,Matches!$A$5:$A$19,0))),"")</f>
        <v/>
      </c>
      <c r="N102">
        <f>IFERROR(INDEX(Players!$F$2:$F$124,MATCH($F102,Players!$A$2:$A$124,0)),0)</f>
        <v/>
      </c>
      <c r="O102" s="11">
        <f>IFERROR(1/(1/INDEX(Players!$H$2:$H$124,MATCH($F102,Players!$A$2:$A$124,0))),"")</f>
        <v/>
      </c>
      <c r="P102" s="8">
        <f>IFERROR(1/(1/INDEX(Players!$I$2:$I$124,MATCH($F102,Players!$A$2:$A$124,0))),"")</f>
        <v/>
      </c>
      <c r="Q102">
        <f>IF($G102="",0,SUMIFS(Map_Stats!$F$2:$F$779,Map_Stats!$A$2:$A$779,$F102&amp;"|"&amp;$G102))</f>
        <v/>
      </c>
      <c r="R102" s="11">
        <f>IF($G102="","",IFERROR(1/(1/INDEX(Map_Stats!$K$2:$K$779,MATCH($F102&amp;"|"&amp;$G102,Map_Stats!$A$2:$A$779,0))),$O102))</f>
        <v/>
      </c>
      <c r="S102" s="8">
        <f>IF(OR($G102="",$P102=""),"",IFERROR(1/(1/INDEX(Map_Stats!$I$2:$I$779,MATCH($F102&amp;"|"&amp;$G102,Map_Stats!$A$2:$A$779,0))),$P102))</f>
        <v/>
      </c>
      <c r="T102" s="11">
        <f>IF(OR($G102="",R102=""),"",IF($O102="",R102,(Q102*R102+Config!$B$4*$O102)/(Q102+Config!$B$4)))</f>
        <v/>
      </c>
      <c r="U102" s="8">
        <f>IF(S102="","",(Q102*S102+Config!$B$4*$P102)/(Q102+Config!$B$4))</f>
        <v/>
      </c>
      <c r="V102" s="15">
        <f>IF(OR(T102="",$J102=""),"",T102*$J102*($J102/Config!$B$10)^Config!$B$9)</f>
        <v/>
      </c>
      <c r="W102" s="15">
        <f>IF(OR(V102="",U102=""),"",V102*U102)</f>
        <v/>
      </c>
      <c r="X102">
        <f>IF($H102="",0,SUMIFS(Map_Stats!$F$2:$F$779,Map_Stats!$A$2:$A$779,$F102&amp;"|"&amp;$H102))</f>
        <v/>
      </c>
      <c r="Y102" s="11">
        <f>IF($H102="","",IFERROR(1/(1/INDEX(Map_Stats!$K$2:$K$779,MATCH($F102&amp;"|"&amp;$H102,Map_Stats!$A$2:$A$779,0))),$O102))</f>
        <v/>
      </c>
      <c r="Z102" s="8">
        <f>IF(OR($H102="",$P102=""),"",IFERROR(1/(1/INDEX(Map_Stats!$I$2:$I$779,MATCH($F102&amp;"|"&amp;$H102,Map_Stats!$A$2:$A$779,0))),$P102))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IF($I102="",0,SUMIFS(Map_Stats!$F$2:$F$779,Map_Stats!$A$2:$A$779,$F102&amp;"|"&amp;$I102))</f>
        <v/>
      </c>
      <c r="AF102" s="11">
        <f>IF($I102="","",IFERROR(1/(1/INDEX(Map_Stats!$K$2:$K$779,MATCH($F102&amp;"|"&amp;$I102,Map_Stats!$A$2:$A$779,0))),$O102))</f>
        <v/>
      </c>
      <c r="AG102" s="8">
        <f>IF(OR($I102="",$P102=""),"",IFERROR(1/(1/INDEX(Map_Stats!$I$2:$I$779,MATCH($F102&amp;"|"&amp;$I102,Map_Stats!$A$2:$A$779,0))),$P102))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IF($C102=Board!$B$2,COUNTIFS($C$2:$C$124,Board!$B$2,$AL$2:$AL$124,"&gt;"&amp;$AL102)+COUNTIFS($C$1:$C101,Board!$B$2,$AL$1:$AL101,$AL102)+1,"")</f>
        <v/>
      </c>
      <c r="AS102">
        <f>IFERROR(IF($D102=INDEX(Matches!$AD$5:$AD$19,MATCH($C102,Matches!$A$5:$A$19,0)),"A",IF($D102=INDEX(Matches!$AE$5:$AE$19,MATCH($C102,Matches!$A$5:$A$19,0)),"B","")),"")</f>
        <v/>
      </c>
      <c r="AT102" s="8">
        <f>IF($AS102="","",IFERROR(IF($AS102="A",INDEX(Matches!$AI$5:$AI$19,MATCH($C102,Matches!$A$5:$A$19,0)),INDEX(Matches!$AJ$5:$AJ$19,MATCH($C102,Matches!$A$5:$A$19,0))),""))</f>
        <v/>
      </c>
      <c r="AU102" s="8">
        <f>IF($AS102="","",IFERROR(IF(INDEX(Matches!$AP$5:$AP$19,MATCH($C102,Matches!$A$5:$A$19,0))="","",IF($AS102="A",INDEX(Matches!$AP$5:$AP$19,MATCH($C102,Matches!$A$5:$A$19,0)),1-INDEX(Matches!$AP$5:$AP$19,MATCH($C102,Matches!$A$5:$A$19,0)))),""))</f>
        <v/>
      </c>
      <c r="AV102" s="11">
        <f>IF(OR($AU102="",$AT102=""),1,((Config!$B$14*$AU102+Config!$B$15*(1-$AU102))/(Config!$B$14*$AT102+Config!$B$15*(1-$AT102)))^Config!$B$13)</f>
        <v/>
      </c>
      <c r="AW102" s="8">
        <f>IF($AS102="","",IFERROR(IF(INDEX(Matches!$AV$5:$AV$19,MATCH($C102,Matches!$A$5:$A$19,0))="","",IF($AS102="A",INDEX(Matches!$AV$5:$AV$19,MATCH($C102,Matches!$A$5:$A$19,0)),1-INDEX(Matches!$AV$5:$AV$19,MATCH($C102,Matches!$A$5:$A$19,0)))),""))</f>
        <v/>
      </c>
      <c r="AX102" s="11">
        <f>IF(OR($AW102="",$AT102=""),1,((Config!$B$14*$AW102+Config!$B$15*(1-$AW102))/(Config!$B$14*$AT102+Config!$B$15*(1-$AT102)))^Config!$B$13)</f>
        <v/>
      </c>
      <c r="AY102" s="8">
        <f>IF($AS102="","",IFERROR(IF(INDEX(Matches!$BB$5:$BB$19,MATCH($C102,Matches!$A$5:$A$19,0))="","",IF($AS102="A",INDEX(Matches!$BB$5:$BB$19,MATCH($C102,Matches!$A$5:$A$19,0)),1-INDEX(Matches!$BB$5:$BB$19,MATCH($C102,Matches!$A$5:$A$19,0)))),""))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7jjpyjuolf7cdlx|CS2 · TS vs TYLOO</t>
        </is>
      </c>
      <c r="B103" t="inlineStr">
        <is>
          <t>CS2</t>
        </is>
      </c>
      <c r="C103" t="inlineStr">
        <is>
          <t>CS2 · TS vs TYLOO</t>
        </is>
      </c>
      <c r="D103" t="inlineStr">
        <is>
          <t>TYLOO</t>
        </is>
      </c>
      <c r="E103" t="inlineStr">
        <is>
          <t>Mercury</t>
        </is>
      </c>
      <c r="F103" t="inlineStr">
        <is>
          <t>7jjpyjuolf7cdlx</t>
        </is>
      </c>
      <c r="G103">
        <f>IFERROR(IF(INDEX(Matches!$W$5:$W$19,MATCH($C103,Matches!$A$5:$A$19,0))="","",INDEX(Matches!$W$5:$W$19,MATCH($C103,Matches!$A$5:$A$19,0))),"")</f>
        <v/>
      </c>
      <c r="H103">
        <f>IFERROR(IF(INDEX(Matches!$X$5:$X$19,MATCH($C103,Matches!$A$5:$A$19,0))="","",INDEX(Matches!$X$5:$X$19,MATCH($C103,Matches!$A$5:$A$19,0))),"")</f>
        <v/>
      </c>
      <c r="I103">
        <f>IFERROR(IF(INDEX(Matches!$Y$5:$Y$19,MATCH($C103,Matches!$A$5:$A$19,0))="","",INDEX(Matches!$Y$5:$Y$19,MATCH($C103,Matches!$A$5:$A$19,0))),"")</f>
        <v/>
      </c>
      <c r="J103">
        <f>IFERROR(IF(INDEX(Matches!$Z$5:$Z$19,MATCH($C103,Matches!$A$5:$A$19,0))="","",INDEX(Matches!$Z$5:$Z$19,MATCH($C103,Matches!$A$5:$A$19,0))),"")</f>
        <v/>
      </c>
      <c r="K103">
        <f>IFERROR(IF(INDEX(Matches!$AA$5:$AA$19,MATCH($C103,Matches!$A$5:$A$19,0))="","",INDEX(Matches!$AA$5:$AA$19,MATCH($C103,Matches!$A$5:$A$19,0))),"")</f>
        <v/>
      </c>
      <c r="L103">
        <f>IFERROR(IF(INDEX(Matches!$AB$5:$AB$19,MATCH($C103,Matches!$A$5:$A$19,0))="","",INDEX(Matches!$AB$5:$AB$19,MATCH($C103,Matches!$A$5:$A$19,0))),"")</f>
        <v/>
      </c>
      <c r="M103" s="8">
        <f>IFERROR(IF(INDEX(Matches!$AC$5:$AC$19,MATCH($C103,Matches!$A$5:$A$19,0))="","",INDEX(Matches!$AC$5:$AC$19,MATCH($C103,Matches!$A$5:$A$19,0))),"")</f>
        <v/>
      </c>
      <c r="N103">
        <f>IFERROR(INDEX(Players!$F$2:$F$124,MATCH($F103,Players!$A$2:$A$124,0)),0)</f>
        <v/>
      </c>
      <c r="O103" s="11">
        <f>IFERROR(1/(1/INDEX(Players!$H$2:$H$124,MATCH($F103,Players!$A$2:$A$124,0))),"")</f>
        <v/>
      </c>
      <c r="P103" s="8">
        <f>IFERROR(1/(1/INDEX(Players!$I$2:$I$124,MATCH($F103,Players!$A$2:$A$124,0))),"")</f>
        <v/>
      </c>
      <c r="Q103">
        <f>IF($G103="",0,SUMIFS(Map_Stats!$F$2:$F$779,Map_Stats!$A$2:$A$779,$F103&amp;"|"&amp;$G103))</f>
        <v/>
      </c>
      <c r="R103" s="11">
        <f>IF($G103="","",IFERROR(1/(1/INDEX(Map_Stats!$K$2:$K$779,MATCH($F103&amp;"|"&amp;$G103,Map_Stats!$A$2:$A$779,0))),$O103))</f>
        <v/>
      </c>
      <c r="S103" s="8">
        <f>IF(OR($G103="",$P103=""),"",IFERROR(1/(1/INDEX(Map_Stats!$I$2:$I$779,MATCH($F103&amp;"|"&amp;$G103,Map_Stats!$A$2:$A$779,0))),$P103))</f>
        <v/>
      </c>
      <c r="T103" s="11">
        <f>IF(OR($G103="",R103=""),"",IF($O103="",R103,(Q103*R103+Config!$B$4*$O103)/(Q103+Config!$B$4)))</f>
        <v/>
      </c>
      <c r="U103" s="8">
        <f>IF(S103="","",(Q103*S103+Config!$B$4*$P103)/(Q103+Config!$B$4))</f>
        <v/>
      </c>
      <c r="V103" s="15">
        <f>IF(OR(T103="",$J103=""),"",T103*$J103*($J103/Config!$B$10)^Config!$B$9)</f>
        <v/>
      </c>
      <c r="W103" s="15">
        <f>IF(OR(V103="",U103=""),"",V103*U103)</f>
        <v/>
      </c>
      <c r="X103">
        <f>IF($H103="",0,SUMIFS(Map_Stats!$F$2:$F$779,Map_Stats!$A$2:$A$779,$F103&amp;"|"&amp;$H103))</f>
        <v/>
      </c>
      <c r="Y103" s="11">
        <f>IF($H103="","",IFERROR(1/(1/INDEX(Map_Stats!$K$2:$K$779,MATCH($F103&amp;"|"&amp;$H103,Map_Stats!$A$2:$A$779,0))),$O103))</f>
        <v/>
      </c>
      <c r="Z103" s="8">
        <f>IF(OR($H103="",$P103=""),"",IFERROR(1/(1/INDEX(Map_Stats!$I$2:$I$779,MATCH($F103&amp;"|"&amp;$H103,Map_Stats!$A$2:$A$779,0))),$P103))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IF($I103="",0,SUMIFS(Map_Stats!$F$2:$F$779,Map_Stats!$A$2:$A$779,$F103&amp;"|"&amp;$I103))</f>
        <v/>
      </c>
      <c r="AF103" s="11">
        <f>IF($I103="","",IFERROR(1/(1/INDEX(Map_Stats!$K$2:$K$779,MATCH($F103&amp;"|"&amp;$I103,Map_Stats!$A$2:$A$779,0))),$O103))</f>
        <v/>
      </c>
      <c r="AG103" s="8">
        <f>IF(OR($I103="",$P103=""),"",IFERROR(1/(1/INDEX(Map_Stats!$I$2:$I$779,MATCH($F103&amp;"|"&amp;$I103,Map_Stats!$A$2:$A$779,0))),$P103))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IF($C103=Board!$B$2,COUNTIFS($C$2:$C$124,Board!$B$2,$AL$2:$AL$124,"&gt;"&amp;$AL103)+COUNTIFS($C$1:$C102,Board!$B$2,$AL$1:$AL102,$AL103)+1,"")</f>
        <v/>
      </c>
      <c r="AS103">
        <f>IFERROR(IF($D103=INDEX(Matches!$AD$5:$AD$19,MATCH($C103,Matches!$A$5:$A$19,0)),"A",IF($D103=INDEX(Matches!$AE$5:$AE$19,MATCH($C103,Matches!$A$5:$A$19,0)),"B","")),"")</f>
        <v/>
      </c>
      <c r="AT103" s="8">
        <f>IF($AS103="","",IFERROR(IF($AS103="A",INDEX(Matches!$AI$5:$AI$19,MATCH($C103,Matches!$A$5:$A$19,0)),INDEX(Matches!$AJ$5:$AJ$19,MATCH($C103,Matches!$A$5:$A$19,0))),""))</f>
        <v/>
      </c>
      <c r="AU103" s="8">
        <f>IF($AS103="","",IFERROR(IF(INDEX(Matches!$AP$5:$AP$19,MATCH($C103,Matches!$A$5:$A$19,0))="","",IF($AS103="A",INDEX(Matches!$AP$5:$AP$19,MATCH($C103,Matches!$A$5:$A$19,0)),1-INDEX(Matches!$AP$5:$AP$19,MATCH($C103,Matches!$A$5:$A$19,0)))),""))</f>
        <v/>
      </c>
      <c r="AV103" s="11">
        <f>IF(OR($AU103="",$AT103=""),1,((Config!$B$14*$AU103+Config!$B$15*(1-$AU103))/(Config!$B$14*$AT103+Config!$B$15*(1-$AT103)))^Config!$B$13)</f>
        <v/>
      </c>
      <c r="AW103" s="8">
        <f>IF($AS103="","",IFERROR(IF(INDEX(Matches!$AV$5:$AV$19,MATCH($C103,Matches!$A$5:$A$19,0))="","",IF($AS103="A",INDEX(Matches!$AV$5:$AV$19,MATCH($C103,Matches!$A$5:$A$19,0)),1-INDEX(Matches!$AV$5:$AV$19,MATCH($C103,Matches!$A$5:$A$19,0)))),""))</f>
        <v/>
      </c>
      <c r="AX103" s="11">
        <f>IF(OR($AW103="",$AT103=""),1,((Config!$B$14*$AW103+Config!$B$15*(1-$AW103))/(Config!$B$14*$AT103+Config!$B$15*(1-$AT103)))^Config!$B$13)</f>
        <v/>
      </c>
      <c r="AY103" s="8">
        <f>IF($AS103="","",IFERROR(IF(INDEX(Matches!$BB$5:$BB$19,MATCH($C103,Matches!$A$5:$A$19,0))="","",IF($AS103="A",INDEX(Matches!$BB$5:$BB$19,MATCH($C103,Matches!$A$5:$A$19,0)),1-INDEX(Matches!$BB$5:$BB$19,MATCH($C103,Matches!$A$5:$A$19,0)))),""))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ypfqlkrrqevp8h4|CS2 · TS vs TYLOO</t>
        </is>
      </c>
      <c r="B104" t="inlineStr">
        <is>
          <t>CS2</t>
        </is>
      </c>
      <c r="C104" t="inlineStr">
        <is>
          <t>CS2 · TS vs TYLOO</t>
        </is>
      </c>
      <c r="D104" t="inlineStr">
        <is>
          <t>TYLOO</t>
        </is>
      </c>
      <c r="E104" t="inlineStr">
        <is>
          <t>Moseyuh</t>
        </is>
      </c>
      <c r="F104" t="inlineStr">
        <is>
          <t>ypfqlkrrqevp8h4</t>
        </is>
      </c>
      <c r="G104">
        <f>IFERROR(IF(INDEX(Matches!$W$5:$W$19,MATCH($C104,Matches!$A$5:$A$19,0))="","",INDEX(Matches!$W$5:$W$19,MATCH($C104,Matches!$A$5:$A$19,0))),"")</f>
        <v/>
      </c>
      <c r="H104">
        <f>IFERROR(IF(INDEX(Matches!$X$5:$X$19,MATCH($C104,Matches!$A$5:$A$19,0))="","",INDEX(Matches!$X$5:$X$19,MATCH($C104,Matches!$A$5:$A$19,0))),"")</f>
        <v/>
      </c>
      <c r="I104">
        <f>IFERROR(IF(INDEX(Matches!$Y$5:$Y$19,MATCH($C104,Matches!$A$5:$A$19,0))="","",INDEX(Matches!$Y$5:$Y$19,MATCH($C104,Matches!$A$5:$A$19,0))),"")</f>
        <v/>
      </c>
      <c r="J104">
        <f>IFERROR(IF(INDEX(Matches!$Z$5:$Z$19,MATCH($C104,Matches!$A$5:$A$19,0))="","",INDEX(Matches!$Z$5:$Z$19,MATCH($C104,Matches!$A$5:$A$19,0))),"")</f>
        <v/>
      </c>
      <c r="K104">
        <f>IFERROR(IF(INDEX(Matches!$AA$5:$AA$19,MATCH($C104,Matches!$A$5:$A$19,0))="","",INDEX(Matches!$AA$5:$AA$19,MATCH($C104,Matches!$A$5:$A$19,0))),"")</f>
        <v/>
      </c>
      <c r="L104">
        <f>IFERROR(IF(INDEX(Matches!$AB$5:$AB$19,MATCH($C104,Matches!$A$5:$A$19,0))="","",INDEX(Matches!$AB$5:$AB$19,MATCH($C104,Matches!$A$5:$A$19,0))),"")</f>
        <v/>
      </c>
      <c r="M104" s="8">
        <f>IFERROR(IF(INDEX(Matches!$AC$5:$AC$19,MATCH($C104,Matches!$A$5:$A$19,0))="","",INDEX(Matches!$AC$5:$AC$19,MATCH($C104,Matches!$A$5:$A$19,0))),"")</f>
        <v/>
      </c>
      <c r="N104">
        <f>IFERROR(INDEX(Players!$F$2:$F$124,MATCH($F104,Players!$A$2:$A$124,0)),0)</f>
        <v/>
      </c>
      <c r="O104" s="11">
        <f>IFERROR(1/(1/INDEX(Players!$H$2:$H$124,MATCH($F104,Players!$A$2:$A$124,0))),"")</f>
        <v/>
      </c>
      <c r="P104" s="8">
        <f>IFERROR(1/(1/INDEX(Players!$I$2:$I$124,MATCH($F104,Players!$A$2:$A$124,0))),"")</f>
        <v/>
      </c>
      <c r="Q104">
        <f>IF($G104="",0,SUMIFS(Map_Stats!$F$2:$F$779,Map_Stats!$A$2:$A$779,$F104&amp;"|"&amp;$G104))</f>
        <v/>
      </c>
      <c r="R104" s="11">
        <f>IF($G104="","",IFERROR(1/(1/INDEX(Map_Stats!$K$2:$K$779,MATCH($F104&amp;"|"&amp;$G104,Map_Stats!$A$2:$A$779,0))),$O104))</f>
        <v/>
      </c>
      <c r="S104" s="8">
        <f>IF(OR($G104="",$P104=""),"",IFERROR(1/(1/INDEX(Map_Stats!$I$2:$I$779,MATCH($F104&amp;"|"&amp;$G104,Map_Stats!$A$2:$A$779,0))),$P104))</f>
        <v/>
      </c>
      <c r="T104" s="11">
        <f>IF(OR($G104="",R104=""),"",IF($O104="",R104,(Q104*R104+Config!$B$4*$O104)/(Q104+Config!$B$4)))</f>
        <v/>
      </c>
      <c r="U104" s="8">
        <f>IF(S104="","",(Q104*S104+Config!$B$4*$P104)/(Q104+Config!$B$4))</f>
        <v/>
      </c>
      <c r="V104" s="15">
        <f>IF(OR(T104="",$J104=""),"",T104*$J104*($J104/Config!$B$10)^Config!$B$9)</f>
        <v/>
      </c>
      <c r="W104" s="15">
        <f>IF(OR(V104="",U104=""),"",V104*U104)</f>
        <v/>
      </c>
      <c r="X104">
        <f>IF($H104="",0,SUMIFS(Map_Stats!$F$2:$F$779,Map_Stats!$A$2:$A$779,$F104&amp;"|"&amp;$H104))</f>
        <v/>
      </c>
      <c r="Y104" s="11">
        <f>IF($H104="","",IFERROR(1/(1/INDEX(Map_Stats!$K$2:$K$779,MATCH($F104&amp;"|"&amp;$H104,Map_Stats!$A$2:$A$779,0))),$O104))</f>
        <v/>
      </c>
      <c r="Z104" s="8">
        <f>IF(OR($H104="",$P104=""),"",IFERROR(1/(1/INDEX(Map_Stats!$I$2:$I$779,MATCH($F104&amp;"|"&amp;$H104,Map_Stats!$A$2:$A$779,0))),$P104))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IF($I104="",0,SUMIFS(Map_Stats!$F$2:$F$779,Map_Stats!$A$2:$A$779,$F104&amp;"|"&amp;$I104))</f>
        <v/>
      </c>
      <c r="AF104" s="11">
        <f>IF($I104="","",IFERROR(1/(1/INDEX(Map_Stats!$K$2:$K$779,MATCH($F104&amp;"|"&amp;$I104,Map_Stats!$A$2:$A$779,0))),$O104))</f>
        <v/>
      </c>
      <c r="AG104" s="8">
        <f>IF(OR($I104="",$P104=""),"",IFERROR(1/(1/INDEX(Map_Stats!$I$2:$I$779,MATCH($F104&amp;"|"&amp;$I104,Map_Stats!$A$2:$A$779,0))),$P104))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IF($C104=Board!$B$2,COUNTIFS($C$2:$C$124,Board!$B$2,$AL$2:$AL$124,"&gt;"&amp;$AL104)+COUNTIFS($C$1:$C103,Board!$B$2,$AL$1:$AL103,$AL104)+1,"")</f>
        <v/>
      </c>
      <c r="AS104">
        <f>IFERROR(IF($D104=INDEX(Matches!$AD$5:$AD$19,MATCH($C104,Matches!$A$5:$A$19,0)),"A",IF($D104=INDEX(Matches!$AE$5:$AE$19,MATCH($C104,Matches!$A$5:$A$19,0)),"B","")),"")</f>
        <v/>
      </c>
      <c r="AT104" s="8">
        <f>IF($AS104="","",IFERROR(IF($AS104="A",INDEX(Matches!$AI$5:$AI$19,MATCH($C104,Matches!$A$5:$A$19,0)),INDEX(Matches!$AJ$5:$AJ$19,MATCH($C104,Matches!$A$5:$A$19,0))),""))</f>
        <v/>
      </c>
      <c r="AU104" s="8">
        <f>IF($AS104="","",IFERROR(IF(INDEX(Matches!$AP$5:$AP$19,MATCH($C104,Matches!$A$5:$A$19,0))="","",IF($AS104="A",INDEX(Matches!$AP$5:$AP$19,MATCH($C104,Matches!$A$5:$A$19,0)),1-INDEX(Matches!$AP$5:$AP$19,MATCH($C104,Matches!$A$5:$A$19,0)))),""))</f>
        <v/>
      </c>
      <c r="AV104" s="11">
        <f>IF(OR($AU104="",$AT104=""),1,((Config!$B$14*$AU104+Config!$B$15*(1-$AU104))/(Config!$B$14*$AT104+Config!$B$15*(1-$AT104)))^Config!$B$13)</f>
        <v/>
      </c>
      <c r="AW104" s="8">
        <f>IF($AS104="","",IFERROR(IF(INDEX(Matches!$AV$5:$AV$19,MATCH($C104,Matches!$A$5:$A$19,0))="","",IF($AS104="A",INDEX(Matches!$AV$5:$AV$19,MATCH($C104,Matches!$A$5:$A$19,0)),1-INDEX(Matches!$AV$5:$AV$19,MATCH($C104,Matches!$A$5:$A$19,0)))),""))</f>
        <v/>
      </c>
      <c r="AX104" s="11">
        <f>IF(OR($AW104="",$AT104=""),1,((Config!$B$14*$AW104+Config!$B$15*(1-$AW104))/(Config!$B$14*$AT104+Config!$B$15*(1-$AT104)))^Config!$B$13)</f>
        <v/>
      </c>
      <c r="AY104" s="8">
        <f>IF($AS104="","",IFERROR(IF(INDEX(Matches!$BB$5:$BB$19,MATCH($C104,Matches!$A$5:$A$19,0))="","",IF($AS104="A",INDEX(Matches!$BB$5:$BB$19,MATCH($C104,Matches!$A$5:$A$19,0)),1-INDEX(Matches!$BB$5:$BB$19,MATCH($C104,Matches!$A$5:$A$19,0)))),""))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8xh80pn743zwzp0|CS2 · TS vs TYLOO</t>
        </is>
      </c>
      <c r="B105" t="inlineStr">
        <is>
          <t>CS2</t>
        </is>
      </c>
      <c r="C105" t="inlineStr">
        <is>
          <t>CS2 · TS vs TYLOO</t>
        </is>
      </c>
      <c r="D105" t="inlineStr">
        <is>
          <t>TYLOO</t>
        </is>
      </c>
      <c r="E105" t="inlineStr">
        <is>
          <t>zero</t>
        </is>
      </c>
      <c r="F105" t="inlineStr">
        <is>
          <t>8xh80pn743zwzp0</t>
        </is>
      </c>
      <c r="G105">
        <f>IFERROR(IF(INDEX(Matches!$W$5:$W$19,MATCH($C105,Matches!$A$5:$A$19,0))="","",INDEX(Matches!$W$5:$W$19,MATCH($C105,Matches!$A$5:$A$19,0))),"")</f>
        <v/>
      </c>
      <c r="H105">
        <f>IFERROR(IF(INDEX(Matches!$X$5:$X$19,MATCH($C105,Matches!$A$5:$A$19,0))="","",INDEX(Matches!$X$5:$X$19,MATCH($C105,Matches!$A$5:$A$19,0))),"")</f>
        <v/>
      </c>
      <c r="I105">
        <f>IFERROR(IF(INDEX(Matches!$Y$5:$Y$19,MATCH($C105,Matches!$A$5:$A$19,0))="","",INDEX(Matches!$Y$5:$Y$19,MATCH($C105,Matches!$A$5:$A$19,0))),"")</f>
        <v/>
      </c>
      <c r="J105">
        <f>IFERROR(IF(INDEX(Matches!$Z$5:$Z$19,MATCH($C105,Matches!$A$5:$A$19,0))="","",INDEX(Matches!$Z$5:$Z$19,MATCH($C105,Matches!$A$5:$A$19,0))),"")</f>
        <v/>
      </c>
      <c r="K105">
        <f>IFERROR(IF(INDEX(Matches!$AA$5:$AA$19,MATCH($C105,Matches!$A$5:$A$19,0))="","",INDEX(Matches!$AA$5:$AA$19,MATCH($C105,Matches!$A$5:$A$19,0))),"")</f>
        <v/>
      </c>
      <c r="L105">
        <f>IFERROR(IF(INDEX(Matches!$AB$5:$AB$19,MATCH($C105,Matches!$A$5:$A$19,0))="","",INDEX(Matches!$AB$5:$AB$19,MATCH($C105,Matches!$A$5:$A$19,0))),"")</f>
        <v/>
      </c>
      <c r="M105" s="8">
        <f>IFERROR(IF(INDEX(Matches!$AC$5:$AC$19,MATCH($C105,Matches!$A$5:$A$19,0))="","",INDEX(Matches!$AC$5:$AC$19,MATCH($C105,Matches!$A$5:$A$19,0))),"")</f>
        <v/>
      </c>
      <c r="N105">
        <f>IFERROR(INDEX(Players!$F$2:$F$124,MATCH($F105,Players!$A$2:$A$124,0)),0)</f>
        <v/>
      </c>
      <c r="O105" s="11">
        <f>IFERROR(1/(1/INDEX(Players!$H$2:$H$124,MATCH($F105,Players!$A$2:$A$124,0))),"")</f>
        <v/>
      </c>
      <c r="P105" s="8">
        <f>IFERROR(1/(1/INDEX(Players!$I$2:$I$124,MATCH($F105,Players!$A$2:$A$124,0))),"")</f>
        <v/>
      </c>
      <c r="Q105">
        <f>IF($G105="",0,SUMIFS(Map_Stats!$F$2:$F$779,Map_Stats!$A$2:$A$779,$F105&amp;"|"&amp;$G105))</f>
        <v/>
      </c>
      <c r="R105" s="11">
        <f>IF($G105="","",IFERROR(1/(1/INDEX(Map_Stats!$K$2:$K$779,MATCH($F105&amp;"|"&amp;$G105,Map_Stats!$A$2:$A$779,0))),$O105))</f>
        <v/>
      </c>
      <c r="S105" s="8">
        <f>IF(OR($G105="",$P105=""),"",IFERROR(1/(1/INDEX(Map_Stats!$I$2:$I$779,MATCH($F105&amp;"|"&amp;$G105,Map_Stats!$A$2:$A$779,0))),$P105))</f>
        <v/>
      </c>
      <c r="T105" s="11">
        <f>IF(OR($G105="",R105=""),"",IF($O105="",R105,(Q105*R105+Config!$B$4*$O105)/(Q105+Config!$B$4)))</f>
        <v/>
      </c>
      <c r="U105" s="8">
        <f>IF(S105="","",(Q105*S105+Config!$B$4*$P105)/(Q105+Config!$B$4))</f>
        <v/>
      </c>
      <c r="V105" s="15">
        <f>IF(OR(T105="",$J105=""),"",T105*$J105*($J105/Config!$B$10)^Config!$B$9)</f>
        <v/>
      </c>
      <c r="W105" s="15">
        <f>IF(OR(V105="",U105=""),"",V105*U105)</f>
        <v/>
      </c>
      <c r="X105">
        <f>IF($H105="",0,SUMIFS(Map_Stats!$F$2:$F$779,Map_Stats!$A$2:$A$779,$F105&amp;"|"&amp;$H105))</f>
        <v/>
      </c>
      <c r="Y105" s="11">
        <f>IF($H105="","",IFERROR(1/(1/INDEX(Map_Stats!$K$2:$K$779,MATCH($F105&amp;"|"&amp;$H105,Map_Stats!$A$2:$A$779,0))),$O105))</f>
        <v/>
      </c>
      <c r="Z105" s="8">
        <f>IF(OR($H105="",$P105=""),"",IFERROR(1/(1/INDEX(Map_Stats!$I$2:$I$779,MATCH($F105&amp;"|"&amp;$H105,Map_Stats!$A$2:$A$779,0))),$P105))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IF($I105="",0,SUMIFS(Map_Stats!$F$2:$F$779,Map_Stats!$A$2:$A$779,$F105&amp;"|"&amp;$I105))</f>
        <v/>
      </c>
      <c r="AF105" s="11">
        <f>IF($I105="","",IFERROR(1/(1/INDEX(Map_Stats!$K$2:$K$779,MATCH($F105&amp;"|"&amp;$I105,Map_Stats!$A$2:$A$779,0))),$O105))</f>
        <v/>
      </c>
      <c r="AG105" s="8">
        <f>IF(OR($I105="",$P105=""),"",IFERROR(1/(1/INDEX(Map_Stats!$I$2:$I$779,MATCH($F105&amp;"|"&amp;$I105,Map_Stats!$A$2:$A$779,0))),$P105))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IF($C105=Board!$B$2,COUNTIFS($C$2:$C$124,Board!$B$2,$AL$2:$AL$124,"&gt;"&amp;$AL105)+COUNTIFS($C$1:$C104,Board!$B$2,$AL$1:$AL104,$AL105)+1,"")</f>
        <v/>
      </c>
      <c r="AS105">
        <f>IFERROR(IF($D105=INDEX(Matches!$AD$5:$AD$19,MATCH($C105,Matches!$A$5:$A$19,0)),"A",IF($D105=INDEX(Matches!$AE$5:$AE$19,MATCH($C105,Matches!$A$5:$A$19,0)),"B","")),"")</f>
        <v/>
      </c>
      <c r="AT105" s="8">
        <f>IF($AS105="","",IFERROR(IF($AS105="A",INDEX(Matches!$AI$5:$AI$19,MATCH($C105,Matches!$A$5:$A$19,0)),INDEX(Matches!$AJ$5:$AJ$19,MATCH($C105,Matches!$A$5:$A$19,0))),""))</f>
        <v/>
      </c>
      <c r="AU105" s="8">
        <f>IF($AS105="","",IFERROR(IF(INDEX(Matches!$AP$5:$AP$19,MATCH($C105,Matches!$A$5:$A$19,0))="","",IF($AS105="A",INDEX(Matches!$AP$5:$AP$19,MATCH($C105,Matches!$A$5:$A$19,0)),1-INDEX(Matches!$AP$5:$AP$19,MATCH($C105,Matches!$A$5:$A$19,0)))),""))</f>
        <v/>
      </c>
      <c r="AV105" s="11">
        <f>IF(OR($AU105="",$AT105=""),1,((Config!$B$14*$AU105+Config!$B$15*(1-$AU105))/(Config!$B$14*$AT105+Config!$B$15*(1-$AT105)))^Config!$B$13)</f>
        <v/>
      </c>
      <c r="AW105" s="8">
        <f>IF($AS105="","",IFERROR(IF(INDEX(Matches!$AV$5:$AV$19,MATCH($C105,Matches!$A$5:$A$19,0))="","",IF($AS105="A",INDEX(Matches!$AV$5:$AV$19,MATCH($C105,Matches!$A$5:$A$19,0)),1-INDEX(Matches!$AV$5:$AV$19,MATCH($C105,Matches!$A$5:$A$19,0)))),""))</f>
        <v/>
      </c>
      <c r="AX105" s="11">
        <f>IF(OR($AW105="",$AT105=""),1,((Config!$B$14*$AW105+Config!$B$15*(1-$AW105))/(Config!$B$14*$AT105+Config!$B$15*(1-$AT105)))^Config!$B$13)</f>
        <v/>
      </c>
      <c r="AY105" s="8">
        <f>IF($AS105="","",IFERROR(IF(INDEX(Matches!$BB$5:$BB$19,MATCH($C105,Matches!$A$5:$A$19,0))="","",IF($AS105="A",INDEX(Matches!$BB$5:$BB$19,MATCH($C105,Matches!$A$5:$A$19,0)),1-INDEX(Matches!$BB$5:$BB$19,MATCH($C105,Matches!$A$5:$A$19,0)))),""))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row r="106">
      <c r="A106" t="inlineStr">
        <is>
          <t>5ttqna5u230tb49|CS2 · VIT vs MGLZ</t>
        </is>
      </c>
      <c r="B106" t="inlineStr">
        <is>
          <t>CS2</t>
        </is>
      </c>
      <c r="C106" t="inlineStr">
        <is>
          <t>CS2 · VIT vs MGLZ</t>
        </is>
      </c>
      <c r="D106" t="inlineStr">
        <is>
          <t>MGLZ</t>
        </is>
      </c>
      <c r="E106" t="inlineStr">
        <is>
          <t>910</t>
        </is>
      </c>
      <c r="F106" t="inlineStr">
        <is>
          <t>5ttqna5u230tb49</t>
        </is>
      </c>
      <c r="G106">
        <f>IFERROR(IF(INDEX(Matches!$W$5:$W$19,MATCH($C106,Matches!$A$5:$A$19,0))="","",INDEX(Matches!$W$5:$W$19,MATCH($C106,Matches!$A$5:$A$19,0))),"")</f>
        <v/>
      </c>
      <c r="H106">
        <f>IFERROR(IF(INDEX(Matches!$X$5:$X$19,MATCH($C106,Matches!$A$5:$A$19,0))="","",INDEX(Matches!$X$5:$X$19,MATCH($C106,Matches!$A$5:$A$19,0))),"")</f>
        <v/>
      </c>
      <c r="I106">
        <f>IFERROR(IF(INDEX(Matches!$Y$5:$Y$19,MATCH($C106,Matches!$A$5:$A$19,0))="","",INDEX(Matches!$Y$5:$Y$19,MATCH($C106,Matches!$A$5:$A$19,0))),"")</f>
        <v/>
      </c>
      <c r="J106">
        <f>IFERROR(IF(INDEX(Matches!$Z$5:$Z$19,MATCH($C106,Matches!$A$5:$A$19,0))="","",INDEX(Matches!$Z$5:$Z$19,MATCH($C106,Matches!$A$5:$A$19,0))),"")</f>
        <v/>
      </c>
      <c r="K106">
        <f>IFERROR(IF(INDEX(Matches!$AA$5:$AA$19,MATCH($C106,Matches!$A$5:$A$19,0))="","",INDEX(Matches!$AA$5:$AA$19,MATCH($C106,Matches!$A$5:$A$19,0))),"")</f>
        <v/>
      </c>
      <c r="L106">
        <f>IFERROR(IF(INDEX(Matches!$AB$5:$AB$19,MATCH($C106,Matches!$A$5:$A$19,0))="","",INDEX(Matches!$AB$5:$AB$19,MATCH($C106,Matches!$A$5:$A$19,0))),"")</f>
        <v/>
      </c>
      <c r="M106" s="8">
        <f>IFERROR(IF(INDEX(Matches!$AC$5:$AC$19,MATCH($C106,Matches!$A$5:$A$19,0))="","",INDEX(Matches!$AC$5:$AC$19,MATCH($C106,Matches!$A$5:$A$19,0))),"")</f>
        <v/>
      </c>
      <c r="N106">
        <f>IFERROR(INDEX(Players!$F$2:$F$124,MATCH($F106,Players!$A$2:$A$124,0)),0)</f>
        <v/>
      </c>
      <c r="O106" s="11">
        <f>IFERROR(1/(1/INDEX(Players!$H$2:$H$124,MATCH($F106,Players!$A$2:$A$124,0))),"")</f>
        <v/>
      </c>
      <c r="P106" s="8">
        <f>IFERROR(1/(1/INDEX(Players!$I$2:$I$124,MATCH($F106,Players!$A$2:$A$124,0))),"")</f>
        <v/>
      </c>
      <c r="Q106">
        <f>IF($G106="",0,SUMIFS(Map_Stats!$F$2:$F$779,Map_Stats!$A$2:$A$779,$F106&amp;"|"&amp;$G106))</f>
        <v/>
      </c>
      <c r="R106" s="11">
        <f>IF($G106="","",IFERROR(1/(1/INDEX(Map_Stats!$K$2:$K$779,MATCH($F106&amp;"|"&amp;$G106,Map_Stats!$A$2:$A$779,0))),$O106))</f>
        <v/>
      </c>
      <c r="S106" s="8">
        <f>IF(OR($G106="",$P106=""),"",IFERROR(1/(1/INDEX(Map_Stats!$I$2:$I$779,MATCH($F106&amp;"|"&amp;$G106,Map_Stats!$A$2:$A$779,0))),$P106))</f>
        <v/>
      </c>
      <c r="T106" s="11">
        <f>IF(OR($G106="",R106=""),"",IF($O106="",R106,(Q106*R106+Config!$B$4*$O106)/(Q106+Config!$B$4)))</f>
        <v/>
      </c>
      <c r="U106" s="8">
        <f>IF(S106="","",(Q106*S106+Config!$B$4*$P106)/(Q106+Config!$B$4))</f>
        <v/>
      </c>
      <c r="V106" s="15">
        <f>IF(OR(T106="",$J106=""),"",T106*$J106*($J106/Config!$B$10)^Config!$B$9)</f>
        <v/>
      </c>
      <c r="W106" s="15">
        <f>IF(OR(V106="",U106=""),"",V106*U106)</f>
        <v/>
      </c>
      <c r="X106">
        <f>IF($H106="",0,SUMIFS(Map_Stats!$F$2:$F$779,Map_Stats!$A$2:$A$779,$F106&amp;"|"&amp;$H106))</f>
        <v/>
      </c>
      <c r="Y106" s="11">
        <f>IF($H106="","",IFERROR(1/(1/INDEX(Map_Stats!$K$2:$K$779,MATCH($F106&amp;"|"&amp;$H106,Map_Stats!$A$2:$A$779,0))),$O106))</f>
        <v/>
      </c>
      <c r="Z106" s="8">
        <f>IF(OR($H106="",$P106=""),"",IFERROR(1/(1/INDEX(Map_Stats!$I$2:$I$779,MATCH($F106&amp;"|"&amp;$H106,Map_Stats!$A$2:$A$779,0))),$P106))</f>
        <v/>
      </c>
      <c r="AA106" s="11">
        <f>IF(OR($H106="",Y106=""),"",IF($O106="",Y106,(X106*Y106+Config!$B$4*$O106)/(X106+Config!$B$4)))</f>
        <v/>
      </c>
      <c r="AB106" s="8">
        <f>IF(Z106="","",(X106*Z106+Config!$B$4*$P106)/(X106+Config!$B$4))</f>
        <v/>
      </c>
      <c r="AC106" s="15">
        <f>IF(OR(AA106="",$K106=""),"",AA106*$K106*($K106/Config!$B$10)^Config!$B$9)</f>
        <v/>
      </c>
      <c r="AD106" s="15">
        <f>IF(OR(AC106="",AB106=""),"",AC106*AB106)</f>
        <v/>
      </c>
      <c r="AE106">
        <f>IF($I106="",0,SUMIFS(Map_Stats!$F$2:$F$779,Map_Stats!$A$2:$A$779,$F106&amp;"|"&amp;$I106))</f>
        <v/>
      </c>
      <c r="AF106" s="11">
        <f>IF($I106="","",IFERROR(1/(1/INDEX(Map_Stats!$K$2:$K$779,MATCH($F106&amp;"|"&amp;$I106,Map_Stats!$A$2:$A$779,0))),$O106))</f>
        <v/>
      </c>
      <c r="AG106" s="8">
        <f>IF(OR($I106="",$P106=""),"",IFERROR(1/(1/INDEX(Map_Stats!$I$2:$I$779,MATCH($F106&amp;"|"&amp;$I106,Map_Stats!$A$2:$A$779,0))),$P106))</f>
        <v/>
      </c>
      <c r="AH106" s="11">
        <f>IF(OR($I106="",AF106=""),"",IF($O106="",AF106,(AE106*AF106+Config!$B$4*$O106)/(AE106+Config!$B$4)))</f>
        <v/>
      </c>
      <c r="AI106" s="8">
        <f>IF(AG106="","",(AE106*AG106+Config!$B$4*$P106)/(AE106+Config!$B$4))</f>
        <v/>
      </c>
      <c r="AJ106" s="15">
        <f>IF(OR(AH106="",$L106=""),"",AH106*$L106*($L106/Config!$B$10)^Config!$B$9)</f>
        <v/>
      </c>
      <c r="AK106" s="15">
        <f>IF(OR(AJ106="",AI106=""),"",AJ106*AI106)</f>
        <v/>
      </c>
      <c r="AL106" s="15">
        <f>N(V106)+N(AC106)</f>
        <v/>
      </c>
      <c r="AM106" s="15">
        <f>AL106+N($M106)*N(AJ106)</f>
        <v/>
      </c>
      <c r="AN106" s="15">
        <f>IF(W106="","",N(W106)+N(AD106))</f>
        <v/>
      </c>
      <c r="AO106" s="15">
        <f>IF(AN106="","",AN106+N($M106)*N(AK106))</f>
        <v/>
      </c>
      <c r="AP106" s="8">
        <f>IFERROR(AN106/AL106,"")</f>
        <v/>
      </c>
      <c r="AQ106">
        <f>TRIM(IF($N106&lt;Config!$B$12,"thin sample ("&amp;$N106&amp;" maps) · ","")&amp;IF(AND($G106&lt;&gt;"",Q106=0),"M1 unplayed→overall KPR · ","")&amp;IF(AND($H106&lt;&gt;"",X106=0),"M2 unplayed→overall KPR · ","")&amp;IF($O106="","no PickFinder stats",""))</f>
        <v/>
      </c>
      <c r="AR106">
        <f>IF($C106=Board!$B$2,COUNTIFS($C$2:$C$124,Board!$B$2,$AL$2:$AL$124,"&gt;"&amp;$AL106)+COUNTIFS($C$1:$C105,Board!$B$2,$AL$1:$AL105,$AL106)+1,"")</f>
        <v/>
      </c>
      <c r="AS106">
        <f>IFERROR(IF($D106=INDEX(Matches!$AD$5:$AD$19,MATCH($C106,Matches!$A$5:$A$19,0)),"A",IF($D106=INDEX(Matches!$AE$5:$AE$19,MATCH($C106,Matches!$A$5:$A$19,0)),"B","")),"")</f>
        <v/>
      </c>
      <c r="AT106" s="8">
        <f>IF($AS106="","",IFERROR(IF($AS106="A",INDEX(Matches!$AI$5:$AI$19,MATCH($C106,Matches!$A$5:$A$19,0)),INDEX(Matches!$AJ$5:$AJ$19,MATCH($C106,Matches!$A$5:$A$19,0))),""))</f>
        <v/>
      </c>
      <c r="AU106" s="8">
        <f>IF($AS106="","",IFERROR(IF(INDEX(Matches!$AP$5:$AP$19,MATCH($C106,Matches!$A$5:$A$19,0))="","",IF($AS106="A",INDEX(Matches!$AP$5:$AP$19,MATCH($C106,Matches!$A$5:$A$19,0)),1-INDEX(Matches!$AP$5:$AP$19,MATCH($C106,Matches!$A$5:$A$19,0)))),""))</f>
        <v/>
      </c>
      <c r="AV106" s="11">
        <f>IF(OR($AU106="",$AT106=""),1,((Config!$B$14*$AU106+Config!$B$15*(1-$AU106))/(Config!$B$14*$AT106+Config!$B$15*(1-$AT106)))^Config!$B$13)</f>
        <v/>
      </c>
      <c r="AW106" s="8">
        <f>IF($AS106="","",IFERROR(IF(INDEX(Matches!$AV$5:$AV$19,MATCH($C106,Matches!$A$5:$A$19,0))="","",IF($AS106="A",INDEX(Matches!$AV$5:$AV$19,MATCH($C106,Matches!$A$5:$A$19,0)),1-INDEX(Matches!$AV$5:$AV$19,MATCH($C106,Matches!$A$5:$A$19,0)))),""))</f>
        <v/>
      </c>
      <c r="AX106" s="11">
        <f>IF(OR($AW106="",$AT106=""),1,((Config!$B$14*$AW106+Config!$B$15*(1-$AW106))/(Config!$B$14*$AT106+Config!$B$15*(1-$AT106)))^Config!$B$13)</f>
        <v/>
      </c>
      <c r="AY106" s="8">
        <f>IF($AS106="","",IFERROR(IF(INDEX(Matches!$BB$5:$BB$19,MATCH($C106,Matches!$A$5:$A$19,0))="","",IF($AS106="A",INDEX(Matches!$BB$5:$BB$19,MATCH($C106,Matches!$A$5:$A$19,0)),1-INDEX(Matches!$BB$5:$BB$19,MATCH($C106,Matches!$A$5:$A$19,0)))),""))</f>
        <v/>
      </c>
      <c r="AZ106" s="11">
        <f>IF(OR($AY106="",$AT106=""),1,((Config!$B$14*$AY106+Config!$B$15*(1-$AY106))/(Config!$B$14*$AT106+Config!$B$15*(1-$AT106)))^Config!$B$13)</f>
        <v/>
      </c>
      <c r="BA106" s="15">
        <f>IF(V106="","",V106*$AV106)</f>
        <v/>
      </c>
      <c r="BB106" s="15">
        <f>IF(AC106="","",AC106*$AX106)</f>
        <v/>
      </c>
      <c r="BC106" s="15">
        <f>IF(AJ106="","",AJ106*$AZ106)</f>
        <v/>
      </c>
      <c r="BD106" s="15">
        <f>N(BA106)+N(BB106)</f>
        <v/>
      </c>
      <c r="BE106" s="15">
        <f>BD106+N($M106)*N(BC106)</f>
        <v/>
      </c>
      <c r="BF106" s="15">
        <f>IF(W106="","",W106*$AV106)</f>
        <v/>
      </c>
      <c r="BG106" s="15">
        <f>IF(AD106="","",AD106*$AX106)</f>
        <v/>
      </c>
      <c r="BH106" s="15">
        <f>IF(AK106="","",AK106*$AZ106)</f>
        <v/>
      </c>
      <c r="BI106" s="15">
        <f>IF(BF106="","",N(BF106)+N(BG106))</f>
        <v/>
      </c>
      <c r="BJ106" s="15">
        <f>IF(BI106="","",BI106+N($M106)*N(BH106))</f>
        <v/>
      </c>
      <c r="BK106" s="11">
        <f>IFERROR(BD106/AL106,1)</f>
        <v/>
      </c>
    </row>
    <row r="107">
      <c r="A107" t="inlineStr">
        <is>
          <t>56bqvguml6vhetk|CS2 · VIT vs MGLZ</t>
        </is>
      </c>
      <c r="B107" t="inlineStr">
        <is>
          <t>CS2</t>
        </is>
      </c>
      <c r="C107" t="inlineStr">
        <is>
          <t>CS2 · VIT vs MGLZ</t>
        </is>
      </c>
      <c r="D107" t="inlineStr">
        <is>
          <t>MGLZ</t>
        </is>
      </c>
      <c r="E107" t="inlineStr">
        <is>
          <t>bLitz</t>
        </is>
      </c>
      <c r="F107" t="inlineStr">
        <is>
          <t>56bqvguml6vhetk</t>
        </is>
      </c>
      <c r="G107">
        <f>IFERROR(IF(INDEX(Matches!$W$5:$W$19,MATCH($C107,Matches!$A$5:$A$19,0))="","",INDEX(Matches!$W$5:$W$19,MATCH($C107,Matches!$A$5:$A$19,0))),"")</f>
        <v/>
      </c>
      <c r="H107">
        <f>IFERROR(IF(INDEX(Matches!$X$5:$X$19,MATCH($C107,Matches!$A$5:$A$19,0))="","",INDEX(Matches!$X$5:$X$19,MATCH($C107,Matches!$A$5:$A$19,0))),"")</f>
        <v/>
      </c>
      <c r="I107">
        <f>IFERROR(IF(INDEX(Matches!$Y$5:$Y$19,MATCH($C107,Matches!$A$5:$A$19,0))="","",INDEX(Matches!$Y$5:$Y$19,MATCH($C107,Matches!$A$5:$A$19,0))),"")</f>
        <v/>
      </c>
      <c r="J107">
        <f>IFERROR(IF(INDEX(Matches!$Z$5:$Z$19,MATCH($C107,Matches!$A$5:$A$19,0))="","",INDEX(Matches!$Z$5:$Z$19,MATCH($C107,Matches!$A$5:$A$19,0))),"")</f>
        <v/>
      </c>
      <c r="K107">
        <f>IFERROR(IF(INDEX(Matches!$AA$5:$AA$19,MATCH($C107,Matches!$A$5:$A$19,0))="","",INDEX(Matches!$AA$5:$AA$19,MATCH($C107,Matches!$A$5:$A$19,0))),"")</f>
        <v/>
      </c>
      <c r="L107">
        <f>IFERROR(IF(INDEX(Matches!$AB$5:$AB$19,MATCH($C107,Matches!$A$5:$A$19,0))="","",INDEX(Matches!$AB$5:$AB$19,MATCH($C107,Matches!$A$5:$A$19,0))),"")</f>
        <v/>
      </c>
      <c r="M107" s="8">
        <f>IFERROR(IF(INDEX(Matches!$AC$5:$AC$19,MATCH($C107,Matches!$A$5:$A$19,0))="","",INDEX(Matches!$AC$5:$AC$19,MATCH($C107,Matches!$A$5:$A$19,0))),"")</f>
        <v/>
      </c>
      <c r="N107">
        <f>IFERROR(INDEX(Players!$F$2:$F$124,MATCH($F107,Players!$A$2:$A$124,0)),0)</f>
        <v/>
      </c>
      <c r="O107" s="11">
        <f>IFERROR(1/(1/INDEX(Players!$H$2:$H$124,MATCH($F107,Players!$A$2:$A$124,0))),"")</f>
        <v/>
      </c>
      <c r="P107" s="8">
        <f>IFERROR(1/(1/INDEX(Players!$I$2:$I$124,MATCH($F107,Players!$A$2:$A$124,0))),"")</f>
        <v/>
      </c>
      <c r="Q107">
        <f>IF($G107="",0,SUMIFS(Map_Stats!$F$2:$F$779,Map_Stats!$A$2:$A$779,$F107&amp;"|"&amp;$G107))</f>
        <v/>
      </c>
      <c r="R107" s="11">
        <f>IF($G107="","",IFERROR(1/(1/INDEX(Map_Stats!$K$2:$K$779,MATCH($F107&amp;"|"&amp;$G107,Map_Stats!$A$2:$A$779,0))),$O107))</f>
        <v/>
      </c>
      <c r="S107" s="8">
        <f>IF(OR($G107="",$P107=""),"",IFERROR(1/(1/INDEX(Map_Stats!$I$2:$I$779,MATCH($F107&amp;"|"&amp;$G107,Map_Stats!$A$2:$A$779,0))),$P107))</f>
        <v/>
      </c>
      <c r="T107" s="11">
        <f>IF(OR($G107="",R107=""),"",IF($O107="",R107,(Q107*R107+Config!$B$4*$O107)/(Q107+Config!$B$4)))</f>
        <v/>
      </c>
      <c r="U107" s="8">
        <f>IF(S107="","",(Q107*S107+Config!$B$4*$P107)/(Q107+Config!$B$4))</f>
        <v/>
      </c>
      <c r="V107" s="15">
        <f>IF(OR(T107="",$J107=""),"",T107*$J107*($J107/Config!$B$10)^Config!$B$9)</f>
        <v/>
      </c>
      <c r="W107" s="15">
        <f>IF(OR(V107="",U107=""),"",V107*U107)</f>
        <v/>
      </c>
      <c r="X107">
        <f>IF($H107="",0,SUMIFS(Map_Stats!$F$2:$F$779,Map_Stats!$A$2:$A$779,$F107&amp;"|"&amp;$H107))</f>
        <v/>
      </c>
      <c r="Y107" s="11">
        <f>IF($H107="","",IFERROR(1/(1/INDEX(Map_Stats!$K$2:$K$779,MATCH($F107&amp;"|"&amp;$H107,Map_Stats!$A$2:$A$779,0))),$O107))</f>
        <v/>
      </c>
      <c r="Z107" s="8">
        <f>IF(OR($H107="",$P107=""),"",IFERROR(1/(1/INDEX(Map_Stats!$I$2:$I$779,MATCH($F107&amp;"|"&amp;$H107,Map_Stats!$A$2:$A$779,0))),$P107))</f>
        <v/>
      </c>
      <c r="AA107" s="11">
        <f>IF(OR($H107="",Y107=""),"",IF($O107="",Y107,(X107*Y107+Config!$B$4*$O107)/(X107+Config!$B$4)))</f>
        <v/>
      </c>
      <c r="AB107" s="8">
        <f>IF(Z107="","",(X107*Z107+Config!$B$4*$P107)/(X107+Config!$B$4))</f>
        <v/>
      </c>
      <c r="AC107" s="15">
        <f>IF(OR(AA107="",$K107=""),"",AA107*$K107*($K107/Config!$B$10)^Config!$B$9)</f>
        <v/>
      </c>
      <c r="AD107" s="15">
        <f>IF(OR(AC107="",AB107=""),"",AC107*AB107)</f>
        <v/>
      </c>
      <c r="AE107">
        <f>IF($I107="",0,SUMIFS(Map_Stats!$F$2:$F$779,Map_Stats!$A$2:$A$779,$F107&amp;"|"&amp;$I107))</f>
        <v/>
      </c>
      <c r="AF107" s="11">
        <f>IF($I107="","",IFERROR(1/(1/INDEX(Map_Stats!$K$2:$K$779,MATCH($F107&amp;"|"&amp;$I107,Map_Stats!$A$2:$A$779,0))),$O107))</f>
        <v/>
      </c>
      <c r="AG107" s="8">
        <f>IF(OR($I107="",$P107=""),"",IFERROR(1/(1/INDEX(Map_Stats!$I$2:$I$779,MATCH($F107&amp;"|"&amp;$I107,Map_Stats!$A$2:$A$779,0))),$P107))</f>
        <v/>
      </c>
      <c r="AH107" s="11">
        <f>IF(OR($I107="",AF107=""),"",IF($O107="",AF107,(AE107*AF107+Config!$B$4*$O107)/(AE107+Config!$B$4)))</f>
        <v/>
      </c>
      <c r="AI107" s="8">
        <f>IF(AG107="","",(AE107*AG107+Config!$B$4*$P107)/(AE107+Config!$B$4))</f>
        <v/>
      </c>
      <c r="AJ107" s="15">
        <f>IF(OR(AH107="",$L107=""),"",AH107*$L107*($L107/Config!$B$10)^Config!$B$9)</f>
        <v/>
      </c>
      <c r="AK107" s="15">
        <f>IF(OR(AJ107="",AI107=""),"",AJ107*AI107)</f>
        <v/>
      </c>
      <c r="AL107" s="15">
        <f>N(V107)+N(AC107)</f>
        <v/>
      </c>
      <c r="AM107" s="15">
        <f>AL107+N($M107)*N(AJ107)</f>
        <v/>
      </c>
      <c r="AN107" s="15">
        <f>IF(W107="","",N(W107)+N(AD107))</f>
        <v/>
      </c>
      <c r="AO107" s="15">
        <f>IF(AN107="","",AN107+N($M107)*N(AK107))</f>
        <v/>
      </c>
      <c r="AP107" s="8">
        <f>IFERROR(AN107/AL107,"")</f>
        <v/>
      </c>
      <c r="AQ107">
        <f>TRIM(IF($N107&lt;Config!$B$12,"thin sample ("&amp;$N107&amp;" maps) · ","")&amp;IF(AND($G107&lt;&gt;"",Q107=0),"M1 unplayed→overall KPR · ","")&amp;IF(AND($H107&lt;&gt;"",X107=0),"M2 unplayed→overall KPR · ","")&amp;IF($O107="","no PickFinder stats",""))</f>
        <v/>
      </c>
      <c r="AR107">
        <f>IF($C107=Board!$B$2,COUNTIFS($C$2:$C$124,Board!$B$2,$AL$2:$AL$124,"&gt;"&amp;$AL107)+COUNTIFS($C$1:$C106,Board!$B$2,$AL$1:$AL106,$AL107)+1,"")</f>
        <v/>
      </c>
      <c r="AS107">
        <f>IFERROR(IF($D107=INDEX(Matches!$AD$5:$AD$19,MATCH($C107,Matches!$A$5:$A$19,0)),"A",IF($D107=INDEX(Matches!$AE$5:$AE$19,MATCH($C107,Matches!$A$5:$A$19,0)),"B","")),"")</f>
        <v/>
      </c>
      <c r="AT107" s="8">
        <f>IF($AS107="","",IFERROR(IF($AS107="A",INDEX(Matches!$AI$5:$AI$19,MATCH($C107,Matches!$A$5:$A$19,0)),INDEX(Matches!$AJ$5:$AJ$19,MATCH($C107,Matches!$A$5:$A$19,0))),""))</f>
        <v/>
      </c>
      <c r="AU107" s="8">
        <f>IF($AS107="","",IFERROR(IF(INDEX(Matches!$AP$5:$AP$19,MATCH($C107,Matches!$A$5:$A$19,0))="","",IF($AS107="A",INDEX(Matches!$AP$5:$AP$19,MATCH($C107,Matches!$A$5:$A$19,0)),1-INDEX(Matches!$AP$5:$AP$19,MATCH($C107,Matches!$A$5:$A$19,0)))),""))</f>
        <v/>
      </c>
      <c r="AV107" s="11">
        <f>IF(OR($AU107="",$AT107=""),1,((Config!$B$14*$AU107+Config!$B$15*(1-$AU107))/(Config!$B$14*$AT107+Config!$B$15*(1-$AT107)))^Config!$B$13)</f>
        <v/>
      </c>
      <c r="AW107" s="8">
        <f>IF($AS107="","",IFERROR(IF(INDEX(Matches!$AV$5:$AV$19,MATCH($C107,Matches!$A$5:$A$19,0))="","",IF($AS107="A",INDEX(Matches!$AV$5:$AV$19,MATCH($C107,Matches!$A$5:$A$19,0)),1-INDEX(Matches!$AV$5:$AV$19,MATCH($C107,Matches!$A$5:$A$19,0)))),""))</f>
        <v/>
      </c>
      <c r="AX107" s="11">
        <f>IF(OR($AW107="",$AT107=""),1,((Config!$B$14*$AW107+Config!$B$15*(1-$AW107))/(Config!$B$14*$AT107+Config!$B$15*(1-$AT107)))^Config!$B$13)</f>
        <v/>
      </c>
      <c r="AY107" s="8">
        <f>IF($AS107="","",IFERROR(IF(INDEX(Matches!$BB$5:$BB$19,MATCH($C107,Matches!$A$5:$A$19,0))="","",IF($AS107="A",INDEX(Matches!$BB$5:$BB$19,MATCH($C107,Matches!$A$5:$A$19,0)),1-INDEX(Matches!$BB$5:$BB$19,MATCH($C107,Matches!$A$5:$A$19,0)))),""))</f>
        <v/>
      </c>
      <c r="AZ107" s="11">
        <f>IF(OR($AY107="",$AT107=""),1,((Config!$B$14*$AY107+Config!$B$15*(1-$AY107))/(Config!$B$14*$AT107+Config!$B$15*(1-$AT107)))^Config!$B$13)</f>
        <v/>
      </c>
      <c r="BA107" s="15">
        <f>IF(V107="","",V107*$AV107)</f>
        <v/>
      </c>
      <c r="BB107" s="15">
        <f>IF(AC107="","",AC107*$AX107)</f>
        <v/>
      </c>
      <c r="BC107" s="15">
        <f>IF(AJ107="","",AJ107*$AZ107)</f>
        <v/>
      </c>
      <c r="BD107" s="15">
        <f>N(BA107)+N(BB107)</f>
        <v/>
      </c>
      <c r="BE107" s="15">
        <f>BD107+N($M107)*N(BC107)</f>
        <v/>
      </c>
      <c r="BF107" s="15">
        <f>IF(W107="","",W107*$AV107)</f>
        <v/>
      </c>
      <c r="BG107" s="15">
        <f>IF(AD107="","",AD107*$AX107)</f>
        <v/>
      </c>
      <c r="BH107" s="15">
        <f>IF(AK107="","",AK107*$AZ107)</f>
        <v/>
      </c>
      <c r="BI107" s="15">
        <f>IF(BF107="","",N(BF107)+N(BG107))</f>
        <v/>
      </c>
      <c r="BJ107" s="15">
        <f>IF(BI107="","",BI107+N($M107)*N(BH107))</f>
        <v/>
      </c>
      <c r="BK107" s="11">
        <f>IFERROR(BD107/AL107,1)</f>
        <v/>
      </c>
    </row>
    <row r="108">
      <c r="A108" t="inlineStr">
        <is>
          <t>01464eymprqfx0w|CS2 · VIT vs MGLZ</t>
        </is>
      </c>
      <c r="B108" t="inlineStr">
        <is>
          <t>CS2</t>
        </is>
      </c>
      <c r="C108" t="inlineStr">
        <is>
          <t>CS2 · VIT vs MGLZ</t>
        </is>
      </c>
      <c r="D108" t="inlineStr">
        <is>
          <t>MGLZ</t>
        </is>
      </c>
      <c r="E108" t="inlineStr">
        <is>
          <t>cobrazera</t>
        </is>
      </c>
      <c r="F108" t="inlineStr">
        <is>
          <t>01464eymprqfx0w</t>
        </is>
      </c>
      <c r="G108">
        <f>IFERROR(IF(INDEX(Matches!$W$5:$W$19,MATCH($C108,Matches!$A$5:$A$19,0))="","",INDEX(Matches!$W$5:$W$19,MATCH($C108,Matches!$A$5:$A$19,0))),"")</f>
        <v/>
      </c>
      <c r="H108">
        <f>IFERROR(IF(INDEX(Matches!$X$5:$X$19,MATCH($C108,Matches!$A$5:$A$19,0))="","",INDEX(Matches!$X$5:$X$19,MATCH($C108,Matches!$A$5:$A$19,0))),"")</f>
        <v/>
      </c>
      <c r="I108">
        <f>IFERROR(IF(INDEX(Matches!$Y$5:$Y$19,MATCH($C108,Matches!$A$5:$A$19,0))="","",INDEX(Matches!$Y$5:$Y$19,MATCH($C108,Matches!$A$5:$A$19,0))),"")</f>
        <v/>
      </c>
      <c r="J108">
        <f>IFERROR(IF(INDEX(Matches!$Z$5:$Z$19,MATCH($C108,Matches!$A$5:$A$19,0))="","",INDEX(Matches!$Z$5:$Z$19,MATCH($C108,Matches!$A$5:$A$19,0))),"")</f>
        <v/>
      </c>
      <c r="K108">
        <f>IFERROR(IF(INDEX(Matches!$AA$5:$AA$19,MATCH($C108,Matches!$A$5:$A$19,0))="","",INDEX(Matches!$AA$5:$AA$19,MATCH($C108,Matches!$A$5:$A$19,0))),"")</f>
        <v/>
      </c>
      <c r="L108">
        <f>IFERROR(IF(INDEX(Matches!$AB$5:$AB$19,MATCH($C108,Matches!$A$5:$A$19,0))="","",INDEX(Matches!$AB$5:$AB$19,MATCH($C108,Matches!$A$5:$A$19,0))),"")</f>
        <v/>
      </c>
      <c r="M108" s="8">
        <f>IFERROR(IF(INDEX(Matches!$AC$5:$AC$19,MATCH($C108,Matches!$A$5:$A$19,0))="","",INDEX(Matches!$AC$5:$AC$19,MATCH($C108,Matches!$A$5:$A$19,0))),"")</f>
        <v/>
      </c>
      <c r="N108">
        <f>IFERROR(INDEX(Players!$F$2:$F$124,MATCH($F108,Players!$A$2:$A$124,0)),0)</f>
        <v/>
      </c>
      <c r="O108" s="11">
        <f>IFERROR(1/(1/INDEX(Players!$H$2:$H$124,MATCH($F108,Players!$A$2:$A$124,0))),"")</f>
        <v/>
      </c>
      <c r="P108" s="8">
        <f>IFERROR(1/(1/INDEX(Players!$I$2:$I$124,MATCH($F108,Players!$A$2:$A$124,0))),"")</f>
        <v/>
      </c>
      <c r="Q108">
        <f>IF($G108="",0,SUMIFS(Map_Stats!$F$2:$F$779,Map_Stats!$A$2:$A$779,$F108&amp;"|"&amp;$G108))</f>
        <v/>
      </c>
      <c r="R108" s="11">
        <f>IF($G108="","",IFERROR(1/(1/INDEX(Map_Stats!$K$2:$K$779,MATCH($F108&amp;"|"&amp;$G108,Map_Stats!$A$2:$A$779,0))),$O108))</f>
        <v/>
      </c>
      <c r="S108" s="8">
        <f>IF(OR($G108="",$P108=""),"",IFERROR(1/(1/INDEX(Map_Stats!$I$2:$I$779,MATCH($F108&amp;"|"&amp;$G108,Map_Stats!$A$2:$A$779,0))),$P108))</f>
        <v/>
      </c>
      <c r="T108" s="11">
        <f>IF(OR($G108="",R108=""),"",IF($O108="",R108,(Q108*R108+Config!$B$4*$O108)/(Q108+Config!$B$4)))</f>
        <v/>
      </c>
      <c r="U108" s="8">
        <f>IF(S108="","",(Q108*S108+Config!$B$4*$P108)/(Q108+Config!$B$4))</f>
        <v/>
      </c>
      <c r="V108" s="15">
        <f>IF(OR(T108="",$J108=""),"",T108*$J108*($J108/Config!$B$10)^Config!$B$9)</f>
        <v/>
      </c>
      <c r="W108" s="15">
        <f>IF(OR(V108="",U108=""),"",V108*U108)</f>
        <v/>
      </c>
      <c r="X108">
        <f>IF($H108="",0,SUMIFS(Map_Stats!$F$2:$F$779,Map_Stats!$A$2:$A$779,$F108&amp;"|"&amp;$H108))</f>
        <v/>
      </c>
      <c r="Y108" s="11">
        <f>IF($H108="","",IFERROR(1/(1/INDEX(Map_Stats!$K$2:$K$779,MATCH($F108&amp;"|"&amp;$H108,Map_Stats!$A$2:$A$779,0))),$O108))</f>
        <v/>
      </c>
      <c r="Z108" s="8">
        <f>IF(OR($H108="",$P108=""),"",IFERROR(1/(1/INDEX(Map_Stats!$I$2:$I$779,MATCH($F108&amp;"|"&amp;$H108,Map_Stats!$A$2:$A$779,0))),$P108))</f>
        <v/>
      </c>
      <c r="AA108" s="11">
        <f>IF(OR($H108="",Y108=""),"",IF($O108="",Y108,(X108*Y108+Config!$B$4*$O108)/(X108+Config!$B$4)))</f>
        <v/>
      </c>
      <c r="AB108" s="8">
        <f>IF(Z108="","",(X108*Z108+Config!$B$4*$P108)/(X108+Config!$B$4))</f>
        <v/>
      </c>
      <c r="AC108" s="15">
        <f>IF(OR(AA108="",$K108=""),"",AA108*$K108*($K108/Config!$B$10)^Config!$B$9)</f>
        <v/>
      </c>
      <c r="AD108" s="15">
        <f>IF(OR(AC108="",AB108=""),"",AC108*AB108)</f>
        <v/>
      </c>
      <c r="AE108">
        <f>IF($I108="",0,SUMIFS(Map_Stats!$F$2:$F$779,Map_Stats!$A$2:$A$779,$F108&amp;"|"&amp;$I108))</f>
        <v/>
      </c>
      <c r="AF108" s="11">
        <f>IF($I108="","",IFERROR(1/(1/INDEX(Map_Stats!$K$2:$K$779,MATCH($F108&amp;"|"&amp;$I108,Map_Stats!$A$2:$A$779,0))),$O108))</f>
        <v/>
      </c>
      <c r="AG108" s="8">
        <f>IF(OR($I108="",$P108=""),"",IFERROR(1/(1/INDEX(Map_Stats!$I$2:$I$779,MATCH($F108&amp;"|"&amp;$I108,Map_Stats!$A$2:$A$779,0))),$P108))</f>
        <v/>
      </c>
      <c r="AH108" s="11">
        <f>IF(OR($I108="",AF108=""),"",IF($O108="",AF108,(AE108*AF108+Config!$B$4*$O108)/(AE108+Config!$B$4)))</f>
        <v/>
      </c>
      <c r="AI108" s="8">
        <f>IF(AG108="","",(AE108*AG108+Config!$B$4*$P108)/(AE108+Config!$B$4))</f>
        <v/>
      </c>
      <c r="AJ108" s="15">
        <f>IF(OR(AH108="",$L108=""),"",AH108*$L108*($L108/Config!$B$10)^Config!$B$9)</f>
        <v/>
      </c>
      <c r="AK108" s="15">
        <f>IF(OR(AJ108="",AI108=""),"",AJ108*AI108)</f>
        <v/>
      </c>
      <c r="AL108" s="15">
        <f>N(V108)+N(AC108)</f>
        <v/>
      </c>
      <c r="AM108" s="15">
        <f>AL108+N($M108)*N(AJ108)</f>
        <v/>
      </c>
      <c r="AN108" s="15">
        <f>IF(W108="","",N(W108)+N(AD108))</f>
        <v/>
      </c>
      <c r="AO108" s="15">
        <f>IF(AN108="","",AN108+N($M108)*N(AK108))</f>
        <v/>
      </c>
      <c r="AP108" s="8">
        <f>IFERROR(AN108/AL108,"")</f>
        <v/>
      </c>
      <c r="AQ108">
        <f>TRIM(IF($N108&lt;Config!$B$12,"thin sample ("&amp;$N108&amp;" maps) · ","")&amp;IF(AND($G108&lt;&gt;"",Q108=0),"M1 unplayed→overall KPR · ","")&amp;IF(AND($H108&lt;&gt;"",X108=0),"M2 unplayed→overall KPR · ","")&amp;IF($O108="","no PickFinder stats",""))</f>
        <v/>
      </c>
      <c r="AR108">
        <f>IF($C108=Board!$B$2,COUNTIFS($C$2:$C$124,Board!$B$2,$AL$2:$AL$124,"&gt;"&amp;$AL108)+COUNTIFS($C$1:$C107,Board!$B$2,$AL$1:$AL107,$AL108)+1,"")</f>
        <v/>
      </c>
      <c r="AS108">
        <f>IFERROR(IF($D108=INDEX(Matches!$AD$5:$AD$19,MATCH($C108,Matches!$A$5:$A$19,0)),"A",IF($D108=INDEX(Matches!$AE$5:$AE$19,MATCH($C108,Matches!$A$5:$A$19,0)),"B","")),"")</f>
        <v/>
      </c>
      <c r="AT108" s="8">
        <f>IF($AS108="","",IFERROR(IF($AS108="A",INDEX(Matches!$AI$5:$AI$19,MATCH($C108,Matches!$A$5:$A$19,0)),INDEX(Matches!$AJ$5:$AJ$19,MATCH($C108,Matches!$A$5:$A$19,0))),""))</f>
        <v/>
      </c>
      <c r="AU108" s="8">
        <f>IF($AS108="","",IFERROR(IF(INDEX(Matches!$AP$5:$AP$19,MATCH($C108,Matches!$A$5:$A$19,0))="","",IF($AS108="A",INDEX(Matches!$AP$5:$AP$19,MATCH($C108,Matches!$A$5:$A$19,0)),1-INDEX(Matches!$AP$5:$AP$19,MATCH($C108,Matches!$A$5:$A$19,0)))),""))</f>
        <v/>
      </c>
      <c r="AV108" s="11">
        <f>IF(OR($AU108="",$AT108=""),1,((Config!$B$14*$AU108+Config!$B$15*(1-$AU108))/(Config!$B$14*$AT108+Config!$B$15*(1-$AT108)))^Config!$B$13)</f>
        <v/>
      </c>
      <c r="AW108" s="8">
        <f>IF($AS108="","",IFERROR(IF(INDEX(Matches!$AV$5:$AV$19,MATCH($C108,Matches!$A$5:$A$19,0))="","",IF($AS108="A",INDEX(Matches!$AV$5:$AV$19,MATCH($C108,Matches!$A$5:$A$19,0)),1-INDEX(Matches!$AV$5:$AV$19,MATCH($C108,Matches!$A$5:$A$19,0)))),""))</f>
        <v/>
      </c>
      <c r="AX108" s="11">
        <f>IF(OR($AW108="",$AT108=""),1,((Config!$B$14*$AW108+Config!$B$15*(1-$AW108))/(Config!$B$14*$AT108+Config!$B$15*(1-$AT108)))^Config!$B$13)</f>
        <v/>
      </c>
      <c r="AY108" s="8">
        <f>IF($AS108="","",IFERROR(IF(INDEX(Matches!$BB$5:$BB$19,MATCH($C108,Matches!$A$5:$A$19,0))="","",IF($AS108="A",INDEX(Matches!$BB$5:$BB$19,MATCH($C108,Matches!$A$5:$A$19,0)),1-INDEX(Matches!$BB$5:$BB$19,MATCH($C108,Matches!$A$5:$A$19,0)))),""))</f>
        <v/>
      </c>
      <c r="AZ108" s="11">
        <f>IF(OR($AY108="",$AT108=""),1,((Config!$B$14*$AY108+Config!$B$15*(1-$AY108))/(Config!$B$14*$AT108+Config!$B$15*(1-$AT108)))^Config!$B$13)</f>
        <v/>
      </c>
      <c r="BA108" s="15">
        <f>IF(V108="","",V108*$AV108)</f>
        <v/>
      </c>
      <c r="BB108" s="15">
        <f>IF(AC108="","",AC108*$AX108)</f>
        <v/>
      </c>
      <c r="BC108" s="15">
        <f>IF(AJ108="","",AJ108*$AZ108)</f>
        <v/>
      </c>
      <c r="BD108" s="15">
        <f>N(BA108)+N(BB108)</f>
        <v/>
      </c>
      <c r="BE108" s="15">
        <f>BD108+N($M108)*N(BC108)</f>
        <v/>
      </c>
      <c r="BF108" s="15">
        <f>IF(W108="","",W108*$AV108)</f>
        <v/>
      </c>
      <c r="BG108" s="15">
        <f>IF(AD108="","",AD108*$AX108)</f>
        <v/>
      </c>
      <c r="BH108" s="15">
        <f>IF(AK108="","",AK108*$AZ108)</f>
        <v/>
      </c>
      <c r="BI108" s="15">
        <f>IF(BF108="","",N(BF108)+N(BG108))</f>
        <v/>
      </c>
      <c r="BJ108" s="15">
        <f>IF(BI108="","",BI108+N($M108)*N(BH108))</f>
        <v/>
      </c>
      <c r="BK108" s="11">
        <f>IFERROR(BD108/AL108,1)</f>
        <v/>
      </c>
    </row>
    <row r="109">
      <c r="A109" t="inlineStr">
        <is>
          <t>dobeml44vsvpy4d|CS2 · VIT vs MGLZ</t>
        </is>
      </c>
      <c r="B109" t="inlineStr">
        <is>
          <t>CS2</t>
        </is>
      </c>
      <c r="C109" t="inlineStr">
        <is>
          <t>CS2 · VIT vs MGLZ</t>
        </is>
      </c>
      <c r="D109" t="inlineStr">
        <is>
          <t>MGLZ</t>
        </is>
      </c>
      <c r="E109" t="inlineStr">
        <is>
          <t>nin9</t>
        </is>
      </c>
      <c r="F109" t="inlineStr">
        <is>
          <t>dobeml44vsvpy4d</t>
        </is>
      </c>
      <c r="G109">
        <f>IFERROR(IF(INDEX(Matches!$W$5:$W$19,MATCH($C109,Matches!$A$5:$A$19,0))="","",INDEX(Matches!$W$5:$W$19,MATCH($C109,Matches!$A$5:$A$19,0))),"")</f>
        <v/>
      </c>
      <c r="H109">
        <f>IFERROR(IF(INDEX(Matches!$X$5:$X$19,MATCH($C109,Matches!$A$5:$A$19,0))="","",INDEX(Matches!$X$5:$X$19,MATCH($C109,Matches!$A$5:$A$19,0))),"")</f>
        <v/>
      </c>
      <c r="I109">
        <f>IFERROR(IF(INDEX(Matches!$Y$5:$Y$19,MATCH($C109,Matches!$A$5:$A$19,0))="","",INDEX(Matches!$Y$5:$Y$19,MATCH($C109,Matches!$A$5:$A$19,0))),"")</f>
        <v/>
      </c>
      <c r="J109">
        <f>IFERROR(IF(INDEX(Matches!$Z$5:$Z$19,MATCH($C109,Matches!$A$5:$A$19,0))="","",INDEX(Matches!$Z$5:$Z$19,MATCH($C109,Matches!$A$5:$A$19,0))),"")</f>
        <v/>
      </c>
      <c r="K109">
        <f>IFERROR(IF(INDEX(Matches!$AA$5:$AA$19,MATCH($C109,Matches!$A$5:$A$19,0))="","",INDEX(Matches!$AA$5:$AA$19,MATCH($C109,Matches!$A$5:$A$19,0))),"")</f>
        <v/>
      </c>
      <c r="L109">
        <f>IFERROR(IF(INDEX(Matches!$AB$5:$AB$19,MATCH($C109,Matches!$A$5:$A$19,0))="","",INDEX(Matches!$AB$5:$AB$19,MATCH($C109,Matches!$A$5:$A$19,0))),"")</f>
        <v/>
      </c>
      <c r="M109" s="8">
        <f>IFERROR(IF(INDEX(Matches!$AC$5:$AC$19,MATCH($C109,Matches!$A$5:$A$19,0))="","",INDEX(Matches!$AC$5:$AC$19,MATCH($C109,Matches!$A$5:$A$19,0))),"")</f>
        <v/>
      </c>
      <c r="N109">
        <f>IFERROR(INDEX(Players!$F$2:$F$124,MATCH($F109,Players!$A$2:$A$124,0)),0)</f>
        <v/>
      </c>
      <c r="O109" s="11">
        <f>IFERROR(1/(1/INDEX(Players!$H$2:$H$124,MATCH($F109,Players!$A$2:$A$124,0))),"")</f>
        <v/>
      </c>
      <c r="P109" s="8">
        <f>IFERROR(1/(1/INDEX(Players!$I$2:$I$124,MATCH($F109,Players!$A$2:$A$124,0))),"")</f>
        <v/>
      </c>
      <c r="Q109">
        <f>IF($G109="",0,SUMIFS(Map_Stats!$F$2:$F$779,Map_Stats!$A$2:$A$779,$F109&amp;"|"&amp;$G109))</f>
        <v/>
      </c>
      <c r="R109" s="11">
        <f>IF($G109="","",IFERROR(1/(1/INDEX(Map_Stats!$K$2:$K$779,MATCH($F109&amp;"|"&amp;$G109,Map_Stats!$A$2:$A$779,0))),$O109))</f>
        <v/>
      </c>
      <c r="S109" s="8">
        <f>IF(OR($G109="",$P109=""),"",IFERROR(1/(1/INDEX(Map_Stats!$I$2:$I$779,MATCH($F109&amp;"|"&amp;$G109,Map_Stats!$A$2:$A$779,0))),$P109))</f>
        <v/>
      </c>
      <c r="T109" s="11">
        <f>IF(OR($G109="",R109=""),"",IF($O109="",R109,(Q109*R109+Config!$B$4*$O109)/(Q109+Config!$B$4)))</f>
        <v/>
      </c>
      <c r="U109" s="8">
        <f>IF(S109="","",(Q109*S109+Config!$B$4*$P109)/(Q109+Config!$B$4))</f>
        <v/>
      </c>
      <c r="V109" s="15">
        <f>IF(OR(T109="",$J109=""),"",T109*$J109*($J109/Config!$B$10)^Config!$B$9)</f>
        <v/>
      </c>
      <c r="W109" s="15">
        <f>IF(OR(V109="",U109=""),"",V109*U109)</f>
        <v/>
      </c>
      <c r="X109">
        <f>IF($H109="",0,SUMIFS(Map_Stats!$F$2:$F$779,Map_Stats!$A$2:$A$779,$F109&amp;"|"&amp;$H109))</f>
        <v/>
      </c>
      <c r="Y109" s="11">
        <f>IF($H109="","",IFERROR(1/(1/INDEX(Map_Stats!$K$2:$K$779,MATCH($F109&amp;"|"&amp;$H109,Map_Stats!$A$2:$A$779,0))),$O109))</f>
        <v/>
      </c>
      <c r="Z109" s="8">
        <f>IF(OR($H109="",$P109=""),"",IFERROR(1/(1/INDEX(Map_Stats!$I$2:$I$779,MATCH($F109&amp;"|"&amp;$H109,Map_Stats!$A$2:$A$779,0))),$P109))</f>
        <v/>
      </c>
      <c r="AA109" s="11">
        <f>IF(OR($H109="",Y109=""),"",IF($O109="",Y109,(X109*Y109+Config!$B$4*$O109)/(X109+Config!$B$4)))</f>
        <v/>
      </c>
      <c r="AB109" s="8">
        <f>IF(Z109="","",(X109*Z109+Config!$B$4*$P109)/(X109+Config!$B$4))</f>
        <v/>
      </c>
      <c r="AC109" s="15">
        <f>IF(OR(AA109="",$K109=""),"",AA109*$K109*($K109/Config!$B$10)^Config!$B$9)</f>
        <v/>
      </c>
      <c r="AD109" s="15">
        <f>IF(OR(AC109="",AB109=""),"",AC109*AB109)</f>
        <v/>
      </c>
      <c r="AE109">
        <f>IF($I109="",0,SUMIFS(Map_Stats!$F$2:$F$779,Map_Stats!$A$2:$A$779,$F109&amp;"|"&amp;$I109))</f>
        <v/>
      </c>
      <c r="AF109" s="11">
        <f>IF($I109="","",IFERROR(1/(1/INDEX(Map_Stats!$K$2:$K$779,MATCH($F109&amp;"|"&amp;$I109,Map_Stats!$A$2:$A$779,0))),$O109))</f>
        <v/>
      </c>
      <c r="AG109" s="8">
        <f>IF(OR($I109="",$P109=""),"",IFERROR(1/(1/INDEX(Map_Stats!$I$2:$I$779,MATCH($F109&amp;"|"&amp;$I109,Map_Stats!$A$2:$A$779,0))),$P109))</f>
        <v/>
      </c>
      <c r="AH109" s="11">
        <f>IF(OR($I109="",AF109=""),"",IF($O109="",AF109,(AE109*AF109+Config!$B$4*$O109)/(AE109+Config!$B$4)))</f>
        <v/>
      </c>
      <c r="AI109" s="8">
        <f>IF(AG109="","",(AE109*AG109+Config!$B$4*$P109)/(AE109+Config!$B$4))</f>
        <v/>
      </c>
      <c r="AJ109" s="15">
        <f>IF(OR(AH109="",$L109=""),"",AH109*$L109*($L109/Config!$B$10)^Config!$B$9)</f>
        <v/>
      </c>
      <c r="AK109" s="15">
        <f>IF(OR(AJ109="",AI109=""),"",AJ109*AI109)</f>
        <v/>
      </c>
      <c r="AL109" s="15">
        <f>N(V109)+N(AC109)</f>
        <v/>
      </c>
      <c r="AM109" s="15">
        <f>AL109+N($M109)*N(AJ109)</f>
        <v/>
      </c>
      <c r="AN109" s="15">
        <f>IF(W109="","",N(W109)+N(AD109))</f>
        <v/>
      </c>
      <c r="AO109" s="15">
        <f>IF(AN109="","",AN109+N($M109)*N(AK109))</f>
        <v/>
      </c>
      <c r="AP109" s="8">
        <f>IFERROR(AN109/AL109,"")</f>
        <v/>
      </c>
      <c r="AQ109">
        <f>TRIM(IF($N109&lt;Config!$B$12,"thin sample ("&amp;$N109&amp;" maps) · ","")&amp;IF(AND($G109&lt;&gt;"",Q109=0),"M1 unplayed→overall KPR · ","")&amp;IF(AND($H109&lt;&gt;"",X109=0),"M2 unplayed→overall KPR · ","")&amp;IF($O109="","no PickFinder stats",""))</f>
        <v/>
      </c>
      <c r="AR109">
        <f>IF($C109=Board!$B$2,COUNTIFS($C$2:$C$124,Board!$B$2,$AL$2:$AL$124,"&gt;"&amp;$AL109)+COUNTIFS($C$1:$C108,Board!$B$2,$AL$1:$AL108,$AL109)+1,"")</f>
        <v/>
      </c>
      <c r="AS109">
        <f>IFERROR(IF($D109=INDEX(Matches!$AD$5:$AD$19,MATCH($C109,Matches!$A$5:$A$19,0)),"A",IF($D109=INDEX(Matches!$AE$5:$AE$19,MATCH($C109,Matches!$A$5:$A$19,0)),"B","")),"")</f>
        <v/>
      </c>
      <c r="AT109" s="8">
        <f>IF($AS109="","",IFERROR(IF($AS109="A",INDEX(Matches!$AI$5:$AI$19,MATCH($C109,Matches!$A$5:$A$19,0)),INDEX(Matches!$AJ$5:$AJ$19,MATCH($C109,Matches!$A$5:$A$19,0))),""))</f>
        <v/>
      </c>
      <c r="AU109" s="8">
        <f>IF($AS109="","",IFERROR(IF(INDEX(Matches!$AP$5:$AP$19,MATCH($C109,Matches!$A$5:$A$19,0))="","",IF($AS109="A",INDEX(Matches!$AP$5:$AP$19,MATCH($C109,Matches!$A$5:$A$19,0)),1-INDEX(Matches!$AP$5:$AP$19,MATCH($C109,Matches!$A$5:$A$19,0)))),""))</f>
        <v/>
      </c>
      <c r="AV109" s="11">
        <f>IF(OR($AU109="",$AT109=""),1,((Config!$B$14*$AU109+Config!$B$15*(1-$AU109))/(Config!$B$14*$AT109+Config!$B$15*(1-$AT109)))^Config!$B$13)</f>
        <v/>
      </c>
      <c r="AW109" s="8">
        <f>IF($AS109="","",IFERROR(IF(INDEX(Matches!$AV$5:$AV$19,MATCH($C109,Matches!$A$5:$A$19,0))="","",IF($AS109="A",INDEX(Matches!$AV$5:$AV$19,MATCH($C109,Matches!$A$5:$A$19,0)),1-INDEX(Matches!$AV$5:$AV$19,MATCH($C109,Matches!$A$5:$A$19,0)))),""))</f>
        <v/>
      </c>
      <c r="AX109" s="11">
        <f>IF(OR($AW109="",$AT109=""),1,((Config!$B$14*$AW109+Config!$B$15*(1-$AW109))/(Config!$B$14*$AT109+Config!$B$15*(1-$AT109)))^Config!$B$13)</f>
        <v/>
      </c>
      <c r="AY109" s="8">
        <f>IF($AS109="","",IFERROR(IF(INDEX(Matches!$BB$5:$BB$19,MATCH($C109,Matches!$A$5:$A$19,0))="","",IF($AS109="A",INDEX(Matches!$BB$5:$BB$19,MATCH($C109,Matches!$A$5:$A$19,0)),1-INDEX(Matches!$BB$5:$BB$19,MATCH($C109,Matches!$A$5:$A$19,0)))),""))</f>
        <v/>
      </c>
      <c r="AZ109" s="11">
        <f>IF(OR($AY109="",$AT109=""),1,((Config!$B$14*$AY109+Config!$B$15*(1-$AY109))/(Config!$B$14*$AT109+Config!$B$15*(1-$AT109)))^Config!$B$13)</f>
        <v/>
      </c>
      <c r="BA109" s="15">
        <f>IF(V109="","",V109*$AV109)</f>
        <v/>
      </c>
      <c r="BB109" s="15">
        <f>IF(AC109="","",AC109*$AX109)</f>
        <v/>
      </c>
      <c r="BC109" s="15">
        <f>IF(AJ109="","",AJ109*$AZ109)</f>
        <v/>
      </c>
      <c r="BD109" s="15">
        <f>N(BA109)+N(BB109)</f>
        <v/>
      </c>
      <c r="BE109" s="15">
        <f>BD109+N($M109)*N(BC109)</f>
        <v/>
      </c>
      <c r="BF109" s="15">
        <f>IF(W109="","",W109*$AV109)</f>
        <v/>
      </c>
      <c r="BG109" s="15">
        <f>IF(AD109="","",AD109*$AX109)</f>
        <v/>
      </c>
      <c r="BH109" s="15">
        <f>IF(AK109="","",AK109*$AZ109)</f>
        <v/>
      </c>
      <c r="BI109" s="15">
        <f>IF(BF109="","",N(BF109)+N(BG109))</f>
        <v/>
      </c>
      <c r="BJ109" s="15">
        <f>IF(BI109="","",BI109+N($M109)*N(BH109))</f>
        <v/>
      </c>
      <c r="BK109" s="11">
        <f>IFERROR(BD109/AL109,1)</f>
        <v/>
      </c>
    </row>
    <row r="110">
      <c r="A110" t="inlineStr">
        <is>
          <t>f34szm5kcyom32u|CS2 · VIT vs MGLZ</t>
        </is>
      </c>
      <c r="B110" t="inlineStr">
        <is>
          <t>CS2</t>
        </is>
      </c>
      <c r="C110" t="inlineStr">
        <is>
          <t>CS2 · VIT vs MGLZ</t>
        </is>
      </c>
      <c r="D110" t="inlineStr">
        <is>
          <t>MGLZ</t>
        </is>
      </c>
      <c r="E110" t="inlineStr">
        <is>
          <t>Techno</t>
        </is>
      </c>
      <c r="F110" t="inlineStr">
        <is>
          <t>f34szm5kcyom32u</t>
        </is>
      </c>
      <c r="G110">
        <f>IFERROR(IF(INDEX(Matches!$W$5:$W$19,MATCH($C110,Matches!$A$5:$A$19,0))="","",INDEX(Matches!$W$5:$W$19,MATCH($C110,Matches!$A$5:$A$19,0))),"")</f>
        <v/>
      </c>
      <c r="H110">
        <f>IFERROR(IF(INDEX(Matches!$X$5:$X$19,MATCH($C110,Matches!$A$5:$A$19,0))="","",INDEX(Matches!$X$5:$X$19,MATCH($C110,Matches!$A$5:$A$19,0))),"")</f>
        <v/>
      </c>
      <c r="I110">
        <f>IFERROR(IF(INDEX(Matches!$Y$5:$Y$19,MATCH($C110,Matches!$A$5:$A$19,0))="","",INDEX(Matches!$Y$5:$Y$19,MATCH($C110,Matches!$A$5:$A$19,0))),"")</f>
        <v/>
      </c>
      <c r="J110">
        <f>IFERROR(IF(INDEX(Matches!$Z$5:$Z$19,MATCH($C110,Matches!$A$5:$A$19,0))="","",INDEX(Matches!$Z$5:$Z$19,MATCH($C110,Matches!$A$5:$A$19,0))),"")</f>
        <v/>
      </c>
      <c r="K110">
        <f>IFERROR(IF(INDEX(Matches!$AA$5:$AA$19,MATCH($C110,Matches!$A$5:$A$19,0))="","",INDEX(Matches!$AA$5:$AA$19,MATCH($C110,Matches!$A$5:$A$19,0))),"")</f>
        <v/>
      </c>
      <c r="L110">
        <f>IFERROR(IF(INDEX(Matches!$AB$5:$AB$19,MATCH($C110,Matches!$A$5:$A$19,0))="","",INDEX(Matches!$AB$5:$AB$19,MATCH($C110,Matches!$A$5:$A$19,0))),"")</f>
        <v/>
      </c>
      <c r="M110" s="8">
        <f>IFERROR(IF(INDEX(Matches!$AC$5:$AC$19,MATCH($C110,Matches!$A$5:$A$19,0))="","",INDEX(Matches!$AC$5:$AC$19,MATCH($C110,Matches!$A$5:$A$19,0))),"")</f>
        <v/>
      </c>
      <c r="N110">
        <f>IFERROR(INDEX(Players!$F$2:$F$124,MATCH($F110,Players!$A$2:$A$124,0)),0)</f>
        <v/>
      </c>
      <c r="O110" s="11">
        <f>IFERROR(1/(1/INDEX(Players!$H$2:$H$124,MATCH($F110,Players!$A$2:$A$124,0))),"")</f>
        <v/>
      </c>
      <c r="P110" s="8">
        <f>IFERROR(1/(1/INDEX(Players!$I$2:$I$124,MATCH($F110,Players!$A$2:$A$124,0))),"")</f>
        <v/>
      </c>
      <c r="Q110">
        <f>IF($G110="",0,SUMIFS(Map_Stats!$F$2:$F$779,Map_Stats!$A$2:$A$779,$F110&amp;"|"&amp;$G110))</f>
        <v/>
      </c>
      <c r="R110" s="11">
        <f>IF($G110="","",IFERROR(1/(1/INDEX(Map_Stats!$K$2:$K$779,MATCH($F110&amp;"|"&amp;$G110,Map_Stats!$A$2:$A$779,0))),$O110))</f>
        <v/>
      </c>
      <c r="S110" s="8">
        <f>IF(OR($G110="",$P110=""),"",IFERROR(1/(1/INDEX(Map_Stats!$I$2:$I$779,MATCH($F110&amp;"|"&amp;$G110,Map_Stats!$A$2:$A$779,0))),$P110))</f>
        <v/>
      </c>
      <c r="T110" s="11">
        <f>IF(OR($G110="",R110=""),"",IF($O110="",R110,(Q110*R110+Config!$B$4*$O110)/(Q110+Config!$B$4)))</f>
        <v/>
      </c>
      <c r="U110" s="8">
        <f>IF(S110="","",(Q110*S110+Config!$B$4*$P110)/(Q110+Config!$B$4))</f>
        <v/>
      </c>
      <c r="V110" s="15">
        <f>IF(OR(T110="",$J110=""),"",T110*$J110*($J110/Config!$B$10)^Config!$B$9)</f>
        <v/>
      </c>
      <c r="W110" s="15">
        <f>IF(OR(V110="",U110=""),"",V110*U110)</f>
        <v/>
      </c>
      <c r="X110">
        <f>IF($H110="",0,SUMIFS(Map_Stats!$F$2:$F$779,Map_Stats!$A$2:$A$779,$F110&amp;"|"&amp;$H110))</f>
        <v/>
      </c>
      <c r="Y110" s="11">
        <f>IF($H110="","",IFERROR(1/(1/INDEX(Map_Stats!$K$2:$K$779,MATCH($F110&amp;"|"&amp;$H110,Map_Stats!$A$2:$A$779,0))),$O110))</f>
        <v/>
      </c>
      <c r="Z110" s="8">
        <f>IF(OR($H110="",$P110=""),"",IFERROR(1/(1/INDEX(Map_Stats!$I$2:$I$779,MATCH($F110&amp;"|"&amp;$H110,Map_Stats!$A$2:$A$779,0))),$P110))</f>
        <v/>
      </c>
      <c r="AA110" s="11">
        <f>IF(OR($H110="",Y110=""),"",IF($O110="",Y110,(X110*Y110+Config!$B$4*$O110)/(X110+Config!$B$4)))</f>
        <v/>
      </c>
      <c r="AB110" s="8">
        <f>IF(Z110="","",(X110*Z110+Config!$B$4*$P110)/(X110+Config!$B$4))</f>
        <v/>
      </c>
      <c r="AC110" s="15">
        <f>IF(OR(AA110="",$K110=""),"",AA110*$K110*($K110/Config!$B$10)^Config!$B$9)</f>
        <v/>
      </c>
      <c r="AD110" s="15">
        <f>IF(OR(AC110="",AB110=""),"",AC110*AB110)</f>
        <v/>
      </c>
      <c r="AE110">
        <f>IF($I110="",0,SUMIFS(Map_Stats!$F$2:$F$779,Map_Stats!$A$2:$A$779,$F110&amp;"|"&amp;$I110))</f>
        <v/>
      </c>
      <c r="AF110" s="11">
        <f>IF($I110="","",IFERROR(1/(1/INDEX(Map_Stats!$K$2:$K$779,MATCH($F110&amp;"|"&amp;$I110,Map_Stats!$A$2:$A$779,0))),$O110))</f>
        <v/>
      </c>
      <c r="AG110" s="8">
        <f>IF(OR($I110="",$P110=""),"",IFERROR(1/(1/INDEX(Map_Stats!$I$2:$I$779,MATCH($F110&amp;"|"&amp;$I110,Map_Stats!$A$2:$A$779,0))),$P110))</f>
        <v/>
      </c>
      <c r="AH110" s="11">
        <f>IF(OR($I110="",AF110=""),"",IF($O110="",AF110,(AE110*AF110+Config!$B$4*$O110)/(AE110+Config!$B$4)))</f>
        <v/>
      </c>
      <c r="AI110" s="8">
        <f>IF(AG110="","",(AE110*AG110+Config!$B$4*$P110)/(AE110+Config!$B$4))</f>
        <v/>
      </c>
      <c r="AJ110" s="15">
        <f>IF(OR(AH110="",$L110=""),"",AH110*$L110*($L110/Config!$B$10)^Config!$B$9)</f>
        <v/>
      </c>
      <c r="AK110" s="15">
        <f>IF(OR(AJ110="",AI110=""),"",AJ110*AI110)</f>
        <v/>
      </c>
      <c r="AL110" s="15">
        <f>N(V110)+N(AC110)</f>
        <v/>
      </c>
      <c r="AM110" s="15">
        <f>AL110+N($M110)*N(AJ110)</f>
        <v/>
      </c>
      <c r="AN110" s="15">
        <f>IF(W110="","",N(W110)+N(AD110))</f>
        <v/>
      </c>
      <c r="AO110" s="15">
        <f>IF(AN110="","",AN110+N($M110)*N(AK110))</f>
        <v/>
      </c>
      <c r="AP110" s="8">
        <f>IFERROR(AN110/AL110,"")</f>
        <v/>
      </c>
      <c r="AQ110">
        <f>TRIM(IF($N110&lt;Config!$B$12,"thin sample ("&amp;$N110&amp;" maps) · ","")&amp;IF(AND($G110&lt;&gt;"",Q110=0),"M1 unplayed→overall KPR · ","")&amp;IF(AND($H110&lt;&gt;"",X110=0),"M2 unplayed→overall KPR · ","")&amp;IF($O110="","no PickFinder stats",""))</f>
        <v/>
      </c>
      <c r="AR110">
        <f>IF($C110=Board!$B$2,COUNTIFS($C$2:$C$124,Board!$B$2,$AL$2:$AL$124,"&gt;"&amp;$AL110)+COUNTIFS($C$1:$C109,Board!$B$2,$AL$1:$AL109,$AL110)+1,"")</f>
        <v/>
      </c>
      <c r="AS110">
        <f>IFERROR(IF($D110=INDEX(Matches!$AD$5:$AD$19,MATCH($C110,Matches!$A$5:$A$19,0)),"A",IF($D110=INDEX(Matches!$AE$5:$AE$19,MATCH($C110,Matches!$A$5:$A$19,0)),"B","")),"")</f>
        <v/>
      </c>
      <c r="AT110" s="8">
        <f>IF($AS110="","",IFERROR(IF($AS110="A",INDEX(Matches!$AI$5:$AI$19,MATCH($C110,Matches!$A$5:$A$19,0)),INDEX(Matches!$AJ$5:$AJ$19,MATCH($C110,Matches!$A$5:$A$19,0))),""))</f>
        <v/>
      </c>
      <c r="AU110" s="8">
        <f>IF($AS110="","",IFERROR(IF(INDEX(Matches!$AP$5:$AP$19,MATCH($C110,Matches!$A$5:$A$19,0))="","",IF($AS110="A",INDEX(Matches!$AP$5:$AP$19,MATCH($C110,Matches!$A$5:$A$19,0)),1-INDEX(Matches!$AP$5:$AP$19,MATCH($C110,Matches!$A$5:$A$19,0)))),""))</f>
        <v/>
      </c>
      <c r="AV110" s="11">
        <f>IF(OR($AU110="",$AT110=""),1,((Config!$B$14*$AU110+Config!$B$15*(1-$AU110))/(Config!$B$14*$AT110+Config!$B$15*(1-$AT110)))^Config!$B$13)</f>
        <v/>
      </c>
      <c r="AW110" s="8">
        <f>IF($AS110="","",IFERROR(IF(INDEX(Matches!$AV$5:$AV$19,MATCH($C110,Matches!$A$5:$A$19,0))="","",IF($AS110="A",INDEX(Matches!$AV$5:$AV$19,MATCH($C110,Matches!$A$5:$A$19,0)),1-INDEX(Matches!$AV$5:$AV$19,MATCH($C110,Matches!$A$5:$A$19,0)))),""))</f>
        <v/>
      </c>
      <c r="AX110" s="11">
        <f>IF(OR($AW110="",$AT110=""),1,((Config!$B$14*$AW110+Config!$B$15*(1-$AW110))/(Config!$B$14*$AT110+Config!$B$15*(1-$AT110)))^Config!$B$13)</f>
        <v/>
      </c>
      <c r="AY110" s="8">
        <f>IF($AS110="","",IFERROR(IF(INDEX(Matches!$BB$5:$BB$19,MATCH($C110,Matches!$A$5:$A$19,0))="","",IF($AS110="A",INDEX(Matches!$BB$5:$BB$19,MATCH($C110,Matches!$A$5:$A$19,0)),1-INDEX(Matches!$BB$5:$BB$19,MATCH($C110,Matches!$A$5:$A$19,0)))),""))</f>
        <v/>
      </c>
      <c r="AZ110" s="11">
        <f>IF(OR($AY110="",$AT110=""),1,((Config!$B$14*$AY110+Config!$B$15*(1-$AY110))/(Config!$B$14*$AT110+Config!$B$15*(1-$AT110)))^Config!$B$13)</f>
        <v/>
      </c>
      <c r="BA110" s="15">
        <f>IF(V110="","",V110*$AV110)</f>
        <v/>
      </c>
      <c r="BB110" s="15">
        <f>IF(AC110="","",AC110*$AX110)</f>
        <v/>
      </c>
      <c r="BC110" s="15">
        <f>IF(AJ110="","",AJ110*$AZ110)</f>
        <v/>
      </c>
      <c r="BD110" s="15">
        <f>N(BA110)+N(BB110)</f>
        <v/>
      </c>
      <c r="BE110" s="15">
        <f>BD110+N($M110)*N(BC110)</f>
        <v/>
      </c>
      <c r="BF110" s="15">
        <f>IF(W110="","",W110*$AV110)</f>
        <v/>
      </c>
      <c r="BG110" s="15">
        <f>IF(AD110="","",AD110*$AX110)</f>
        <v/>
      </c>
      <c r="BH110" s="15">
        <f>IF(AK110="","",AK110*$AZ110)</f>
        <v/>
      </c>
      <c r="BI110" s="15">
        <f>IF(BF110="","",N(BF110)+N(BG110))</f>
        <v/>
      </c>
      <c r="BJ110" s="15">
        <f>IF(BI110="","",BI110+N($M110)*N(BH110))</f>
        <v/>
      </c>
      <c r="BK110" s="11">
        <f>IFERROR(BD110/AL110,1)</f>
        <v/>
      </c>
    </row>
    <row r="111">
      <c r="A111" t="inlineStr">
        <is>
          <t>uiy2ot3l9f0c2i9|CS2 · VIT vs MGLZ</t>
        </is>
      </c>
      <c r="B111" t="inlineStr">
        <is>
          <t>CS2</t>
        </is>
      </c>
      <c r="C111" t="inlineStr">
        <is>
          <t>CS2 · VIT vs MGLZ</t>
        </is>
      </c>
      <c r="D111" t="inlineStr">
        <is>
          <t>VIT</t>
        </is>
      </c>
      <c r="E111" t="inlineStr">
        <is>
          <t>flameZ</t>
        </is>
      </c>
      <c r="F111" t="inlineStr">
        <is>
          <t>uiy2ot3l9f0c2i9</t>
        </is>
      </c>
      <c r="G111">
        <f>IFERROR(IF(INDEX(Matches!$W$5:$W$19,MATCH($C111,Matches!$A$5:$A$19,0))="","",INDEX(Matches!$W$5:$W$19,MATCH($C111,Matches!$A$5:$A$19,0))),"")</f>
        <v/>
      </c>
      <c r="H111">
        <f>IFERROR(IF(INDEX(Matches!$X$5:$X$19,MATCH($C111,Matches!$A$5:$A$19,0))="","",INDEX(Matches!$X$5:$X$19,MATCH($C111,Matches!$A$5:$A$19,0))),"")</f>
        <v/>
      </c>
      <c r="I111">
        <f>IFERROR(IF(INDEX(Matches!$Y$5:$Y$19,MATCH($C111,Matches!$A$5:$A$19,0))="","",INDEX(Matches!$Y$5:$Y$19,MATCH($C111,Matches!$A$5:$A$19,0))),"")</f>
        <v/>
      </c>
      <c r="J111">
        <f>IFERROR(IF(INDEX(Matches!$Z$5:$Z$19,MATCH($C111,Matches!$A$5:$A$19,0))="","",INDEX(Matches!$Z$5:$Z$19,MATCH($C111,Matches!$A$5:$A$19,0))),"")</f>
        <v/>
      </c>
      <c r="K111">
        <f>IFERROR(IF(INDEX(Matches!$AA$5:$AA$19,MATCH($C111,Matches!$A$5:$A$19,0))="","",INDEX(Matches!$AA$5:$AA$19,MATCH($C111,Matches!$A$5:$A$19,0))),"")</f>
        <v/>
      </c>
      <c r="L111">
        <f>IFERROR(IF(INDEX(Matches!$AB$5:$AB$19,MATCH($C111,Matches!$A$5:$A$19,0))="","",INDEX(Matches!$AB$5:$AB$19,MATCH($C111,Matches!$A$5:$A$19,0))),"")</f>
        <v/>
      </c>
      <c r="M111" s="8">
        <f>IFERROR(IF(INDEX(Matches!$AC$5:$AC$19,MATCH($C111,Matches!$A$5:$A$19,0))="","",INDEX(Matches!$AC$5:$AC$19,MATCH($C111,Matches!$A$5:$A$19,0))),"")</f>
        <v/>
      </c>
      <c r="N111">
        <f>IFERROR(INDEX(Players!$F$2:$F$124,MATCH($F111,Players!$A$2:$A$124,0)),0)</f>
        <v/>
      </c>
      <c r="O111" s="11">
        <f>IFERROR(1/(1/INDEX(Players!$H$2:$H$124,MATCH($F111,Players!$A$2:$A$124,0))),"")</f>
        <v/>
      </c>
      <c r="P111" s="8">
        <f>IFERROR(1/(1/INDEX(Players!$I$2:$I$124,MATCH($F111,Players!$A$2:$A$124,0))),"")</f>
        <v/>
      </c>
      <c r="Q111">
        <f>IF($G111="",0,SUMIFS(Map_Stats!$F$2:$F$779,Map_Stats!$A$2:$A$779,$F111&amp;"|"&amp;$G111))</f>
        <v/>
      </c>
      <c r="R111" s="11">
        <f>IF($G111="","",IFERROR(1/(1/INDEX(Map_Stats!$K$2:$K$779,MATCH($F111&amp;"|"&amp;$G111,Map_Stats!$A$2:$A$779,0))),$O111))</f>
        <v/>
      </c>
      <c r="S111" s="8">
        <f>IF(OR($G111="",$P111=""),"",IFERROR(1/(1/INDEX(Map_Stats!$I$2:$I$779,MATCH($F111&amp;"|"&amp;$G111,Map_Stats!$A$2:$A$779,0))),$P111))</f>
        <v/>
      </c>
      <c r="T111" s="11">
        <f>IF(OR($G111="",R111=""),"",IF($O111="",R111,(Q111*R111+Config!$B$4*$O111)/(Q111+Config!$B$4)))</f>
        <v/>
      </c>
      <c r="U111" s="8">
        <f>IF(S111="","",(Q111*S111+Config!$B$4*$P111)/(Q111+Config!$B$4))</f>
        <v/>
      </c>
      <c r="V111" s="15">
        <f>IF(OR(T111="",$J111=""),"",T111*$J111*($J111/Config!$B$10)^Config!$B$9)</f>
        <v/>
      </c>
      <c r="W111" s="15">
        <f>IF(OR(V111="",U111=""),"",V111*U111)</f>
        <v/>
      </c>
      <c r="X111">
        <f>IF($H111="",0,SUMIFS(Map_Stats!$F$2:$F$779,Map_Stats!$A$2:$A$779,$F111&amp;"|"&amp;$H111))</f>
        <v/>
      </c>
      <c r="Y111" s="11">
        <f>IF($H111="","",IFERROR(1/(1/INDEX(Map_Stats!$K$2:$K$779,MATCH($F111&amp;"|"&amp;$H111,Map_Stats!$A$2:$A$779,0))),$O111))</f>
        <v/>
      </c>
      <c r="Z111" s="8">
        <f>IF(OR($H111="",$P111=""),"",IFERROR(1/(1/INDEX(Map_Stats!$I$2:$I$779,MATCH($F111&amp;"|"&amp;$H111,Map_Stats!$A$2:$A$779,0))),$P111))</f>
        <v/>
      </c>
      <c r="AA111" s="11">
        <f>IF(OR($H111="",Y111=""),"",IF($O111="",Y111,(X111*Y111+Config!$B$4*$O111)/(X111+Config!$B$4)))</f>
        <v/>
      </c>
      <c r="AB111" s="8">
        <f>IF(Z111="","",(X111*Z111+Config!$B$4*$P111)/(X111+Config!$B$4))</f>
        <v/>
      </c>
      <c r="AC111" s="15">
        <f>IF(OR(AA111="",$K111=""),"",AA111*$K111*($K111/Config!$B$10)^Config!$B$9)</f>
        <v/>
      </c>
      <c r="AD111" s="15">
        <f>IF(OR(AC111="",AB111=""),"",AC111*AB111)</f>
        <v/>
      </c>
      <c r="AE111">
        <f>IF($I111="",0,SUMIFS(Map_Stats!$F$2:$F$779,Map_Stats!$A$2:$A$779,$F111&amp;"|"&amp;$I111))</f>
        <v/>
      </c>
      <c r="AF111" s="11">
        <f>IF($I111="","",IFERROR(1/(1/INDEX(Map_Stats!$K$2:$K$779,MATCH($F111&amp;"|"&amp;$I111,Map_Stats!$A$2:$A$779,0))),$O111))</f>
        <v/>
      </c>
      <c r="AG111" s="8">
        <f>IF(OR($I111="",$P111=""),"",IFERROR(1/(1/INDEX(Map_Stats!$I$2:$I$779,MATCH($F111&amp;"|"&amp;$I111,Map_Stats!$A$2:$A$779,0))),$P111))</f>
        <v/>
      </c>
      <c r="AH111" s="11">
        <f>IF(OR($I111="",AF111=""),"",IF($O111="",AF111,(AE111*AF111+Config!$B$4*$O111)/(AE111+Config!$B$4)))</f>
        <v/>
      </c>
      <c r="AI111" s="8">
        <f>IF(AG111="","",(AE111*AG111+Config!$B$4*$P111)/(AE111+Config!$B$4))</f>
        <v/>
      </c>
      <c r="AJ111" s="15">
        <f>IF(OR(AH111="",$L111=""),"",AH111*$L111*($L111/Config!$B$10)^Config!$B$9)</f>
        <v/>
      </c>
      <c r="AK111" s="15">
        <f>IF(OR(AJ111="",AI111=""),"",AJ111*AI111)</f>
        <v/>
      </c>
      <c r="AL111" s="15">
        <f>N(V111)+N(AC111)</f>
        <v/>
      </c>
      <c r="AM111" s="15">
        <f>AL111+N($M111)*N(AJ111)</f>
        <v/>
      </c>
      <c r="AN111" s="15">
        <f>IF(W111="","",N(W111)+N(AD111))</f>
        <v/>
      </c>
      <c r="AO111" s="15">
        <f>IF(AN111="","",AN111+N($M111)*N(AK111))</f>
        <v/>
      </c>
      <c r="AP111" s="8">
        <f>IFERROR(AN111/AL111,"")</f>
        <v/>
      </c>
      <c r="AQ111">
        <f>TRIM(IF($N111&lt;Config!$B$12,"thin sample ("&amp;$N111&amp;" maps) · ","")&amp;IF(AND($G111&lt;&gt;"",Q111=0),"M1 unplayed→overall KPR · ","")&amp;IF(AND($H111&lt;&gt;"",X111=0),"M2 unplayed→overall KPR · ","")&amp;IF($O111="","no PickFinder stats",""))</f>
        <v/>
      </c>
      <c r="AR111">
        <f>IF($C111=Board!$B$2,COUNTIFS($C$2:$C$124,Board!$B$2,$AL$2:$AL$124,"&gt;"&amp;$AL111)+COUNTIFS($C$1:$C110,Board!$B$2,$AL$1:$AL110,$AL111)+1,"")</f>
        <v/>
      </c>
      <c r="AS111">
        <f>IFERROR(IF($D111=INDEX(Matches!$AD$5:$AD$19,MATCH($C111,Matches!$A$5:$A$19,0)),"A",IF($D111=INDEX(Matches!$AE$5:$AE$19,MATCH($C111,Matches!$A$5:$A$19,0)),"B","")),"")</f>
        <v/>
      </c>
      <c r="AT111" s="8">
        <f>IF($AS111="","",IFERROR(IF($AS111="A",INDEX(Matches!$AI$5:$AI$19,MATCH($C111,Matches!$A$5:$A$19,0)),INDEX(Matches!$AJ$5:$AJ$19,MATCH($C111,Matches!$A$5:$A$19,0))),""))</f>
        <v/>
      </c>
      <c r="AU111" s="8">
        <f>IF($AS111="","",IFERROR(IF(INDEX(Matches!$AP$5:$AP$19,MATCH($C111,Matches!$A$5:$A$19,0))="","",IF($AS111="A",INDEX(Matches!$AP$5:$AP$19,MATCH($C111,Matches!$A$5:$A$19,0)),1-INDEX(Matches!$AP$5:$AP$19,MATCH($C111,Matches!$A$5:$A$19,0)))),""))</f>
        <v/>
      </c>
      <c r="AV111" s="11">
        <f>IF(OR($AU111="",$AT111=""),1,((Config!$B$14*$AU111+Config!$B$15*(1-$AU111))/(Config!$B$14*$AT111+Config!$B$15*(1-$AT111)))^Config!$B$13)</f>
        <v/>
      </c>
      <c r="AW111" s="8">
        <f>IF($AS111="","",IFERROR(IF(INDEX(Matches!$AV$5:$AV$19,MATCH($C111,Matches!$A$5:$A$19,0))="","",IF($AS111="A",INDEX(Matches!$AV$5:$AV$19,MATCH($C111,Matches!$A$5:$A$19,0)),1-INDEX(Matches!$AV$5:$AV$19,MATCH($C111,Matches!$A$5:$A$19,0)))),""))</f>
        <v/>
      </c>
      <c r="AX111" s="11">
        <f>IF(OR($AW111="",$AT111=""),1,((Config!$B$14*$AW111+Config!$B$15*(1-$AW111))/(Config!$B$14*$AT111+Config!$B$15*(1-$AT111)))^Config!$B$13)</f>
        <v/>
      </c>
      <c r="AY111" s="8">
        <f>IF($AS111="","",IFERROR(IF(INDEX(Matches!$BB$5:$BB$19,MATCH($C111,Matches!$A$5:$A$19,0))="","",IF($AS111="A",INDEX(Matches!$BB$5:$BB$19,MATCH($C111,Matches!$A$5:$A$19,0)),1-INDEX(Matches!$BB$5:$BB$19,MATCH($C111,Matches!$A$5:$A$19,0)))),""))</f>
        <v/>
      </c>
      <c r="AZ111" s="11">
        <f>IF(OR($AY111="",$AT111=""),1,((Config!$B$14*$AY111+Config!$B$15*(1-$AY111))/(Config!$B$14*$AT111+Config!$B$15*(1-$AT111)))^Config!$B$13)</f>
        <v/>
      </c>
      <c r="BA111" s="15">
        <f>IF(V111="","",V111*$AV111)</f>
        <v/>
      </c>
      <c r="BB111" s="15">
        <f>IF(AC111="","",AC111*$AX111)</f>
        <v/>
      </c>
      <c r="BC111" s="15">
        <f>IF(AJ111="","",AJ111*$AZ111)</f>
        <v/>
      </c>
      <c r="BD111" s="15">
        <f>N(BA111)+N(BB111)</f>
        <v/>
      </c>
      <c r="BE111" s="15">
        <f>BD111+N($M111)*N(BC111)</f>
        <v/>
      </c>
      <c r="BF111" s="15">
        <f>IF(W111="","",W111*$AV111)</f>
        <v/>
      </c>
      <c r="BG111" s="15">
        <f>IF(AD111="","",AD111*$AX111)</f>
        <v/>
      </c>
      <c r="BH111" s="15">
        <f>IF(AK111="","",AK111*$AZ111)</f>
        <v/>
      </c>
      <c r="BI111" s="15">
        <f>IF(BF111="","",N(BF111)+N(BG111))</f>
        <v/>
      </c>
      <c r="BJ111" s="15">
        <f>IF(BI111="","",BI111+N($M111)*N(BH111))</f>
        <v/>
      </c>
      <c r="BK111" s="11">
        <f>IFERROR(BD111/AL111,1)</f>
        <v/>
      </c>
    </row>
    <row r="112">
      <c r="A112" t="inlineStr">
        <is>
          <t>frzabcozzj3obrl|CS2 · VIT vs MGLZ</t>
        </is>
      </c>
      <c r="B112" t="inlineStr">
        <is>
          <t>CS2</t>
        </is>
      </c>
      <c r="C112" t="inlineStr">
        <is>
          <t>CS2 · VIT vs MGLZ</t>
        </is>
      </c>
      <c r="D112" t="inlineStr">
        <is>
          <t>VIT</t>
        </is>
      </c>
      <c r="E112" t="inlineStr">
        <is>
          <t>jL</t>
        </is>
      </c>
      <c r="F112" t="inlineStr">
        <is>
          <t>frzabcozzj3obrl</t>
        </is>
      </c>
      <c r="G112">
        <f>IFERROR(IF(INDEX(Matches!$W$5:$W$19,MATCH($C112,Matches!$A$5:$A$19,0))="","",INDEX(Matches!$W$5:$W$19,MATCH($C112,Matches!$A$5:$A$19,0))),"")</f>
        <v/>
      </c>
      <c r="H112">
        <f>IFERROR(IF(INDEX(Matches!$X$5:$X$19,MATCH($C112,Matches!$A$5:$A$19,0))="","",INDEX(Matches!$X$5:$X$19,MATCH($C112,Matches!$A$5:$A$19,0))),"")</f>
        <v/>
      </c>
      <c r="I112">
        <f>IFERROR(IF(INDEX(Matches!$Y$5:$Y$19,MATCH($C112,Matches!$A$5:$A$19,0))="","",INDEX(Matches!$Y$5:$Y$19,MATCH($C112,Matches!$A$5:$A$19,0))),"")</f>
        <v/>
      </c>
      <c r="J112">
        <f>IFERROR(IF(INDEX(Matches!$Z$5:$Z$19,MATCH($C112,Matches!$A$5:$A$19,0))="","",INDEX(Matches!$Z$5:$Z$19,MATCH($C112,Matches!$A$5:$A$19,0))),"")</f>
        <v/>
      </c>
      <c r="K112">
        <f>IFERROR(IF(INDEX(Matches!$AA$5:$AA$19,MATCH($C112,Matches!$A$5:$A$19,0))="","",INDEX(Matches!$AA$5:$AA$19,MATCH($C112,Matches!$A$5:$A$19,0))),"")</f>
        <v/>
      </c>
      <c r="L112">
        <f>IFERROR(IF(INDEX(Matches!$AB$5:$AB$19,MATCH($C112,Matches!$A$5:$A$19,0))="","",INDEX(Matches!$AB$5:$AB$19,MATCH($C112,Matches!$A$5:$A$19,0))),"")</f>
        <v/>
      </c>
      <c r="M112" s="8">
        <f>IFERROR(IF(INDEX(Matches!$AC$5:$AC$19,MATCH($C112,Matches!$A$5:$A$19,0))="","",INDEX(Matches!$AC$5:$AC$19,MATCH($C112,Matches!$A$5:$A$19,0))),"")</f>
        <v/>
      </c>
      <c r="N112">
        <f>IFERROR(INDEX(Players!$F$2:$F$124,MATCH($F112,Players!$A$2:$A$124,0)),0)</f>
        <v/>
      </c>
      <c r="O112" s="11">
        <f>IFERROR(1/(1/INDEX(Players!$H$2:$H$124,MATCH($F112,Players!$A$2:$A$124,0))),"")</f>
        <v/>
      </c>
      <c r="P112" s="8">
        <f>IFERROR(1/(1/INDEX(Players!$I$2:$I$124,MATCH($F112,Players!$A$2:$A$124,0))),"")</f>
        <v/>
      </c>
      <c r="Q112">
        <f>IF($G112="",0,SUMIFS(Map_Stats!$F$2:$F$779,Map_Stats!$A$2:$A$779,$F112&amp;"|"&amp;$G112))</f>
        <v/>
      </c>
      <c r="R112" s="11">
        <f>IF($G112="","",IFERROR(1/(1/INDEX(Map_Stats!$K$2:$K$779,MATCH($F112&amp;"|"&amp;$G112,Map_Stats!$A$2:$A$779,0))),$O112))</f>
        <v/>
      </c>
      <c r="S112" s="8">
        <f>IF(OR($G112="",$P112=""),"",IFERROR(1/(1/INDEX(Map_Stats!$I$2:$I$779,MATCH($F112&amp;"|"&amp;$G112,Map_Stats!$A$2:$A$779,0))),$P112))</f>
        <v/>
      </c>
      <c r="T112" s="11">
        <f>IF(OR($G112="",R112=""),"",IF($O112="",R112,(Q112*R112+Config!$B$4*$O112)/(Q112+Config!$B$4)))</f>
        <v/>
      </c>
      <c r="U112" s="8">
        <f>IF(S112="","",(Q112*S112+Config!$B$4*$P112)/(Q112+Config!$B$4))</f>
        <v/>
      </c>
      <c r="V112" s="15">
        <f>IF(OR(T112="",$J112=""),"",T112*$J112*($J112/Config!$B$10)^Config!$B$9)</f>
        <v/>
      </c>
      <c r="W112" s="15">
        <f>IF(OR(V112="",U112=""),"",V112*U112)</f>
        <v/>
      </c>
      <c r="X112">
        <f>IF($H112="",0,SUMIFS(Map_Stats!$F$2:$F$779,Map_Stats!$A$2:$A$779,$F112&amp;"|"&amp;$H112))</f>
        <v/>
      </c>
      <c r="Y112" s="11">
        <f>IF($H112="","",IFERROR(1/(1/INDEX(Map_Stats!$K$2:$K$779,MATCH($F112&amp;"|"&amp;$H112,Map_Stats!$A$2:$A$779,0))),$O112))</f>
        <v/>
      </c>
      <c r="Z112" s="8">
        <f>IF(OR($H112="",$P112=""),"",IFERROR(1/(1/INDEX(Map_Stats!$I$2:$I$779,MATCH($F112&amp;"|"&amp;$H112,Map_Stats!$A$2:$A$779,0))),$P112))</f>
        <v/>
      </c>
      <c r="AA112" s="11">
        <f>IF(OR($H112="",Y112=""),"",IF($O112="",Y112,(X112*Y112+Config!$B$4*$O112)/(X112+Config!$B$4)))</f>
        <v/>
      </c>
      <c r="AB112" s="8">
        <f>IF(Z112="","",(X112*Z112+Config!$B$4*$P112)/(X112+Config!$B$4))</f>
        <v/>
      </c>
      <c r="AC112" s="15">
        <f>IF(OR(AA112="",$K112=""),"",AA112*$K112*($K112/Config!$B$10)^Config!$B$9)</f>
        <v/>
      </c>
      <c r="AD112" s="15">
        <f>IF(OR(AC112="",AB112=""),"",AC112*AB112)</f>
        <v/>
      </c>
      <c r="AE112">
        <f>IF($I112="",0,SUMIFS(Map_Stats!$F$2:$F$779,Map_Stats!$A$2:$A$779,$F112&amp;"|"&amp;$I112))</f>
        <v/>
      </c>
      <c r="AF112" s="11">
        <f>IF($I112="","",IFERROR(1/(1/INDEX(Map_Stats!$K$2:$K$779,MATCH($F112&amp;"|"&amp;$I112,Map_Stats!$A$2:$A$779,0))),$O112))</f>
        <v/>
      </c>
      <c r="AG112" s="8">
        <f>IF(OR($I112="",$P112=""),"",IFERROR(1/(1/INDEX(Map_Stats!$I$2:$I$779,MATCH($F112&amp;"|"&amp;$I112,Map_Stats!$A$2:$A$779,0))),$P112))</f>
        <v/>
      </c>
      <c r="AH112" s="11">
        <f>IF(OR($I112="",AF112=""),"",IF($O112="",AF112,(AE112*AF112+Config!$B$4*$O112)/(AE112+Config!$B$4)))</f>
        <v/>
      </c>
      <c r="AI112" s="8">
        <f>IF(AG112="","",(AE112*AG112+Config!$B$4*$P112)/(AE112+Config!$B$4))</f>
        <v/>
      </c>
      <c r="AJ112" s="15">
        <f>IF(OR(AH112="",$L112=""),"",AH112*$L112*($L112/Config!$B$10)^Config!$B$9)</f>
        <v/>
      </c>
      <c r="AK112" s="15">
        <f>IF(OR(AJ112="",AI112=""),"",AJ112*AI112)</f>
        <v/>
      </c>
      <c r="AL112" s="15">
        <f>N(V112)+N(AC112)</f>
        <v/>
      </c>
      <c r="AM112" s="15">
        <f>AL112+N($M112)*N(AJ112)</f>
        <v/>
      </c>
      <c r="AN112" s="15">
        <f>IF(W112="","",N(W112)+N(AD112))</f>
        <v/>
      </c>
      <c r="AO112" s="15">
        <f>IF(AN112="","",AN112+N($M112)*N(AK112))</f>
        <v/>
      </c>
      <c r="AP112" s="8">
        <f>IFERROR(AN112/AL112,"")</f>
        <v/>
      </c>
      <c r="AQ112">
        <f>TRIM(IF($N112&lt;Config!$B$12,"thin sample ("&amp;$N112&amp;" maps) · ","")&amp;IF(AND($G112&lt;&gt;"",Q112=0),"M1 unplayed→overall KPR · ","")&amp;IF(AND($H112&lt;&gt;"",X112=0),"M2 unplayed→overall KPR · ","")&amp;IF($O112="","no PickFinder stats",""))</f>
        <v/>
      </c>
      <c r="AR112">
        <f>IF($C112=Board!$B$2,COUNTIFS($C$2:$C$124,Board!$B$2,$AL$2:$AL$124,"&gt;"&amp;$AL112)+COUNTIFS($C$1:$C111,Board!$B$2,$AL$1:$AL111,$AL112)+1,"")</f>
        <v/>
      </c>
      <c r="AS112">
        <f>IFERROR(IF($D112=INDEX(Matches!$AD$5:$AD$19,MATCH($C112,Matches!$A$5:$A$19,0)),"A",IF($D112=INDEX(Matches!$AE$5:$AE$19,MATCH($C112,Matches!$A$5:$A$19,0)),"B","")),"")</f>
        <v/>
      </c>
      <c r="AT112" s="8">
        <f>IF($AS112="","",IFERROR(IF($AS112="A",INDEX(Matches!$AI$5:$AI$19,MATCH($C112,Matches!$A$5:$A$19,0)),INDEX(Matches!$AJ$5:$AJ$19,MATCH($C112,Matches!$A$5:$A$19,0))),""))</f>
        <v/>
      </c>
      <c r="AU112" s="8">
        <f>IF($AS112="","",IFERROR(IF(INDEX(Matches!$AP$5:$AP$19,MATCH($C112,Matches!$A$5:$A$19,0))="","",IF($AS112="A",INDEX(Matches!$AP$5:$AP$19,MATCH($C112,Matches!$A$5:$A$19,0)),1-INDEX(Matches!$AP$5:$AP$19,MATCH($C112,Matches!$A$5:$A$19,0)))),""))</f>
        <v/>
      </c>
      <c r="AV112" s="11">
        <f>IF(OR($AU112="",$AT112=""),1,((Config!$B$14*$AU112+Config!$B$15*(1-$AU112))/(Config!$B$14*$AT112+Config!$B$15*(1-$AT112)))^Config!$B$13)</f>
        <v/>
      </c>
      <c r="AW112" s="8">
        <f>IF($AS112="","",IFERROR(IF(INDEX(Matches!$AV$5:$AV$19,MATCH($C112,Matches!$A$5:$A$19,0))="","",IF($AS112="A",INDEX(Matches!$AV$5:$AV$19,MATCH($C112,Matches!$A$5:$A$19,0)),1-INDEX(Matches!$AV$5:$AV$19,MATCH($C112,Matches!$A$5:$A$19,0)))),""))</f>
        <v/>
      </c>
      <c r="AX112" s="11">
        <f>IF(OR($AW112="",$AT112=""),1,((Config!$B$14*$AW112+Config!$B$15*(1-$AW112))/(Config!$B$14*$AT112+Config!$B$15*(1-$AT112)))^Config!$B$13)</f>
        <v/>
      </c>
      <c r="AY112" s="8">
        <f>IF($AS112="","",IFERROR(IF(INDEX(Matches!$BB$5:$BB$19,MATCH($C112,Matches!$A$5:$A$19,0))="","",IF($AS112="A",INDEX(Matches!$BB$5:$BB$19,MATCH($C112,Matches!$A$5:$A$19,0)),1-INDEX(Matches!$BB$5:$BB$19,MATCH($C112,Matches!$A$5:$A$19,0)))),""))</f>
        <v/>
      </c>
      <c r="AZ112" s="11">
        <f>IF(OR($AY112="",$AT112=""),1,((Config!$B$14*$AY112+Config!$B$15*(1-$AY112))/(Config!$B$14*$AT112+Config!$B$15*(1-$AT112)))^Config!$B$13)</f>
        <v/>
      </c>
      <c r="BA112" s="15">
        <f>IF(V112="","",V112*$AV112)</f>
        <v/>
      </c>
      <c r="BB112" s="15">
        <f>IF(AC112="","",AC112*$AX112)</f>
        <v/>
      </c>
      <c r="BC112" s="15">
        <f>IF(AJ112="","",AJ112*$AZ112)</f>
        <v/>
      </c>
      <c r="BD112" s="15">
        <f>N(BA112)+N(BB112)</f>
        <v/>
      </c>
      <c r="BE112" s="15">
        <f>BD112+N($M112)*N(BC112)</f>
        <v/>
      </c>
      <c r="BF112" s="15">
        <f>IF(W112="","",W112*$AV112)</f>
        <v/>
      </c>
      <c r="BG112" s="15">
        <f>IF(AD112="","",AD112*$AX112)</f>
        <v/>
      </c>
      <c r="BH112" s="15">
        <f>IF(AK112="","",AK112*$AZ112)</f>
        <v/>
      </c>
      <c r="BI112" s="15">
        <f>IF(BF112="","",N(BF112)+N(BG112))</f>
        <v/>
      </c>
      <c r="BJ112" s="15">
        <f>IF(BI112="","",BI112+N($M112)*N(BH112))</f>
        <v/>
      </c>
      <c r="BK112" s="11">
        <f>IFERROR(BD112/AL112,1)</f>
        <v/>
      </c>
    </row>
    <row r="113">
      <c r="A113" t="inlineStr">
        <is>
          <t>w4swyv4mqy1ob42|CS2 · VIT vs MGLZ</t>
        </is>
      </c>
      <c r="B113" t="inlineStr">
        <is>
          <t>CS2</t>
        </is>
      </c>
      <c r="C113" t="inlineStr">
        <is>
          <t>CS2 · VIT vs MGLZ</t>
        </is>
      </c>
      <c r="D113" t="inlineStr">
        <is>
          <t>VIT</t>
        </is>
      </c>
      <c r="E113" t="inlineStr">
        <is>
          <t>mezii</t>
        </is>
      </c>
      <c r="F113" t="inlineStr">
        <is>
          <t>w4swyv4mqy1ob42</t>
        </is>
      </c>
      <c r="G113">
        <f>IFERROR(IF(INDEX(Matches!$W$5:$W$19,MATCH($C113,Matches!$A$5:$A$19,0))="","",INDEX(Matches!$W$5:$W$19,MATCH($C113,Matches!$A$5:$A$19,0))),"")</f>
        <v/>
      </c>
      <c r="H113">
        <f>IFERROR(IF(INDEX(Matches!$X$5:$X$19,MATCH($C113,Matches!$A$5:$A$19,0))="","",INDEX(Matches!$X$5:$X$19,MATCH($C113,Matches!$A$5:$A$19,0))),"")</f>
        <v/>
      </c>
      <c r="I113">
        <f>IFERROR(IF(INDEX(Matches!$Y$5:$Y$19,MATCH($C113,Matches!$A$5:$A$19,0))="","",INDEX(Matches!$Y$5:$Y$19,MATCH($C113,Matches!$A$5:$A$19,0))),"")</f>
        <v/>
      </c>
      <c r="J113">
        <f>IFERROR(IF(INDEX(Matches!$Z$5:$Z$19,MATCH($C113,Matches!$A$5:$A$19,0))="","",INDEX(Matches!$Z$5:$Z$19,MATCH($C113,Matches!$A$5:$A$19,0))),"")</f>
        <v/>
      </c>
      <c r="K113">
        <f>IFERROR(IF(INDEX(Matches!$AA$5:$AA$19,MATCH($C113,Matches!$A$5:$A$19,0))="","",INDEX(Matches!$AA$5:$AA$19,MATCH($C113,Matches!$A$5:$A$19,0))),"")</f>
        <v/>
      </c>
      <c r="L113">
        <f>IFERROR(IF(INDEX(Matches!$AB$5:$AB$19,MATCH($C113,Matches!$A$5:$A$19,0))="","",INDEX(Matches!$AB$5:$AB$19,MATCH($C113,Matches!$A$5:$A$19,0))),"")</f>
        <v/>
      </c>
      <c r="M113" s="8">
        <f>IFERROR(IF(INDEX(Matches!$AC$5:$AC$19,MATCH($C113,Matches!$A$5:$A$19,0))="","",INDEX(Matches!$AC$5:$AC$19,MATCH($C113,Matches!$A$5:$A$19,0))),"")</f>
        <v/>
      </c>
      <c r="N113">
        <f>IFERROR(INDEX(Players!$F$2:$F$124,MATCH($F113,Players!$A$2:$A$124,0)),0)</f>
        <v/>
      </c>
      <c r="O113" s="11">
        <f>IFERROR(1/(1/INDEX(Players!$H$2:$H$124,MATCH($F113,Players!$A$2:$A$124,0))),"")</f>
        <v/>
      </c>
      <c r="P113" s="8">
        <f>IFERROR(1/(1/INDEX(Players!$I$2:$I$124,MATCH($F113,Players!$A$2:$A$124,0))),"")</f>
        <v/>
      </c>
      <c r="Q113">
        <f>IF($G113="",0,SUMIFS(Map_Stats!$F$2:$F$779,Map_Stats!$A$2:$A$779,$F113&amp;"|"&amp;$G113))</f>
        <v/>
      </c>
      <c r="R113" s="11">
        <f>IF($G113="","",IFERROR(1/(1/INDEX(Map_Stats!$K$2:$K$779,MATCH($F113&amp;"|"&amp;$G113,Map_Stats!$A$2:$A$779,0))),$O113))</f>
        <v/>
      </c>
      <c r="S113" s="8">
        <f>IF(OR($G113="",$P113=""),"",IFERROR(1/(1/INDEX(Map_Stats!$I$2:$I$779,MATCH($F113&amp;"|"&amp;$G113,Map_Stats!$A$2:$A$779,0))),$P113))</f>
        <v/>
      </c>
      <c r="T113" s="11">
        <f>IF(OR($G113="",R113=""),"",IF($O113="",R113,(Q113*R113+Config!$B$4*$O113)/(Q113+Config!$B$4)))</f>
        <v/>
      </c>
      <c r="U113" s="8">
        <f>IF(S113="","",(Q113*S113+Config!$B$4*$P113)/(Q113+Config!$B$4))</f>
        <v/>
      </c>
      <c r="V113" s="15">
        <f>IF(OR(T113="",$J113=""),"",T113*$J113*($J113/Config!$B$10)^Config!$B$9)</f>
        <v/>
      </c>
      <c r="W113" s="15">
        <f>IF(OR(V113="",U113=""),"",V113*U113)</f>
        <v/>
      </c>
      <c r="X113">
        <f>IF($H113="",0,SUMIFS(Map_Stats!$F$2:$F$779,Map_Stats!$A$2:$A$779,$F113&amp;"|"&amp;$H113))</f>
        <v/>
      </c>
      <c r="Y113" s="11">
        <f>IF($H113="","",IFERROR(1/(1/INDEX(Map_Stats!$K$2:$K$779,MATCH($F113&amp;"|"&amp;$H113,Map_Stats!$A$2:$A$779,0))),$O113))</f>
        <v/>
      </c>
      <c r="Z113" s="8">
        <f>IF(OR($H113="",$P113=""),"",IFERROR(1/(1/INDEX(Map_Stats!$I$2:$I$779,MATCH($F113&amp;"|"&amp;$H113,Map_Stats!$A$2:$A$779,0))),$P113))</f>
        <v/>
      </c>
      <c r="AA113" s="11">
        <f>IF(OR($H113="",Y113=""),"",IF($O113="",Y113,(X113*Y113+Config!$B$4*$O113)/(X113+Config!$B$4)))</f>
        <v/>
      </c>
      <c r="AB113" s="8">
        <f>IF(Z113="","",(X113*Z113+Config!$B$4*$P113)/(X113+Config!$B$4))</f>
        <v/>
      </c>
      <c r="AC113" s="15">
        <f>IF(OR(AA113="",$K113=""),"",AA113*$K113*($K113/Config!$B$10)^Config!$B$9)</f>
        <v/>
      </c>
      <c r="AD113" s="15">
        <f>IF(OR(AC113="",AB113=""),"",AC113*AB113)</f>
        <v/>
      </c>
      <c r="AE113">
        <f>IF($I113="",0,SUMIFS(Map_Stats!$F$2:$F$779,Map_Stats!$A$2:$A$779,$F113&amp;"|"&amp;$I113))</f>
        <v/>
      </c>
      <c r="AF113" s="11">
        <f>IF($I113="","",IFERROR(1/(1/INDEX(Map_Stats!$K$2:$K$779,MATCH($F113&amp;"|"&amp;$I113,Map_Stats!$A$2:$A$779,0))),$O113))</f>
        <v/>
      </c>
      <c r="AG113" s="8">
        <f>IF(OR($I113="",$P113=""),"",IFERROR(1/(1/INDEX(Map_Stats!$I$2:$I$779,MATCH($F113&amp;"|"&amp;$I113,Map_Stats!$A$2:$A$779,0))),$P113))</f>
        <v/>
      </c>
      <c r="AH113" s="11">
        <f>IF(OR($I113="",AF113=""),"",IF($O113="",AF113,(AE113*AF113+Config!$B$4*$O113)/(AE113+Config!$B$4)))</f>
        <v/>
      </c>
      <c r="AI113" s="8">
        <f>IF(AG113="","",(AE113*AG113+Config!$B$4*$P113)/(AE113+Config!$B$4))</f>
        <v/>
      </c>
      <c r="AJ113" s="15">
        <f>IF(OR(AH113="",$L113=""),"",AH113*$L113*($L113/Config!$B$10)^Config!$B$9)</f>
        <v/>
      </c>
      <c r="AK113" s="15">
        <f>IF(OR(AJ113="",AI113=""),"",AJ113*AI113)</f>
        <v/>
      </c>
      <c r="AL113" s="15">
        <f>N(V113)+N(AC113)</f>
        <v/>
      </c>
      <c r="AM113" s="15">
        <f>AL113+N($M113)*N(AJ113)</f>
        <v/>
      </c>
      <c r="AN113" s="15">
        <f>IF(W113="","",N(W113)+N(AD113))</f>
        <v/>
      </c>
      <c r="AO113" s="15">
        <f>IF(AN113="","",AN113+N($M113)*N(AK113))</f>
        <v/>
      </c>
      <c r="AP113" s="8">
        <f>IFERROR(AN113/AL113,"")</f>
        <v/>
      </c>
      <c r="AQ113">
        <f>TRIM(IF($N113&lt;Config!$B$12,"thin sample ("&amp;$N113&amp;" maps) · ","")&amp;IF(AND($G113&lt;&gt;"",Q113=0),"M1 unplayed→overall KPR · ","")&amp;IF(AND($H113&lt;&gt;"",X113=0),"M2 unplayed→overall KPR · ","")&amp;IF($O113="","no PickFinder stats",""))</f>
        <v/>
      </c>
      <c r="AR113">
        <f>IF($C113=Board!$B$2,COUNTIFS($C$2:$C$124,Board!$B$2,$AL$2:$AL$124,"&gt;"&amp;$AL113)+COUNTIFS($C$1:$C112,Board!$B$2,$AL$1:$AL112,$AL113)+1,"")</f>
        <v/>
      </c>
      <c r="AS113">
        <f>IFERROR(IF($D113=INDEX(Matches!$AD$5:$AD$19,MATCH($C113,Matches!$A$5:$A$19,0)),"A",IF($D113=INDEX(Matches!$AE$5:$AE$19,MATCH($C113,Matches!$A$5:$A$19,0)),"B","")),"")</f>
        <v/>
      </c>
      <c r="AT113" s="8">
        <f>IF($AS113="","",IFERROR(IF($AS113="A",INDEX(Matches!$AI$5:$AI$19,MATCH($C113,Matches!$A$5:$A$19,0)),INDEX(Matches!$AJ$5:$AJ$19,MATCH($C113,Matches!$A$5:$A$19,0))),""))</f>
        <v/>
      </c>
      <c r="AU113" s="8">
        <f>IF($AS113="","",IFERROR(IF(INDEX(Matches!$AP$5:$AP$19,MATCH($C113,Matches!$A$5:$A$19,0))="","",IF($AS113="A",INDEX(Matches!$AP$5:$AP$19,MATCH($C113,Matches!$A$5:$A$19,0)),1-INDEX(Matches!$AP$5:$AP$19,MATCH($C113,Matches!$A$5:$A$19,0)))),""))</f>
        <v/>
      </c>
      <c r="AV113" s="11">
        <f>IF(OR($AU113="",$AT113=""),1,((Config!$B$14*$AU113+Config!$B$15*(1-$AU113))/(Config!$B$14*$AT113+Config!$B$15*(1-$AT113)))^Config!$B$13)</f>
        <v/>
      </c>
      <c r="AW113" s="8">
        <f>IF($AS113="","",IFERROR(IF(INDEX(Matches!$AV$5:$AV$19,MATCH($C113,Matches!$A$5:$A$19,0))="","",IF($AS113="A",INDEX(Matches!$AV$5:$AV$19,MATCH($C113,Matches!$A$5:$A$19,0)),1-INDEX(Matches!$AV$5:$AV$19,MATCH($C113,Matches!$A$5:$A$19,0)))),""))</f>
        <v/>
      </c>
      <c r="AX113" s="11">
        <f>IF(OR($AW113="",$AT113=""),1,((Config!$B$14*$AW113+Config!$B$15*(1-$AW113))/(Config!$B$14*$AT113+Config!$B$15*(1-$AT113)))^Config!$B$13)</f>
        <v/>
      </c>
      <c r="AY113" s="8">
        <f>IF($AS113="","",IFERROR(IF(INDEX(Matches!$BB$5:$BB$19,MATCH($C113,Matches!$A$5:$A$19,0))="","",IF($AS113="A",INDEX(Matches!$BB$5:$BB$19,MATCH($C113,Matches!$A$5:$A$19,0)),1-INDEX(Matches!$BB$5:$BB$19,MATCH($C113,Matches!$A$5:$A$19,0)))),""))</f>
        <v/>
      </c>
      <c r="AZ113" s="11">
        <f>IF(OR($AY113="",$AT113=""),1,((Config!$B$14*$AY113+Config!$B$15*(1-$AY113))/(Config!$B$14*$AT113+Config!$B$15*(1-$AT113)))^Config!$B$13)</f>
        <v/>
      </c>
      <c r="BA113" s="15">
        <f>IF(V113="","",V113*$AV113)</f>
        <v/>
      </c>
      <c r="BB113" s="15">
        <f>IF(AC113="","",AC113*$AX113)</f>
        <v/>
      </c>
      <c r="BC113" s="15">
        <f>IF(AJ113="","",AJ113*$AZ113)</f>
        <v/>
      </c>
      <c r="BD113" s="15">
        <f>N(BA113)+N(BB113)</f>
        <v/>
      </c>
      <c r="BE113" s="15">
        <f>BD113+N($M113)*N(BC113)</f>
        <v/>
      </c>
      <c r="BF113" s="15">
        <f>IF(W113="","",W113*$AV113)</f>
        <v/>
      </c>
      <c r="BG113" s="15">
        <f>IF(AD113="","",AD113*$AX113)</f>
        <v/>
      </c>
      <c r="BH113" s="15">
        <f>IF(AK113="","",AK113*$AZ113)</f>
        <v/>
      </c>
      <c r="BI113" s="15">
        <f>IF(BF113="","",N(BF113)+N(BG113))</f>
        <v/>
      </c>
      <c r="BJ113" s="15">
        <f>IF(BI113="","",BI113+N($M113)*N(BH113))</f>
        <v/>
      </c>
      <c r="BK113" s="11">
        <f>IFERROR(BD113/AL113,1)</f>
        <v/>
      </c>
    </row>
    <row r="114">
      <c r="A114" t="inlineStr">
        <is>
          <t>jbs33yc6r5ra8l4|CS2 · VIT vs MGLZ</t>
        </is>
      </c>
      <c r="B114" t="inlineStr">
        <is>
          <t>CS2</t>
        </is>
      </c>
      <c r="C114" t="inlineStr">
        <is>
          <t>CS2 · VIT vs MGLZ</t>
        </is>
      </c>
      <c r="D114" t="inlineStr">
        <is>
          <t>VIT</t>
        </is>
      </c>
      <c r="E114" t="inlineStr">
        <is>
          <t>ropz</t>
        </is>
      </c>
      <c r="F114" t="inlineStr">
        <is>
          <t>jbs33yc6r5ra8l4</t>
        </is>
      </c>
      <c r="G114">
        <f>IFERROR(IF(INDEX(Matches!$W$5:$W$19,MATCH($C114,Matches!$A$5:$A$19,0))="","",INDEX(Matches!$W$5:$W$19,MATCH($C114,Matches!$A$5:$A$19,0))),"")</f>
        <v/>
      </c>
      <c r="H114">
        <f>IFERROR(IF(INDEX(Matches!$X$5:$X$19,MATCH($C114,Matches!$A$5:$A$19,0))="","",INDEX(Matches!$X$5:$X$19,MATCH($C114,Matches!$A$5:$A$19,0))),"")</f>
        <v/>
      </c>
      <c r="I114">
        <f>IFERROR(IF(INDEX(Matches!$Y$5:$Y$19,MATCH($C114,Matches!$A$5:$A$19,0))="","",INDEX(Matches!$Y$5:$Y$19,MATCH($C114,Matches!$A$5:$A$19,0))),"")</f>
        <v/>
      </c>
      <c r="J114">
        <f>IFERROR(IF(INDEX(Matches!$Z$5:$Z$19,MATCH($C114,Matches!$A$5:$A$19,0))="","",INDEX(Matches!$Z$5:$Z$19,MATCH($C114,Matches!$A$5:$A$19,0))),"")</f>
        <v/>
      </c>
      <c r="K114">
        <f>IFERROR(IF(INDEX(Matches!$AA$5:$AA$19,MATCH($C114,Matches!$A$5:$A$19,0))="","",INDEX(Matches!$AA$5:$AA$19,MATCH($C114,Matches!$A$5:$A$19,0))),"")</f>
        <v/>
      </c>
      <c r="L114">
        <f>IFERROR(IF(INDEX(Matches!$AB$5:$AB$19,MATCH($C114,Matches!$A$5:$A$19,0))="","",INDEX(Matches!$AB$5:$AB$19,MATCH($C114,Matches!$A$5:$A$19,0))),"")</f>
        <v/>
      </c>
      <c r="M114" s="8">
        <f>IFERROR(IF(INDEX(Matches!$AC$5:$AC$19,MATCH($C114,Matches!$A$5:$A$19,0))="","",INDEX(Matches!$AC$5:$AC$19,MATCH($C114,Matches!$A$5:$A$19,0))),"")</f>
        <v/>
      </c>
      <c r="N114">
        <f>IFERROR(INDEX(Players!$F$2:$F$124,MATCH($F114,Players!$A$2:$A$124,0)),0)</f>
        <v/>
      </c>
      <c r="O114" s="11">
        <f>IFERROR(1/(1/INDEX(Players!$H$2:$H$124,MATCH($F114,Players!$A$2:$A$124,0))),"")</f>
        <v/>
      </c>
      <c r="P114" s="8">
        <f>IFERROR(1/(1/INDEX(Players!$I$2:$I$124,MATCH($F114,Players!$A$2:$A$124,0))),"")</f>
        <v/>
      </c>
      <c r="Q114">
        <f>IF($G114="",0,SUMIFS(Map_Stats!$F$2:$F$779,Map_Stats!$A$2:$A$779,$F114&amp;"|"&amp;$G114))</f>
        <v/>
      </c>
      <c r="R114" s="11">
        <f>IF($G114="","",IFERROR(1/(1/INDEX(Map_Stats!$K$2:$K$779,MATCH($F114&amp;"|"&amp;$G114,Map_Stats!$A$2:$A$779,0))),$O114))</f>
        <v/>
      </c>
      <c r="S114" s="8">
        <f>IF(OR($G114="",$P114=""),"",IFERROR(1/(1/INDEX(Map_Stats!$I$2:$I$779,MATCH($F114&amp;"|"&amp;$G114,Map_Stats!$A$2:$A$779,0))),$P114))</f>
        <v/>
      </c>
      <c r="T114" s="11">
        <f>IF(OR($G114="",R114=""),"",IF($O114="",R114,(Q114*R114+Config!$B$4*$O114)/(Q114+Config!$B$4)))</f>
        <v/>
      </c>
      <c r="U114" s="8">
        <f>IF(S114="","",(Q114*S114+Config!$B$4*$P114)/(Q114+Config!$B$4))</f>
        <v/>
      </c>
      <c r="V114" s="15">
        <f>IF(OR(T114="",$J114=""),"",T114*$J114*($J114/Config!$B$10)^Config!$B$9)</f>
        <v/>
      </c>
      <c r="W114" s="15">
        <f>IF(OR(V114="",U114=""),"",V114*U114)</f>
        <v/>
      </c>
      <c r="X114">
        <f>IF($H114="",0,SUMIFS(Map_Stats!$F$2:$F$779,Map_Stats!$A$2:$A$779,$F114&amp;"|"&amp;$H114))</f>
        <v/>
      </c>
      <c r="Y114" s="11">
        <f>IF($H114="","",IFERROR(1/(1/INDEX(Map_Stats!$K$2:$K$779,MATCH($F114&amp;"|"&amp;$H114,Map_Stats!$A$2:$A$779,0))),$O114))</f>
        <v/>
      </c>
      <c r="Z114" s="8">
        <f>IF(OR($H114="",$P114=""),"",IFERROR(1/(1/INDEX(Map_Stats!$I$2:$I$779,MATCH($F114&amp;"|"&amp;$H114,Map_Stats!$A$2:$A$779,0))),$P114))</f>
        <v/>
      </c>
      <c r="AA114" s="11">
        <f>IF(OR($H114="",Y114=""),"",IF($O114="",Y114,(X114*Y114+Config!$B$4*$O114)/(X114+Config!$B$4)))</f>
        <v/>
      </c>
      <c r="AB114" s="8">
        <f>IF(Z114="","",(X114*Z114+Config!$B$4*$P114)/(X114+Config!$B$4))</f>
        <v/>
      </c>
      <c r="AC114" s="15">
        <f>IF(OR(AA114="",$K114=""),"",AA114*$K114*($K114/Config!$B$10)^Config!$B$9)</f>
        <v/>
      </c>
      <c r="AD114" s="15">
        <f>IF(OR(AC114="",AB114=""),"",AC114*AB114)</f>
        <v/>
      </c>
      <c r="AE114">
        <f>IF($I114="",0,SUMIFS(Map_Stats!$F$2:$F$779,Map_Stats!$A$2:$A$779,$F114&amp;"|"&amp;$I114))</f>
        <v/>
      </c>
      <c r="AF114" s="11">
        <f>IF($I114="","",IFERROR(1/(1/INDEX(Map_Stats!$K$2:$K$779,MATCH($F114&amp;"|"&amp;$I114,Map_Stats!$A$2:$A$779,0))),$O114))</f>
        <v/>
      </c>
      <c r="AG114" s="8">
        <f>IF(OR($I114="",$P114=""),"",IFERROR(1/(1/INDEX(Map_Stats!$I$2:$I$779,MATCH($F114&amp;"|"&amp;$I114,Map_Stats!$A$2:$A$779,0))),$P114))</f>
        <v/>
      </c>
      <c r="AH114" s="11">
        <f>IF(OR($I114="",AF114=""),"",IF($O114="",AF114,(AE114*AF114+Config!$B$4*$O114)/(AE114+Config!$B$4)))</f>
        <v/>
      </c>
      <c r="AI114" s="8">
        <f>IF(AG114="","",(AE114*AG114+Config!$B$4*$P114)/(AE114+Config!$B$4))</f>
        <v/>
      </c>
      <c r="AJ114" s="15">
        <f>IF(OR(AH114="",$L114=""),"",AH114*$L114*($L114/Config!$B$10)^Config!$B$9)</f>
        <v/>
      </c>
      <c r="AK114" s="15">
        <f>IF(OR(AJ114="",AI114=""),"",AJ114*AI114)</f>
        <v/>
      </c>
      <c r="AL114" s="15">
        <f>N(V114)+N(AC114)</f>
        <v/>
      </c>
      <c r="AM114" s="15">
        <f>AL114+N($M114)*N(AJ114)</f>
        <v/>
      </c>
      <c r="AN114" s="15">
        <f>IF(W114="","",N(W114)+N(AD114))</f>
        <v/>
      </c>
      <c r="AO114" s="15">
        <f>IF(AN114="","",AN114+N($M114)*N(AK114))</f>
        <v/>
      </c>
      <c r="AP114" s="8">
        <f>IFERROR(AN114/AL114,"")</f>
        <v/>
      </c>
      <c r="AQ114">
        <f>TRIM(IF($N114&lt;Config!$B$12,"thin sample ("&amp;$N114&amp;" maps) · ","")&amp;IF(AND($G114&lt;&gt;"",Q114=0),"M1 unplayed→overall KPR · ","")&amp;IF(AND($H114&lt;&gt;"",X114=0),"M2 unplayed→overall KPR · ","")&amp;IF($O114="","no PickFinder stats",""))</f>
        <v/>
      </c>
      <c r="AR114">
        <f>IF($C114=Board!$B$2,COUNTIFS($C$2:$C$124,Board!$B$2,$AL$2:$AL$124,"&gt;"&amp;$AL114)+COUNTIFS($C$1:$C113,Board!$B$2,$AL$1:$AL113,$AL114)+1,"")</f>
        <v/>
      </c>
      <c r="AS114">
        <f>IFERROR(IF($D114=INDEX(Matches!$AD$5:$AD$19,MATCH($C114,Matches!$A$5:$A$19,0)),"A",IF($D114=INDEX(Matches!$AE$5:$AE$19,MATCH($C114,Matches!$A$5:$A$19,0)),"B","")),"")</f>
        <v/>
      </c>
      <c r="AT114" s="8">
        <f>IF($AS114="","",IFERROR(IF($AS114="A",INDEX(Matches!$AI$5:$AI$19,MATCH($C114,Matches!$A$5:$A$19,0)),INDEX(Matches!$AJ$5:$AJ$19,MATCH($C114,Matches!$A$5:$A$19,0))),""))</f>
        <v/>
      </c>
      <c r="AU114" s="8">
        <f>IF($AS114="","",IFERROR(IF(INDEX(Matches!$AP$5:$AP$19,MATCH($C114,Matches!$A$5:$A$19,0))="","",IF($AS114="A",INDEX(Matches!$AP$5:$AP$19,MATCH($C114,Matches!$A$5:$A$19,0)),1-INDEX(Matches!$AP$5:$AP$19,MATCH($C114,Matches!$A$5:$A$19,0)))),""))</f>
        <v/>
      </c>
      <c r="AV114" s="11">
        <f>IF(OR($AU114="",$AT114=""),1,((Config!$B$14*$AU114+Config!$B$15*(1-$AU114))/(Config!$B$14*$AT114+Config!$B$15*(1-$AT114)))^Config!$B$13)</f>
        <v/>
      </c>
      <c r="AW114" s="8">
        <f>IF($AS114="","",IFERROR(IF(INDEX(Matches!$AV$5:$AV$19,MATCH($C114,Matches!$A$5:$A$19,0))="","",IF($AS114="A",INDEX(Matches!$AV$5:$AV$19,MATCH($C114,Matches!$A$5:$A$19,0)),1-INDEX(Matches!$AV$5:$AV$19,MATCH($C114,Matches!$A$5:$A$19,0)))),""))</f>
        <v/>
      </c>
      <c r="AX114" s="11">
        <f>IF(OR($AW114="",$AT114=""),1,((Config!$B$14*$AW114+Config!$B$15*(1-$AW114))/(Config!$B$14*$AT114+Config!$B$15*(1-$AT114)))^Config!$B$13)</f>
        <v/>
      </c>
      <c r="AY114" s="8">
        <f>IF($AS114="","",IFERROR(IF(INDEX(Matches!$BB$5:$BB$19,MATCH($C114,Matches!$A$5:$A$19,0))="","",IF($AS114="A",INDEX(Matches!$BB$5:$BB$19,MATCH($C114,Matches!$A$5:$A$19,0)),1-INDEX(Matches!$BB$5:$BB$19,MATCH($C114,Matches!$A$5:$A$19,0)))),""))</f>
        <v/>
      </c>
      <c r="AZ114" s="11">
        <f>IF(OR($AY114="",$AT114=""),1,((Config!$B$14*$AY114+Config!$B$15*(1-$AY114))/(Config!$B$14*$AT114+Config!$B$15*(1-$AT114)))^Config!$B$13)</f>
        <v/>
      </c>
      <c r="BA114" s="15">
        <f>IF(V114="","",V114*$AV114)</f>
        <v/>
      </c>
      <c r="BB114" s="15">
        <f>IF(AC114="","",AC114*$AX114)</f>
        <v/>
      </c>
      <c r="BC114" s="15">
        <f>IF(AJ114="","",AJ114*$AZ114)</f>
        <v/>
      </c>
      <c r="BD114" s="15">
        <f>N(BA114)+N(BB114)</f>
        <v/>
      </c>
      <c r="BE114" s="15">
        <f>BD114+N($M114)*N(BC114)</f>
        <v/>
      </c>
      <c r="BF114" s="15">
        <f>IF(W114="","",W114*$AV114)</f>
        <v/>
      </c>
      <c r="BG114" s="15">
        <f>IF(AD114="","",AD114*$AX114)</f>
        <v/>
      </c>
      <c r="BH114" s="15">
        <f>IF(AK114="","",AK114*$AZ114)</f>
        <v/>
      </c>
      <c r="BI114" s="15">
        <f>IF(BF114="","",N(BF114)+N(BG114))</f>
        <v/>
      </c>
      <c r="BJ114" s="15">
        <f>IF(BI114="","",BI114+N($M114)*N(BH114))</f>
        <v/>
      </c>
      <c r="BK114" s="11">
        <f>IFERROR(BD114/AL114,1)</f>
        <v/>
      </c>
    </row>
    <row r="115">
      <c r="A115" t="inlineStr">
        <is>
          <t>6vanqemhsqez4mc|CS2 · VIT vs MGLZ</t>
        </is>
      </c>
      <c r="B115" t="inlineStr">
        <is>
          <t>CS2</t>
        </is>
      </c>
      <c r="C115" t="inlineStr">
        <is>
          <t>CS2 · VIT vs MGLZ</t>
        </is>
      </c>
      <c r="D115" t="inlineStr">
        <is>
          <t>VIT</t>
        </is>
      </c>
      <c r="E115" t="inlineStr">
        <is>
          <t>ZywOo</t>
        </is>
      </c>
      <c r="F115" t="inlineStr">
        <is>
          <t>6vanqemhsqez4mc</t>
        </is>
      </c>
      <c r="G115">
        <f>IFERROR(IF(INDEX(Matches!$W$5:$W$19,MATCH($C115,Matches!$A$5:$A$19,0))="","",INDEX(Matches!$W$5:$W$19,MATCH($C115,Matches!$A$5:$A$19,0))),"")</f>
        <v/>
      </c>
      <c r="H115">
        <f>IFERROR(IF(INDEX(Matches!$X$5:$X$19,MATCH($C115,Matches!$A$5:$A$19,0))="","",INDEX(Matches!$X$5:$X$19,MATCH($C115,Matches!$A$5:$A$19,0))),"")</f>
        <v/>
      </c>
      <c r="I115">
        <f>IFERROR(IF(INDEX(Matches!$Y$5:$Y$19,MATCH($C115,Matches!$A$5:$A$19,0))="","",INDEX(Matches!$Y$5:$Y$19,MATCH($C115,Matches!$A$5:$A$19,0))),"")</f>
        <v/>
      </c>
      <c r="J115">
        <f>IFERROR(IF(INDEX(Matches!$Z$5:$Z$19,MATCH($C115,Matches!$A$5:$A$19,0))="","",INDEX(Matches!$Z$5:$Z$19,MATCH($C115,Matches!$A$5:$A$19,0))),"")</f>
        <v/>
      </c>
      <c r="K115">
        <f>IFERROR(IF(INDEX(Matches!$AA$5:$AA$19,MATCH($C115,Matches!$A$5:$A$19,0))="","",INDEX(Matches!$AA$5:$AA$19,MATCH($C115,Matches!$A$5:$A$19,0))),"")</f>
        <v/>
      </c>
      <c r="L115">
        <f>IFERROR(IF(INDEX(Matches!$AB$5:$AB$19,MATCH($C115,Matches!$A$5:$A$19,0))="","",INDEX(Matches!$AB$5:$AB$19,MATCH($C115,Matches!$A$5:$A$19,0))),"")</f>
        <v/>
      </c>
      <c r="M115" s="8">
        <f>IFERROR(IF(INDEX(Matches!$AC$5:$AC$19,MATCH($C115,Matches!$A$5:$A$19,0))="","",INDEX(Matches!$AC$5:$AC$19,MATCH($C115,Matches!$A$5:$A$19,0))),"")</f>
        <v/>
      </c>
      <c r="N115">
        <f>IFERROR(INDEX(Players!$F$2:$F$124,MATCH($F115,Players!$A$2:$A$124,0)),0)</f>
        <v/>
      </c>
      <c r="O115" s="11">
        <f>IFERROR(1/(1/INDEX(Players!$H$2:$H$124,MATCH($F115,Players!$A$2:$A$124,0))),"")</f>
        <v/>
      </c>
      <c r="P115" s="8">
        <f>IFERROR(1/(1/INDEX(Players!$I$2:$I$124,MATCH($F115,Players!$A$2:$A$124,0))),"")</f>
        <v/>
      </c>
      <c r="Q115">
        <f>IF($G115="",0,SUMIFS(Map_Stats!$F$2:$F$779,Map_Stats!$A$2:$A$779,$F115&amp;"|"&amp;$G115))</f>
        <v/>
      </c>
      <c r="R115" s="11">
        <f>IF($G115="","",IFERROR(1/(1/INDEX(Map_Stats!$K$2:$K$779,MATCH($F115&amp;"|"&amp;$G115,Map_Stats!$A$2:$A$779,0))),$O115))</f>
        <v/>
      </c>
      <c r="S115" s="8">
        <f>IF(OR($G115="",$P115=""),"",IFERROR(1/(1/INDEX(Map_Stats!$I$2:$I$779,MATCH($F115&amp;"|"&amp;$G115,Map_Stats!$A$2:$A$779,0))),$P115))</f>
        <v/>
      </c>
      <c r="T115" s="11">
        <f>IF(OR($G115="",R115=""),"",IF($O115="",R115,(Q115*R115+Config!$B$4*$O115)/(Q115+Config!$B$4)))</f>
        <v/>
      </c>
      <c r="U115" s="8">
        <f>IF(S115="","",(Q115*S115+Config!$B$4*$P115)/(Q115+Config!$B$4))</f>
        <v/>
      </c>
      <c r="V115" s="15">
        <f>IF(OR(T115="",$J115=""),"",T115*$J115*($J115/Config!$B$10)^Config!$B$9)</f>
        <v/>
      </c>
      <c r="W115" s="15">
        <f>IF(OR(V115="",U115=""),"",V115*U115)</f>
        <v/>
      </c>
      <c r="X115">
        <f>IF($H115="",0,SUMIFS(Map_Stats!$F$2:$F$779,Map_Stats!$A$2:$A$779,$F115&amp;"|"&amp;$H115))</f>
        <v/>
      </c>
      <c r="Y115" s="11">
        <f>IF($H115="","",IFERROR(1/(1/INDEX(Map_Stats!$K$2:$K$779,MATCH($F115&amp;"|"&amp;$H115,Map_Stats!$A$2:$A$779,0))),$O115))</f>
        <v/>
      </c>
      <c r="Z115" s="8">
        <f>IF(OR($H115="",$P115=""),"",IFERROR(1/(1/INDEX(Map_Stats!$I$2:$I$779,MATCH($F115&amp;"|"&amp;$H115,Map_Stats!$A$2:$A$779,0))),$P115))</f>
        <v/>
      </c>
      <c r="AA115" s="11">
        <f>IF(OR($H115="",Y115=""),"",IF($O115="",Y115,(X115*Y115+Config!$B$4*$O115)/(X115+Config!$B$4)))</f>
        <v/>
      </c>
      <c r="AB115" s="8">
        <f>IF(Z115="","",(X115*Z115+Config!$B$4*$P115)/(X115+Config!$B$4))</f>
        <v/>
      </c>
      <c r="AC115" s="15">
        <f>IF(OR(AA115="",$K115=""),"",AA115*$K115*($K115/Config!$B$10)^Config!$B$9)</f>
        <v/>
      </c>
      <c r="AD115" s="15">
        <f>IF(OR(AC115="",AB115=""),"",AC115*AB115)</f>
        <v/>
      </c>
      <c r="AE115">
        <f>IF($I115="",0,SUMIFS(Map_Stats!$F$2:$F$779,Map_Stats!$A$2:$A$779,$F115&amp;"|"&amp;$I115))</f>
        <v/>
      </c>
      <c r="AF115" s="11">
        <f>IF($I115="","",IFERROR(1/(1/INDEX(Map_Stats!$K$2:$K$779,MATCH($F115&amp;"|"&amp;$I115,Map_Stats!$A$2:$A$779,0))),$O115))</f>
        <v/>
      </c>
      <c r="AG115" s="8">
        <f>IF(OR($I115="",$P115=""),"",IFERROR(1/(1/INDEX(Map_Stats!$I$2:$I$779,MATCH($F115&amp;"|"&amp;$I115,Map_Stats!$A$2:$A$779,0))),$P115))</f>
        <v/>
      </c>
      <c r="AH115" s="11">
        <f>IF(OR($I115="",AF115=""),"",IF($O115="",AF115,(AE115*AF115+Config!$B$4*$O115)/(AE115+Config!$B$4)))</f>
        <v/>
      </c>
      <c r="AI115" s="8">
        <f>IF(AG115="","",(AE115*AG115+Config!$B$4*$P115)/(AE115+Config!$B$4))</f>
        <v/>
      </c>
      <c r="AJ115" s="15">
        <f>IF(OR(AH115="",$L115=""),"",AH115*$L115*($L115/Config!$B$10)^Config!$B$9)</f>
        <v/>
      </c>
      <c r="AK115" s="15">
        <f>IF(OR(AJ115="",AI115=""),"",AJ115*AI115)</f>
        <v/>
      </c>
      <c r="AL115" s="15">
        <f>N(V115)+N(AC115)</f>
        <v/>
      </c>
      <c r="AM115" s="15">
        <f>AL115+N($M115)*N(AJ115)</f>
        <v/>
      </c>
      <c r="AN115" s="15">
        <f>IF(W115="","",N(W115)+N(AD115))</f>
        <v/>
      </c>
      <c r="AO115" s="15">
        <f>IF(AN115="","",AN115+N($M115)*N(AK115))</f>
        <v/>
      </c>
      <c r="AP115" s="8">
        <f>IFERROR(AN115/AL115,"")</f>
        <v/>
      </c>
      <c r="AQ115">
        <f>TRIM(IF($N115&lt;Config!$B$12,"thin sample ("&amp;$N115&amp;" maps) · ","")&amp;IF(AND($G115&lt;&gt;"",Q115=0),"M1 unplayed→overall KPR · ","")&amp;IF(AND($H115&lt;&gt;"",X115=0),"M2 unplayed→overall KPR · ","")&amp;IF($O115="","no PickFinder stats",""))</f>
        <v/>
      </c>
      <c r="AR115">
        <f>IF($C115=Board!$B$2,COUNTIFS($C$2:$C$124,Board!$B$2,$AL$2:$AL$124,"&gt;"&amp;$AL115)+COUNTIFS($C$1:$C114,Board!$B$2,$AL$1:$AL114,$AL115)+1,"")</f>
        <v/>
      </c>
      <c r="AS115">
        <f>IFERROR(IF($D115=INDEX(Matches!$AD$5:$AD$19,MATCH($C115,Matches!$A$5:$A$19,0)),"A",IF($D115=INDEX(Matches!$AE$5:$AE$19,MATCH($C115,Matches!$A$5:$A$19,0)),"B","")),"")</f>
        <v/>
      </c>
      <c r="AT115" s="8">
        <f>IF($AS115="","",IFERROR(IF($AS115="A",INDEX(Matches!$AI$5:$AI$19,MATCH($C115,Matches!$A$5:$A$19,0)),INDEX(Matches!$AJ$5:$AJ$19,MATCH($C115,Matches!$A$5:$A$19,0))),""))</f>
        <v/>
      </c>
      <c r="AU115" s="8">
        <f>IF($AS115="","",IFERROR(IF(INDEX(Matches!$AP$5:$AP$19,MATCH($C115,Matches!$A$5:$A$19,0))="","",IF($AS115="A",INDEX(Matches!$AP$5:$AP$19,MATCH($C115,Matches!$A$5:$A$19,0)),1-INDEX(Matches!$AP$5:$AP$19,MATCH($C115,Matches!$A$5:$A$19,0)))),""))</f>
        <v/>
      </c>
      <c r="AV115" s="11">
        <f>IF(OR($AU115="",$AT115=""),1,((Config!$B$14*$AU115+Config!$B$15*(1-$AU115))/(Config!$B$14*$AT115+Config!$B$15*(1-$AT115)))^Config!$B$13)</f>
        <v/>
      </c>
      <c r="AW115" s="8">
        <f>IF($AS115="","",IFERROR(IF(INDEX(Matches!$AV$5:$AV$19,MATCH($C115,Matches!$A$5:$A$19,0))="","",IF($AS115="A",INDEX(Matches!$AV$5:$AV$19,MATCH($C115,Matches!$A$5:$A$19,0)),1-INDEX(Matches!$AV$5:$AV$19,MATCH($C115,Matches!$A$5:$A$19,0)))),""))</f>
        <v/>
      </c>
      <c r="AX115" s="11">
        <f>IF(OR($AW115="",$AT115=""),1,((Config!$B$14*$AW115+Config!$B$15*(1-$AW115))/(Config!$B$14*$AT115+Config!$B$15*(1-$AT115)))^Config!$B$13)</f>
        <v/>
      </c>
      <c r="AY115" s="8">
        <f>IF($AS115="","",IFERROR(IF(INDEX(Matches!$BB$5:$BB$19,MATCH($C115,Matches!$A$5:$A$19,0))="","",IF($AS115="A",INDEX(Matches!$BB$5:$BB$19,MATCH($C115,Matches!$A$5:$A$19,0)),1-INDEX(Matches!$BB$5:$BB$19,MATCH($C115,Matches!$A$5:$A$19,0)))),""))</f>
        <v/>
      </c>
      <c r="AZ115" s="11">
        <f>IF(OR($AY115="",$AT115=""),1,((Config!$B$14*$AY115+Config!$B$15*(1-$AY115))/(Config!$B$14*$AT115+Config!$B$15*(1-$AT115)))^Config!$B$13)</f>
        <v/>
      </c>
      <c r="BA115" s="15">
        <f>IF(V115="","",V115*$AV115)</f>
        <v/>
      </c>
      <c r="BB115" s="15">
        <f>IF(AC115="","",AC115*$AX115)</f>
        <v/>
      </c>
      <c r="BC115" s="15">
        <f>IF(AJ115="","",AJ115*$AZ115)</f>
        <v/>
      </c>
      <c r="BD115" s="15">
        <f>N(BA115)+N(BB115)</f>
        <v/>
      </c>
      <c r="BE115" s="15">
        <f>BD115+N($M115)*N(BC115)</f>
        <v/>
      </c>
      <c r="BF115" s="15">
        <f>IF(W115="","",W115*$AV115)</f>
        <v/>
      </c>
      <c r="BG115" s="15">
        <f>IF(AD115="","",AD115*$AX115)</f>
        <v/>
      </c>
      <c r="BH115" s="15">
        <f>IF(AK115="","",AK115*$AZ115)</f>
        <v/>
      </c>
      <c r="BI115" s="15">
        <f>IF(BF115="","",N(BF115)+N(BG115))</f>
        <v/>
      </c>
      <c r="BJ115" s="15">
        <f>IF(BI115="","",BI115+N($M115)*N(BH115))</f>
        <v/>
      </c>
      <c r="BK115" s="11">
        <f>IFERROR(BD115/AL115,1)</f>
        <v/>
      </c>
    </row>
    <row r="116">
      <c r="A116" t="inlineStr">
        <is>
          <t>x1hr6fp37qryd4d|CS2 · paiN vs BST</t>
        </is>
      </c>
      <c r="B116" t="inlineStr">
        <is>
          <t>CS2</t>
        </is>
      </c>
      <c r="C116" t="inlineStr">
        <is>
          <t>CS2 · paiN vs BST</t>
        </is>
      </c>
      <c r="D116" t="inlineStr">
        <is>
          <t>BST</t>
        </is>
      </c>
      <c r="E116" t="inlineStr">
        <is>
          <t>Buda</t>
        </is>
      </c>
      <c r="F116" t="inlineStr">
        <is>
          <t>x1hr6fp37qryd4d</t>
        </is>
      </c>
      <c r="G116">
        <f>IFERROR(IF(INDEX(Matches!$W$5:$W$19,MATCH($C116,Matches!$A$5:$A$19,0))="","",INDEX(Matches!$W$5:$W$19,MATCH($C116,Matches!$A$5:$A$19,0))),"")</f>
        <v/>
      </c>
      <c r="H116">
        <f>IFERROR(IF(INDEX(Matches!$X$5:$X$19,MATCH($C116,Matches!$A$5:$A$19,0))="","",INDEX(Matches!$X$5:$X$19,MATCH($C116,Matches!$A$5:$A$19,0))),"")</f>
        <v/>
      </c>
      <c r="I116">
        <f>IFERROR(IF(INDEX(Matches!$Y$5:$Y$19,MATCH($C116,Matches!$A$5:$A$19,0))="","",INDEX(Matches!$Y$5:$Y$19,MATCH($C116,Matches!$A$5:$A$19,0))),"")</f>
        <v/>
      </c>
      <c r="J116">
        <f>IFERROR(IF(INDEX(Matches!$Z$5:$Z$19,MATCH($C116,Matches!$A$5:$A$19,0))="","",INDEX(Matches!$Z$5:$Z$19,MATCH($C116,Matches!$A$5:$A$19,0))),"")</f>
        <v/>
      </c>
      <c r="K116">
        <f>IFERROR(IF(INDEX(Matches!$AA$5:$AA$19,MATCH($C116,Matches!$A$5:$A$19,0))="","",INDEX(Matches!$AA$5:$AA$19,MATCH($C116,Matches!$A$5:$A$19,0))),"")</f>
        <v/>
      </c>
      <c r="L116">
        <f>IFERROR(IF(INDEX(Matches!$AB$5:$AB$19,MATCH($C116,Matches!$A$5:$A$19,0))="","",INDEX(Matches!$AB$5:$AB$19,MATCH($C116,Matches!$A$5:$A$19,0))),"")</f>
        <v/>
      </c>
      <c r="M116" s="8">
        <f>IFERROR(IF(INDEX(Matches!$AC$5:$AC$19,MATCH($C116,Matches!$A$5:$A$19,0))="","",INDEX(Matches!$AC$5:$AC$19,MATCH($C116,Matches!$A$5:$A$19,0))),"")</f>
        <v/>
      </c>
      <c r="N116">
        <f>IFERROR(INDEX(Players!$F$2:$F$124,MATCH($F116,Players!$A$2:$A$124,0)),0)</f>
        <v/>
      </c>
      <c r="O116" s="11">
        <f>IFERROR(1/(1/INDEX(Players!$H$2:$H$124,MATCH($F116,Players!$A$2:$A$124,0))),"")</f>
        <v/>
      </c>
      <c r="P116" s="8">
        <f>IFERROR(1/(1/INDEX(Players!$I$2:$I$124,MATCH($F116,Players!$A$2:$A$124,0))),"")</f>
        <v/>
      </c>
      <c r="Q116">
        <f>IF($G116="",0,SUMIFS(Map_Stats!$F$2:$F$779,Map_Stats!$A$2:$A$779,$F116&amp;"|"&amp;$G116))</f>
        <v/>
      </c>
      <c r="R116" s="11">
        <f>IF($G116="","",IFERROR(1/(1/INDEX(Map_Stats!$K$2:$K$779,MATCH($F116&amp;"|"&amp;$G116,Map_Stats!$A$2:$A$779,0))),$O116))</f>
        <v/>
      </c>
      <c r="S116" s="8">
        <f>IF(OR($G116="",$P116=""),"",IFERROR(1/(1/INDEX(Map_Stats!$I$2:$I$779,MATCH($F116&amp;"|"&amp;$G116,Map_Stats!$A$2:$A$779,0))),$P116))</f>
        <v/>
      </c>
      <c r="T116" s="11">
        <f>IF(OR($G116="",R116=""),"",IF($O116="",R116,(Q116*R116+Config!$B$4*$O116)/(Q116+Config!$B$4)))</f>
        <v/>
      </c>
      <c r="U116" s="8">
        <f>IF(S116="","",(Q116*S116+Config!$B$4*$P116)/(Q116+Config!$B$4))</f>
        <v/>
      </c>
      <c r="V116" s="15">
        <f>IF(OR(T116="",$J116=""),"",T116*$J116*($J116/Config!$B$10)^Config!$B$9)</f>
        <v/>
      </c>
      <c r="W116" s="15">
        <f>IF(OR(V116="",U116=""),"",V116*U116)</f>
        <v/>
      </c>
      <c r="X116">
        <f>IF($H116="",0,SUMIFS(Map_Stats!$F$2:$F$779,Map_Stats!$A$2:$A$779,$F116&amp;"|"&amp;$H116))</f>
        <v/>
      </c>
      <c r="Y116" s="11">
        <f>IF($H116="","",IFERROR(1/(1/INDEX(Map_Stats!$K$2:$K$779,MATCH($F116&amp;"|"&amp;$H116,Map_Stats!$A$2:$A$779,0))),$O116))</f>
        <v/>
      </c>
      <c r="Z116" s="8">
        <f>IF(OR($H116="",$P116=""),"",IFERROR(1/(1/INDEX(Map_Stats!$I$2:$I$779,MATCH($F116&amp;"|"&amp;$H116,Map_Stats!$A$2:$A$779,0))),$P116))</f>
        <v/>
      </c>
      <c r="AA116" s="11">
        <f>IF(OR($H116="",Y116=""),"",IF($O116="",Y116,(X116*Y116+Config!$B$4*$O116)/(X116+Config!$B$4)))</f>
        <v/>
      </c>
      <c r="AB116" s="8">
        <f>IF(Z116="","",(X116*Z116+Config!$B$4*$P116)/(X116+Config!$B$4))</f>
        <v/>
      </c>
      <c r="AC116" s="15">
        <f>IF(OR(AA116="",$K116=""),"",AA116*$K116*($K116/Config!$B$10)^Config!$B$9)</f>
        <v/>
      </c>
      <c r="AD116" s="15">
        <f>IF(OR(AC116="",AB116=""),"",AC116*AB116)</f>
        <v/>
      </c>
      <c r="AE116">
        <f>IF($I116="",0,SUMIFS(Map_Stats!$F$2:$F$779,Map_Stats!$A$2:$A$779,$F116&amp;"|"&amp;$I116))</f>
        <v/>
      </c>
      <c r="AF116" s="11">
        <f>IF($I116="","",IFERROR(1/(1/INDEX(Map_Stats!$K$2:$K$779,MATCH($F116&amp;"|"&amp;$I116,Map_Stats!$A$2:$A$779,0))),$O116))</f>
        <v/>
      </c>
      <c r="AG116" s="8">
        <f>IF(OR($I116="",$P116=""),"",IFERROR(1/(1/INDEX(Map_Stats!$I$2:$I$779,MATCH($F116&amp;"|"&amp;$I116,Map_Stats!$A$2:$A$779,0))),$P116))</f>
        <v/>
      </c>
      <c r="AH116" s="11">
        <f>IF(OR($I116="",AF116=""),"",IF($O116="",AF116,(AE116*AF116+Config!$B$4*$O116)/(AE116+Config!$B$4)))</f>
        <v/>
      </c>
      <c r="AI116" s="8">
        <f>IF(AG116="","",(AE116*AG116+Config!$B$4*$P116)/(AE116+Config!$B$4))</f>
        <v/>
      </c>
      <c r="AJ116" s="15">
        <f>IF(OR(AH116="",$L116=""),"",AH116*$L116*($L116/Config!$B$10)^Config!$B$9)</f>
        <v/>
      </c>
      <c r="AK116" s="15">
        <f>IF(OR(AJ116="",AI116=""),"",AJ116*AI116)</f>
        <v/>
      </c>
      <c r="AL116" s="15">
        <f>N(V116)+N(AC116)</f>
        <v/>
      </c>
      <c r="AM116" s="15">
        <f>AL116+N($M116)*N(AJ116)</f>
        <v/>
      </c>
      <c r="AN116" s="15">
        <f>IF(W116="","",N(W116)+N(AD116))</f>
        <v/>
      </c>
      <c r="AO116" s="15">
        <f>IF(AN116="","",AN116+N($M116)*N(AK116))</f>
        <v/>
      </c>
      <c r="AP116" s="8">
        <f>IFERROR(AN116/AL116,"")</f>
        <v/>
      </c>
      <c r="AQ116">
        <f>TRIM(IF($N116&lt;Config!$B$12,"thin sample ("&amp;$N116&amp;" maps) · ","")&amp;IF(AND($G116&lt;&gt;"",Q116=0),"M1 unplayed→overall KPR · ","")&amp;IF(AND($H116&lt;&gt;"",X116=0),"M2 unplayed→overall KPR · ","")&amp;IF($O116="","no PickFinder stats",""))</f>
        <v/>
      </c>
      <c r="AR116">
        <f>IF($C116=Board!$B$2,COUNTIFS($C$2:$C$124,Board!$B$2,$AL$2:$AL$124,"&gt;"&amp;$AL116)+COUNTIFS($C$1:$C115,Board!$B$2,$AL$1:$AL115,$AL116)+1,"")</f>
        <v/>
      </c>
      <c r="AS116">
        <f>IFERROR(IF($D116=INDEX(Matches!$AD$5:$AD$19,MATCH($C116,Matches!$A$5:$A$19,0)),"A",IF($D116=INDEX(Matches!$AE$5:$AE$19,MATCH($C116,Matches!$A$5:$A$19,0)),"B","")),"")</f>
        <v/>
      </c>
      <c r="AT116" s="8">
        <f>IF($AS116="","",IFERROR(IF($AS116="A",INDEX(Matches!$AI$5:$AI$19,MATCH($C116,Matches!$A$5:$A$19,0)),INDEX(Matches!$AJ$5:$AJ$19,MATCH($C116,Matches!$A$5:$A$19,0))),""))</f>
        <v/>
      </c>
      <c r="AU116" s="8">
        <f>IF($AS116="","",IFERROR(IF(INDEX(Matches!$AP$5:$AP$19,MATCH($C116,Matches!$A$5:$A$19,0))="","",IF($AS116="A",INDEX(Matches!$AP$5:$AP$19,MATCH($C116,Matches!$A$5:$A$19,0)),1-INDEX(Matches!$AP$5:$AP$19,MATCH($C116,Matches!$A$5:$A$19,0)))),""))</f>
        <v/>
      </c>
      <c r="AV116" s="11">
        <f>IF(OR($AU116="",$AT116=""),1,((Config!$B$14*$AU116+Config!$B$15*(1-$AU116))/(Config!$B$14*$AT116+Config!$B$15*(1-$AT116)))^Config!$B$13)</f>
        <v/>
      </c>
      <c r="AW116" s="8">
        <f>IF($AS116="","",IFERROR(IF(INDEX(Matches!$AV$5:$AV$19,MATCH($C116,Matches!$A$5:$A$19,0))="","",IF($AS116="A",INDEX(Matches!$AV$5:$AV$19,MATCH($C116,Matches!$A$5:$A$19,0)),1-INDEX(Matches!$AV$5:$AV$19,MATCH($C116,Matches!$A$5:$A$19,0)))),""))</f>
        <v/>
      </c>
      <c r="AX116" s="11">
        <f>IF(OR($AW116="",$AT116=""),1,((Config!$B$14*$AW116+Config!$B$15*(1-$AW116))/(Config!$B$14*$AT116+Config!$B$15*(1-$AT116)))^Config!$B$13)</f>
        <v/>
      </c>
      <c r="AY116" s="8">
        <f>IF($AS116="","",IFERROR(IF(INDEX(Matches!$BB$5:$BB$19,MATCH($C116,Matches!$A$5:$A$19,0))="","",IF($AS116="A",INDEX(Matches!$BB$5:$BB$19,MATCH($C116,Matches!$A$5:$A$19,0)),1-INDEX(Matches!$BB$5:$BB$19,MATCH($C116,Matches!$A$5:$A$19,0)))),""))</f>
        <v/>
      </c>
      <c r="AZ116" s="11">
        <f>IF(OR($AY116="",$AT116=""),1,((Config!$B$14*$AY116+Config!$B$15*(1-$AY116))/(Config!$B$14*$AT116+Config!$B$15*(1-$AT116)))^Config!$B$13)</f>
        <v/>
      </c>
      <c r="BA116" s="15">
        <f>IF(V116="","",V116*$AV116)</f>
        <v/>
      </c>
      <c r="BB116" s="15">
        <f>IF(AC116="","",AC116*$AX116)</f>
        <v/>
      </c>
      <c r="BC116" s="15">
        <f>IF(AJ116="","",AJ116*$AZ116)</f>
        <v/>
      </c>
      <c r="BD116" s="15">
        <f>N(BA116)+N(BB116)</f>
        <v/>
      </c>
      <c r="BE116" s="15">
        <f>BD116+N($M116)*N(BC116)</f>
        <v/>
      </c>
      <c r="BF116" s="15">
        <f>IF(W116="","",W116*$AV116)</f>
        <v/>
      </c>
      <c r="BG116" s="15">
        <f>IF(AD116="","",AD116*$AX116)</f>
        <v/>
      </c>
      <c r="BH116" s="15">
        <f>IF(AK116="","",AK116*$AZ116)</f>
        <v/>
      </c>
      <c r="BI116" s="15">
        <f>IF(BF116="","",N(BF116)+N(BG116))</f>
        <v/>
      </c>
      <c r="BJ116" s="15">
        <f>IF(BI116="","",BI116+N($M116)*N(BH116))</f>
        <v/>
      </c>
      <c r="BK116" s="11">
        <f>IFERROR(BD116/AL116,1)</f>
        <v/>
      </c>
    </row>
    <row r="117">
      <c r="A117" t="inlineStr">
        <is>
          <t>px5zu5wf6psxdo7|CS2 · paiN vs BST</t>
        </is>
      </c>
      <c r="B117" t="inlineStr">
        <is>
          <t>CS2</t>
        </is>
      </c>
      <c r="C117" t="inlineStr">
        <is>
          <t>CS2 · paiN vs BST</t>
        </is>
      </c>
      <c r="D117" t="inlineStr">
        <is>
          <t>BST</t>
        </is>
      </c>
      <c r="E117" t="inlineStr">
        <is>
          <t>cass1n</t>
        </is>
      </c>
      <c r="F117" t="inlineStr">
        <is>
          <t>px5zu5wf6psxdo7</t>
        </is>
      </c>
      <c r="G117">
        <f>IFERROR(IF(INDEX(Matches!$W$5:$W$19,MATCH($C117,Matches!$A$5:$A$19,0))="","",INDEX(Matches!$W$5:$W$19,MATCH($C117,Matches!$A$5:$A$19,0))),"")</f>
        <v/>
      </c>
      <c r="H117">
        <f>IFERROR(IF(INDEX(Matches!$X$5:$X$19,MATCH($C117,Matches!$A$5:$A$19,0))="","",INDEX(Matches!$X$5:$X$19,MATCH($C117,Matches!$A$5:$A$19,0))),"")</f>
        <v/>
      </c>
      <c r="I117">
        <f>IFERROR(IF(INDEX(Matches!$Y$5:$Y$19,MATCH($C117,Matches!$A$5:$A$19,0))="","",INDEX(Matches!$Y$5:$Y$19,MATCH($C117,Matches!$A$5:$A$19,0))),"")</f>
        <v/>
      </c>
      <c r="J117">
        <f>IFERROR(IF(INDEX(Matches!$Z$5:$Z$19,MATCH($C117,Matches!$A$5:$A$19,0))="","",INDEX(Matches!$Z$5:$Z$19,MATCH($C117,Matches!$A$5:$A$19,0))),"")</f>
        <v/>
      </c>
      <c r="K117">
        <f>IFERROR(IF(INDEX(Matches!$AA$5:$AA$19,MATCH($C117,Matches!$A$5:$A$19,0))="","",INDEX(Matches!$AA$5:$AA$19,MATCH($C117,Matches!$A$5:$A$19,0))),"")</f>
        <v/>
      </c>
      <c r="L117">
        <f>IFERROR(IF(INDEX(Matches!$AB$5:$AB$19,MATCH($C117,Matches!$A$5:$A$19,0))="","",INDEX(Matches!$AB$5:$AB$19,MATCH($C117,Matches!$A$5:$A$19,0))),"")</f>
        <v/>
      </c>
      <c r="M117" s="8">
        <f>IFERROR(IF(INDEX(Matches!$AC$5:$AC$19,MATCH($C117,Matches!$A$5:$A$19,0))="","",INDEX(Matches!$AC$5:$AC$19,MATCH($C117,Matches!$A$5:$A$19,0))),"")</f>
        <v/>
      </c>
      <c r="N117">
        <f>IFERROR(INDEX(Players!$F$2:$F$124,MATCH($F117,Players!$A$2:$A$124,0)),0)</f>
        <v/>
      </c>
      <c r="O117" s="11">
        <f>IFERROR(1/(1/INDEX(Players!$H$2:$H$124,MATCH($F117,Players!$A$2:$A$124,0))),"")</f>
        <v/>
      </c>
      <c r="P117" s="8">
        <f>IFERROR(1/(1/INDEX(Players!$I$2:$I$124,MATCH($F117,Players!$A$2:$A$124,0))),"")</f>
        <v/>
      </c>
      <c r="Q117">
        <f>IF($G117="",0,SUMIFS(Map_Stats!$F$2:$F$779,Map_Stats!$A$2:$A$779,$F117&amp;"|"&amp;$G117))</f>
        <v/>
      </c>
      <c r="R117" s="11">
        <f>IF($G117="","",IFERROR(1/(1/INDEX(Map_Stats!$K$2:$K$779,MATCH($F117&amp;"|"&amp;$G117,Map_Stats!$A$2:$A$779,0))),$O117))</f>
        <v/>
      </c>
      <c r="S117" s="8">
        <f>IF(OR($G117="",$P117=""),"",IFERROR(1/(1/INDEX(Map_Stats!$I$2:$I$779,MATCH($F117&amp;"|"&amp;$G117,Map_Stats!$A$2:$A$779,0))),$P117))</f>
        <v/>
      </c>
      <c r="T117" s="11">
        <f>IF(OR($G117="",R117=""),"",IF($O117="",R117,(Q117*R117+Config!$B$4*$O117)/(Q117+Config!$B$4)))</f>
        <v/>
      </c>
      <c r="U117" s="8">
        <f>IF(S117="","",(Q117*S117+Config!$B$4*$P117)/(Q117+Config!$B$4))</f>
        <v/>
      </c>
      <c r="V117" s="15">
        <f>IF(OR(T117="",$J117=""),"",T117*$J117*($J117/Config!$B$10)^Config!$B$9)</f>
        <v/>
      </c>
      <c r="W117" s="15">
        <f>IF(OR(V117="",U117=""),"",V117*U117)</f>
        <v/>
      </c>
      <c r="X117">
        <f>IF($H117="",0,SUMIFS(Map_Stats!$F$2:$F$779,Map_Stats!$A$2:$A$779,$F117&amp;"|"&amp;$H117))</f>
        <v/>
      </c>
      <c r="Y117" s="11">
        <f>IF($H117="","",IFERROR(1/(1/INDEX(Map_Stats!$K$2:$K$779,MATCH($F117&amp;"|"&amp;$H117,Map_Stats!$A$2:$A$779,0))),$O117))</f>
        <v/>
      </c>
      <c r="Z117" s="8">
        <f>IF(OR($H117="",$P117=""),"",IFERROR(1/(1/INDEX(Map_Stats!$I$2:$I$779,MATCH($F117&amp;"|"&amp;$H117,Map_Stats!$A$2:$A$779,0))),$P117))</f>
        <v/>
      </c>
      <c r="AA117" s="11">
        <f>IF(OR($H117="",Y117=""),"",IF($O117="",Y117,(X117*Y117+Config!$B$4*$O117)/(X117+Config!$B$4)))</f>
        <v/>
      </c>
      <c r="AB117" s="8">
        <f>IF(Z117="","",(X117*Z117+Config!$B$4*$P117)/(X117+Config!$B$4))</f>
        <v/>
      </c>
      <c r="AC117" s="15">
        <f>IF(OR(AA117="",$K117=""),"",AA117*$K117*($K117/Config!$B$10)^Config!$B$9)</f>
        <v/>
      </c>
      <c r="AD117" s="15">
        <f>IF(OR(AC117="",AB117=""),"",AC117*AB117)</f>
        <v/>
      </c>
      <c r="AE117">
        <f>IF($I117="",0,SUMIFS(Map_Stats!$F$2:$F$779,Map_Stats!$A$2:$A$779,$F117&amp;"|"&amp;$I117))</f>
        <v/>
      </c>
      <c r="AF117" s="11">
        <f>IF($I117="","",IFERROR(1/(1/INDEX(Map_Stats!$K$2:$K$779,MATCH($F117&amp;"|"&amp;$I117,Map_Stats!$A$2:$A$779,0))),$O117))</f>
        <v/>
      </c>
      <c r="AG117" s="8">
        <f>IF(OR($I117="",$P117=""),"",IFERROR(1/(1/INDEX(Map_Stats!$I$2:$I$779,MATCH($F117&amp;"|"&amp;$I117,Map_Stats!$A$2:$A$779,0))),$P117))</f>
        <v/>
      </c>
      <c r="AH117" s="11">
        <f>IF(OR($I117="",AF117=""),"",IF($O117="",AF117,(AE117*AF117+Config!$B$4*$O117)/(AE117+Config!$B$4)))</f>
        <v/>
      </c>
      <c r="AI117" s="8">
        <f>IF(AG117="","",(AE117*AG117+Config!$B$4*$P117)/(AE117+Config!$B$4))</f>
        <v/>
      </c>
      <c r="AJ117" s="15">
        <f>IF(OR(AH117="",$L117=""),"",AH117*$L117*($L117/Config!$B$10)^Config!$B$9)</f>
        <v/>
      </c>
      <c r="AK117" s="15">
        <f>IF(OR(AJ117="",AI117=""),"",AJ117*AI117)</f>
        <v/>
      </c>
      <c r="AL117" s="15">
        <f>N(V117)+N(AC117)</f>
        <v/>
      </c>
      <c r="AM117" s="15">
        <f>AL117+N($M117)*N(AJ117)</f>
        <v/>
      </c>
      <c r="AN117" s="15">
        <f>IF(W117="","",N(W117)+N(AD117))</f>
        <v/>
      </c>
      <c r="AO117" s="15">
        <f>IF(AN117="","",AN117+N($M117)*N(AK117))</f>
        <v/>
      </c>
      <c r="AP117" s="8">
        <f>IFERROR(AN117/AL117,"")</f>
        <v/>
      </c>
      <c r="AQ117">
        <f>TRIM(IF($N117&lt;Config!$B$12,"thin sample ("&amp;$N117&amp;" maps) · ","")&amp;IF(AND($G117&lt;&gt;"",Q117=0),"M1 unplayed→overall KPR · ","")&amp;IF(AND($H117&lt;&gt;"",X117=0),"M2 unplayed→overall KPR · ","")&amp;IF($O117="","no PickFinder stats",""))</f>
        <v/>
      </c>
      <c r="AR117">
        <f>IF($C117=Board!$B$2,COUNTIFS($C$2:$C$124,Board!$B$2,$AL$2:$AL$124,"&gt;"&amp;$AL117)+COUNTIFS($C$1:$C116,Board!$B$2,$AL$1:$AL116,$AL117)+1,"")</f>
        <v/>
      </c>
      <c r="AS117">
        <f>IFERROR(IF($D117=INDEX(Matches!$AD$5:$AD$19,MATCH($C117,Matches!$A$5:$A$19,0)),"A",IF($D117=INDEX(Matches!$AE$5:$AE$19,MATCH($C117,Matches!$A$5:$A$19,0)),"B","")),"")</f>
        <v/>
      </c>
      <c r="AT117" s="8">
        <f>IF($AS117="","",IFERROR(IF($AS117="A",INDEX(Matches!$AI$5:$AI$19,MATCH($C117,Matches!$A$5:$A$19,0)),INDEX(Matches!$AJ$5:$AJ$19,MATCH($C117,Matches!$A$5:$A$19,0))),""))</f>
        <v/>
      </c>
      <c r="AU117" s="8">
        <f>IF($AS117="","",IFERROR(IF(INDEX(Matches!$AP$5:$AP$19,MATCH($C117,Matches!$A$5:$A$19,0))="","",IF($AS117="A",INDEX(Matches!$AP$5:$AP$19,MATCH($C117,Matches!$A$5:$A$19,0)),1-INDEX(Matches!$AP$5:$AP$19,MATCH($C117,Matches!$A$5:$A$19,0)))),""))</f>
        <v/>
      </c>
      <c r="AV117" s="11">
        <f>IF(OR($AU117="",$AT117=""),1,((Config!$B$14*$AU117+Config!$B$15*(1-$AU117))/(Config!$B$14*$AT117+Config!$B$15*(1-$AT117)))^Config!$B$13)</f>
        <v/>
      </c>
      <c r="AW117" s="8">
        <f>IF($AS117="","",IFERROR(IF(INDEX(Matches!$AV$5:$AV$19,MATCH($C117,Matches!$A$5:$A$19,0))="","",IF($AS117="A",INDEX(Matches!$AV$5:$AV$19,MATCH($C117,Matches!$A$5:$A$19,0)),1-INDEX(Matches!$AV$5:$AV$19,MATCH($C117,Matches!$A$5:$A$19,0)))),""))</f>
        <v/>
      </c>
      <c r="AX117" s="11">
        <f>IF(OR($AW117="",$AT117=""),1,((Config!$B$14*$AW117+Config!$B$15*(1-$AW117))/(Config!$B$14*$AT117+Config!$B$15*(1-$AT117)))^Config!$B$13)</f>
        <v/>
      </c>
      <c r="AY117" s="8">
        <f>IF($AS117="","",IFERROR(IF(INDEX(Matches!$BB$5:$BB$19,MATCH($C117,Matches!$A$5:$A$19,0))="","",IF($AS117="A",INDEX(Matches!$BB$5:$BB$19,MATCH($C117,Matches!$A$5:$A$19,0)),1-INDEX(Matches!$BB$5:$BB$19,MATCH($C117,Matches!$A$5:$A$19,0)))),""))</f>
        <v/>
      </c>
      <c r="AZ117" s="11">
        <f>IF(OR($AY117="",$AT117=""),1,((Config!$B$14*$AY117+Config!$B$15*(1-$AY117))/(Config!$B$14*$AT117+Config!$B$15*(1-$AT117)))^Config!$B$13)</f>
        <v/>
      </c>
      <c r="BA117" s="15">
        <f>IF(V117="","",V117*$AV117)</f>
        <v/>
      </c>
      <c r="BB117" s="15">
        <f>IF(AC117="","",AC117*$AX117)</f>
        <v/>
      </c>
      <c r="BC117" s="15">
        <f>IF(AJ117="","",AJ117*$AZ117)</f>
        <v/>
      </c>
      <c r="BD117" s="15">
        <f>N(BA117)+N(BB117)</f>
        <v/>
      </c>
      <c r="BE117" s="15">
        <f>BD117+N($M117)*N(BC117)</f>
        <v/>
      </c>
      <c r="BF117" s="15">
        <f>IF(W117="","",W117*$AV117)</f>
        <v/>
      </c>
      <c r="BG117" s="15">
        <f>IF(AD117="","",AD117*$AX117)</f>
        <v/>
      </c>
      <c r="BH117" s="15">
        <f>IF(AK117="","",AK117*$AZ117)</f>
        <v/>
      </c>
      <c r="BI117" s="15">
        <f>IF(BF117="","",N(BF117)+N(BG117))</f>
        <v/>
      </c>
      <c r="BJ117" s="15">
        <f>IF(BI117="","",BI117+N($M117)*N(BH117))</f>
        <v/>
      </c>
      <c r="BK117" s="11">
        <f>IFERROR(BD117/AL117,1)</f>
        <v/>
      </c>
    </row>
    <row r="118">
      <c r="A118" t="inlineStr">
        <is>
          <t>w2pkqdsxhev22e4|CS2 · paiN vs BST</t>
        </is>
      </c>
      <c r="B118" t="inlineStr">
        <is>
          <t>CS2</t>
        </is>
      </c>
      <c r="C118" t="inlineStr">
        <is>
          <t>CS2 · paiN vs BST</t>
        </is>
      </c>
      <c r="D118" t="inlineStr">
        <is>
          <t>BST</t>
        </is>
      </c>
      <c r="E118" t="inlineStr">
        <is>
          <t>drop</t>
        </is>
      </c>
      <c r="F118" t="inlineStr">
        <is>
          <t>w2pkqdsxhev22e4</t>
        </is>
      </c>
      <c r="G118">
        <f>IFERROR(IF(INDEX(Matches!$W$5:$W$19,MATCH($C118,Matches!$A$5:$A$19,0))="","",INDEX(Matches!$W$5:$W$19,MATCH($C118,Matches!$A$5:$A$19,0))),"")</f>
        <v/>
      </c>
      <c r="H118">
        <f>IFERROR(IF(INDEX(Matches!$X$5:$X$19,MATCH($C118,Matches!$A$5:$A$19,0))="","",INDEX(Matches!$X$5:$X$19,MATCH($C118,Matches!$A$5:$A$19,0))),"")</f>
        <v/>
      </c>
      <c r="I118">
        <f>IFERROR(IF(INDEX(Matches!$Y$5:$Y$19,MATCH($C118,Matches!$A$5:$A$19,0))="","",INDEX(Matches!$Y$5:$Y$19,MATCH($C118,Matches!$A$5:$A$19,0))),"")</f>
        <v/>
      </c>
      <c r="J118">
        <f>IFERROR(IF(INDEX(Matches!$Z$5:$Z$19,MATCH($C118,Matches!$A$5:$A$19,0))="","",INDEX(Matches!$Z$5:$Z$19,MATCH($C118,Matches!$A$5:$A$19,0))),"")</f>
        <v/>
      </c>
      <c r="K118">
        <f>IFERROR(IF(INDEX(Matches!$AA$5:$AA$19,MATCH($C118,Matches!$A$5:$A$19,0))="","",INDEX(Matches!$AA$5:$AA$19,MATCH($C118,Matches!$A$5:$A$19,0))),"")</f>
        <v/>
      </c>
      <c r="L118">
        <f>IFERROR(IF(INDEX(Matches!$AB$5:$AB$19,MATCH($C118,Matches!$A$5:$A$19,0))="","",INDEX(Matches!$AB$5:$AB$19,MATCH($C118,Matches!$A$5:$A$19,0))),"")</f>
        <v/>
      </c>
      <c r="M118" s="8">
        <f>IFERROR(IF(INDEX(Matches!$AC$5:$AC$19,MATCH($C118,Matches!$A$5:$A$19,0))="","",INDEX(Matches!$AC$5:$AC$19,MATCH($C118,Matches!$A$5:$A$19,0))),"")</f>
        <v/>
      </c>
      <c r="N118">
        <f>IFERROR(INDEX(Players!$F$2:$F$124,MATCH($F118,Players!$A$2:$A$124,0)),0)</f>
        <v/>
      </c>
      <c r="O118" s="11">
        <f>IFERROR(1/(1/INDEX(Players!$H$2:$H$124,MATCH($F118,Players!$A$2:$A$124,0))),"")</f>
        <v/>
      </c>
      <c r="P118" s="8">
        <f>IFERROR(1/(1/INDEX(Players!$I$2:$I$124,MATCH($F118,Players!$A$2:$A$124,0))),"")</f>
        <v/>
      </c>
      <c r="Q118">
        <f>IF($G118="",0,SUMIFS(Map_Stats!$F$2:$F$779,Map_Stats!$A$2:$A$779,$F118&amp;"|"&amp;$G118))</f>
        <v/>
      </c>
      <c r="R118" s="11">
        <f>IF($G118="","",IFERROR(1/(1/INDEX(Map_Stats!$K$2:$K$779,MATCH($F118&amp;"|"&amp;$G118,Map_Stats!$A$2:$A$779,0))),$O118))</f>
        <v/>
      </c>
      <c r="S118" s="8">
        <f>IF(OR($G118="",$P118=""),"",IFERROR(1/(1/INDEX(Map_Stats!$I$2:$I$779,MATCH($F118&amp;"|"&amp;$G118,Map_Stats!$A$2:$A$779,0))),$P118))</f>
        <v/>
      </c>
      <c r="T118" s="11">
        <f>IF(OR($G118="",R118=""),"",IF($O118="",R118,(Q118*R118+Config!$B$4*$O118)/(Q118+Config!$B$4)))</f>
        <v/>
      </c>
      <c r="U118" s="8">
        <f>IF(S118="","",(Q118*S118+Config!$B$4*$P118)/(Q118+Config!$B$4))</f>
        <v/>
      </c>
      <c r="V118" s="15">
        <f>IF(OR(T118="",$J118=""),"",T118*$J118*($J118/Config!$B$10)^Config!$B$9)</f>
        <v/>
      </c>
      <c r="W118" s="15">
        <f>IF(OR(V118="",U118=""),"",V118*U118)</f>
        <v/>
      </c>
      <c r="X118">
        <f>IF($H118="",0,SUMIFS(Map_Stats!$F$2:$F$779,Map_Stats!$A$2:$A$779,$F118&amp;"|"&amp;$H118))</f>
        <v/>
      </c>
      <c r="Y118" s="11">
        <f>IF($H118="","",IFERROR(1/(1/INDEX(Map_Stats!$K$2:$K$779,MATCH($F118&amp;"|"&amp;$H118,Map_Stats!$A$2:$A$779,0))),$O118))</f>
        <v/>
      </c>
      <c r="Z118" s="8">
        <f>IF(OR($H118="",$P118=""),"",IFERROR(1/(1/INDEX(Map_Stats!$I$2:$I$779,MATCH($F118&amp;"|"&amp;$H118,Map_Stats!$A$2:$A$779,0))),$P118))</f>
        <v/>
      </c>
      <c r="AA118" s="11">
        <f>IF(OR($H118="",Y118=""),"",IF($O118="",Y118,(X118*Y118+Config!$B$4*$O118)/(X118+Config!$B$4)))</f>
        <v/>
      </c>
      <c r="AB118" s="8">
        <f>IF(Z118="","",(X118*Z118+Config!$B$4*$P118)/(X118+Config!$B$4))</f>
        <v/>
      </c>
      <c r="AC118" s="15">
        <f>IF(OR(AA118="",$K118=""),"",AA118*$K118*($K118/Config!$B$10)^Config!$B$9)</f>
        <v/>
      </c>
      <c r="AD118" s="15">
        <f>IF(OR(AC118="",AB118=""),"",AC118*AB118)</f>
        <v/>
      </c>
      <c r="AE118">
        <f>IF($I118="",0,SUMIFS(Map_Stats!$F$2:$F$779,Map_Stats!$A$2:$A$779,$F118&amp;"|"&amp;$I118))</f>
        <v/>
      </c>
      <c r="AF118" s="11">
        <f>IF($I118="","",IFERROR(1/(1/INDEX(Map_Stats!$K$2:$K$779,MATCH($F118&amp;"|"&amp;$I118,Map_Stats!$A$2:$A$779,0))),$O118))</f>
        <v/>
      </c>
      <c r="AG118" s="8">
        <f>IF(OR($I118="",$P118=""),"",IFERROR(1/(1/INDEX(Map_Stats!$I$2:$I$779,MATCH($F118&amp;"|"&amp;$I118,Map_Stats!$A$2:$A$779,0))),$P118))</f>
        <v/>
      </c>
      <c r="AH118" s="11">
        <f>IF(OR($I118="",AF118=""),"",IF($O118="",AF118,(AE118*AF118+Config!$B$4*$O118)/(AE118+Config!$B$4)))</f>
        <v/>
      </c>
      <c r="AI118" s="8">
        <f>IF(AG118="","",(AE118*AG118+Config!$B$4*$P118)/(AE118+Config!$B$4))</f>
        <v/>
      </c>
      <c r="AJ118" s="15">
        <f>IF(OR(AH118="",$L118=""),"",AH118*$L118*($L118/Config!$B$10)^Config!$B$9)</f>
        <v/>
      </c>
      <c r="AK118" s="15">
        <f>IF(OR(AJ118="",AI118=""),"",AJ118*AI118)</f>
        <v/>
      </c>
      <c r="AL118" s="15">
        <f>N(V118)+N(AC118)</f>
        <v/>
      </c>
      <c r="AM118" s="15">
        <f>AL118+N($M118)*N(AJ118)</f>
        <v/>
      </c>
      <c r="AN118" s="15">
        <f>IF(W118="","",N(W118)+N(AD118))</f>
        <v/>
      </c>
      <c r="AO118" s="15">
        <f>IF(AN118="","",AN118+N($M118)*N(AK118))</f>
        <v/>
      </c>
      <c r="AP118" s="8">
        <f>IFERROR(AN118/AL118,"")</f>
        <v/>
      </c>
      <c r="AQ118">
        <f>TRIM(IF($N118&lt;Config!$B$12,"thin sample ("&amp;$N118&amp;" maps) · ","")&amp;IF(AND($G118&lt;&gt;"",Q118=0),"M1 unplayed→overall KPR · ","")&amp;IF(AND($H118&lt;&gt;"",X118=0),"M2 unplayed→overall KPR · ","")&amp;IF($O118="","no PickFinder stats",""))</f>
        <v/>
      </c>
      <c r="AR118">
        <f>IF($C118=Board!$B$2,COUNTIFS($C$2:$C$124,Board!$B$2,$AL$2:$AL$124,"&gt;"&amp;$AL118)+COUNTIFS($C$1:$C117,Board!$B$2,$AL$1:$AL117,$AL118)+1,"")</f>
        <v/>
      </c>
      <c r="AS118">
        <f>IFERROR(IF($D118=INDEX(Matches!$AD$5:$AD$19,MATCH($C118,Matches!$A$5:$A$19,0)),"A",IF($D118=INDEX(Matches!$AE$5:$AE$19,MATCH($C118,Matches!$A$5:$A$19,0)),"B","")),"")</f>
        <v/>
      </c>
      <c r="AT118" s="8">
        <f>IF($AS118="","",IFERROR(IF($AS118="A",INDEX(Matches!$AI$5:$AI$19,MATCH($C118,Matches!$A$5:$A$19,0)),INDEX(Matches!$AJ$5:$AJ$19,MATCH($C118,Matches!$A$5:$A$19,0))),""))</f>
        <v/>
      </c>
      <c r="AU118" s="8">
        <f>IF($AS118="","",IFERROR(IF(INDEX(Matches!$AP$5:$AP$19,MATCH($C118,Matches!$A$5:$A$19,0))="","",IF($AS118="A",INDEX(Matches!$AP$5:$AP$19,MATCH($C118,Matches!$A$5:$A$19,0)),1-INDEX(Matches!$AP$5:$AP$19,MATCH($C118,Matches!$A$5:$A$19,0)))),""))</f>
        <v/>
      </c>
      <c r="AV118" s="11">
        <f>IF(OR($AU118="",$AT118=""),1,((Config!$B$14*$AU118+Config!$B$15*(1-$AU118))/(Config!$B$14*$AT118+Config!$B$15*(1-$AT118)))^Config!$B$13)</f>
        <v/>
      </c>
      <c r="AW118" s="8">
        <f>IF($AS118="","",IFERROR(IF(INDEX(Matches!$AV$5:$AV$19,MATCH($C118,Matches!$A$5:$A$19,0))="","",IF($AS118="A",INDEX(Matches!$AV$5:$AV$19,MATCH($C118,Matches!$A$5:$A$19,0)),1-INDEX(Matches!$AV$5:$AV$19,MATCH($C118,Matches!$A$5:$A$19,0)))),""))</f>
        <v/>
      </c>
      <c r="AX118" s="11">
        <f>IF(OR($AW118="",$AT118=""),1,((Config!$B$14*$AW118+Config!$B$15*(1-$AW118))/(Config!$B$14*$AT118+Config!$B$15*(1-$AT118)))^Config!$B$13)</f>
        <v/>
      </c>
      <c r="AY118" s="8">
        <f>IF($AS118="","",IFERROR(IF(INDEX(Matches!$BB$5:$BB$19,MATCH($C118,Matches!$A$5:$A$19,0))="","",IF($AS118="A",INDEX(Matches!$BB$5:$BB$19,MATCH($C118,Matches!$A$5:$A$19,0)),1-INDEX(Matches!$BB$5:$BB$19,MATCH($C118,Matches!$A$5:$A$19,0)))),""))</f>
        <v/>
      </c>
      <c r="AZ118" s="11">
        <f>IF(OR($AY118="",$AT118=""),1,((Config!$B$14*$AY118+Config!$B$15*(1-$AY118))/(Config!$B$14*$AT118+Config!$B$15*(1-$AT118)))^Config!$B$13)</f>
        <v/>
      </c>
      <c r="BA118" s="15">
        <f>IF(V118="","",V118*$AV118)</f>
        <v/>
      </c>
      <c r="BB118" s="15">
        <f>IF(AC118="","",AC118*$AX118)</f>
        <v/>
      </c>
      <c r="BC118" s="15">
        <f>IF(AJ118="","",AJ118*$AZ118)</f>
        <v/>
      </c>
      <c r="BD118" s="15">
        <f>N(BA118)+N(BB118)</f>
        <v/>
      </c>
      <c r="BE118" s="15">
        <f>BD118+N($M118)*N(BC118)</f>
        <v/>
      </c>
      <c r="BF118" s="15">
        <f>IF(W118="","",W118*$AV118)</f>
        <v/>
      </c>
      <c r="BG118" s="15">
        <f>IF(AD118="","",AD118*$AX118)</f>
        <v/>
      </c>
      <c r="BH118" s="15">
        <f>IF(AK118="","",AK118*$AZ118)</f>
        <v/>
      </c>
      <c r="BI118" s="15">
        <f>IF(BF118="","",N(BF118)+N(BG118))</f>
        <v/>
      </c>
      <c r="BJ118" s="15">
        <f>IF(BI118="","",BI118+N($M118)*N(BH118))</f>
        <v/>
      </c>
      <c r="BK118" s="11">
        <f>IFERROR(BD118/AL118,1)</f>
        <v/>
      </c>
    </row>
    <row r="119">
      <c r="A119" t="inlineStr">
        <is>
          <t>h7nuz2cmw8wvh2s|CS2 · paiN vs BST</t>
        </is>
      </c>
      <c r="B119" t="inlineStr">
        <is>
          <t>CS2</t>
        </is>
      </c>
      <c r="C119" t="inlineStr">
        <is>
          <t>CS2 · paiN vs BST</t>
        </is>
      </c>
      <c r="D119" t="inlineStr">
        <is>
          <t>BST</t>
        </is>
      </c>
      <c r="E119" t="inlineStr">
        <is>
          <t>kauez</t>
        </is>
      </c>
      <c r="F119" t="inlineStr">
        <is>
          <t>h7nuz2cmw8wvh2s</t>
        </is>
      </c>
      <c r="G119">
        <f>IFERROR(IF(INDEX(Matches!$W$5:$W$19,MATCH($C119,Matches!$A$5:$A$19,0))="","",INDEX(Matches!$W$5:$W$19,MATCH($C119,Matches!$A$5:$A$19,0))),"")</f>
        <v/>
      </c>
      <c r="H119">
        <f>IFERROR(IF(INDEX(Matches!$X$5:$X$19,MATCH($C119,Matches!$A$5:$A$19,0))="","",INDEX(Matches!$X$5:$X$19,MATCH($C119,Matches!$A$5:$A$19,0))),"")</f>
        <v/>
      </c>
      <c r="I119">
        <f>IFERROR(IF(INDEX(Matches!$Y$5:$Y$19,MATCH($C119,Matches!$A$5:$A$19,0))="","",INDEX(Matches!$Y$5:$Y$19,MATCH($C119,Matches!$A$5:$A$19,0))),"")</f>
        <v/>
      </c>
      <c r="J119">
        <f>IFERROR(IF(INDEX(Matches!$Z$5:$Z$19,MATCH($C119,Matches!$A$5:$A$19,0))="","",INDEX(Matches!$Z$5:$Z$19,MATCH($C119,Matches!$A$5:$A$19,0))),"")</f>
        <v/>
      </c>
      <c r="K119">
        <f>IFERROR(IF(INDEX(Matches!$AA$5:$AA$19,MATCH($C119,Matches!$A$5:$A$19,0))="","",INDEX(Matches!$AA$5:$AA$19,MATCH($C119,Matches!$A$5:$A$19,0))),"")</f>
        <v/>
      </c>
      <c r="L119">
        <f>IFERROR(IF(INDEX(Matches!$AB$5:$AB$19,MATCH($C119,Matches!$A$5:$A$19,0))="","",INDEX(Matches!$AB$5:$AB$19,MATCH($C119,Matches!$A$5:$A$19,0))),"")</f>
        <v/>
      </c>
      <c r="M119" s="8">
        <f>IFERROR(IF(INDEX(Matches!$AC$5:$AC$19,MATCH($C119,Matches!$A$5:$A$19,0))="","",INDEX(Matches!$AC$5:$AC$19,MATCH($C119,Matches!$A$5:$A$19,0))),"")</f>
        <v/>
      </c>
      <c r="N119">
        <f>IFERROR(INDEX(Players!$F$2:$F$124,MATCH($F119,Players!$A$2:$A$124,0)),0)</f>
        <v/>
      </c>
      <c r="O119" s="11">
        <f>IFERROR(1/(1/INDEX(Players!$H$2:$H$124,MATCH($F119,Players!$A$2:$A$124,0))),"")</f>
        <v/>
      </c>
      <c r="P119" s="8">
        <f>IFERROR(1/(1/INDEX(Players!$I$2:$I$124,MATCH($F119,Players!$A$2:$A$124,0))),"")</f>
        <v/>
      </c>
      <c r="Q119">
        <f>IF($G119="",0,SUMIFS(Map_Stats!$F$2:$F$779,Map_Stats!$A$2:$A$779,$F119&amp;"|"&amp;$G119))</f>
        <v/>
      </c>
      <c r="R119" s="11">
        <f>IF($G119="","",IFERROR(1/(1/INDEX(Map_Stats!$K$2:$K$779,MATCH($F119&amp;"|"&amp;$G119,Map_Stats!$A$2:$A$779,0))),$O119))</f>
        <v/>
      </c>
      <c r="S119" s="8">
        <f>IF(OR($G119="",$P119=""),"",IFERROR(1/(1/INDEX(Map_Stats!$I$2:$I$779,MATCH($F119&amp;"|"&amp;$G119,Map_Stats!$A$2:$A$779,0))),$P119))</f>
        <v/>
      </c>
      <c r="T119" s="11">
        <f>IF(OR($G119="",R119=""),"",IF($O119="",R119,(Q119*R119+Config!$B$4*$O119)/(Q119+Config!$B$4)))</f>
        <v/>
      </c>
      <c r="U119" s="8">
        <f>IF(S119="","",(Q119*S119+Config!$B$4*$P119)/(Q119+Config!$B$4))</f>
        <v/>
      </c>
      <c r="V119" s="15">
        <f>IF(OR(T119="",$J119=""),"",T119*$J119*($J119/Config!$B$10)^Config!$B$9)</f>
        <v/>
      </c>
      <c r="W119" s="15">
        <f>IF(OR(V119="",U119=""),"",V119*U119)</f>
        <v/>
      </c>
      <c r="X119">
        <f>IF($H119="",0,SUMIFS(Map_Stats!$F$2:$F$779,Map_Stats!$A$2:$A$779,$F119&amp;"|"&amp;$H119))</f>
        <v/>
      </c>
      <c r="Y119" s="11">
        <f>IF($H119="","",IFERROR(1/(1/INDEX(Map_Stats!$K$2:$K$779,MATCH($F119&amp;"|"&amp;$H119,Map_Stats!$A$2:$A$779,0))),$O119))</f>
        <v/>
      </c>
      <c r="Z119" s="8">
        <f>IF(OR($H119="",$P119=""),"",IFERROR(1/(1/INDEX(Map_Stats!$I$2:$I$779,MATCH($F119&amp;"|"&amp;$H119,Map_Stats!$A$2:$A$779,0))),$P119))</f>
        <v/>
      </c>
      <c r="AA119" s="11">
        <f>IF(OR($H119="",Y119=""),"",IF($O119="",Y119,(X119*Y119+Config!$B$4*$O119)/(X119+Config!$B$4)))</f>
        <v/>
      </c>
      <c r="AB119" s="8">
        <f>IF(Z119="","",(X119*Z119+Config!$B$4*$P119)/(X119+Config!$B$4))</f>
        <v/>
      </c>
      <c r="AC119" s="15">
        <f>IF(OR(AA119="",$K119=""),"",AA119*$K119*($K119/Config!$B$10)^Config!$B$9)</f>
        <v/>
      </c>
      <c r="AD119" s="15">
        <f>IF(OR(AC119="",AB119=""),"",AC119*AB119)</f>
        <v/>
      </c>
      <c r="AE119">
        <f>IF($I119="",0,SUMIFS(Map_Stats!$F$2:$F$779,Map_Stats!$A$2:$A$779,$F119&amp;"|"&amp;$I119))</f>
        <v/>
      </c>
      <c r="AF119" s="11">
        <f>IF($I119="","",IFERROR(1/(1/INDEX(Map_Stats!$K$2:$K$779,MATCH($F119&amp;"|"&amp;$I119,Map_Stats!$A$2:$A$779,0))),$O119))</f>
        <v/>
      </c>
      <c r="AG119" s="8">
        <f>IF(OR($I119="",$P119=""),"",IFERROR(1/(1/INDEX(Map_Stats!$I$2:$I$779,MATCH($F119&amp;"|"&amp;$I119,Map_Stats!$A$2:$A$779,0))),$P119))</f>
        <v/>
      </c>
      <c r="AH119" s="11">
        <f>IF(OR($I119="",AF119=""),"",IF($O119="",AF119,(AE119*AF119+Config!$B$4*$O119)/(AE119+Config!$B$4)))</f>
        <v/>
      </c>
      <c r="AI119" s="8">
        <f>IF(AG119="","",(AE119*AG119+Config!$B$4*$P119)/(AE119+Config!$B$4))</f>
        <v/>
      </c>
      <c r="AJ119" s="15">
        <f>IF(OR(AH119="",$L119=""),"",AH119*$L119*($L119/Config!$B$10)^Config!$B$9)</f>
        <v/>
      </c>
      <c r="AK119" s="15">
        <f>IF(OR(AJ119="",AI119=""),"",AJ119*AI119)</f>
        <v/>
      </c>
      <c r="AL119" s="15">
        <f>N(V119)+N(AC119)</f>
        <v/>
      </c>
      <c r="AM119" s="15">
        <f>AL119+N($M119)*N(AJ119)</f>
        <v/>
      </c>
      <c r="AN119" s="15">
        <f>IF(W119="","",N(W119)+N(AD119))</f>
        <v/>
      </c>
      <c r="AO119" s="15">
        <f>IF(AN119="","",AN119+N($M119)*N(AK119))</f>
        <v/>
      </c>
      <c r="AP119" s="8">
        <f>IFERROR(AN119/AL119,"")</f>
        <v/>
      </c>
      <c r="AQ119">
        <f>TRIM(IF($N119&lt;Config!$B$12,"thin sample ("&amp;$N119&amp;" maps) · ","")&amp;IF(AND($G119&lt;&gt;"",Q119=0),"M1 unplayed→overall KPR · ","")&amp;IF(AND($H119&lt;&gt;"",X119=0),"M2 unplayed→overall KPR · ","")&amp;IF($O119="","no PickFinder stats",""))</f>
        <v/>
      </c>
      <c r="AR119">
        <f>IF($C119=Board!$B$2,COUNTIFS($C$2:$C$124,Board!$B$2,$AL$2:$AL$124,"&gt;"&amp;$AL119)+COUNTIFS($C$1:$C118,Board!$B$2,$AL$1:$AL118,$AL119)+1,"")</f>
        <v/>
      </c>
      <c r="AS119">
        <f>IFERROR(IF($D119=INDEX(Matches!$AD$5:$AD$19,MATCH($C119,Matches!$A$5:$A$19,0)),"A",IF($D119=INDEX(Matches!$AE$5:$AE$19,MATCH($C119,Matches!$A$5:$A$19,0)),"B","")),"")</f>
        <v/>
      </c>
      <c r="AT119" s="8">
        <f>IF($AS119="","",IFERROR(IF($AS119="A",INDEX(Matches!$AI$5:$AI$19,MATCH($C119,Matches!$A$5:$A$19,0)),INDEX(Matches!$AJ$5:$AJ$19,MATCH($C119,Matches!$A$5:$A$19,0))),""))</f>
        <v/>
      </c>
      <c r="AU119" s="8">
        <f>IF($AS119="","",IFERROR(IF(INDEX(Matches!$AP$5:$AP$19,MATCH($C119,Matches!$A$5:$A$19,0))="","",IF($AS119="A",INDEX(Matches!$AP$5:$AP$19,MATCH($C119,Matches!$A$5:$A$19,0)),1-INDEX(Matches!$AP$5:$AP$19,MATCH($C119,Matches!$A$5:$A$19,0)))),""))</f>
        <v/>
      </c>
      <c r="AV119" s="11">
        <f>IF(OR($AU119="",$AT119=""),1,((Config!$B$14*$AU119+Config!$B$15*(1-$AU119))/(Config!$B$14*$AT119+Config!$B$15*(1-$AT119)))^Config!$B$13)</f>
        <v/>
      </c>
      <c r="AW119" s="8">
        <f>IF($AS119="","",IFERROR(IF(INDEX(Matches!$AV$5:$AV$19,MATCH($C119,Matches!$A$5:$A$19,0))="","",IF($AS119="A",INDEX(Matches!$AV$5:$AV$19,MATCH($C119,Matches!$A$5:$A$19,0)),1-INDEX(Matches!$AV$5:$AV$19,MATCH($C119,Matches!$A$5:$A$19,0)))),""))</f>
        <v/>
      </c>
      <c r="AX119" s="11">
        <f>IF(OR($AW119="",$AT119=""),1,((Config!$B$14*$AW119+Config!$B$15*(1-$AW119))/(Config!$B$14*$AT119+Config!$B$15*(1-$AT119)))^Config!$B$13)</f>
        <v/>
      </c>
      <c r="AY119" s="8">
        <f>IF($AS119="","",IFERROR(IF(INDEX(Matches!$BB$5:$BB$19,MATCH($C119,Matches!$A$5:$A$19,0))="","",IF($AS119="A",INDEX(Matches!$BB$5:$BB$19,MATCH($C119,Matches!$A$5:$A$19,0)),1-INDEX(Matches!$BB$5:$BB$19,MATCH($C119,Matches!$A$5:$A$19,0)))),""))</f>
        <v/>
      </c>
      <c r="AZ119" s="11">
        <f>IF(OR($AY119="",$AT119=""),1,((Config!$B$14*$AY119+Config!$B$15*(1-$AY119))/(Config!$B$14*$AT119+Config!$B$15*(1-$AT119)))^Config!$B$13)</f>
        <v/>
      </c>
      <c r="BA119" s="15">
        <f>IF(V119="","",V119*$AV119)</f>
        <v/>
      </c>
      <c r="BB119" s="15">
        <f>IF(AC119="","",AC119*$AX119)</f>
        <v/>
      </c>
      <c r="BC119" s="15">
        <f>IF(AJ119="","",AJ119*$AZ119)</f>
        <v/>
      </c>
      <c r="BD119" s="15">
        <f>N(BA119)+N(BB119)</f>
        <v/>
      </c>
      <c r="BE119" s="15">
        <f>BD119+N($M119)*N(BC119)</f>
        <v/>
      </c>
      <c r="BF119" s="15">
        <f>IF(W119="","",W119*$AV119)</f>
        <v/>
      </c>
      <c r="BG119" s="15">
        <f>IF(AD119="","",AD119*$AX119)</f>
        <v/>
      </c>
      <c r="BH119" s="15">
        <f>IF(AK119="","",AK119*$AZ119)</f>
        <v/>
      </c>
      <c r="BI119" s="15">
        <f>IF(BF119="","",N(BF119)+N(BG119))</f>
        <v/>
      </c>
      <c r="BJ119" s="15">
        <f>IF(BI119="","",BI119+N($M119)*N(BH119))</f>
        <v/>
      </c>
      <c r="BK119" s="11">
        <f>IFERROR(BD119/AL119,1)</f>
        <v/>
      </c>
    </row>
    <row r="120">
      <c r="A120" t="inlineStr">
        <is>
          <t>coz7ncv7hdezsk9|CS2 · paiN vs BST</t>
        </is>
      </c>
      <c r="B120" t="inlineStr">
        <is>
          <t>CS2</t>
        </is>
      </c>
      <c r="C120" t="inlineStr">
        <is>
          <t>CS2 · paiN vs BST</t>
        </is>
      </c>
      <c r="D120" t="inlineStr">
        <is>
          <t>BST</t>
        </is>
      </c>
      <c r="E120" t="inlineStr">
        <is>
          <t>timo</t>
        </is>
      </c>
      <c r="F120" t="inlineStr">
        <is>
          <t>coz7ncv7hdezsk9</t>
        </is>
      </c>
      <c r="G120">
        <f>IFERROR(IF(INDEX(Matches!$W$5:$W$19,MATCH($C120,Matches!$A$5:$A$19,0))="","",INDEX(Matches!$W$5:$W$19,MATCH($C120,Matches!$A$5:$A$19,0))),"")</f>
        <v/>
      </c>
      <c r="H120">
        <f>IFERROR(IF(INDEX(Matches!$X$5:$X$19,MATCH($C120,Matches!$A$5:$A$19,0))="","",INDEX(Matches!$X$5:$X$19,MATCH($C120,Matches!$A$5:$A$19,0))),"")</f>
        <v/>
      </c>
      <c r="I120">
        <f>IFERROR(IF(INDEX(Matches!$Y$5:$Y$19,MATCH($C120,Matches!$A$5:$A$19,0))="","",INDEX(Matches!$Y$5:$Y$19,MATCH($C120,Matches!$A$5:$A$19,0))),"")</f>
        <v/>
      </c>
      <c r="J120">
        <f>IFERROR(IF(INDEX(Matches!$Z$5:$Z$19,MATCH($C120,Matches!$A$5:$A$19,0))="","",INDEX(Matches!$Z$5:$Z$19,MATCH($C120,Matches!$A$5:$A$19,0))),"")</f>
        <v/>
      </c>
      <c r="K120">
        <f>IFERROR(IF(INDEX(Matches!$AA$5:$AA$19,MATCH($C120,Matches!$A$5:$A$19,0))="","",INDEX(Matches!$AA$5:$AA$19,MATCH($C120,Matches!$A$5:$A$19,0))),"")</f>
        <v/>
      </c>
      <c r="L120">
        <f>IFERROR(IF(INDEX(Matches!$AB$5:$AB$19,MATCH($C120,Matches!$A$5:$A$19,0))="","",INDEX(Matches!$AB$5:$AB$19,MATCH($C120,Matches!$A$5:$A$19,0))),"")</f>
        <v/>
      </c>
      <c r="M120" s="8">
        <f>IFERROR(IF(INDEX(Matches!$AC$5:$AC$19,MATCH($C120,Matches!$A$5:$A$19,0))="","",INDEX(Matches!$AC$5:$AC$19,MATCH($C120,Matches!$A$5:$A$19,0))),"")</f>
        <v/>
      </c>
      <c r="N120">
        <f>IFERROR(INDEX(Players!$F$2:$F$124,MATCH($F120,Players!$A$2:$A$124,0)),0)</f>
        <v/>
      </c>
      <c r="O120" s="11">
        <f>IFERROR(1/(1/INDEX(Players!$H$2:$H$124,MATCH($F120,Players!$A$2:$A$124,0))),"")</f>
        <v/>
      </c>
      <c r="P120" s="8">
        <f>IFERROR(1/(1/INDEX(Players!$I$2:$I$124,MATCH($F120,Players!$A$2:$A$124,0))),"")</f>
        <v/>
      </c>
      <c r="Q120">
        <f>IF($G120="",0,SUMIFS(Map_Stats!$F$2:$F$779,Map_Stats!$A$2:$A$779,$F120&amp;"|"&amp;$G120))</f>
        <v/>
      </c>
      <c r="R120" s="11">
        <f>IF($G120="","",IFERROR(1/(1/INDEX(Map_Stats!$K$2:$K$779,MATCH($F120&amp;"|"&amp;$G120,Map_Stats!$A$2:$A$779,0))),$O120))</f>
        <v/>
      </c>
      <c r="S120" s="8">
        <f>IF(OR($G120="",$P120=""),"",IFERROR(1/(1/INDEX(Map_Stats!$I$2:$I$779,MATCH($F120&amp;"|"&amp;$G120,Map_Stats!$A$2:$A$779,0))),$P120))</f>
        <v/>
      </c>
      <c r="T120" s="11">
        <f>IF(OR($G120="",R120=""),"",IF($O120="",R120,(Q120*R120+Config!$B$4*$O120)/(Q120+Config!$B$4)))</f>
        <v/>
      </c>
      <c r="U120" s="8">
        <f>IF(S120="","",(Q120*S120+Config!$B$4*$P120)/(Q120+Config!$B$4))</f>
        <v/>
      </c>
      <c r="V120" s="15">
        <f>IF(OR(T120="",$J120=""),"",T120*$J120*($J120/Config!$B$10)^Config!$B$9)</f>
        <v/>
      </c>
      <c r="W120" s="15">
        <f>IF(OR(V120="",U120=""),"",V120*U120)</f>
        <v/>
      </c>
      <c r="X120">
        <f>IF($H120="",0,SUMIFS(Map_Stats!$F$2:$F$779,Map_Stats!$A$2:$A$779,$F120&amp;"|"&amp;$H120))</f>
        <v/>
      </c>
      <c r="Y120" s="11">
        <f>IF($H120="","",IFERROR(1/(1/INDEX(Map_Stats!$K$2:$K$779,MATCH($F120&amp;"|"&amp;$H120,Map_Stats!$A$2:$A$779,0))),$O120))</f>
        <v/>
      </c>
      <c r="Z120" s="8">
        <f>IF(OR($H120="",$P120=""),"",IFERROR(1/(1/INDEX(Map_Stats!$I$2:$I$779,MATCH($F120&amp;"|"&amp;$H120,Map_Stats!$A$2:$A$779,0))),$P120))</f>
        <v/>
      </c>
      <c r="AA120" s="11">
        <f>IF(OR($H120="",Y120=""),"",IF($O120="",Y120,(X120*Y120+Config!$B$4*$O120)/(X120+Config!$B$4)))</f>
        <v/>
      </c>
      <c r="AB120" s="8">
        <f>IF(Z120="","",(X120*Z120+Config!$B$4*$P120)/(X120+Config!$B$4))</f>
        <v/>
      </c>
      <c r="AC120" s="15">
        <f>IF(OR(AA120="",$K120=""),"",AA120*$K120*($K120/Config!$B$10)^Config!$B$9)</f>
        <v/>
      </c>
      <c r="AD120" s="15">
        <f>IF(OR(AC120="",AB120=""),"",AC120*AB120)</f>
        <v/>
      </c>
      <c r="AE120">
        <f>IF($I120="",0,SUMIFS(Map_Stats!$F$2:$F$779,Map_Stats!$A$2:$A$779,$F120&amp;"|"&amp;$I120))</f>
        <v/>
      </c>
      <c r="AF120" s="11">
        <f>IF($I120="","",IFERROR(1/(1/INDEX(Map_Stats!$K$2:$K$779,MATCH($F120&amp;"|"&amp;$I120,Map_Stats!$A$2:$A$779,0))),$O120))</f>
        <v/>
      </c>
      <c r="AG120" s="8">
        <f>IF(OR($I120="",$P120=""),"",IFERROR(1/(1/INDEX(Map_Stats!$I$2:$I$779,MATCH($F120&amp;"|"&amp;$I120,Map_Stats!$A$2:$A$779,0))),$P120))</f>
        <v/>
      </c>
      <c r="AH120" s="11">
        <f>IF(OR($I120="",AF120=""),"",IF($O120="",AF120,(AE120*AF120+Config!$B$4*$O120)/(AE120+Config!$B$4)))</f>
        <v/>
      </c>
      <c r="AI120" s="8">
        <f>IF(AG120="","",(AE120*AG120+Config!$B$4*$P120)/(AE120+Config!$B$4))</f>
        <v/>
      </c>
      <c r="AJ120" s="15">
        <f>IF(OR(AH120="",$L120=""),"",AH120*$L120*($L120/Config!$B$10)^Config!$B$9)</f>
        <v/>
      </c>
      <c r="AK120" s="15">
        <f>IF(OR(AJ120="",AI120=""),"",AJ120*AI120)</f>
        <v/>
      </c>
      <c r="AL120" s="15">
        <f>N(V120)+N(AC120)</f>
        <v/>
      </c>
      <c r="AM120" s="15">
        <f>AL120+N($M120)*N(AJ120)</f>
        <v/>
      </c>
      <c r="AN120" s="15">
        <f>IF(W120="","",N(W120)+N(AD120))</f>
        <v/>
      </c>
      <c r="AO120" s="15">
        <f>IF(AN120="","",AN120+N($M120)*N(AK120))</f>
        <v/>
      </c>
      <c r="AP120" s="8">
        <f>IFERROR(AN120/AL120,"")</f>
        <v/>
      </c>
      <c r="AQ120">
        <f>TRIM(IF($N120&lt;Config!$B$12,"thin sample ("&amp;$N120&amp;" maps) · ","")&amp;IF(AND($G120&lt;&gt;"",Q120=0),"M1 unplayed→overall KPR · ","")&amp;IF(AND($H120&lt;&gt;"",X120=0),"M2 unplayed→overall KPR · ","")&amp;IF($O120="","no PickFinder stats",""))</f>
        <v/>
      </c>
      <c r="AR120">
        <f>IF($C120=Board!$B$2,COUNTIFS($C$2:$C$124,Board!$B$2,$AL$2:$AL$124,"&gt;"&amp;$AL120)+COUNTIFS($C$1:$C119,Board!$B$2,$AL$1:$AL119,$AL120)+1,"")</f>
        <v/>
      </c>
      <c r="AS120">
        <f>IFERROR(IF($D120=INDEX(Matches!$AD$5:$AD$19,MATCH($C120,Matches!$A$5:$A$19,0)),"A",IF($D120=INDEX(Matches!$AE$5:$AE$19,MATCH($C120,Matches!$A$5:$A$19,0)),"B","")),"")</f>
        <v/>
      </c>
      <c r="AT120" s="8">
        <f>IF($AS120="","",IFERROR(IF($AS120="A",INDEX(Matches!$AI$5:$AI$19,MATCH($C120,Matches!$A$5:$A$19,0)),INDEX(Matches!$AJ$5:$AJ$19,MATCH($C120,Matches!$A$5:$A$19,0))),""))</f>
        <v/>
      </c>
      <c r="AU120" s="8">
        <f>IF($AS120="","",IFERROR(IF(INDEX(Matches!$AP$5:$AP$19,MATCH($C120,Matches!$A$5:$A$19,0))="","",IF($AS120="A",INDEX(Matches!$AP$5:$AP$19,MATCH($C120,Matches!$A$5:$A$19,0)),1-INDEX(Matches!$AP$5:$AP$19,MATCH($C120,Matches!$A$5:$A$19,0)))),""))</f>
        <v/>
      </c>
      <c r="AV120" s="11">
        <f>IF(OR($AU120="",$AT120=""),1,((Config!$B$14*$AU120+Config!$B$15*(1-$AU120))/(Config!$B$14*$AT120+Config!$B$15*(1-$AT120)))^Config!$B$13)</f>
        <v/>
      </c>
      <c r="AW120" s="8">
        <f>IF($AS120="","",IFERROR(IF(INDEX(Matches!$AV$5:$AV$19,MATCH($C120,Matches!$A$5:$A$19,0))="","",IF($AS120="A",INDEX(Matches!$AV$5:$AV$19,MATCH($C120,Matches!$A$5:$A$19,0)),1-INDEX(Matches!$AV$5:$AV$19,MATCH($C120,Matches!$A$5:$A$19,0)))),""))</f>
        <v/>
      </c>
      <c r="AX120" s="11">
        <f>IF(OR($AW120="",$AT120=""),1,((Config!$B$14*$AW120+Config!$B$15*(1-$AW120))/(Config!$B$14*$AT120+Config!$B$15*(1-$AT120)))^Config!$B$13)</f>
        <v/>
      </c>
      <c r="AY120" s="8">
        <f>IF($AS120="","",IFERROR(IF(INDEX(Matches!$BB$5:$BB$19,MATCH($C120,Matches!$A$5:$A$19,0))="","",IF($AS120="A",INDEX(Matches!$BB$5:$BB$19,MATCH($C120,Matches!$A$5:$A$19,0)),1-INDEX(Matches!$BB$5:$BB$19,MATCH($C120,Matches!$A$5:$A$19,0)))),""))</f>
        <v/>
      </c>
      <c r="AZ120" s="11">
        <f>IF(OR($AY120="",$AT120=""),1,((Config!$B$14*$AY120+Config!$B$15*(1-$AY120))/(Config!$B$14*$AT120+Config!$B$15*(1-$AT120)))^Config!$B$13)</f>
        <v/>
      </c>
      <c r="BA120" s="15">
        <f>IF(V120="","",V120*$AV120)</f>
        <v/>
      </c>
      <c r="BB120" s="15">
        <f>IF(AC120="","",AC120*$AX120)</f>
        <v/>
      </c>
      <c r="BC120" s="15">
        <f>IF(AJ120="","",AJ120*$AZ120)</f>
        <v/>
      </c>
      <c r="BD120" s="15">
        <f>N(BA120)+N(BB120)</f>
        <v/>
      </c>
      <c r="BE120" s="15">
        <f>BD120+N($M120)*N(BC120)</f>
        <v/>
      </c>
      <c r="BF120" s="15">
        <f>IF(W120="","",W120*$AV120)</f>
        <v/>
      </c>
      <c r="BG120" s="15">
        <f>IF(AD120="","",AD120*$AX120)</f>
        <v/>
      </c>
      <c r="BH120" s="15">
        <f>IF(AK120="","",AK120*$AZ120)</f>
        <v/>
      </c>
      <c r="BI120" s="15">
        <f>IF(BF120="","",N(BF120)+N(BG120))</f>
        <v/>
      </c>
      <c r="BJ120" s="15">
        <f>IF(BI120="","",BI120+N($M120)*N(BH120))</f>
        <v/>
      </c>
      <c r="BK120" s="11">
        <f>IFERROR(BD120/AL120,1)</f>
        <v/>
      </c>
    </row>
    <row r="121">
      <c r="A121" t="inlineStr">
        <is>
          <t>3cunzce5pb15xlw|CS2 · paiN vs BST</t>
        </is>
      </c>
      <c r="B121" t="inlineStr">
        <is>
          <t>CS2</t>
        </is>
      </c>
      <c r="C121" t="inlineStr">
        <is>
          <t>CS2 · paiN vs BST</t>
        </is>
      </c>
      <c r="D121" t="inlineStr">
        <is>
          <t>paiN</t>
        </is>
      </c>
      <c r="E121" t="inlineStr">
        <is>
          <t>biguzera</t>
        </is>
      </c>
      <c r="F121" t="inlineStr">
        <is>
          <t>3cunzce5pb15xlw</t>
        </is>
      </c>
      <c r="G121">
        <f>IFERROR(IF(INDEX(Matches!$W$5:$W$19,MATCH($C121,Matches!$A$5:$A$19,0))="","",INDEX(Matches!$W$5:$W$19,MATCH($C121,Matches!$A$5:$A$19,0))),"")</f>
        <v/>
      </c>
      <c r="H121">
        <f>IFERROR(IF(INDEX(Matches!$X$5:$X$19,MATCH($C121,Matches!$A$5:$A$19,0))="","",INDEX(Matches!$X$5:$X$19,MATCH($C121,Matches!$A$5:$A$19,0))),"")</f>
        <v/>
      </c>
      <c r="I121">
        <f>IFERROR(IF(INDEX(Matches!$Y$5:$Y$19,MATCH($C121,Matches!$A$5:$A$19,0))="","",INDEX(Matches!$Y$5:$Y$19,MATCH($C121,Matches!$A$5:$A$19,0))),"")</f>
        <v/>
      </c>
      <c r="J121">
        <f>IFERROR(IF(INDEX(Matches!$Z$5:$Z$19,MATCH($C121,Matches!$A$5:$A$19,0))="","",INDEX(Matches!$Z$5:$Z$19,MATCH($C121,Matches!$A$5:$A$19,0))),"")</f>
        <v/>
      </c>
      <c r="K121">
        <f>IFERROR(IF(INDEX(Matches!$AA$5:$AA$19,MATCH($C121,Matches!$A$5:$A$19,0))="","",INDEX(Matches!$AA$5:$AA$19,MATCH($C121,Matches!$A$5:$A$19,0))),"")</f>
        <v/>
      </c>
      <c r="L121">
        <f>IFERROR(IF(INDEX(Matches!$AB$5:$AB$19,MATCH($C121,Matches!$A$5:$A$19,0))="","",INDEX(Matches!$AB$5:$AB$19,MATCH($C121,Matches!$A$5:$A$19,0))),"")</f>
        <v/>
      </c>
      <c r="M121" s="8">
        <f>IFERROR(IF(INDEX(Matches!$AC$5:$AC$19,MATCH($C121,Matches!$A$5:$A$19,0))="","",INDEX(Matches!$AC$5:$AC$19,MATCH($C121,Matches!$A$5:$A$19,0))),"")</f>
        <v/>
      </c>
      <c r="N121">
        <f>IFERROR(INDEX(Players!$F$2:$F$124,MATCH($F121,Players!$A$2:$A$124,0)),0)</f>
        <v/>
      </c>
      <c r="O121" s="11">
        <f>IFERROR(1/(1/INDEX(Players!$H$2:$H$124,MATCH($F121,Players!$A$2:$A$124,0))),"")</f>
        <v/>
      </c>
      <c r="P121" s="8">
        <f>IFERROR(1/(1/INDEX(Players!$I$2:$I$124,MATCH($F121,Players!$A$2:$A$124,0))),"")</f>
        <v/>
      </c>
      <c r="Q121">
        <f>IF($G121="",0,SUMIFS(Map_Stats!$F$2:$F$779,Map_Stats!$A$2:$A$779,$F121&amp;"|"&amp;$G121))</f>
        <v/>
      </c>
      <c r="R121" s="11">
        <f>IF($G121="","",IFERROR(1/(1/INDEX(Map_Stats!$K$2:$K$779,MATCH($F121&amp;"|"&amp;$G121,Map_Stats!$A$2:$A$779,0))),$O121))</f>
        <v/>
      </c>
      <c r="S121" s="8">
        <f>IF(OR($G121="",$P121=""),"",IFERROR(1/(1/INDEX(Map_Stats!$I$2:$I$779,MATCH($F121&amp;"|"&amp;$G121,Map_Stats!$A$2:$A$779,0))),$P121))</f>
        <v/>
      </c>
      <c r="T121" s="11">
        <f>IF(OR($G121="",R121=""),"",IF($O121="",R121,(Q121*R121+Config!$B$4*$O121)/(Q121+Config!$B$4)))</f>
        <v/>
      </c>
      <c r="U121" s="8">
        <f>IF(S121="","",(Q121*S121+Config!$B$4*$P121)/(Q121+Config!$B$4))</f>
        <v/>
      </c>
      <c r="V121" s="15">
        <f>IF(OR(T121="",$J121=""),"",T121*$J121*($J121/Config!$B$10)^Config!$B$9)</f>
        <v/>
      </c>
      <c r="W121" s="15">
        <f>IF(OR(V121="",U121=""),"",V121*U121)</f>
        <v/>
      </c>
      <c r="X121">
        <f>IF($H121="",0,SUMIFS(Map_Stats!$F$2:$F$779,Map_Stats!$A$2:$A$779,$F121&amp;"|"&amp;$H121))</f>
        <v/>
      </c>
      <c r="Y121" s="11">
        <f>IF($H121="","",IFERROR(1/(1/INDEX(Map_Stats!$K$2:$K$779,MATCH($F121&amp;"|"&amp;$H121,Map_Stats!$A$2:$A$779,0))),$O121))</f>
        <v/>
      </c>
      <c r="Z121" s="8">
        <f>IF(OR($H121="",$P121=""),"",IFERROR(1/(1/INDEX(Map_Stats!$I$2:$I$779,MATCH($F121&amp;"|"&amp;$H121,Map_Stats!$A$2:$A$779,0))),$P121))</f>
        <v/>
      </c>
      <c r="AA121" s="11">
        <f>IF(OR($H121="",Y121=""),"",IF($O121="",Y121,(X121*Y121+Config!$B$4*$O121)/(X121+Config!$B$4)))</f>
        <v/>
      </c>
      <c r="AB121" s="8">
        <f>IF(Z121="","",(X121*Z121+Config!$B$4*$P121)/(X121+Config!$B$4))</f>
        <v/>
      </c>
      <c r="AC121" s="15">
        <f>IF(OR(AA121="",$K121=""),"",AA121*$K121*($K121/Config!$B$10)^Config!$B$9)</f>
        <v/>
      </c>
      <c r="AD121" s="15">
        <f>IF(OR(AC121="",AB121=""),"",AC121*AB121)</f>
        <v/>
      </c>
      <c r="AE121">
        <f>IF($I121="",0,SUMIFS(Map_Stats!$F$2:$F$779,Map_Stats!$A$2:$A$779,$F121&amp;"|"&amp;$I121))</f>
        <v/>
      </c>
      <c r="AF121" s="11">
        <f>IF($I121="","",IFERROR(1/(1/INDEX(Map_Stats!$K$2:$K$779,MATCH($F121&amp;"|"&amp;$I121,Map_Stats!$A$2:$A$779,0))),$O121))</f>
        <v/>
      </c>
      <c r="AG121" s="8">
        <f>IF(OR($I121="",$P121=""),"",IFERROR(1/(1/INDEX(Map_Stats!$I$2:$I$779,MATCH($F121&amp;"|"&amp;$I121,Map_Stats!$A$2:$A$779,0))),$P121))</f>
        <v/>
      </c>
      <c r="AH121" s="11">
        <f>IF(OR($I121="",AF121=""),"",IF($O121="",AF121,(AE121*AF121+Config!$B$4*$O121)/(AE121+Config!$B$4)))</f>
        <v/>
      </c>
      <c r="AI121" s="8">
        <f>IF(AG121="","",(AE121*AG121+Config!$B$4*$P121)/(AE121+Config!$B$4))</f>
        <v/>
      </c>
      <c r="AJ121" s="15">
        <f>IF(OR(AH121="",$L121=""),"",AH121*$L121*($L121/Config!$B$10)^Config!$B$9)</f>
        <v/>
      </c>
      <c r="AK121" s="15">
        <f>IF(OR(AJ121="",AI121=""),"",AJ121*AI121)</f>
        <v/>
      </c>
      <c r="AL121" s="15">
        <f>N(V121)+N(AC121)</f>
        <v/>
      </c>
      <c r="AM121" s="15">
        <f>AL121+N($M121)*N(AJ121)</f>
        <v/>
      </c>
      <c r="AN121" s="15">
        <f>IF(W121="","",N(W121)+N(AD121))</f>
        <v/>
      </c>
      <c r="AO121" s="15">
        <f>IF(AN121="","",AN121+N($M121)*N(AK121))</f>
        <v/>
      </c>
      <c r="AP121" s="8">
        <f>IFERROR(AN121/AL121,"")</f>
        <v/>
      </c>
      <c r="AQ121">
        <f>TRIM(IF($N121&lt;Config!$B$12,"thin sample ("&amp;$N121&amp;" maps) · ","")&amp;IF(AND($G121&lt;&gt;"",Q121=0),"M1 unplayed→overall KPR · ","")&amp;IF(AND($H121&lt;&gt;"",X121=0),"M2 unplayed→overall KPR · ","")&amp;IF($O121="","no PickFinder stats",""))</f>
        <v/>
      </c>
      <c r="AR121">
        <f>IF($C121=Board!$B$2,COUNTIFS($C$2:$C$124,Board!$B$2,$AL$2:$AL$124,"&gt;"&amp;$AL121)+COUNTIFS($C$1:$C120,Board!$B$2,$AL$1:$AL120,$AL121)+1,"")</f>
        <v/>
      </c>
      <c r="AS121">
        <f>IFERROR(IF($D121=INDEX(Matches!$AD$5:$AD$19,MATCH($C121,Matches!$A$5:$A$19,0)),"A",IF($D121=INDEX(Matches!$AE$5:$AE$19,MATCH($C121,Matches!$A$5:$A$19,0)),"B","")),"")</f>
        <v/>
      </c>
      <c r="AT121" s="8">
        <f>IF($AS121="","",IFERROR(IF($AS121="A",INDEX(Matches!$AI$5:$AI$19,MATCH($C121,Matches!$A$5:$A$19,0)),INDEX(Matches!$AJ$5:$AJ$19,MATCH($C121,Matches!$A$5:$A$19,0))),""))</f>
        <v/>
      </c>
      <c r="AU121" s="8">
        <f>IF($AS121="","",IFERROR(IF(INDEX(Matches!$AP$5:$AP$19,MATCH($C121,Matches!$A$5:$A$19,0))="","",IF($AS121="A",INDEX(Matches!$AP$5:$AP$19,MATCH($C121,Matches!$A$5:$A$19,0)),1-INDEX(Matches!$AP$5:$AP$19,MATCH($C121,Matches!$A$5:$A$19,0)))),""))</f>
        <v/>
      </c>
      <c r="AV121" s="11">
        <f>IF(OR($AU121="",$AT121=""),1,((Config!$B$14*$AU121+Config!$B$15*(1-$AU121))/(Config!$B$14*$AT121+Config!$B$15*(1-$AT121)))^Config!$B$13)</f>
        <v/>
      </c>
      <c r="AW121" s="8">
        <f>IF($AS121="","",IFERROR(IF(INDEX(Matches!$AV$5:$AV$19,MATCH($C121,Matches!$A$5:$A$19,0))="","",IF($AS121="A",INDEX(Matches!$AV$5:$AV$19,MATCH($C121,Matches!$A$5:$A$19,0)),1-INDEX(Matches!$AV$5:$AV$19,MATCH($C121,Matches!$A$5:$A$19,0)))),""))</f>
        <v/>
      </c>
      <c r="AX121" s="11">
        <f>IF(OR($AW121="",$AT121=""),1,((Config!$B$14*$AW121+Config!$B$15*(1-$AW121))/(Config!$B$14*$AT121+Config!$B$15*(1-$AT121)))^Config!$B$13)</f>
        <v/>
      </c>
      <c r="AY121" s="8">
        <f>IF($AS121="","",IFERROR(IF(INDEX(Matches!$BB$5:$BB$19,MATCH($C121,Matches!$A$5:$A$19,0))="","",IF($AS121="A",INDEX(Matches!$BB$5:$BB$19,MATCH($C121,Matches!$A$5:$A$19,0)),1-INDEX(Matches!$BB$5:$BB$19,MATCH($C121,Matches!$A$5:$A$19,0)))),""))</f>
        <v/>
      </c>
      <c r="AZ121" s="11">
        <f>IF(OR($AY121="",$AT121=""),1,((Config!$B$14*$AY121+Config!$B$15*(1-$AY121))/(Config!$B$14*$AT121+Config!$B$15*(1-$AT121)))^Config!$B$13)</f>
        <v/>
      </c>
      <c r="BA121" s="15">
        <f>IF(V121="","",V121*$AV121)</f>
        <v/>
      </c>
      <c r="BB121" s="15">
        <f>IF(AC121="","",AC121*$AX121)</f>
        <v/>
      </c>
      <c r="BC121" s="15">
        <f>IF(AJ121="","",AJ121*$AZ121)</f>
        <v/>
      </c>
      <c r="BD121" s="15">
        <f>N(BA121)+N(BB121)</f>
        <v/>
      </c>
      <c r="BE121" s="15">
        <f>BD121+N($M121)*N(BC121)</f>
        <v/>
      </c>
      <c r="BF121" s="15">
        <f>IF(W121="","",W121*$AV121)</f>
        <v/>
      </c>
      <c r="BG121" s="15">
        <f>IF(AD121="","",AD121*$AX121)</f>
        <v/>
      </c>
      <c r="BH121" s="15">
        <f>IF(AK121="","",AK121*$AZ121)</f>
        <v/>
      </c>
      <c r="BI121" s="15">
        <f>IF(BF121="","",N(BF121)+N(BG121))</f>
        <v/>
      </c>
      <c r="BJ121" s="15">
        <f>IF(BI121="","",BI121+N($M121)*N(BH121))</f>
        <v/>
      </c>
      <c r="BK121" s="11">
        <f>IFERROR(BD121/AL121,1)</f>
        <v/>
      </c>
    </row>
    <row r="122">
      <c r="A122" t="inlineStr">
        <is>
          <t>1p3p5e3dcd3rbvt|CS2 · paiN vs BST</t>
        </is>
      </c>
      <c r="B122" t="inlineStr">
        <is>
          <t>CS2</t>
        </is>
      </c>
      <c r="C122" t="inlineStr">
        <is>
          <t>CS2 · paiN vs BST</t>
        </is>
      </c>
      <c r="D122" t="inlineStr">
        <is>
          <t>paiN</t>
        </is>
      </c>
      <c r="E122" t="inlineStr">
        <is>
          <t>Rkzinho</t>
        </is>
      </c>
      <c r="F122" t="inlineStr">
        <is>
          <t>1p3p5e3dcd3rbvt</t>
        </is>
      </c>
      <c r="G122">
        <f>IFERROR(IF(INDEX(Matches!$W$5:$W$19,MATCH($C122,Matches!$A$5:$A$19,0))="","",INDEX(Matches!$W$5:$W$19,MATCH($C122,Matches!$A$5:$A$19,0))),"")</f>
        <v/>
      </c>
      <c r="H122">
        <f>IFERROR(IF(INDEX(Matches!$X$5:$X$19,MATCH($C122,Matches!$A$5:$A$19,0))="","",INDEX(Matches!$X$5:$X$19,MATCH($C122,Matches!$A$5:$A$19,0))),"")</f>
        <v/>
      </c>
      <c r="I122">
        <f>IFERROR(IF(INDEX(Matches!$Y$5:$Y$19,MATCH($C122,Matches!$A$5:$A$19,0))="","",INDEX(Matches!$Y$5:$Y$19,MATCH($C122,Matches!$A$5:$A$19,0))),"")</f>
        <v/>
      </c>
      <c r="J122">
        <f>IFERROR(IF(INDEX(Matches!$Z$5:$Z$19,MATCH($C122,Matches!$A$5:$A$19,0))="","",INDEX(Matches!$Z$5:$Z$19,MATCH($C122,Matches!$A$5:$A$19,0))),"")</f>
        <v/>
      </c>
      <c r="K122">
        <f>IFERROR(IF(INDEX(Matches!$AA$5:$AA$19,MATCH($C122,Matches!$A$5:$A$19,0))="","",INDEX(Matches!$AA$5:$AA$19,MATCH($C122,Matches!$A$5:$A$19,0))),"")</f>
        <v/>
      </c>
      <c r="L122">
        <f>IFERROR(IF(INDEX(Matches!$AB$5:$AB$19,MATCH($C122,Matches!$A$5:$A$19,0))="","",INDEX(Matches!$AB$5:$AB$19,MATCH($C122,Matches!$A$5:$A$19,0))),"")</f>
        <v/>
      </c>
      <c r="M122" s="8">
        <f>IFERROR(IF(INDEX(Matches!$AC$5:$AC$19,MATCH($C122,Matches!$A$5:$A$19,0))="","",INDEX(Matches!$AC$5:$AC$19,MATCH($C122,Matches!$A$5:$A$19,0))),"")</f>
        <v/>
      </c>
      <c r="N122">
        <f>IFERROR(INDEX(Players!$F$2:$F$124,MATCH($F122,Players!$A$2:$A$124,0)),0)</f>
        <v/>
      </c>
      <c r="O122" s="11">
        <f>IFERROR(1/(1/INDEX(Players!$H$2:$H$124,MATCH($F122,Players!$A$2:$A$124,0))),"")</f>
        <v/>
      </c>
      <c r="P122" s="8">
        <f>IFERROR(1/(1/INDEX(Players!$I$2:$I$124,MATCH($F122,Players!$A$2:$A$124,0))),"")</f>
        <v/>
      </c>
      <c r="Q122">
        <f>IF($G122="",0,SUMIFS(Map_Stats!$F$2:$F$779,Map_Stats!$A$2:$A$779,$F122&amp;"|"&amp;$G122))</f>
        <v/>
      </c>
      <c r="R122" s="11">
        <f>IF($G122="","",IFERROR(1/(1/INDEX(Map_Stats!$K$2:$K$779,MATCH($F122&amp;"|"&amp;$G122,Map_Stats!$A$2:$A$779,0))),$O122))</f>
        <v/>
      </c>
      <c r="S122" s="8">
        <f>IF(OR($G122="",$P122=""),"",IFERROR(1/(1/INDEX(Map_Stats!$I$2:$I$779,MATCH($F122&amp;"|"&amp;$G122,Map_Stats!$A$2:$A$779,0))),$P122))</f>
        <v/>
      </c>
      <c r="T122" s="11">
        <f>IF(OR($G122="",R122=""),"",IF($O122="",R122,(Q122*R122+Config!$B$4*$O122)/(Q122+Config!$B$4)))</f>
        <v/>
      </c>
      <c r="U122" s="8">
        <f>IF(S122="","",(Q122*S122+Config!$B$4*$P122)/(Q122+Config!$B$4))</f>
        <v/>
      </c>
      <c r="V122" s="15">
        <f>IF(OR(T122="",$J122=""),"",T122*$J122*($J122/Config!$B$10)^Config!$B$9)</f>
        <v/>
      </c>
      <c r="W122" s="15">
        <f>IF(OR(V122="",U122=""),"",V122*U122)</f>
        <v/>
      </c>
      <c r="X122">
        <f>IF($H122="",0,SUMIFS(Map_Stats!$F$2:$F$779,Map_Stats!$A$2:$A$779,$F122&amp;"|"&amp;$H122))</f>
        <v/>
      </c>
      <c r="Y122" s="11">
        <f>IF($H122="","",IFERROR(1/(1/INDEX(Map_Stats!$K$2:$K$779,MATCH($F122&amp;"|"&amp;$H122,Map_Stats!$A$2:$A$779,0))),$O122))</f>
        <v/>
      </c>
      <c r="Z122" s="8">
        <f>IF(OR($H122="",$P122=""),"",IFERROR(1/(1/INDEX(Map_Stats!$I$2:$I$779,MATCH($F122&amp;"|"&amp;$H122,Map_Stats!$A$2:$A$779,0))),$P122))</f>
        <v/>
      </c>
      <c r="AA122" s="11">
        <f>IF(OR($H122="",Y122=""),"",IF($O122="",Y122,(X122*Y122+Config!$B$4*$O122)/(X122+Config!$B$4)))</f>
        <v/>
      </c>
      <c r="AB122" s="8">
        <f>IF(Z122="","",(X122*Z122+Config!$B$4*$P122)/(X122+Config!$B$4))</f>
        <v/>
      </c>
      <c r="AC122" s="15">
        <f>IF(OR(AA122="",$K122=""),"",AA122*$K122*($K122/Config!$B$10)^Config!$B$9)</f>
        <v/>
      </c>
      <c r="AD122" s="15">
        <f>IF(OR(AC122="",AB122=""),"",AC122*AB122)</f>
        <v/>
      </c>
      <c r="AE122">
        <f>IF($I122="",0,SUMIFS(Map_Stats!$F$2:$F$779,Map_Stats!$A$2:$A$779,$F122&amp;"|"&amp;$I122))</f>
        <v/>
      </c>
      <c r="AF122" s="11">
        <f>IF($I122="","",IFERROR(1/(1/INDEX(Map_Stats!$K$2:$K$779,MATCH($F122&amp;"|"&amp;$I122,Map_Stats!$A$2:$A$779,0))),$O122))</f>
        <v/>
      </c>
      <c r="AG122" s="8">
        <f>IF(OR($I122="",$P122=""),"",IFERROR(1/(1/INDEX(Map_Stats!$I$2:$I$779,MATCH($F122&amp;"|"&amp;$I122,Map_Stats!$A$2:$A$779,0))),$P122))</f>
        <v/>
      </c>
      <c r="AH122" s="11">
        <f>IF(OR($I122="",AF122=""),"",IF($O122="",AF122,(AE122*AF122+Config!$B$4*$O122)/(AE122+Config!$B$4)))</f>
        <v/>
      </c>
      <c r="AI122" s="8">
        <f>IF(AG122="","",(AE122*AG122+Config!$B$4*$P122)/(AE122+Config!$B$4))</f>
        <v/>
      </c>
      <c r="AJ122" s="15">
        <f>IF(OR(AH122="",$L122=""),"",AH122*$L122*($L122/Config!$B$10)^Config!$B$9)</f>
        <v/>
      </c>
      <c r="AK122" s="15">
        <f>IF(OR(AJ122="",AI122=""),"",AJ122*AI122)</f>
        <v/>
      </c>
      <c r="AL122" s="15">
        <f>N(V122)+N(AC122)</f>
        <v/>
      </c>
      <c r="AM122" s="15">
        <f>AL122+N($M122)*N(AJ122)</f>
        <v/>
      </c>
      <c r="AN122" s="15">
        <f>IF(W122="","",N(W122)+N(AD122))</f>
        <v/>
      </c>
      <c r="AO122" s="15">
        <f>IF(AN122="","",AN122+N($M122)*N(AK122))</f>
        <v/>
      </c>
      <c r="AP122" s="8">
        <f>IFERROR(AN122/AL122,"")</f>
        <v/>
      </c>
      <c r="AQ122">
        <f>TRIM(IF($N122&lt;Config!$B$12,"thin sample ("&amp;$N122&amp;" maps) · ","")&amp;IF(AND($G122&lt;&gt;"",Q122=0),"M1 unplayed→overall KPR · ","")&amp;IF(AND($H122&lt;&gt;"",X122=0),"M2 unplayed→overall KPR · ","")&amp;IF($O122="","no PickFinder stats",""))</f>
        <v/>
      </c>
      <c r="AR122">
        <f>IF($C122=Board!$B$2,COUNTIFS($C$2:$C$124,Board!$B$2,$AL$2:$AL$124,"&gt;"&amp;$AL122)+COUNTIFS($C$1:$C121,Board!$B$2,$AL$1:$AL121,$AL122)+1,"")</f>
        <v/>
      </c>
      <c r="AS122">
        <f>IFERROR(IF($D122=INDEX(Matches!$AD$5:$AD$19,MATCH($C122,Matches!$A$5:$A$19,0)),"A",IF($D122=INDEX(Matches!$AE$5:$AE$19,MATCH($C122,Matches!$A$5:$A$19,0)),"B","")),"")</f>
        <v/>
      </c>
      <c r="AT122" s="8">
        <f>IF($AS122="","",IFERROR(IF($AS122="A",INDEX(Matches!$AI$5:$AI$19,MATCH($C122,Matches!$A$5:$A$19,0)),INDEX(Matches!$AJ$5:$AJ$19,MATCH($C122,Matches!$A$5:$A$19,0))),""))</f>
        <v/>
      </c>
      <c r="AU122" s="8">
        <f>IF($AS122="","",IFERROR(IF(INDEX(Matches!$AP$5:$AP$19,MATCH($C122,Matches!$A$5:$A$19,0))="","",IF($AS122="A",INDEX(Matches!$AP$5:$AP$19,MATCH($C122,Matches!$A$5:$A$19,0)),1-INDEX(Matches!$AP$5:$AP$19,MATCH($C122,Matches!$A$5:$A$19,0)))),""))</f>
        <v/>
      </c>
      <c r="AV122" s="11">
        <f>IF(OR($AU122="",$AT122=""),1,((Config!$B$14*$AU122+Config!$B$15*(1-$AU122))/(Config!$B$14*$AT122+Config!$B$15*(1-$AT122)))^Config!$B$13)</f>
        <v/>
      </c>
      <c r="AW122" s="8">
        <f>IF($AS122="","",IFERROR(IF(INDEX(Matches!$AV$5:$AV$19,MATCH($C122,Matches!$A$5:$A$19,0))="","",IF($AS122="A",INDEX(Matches!$AV$5:$AV$19,MATCH($C122,Matches!$A$5:$A$19,0)),1-INDEX(Matches!$AV$5:$AV$19,MATCH($C122,Matches!$A$5:$A$19,0)))),""))</f>
        <v/>
      </c>
      <c r="AX122" s="11">
        <f>IF(OR($AW122="",$AT122=""),1,((Config!$B$14*$AW122+Config!$B$15*(1-$AW122))/(Config!$B$14*$AT122+Config!$B$15*(1-$AT122)))^Config!$B$13)</f>
        <v/>
      </c>
      <c r="AY122" s="8">
        <f>IF($AS122="","",IFERROR(IF(INDEX(Matches!$BB$5:$BB$19,MATCH($C122,Matches!$A$5:$A$19,0))="","",IF($AS122="A",INDEX(Matches!$BB$5:$BB$19,MATCH($C122,Matches!$A$5:$A$19,0)),1-INDEX(Matches!$BB$5:$BB$19,MATCH($C122,Matches!$A$5:$A$19,0)))),""))</f>
        <v/>
      </c>
      <c r="AZ122" s="11">
        <f>IF(OR($AY122="",$AT122=""),1,((Config!$B$14*$AY122+Config!$B$15*(1-$AY122))/(Config!$B$14*$AT122+Config!$B$15*(1-$AT122)))^Config!$B$13)</f>
        <v/>
      </c>
      <c r="BA122" s="15">
        <f>IF(V122="","",V122*$AV122)</f>
        <v/>
      </c>
      <c r="BB122" s="15">
        <f>IF(AC122="","",AC122*$AX122)</f>
        <v/>
      </c>
      <c r="BC122" s="15">
        <f>IF(AJ122="","",AJ122*$AZ122)</f>
        <v/>
      </c>
      <c r="BD122" s="15">
        <f>N(BA122)+N(BB122)</f>
        <v/>
      </c>
      <c r="BE122" s="15">
        <f>BD122+N($M122)*N(BC122)</f>
        <v/>
      </c>
      <c r="BF122" s="15">
        <f>IF(W122="","",W122*$AV122)</f>
        <v/>
      </c>
      <c r="BG122" s="15">
        <f>IF(AD122="","",AD122*$AX122)</f>
        <v/>
      </c>
      <c r="BH122" s="15">
        <f>IF(AK122="","",AK122*$AZ122)</f>
        <v/>
      </c>
      <c r="BI122" s="15">
        <f>IF(BF122="","",N(BF122)+N(BG122))</f>
        <v/>
      </c>
      <c r="BJ122" s="15">
        <f>IF(BI122="","",BI122+N($M122)*N(BH122))</f>
        <v/>
      </c>
      <c r="BK122" s="11">
        <f>IFERROR(BD122/AL122,1)</f>
        <v/>
      </c>
    </row>
    <row r="123">
      <c r="A123" t="inlineStr">
        <is>
          <t>d1hn3as545n029p|CS2 · paiN vs BST</t>
        </is>
      </c>
      <c r="B123" t="inlineStr">
        <is>
          <t>CS2</t>
        </is>
      </c>
      <c r="C123" t="inlineStr">
        <is>
          <t>CS2 · paiN vs BST</t>
        </is>
      </c>
      <c r="D123" t="inlineStr">
        <is>
          <t>paiN</t>
        </is>
      </c>
      <c r="E123" t="inlineStr">
        <is>
          <t>saffee</t>
        </is>
      </c>
      <c r="F123" t="inlineStr">
        <is>
          <t>d1hn3as545n029p</t>
        </is>
      </c>
      <c r="G123">
        <f>IFERROR(IF(INDEX(Matches!$W$5:$W$19,MATCH($C123,Matches!$A$5:$A$19,0))="","",INDEX(Matches!$W$5:$W$19,MATCH($C123,Matches!$A$5:$A$19,0))),"")</f>
        <v/>
      </c>
      <c r="H123">
        <f>IFERROR(IF(INDEX(Matches!$X$5:$X$19,MATCH($C123,Matches!$A$5:$A$19,0))="","",INDEX(Matches!$X$5:$X$19,MATCH($C123,Matches!$A$5:$A$19,0))),"")</f>
        <v/>
      </c>
      <c r="I123">
        <f>IFERROR(IF(INDEX(Matches!$Y$5:$Y$19,MATCH($C123,Matches!$A$5:$A$19,0))="","",INDEX(Matches!$Y$5:$Y$19,MATCH($C123,Matches!$A$5:$A$19,0))),"")</f>
        <v/>
      </c>
      <c r="J123">
        <f>IFERROR(IF(INDEX(Matches!$Z$5:$Z$19,MATCH($C123,Matches!$A$5:$A$19,0))="","",INDEX(Matches!$Z$5:$Z$19,MATCH($C123,Matches!$A$5:$A$19,0))),"")</f>
        <v/>
      </c>
      <c r="K123">
        <f>IFERROR(IF(INDEX(Matches!$AA$5:$AA$19,MATCH($C123,Matches!$A$5:$A$19,0))="","",INDEX(Matches!$AA$5:$AA$19,MATCH($C123,Matches!$A$5:$A$19,0))),"")</f>
        <v/>
      </c>
      <c r="L123">
        <f>IFERROR(IF(INDEX(Matches!$AB$5:$AB$19,MATCH($C123,Matches!$A$5:$A$19,0))="","",INDEX(Matches!$AB$5:$AB$19,MATCH($C123,Matches!$A$5:$A$19,0))),"")</f>
        <v/>
      </c>
      <c r="M123" s="8">
        <f>IFERROR(IF(INDEX(Matches!$AC$5:$AC$19,MATCH($C123,Matches!$A$5:$A$19,0))="","",INDEX(Matches!$AC$5:$AC$19,MATCH($C123,Matches!$A$5:$A$19,0))),"")</f>
        <v/>
      </c>
      <c r="N123">
        <f>IFERROR(INDEX(Players!$F$2:$F$124,MATCH($F123,Players!$A$2:$A$124,0)),0)</f>
        <v/>
      </c>
      <c r="O123" s="11">
        <f>IFERROR(1/(1/INDEX(Players!$H$2:$H$124,MATCH($F123,Players!$A$2:$A$124,0))),"")</f>
        <v/>
      </c>
      <c r="P123" s="8">
        <f>IFERROR(1/(1/INDEX(Players!$I$2:$I$124,MATCH($F123,Players!$A$2:$A$124,0))),"")</f>
        <v/>
      </c>
      <c r="Q123">
        <f>IF($G123="",0,SUMIFS(Map_Stats!$F$2:$F$779,Map_Stats!$A$2:$A$779,$F123&amp;"|"&amp;$G123))</f>
        <v/>
      </c>
      <c r="R123" s="11">
        <f>IF($G123="","",IFERROR(1/(1/INDEX(Map_Stats!$K$2:$K$779,MATCH($F123&amp;"|"&amp;$G123,Map_Stats!$A$2:$A$779,0))),$O123))</f>
        <v/>
      </c>
      <c r="S123" s="8">
        <f>IF(OR($G123="",$P123=""),"",IFERROR(1/(1/INDEX(Map_Stats!$I$2:$I$779,MATCH($F123&amp;"|"&amp;$G123,Map_Stats!$A$2:$A$779,0))),$P123))</f>
        <v/>
      </c>
      <c r="T123" s="11">
        <f>IF(OR($G123="",R123=""),"",IF($O123="",R123,(Q123*R123+Config!$B$4*$O123)/(Q123+Config!$B$4)))</f>
        <v/>
      </c>
      <c r="U123" s="8">
        <f>IF(S123="","",(Q123*S123+Config!$B$4*$P123)/(Q123+Config!$B$4))</f>
        <v/>
      </c>
      <c r="V123" s="15">
        <f>IF(OR(T123="",$J123=""),"",T123*$J123*($J123/Config!$B$10)^Config!$B$9)</f>
        <v/>
      </c>
      <c r="W123" s="15">
        <f>IF(OR(V123="",U123=""),"",V123*U123)</f>
        <v/>
      </c>
      <c r="X123">
        <f>IF($H123="",0,SUMIFS(Map_Stats!$F$2:$F$779,Map_Stats!$A$2:$A$779,$F123&amp;"|"&amp;$H123))</f>
        <v/>
      </c>
      <c r="Y123" s="11">
        <f>IF($H123="","",IFERROR(1/(1/INDEX(Map_Stats!$K$2:$K$779,MATCH($F123&amp;"|"&amp;$H123,Map_Stats!$A$2:$A$779,0))),$O123))</f>
        <v/>
      </c>
      <c r="Z123" s="8">
        <f>IF(OR($H123="",$P123=""),"",IFERROR(1/(1/INDEX(Map_Stats!$I$2:$I$779,MATCH($F123&amp;"|"&amp;$H123,Map_Stats!$A$2:$A$779,0))),$P123))</f>
        <v/>
      </c>
      <c r="AA123" s="11">
        <f>IF(OR($H123="",Y123=""),"",IF($O123="",Y123,(X123*Y123+Config!$B$4*$O123)/(X123+Config!$B$4)))</f>
        <v/>
      </c>
      <c r="AB123" s="8">
        <f>IF(Z123="","",(X123*Z123+Config!$B$4*$P123)/(X123+Config!$B$4))</f>
        <v/>
      </c>
      <c r="AC123" s="15">
        <f>IF(OR(AA123="",$K123=""),"",AA123*$K123*($K123/Config!$B$10)^Config!$B$9)</f>
        <v/>
      </c>
      <c r="AD123" s="15">
        <f>IF(OR(AC123="",AB123=""),"",AC123*AB123)</f>
        <v/>
      </c>
      <c r="AE123">
        <f>IF($I123="",0,SUMIFS(Map_Stats!$F$2:$F$779,Map_Stats!$A$2:$A$779,$F123&amp;"|"&amp;$I123))</f>
        <v/>
      </c>
      <c r="AF123" s="11">
        <f>IF($I123="","",IFERROR(1/(1/INDEX(Map_Stats!$K$2:$K$779,MATCH($F123&amp;"|"&amp;$I123,Map_Stats!$A$2:$A$779,0))),$O123))</f>
        <v/>
      </c>
      <c r="AG123" s="8">
        <f>IF(OR($I123="",$P123=""),"",IFERROR(1/(1/INDEX(Map_Stats!$I$2:$I$779,MATCH($F123&amp;"|"&amp;$I123,Map_Stats!$A$2:$A$779,0))),$P123))</f>
        <v/>
      </c>
      <c r="AH123" s="11">
        <f>IF(OR($I123="",AF123=""),"",IF($O123="",AF123,(AE123*AF123+Config!$B$4*$O123)/(AE123+Config!$B$4)))</f>
        <v/>
      </c>
      <c r="AI123" s="8">
        <f>IF(AG123="","",(AE123*AG123+Config!$B$4*$P123)/(AE123+Config!$B$4))</f>
        <v/>
      </c>
      <c r="AJ123" s="15">
        <f>IF(OR(AH123="",$L123=""),"",AH123*$L123*($L123/Config!$B$10)^Config!$B$9)</f>
        <v/>
      </c>
      <c r="AK123" s="15">
        <f>IF(OR(AJ123="",AI123=""),"",AJ123*AI123)</f>
        <v/>
      </c>
      <c r="AL123" s="15">
        <f>N(V123)+N(AC123)</f>
        <v/>
      </c>
      <c r="AM123" s="15">
        <f>AL123+N($M123)*N(AJ123)</f>
        <v/>
      </c>
      <c r="AN123" s="15">
        <f>IF(W123="","",N(W123)+N(AD123))</f>
        <v/>
      </c>
      <c r="AO123" s="15">
        <f>IF(AN123="","",AN123+N($M123)*N(AK123))</f>
        <v/>
      </c>
      <c r="AP123" s="8">
        <f>IFERROR(AN123/AL123,"")</f>
        <v/>
      </c>
      <c r="AQ123">
        <f>TRIM(IF($N123&lt;Config!$B$12,"thin sample ("&amp;$N123&amp;" maps) · ","")&amp;IF(AND($G123&lt;&gt;"",Q123=0),"M1 unplayed→overall KPR · ","")&amp;IF(AND($H123&lt;&gt;"",X123=0),"M2 unplayed→overall KPR · ","")&amp;IF($O123="","no PickFinder stats",""))</f>
        <v/>
      </c>
      <c r="AR123">
        <f>IF($C123=Board!$B$2,COUNTIFS($C$2:$C$124,Board!$B$2,$AL$2:$AL$124,"&gt;"&amp;$AL123)+COUNTIFS($C$1:$C122,Board!$B$2,$AL$1:$AL122,$AL123)+1,"")</f>
        <v/>
      </c>
      <c r="AS123">
        <f>IFERROR(IF($D123=INDEX(Matches!$AD$5:$AD$19,MATCH($C123,Matches!$A$5:$A$19,0)),"A",IF($D123=INDEX(Matches!$AE$5:$AE$19,MATCH($C123,Matches!$A$5:$A$19,0)),"B","")),"")</f>
        <v/>
      </c>
      <c r="AT123" s="8">
        <f>IF($AS123="","",IFERROR(IF($AS123="A",INDEX(Matches!$AI$5:$AI$19,MATCH($C123,Matches!$A$5:$A$19,0)),INDEX(Matches!$AJ$5:$AJ$19,MATCH($C123,Matches!$A$5:$A$19,0))),""))</f>
        <v/>
      </c>
      <c r="AU123" s="8">
        <f>IF($AS123="","",IFERROR(IF(INDEX(Matches!$AP$5:$AP$19,MATCH($C123,Matches!$A$5:$A$19,0))="","",IF($AS123="A",INDEX(Matches!$AP$5:$AP$19,MATCH($C123,Matches!$A$5:$A$19,0)),1-INDEX(Matches!$AP$5:$AP$19,MATCH($C123,Matches!$A$5:$A$19,0)))),""))</f>
        <v/>
      </c>
      <c r="AV123" s="11">
        <f>IF(OR($AU123="",$AT123=""),1,((Config!$B$14*$AU123+Config!$B$15*(1-$AU123))/(Config!$B$14*$AT123+Config!$B$15*(1-$AT123)))^Config!$B$13)</f>
        <v/>
      </c>
      <c r="AW123" s="8">
        <f>IF($AS123="","",IFERROR(IF(INDEX(Matches!$AV$5:$AV$19,MATCH($C123,Matches!$A$5:$A$19,0))="","",IF($AS123="A",INDEX(Matches!$AV$5:$AV$19,MATCH($C123,Matches!$A$5:$A$19,0)),1-INDEX(Matches!$AV$5:$AV$19,MATCH($C123,Matches!$A$5:$A$19,0)))),""))</f>
        <v/>
      </c>
      <c r="AX123" s="11">
        <f>IF(OR($AW123="",$AT123=""),1,((Config!$B$14*$AW123+Config!$B$15*(1-$AW123))/(Config!$B$14*$AT123+Config!$B$15*(1-$AT123)))^Config!$B$13)</f>
        <v/>
      </c>
      <c r="AY123" s="8">
        <f>IF($AS123="","",IFERROR(IF(INDEX(Matches!$BB$5:$BB$19,MATCH($C123,Matches!$A$5:$A$19,0))="","",IF($AS123="A",INDEX(Matches!$BB$5:$BB$19,MATCH($C123,Matches!$A$5:$A$19,0)),1-INDEX(Matches!$BB$5:$BB$19,MATCH($C123,Matches!$A$5:$A$19,0)))),""))</f>
        <v/>
      </c>
      <c r="AZ123" s="11">
        <f>IF(OR($AY123="",$AT123=""),1,((Config!$B$14*$AY123+Config!$B$15*(1-$AY123))/(Config!$B$14*$AT123+Config!$B$15*(1-$AT123)))^Config!$B$13)</f>
        <v/>
      </c>
      <c r="BA123" s="15">
        <f>IF(V123="","",V123*$AV123)</f>
        <v/>
      </c>
      <c r="BB123" s="15">
        <f>IF(AC123="","",AC123*$AX123)</f>
        <v/>
      </c>
      <c r="BC123" s="15">
        <f>IF(AJ123="","",AJ123*$AZ123)</f>
        <v/>
      </c>
      <c r="BD123" s="15">
        <f>N(BA123)+N(BB123)</f>
        <v/>
      </c>
      <c r="BE123" s="15">
        <f>BD123+N($M123)*N(BC123)</f>
        <v/>
      </c>
      <c r="BF123" s="15">
        <f>IF(W123="","",W123*$AV123)</f>
        <v/>
      </c>
      <c r="BG123" s="15">
        <f>IF(AD123="","",AD123*$AX123)</f>
        <v/>
      </c>
      <c r="BH123" s="15">
        <f>IF(AK123="","",AK123*$AZ123)</f>
        <v/>
      </c>
      <c r="BI123" s="15">
        <f>IF(BF123="","",N(BF123)+N(BG123))</f>
        <v/>
      </c>
      <c r="BJ123" s="15">
        <f>IF(BI123="","",BI123+N($M123)*N(BH123))</f>
        <v/>
      </c>
      <c r="BK123" s="11">
        <f>IFERROR(BD123/AL123,1)</f>
        <v/>
      </c>
    </row>
    <row r="124">
      <c r="A124" t="inlineStr">
        <is>
          <t>tkkenn22b7r5gfa|CS2 · paiN vs BST</t>
        </is>
      </c>
      <c r="B124" t="inlineStr">
        <is>
          <t>CS2</t>
        </is>
      </c>
      <c r="C124" t="inlineStr">
        <is>
          <t>CS2 · paiN vs BST</t>
        </is>
      </c>
      <c r="D124" t="inlineStr">
        <is>
          <t>paiN</t>
        </is>
      </c>
      <c r="E124" t="inlineStr">
        <is>
          <t>Tatu</t>
        </is>
      </c>
      <c r="F124" t="inlineStr">
        <is>
          <t>tkkenn22b7r5gfa</t>
        </is>
      </c>
      <c r="G124">
        <f>IFERROR(IF(INDEX(Matches!$W$5:$W$19,MATCH($C124,Matches!$A$5:$A$19,0))="","",INDEX(Matches!$W$5:$W$19,MATCH($C124,Matches!$A$5:$A$19,0))),"")</f>
        <v/>
      </c>
      <c r="H124">
        <f>IFERROR(IF(INDEX(Matches!$X$5:$X$19,MATCH($C124,Matches!$A$5:$A$19,0))="","",INDEX(Matches!$X$5:$X$19,MATCH($C124,Matches!$A$5:$A$19,0))),"")</f>
        <v/>
      </c>
      <c r="I124">
        <f>IFERROR(IF(INDEX(Matches!$Y$5:$Y$19,MATCH($C124,Matches!$A$5:$A$19,0))="","",INDEX(Matches!$Y$5:$Y$19,MATCH($C124,Matches!$A$5:$A$19,0))),"")</f>
        <v/>
      </c>
      <c r="J124">
        <f>IFERROR(IF(INDEX(Matches!$Z$5:$Z$19,MATCH($C124,Matches!$A$5:$A$19,0))="","",INDEX(Matches!$Z$5:$Z$19,MATCH($C124,Matches!$A$5:$A$19,0))),"")</f>
        <v/>
      </c>
      <c r="K124">
        <f>IFERROR(IF(INDEX(Matches!$AA$5:$AA$19,MATCH($C124,Matches!$A$5:$A$19,0))="","",INDEX(Matches!$AA$5:$AA$19,MATCH($C124,Matches!$A$5:$A$19,0))),"")</f>
        <v/>
      </c>
      <c r="L124">
        <f>IFERROR(IF(INDEX(Matches!$AB$5:$AB$19,MATCH($C124,Matches!$A$5:$A$19,0))="","",INDEX(Matches!$AB$5:$AB$19,MATCH($C124,Matches!$A$5:$A$19,0))),"")</f>
        <v/>
      </c>
      <c r="M124" s="8">
        <f>IFERROR(IF(INDEX(Matches!$AC$5:$AC$19,MATCH($C124,Matches!$A$5:$A$19,0))="","",INDEX(Matches!$AC$5:$AC$19,MATCH($C124,Matches!$A$5:$A$19,0))),"")</f>
        <v/>
      </c>
      <c r="N124">
        <f>IFERROR(INDEX(Players!$F$2:$F$124,MATCH($F124,Players!$A$2:$A$124,0)),0)</f>
        <v/>
      </c>
      <c r="O124" s="11">
        <f>IFERROR(1/(1/INDEX(Players!$H$2:$H$124,MATCH($F124,Players!$A$2:$A$124,0))),"")</f>
        <v/>
      </c>
      <c r="P124" s="8">
        <f>IFERROR(1/(1/INDEX(Players!$I$2:$I$124,MATCH($F124,Players!$A$2:$A$124,0))),"")</f>
        <v/>
      </c>
      <c r="Q124">
        <f>IF($G124="",0,SUMIFS(Map_Stats!$F$2:$F$779,Map_Stats!$A$2:$A$779,$F124&amp;"|"&amp;$G124))</f>
        <v/>
      </c>
      <c r="R124" s="11">
        <f>IF($G124="","",IFERROR(1/(1/INDEX(Map_Stats!$K$2:$K$779,MATCH($F124&amp;"|"&amp;$G124,Map_Stats!$A$2:$A$779,0))),$O124))</f>
        <v/>
      </c>
      <c r="S124" s="8">
        <f>IF(OR($G124="",$P124=""),"",IFERROR(1/(1/INDEX(Map_Stats!$I$2:$I$779,MATCH($F124&amp;"|"&amp;$G124,Map_Stats!$A$2:$A$779,0))),$P124))</f>
        <v/>
      </c>
      <c r="T124" s="11">
        <f>IF(OR($G124="",R124=""),"",IF($O124="",R124,(Q124*R124+Config!$B$4*$O124)/(Q124+Config!$B$4)))</f>
        <v/>
      </c>
      <c r="U124" s="8">
        <f>IF(S124="","",(Q124*S124+Config!$B$4*$P124)/(Q124+Config!$B$4))</f>
        <v/>
      </c>
      <c r="V124" s="15">
        <f>IF(OR(T124="",$J124=""),"",T124*$J124*($J124/Config!$B$10)^Config!$B$9)</f>
        <v/>
      </c>
      <c r="W124" s="15">
        <f>IF(OR(V124="",U124=""),"",V124*U124)</f>
        <v/>
      </c>
      <c r="X124">
        <f>IF($H124="",0,SUMIFS(Map_Stats!$F$2:$F$779,Map_Stats!$A$2:$A$779,$F124&amp;"|"&amp;$H124))</f>
        <v/>
      </c>
      <c r="Y124" s="11">
        <f>IF($H124="","",IFERROR(1/(1/INDEX(Map_Stats!$K$2:$K$779,MATCH($F124&amp;"|"&amp;$H124,Map_Stats!$A$2:$A$779,0))),$O124))</f>
        <v/>
      </c>
      <c r="Z124" s="8">
        <f>IF(OR($H124="",$P124=""),"",IFERROR(1/(1/INDEX(Map_Stats!$I$2:$I$779,MATCH($F124&amp;"|"&amp;$H124,Map_Stats!$A$2:$A$779,0))),$P124))</f>
        <v/>
      </c>
      <c r="AA124" s="11">
        <f>IF(OR($H124="",Y124=""),"",IF($O124="",Y124,(X124*Y124+Config!$B$4*$O124)/(X124+Config!$B$4)))</f>
        <v/>
      </c>
      <c r="AB124" s="8">
        <f>IF(Z124="","",(X124*Z124+Config!$B$4*$P124)/(X124+Config!$B$4))</f>
        <v/>
      </c>
      <c r="AC124" s="15">
        <f>IF(OR(AA124="",$K124=""),"",AA124*$K124*($K124/Config!$B$10)^Config!$B$9)</f>
        <v/>
      </c>
      <c r="AD124" s="15">
        <f>IF(OR(AC124="",AB124=""),"",AC124*AB124)</f>
        <v/>
      </c>
      <c r="AE124">
        <f>IF($I124="",0,SUMIFS(Map_Stats!$F$2:$F$779,Map_Stats!$A$2:$A$779,$F124&amp;"|"&amp;$I124))</f>
        <v/>
      </c>
      <c r="AF124" s="11">
        <f>IF($I124="","",IFERROR(1/(1/INDEX(Map_Stats!$K$2:$K$779,MATCH($F124&amp;"|"&amp;$I124,Map_Stats!$A$2:$A$779,0))),$O124))</f>
        <v/>
      </c>
      <c r="AG124" s="8">
        <f>IF(OR($I124="",$P124=""),"",IFERROR(1/(1/INDEX(Map_Stats!$I$2:$I$779,MATCH($F124&amp;"|"&amp;$I124,Map_Stats!$A$2:$A$779,0))),$P124))</f>
        <v/>
      </c>
      <c r="AH124" s="11">
        <f>IF(OR($I124="",AF124=""),"",IF($O124="",AF124,(AE124*AF124+Config!$B$4*$O124)/(AE124+Config!$B$4)))</f>
        <v/>
      </c>
      <c r="AI124" s="8">
        <f>IF(AG124="","",(AE124*AG124+Config!$B$4*$P124)/(AE124+Config!$B$4))</f>
        <v/>
      </c>
      <c r="AJ124" s="15">
        <f>IF(OR(AH124="",$L124=""),"",AH124*$L124*($L124/Config!$B$10)^Config!$B$9)</f>
        <v/>
      </c>
      <c r="AK124" s="15">
        <f>IF(OR(AJ124="",AI124=""),"",AJ124*AI124)</f>
        <v/>
      </c>
      <c r="AL124" s="15">
        <f>N(V124)+N(AC124)</f>
        <v/>
      </c>
      <c r="AM124" s="15">
        <f>AL124+N($M124)*N(AJ124)</f>
        <v/>
      </c>
      <c r="AN124" s="15">
        <f>IF(W124="","",N(W124)+N(AD124))</f>
        <v/>
      </c>
      <c r="AO124" s="15">
        <f>IF(AN124="","",AN124+N($M124)*N(AK124))</f>
        <v/>
      </c>
      <c r="AP124" s="8">
        <f>IFERROR(AN124/AL124,"")</f>
        <v/>
      </c>
      <c r="AQ124">
        <f>TRIM(IF($N124&lt;Config!$B$12,"thin sample ("&amp;$N124&amp;" maps) · ","")&amp;IF(AND($G124&lt;&gt;"",Q124=0),"M1 unplayed→overall KPR · ","")&amp;IF(AND($H124&lt;&gt;"",X124=0),"M2 unplayed→overall KPR · ","")&amp;IF($O124="","no PickFinder stats",""))</f>
        <v/>
      </c>
      <c r="AR124">
        <f>IF($C124=Board!$B$2,COUNTIFS($C$2:$C$124,Board!$B$2,$AL$2:$AL$124,"&gt;"&amp;$AL124)+COUNTIFS($C$1:$C123,Board!$B$2,$AL$1:$AL123,$AL124)+1,"")</f>
        <v/>
      </c>
      <c r="AS124">
        <f>IFERROR(IF($D124=INDEX(Matches!$AD$5:$AD$19,MATCH($C124,Matches!$A$5:$A$19,0)),"A",IF($D124=INDEX(Matches!$AE$5:$AE$19,MATCH($C124,Matches!$A$5:$A$19,0)),"B","")),"")</f>
        <v/>
      </c>
      <c r="AT124" s="8">
        <f>IF($AS124="","",IFERROR(IF($AS124="A",INDEX(Matches!$AI$5:$AI$19,MATCH($C124,Matches!$A$5:$A$19,0)),INDEX(Matches!$AJ$5:$AJ$19,MATCH($C124,Matches!$A$5:$A$19,0))),""))</f>
        <v/>
      </c>
      <c r="AU124" s="8">
        <f>IF($AS124="","",IFERROR(IF(INDEX(Matches!$AP$5:$AP$19,MATCH($C124,Matches!$A$5:$A$19,0))="","",IF($AS124="A",INDEX(Matches!$AP$5:$AP$19,MATCH($C124,Matches!$A$5:$A$19,0)),1-INDEX(Matches!$AP$5:$AP$19,MATCH($C124,Matches!$A$5:$A$19,0)))),""))</f>
        <v/>
      </c>
      <c r="AV124" s="11">
        <f>IF(OR($AU124="",$AT124=""),1,((Config!$B$14*$AU124+Config!$B$15*(1-$AU124))/(Config!$B$14*$AT124+Config!$B$15*(1-$AT124)))^Config!$B$13)</f>
        <v/>
      </c>
      <c r="AW124" s="8">
        <f>IF($AS124="","",IFERROR(IF(INDEX(Matches!$AV$5:$AV$19,MATCH($C124,Matches!$A$5:$A$19,0))="","",IF($AS124="A",INDEX(Matches!$AV$5:$AV$19,MATCH($C124,Matches!$A$5:$A$19,0)),1-INDEX(Matches!$AV$5:$AV$19,MATCH($C124,Matches!$A$5:$A$19,0)))),""))</f>
        <v/>
      </c>
      <c r="AX124" s="11">
        <f>IF(OR($AW124="",$AT124=""),1,((Config!$B$14*$AW124+Config!$B$15*(1-$AW124))/(Config!$B$14*$AT124+Config!$B$15*(1-$AT124)))^Config!$B$13)</f>
        <v/>
      </c>
      <c r="AY124" s="8">
        <f>IF($AS124="","",IFERROR(IF(INDEX(Matches!$BB$5:$BB$19,MATCH($C124,Matches!$A$5:$A$19,0))="","",IF($AS124="A",INDEX(Matches!$BB$5:$BB$19,MATCH($C124,Matches!$A$5:$A$19,0)),1-INDEX(Matches!$BB$5:$BB$19,MATCH($C124,Matches!$A$5:$A$19,0)))),""))</f>
        <v/>
      </c>
      <c r="AZ124" s="11">
        <f>IF(OR($AY124="",$AT124=""),1,((Config!$B$14*$AY124+Config!$B$15*(1-$AY124))/(Config!$B$14*$AT124+Config!$B$15*(1-$AT124)))^Config!$B$13)</f>
        <v/>
      </c>
      <c r="BA124" s="15">
        <f>IF(V124="","",V124*$AV124)</f>
        <v/>
      </c>
      <c r="BB124" s="15">
        <f>IF(AC124="","",AC124*$AX124)</f>
        <v/>
      </c>
      <c r="BC124" s="15">
        <f>IF(AJ124="","",AJ124*$AZ124)</f>
        <v/>
      </c>
      <c r="BD124" s="15">
        <f>N(BA124)+N(BB124)</f>
        <v/>
      </c>
      <c r="BE124" s="15">
        <f>BD124+N($M124)*N(BC124)</f>
        <v/>
      </c>
      <c r="BF124" s="15">
        <f>IF(W124="","",W124*$AV124)</f>
        <v/>
      </c>
      <c r="BG124" s="15">
        <f>IF(AD124="","",AD124*$AX124)</f>
        <v/>
      </c>
      <c r="BH124" s="15">
        <f>IF(AK124="","",AK124*$AZ124)</f>
        <v/>
      </c>
      <c r="BI124" s="15">
        <f>IF(BF124="","",N(BF124)+N(BG124))</f>
        <v/>
      </c>
      <c r="BJ124" s="15">
        <f>IF(BI124="","",BI124+N($M124)*N(BH124))</f>
        <v/>
      </c>
      <c r="BK124" s="11">
        <f>IFERROR(BD124/AL124,1)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row>
    <row r="7">
      <c r="A7" s="3" t="inlineStr">
        <is>
          <t>DEFAULT_ROUNDS_CS2</t>
        </is>
      </c>
      <c r="B7" s="12" t="n">
        <v>21.5</v>
      </c>
      <c r="C7" s="4" t="inlineStr">
        <is>
          <t>Rounds per map used when Thunderpick posts no Total Rounds ladder for a CS2 map.</t>
        </is>
      </c>
      <c r="E7" t="inlineStr">
        <is>
          <t>Dust2</t>
        </is>
      </c>
    </row>
    <row r="8">
      <c r="A8" s="3" t="inlineStr">
        <is>
          <t>DEFAULT_ROUNDS_VAL</t>
        </is>
      </c>
      <c r="B8" s="12" t="n">
        <v>22.5</v>
      </c>
      <c r="C8" s="4" t="inlineStr">
        <is>
          <t>Same for Valorant.</t>
        </is>
      </c>
      <c r="E8" t="inlineStr">
        <is>
          <t>Inferno</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row>
    <row r="10">
      <c r="A10" s="3" t="inlineStr">
        <is>
          <t>REF_ROUNDS_CS2</t>
        </is>
      </c>
      <c r="B10" s="12" t="n">
        <v>21.5</v>
      </c>
      <c r="C10" s="4" t="inlineStr">
        <is>
          <t>Reference map length for the elasticity above.</t>
        </is>
      </c>
      <c r="E10" t="inlineStr">
        <is>
          <t>Nuke</t>
        </is>
      </c>
    </row>
    <row r="11">
      <c r="A11" s="3" t="inlineStr">
        <is>
          <t>REF_ROUNDS_VAL</t>
        </is>
      </c>
      <c r="B11" s="12" t="n">
        <v>22.5</v>
      </c>
      <c r="C11" s="4" t="inlineStr">
        <is>
          <t>Same for Valorant.</t>
        </is>
      </c>
      <c r="E11" t="inlineStr">
        <is>
          <t>Overpass</t>
        </is>
      </c>
    </row>
    <row r="12">
      <c r="A12" s="3" t="inlineStr">
        <is>
          <t>THIN_SAMPLE_MAPS</t>
        </is>
      </c>
      <c r="B12" s="12" t="n">
        <v>15</v>
      </c>
      <c r="C12" s="4" t="inlineStr">
        <is>
          <t>Flag a player whose PickFinder sample is below this many maps.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row>
    <row r="14">
      <c r="A14" s="3" t="inlineStr">
        <is>
          <t>KILLS_PER_ROUND_WON</t>
        </is>
      </c>
      <c r="B14" s="12" t="n">
        <v>4.76</v>
      </c>
      <c r="C14" s="4" t="inlineStr">
        <is>
          <t>Team kills per round WON (CS2), from team_kills = a·rounds_won + b·rounds_lost, R² 0.970 on 47 team-maps (Kills_Markets_By_Title).</t>
        </is>
      </c>
    </row>
    <row r="15">
      <c r="A15" s="3" t="inlineStr">
        <is>
          <t>KILLS_PER_ROUND_LOST</t>
        </is>
      </c>
      <c r="B15" s="12" t="n">
        <v>1.82</v>
      </c>
      <c r="C15" s="4" t="inlineStr">
        <is>
          <t>Team kills per round LOST (CS2), same fit. The 2.6× ratio is the whole differential effect.</t>
        </is>
      </c>
    </row>
    <row r="17">
      <c r="A17" s="3" t="inlineStr">
        <is>
          <t>Slate</t>
        </is>
      </c>
    </row>
    <row r="18">
      <c r="A18" t="inlineStr">
        <is>
          <t>SLATE_DATE</t>
        </is>
      </c>
      <c r="B18" t="inlineStr">
        <is>
          <t>2026-10-25</t>
        </is>
      </c>
    </row>
    <row r="19">
      <c r="A19" t="inlineStr">
        <is>
          <t>BUILT_UTC</t>
        </is>
      </c>
      <c r="B19" t="inlineStr">
        <is>
          <t>2026-10-25 03:09</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4"/>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id2uf5ot80ms5oo</t>
        </is>
      </c>
      <c r="B2" t="inlineStr">
        <is>
          <t>dgt</t>
        </is>
      </c>
      <c r="C2" t="inlineStr">
        <is>
          <t>CS2</t>
        </is>
      </c>
      <c r="D2" t="inlineStr">
        <is>
          <t>9z</t>
        </is>
      </c>
      <c r="E2" t="inlineStr">
        <is>
          <t>9z vs MOUZ</t>
        </is>
      </c>
      <c r="F2" t="n">
        <v>33</v>
      </c>
      <c r="G2" t="n">
        <v>14.55</v>
      </c>
      <c r="H2" t="n">
        <v>0.71</v>
      </c>
      <c r="I2" s="8" t="n">
        <v>0.5329999999999999</v>
      </c>
      <c r="J2" t="n">
        <v>0.38</v>
      </c>
      <c r="K2" t="n">
        <v>1.13</v>
      </c>
      <c r="L2" t="n">
        <v>1.12</v>
      </c>
      <c r="M2" s="9">
        <f>IFERROR(G2/H2,"")</f>
        <v/>
      </c>
      <c r="N2" t="inlineStr">
        <is>
          <t>OK</t>
        </is>
      </c>
      <c r="O2" t="inlineStr">
        <is>
          <t>https://www.pickfinder.app/players/cs2/id2uf5ot80ms5oo</t>
        </is>
      </c>
    </row>
    <row r="3">
      <c r="A3" t="inlineStr">
        <is>
          <t>fg52qcdy7yej5d9</t>
        </is>
      </c>
      <c r="B3" t="inlineStr">
        <is>
          <t>HUASOPEEK</t>
        </is>
      </c>
      <c r="C3" t="inlineStr">
        <is>
          <t>CS2</t>
        </is>
      </c>
      <c r="D3" t="inlineStr">
        <is>
          <t>9z</t>
        </is>
      </c>
      <c r="E3" t="inlineStr">
        <is>
          <t>9z vs MOUZ</t>
        </is>
      </c>
      <c r="F3" t="n">
        <v>33</v>
      </c>
      <c r="G3" t="n">
        <v>13.36</v>
      </c>
      <c r="H3" t="n">
        <v>0.65</v>
      </c>
      <c r="I3" s="8" t="n">
        <v>0.628</v>
      </c>
      <c r="J3" t="n">
        <v>0.41</v>
      </c>
      <c r="K3" t="n">
        <v>0.93</v>
      </c>
      <c r="L3" t="n">
        <v>1.09</v>
      </c>
      <c r="M3" s="9">
        <f>IFERROR(G3/H3,"")</f>
        <v/>
      </c>
      <c r="N3" t="inlineStr">
        <is>
          <t>OK</t>
        </is>
      </c>
      <c r="O3" t="inlineStr">
        <is>
          <t>https://www.pickfinder.app/players/cs2/fg52qcdy7yej5d9</t>
        </is>
      </c>
    </row>
    <row r="4">
      <c r="A4" t="inlineStr">
        <is>
          <t>uf3pcvx03g3k6xm</t>
        </is>
      </c>
      <c r="B4" t="inlineStr">
        <is>
          <t>luchov</t>
        </is>
      </c>
      <c r="C4" t="inlineStr">
        <is>
          <t>CS2</t>
        </is>
      </c>
      <c r="D4" t="inlineStr">
        <is>
          <t>9z</t>
        </is>
      </c>
      <c r="E4" t="inlineStr">
        <is>
          <t>9z vs MOUZ</t>
        </is>
      </c>
      <c r="F4" t="n">
        <v>33</v>
      </c>
      <c r="G4" t="n">
        <v>13.27</v>
      </c>
      <c r="H4" t="n">
        <v>0.65</v>
      </c>
      <c r="I4" s="8" t="n">
        <v>0.603</v>
      </c>
      <c r="J4" t="n">
        <v>0.39</v>
      </c>
      <c r="K4" t="n">
        <v>0.9</v>
      </c>
      <c r="L4" t="n">
        <v>1.01</v>
      </c>
      <c r="M4" s="9">
        <f>IFERROR(G4/H4,"")</f>
        <v/>
      </c>
      <c r="N4" t="inlineStr">
        <is>
          <t>OK</t>
        </is>
      </c>
      <c r="O4" t="inlineStr">
        <is>
          <t>https://www.pickfinder.app/players/cs2/uf3pcvx03g3k6xm</t>
        </is>
      </c>
    </row>
    <row r="5">
      <c r="A5" t="inlineStr">
        <is>
          <t>2l8hxj94mm620bg</t>
        </is>
      </c>
      <c r="B5" t="inlineStr">
        <is>
          <t>max</t>
        </is>
      </c>
      <c r="C5" t="inlineStr">
        <is>
          <t>CS2</t>
        </is>
      </c>
      <c r="D5" t="inlineStr">
        <is>
          <t>9z</t>
        </is>
      </c>
      <c r="E5" t="inlineStr">
        <is>
          <t>9z vs MOUZ</t>
        </is>
      </c>
      <c r="F5" t="n">
        <v>33</v>
      </c>
      <c r="G5" t="n">
        <v>10.52</v>
      </c>
      <c r="H5" t="n">
        <v>0.51</v>
      </c>
      <c r="I5" s="8" t="n">
        <v>0.504</v>
      </c>
      <c r="J5" t="n">
        <v>0.26</v>
      </c>
      <c r="K5" t="n">
        <v>0.77</v>
      </c>
      <c r="L5" t="n">
        <v>0.88</v>
      </c>
      <c r="M5" s="9">
        <f>IFERROR(G5/H5,"")</f>
        <v/>
      </c>
      <c r="N5" t="inlineStr">
        <is>
          <t>OK</t>
        </is>
      </c>
      <c r="O5" t="inlineStr">
        <is>
          <t>https://www.pickfinder.app/players/cs2/2l8hxj94mm620bg</t>
        </is>
      </c>
    </row>
    <row r="6">
      <c r="A6" t="inlineStr">
        <is>
          <t>pumzitjp9bsniic</t>
        </is>
      </c>
      <c r="B6" t="inlineStr">
        <is>
          <t>meyern</t>
        </is>
      </c>
      <c r="C6" t="inlineStr">
        <is>
          <t>CS2</t>
        </is>
      </c>
      <c r="D6" t="inlineStr">
        <is>
          <t>9z</t>
        </is>
      </c>
      <c r="E6" t="inlineStr">
        <is>
          <t>9z vs MOUZ</t>
        </is>
      </c>
      <c r="F6" t="n">
        <v>33</v>
      </c>
      <c r="G6" t="n">
        <v>12.36</v>
      </c>
      <c r="H6" t="n">
        <v>0.6</v>
      </c>
      <c r="I6" s="8" t="n">
        <v>0.392</v>
      </c>
      <c r="J6" t="n">
        <v>0.24</v>
      </c>
      <c r="K6" t="n">
        <v>1.02</v>
      </c>
      <c r="L6" t="n">
        <v>0.95</v>
      </c>
      <c r="M6" s="9">
        <f>IFERROR(G6/H6,"")</f>
        <v/>
      </c>
      <c r="N6" t="inlineStr">
        <is>
          <t>OK</t>
        </is>
      </c>
      <c r="O6" t="inlineStr">
        <is>
          <t>https://www.pickfinder.app/players/cs2/pumzitjp9bsniic</t>
        </is>
      </c>
    </row>
    <row r="7">
      <c r="A7" t="inlineStr">
        <is>
          <t>66ajrvmetqiufsf</t>
        </is>
      </c>
      <c r="B7" t="inlineStr">
        <is>
          <t>Jimpphat</t>
        </is>
      </c>
      <c r="C7" t="inlineStr">
        <is>
          <t>CS2</t>
        </is>
      </c>
      <c r="D7" t="inlineStr">
        <is>
          <t>AUR</t>
        </is>
      </c>
      <c r="E7" t="inlineStr">
        <is>
          <t>AUR vs G2</t>
        </is>
      </c>
      <c r="F7" t="n">
        <v>38</v>
      </c>
      <c r="G7" t="n">
        <v>14.39</v>
      </c>
      <c r="H7" t="n">
        <v>0.68</v>
      </c>
      <c r="I7" s="8" t="n">
        <v>0.5760000000000001</v>
      </c>
      <c r="J7" t="n">
        <v>0.39</v>
      </c>
      <c r="K7" t="n">
        <v>1.11</v>
      </c>
      <c r="L7" t="n">
        <v>1.15</v>
      </c>
      <c r="M7" s="9">
        <f>IFERROR(G7/H7,"")</f>
        <v/>
      </c>
      <c r="N7" t="inlineStr">
        <is>
          <t>OK</t>
        </is>
      </c>
      <c r="O7" t="inlineStr">
        <is>
          <t>https://www.pickfinder.app/players/cs2/66ajrvmetqiufsf</t>
        </is>
      </c>
    </row>
    <row r="8">
      <c r="A8" t="inlineStr">
        <is>
          <t>gzghvr1quamb0xn</t>
        </is>
      </c>
      <c r="B8" t="inlineStr">
        <is>
          <t>kyxsan</t>
        </is>
      </c>
      <c r="C8" t="inlineStr">
        <is>
          <t>CS2</t>
        </is>
      </c>
      <c r="D8" t="inlineStr">
        <is>
          <t>AUR</t>
        </is>
      </c>
      <c r="E8" t="inlineStr">
        <is>
          <t>AUR vs G2</t>
        </is>
      </c>
      <c r="F8" t="n">
        <v>38</v>
      </c>
      <c r="G8" t="n">
        <v>10.79</v>
      </c>
      <c r="H8" t="n">
        <v>0.51</v>
      </c>
      <c r="I8" s="8" t="n">
        <v>0.5760000000000001</v>
      </c>
      <c r="J8" t="n">
        <v>0.29</v>
      </c>
      <c r="K8" t="n">
        <v>0.75</v>
      </c>
      <c r="L8" t="n">
        <v>0.93</v>
      </c>
      <c r="M8" s="9">
        <f>IFERROR(G8/H8,"")</f>
        <v/>
      </c>
      <c r="N8" t="inlineStr">
        <is>
          <t>OK</t>
        </is>
      </c>
      <c r="O8" t="inlineStr">
        <is>
          <t>https://www.pickfinder.app/players/cs2/gzghvr1quamb0xn</t>
        </is>
      </c>
    </row>
    <row r="9">
      <c r="A9" t="inlineStr">
        <is>
          <t>9clq2dpvqugkf0i</t>
        </is>
      </c>
      <c r="B9" t="inlineStr">
        <is>
          <t>Wicadia</t>
        </is>
      </c>
      <c r="C9" t="inlineStr">
        <is>
          <t>CS2</t>
        </is>
      </c>
      <c r="D9" t="inlineStr">
        <is>
          <t>AUR</t>
        </is>
      </c>
      <c r="E9" t="inlineStr">
        <is>
          <t>AUR vs G2</t>
        </is>
      </c>
      <c r="F9" t="n">
        <v>38</v>
      </c>
      <c r="G9" t="n">
        <v>16.32</v>
      </c>
      <c r="H9" t="n">
        <v>0.78</v>
      </c>
      <c r="I9" s="8" t="n">
        <v>0.5479999999999999</v>
      </c>
      <c r="J9" t="n">
        <v>0.42</v>
      </c>
      <c r="K9" t="n">
        <v>1.15</v>
      </c>
      <c r="L9" t="n">
        <v>1.21</v>
      </c>
      <c r="M9" s="9">
        <f>IFERROR(G9/H9,"")</f>
        <v/>
      </c>
      <c r="N9" t="inlineStr">
        <is>
          <t>OK</t>
        </is>
      </c>
      <c r="O9" t="inlineStr">
        <is>
          <t>https://www.pickfinder.app/players/cs2/9clq2dpvqugkf0i</t>
        </is>
      </c>
    </row>
    <row r="10">
      <c r="A10" t="inlineStr">
        <is>
          <t>lpkyyhtoofj8ova</t>
        </is>
      </c>
      <c r="B10" t="inlineStr">
        <is>
          <t>woxic</t>
        </is>
      </c>
      <c r="C10" t="inlineStr">
        <is>
          <t>CS2</t>
        </is>
      </c>
      <c r="D10" t="inlineStr">
        <is>
          <t>AUR</t>
        </is>
      </c>
      <c r="E10" t="inlineStr">
        <is>
          <t>AUR vs G2</t>
        </is>
      </c>
      <c r="F10" t="n">
        <v>38</v>
      </c>
      <c r="G10" t="n">
        <v>14.16</v>
      </c>
      <c r="H10" t="n">
        <v>0.67</v>
      </c>
      <c r="I10" s="8" t="n">
        <v>0.34</v>
      </c>
      <c r="J10" t="n">
        <v>0.23</v>
      </c>
      <c r="K10" t="n">
        <v>1.08</v>
      </c>
      <c r="L10" t="n">
        <v>1.04</v>
      </c>
      <c r="M10" s="9">
        <f>IFERROR(G10/H10,"")</f>
        <v/>
      </c>
      <c r="N10" t="inlineStr">
        <is>
          <t>OK</t>
        </is>
      </c>
      <c r="O10" t="inlineStr">
        <is>
          <t>https://www.pickfinder.app/players/cs2/lpkyyhtoofj8ova</t>
        </is>
      </c>
    </row>
    <row r="11">
      <c r="A11" t="inlineStr">
        <is>
          <t>zauqna21klkp1rt</t>
        </is>
      </c>
      <c r="B11" t="inlineStr">
        <is>
          <t>XANTARES</t>
        </is>
      </c>
      <c r="C11" t="inlineStr">
        <is>
          <t>CS2</t>
        </is>
      </c>
      <c r="D11" t="inlineStr">
        <is>
          <t>AUR</t>
        </is>
      </c>
      <c r="E11" t="inlineStr">
        <is>
          <t>AUR vs G2</t>
        </is>
      </c>
      <c r="F11" t="n">
        <v>38</v>
      </c>
      <c r="G11" t="n">
        <v>13.08</v>
      </c>
      <c r="H11" t="n">
        <v>0.62</v>
      </c>
      <c r="I11" s="8" t="n">
        <v>0.541</v>
      </c>
      <c r="J11" t="n">
        <v>0.34</v>
      </c>
      <c r="K11" t="n">
        <v>0.91</v>
      </c>
      <c r="L11" t="n">
        <v>0.98</v>
      </c>
      <c r="M11" s="9">
        <f>IFERROR(G11/H11,"")</f>
        <v/>
      </c>
      <c r="N11" t="inlineStr">
        <is>
          <t>OK</t>
        </is>
      </c>
      <c r="O11" t="inlineStr">
        <is>
          <t>https://www.pickfinder.app/players/cs2/zauqna21klkp1rt</t>
        </is>
      </c>
    </row>
    <row r="12">
      <c r="A12" t="inlineStr">
        <is>
          <t>75r40osa6cjt3o0</t>
        </is>
      </c>
      <c r="B12" t="inlineStr">
        <is>
          <t>Boombl4</t>
        </is>
      </c>
      <c r="C12" t="inlineStr">
        <is>
          <t>CS2</t>
        </is>
      </c>
      <c r="D12" t="inlineStr">
        <is>
          <t>BB</t>
        </is>
      </c>
      <c r="E12" t="inlineStr">
        <is>
          <t>BB vs NEMI</t>
        </is>
      </c>
      <c r="F12" t="n">
        <v>39</v>
      </c>
      <c r="G12" t="n">
        <v>12.59</v>
      </c>
      <c r="H12" t="n">
        <v>0.55</v>
      </c>
      <c r="I12" s="8" t="n">
        <v>0.452</v>
      </c>
      <c r="J12" t="n">
        <v>0.25</v>
      </c>
      <c r="K12" t="n">
        <v>0.82</v>
      </c>
      <c r="L12" t="n">
        <v>0.95</v>
      </c>
      <c r="M12" s="9">
        <f>IFERROR(G12/H12,"")</f>
        <v/>
      </c>
      <c r="N12" t="inlineStr">
        <is>
          <t>OK</t>
        </is>
      </c>
      <c r="O12" t="inlineStr">
        <is>
          <t>https://www.pickfinder.app/players/cs2/75r40osa6cjt3o0</t>
        </is>
      </c>
    </row>
    <row r="13">
      <c r="A13" t="inlineStr">
        <is>
          <t>kgpnwz42wxtq29r</t>
        </is>
      </c>
      <c r="B13" t="inlineStr">
        <is>
          <t>d1Ledez</t>
        </is>
      </c>
      <c r="C13" t="inlineStr">
        <is>
          <t>CS2</t>
        </is>
      </c>
      <c r="D13" t="inlineStr">
        <is>
          <t>BB</t>
        </is>
      </c>
      <c r="E13" t="inlineStr">
        <is>
          <t>BB vs NEMI</t>
        </is>
      </c>
      <c r="F13" t="n">
        <v>39</v>
      </c>
      <c r="G13" t="n">
        <v>15.49</v>
      </c>
      <c r="H13" t="n">
        <v>0.67</v>
      </c>
      <c r="I13" s="8" t="n">
        <v>0.584</v>
      </c>
      <c r="J13" t="n">
        <v>0.39</v>
      </c>
      <c r="K13" t="n">
        <v>1.01</v>
      </c>
      <c r="L13" t="n">
        <v>1.09</v>
      </c>
      <c r="M13" s="9">
        <f>IFERROR(G13/H13,"")</f>
        <v/>
      </c>
      <c r="N13" t="inlineStr">
        <is>
          <t>OK</t>
        </is>
      </c>
      <c r="O13" t="inlineStr">
        <is>
          <t>https://www.pickfinder.app/players/cs2/kgpnwz42wxtq29r</t>
        </is>
      </c>
    </row>
    <row r="14">
      <c r="A14" t="inlineStr">
        <is>
          <t>w2jejpg0j9hthoo</t>
        </is>
      </c>
      <c r="B14" t="inlineStr">
        <is>
          <t>Magnojez</t>
        </is>
      </c>
      <c r="C14" t="inlineStr">
        <is>
          <t>CS2</t>
        </is>
      </c>
      <c r="D14" t="inlineStr">
        <is>
          <t>BB</t>
        </is>
      </c>
      <c r="E14" t="inlineStr">
        <is>
          <t>BB vs NEMI</t>
        </is>
      </c>
      <c r="F14" t="n">
        <v>39</v>
      </c>
      <c r="G14" t="n">
        <v>16.44</v>
      </c>
      <c r="H14" t="n">
        <v>0.72</v>
      </c>
      <c r="I14" s="8" t="n">
        <v>0.53</v>
      </c>
      <c r="J14" t="n">
        <v>0.38</v>
      </c>
      <c r="K14" t="n">
        <v>1.04</v>
      </c>
      <c r="L14" t="n">
        <v>1.16</v>
      </c>
      <c r="M14" s="9">
        <f>IFERROR(G14/H14,"")</f>
        <v/>
      </c>
      <c r="N14" t="inlineStr">
        <is>
          <t>OK</t>
        </is>
      </c>
      <c r="O14" t="inlineStr">
        <is>
          <t>https://www.pickfinder.app/players/cs2/w2jejpg0j9hthoo</t>
        </is>
      </c>
    </row>
    <row r="15">
      <c r="A15" t="inlineStr">
        <is>
          <t>bn3mlvy0cst11z3</t>
        </is>
      </c>
      <c r="B15" t="inlineStr">
        <is>
          <t>s1ren</t>
        </is>
      </c>
      <c r="C15" t="inlineStr">
        <is>
          <t>CS2</t>
        </is>
      </c>
      <c r="D15" t="inlineStr">
        <is>
          <t>BB</t>
        </is>
      </c>
      <c r="E15" t="inlineStr">
        <is>
          <t>BB vs NEMI</t>
        </is>
      </c>
      <c r="F15" t="n">
        <v>39</v>
      </c>
      <c r="G15" t="n">
        <v>15.28</v>
      </c>
      <c r="H15" t="n">
        <v>0.67</v>
      </c>
      <c r="I15" s="8" t="n">
        <v>0.5760000000000001</v>
      </c>
      <c r="J15" t="n">
        <v>0.38</v>
      </c>
      <c r="K15" t="n">
        <v>1.05</v>
      </c>
      <c r="L15" t="n">
        <v>1.11</v>
      </c>
      <c r="M15" s="9">
        <f>IFERROR(G15/H15,"")</f>
        <v/>
      </c>
      <c r="N15" t="inlineStr">
        <is>
          <t>OK</t>
        </is>
      </c>
      <c r="O15" t="inlineStr">
        <is>
          <t>https://www.pickfinder.app/players/cs2/bn3mlvy0cst11z3</t>
        </is>
      </c>
    </row>
    <row r="16">
      <c r="A16" t="inlineStr">
        <is>
          <t>c4m3zncm4mxvzoh</t>
        </is>
      </c>
      <c r="B16" t="inlineStr">
        <is>
          <t>zorte</t>
        </is>
      </c>
      <c r="C16" t="inlineStr">
        <is>
          <t>CS2</t>
        </is>
      </c>
      <c r="D16" t="inlineStr">
        <is>
          <t>BB</t>
        </is>
      </c>
      <c r="E16" t="inlineStr">
        <is>
          <t>BB vs NEMI</t>
        </is>
      </c>
      <c r="F16" t="n">
        <v>39</v>
      </c>
      <c r="G16" t="n">
        <v>15.74</v>
      </c>
      <c r="H16" t="n">
        <v>0.6899999999999999</v>
      </c>
      <c r="I16" s="8" t="n">
        <v>0.311</v>
      </c>
      <c r="J16" t="n">
        <v>0.21</v>
      </c>
      <c r="K16" t="n">
        <v>1.12</v>
      </c>
      <c r="L16" t="n">
        <v>1.08</v>
      </c>
      <c r="M16" s="9">
        <f>IFERROR(G16/H16,"")</f>
        <v/>
      </c>
      <c r="N16" t="inlineStr">
        <is>
          <t>OK</t>
        </is>
      </c>
      <c r="O16" t="inlineStr">
        <is>
          <t>https://www.pickfinder.app/players/cs2/c4m3zncm4mxvzoh</t>
        </is>
      </c>
    </row>
    <row r="17">
      <c r="A17" t="inlineStr">
        <is>
          <t>l65e6bpbpsopabo</t>
        </is>
      </c>
      <c r="B17" t="inlineStr">
        <is>
          <t>nbqq</t>
        </is>
      </c>
      <c r="C17" t="inlineStr">
        <is>
          <t>CS2</t>
        </is>
      </c>
      <c r="D17" t="inlineStr">
        <is>
          <t>BRUTE</t>
        </is>
      </c>
      <c r="E17" t="inlineStr">
        <is>
          <t>BRUTE vs INF</t>
        </is>
      </c>
      <c r="F17" t="n">
        <v>38</v>
      </c>
      <c r="G17" t="n">
        <v>14.39</v>
      </c>
      <c r="H17" t="n">
        <v>0.65</v>
      </c>
      <c r="I17" s="8" t="n">
        <v>0.488</v>
      </c>
      <c r="J17" t="n">
        <v>0.32</v>
      </c>
      <c r="K17" t="n">
        <v>0.97</v>
      </c>
      <c r="L17" t="n">
        <v>1.04</v>
      </c>
      <c r="M17" s="9">
        <f>IFERROR(G17/H17,"")</f>
        <v/>
      </c>
      <c r="N17" t="inlineStr">
        <is>
          <t>OK</t>
        </is>
      </c>
      <c r="O17" t="inlineStr">
        <is>
          <t>https://www.pickfinder.app/players/cs2/l65e6bpbpsopabo</t>
        </is>
      </c>
    </row>
    <row r="18">
      <c r="A18" t="inlineStr">
        <is>
          <t>2fcfnso9a3rhpcr</t>
        </is>
      </c>
      <c r="B18" t="inlineStr">
        <is>
          <t>tAk</t>
        </is>
      </c>
      <c r="C18" t="inlineStr">
        <is>
          <t>CS2</t>
        </is>
      </c>
      <c r="D18" t="inlineStr">
        <is>
          <t>BRUTE</t>
        </is>
      </c>
      <c r="E18" t="inlineStr">
        <is>
          <t>BRUTE vs INF</t>
        </is>
      </c>
      <c r="F18" t="n">
        <v>38</v>
      </c>
      <c r="G18" t="n">
        <v>15.82</v>
      </c>
      <c r="H18" t="n">
        <v>0.72</v>
      </c>
      <c r="I18" s="8" t="n">
        <v>0.534</v>
      </c>
      <c r="J18" t="n">
        <v>0.38</v>
      </c>
      <c r="K18" t="n">
        <v>1.12</v>
      </c>
      <c r="L18" t="n">
        <v>1.16</v>
      </c>
      <c r="M18" s="9">
        <f>IFERROR(G18/H18,"")</f>
        <v/>
      </c>
      <c r="N18" t="inlineStr">
        <is>
          <t>OK</t>
        </is>
      </c>
      <c r="O18" t="inlineStr">
        <is>
          <t>https://www.pickfinder.app/players/cs2/2fcfnso9a3rhpcr</t>
        </is>
      </c>
    </row>
    <row r="19">
      <c r="A19" t="inlineStr">
        <is>
          <t>a5ni4ejys4e3xjq</t>
        </is>
      </c>
      <c r="B19" t="inlineStr">
        <is>
          <t>ZEDKO</t>
        </is>
      </c>
      <c r="C19" t="inlineStr">
        <is>
          <t>CS2</t>
        </is>
      </c>
      <c r="D19" t="inlineStr">
        <is>
          <t>BRUTE</t>
        </is>
      </c>
      <c r="E19" t="inlineStr">
        <is>
          <t>BRUTE vs INF</t>
        </is>
      </c>
      <c r="F19" t="n">
        <v>38</v>
      </c>
      <c r="G19" t="n">
        <v>14.42</v>
      </c>
      <c r="H19" t="n">
        <v>0.65</v>
      </c>
      <c r="I19" s="8" t="n">
        <v>0.5529999999999999</v>
      </c>
      <c r="J19" t="n">
        <v>0.36</v>
      </c>
      <c r="K19" t="n">
        <v>1.09</v>
      </c>
      <c r="L19" t="n">
        <v>1.12</v>
      </c>
      <c r="M19" s="9">
        <f>IFERROR(G19/H19,"")</f>
        <v/>
      </c>
      <c r="N19" t="inlineStr">
        <is>
          <t>OK</t>
        </is>
      </c>
      <c r="O19" t="inlineStr">
        <is>
          <t>https://www.pickfinder.app/players/cs2/a5ni4ejys4e3xjq</t>
        </is>
      </c>
    </row>
    <row r="20">
      <c r="A20" t="inlineStr">
        <is>
          <t>x1hr6fp37qryd4d</t>
        </is>
      </c>
      <c r="B20" t="inlineStr">
        <is>
          <t>Buda</t>
        </is>
      </c>
      <c r="C20" t="inlineStr">
        <is>
          <t>CS2</t>
        </is>
      </c>
      <c r="D20" t="inlineStr">
        <is>
          <t>BST</t>
        </is>
      </c>
      <c r="E20" t="inlineStr">
        <is>
          <t>BST vs paiN</t>
        </is>
      </c>
      <c r="F20" t="n">
        <v>33</v>
      </c>
      <c r="G20" t="n">
        <v>13.67</v>
      </c>
      <c r="H20" t="n">
        <v>0.63</v>
      </c>
      <c r="I20" s="8" t="n">
        <v>0.492</v>
      </c>
      <c r="J20" t="n">
        <v>0.31</v>
      </c>
      <c r="K20" t="n">
        <v>0.89</v>
      </c>
      <c r="L20" t="n">
        <v>1</v>
      </c>
      <c r="M20" s="9">
        <f>IFERROR(G20/H20,"")</f>
        <v/>
      </c>
      <c r="N20" t="inlineStr">
        <is>
          <t>OK</t>
        </is>
      </c>
      <c r="O20" t="inlineStr">
        <is>
          <t>https://www.pickfinder.app/players/cs2/x1hr6fp37qryd4d</t>
        </is>
      </c>
    </row>
    <row r="21">
      <c r="A21" t="inlineStr">
        <is>
          <t>px5zu5wf6psxdo7</t>
        </is>
      </c>
      <c r="B21" t="inlineStr">
        <is>
          <t>cass1n</t>
        </is>
      </c>
      <c r="C21" t="inlineStr">
        <is>
          <t>CS2</t>
        </is>
      </c>
      <c r="D21" t="inlineStr">
        <is>
          <t>BST</t>
        </is>
      </c>
      <c r="E21" t="inlineStr">
        <is>
          <t>BST vs paiN</t>
        </is>
      </c>
      <c r="F21" t="n">
        <v>33</v>
      </c>
      <c r="G21" t="n">
        <v>13.21</v>
      </c>
      <c r="H21" t="n">
        <v>0.61</v>
      </c>
      <c r="I21" s="8" t="n">
        <v>0.374</v>
      </c>
      <c r="J21" t="n">
        <v>0.23</v>
      </c>
      <c r="K21" t="n">
        <v>1.09</v>
      </c>
      <c r="L21" t="n">
        <v>1.01</v>
      </c>
      <c r="M21" s="9">
        <f>IFERROR(G21/H21,"")</f>
        <v/>
      </c>
      <c r="N21" t="inlineStr">
        <is>
          <t>OK</t>
        </is>
      </c>
      <c r="O21" t="inlineStr">
        <is>
          <t>https://www.pickfinder.app/players/cs2/px5zu5wf6psxdo7</t>
        </is>
      </c>
    </row>
    <row r="22">
      <c r="A22" t="inlineStr">
        <is>
          <t>w2pkqdsxhev22e4</t>
        </is>
      </c>
      <c r="B22" t="inlineStr">
        <is>
          <t>drop</t>
        </is>
      </c>
      <c r="C22" t="inlineStr">
        <is>
          <t>CS2</t>
        </is>
      </c>
      <c r="D22" t="inlineStr">
        <is>
          <t>BST</t>
        </is>
      </c>
      <c r="E22" t="inlineStr">
        <is>
          <t>BST vs paiN</t>
        </is>
      </c>
      <c r="F22" t="n">
        <v>33</v>
      </c>
      <c r="G22" t="n">
        <v>14.88</v>
      </c>
      <c r="H22" t="n">
        <v>0.6899999999999999</v>
      </c>
      <c r="I22" s="8" t="n">
        <v>0.605</v>
      </c>
      <c r="J22" t="n">
        <v>0.42</v>
      </c>
      <c r="K22" t="n">
        <v>1.03</v>
      </c>
      <c r="L22" t="n">
        <v>1.09</v>
      </c>
      <c r="M22" s="9">
        <f>IFERROR(G22/H22,"")</f>
        <v/>
      </c>
      <c r="N22" t="inlineStr">
        <is>
          <t>OK</t>
        </is>
      </c>
      <c r="O22" t="inlineStr">
        <is>
          <t>https://www.pickfinder.app/players/cs2/w2pkqdsxhev22e4</t>
        </is>
      </c>
    </row>
    <row r="23">
      <c r="A23" t="inlineStr">
        <is>
          <t>h7nuz2cmw8wvh2s</t>
        </is>
      </c>
      <c r="B23" t="inlineStr">
        <is>
          <t>kauez</t>
        </is>
      </c>
      <c r="C23" t="inlineStr">
        <is>
          <t>CS2</t>
        </is>
      </c>
      <c r="D23" t="inlineStr">
        <is>
          <t>BST</t>
        </is>
      </c>
      <c r="E23" t="inlineStr">
        <is>
          <t>BST vs paiN</t>
        </is>
      </c>
      <c r="F23" t="n">
        <v>33</v>
      </c>
      <c r="G23" t="n">
        <v>14.36</v>
      </c>
      <c r="H23" t="n">
        <v>0.66</v>
      </c>
      <c r="I23" s="8" t="n">
        <v>0.574</v>
      </c>
      <c r="J23" t="n">
        <v>0.38</v>
      </c>
      <c r="K23" t="n">
        <v>1.01</v>
      </c>
      <c r="L23" t="n">
        <v>1.07</v>
      </c>
      <c r="M23" s="9">
        <f>IFERROR(G23/H23,"")</f>
        <v/>
      </c>
      <c r="N23" t="inlineStr">
        <is>
          <t>OK</t>
        </is>
      </c>
      <c r="O23" t="inlineStr">
        <is>
          <t>https://www.pickfinder.app/players/cs2/h7nuz2cmw8wvh2s</t>
        </is>
      </c>
    </row>
    <row r="24">
      <c r="A24" t="inlineStr">
        <is>
          <t>coz7ncv7hdezsk9</t>
        </is>
      </c>
      <c r="B24" t="inlineStr">
        <is>
          <t>timo</t>
        </is>
      </c>
      <c r="C24" t="inlineStr">
        <is>
          <t>CS2</t>
        </is>
      </c>
      <c r="D24" t="inlineStr">
        <is>
          <t>BST</t>
        </is>
      </c>
      <c r="E24" t="inlineStr">
        <is>
          <t>BST vs paiN</t>
        </is>
      </c>
      <c r="F24" t="n">
        <v>33</v>
      </c>
      <c r="G24" t="n">
        <v>14.39</v>
      </c>
      <c r="H24" t="n">
        <v>0.66</v>
      </c>
      <c r="I24" s="8" t="n">
        <v>0.5870000000000001</v>
      </c>
      <c r="J24" t="n">
        <v>0.39</v>
      </c>
      <c r="K24" t="n">
        <v>0.98</v>
      </c>
      <c r="L24" t="n">
        <v>1.13</v>
      </c>
      <c r="M24" s="9">
        <f>IFERROR(G24/H24,"")</f>
        <v/>
      </c>
      <c r="N24" t="inlineStr">
        <is>
          <t>OK</t>
        </is>
      </c>
      <c r="O24" t="inlineStr">
        <is>
          <t>https://www.pickfinder.app/players/cs2/coz7ncv7hdezsk9</t>
        </is>
      </c>
    </row>
    <row r="25">
      <c r="A25" t="inlineStr">
        <is>
          <t>0hbeigv9v9oomi7</t>
        </is>
      </c>
      <c r="B25" t="inlineStr">
        <is>
          <t>cronuss</t>
        </is>
      </c>
      <c r="C25" t="inlineStr">
        <is>
          <t>CS2</t>
        </is>
      </c>
      <c r="D25" t="inlineStr">
        <is>
          <t>Color</t>
        </is>
      </c>
      <c r="E25" t="inlineStr">
        <is>
          <t>Color vs ex-ZT</t>
        </is>
      </c>
      <c r="F25" t="n">
        <v>37</v>
      </c>
      <c r="G25" t="n">
        <v>16.05</v>
      </c>
      <c r="H25" t="n">
        <v>0.71</v>
      </c>
      <c r="I25" s="8" t="n">
        <v>0.63</v>
      </c>
      <c r="J25" t="n">
        <v>0.44</v>
      </c>
      <c r="K25" t="n">
        <v>0.93</v>
      </c>
      <c r="L25" t="n">
        <v>1.08</v>
      </c>
      <c r="M25" s="9">
        <f>IFERROR(G25/H25,"")</f>
        <v/>
      </c>
      <c r="N25" t="inlineStr">
        <is>
          <t>OK</t>
        </is>
      </c>
      <c r="O25" t="inlineStr">
        <is>
          <t>https://www.pickfinder.app/players/cs2/0hbeigv9v9oomi7</t>
        </is>
      </c>
    </row>
    <row r="26">
      <c r="A26" t="inlineStr">
        <is>
          <t>x9afncgn4bx6f1l</t>
        </is>
      </c>
      <c r="B26" t="inlineStr">
        <is>
          <t>Oz1k</t>
        </is>
      </c>
      <c r="C26" t="inlineStr">
        <is>
          <t>CS2</t>
        </is>
      </c>
      <c r="D26" t="inlineStr">
        <is>
          <t>Color</t>
        </is>
      </c>
      <c r="E26" t="inlineStr">
        <is>
          <t>Color vs ex-ZT</t>
        </is>
      </c>
      <c r="F26" t="n">
        <v>37</v>
      </c>
      <c r="G26" t="n">
        <v>16.3</v>
      </c>
      <c r="H26" t="n">
        <v>0.72</v>
      </c>
      <c r="I26" s="8" t="n">
        <v>0.63</v>
      </c>
      <c r="J26" t="n">
        <v>0.45</v>
      </c>
      <c r="K26" t="n">
        <v>1.08</v>
      </c>
      <c r="L26" t="n">
        <v>1.16</v>
      </c>
      <c r="M26" s="9">
        <f>IFERROR(G26/H26,"")</f>
        <v/>
      </c>
      <c r="N26" t="inlineStr">
        <is>
          <t>OK</t>
        </is>
      </c>
      <c r="O26" t="inlineStr">
        <is>
          <t>https://www.pickfinder.app/players/cs2/x9afncgn4bx6f1l</t>
        </is>
      </c>
    </row>
    <row r="27">
      <c r="A27" t="inlineStr">
        <is>
          <t>oilrc57yb4vi4v4</t>
        </is>
      </c>
      <c r="B27" t="inlineStr">
        <is>
          <t>doc</t>
        </is>
      </c>
      <c r="C27" t="inlineStr">
        <is>
          <t>CS2</t>
        </is>
      </c>
      <c r="D27" t="inlineStr">
        <is>
          <t>DEN</t>
        </is>
      </c>
      <c r="E27" t="inlineStr">
        <is>
          <t>DEN vs LGC</t>
        </is>
      </c>
      <c r="F27" t="n">
        <v>36</v>
      </c>
      <c r="G27" t="n">
        <v>16.89</v>
      </c>
      <c r="H27" t="n">
        <v>0.78</v>
      </c>
      <c r="I27" s="8" t="n">
        <v>0.5770000000000001</v>
      </c>
      <c r="J27" t="n">
        <v>0.45</v>
      </c>
      <c r="K27" t="n">
        <v>1.16</v>
      </c>
      <c r="L27" t="n">
        <v>1.29</v>
      </c>
      <c r="M27" s="9">
        <f>IFERROR(G27/H27,"")</f>
        <v/>
      </c>
      <c r="N27" t="inlineStr">
        <is>
          <t>OK</t>
        </is>
      </c>
      <c r="O27" t="inlineStr">
        <is>
          <t>https://www.pickfinder.app/players/cs2/oilrc57yb4vi4v4</t>
        </is>
      </c>
    </row>
    <row r="28">
      <c r="A28" t="inlineStr">
        <is>
          <t>xq939tnpy5hluwa</t>
        </is>
      </c>
      <c r="B28" t="inlineStr">
        <is>
          <t>Gafolo</t>
        </is>
      </c>
      <c r="C28" t="inlineStr">
        <is>
          <t>CS2</t>
        </is>
      </c>
      <c r="D28" t="inlineStr">
        <is>
          <t>DEN</t>
        </is>
      </c>
      <c r="E28" t="inlineStr">
        <is>
          <t>DEN vs LGC</t>
        </is>
      </c>
      <c r="F28" t="n">
        <v>36</v>
      </c>
      <c r="G28" t="n">
        <v>12.25</v>
      </c>
      <c r="H28" t="n">
        <v>0.5600000000000001</v>
      </c>
      <c r="I28" s="8" t="n">
        <v>0.465</v>
      </c>
      <c r="J28" t="n">
        <v>0.26</v>
      </c>
      <c r="K28" t="n">
        <v>0.88</v>
      </c>
      <c r="L28" t="n">
        <v>0.96</v>
      </c>
      <c r="M28" s="9">
        <f>IFERROR(G28/H28,"")</f>
        <v/>
      </c>
      <c r="N28" t="inlineStr">
        <is>
          <t>OK</t>
        </is>
      </c>
      <c r="O28" t="inlineStr">
        <is>
          <t>https://www.pickfinder.app/players/cs2/xq939tnpy5hluwa</t>
        </is>
      </c>
    </row>
    <row r="29">
      <c r="A29" t="inlineStr">
        <is>
          <t>at2vo8jmt9hrk3m</t>
        </is>
      </c>
      <c r="B29" t="inlineStr">
        <is>
          <t>koala</t>
        </is>
      </c>
      <c r="C29" t="inlineStr">
        <is>
          <t>CS2</t>
        </is>
      </c>
      <c r="D29" t="inlineStr">
        <is>
          <t>DEN</t>
        </is>
      </c>
      <c r="E29" t="inlineStr">
        <is>
          <t>DEN vs LGC</t>
        </is>
      </c>
      <c r="F29" t="n">
        <v>36</v>
      </c>
      <c r="G29" t="n">
        <v>15.94</v>
      </c>
      <c r="H29" t="n">
        <v>0.73</v>
      </c>
      <c r="I29" s="8" t="n">
        <v>0.498</v>
      </c>
      <c r="J29" t="n">
        <v>0.37</v>
      </c>
      <c r="K29" t="n">
        <v>1.17</v>
      </c>
      <c r="L29" t="n">
        <v>1.24</v>
      </c>
      <c r="M29" s="9">
        <f>IFERROR(G29/H29,"")</f>
        <v/>
      </c>
      <c r="N29" t="inlineStr">
        <is>
          <t>OK</t>
        </is>
      </c>
      <c r="O29" t="inlineStr">
        <is>
          <t>https://www.pickfinder.app/players/cs2/at2vo8jmt9hrk3m</t>
        </is>
      </c>
    </row>
    <row r="30">
      <c r="A30" t="inlineStr">
        <is>
          <t>sir58v1hxyyne29</t>
        </is>
      </c>
      <c r="B30" t="inlineStr">
        <is>
          <t>maxxkor</t>
        </is>
      </c>
      <c r="C30" t="inlineStr">
        <is>
          <t>CS2</t>
        </is>
      </c>
      <c r="D30" t="inlineStr">
        <is>
          <t>DEN</t>
        </is>
      </c>
      <c r="E30" t="inlineStr">
        <is>
          <t>DEN vs LGC</t>
        </is>
      </c>
      <c r="F30" t="n">
        <v>36</v>
      </c>
      <c r="G30" t="n">
        <v>14.14</v>
      </c>
      <c r="H30" t="n">
        <v>0.65</v>
      </c>
      <c r="I30" s="8" t="n">
        <v>0.301</v>
      </c>
      <c r="J30" t="n">
        <v>0.2</v>
      </c>
      <c r="K30" t="n">
        <v>1.15</v>
      </c>
      <c r="L30" t="n">
        <v>1.09</v>
      </c>
      <c r="M30" s="9">
        <f>IFERROR(G30/H30,"")</f>
        <v/>
      </c>
      <c r="N30" t="inlineStr">
        <is>
          <t>OK</t>
        </is>
      </c>
      <c r="O30" t="inlineStr">
        <is>
          <t>https://www.pickfinder.app/players/cs2/sir58v1hxyyne29</t>
        </is>
      </c>
    </row>
    <row r="31">
      <c r="A31" t="inlineStr">
        <is>
          <t>a0u1qo22a3z9rh8</t>
        </is>
      </c>
      <c r="B31" t="inlineStr">
        <is>
          <t>rdnzao</t>
        </is>
      </c>
      <c r="C31" t="inlineStr">
        <is>
          <t>CS2</t>
        </is>
      </c>
      <c r="D31" t="inlineStr">
        <is>
          <t>DEN</t>
        </is>
      </c>
      <c r="E31" t="inlineStr">
        <is>
          <t>DEN vs LGC</t>
        </is>
      </c>
      <c r="F31" t="n">
        <v>36</v>
      </c>
      <c r="G31" t="n">
        <v>14.31</v>
      </c>
      <c r="H31" t="n">
        <v>0.66</v>
      </c>
      <c r="I31" s="8" t="n">
        <v>0.575</v>
      </c>
      <c r="J31" t="n">
        <v>0.38</v>
      </c>
      <c r="K31" t="n">
        <v>0.98</v>
      </c>
      <c r="L31" t="n">
        <v>1.09</v>
      </c>
      <c r="M31" s="9">
        <f>IFERROR(G31/H31,"")</f>
        <v/>
      </c>
      <c r="N31" t="inlineStr">
        <is>
          <t>OK</t>
        </is>
      </c>
      <c r="O31" t="inlineStr">
        <is>
          <t>https://www.pickfinder.app/players/cs2/a0u1qo22a3z9rh8</t>
        </is>
      </c>
    </row>
    <row r="32">
      <c r="A32" t="inlineStr">
        <is>
          <t>012uwaetq7hevsp</t>
        </is>
      </c>
      <c r="B32" t="inlineStr">
        <is>
          <t>HeCkBNk</t>
        </is>
      </c>
      <c r="C32" t="inlineStr">
        <is>
          <t>CS2</t>
        </is>
      </c>
      <c r="D32" t="inlineStr">
        <is>
          <t>FORZE.R</t>
        </is>
      </c>
      <c r="E32" t="inlineStr">
        <is>
          <t>FORZE.R vs ex-RUSTEC</t>
        </is>
      </c>
      <c r="F32" t="n">
        <v>33</v>
      </c>
      <c r="G32" t="n">
        <v>15.88</v>
      </c>
      <c r="H32" t="n">
        <v>0.73</v>
      </c>
      <c r="I32" s="8" t="n">
        <v>0.655</v>
      </c>
      <c r="J32" t="n">
        <v>0.48</v>
      </c>
      <c r="K32" t="n">
        <v>1.24</v>
      </c>
      <c r="L32" t="n">
        <v>1.27</v>
      </c>
      <c r="M32" s="9">
        <f>IFERROR(G32/H32,"")</f>
        <v/>
      </c>
      <c r="N32" t="inlineStr">
        <is>
          <t>OK</t>
        </is>
      </c>
      <c r="O32" t="inlineStr">
        <is>
          <t>https://www.pickfinder.app/players/cs2/012uwaetq7hevsp</t>
        </is>
      </c>
    </row>
    <row r="33">
      <c r="A33" t="inlineStr">
        <is>
          <t>2s3qwqpg7uefnn7</t>
        </is>
      </c>
      <c r="B33" t="inlineStr">
        <is>
          <t>KusMe</t>
        </is>
      </c>
      <c r="C33" t="inlineStr">
        <is>
          <t>CS2</t>
        </is>
      </c>
      <c r="D33" t="inlineStr">
        <is>
          <t>FORZE.R</t>
        </is>
      </c>
      <c r="E33" t="inlineStr">
        <is>
          <t>FORZE.R vs ex-RUSTEC</t>
        </is>
      </c>
      <c r="F33" t="n">
        <v>33</v>
      </c>
      <c r="G33" t="n">
        <v>14.73</v>
      </c>
      <c r="H33" t="n">
        <v>0.68</v>
      </c>
      <c r="I33" s="8" t="n">
        <v>0.529</v>
      </c>
      <c r="J33" t="n">
        <v>0.36</v>
      </c>
      <c r="K33" t="n">
        <v>1.06</v>
      </c>
      <c r="L33" t="n">
        <v>1.17</v>
      </c>
      <c r="M33" s="9">
        <f>IFERROR(G33/H33,"")</f>
        <v/>
      </c>
      <c r="N33" t="inlineStr">
        <is>
          <t>OK</t>
        </is>
      </c>
      <c r="O33" t="inlineStr">
        <is>
          <t>https://www.pickfinder.app/players/cs2/2s3qwqpg7uefnn7</t>
        </is>
      </c>
    </row>
    <row r="34">
      <c r="A34" t="inlineStr">
        <is>
          <t>798yw8my6zycp2s</t>
        </is>
      </c>
      <c r="B34" t="inlineStr">
        <is>
          <t>Lack1</t>
        </is>
      </c>
      <c r="C34" t="inlineStr">
        <is>
          <t>CS2</t>
        </is>
      </c>
      <c r="D34" t="inlineStr">
        <is>
          <t>FORZE.R</t>
        </is>
      </c>
      <c r="E34" t="inlineStr">
        <is>
          <t>FORZE.R vs ex-RUSTEC</t>
        </is>
      </c>
      <c r="F34" t="n">
        <v>33</v>
      </c>
      <c r="G34" t="n">
        <v>14.24</v>
      </c>
      <c r="H34" t="n">
        <v>0.66</v>
      </c>
      <c r="I34" s="8" t="n">
        <v>0.555</v>
      </c>
      <c r="J34" t="n">
        <v>0.36</v>
      </c>
      <c r="K34" t="n">
        <v>0.97</v>
      </c>
      <c r="L34" t="n">
        <v>1.05</v>
      </c>
      <c r="M34" s="9">
        <f>IFERROR(G34/H34,"")</f>
        <v/>
      </c>
      <c r="N34" t="inlineStr">
        <is>
          <t>OK</t>
        </is>
      </c>
      <c r="O34" t="inlineStr">
        <is>
          <t>https://www.pickfinder.app/players/cs2/798yw8my6zycp2s</t>
        </is>
      </c>
    </row>
    <row r="35">
      <c r="A35" t="inlineStr">
        <is>
          <t>udiua4ttm49q2v4</t>
        </is>
      </c>
      <c r="B35" t="inlineStr">
        <is>
          <t>NickelBack</t>
        </is>
      </c>
      <c r="C35" t="inlineStr">
        <is>
          <t>CS2</t>
        </is>
      </c>
      <c r="D35" t="inlineStr">
        <is>
          <t>FORZE.R</t>
        </is>
      </c>
      <c r="E35" t="inlineStr">
        <is>
          <t>FORZE.R vs ex-RUSTEC</t>
        </is>
      </c>
      <c r="F35" t="n">
        <v>35</v>
      </c>
      <c r="G35" t="n">
        <v>13.43</v>
      </c>
      <c r="H35" t="n">
        <v>0.59</v>
      </c>
      <c r="I35" s="8" t="n">
        <v>0.457</v>
      </c>
      <c r="J35" t="n">
        <v>0.27</v>
      </c>
      <c r="K35" t="n">
        <v>0.84</v>
      </c>
      <c r="L35" t="n">
        <v>0.98</v>
      </c>
      <c r="M35" s="9">
        <f>IFERROR(G35/H35,"")</f>
        <v/>
      </c>
      <c r="N35" t="inlineStr">
        <is>
          <t>OK</t>
        </is>
      </c>
      <c r="O35" t="inlineStr">
        <is>
          <t>https://www.pickfinder.app/players/cs2/udiua4ttm49q2v4</t>
        </is>
      </c>
    </row>
    <row r="36">
      <c r="A36" t="inlineStr">
        <is>
          <t>fcekd28mes5c7xs</t>
        </is>
      </c>
      <c r="B36" t="inlineStr">
        <is>
          <t>YumsaN</t>
        </is>
      </c>
      <c r="C36" t="inlineStr">
        <is>
          <t>CS2</t>
        </is>
      </c>
      <c r="D36" t="inlineStr">
        <is>
          <t>FORZE.R</t>
        </is>
      </c>
      <c r="E36" t="inlineStr">
        <is>
          <t>FORZE.R vs ex-RUSTEC</t>
        </is>
      </c>
      <c r="F36" t="n">
        <v>33</v>
      </c>
      <c r="G36" t="n">
        <v>16.12</v>
      </c>
      <c r="H36" t="n">
        <v>0.74</v>
      </c>
      <c r="I36" s="8" t="n">
        <v>0.282</v>
      </c>
      <c r="J36" t="n">
        <v>0.21</v>
      </c>
      <c r="K36" t="n">
        <v>1.29</v>
      </c>
      <c r="L36" t="n">
        <v>1.26</v>
      </c>
      <c r="M36" s="9">
        <f>IFERROR(G36/H36,"")</f>
        <v/>
      </c>
      <c r="N36" t="inlineStr">
        <is>
          <t>OK</t>
        </is>
      </c>
      <c r="O36" t="inlineStr">
        <is>
          <t>https://www.pickfinder.app/players/cs2/fcekd28mes5c7xs</t>
        </is>
      </c>
    </row>
    <row r="37">
      <c r="A37" t="inlineStr">
        <is>
          <t>upsdzrueyrfmr1m</t>
        </is>
      </c>
      <c r="B37" t="inlineStr">
        <is>
          <t>FalleN</t>
        </is>
      </c>
      <c r="C37" t="inlineStr">
        <is>
          <t>CS2</t>
        </is>
      </c>
      <c r="D37" t="inlineStr">
        <is>
          <t>FURIA</t>
        </is>
      </c>
      <c r="E37" t="inlineStr">
        <is>
          <t>FURIA vs NAVI</t>
        </is>
      </c>
      <c r="F37" t="n">
        <v>37</v>
      </c>
      <c r="G37" t="n">
        <v>11.73</v>
      </c>
      <c r="H37" t="n">
        <v>0.54</v>
      </c>
      <c r="I37" s="8" t="n">
        <v>0.512</v>
      </c>
      <c r="J37" t="n">
        <v>0.28</v>
      </c>
      <c r="K37" t="n">
        <v>0.85</v>
      </c>
      <c r="L37" t="n">
        <v>0.93</v>
      </c>
      <c r="M37" s="9">
        <f>IFERROR(G37/H37,"")</f>
        <v/>
      </c>
      <c r="N37" t="inlineStr">
        <is>
          <t>OK</t>
        </is>
      </c>
      <c r="O37" t="inlineStr">
        <is>
          <t>https://www.pickfinder.app/players/cs2/upsdzrueyrfmr1m</t>
        </is>
      </c>
    </row>
    <row r="38">
      <c r="A38" t="inlineStr">
        <is>
          <t>xlunjfskczbvxwn</t>
        </is>
      </c>
      <c r="B38" t="inlineStr">
        <is>
          <t>KSCERATO</t>
        </is>
      </c>
      <c r="C38" t="inlineStr">
        <is>
          <t>CS2</t>
        </is>
      </c>
      <c r="D38" t="inlineStr">
        <is>
          <t>FURIA</t>
        </is>
      </c>
      <c r="E38" t="inlineStr">
        <is>
          <t>FURIA vs NAVI</t>
        </is>
      </c>
      <c r="F38" t="n">
        <v>37</v>
      </c>
      <c r="G38" t="n">
        <v>15.81</v>
      </c>
      <c r="H38" t="n">
        <v>0.73</v>
      </c>
      <c r="I38" s="8" t="n">
        <v>0.504</v>
      </c>
      <c r="J38" t="n">
        <v>0.37</v>
      </c>
      <c r="K38" t="n">
        <v>1.27</v>
      </c>
      <c r="L38" t="n">
        <v>1.26</v>
      </c>
      <c r="M38" s="9">
        <f>IFERROR(G38/H38,"")</f>
        <v/>
      </c>
      <c r="N38" t="inlineStr">
        <is>
          <t>OK</t>
        </is>
      </c>
      <c r="O38" t="inlineStr">
        <is>
          <t>https://www.pickfinder.app/players/cs2/xlunjfskczbvxwn</t>
        </is>
      </c>
    </row>
    <row r="39">
      <c r="A39" t="inlineStr">
        <is>
          <t>g1czin1kua6nls5</t>
        </is>
      </c>
      <c r="B39" t="inlineStr">
        <is>
          <t>molodoy</t>
        </is>
      </c>
      <c r="C39" t="inlineStr">
        <is>
          <t>CS2</t>
        </is>
      </c>
      <c r="D39" t="inlineStr">
        <is>
          <t>FURIA</t>
        </is>
      </c>
      <c r="E39" t="inlineStr">
        <is>
          <t>FURIA vs NAVI</t>
        </is>
      </c>
      <c r="F39" t="n">
        <v>37</v>
      </c>
      <c r="G39" t="n">
        <v>15.95</v>
      </c>
      <c r="H39" t="n">
        <v>0.73</v>
      </c>
      <c r="I39" s="8" t="n">
        <v>0.375</v>
      </c>
      <c r="J39" t="n">
        <v>0.28</v>
      </c>
      <c r="K39" t="n">
        <v>1.21</v>
      </c>
      <c r="L39" t="n">
        <v>1.14</v>
      </c>
      <c r="M39" s="9">
        <f>IFERROR(G39/H39,"")</f>
        <v/>
      </c>
      <c r="N39" t="inlineStr">
        <is>
          <t>OK</t>
        </is>
      </c>
      <c r="O39" t="inlineStr">
        <is>
          <t>https://www.pickfinder.app/players/cs2/g1czin1kua6nls5</t>
        </is>
      </c>
    </row>
    <row r="40">
      <c r="A40" t="inlineStr">
        <is>
          <t>vl5i6xbqmsocy69</t>
        </is>
      </c>
      <c r="B40" t="inlineStr">
        <is>
          <t>YEKINDAR</t>
        </is>
      </c>
      <c r="C40" t="inlineStr">
        <is>
          <t>CS2</t>
        </is>
      </c>
      <c r="D40" t="inlineStr">
        <is>
          <t>FURIA</t>
        </is>
      </c>
      <c r="E40" t="inlineStr">
        <is>
          <t>FURIA vs NAVI</t>
        </is>
      </c>
      <c r="F40" t="n">
        <v>37</v>
      </c>
      <c r="G40" t="n">
        <v>15.08</v>
      </c>
      <c r="H40" t="n">
        <v>0.6899999999999999</v>
      </c>
      <c r="I40" s="8" t="n">
        <v>0.591</v>
      </c>
      <c r="J40" t="n">
        <v>0.41</v>
      </c>
      <c r="K40" t="n">
        <v>1.01</v>
      </c>
      <c r="L40" t="n">
        <v>1.12</v>
      </c>
      <c r="M40" s="9">
        <f>IFERROR(G40/H40,"")</f>
        <v/>
      </c>
      <c r="N40" t="inlineStr">
        <is>
          <t>OK</t>
        </is>
      </c>
      <c r="O40" t="inlineStr">
        <is>
          <t>https://www.pickfinder.app/players/cs2/vl5i6xbqmsocy69</t>
        </is>
      </c>
    </row>
    <row r="41">
      <c r="A41" t="inlineStr">
        <is>
          <t>npowbduexyegr6i</t>
        </is>
      </c>
      <c r="B41" t="inlineStr">
        <is>
          <t>yuurih</t>
        </is>
      </c>
      <c r="C41" t="inlineStr">
        <is>
          <t>CS2</t>
        </is>
      </c>
      <c r="D41" t="inlineStr">
        <is>
          <t>FURIA</t>
        </is>
      </c>
      <c r="E41" t="inlineStr">
        <is>
          <t>FURIA vs NAVI</t>
        </is>
      </c>
      <c r="F41" t="n">
        <v>37</v>
      </c>
      <c r="G41" t="n">
        <v>12.59</v>
      </c>
      <c r="H41" t="n">
        <v>0.58</v>
      </c>
      <c r="I41" s="8" t="n">
        <v>0.466</v>
      </c>
      <c r="J41" t="n">
        <v>0.27</v>
      </c>
      <c r="K41" t="n">
        <v>0.99</v>
      </c>
      <c r="L41" t="n">
        <v>1.02</v>
      </c>
      <c r="M41" s="9">
        <f>IFERROR(G41/H41,"")</f>
        <v/>
      </c>
      <c r="N41" t="inlineStr">
        <is>
          <t>OK</t>
        </is>
      </c>
      <c r="O41" t="inlineStr">
        <is>
          <t>https://www.pickfinder.app/players/cs2/npowbduexyegr6i</t>
        </is>
      </c>
    </row>
    <row r="42">
      <c r="A42" t="inlineStr">
        <is>
          <t>w5k5az5ca72wkvb</t>
        </is>
      </c>
      <c r="B42" t="inlineStr">
        <is>
          <t>Dem0N</t>
        </is>
      </c>
      <c r="C42" t="inlineStr">
        <is>
          <t>CS2</t>
        </is>
      </c>
      <c r="D42" t="inlineStr">
        <is>
          <t>FUT</t>
        </is>
      </c>
      <c r="E42" t="inlineStr">
        <is>
          <t>FUT vs TL</t>
        </is>
      </c>
      <c r="F42" t="n">
        <v>37</v>
      </c>
      <c r="G42" t="n">
        <v>15.62</v>
      </c>
      <c r="H42" t="n">
        <v>0.71</v>
      </c>
      <c r="I42" s="8" t="n">
        <v>0.67</v>
      </c>
      <c r="J42" t="n">
        <v>0.48</v>
      </c>
      <c r="K42" t="n">
        <v>1.1</v>
      </c>
      <c r="L42" t="n">
        <v>1.17</v>
      </c>
      <c r="M42" s="9">
        <f>IFERROR(G42/H42,"")</f>
        <v/>
      </c>
      <c r="N42" t="inlineStr">
        <is>
          <t>OK</t>
        </is>
      </c>
      <c r="O42" t="inlineStr">
        <is>
          <t>https://www.pickfinder.app/players/cs2/w5k5az5ca72wkvb</t>
        </is>
      </c>
    </row>
    <row r="43">
      <c r="A43" t="inlineStr">
        <is>
          <t>jf6rt002svd50mx</t>
        </is>
      </c>
      <c r="B43" t="inlineStr">
        <is>
          <t>dziugss</t>
        </is>
      </c>
      <c r="C43" t="inlineStr">
        <is>
          <t>CS2</t>
        </is>
      </c>
      <c r="D43" t="inlineStr">
        <is>
          <t>FUT</t>
        </is>
      </c>
      <c r="E43" t="inlineStr">
        <is>
          <t>FUT vs TL</t>
        </is>
      </c>
      <c r="F43" t="n">
        <v>37</v>
      </c>
      <c r="G43" t="n">
        <v>14.38</v>
      </c>
      <c r="H43" t="n">
        <v>0.65</v>
      </c>
      <c r="I43" s="8" t="n">
        <v>0.583</v>
      </c>
      <c r="J43" t="n">
        <v>0.38</v>
      </c>
      <c r="K43" t="n">
        <v>0.99</v>
      </c>
      <c r="L43" t="n">
        <v>1.11</v>
      </c>
      <c r="M43" s="9">
        <f>IFERROR(G43/H43,"")</f>
        <v/>
      </c>
      <c r="N43" t="inlineStr">
        <is>
          <t>OK</t>
        </is>
      </c>
      <c r="O43" t="inlineStr">
        <is>
          <t>https://www.pickfinder.app/players/cs2/jf6rt002svd50mx</t>
        </is>
      </c>
    </row>
    <row r="44">
      <c r="A44" t="inlineStr">
        <is>
          <t>rhz6c2hq5wcant1</t>
        </is>
      </c>
      <c r="B44" t="inlineStr">
        <is>
          <t>Krabeni</t>
        </is>
      </c>
      <c r="C44" t="inlineStr">
        <is>
          <t>CS2</t>
        </is>
      </c>
      <c r="D44" t="inlineStr">
        <is>
          <t>FUT</t>
        </is>
      </c>
      <c r="E44" t="inlineStr">
        <is>
          <t>FUT vs TL</t>
        </is>
      </c>
      <c r="F44" t="n">
        <v>36</v>
      </c>
      <c r="G44" t="n">
        <v>15.94</v>
      </c>
      <c r="H44" t="n">
        <v>0.73</v>
      </c>
      <c r="I44" s="8" t="n">
        <v>0.535</v>
      </c>
      <c r="J44" t="n">
        <v>0.39</v>
      </c>
      <c r="K44" t="n">
        <v>1</v>
      </c>
      <c r="L44" t="n">
        <v>1.1</v>
      </c>
      <c r="M44" s="9">
        <f>IFERROR(G44/H44,"")</f>
        <v/>
      </c>
      <c r="N44" t="inlineStr">
        <is>
          <t>OK</t>
        </is>
      </c>
      <c r="O44" t="inlineStr">
        <is>
          <t>https://www.pickfinder.app/players/cs2/rhz6c2hq5wcant1</t>
        </is>
      </c>
    </row>
    <row r="45">
      <c r="A45" t="inlineStr">
        <is>
          <t>xwyhvw38gardzpx</t>
        </is>
      </c>
      <c r="B45" t="inlineStr">
        <is>
          <t>SunPayus</t>
        </is>
      </c>
      <c r="C45" t="inlineStr">
        <is>
          <t>CS2</t>
        </is>
      </c>
      <c r="D45" t="inlineStr">
        <is>
          <t>FUT</t>
        </is>
      </c>
      <c r="E45" t="inlineStr">
        <is>
          <t>FUT vs TL</t>
        </is>
      </c>
      <c r="F45" t="n">
        <v>34</v>
      </c>
      <c r="G45" t="n">
        <v>15.47</v>
      </c>
      <c r="H45" t="n">
        <v>0.67</v>
      </c>
      <c r="I45" s="8" t="n">
        <v>0.352</v>
      </c>
      <c r="J45" t="n">
        <v>0.24</v>
      </c>
      <c r="K45" t="n">
        <v>1.17</v>
      </c>
      <c r="L45" t="n">
        <v>1.09</v>
      </c>
      <c r="M45" s="9">
        <f>IFERROR(G45/H45,"")</f>
        <v/>
      </c>
      <c r="N45" t="inlineStr">
        <is>
          <t>OK</t>
        </is>
      </c>
      <c r="O45" t="inlineStr">
        <is>
          <t>https://www.pickfinder.app/players/cs2/xwyhvw38gardzpx</t>
        </is>
      </c>
    </row>
    <row r="46">
      <c r="A46" t="inlineStr">
        <is>
          <t>lj8zw2mudcbj35u</t>
        </is>
      </c>
      <c r="B46" t="inlineStr">
        <is>
          <t>xfl0ud</t>
        </is>
      </c>
      <c r="C46" t="inlineStr">
        <is>
          <t>CS2</t>
        </is>
      </c>
      <c r="D46" t="inlineStr">
        <is>
          <t>FUT</t>
        </is>
      </c>
      <c r="E46" t="inlineStr">
        <is>
          <t>FUT vs TL</t>
        </is>
      </c>
      <c r="F46" t="n">
        <v>36</v>
      </c>
      <c r="G46" t="n">
        <v>14.11</v>
      </c>
      <c r="H46" t="n">
        <v>0.65</v>
      </c>
      <c r="I46" s="8" t="n">
        <v>0.5589999999999999</v>
      </c>
      <c r="J46" t="n">
        <v>0.36</v>
      </c>
      <c r="K46" t="n">
        <v>0.93</v>
      </c>
      <c r="L46" t="n">
        <v>1.11</v>
      </c>
      <c r="M46" s="9">
        <f>IFERROR(G46/H46,"")</f>
        <v/>
      </c>
      <c r="N46" t="inlineStr">
        <is>
          <t>OK</t>
        </is>
      </c>
      <c r="O46" t="inlineStr">
        <is>
          <t>https://www.pickfinder.app/players/cs2/lj8zw2mudcbj35u</t>
        </is>
      </c>
    </row>
    <row r="47">
      <c r="A47" t="inlineStr">
        <is>
          <t>tyf3s6dikrrtlem</t>
        </is>
      </c>
      <c r="B47" t="inlineStr">
        <is>
          <t>HeavyGod</t>
        </is>
      </c>
      <c r="C47" t="inlineStr">
        <is>
          <t>CS2</t>
        </is>
      </c>
      <c r="D47" t="inlineStr">
        <is>
          <t>G2</t>
        </is>
      </c>
      <c r="E47" t="inlineStr">
        <is>
          <t>G2 vs AUR</t>
        </is>
      </c>
      <c r="F47" t="n">
        <v>38</v>
      </c>
      <c r="G47" t="n">
        <v>15</v>
      </c>
      <c r="H47" t="n">
        <v>0.68</v>
      </c>
      <c r="I47" s="8" t="n">
        <v>0.593</v>
      </c>
      <c r="J47" t="n">
        <v>0.4</v>
      </c>
      <c r="K47" t="n">
        <v>1.06</v>
      </c>
      <c r="L47" t="n">
        <v>1.17</v>
      </c>
      <c r="M47" s="9">
        <f>IFERROR(G47/H47,"")</f>
        <v/>
      </c>
      <c r="N47" t="inlineStr">
        <is>
          <t>OK</t>
        </is>
      </c>
      <c r="O47" t="inlineStr">
        <is>
          <t>https://www.pickfinder.app/players/cs2/tyf3s6dikrrtlem</t>
        </is>
      </c>
    </row>
    <row r="48">
      <c r="A48" t="inlineStr">
        <is>
          <t>ikw7yck0lcpdqwz</t>
        </is>
      </c>
      <c r="B48" t="inlineStr">
        <is>
          <t>huNter-</t>
        </is>
      </c>
      <c r="C48" t="inlineStr">
        <is>
          <t>CS2</t>
        </is>
      </c>
      <c r="D48" t="inlineStr">
        <is>
          <t>G2</t>
        </is>
      </c>
      <c r="E48" t="inlineStr">
        <is>
          <t>G2 vs AUR</t>
        </is>
      </c>
      <c r="F48" t="n">
        <v>38</v>
      </c>
      <c r="G48" t="n">
        <v>14.03</v>
      </c>
      <c r="H48" t="n">
        <v>0.63</v>
      </c>
      <c r="I48" s="8" t="n">
        <v>0.597</v>
      </c>
      <c r="J48" t="n">
        <v>0.38</v>
      </c>
      <c r="K48" t="n">
        <v>0.93</v>
      </c>
      <c r="L48" t="n">
        <v>1</v>
      </c>
      <c r="M48" s="9">
        <f>IFERROR(G48/H48,"")</f>
        <v/>
      </c>
      <c r="N48" t="inlineStr">
        <is>
          <t>OK</t>
        </is>
      </c>
      <c r="O48" t="inlineStr">
        <is>
          <t>https://www.pickfinder.app/players/cs2/ikw7yck0lcpdqwz</t>
        </is>
      </c>
    </row>
    <row r="49">
      <c r="A49" t="inlineStr">
        <is>
          <t>5l639x0qis2rfwi</t>
        </is>
      </c>
      <c r="B49" t="inlineStr">
        <is>
          <t>MATYS</t>
        </is>
      </c>
      <c r="C49" t="inlineStr">
        <is>
          <t>CS2</t>
        </is>
      </c>
      <c r="D49" t="inlineStr">
        <is>
          <t>G2</t>
        </is>
      </c>
      <c r="E49" t="inlineStr">
        <is>
          <t>G2 vs AUR</t>
        </is>
      </c>
      <c r="F49" t="n">
        <v>38</v>
      </c>
      <c r="G49" t="n">
        <v>14.24</v>
      </c>
      <c r="H49" t="n">
        <v>0.64</v>
      </c>
      <c r="I49" s="8" t="n">
        <v>0.662</v>
      </c>
      <c r="J49" t="n">
        <v>0.42</v>
      </c>
      <c r="K49" t="n">
        <v>0.96</v>
      </c>
      <c r="L49" t="n">
        <v>1.1</v>
      </c>
      <c r="M49" s="9">
        <f>IFERROR(G49/H49,"")</f>
        <v/>
      </c>
      <c r="N49" t="inlineStr">
        <is>
          <t>OK</t>
        </is>
      </c>
      <c r="O49" t="inlineStr">
        <is>
          <t>https://www.pickfinder.app/players/cs2/5l639x0qis2rfwi</t>
        </is>
      </c>
    </row>
    <row r="50">
      <c r="A50" t="inlineStr">
        <is>
          <t>ysvz6uswynmfc98</t>
        </is>
      </c>
      <c r="B50" t="inlineStr">
        <is>
          <t>NertZ</t>
        </is>
      </c>
      <c r="C50" t="inlineStr">
        <is>
          <t>CS2</t>
        </is>
      </c>
      <c r="D50" t="inlineStr">
        <is>
          <t>G2</t>
        </is>
      </c>
      <c r="E50" t="inlineStr">
        <is>
          <t>G2 vs AUR</t>
        </is>
      </c>
      <c r="F50" t="n">
        <v>38</v>
      </c>
      <c r="G50" t="n">
        <v>16.13</v>
      </c>
      <c r="H50" t="n">
        <v>0.73</v>
      </c>
      <c r="I50" s="8" t="n">
        <v>0.54</v>
      </c>
      <c r="J50" t="n">
        <v>0.39</v>
      </c>
      <c r="K50" t="n">
        <v>1.06</v>
      </c>
      <c r="L50" t="n">
        <v>1.19</v>
      </c>
      <c r="M50" s="9">
        <f>IFERROR(G50/H50,"")</f>
        <v/>
      </c>
      <c r="N50" t="inlineStr">
        <is>
          <t>OK</t>
        </is>
      </c>
      <c r="O50" t="inlineStr">
        <is>
          <t>https://www.pickfinder.app/players/cs2/ysvz6uswynmfc98</t>
        </is>
      </c>
    </row>
    <row r="51">
      <c r="A51" t="inlineStr">
        <is>
          <t>3v2vw55rjp5df2r</t>
        </is>
      </c>
      <c r="B51" t="inlineStr">
        <is>
          <t>r1nkle</t>
        </is>
      </c>
      <c r="C51" t="inlineStr">
        <is>
          <t>CS2</t>
        </is>
      </c>
      <c r="D51" t="inlineStr">
        <is>
          <t>G2</t>
        </is>
      </c>
      <c r="E51" t="inlineStr">
        <is>
          <t>G2 vs AUR</t>
        </is>
      </c>
      <c r="F51" t="n">
        <v>38</v>
      </c>
      <c r="G51" t="n">
        <v>13.08</v>
      </c>
      <c r="H51" t="n">
        <v>0.59</v>
      </c>
      <c r="I51" s="8" t="n">
        <v>0.304</v>
      </c>
      <c r="J51" t="n">
        <v>0.18</v>
      </c>
      <c r="K51" t="n">
        <v>0.99</v>
      </c>
      <c r="L51" t="n">
        <v>0.98</v>
      </c>
      <c r="M51" s="9">
        <f>IFERROR(G51/H51,"")</f>
        <v/>
      </c>
      <c r="N51" t="inlineStr">
        <is>
          <t>OK</t>
        </is>
      </c>
      <c r="O51" t="inlineStr">
        <is>
          <t>https://www.pickfinder.app/players/cs2/3v2vw55rjp5df2r</t>
        </is>
      </c>
    </row>
    <row r="52">
      <c r="A52" t="inlineStr">
        <is>
          <t>80bybpfrkhru947</t>
        </is>
      </c>
      <c r="B52" t="inlineStr">
        <is>
          <t>kyuubii</t>
        </is>
      </c>
      <c r="C52" t="inlineStr">
        <is>
          <t>CS2</t>
        </is>
      </c>
      <c r="D52" t="inlineStr">
        <is>
          <t>INF</t>
        </is>
      </c>
      <c r="E52" t="inlineStr">
        <is>
          <t>INF vs BRUTE</t>
        </is>
      </c>
      <c r="F52" t="n">
        <v>28</v>
      </c>
      <c r="G52" t="n">
        <v>15.5</v>
      </c>
      <c r="H52" t="n">
        <v>0.67</v>
      </c>
      <c r="I52" s="8" t="n">
        <v>0.578</v>
      </c>
      <c r="J52" t="n">
        <v>0.39</v>
      </c>
      <c r="K52" t="n">
        <v>1.02</v>
      </c>
      <c r="L52" t="n">
        <v>1.06</v>
      </c>
      <c r="M52" s="9">
        <f>IFERROR(G52/H52,"")</f>
        <v/>
      </c>
      <c r="N52" t="inlineStr">
        <is>
          <t>OK</t>
        </is>
      </c>
      <c r="O52" t="inlineStr">
        <is>
          <t>https://www.pickfinder.app/players/cs2/80bybpfrkhru947</t>
        </is>
      </c>
    </row>
    <row r="53">
      <c r="A53" t="inlineStr">
        <is>
          <t>wcfyexekmhuiiin</t>
        </is>
      </c>
      <c r="B53" t="inlineStr">
        <is>
          <t>ScrunK</t>
        </is>
      </c>
      <c r="C53" t="inlineStr">
        <is>
          <t>CS2</t>
        </is>
      </c>
      <c r="D53" t="inlineStr">
        <is>
          <t>INF</t>
        </is>
      </c>
      <c r="E53" t="inlineStr">
        <is>
          <t>INF vs BRUTE</t>
        </is>
      </c>
      <c r="F53" t="n">
        <v>27</v>
      </c>
      <c r="G53" t="n">
        <v>10.52</v>
      </c>
      <c r="H53" t="n">
        <v>0.48</v>
      </c>
      <c r="I53" s="8" t="n">
        <v>0.472</v>
      </c>
      <c r="J53" t="n">
        <v>0.23</v>
      </c>
      <c r="K53" t="n">
        <v>0.67</v>
      </c>
      <c r="L53" t="n">
        <v>0.82</v>
      </c>
      <c r="M53" s="9">
        <f>IFERROR(G53/H53,"")</f>
        <v/>
      </c>
      <c r="N53" t="inlineStr">
        <is>
          <t>OK</t>
        </is>
      </c>
      <c r="O53" t="inlineStr">
        <is>
          <t>https://www.pickfinder.app/players/cs2/wcfyexekmhuiiin</t>
        </is>
      </c>
    </row>
    <row r="54">
      <c r="A54" t="inlineStr">
        <is>
          <t>9ycphxjddne0u4w</t>
        </is>
      </c>
      <c r="B54" t="inlineStr">
        <is>
          <t>sl3nd</t>
        </is>
      </c>
      <c r="C54" t="inlineStr">
        <is>
          <t>CS2</t>
        </is>
      </c>
      <c r="D54" t="inlineStr">
        <is>
          <t>INF</t>
        </is>
      </c>
      <c r="E54" t="inlineStr">
        <is>
          <t>INF vs BRUTE</t>
        </is>
      </c>
      <c r="F54" t="n">
        <v>28</v>
      </c>
      <c r="G54" t="n">
        <v>18</v>
      </c>
      <c r="H54" t="n">
        <v>0.78</v>
      </c>
      <c r="I54" s="8" t="n">
        <v>0.296</v>
      </c>
      <c r="J54" t="n">
        <v>0.23</v>
      </c>
      <c r="K54" t="n">
        <v>1.24</v>
      </c>
      <c r="L54" t="n">
        <v>1.18</v>
      </c>
      <c r="M54" s="9">
        <f>IFERROR(G54/H54,"")</f>
        <v/>
      </c>
      <c r="N54" t="inlineStr">
        <is>
          <t>OK</t>
        </is>
      </c>
      <c r="O54" t="inlineStr">
        <is>
          <t>https://www.pickfinder.app/players/cs2/9ycphxjddne0u4w</t>
        </is>
      </c>
    </row>
    <row r="55">
      <c r="A55" t="inlineStr">
        <is>
          <t>12s4j1y56sietsk</t>
        </is>
      </c>
      <c r="B55" t="inlineStr">
        <is>
          <t>volt</t>
        </is>
      </c>
      <c r="C55" t="inlineStr">
        <is>
          <t>CS2</t>
        </is>
      </c>
      <c r="D55" t="inlineStr">
        <is>
          <t>INF</t>
        </is>
      </c>
      <c r="E55" t="inlineStr">
        <is>
          <t>INF vs BRUTE</t>
        </is>
      </c>
      <c r="F55" t="n">
        <v>28</v>
      </c>
      <c r="G55" t="n">
        <v>13.93</v>
      </c>
      <c r="H55" t="n">
        <v>0.6</v>
      </c>
      <c r="I55" s="8" t="n">
        <v>0.556</v>
      </c>
      <c r="J55" t="n">
        <v>0.33</v>
      </c>
      <c r="K55" t="n">
        <v>0.88</v>
      </c>
      <c r="L55" t="n">
        <v>0.98</v>
      </c>
      <c r="M55" s="9">
        <f>IFERROR(G55/H55,"")</f>
        <v/>
      </c>
      <c r="N55" t="inlineStr">
        <is>
          <t>OK</t>
        </is>
      </c>
      <c r="O55" t="inlineStr">
        <is>
          <t>https://www.pickfinder.app/players/cs2/12s4j1y56sietsk</t>
        </is>
      </c>
    </row>
    <row r="56">
      <c r="A56" t="inlineStr">
        <is>
          <t>q3hhhk7fp22ng9v</t>
        </is>
      </c>
      <c r="B56" t="inlineStr">
        <is>
          <t>El1an</t>
        </is>
      </c>
      <c r="C56" t="inlineStr">
        <is>
          <t>CS2</t>
        </is>
      </c>
      <c r="D56" t="inlineStr">
        <is>
          <t>INOX</t>
        </is>
      </c>
      <c r="E56" t="inlineStr">
        <is>
          <t>INOX vs ACE</t>
        </is>
      </c>
      <c r="F56" t="n">
        <v>36</v>
      </c>
      <c r="G56" t="n">
        <v>15.94</v>
      </c>
      <c r="H56" t="n">
        <v>0.72</v>
      </c>
      <c r="I56" s="8" t="n">
        <v>0.315</v>
      </c>
      <c r="J56" t="n">
        <v>0.23</v>
      </c>
      <c r="K56" t="n">
        <v>1.23</v>
      </c>
      <c r="L56" t="n">
        <v>1.18</v>
      </c>
      <c r="M56" s="9">
        <f>IFERROR(G56/H56,"")</f>
        <v/>
      </c>
      <c r="N56" t="inlineStr">
        <is>
          <t>OK</t>
        </is>
      </c>
      <c r="O56" t="inlineStr">
        <is>
          <t>https://www.pickfinder.app/players/cs2/q3hhhk7fp22ng9v</t>
        </is>
      </c>
    </row>
    <row r="57">
      <c r="A57" t="inlineStr">
        <is>
          <t>wtkbukkt9i8g1y0</t>
        </is>
      </c>
      <c r="B57" t="inlineStr">
        <is>
          <t>finW</t>
        </is>
      </c>
      <c r="C57" t="inlineStr">
        <is>
          <t>CS2</t>
        </is>
      </c>
      <c r="D57" t="inlineStr">
        <is>
          <t>INOX</t>
        </is>
      </c>
      <c r="E57" t="inlineStr">
        <is>
          <t>INOX vs ACE</t>
        </is>
      </c>
      <c r="F57" t="n">
        <v>35</v>
      </c>
      <c r="G57" t="n">
        <v>13.66</v>
      </c>
      <c r="H57" t="n">
        <v>0.64</v>
      </c>
      <c r="I57" s="8" t="n">
        <v>0.529</v>
      </c>
      <c r="J57" t="n">
        <v>0.34</v>
      </c>
      <c r="K57" t="n">
        <v>0.98</v>
      </c>
      <c r="L57" t="n">
        <v>1.06</v>
      </c>
      <c r="M57" s="9">
        <f>IFERROR(G57/H57,"")</f>
        <v/>
      </c>
      <c r="N57" t="inlineStr">
        <is>
          <t>OK</t>
        </is>
      </c>
      <c r="O57" t="inlineStr">
        <is>
          <t>https://www.pickfinder.app/players/cs2/wtkbukkt9i8g1y0</t>
        </is>
      </c>
    </row>
    <row r="58">
      <c r="A58" t="inlineStr">
        <is>
          <t>m02i8zld44pmsf6</t>
        </is>
      </c>
      <c r="B58" t="inlineStr">
        <is>
          <t>K0s</t>
        </is>
      </c>
      <c r="C58" t="inlineStr">
        <is>
          <t>CS2</t>
        </is>
      </c>
      <c r="D58" t="inlineStr">
        <is>
          <t>INOX</t>
        </is>
      </c>
      <c r="E58" t="inlineStr">
        <is>
          <t>INOX vs ACE</t>
        </is>
      </c>
      <c r="F58" t="n">
        <v>35</v>
      </c>
      <c r="G58" t="n">
        <v>14.31</v>
      </c>
      <c r="H58" t="n">
        <v>0.67</v>
      </c>
      <c r="I58" s="8" t="n">
        <v>0.525</v>
      </c>
      <c r="J58" t="n">
        <v>0.35</v>
      </c>
      <c r="K58" t="n">
        <v>0.95</v>
      </c>
      <c r="L58" t="n">
        <v>0.99</v>
      </c>
      <c r="M58" s="9">
        <f>IFERROR(G58/H58,"")</f>
        <v/>
      </c>
      <c r="N58" t="inlineStr">
        <is>
          <t>OK</t>
        </is>
      </c>
      <c r="O58" t="inlineStr">
        <is>
          <t>https://www.pickfinder.app/players/cs2/m02i8zld44pmsf6</t>
        </is>
      </c>
    </row>
    <row r="59">
      <c r="A59" t="inlineStr">
        <is>
          <t>jqawnnqgchzqat7</t>
        </is>
      </c>
      <c r="B59" t="inlineStr">
        <is>
          <t>k1slll</t>
        </is>
      </c>
      <c r="C59" t="inlineStr">
        <is>
          <t>CS2</t>
        </is>
      </c>
      <c r="D59" t="inlineStr">
        <is>
          <t>INOX</t>
        </is>
      </c>
      <c r="E59" t="inlineStr">
        <is>
          <t>INOX vs ACE</t>
        </is>
      </c>
      <c r="F59" t="n">
        <v>35</v>
      </c>
      <c r="G59" t="n">
        <v>13.49</v>
      </c>
      <c r="H59" t="n">
        <v>0.63</v>
      </c>
      <c r="I59" s="8" t="n">
        <v>0.496</v>
      </c>
      <c r="J59" t="n">
        <v>0.31</v>
      </c>
      <c r="K59" t="n">
        <v>0.87</v>
      </c>
      <c r="L59" t="n">
        <v>1.03</v>
      </c>
      <c r="M59" s="9">
        <f>IFERROR(G59/H59,"")</f>
        <v/>
      </c>
      <c r="N59" t="inlineStr">
        <is>
          <t>OK</t>
        </is>
      </c>
      <c r="O59" t="inlineStr">
        <is>
          <t>https://www.pickfinder.app/players/cs2/jqawnnqgchzqat7</t>
        </is>
      </c>
    </row>
    <row r="60">
      <c r="A60" t="inlineStr">
        <is>
          <t>6ztw7i4ms6nvy7y</t>
        </is>
      </c>
      <c r="B60" t="inlineStr">
        <is>
          <t>m1QUSE</t>
        </is>
      </c>
      <c r="C60" t="inlineStr">
        <is>
          <t>CS2</t>
        </is>
      </c>
      <c r="D60" t="inlineStr">
        <is>
          <t>INOX</t>
        </is>
      </c>
      <c r="E60" t="inlineStr">
        <is>
          <t>INOX vs ACE</t>
        </is>
      </c>
      <c r="F60" t="n">
        <v>39</v>
      </c>
      <c r="G60" t="n">
        <v>12.72</v>
      </c>
      <c r="H60" t="n">
        <v>0.61</v>
      </c>
      <c r="I60" s="8" t="n">
        <v>0.514</v>
      </c>
      <c r="J60" t="n">
        <v>0.31</v>
      </c>
      <c r="K60" t="n">
        <v>0.87</v>
      </c>
      <c r="L60" t="n">
        <v>0.97</v>
      </c>
      <c r="M60" s="9">
        <f>IFERROR(G60/H60,"")</f>
        <v/>
      </c>
      <c r="N60" t="inlineStr">
        <is>
          <t>OK</t>
        </is>
      </c>
      <c r="O60" t="inlineStr">
        <is>
          <t>https://www.pickfinder.app/players/cs2/6ztw7i4ms6nvy7y</t>
        </is>
      </c>
    </row>
    <row r="61">
      <c r="A61" t="inlineStr">
        <is>
          <t>6ihem6avn05n11t</t>
        </is>
      </c>
      <c r="B61" t="inlineStr">
        <is>
          <t>arT</t>
        </is>
      </c>
      <c r="C61" t="inlineStr">
        <is>
          <t>CS2</t>
        </is>
      </c>
      <c r="D61" t="inlineStr">
        <is>
          <t>LGC</t>
        </is>
      </c>
      <c r="E61" t="inlineStr">
        <is>
          <t>LGC vs DEN</t>
        </is>
      </c>
      <c r="F61" t="n">
        <v>38</v>
      </c>
      <c r="G61" t="n">
        <v>12.63</v>
      </c>
      <c r="H61" t="n">
        <v>0.54</v>
      </c>
      <c r="I61" s="8" t="n">
        <v>0.456</v>
      </c>
      <c r="J61" t="n">
        <v>0.25</v>
      </c>
      <c r="K61" t="n">
        <v>0.79</v>
      </c>
      <c r="L61" t="n">
        <v>0.9</v>
      </c>
      <c r="M61" s="9">
        <f>IFERROR(G61/H61,"")</f>
        <v/>
      </c>
      <c r="N61" t="inlineStr">
        <is>
          <t>OK</t>
        </is>
      </c>
      <c r="O61" t="inlineStr">
        <is>
          <t>https://www.pickfinder.app/players/cs2/6ihem6avn05n11t</t>
        </is>
      </c>
    </row>
    <row r="62">
      <c r="A62" t="inlineStr">
        <is>
          <t>fegzpn598j6etni</t>
        </is>
      </c>
      <c r="B62" t="inlineStr">
        <is>
          <t>dumau</t>
        </is>
      </c>
      <c r="C62" t="inlineStr">
        <is>
          <t>CS2</t>
        </is>
      </c>
      <c r="D62" t="inlineStr">
        <is>
          <t>LGC</t>
        </is>
      </c>
      <c r="E62" t="inlineStr">
        <is>
          <t>LGC vs DEN</t>
        </is>
      </c>
      <c r="F62" t="n">
        <v>39</v>
      </c>
      <c r="G62" t="n">
        <v>16.03</v>
      </c>
      <c r="H62" t="n">
        <v>0.7</v>
      </c>
      <c r="I62" s="8" t="n">
        <v>0.474</v>
      </c>
      <c r="J62" t="n">
        <v>0.33</v>
      </c>
      <c r="K62" t="n">
        <v>1.04</v>
      </c>
      <c r="L62" t="n">
        <v>1.12</v>
      </c>
      <c r="M62" s="9">
        <f>IFERROR(G62/H62,"")</f>
        <v/>
      </c>
      <c r="N62" t="inlineStr">
        <is>
          <t>OK</t>
        </is>
      </c>
      <c r="O62" t="inlineStr">
        <is>
          <t>https://www.pickfinder.app/players/cs2/fegzpn598j6etni</t>
        </is>
      </c>
    </row>
    <row r="63">
      <c r="A63" t="inlineStr">
        <is>
          <t>1wpbb1hb0wgcwoh</t>
        </is>
      </c>
      <c r="B63" t="inlineStr">
        <is>
          <t>latto</t>
        </is>
      </c>
      <c r="C63" t="inlineStr">
        <is>
          <t>CS2</t>
        </is>
      </c>
      <c r="D63" t="inlineStr">
        <is>
          <t>LGC</t>
        </is>
      </c>
      <c r="E63" t="inlineStr">
        <is>
          <t>LGC vs DEN</t>
        </is>
      </c>
      <c r="F63" t="n">
        <v>39</v>
      </c>
      <c r="G63" t="n">
        <v>17.05</v>
      </c>
      <c r="H63" t="n">
        <v>0.75</v>
      </c>
      <c r="I63" s="8" t="n">
        <v>0.5589999999999999</v>
      </c>
      <c r="J63" t="n">
        <v>0.42</v>
      </c>
      <c r="K63" t="n">
        <v>1.23</v>
      </c>
      <c r="L63" t="n">
        <v>1.23</v>
      </c>
      <c r="M63" s="9">
        <f>IFERROR(G63/H63,"")</f>
        <v/>
      </c>
      <c r="N63" t="inlineStr">
        <is>
          <t>OK</t>
        </is>
      </c>
      <c r="O63" t="inlineStr">
        <is>
          <t>https://www.pickfinder.app/players/cs2/1wpbb1hb0wgcwoh</t>
        </is>
      </c>
    </row>
    <row r="64">
      <c r="A64" t="inlineStr">
        <is>
          <t>wgxwl9snnyzsfwq</t>
        </is>
      </c>
      <c r="B64" t="inlineStr">
        <is>
          <t>n1ssim</t>
        </is>
      </c>
      <c r="C64" t="inlineStr">
        <is>
          <t>CS2</t>
        </is>
      </c>
      <c r="D64" t="inlineStr">
        <is>
          <t>LGC</t>
        </is>
      </c>
      <c r="E64" t="inlineStr">
        <is>
          <t>LGC vs DEN</t>
        </is>
      </c>
      <c r="F64" t="n">
        <v>39</v>
      </c>
      <c r="G64" t="n">
        <v>14.28</v>
      </c>
      <c r="H64" t="n">
        <v>0.63</v>
      </c>
      <c r="I64" s="8" t="n">
        <v>0.526</v>
      </c>
      <c r="J64" t="n">
        <v>0.33</v>
      </c>
      <c r="K64" t="n">
        <v>0.98</v>
      </c>
      <c r="L64" t="n">
        <v>1.02</v>
      </c>
      <c r="M64" s="9">
        <f>IFERROR(G64/H64,"")</f>
        <v/>
      </c>
      <c r="N64" t="inlineStr">
        <is>
          <t>OK</t>
        </is>
      </c>
      <c r="O64" t="inlineStr">
        <is>
          <t>https://www.pickfinder.app/players/cs2/wgxwl9snnyzsfwq</t>
        </is>
      </c>
    </row>
    <row r="65">
      <c r="A65" t="inlineStr">
        <is>
          <t>qtomd625i03qfpk</t>
        </is>
      </c>
      <c r="B65" t="inlineStr">
        <is>
          <t>try</t>
        </is>
      </c>
      <c r="C65" t="inlineStr">
        <is>
          <t>CS2</t>
        </is>
      </c>
      <c r="D65" t="inlineStr">
        <is>
          <t>LGC</t>
        </is>
      </c>
      <c r="E65" t="inlineStr">
        <is>
          <t>LGC vs DEN</t>
        </is>
      </c>
      <c r="F65" t="n">
        <v>39</v>
      </c>
      <c r="G65" t="n">
        <v>15.79</v>
      </c>
      <c r="H65" t="n">
        <v>0.6899999999999999</v>
      </c>
      <c r="I65" s="8" t="n">
        <v>0.318</v>
      </c>
      <c r="J65" t="n">
        <v>0.22</v>
      </c>
      <c r="K65" t="n">
        <v>1.13</v>
      </c>
      <c r="L65" t="n">
        <v>1.08</v>
      </c>
      <c r="M65" s="9">
        <f>IFERROR(G65/H65,"")</f>
        <v/>
      </c>
      <c r="N65" t="inlineStr">
        <is>
          <t>OK</t>
        </is>
      </c>
      <c r="O65" t="inlineStr">
        <is>
          <t>https://www.pickfinder.app/players/cs2/qtomd625i03qfpk</t>
        </is>
      </c>
    </row>
    <row r="66">
      <c r="A66" t="inlineStr">
        <is>
          <t>5ttqna5u230tb49</t>
        </is>
      </c>
      <c r="B66" t="inlineStr">
        <is>
          <t>910</t>
        </is>
      </c>
      <c r="C66" t="inlineStr">
        <is>
          <t>CS2</t>
        </is>
      </c>
      <c r="D66" t="inlineStr">
        <is>
          <t>MGLZ</t>
        </is>
      </c>
      <c r="E66" t="inlineStr">
        <is>
          <t>MGLZ vs VIT</t>
        </is>
      </c>
      <c r="F66" t="n">
        <v>35</v>
      </c>
      <c r="G66" t="n">
        <v>16.83</v>
      </c>
      <c r="H66" t="n">
        <v>0.8100000000000001</v>
      </c>
      <c r="I66" s="8" t="n">
        <v>0.377</v>
      </c>
      <c r="J66" t="n">
        <v>0.3</v>
      </c>
      <c r="K66" t="n">
        <v>1.3</v>
      </c>
      <c r="L66" t="n">
        <v>1.26</v>
      </c>
      <c r="M66" s="9">
        <f>IFERROR(G66/H66,"")</f>
        <v/>
      </c>
      <c r="N66" t="inlineStr">
        <is>
          <t>OK</t>
        </is>
      </c>
      <c r="O66" t="inlineStr">
        <is>
          <t>https://www.pickfinder.app/players/cs2/5ttqna5u230tb49</t>
        </is>
      </c>
    </row>
    <row r="67">
      <c r="A67" t="inlineStr">
        <is>
          <t>56bqvguml6vhetk</t>
        </is>
      </c>
      <c r="B67" t="inlineStr">
        <is>
          <t>bLitz</t>
        </is>
      </c>
      <c r="C67" t="inlineStr">
        <is>
          <t>CS2</t>
        </is>
      </c>
      <c r="D67" t="inlineStr">
        <is>
          <t>MGLZ</t>
        </is>
      </c>
      <c r="E67" t="inlineStr">
        <is>
          <t>MGLZ vs VIT</t>
        </is>
      </c>
      <c r="F67" t="n">
        <v>35</v>
      </c>
      <c r="G67" t="n">
        <v>14.57</v>
      </c>
      <c r="H67" t="n">
        <v>0.7</v>
      </c>
      <c r="I67" s="8" t="n">
        <v>0.449</v>
      </c>
      <c r="J67" t="n">
        <v>0.31</v>
      </c>
      <c r="K67" t="n">
        <v>1.05</v>
      </c>
      <c r="L67" t="n">
        <v>1.13</v>
      </c>
      <c r="M67" s="9">
        <f>IFERROR(G67/H67,"")</f>
        <v/>
      </c>
      <c r="N67" t="inlineStr">
        <is>
          <t>OK</t>
        </is>
      </c>
      <c r="O67" t="inlineStr">
        <is>
          <t>https://www.pickfinder.app/players/cs2/56bqvguml6vhetk</t>
        </is>
      </c>
    </row>
    <row r="68">
      <c r="A68" t="inlineStr">
        <is>
          <t>01464eymprqfx0w</t>
        </is>
      </c>
      <c r="B68" t="inlineStr">
        <is>
          <t>cobrazera</t>
        </is>
      </c>
      <c r="C68" t="inlineStr">
        <is>
          <t>CS2</t>
        </is>
      </c>
      <c r="D68" t="inlineStr">
        <is>
          <t>MGLZ</t>
        </is>
      </c>
      <c r="E68" t="inlineStr">
        <is>
          <t>MGLZ vs VIT</t>
        </is>
      </c>
      <c r="F68" t="n">
        <v>38</v>
      </c>
      <c r="G68" t="n">
        <v>14.84</v>
      </c>
      <c r="H68" t="n">
        <v>0.6899999999999999</v>
      </c>
      <c r="I68" s="8" t="n">
        <v>0.594</v>
      </c>
      <c r="J68" t="n">
        <v>0.41</v>
      </c>
      <c r="K68" t="n">
        <v>1.03</v>
      </c>
      <c r="L68" t="n">
        <v>1.14</v>
      </c>
      <c r="M68" s="9">
        <f>IFERROR(G68/H68,"")</f>
        <v/>
      </c>
      <c r="N68" t="inlineStr">
        <is>
          <t>OK</t>
        </is>
      </c>
      <c r="O68" t="inlineStr">
        <is>
          <t>https://www.pickfinder.app/players/cs2/01464eymprqfx0w</t>
        </is>
      </c>
    </row>
    <row r="69">
      <c r="A69" t="inlineStr">
        <is>
          <t>dobeml44vsvpy4d</t>
        </is>
      </c>
      <c r="B69" t="inlineStr">
        <is>
          <t>nin9</t>
        </is>
      </c>
      <c r="C69" t="inlineStr">
        <is>
          <t>CS2</t>
        </is>
      </c>
      <c r="D69" t="inlineStr">
        <is>
          <t>MGLZ</t>
        </is>
      </c>
      <c r="E69" t="inlineStr">
        <is>
          <t>MGLZ vs VIT</t>
        </is>
      </c>
      <c r="F69" t="n">
        <v>37</v>
      </c>
      <c r="G69" t="n">
        <v>14.08</v>
      </c>
      <c r="H69" t="n">
        <v>0.67</v>
      </c>
      <c r="I69" s="8" t="n">
        <v>0.5570000000000001</v>
      </c>
      <c r="J69" t="n">
        <v>0.37</v>
      </c>
      <c r="K69" t="n">
        <v>1.01</v>
      </c>
      <c r="L69" t="n">
        <v>1.08</v>
      </c>
      <c r="M69" s="9">
        <f>IFERROR(G69/H69,"")</f>
        <v/>
      </c>
      <c r="N69" t="inlineStr">
        <is>
          <t>OK</t>
        </is>
      </c>
      <c r="O69" t="inlineStr">
        <is>
          <t>https://www.pickfinder.app/players/cs2/dobeml44vsvpy4d</t>
        </is>
      </c>
    </row>
    <row r="70">
      <c r="A70" t="inlineStr">
        <is>
          <t>f34szm5kcyom32u</t>
        </is>
      </c>
      <c r="B70" t="inlineStr">
        <is>
          <t>Techno</t>
        </is>
      </c>
      <c r="C70" t="inlineStr">
        <is>
          <t>CS2</t>
        </is>
      </c>
      <c r="D70" t="inlineStr">
        <is>
          <t>MGLZ</t>
        </is>
      </c>
      <c r="E70" t="inlineStr">
        <is>
          <t>MGLZ vs VIT</t>
        </is>
      </c>
      <c r="F70" t="n">
        <v>35</v>
      </c>
      <c r="G70" t="n">
        <v>11.86</v>
      </c>
      <c r="H70" t="n">
        <v>0.57</v>
      </c>
      <c r="I70" s="8" t="n">
        <v>0.634</v>
      </c>
      <c r="J70" t="n">
        <v>0.36</v>
      </c>
      <c r="K70" t="n">
        <v>0.89</v>
      </c>
      <c r="L70" t="n">
        <v>0.98</v>
      </c>
      <c r="M70" s="9">
        <f>IFERROR(G70/H70,"")</f>
        <v/>
      </c>
      <c r="N70" t="inlineStr">
        <is>
          <t>OK</t>
        </is>
      </c>
      <c r="O70" t="inlineStr">
        <is>
          <t>https://www.pickfinder.app/players/cs2/f34szm5kcyom32u</t>
        </is>
      </c>
    </row>
    <row r="71">
      <c r="A71" t="inlineStr">
        <is>
          <t>pddkiy5mogisq4i</t>
        </is>
      </c>
      <c r="B71" t="inlineStr">
        <is>
          <t>PR</t>
        </is>
      </c>
      <c r="C71" t="inlineStr">
        <is>
          <t>CS2</t>
        </is>
      </c>
      <c r="D71" t="inlineStr">
        <is>
          <t>MOUZ</t>
        </is>
      </c>
      <c r="E71" t="inlineStr">
        <is>
          <t>MOUZ vs 9z</t>
        </is>
      </c>
      <c r="F71" t="n">
        <v>39</v>
      </c>
      <c r="G71" t="n">
        <v>13.85</v>
      </c>
      <c r="H71" t="n">
        <v>0.65</v>
      </c>
      <c r="I71" s="8" t="n">
        <v>0.517</v>
      </c>
      <c r="J71" t="n">
        <v>0.34</v>
      </c>
      <c r="K71" t="n">
        <v>1.06</v>
      </c>
      <c r="L71" t="n">
        <v>1.09</v>
      </c>
      <c r="M71" s="9">
        <f>IFERROR(G71/H71,"")</f>
        <v/>
      </c>
      <c r="N71" t="inlineStr">
        <is>
          <t>OK</t>
        </is>
      </c>
      <c r="O71" t="inlineStr">
        <is>
          <t>https://www.pickfinder.app/players/cs2/pddkiy5mogisq4i</t>
        </is>
      </c>
    </row>
    <row r="72">
      <c r="A72" t="inlineStr">
        <is>
          <t>qlzigrqycoim5ix</t>
        </is>
      </c>
      <c r="B72" t="inlineStr">
        <is>
          <t>Spinx</t>
        </is>
      </c>
      <c r="C72" t="inlineStr">
        <is>
          <t>CS2</t>
        </is>
      </c>
      <c r="D72" t="inlineStr">
        <is>
          <t>MOUZ</t>
        </is>
      </c>
      <c r="E72" t="inlineStr">
        <is>
          <t>MOUZ vs 9z</t>
        </is>
      </c>
      <c r="F72" t="n">
        <v>39</v>
      </c>
      <c r="G72" t="n">
        <v>14.77</v>
      </c>
      <c r="H72" t="n">
        <v>0.6899999999999999</v>
      </c>
      <c r="I72" s="8" t="n">
        <v>0.5920000000000001</v>
      </c>
      <c r="J72" t="n">
        <v>0.41</v>
      </c>
      <c r="K72" t="n">
        <v>1.18</v>
      </c>
      <c r="L72" t="n">
        <v>1.2</v>
      </c>
      <c r="M72" s="9">
        <f>IFERROR(G72/H72,"")</f>
        <v/>
      </c>
      <c r="N72" t="inlineStr">
        <is>
          <t>OK</t>
        </is>
      </c>
      <c r="O72" t="inlineStr">
        <is>
          <t>https://www.pickfinder.app/players/cs2/qlzigrqycoim5ix</t>
        </is>
      </c>
    </row>
    <row r="73">
      <c r="A73" t="inlineStr">
        <is>
          <t>jk73jbuxys7dhxb</t>
        </is>
      </c>
      <c r="B73" t="inlineStr">
        <is>
          <t>torzsi</t>
        </is>
      </c>
      <c r="C73" t="inlineStr">
        <is>
          <t>CS2</t>
        </is>
      </c>
      <c r="D73" t="inlineStr">
        <is>
          <t>MOUZ</t>
        </is>
      </c>
      <c r="E73" t="inlineStr">
        <is>
          <t>MOUZ vs 9z</t>
        </is>
      </c>
      <c r="F73" t="n">
        <v>39</v>
      </c>
      <c r="G73" t="n">
        <v>14.31</v>
      </c>
      <c r="H73" t="n">
        <v>0.67</v>
      </c>
      <c r="I73" s="8" t="n">
        <v>0.317</v>
      </c>
      <c r="J73" t="n">
        <v>0.21</v>
      </c>
      <c r="K73" t="n">
        <v>1.17</v>
      </c>
      <c r="L73" t="n">
        <v>1.08</v>
      </c>
      <c r="M73" s="9">
        <f>IFERROR(G73/H73,"")</f>
        <v/>
      </c>
      <c r="N73" t="inlineStr">
        <is>
          <t>OK</t>
        </is>
      </c>
      <c r="O73" t="inlineStr">
        <is>
          <t>https://www.pickfinder.app/players/cs2/jk73jbuxys7dhxb</t>
        </is>
      </c>
    </row>
    <row r="74">
      <c r="A74" t="inlineStr">
        <is>
          <t>zs2lsmobreb35xn</t>
        </is>
      </c>
      <c r="B74" t="inlineStr">
        <is>
          <t>xelex</t>
        </is>
      </c>
      <c r="C74" t="inlineStr">
        <is>
          <t>CS2</t>
        </is>
      </c>
      <c r="D74" t="inlineStr">
        <is>
          <t>MOUZ</t>
        </is>
      </c>
      <c r="E74" t="inlineStr">
        <is>
          <t>MOUZ vs 9z</t>
        </is>
      </c>
      <c r="F74" t="n">
        <v>39</v>
      </c>
      <c r="G74" t="n">
        <v>14.54</v>
      </c>
      <c r="H74" t="n">
        <v>0.68</v>
      </c>
      <c r="I74" s="8" t="n">
        <v>0.654</v>
      </c>
      <c r="J74" t="n">
        <v>0.45</v>
      </c>
      <c r="K74" t="n">
        <v>1.03</v>
      </c>
      <c r="L74" t="n">
        <v>1.13</v>
      </c>
      <c r="M74" s="9">
        <f>IFERROR(G74/H74,"")</f>
        <v/>
      </c>
      <c r="N74" t="inlineStr">
        <is>
          <t>OK</t>
        </is>
      </c>
      <c r="O74" t="inlineStr">
        <is>
          <t>https://www.pickfinder.app/players/cs2/zs2lsmobreb35xn</t>
        </is>
      </c>
    </row>
    <row r="75">
      <c r="A75" t="inlineStr">
        <is>
          <t>ih00nznuepxs9r3</t>
        </is>
      </c>
      <c r="B75" t="inlineStr">
        <is>
          <t>xertioN</t>
        </is>
      </c>
      <c r="C75" t="inlineStr">
        <is>
          <t>CS2</t>
        </is>
      </c>
      <c r="D75" t="inlineStr">
        <is>
          <t>MOUZ</t>
        </is>
      </c>
      <c r="E75" t="inlineStr">
        <is>
          <t>MOUZ vs 9z</t>
        </is>
      </c>
      <c r="F75" t="n">
        <v>39</v>
      </c>
      <c r="G75" t="n">
        <v>14.85</v>
      </c>
      <c r="H75" t="n">
        <v>0.7</v>
      </c>
      <c r="I75" s="8" t="n">
        <v>0.53</v>
      </c>
      <c r="J75" t="n">
        <v>0.37</v>
      </c>
      <c r="K75" t="n">
        <v>0.99</v>
      </c>
      <c r="L75" t="n">
        <v>1.11</v>
      </c>
      <c r="M75" s="9">
        <f>IFERROR(G75/H75,"")</f>
        <v/>
      </c>
      <c r="N75" t="inlineStr">
        <is>
          <t>OK</t>
        </is>
      </c>
      <c r="O75" t="inlineStr">
        <is>
          <t>https://www.pickfinder.app/players/cs2/ih00nznuepxs9r3</t>
        </is>
      </c>
    </row>
    <row r="76">
      <c r="A76" t="inlineStr">
        <is>
          <t>h2c84157n2ymvv2</t>
        </is>
      </c>
      <c r="B76" t="inlineStr">
        <is>
          <t>F1KU</t>
        </is>
      </c>
      <c r="C76" t="inlineStr">
        <is>
          <t>CS2</t>
        </is>
      </c>
      <c r="D76" t="inlineStr">
        <is>
          <t>MZP</t>
        </is>
      </c>
      <c r="E76" t="inlineStr">
        <is>
          <t>MZP vs BAKS</t>
        </is>
      </c>
      <c r="F76" t="n">
        <v>31</v>
      </c>
      <c r="G76" t="n">
        <v>14.52</v>
      </c>
      <c r="H76" t="n">
        <v>0.66</v>
      </c>
      <c r="I76" s="8" t="n">
        <v>0.589</v>
      </c>
      <c r="J76" t="n">
        <v>0.39</v>
      </c>
      <c r="K76" t="n">
        <v>1.03</v>
      </c>
      <c r="L76" t="n">
        <v>1.16</v>
      </c>
      <c r="M76" s="9">
        <f>IFERROR(G76/H76,"")</f>
        <v/>
      </c>
      <c r="N76" t="inlineStr">
        <is>
          <t>OK</t>
        </is>
      </c>
      <c r="O76" t="inlineStr">
        <is>
          <t>https://www.pickfinder.app/players/cs2/h2c84157n2ymvv2</t>
        </is>
      </c>
    </row>
    <row r="77">
      <c r="A77" t="inlineStr">
        <is>
          <t>4bqrch5n45sx5u9</t>
        </is>
      </c>
      <c r="B77" t="inlineStr">
        <is>
          <t>forsyy</t>
        </is>
      </c>
      <c r="C77" t="inlineStr">
        <is>
          <t>CS2</t>
        </is>
      </c>
      <c r="D77" t="inlineStr">
        <is>
          <t>MZP</t>
        </is>
      </c>
      <c r="E77" t="inlineStr">
        <is>
          <t>MZP vs BAKS</t>
        </is>
      </c>
      <c r="F77" t="n">
        <v>31</v>
      </c>
      <c r="G77" t="n">
        <v>15.65</v>
      </c>
      <c r="H77" t="n">
        <v>0.72</v>
      </c>
      <c r="I77" s="8" t="n">
        <v>0.367</v>
      </c>
      <c r="J77" t="n">
        <v>0.26</v>
      </c>
      <c r="K77" t="n">
        <v>1.22</v>
      </c>
      <c r="L77" t="n">
        <v>1.14</v>
      </c>
      <c r="M77" s="9">
        <f>IFERROR(G77/H77,"")</f>
        <v/>
      </c>
      <c r="N77" t="inlineStr">
        <is>
          <t>OK</t>
        </is>
      </c>
      <c r="O77" t="inlineStr">
        <is>
          <t>https://www.pickfinder.app/players/cs2/4bqrch5n45sx5u9</t>
        </is>
      </c>
    </row>
    <row r="78">
      <c r="A78" t="inlineStr">
        <is>
          <t>cenz32hm5akyeqy</t>
        </is>
      </c>
      <c r="B78" t="inlineStr">
        <is>
          <t>MaiL09</t>
        </is>
      </c>
      <c r="C78" t="inlineStr">
        <is>
          <t>CS2</t>
        </is>
      </c>
      <c r="D78" t="inlineStr">
        <is>
          <t>MZP</t>
        </is>
      </c>
      <c r="E78" t="inlineStr">
        <is>
          <t>MZP vs BAKS</t>
        </is>
      </c>
      <c r="F78" t="n">
        <v>31</v>
      </c>
      <c r="G78" t="n">
        <v>15.55</v>
      </c>
      <c r="H78" t="n">
        <v>0.71</v>
      </c>
      <c r="I78" s="8" t="n">
        <v>0.672</v>
      </c>
      <c r="J78" t="n">
        <v>0.48</v>
      </c>
      <c r="K78" t="n">
        <v>1.13</v>
      </c>
      <c r="L78" t="n">
        <v>1.22</v>
      </c>
      <c r="M78" s="9">
        <f>IFERROR(G78/H78,"")</f>
        <v/>
      </c>
      <c r="N78" t="inlineStr">
        <is>
          <t>OK</t>
        </is>
      </c>
      <c r="O78" t="inlineStr">
        <is>
          <t>https://www.pickfinder.app/players/cs2/cenz32hm5akyeqy</t>
        </is>
      </c>
    </row>
    <row r="79">
      <c r="A79" t="inlineStr">
        <is>
          <t>vwa09ypl40r89pt</t>
        </is>
      </c>
      <c r="B79" t="inlineStr">
        <is>
          <t>Plopski</t>
        </is>
      </c>
      <c r="C79" t="inlineStr">
        <is>
          <t>CS2</t>
        </is>
      </c>
      <c r="D79" t="inlineStr">
        <is>
          <t>MZP</t>
        </is>
      </c>
      <c r="E79" t="inlineStr">
        <is>
          <t>MZP vs BAKS</t>
        </is>
      </c>
      <c r="F79" t="n">
        <v>31</v>
      </c>
      <c r="G79" t="n">
        <v>15.32</v>
      </c>
      <c r="H79" t="n">
        <v>0.7</v>
      </c>
      <c r="I79" s="8" t="n">
        <v>0.509</v>
      </c>
      <c r="J79" t="n">
        <v>0.36</v>
      </c>
      <c r="K79" t="n">
        <v>1.05</v>
      </c>
      <c r="L79" t="n">
        <v>1.17</v>
      </c>
      <c r="M79" s="9">
        <f>IFERROR(G79/H79,"")</f>
        <v/>
      </c>
      <c r="N79" t="inlineStr">
        <is>
          <t>OK</t>
        </is>
      </c>
      <c r="O79" t="inlineStr">
        <is>
          <t>https://www.pickfinder.app/players/cs2/vwa09ypl40r89pt</t>
        </is>
      </c>
    </row>
    <row r="80">
      <c r="A80" t="inlineStr">
        <is>
          <t>vl85mzwiy0ds144</t>
        </is>
      </c>
      <c r="B80" t="inlineStr">
        <is>
          <t>stanislaw</t>
        </is>
      </c>
      <c r="C80" t="inlineStr">
        <is>
          <t>CS2</t>
        </is>
      </c>
      <c r="D80" t="inlineStr">
        <is>
          <t>MZP</t>
        </is>
      </c>
      <c r="E80" t="inlineStr">
        <is>
          <t>MZP vs BAKS</t>
        </is>
      </c>
      <c r="F80" t="n">
        <v>31</v>
      </c>
      <c r="G80" t="n">
        <v>11.84</v>
      </c>
      <c r="H80" t="n">
        <v>0.54</v>
      </c>
      <c r="I80" s="8" t="n">
        <v>0.54</v>
      </c>
      <c r="J80" t="n">
        <v>0.29</v>
      </c>
      <c r="K80" t="n">
        <v>0.87</v>
      </c>
      <c r="L80" t="n">
        <v>0.96</v>
      </c>
      <c r="M80" s="9">
        <f>IFERROR(G80/H80,"")</f>
        <v/>
      </c>
      <c r="N80" t="inlineStr">
        <is>
          <t>OK</t>
        </is>
      </c>
      <c r="O80" t="inlineStr">
        <is>
          <t>https://www.pickfinder.app/players/cs2/vl85mzwiy0ds144</t>
        </is>
      </c>
    </row>
    <row r="81">
      <c r="A81" t="inlineStr">
        <is>
          <t>509x6s2e70l3hhg</t>
        </is>
      </c>
      <c r="B81" t="inlineStr">
        <is>
          <t>Aleksib</t>
        </is>
      </c>
      <c r="C81" t="inlineStr">
        <is>
          <t>CS2</t>
        </is>
      </c>
      <c r="D81" t="inlineStr">
        <is>
          <t>NAVI</t>
        </is>
      </c>
      <c r="E81" t="inlineStr">
        <is>
          <t>NAVI vs FURIA</t>
        </is>
      </c>
      <c r="F81" t="n">
        <v>36</v>
      </c>
      <c r="G81" t="n">
        <v>10.92</v>
      </c>
      <c r="H81" t="n">
        <v>0.5</v>
      </c>
      <c r="I81" s="8" t="n">
        <v>0.532</v>
      </c>
      <c r="J81" t="n">
        <v>0.27</v>
      </c>
      <c r="K81" t="n">
        <v>0.83</v>
      </c>
      <c r="L81" t="n">
        <v>0.9399999999999999</v>
      </c>
      <c r="M81" s="9">
        <f>IFERROR(G81/H81,"")</f>
        <v/>
      </c>
      <c r="N81" t="inlineStr">
        <is>
          <t>OK</t>
        </is>
      </c>
      <c r="O81" t="inlineStr">
        <is>
          <t>https://www.pickfinder.app/players/cs2/509x6s2e70l3hhg</t>
        </is>
      </c>
    </row>
    <row r="82">
      <c r="A82" t="inlineStr">
        <is>
          <t>2y1yay7td9d3pb6</t>
        </is>
      </c>
      <c r="B82" t="inlineStr">
        <is>
          <t>b1t</t>
        </is>
      </c>
      <c r="C82" t="inlineStr">
        <is>
          <t>CS2</t>
        </is>
      </c>
      <c r="D82" t="inlineStr">
        <is>
          <t>NAVI</t>
        </is>
      </c>
      <c r="E82" t="inlineStr">
        <is>
          <t>NAVI vs FURIA</t>
        </is>
      </c>
      <c r="F82" t="n">
        <v>36</v>
      </c>
      <c r="G82" t="n">
        <v>14.42</v>
      </c>
      <c r="H82" t="n">
        <v>0.66</v>
      </c>
      <c r="I82" s="8" t="n">
        <v>0.628</v>
      </c>
      <c r="J82" t="n">
        <v>0.42</v>
      </c>
      <c r="K82" t="n">
        <v>1.02</v>
      </c>
      <c r="L82" t="n">
        <v>1.11</v>
      </c>
      <c r="M82" s="9">
        <f>IFERROR(G82/H82,"")</f>
        <v/>
      </c>
      <c r="N82" t="inlineStr">
        <is>
          <t>OK</t>
        </is>
      </c>
      <c r="O82" t="inlineStr">
        <is>
          <t>https://www.pickfinder.app/players/cs2/2y1yay7td9d3pb6</t>
        </is>
      </c>
    </row>
    <row r="83">
      <c r="A83" t="inlineStr">
        <is>
          <t>6fnysfxfr7gofjk</t>
        </is>
      </c>
      <c r="B83" t="inlineStr">
        <is>
          <t>iM</t>
        </is>
      </c>
      <c r="C83" t="inlineStr">
        <is>
          <t>CS2</t>
        </is>
      </c>
      <c r="D83" t="inlineStr">
        <is>
          <t>NAVI</t>
        </is>
      </c>
      <c r="E83" t="inlineStr">
        <is>
          <t>NAVI vs FURIA</t>
        </is>
      </c>
      <c r="F83" t="n">
        <v>36</v>
      </c>
      <c r="G83" t="n">
        <v>14.17</v>
      </c>
      <c r="H83" t="n">
        <v>0.65</v>
      </c>
      <c r="I83" s="8" t="n">
        <v>0.469</v>
      </c>
      <c r="J83" t="n">
        <v>0.31</v>
      </c>
      <c r="K83" t="n">
        <v>0.95</v>
      </c>
      <c r="L83" t="n">
        <v>1.05</v>
      </c>
      <c r="M83" s="9">
        <f>IFERROR(G83/H83,"")</f>
        <v/>
      </c>
      <c r="N83" t="inlineStr">
        <is>
          <t>OK</t>
        </is>
      </c>
      <c r="O83" t="inlineStr">
        <is>
          <t>https://www.pickfinder.app/players/cs2/6fnysfxfr7gofjk</t>
        </is>
      </c>
    </row>
    <row r="84">
      <c r="A84" t="inlineStr">
        <is>
          <t>6oi74s8csyxqh63</t>
        </is>
      </c>
      <c r="B84" t="inlineStr">
        <is>
          <t>makazze</t>
        </is>
      </c>
      <c r="C84" t="inlineStr">
        <is>
          <t>CS2</t>
        </is>
      </c>
      <c r="D84" t="inlineStr">
        <is>
          <t>NAVI</t>
        </is>
      </c>
      <c r="E84" t="inlineStr">
        <is>
          <t>NAVI vs FURIA</t>
        </is>
      </c>
      <c r="F84" t="n">
        <v>36</v>
      </c>
      <c r="G84" t="n">
        <v>14.56</v>
      </c>
      <c r="H84" t="n">
        <v>0.67</v>
      </c>
      <c r="I84" s="8" t="n">
        <v>0.536</v>
      </c>
      <c r="J84" t="n">
        <v>0.36</v>
      </c>
      <c r="K84" t="n">
        <v>0.93</v>
      </c>
      <c r="L84" t="n">
        <v>1.07</v>
      </c>
      <c r="M84" s="9">
        <f>IFERROR(G84/H84,"")</f>
        <v/>
      </c>
      <c r="N84" t="inlineStr">
        <is>
          <t>OK</t>
        </is>
      </c>
      <c r="O84" t="inlineStr">
        <is>
          <t>https://www.pickfinder.app/players/cs2/6oi74s8csyxqh63</t>
        </is>
      </c>
    </row>
    <row r="85">
      <c r="A85" t="inlineStr">
        <is>
          <t>9wdj3z2kekttkk3</t>
        </is>
      </c>
      <c r="B85" t="inlineStr">
        <is>
          <t>w0nderful</t>
        </is>
      </c>
      <c r="C85" t="inlineStr">
        <is>
          <t>CS2</t>
        </is>
      </c>
      <c r="D85" t="inlineStr">
        <is>
          <t>NAVI</t>
        </is>
      </c>
      <c r="E85" t="inlineStr">
        <is>
          <t>NAVI vs FURIA</t>
        </is>
      </c>
      <c r="F85" t="n">
        <v>36</v>
      </c>
      <c r="G85" t="n">
        <v>16.06</v>
      </c>
      <c r="H85" t="n">
        <v>0.74</v>
      </c>
      <c r="I85" s="8" t="n">
        <v>0.4</v>
      </c>
      <c r="J85" t="n">
        <v>0.3</v>
      </c>
      <c r="K85" t="n">
        <v>1.25</v>
      </c>
      <c r="L85" t="n">
        <v>1.17</v>
      </c>
      <c r="M85" s="9">
        <f>IFERROR(G85/H85,"")</f>
        <v/>
      </c>
      <c r="N85" t="inlineStr">
        <is>
          <t>OK</t>
        </is>
      </c>
      <c r="O85" t="inlineStr">
        <is>
          <t>https://www.pickfinder.app/players/cs2/9wdj3z2kekttkk3</t>
        </is>
      </c>
    </row>
    <row r="86">
      <c r="A86" t="inlineStr">
        <is>
          <t>fhr6sqp0a6355ky</t>
        </is>
      </c>
      <c r="B86" t="inlineStr">
        <is>
          <t>KaiR0N</t>
        </is>
      </c>
      <c r="C86" t="inlineStr">
        <is>
          <t>CS2</t>
        </is>
      </c>
      <c r="D86" t="inlineStr">
        <is>
          <t>NEMI</t>
        </is>
      </c>
      <c r="E86" t="inlineStr">
        <is>
          <t>NEMI vs BB</t>
        </is>
      </c>
      <c r="F86" t="n">
        <v>37</v>
      </c>
      <c r="G86" t="n">
        <v>17.68</v>
      </c>
      <c r="H86" t="n">
        <v>0.74</v>
      </c>
      <c r="I86" s="8" t="n">
        <v>0.622</v>
      </c>
      <c r="J86" t="n">
        <v>0.46</v>
      </c>
      <c r="K86" t="n">
        <v>1.04</v>
      </c>
      <c r="L86" t="n">
        <v>1.17</v>
      </c>
      <c r="M86" s="9">
        <f>IFERROR(G86/H86,"")</f>
        <v/>
      </c>
      <c r="N86" t="inlineStr">
        <is>
          <t>OK</t>
        </is>
      </c>
      <c r="O86" t="inlineStr">
        <is>
          <t>https://www.pickfinder.app/players/cs2/fhr6sqp0a6355ky</t>
        </is>
      </c>
    </row>
    <row r="87">
      <c r="A87" t="inlineStr">
        <is>
          <t>sj7nkpqagh6m88h</t>
        </is>
      </c>
      <c r="B87" t="inlineStr">
        <is>
          <t>khaN</t>
        </is>
      </c>
      <c r="C87" t="inlineStr">
        <is>
          <t>CS2</t>
        </is>
      </c>
      <c r="D87" t="inlineStr">
        <is>
          <t>NEMI</t>
        </is>
      </c>
      <c r="E87" t="inlineStr">
        <is>
          <t>NEMI vs BB</t>
        </is>
      </c>
      <c r="F87" t="n">
        <v>37</v>
      </c>
      <c r="G87" t="n">
        <v>16.51</v>
      </c>
      <c r="H87" t="n">
        <v>0.6899999999999999</v>
      </c>
      <c r="I87" s="8" t="n">
        <v>0.313</v>
      </c>
      <c r="J87" t="n">
        <v>0.22</v>
      </c>
      <c r="K87" t="n">
        <v>1.12</v>
      </c>
      <c r="L87" t="n">
        <v>1.06</v>
      </c>
      <c r="M87" s="9">
        <f>IFERROR(G87/H87,"")</f>
        <v/>
      </c>
      <c r="N87" t="inlineStr">
        <is>
          <t>OK</t>
        </is>
      </c>
      <c r="O87" t="inlineStr">
        <is>
          <t>https://www.pickfinder.app/players/cs2/sj7nkpqagh6m88h</t>
        </is>
      </c>
    </row>
    <row r="88">
      <c r="A88" t="inlineStr">
        <is>
          <t>ewe4j1nrqwzs0q7</t>
        </is>
      </c>
      <c r="B88" t="inlineStr">
        <is>
          <t>robo</t>
        </is>
      </c>
      <c r="C88" t="inlineStr">
        <is>
          <t>CS2</t>
        </is>
      </c>
      <c r="D88" t="inlineStr">
        <is>
          <t>NEMI</t>
        </is>
      </c>
      <c r="E88" t="inlineStr">
        <is>
          <t>NEMI vs BB</t>
        </is>
      </c>
      <c r="F88" t="n">
        <v>37</v>
      </c>
      <c r="G88" t="n">
        <v>15.78</v>
      </c>
      <c r="H88" t="n">
        <v>0.66</v>
      </c>
      <c r="I88" s="8" t="n">
        <v>0.526</v>
      </c>
      <c r="J88" t="n">
        <v>0.35</v>
      </c>
      <c r="K88" t="n">
        <v>0.96</v>
      </c>
      <c r="L88" t="n">
        <v>1.06</v>
      </c>
      <c r="M88" s="9">
        <f>IFERROR(G88/H88,"")</f>
        <v/>
      </c>
      <c r="N88" t="inlineStr">
        <is>
          <t>OK</t>
        </is>
      </c>
      <c r="O88" t="inlineStr">
        <is>
          <t>https://www.pickfinder.app/players/cs2/ewe4j1nrqwzs0q7</t>
        </is>
      </c>
    </row>
    <row r="89">
      <c r="A89" t="inlineStr">
        <is>
          <t>f00llyg1ocypenv</t>
        </is>
      </c>
      <c r="B89" t="inlineStr">
        <is>
          <t>syph0</t>
        </is>
      </c>
      <c r="C89" t="inlineStr">
        <is>
          <t>CS2</t>
        </is>
      </c>
      <c r="D89" t="inlineStr">
        <is>
          <t>NEMI</t>
        </is>
      </c>
      <c r="E89" t="inlineStr">
        <is>
          <t>NEMI vs BB</t>
        </is>
      </c>
      <c r="F89" t="n">
        <v>37</v>
      </c>
      <c r="G89" t="n">
        <v>17.43</v>
      </c>
      <c r="H89" t="n">
        <v>0.73</v>
      </c>
      <c r="I89" s="8" t="n">
        <v>0.535</v>
      </c>
      <c r="J89" t="n">
        <v>0.39</v>
      </c>
      <c r="K89" t="n">
        <v>1.15</v>
      </c>
      <c r="L89" t="n">
        <v>1.24</v>
      </c>
      <c r="M89" s="9">
        <f>IFERROR(G89/H89,"")</f>
        <v/>
      </c>
      <c r="N89" t="inlineStr">
        <is>
          <t>OK</t>
        </is>
      </c>
      <c r="O89" t="inlineStr">
        <is>
          <t>https://www.pickfinder.app/players/cs2/f00llyg1ocypenv</t>
        </is>
      </c>
    </row>
    <row r="90">
      <c r="A90" t="inlineStr">
        <is>
          <t>jc1nf38p0b44dfy</t>
        </is>
      </c>
      <c r="B90" t="inlineStr">
        <is>
          <t>Xant3r</t>
        </is>
      </c>
      <c r="C90" t="inlineStr">
        <is>
          <t>CS2</t>
        </is>
      </c>
      <c r="D90" t="inlineStr">
        <is>
          <t>NEMI</t>
        </is>
      </c>
      <c r="E90" t="inlineStr">
        <is>
          <t>NEMI vs BB</t>
        </is>
      </c>
      <c r="F90" t="n">
        <v>37</v>
      </c>
      <c r="G90" t="n">
        <v>17.46</v>
      </c>
      <c r="H90" t="n">
        <v>0.73</v>
      </c>
      <c r="I90" s="8" t="n">
        <v>0.546</v>
      </c>
      <c r="J90" t="n">
        <v>0.4</v>
      </c>
      <c r="K90" t="n">
        <v>1.11</v>
      </c>
      <c r="L90" t="n">
        <v>1.22</v>
      </c>
      <c r="M90" s="9">
        <f>IFERROR(G90/H90,"")</f>
        <v/>
      </c>
      <c r="N90" t="inlineStr">
        <is>
          <t>OK</t>
        </is>
      </c>
      <c r="O90" t="inlineStr">
        <is>
          <t>https://www.pickfinder.app/players/cs2/jc1nf38p0b44dfy</t>
        </is>
      </c>
    </row>
    <row r="91">
      <c r="A91" t="inlineStr">
        <is>
          <t>we8rbjpf65bc2tn</t>
        </is>
      </c>
      <c r="B91" t="inlineStr">
        <is>
          <t>EliGE</t>
        </is>
      </c>
      <c r="C91" t="inlineStr">
        <is>
          <t>CS2</t>
        </is>
      </c>
      <c r="D91" t="inlineStr">
        <is>
          <t>TL</t>
        </is>
      </c>
      <c r="E91" t="inlineStr">
        <is>
          <t>TL vs FUT</t>
        </is>
      </c>
      <c r="F91" t="n">
        <v>30</v>
      </c>
      <c r="G91" t="n">
        <v>17.1</v>
      </c>
      <c r="H91" t="n">
        <v>0.78</v>
      </c>
      <c r="I91" s="8" t="n">
        <v>0.583</v>
      </c>
      <c r="J91" t="n">
        <v>0.46</v>
      </c>
      <c r="K91" t="n">
        <v>1.15</v>
      </c>
      <c r="L91" t="n">
        <v>1.18</v>
      </c>
      <c r="M91" s="9">
        <f>IFERROR(G91/H91,"")</f>
        <v/>
      </c>
      <c r="N91" t="inlineStr">
        <is>
          <t>OK</t>
        </is>
      </c>
      <c r="O91" t="inlineStr">
        <is>
          <t>https://www.pickfinder.app/players/cs2/we8rbjpf65bc2tn</t>
        </is>
      </c>
    </row>
    <row r="92">
      <c r="A92" t="inlineStr">
        <is>
          <t>eb7cqiuc8bqx4zr</t>
        </is>
      </c>
      <c r="B92" t="inlineStr">
        <is>
          <t>Jorko</t>
        </is>
      </c>
      <c r="C92" t="inlineStr">
        <is>
          <t>CS2</t>
        </is>
      </c>
      <c r="D92" t="inlineStr">
        <is>
          <t>TL</t>
        </is>
      </c>
      <c r="E92" t="inlineStr">
        <is>
          <t>TL vs FUT</t>
        </is>
      </c>
      <c r="F92" t="n">
        <v>30</v>
      </c>
      <c r="G92" t="n">
        <v>15.23</v>
      </c>
      <c r="H92" t="n">
        <v>0.7</v>
      </c>
      <c r="I92" s="8" t="n">
        <v>0.328</v>
      </c>
      <c r="J92" t="n">
        <v>0.23</v>
      </c>
      <c r="K92" t="n">
        <v>1.2</v>
      </c>
      <c r="L92" t="n">
        <v>1.14</v>
      </c>
      <c r="M92" s="9">
        <f>IFERROR(G92/H92,"")</f>
        <v/>
      </c>
      <c r="N92" t="inlineStr">
        <is>
          <t>OK</t>
        </is>
      </c>
      <c r="O92" t="inlineStr">
        <is>
          <t>https://www.pickfinder.app/players/cs2/eb7cqiuc8bqx4zr</t>
        </is>
      </c>
    </row>
    <row r="93">
      <c r="A93" t="inlineStr">
        <is>
          <t>j4y4z5p4stvkatz</t>
        </is>
      </c>
      <c r="B93" t="inlineStr">
        <is>
          <t>JT</t>
        </is>
      </c>
      <c r="C93" t="inlineStr">
        <is>
          <t>CS2</t>
        </is>
      </c>
      <c r="D93" t="inlineStr">
        <is>
          <t>TL</t>
        </is>
      </c>
      <c r="E93" t="inlineStr">
        <is>
          <t>TL vs FUT</t>
        </is>
      </c>
      <c r="F93" t="n">
        <v>30</v>
      </c>
      <c r="G93" t="n">
        <v>11.33</v>
      </c>
      <c r="H93" t="n">
        <v>0.52</v>
      </c>
      <c r="I93" s="8" t="n">
        <v>0.556</v>
      </c>
      <c r="J93" t="n">
        <v>0.29</v>
      </c>
      <c r="K93" t="n">
        <v>0.77</v>
      </c>
      <c r="L93" t="n">
        <v>0.9399999999999999</v>
      </c>
      <c r="M93" s="9">
        <f>IFERROR(G93/H93,"")</f>
        <v/>
      </c>
      <c r="N93" t="inlineStr">
        <is>
          <t>OK</t>
        </is>
      </c>
      <c r="O93" t="inlineStr">
        <is>
          <t>https://www.pickfinder.app/players/cs2/j4y4z5p4stvkatz</t>
        </is>
      </c>
    </row>
    <row r="94">
      <c r="A94" t="inlineStr">
        <is>
          <t>30ba4vwtbgb75sn</t>
        </is>
      </c>
      <c r="B94" t="inlineStr">
        <is>
          <t>malbsMd</t>
        </is>
      </c>
      <c r="C94" t="inlineStr">
        <is>
          <t>CS2</t>
        </is>
      </c>
      <c r="D94" t="inlineStr">
        <is>
          <t>TL</t>
        </is>
      </c>
      <c r="E94" t="inlineStr">
        <is>
          <t>TL vs FUT</t>
        </is>
      </c>
      <c r="F94" t="n">
        <v>39</v>
      </c>
      <c r="G94" t="n">
        <v>15.1</v>
      </c>
      <c r="H94" t="n">
        <v>0.6899999999999999</v>
      </c>
      <c r="I94" s="8" t="n">
        <v>0.647</v>
      </c>
      <c r="J94" t="n">
        <v>0.45</v>
      </c>
      <c r="K94" t="n">
        <v>1.02</v>
      </c>
      <c r="L94" t="n">
        <v>1.14</v>
      </c>
      <c r="M94" s="9">
        <f>IFERROR(G94/H94,"")</f>
        <v/>
      </c>
      <c r="N94" t="inlineStr">
        <is>
          <t>OK</t>
        </is>
      </c>
      <c r="O94" t="inlineStr">
        <is>
          <t>https://www.pickfinder.app/players/cs2/30ba4vwtbgb75sn</t>
        </is>
      </c>
    </row>
    <row r="95">
      <c r="A95" t="inlineStr">
        <is>
          <t>as14gj4lvoykr11</t>
        </is>
      </c>
      <c r="B95" t="inlineStr">
        <is>
          <t>NAF</t>
        </is>
      </c>
      <c r="C95" t="inlineStr">
        <is>
          <t>CS2</t>
        </is>
      </c>
      <c r="D95" t="inlineStr">
        <is>
          <t>TL</t>
        </is>
      </c>
      <c r="E95" t="inlineStr">
        <is>
          <t>TL vs FUT</t>
        </is>
      </c>
      <c r="F95" t="n">
        <v>30</v>
      </c>
      <c r="G95" t="n">
        <v>14.7</v>
      </c>
      <c r="H95" t="n">
        <v>0.67</v>
      </c>
      <c r="I95" s="8" t="n">
        <v>0.542</v>
      </c>
      <c r="J95" t="n">
        <v>0.36</v>
      </c>
      <c r="K95" t="n">
        <v>1.15</v>
      </c>
      <c r="L95" t="n">
        <v>1.24</v>
      </c>
      <c r="M95" s="9">
        <f>IFERROR(G95/H95,"")</f>
        <v/>
      </c>
      <c r="N95" t="inlineStr">
        <is>
          <t>OK</t>
        </is>
      </c>
      <c r="O95" t="inlineStr">
        <is>
          <t>https://www.pickfinder.app/players/cs2/as14gj4lvoykr11</t>
        </is>
      </c>
    </row>
    <row r="96">
      <c r="A96" t="inlineStr">
        <is>
          <t>jm8g7f19qs3a8gx</t>
        </is>
      </c>
      <c r="B96" t="inlineStr">
        <is>
          <t>donk</t>
        </is>
      </c>
      <c r="C96" t="inlineStr">
        <is>
          <t>CS2</t>
        </is>
      </c>
      <c r="D96" t="inlineStr">
        <is>
          <t>TS</t>
        </is>
      </c>
      <c r="E96" t="inlineStr">
        <is>
          <t>TS vs TYLOO</t>
        </is>
      </c>
      <c r="F96" t="n">
        <v>38</v>
      </c>
      <c r="G96" t="n">
        <v>18.34</v>
      </c>
      <c r="H96" t="n">
        <v>0.86</v>
      </c>
      <c r="I96" s="8" t="n">
        <v>0.6509999999999999</v>
      </c>
      <c r="J96" t="n">
        <v>0.5600000000000001</v>
      </c>
      <c r="K96" t="n">
        <v>1.25</v>
      </c>
      <c r="L96" t="n">
        <v>1.32</v>
      </c>
      <c r="M96" s="9">
        <f>IFERROR(G96/H96,"")</f>
        <v/>
      </c>
      <c r="N96" t="inlineStr">
        <is>
          <t>OK</t>
        </is>
      </c>
      <c r="O96" t="inlineStr">
        <is>
          <t>https://www.pickfinder.app/players/cs2/jm8g7f19qs3a8gx</t>
        </is>
      </c>
    </row>
    <row r="97">
      <c r="A97" t="inlineStr">
        <is>
          <t>lfjx2i4g14pwgag</t>
        </is>
      </c>
      <c r="B97" t="inlineStr">
        <is>
          <t>magixx</t>
        </is>
      </c>
      <c r="C97" t="inlineStr">
        <is>
          <t>CS2</t>
        </is>
      </c>
      <c r="D97" t="inlineStr">
        <is>
          <t>TS</t>
        </is>
      </c>
      <c r="E97" t="inlineStr">
        <is>
          <t>TS vs TYLOO</t>
        </is>
      </c>
      <c r="F97" t="n">
        <v>38</v>
      </c>
      <c r="G97" t="n">
        <v>12.53</v>
      </c>
      <c r="H97" t="n">
        <v>0.58</v>
      </c>
      <c r="I97" s="8" t="n">
        <v>0.502</v>
      </c>
      <c r="J97" t="n">
        <v>0.29</v>
      </c>
      <c r="K97" t="n">
        <v>0.91</v>
      </c>
      <c r="L97" t="n">
        <v>1.01</v>
      </c>
      <c r="M97" s="9">
        <f>IFERROR(G97/H97,"")</f>
        <v/>
      </c>
      <c r="N97" t="inlineStr">
        <is>
          <t>OK</t>
        </is>
      </c>
      <c r="O97" t="inlineStr">
        <is>
          <t>https://www.pickfinder.app/players/cs2/lfjx2i4g14pwgag</t>
        </is>
      </c>
    </row>
    <row r="98">
      <c r="A98" t="inlineStr">
        <is>
          <t>4hpvy9eb05vcrre</t>
        </is>
      </c>
      <c r="B98" t="inlineStr">
        <is>
          <t>sh1ro</t>
        </is>
      </c>
      <c r="C98" t="inlineStr">
        <is>
          <t>CS2</t>
        </is>
      </c>
      <c r="D98" t="inlineStr">
        <is>
          <t>TS</t>
        </is>
      </c>
      <c r="E98" t="inlineStr">
        <is>
          <t>TS vs TYLOO</t>
        </is>
      </c>
      <c r="F98" t="n">
        <v>38</v>
      </c>
      <c r="G98" t="n">
        <v>15.45</v>
      </c>
      <c r="H98" t="n">
        <v>0.72</v>
      </c>
      <c r="I98" s="8" t="n">
        <v>0.342</v>
      </c>
      <c r="J98" t="n">
        <v>0.25</v>
      </c>
      <c r="K98" t="n">
        <v>1.3</v>
      </c>
      <c r="L98" t="n">
        <v>1.13</v>
      </c>
      <c r="M98" s="9">
        <f>IFERROR(G98/H98,"")</f>
        <v/>
      </c>
      <c r="N98" t="inlineStr">
        <is>
          <t>OK</t>
        </is>
      </c>
      <c r="O98" t="inlineStr">
        <is>
          <t>https://www.pickfinder.app/players/cs2/4hpvy9eb05vcrre</t>
        </is>
      </c>
    </row>
    <row r="99">
      <c r="A99" t="inlineStr">
        <is>
          <t>23ihz3d4vuve2an</t>
        </is>
      </c>
      <c r="B99" t="inlineStr">
        <is>
          <t>tN1R</t>
        </is>
      </c>
      <c r="C99" t="inlineStr">
        <is>
          <t>CS2</t>
        </is>
      </c>
      <c r="D99" t="inlineStr">
        <is>
          <t>TS</t>
        </is>
      </c>
      <c r="E99" t="inlineStr">
        <is>
          <t>TS vs TYLOO</t>
        </is>
      </c>
      <c r="F99" t="n">
        <v>38</v>
      </c>
      <c r="G99" t="n">
        <v>14.42</v>
      </c>
      <c r="H99" t="n">
        <v>0.67</v>
      </c>
      <c r="I99" s="8" t="n">
        <v>0.584</v>
      </c>
      <c r="J99" t="n">
        <v>0.39</v>
      </c>
      <c r="K99" t="n">
        <v>1.03</v>
      </c>
      <c r="L99" t="n">
        <v>1.12</v>
      </c>
      <c r="M99" s="9">
        <f>IFERROR(G99/H99,"")</f>
        <v/>
      </c>
      <c r="N99" t="inlineStr">
        <is>
          <t>OK</t>
        </is>
      </c>
      <c r="O99" t="inlineStr">
        <is>
          <t>https://www.pickfinder.app/players/cs2/23ihz3d4vuve2an</t>
        </is>
      </c>
    </row>
    <row r="100">
      <c r="A100" t="inlineStr">
        <is>
          <t>4wgqqpezywhvfib</t>
        </is>
      </c>
      <c r="B100" t="inlineStr">
        <is>
          <t>zont1x</t>
        </is>
      </c>
      <c r="C100" t="inlineStr">
        <is>
          <t>CS2</t>
        </is>
      </c>
      <c r="D100" t="inlineStr">
        <is>
          <t>TS</t>
        </is>
      </c>
      <c r="E100" t="inlineStr">
        <is>
          <t>TS vs TYLOO</t>
        </is>
      </c>
      <c r="F100" t="n">
        <v>38</v>
      </c>
      <c r="G100" t="n">
        <v>12.82</v>
      </c>
      <c r="H100" t="n">
        <v>0.6</v>
      </c>
      <c r="I100" s="8" t="n">
        <v>0.388</v>
      </c>
      <c r="J100" t="n">
        <v>0.23</v>
      </c>
      <c r="K100" t="n">
        <v>0.93</v>
      </c>
      <c r="L100" t="n">
        <v>1.06</v>
      </c>
      <c r="M100" s="9">
        <f>IFERROR(G100/H100,"")</f>
        <v/>
      </c>
      <c r="N100" t="inlineStr">
        <is>
          <t>OK</t>
        </is>
      </c>
      <c r="O100" t="inlineStr">
        <is>
          <t>https://www.pickfinder.app/players/cs2/4wgqqpezywhvfib</t>
        </is>
      </c>
    </row>
    <row r="101">
      <c r="A101" t="inlineStr">
        <is>
          <t>eolw6ia2z9ydnyh</t>
        </is>
      </c>
      <c r="B101" t="inlineStr">
        <is>
          <t>JamYoung</t>
        </is>
      </c>
      <c r="C101" t="inlineStr">
        <is>
          <t>CS2</t>
        </is>
      </c>
      <c r="D101" t="inlineStr">
        <is>
          <t>TYLOO</t>
        </is>
      </c>
      <c r="E101" t="inlineStr">
        <is>
          <t>TYLOO vs TS</t>
        </is>
      </c>
      <c r="F101" t="n">
        <v>32</v>
      </c>
      <c r="G101" t="n">
        <v>14.75</v>
      </c>
      <c r="H101" t="n">
        <v>0.74</v>
      </c>
      <c r="I101" s="8" t="n">
        <v>0.631</v>
      </c>
      <c r="J101" t="n">
        <v>0.47</v>
      </c>
      <c r="K101" t="n">
        <v>1.23</v>
      </c>
      <c r="L101" t="n">
        <v>1.28</v>
      </c>
      <c r="M101" s="9">
        <f>IFERROR(G101/H101,"")</f>
        <v/>
      </c>
      <c r="N101" t="inlineStr">
        <is>
          <t>OK</t>
        </is>
      </c>
      <c r="O101" t="inlineStr">
        <is>
          <t>https://www.pickfinder.app/players/cs2/eolw6ia2z9ydnyh</t>
        </is>
      </c>
    </row>
    <row r="102">
      <c r="A102" t="inlineStr">
        <is>
          <t>p3z2zy4su4m4nh0</t>
        </is>
      </c>
      <c r="B102" t="inlineStr">
        <is>
          <t>Jee</t>
        </is>
      </c>
      <c r="C102" t="inlineStr">
        <is>
          <t>CS2</t>
        </is>
      </c>
      <c r="D102" t="inlineStr">
        <is>
          <t>TYLOO</t>
        </is>
      </c>
      <c r="E102" t="inlineStr">
        <is>
          <t>TYLOO vs TS</t>
        </is>
      </c>
      <c r="F102" t="n">
        <v>32</v>
      </c>
      <c r="G102" t="n">
        <v>13.56</v>
      </c>
      <c r="H102" t="n">
        <v>0.68</v>
      </c>
      <c r="I102" s="8" t="n">
        <v>0.329</v>
      </c>
      <c r="J102" t="n">
        <v>0.22</v>
      </c>
      <c r="K102" t="n">
        <v>1.11</v>
      </c>
      <c r="L102" t="n">
        <v>1.07</v>
      </c>
      <c r="M102" s="9">
        <f>IFERROR(G102/H102,"")</f>
        <v/>
      </c>
      <c r="N102" t="inlineStr">
        <is>
          <t>OK</t>
        </is>
      </c>
      <c r="O102" t="inlineStr">
        <is>
          <t>https://www.pickfinder.app/players/cs2/p3z2zy4su4m4nh0</t>
        </is>
      </c>
    </row>
    <row r="103">
      <c r="A103" t="inlineStr">
        <is>
          <t>7jjpyjuolf7cdlx</t>
        </is>
      </c>
      <c r="B103" t="inlineStr">
        <is>
          <t>Mercury</t>
        </is>
      </c>
      <c r="C103" t="inlineStr">
        <is>
          <t>CS2</t>
        </is>
      </c>
      <c r="D103" t="inlineStr">
        <is>
          <t>TYLOO</t>
        </is>
      </c>
      <c r="E103" t="inlineStr">
        <is>
          <t>TYLOO vs TS</t>
        </is>
      </c>
      <c r="F103" t="n">
        <v>32</v>
      </c>
      <c r="G103" t="n">
        <v>12.25</v>
      </c>
      <c r="H103" t="n">
        <v>0.62</v>
      </c>
      <c r="I103" s="8" t="n">
        <v>0.625</v>
      </c>
      <c r="J103" t="n">
        <v>0.38</v>
      </c>
      <c r="K103" t="n">
        <v>0.97</v>
      </c>
      <c r="L103" t="n">
        <v>1.08</v>
      </c>
      <c r="M103" s="9">
        <f>IFERROR(G103/H103,"")</f>
        <v/>
      </c>
      <c r="N103" t="inlineStr">
        <is>
          <t>OK</t>
        </is>
      </c>
      <c r="O103" t="inlineStr">
        <is>
          <t>https://www.pickfinder.app/players/cs2/7jjpyjuolf7cdlx</t>
        </is>
      </c>
    </row>
    <row r="104">
      <c r="A104" t="inlineStr">
        <is>
          <t>ypfqlkrrqevp8h4</t>
        </is>
      </c>
      <c r="B104" t="inlineStr">
        <is>
          <t>Moseyuh</t>
        </is>
      </c>
      <c r="C104" t="inlineStr">
        <is>
          <t>CS2</t>
        </is>
      </c>
      <c r="D104" t="inlineStr">
        <is>
          <t>TYLOO</t>
        </is>
      </c>
      <c r="E104" t="inlineStr">
        <is>
          <t>TYLOO vs TS</t>
        </is>
      </c>
      <c r="F104" t="n">
        <v>32</v>
      </c>
      <c r="G104" t="n">
        <v>12.03</v>
      </c>
      <c r="H104" t="n">
        <v>0.6</v>
      </c>
      <c r="I104" s="8" t="n">
        <v>0.642</v>
      </c>
      <c r="J104" t="n">
        <v>0.39</v>
      </c>
      <c r="K104" t="n">
        <v>0.93</v>
      </c>
      <c r="L104" t="n">
        <v>1.03</v>
      </c>
      <c r="M104" s="9">
        <f>IFERROR(G104/H104,"")</f>
        <v/>
      </c>
      <c r="N104" t="inlineStr">
        <is>
          <t>OK</t>
        </is>
      </c>
      <c r="O104" t="inlineStr">
        <is>
          <t>https://www.pickfinder.app/players/cs2/ypfqlkrrqevp8h4</t>
        </is>
      </c>
    </row>
    <row r="105">
      <c r="A105" t="inlineStr">
        <is>
          <t>8xh80pn743zwzp0</t>
        </is>
      </c>
      <c r="B105" t="inlineStr">
        <is>
          <t>zero</t>
        </is>
      </c>
      <c r="C105" t="inlineStr">
        <is>
          <t>CS2</t>
        </is>
      </c>
      <c r="D105" t="inlineStr">
        <is>
          <t>TYLOO</t>
        </is>
      </c>
      <c r="E105" t="inlineStr">
        <is>
          <t>TYLOO vs TS</t>
        </is>
      </c>
      <c r="F105" t="n">
        <v>32</v>
      </c>
      <c r="G105" t="n">
        <v>12.59</v>
      </c>
      <c r="H105" t="n">
        <v>0.63</v>
      </c>
      <c r="I105" s="8" t="n">
        <v>0.546</v>
      </c>
      <c r="J105" t="n">
        <v>0.35</v>
      </c>
      <c r="K105" t="n">
        <v>0.95</v>
      </c>
      <c r="L105" t="n">
        <v>1.07</v>
      </c>
      <c r="M105" s="9">
        <f>IFERROR(G105/H105,"")</f>
        <v/>
      </c>
      <c r="N105" t="inlineStr">
        <is>
          <t>OK</t>
        </is>
      </c>
      <c r="O105" t="inlineStr">
        <is>
          <t>https://www.pickfinder.app/players/cs2/8xh80pn743zwzp0</t>
        </is>
      </c>
    </row>
    <row r="106">
      <c r="A106" t="inlineStr">
        <is>
          <t>slm7b5sevqrznls</t>
        </is>
      </c>
      <c r="B106" t="inlineStr">
        <is>
          <t>2high</t>
        </is>
      </c>
      <c r="C106" t="inlineStr">
        <is>
          <t>CS2</t>
        </is>
      </c>
      <c r="D106" t="inlineStr">
        <is>
          <t>UNiTY</t>
        </is>
      </c>
      <c r="E106" t="inlineStr">
        <is>
          <t>UNiTY vs ACE</t>
        </is>
      </c>
      <c r="F106" t="n">
        <v>36</v>
      </c>
      <c r="G106" t="n">
        <v>13.36</v>
      </c>
      <c r="H106" t="n">
        <v>0.62</v>
      </c>
      <c r="I106" s="8" t="n">
        <v>0.489</v>
      </c>
      <c r="J106" t="n">
        <v>0.31</v>
      </c>
      <c r="K106" t="n">
        <v>0.98</v>
      </c>
      <c r="L106" t="n">
        <v>1.08</v>
      </c>
      <c r="M106" s="9">
        <f>IFERROR(G106/H106,"")</f>
        <v/>
      </c>
      <c r="N106" t="inlineStr">
        <is>
          <t>OK</t>
        </is>
      </c>
      <c r="O106" t="inlineStr">
        <is>
          <t>https://www.pickfinder.app/players/cs2/slm7b5sevqrznls</t>
        </is>
      </c>
    </row>
    <row r="107">
      <c r="A107" t="inlineStr">
        <is>
          <t>9xneuyz69zuftic</t>
        </is>
      </c>
      <c r="B107" t="inlineStr">
        <is>
          <t>Dytor</t>
        </is>
      </c>
      <c r="C107" t="inlineStr">
        <is>
          <t>CS2</t>
        </is>
      </c>
      <c r="D107" t="inlineStr">
        <is>
          <t>UNiTY</t>
        </is>
      </c>
      <c r="E107" t="inlineStr">
        <is>
          <t>UNiTY vs ACE</t>
        </is>
      </c>
      <c r="F107" t="n">
        <v>37</v>
      </c>
      <c r="G107" t="n">
        <v>14.43</v>
      </c>
      <c r="H107" t="n">
        <v>0.6899999999999999</v>
      </c>
      <c r="I107" s="8" t="n">
        <v>0.515</v>
      </c>
      <c r="J107" t="n">
        <v>0.35</v>
      </c>
      <c r="K107" t="n">
        <v>1.03</v>
      </c>
      <c r="L107" t="n">
        <v>1.16</v>
      </c>
      <c r="M107" s="9">
        <f>IFERROR(G107/H107,"")</f>
        <v/>
      </c>
      <c r="N107" t="inlineStr">
        <is>
          <t>OK</t>
        </is>
      </c>
      <c r="O107" t="inlineStr">
        <is>
          <t>https://www.pickfinder.app/players/cs2/9xneuyz69zuftic</t>
        </is>
      </c>
    </row>
    <row r="108">
      <c r="A108" t="inlineStr">
        <is>
          <t>efi7mmb5o1ctn6l</t>
        </is>
      </c>
      <c r="B108" t="inlineStr">
        <is>
          <t>KWERTZZ</t>
        </is>
      </c>
      <c r="C108" t="inlineStr">
        <is>
          <t>CS2</t>
        </is>
      </c>
      <c r="D108" t="inlineStr">
        <is>
          <t>UNiTY</t>
        </is>
      </c>
      <c r="E108" t="inlineStr">
        <is>
          <t>UNiTY vs ACE</t>
        </is>
      </c>
      <c r="F108" t="n">
        <v>36</v>
      </c>
      <c r="G108" t="n">
        <v>15.56</v>
      </c>
      <c r="H108" t="n">
        <v>0.73</v>
      </c>
      <c r="I108" s="8" t="n">
        <v>0.677</v>
      </c>
      <c r="J108" t="n">
        <v>0.49</v>
      </c>
      <c r="K108" t="n">
        <v>1.12</v>
      </c>
      <c r="L108" t="n">
        <v>1.18</v>
      </c>
      <c r="M108" s="9">
        <f>IFERROR(G108/H108,"")</f>
        <v/>
      </c>
      <c r="N108" t="inlineStr">
        <is>
          <t>OK</t>
        </is>
      </c>
      <c r="O108" t="inlineStr">
        <is>
          <t>https://www.pickfinder.app/players/cs2/efi7mmb5o1ctn6l</t>
        </is>
      </c>
    </row>
    <row r="109">
      <c r="A109" t="inlineStr">
        <is>
          <t>r0t80uiaisgetxr</t>
        </is>
      </c>
      <c r="B109" t="inlineStr">
        <is>
          <t>M1key</t>
        </is>
      </c>
      <c r="C109" t="inlineStr">
        <is>
          <t>CS2</t>
        </is>
      </c>
      <c r="D109" t="inlineStr">
        <is>
          <t>UNiTY</t>
        </is>
      </c>
      <c r="E109" t="inlineStr">
        <is>
          <t>UNiTY vs ACE</t>
        </is>
      </c>
      <c r="F109" t="n">
        <v>36</v>
      </c>
      <c r="G109" t="n">
        <v>15.83</v>
      </c>
      <c r="H109" t="n">
        <v>0.74</v>
      </c>
      <c r="I109" s="8" t="n">
        <v>0.502</v>
      </c>
      <c r="J109" t="n">
        <v>0.37</v>
      </c>
      <c r="K109" t="n">
        <v>1.15</v>
      </c>
      <c r="L109" t="n">
        <v>1.24</v>
      </c>
      <c r="M109" s="9">
        <f>IFERROR(G109/H109,"")</f>
        <v/>
      </c>
      <c r="N109" t="inlineStr">
        <is>
          <t>OK</t>
        </is>
      </c>
      <c r="O109" t="inlineStr">
        <is>
          <t>https://www.pickfinder.app/players/cs2/r0t80uiaisgetxr</t>
        </is>
      </c>
    </row>
    <row r="110">
      <c r="A110" t="inlineStr">
        <is>
          <t>c8wc8d745qhelxm</t>
        </is>
      </c>
      <c r="B110" t="inlineStr">
        <is>
          <t>Sn0w</t>
        </is>
      </c>
      <c r="C110" t="inlineStr">
        <is>
          <t>CS2</t>
        </is>
      </c>
      <c r="D110" t="inlineStr">
        <is>
          <t>UNiTY</t>
        </is>
      </c>
      <c r="E110" t="inlineStr">
        <is>
          <t>UNiTY vs ACE</t>
        </is>
      </c>
      <c r="F110" t="n">
        <v>36</v>
      </c>
      <c r="G110" t="n">
        <v>14.83</v>
      </c>
      <c r="H110" t="n">
        <v>0.6899999999999999</v>
      </c>
      <c r="I110" s="8" t="n">
        <v>0.356</v>
      </c>
      <c r="J110" t="n">
        <v>0.25</v>
      </c>
      <c r="K110" t="n">
        <v>1.21</v>
      </c>
      <c r="L110" t="n">
        <v>1.16</v>
      </c>
      <c r="M110" s="9">
        <f>IFERROR(G110/H110,"")</f>
        <v/>
      </c>
      <c r="N110" t="inlineStr">
        <is>
          <t>OK</t>
        </is>
      </c>
      <c r="O110" t="inlineStr">
        <is>
          <t>https://www.pickfinder.app/players/cs2/c8wc8d745qhelxm</t>
        </is>
      </c>
    </row>
    <row r="111">
      <c r="A111" t="inlineStr">
        <is>
          <t>uiy2ot3l9f0c2i9</t>
        </is>
      </c>
      <c r="B111" t="inlineStr">
        <is>
          <t>flameZ</t>
        </is>
      </c>
      <c r="C111" t="inlineStr">
        <is>
          <t>CS2</t>
        </is>
      </c>
      <c r="D111" t="inlineStr">
        <is>
          <t>VIT</t>
        </is>
      </c>
      <c r="E111" t="inlineStr">
        <is>
          <t>VIT vs MGLZ</t>
        </is>
      </c>
      <c r="F111" t="n">
        <v>38</v>
      </c>
      <c r="G111" t="n">
        <v>13.84</v>
      </c>
      <c r="H111" t="n">
        <v>0.6899999999999999</v>
      </c>
      <c r="I111" s="8" t="n">
        <v>0.546</v>
      </c>
      <c r="J111" t="n">
        <v>0.37</v>
      </c>
      <c r="K111" t="n">
        <v>1.08</v>
      </c>
      <c r="L111" t="n">
        <v>1.23</v>
      </c>
      <c r="M111" s="9">
        <f>IFERROR(G111/H111,"")</f>
        <v/>
      </c>
      <c r="N111" t="inlineStr">
        <is>
          <t>OK</t>
        </is>
      </c>
      <c r="O111" t="inlineStr">
        <is>
          <t>https://www.pickfinder.app/players/cs2/uiy2ot3l9f0c2i9</t>
        </is>
      </c>
    </row>
    <row r="112">
      <c r="A112" t="inlineStr">
        <is>
          <t>frzabcozzj3obrl</t>
        </is>
      </c>
      <c r="B112" t="inlineStr">
        <is>
          <t>jL</t>
        </is>
      </c>
      <c r="C112" t="inlineStr">
        <is>
          <t>CS2</t>
        </is>
      </c>
      <c r="D112" t="inlineStr">
        <is>
          <t>VIT</t>
        </is>
      </c>
      <c r="E112" t="inlineStr">
        <is>
          <t>VIT vs MGLZ</t>
        </is>
      </c>
      <c r="F112" t="n">
        <v>34</v>
      </c>
      <c r="G112" t="n">
        <v>13.88</v>
      </c>
      <c r="H112" t="n">
        <v>0.65</v>
      </c>
      <c r="I112" s="8" t="n">
        <v>0.551</v>
      </c>
      <c r="J112" t="n">
        <v>0.36</v>
      </c>
      <c r="K112" t="n">
        <v>1.06</v>
      </c>
      <c r="L112" t="n">
        <v>1.11</v>
      </c>
      <c r="M112" s="9">
        <f>IFERROR(G112/H112,"")</f>
        <v/>
      </c>
      <c r="N112" t="inlineStr">
        <is>
          <t>OK</t>
        </is>
      </c>
      <c r="O112" t="inlineStr">
        <is>
          <t>https://www.pickfinder.app/players/cs2/frzabcozzj3obrl</t>
        </is>
      </c>
    </row>
    <row r="113">
      <c r="A113" t="inlineStr">
        <is>
          <t>w4swyv4mqy1ob42</t>
        </is>
      </c>
      <c r="B113" t="inlineStr">
        <is>
          <t>mezii</t>
        </is>
      </c>
      <c r="C113" t="inlineStr">
        <is>
          <t>CS2</t>
        </is>
      </c>
      <c r="D113" t="inlineStr">
        <is>
          <t>VIT</t>
        </is>
      </c>
      <c r="E113" t="inlineStr">
        <is>
          <t>VIT vs MGLZ</t>
        </is>
      </c>
      <c r="F113" t="n">
        <v>38</v>
      </c>
      <c r="G113" t="n">
        <v>12.89</v>
      </c>
      <c r="H113" t="n">
        <v>0.64</v>
      </c>
      <c r="I113" s="8" t="n">
        <v>0.58</v>
      </c>
      <c r="J113" t="n">
        <v>0.37</v>
      </c>
      <c r="K113" t="n">
        <v>1.1</v>
      </c>
      <c r="L113" t="n">
        <v>1.15</v>
      </c>
      <c r="M113" s="9">
        <f>IFERROR(G113/H113,"")</f>
        <v/>
      </c>
      <c r="N113" t="inlineStr">
        <is>
          <t>OK</t>
        </is>
      </c>
      <c r="O113" t="inlineStr">
        <is>
          <t>https://www.pickfinder.app/players/cs2/w4swyv4mqy1ob42</t>
        </is>
      </c>
    </row>
    <row r="114">
      <c r="A114" t="inlineStr">
        <is>
          <t>jbs33yc6r5ra8l4</t>
        </is>
      </c>
      <c r="B114" t="inlineStr">
        <is>
          <t>ropz</t>
        </is>
      </c>
      <c r="C114" t="inlineStr">
        <is>
          <t>CS2</t>
        </is>
      </c>
      <c r="D114" t="inlineStr">
        <is>
          <t>VIT</t>
        </is>
      </c>
      <c r="E114" t="inlineStr">
        <is>
          <t>VIT vs MGLZ</t>
        </is>
      </c>
      <c r="F114" t="n">
        <v>38</v>
      </c>
      <c r="G114" t="n">
        <v>14.74</v>
      </c>
      <c r="H114" t="n">
        <v>0.73</v>
      </c>
      <c r="I114" s="8" t="n">
        <v>0.536</v>
      </c>
      <c r="J114" t="n">
        <v>0.39</v>
      </c>
      <c r="K114" t="n">
        <v>1.27</v>
      </c>
      <c r="L114" t="n">
        <v>1.24</v>
      </c>
      <c r="M114" s="9">
        <f>IFERROR(G114/H114,"")</f>
        <v/>
      </c>
      <c r="N114" t="inlineStr">
        <is>
          <t>OK</t>
        </is>
      </c>
      <c r="O114" t="inlineStr">
        <is>
          <t>https://www.pickfinder.app/players/cs2/jbs33yc6r5ra8l4</t>
        </is>
      </c>
    </row>
    <row r="115">
      <c r="A115" t="inlineStr">
        <is>
          <t>6vanqemhsqez4mc</t>
        </is>
      </c>
      <c r="B115" t="inlineStr">
        <is>
          <t>ZywOo</t>
        </is>
      </c>
      <c r="C115" t="inlineStr">
        <is>
          <t>CS2</t>
        </is>
      </c>
      <c r="D115" t="inlineStr">
        <is>
          <t>VIT</t>
        </is>
      </c>
      <c r="E115" t="inlineStr">
        <is>
          <t>VIT vs MGLZ</t>
        </is>
      </c>
      <c r="F115" t="n">
        <v>38</v>
      </c>
      <c r="G115" t="n">
        <v>17.05</v>
      </c>
      <c r="H115" t="n">
        <v>0.85</v>
      </c>
      <c r="I115" s="8" t="n">
        <v>0.423</v>
      </c>
      <c r="J115" t="n">
        <v>0.36</v>
      </c>
      <c r="K115" t="n">
        <v>1.56</v>
      </c>
      <c r="L115" t="n">
        <v>1.45</v>
      </c>
      <c r="M115" s="9">
        <f>IFERROR(G115/H115,"")</f>
        <v/>
      </c>
      <c r="N115" t="inlineStr">
        <is>
          <t>OK</t>
        </is>
      </c>
      <c r="O115" t="inlineStr">
        <is>
          <t>https://www.pickfinder.app/players/cs2/6vanqemhsqez4mc</t>
        </is>
      </c>
    </row>
    <row r="116">
      <c r="A116" t="inlineStr">
        <is>
          <t>u2qbkafgxd78s8o</t>
        </is>
      </c>
      <c r="B116" t="inlineStr">
        <is>
          <t>bl1x1</t>
        </is>
      </c>
      <c r="C116" t="inlineStr">
        <is>
          <t>CS2</t>
        </is>
      </c>
      <c r="D116" t="inlineStr">
        <is>
          <t>ex-RUSTEC</t>
        </is>
      </c>
      <c r="E116" t="inlineStr">
        <is>
          <t>ex-RUSTEC vs FORZE.R</t>
        </is>
      </c>
      <c r="F116" t="n">
        <v>36</v>
      </c>
      <c r="G116" t="n">
        <v>15</v>
      </c>
      <c r="H116" t="n">
        <v>0.7</v>
      </c>
      <c r="I116" s="8" t="n">
        <v>0.665</v>
      </c>
      <c r="J116" t="n">
        <v>0.47</v>
      </c>
      <c r="K116" t="n">
        <v>1.1</v>
      </c>
      <c r="L116" t="n">
        <v>1.21</v>
      </c>
      <c r="M116" s="9">
        <f>IFERROR(G116/H116,"")</f>
        <v/>
      </c>
      <c r="N116" t="inlineStr">
        <is>
          <t>OK</t>
        </is>
      </c>
      <c r="O116" t="inlineStr">
        <is>
          <t>https://www.pickfinder.app/players/cs2/u2qbkafgxd78s8o</t>
        </is>
      </c>
    </row>
    <row r="117">
      <c r="A117" t="inlineStr">
        <is>
          <t>ib0ui40iou8m5h8</t>
        </is>
      </c>
      <c r="B117" t="inlineStr">
        <is>
          <t>Brilliance</t>
        </is>
      </c>
      <c r="C117" t="inlineStr">
        <is>
          <t>CS2</t>
        </is>
      </c>
      <c r="D117" t="inlineStr">
        <is>
          <t>ex-RUSTEC</t>
        </is>
      </c>
      <c r="E117" t="inlineStr">
        <is>
          <t>ex-RUSTEC vs FORZE.R</t>
        </is>
      </c>
      <c r="F117" t="n">
        <v>35</v>
      </c>
      <c r="G117" t="n">
        <v>12.77</v>
      </c>
      <c r="H117" t="n">
        <v>0.59</v>
      </c>
      <c r="I117" s="8" t="n">
        <v>0.584</v>
      </c>
      <c r="J117" t="n">
        <v>0.35</v>
      </c>
      <c r="K117" t="n">
        <v>0.84</v>
      </c>
      <c r="L117" t="n">
        <v>1.01</v>
      </c>
      <c r="M117" s="9">
        <f>IFERROR(G117/H117,"")</f>
        <v/>
      </c>
      <c r="N117" t="inlineStr">
        <is>
          <t>OK</t>
        </is>
      </c>
      <c r="O117" t="inlineStr">
        <is>
          <t>https://www.pickfinder.app/players/cs2/ib0ui40iou8m5h8</t>
        </is>
      </c>
    </row>
    <row r="118">
      <c r="A118" t="inlineStr">
        <is>
          <t>5efm2s88qbsnvv0</t>
        </is>
      </c>
      <c r="B118" t="inlineStr">
        <is>
          <t>jakekeS</t>
        </is>
      </c>
      <c r="C118" t="inlineStr">
        <is>
          <t>CS2</t>
        </is>
      </c>
      <c r="D118" t="inlineStr">
        <is>
          <t>ex-RUSTEC</t>
        </is>
      </c>
      <c r="E118" t="inlineStr">
        <is>
          <t>ex-RUSTEC vs FORZE.R</t>
        </is>
      </c>
      <c r="F118" t="n">
        <v>34</v>
      </c>
      <c r="G118" t="n">
        <v>13.41</v>
      </c>
      <c r="H118" t="n">
        <v>0.61</v>
      </c>
      <c r="I118" s="8" t="n">
        <v>0.544</v>
      </c>
      <c r="J118" t="n">
        <v>0.33</v>
      </c>
      <c r="K118" t="n">
        <v>0.91</v>
      </c>
      <c r="L118" t="n">
        <v>1.04</v>
      </c>
      <c r="M118" s="9">
        <f>IFERROR(G118/H118,"")</f>
        <v/>
      </c>
      <c r="N118" t="inlineStr">
        <is>
          <t>OK</t>
        </is>
      </c>
      <c r="O118" t="inlineStr">
        <is>
          <t>https://www.pickfinder.app/players/cs2/5efm2s88qbsnvv0</t>
        </is>
      </c>
    </row>
    <row r="119">
      <c r="A119" t="inlineStr">
        <is>
          <t>dvwiagwt3fsxpwe</t>
        </is>
      </c>
      <c r="B119" t="inlineStr">
        <is>
          <t>yiksrezo</t>
        </is>
      </c>
      <c r="C119" t="inlineStr">
        <is>
          <t>CS2</t>
        </is>
      </c>
      <c r="D119" t="inlineStr">
        <is>
          <t>ex-RUSTEC</t>
        </is>
      </c>
      <c r="E119" t="inlineStr">
        <is>
          <t>ex-RUSTEC vs FORZE.R</t>
        </is>
      </c>
      <c r="F119" t="n">
        <v>35</v>
      </c>
      <c r="G119" t="n">
        <v>16.46</v>
      </c>
      <c r="H119" t="n">
        <v>0.78</v>
      </c>
      <c r="I119" s="8" t="n">
        <v>0.6559999999999999</v>
      </c>
      <c r="J119" t="n">
        <v>0.51</v>
      </c>
      <c r="K119" t="n">
        <v>1.13</v>
      </c>
      <c r="L119" t="n">
        <v>1.23</v>
      </c>
      <c r="M119" s="9">
        <f>IFERROR(G119/H119,"")</f>
        <v/>
      </c>
      <c r="N119" t="inlineStr">
        <is>
          <t>OK</t>
        </is>
      </c>
      <c r="O119" t="inlineStr">
        <is>
          <t>https://www.pickfinder.app/players/cs2/dvwiagwt3fsxpwe</t>
        </is>
      </c>
    </row>
    <row r="120">
      <c r="A120" t="inlineStr">
        <is>
          <t>41ry45brll61gbm</t>
        </is>
      </c>
      <c r="B120" t="inlineStr">
        <is>
          <t>youka</t>
        </is>
      </c>
      <c r="C120" t="inlineStr">
        <is>
          <t>CS2</t>
        </is>
      </c>
      <c r="D120" t="inlineStr">
        <is>
          <t>ex-RUSTEC</t>
        </is>
      </c>
      <c r="E120" t="inlineStr">
        <is>
          <t>ex-RUSTEC vs FORZE.R</t>
        </is>
      </c>
      <c r="F120" t="n">
        <v>35</v>
      </c>
      <c r="G120" t="n">
        <v>15.11</v>
      </c>
      <c r="H120" t="n">
        <v>0.7</v>
      </c>
      <c r="I120" s="8" t="n">
        <v>0.397</v>
      </c>
      <c r="J120" t="n">
        <v>0.28</v>
      </c>
      <c r="K120" t="n">
        <v>1.18</v>
      </c>
      <c r="L120" t="n">
        <v>1.15</v>
      </c>
      <c r="M120" s="9">
        <f>IFERROR(G120/H120,"")</f>
        <v/>
      </c>
      <c r="N120" t="inlineStr">
        <is>
          <t>OK</t>
        </is>
      </c>
      <c r="O120" t="inlineStr">
        <is>
          <t>https://www.pickfinder.app/players/cs2/41ry45brll61gbm</t>
        </is>
      </c>
    </row>
    <row r="121">
      <c r="A121" t="inlineStr">
        <is>
          <t>3cunzce5pb15xlw</t>
        </is>
      </c>
      <c r="B121" t="inlineStr">
        <is>
          <t>biguzera</t>
        </is>
      </c>
      <c r="C121" t="inlineStr">
        <is>
          <t>CS2</t>
        </is>
      </c>
      <c r="D121" t="inlineStr">
        <is>
          <t>paiN</t>
        </is>
      </c>
      <c r="E121" t="inlineStr">
        <is>
          <t>paiN vs BST</t>
        </is>
      </c>
      <c r="F121" t="n">
        <v>37</v>
      </c>
      <c r="G121" t="n">
        <v>14.81</v>
      </c>
      <c r="H121" t="n">
        <v>0.68</v>
      </c>
      <c r="I121" s="8" t="n">
        <v>0.546</v>
      </c>
      <c r="J121" t="n">
        <v>0.37</v>
      </c>
      <c r="K121" t="n">
        <v>1.01</v>
      </c>
      <c r="L121" t="n">
        <v>1.18</v>
      </c>
      <c r="M121" s="9">
        <f>IFERROR(G121/H121,"")</f>
        <v/>
      </c>
      <c r="N121" t="inlineStr">
        <is>
          <t>OK</t>
        </is>
      </c>
      <c r="O121" t="inlineStr">
        <is>
          <t>https://www.pickfinder.app/players/cs2/3cunzce5pb15xlw</t>
        </is>
      </c>
    </row>
    <row r="122">
      <c r="A122" t="inlineStr">
        <is>
          <t>1p3p5e3dcd3rbvt</t>
        </is>
      </c>
      <c r="B122" t="inlineStr">
        <is>
          <t>Rkzinho</t>
        </is>
      </c>
      <c r="C122" t="inlineStr">
        <is>
          <t>CS2</t>
        </is>
      </c>
      <c r="D122" t="inlineStr">
        <is>
          <t>paiN</t>
        </is>
      </c>
      <c r="E122" t="inlineStr">
        <is>
          <t>paiN vs BST</t>
        </is>
      </c>
      <c r="F122" t="n">
        <v>39</v>
      </c>
      <c r="G122" t="n">
        <v>15.31</v>
      </c>
      <c r="H122" t="n">
        <v>0.68</v>
      </c>
      <c r="I122" s="8" t="n">
        <v>0.583</v>
      </c>
      <c r="J122" t="n">
        <v>0.4</v>
      </c>
      <c r="K122" t="n">
        <v>1.1</v>
      </c>
      <c r="L122" t="n">
        <v>1.12</v>
      </c>
      <c r="M122" s="9">
        <f>IFERROR(G122/H122,"")</f>
        <v/>
      </c>
      <c r="N122" t="inlineStr">
        <is>
          <t>OK</t>
        </is>
      </c>
      <c r="O122" t="inlineStr">
        <is>
          <t>https://www.pickfinder.app/players/cs2/1p3p5e3dcd3rbvt</t>
        </is>
      </c>
    </row>
    <row r="123">
      <c r="A123" t="inlineStr">
        <is>
          <t>d1hn3as545n029p</t>
        </is>
      </c>
      <c r="B123" t="inlineStr">
        <is>
          <t>saffee</t>
        </is>
      </c>
      <c r="C123" t="inlineStr">
        <is>
          <t>CS2</t>
        </is>
      </c>
      <c r="D123" t="inlineStr">
        <is>
          <t>paiN</t>
        </is>
      </c>
      <c r="E123" t="inlineStr">
        <is>
          <t>paiN vs BST</t>
        </is>
      </c>
      <c r="F123" t="n">
        <v>37</v>
      </c>
      <c r="G123" t="n">
        <v>14.08</v>
      </c>
      <c r="H123" t="n">
        <v>0.64</v>
      </c>
      <c r="I123" s="8" t="n">
        <v>0.271</v>
      </c>
      <c r="J123" t="n">
        <v>0.17</v>
      </c>
      <c r="K123" t="n">
        <v>1.01</v>
      </c>
      <c r="L123" t="n">
        <v>1.01</v>
      </c>
      <c r="M123" s="9">
        <f>IFERROR(G123/H123,"")</f>
        <v/>
      </c>
      <c r="N123" t="inlineStr">
        <is>
          <t>OK</t>
        </is>
      </c>
      <c r="O123" t="inlineStr">
        <is>
          <t>https://www.pickfinder.app/players/cs2/d1hn3as545n029p</t>
        </is>
      </c>
    </row>
    <row r="124">
      <c r="A124" t="inlineStr">
        <is>
          <t>tkkenn22b7r5gfa</t>
        </is>
      </c>
      <c r="B124" t="inlineStr">
        <is>
          <t>Tatu</t>
        </is>
      </c>
      <c r="C124" t="inlineStr">
        <is>
          <t>CS2</t>
        </is>
      </c>
      <c r="D124" t="inlineStr">
        <is>
          <t>paiN</t>
        </is>
      </c>
      <c r="E124" t="inlineStr">
        <is>
          <t>paiN vs BST</t>
        </is>
      </c>
      <c r="F124" t="n">
        <v>38</v>
      </c>
      <c r="G124" t="n">
        <v>14.24</v>
      </c>
      <c r="H124" t="n">
        <v>0.66</v>
      </c>
      <c r="I124" s="8" t="n">
        <v>0.652</v>
      </c>
      <c r="J124" t="n">
        <v>0.43</v>
      </c>
      <c r="K124" t="n">
        <v>0.99</v>
      </c>
      <c r="L124" t="n">
        <v>1.08</v>
      </c>
      <c r="M124" s="9">
        <f>IFERROR(G124/H124,"")</f>
        <v/>
      </c>
      <c r="N124" t="inlineStr">
        <is>
          <t>OK</t>
        </is>
      </c>
      <c r="O124" t="inlineStr">
        <is>
          <t>https://www.pickfinder.app/players/cs2/tkkenn22b7r5gfa</t>
        </is>
      </c>
    </row>
  </sheetData>
  <autoFilter ref="A1:O1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79"/>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slm7b5sevqrznls|Mirage</t>
        </is>
      </c>
      <c r="B2" t="inlineStr">
        <is>
          <t>slm7b5sevqrznls</t>
        </is>
      </c>
      <c r="C2" t="inlineStr">
        <is>
          <t>2high</t>
        </is>
      </c>
      <c r="D2" t="inlineStr">
        <is>
          <t>CS2</t>
        </is>
      </c>
      <c r="E2" t="inlineStr">
        <is>
          <t>Mirage</t>
        </is>
      </c>
      <c r="F2" t="n">
        <v>9</v>
      </c>
      <c r="G2" t="n">
        <v>14.6</v>
      </c>
      <c r="H2" t="n">
        <v>0.7</v>
      </c>
      <c r="I2" s="8" t="n">
        <v>0.527</v>
      </c>
      <c r="J2" t="n">
        <v>1.11</v>
      </c>
      <c r="K2" s="11">
        <f>IF(H2&lt;&gt;"",H2,IFERROR(G2/INDEX(Players!$M$2:$M$124,MATCH(B2,Players!$A$2:$A$124,0)),""))</f>
        <v/>
      </c>
    </row>
    <row r="3">
      <c r="A3" t="inlineStr">
        <is>
          <t>slm7b5sevqrznls|Dust2</t>
        </is>
      </c>
      <c r="B3" t="inlineStr">
        <is>
          <t>slm7b5sevqrznls</t>
        </is>
      </c>
      <c r="C3" t="inlineStr">
        <is>
          <t>2high</t>
        </is>
      </c>
      <c r="D3" t="inlineStr">
        <is>
          <t>CS2</t>
        </is>
      </c>
      <c r="E3" t="inlineStr">
        <is>
          <t>Dust2</t>
        </is>
      </c>
      <c r="F3" t="n">
        <v>8</v>
      </c>
      <c r="G3" t="n">
        <v>12.3</v>
      </c>
      <c r="H3" t="n">
        <v>0.59</v>
      </c>
      <c r="I3" s="8" t="n">
        <v>0.459</v>
      </c>
      <c r="J3" t="n">
        <v>0.92</v>
      </c>
      <c r="K3" s="11">
        <f>IF(H3&lt;&gt;"",H3,IFERROR(G3/INDEX(Players!$M$2:$M$124,MATCH(B3,Players!$A$2:$A$124,0)),""))</f>
        <v/>
      </c>
    </row>
    <row r="4">
      <c r="A4" t="inlineStr">
        <is>
          <t>slm7b5sevqrznls|Cache</t>
        </is>
      </c>
      <c r="B4" t="inlineStr">
        <is>
          <t>slm7b5sevqrznls</t>
        </is>
      </c>
      <c r="C4" t="inlineStr">
        <is>
          <t>2high</t>
        </is>
      </c>
      <c r="D4" t="inlineStr">
        <is>
          <t>CS2</t>
        </is>
      </c>
      <c r="E4" t="inlineStr">
        <is>
          <t>Cache</t>
        </is>
      </c>
      <c r="F4" t="n">
        <v>7</v>
      </c>
      <c r="G4" t="n">
        <v>12.7</v>
      </c>
      <c r="H4" t="n">
        <v>0.63</v>
      </c>
      <c r="I4" s="8" t="n">
        <v>0.528</v>
      </c>
      <c r="J4" t="n">
        <v>0.93</v>
      </c>
      <c r="K4" s="11">
        <f>IF(H4&lt;&gt;"",H4,IFERROR(G4/INDEX(Players!$M$2:$M$124,MATCH(B4,Players!$A$2:$A$124,0)),""))</f>
        <v/>
      </c>
    </row>
    <row r="5">
      <c r="A5" t="inlineStr">
        <is>
          <t>slm7b5sevqrznls|Ancient</t>
        </is>
      </c>
      <c r="B5" t="inlineStr">
        <is>
          <t>slm7b5sevqrznls</t>
        </is>
      </c>
      <c r="C5" t="inlineStr">
        <is>
          <t>2high</t>
        </is>
      </c>
      <c r="D5" t="inlineStr">
        <is>
          <t>CS2</t>
        </is>
      </c>
      <c r="E5" t="inlineStr">
        <is>
          <t>Ancient</t>
        </is>
      </c>
      <c r="F5" t="n">
        <v>6</v>
      </c>
      <c r="G5" t="n">
        <v>13.8</v>
      </c>
      <c r="H5" t="n">
        <v>0.55</v>
      </c>
      <c r="I5" s="8" t="n">
        <v>0.482</v>
      </c>
      <c r="J5" t="n">
        <v>0.84</v>
      </c>
      <c r="K5" s="11">
        <f>IF(H5&lt;&gt;"",H5,IFERROR(G5/INDEX(Players!$M$2:$M$124,MATCH(B5,Players!$A$2:$A$124,0)),""))</f>
        <v/>
      </c>
    </row>
    <row r="6">
      <c r="A6" t="inlineStr">
        <is>
          <t>slm7b5sevqrznls|Inferno</t>
        </is>
      </c>
      <c r="B6" t="inlineStr">
        <is>
          <t>slm7b5sevqrznls</t>
        </is>
      </c>
      <c r="C6" t="inlineStr">
        <is>
          <t>2high</t>
        </is>
      </c>
      <c r="D6" t="inlineStr">
        <is>
          <t>CS2</t>
        </is>
      </c>
      <c r="E6" t="inlineStr">
        <is>
          <t>Inferno</t>
        </is>
      </c>
      <c r="F6" t="n">
        <v>5</v>
      </c>
      <c r="G6" t="n">
        <v>13.8</v>
      </c>
      <c r="H6" t="n">
        <v>0.68</v>
      </c>
      <c r="I6" s="8" t="n">
        <v>0.435</v>
      </c>
      <c r="J6" t="n">
        <v>1.25</v>
      </c>
      <c r="K6" s="11">
        <f>IF(H6&lt;&gt;"",H6,IFERROR(G6/INDEX(Players!$M$2:$M$124,MATCH(B6,Players!$A$2:$A$124,0)),""))</f>
        <v/>
      </c>
    </row>
    <row r="7">
      <c r="A7" t="inlineStr">
        <is>
          <t>slm7b5sevqrznls|Anubis</t>
        </is>
      </c>
      <c r="B7" t="inlineStr">
        <is>
          <t>slm7b5sevqrznls</t>
        </is>
      </c>
      <c r="C7" t="inlineStr">
        <is>
          <t>2high</t>
        </is>
      </c>
      <c r="D7" t="inlineStr">
        <is>
          <t>CS2</t>
        </is>
      </c>
      <c r="E7" t="inlineStr">
        <is>
          <t>Anubis</t>
        </is>
      </c>
      <c r="F7" t="n">
        <v>1</v>
      </c>
      <c r="G7" t="n">
        <v>11</v>
      </c>
      <c r="H7" t="n">
        <v>0.5</v>
      </c>
      <c r="I7" s="8" t="n">
        <v>0.364</v>
      </c>
      <c r="J7" t="n">
        <v>0.73</v>
      </c>
      <c r="K7" s="11">
        <f>IF(H7&lt;&gt;"",H7,IFERROR(G7/INDEX(Players!$M$2:$M$124,MATCH(B7,Players!$A$2:$A$124,0)),""))</f>
        <v/>
      </c>
    </row>
    <row r="8">
      <c r="A8" t="inlineStr">
        <is>
          <t>5ttqna5u230tb49|Inferno</t>
        </is>
      </c>
      <c r="B8" t="inlineStr">
        <is>
          <t>5ttqna5u230tb49</t>
        </is>
      </c>
      <c r="C8" t="inlineStr">
        <is>
          <t>910</t>
        </is>
      </c>
      <c r="D8" t="inlineStr">
        <is>
          <t>CS2</t>
        </is>
      </c>
      <c r="E8" t="inlineStr">
        <is>
          <t>Inferno</t>
        </is>
      </c>
      <c r="F8" t="n">
        <v>10</v>
      </c>
      <c r="G8" t="n">
        <v>16.5</v>
      </c>
      <c r="H8" t="n">
        <v>0.79</v>
      </c>
      <c r="I8" s="8" t="n">
        <v>0.297</v>
      </c>
      <c r="J8" t="n">
        <v>1.26</v>
      </c>
      <c r="K8" s="11">
        <f>IF(H8&lt;&gt;"",H8,IFERROR(G8/INDEX(Players!$M$2:$M$124,MATCH(B8,Players!$A$2:$A$124,0)),""))</f>
        <v/>
      </c>
    </row>
    <row r="9">
      <c r="A9" t="inlineStr">
        <is>
          <t>5ttqna5u230tb49|Mirage</t>
        </is>
      </c>
      <c r="B9" t="inlineStr">
        <is>
          <t>5ttqna5u230tb49</t>
        </is>
      </c>
      <c r="C9" t="inlineStr">
        <is>
          <t>910</t>
        </is>
      </c>
      <c r="D9" t="inlineStr">
        <is>
          <t>CS2</t>
        </is>
      </c>
      <c r="E9" t="inlineStr">
        <is>
          <t>Mirage</t>
        </is>
      </c>
      <c r="F9" t="n">
        <v>8</v>
      </c>
      <c r="G9" t="n">
        <v>18.8</v>
      </c>
      <c r="H9" t="n">
        <v>0.91</v>
      </c>
      <c r="I9" s="8" t="n">
        <v>0.453</v>
      </c>
      <c r="J9" t="n">
        <v>1.43</v>
      </c>
      <c r="K9" s="11">
        <f>IF(H9&lt;&gt;"",H9,IFERROR(G9/INDEX(Players!$M$2:$M$124,MATCH(B9,Players!$A$2:$A$124,0)),""))</f>
        <v/>
      </c>
    </row>
    <row r="10">
      <c r="A10" t="inlineStr">
        <is>
          <t>5ttqna5u230tb49|Ancient</t>
        </is>
      </c>
      <c r="B10" t="inlineStr">
        <is>
          <t>5ttqna5u230tb49</t>
        </is>
      </c>
      <c r="C10" t="inlineStr">
        <is>
          <t>910</t>
        </is>
      </c>
      <c r="D10" t="inlineStr">
        <is>
          <t>CS2</t>
        </is>
      </c>
      <c r="E10" t="inlineStr">
        <is>
          <t>Ancient</t>
        </is>
      </c>
      <c r="F10" t="n">
        <v>6</v>
      </c>
      <c r="G10" t="n">
        <v>17</v>
      </c>
      <c r="H10" t="n">
        <v>0.83</v>
      </c>
      <c r="I10" s="8" t="n">
        <v>0.333</v>
      </c>
      <c r="J10" t="n">
        <v>1.44</v>
      </c>
      <c r="K10" s="11">
        <f>IF(H10&lt;&gt;"",H10,IFERROR(G10/INDEX(Players!$M$2:$M$124,MATCH(B10,Players!$A$2:$A$124,0)),""))</f>
        <v/>
      </c>
    </row>
    <row r="11">
      <c r="A11" t="inlineStr">
        <is>
          <t>5ttqna5u230tb49|Dust2</t>
        </is>
      </c>
      <c r="B11" t="inlineStr">
        <is>
          <t>5ttqna5u230tb49</t>
        </is>
      </c>
      <c r="C11" t="inlineStr">
        <is>
          <t>910</t>
        </is>
      </c>
      <c r="D11" t="inlineStr">
        <is>
          <t>CS2</t>
        </is>
      </c>
      <c r="E11" t="inlineStr">
        <is>
          <t>Dust2</t>
        </is>
      </c>
      <c r="F11" t="n">
        <v>5</v>
      </c>
      <c r="G11" t="n">
        <v>17.2</v>
      </c>
      <c r="H11" t="n">
        <v>0.82</v>
      </c>
      <c r="I11" s="8" t="n">
        <v>0.477</v>
      </c>
      <c r="J11" t="n">
        <v>1.43</v>
      </c>
      <c r="K11" s="11">
        <f>IF(H11&lt;&gt;"",H11,IFERROR(G11/INDEX(Players!$M$2:$M$124,MATCH(B11,Players!$A$2:$A$124,0)),""))</f>
        <v/>
      </c>
    </row>
    <row r="12">
      <c r="A12" t="inlineStr">
        <is>
          <t>5ttqna5u230tb49|Nuke</t>
        </is>
      </c>
      <c r="B12" t="inlineStr">
        <is>
          <t>5ttqna5u230tb49</t>
        </is>
      </c>
      <c r="C12" t="inlineStr">
        <is>
          <t>910</t>
        </is>
      </c>
      <c r="D12" t="inlineStr">
        <is>
          <t>CS2</t>
        </is>
      </c>
      <c r="E12" t="inlineStr">
        <is>
          <t>Nuke</t>
        </is>
      </c>
      <c r="F12" t="n">
        <v>4</v>
      </c>
      <c r="G12" t="n">
        <v>15.5</v>
      </c>
      <c r="H12" t="n">
        <v>0.6899999999999999</v>
      </c>
      <c r="I12" s="8" t="n">
        <v>0.371</v>
      </c>
      <c r="J12" t="n">
        <v>1.02</v>
      </c>
      <c r="K12" s="11">
        <f>IF(H12&lt;&gt;"",H12,IFERROR(G12/INDEX(Players!$M$2:$M$124,MATCH(B12,Players!$A$2:$A$124,0)),""))</f>
        <v/>
      </c>
    </row>
    <row r="13">
      <c r="A13" t="inlineStr">
        <is>
          <t>5ttqna5u230tb49|Cache</t>
        </is>
      </c>
      <c r="B13" t="inlineStr">
        <is>
          <t>5ttqna5u230tb49</t>
        </is>
      </c>
      <c r="C13" t="inlineStr">
        <is>
          <t>910</t>
        </is>
      </c>
      <c r="D13" t="inlineStr">
        <is>
          <t>CS2</t>
        </is>
      </c>
      <c r="E13" t="inlineStr">
        <is>
          <t>Cache</t>
        </is>
      </c>
      <c r="F13" t="n">
        <v>2</v>
      </c>
      <c r="G13" t="n">
        <v>12</v>
      </c>
      <c r="H13" t="n">
        <v>0.63</v>
      </c>
      <c r="I13" s="8" t="n">
        <v>0.292</v>
      </c>
      <c r="J13" t="n">
        <v>0.92</v>
      </c>
      <c r="K13" s="11">
        <f>IF(H13&lt;&gt;"",H13,IFERROR(G13/INDEX(Players!$M$2:$M$124,MATCH(B13,Players!$A$2:$A$124,0)),""))</f>
        <v/>
      </c>
    </row>
    <row r="14">
      <c r="A14" t="inlineStr">
        <is>
          <t>509x6s2e70l3hhg|Inferno</t>
        </is>
      </c>
      <c r="B14" t="inlineStr">
        <is>
          <t>509x6s2e70l3hhg</t>
        </is>
      </c>
      <c r="C14" t="inlineStr">
        <is>
          <t>Aleksib</t>
        </is>
      </c>
      <c r="D14" t="inlineStr">
        <is>
          <t>CS2</t>
        </is>
      </c>
      <c r="E14" t="inlineStr">
        <is>
          <t>Inferno</t>
        </is>
      </c>
      <c r="F14" t="n">
        <v>10</v>
      </c>
      <c r="G14" t="n">
        <v>11.1</v>
      </c>
      <c r="H14" t="n">
        <v>0.52</v>
      </c>
      <c r="I14" s="8" t="n">
        <v>0.55</v>
      </c>
      <c r="J14" t="n">
        <v>0.82</v>
      </c>
      <c r="K14" s="11">
        <f>IF(H14&lt;&gt;"",H14,IFERROR(G14/INDEX(Players!$M$2:$M$124,MATCH(B14,Players!$A$2:$A$124,0)),""))</f>
        <v/>
      </c>
    </row>
    <row r="15">
      <c r="A15" t="inlineStr">
        <is>
          <t>509x6s2e70l3hhg|Mirage</t>
        </is>
      </c>
      <c r="B15" t="inlineStr">
        <is>
          <t>509x6s2e70l3hhg</t>
        </is>
      </c>
      <c r="C15" t="inlineStr">
        <is>
          <t>Aleksib</t>
        </is>
      </c>
      <c r="D15" t="inlineStr">
        <is>
          <t>CS2</t>
        </is>
      </c>
      <c r="E15" t="inlineStr">
        <is>
          <t>Mirage</t>
        </is>
      </c>
      <c r="F15" t="n">
        <v>9</v>
      </c>
      <c r="G15" t="n">
        <v>9.800000000000001</v>
      </c>
      <c r="H15" t="n">
        <v>0.46</v>
      </c>
      <c r="I15" s="8" t="n">
        <v>0.5</v>
      </c>
      <c r="J15" t="n">
        <v>0.74</v>
      </c>
      <c r="K15" s="11">
        <f>IF(H15&lt;&gt;"",H15,IFERROR(G15/INDEX(Players!$M$2:$M$124,MATCH(B15,Players!$A$2:$A$124,0)),""))</f>
        <v/>
      </c>
    </row>
    <row r="16">
      <c r="A16" t="inlineStr">
        <is>
          <t>509x6s2e70l3hhg|Nuke</t>
        </is>
      </c>
      <c r="B16" t="inlineStr">
        <is>
          <t>509x6s2e70l3hhg</t>
        </is>
      </c>
      <c r="C16" t="inlineStr">
        <is>
          <t>Aleksib</t>
        </is>
      </c>
      <c r="D16" t="inlineStr">
        <is>
          <t>CS2</t>
        </is>
      </c>
      <c r="E16" t="inlineStr">
        <is>
          <t>Nuke</t>
        </is>
      </c>
      <c r="F16" t="n">
        <v>5</v>
      </c>
      <c r="G16" t="n">
        <v>11.2</v>
      </c>
      <c r="H16" t="n">
        <v>0.54</v>
      </c>
      <c r="I16" s="8" t="n">
        <v>0.696</v>
      </c>
      <c r="J16" t="n">
        <v>1.1</v>
      </c>
      <c r="K16" s="11">
        <f>IF(H16&lt;&gt;"",H16,IFERROR(G16/INDEX(Players!$M$2:$M$124,MATCH(B16,Players!$A$2:$A$124,0)),""))</f>
        <v/>
      </c>
    </row>
    <row r="17">
      <c r="A17" t="inlineStr">
        <is>
          <t>509x6s2e70l3hhg|Cache</t>
        </is>
      </c>
      <c r="B17" t="inlineStr">
        <is>
          <t>509x6s2e70l3hhg</t>
        </is>
      </c>
      <c r="C17" t="inlineStr">
        <is>
          <t>Aleksib</t>
        </is>
      </c>
      <c r="D17" t="inlineStr">
        <is>
          <t>CS2</t>
        </is>
      </c>
      <c r="E17" t="inlineStr">
        <is>
          <t>Cache</t>
        </is>
      </c>
      <c r="F17" t="n">
        <v>4</v>
      </c>
      <c r="G17" t="n">
        <v>8.5</v>
      </c>
      <c r="H17" t="n">
        <v>0.4</v>
      </c>
      <c r="I17" s="8" t="n">
        <v>0.5</v>
      </c>
      <c r="J17" t="n">
        <v>0.74</v>
      </c>
      <c r="K17" s="11">
        <f>IF(H17&lt;&gt;"",H17,IFERROR(G17/INDEX(Players!$M$2:$M$124,MATCH(B17,Players!$A$2:$A$124,0)),""))</f>
        <v/>
      </c>
    </row>
    <row r="18">
      <c r="A18" t="inlineStr">
        <is>
          <t>509x6s2e70l3hhg|Anubis</t>
        </is>
      </c>
      <c r="B18" t="inlineStr">
        <is>
          <t>509x6s2e70l3hhg</t>
        </is>
      </c>
      <c r="C18" t="inlineStr">
        <is>
          <t>Aleksib</t>
        </is>
      </c>
      <c r="D18" t="inlineStr">
        <is>
          <t>CS2</t>
        </is>
      </c>
      <c r="E18" t="inlineStr">
        <is>
          <t>Anubis</t>
        </is>
      </c>
      <c r="F18" t="n">
        <v>3</v>
      </c>
      <c r="G18" t="n">
        <v>12.3</v>
      </c>
      <c r="H18" t="n">
        <v>0.54</v>
      </c>
      <c r="I18" s="8" t="n">
        <v>0.486</v>
      </c>
      <c r="J18" t="n">
        <v>0.88</v>
      </c>
      <c r="K18" s="11">
        <f>IF(H18&lt;&gt;"",H18,IFERROR(G18/INDEX(Players!$M$2:$M$124,MATCH(B18,Players!$A$2:$A$124,0)),""))</f>
        <v/>
      </c>
    </row>
    <row r="19">
      <c r="A19" t="inlineStr">
        <is>
          <t>509x6s2e70l3hhg|Ancient</t>
        </is>
      </c>
      <c r="B19" t="inlineStr">
        <is>
          <t>509x6s2e70l3hhg</t>
        </is>
      </c>
      <c r="C19" t="inlineStr">
        <is>
          <t>Aleksib</t>
        </is>
      </c>
      <c r="D19" t="inlineStr">
        <is>
          <t>CS2</t>
        </is>
      </c>
      <c r="E19" t="inlineStr">
        <is>
          <t>Ancient</t>
        </is>
      </c>
      <c r="F19" t="n">
        <v>3</v>
      </c>
      <c r="G19" t="n">
        <v>9.699999999999999</v>
      </c>
      <c r="H19" t="n">
        <v>0.52</v>
      </c>
      <c r="I19" s="8" t="n">
        <v>0.483</v>
      </c>
      <c r="J19" t="n">
        <v>0.71</v>
      </c>
      <c r="K19" s="11">
        <f>IF(H19&lt;&gt;"",H19,IFERROR(G19/INDEX(Players!$M$2:$M$124,MATCH(B19,Players!$A$2:$A$124,0)),""))</f>
        <v/>
      </c>
    </row>
    <row r="20">
      <c r="A20" t="inlineStr">
        <is>
          <t>509x6s2e70l3hhg|Dust2</t>
        </is>
      </c>
      <c r="B20" t="inlineStr">
        <is>
          <t>509x6s2e70l3hhg</t>
        </is>
      </c>
      <c r="C20" t="inlineStr">
        <is>
          <t>Aleksib</t>
        </is>
      </c>
      <c r="D20" t="inlineStr">
        <is>
          <t>CS2</t>
        </is>
      </c>
      <c r="E20" t="inlineStr">
        <is>
          <t>Dust2</t>
        </is>
      </c>
      <c r="F20" t="n">
        <v>2</v>
      </c>
      <c r="G20" t="n">
        <v>19</v>
      </c>
      <c r="H20" t="n">
        <v>0.58</v>
      </c>
      <c r="I20" s="8" t="n">
        <v>0.421</v>
      </c>
      <c r="J20" t="n">
        <v>1.06</v>
      </c>
      <c r="K20" s="11">
        <f>IF(H20&lt;&gt;"",H20,IFERROR(G20/INDEX(Players!$M$2:$M$124,MATCH(B20,Players!$A$2:$A$124,0)),""))</f>
        <v/>
      </c>
    </row>
    <row r="21">
      <c r="A21" t="inlineStr">
        <is>
          <t>6ihem6avn05n11t|Dust2</t>
        </is>
      </c>
      <c r="B21" t="inlineStr">
        <is>
          <t>6ihem6avn05n11t</t>
        </is>
      </c>
      <c r="C21" t="inlineStr">
        <is>
          <t>arT</t>
        </is>
      </c>
      <c r="D21" t="inlineStr">
        <is>
          <t>CS2</t>
        </is>
      </c>
      <c r="E21" t="inlineStr">
        <is>
          <t>Dust2</t>
        </is>
      </c>
      <c r="F21" t="n">
        <v>12</v>
      </c>
      <c r="G21" t="n">
        <v>10.8</v>
      </c>
      <c r="H21" t="n">
        <v>0.51</v>
      </c>
      <c r="I21" s="8" t="n">
        <v>0.477</v>
      </c>
      <c r="J21" t="n">
        <v>0.72</v>
      </c>
      <c r="K21" s="11">
        <f>IF(H21&lt;&gt;"",H21,IFERROR(G21/INDEX(Players!$M$2:$M$124,MATCH(B21,Players!$A$2:$A$124,0)),""))</f>
        <v/>
      </c>
    </row>
    <row r="22">
      <c r="A22" t="inlineStr">
        <is>
          <t>6ihem6avn05n11t|Ancient</t>
        </is>
      </c>
      <c r="B22" t="inlineStr">
        <is>
          <t>6ihem6avn05n11t</t>
        </is>
      </c>
      <c r="C22" t="inlineStr">
        <is>
          <t>arT</t>
        </is>
      </c>
      <c r="D22" t="inlineStr">
        <is>
          <t>CS2</t>
        </is>
      </c>
      <c r="E22" t="inlineStr">
        <is>
          <t>Ancient</t>
        </is>
      </c>
      <c r="F22" t="n">
        <v>9</v>
      </c>
      <c r="G22" t="n">
        <v>14.4</v>
      </c>
      <c r="H22" t="n">
        <v>0.58</v>
      </c>
      <c r="I22" s="8" t="n">
        <v>0.446</v>
      </c>
      <c r="J22" t="n">
        <v>0.87</v>
      </c>
      <c r="K22" s="11">
        <f>IF(H22&lt;&gt;"",H22,IFERROR(G22/INDEX(Players!$M$2:$M$124,MATCH(B22,Players!$A$2:$A$124,0)),""))</f>
        <v/>
      </c>
    </row>
    <row r="23">
      <c r="A23" t="inlineStr">
        <is>
          <t>6ihem6avn05n11t|Mirage</t>
        </is>
      </c>
      <c r="B23" t="inlineStr">
        <is>
          <t>6ihem6avn05n11t</t>
        </is>
      </c>
      <c r="C23" t="inlineStr">
        <is>
          <t>arT</t>
        </is>
      </c>
      <c r="D23" t="inlineStr">
        <is>
          <t>CS2</t>
        </is>
      </c>
      <c r="E23" t="inlineStr">
        <is>
          <t>Mirage</t>
        </is>
      </c>
      <c r="F23" t="n">
        <v>9</v>
      </c>
      <c r="G23" t="n">
        <v>12.4</v>
      </c>
      <c r="H23" t="n">
        <v>0.54</v>
      </c>
      <c r="I23" s="8" t="n">
        <v>0.464</v>
      </c>
      <c r="J23" t="n">
        <v>0.77</v>
      </c>
      <c r="K23" s="11">
        <f>IF(H23&lt;&gt;"",H23,IFERROR(G23/INDEX(Players!$M$2:$M$124,MATCH(B23,Players!$A$2:$A$124,0)),""))</f>
        <v/>
      </c>
    </row>
    <row r="24">
      <c r="A24" t="inlineStr">
        <is>
          <t>6ihem6avn05n11t|Nuke</t>
        </is>
      </c>
      <c r="B24" t="inlineStr">
        <is>
          <t>6ihem6avn05n11t</t>
        </is>
      </c>
      <c r="C24" t="inlineStr">
        <is>
          <t>arT</t>
        </is>
      </c>
      <c r="D24" t="inlineStr">
        <is>
          <t>CS2</t>
        </is>
      </c>
      <c r="E24" t="inlineStr">
        <is>
          <t>Nuke</t>
        </is>
      </c>
      <c r="F24" t="n">
        <v>4</v>
      </c>
      <c r="G24" t="n">
        <v>13.3</v>
      </c>
      <c r="H24" t="n">
        <v>0.51</v>
      </c>
      <c r="I24" s="8" t="n">
        <v>0.434</v>
      </c>
      <c r="J24" t="n">
        <v>0.6899999999999999</v>
      </c>
      <c r="K24" s="11">
        <f>IF(H24&lt;&gt;"",H24,IFERROR(G24/INDEX(Players!$M$2:$M$124,MATCH(B24,Players!$A$2:$A$124,0)),""))</f>
        <v/>
      </c>
    </row>
    <row r="25">
      <c r="A25" t="inlineStr">
        <is>
          <t>6ihem6avn05n11t|Inferno</t>
        </is>
      </c>
      <c r="B25" t="inlineStr">
        <is>
          <t>6ihem6avn05n11t</t>
        </is>
      </c>
      <c r="C25" t="inlineStr">
        <is>
          <t>arT</t>
        </is>
      </c>
      <c r="D25" t="inlineStr">
        <is>
          <t>CS2</t>
        </is>
      </c>
      <c r="E25" t="inlineStr">
        <is>
          <t>Inferno</t>
        </is>
      </c>
      <c r="F25" t="n">
        <v>3</v>
      </c>
      <c r="G25" t="n">
        <v>13.3</v>
      </c>
      <c r="H25" t="n">
        <v>0.62</v>
      </c>
      <c r="I25" s="8" t="n">
        <v>0.475</v>
      </c>
      <c r="J25" t="n">
        <v>0.93</v>
      </c>
      <c r="K25" s="11">
        <f>IF(H25&lt;&gt;"",H25,IFERROR(G25/INDEX(Players!$M$2:$M$124,MATCH(B25,Players!$A$2:$A$124,0)),""))</f>
        <v/>
      </c>
    </row>
    <row r="26">
      <c r="A26" t="inlineStr">
        <is>
          <t>6ihem6avn05n11t|Cache</t>
        </is>
      </c>
      <c r="B26" t="inlineStr">
        <is>
          <t>6ihem6avn05n11t</t>
        </is>
      </c>
      <c r="C26" t="inlineStr">
        <is>
          <t>arT</t>
        </is>
      </c>
      <c r="D26" t="inlineStr">
        <is>
          <t>CS2</t>
        </is>
      </c>
      <c r="E26" t="inlineStr">
        <is>
          <t>Cache</t>
        </is>
      </c>
      <c r="F26" t="n">
        <v>1</v>
      </c>
      <c r="G26" t="n">
        <v>15</v>
      </c>
      <c r="H26" t="n">
        <v>0.65</v>
      </c>
      <c r="I26" s="8" t="n">
        <v>0.333</v>
      </c>
      <c r="J26" t="n">
        <v>0.9399999999999999</v>
      </c>
      <c r="K26" s="11">
        <f>IF(H26&lt;&gt;"",H26,IFERROR(G26/INDEX(Players!$M$2:$M$124,MATCH(B26,Players!$A$2:$A$124,0)),""))</f>
        <v/>
      </c>
    </row>
    <row r="27">
      <c r="A27" t="inlineStr">
        <is>
          <t>2y1yay7td9d3pb6|Inferno</t>
        </is>
      </c>
      <c r="B27" t="inlineStr">
        <is>
          <t>2y1yay7td9d3pb6</t>
        </is>
      </c>
      <c r="C27" t="inlineStr">
        <is>
          <t>b1t</t>
        </is>
      </c>
      <c r="D27" t="inlineStr">
        <is>
          <t>CS2</t>
        </is>
      </c>
      <c r="E27" t="inlineStr">
        <is>
          <t>Inferno</t>
        </is>
      </c>
      <c r="F27" t="n">
        <v>10</v>
      </c>
      <c r="G27" t="n">
        <v>14</v>
      </c>
      <c r="H27" t="n">
        <v>0.65</v>
      </c>
      <c r="I27" s="8" t="n">
        <v>0.629</v>
      </c>
      <c r="J27" t="n">
        <v>1.06</v>
      </c>
      <c r="K27" s="11">
        <f>IF(H27&lt;&gt;"",H27,IFERROR(G27/INDEX(Players!$M$2:$M$124,MATCH(B27,Players!$A$2:$A$124,0)),""))</f>
        <v/>
      </c>
    </row>
    <row r="28">
      <c r="A28" t="inlineStr">
        <is>
          <t>2y1yay7td9d3pb6|Mirage</t>
        </is>
      </c>
      <c r="B28" t="inlineStr">
        <is>
          <t>2y1yay7td9d3pb6</t>
        </is>
      </c>
      <c r="C28" t="inlineStr">
        <is>
          <t>b1t</t>
        </is>
      </c>
      <c r="D28" t="inlineStr">
        <is>
          <t>CS2</t>
        </is>
      </c>
      <c r="E28" t="inlineStr">
        <is>
          <t>Mirage</t>
        </is>
      </c>
      <c r="F28" t="n">
        <v>9</v>
      </c>
      <c r="G28" t="n">
        <v>12.9</v>
      </c>
      <c r="H28" t="n">
        <v>0.61</v>
      </c>
      <c r="I28" s="8" t="n">
        <v>0.603</v>
      </c>
      <c r="J28" t="n">
        <v>0.85</v>
      </c>
      <c r="K28" s="11">
        <f>IF(H28&lt;&gt;"",H28,IFERROR(G28/INDEX(Players!$M$2:$M$124,MATCH(B28,Players!$A$2:$A$124,0)),""))</f>
        <v/>
      </c>
    </row>
    <row r="29">
      <c r="A29" t="inlineStr">
        <is>
          <t>2y1yay7td9d3pb6|Nuke</t>
        </is>
      </c>
      <c r="B29" t="inlineStr">
        <is>
          <t>2y1yay7td9d3pb6</t>
        </is>
      </c>
      <c r="C29" t="inlineStr">
        <is>
          <t>b1t</t>
        </is>
      </c>
      <c r="D29" t="inlineStr">
        <is>
          <t>CS2</t>
        </is>
      </c>
      <c r="E29" t="inlineStr">
        <is>
          <t>Nuke</t>
        </is>
      </c>
      <c r="F29" t="n">
        <v>5</v>
      </c>
      <c r="G29" t="n">
        <v>18</v>
      </c>
      <c r="H29" t="n">
        <v>0.87</v>
      </c>
      <c r="I29" s="8" t="n">
        <v>0.622</v>
      </c>
      <c r="J29" t="n">
        <v>1.34</v>
      </c>
      <c r="K29" s="11">
        <f>IF(H29&lt;&gt;"",H29,IFERROR(G29/INDEX(Players!$M$2:$M$124,MATCH(B29,Players!$A$2:$A$124,0)),""))</f>
        <v/>
      </c>
    </row>
    <row r="30">
      <c r="A30" t="inlineStr">
        <is>
          <t>2y1yay7td9d3pb6|Cache</t>
        </is>
      </c>
      <c r="B30" t="inlineStr">
        <is>
          <t>2y1yay7td9d3pb6</t>
        </is>
      </c>
      <c r="C30" t="inlineStr">
        <is>
          <t>b1t</t>
        </is>
      </c>
      <c r="D30" t="inlineStr">
        <is>
          <t>CS2</t>
        </is>
      </c>
      <c r="E30" t="inlineStr">
        <is>
          <t>Cache</t>
        </is>
      </c>
      <c r="F30" t="n">
        <v>4</v>
      </c>
      <c r="G30" t="n">
        <v>14.3</v>
      </c>
      <c r="H30" t="n">
        <v>0.67</v>
      </c>
      <c r="I30" s="8" t="n">
        <v>0.632</v>
      </c>
      <c r="J30" t="n">
        <v>1.19</v>
      </c>
      <c r="K30" s="11">
        <f>IF(H30&lt;&gt;"",H30,IFERROR(G30/INDEX(Players!$M$2:$M$124,MATCH(B30,Players!$A$2:$A$124,0)),""))</f>
        <v/>
      </c>
    </row>
    <row r="31">
      <c r="A31" t="inlineStr">
        <is>
          <t>2y1yay7td9d3pb6|Anubis</t>
        </is>
      </c>
      <c r="B31" t="inlineStr">
        <is>
          <t>2y1yay7td9d3pb6</t>
        </is>
      </c>
      <c r="C31" t="inlineStr">
        <is>
          <t>b1t</t>
        </is>
      </c>
      <c r="D31" t="inlineStr">
        <is>
          <t>CS2</t>
        </is>
      </c>
      <c r="E31" t="inlineStr">
        <is>
          <t>Anubis</t>
        </is>
      </c>
      <c r="F31" t="n">
        <v>3</v>
      </c>
      <c r="G31" t="n">
        <v>13.3</v>
      </c>
      <c r="H31" t="n">
        <v>0.58</v>
      </c>
      <c r="I31" s="8" t="n">
        <v>0.65</v>
      </c>
      <c r="J31" t="n">
        <v>0.95</v>
      </c>
      <c r="K31" s="11">
        <f>IF(H31&lt;&gt;"",H31,IFERROR(G31/INDEX(Players!$M$2:$M$124,MATCH(B31,Players!$A$2:$A$124,0)),""))</f>
        <v/>
      </c>
    </row>
    <row r="32">
      <c r="A32" t="inlineStr">
        <is>
          <t>2y1yay7td9d3pb6|Ancient</t>
        </is>
      </c>
      <c r="B32" t="inlineStr">
        <is>
          <t>2y1yay7td9d3pb6</t>
        </is>
      </c>
      <c r="C32" t="inlineStr">
        <is>
          <t>b1t</t>
        </is>
      </c>
      <c r="D32" t="inlineStr">
        <is>
          <t>CS2</t>
        </is>
      </c>
      <c r="E32" t="inlineStr">
        <is>
          <t>Ancient</t>
        </is>
      </c>
      <c r="F32" t="n">
        <v>3</v>
      </c>
      <c r="G32" t="n">
        <v>12</v>
      </c>
      <c r="H32" t="n">
        <v>0.64</v>
      </c>
      <c r="I32" s="8" t="n">
        <v>0.6940000000000001</v>
      </c>
      <c r="J32" t="n">
        <v>0.88</v>
      </c>
      <c r="K32" s="11">
        <f>IF(H32&lt;&gt;"",H32,IFERROR(G32/INDEX(Players!$M$2:$M$124,MATCH(B32,Players!$A$2:$A$124,0)),""))</f>
        <v/>
      </c>
    </row>
    <row r="33">
      <c r="A33" t="inlineStr">
        <is>
          <t>2y1yay7td9d3pb6|Dust2</t>
        </is>
      </c>
      <c r="B33" t="inlineStr">
        <is>
          <t>2y1yay7td9d3pb6</t>
        </is>
      </c>
      <c r="C33" t="inlineStr">
        <is>
          <t>b1t</t>
        </is>
      </c>
      <c r="D33" t="inlineStr">
        <is>
          <t>CS2</t>
        </is>
      </c>
      <c r="E33" t="inlineStr">
        <is>
          <t>Dust2</t>
        </is>
      </c>
      <c r="F33" t="n">
        <v>2</v>
      </c>
      <c r="G33" t="n">
        <v>20</v>
      </c>
      <c r="H33" t="n">
        <v>0.62</v>
      </c>
      <c r="I33" s="8" t="n">
        <v>0.625</v>
      </c>
      <c r="J33" t="n">
        <v>0.93</v>
      </c>
      <c r="K33" s="11">
        <f>IF(H33&lt;&gt;"",H33,IFERROR(G33/INDEX(Players!$M$2:$M$124,MATCH(B33,Players!$A$2:$A$124,0)),""))</f>
        <v/>
      </c>
    </row>
    <row r="34">
      <c r="A34" t="inlineStr">
        <is>
          <t>3cunzce5pb15xlw|Dust2</t>
        </is>
      </c>
      <c r="B34" t="inlineStr">
        <is>
          <t>3cunzce5pb15xlw</t>
        </is>
      </c>
      <c r="C34" t="inlineStr">
        <is>
          <t>biguzera</t>
        </is>
      </c>
      <c r="D34" t="inlineStr">
        <is>
          <t>CS2</t>
        </is>
      </c>
      <c r="E34" t="inlineStr">
        <is>
          <t>Dust2</t>
        </is>
      </c>
      <c r="F34" t="n">
        <v>11</v>
      </c>
      <c r="G34" t="n">
        <v>15.6</v>
      </c>
      <c r="H34" t="n">
        <v>0.67</v>
      </c>
      <c r="I34" s="8" t="n">
        <v>0.5639999999999999</v>
      </c>
      <c r="J34" t="n">
        <v>1.09</v>
      </c>
      <c r="K34" s="11">
        <f>IF(H34&lt;&gt;"",H34,IFERROR(G34/INDEX(Players!$M$2:$M$124,MATCH(B34,Players!$A$2:$A$124,0)),""))</f>
        <v/>
      </c>
    </row>
    <row r="35">
      <c r="A35" t="inlineStr">
        <is>
          <t>3cunzce5pb15xlw|Cache</t>
        </is>
      </c>
      <c r="B35" t="inlineStr">
        <is>
          <t>3cunzce5pb15xlw</t>
        </is>
      </c>
      <c r="C35" t="inlineStr">
        <is>
          <t>biguzera</t>
        </is>
      </c>
      <c r="D35" t="inlineStr">
        <is>
          <t>CS2</t>
        </is>
      </c>
      <c r="E35" t="inlineStr">
        <is>
          <t>Cache</t>
        </is>
      </c>
      <c r="F35" t="n">
        <v>7</v>
      </c>
      <c r="G35" t="n">
        <v>14.6</v>
      </c>
      <c r="H35" t="n">
        <v>0.67</v>
      </c>
      <c r="I35" s="8" t="n">
        <v>0.5</v>
      </c>
      <c r="J35" t="n">
        <v>1</v>
      </c>
      <c r="K35" s="11">
        <f>IF(H35&lt;&gt;"",H35,IFERROR(G35/INDEX(Players!$M$2:$M$124,MATCH(B35,Players!$A$2:$A$124,0)),""))</f>
        <v/>
      </c>
    </row>
    <row r="36">
      <c r="A36" t="inlineStr">
        <is>
          <t>3cunzce5pb15xlw|Anubis</t>
        </is>
      </c>
      <c r="B36" t="inlineStr">
        <is>
          <t>3cunzce5pb15xlw</t>
        </is>
      </c>
      <c r="C36" t="inlineStr">
        <is>
          <t>biguzera</t>
        </is>
      </c>
      <c r="D36" t="inlineStr">
        <is>
          <t>CS2</t>
        </is>
      </c>
      <c r="E36" t="inlineStr">
        <is>
          <t>Anubis</t>
        </is>
      </c>
      <c r="F36" t="n">
        <v>6</v>
      </c>
      <c r="G36" t="n">
        <v>17.8</v>
      </c>
      <c r="H36" t="n">
        <v>0.8</v>
      </c>
      <c r="I36" s="8" t="n">
        <v>0.542</v>
      </c>
      <c r="J36" t="n">
        <v>1.29</v>
      </c>
      <c r="K36" s="11">
        <f>IF(H36&lt;&gt;"",H36,IFERROR(G36/INDEX(Players!$M$2:$M$124,MATCH(B36,Players!$A$2:$A$124,0)),""))</f>
        <v/>
      </c>
    </row>
    <row r="37">
      <c r="A37" t="inlineStr">
        <is>
          <t>3cunzce5pb15xlw|Mirage</t>
        </is>
      </c>
      <c r="B37" t="inlineStr">
        <is>
          <t>3cunzce5pb15xlw</t>
        </is>
      </c>
      <c r="C37" t="inlineStr">
        <is>
          <t>biguzera</t>
        </is>
      </c>
      <c r="D37" t="inlineStr">
        <is>
          <t>CS2</t>
        </is>
      </c>
      <c r="E37" t="inlineStr">
        <is>
          <t>Mirage</t>
        </is>
      </c>
      <c r="F37" t="n">
        <v>6</v>
      </c>
      <c r="G37" t="n">
        <v>15.3</v>
      </c>
      <c r="H37" t="n">
        <v>0.7</v>
      </c>
      <c r="I37" s="8" t="n">
        <v>0.5329999999999999</v>
      </c>
      <c r="J37" t="n">
        <v>0.96</v>
      </c>
      <c r="K37" s="11">
        <f>IF(H37&lt;&gt;"",H37,IFERROR(G37/INDEX(Players!$M$2:$M$124,MATCH(B37,Players!$A$2:$A$124,0)),""))</f>
        <v/>
      </c>
    </row>
    <row r="38">
      <c r="A38" t="inlineStr">
        <is>
          <t>3cunzce5pb15xlw|Inferno</t>
        </is>
      </c>
      <c r="B38" t="inlineStr">
        <is>
          <t>3cunzce5pb15xlw</t>
        </is>
      </c>
      <c r="C38" t="inlineStr">
        <is>
          <t>biguzera</t>
        </is>
      </c>
      <c r="D38" t="inlineStr">
        <is>
          <t>CS2</t>
        </is>
      </c>
      <c r="E38" t="inlineStr">
        <is>
          <t>Inferno</t>
        </is>
      </c>
      <c r="F38" t="n">
        <v>5</v>
      </c>
      <c r="G38" t="n">
        <v>7.4</v>
      </c>
      <c r="H38" t="n">
        <v>0.41</v>
      </c>
      <c r="I38" s="8" t="n">
        <v>0.5679999999999999</v>
      </c>
      <c r="J38" t="n">
        <v>0.54</v>
      </c>
      <c r="K38" s="11">
        <f>IF(H38&lt;&gt;"",H38,IFERROR(G38/INDEX(Players!$M$2:$M$124,MATCH(B38,Players!$A$2:$A$124,0)),""))</f>
        <v/>
      </c>
    </row>
    <row r="39">
      <c r="A39" t="inlineStr">
        <is>
          <t>3cunzce5pb15xlw|Nuke</t>
        </is>
      </c>
      <c r="B39" t="inlineStr">
        <is>
          <t>3cunzce5pb15xlw</t>
        </is>
      </c>
      <c r="C39" t="inlineStr">
        <is>
          <t>biguzera</t>
        </is>
      </c>
      <c r="D39" t="inlineStr">
        <is>
          <t>CS2</t>
        </is>
      </c>
      <c r="E39" t="inlineStr">
        <is>
          <t>Nuke</t>
        </is>
      </c>
      <c r="F39" t="n">
        <v>2</v>
      </c>
      <c r="G39" t="n">
        <v>19</v>
      </c>
      <c r="H39" t="n">
        <v>0.83</v>
      </c>
      <c r="I39" s="8" t="n">
        <v>0.605</v>
      </c>
      <c r="J39" t="n">
        <v>1.09</v>
      </c>
      <c r="K39" s="11">
        <f>IF(H39&lt;&gt;"",H39,IFERROR(G39/INDEX(Players!$M$2:$M$124,MATCH(B39,Players!$A$2:$A$124,0)),""))</f>
        <v/>
      </c>
    </row>
    <row r="40">
      <c r="A40" t="inlineStr">
        <is>
          <t>u2qbkafgxd78s8o|Nuke</t>
        </is>
      </c>
      <c r="B40" t="inlineStr">
        <is>
          <t>u2qbkafgxd78s8o</t>
        </is>
      </c>
      <c r="C40" t="inlineStr">
        <is>
          <t>bl1x1</t>
        </is>
      </c>
      <c r="D40" t="inlineStr">
        <is>
          <t>CS2</t>
        </is>
      </c>
      <c r="E40" t="inlineStr">
        <is>
          <t>Nuke</t>
        </is>
      </c>
      <c r="F40" t="n">
        <v>10</v>
      </c>
      <c r="G40" t="n">
        <v>15.3</v>
      </c>
      <c r="H40" t="n">
        <v>0.67</v>
      </c>
      <c r="I40" s="8" t="n">
        <v>0.667</v>
      </c>
      <c r="J40" t="n">
        <v>1.06</v>
      </c>
      <c r="K40" s="11">
        <f>IF(H40&lt;&gt;"",H40,IFERROR(G40/INDEX(Players!$M$2:$M$124,MATCH(B40,Players!$A$2:$A$124,0)),""))</f>
        <v/>
      </c>
    </row>
    <row r="41">
      <c r="A41" t="inlineStr">
        <is>
          <t>u2qbkafgxd78s8o|Anubis</t>
        </is>
      </c>
      <c r="B41" t="inlineStr">
        <is>
          <t>u2qbkafgxd78s8o</t>
        </is>
      </c>
      <c r="C41" t="inlineStr">
        <is>
          <t>bl1x1</t>
        </is>
      </c>
      <c r="D41" t="inlineStr">
        <is>
          <t>CS2</t>
        </is>
      </c>
      <c r="E41" t="inlineStr">
        <is>
          <t>Anubis</t>
        </is>
      </c>
      <c r="F41" t="n">
        <v>8</v>
      </c>
      <c r="G41" t="n">
        <v>15.9</v>
      </c>
      <c r="H41" t="n">
        <v>0.8100000000000001</v>
      </c>
      <c r="I41" s="8" t="n">
        <v>0.6459999999999999</v>
      </c>
      <c r="J41" t="n">
        <v>1.43</v>
      </c>
      <c r="K41" s="11">
        <f>IF(H41&lt;&gt;"",H41,IFERROR(G41/INDEX(Players!$M$2:$M$124,MATCH(B41,Players!$A$2:$A$124,0)),""))</f>
        <v/>
      </c>
    </row>
    <row r="42">
      <c r="A42" t="inlineStr">
        <is>
          <t>u2qbkafgxd78s8o|Ancient</t>
        </is>
      </c>
      <c r="B42" t="inlineStr">
        <is>
          <t>u2qbkafgxd78s8o</t>
        </is>
      </c>
      <c r="C42" t="inlineStr">
        <is>
          <t>bl1x1</t>
        </is>
      </c>
      <c r="D42" t="inlineStr">
        <is>
          <t>CS2</t>
        </is>
      </c>
      <c r="E42" t="inlineStr">
        <is>
          <t>Ancient</t>
        </is>
      </c>
      <c r="F42" t="n">
        <v>8</v>
      </c>
      <c r="G42" t="n">
        <v>15.3</v>
      </c>
      <c r="H42" t="n">
        <v>0.67</v>
      </c>
      <c r="I42" s="8" t="n">
        <v>0.721</v>
      </c>
      <c r="J42" t="n">
        <v>0.99</v>
      </c>
      <c r="K42" s="11">
        <f>IF(H42&lt;&gt;"",H42,IFERROR(G42/INDEX(Players!$M$2:$M$124,MATCH(B42,Players!$A$2:$A$124,0)),""))</f>
        <v/>
      </c>
    </row>
    <row r="43">
      <c r="A43" t="inlineStr">
        <is>
          <t>u2qbkafgxd78s8o|Dust2</t>
        </is>
      </c>
      <c r="B43" t="inlineStr">
        <is>
          <t>u2qbkafgxd78s8o</t>
        </is>
      </c>
      <c r="C43" t="inlineStr">
        <is>
          <t>bl1x1</t>
        </is>
      </c>
      <c r="D43" t="inlineStr">
        <is>
          <t>CS2</t>
        </is>
      </c>
      <c r="E43" t="inlineStr">
        <is>
          <t>Dust2</t>
        </is>
      </c>
      <c r="F43" t="n">
        <v>6</v>
      </c>
      <c r="G43" t="n">
        <v>10.3</v>
      </c>
      <c r="H43" t="n">
        <v>0.49</v>
      </c>
      <c r="I43" s="8" t="n">
        <v>0.5479999999999999</v>
      </c>
      <c r="J43" t="n">
        <v>0.68</v>
      </c>
      <c r="K43" s="11">
        <f>IF(H43&lt;&gt;"",H43,IFERROR(G43/INDEX(Players!$M$2:$M$124,MATCH(B43,Players!$A$2:$A$124,0)),""))</f>
        <v/>
      </c>
    </row>
    <row r="44">
      <c r="A44" t="inlineStr">
        <is>
          <t>u2qbkafgxd78s8o|Mirage</t>
        </is>
      </c>
      <c r="B44" t="inlineStr">
        <is>
          <t>u2qbkafgxd78s8o</t>
        </is>
      </c>
      <c r="C44" t="inlineStr">
        <is>
          <t>bl1x1</t>
        </is>
      </c>
      <c r="D44" t="inlineStr">
        <is>
          <t>CS2</t>
        </is>
      </c>
      <c r="E44" t="inlineStr">
        <is>
          <t>Mirage</t>
        </is>
      </c>
      <c r="F44" t="n">
        <v>2</v>
      </c>
      <c r="G44" t="n">
        <v>18.5</v>
      </c>
      <c r="H44" t="n">
        <v>0.84</v>
      </c>
      <c r="I44" s="8" t="n">
        <v>0.8109999999999999</v>
      </c>
      <c r="J44" t="n">
        <v>1.19</v>
      </c>
      <c r="K44" s="11">
        <f>IF(H44&lt;&gt;"",H44,IFERROR(G44/INDEX(Players!$M$2:$M$124,MATCH(B44,Players!$A$2:$A$124,0)),""))</f>
        <v/>
      </c>
    </row>
    <row r="45">
      <c r="A45" t="inlineStr">
        <is>
          <t>u2qbkafgxd78s8o|Cache</t>
        </is>
      </c>
      <c r="B45" t="inlineStr">
        <is>
          <t>u2qbkafgxd78s8o</t>
        </is>
      </c>
      <c r="C45" t="inlineStr">
        <is>
          <t>bl1x1</t>
        </is>
      </c>
      <c r="D45" t="inlineStr">
        <is>
          <t>CS2</t>
        </is>
      </c>
      <c r="E45" t="inlineStr">
        <is>
          <t>Cache</t>
        </is>
      </c>
      <c r="F45" t="n">
        <v>1</v>
      </c>
      <c r="G45" t="n">
        <v>18</v>
      </c>
      <c r="H45" t="n">
        <v>1.13</v>
      </c>
      <c r="I45" s="8" t="n">
        <v>0.667</v>
      </c>
      <c r="J45" t="n">
        <v>3</v>
      </c>
      <c r="K45" s="11">
        <f>IF(H45&lt;&gt;"",H45,IFERROR(G45/INDEX(Players!$M$2:$M$124,MATCH(B45,Players!$A$2:$A$124,0)),""))</f>
        <v/>
      </c>
    </row>
    <row r="46">
      <c r="A46" t="inlineStr">
        <is>
          <t>u2qbkafgxd78s8o|Inferno</t>
        </is>
      </c>
      <c r="B46" t="inlineStr">
        <is>
          <t>u2qbkafgxd78s8o</t>
        </is>
      </c>
      <c r="C46" t="inlineStr">
        <is>
          <t>bl1x1</t>
        </is>
      </c>
      <c r="D46" t="inlineStr">
        <is>
          <t>CS2</t>
        </is>
      </c>
      <c r="E46" t="inlineStr">
        <is>
          <t>Inferno</t>
        </is>
      </c>
      <c r="F46" t="n">
        <v>1</v>
      </c>
      <c r="G46" t="n">
        <v>21</v>
      </c>
      <c r="H46" t="n">
        <v>1.11</v>
      </c>
      <c r="I46" s="8" t="n">
        <v>0.524</v>
      </c>
      <c r="J46" t="n">
        <v>2.63</v>
      </c>
      <c r="K46" s="11">
        <f>IF(H46&lt;&gt;"",H46,IFERROR(G46/INDEX(Players!$M$2:$M$124,MATCH(B46,Players!$A$2:$A$124,0)),""))</f>
        <v/>
      </c>
    </row>
    <row r="47">
      <c r="A47" t="inlineStr">
        <is>
          <t>56bqvguml6vhetk|Inferno</t>
        </is>
      </c>
      <c r="B47" t="inlineStr">
        <is>
          <t>56bqvguml6vhetk</t>
        </is>
      </c>
      <c r="C47" t="inlineStr">
        <is>
          <t>bLitz</t>
        </is>
      </c>
      <c r="D47" t="inlineStr">
        <is>
          <t>CS2</t>
        </is>
      </c>
      <c r="E47" t="inlineStr">
        <is>
          <t>Inferno</t>
        </is>
      </c>
      <c r="F47" t="n">
        <v>10</v>
      </c>
      <c r="G47" t="n">
        <v>13.1</v>
      </c>
      <c r="H47" t="n">
        <v>0.62</v>
      </c>
      <c r="I47" s="8" t="n">
        <v>0.427</v>
      </c>
      <c r="J47" t="n">
        <v>0.95</v>
      </c>
      <c r="K47" s="11">
        <f>IF(H47&lt;&gt;"",H47,IFERROR(G47/INDEX(Players!$M$2:$M$124,MATCH(B47,Players!$A$2:$A$124,0)),""))</f>
        <v/>
      </c>
    </row>
    <row r="48">
      <c r="A48" t="inlineStr">
        <is>
          <t>56bqvguml6vhetk|Mirage</t>
        </is>
      </c>
      <c r="B48" t="inlineStr">
        <is>
          <t>56bqvguml6vhetk</t>
        </is>
      </c>
      <c r="C48" t="inlineStr">
        <is>
          <t>bLitz</t>
        </is>
      </c>
      <c r="D48" t="inlineStr">
        <is>
          <t>CS2</t>
        </is>
      </c>
      <c r="E48" t="inlineStr">
        <is>
          <t>Mirage</t>
        </is>
      </c>
      <c r="F48" t="n">
        <v>8</v>
      </c>
      <c r="G48" t="n">
        <v>15.3</v>
      </c>
      <c r="H48" t="n">
        <v>0.74</v>
      </c>
      <c r="I48" s="8" t="n">
        <v>0.516</v>
      </c>
      <c r="J48" t="n">
        <v>1.13</v>
      </c>
      <c r="K48" s="11">
        <f>IF(H48&lt;&gt;"",H48,IFERROR(G48/INDEX(Players!$M$2:$M$124,MATCH(B48,Players!$A$2:$A$124,0)),""))</f>
        <v/>
      </c>
    </row>
    <row r="49">
      <c r="A49" t="inlineStr">
        <is>
          <t>56bqvguml6vhetk|Ancient</t>
        </is>
      </c>
      <c r="B49" t="inlineStr">
        <is>
          <t>56bqvguml6vhetk</t>
        </is>
      </c>
      <c r="C49" t="inlineStr">
        <is>
          <t>bLitz</t>
        </is>
      </c>
      <c r="D49" t="inlineStr">
        <is>
          <t>CS2</t>
        </is>
      </c>
      <c r="E49" t="inlineStr">
        <is>
          <t>Ancient</t>
        </is>
      </c>
      <c r="F49" t="n">
        <v>6</v>
      </c>
      <c r="G49" t="n">
        <v>16.2</v>
      </c>
      <c r="H49" t="n">
        <v>0.79</v>
      </c>
      <c r="I49" s="8" t="n">
        <v>0.32</v>
      </c>
      <c r="J49" t="n">
        <v>1.21</v>
      </c>
      <c r="K49" s="11">
        <f>IF(H49&lt;&gt;"",H49,IFERROR(G49/INDEX(Players!$M$2:$M$124,MATCH(B49,Players!$A$2:$A$124,0)),""))</f>
        <v/>
      </c>
    </row>
    <row r="50">
      <c r="A50" t="inlineStr">
        <is>
          <t>56bqvguml6vhetk|Dust2</t>
        </is>
      </c>
      <c r="B50" t="inlineStr">
        <is>
          <t>56bqvguml6vhetk</t>
        </is>
      </c>
      <c r="C50" t="inlineStr">
        <is>
          <t>bLitz</t>
        </is>
      </c>
      <c r="D50" t="inlineStr">
        <is>
          <t>CS2</t>
        </is>
      </c>
      <c r="E50" t="inlineStr">
        <is>
          <t>Dust2</t>
        </is>
      </c>
      <c r="F50" t="n">
        <v>5</v>
      </c>
      <c r="G50" t="n">
        <v>15.8</v>
      </c>
      <c r="H50" t="n">
        <v>0.75</v>
      </c>
      <c r="I50" s="8" t="n">
        <v>0.494</v>
      </c>
      <c r="J50" t="n">
        <v>1.16</v>
      </c>
      <c r="K50" s="11">
        <f>IF(H50&lt;&gt;"",H50,IFERROR(G50/INDEX(Players!$M$2:$M$124,MATCH(B50,Players!$A$2:$A$124,0)),""))</f>
        <v/>
      </c>
    </row>
    <row r="51">
      <c r="A51" t="inlineStr">
        <is>
          <t>56bqvguml6vhetk|Nuke</t>
        </is>
      </c>
      <c r="B51" t="inlineStr">
        <is>
          <t>56bqvguml6vhetk</t>
        </is>
      </c>
      <c r="C51" t="inlineStr">
        <is>
          <t>bLitz</t>
        </is>
      </c>
      <c r="D51" t="inlineStr">
        <is>
          <t>CS2</t>
        </is>
      </c>
      <c r="E51" t="inlineStr">
        <is>
          <t>Nuke</t>
        </is>
      </c>
      <c r="F51" t="n">
        <v>4</v>
      </c>
      <c r="G51" t="n">
        <v>15.5</v>
      </c>
      <c r="H51" t="n">
        <v>0.6899999999999999</v>
      </c>
      <c r="I51" s="8" t="n">
        <v>0.484</v>
      </c>
      <c r="J51" t="n">
        <v>1</v>
      </c>
      <c r="K51" s="11">
        <f>IF(H51&lt;&gt;"",H51,IFERROR(G51/INDEX(Players!$M$2:$M$124,MATCH(B51,Players!$A$2:$A$124,0)),""))</f>
        <v/>
      </c>
    </row>
    <row r="52">
      <c r="A52" t="inlineStr">
        <is>
          <t>56bqvguml6vhetk|Cache</t>
        </is>
      </c>
      <c r="B52" t="inlineStr">
        <is>
          <t>56bqvguml6vhetk</t>
        </is>
      </c>
      <c r="C52" t="inlineStr">
        <is>
          <t>bLitz</t>
        </is>
      </c>
      <c r="D52" t="inlineStr">
        <is>
          <t>CS2</t>
        </is>
      </c>
      <c r="E52" t="inlineStr">
        <is>
          <t>Cache</t>
        </is>
      </c>
      <c r="F52" t="n">
        <v>2</v>
      </c>
      <c r="G52" t="n">
        <v>9.5</v>
      </c>
      <c r="H52" t="n">
        <v>0.5</v>
      </c>
      <c r="I52" s="8" t="n">
        <v>0.526</v>
      </c>
      <c r="J52" t="n">
        <v>0.63</v>
      </c>
      <c r="K52" s="11">
        <f>IF(H52&lt;&gt;"",H52,IFERROR(G52/INDEX(Players!$M$2:$M$124,MATCH(B52,Players!$A$2:$A$124,0)),""))</f>
        <v/>
      </c>
    </row>
    <row r="53">
      <c r="A53" t="inlineStr">
        <is>
          <t>75r40osa6cjt3o0|Mirage</t>
        </is>
      </c>
      <c r="B53" t="inlineStr">
        <is>
          <t>75r40osa6cjt3o0</t>
        </is>
      </c>
      <c r="C53" t="inlineStr">
        <is>
          <t>Boombl4</t>
        </is>
      </c>
      <c r="D53" t="inlineStr">
        <is>
          <t>CS2</t>
        </is>
      </c>
      <c r="E53" t="inlineStr">
        <is>
          <t>Mirage</t>
        </is>
      </c>
      <c r="F53" t="n">
        <v>11</v>
      </c>
      <c r="G53" t="n">
        <v>11</v>
      </c>
      <c r="H53" t="n">
        <v>0.51</v>
      </c>
      <c r="I53" s="8" t="n">
        <v>0.43</v>
      </c>
      <c r="J53" t="n">
        <v>0.75</v>
      </c>
      <c r="K53" s="11">
        <f>IF(H53&lt;&gt;"",H53,IFERROR(G53/INDEX(Players!$M$2:$M$124,MATCH(B53,Players!$A$2:$A$124,0)),""))</f>
        <v/>
      </c>
    </row>
    <row r="54">
      <c r="A54" t="inlineStr">
        <is>
          <t>75r40osa6cjt3o0|Anubis</t>
        </is>
      </c>
      <c r="B54" t="inlineStr">
        <is>
          <t>75r40osa6cjt3o0</t>
        </is>
      </c>
      <c r="C54" t="inlineStr">
        <is>
          <t>Boombl4</t>
        </is>
      </c>
      <c r="D54" t="inlineStr">
        <is>
          <t>CS2</t>
        </is>
      </c>
      <c r="E54" t="inlineStr">
        <is>
          <t>Anubis</t>
        </is>
      </c>
      <c r="F54" t="n">
        <v>9</v>
      </c>
      <c r="G54" t="n">
        <v>15.3</v>
      </c>
      <c r="H54" t="n">
        <v>0.67</v>
      </c>
      <c r="I54" s="8" t="n">
        <v>0.449</v>
      </c>
      <c r="J54" t="n">
        <v>0.99</v>
      </c>
      <c r="K54" s="11">
        <f>IF(H54&lt;&gt;"",H54,IFERROR(G54/INDEX(Players!$M$2:$M$124,MATCH(B54,Players!$A$2:$A$124,0)),""))</f>
        <v/>
      </c>
    </row>
    <row r="55">
      <c r="A55" t="inlineStr">
        <is>
          <t>75r40osa6cjt3o0|Ancient</t>
        </is>
      </c>
      <c r="B55" t="inlineStr">
        <is>
          <t>75r40osa6cjt3o0</t>
        </is>
      </c>
      <c r="C55" t="inlineStr">
        <is>
          <t>Boombl4</t>
        </is>
      </c>
      <c r="D55" t="inlineStr">
        <is>
          <t>CS2</t>
        </is>
      </c>
      <c r="E55" t="inlineStr">
        <is>
          <t>Ancient</t>
        </is>
      </c>
      <c r="F55" t="n">
        <v>6</v>
      </c>
      <c r="G55" t="n">
        <v>12</v>
      </c>
      <c r="H55" t="n">
        <v>0.49</v>
      </c>
      <c r="I55" s="8" t="n">
        <v>0.444</v>
      </c>
      <c r="J55" t="n">
        <v>0.77</v>
      </c>
      <c r="K55" s="11">
        <f>IF(H55&lt;&gt;"",H55,IFERROR(G55/INDEX(Players!$M$2:$M$124,MATCH(B55,Players!$A$2:$A$124,0)),""))</f>
        <v/>
      </c>
    </row>
    <row r="56">
      <c r="A56" t="inlineStr">
        <is>
          <t>75r40osa6cjt3o0|Nuke</t>
        </is>
      </c>
      <c r="B56" t="inlineStr">
        <is>
          <t>75r40osa6cjt3o0</t>
        </is>
      </c>
      <c r="C56" t="inlineStr">
        <is>
          <t>Boombl4</t>
        </is>
      </c>
      <c r="D56" t="inlineStr">
        <is>
          <t>CS2</t>
        </is>
      </c>
      <c r="E56" t="inlineStr">
        <is>
          <t>Nuke</t>
        </is>
      </c>
      <c r="F56" t="n">
        <v>5</v>
      </c>
      <c r="G56" t="n">
        <v>11.8</v>
      </c>
      <c r="H56" t="n">
        <v>0.54</v>
      </c>
      <c r="I56" s="8" t="n">
        <v>0.475</v>
      </c>
      <c r="J56" t="n">
        <v>0.84</v>
      </c>
      <c r="K56" s="11">
        <f>IF(H56&lt;&gt;"",H56,IFERROR(G56/INDEX(Players!$M$2:$M$124,MATCH(B56,Players!$A$2:$A$124,0)),""))</f>
        <v/>
      </c>
    </row>
    <row r="57">
      <c r="A57" t="inlineStr">
        <is>
          <t>75r40osa6cjt3o0|Dust2</t>
        </is>
      </c>
      <c r="B57" t="inlineStr">
        <is>
          <t>75r40osa6cjt3o0</t>
        </is>
      </c>
      <c r="C57" t="inlineStr">
        <is>
          <t>Boombl4</t>
        </is>
      </c>
      <c r="D57" t="inlineStr">
        <is>
          <t>CS2</t>
        </is>
      </c>
      <c r="E57" t="inlineStr">
        <is>
          <t>Dust2</t>
        </is>
      </c>
      <c r="F57" t="n">
        <v>4</v>
      </c>
      <c r="G57" t="n">
        <v>12.3</v>
      </c>
      <c r="H57" t="n">
        <v>0.52</v>
      </c>
      <c r="I57" s="8" t="n">
        <v>0.469</v>
      </c>
      <c r="J57" t="n">
        <v>0.75</v>
      </c>
      <c r="K57" s="11">
        <f>IF(H57&lt;&gt;"",H57,IFERROR(G57/INDEX(Players!$M$2:$M$124,MATCH(B57,Players!$A$2:$A$124,0)),""))</f>
        <v/>
      </c>
    </row>
    <row r="58">
      <c r="A58" t="inlineStr">
        <is>
          <t>75r40osa6cjt3o0|Cache</t>
        </is>
      </c>
      <c r="B58" t="inlineStr">
        <is>
          <t>75r40osa6cjt3o0</t>
        </is>
      </c>
      <c r="C58" t="inlineStr">
        <is>
          <t>Boombl4</t>
        </is>
      </c>
      <c r="D58" t="inlineStr">
        <is>
          <t>CS2</t>
        </is>
      </c>
      <c r="E58" t="inlineStr">
        <is>
          <t>Cache</t>
        </is>
      </c>
      <c r="F58" t="n">
        <v>4</v>
      </c>
      <c r="G58" t="n">
        <v>13</v>
      </c>
      <c r="H58" t="n">
        <v>0.52</v>
      </c>
      <c r="I58" s="8" t="n">
        <v>0.481</v>
      </c>
      <c r="J58" t="n">
        <v>0.74</v>
      </c>
      <c r="K58" s="11">
        <f>IF(H58&lt;&gt;"",H58,IFERROR(G58/INDEX(Players!$M$2:$M$124,MATCH(B58,Players!$A$2:$A$124,0)),""))</f>
        <v/>
      </c>
    </row>
    <row r="59">
      <c r="A59" t="inlineStr">
        <is>
          <t>ib0ui40iou8m5h8|Nuke</t>
        </is>
      </c>
      <c r="B59" t="inlineStr">
        <is>
          <t>ib0ui40iou8m5h8</t>
        </is>
      </c>
      <c r="C59" t="inlineStr">
        <is>
          <t>Brilliance</t>
        </is>
      </c>
      <c r="D59" t="inlineStr">
        <is>
          <t>CS2</t>
        </is>
      </c>
      <c r="E59" t="inlineStr">
        <is>
          <t>Nuke</t>
        </is>
      </c>
      <c r="F59" t="n">
        <v>10</v>
      </c>
      <c r="G59" t="n">
        <v>13</v>
      </c>
      <c r="H59" t="n">
        <v>0.57</v>
      </c>
      <c r="I59" s="8" t="n">
        <v>0.6</v>
      </c>
      <c r="J59" t="n">
        <v>0.78</v>
      </c>
      <c r="K59" s="11">
        <f>IF(H59&lt;&gt;"",H59,IFERROR(G59/INDEX(Players!$M$2:$M$124,MATCH(B59,Players!$A$2:$A$124,0)),""))</f>
        <v/>
      </c>
    </row>
    <row r="60">
      <c r="A60" t="inlineStr">
        <is>
          <t>ib0ui40iou8m5h8|Anubis</t>
        </is>
      </c>
      <c r="B60" t="inlineStr">
        <is>
          <t>ib0ui40iou8m5h8</t>
        </is>
      </c>
      <c r="C60" t="inlineStr">
        <is>
          <t>Brilliance</t>
        </is>
      </c>
      <c r="D60" t="inlineStr">
        <is>
          <t>CS2</t>
        </is>
      </c>
      <c r="E60" t="inlineStr">
        <is>
          <t>Anubis</t>
        </is>
      </c>
      <c r="F60" t="n">
        <v>8</v>
      </c>
      <c r="G60" t="n">
        <v>12.5</v>
      </c>
      <c r="H60" t="n">
        <v>0.67</v>
      </c>
      <c r="I60" s="8" t="n">
        <v>0.65</v>
      </c>
      <c r="J60" t="n">
        <v>1.09</v>
      </c>
      <c r="K60" s="11">
        <f>IF(H60&lt;&gt;"",H60,IFERROR(G60/INDEX(Players!$M$2:$M$124,MATCH(B60,Players!$A$2:$A$124,0)),""))</f>
        <v/>
      </c>
    </row>
    <row r="61">
      <c r="A61" t="inlineStr">
        <is>
          <t>ib0ui40iou8m5h8|Ancient</t>
        </is>
      </c>
      <c r="B61" t="inlineStr">
        <is>
          <t>ib0ui40iou8m5h8</t>
        </is>
      </c>
      <c r="C61" t="inlineStr">
        <is>
          <t>Brilliance</t>
        </is>
      </c>
      <c r="D61" t="inlineStr">
        <is>
          <t>CS2</t>
        </is>
      </c>
      <c r="E61" t="inlineStr">
        <is>
          <t>Ancient</t>
        </is>
      </c>
      <c r="F61" t="n">
        <v>7</v>
      </c>
      <c r="G61" t="n">
        <v>12.4</v>
      </c>
      <c r="H61" t="n">
        <v>0.57</v>
      </c>
      <c r="I61" s="8" t="n">
        <v>0.506</v>
      </c>
      <c r="J61" t="n">
        <v>0.77</v>
      </c>
      <c r="K61" s="11">
        <f>IF(H61&lt;&gt;"",H61,IFERROR(G61/INDEX(Players!$M$2:$M$124,MATCH(B61,Players!$A$2:$A$124,0)),""))</f>
        <v/>
      </c>
    </row>
    <row r="62">
      <c r="A62" t="inlineStr">
        <is>
          <t>ib0ui40iou8m5h8|Dust2</t>
        </is>
      </c>
      <c r="B62" t="inlineStr">
        <is>
          <t>ib0ui40iou8m5h8</t>
        </is>
      </c>
      <c r="C62" t="inlineStr">
        <is>
          <t>Brilliance</t>
        </is>
      </c>
      <c r="D62" t="inlineStr">
        <is>
          <t>CS2</t>
        </is>
      </c>
      <c r="E62" t="inlineStr">
        <is>
          <t>Dust2</t>
        </is>
      </c>
      <c r="F62" t="n">
        <v>4</v>
      </c>
      <c r="G62" t="n">
        <v>11</v>
      </c>
      <c r="H62" t="n">
        <v>0.5</v>
      </c>
      <c r="I62" s="8" t="n">
        <v>0.5679999999999999</v>
      </c>
      <c r="J62" t="n">
        <v>0.67</v>
      </c>
      <c r="K62" s="11">
        <f>IF(H62&lt;&gt;"",H62,IFERROR(G62/INDEX(Players!$M$2:$M$124,MATCH(B62,Players!$A$2:$A$124,0)),""))</f>
        <v/>
      </c>
    </row>
    <row r="63">
      <c r="A63" t="inlineStr">
        <is>
          <t>ib0ui40iou8m5h8|Mirage</t>
        </is>
      </c>
      <c r="B63" t="inlineStr">
        <is>
          <t>ib0ui40iou8m5h8</t>
        </is>
      </c>
      <c r="C63" t="inlineStr">
        <is>
          <t>Brilliance</t>
        </is>
      </c>
      <c r="D63" t="inlineStr">
        <is>
          <t>CS2</t>
        </is>
      </c>
      <c r="E63" t="inlineStr">
        <is>
          <t>Mirage</t>
        </is>
      </c>
      <c r="F63" t="n">
        <v>3</v>
      </c>
      <c r="G63" t="n">
        <v>16</v>
      </c>
      <c r="H63" t="n">
        <v>0.59</v>
      </c>
      <c r="I63" s="8" t="n">
        <v>0.458</v>
      </c>
      <c r="J63" t="n">
        <v>0.83</v>
      </c>
      <c r="K63" s="11">
        <f>IF(H63&lt;&gt;"",H63,IFERROR(G63/INDEX(Players!$M$2:$M$124,MATCH(B63,Players!$A$2:$A$124,0)),""))</f>
        <v/>
      </c>
    </row>
    <row r="64">
      <c r="A64" t="inlineStr">
        <is>
          <t>ib0ui40iou8m5h8|Inferno</t>
        </is>
      </c>
      <c r="B64" t="inlineStr">
        <is>
          <t>ib0ui40iou8m5h8</t>
        </is>
      </c>
      <c r="C64" t="inlineStr">
        <is>
          <t>Brilliance</t>
        </is>
      </c>
      <c r="D64" t="inlineStr">
        <is>
          <t>CS2</t>
        </is>
      </c>
      <c r="E64" t="inlineStr">
        <is>
          <t>Inferno</t>
        </is>
      </c>
      <c r="F64" t="n">
        <v>2</v>
      </c>
      <c r="G64" t="n">
        <v>11</v>
      </c>
      <c r="H64" t="n">
        <v>0.52</v>
      </c>
      <c r="I64" s="8" t="n">
        <v>0.727</v>
      </c>
      <c r="J64" t="n">
        <v>0.76</v>
      </c>
      <c r="K64" s="11">
        <f>IF(H64&lt;&gt;"",H64,IFERROR(G64/INDEX(Players!$M$2:$M$124,MATCH(B64,Players!$A$2:$A$124,0)),""))</f>
        <v/>
      </c>
    </row>
    <row r="65">
      <c r="A65" t="inlineStr">
        <is>
          <t>ib0ui40iou8m5h8|Cache</t>
        </is>
      </c>
      <c r="B65" t="inlineStr">
        <is>
          <t>ib0ui40iou8m5h8</t>
        </is>
      </c>
      <c r="C65" t="inlineStr">
        <is>
          <t>Brilliance</t>
        </is>
      </c>
      <c r="D65" t="inlineStr">
        <is>
          <t>CS2</t>
        </is>
      </c>
      <c r="E65" t="inlineStr">
        <is>
          <t>Cache</t>
        </is>
      </c>
      <c r="F65" t="n">
        <v>1</v>
      </c>
      <c r="G65" t="n">
        <v>16</v>
      </c>
      <c r="H65" t="n">
        <v>1</v>
      </c>
      <c r="I65" s="8" t="n">
        <v>0.6879999999999999</v>
      </c>
      <c r="J65" t="n">
        <v>2.29</v>
      </c>
      <c r="K65" s="11">
        <f>IF(H65&lt;&gt;"",H65,IFERROR(G65/INDEX(Players!$M$2:$M$124,MATCH(B65,Players!$A$2:$A$124,0)),""))</f>
        <v/>
      </c>
    </row>
    <row r="66">
      <c r="A66" t="inlineStr">
        <is>
          <t>x1hr6fp37qryd4d|Mirage</t>
        </is>
      </c>
      <c r="B66" t="inlineStr">
        <is>
          <t>x1hr6fp37qryd4d</t>
        </is>
      </c>
      <c r="C66" t="inlineStr">
        <is>
          <t>Buda</t>
        </is>
      </c>
      <c r="D66" t="inlineStr">
        <is>
          <t>CS2</t>
        </is>
      </c>
      <c r="E66" t="inlineStr">
        <is>
          <t>Mirage</t>
        </is>
      </c>
      <c r="F66" t="n">
        <v>10</v>
      </c>
      <c r="G66" t="n">
        <v>13.8</v>
      </c>
      <c r="H66" t="n">
        <v>0.65</v>
      </c>
      <c r="I66" s="8" t="n">
        <v>0.522</v>
      </c>
      <c r="J66" t="n">
        <v>0.86</v>
      </c>
      <c r="K66" s="11">
        <f>IF(H66&lt;&gt;"",H66,IFERROR(G66/INDEX(Players!$M$2:$M$124,MATCH(B66,Players!$A$2:$A$124,0)),""))</f>
        <v/>
      </c>
    </row>
    <row r="67">
      <c r="A67" t="inlineStr">
        <is>
          <t>x1hr6fp37qryd4d|Inferno</t>
        </is>
      </c>
      <c r="B67" t="inlineStr">
        <is>
          <t>x1hr6fp37qryd4d</t>
        </is>
      </c>
      <c r="C67" t="inlineStr">
        <is>
          <t>Buda</t>
        </is>
      </c>
      <c r="D67" t="inlineStr">
        <is>
          <t>CS2</t>
        </is>
      </c>
      <c r="E67" t="inlineStr">
        <is>
          <t>Inferno</t>
        </is>
      </c>
      <c r="F67" t="n">
        <v>6</v>
      </c>
      <c r="G67" t="n">
        <v>16.5</v>
      </c>
      <c r="H67" t="n">
        <v>0.68</v>
      </c>
      <c r="I67" s="8" t="n">
        <v>0.434</v>
      </c>
      <c r="J67" t="n">
        <v>1.14</v>
      </c>
      <c r="K67" s="11">
        <f>IF(H67&lt;&gt;"",H67,IFERROR(G67/INDEX(Players!$M$2:$M$124,MATCH(B67,Players!$A$2:$A$124,0)),""))</f>
        <v/>
      </c>
    </row>
    <row r="68">
      <c r="A68" t="inlineStr">
        <is>
          <t>x1hr6fp37qryd4d|Dust2</t>
        </is>
      </c>
      <c r="B68" t="inlineStr">
        <is>
          <t>x1hr6fp37qryd4d</t>
        </is>
      </c>
      <c r="C68" t="inlineStr">
        <is>
          <t>Buda</t>
        </is>
      </c>
      <c r="D68" t="inlineStr">
        <is>
          <t>CS2</t>
        </is>
      </c>
      <c r="E68" t="inlineStr">
        <is>
          <t>Dust2</t>
        </is>
      </c>
      <c r="F68" t="n">
        <v>5</v>
      </c>
      <c r="G68" t="n">
        <v>14</v>
      </c>
      <c r="H68" t="n">
        <v>0.65</v>
      </c>
      <c r="I68" s="8" t="n">
        <v>0.5</v>
      </c>
      <c r="J68" t="n">
        <v>0.91</v>
      </c>
      <c r="K68" s="11">
        <f>IF(H68&lt;&gt;"",H68,IFERROR(G68/INDEX(Players!$M$2:$M$124,MATCH(B68,Players!$A$2:$A$124,0)),""))</f>
        <v/>
      </c>
    </row>
    <row r="69">
      <c r="A69" t="inlineStr">
        <is>
          <t>x1hr6fp37qryd4d|Ancient</t>
        </is>
      </c>
      <c r="B69" t="inlineStr">
        <is>
          <t>x1hr6fp37qryd4d</t>
        </is>
      </c>
      <c r="C69" t="inlineStr">
        <is>
          <t>Buda</t>
        </is>
      </c>
      <c r="D69" t="inlineStr">
        <is>
          <t>CS2</t>
        </is>
      </c>
      <c r="E69" t="inlineStr">
        <is>
          <t>Ancient</t>
        </is>
      </c>
      <c r="F69" t="n">
        <v>5</v>
      </c>
      <c r="G69" t="n">
        <v>10.8</v>
      </c>
      <c r="H69" t="n">
        <v>0.51</v>
      </c>
      <c r="I69" s="8" t="n">
        <v>0.444</v>
      </c>
      <c r="J69" t="n">
        <v>0.7</v>
      </c>
      <c r="K69" s="11">
        <f>IF(H69&lt;&gt;"",H69,IFERROR(G69/INDEX(Players!$M$2:$M$124,MATCH(B69,Players!$A$2:$A$124,0)),""))</f>
        <v/>
      </c>
    </row>
    <row r="70">
      <c r="A70" t="inlineStr">
        <is>
          <t>x1hr6fp37qryd4d|Cache</t>
        </is>
      </c>
      <c r="B70" t="inlineStr">
        <is>
          <t>x1hr6fp37qryd4d</t>
        </is>
      </c>
      <c r="C70" t="inlineStr">
        <is>
          <t>Buda</t>
        </is>
      </c>
      <c r="D70" t="inlineStr">
        <is>
          <t>CS2</t>
        </is>
      </c>
      <c r="E70" t="inlineStr">
        <is>
          <t>Cache</t>
        </is>
      </c>
      <c r="F70" t="n">
        <v>4</v>
      </c>
      <c r="G70" t="n">
        <v>16</v>
      </c>
      <c r="H70" t="n">
        <v>0.74</v>
      </c>
      <c r="I70" s="8" t="n">
        <v>0.547</v>
      </c>
      <c r="J70" t="n">
        <v>1.02</v>
      </c>
      <c r="K70" s="11">
        <f>IF(H70&lt;&gt;"",H70,IFERROR(G70/INDEX(Players!$M$2:$M$124,MATCH(B70,Players!$A$2:$A$124,0)),""))</f>
        <v/>
      </c>
    </row>
    <row r="71">
      <c r="A71" t="inlineStr">
        <is>
          <t>x1hr6fp37qryd4d|Nuke</t>
        </is>
      </c>
      <c r="B71" t="inlineStr">
        <is>
          <t>x1hr6fp37qryd4d</t>
        </is>
      </c>
      <c r="C71" t="inlineStr">
        <is>
          <t>Buda</t>
        </is>
      </c>
      <c r="D71" t="inlineStr">
        <is>
          <t>CS2</t>
        </is>
      </c>
      <c r="E71" t="inlineStr">
        <is>
          <t>Nuke</t>
        </is>
      </c>
      <c r="F71" t="n">
        <v>3</v>
      </c>
      <c r="G71" t="n">
        <v>8.699999999999999</v>
      </c>
      <c r="H71" t="n">
        <v>0.43</v>
      </c>
      <c r="I71" s="8" t="n">
        <v>0.5</v>
      </c>
      <c r="J71" t="n">
        <v>0.62</v>
      </c>
      <c r="K71" s="11">
        <f>IF(H71&lt;&gt;"",H71,IFERROR(G71/INDEX(Players!$M$2:$M$124,MATCH(B71,Players!$A$2:$A$124,0)),""))</f>
        <v/>
      </c>
    </row>
    <row r="72">
      <c r="A72" t="inlineStr">
        <is>
          <t>px5zu5wf6psxdo7|Mirage</t>
        </is>
      </c>
      <c r="B72" t="inlineStr">
        <is>
          <t>px5zu5wf6psxdo7</t>
        </is>
      </c>
      <c r="C72" t="inlineStr">
        <is>
          <t>cass1n</t>
        </is>
      </c>
      <c r="D72" t="inlineStr">
        <is>
          <t>CS2</t>
        </is>
      </c>
      <c r="E72" t="inlineStr">
        <is>
          <t>Mirage</t>
        </is>
      </c>
      <c r="F72" t="n">
        <v>10</v>
      </c>
      <c r="G72" t="n">
        <v>13.7</v>
      </c>
      <c r="H72" t="n">
        <v>0.64</v>
      </c>
      <c r="I72" s="8" t="n">
        <v>0.387</v>
      </c>
      <c r="J72" t="n">
        <v>1.17</v>
      </c>
      <c r="K72" s="11">
        <f>IF(H72&lt;&gt;"",H72,IFERROR(G72/INDEX(Players!$M$2:$M$124,MATCH(B72,Players!$A$2:$A$124,0)),""))</f>
        <v/>
      </c>
    </row>
    <row r="73">
      <c r="A73" t="inlineStr">
        <is>
          <t>px5zu5wf6psxdo7|Inferno</t>
        </is>
      </c>
      <c r="B73" t="inlineStr">
        <is>
          <t>px5zu5wf6psxdo7</t>
        </is>
      </c>
      <c r="C73" t="inlineStr">
        <is>
          <t>cass1n</t>
        </is>
      </c>
      <c r="D73" t="inlineStr">
        <is>
          <t>CS2</t>
        </is>
      </c>
      <c r="E73" t="inlineStr">
        <is>
          <t>Inferno</t>
        </is>
      </c>
      <c r="F73" t="n">
        <v>6</v>
      </c>
      <c r="G73" t="n">
        <v>15.3</v>
      </c>
      <c r="H73" t="n">
        <v>0.63</v>
      </c>
      <c r="I73" s="8" t="n">
        <v>0.315</v>
      </c>
      <c r="J73" t="n">
        <v>1.19</v>
      </c>
      <c r="K73" s="11">
        <f>IF(H73&lt;&gt;"",H73,IFERROR(G73/INDEX(Players!$M$2:$M$124,MATCH(B73,Players!$A$2:$A$124,0)),""))</f>
        <v/>
      </c>
    </row>
    <row r="74">
      <c r="A74" t="inlineStr">
        <is>
          <t>px5zu5wf6psxdo7|Dust2</t>
        </is>
      </c>
      <c r="B74" t="inlineStr">
        <is>
          <t>px5zu5wf6psxdo7</t>
        </is>
      </c>
      <c r="C74" t="inlineStr">
        <is>
          <t>cass1n</t>
        </is>
      </c>
      <c r="D74" t="inlineStr">
        <is>
          <t>CS2</t>
        </is>
      </c>
      <c r="E74" t="inlineStr">
        <is>
          <t>Dust2</t>
        </is>
      </c>
      <c r="F74" t="n">
        <v>5</v>
      </c>
      <c r="G74" t="n">
        <v>13.6</v>
      </c>
      <c r="H74" t="n">
        <v>0.63</v>
      </c>
      <c r="I74" s="8" t="n">
        <v>0.382</v>
      </c>
      <c r="J74" t="n">
        <v>1.15</v>
      </c>
      <c r="K74" s="11">
        <f>IF(H74&lt;&gt;"",H74,IFERROR(G74/INDEX(Players!$M$2:$M$124,MATCH(B74,Players!$A$2:$A$124,0)),""))</f>
        <v/>
      </c>
    </row>
    <row r="75">
      <c r="A75" t="inlineStr">
        <is>
          <t>px5zu5wf6psxdo7|Ancient</t>
        </is>
      </c>
      <c r="B75" t="inlineStr">
        <is>
          <t>px5zu5wf6psxdo7</t>
        </is>
      </c>
      <c r="C75" t="inlineStr">
        <is>
          <t>cass1n</t>
        </is>
      </c>
      <c r="D75" t="inlineStr">
        <is>
          <t>CS2</t>
        </is>
      </c>
      <c r="E75" t="inlineStr">
        <is>
          <t>Ancient</t>
        </is>
      </c>
      <c r="F75" t="n">
        <v>5</v>
      </c>
      <c r="G75" t="n">
        <v>12.2</v>
      </c>
      <c r="H75" t="n">
        <v>0.58</v>
      </c>
      <c r="I75" s="8" t="n">
        <v>0.41</v>
      </c>
      <c r="J75" t="n">
        <v>1.05</v>
      </c>
      <c r="K75" s="11">
        <f>IF(H75&lt;&gt;"",H75,IFERROR(G75/INDEX(Players!$M$2:$M$124,MATCH(B75,Players!$A$2:$A$124,0)),""))</f>
        <v/>
      </c>
    </row>
    <row r="76">
      <c r="A76" t="inlineStr">
        <is>
          <t>px5zu5wf6psxdo7|Cache</t>
        </is>
      </c>
      <c r="B76" t="inlineStr">
        <is>
          <t>px5zu5wf6psxdo7</t>
        </is>
      </c>
      <c r="C76" t="inlineStr">
        <is>
          <t>cass1n</t>
        </is>
      </c>
      <c r="D76" t="inlineStr">
        <is>
          <t>CS2</t>
        </is>
      </c>
      <c r="E76" t="inlineStr">
        <is>
          <t>Cache</t>
        </is>
      </c>
      <c r="F76" t="n">
        <v>4</v>
      </c>
      <c r="G76" t="n">
        <v>13.8</v>
      </c>
      <c r="H76" t="n">
        <v>0.63</v>
      </c>
      <c r="I76" s="8" t="n">
        <v>0.364</v>
      </c>
      <c r="J76" t="n">
        <v>1.1</v>
      </c>
      <c r="K76" s="11">
        <f>IF(H76&lt;&gt;"",H76,IFERROR(G76/INDEX(Players!$M$2:$M$124,MATCH(B76,Players!$A$2:$A$124,0)),""))</f>
        <v/>
      </c>
    </row>
    <row r="77">
      <c r="A77" t="inlineStr">
        <is>
          <t>px5zu5wf6psxdo7|Nuke</t>
        </is>
      </c>
      <c r="B77" t="inlineStr">
        <is>
          <t>px5zu5wf6psxdo7</t>
        </is>
      </c>
      <c r="C77" t="inlineStr">
        <is>
          <t>cass1n</t>
        </is>
      </c>
      <c r="D77" t="inlineStr">
        <is>
          <t>CS2</t>
        </is>
      </c>
      <c r="E77" t="inlineStr">
        <is>
          <t>Nuke</t>
        </is>
      </c>
      <c r="F77" t="n">
        <v>3</v>
      </c>
      <c r="G77" t="n">
        <v>7.7</v>
      </c>
      <c r="H77" t="n">
        <v>0.38</v>
      </c>
      <c r="I77" s="8" t="n">
        <v>0.435</v>
      </c>
      <c r="J77" t="n">
        <v>0.57</v>
      </c>
      <c r="K77" s="11">
        <f>IF(H77&lt;&gt;"",H77,IFERROR(G77/INDEX(Players!$M$2:$M$124,MATCH(B77,Players!$A$2:$A$124,0)),""))</f>
        <v/>
      </c>
    </row>
    <row r="78">
      <c r="A78" t="inlineStr">
        <is>
          <t>01464eymprqfx0w|Inferno</t>
        </is>
      </c>
      <c r="B78" t="inlineStr">
        <is>
          <t>01464eymprqfx0w</t>
        </is>
      </c>
      <c r="C78" t="inlineStr">
        <is>
          <t>cobrazera</t>
        </is>
      </c>
      <c r="D78" t="inlineStr">
        <is>
          <t>CS2</t>
        </is>
      </c>
      <c r="E78" t="inlineStr">
        <is>
          <t>Inferno</t>
        </is>
      </c>
      <c r="F78" t="n">
        <v>9</v>
      </c>
      <c r="G78" t="n">
        <v>16</v>
      </c>
      <c r="H78" t="n">
        <v>0.71</v>
      </c>
      <c r="I78" s="8" t="n">
        <v>0.5489999999999999</v>
      </c>
      <c r="J78" t="n">
        <v>1.07</v>
      </c>
      <c r="K78" s="11">
        <f>IF(H78&lt;&gt;"",H78,IFERROR(G78/INDEX(Players!$M$2:$M$124,MATCH(B78,Players!$A$2:$A$124,0)),""))</f>
        <v/>
      </c>
    </row>
    <row r="79">
      <c r="A79" t="inlineStr">
        <is>
          <t>01464eymprqfx0w|Mirage</t>
        </is>
      </c>
      <c r="B79" t="inlineStr">
        <is>
          <t>01464eymprqfx0w</t>
        </is>
      </c>
      <c r="C79" t="inlineStr">
        <is>
          <t>cobrazera</t>
        </is>
      </c>
      <c r="D79" t="inlineStr">
        <is>
          <t>CS2</t>
        </is>
      </c>
      <c r="E79" t="inlineStr">
        <is>
          <t>Mirage</t>
        </is>
      </c>
      <c r="F79" t="n">
        <v>9</v>
      </c>
      <c r="G79" t="n">
        <v>12.9</v>
      </c>
      <c r="H79" t="n">
        <v>0.6</v>
      </c>
      <c r="I79" s="8" t="n">
        <v>0.655</v>
      </c>
      <c r="J79" t="n">
        <v>0.83</v>
      </c>
      <c r="K79" s="11">
        <f>IF(H79&lt;&gt;"",H79,IFERROR(G79/INDEX(Players!$M$2:$M$124,MATCH(B79,Players!$A$2:$A$124,0)),""))</f>
        <v/>
      </c>
    </row>
    <row r="80">
      <c r="A80" t="inlineStr">
        <is>
          <t>01464eymprqfx0w|Ancient</t>
        </is>
      </c>
      <c r="B80" t="inlineStr">
        <is>
          <t>01464eymprqfx0w</t>
        </is>
      </c>
      <c r="C80" t="inlineStr">
        <is>
          <t>cobrazera</t>
        </is>
      </c>
      <c r="D80" t="inlineStr">
        <is>
          <t>CS2</t>
        </is>
      </c>
      <c r="E80" t="inlineStr">
        <is>
          <t>Ancient</t>
        </is>
      </c>
      <c r="F80" t="n">
        <v>6</v>
      </c>
      <c r="G80" t="n">
        <v>15.5</v>
      </c>
      <c r="H80" t="n">
        <v>0.7</v>
      </c>
      <c r="I80" s="8" t="n">
        <v>0.602</v>
      </c>
      <c r="J80" t="n">
        <v>1.11</v>
      </c>
      <c r="K80" s="11">
        <f>IF(H80&lt;&gt;"",H80,IFERROR(G80/INDEX(Players!$M$2:$M$124,MATCH(B80,Players!$A$2:$A$124,0)),""))</f>
        <v/>
      </c>
    </row>
    <row r="81">
      <c r="A81" t="inlineStr">
        <is>
          <t>01464eymprqfx0w|Nuke</t>
        </is>
      </c>
      <c r="B81" t="inlineStr">
        <is>
          <t>01464eymprqfx0w</t>
        </is>
      </c>
      <c r="C81" t="inlineStr">
        <is>
          <t>cobrazera</t>
        </is>
      </c>
      <c r="D81" t="inlineStr">
        <is>
          <t>CS2</t>
        </is>
      </c>
      <c r="E81" t="inlineStr">
        <is>
          <t>Nuke</t>
        </is>
      </c>
      <c r="F81" t="n">
        <v>5</v>
      </c>
      <c r="G81" t="n">
        <v>17.4</v>
      </c>
      <c r="H81" t="n">
        <v>0.83</v>
      </c>
      <c r="I81" s="8" t="n">
        <v>0.5629999999999999</v>
      </c>
      <c r="J81" t="n">
        <v>1.28</v>
      </c>
      <c r="K81" s="11">
        <f>IF(H81&lt;&gt;"",H81,IFERROR(G81/INDEX(Players!$M$2:$M$124,MATCH(B81,Players!$A$2:$A$124,0)),""))</f>
        <v/>
      </c>
    </row>
    <row r="82">
      <c r="A82" t="inlineStr">
        <is>
          <t>01464eymprqfx0w|Dust2</t>
        </is>
      </c>
      <c r="B82" t="inlineStr">
        <is>
          <t>01464eymprqfx0w</t>
        </is>
      </c>
      <c r="C82" t="inlineStr">
        <is>
          <t>cobrazera</t>
        </is>
      </c>
      <c r="D82" t="inlineStr">
        <is>
          <t>CS2</t>
        </is>
      </c>
      <c r="E82" t="inlineStr">
        <is>
          <t>Dust2</t>
        </is>
      </c>
      <c r="F82" t="n">
        <v>5</v>
      </c>
      <c r="G82" t="n">
        <v>13.4</v>
      </c>
      <c r="H82" t="n">
        <v>0.6</v>
      </c>
      <c r="I82" s="8" t="n">
        <v>0.612</v>
      </c>
      <c r="J82" t="n">
        <v>1</v>
      </c>
      <c r="K82" s="11">
        <f>IF(H82&lt;&gt;"",H82,IFERROR(G82/INDEX(Players!$M$2:$M$124,MATCH(B82,Players!$A$2:$A$124,0)),""))</f>
        <v/>
      </c>
    </row>
    <row r="83">
      <c r="A83" t="inlineStr">
        <is>
          <t>01464eymprqfx0w|Overpass</t>
        </is>
      </c>
      <c r="B83" t="inlineStr">
        <is>
          <t>01464eymprqfx0w</t>
        </is>
      </c>
      <c r="C83" t="inlineStr">
        <is>
          <t>cobrazera</t>
        </is>
      </c>
      <c r="D83" t="inlineStr">
        <is>
          <t>CS2</t>
        </is>
      </c>
      <c r="E83" t="inlineStr">
        <is>
          <t>Overpass</t>
        </is>
      </c>
      <c r="F83" t="n">
        <v>2</v>
      </c>
      <c r="G83" t="n">
        <v>15.5</v>
      </c>
      <c r="H83" t="n">
        <v>0.84</v>
      </c>
      <c r="I83" s="8" t="n">
        <v>0.645</v>
      </c>
      <c r="J83" t="n">
        <v>1.24</v>
      </c>
      <c r="K83" s="11">
        <f>IF(H83&lt;&gt;"",H83,IFERROR(G83/INDEX(Players!$M$2:$M$124,MATCH(B83,Players!$A$2:$A$124,0)),""))</f>
        <v/>
      </c>
    </row>
    <row r="84">
      <c r="A84" t="inlineStr">
        <is>
          <t>01464eymprqfx0w|Cache</t>
        </is>
      </c>
      <c r="B84" t="inlineStr">
        <is>
          <t>01464eymprqfx0w</t>
        </is>
      </c>
      <c r="C84" t="inlineStr">
        <is>
          <t>cobrazera</t>
        </is>
      </c>
      <c r="D84" t="inlineStr">
        <is>
          <t>CS2</t>
        </is>
      </c>
      <c r="E84" t="inlineStr">
        <is>
          <t>Cache</t>
        </is>
      </c>
      <c r="F84" t="n">
        <v>2</v>
      </c>
      <c r="G84" t="n">
        <v>13</v>
      </c>
      <c r="H84" t="n">
        <v>0.68</v>
      </c>
      <c r="I84" s="8" t="n">
        <v>0.5379999999999999</v>
      </c>
      <c r="J84" t="n">
        <v>0.93</v>
      </c>
      <c r="K84" s="11">
        <f>IF(H84&lt;&gt;"",H84,IFERROR(G84/INDEX(Players!$M$2:$M$124,MATCH(B84,Players!$A$2:$A$124,0)),""))</f>
        <v/>
      </c>
    </row>
    <row r="85">
      <c r="A85" t="inlineStr">
        <is>
          <t>0hbeigv9v9oomi7|Dust2</t>
        </is>
      </c>
      <c r="B85" t="inlineStr">
        <is>
          <t>0hbeigv9v9oomi7</t>
        </is>
      </c>
      <c r="C85" t="inlineStr">
        <is>
          <t>cronuss</t>
        </is>
      </c>
      <c r="D85" t="inlineStr">
        <is>
          <t>CS2</t>
        </is>
      </c>
      <c r="E85" t="inlineStr">
        <is>
          <t>Dust2</t>
        </is>
      </c>
      <c r="F85" t="n">
        <v>13</v>
      </c>
      <c r="G85" t="n">
        <v>15.3</v>
      </c>
      <c r="H85" t="n">
        <v>0.65</v>
      </c>
      <c r="I85" s="8" t="n">
        <v>0.6879999999999999</v>
      </c>
      <c r="J85" t="n">
        <v>0.86</v>
      </c>
      <c r="K85" s="11">
        <f>IF(H85&lt;&gt;"",H85,IFERROR(G85/INDEX(Players!$M$2:$M$124,MATCH(B85,Players!$A$2:$A$124,0)),""))</f>
        <v/>
      </c>
    </row>
    <row r="86">
      <c r="A86" t="inlineStr">
        <is>
          <t>0hbeigv9v9oomi7|Mirage</t>
        </is>
      </c>
      <c r="B86" t="inlineStr">
        <is>
          <t>0hbeigv9v9oomi7</t>
        </is>
      </c>
      <c r="C86" t="inlineStr">
        <is>
          <t>cronuss</t>
        </is>
      </c>
      <c r="D86" t="inlineStr">
        <is>
          <t>CS2</t>
        </is>
      </c>
      <c r="E86" t="inlineStr">
        <is>
          <t>Mirage</t>
        </is>
      </c>
      <c r="F86" t="n">
        <v>7</v>
      </c>
      <c r="G86" t="n">
        <v>17</v>
      </c>
      <c r="H86" t="n">
        <v>0.7</v>
      </c>
      <c r="I86" s="8" t="n">
        <v>0.605</v>
      </c>
      <c r="J86" t="n">
        <v>0.97</v>
      </c>
      <c r="K86" s="11">
        <f>IF(H86&lt;&gt;"",H86,IFERROR(G86/INDEX(Players!$M$2:$M$124,MATCH(B86,Players!$A$2:$A$124,0)),""))</f>
        <v/>
      </c>
    </row>
    <row r="87">
      <c r="A87" t="inlineStr">
        <is>
          <t>0hbeigv9v9oomi7|Anubis</t>
        </is>
      </c>
      <c r="B87" t="inlineStr">
        <is>
          <t>0hbeigv9v9oomi7</t>
        </is>
      </c>
      <c r="C87" t="inlineStr">
        <is>
          <t>cronuss</t>
        </is>
      </c>
      <c r="D87" t="inlineStr">
        <is>
          <t>CS2</t>
        </is>
      </c>
      <c r="E87" t="inlineStr">
        <is>
          <t>Anubis</t>
        </is>
      </c>
      <c r="F87" t="n">
        <v>5</v>
      </c>
      <c r="G87" t="n">
        <v>22.4</v>
      </c>
      <c r="H87" t="n">
        <v>0.84</v>
      </c>
      <c r="I87" s="8" t="n">
        <v>0.625</v>
      </c>
      <c r="J87" t="n">
        <v>1.1</v>
      </c>
      <c r="K87" s="11">
        <f>IF(H87&lt;&gt;"",H87,IFERROR(G87/INDEX(Players!$M$2:$M$124,MATCH(B87,Players!$A$2:$A$124,0)),""))</f>
        <v/>
      </c>
    </row>
    <row r="88">
      <c r="A88" t="inlineStr">
        <is>
          <t>0hbeigv9v9oomi7|Inferno</t>
        </is>
      </c>
      <c r="B88" t="inlineStr">
        <is>
          <t>0hbeigv9v9oomi7</t>
        </is>
      </c>
      <c r="C88" t="inlineStr">
        <is>
          <t>cronuss</t>
        </is>
      </c>
      <c r="D88" t="inlineStr">
        <is>
          <t>CS2</t>
        </is>
      </c>
      <c r="E88" t="inlineStr">
        <is>
          <t>Inferno</t>
        </is>
      </c>
      <c r="F88" t="n">
        <v>4</v>
      </c>
      <c r="G88" t="n">
        <v>13.8</v>
      </c>
      <c r="H88" t="n">
        <v>0.79</v>
      </c>
      <c r="I88" s="8" t="n">
        <v>0.5820000000000001</v>
      </c>
      <c r="J88" t="n">
        <v>1.06</v>
      </c>
      <c r="K88" s="11">
        <f>IF(H88&lt;&gt;"",H88,IFERROR(G88/INDEX(Players!$M$2:$M$124,MATCH(B88,Players!$A$2:$A$124,0)),""))</f>
        <v/>
      </c>
    </row>
    <row r="89">
      <c r="A89" t="inlineStr">
        <is>
          <t>0hbeigv9v9oomi7|Cache</t>
        </is>
      </c>
      <c r="B89" t="inlineStr">
        <is>
          <t>0hbeigv9v9oomi7</t>
        </is>
      </c>
      <c r="C89" t="inlineStr">
        <is>
          <t>cronuss</t>
        </is>
      </c>
      <c r="D89" t="inlineStr">
        <is>
          <t>CS2</t>
        </is>
      </c>
      <c r="E89" t="inlineStr">
        <is>
          <t>Cache</t>
        </is>
      </c>
      <c r="F89" t="n">
        <v>4</v>
      </c>
      <c r="G89" t="n">
        <v>14.3</v>
      </c>
      <c r="H89" t="n">
        <v>0.71</v>
      </c>
      <c r="I89" s="8" t="n">
        <v>0.596</v>
      </c>
      <c r="J89" t="n">
        <v>0.89</v>
      </c>
      <c r="K89" s="11">
        <f>IF(H89&lt;&gt;"",H89,IFERROR(G89/INDEX(Players!$M$2:$M$124,MATCH(B89,Players!$A$2:$A$124,0)),""))</f>
        <v/>
      </c>
    </row>
    <row r="90">
      <c r="A90" t="inlineStr">
        <is>
          <t>0hbeigv9v9oomi7|Ancient</t>
        </is>
      </c>
      <c r="B90" t="inlineStr">
        <is>
          <t>0hbeigv9v9oomi7</t>
        </is>
      </c>
      <c r="C90" t="inlineStr">
        <is>
          <t>cronuss</t>
        </is>
      </c>
      <c r="D90" t="inlineStr">
        <is>
          <t>CS2</t>
        </is>
      </c>
      <c r="E90" t="inlineStr">
        <is>
          <t>Ancient</t>
        </is>
      </c>
      <c r="F90" t="n">
        <v>4</v>
      </c>
      <c r="G90" t="n">
        <v>13</v>
      </c>
      <c r="H90" t="n">
        <v>0.62</v>
      </c>
      <c r="I90" s="8" t="n">
        <v>0.5579999999999999</v>
      </c>
      <c r="J90" t="n">
        <v>0.75</v>
      </c>
      <c r="K90" s="11">
        <f>IF(H90&lt;&gt;"",H90,IFERROR(G90/INDEX(Players!$M$2:$M$124,MATCH(B90,Players!$A$2:$A$124,0)),""))</f>
        <v/>
      </c>
    </row>
    <row r="91">
      <c r="A91" t="inlineStr">
        <is>
          <t>kgpnwz42wxtq29r|Mirage</t>
        </is>
      </c>
      <c r="B91" t="inlineStr">
        <is>
          <t>kgpnwz42wxtq29r</t>
        </is>
      </c>
      <c r="C91" t="inlineStr">
        <is>
          <t>d1Ledez</t>
        </is>
      </c>
      <c r="D91" t="inlineStr">
        <is>
          <t>CS2</t>
        </is>
      </c>
      <c r="E91" t="inlineStr">
        <is>
          <t>Mirage</t>
        </is>
      </c>
      <c r="F91" t="n">
        <v>11</v>
      </c>
      <c r="G91" t="n">
        <v>14</v>
      </c>
      <c r="H91" t="n">
        <v>0.64</v>
      </c>
      <c r="I91" s="8" t="n">
        <v>0.545</v>
      </c>
      <c r="J91" t="n">
        <v>0.95</v>
      </c>
      <c r="K91" s="11">
        <f>IF(H91&lt;&gt;"",H91,IFERROR(G91/INDEX(Players!$M$2:$M$124,MATCH(B91,Players!$A$2:$A$124,0)),""))</f>
        <v/>
      </c>
    </row>
    <row r="92">
      <c r="A92" t="inlineStr">
        <is>
          <t>kgpnwz42wxtq29r|Anubis</t>
        </is>
      </c>
      <c r="B92" t="inlineStr">
        <is>
          <t>kgpnwz42wxtq29r</t>
        </is>
      </c>
      <c r="C92" t="inlineStr">
        <is>
          <t>d1Ledez</t>
        </is>
      </c>
      <c r="D92" t="inlineStr">
        <is>
          <t>CS2</t>
        </is>
      </c>
      <c r="E92" t="inlineStr">
        <is>
          <t>Anubis</t>
        </is>
      </c>
      <c r="F92" t="n">
        <v>9</v>
      </c>
      <c r="G92" t="n">
        <v>15.4</v>
      </c>
      <c r="H92" t="n">
        <v>0.67</v>
      </c>
      <c r="I92" s="8" t="n">
        <v>0.662</v>
      </c>
      <c r="J92" t="n">
        <v>1.04</v>
      </c>
      <c r="K92" s="11">
        <f>IF(H92&lt;&gt;"",H92,IFERROR(G92/INDEX(Players!$M$2:$M$124,MATCH(B92,Players!$A$2:$A$124,0)),""))</f>
        <v/>
      </c>
    </row>
    <row r="93">
      <c r="A93" t="inlineStr">
        <is>
          <t>kgpnwz42wxtq29r|Ancient</t>
        </is>
      </c>
      <c r="B93" t="inlineStr">
        <is>
          <t>kgpnwz42wxtq29r</t>
        </is>
      </c>
      <c r="C93" t="inlineStr">
        <is>
          <t>d1Ledez</t>
        </is>
      </c>
      <c r="D93" t="inlineStr">
        <is>
          <t>CS2</t>
        </is>
      </c>
      <c r="E93" t="inlineStr">
        <is>
          <t>Ancient</t>
        </is>
      </c>
      <c r="F93" t="n">
        <v>6</v>
      </c>
      <c r="G93" t="n">
        <v>17.8</v>
      </c>
      <c r="H93" t="n">
        <v>0.73</v>
      </c>
      <c r="I93" s="8" t="n">
        <v>0.5329999999999999</v>
      </c>
      <c r="J93" t="n">
        <v>1.11</v>
      </c>
      <c r="K93" s="11">
        <f>IF(H93&lt;&gt;"",H93,IFERROR(G93/INDEX(Players!$M$2:$M$124,MATCH(B93,Players!$A$2:$A$124,0)),""))</f>
        <v/>
      </c>
    </row>
    <row r="94">
      <c r="A94" t="inlineStr">
        <is>
          <t>kgpnwz42wxtq29r|Nuke</t>
        </is>
      </c>
      <c r="B94" t="inlineStr">
        <is>
          <t>kgpnwz42wxtq29r</t>
        </is>
      </c>
      <c r="C94" t="inlineStr">
        <is>
          <t>d1Ledez</t>
        </is>
      </c>
      <c r="D94" t="inlineStr">
        <is>
          <t>CS2</t>
        </is>
      </c>
      <c r="E94" t="inlineStr">
        <is>
          <t>Nuke</t>
        </is>
      </c>
      <c r="F94" t="n">
        <v>5</v>
      </c>
      <c r="G94" t="n">
        <v>16</v>
      </c>
      <c r="H94" t="n">
        <v>0.73</v>
      </c>
      <c r="I94" s="8" t="n">
        <v>0.588</v>
      </c>
      <c r="J94" t="n">
        <v>1.25</v>
      </c>
      <c r="K94" s="11">
        <f>IF(H94&lt;&gt;"",H94,IFERROR(G94/INDEX(Players!$M$2:$M$124,MATCH(B94,Players!$A$2:$A$124,0)),""))</f>
        <v/>
      </c>
    </row>
    <row r="95">
      <c r="A95" t="inlineStr">
        <is>
          <t>kgpnwz42wxtq29r|Dust2</t>
        </is>
      </c>
      <c r="B95" t="inlineStr">
        <is>
          <t>kgpnwz42wxtq29r</t>
        </is>
      </c>
      <c r="C95" t="inlineStr">
        <is>
          <t>d1Ledez</t>
        </is>
      </c>
      <c r="D95" t="inlineStr">
        <is>
          <t>CS2</t>
        </is>
      </c>
      <c r="E95" t="inlineStr">
        <is>
          <t>Dust2</t>
        </is>
      </c>
      <c r="F95" t="n">
        <v>4</v>
      </c>
      <c r="G95" t="n">
        <v>15.8</v>
      </c>
      <c r="H95" t="n">
        <v>0.67</v>
      </c>
      <c r="I95" s="8" t="n">
        <v>0.556</v>
      </c>
      <c r="J95" t="n">
        <v>0.9399999999999999</v>
      </c>
      <c r="K95" s="11">
        <f>IF(H95&lt;&gt;"",H95,IFERROR(G95/INDEX(Players!$M$2:$M$124,MATCH(B95,Players!$A$2:$A$124,0)),""))</f>
        <v/>
      </c>
    </row>
    <row r="96">
      <c r="A96" t="inlineStr">
        <is>
          <t>kgpnwz42wxtq29r|Cache</t>
        </is>
      </c>
      <c r="B96" t="inlineStr">
        <is>
          <t>kgpnwz42wxtq29r</t>
        </is>
      </c>
      <c r="C96" t="inlineStr">
        <is>
          <t>d1Ledez</t>
        </is>
      </c>
      <c r="D96" t="inlineStr">
        <is>
          <t>CS2</t>
        </is>
      </c>
      <c r="E96" t="inlineStr">
        <is>
          <t>Cache</t>
        </is>
      </c>
      <c r="F96" t="n">
        <v>4</v>
      </c>
      <c r="G96" t="n">
        <v>15.3</v>
      </c>
      <c r="H96" t="n">
        <v>0.61</v>
      </c>
      <c r="I96" s="8" t="n">
        <v>0.623</v>
      </c>
      <c r="J96" t="n">
        <v>0.84</v>
      </c>
      <c r="K96" s="11">
        <f>IF(H96&lt;&gt;"",H96,IFERROR(G96/INDEX(Players!$M$2:$M$124,MATCH(B96,Players!$A$2:$A$124,0)),""))</f>
        <v/>
      </c>
    </row>
    <row r="97">
      <c r="A97" t="inlineStr">
        <is>
          <t>w5k5az5ca72wkvb|Ancient</t>
        </is>
      </c>
      <c r="B97" t="inlineStr">
        <is>
          <t>w5k5az5ca72wkvb</t>
        </is>
      </c>
      <c r="C97" t="inlineStr">
        <is>
          <t>Dem0N</t>
        </is>
      </c>
      <c r="D97" t="inlineStr">
        <is>
          <t>CS2</t>
        </is>
      </c>
      <c r="E97" t="inlineStr">
        <is>
          <t>Ancient</t>
        </is>
      </c>
      <c r="F97" t="n">
        <v>11</v>
      </c>
      <c r="G97" t="n">
        <v>16.6</v>
      </c>
      <c r="H97" t="n">
        <v>0.77</v>
      </c>
      <c r="I97" s="8" t="n">
        <v>0.6890000000000001</v>
      </c>
      <c r="J97" t="n">
        <v>1.15</v>
      </c>
      <c r="K97" s="11">
        <f>IF(H97&lt;&gt;"",H97,IFERROR(G97/INDEX(Players!$M$2:$M$124,MATCH(B97,Players!$A$2:$A$124,0)),""))</f>
        <v/>
      </c>
    </row>
    <row r="98">
      <c r="A98" t="inlineStr">
        <is>
          <t>w5k5az5ca72wkvb|Dust2</t>
        </is>
      </c>
      <c r="B98" t="inlineStr">
        <is>
          <t>w5k5az5ca72wkvb</t>
        </is>
      </c>
      <c r="C98" t="inlineStr">
        <is>
          <t>Dem0N</t>
        </is>
      </c>
      <c r="D98" t="inlineStr">
        <is>
          <t>CS2</t>
        </is>
      </c>
      <c r="E98" t="inlineStr">
        <is>
          <t>Dust2</t>
        </is>
      </c>
      <c r="F98" t="n">
        <v>8</v>
      </c>
      <c r="G98" t="n">
        <v>16</v>
      </c>
      <c r="H98" t="n">
        <v>0.68</v>
      </c>
      <c r="I98" s="8" t="n">
        <v>0.6879999999999999</v>
      </c>
      <c r="J98" t="n">
        <v>0.98</v>
      </c>
      <c r="K98" s="11">
        <f>IF(H98&lt;&gt;"",H98,IFERROR(G98/INDEX(Players!$M$2:$M$124,MATCH(B98,Players!$A$2:$A$124,0)),""))</f>
        <v/>
      </c>
    </row>
    <row r="99">
      <c r="A99" t="inlineStr">
        <is>
          <t>w5k5az5ca72wkvb|Mirage</t>
        </is>
      </c>
      <c r="B99" t="inlineStr">
        <is>
          <t>w5k5az5ca72wkvb</t>
        </is>
      </c>
      <c r="C99" t="inlineStr">
        <is>
          <t>Dem0N</t>
        </is>
      </c>
      <c r="D99" t="inlineStr">
        <is>
          <t>CS2</t>
        </is>
      </c>
      <c r="E99" t="inlineStr">
        <is>
          <t>Mirage</t>
        </is>
      </c>
      <c r="F99" t="n">
        <v>7</v>
      </c>
      <c r="G99" t="n">
        <v>13.9</v>
      </c>
      <c r="H99" t="n">
        <v>0.64</v>
      </c>
      <c r="I99" s="8" t="n">
        <v>0.639</v>
      </c>
      <c r="J99" t="n">
        <v>1.05</v>
      </c>
      <c r="K99" s="11">
        <f>IF(H99&lt;&gt;"",H99,IFERROR(G99/INDEX(Players!$M$2:$M$124,MATCH(B99,Players!$A$2:$A$124,0)),""))</f>
        <v/>
      </c>
    </row>
    <row r="100">
      <c r="A100" t="inlineStr">
        <is>
          <t>w5k5az5ca72wkvb|Nuke</t>
        </is>
      </c>
      <c r="B100" t="inlineStr">
        <is>
          <t>w5k5az5ca72wkvb</t>
        </is>
      </c>
      <c r="C100" t="inlineStr">
        <is>
          <t>Dem0N</t>
        </is>
      </c>
      <c r="D100" t="inlineStr">
        <is>
          <t>CS2</t>
        </is>
      </c>
      <c r="E100" t="inlineStr">
        <is>
          <t>Nuke</t>
        </is>
      </c>
      <c r="F100" t="n">
        <v>6</v>
      </c>
      <c r="G100" t="n">
        <v>16.3</v>
      </c>
      <c r="H100" t="n">
        <v>0.76</v>
      </c>
      <c r="I100" s="8" t="n">
        <v>0.633</v>
      </c>
      <c r="J100" t="n">
        <v>1.34</v>
      </c>
      <c r="K100" s="11">
        <f>IF(H100&lt;&gt;"",H100,IFERROR(G100/INDEX(Players!$M$2:$M$124,MATCH(B100,Players!$A$2:$A$124,0)),""))</f>
        <v/>
      </c>
    </row>
    <row r="101">
      <c r="A101" t="inlineStr">
        <is>
          <t>w5k5az5ca72wkvb|Anubis</t>
        </is>
      </c>
      <c r="B101" t="inlineStr">
        <is>
          <t>w5k5az5ca72wkvb</t>
        </is>
      </c>
      <c r="C101" t="inlineStr">
        <is>
          <t>Dem0N</t>
        </is>
      </c>
      <c r="D101" t="inlineStr">
        <is>
          <t>CS2</t>
        </is>
      </c>
      <c r="E101" t="inlineStr">
        <is>
          <t>Anubis</t>
        </is>
      </c>
      <c r="F101" t="n">
        <v>4</v>
      </c>
      <c r="G101" t="n">
        <v>14.8</v>
      </c>
      <c r="H101" t="n">
        <v>0.6899999999999999</v>
      </c>
      <c r="I101" s="8" t="n">
        <v>0.7120000000000001</v>
      </c>
      <c r="J101" t="n">
        <v>1.04</v>
      </c>
      <c r="K101" s="11">
        <f>IF(H101&lt;&gt;"",H101,IFERROR(G101/INDEX(Players!$M$2:$M$124,MATCH(B101,Players!$A$2:$A$124,0)),""))</f>
        <v/>
      </c>
    </row>
    <row r="102">
      <c r="A102" t="inlineStr">
        <is>
          <t>w5k5az5ca72wkvb|Cache</t>
        </is>
      </c>
      <c r="B102" t="inlineStr">
        <is>
          <t>w5k5az5ca72wkvb</t>
        </is>
      </c>
      <c r="C102" t="inlineStr">
        <is>
          <t>Dem0N</t>
        </is>
      </c>
      <c r="D102" t="inlineStr">
        <is>
          <t>CS2</t>
        </is>
      </c>
      <c r="E102" t="inlineStr">
        <is>
          <t>Cache</t>
        </is>
      </c>
      <c r="F102" t="n">
        <v>1</v>
      </c>
      <c r="G102" t="n">
        <v>13</v>
      </c>
      <c r="H102" t="n">
        <v>0.57</v>
      </c>
      <c r="I102" s="8" t="n">
        <v>0.5379999999999999</v>
      </c>
      <c r="J102" t="n">
        <v>0.93</v>
      </c>
      <c r="K102" s="11">
        <f>IF(H102&lt;&gt;"",H102,IFERROR(G102/INDEX(Players!$M$2:$M$124,MATCH(B102,Players!$A$2:$A$124,0)),""))</f>
        <v/>
      </c>
    </row>
    <row r="103">
      <c r="A103" t="inlineStr">
        <is>
          <t>id2uf5ot80ms5oo|Nuke</t>
        </is>
      </c>
      <c r="B103" t="inlineStr">
        <is>
          <t>id2uf5ot80ms5oo</t>
        </is>
      </c>
      <c r="C103" t="inlineStr">
        <is>
          <t>dgt</t>
        </is>
      </c>
      <c r="D103" t="inlineStr">
        <is>
          <t>CS2</t>
        </is>
      </c>
      <c r="E103" t="inlineStr">
        <is>
          <t>Nuke</t>
        </is>
      </c>
      <c r="F103" t="n">
        <v>9</v>
      </c>
      <c r="G103" t="n">
        <v>13.9</v>
      </c>
      <c r="H103" t="n">
        <v>0.72</v>
      </c>
      <c r="I103" s="8" t="n">
        <v>0.5920000000000001</v>
      </c>
      <c r="J103" t="n">
        <v>1.12</v>
      </c>
      <c r="K103" s="11">
        <f>IF(H103&lt;&gt;"",H103,IFERROR(G103/INDEX(Players!$M$2:$M$124,MATCH(B103,Players!$A$2:$A$124,0)),""))</f>
        <v/>
      </c>
    </row>
    <row r="104">
      <c r="A104" t="inlineStr">
        <is>
          <t>id2uf5ot80ms5oo|Mirage</t>
        </is>
      </c>
      <c r="B104" t="inlineStr">
        <is>
          <t>id2uf5ot80ms5oo</t>
        </is>
      </c>
      <c r="C104" t="inlineStr">
        <is>
          <t>dgt</t>
        </is>
      </c>
      <c r="D104" t="inlineStr">
        <is>
          <t>CS2</t>
        </is>
      </c>
      <c r="E104" t="inlineStr">
        <is>
          <t>Mirage</t>
        </is>
      </c>
      <c r="F104" t="n">
        <v>6</v>
      </c>
      <c r="G104" t="n">
        <v>17</v>
      </c>
      <c r="H104" t="n">
        <v>0.82</v>
      </c>
      <c r="I104" s="8" t="n">
        <v>0.49</v>
      </c>
      <c r="J104" t="n">
        <v>1.46</v>
      </c>
      <c r="K104" s="11">
        <f>IF(H104&lt;&gt;"",H104,IFERROR(G104/INDEX(Players!$M$2:$M$124,MATCH(B104,Players!$A$2:$A$124,0)),""))</f>
        <v/>
      </c>
    </row>
    <row r="105">
      <c r="A105" t="inlineStr">
        <is>
          <t>id2uf5ot80ms5oo|Dust2</t>
        </is>
      </c>
      <c r="B105" t="inlineStr">
        <is>
          <t>id2uf5ot80ms5oo</t>
        </is>
      </c>
      <c r="C105" t="inlineStr">
        <is>
          <t>dgt</t>
        </is>
      </c>
      <c r="D105" t="inlineStr">
        <is>
          <t>CS2</t>
        </is>
      </c>
      <c r="E105" t="inlineStr">
        <is>
          <t>Dust2</t>
        </is>
      </c>
      <c r="F105" t="n">
        <v>6</v>
      </c>
      <c r="G105" t="n">
        <v>13</v>
      </c>
      <c r="H105" t="n">
        <v>0.64</v>
      </c>
      <c r="I105" s="8" t="n">
        <v>0.551</v>
      </c>
      <c r="J105" t="n">
        <v>1.04</v>
      </c>
      <c r="K105" s="11">
        <f>IF(H105&lt;&gt;"",H105,IFERROR(G105/INDEX(Players!$M$2:$M$124,MATCH(B105,Players!$A$2:$A$124,0)),""))</f>
        <v/>
      </c>
    </row>
    <row r="106">
      <c r="A106" t="inlineStr">
        <is>
          <t>id2uf5ot80ms5oo|Cache</t>
        </is>
      </c>
      <c r="B106" t="inlineStr">
        <is>
          <t>id2uf5ot80ms5oo</t>
        </is>
      </c>
      <c r="C106" t="inlineStr">
        <is>
          <t>dgt</t>
        </is>
      </c>
      <c r="D106" t="inlineStr">
        <is>
          <t>CS2</t>
        </is>
      </c>
      <c r="E106" t="inlineStr">
        <is>
          <t>Cache</t>
        </is>
      </c>
      <c r="F106" t="n">
        <v>5</v>
      </c>
      <c r="G106" t="n">
        <v>14.2</v>
      </c>
      <c r="H106" t="n">
        <v>0.72</v>
      </c>
      <c r="I106" s="8" t="n">
        <v>0.408</v>
      </c>
      <c r="J106" t="n">
        <v>1.08</v>
      </c>
      <c r="K106" s="11">
        <f>IF(H106&lt;&gt;"",H106,IFERROR(G106/INDEX(Players!$M$2:$M$124,MATCH(B106,Players!$A$2:$A$124,0)),""))</f>
        <v/>
      </c>
    </row>
    <row r="107">
      <c r="A107" t="inlineStr">
        <is>
          <t>id2uf5ot80ms5oo|Inferno</t>
        </is>
      </c>
      <c r="B107" t="inlineStr">
        <is>
          <t>id2uf5ot80ms5oo</t>
        </is>
      </c>
      <c r="C107" t="inlineStr">
        <is>
          <t>dgt</t>
        </is>
      </c>
      <c r="D107" t="inlineStr">
        <is>
          <t>CS2</t>
        </is>
      </c>
      <c r="E107" t="inlineStr">
        <is>
          <t>Inferno</t>
        </is>
      </c>
      <c r="F107" t="n">
        <v>5</v>
      </c>
      <c r="G107" t="n">
        <v>13</v>
      </c>
      <c r="H107" t="n">
        <v>0.63</v>
      </c>
      <c r="I107" s="8" t="n">
        <v>0.523</v>
      </c>
      <c r="J107" t="n">
        <v>0.98</v>
      </c>
      <c r="K107" s="11">
        <f>IF(H107&lt;&gt;"",H107,IFERROR(G107/INDEX(Players!$M$2:$M$124,MATCH(B107,Players!$A$2:$A$124,0)),""))</f>
        <v/>
      </c>
    </row>
    <row r="108">
      <c r="A108" t="inlineStr">
        <is>
          <t>id2uf5ot80ms5oo|Ancient</t>
        </is>
      </c>
      <c r="B108" t="inlineStr">
        <is>
          <t>id2uf5ot80ms5oo</t>
        </is>
      </c>
      <c r="C108" t="inlineStr">
        <is>
          <t>dgt</t>
        </is>
      </c>
      <c r="D108" t="inlineStr">
        <is>
          <t>CS2</t>
        </is>
      </c>
      <c r="E108" t="inlineStr">
        <is>
          <t>Ancient</t>
        </is>
      </c>
      <c r="F108" t="n">
        <v>2</v>
      </c>
      <c r="G108" t="n">
        <v>19.5</v>
      </c>
      <c r="H108" t="n">
        <v>0.68</v>
      </c>
      <c r="I108" s="8" t="n">
        <v>0.667</v>
      </c>
      <c r="J108" t="n">
        <v>1.05</v>
      </c>
      <c r="K108" s="11">
        <f>IF(H108&lt;&gt;"",H108,IFERROR(G108/INDEX(Players!$M$2:$M$124,MATCH(B108,Players!$A$2:$A$124,0)),""))</f>
        <v/>
      </c>
    </row>
    <row r="109">
      <c r="A109" t="inlineStr">
        <is>
          <t>oilrc57yb4vi4v4|Mirage</t>
        </is>
      </c>
      <c r="B109" t="inlineStr">
        <is>
          <t>oilrc57yb4vi4v4</t>
        </is>
      </c>
      <c r="C109" t="inlineStr">
        <is>
          <t>doc</t>
        </is>
      </c>
      <c r="D109" t="inlineStr">
        <is>
          <t>CS2</t>
        </is>
      </c>
      <c r="E109" t="inlineStr">
        <is>
          <t>Mirage</t>
        </is>
      </c>
      <c r="F109" t="n">
        <v>9</v>
      </c>
      <c r="G109" t="n">
        <v>16.1</v>
      </c>
      <c r="H109" t="n">
        <v>0.74</v>
      </c>
      <c r="I109" s="8" t="n">
        <v>0.545</v>
      </c>
      <c r="J109" t="n">
        <v>1.1</v>
      </c>
      <c r="K109" s="11">
        <f>IF(H109&lt;&gt;"",H109,IFERROR(G109/INDEX(Players!$M$2:$M$124,MATCH(B109,Players!$A$2:$A$124,0)),""))</f>
        <v/>
      </c>
    </row>
    <row r="110">
      <c r="A110" t="inlineStr">
        <is>
          <t>oilrc57yb4vi4v4|Cache</t>
        </is>
      </c>
      <c r="B110" t="inlineStr">
        <is>
          <t>oilrc57yb4vi4v4</t>
        </is>
      </c>
      <c r="C110" t="inlineStr">
        <is>
          <t>doc</t>
        </is>
      </c>
      <c r="D110" t="inlineStr">
        <is>
          <t>CS2</t>
        </is>
      </c>
      <c r="E110" t="inlineStr">
        <is>
          <t>Cache</t>
        </is>
      </c>
      <c r="F110" t="n">
        <v>7</v>
      </c>
      <c r="G110" t="n">
        <v>16.4</v>
      </c>
      <c r="H110" t="n">
        <v>0.76</v>
      </c>
      <c r="I110" s="8" t="n">
        <v>0.626</v>
      </c>
      <c r="J110" t="n">
        <v>1.16</v>
      </c>
      <c r="K110" s="11">
        <f>IF(H110&lt;&gt;"",H110,IFERROR(G110/INDEX(Players!$M$2:$M$124,MATCH(B110,Players!$A$2:$A$124,0)),""))</f>
        <v/>
      </c>
    </row>
    <row r="111">
      <c r="A111" t="inlineStr">
        <is>
          <t>oilrc57yb4vi4v4|Inferno</t>
        </is>
      </c>
      <c r="B111" t="inlineStr">
        <is>
          <t>oilrc57yb4vi4v4</t>
        </is>
      </c>
      <c r="C111" t="inlineStr">
        <is>
          <t>doc</t>
        </is>
      </c>
      <c r="D111" t="inlineStr">
        <is>
          <t>CS2</t>
        </is>
      </c>
      <c r="E111" t="inlineStr">
        <is>
          <t>Inferno</t>
        </is>
      </c>
      <c r="F111" t="n">
        <v>6</v>
      </c>
      <c r="G111" t="n">
        <v>14</v>
      </c>
      <c r="H111" t="n">
        <v>0.67</v>
      </c>
      <c r="I111" s="8" t="n">
        <v>0.619</v>
      </c>
      <c r="J111" t="n">
        <v>1.01</v>
      </c>
      <c r="K111" s="11">
        <f>IF(H111&lt;&gt;"",H111,IFERROR(G111/INDEX(Players!$M$2:$M$124,MATCH(B111,Players!$A$2:$A$124,0)),""))</f>
        <v/>
      </c>
    </row>
    <row r="112">
      <c r="A112" t="inlineStr">
        <is>
          <t>oilrc57yb4vi4v4|Ancient</t>
        </is>
      </c>
      <c r="B112" t="inlineStr">
        <is>
          <t>oilrc57yb4vi4v4</t>
        </is>
      </c>
      <c r="C112" t="inlineStr">
        <is>
          <t>doc</t>
        </is>
      </c>
      <c r="D112" t="inlineStr">
        <is>
          <t>CS2</t>
        </is>
      </c>
      <c r="E112" t="inlineStr">
        <is>
          <t>Ancient</t>
        </is>
      </c>
      <c r="F112" t="n">
        <v>5</v>
      </c>
      <c r="G112" t="n">
        <v>21</v>
      </c>
      <c r="H112" t="n">
        <v>0.93</v>
      </c>
      <c r="I112" s="8" t="n">
        <v>0.5329999999999999</v>
      </c>
      <c r="J112" t="n">
        <v>1.4</v>
      </c>
      <c r="K112" s="11">
        <f>IF(H112&lt;&gt;"",H112,IFERROR(G112/INDEX(Players!$M$2:$M$124,MATCH(B112,Players!$A$2:$A$124,0)),""))</f>
        <v/>
      </c>
    </row>
    <row r="113">
      <c r="A113" t="inlineStr">
        <is>
          <t>oilrc57yb4vi4v4|Nuke</t>
        </is>
      </c>
      <c r="B113" t="inlineStr">
        <is>
          <t>oilrc57yb4vi4v4</t>
        </is>
      </c>
      <c r="C113" t="inlineStr">
        <is>
          <t>doc</t>
        </is>
      </c>
      <c r="D113" t="inlineStr">
        <is>
          <t>CS2</t>
        </is>
      </c>
      <c r="E113" t="inlineStr">
        <is>
          <t>Nuke</t>
        </is>
      </c>
      <c r="F113" t="n">
        <v>5</v>
      </c>
      <c r="G113" t="n">
        <v>19.2</v>
      </c>
      <c r="H113" t="n">
        <v>0.86</v>
      </c>
      <c r="I113" s="8" t="n">
        <v>0.604</v>
      </c>
      <c r="J113" t="n">
        <v>1.26</v>
      </c>
      <c r="K113" s="11">
        <f>IF(H113&lt;&gt;"",H113,IFERROR(G113/INDEX(Players!$M$2:$M$124,MATCH(B113,Players!$A$2:$A$124,0)),""))</f>
        <v/>
      </c>
    </row>
    <row r="114">
      <c r="A114" t="inlineStr">
        <is>
          <t>oilrc57yb4vi4v4|Anubis</t>
        </is>
      </c>
      <c r="B114" t="inlineStr">
        <is>
          <t>oilrc57yb4vi4v4</t>
        </is>
      </c>
      <c r="C114" t="inlineStr">
        <is>
          <t>doc</t>
        </is>
      </c>
      <c r="D114" t="inlineStr">
        <is>
          <t>CS2</t>
        </is>
      </c>
      <c r="E114" t="inlineStr">
        <is>
          <t>Anubis</t>
        </is>
      </c>
      <c r="F114" t="n">
        <v>4</v>
      </c>
      <c r="G114" t="n">
        <v>15.8</v>
      </c>
      <c r="H114" t="n">
        <v>0.75</v>
      </c>
      <c r="I114" s="8" t="n">
        <v>0.54</v>
      </c>
      <c r="J114" t="n">
        <v>1.05</v>
      </c>
      <c r="K114" s="11">
        <f>IF(H114&lt;&gt;"",H114,IFERROR(G114/INDEX(Players!$M$2:$M$124,MATCH(B114,Players!$A$2:$A$124,0)),""))</f>
        <v/>
      </c>
    </row>
    <row r="115">
      <c r="A115" t="inlineStr">
        <is>
          <t>jm8g7f19qs3a8gx|Ancient</t>
        </is>
      </c>
      <c r="B115" t="inlineStr">
        <is>
          <t>jm8g7f19qs3a8gx</t>
        </is>
      </c>
      <c r="C115" t="inlineStr">
        <is>
          <t>donk</t>
        </is>
      </c>
      <c r="D115" t="inlineStr">
        <is>
          <t>CS2</t>
        </is>
      </c>
      <c r="E115" t="inlineStr">
        <is>
          <t>Ancient</t>
        </is>
      </c>
      <c r="F115" t="n">
        <v>7</v>
      </c>
      <c r="G115" t="n">
        <v>20.1</v>
      </c>
      <c r="H115" t="n">
        <v>0.92</v>
      </c>
      <c r="I115" s="8" t="n">
        <v>0.617</v>
      </c>
      <c r="J115" t="n">
        <v>1.31</v>
      </c>
      <c r="K115" s="11">
        <f>IF(H115&lt;&gt;"",H115,IFERROR(G115/INDEX(Players!$M$2:$M$124,MATCH(B115,Players!$A$2:$A$124,0)),""))</f>
        <v/>
      </c>
    </row>
    <row r="116">
      <c r="A116" t="inlineStr">
        <is>
          <t>jm8g7f19qs3a8gx|Dust2</t>
        </is>
      </c>
      <c r="B116" t="inlineStr">
        <is>
          <t>jm8g7f19qs3a8gx</t>
        </is>
      </c>
      <c r="C116" t="inlineStr">
        <is>
          <t>donk</t>
        </is>
      </c>
      <c r="D116" t="inlineStr">
        <is>
          <t>CS2</t>
        </is>
      </c>
      <c r="E116" t="inlineStr">
        <is>
          <t>Dust2</t>
        </is>
      </c>
      <c r="F116" t="n">
        <v>7</v>
      </c>
      <c r="G116" t="n">
        <v>14.1</v>
      </c>
      <c r="H116" t="n">
        <v>0.71</v>
      </c>
      <c r="I116" s="8" t="n">
        <v>0.6459999999999999</v>
      </c>
      <c r="J116" t="n">
        <v>1.02</v>
      </c>
      <c r="K116" s="11">
        <f>IF(H116&lt;&gt;"",H116,IFERROR(G116/INDEX(Players!$M$2:$M$124,MATCH(B116,Players!$A$2:$A$124,0)),""))</f>
        <v/>
      </c>
    </row>
    <row r="117">
      <c r="A117" t="inlineStr">
        <is>
          <t>jm8g7f19qs3a8gx|Mirage</t>
        </is>
      </c>
      <c r="B117" t="inlineStr">
        <is>
          <t>jm8g7f19qs3a8gx</t>
        </is>
      </c>
      <c r="C117" t="inlineStr">
        <is>
          <t>donk</t>
        </is>
      </c>
      <c r="D117" t="inlineStr">
        <is>
          <t>CS2</t>
        </is>
      </c>
      <c r="E117" t="inlineStr">
        <is>
          <t>Mirage</t>
        </is>
      </c>
      <c r="F117" t="n">
        <v>7</v>
      </c>
      <c r="G117" t="n">
        <v>16.7</v>
      </c>
      <c r="H117" t="n">
        <v>0.75</v>
      </c>
      <c r="I117" s="8" t="n">
        <v>0.598</v>
      </c>
      <c r="J117" t="n">
        <v>1.01</v>
      </c>
      <c r="K117" s="11">
        <f>IF(H117&lt;&gt;"",H117,IFERROR(G117/INDEX(Players!$M$2:$M$124,MATCH(B117,Players!$A$2:$A$124,0)),""))</f>
        <v/>
      </c>
    </row>
    <row r="118">
      <c r="A118" t="inlineStr">
        <is>
          <t>jm8g7f19qs3a8gx|Anubis</t>
        </is>
      </c>
      <c r="B118" t="inlineStr">
        <is>
          <t>jm8g7f19qs3a8gx</t>
        </is>
      </c>
      <c r="C118" t="inlineStr">
        <is>
          <t>donk</t>
        </is>
      </c>
      <c r="D118" t="inlineStr">
        <is>
          <t>CS2</t>
        </is>
      </c>
      <c r="E118" t="inlineStr">
        <is>
          <t>Anubis</t>
        </is>
      </c>
      <c r="F118" t="n">
        <v>6</v>
      </c>
      <c r="G118" t="n">
        <v>22</v>
      </c>
      <c r="H118" t="n">
        <v>0.99</v>
      </c>
      <c r="I118" s="8" t="n">
        <v>0.644</v>
      </c>
      <c r="J118" t="n">
        <v>1.5</v>
      </c>
      <c r="K118" s="11">
        <f>IF(H118&lt;&gt;"",H118,IFERROR(G118/INDEX(Players!$M$2:$M$124,MATCH(B118,Players!$A$2:$A$124,0)),""))</f>
        <v/>
      </c>
    </row>
    <row r="119">
      <c r="A119" t="inlineStr">
        <is>
          <t>jm8g7f19qs3a8gx|Cache</t>
        </is>
      </c>
      <c r="B119" t="inlineStr">
        <is>
          <t>jm8g7f19qs3a8gx</t>
        </is>
      </c>
      <c r="C119" t="inlineStr">
        <is>
          <t>donk</t>
        </is>
      </c>
      <c r="D119" t="inlineStr">
        <is>
          <t>CS2</t>
        </is>
      </c>
      <c r="E119" t="inlineStr">
        <is>
          <t>Cache</t>
        </is>
      </c>
      <c r="F119" t="n">
        <v>6</v>
      </c>
      <c r="G119" t="n">
        <v>19.3</v>
      </c>
      <c r="H119" t="n">
        <v>0.9399999999999999</v>
      </c>
      <c r="I119" s="8" t="n">
        <v>0.698</v>
      </c>
      <c r="J119" t="n">
        <v>1.38</v>
      </c>
      <c r="K119" s="11">
        <f>IF(H119&lt;&gt;"",H119,IFERROR(G119/INDEX(Players!$M$2:$M$124,MATCH(B119,Players!$A$2:$A$124,0)),""))</f>
        <v/>
      </c>
    </row>
    <row r="120">
      <c r="A120" t="inlineStr">
        <is>
          <t>jm8g7f19qs3a8gx|Nuke</t>
        </is>
      </c>
      <c r="B120" t="inlineStr">
        <is>
          <t>jm8g7f19qs3a8gx</t>
        </is>
      </c>
      <c r="C120" t="inlineStr">
        <is>
          <t>donk</t>
        </is>
      </c>
      <c r="D120" t="inlineStr">
        <is>
          <t>CS2</t>
        </is>
      </c>
      <c r="E120" t="inlineStr">
        <is>
          <t>Nuke</t>
        </is>
      </c>
      <c r="F120" t="n">
        <v>5</v>
      </c>
      <c r="G120" t="n">
        <v>18.4</v>
      </c>
      <c r="H120" t="n">
        <v>0.87</v>
      </c>
      <c r="I120" s="8" t="n">
        <v>0.728</v>
      </c>
      <c r="J120" t="n">
        <v>1.39</v>
      </c>
      <c r="K120" s="11">
        <f>IF(H120&lt;&gt;"",H120,IFERROR(G120/INDEX(Players!$M$2:$M$124,MATCH(B120,Players!$A$2:$A$124,0)),""))</f>
        <v/>
      </c>
    </row>
    <row r="121">
      <c r="A121" t="inlineStr">
        <is>
          <t>w2pkqdsxhev22e4|Mirage</t>
        </is>
      </c>
      <c r="B121" t="inlineStr">
        <is>
          <t>w2pkqdsxhev22e4</t>
        </is>
      </c>
      <c r="C121" t="inlineStr">
        <is>
          <t>drop</t>
        </is>
      </c>
      <c r="D121" t="inlineStr">
        <is>
          <t>CS2</t>
        </is>
      </c>
      <c r="E121" t="inlineStr">
        <is>
          <t>Mirage</t>
        </is>
      </c>
      <c r="F121" t="n">
        <v>10</v>
      </c>
      <c r="G121" t="n">
        <v>14.1</v>
      </c>
      <c r="H121" t="n">
        <v>0.65</v>
      </c>
      <c r="I121" s="8" t="n">
        <v>0.6879999999999999</v>
      </c>
      <c r="J121" t="n">
        <v>1.01</v>
      </c>
      <c r="K121" s="11">
        <f>IF(H121&lt;&gt;"",H121,IFERROR(G121/INDEX(Players!$M$2:$M$124,MATCH(B121,Players!$A$2:$A$124,0)),""))</f>
        <v/>
      </c>
    </row>
    <row r="122">
      <c r="A122" t="inlineStr">
        <is>
          <t>w2pkqdsxhev22e4|Ancient</t>
        </is>
      </c>
      <c r="B122" t="inlineStr">
        <is>
          <t>w2pkqdsxhev22e4</t>
        </is>
      </c>
      <c r="C122" t="inlineStr">
        <is>
          <t>drop</t>
        </is>
      </c>
      <c r="D122" t="inlineStr">
        <is>
          <t>CS2</t>
        </is>
      </c>
      <c r="E122" t="inlineStr">
        <is>
          <t>Ancient</t>
        </is>
      </c>
      <c r="F122" t="n">
        <v>6</v>
      </c>
      <c r="G122" t="n">
        <v>16</v>
      </c>
      <c r="H122" t="n">
        <v>0.76</v>
      </c>
      <c r="I122" s="8" t="n">
        <v>0.542</v>
      </c>
      <c r="J122" t="n">
        <v>1.04</v>
      </c>
      <c r="K122" s="11">
        <f>IF(H122&lt;&gt;"",H122,IFERROR(G122/INDEX(Players!$M$2:$M$124,MATCH(B122,Players!$A$2:$A$124,0)),""))</f>
        <v/>
      </c>
    </row>
    <row r="123">
      <c r="A123" t="inlineStr">
        <is>
          <t>w2pkqdsxhev22e4|Inferno</t>
        </is>
      </c>
      <c r="B123" t="inlineStr">
        <is>
          <t>w2pkqdsxhev22e4</t>
        </is>
      </c>
      <c r="C123" t="inlineStr">
        <is>
          <t>drop</t>
        </is>
      </c>
      <c r="D123" t="inlineStr">
        <is>
          <t>CS2</t>
        </is>
      </c>
      <c r="E123" t="inlineStr">
        <is>
          <t>Inferno</t>
        </is>
      </c>
      <c r="F123" t="n">
        <v>5</v>
      </c>
      <c r="G123" t="n">
        <v>18.4</v>
      </c>
      <c r="H123" t="n">
        <v>0.74</v>
      </c>
      <c r="I123" s="8" t="n">
        <v>0.63</v>
      </c>
      <c r="J123" t="n">
        <v>1.19</v>
      </c>
      <c r="K123" s="11">
        <f>IF(H123&lt;&gt;"",H123,IFERROR(G123/INDEX(Players!$M$2:$M$124,MATCH(B123,Players!$A$2:$A$124,0)),""))</f>
        <v/>
      </c>
    </row>
    <row r="124">
      <c r="A124" t="inlineStr">
        <is>
          <t>w2pkqdsxhev22e4|Dust2</t>
        </is>
      </c>
      <c r="B124" t="inlineStr">
        <is>
          <t>w2pkqdsxhev22e4</t>
        </is>
      </c>
      <c r="C124" t="inlineStr">
        <is>
          <t>drop</t>
        </is>
      </c>
      <c r="D124" t="inlineStr">
        <is>
          <t>CS2</t>
        </is>
      </c>
      <c r="E124" t="inlineStr">
        <is>
          <t>Dust2</t>
        </is>
      </c>
      <c r="F124" t="n">
        <v>5</v>
      </c>
      <c r="G124" t="n">
        <v>13.4</v>
      </c>
      <c r="H124" t="n">
        <v>0.62</v>
      </c>
      <c r="I124" s="8" t="n">
        <v>0.493</v>
      </c>
      <c r="J124" t="n">
        <v>0.96</v>
      </c>
      <c r="K124" s="11">
        <f>IF(H124&lt;&gt;"",H124,IFERROR(G124/INDEX(Players!$M$2:$M$124,MATCH(B124,Players!$A$2:$A$124,0)),""))</f>
        <v/>
      </c>
    </row>
    <row r="125">
      <c r="A125" t="inlineStr">
        <is>
          <t>w2pkqdsxhev22e4|Cache</t>
        </is>
      </c>
      <c r="B125" t="inlineStr">
        <is>
          <t>w2pkqdsxhev22e4</t>
        </is>
      </c>
      <c r="C125" t="inlineStr">
        <is>
          <t>drop</t>
        </is>
      </c>
      <c r="D125" t="inlineStr">
        <is>
          <t>CS2</t>
        </is>
      </c>
      <c r="E125" t="inlineStr">
        <is>
          <t>Cache</t>
        </is>
      </c>
      <c r="F125" t="n">
        <v>4</v>
      </c>
      <c r="G125" t="n">
        <v>16.8</v>
      </c>
      <c r="H125" t="n">
        <v>0.77</v>
      </c>
      <c r="I125" s="8" t="n">
        <v>0.627</v>
      </c>
      <c r="J125" t="n">
        <v>1.18</v>
      </c>
      <c r="K125" s="11">
        <f>IF(H125&lt;&gt;"",H125,IFERROR(G125/INDEX(Players!$M$2:$M$124,MATCH(B125,Players!$A$2:$A$124,0)),""))</f>
        <v/>
      </c>
    </row>
    <row r="126">
      <c r="A126" t="inlineStr">
        <is>
          <t>w2pkqdsxhev22e4|Nuke</t>
        </is>
      </c>
      <c r="B126" t="inlineStr">
        <is>
          <t>w2pkqdsxhev22e4</t>
        </is>
      </c>
      <c r="C126" t="inlineStr">
        <is>
          <t>drop</t>
        </is>
      </c>
      <c r="D126" t="inlineStr">
        <is>
          <t>CS2</t>
        </is>
      </c>
      <c r="E126" t="inlineStr">
        <is>
          <t>Nuke</t>
        </is>
      </c>
      <c r="F126" t="n">
        <v>2</v>
      </c>
      <c r="G126" t="n">
        <v>10.5</v>
      </c>
      <c r="H126" t="n">
        <v>0.55</v>
      </c>
      <c r="I126" s="8" t="n">
        <v>0.5710000000000001</v>
      </c>
      <c r="J126" t="n">
        <v>0.66</v>
      </c>
      <c r="K126" s="11">
        <f>IF(H126&lt;&gt;"",H126,IFERROR(G126/INDEX(Players!$M$2:$M$124,MATCH(B126,Players!$A$2:$A$124,0)),""))</f>
        <v/>
      </c>
    </row>
    <row r="127">
      <c r="A127" t="inlineStr">
        <is>
          <t>w2pkqdsxhev22e4|Overpass</t>
        </is>
      </c>
      <c r="B127" t="inlineStr">
        <is>
          <t>w2pkqdsxhev22e4</t>
        </is>
      </c>
      <c r="C127" t="inlineStr">
        <is>
          <t>drop</t>
        </is>
      </c>
      <c r="D127" t="inlineStr">
        <is>
          <t>CS2</t>
        </is>
      </c>
      <c r="E127" t="inlineStr">
        <is>
          <t>Overpass</t>
        </is>
      </c>
      <c r="F127" t="n">
        <v>1</v>
      </c>
      <c r="G127" t="n">
        <v>7</v>
      </c>
      <c r="H127" t="n">
        <v>0.47</v>
      </c>
      <c r="I127" s="8" t="n">
        <v>0.429</v>
      </c>
      <c r="J127" t="n">
        <v>0.58</v>
      </c>
      <c r="K127" s="11">
        <f>IF(H127&lt;&gt;"",H127,IFERROR(G127/INDEX(Players!$M$2:$M$124,MATCH(B127,Players!$A$2:$A$124,0)),""))</f>
        <v/>
      </c>
    </row>
    <row r="128">
      <c r="A128" t="inlineStr">
        <is>
          <t>fegzpn598j6etni|Dust2</t>
        </is>
      </c>
      <c r="B128" t="inlineStr">
        <is>
          <t>fegzpn598j6etni</t>
        </is>
      </c>
      <c r="C128" t="inlineStr">
        <is>
          <t>dumau</t>
        </is>
      </c>
      <c r="D128" t="inlineStr">
        <is>
          <t>CS2</t>
        </is>
      </c>
      <c r="E128" t="inlineStr">
        <is>
          <t>Dust2</t>
        </is>
      </c>
      <c r="F128" t="n">
        <v>11</v>
      </c>
      <c r="G128" t="n">
        <v>13.2</v>
      </c>
      <c r="H128" t="n">
        <v>0.65</v>
      </c>
      <c r="I128" s="8" t="n">
        <v>0.441</v>
      </c>
      <c r="J128" t="n">
        <v>0.92</v>
      </c>
      <c r="K128" s="11">
        <f>IF(H128&lt;&gt;"",H128,IFERROR(G128/INDEX(Players!$M$2:$M$124,MATCH(B128,Players!$A$2:$A$124,0)),""))</f>
        <v/>
      </c>
    </row>
    <row r="129">
      <c r="A129" t="inlineStr">
        <is>
          <t>fegzpn598j6etni|Mirage</t>
        </is>
      </c>
      <c r="B129" t="inlineStr">
        <is>
          <t>fegzpn598j6etni</t>
        </is>
      </c>
      <c r="C129" t="inlineStr">
        <is>
          <t>dumau</t>
        </is>
      </c>
      <c r="D129" t="inlineStr">
        <is>
          <t>CS2</t>
        </is>
      </c>
      <c r="E129" t="inlineStr">
        <is>
          <t>Mirage</t>
        </is>
      </c>
      <c r="F129" t="n">
        <v>10</v>
      </c>
      <c r="G129" t="n">
        <v>18.7</v>
      </c>
      <c r="H129" t="n">
        <v>0.8</v>
      </c>
      <c r="I129" s="8" t="n">
        <v>0.439</v>
      </c>
      <c r="J129" t="n">
        <v>1.26</v>
      </c>
      <c r="K129" s="11">
        <f>IF(H129&lt;&gt;"",H129,IFERROR(G129/INDEX(Players!$M$2:$M$124,MATCH(B129,Players!$A$2:$A$124,0)),""))</f>
        <v/>
      </c>
    </row>
    <row r="130">
      <c r="A130" t="inlineStr">
        <is>
          <t>fegzpn598j6etni|Ancient</t>
        </is>
      </c>
      <c r="B130" t="inlineStr">
        <is>
          <t>fegzpn598j6etni</t>
        </is>
      </c>
      <c r="C130" t="inlineStr">
        <is>
          <t>dumau</t>
        </is>
      </c>
      <c r="D130" t="inlineStr">
        <is>
          <t>CS2</t>
        </is>
      </c>
      <c r="E130" t="inlineStr">
        <is>
          <t>Ancient</t>
        </is>
      </c>
      <c r="F130" t="n">
        <v>8</v>
      </c>
      <c r="G130" t="n">
        <v>16.9</v>
      </c>
      <c r="H130" t="n">
        <v>0.65</v>
      </c>
      <c r="I130" s="8" t="n">
        <v>0.5479999999999999</v>
      </c>
      <c r="J130" t="n">
        <v>0.9399999999999999</v>
      </c>
      <c r="K130" s="11">
        <f>IF(H130&lt;&gt;"",H130,IFERROR(G130/INDEX(Players!$M$2:$M$124,MATCH(B130,Players!$A$2:$A$124,0)),""))</f>
        <v/>
      </c>
    </row>
    <row r="131">
      <c r="A131" t="inlineStr">
        <is>
          <t>fegzpn598j6etni|Nuke</t>
        </is>
      </c>
      <c r="B131" t="inlineStr">
        <is>
          <t>fegzpn598j6etni</t>
        </is>
      </c>
      <c r="C131" t="inlineStr">
        <is>
          <t>dumau</t>
        </is>
      </c>
      <c r="D131" t="inlineStr">
        <is>
          <t>CS2</t>
        </is>
      </c>
      <c r="E131" t="inlineStr">
        <is>
          <t>Nuke</t>
        </is>
      </c>
      <c r="F131" t="n">
        <v>4</v>
      </c>
      <c r="G131" t="n">
        <v>17.3</v>
      </c>
      <c r="H131" t="n">
        <v>0.67</v>
      </c>
      <c r="I131" s="8" t="n">
        <v>0.522</v>
      </c>
      <c r="J131" t="n">
        <v>0.96</v>
      </c>
      <c r="K131" s="11">
        <f>IF(H131&lt;&gt;"",H131,IFERROR(G131/INDEX(Players!$M$2:$M$124,MATCH(B131,Players!$A$2:$A$124,0)),""))</f>
        <v/>
      </c>
    </row>
    <row r="132">
      <c r="A132" t="inlineStr">
        <is>
          <t>fegzpn598j6etni|Inferno</t>
        </is>
      </c>
      <c r="B132" t="inlineStr">
        <is>
          <t>fegzpn598j6etni</t>
        </is>
      </c>
      <c r="C132" t="inlineStr">
        <is>
          <t>dumau</t>
        </is>
      </c>
      <c r="D132" t="inlineStr">
        <is>
          <t>CS2</t>
        </is>
      </c>
      <c r="E132" t="inlineStr">
        <is>
          <t>Inferno</t>
        </is>
      </c>
      <c r="F132" t="n">
        <v>4</v>
      </c>
      <c r="G132" t="n">
        <v>12.3</v>
      </c>
      <c r="H132" t="n">
        <v>0.61</v>
      </c>
      <c r="I132" s="8" t="n">
        <v>0.469</v>
      </c>
      <c r="J132" t="n">
        <v>0.82</v>
      </c>
      <c r="K132" s="11">
        <f>IF(H132&lt;&gt;"",H132,IFERROR(G132/INDEX(Players!$M$2:$M$124,MATCH(B132,Players!$A$2:$A$124,0)),""))</f>
        <v/>
      </c>
    </row>
    <row r="133">
      <c r="A133" t="inlineStr">
        <is>
          <t>fegzpn598j6etni|Cache</t>
        </is>
      </c>
      <c r="B133" t="inlineStr">
        <is>
          <t>fegzpn598j6etni</t>
        </is>
      </c>
      <c r="C133" t="inlineStr">
        <is>
          <t>dumau</t>
        </is>
      </c>
      <c r="D133" t="inlineStr">
        <is>
          <t>CS2</t>
        </is>
      </c>
      <c r="E133" t="inlineStr">
        <is>
          <t>Cache</t>
        </is>
      </c>
      <c r="F133" t="n">
        <v>2</v>
      </c>
      <c r="G133" t="n">
        <v>20</v>
      </c>
      <c r="H133" t="n">
        <v>1</v>
      </c>
      <c r="I133" s="8" t="n">
        <v>0.425</v>
      </c>
      <c r="J133" t="n">
        <v>1.82</v>
      </c>
      <c r="K133" s="11">
        <f>IF(H133&lt;&gt;"",H133,IFERROR(G133/INDEX(Players!$M$2:$M$124,MATCH(B133,Players!$A$2:$A$124,0)),""))</f>
        <v/>
      </c>
    </row>
    <row r="134">
      <c r="A134" t="inlineStr">
        <is>
          <t>9xneuyz69zuftic|Mirage</t>
        </is>
      </c>
      <c r="B134" t="inlineStr">
        <is>
          <t>9xneuyz69zuftic</t>
        </is>
      </c>
      <c r="C134" t="inlineStr">
        <is>
          <t>Dytor</t>
        </is>
      </c>
      <c r="D134" t="inlineStr">
        <is>
          <t>CS2</t>
        </is>
      </c>
      <c r="E134" t="inlineStr">
        <is>
          <t>Mirage</t>
        </is>
      </c>
      <c r="F134" t="n">
        <v>9</v>
      </c>
      <c r="G134" t="n">
        <v>13.2</v>
      </c>
      <c r="H134" t="n">
        <v>0.63</v>
      </c>
      <c r="I134" s="8" t="n">
        <v>0.5710000000000001</v>
      </c>
      <c r="J134" t="n">
        <v>1.03</v>
      </c>
      <c r="K134" s="11">
        <f>IF(H134&lt;&gt;"",H134,IFERROR(G134/INDEX(Players!$M$2:$M$124,MATCH(B134,Players!$A$2:$A$124,0)),""))</f>
        <v/>
      </c>
    </row>
    <row r="135">
      <c r="A135" t="inlineStr">
        <is>
          <t>9xneuyz69zuftic|Dust2</t>
        </is>
      </c>
      <c r="B135" t="inlineStr">
        <is>
          <t>9xneuyz69zuftic</t>
        </is>
      </c>
      <c r="C135" t="inlineStr">
        <is>
          <t>Dytor</t>
        </is>
      </c>
      <c r="D135" t="inlineStr">
        <is>
          <t>CS2</t>
        </is>
      </c>
      <c r="E135" t="inlineStr">
        <is>
          <t>Dust2</t>
        </is>
      </c>
      <c r="F135" t="n">
        <v>7</v>
      </c>
      <c r="G135" t="n">
        <v>13.7</v>
      </c>
      <c r="H135" t="n">
        <v>0.7</v>
      </c>
      <c r="I135" s="8" t="n">
        <v>0.552</v>
      </c>
      <c r="J135" t="n">
        <v>1.14</v>
      </c>
      <c r="K135" s="11">
        <f>IF(H135&lt;&gt;"",H135,IFERROR(G135/INDEX(Players!$M$2:$M$124,MATCH(B135,Players!$A$2:$A$124,0)),""))</f>
        <v/>
      </c>
    </row>
    <row r="136">
      <c r="A136" t="inlineStr">
        <is>
          <t>9xneuyz69zuftic|Ancient</t>
        </is>
      </c>
      <c r="B136" t="inlineStr">
        <is>
          <t>9xneuyz69zuftic</t>
        </is>
      </c>
      <c r="C136" t="inlineStr">
        <is>
          <t>Dytor</t>
        </is>
      </c>
      <c r="D136" t="inlineStr">
        <is>
          <t>CS2</t>
        </is>
      </c>
      <c r="E136" t="inlineStr">
        <is>
          <t>Ancient</t>
        </is>
      </c>
      <c r="F136" t="n">
        <v>7</v>
      </c>
      <c r="G136" t="n">
        <v>18.7</v>
      </c>
      <c r="H136" t="n">
        <v>0.76</v>
      </c>
      <c r="I136" s="8" t="n">
        <v>0.496</v>
      </c>
      <c r="J136" t="n">
        <v>1.07</v>
      </c>
      <c r="K136" s="11">
        <f>IF(H136&lt;&gt;"",H136,IFERROR(G136/INDEX(Players!$M$2:$M$124,MATCH(B136,Players!$A$2:$A$124,0)),""))</f>
        <v/>
      </c>
    </row>
    <row r="137">
      <c r="A137" t="inlineStr">
        <is>
          <t>9xneuyz69zuftic|Cache</t>
        </is>
      </c>
      <c r="B137" t="inlineStr">
        <is>
          <t>9xneuyz69zuftic</t>
        </is>
      </c>
      <c r="C137" t="inlineStr">
        <is>
          <t>Dytor</t>
        </is>
      </c>
      <c r="D137" t="inlineStr">
        <is>
          <t>CS2</t>
        </is>
      </c>
      <c r="E137" t="inlineStr">
        <is>
          <t>Cache</t>
        </is>
      </c>
      <c r="F137" t="n">
        <v>7</v>
      </c>
      <c r="G137" t="n">
        <v>12.3</v>
      </c>
      <c r="H137" t="n">
        <v>0.61</v>
      </c>
      <c r="I137" s="8" t="n">
        <v>0.43</v>
      </c>
      <c r="J137" t="n">
        <v>0.87</v>
      </c>
      <c r="K137" s="11">
        <f>IF(H137&lt;&gt;"",H137,IFERROR(G137/INDEX(Players!$M$2:$M$124,MATCH(B137,Players!$A$2:$A$124,0)),""))</f>
        <v/>
      </c>
    </row>
    <row r="138">
      <c r="A138" t="inlineStr">
        <is>
          <t>9xneuyz69zuftic|Inferno</t>
        </is>
      </c>
      <c r="B138" t="inlineStr">
        <is>
          <t>9xneuyz69zuftic</t>
        </is>
      </c>
      <c r="C138" t="inlineStr">
        <is>
          <t>Dytor</t>
        </is>
      </c>
      <c r="D138" t="inlineStr">
        <is>
          <t>CS2</t>
        </is>
      </c>
      <c r="E138" t="inlineStr">
        <is>
          <t>Inferno</t>
        </is>
      </c>
      <c r="F138" t="n">
        <v>5</v>
      </c>
      <c r="G138" t="n">
        <v>14.4</v>
      </c>
      <c r="H138" t="n">
        <v>0.78</v>
      </c>
      <c r="I138" s="8" t="n">
        <v>0.514</v>
      </c>
      <c r="J138" t="n">
        <v>1.16</v>
      </c>
      <c r="K138" s="11">
        <f>IF(H138&lt;&gt;"",H138,IFERROR(G138/INDEX(Players!$M$2:$M$124,MATCH(B138,Players!$A$2:$A$124,0)),""))</f>
        <v/>
      </c>
    </row>
    <row r="139">
      <c r="A139" t="inlineStr">
        <is>
          <t>9xneuyz69zuftic|Nuke</t>
        </is>
      </c>
      <c r="B139" t="inlineStr">
        <is>
          <t>9xneuyz69zuftic</t>
        </is>
      </c>
      <c r="C139" t="inlineStr">
        <is>
          <t>Dytor</t>
        </is>
      </c>
      <c r="D139" t="inlineStr">
        <is>
          <t>CS2</t>
        </is>
      </c>
      <c r="E139" t="inlineStr">
        <is>
          <t>Nuke</t>
        </is>
      </c>
      <c r="F139" t="n">
        <v>1</v>
      </c>
      <c r="G139" t="n">
        <v>16</v>
      </c>
      <c r="H139" t="n">
        <v>0.7</v>
      </c>
      <c r="I139" s="8" t="n">
        <v>0.5</v>
      </c>
      <c r="J139" t="n">
        <v>0.89</v>
      </c>
      <c r="K139" s="11">
        <f>IF(H139&lt;&gt;"",H139,IFERROR(G139/INDEX(Players!$M$2:$M$124,MATCH(B139,Players!$A$2:$A$124,0)),""))</f>
        <v/>
      </c>
    </row>
    <row r="140">
      <c r="A140" t="inlineStr">
        <is>
          <t>9xneuyz69zuftic|Anubis</t>
        </is>
      </c>
      <c r="B140" t="inlineStr">
        <is>
          <t>9xneuyz69zuftic</t>
        </is>
      </c>
      <c r="C140" t="inlineStr">
        <is>
          <t>Dytor</t>
        </is>
      </c>
      <c r="D140" t="inlineStr">
        <is>
          <t>CS2</t>
        </is>
      </c>
      <c r="E140" t="inlineStr">
        <is>
          <t>Anubis</t>
        </is>
      </c>
      <c r="F140" t="n">
        <v>1</v>
      </c>
      <c r="G140" t="n">
        <v>14</v>
      </c>
      <c r="H140" t="n">
        <v>0.64</v>
      </c>
      <c r="I140" s="8" t="n">
        <v>0.5</v>
      </c>
      <c r="J140" t="n">
        <v>0.74</v>
      </c>
      <c r="K140" s="11">
        <f>IF(H140&lt;&gt;"",H140,IFERROR(G140/INDEX(Players!$M$2:$M$124,MATCH(B140,Players!$A$2:$A$124,0)),""))</f>
        <v/>
      </c>
    </row>
    <row r="141">
      <c r="A141" t="inlineStr">
        <is>
          <t>jf6rt002svd50mx|Ancient</t>
        </is>
      </c>
      <c r="B141" t="inlineStr">
        <is>
          <t>jf6rt002svd50mx</t>
        </is>
      </c>
      <c r="C141" t="inlineStr">
        <is>
          <t>dziugss</t>
        </is>
      </c>
      <c r="D141" t="inlineStr">
        <is>
          <t>CS2</t>
        </is>
      </c>
      <c r="E141" t="inlineStr">
        <is>
          <t>Ancient</t>
        </is>
      </c>
      <c r="F141" t="n">
        <v>11</v>
      </c>
      <c r="G141" t="n">
        <v>13.7</v>
      </c>
      <c r="H141" t="n">
        <v>0.64</v>
      </c>
      <c r="I141" s="8" t="n">
        <v>0.57</v>
      </c>
      <c r="J141" t="n">
        <v>0.96</v>
      </c>
      <c r="K141" s="11">
        <f>IF(H141&lt;&gt;"",H141,IFERROR(G141/INDEX(Players!$M$2:$M$124,MATCH(B141,Players!$A$2:$A$124,0)),""))</f>
        <v/>
      </c>
    </row>
    <row r="142">
      <c r="A142" t="inlineStr">
        <is>
          <t>jf6rt002svd50mx|Dust2</t>
        </is>
      </c>
      <c r="B142" t="inlineStr">
        <is>
          <t>jf6rt002svd50mx</t>
        </is>
      </c>
      <c r="C142" t="inlineStr">
        <is>
          <t>dziugss</t>
        </is>
      </c>
      <c r="D142" t="inlineStr">
        <is>
          <t>CS2</t>
        </is>
      </c>
      <c r="E142" t="inlineStr">
        <is>
          <t>Dust2</t>
        </is>
      </c>
      <c r="F142" t="n">
        <v>8</v>
      </c>
      <c r="G142" t="n">
        <v>14</v>
      </c>
      <c r="H142" t="n">
        <v>0.59</v>
      </c>
      <c r="I142" s="8" t="n">
        <v>0.518</v>
      </c>
      <c r="J142" t="n">
        <v>0.87</v>
      </c>
      <c r="K142" s="11">
        <f>IF(H142&lt;&gt;"",H142,IFERROR(G142/INDEX(Players!$M$2:$M$124,MATCH(B142,Players!$A$2:$A$124,0)),""))</f>
        <v/>
      </c>
    </row>
    <row r="143">
      <c r="A143" t="inlineStr">
        <is>
          <t>jf6rt002svd50mx|Mirage</t>
        </is>
      </c>
      <c r="B143" t="inlineStr">
        <is>
          <t>jf6rt002svd50mx</t>
        </is>
      </c>
      <c r="C143" t="inlineStr">
        <is>
          <t>dziugss</t>
        </is>
      </c>
      <c r="D143" t="inlineStr">
        <is>
          <t>CS2</t>
        </is>
      </c>
      <c r="E143" t="inlineStr">
        <is>
          <t>Mirage</t>
        </is>
      </c>
      <c r="F143" t="n">
        <v>7</v>
      </c>
      <c r="G143" t="n">
        <v>18.6</v>
      </c>
      <c r="H143" t="n">
        <v>0.86</v>
      </c>
      <c r="I143" s="8" t="n">
        <v>0.615</v>
      </c>
      <c r="J143" t="n">
        <v>1.38</v>
      </c>
      <c r="K143" s="11">
        <f>IF(H143&lt;&gt;"",H143,IFERROR(G143/INDEX(Players!$M$2:$M$124,MATCH(B143,Players!$A$2:$A$124,0)),""))</f>
        <v/>
      </c>
    </row>
    <row r="144">
      <c r="A144" t="inlineStr">
        <is>
          <t>jf6rt002svd50mx|Nuke</t>
        </is>
      </c>
      <c r="B144" t="inlineStr">
        <is>
          <t>jf6rt002svd50mx</t>
        </is>
      </c>
      <c r="C144" t="inlineStr">
        <is>
          <t>dziugss</t>
        </is>
      </c>
      <c r="D144" t="inlineStr">
        <is>
          <t>CS2</t>
        </is>
      </c>
      <c r="E144" t="inlineStr">
        <is>
          <t>Nuke</t>
        </is>
      </c>
      <c r="F144" t="n">
        <v>6</v>
      </c>
      <c r="G144" t="n">
        <v>10.3</v>
      </c>
      <c r="H144" t="n">
        <v>0.48</v>
      </c>
      <c r="I144" s="8" t="n">
        <v>0.71</v>
      </c>
      <c r="J144" t="n">
        <v>0.71</v>
      </c>
      <c r="K144" s="11">
        <f>IF(H144&lt;&gt;"",H144,IFERROR(G144/INDEX(Players!$M$2:$M$124,MATCH(B144,Players!$A$2:$A$124,0)),""))</f>
        <v/>
      </c>
    </row>
    <row r="145">
      <c r="A145" t="inlineStr">
        <is>
          <t>jf6rt002svd50mx|Anubis</t>
        </is>
      </c>
      <c r="B145" t="inlineStr">
        <is>
          <t>jf6rt002svd50mx</t>
        </is>
      </c>
      <c r="C145" t="inlineStr">
        <is>
          <t>dziugss</t>
        </is>
      </c>
      <c r="D145" t="inlineStr">
        <is>
          <t>CS2</t>
        </is>
      </c>
      <c r="E145" t="inlineStr">
        <is>
          <t>Anubis</t>
        </is>
      </c>
      <c r="F145" t="n">
        <v>4</v>
      </c>
      <c r="G145" t="n">
        <v>15.5</v>
      </c>
      <c r="H145" t="n">
        <v>0.73</v>
      </c>
      <c r="I145" s="8" t="n">
        <v>0.581</v>
      </c>
      <c r="J145" t="n">
        <v>1.15</v>
      </c>
      <c r="K145" s="11">
        <f>IF(H145&lt;&gt;"",H145,IFERROR(G145/INDEX(Players!$M$2:$M$124,MATCH(B145,Players!$A$2:$A$124,0)),""))</f>
        <v/>
      </c>
    </row>
    <row r="146">
      <c r="A146" t="inlineStr">
        <is>
          <t>jf6rt002svd50mx|Cache</t>
        </is>
      </c>
      <c r="B146" t="inlineStr">
        <is>
          <t>jf6rt002svd50mx</t>
        </is>
      </c>
      <c r="C146" t="inlineStr">
        <is>
          <t>dziugss</t>
        </is>
      </c>
      <c r="D146" t="inlineStr">
        <is>
          <t>CS2</t>
        </is>
      </c>
      <c r="E146" t="inlineStr">
        <is>
          <t>Cache</t>
        </is>
      </c>
      <c r="F146" t="n">
        <v>1</v>
      </c>
      <c r="G146" t="n">
        <v>15</v>
      </c>
      <c r="H146" t="n">
        <v>0.65</v>
      </c>
      <c r="I146" s="8" t="n">
        <v>0.4</v>
      </c>
      <c r="J146" t="n">
        <v>1.07</v>
      </c>
      <c r="K146" s="11">
        <f>IF(H146&lt;&gt;"",H146,IFERROR(G146/INDEX(Players!$M$2:$M$124,MATCH(B146,Players!$A$2:$A$124,0)),""))</f>
        <v/>
      </c>
    </row>
    <row r="147">
      <c r="A147" t="inlineStr">
        <is>
          <t>q3hhhk7fp22ng9v|Dust2</t>
        </is>
      </c>
      <c r="B147" t="inlineStr">
        <is>
          <t>q3hhhk7fp22ng9v</t>
        </is>
      </c>
      <c r="C147" t="inlineStr">
        <is>
          <t>El1an</t>
        </is>
      </c>
      <c r="D147" t="inlineStr">
        <is>
          <t>CS2</t>
        </is>
      </c>
      <c r="E147" t="inlineStr">
        <is>
          <t>Dust2</t>
        </is>
      </c>
      <c r="F147" t="n">
        <v>13</v>
      </c>
      <c r="G147" t="n">
        <v>16.8</v>
      </c>
      <c r="H147" t="n">
        <v>0.76</v>
      </c>
      <c r="I147" s="8" t="n">
        <v>0.326</v>
      </c>
      <c r="J147" t="n">
        <v>1.34</v>
      </c>
      <c r="K147" s="11">
        <f>IF(H147&lt;&gt;"",H147,IFERROR(G147/INDEX(Players!$M$2:$M$124,MATCH(B147,Players!$A$2:$A$124,0)),""))</f>
        <v/>
      </c>
    </row>
    <row r="148">
      <c r="A148" t="inlineStr">
        <is>
          <t>q3hhhk7fp22ng9v|Nuke</t>
        </is>
      </c>
      <c r="B148" t="inlineStr">
        <is>
          <t>q3hhhk7fp22ng9v</t>
        </is>
      </c>
      <c r="C148" t="inlineStr">
        <is>
          <t>El1an</t>
        </is>
      </c>
      <c r="D148" t="inlineStr">
        <is>
          <t>CS2</t>
        </is>
      </c>
      <c r="E148" t="inlineStr">
        <is>
          <t>Nuke</t>
        </is>
      </c>
      <c r="F148" t="n">
        <v>6</v>
      </c>
      <c r="G148" t="n">
        <v>13.5</v>
      </c>
      <c r="H148" t="n">
        <v>0.6899999999999999</v>
      </c>
      <c r="I148" s="8" t="n">
        <v>0.309</v>
      </c>
      <c r="J148" t="n">
        <v>1.07</v>
      </c>
      <c r="K148" s="11">
        <f>IF(H148&lt;&gt;"",H148,IFERROR(G148/INDEX(Players!$M$2:$M$124,MATCH(B148,Players!$A$2:$A$124,0)),""))</f>
        <v/>
      </c>
    </row>
    <row r="149">
      <c r="A149" t="inlineStr">
        <is>
          <t>q3hhhk7fp22ng9v|Mirage</t>
        </is>
      </c>
      <c r="B149" t="inlineStr">
        <is>
          <t>q3hhhk7fp22ng9v</t>
        </is>
      </c>
      <c r="C149" t="inlineStr">
        <is>
          <t>El1an</t>
        </is>
      </c>
      <c r="D149" t="inlineStr">
        <is>
          <t>CS2</t>
        </is>
      </c>
      <c r="E149" t="inlineStr">
        <is>
          <t>Mirage</t>
        </is>
      </c>
      <c r="F149" t="n">
        <v>5</v>
      </c>
      <c r="G149" t="n">
        <v>20.2</v>
      </c>
      <c r="H149" t="n">
        <v>0.78</v>
      </c>
      <c r="I149" s="8" t="n">
        <v>0.248</v>
      </c>
      <c r="J149" t="n">
        <v>1.36</v>
      </c>
      <c r="K149" s="11">
        <f>IF(H149&lt;&gt;"",H149,IFERROR(G149/INDEX(Players!$M$2:$M$124,MATCH(B149,Players!$A$2:$A$124,0)),""))</f>
        <v/>
      </c>
    </row>
    <row r="150">
      <c r="A150" t="inlineStr">
        <is>
          <t>q3hhhk7fp22ng9v|Cache</t>
        </is>
      </c>
      <c r="B150" t="inlineStr">
        <is>
          <t>q3hhhk7fp22ng9v</t>
        </is>
      </c>
      <c r="C150" t="inlineStr">
        <is>
          <t>El1an</t>
        </is>
      </c>
      <c r="D150" t="inlineStr">
        <is>
          <t>CS2</t>
        </is>
      </c>
      <c r="E150" t="inlineStr">
        <is>
          <t>Cache</t>
        </is>
      </c>
      <c r="F150" t="n">
        <v>5</v>
      </c>
      <c r="G150" t="n">
        <v>13.6</v>
      </c>
      <c r="H150" t="n">
        <v>0.7</v>
      </c>
      <c r="I150" s="8" t="n">
        <v>0.368</v>
      </c>
      <c r="J150" t="n">
        <v>1.17</v>
      </c>
      <c r="K150" s="11">
        <f>IF(H150&lt;&gt;"",H150,IFERROR(G150/INDEX(Players!$M$2:$M$124,MATCH(B150,Players!$A$2:$A$124,0)),""))</f>
        <v/>
      </c>
    </row>
    <row r="151">
      <c r="A151" t="inlineStr">
        <is>
          <t>q3hhhk7fp22ng9v|Inferno</t>
        </is>
      </c>
      <c r="B151" t="inlineStr">
        <is>
          <t>q3hhhk7fp22ng9v</t>
        </is>
      </c>
      <c r="C151" t="inlineStr">
        <is>
          <t>El1an</t>
        </is>
      </c>
      <c r="D151" t="inlineStr">
        <is>
          <t>CS2</t>
        </is>
      </c>
      <c r="E151" t="inlineStr">
        <is>
          <t>Inferno</t>
        </is>
      </c>
      <c r="F151" t="n">
        <v>4</v>
      </c>
      <c r="G151" t="n">
        <v>13.8</v>
      </c>
      <c r="H151" t="n">
        <v>0.66</v>
      </c>
      <c r="I151" s="8" t="n">
        <v>0.364</v>
      </c>
      <c r="J151" t="n">
        <v>1.1</v>
      </c>
      <c r="K151" s="11">
        <f>IF(H151&lt;&gt;"",H151,IFERROR(G151/INDEX(Players!$M$2:$M$124,MATCH(B151,Players!$A$2:$A$124,0)),""))</f>
        <v/>
      </c>
    </row>
    <row r="152">
      <c r="A152" t="inlineStr">
        <is>
          <t>q3hhhk7fp22ng9v|Ancient</t>
        </is>
      </c>
      <c r="B152" t="inlineStr">
        <is>
          <t>q3hhhk7fp22ng9v</t>
        </is>
      </c>
      <c r="C152" t="inlineStr">
        <is>
          <t>El1an</t>
        </is>
      </c>
      <c r="D152" t="inlineStr">
        <is>
          <t>CS2</t>
        </is>
      </c>
      <c r="E152" t="inlineStr">
        <is>
          <t>Ancient</t>
        </is>
      </c>
      <c r="F152" t="n">
        <v>3</v>
      </c>
      <c r="G152" t="n">
        <v>17</v>
      </c>
      <c r="H152" t="n">
        <v>0.65</v>
      </c>
      <c r="I152" s="8" t="n">
        <v>0.294</v>
      </c>
      <c r="J152" t="n">
        <v>1.13</v>
      </c>
      <c r="K152" s="11">
        <f>IF(H152&lt;&gt;"",H152,IFERROR(G152/INDEX(Players!$M$2:$M$124,MATCH(B152,Players!$A$2:$A$124,0)),""))</f>
        <v/>
      </c>
    </row>
    <row r="153">
      <c r="A153" t="inlineStr">
        <is>
          <t>we8rbjpf65bc2tn|Mirage</t>
        </is>
      </c>
      <c r="B153" t="inlineStr">
        <is>
          <t>we8rbjpf65bc2tn</t>
        </is>
      </c>
      <c r="C153" t="inlineStr">
        <is>
          <t>EliGE</t>
        </is>
      </c>
      <c r="D153" t="inlineStr">
        <is>
          <t>CS2</t>
        </is>
      </c>
      <c r="E153" t="inlineStr">
        <is>
          <t>Mirage</t>
        </is>
      </c>
      <c r="F153" t="n">
        <v>7</v>
      </c>
      <c r="G153" t="n">
        <v>18.4</v>
      </c>
      <c r="H153" t="n">
        <v>0.78</v>
      </c>
      <c r="I153" s="8" t="n">
        <v>0.605</v>
      </c>
      <c r="J153" t="n">
        <v>1.12</v>
      </c>
      <c r="K153" s="11">
        <f>IF(H153&lt;&gt;"",H153,IFERROR(G153/INDEX(Players!$M$2:$M$124,MATCH(B153,Players!$A$2:$A$124,0)),""))</f>
        <v/>
      </c>
    </row>
    <row r="154">
      <c r="A154" t="inlineStr">
        <is>
          <t>we8rbjpf65bc2tn|Cache</t>
        </is>
      </c>
      <c r="B154" t="inlineStr">
        <is>
          <t>we8rbjpf65bc2tn</t>
        </is>
      </c>
      <c r="C154" t="inlineStr">
        <is>
          <t>EliGE</t>
        </is>
      </c>
      <c r="D154" t="inlineStr">
        <is>
          <t>CS2</t>
        </is>
      </c>
      <c r="E154" t="inlineStr">
        <is>
          <t>Cache</t>
        </is>
      </c>
      <c r="F154" t="n">
        <v>7</v>
      </c>
      <c r="G154" t="n">
        <v>17</v>
      </c>
      <c r="H154" t="n">
        <v>0.76</v>
      </c>
      <c r="I154" s="8" t="n">
        <v>0.613</v>
      </c>
      <c r="J154" t="n">
        <v>1.06</v>
      </c>
      <c r="K154" s="11">
        <f>IF(H154&lt;&gt;"",H154,IFERROR(G154/INDEX(Players!$M$2:$M$124,MATCH(B154,Players!$A$2:$A$124,0)),""))</f>
        <v/>
      </c>
    </row>
    <row r="155">
      <c r="A155" t="inlineStr">
        <is>
          <t>we8rbjpf65bc2tn|Inferno</t>
        </is>
      </c>
      <c r="B155" t="inlineStr">
        <is>
          <t>we8rbjpf65bc2tn</t>
        </is>
      </c>
      <c r="C155" t="inlineStr">
        <is>
          <t>EliGE</t>
        </is>
      </c>
      <c r="D155" t="inlineStr">
        <is>
          <t>CS2</t>
        </is>
      </c>
      <c r="E155" t="inlineStr">
        <is>
          <t>Inferno</t>
        </is>
      </c>
      <c r="F155" t="n">
        <v>5</v>
      </c>
      <c r="G155" t="n">
        <v>17.8</v>
      </c>
      <c r="H155" t="n">
        <v>0.87</v>
      </c>
      <c r="I155" s="8" t="n">
        <v>0.584</v>
      </c>
      <c r="J155" t="n">
        <v>1.46</v>
      </c>
      <c r="K155" s="11">
        <f>IF(H155&lt;&gt;"",H155,IFERROR(G155/INDEX(Players!$M$2:$M$124,MATCH(B155,Players!$A$2:$A$124,0)),""))</f>
        <v/>
      </c>
    </row>
    <row r="156">
      <c r="A156" t="inlineStr">
        <is>
          <t>we8rbjpf65bc2tn|Nuke</t>
        </is>
      </c>
      <c r="B156" t="inlineStr">
        <is>
          <t>we8rbjpf65bc2tn</t>
        </is>
      </c>
      <c r="C156" t="inlineStr">
        <is>
          <t>EliGE</t>
        </is>
      </c>
      <c r="D156" t="inlineStr">
        <is>
          <t>CS2</t>
        </is>
      </c>
      <c r="E156" t="inlineStr">
        <is>
          <t>Nuke</t>
        </is>
      </c>
      <c r="F156" t="n">
        <v>4</v>
      </c>
      <c r="G156" t="n">
        <v>17</v>
      </c>
      <c r="H156" t="n">
        <v>0.82</v>
      </c>
      <c r="I156" s="8" t="n">
        <v>0.5589999999999999</v>
      </c>
      <c r="J156" t="n">
        <v>1.15</v>
      </c>
      <c r="K156" s="11">
        <f>IF(H156&lt;&gt;"",H156,IFERROR(G156/INDEX(Players!$M$2:$M$124,MATCH(B156,Players!$A$2:$A$124,0)),""))</f>
        <v/>
      </c>
    </row>
    <row r="157">
      <c r="A157" t="inlineStr">
        <is>
          <t>we8rbjpf65bc2tn|Anubis</t>
        </is>
      </c>
      <c r="B157" t="inlineStr">
        <is>
          <t>we8rbjpf65bc2tn</t>
        </is>
      </c>
      <c r="C157" t="inlineStr">
        <is>
          <t>EliGE</t>
        </is>
      </c>
      <c r="D157" t="inlineStr">
        <is>
          <t>CS2</t>
        </is>
      </c>
      <c r="E157" t="inlineStr">
        <is>
          <t>Anubis</t>
        </is>
      </c>
      <c r="F157" t="n">
        <v>3</v>
      </c>
      <c r="G157" t="n">
        <v>17</v>
      </c>
      <c r="H157" t="n">
        <v>0.85</v>
      </c>
      <c r="I157" s="8" t="n">
        <v>0.529</v>
      </c>
      <c r="J157" t="n">
        <v>1.55</v>
      </c>
      <c r="K157" s="11">
        <f>IF(H157&lt;&gt;"",H157,IFERROR(G157/INDEX(Players!$M$2:$M$124,MATCH(B157,Players!$A$2:$A$124,0)),""))</f>
        <v/>
      </c>
    </row>
    <row r="158">
      <c r="A158" t="inlineStr">
        <is>
          <t>we8rbjpf65bc2tn|Dust2</t>
        </is>
      </c>
      <c r="B158" t="inlineStr">
        <is>
          <t>we8rbjpf65bc2tn</t>
        </is>
      </c>
      <c r="C158" t="inlineStr">
        <is>
          <t>EliGE</t>
        </is>
      </c>
      <c r="D158" t="inlineStr">
        <is>
          <t>CS2</t>
        </is>
      </c>
      <c r="E158" t="inlineStr">
        <is>
          <t>Dust2</t>
        </is>
      </c>
      <c r="F158" t="n">
        <v>3</v>
      </c>
      <c r="G158" t="n">
        <v>11.7</v>
      </c>
      <c r="H158" t="n">
        <v>0.58</v>
      </c>
      <c r="I158" s="8" t="n">
        <v>0.429</v>
      </c>
      <c r="J158" t="n">
        <v>0.85</v>
      </c>
      <c r="K158" s="11">
        <f>IF(H158&lt;&gt;"",H158,IFERROR(G158/INDEX(Players!$M$2:$M$124,MATCH(B158,Players!$A$2:$A$124,0)),""))</f>
        <v/>
      </c>
    </row>
    <row r="159">
      <c r="A159" t="inlineStr">
        <is>
          <t>we8rbjpf65bc2tn|Ancient</t>
        </is>
      </c>
      <c r="B159" t="inlineStr">
        <is>
          <t>we8rbjpf65bc2tn</t>
        </is>
      </c>
      <c r="C159" t="inlineStr">
        <is>
          <t>EliGE</t>
        </is>
      </c>
      <c r="D159" t="inlineStr">
        <is>
          <t>CS2</t>
        </is>
      </c>
      <c r="E159" t="inlineStr">
        <is>
          <t>Ancient</t>
        </is>
      </c>
      <c r="F159" t="n">
        <v>1</v>
      </c>
      <c r="G159" t="n">
        <v>22</v>
      </c>
      <c r="H159" t="n">
        <v>0.76</v>
      </c>
      <c r="I159" s="8" t="n">
        <v>0.727</v>
      </c>
      <c r="J159" t="n">
        <v>0.88</v>
      </c>
      <c r="K159" s="11">
        <f>IF(H159&lt;&gt;"",H159,IFERROR(G159/INDEX(Players!$M$2:$M$124,MATCH(B159,Players!$A$2:$A$124,0)),""))</f>
        <v/>
      </c>
    </row>
    <row r="160">
      <c r="A160" t="inlineStr">
        <is>
          <t>h2c84157n2ymvv2|Nuke</t>
        </is>
      </c>
      <c r="B160" t="inlineStr">
        <is>
          <t>h2c84157n2ymvv2</t>
        </is>
      </c>
      <c r="C160" t="inlineStr">
        <is>
          <t>F1KU</t>
        </is>
      </c>
      <c r="D160" t="inlineStr">
        <is>
          <t>CS2</t>
        </is>
      </c>
      <c r="E160" t="inlineStr">
        <is>
          <t>Nuke</t>
        </is>
      </c>
      <c r="F160" t="n">
        <v>11</v>
      </c>
      <c r="G160" t="n">
        <v>15.7</v>
      </c>
      <c r="H160" t="n">
        <v>0.6899999999999999</v>
      </c>
      <c r="I160" s="8" t="n">
        <v>0.5720000000000001</v>
      </c>
      <c r="J160" t="n">
        <v>1.04</v>
      </c>
      <c r="K160" s="11">
        <f>IF(H160&lt;&gt;"",H160,IFERROR(G160/INDEX(Players!$M$2:$M$124,MATCH(B160,Players!$A$2:$A$124,0)),""))</f>
        <v/>
      </c>
    </row>
    <row r="161">
      <c r="A161" t="inlineStr">
        <is>
          <t>h2c84157n2ymvv2|Mirage</t>
        </is>
      </c>
      <c r="B161" t="inlineStr">
        <is>
          <t>h2c84157n2ymvv2</t>
        </is>
      </c>
      <c r="C161" t="inlineStr">
        <is>
          <t>F1KU</t>
        </is>
      </c>
      <c r="D161" t="inlineStr">
        <is>
          <t>CS2</t>
        </is>
      </c>
      <c r="E161" t="inlineStr">
        <is>
          <t>Mirage</t>
        </is>
      </c>
      <c r="F161" t="n">
        <v>7</v>
      </c>
      <c r="G161" t="n">
        <v>14.6</v>
      </c>
      <c r="H161" t="n">
        <v>0.66</v>
      </c>
      <c r="I161" s="8" t="n">
        <v>0.578</v>
      </c>
      <c r="J161" t="n">
        <v>1.03</v>
      </c>
      <c r="K161" s="11">
        <f>IF(H161&lt;&gt;"",H161,IFERROR(G161/INDEX(Players!$M$2:$M$124,MATCH(B161,Players!$A$2:$A$124,0)),""))</f>
        <v/>
      </c>
    </row>
    <row r="162">
      <c r="A162" t="inlineStr">
        <is>
          <t>h2c84157n2ymvv2|Cache</t>
        </is>
      </c>
      <c r="B162" t="inlineStr">
        <is>
          <t>h2c84157n2ymvv2</t>
        </is>
      </c>
      <c r="C162" t="inlineStr">
        <is>
          <t>F1KU</t>
        </is>
      </c>
      <c r="D162" t="inlineStr">
        <is>
          <t>CS2</t>
        </is>
      </c>
      <c r="E162" t="inlineStr">
        <is>
          <t>Cache</t>
        </is>
      </c>
      <c r="F162" t="n">
        <v>5</v>
      </c>
      <c r="G162" t="n">
        <v>14.4</v>
      </c>
      <c r="H162" t="n">
        <v>0.6899999999999999</v>
      </c>
      <c r="I162" s="8" t="n">
        <v>0.639</v>
      </c>
      <c r="J162" t="n">
        <v>1.09</v>
      </c>
      <c r="K162" s="11">
        <f>IF(H162&lt;&gt;"",H162,IFERROR(G162/INDEX(Players!$M$2:$M$124,MATCH(B162,Players!$A$2:$A$124,0)),""))</f>
        <v/>
      </c>
    </row>
    <row r="163">
      <c r="A163" t="inlineStr">
        <is>
          <t>h2c84157n2ymvv2|Anubis</t>
        </is>
      </c>
      <c r="B163" t="inlineStr">
        <is>
          <t>h2c84157n2ymvv2</t>
        </is>
      </c>
      <c r="C163" t="inlineStr">
        <is>
          <t>F1KU</t>
        </is>
      </c>
      <c r="D163" t="inlineStr">
        <is>
          <t>CS2</t>
        </is>
      </c>
      <c r="E163" t="inlineStr">
        <is>
          <t>Anubis</t>
        </is>
      </c>
      <c r="F163" t="n">
        <v>3</v>
      </c>
      <c r="G163" t="n">
        <v>15.3</v>
      </c>
      <c r="H163" t="n">
        <v>0.72</v>
      </c>
      <c r="I163" s="8" t="n">
        <v>0.674</v>
      </c>
      <c r="J163" t="n">
        <v>1.28</v>
      </c>
      <c r="K163" s="11">
        <f>IF(H163&lt;&gt;"",H163,IFERROR(G163/INDEX(Players!$M$2:$M$124,MATCH(B163,Players!$A$2:$A$124,0)),""))</f>
        <v/>
      </c>
    </row>
    <row r="164">
      <c r="A164" t="inlineStr">
        <is>
          <t>h2c84157n2ymvv2|Inferno</t>
        </is>
      </c>
      <c r="B164" t="inlineStr">
        <is>
          <t>h2c84157n2ymvv2</t>
        </is>
      </c>
      <c r="C164" t="inlineStr">
        <is>
          <t>F1KU</t>
        </is>
      </c>
      <c r="D164" t="inlineStr">
        <is>
          <t>CS2</t>
        </is>
      </c>
      <c r="E164" t="inlineStr">
        <is>
          <t>Inferno</t>
        </is>
      </c>
      <c r="F164" t="n">
        <v>3</v>
      </c>
      <c r="G164" t="n">
        <v>8.699999999999999</v>
      </c>
      <c r="H164" t="n">
        <v>0.43</v>
      </c>
      <c r="I164" s="8" t="n">
        <v>0.5379999999999999</v>
      </c>
      <c r="J164" t="n">
        <v>0.6</v>
      </c>
      <c r="K164" s="11">
        <f>IF(H164&lt;&gt;"",H164,IFERROR(G164/INDEX(Players!$M$2:$M$124,MATCH(B164,Players!$A$2:$A$124,0)),""))</f>
        <v/>
      </c>
    </row>
    <row r="165">
      <c r="A165" t="inlineStr">
        <is>
          <t>h2c84157n2ymvv2|Ancient</t>
        </is>
      </c>
      <c r="B165" t="inlineStr">
        <is>
          <t>h2c84157n2ymvv2</t>
        </is>
      </c>
      <c r="C165" t="inlineStr">
        <is>
          <t>F1KU</t>
        </is>
      </c>
      <c r="D165" t="inlineStr">
        <is>
          <t>CS2</t>
        </is>
      </c>
      <c r="E165" t="inlineStr">
        <is>
          <t>Ancient</t>
        </is>
      </c>
      <c r="F165" t="n">
        <v>2</v>
      </c>
      <c r="G165" t="n">
        <v>15.5</v>
      </c>
      <c r="H165" t="n">
        <v>0.74</v>
      </c>
      <c r="I165" s="8" t="n">
        <v>0.516</v>
      </c>
      <c r="J165" t="n">
        <v>1.15</v>
      </c>
      <c r="K165" s="11">
        <f>IF(H165&lt;&gt;"",H165,IFERROR(G165/INDEX(Players!$M$2:$M$124,MATCH(B165,Players!$A$2:$A$124,0)),""))</f>
        <v/>
      </c>
    </row>
    <row r="166">
      <c r="A166" t="inlineStr">
        <is>
          <t>upsdzrueyrfmr1m|Mirage</t>
        </is>
      </c>
      <c r="B166" t="inlineStr">
        <is>
          <t>upsdzrueyrfmr1m</t>
        </is>
      </c>
      <c r="C166" t="inlineStr">
        <is>
          <t>FalleN</t>
        </is>
      </c>
      <c r="D166" t="inlineStr">
        <is>
          <t>CS2</t>
        </is>
      </c>
      <c r="E166" t="inlineStr">
        <is>
          <t>Mirage</t>
        </is>
      </c>
      <c r="F166" t="n">
        <v>10</v>
      </c>
      <c r="G166" t="n">
        <v>12.1</v>
      </c>
      <c r="H166" t="n">
        <v>0.55</v>
      </c>
      <c r="I166" s="8" t="n">
        <v>0.479</v>
      </c>
      <c r="J166" t="n">
        <v>0.88</v>
      </c>
      <c r="K166" s="11">
        <f>IF(H166&lt;&gt;"",H166,IFERROR(G166/INDEX(Players!$M$2:$M$124,MATCH(B166,Players!$A$2:$A$124,0)),""))</f>
        <v/>
      </c>
    </row>
    <row r="167">
      <c r="A167" t="inlineStr">
        <is>
          <t>upsdzrueyrfmr1m|Inferno</t>
        </is>
      </c>
      <c r="B167" t="inlineStr">
        <is>
          <t>upsdzrueyrfmr1m</t>
        </is>
      </c>
      <c r="C167" t="inlineStr">
        <is>
          <t>FalleN</t>
        </is>
      </c>
      <c r="D167" t="inlineStr">
        <is>
          <t>CS2</t>
        </is>
      </c>
      <c r="E167" t="inlineStr">
        <is>
          <t>Inferno</t>
        </is>
      </c>
      <c r="F167" t="n">
        <v>6</v>
      </c>
      <c r="G167" t="n">
        <v>13</v>
      </c>
      <c r="H167" t="n">
        <v>0.63</v>
      </c>
      <c r="I167" s="8" t="n">
        <v>0.526</v>
      </c>
      <c r="J167" t="n">
        <v>1.07</v>
      </c>
      <c r="K167" s="11">
        <f>IF(H167&lt;&gt;"",H167,IFERROR(G167/INDEX(Players!$M$2:$M$124,MATCH(B167,Players!$A$2:$A$124,0)),""))</f>
        <v/>
      </c>
    </row>
    <row r="168">
      <c r="A168" t="inlineStr">
        <is>
          <t>upsdzrueyrfmr1m|Nuke</t>
        </is>
      </c>
      <c r="B168" t="inlineStr">
        <is>
          <t>upsdzrueyrfmr1m</t>
        </is>
      </c>
      <c r="C168" t="inlineStr">
        <is>
          <t>FalleN</t>
        </is>
      </c>
      <c r="D168" t="inlineStr">
        <is>
          <t>CS2</t>
        </is>
      </c>
      <c r="E168" t="inlineStr">
        <is>
          <t>Nuke</t>
        </is>
      </c>
      <c r="F168" t="n">
        <v>6</v>
      </c>
      <c r="G168" t="n">
        <v>12.8</v>
      </c>
      <c r="H168" t="n">
        <v>0.59</v>
      </c>
      <c r="I168" s="8" t="n">
        <v>0.442</v>
      </c>
      <c r="J168" t="n">
        <v>0.92</v>
      </c>
      <c r="K168" s="11">
        <f>IF(H168&lt;&gt;"",H168,IFERROR(G168/INDEX(Players!$M$2:$M$124,MATCH(B168,Players!$A$2:$A$124,0)),""))</f>
        <v/>
      </c>
    </row>
    <row r="169">
      <c r="A169" t="inlineStr">
        <is>
          <t>upsdzrueyrfmr1m|Cache</t>
        </is>
      </c>
      <c r="B169" t="inlineStr">
        <is>
          <t>upsdzrueyrfmr1m</t>
        </is>
      </c>
      <c r="C169" t="inlineStr">
        <is>
          <t>FalleN</t>
        </is>
      </c>
      <c r="D169" t="inlineStr">
        <is>
          <t>CS2</t>
        </is>
      </c>
      <c r="E169" t="inlineStr">
        <is>
          <t>Cache</t>
        </is>
      </c>
      <c r="F169" t="n">
        <v>6</v>
      </c>
      <c r="G169" t="n">
        <v>9.300000000000001</v>
      </c>
      <c r="H169" t="n">
        <v>0.44</v>
      </c>
      <c r="I169" s="8" t="n">
        <v>0.536</v>
      </c>
      <c r="J169" t="n">
        <v>0.64</v>
      </c>
      <c r="K169" s="11">
        <f>IF(H169&lt;&gt;"",H169,IFERROR(G169/INDEX(Players!$M$2:$M$124,MATCH(B169,Players!$A$2:$A$124,0)),""))</f>
        <v/>
      </c>
    </row>
    <row r="170">
      <c r="A170" t="inlineStr">
        <is>
          <t>upsdzrueyrfmr1m|Dust2</t>
        </is>
      </c>
      <c r="B170" t="inlineStr">
        <is>
          <t>upsdzrueyrfmr1m</t>
        </is>
      </c>
      <c r="C170" t="inlineStr">
        <is>
          <t>FalleN</t>
        </is>
      </c>
      <c r="D170" t="inlineStr">
        <is>
          <t>CS2</t>
        </is>
      </c>
      <c r="E170" t="inlineStr">
        <is>
          <t>Dust2</t>
        </is>
      </c>
      <c r="F170" t="n">
        <v>4</v>
      </c>
      <c r="G170" t="n">
        <v>10.3</v>
      </c>
      <c r="H170" t="n">
        <v>0.52</v>
      </c>
      <c r="I170" s="8" t="n">
        <v>0.61</v>
      </c>
      <c r="J170" t="n">
        <v>0.84</v>
      </c>
      <c r="K170" s="11">
        <f>IF(H170&lt;&gt;"",H170,IFERROR(G170/INDEX(Players!$M$2:$M$124,MATCH(B170,Players!$A$2:$A$124,0)),""))</f>
        <v/>
      </c>
    </row>
    <row r="171">
      <c r="A171" t="inlineStr">
        <is>
          <t>upsdzrueyrfmr1m|Ancient</t>
        </is>
      </c>
      <c r="B171" t="inlineStr">
        <is>
          <t>upsdzrueyrfmr1m</t>
        </is>
      </c>
      <c r="C171" t="inlineStr">
        <is>
          <t>FalleN</t>
        </is>
      </c>
      <c r="D171" t="inlineStr">
        <is>
          <t>CS2</t>
        </is>
      </c>
      <c r="E171" t="inlineStr">
        <is>
          <t>Ancient</t>
        </is>
      </c>
      <c r="F171" t="n">
        <v>4</v>
      </c>
      <c r="G171" t="n">
        <v>12.8</v>
      </c>
      <c r="H171" t="n">
        <v>0.52</v>
      </c>
      <c r="I171" s="8" t="n">
        <v>0.5489999999999999</v>
      </c>
      <c r="J171" t="n">
        <v>0.77</v>
      </c>
      <c r="K171" s="11">
        <f>IF(H171&lt;&gt;"",H171,IFERROR(G171/INDEX(Players!$M$2:$M$124,MATCH(B171,Players!$A$2:$A$124,0)),""))</f>
        <v/>
      </c>
    </row>
    <row r="172">
      <c r="A172" t="inlineStr">
        <is>
          <t>upsdzrueyrfmr1m|Anubis</t>
        </is>
      </c>
      <c r="B172" t="inlineStr">
        <is>
          <t>upsdzrueyrfmr1m</t>
        </is>
      </c>
      <c r="C172" t="inlineStr">
        <is>
          <t>FalleN</t>
        </is>
      </c>
      <c r="D172" t="inlineStr">
        <is>
          <t>CS2</t>
        </is>
      </c>
      <c r="E172" t="inlineStr">
        <is>
          <t>Anubis</t>
        </is>
      </c>
      <c r="F172" t="n">
        <v>1</v>
      </c>
      <c r="G172" t="n">
        <v>10</v>
      </c>
      <c r="H172" t="n">
        <v>0.48</v>
      </c>
      <c r="I172" s="8" t="n">
        <v>0.6</v>
      </c>
      <c r="J172" t="n">
        <v>0.71</v>
      </c>
      <c r="K172" s="11">
        <f>IF(H172&lt;&gt;"",H172,IFERROR(G172/INDEX(Players!$M$2:$M$124,MATCH(B172,Players!$A$2:$A$124,0)),""))</f>
        <v/>
      </c>
    </row>
    <row r="173">
      <c r="A173" t="inlineStr">
        <is>
          <t>wtkbukkt9i8g1y0|Ancient</t>
        </is>
      </c>
      <c r="B173" t="inlineStr">
        <is>
          <t>wtkbukkt9i8g1y0</t>
        </is>
      </c>
      <c r="C173" t="inlineStr">
        <is>
          <t>finW</t>
        </is>
      </c>
      <c r="D173" t="inlineStr">
        <is>
          <t>CS2</t>
        </is>
      </c>
      <c r="E173" t="inlineStr">
        <is>
          <t>Ancient</t>
        </is>
      </c>
      <c r="F173" t="n">
        <v>8</v>
      </c>
      <c r="G173" t="n">
        <v>16.9</v>
      </c>
      <c r="H173" t="n">
        <v>0.78</v>
      </c>
      <c r="I173" s="8" t="n">
        <v>0.519</v>
      </c>
      <c r="J173" t="n">
        <v>1.36</v>
      </c>
      <c r="K173" s="11">
        <f>IF(H173&lt;&gt;"",H173,IFERROR(G173/INDEX(Players!$M$2:$M$124,MATCH(B173,Players!$A$2:$A$124,0)),""))</f>
        <v/>
      </c>
    </row>
    <row r="174">
      <c r="A174" t="inlineStr">
        <is>
          <t>wtkbukkt9i8g1y0|Nuke</t>
        </is>
      </c>
      <c r="B174" t="inlineStr">
        <is>
          <t>wtkbukkt9i8g1y0</t>
        </is>
      </c>
      <c r="C174" t="inlineStr">
        <is>
          <t>finW</t>
        </is>
      </c>
      <c r="D174" t="inlineStr">
        <is>
          <t>CS2</t>
        </is>
      </c>
      <c r="E174" t="inlineStr">
        <is>
          <t>Nuke</t>
        </is>
      </c>
      <c r="F174" t="n">
        <v>8</v>
      </c>
      <c r="G174" t="n">
        <v>9.9</v>
      </c>
      <c r="H174" t="n">
        <v>0.53</v>
      </c>
      <c r="I174" s="8" t="n">
        <v>0.595</v>
      </c>
      <c r="J174" t="n">
        <v>0.65</v>
      </c>
      <c r="K174" s="11">
        <f>IF(H174&lt;&gt;"",H174,IFERROR(G174/INDEX(Players!$M$2:$M$124,MATCH(B174,Players!$A$2:$A$124,0)),""))</f>
        <v/>
      </c>
    </row>
    <row r="175">
      <c r="A175" t="inlineStr">
        <is>
          <t>wtkbukkt9i8g1y0|Inferno</t>
        </is>
      </c>
      <c r="B175" t="inlineStr">
        <is>
          <t>wtkbukkt9i8g1y0</t>
        </is>
      </c>
      <c r="C175" t="inlineStr">
        <is>
          <t>finW</t>
        </is>
      </c>
      <c r="D175" t="inlineStr">
        <is>
          <t>CS2</t>
        </is>
      </c>
      <c r="E175" t="inlineStr">
        <is>
          <t>Inferno</t>
        </is>
      </c>
      <c r="F175" t="n">
        <v>7</v>
      </c>
      <c r="G175" t="n">
        <v>13.7</v>
      </c>
      <c r="H175" t="n">
        <v>0.63</v>
      </c>
      <c r="I175" s="8" t="n">
        <v>0.49</v>
      </c>
      <c r="J175" t="n">
        <v>1.03</v>
      </c>
      <c r="K175" s="11">
        <f>IF(H175&lt;&gt;"",H175,IFERROR(G175/INDEX(Players!$M$2:$M$124,MATCH(B175,Players!$A$2:$A$124,0)),""))</f>
        <v/>
      </c>
    </row>
    <row r="176">
      <c r="A176" t="inlineStr">
        <is>
          <t>wtkbukkt9i8g1y0|Dust2</t>
        </is>
      </c>
      <c r="B176" t="inlineStr">
        <is>
          <t>wtkbukkt9i8g1y0</t>
        </is>
      </c>
      <c r="C176" t="inlineStr">
        <is>
          <t>finW</t>
        </is>
      </c>
      <c r="D176" t="inlineStr">
        <is>
          <t>CS2</t>
        </is>
      </c>
      <c r="E176" t="inlineStr">
        <is>
          <t>Dust2</t>
        </is>
      </c>
      <c r="F176" t="n">
        <v>7</v>
      </c>
      <c r="G176" t="n">
        <v>14.4</v>
      </c>
      <c r="H176" t="n">
        <v>0.61</v>
      </c>
      <c r="I176" s="8" t="n">
        <v>0.495</v>
      </c>
      <c r="J176" t="n">
        <v>0.97</v>
      </c>
      <c r="K176" s="11">
        <f>IF(H176&lt;&gt;"",H176,IFERROR(G176/INDEX(Players!$M$2:$M$124,MATCH(B176,Players!$A$2:$A$124,0)),""))</f>
        <v/>
      </c>
    </row>
    <row r="177">
      <c r="A177" t="inlineStr">
        <is>
          <t>wtkbukkt9i8g1y0|Cache</t>
        </is>
      </c>
      <c r="B177" t="inlineStr">
        <is>
          <t>wtkbukkt9i8g1y0</t>
        </is>
      </c>
      <c r="C177" t="inlineStr">
        <is>
          <t>finW</t>
        </is>
      </c>
      <c r="D177" t="inlineStr">
        <is>
          <t>CS2</t>
        </is>
      </c>
      <c r="E177" t="inlineStr">
        <is>
          <t>Cache</t>
        </is>
      </c>
      <c r="F177" t="n">
        <v>4</v>
      </c>
      <c r="G177" t="n">
        <v>11.3</v>
      </c>
      <c r="H177" t="n">
        <v>0.53</v>
      </c>
      <c r="I177" s="8" t="n">
        <v>0.578</v>
      </c>
      <c r="J177" t="n">
        <v>0.76</v>
      </c>
      <c r="K177" s="11">
        <f>IF(H177&lt;&gt;"",H177,IFERROR(G177/INDEX(Players!$M$2:$M$124,MATCH(B177,Players!$A$2:$A$124,0)),""))</f>
        <v/>
      </c>
    </row>
    <row r="178">
      <c r="A178" t="inlineStr">
        <is>
          <t>wtkbukkt9i8g1y0|Anubis</t>
        </is>
      </c>
      <c r="B178" t="inlineStr">
        <is>
          <t>wtkbukkt9i8g1y0</t>
        </is>
      </c>
      <c r="C178" t="inlineStr">
        <is>
          <t>finW</t>
        </is>
      </c>
      <c r="D178" t="inlineStr">
        <is>
          <t>CS2</t>
        </is>
      </c>
      <c r="E178" t="inlineStr">
        <is>
          <t>Anubis</t>
        </is>
      </c>
      <c r="F178" t="n">
        <v>1</v>
      </c>
      <c r="G178" t="n">
        <v>22</v>
      </c>
      <c r="H178" t="n">
        <v>1.05</v>
      </c>
      <c r="I178" s="8" t="n">
        <v>0.591</v>
      </c>
      <c r="J178" t="n">
        <v>1.69</v>
      </c>
      <c r="K178" s="11">
        <f>IF(H178&lt;&gt;"",H178,IFERROR(G178/INDEX(Players!$M$2:$M$124,MATCH(B178,Players!$A$2:$A$124,0)),""))</f>
        <v/>
      </c>
    </row>
    <row r="179">
      <c r="A179" t="inlineStr">
        <is>
          <t>uiy2ot3l9f0c2i9|Dust2</t>
        </is>
      </c>
      <c r="B179" t="inlineStr">
        <is>
          <t>uiy2ot3l9f0c2i9</t>
        </is>
      </c>
      <c r="C179" t="inlineStr">
        <is>
          <t>flameZ</t>
        </is>
      </c>
      <c r="D179" t="inlineStr">
        <is>
          <t>CS2</t>
        </is>
      </c>
      <c r="E179" t="inlineStr">
        <is>
          <t>Dust2</t>
        </is>
      </c>
      <c r="F179" t="n">
        <v>9</v>
      </c>
      <c r="G179" t="n">
        <v>15.3</v>
      </c>
      <c r="H179" t="n">
        <v>0.75</v>
      </c>
      <c r="I179" s="8" t="n">
        <v>0.5720000000000001</v>
      </c>
      <c r="J179" t="n">
        <v>1.2</v>
      </c>
      <c r="K179" s="11">
        <f>IF(H179&lt;&gt;"",H179,IFERROR(G179/INDEX(Players!$M$2:$M$124,MATCH(B179,Players!$A$2:$A$124,0)),""))</f>
        <v/>
      </c>
    </row>
    <row r="180">
      <c r="A180" t="inlineStr">
        <is>
          <t>uiy2ot3l9f0c2i9|Mirage</t>
        </is>
      </c>
      <c r="B180" t="inlineStr">
        <is>
          <t>uiy2ot3l9f0c2i9</t>
        </is>
      </c>
      <c r="C180" t="inlineStr">
        <is>
          <t>flameZ</t>
        </is>
      </c>
      <c r="D180" t="inlineStr">
        <is>
          <t>CS2</t>
        </is>
      </c>
      <c r="E180" t="inlineStr">
        <is>
          <t>Mirage</t>
        </is>
      </c>
      <c r="F180" t="n">
        <v>8</v>
      </c>
      <c r="G180" t="n">
        <v>13.9</v>
      </c>
      <c r="H180" t="n">
        <v>0.7</v>
      </c>
      <c r="I180" s="8" t="n">
        <v>0.495</v>
      </c>
      <c r="J180" t="n">
        <v>1.07</v>
      </c>
      <c r="K180" s="11">
        <f>IF(H180&lt;&gt;"",H180,IFERROR(G180/INDEX(Players!$M$2:$M$124,MATCH(B180,Players!$A$2:$A$124,0)),""))</f>
        <v/>
      </c>
    </row>
    <row r="181">
      <c r="A181" t="inlineStr">
        <is>
          <t>uiy2ot3l9f0c2i9|Cache</t>
        </is>
      </c>
      <c r="B181" t="inlineStr">
        <is>
          <t>uiy2ot3l9f0c2i9</t>
        </is>
      </c>
      <c r="C181" t="inlineStr">
        <is>
          <t>flameZ</t>
        </is>
      </c>
      <c r="D181" t="inlineStr">
        <is>
          <t>CS2</t>
        </is>
      </c>
      <c r="E181" t="inlineStr">
        <is>
          <t>Cache</t>
        </is>
      </c>
      <c r="F181" t="n">
        <v>7</v>
      </c>
      <c r="G181" t="n">
        <v>14.6</v>
      </c>
      <c r="H181" t="n">
        <v>0.71</v>
      </c>
      <c r="I181" s="8" t="n">
        <v>0.51</v>
      </c>
      <c r="J181" t="n">
        <v>1.21</v>
      </c>
      <c r="K181" s="11">
        <f>IF(H181&lt;&gt;"",H181,IFERROR(G181/INDEX(Players!$M$2:$M$124,MATCH(B181,Players!$A$2:$A$124,0)),""))</f>
        <v/>
      </c>
    </row>
    <row r="182">
      <c r="A182" t="inlineStr">
        <is>
          <t>uiy2ot3l9f0c2i9|Anubis</t>
        </is>
      </c>
      <c r="B182" t="inlineStr">
        <is>
          <t>uiy2ot3l9f0c2i9</t>
        </is>
      </c>
      <c r="C182" t="inlineStr">
        <is>
          <t>flameZ</t>
        </is>
      </c>
      <c r="D182" t="inlineStr">
        <is>
          <t>CS2</t>
        </is>
      </c>
      <c r="E182" t="inlineStr">
        <is>
          <t>Anubis</t>
        </is>
      </c>
      <c r="F182" t="n">
        <v>7</v>
      </c>
      <c r="G182" t="n">
        <v>10.6</v>
      </c>
      <c r="H182" t="n">
        <v>0.54</v>
      </c>
      <c r="I182" s="8" t="n">
        <v>0.649</v>
      </c>
      <c r="J182" t="n">
        <v>0.78</v>
      </c>
      <c r="K182" s="11">
        <f>IF(H182&lt;&gt;"",H182,IFERROR(G182/INDEX(Players!$M$2:$M$124,MATCH(B182,Players!$A$2:$A$124,0)),""))</f>
        <v/>
      </c>
    </row>
    <row r="183">
      <c r="A183" t="inlineStr">
        <is>
          <t>uiy2ot3l9f0c2i9|Inferno</t>
        </is>
      </c>
      <c r="B183" t="inlineStr">
        <is>
          <t>uiy2ot3l9f0c2i9</t>
        </is>
      </c>
      <c r="C183" t="inlineStr">
        <is>
          <t>flameZ</t>
        </is>
      </c>
      <c r="D183" t="inlineStr">
        <is>
          <t>CS2</t>
        </is>
      </c>
      <c r="E183" t="inlineStr">
        <is>
          <t>Inferno</t>
        </is>
      </c>
      <c r="F183" t="n">
        <v>4</v>
      </c>
      <c r="G183" t="n">
        <v>16.3</v>
      </c>
      <c r="H183" t="n">
        <v>0.78</v>
      </c>
      <c r="I183" s="8" t="n">
        <v>0.492</v>
      </c>
      <c r="J183" t="n">
        <v>1.41</v>
      </c>
      <c r="K183" s="11">
        <f>IF(H183&lt;&gt;"",H183,IFERROR(G183/INDEX(Players!$M$2:$M$124,MATCH(B183,Players!$A$2:$A$124,0)),""))</f>
        <v/>
      </c>
    </row>
    <row r="184">
      <c r="A184" t="inlineStr">
        <is>
          <t>uiy2ot3l9f0c2i9|Nuke</t>
        </is>
      </c>
      <c r="B184" t="inlineStr">
        <is>
          <t>uiy2ot3l9f0c2i9</t>
        </is>
      </c>
      <c r="C184" t="inlineStr">
        <is>
          <t>flameZ</t>
        </is>
      </c>
      <c r="D184" t="inlineStr">
        <is>
          <t>CS2</t>
        </is>
      </c>
      <c r="E184" t="inlineStr">
        <is>
          <t>Nuke</t>
        </is>
      </c>
      <c r="F184" t="n">
        <v>3</v>
      </c>
      <c r="G184" t="n">
        <v>12</v>
      </c>
      <c r="H184" t="n">
        <v>0.62</v>
      </c>
      <c r="I184" s="8" t="n">
        <v>0.583</v>
      </c>
      <c r="J184" t="n">
        <v>0.82</v>
      </c>
      <c r="K184" s="11">
        <f>IF(H184&lt;&gt;"",H184,IFERROR(G184/INDEX(Players!$M$2:$M$124,MATCH(B184,Players!$A$2:$A$124,0)),""))</f>
        <v/>
      </c>
    </row>
    <row r="185">
      <c r="A185" t="inlineStr">
        <is>
          <t>4bqrch5n45sx5u9|Nuke</t>
        </is>
      </c>
      <c r="B185" t="inlineStr">
        <is>
          <t>4bqrch5n45sx5u9</t>
        </is>
      </c>
      <c r="C185" t="inlineStr">
        <is>
          <t>forsyy</t>
        </is>
      </c>
      <c r="D185" t="inlineStr">
        <is>
          <t>CS2</t>
        </is>
      </c>
      <c r="E185" t="inlineStr">
        <is>
          <t>Nuke</t>
        </is>
      </c>
      <c r="F185" t="n">
        <v>11</v>
      </c>
      <c r="G185" t="n">
        <v>15</v>
      </c>
      <c r="H185" t="n">
        <v>0.66</v>
      </c>
      <c r="I185" s="8" t="n">
        <v>0.37</v>
      </c>
      <c r="J185" t="n">
        <v>1.17</v>
      </c>
      <c r="K185" s="11">
        <f>IF(H185&lt;&gt;"",H185,IFERROR(G185/INDEX(Players!$M$2:$M$124,MATCH(B185,Players!$A$2:$A$124,0)),""))</f>
        <v/>
      </c>
    </row>
    <row r="186">
      <c r="A186" t="inlineStr">
        <is>
          <t>4bqrch5n45sx5u9|Mirage</t>
        </is>
      </c>
      <c r="B186" t="inlineStr">
        <is>
          <t>4bqrch5n45sx5u9</t>
        </is>
      </c>
      <c r="C186" t="inlineStr">
        <is>
          <t>forsyy</t>
        </is>
      </c>
      <c r="D186" t="inlineStr">
        <is>
          <t>CS2</t>
        </is>
      </c>
      <c r="E186" t="inlineStr">
        <is>
          <t>Mirage</t>
        </is>
      </c>
      <c r="F186" t="n">
        <v>7</v>
      </c>
      <c r="G186" t="n">
        <v>19.1</v>
      </c>
      <c r="H186" t="n">
        <v>0.87</v>
      </c>
      <c r="I186" s="8" t="n">
        <v>0.321</v>
      </c>
      <c r="J186" t="n">
        <v>1.46</v>
      </c>
      <c r="K186" s="11">
        <f>IF(H186&lt;&gt;"",H186,IFERROR(G186/INDEX(Players!$M$2:$M$124,MATCH(B186,Players!$A$2:$A$124,0)),""))</f>
        <v/>
      </c>
    </row>
    <row r="187">
      <c r="A187" t="inlineStr">
        <is>
          <t>4bqrch5n45sx5u9|Cache</t>
        </is>
      </c>
      <c r="B187" t="inlineStr">
        <is>
          <t>4bqrch5n45sx5u9</t>
        </is>
      </c>
      <c r="C187" t="inlineStr">
        <is>
          <t>forsyy</t>
        </is>
      </c>
      <c r="D187" t="inlineStr">
        <is>
          <t>CS2</t>
        </is>
      </c>
      <c r="E187" t="inlineStr">
        <is>
          <t>Cache</t>
        </is>
      </c>
      <c r="F187" t="n">
        <v>5</v>
      </c>
      <c r="G187" t="n">
        <v>15.6</v>
      </c>
      <c r="H187" t="n">
        <v>0.74</v>
      </c>
      <c r="I187" s="8" t="n">
        <v>0.346</v>
      </c>
      <c r="J187" t="n">
        <v>1.22</v>
      </c>
      <c r="K187" s="11">
        <f>IF(H187&lt;&gt;"",H187,IFERROR(G187/INDEX(Players!$M$2:$M$124,MATCH(B187,Players!$A$2:$A$124,0)),""))</f>
        <v/>
      </c>
    </row>
    <row r="188">
      <c r="A188" t="inlineStr">
        <is>
          <t>4bqrch5n45sx5u9|Inferno</t>
        </is>
      </c>
      <c r="B188" t="inlineStr">
        <is>
          <t>4bqrch5n45sx5u9</t>
        </is>
      </c>
      <c r="C188" t="inlineStr">
        <is>
          <t>forsyy</t>
        </is>
      </c>
      <c r="D188" t="inlineStr">
        <is>
          <t>CS2</t>
        </is>
      </c>
      <c r="E188" t="inlineStr">
        <is>
          <t>Inferno</t>
        </is>
      </c>
      <c r="F188" t="n">
        <v>3</v>
      </c>
      <c r="G188" t="n">
        <v>14.3</v>
      </c>
      <c r="H188" t="n">
        <v>0.7</v>
      </c>
      <c r="I188" s="8" t="n">
        <v>0.465</v>
      </c>
      <c r="J188" t="n">
        <v>1.16</v>
      </c>
      <c r="K188" s="11">
        <f>IF(H188&lt;&gt;"",H188,IFERROR(G188/INDEX(Players!$M$2:$M$124,MATCH(B188,Players!$A$2:$A$124,0)),""))</f>
        <v/>
      </c>
    </row>
    <row r="189">
      <c r="A189" t="inlineStr">
        <is>
          <t>4bqrch5n45sx5u9|Anubis</t>
        </is>
      </c>
      <c r="B189" t="inlineStr">
        <is>
          <t>4bqrch5n45sx5u9</t>
        </is>
      </c>
      <c r="C189" t="inlineStr">
        <is>
          <t>forsyy</t>
        </is>
      </c>
      <c r="D189" t="inlineStr">
        <is>
          <t>CS2</t>
        </is>
      </c>
      <c r="E189" t="inlineStr">
        <is>
          <t>Anubis</t>
        </is>
      </c>
      <c r="F189" t="n">
        <v>3</v>
      </c>
      <c r="G189" t="n">
        <v>11</v>
      </c>
      <c r="H189" t="n">
        <v>0.52</v>
      </c>
      <c r="I189" s="8" t="n">
        <v>0.515</v>
      </c>
      <c r="J189" t="n">
        <v>0.97</v>
      </c>
      <c r="K189" s="11">
        <f>IF(H189&lt;&gt;"",H189,IFERROR(G189/INDEX(Players!$M$2:$M$124,MATCH(B189,Players!$A$2:$A$124,0)),""))</f>
        <v/>
      </c>
    </row>
    <row r="190">
      <c r="A190" t="inlineStr">
        <is>
          <t>4bqrch5n45sx5u9|Ancient</t>
        </is>
      </c>
      <c r="B190" t="inlineStr">
        <is>
          <t>4bqrch5n45sx5u9</t>
        </is>
      </c>
      <c r="C190" t="inlineStr">
        <is>
          <t>forsyy</t>
        </is>
      </c>
      <c r="D190" t="inlineStr">
        <is>
          <t>CS2</t>
        </is>
      </c>
      <c r="E190" t="inlineStr">
        <is>
          <t>Ancient</t>
        </is>
      </c>
      <c r="F190" t="n">
        <v>2</v>
      </c>
      <c r="G190" t="n">
        <v>16</v>
      </c>
      <c r="H190" t="n">
        <v>0.76</v>
      </c>
      <c r="I190" s="8" t="n">
        <v>0.313</v>
      </c>
      <c r="J190" t="n">
        <v>1.14</v>
      </c>
      <c r="K190" s="11">
        <f>IF(H190&lt;&gt;"",H190,IFERROR(G190/INDEX(Players!$M$2:$M$124,MATCH(B190,Players!$A$2:$A$124,0)),""))</f>
        <v/>
      </c>
    </row>
    <row r="191">
      <c r="A191" t="inlineStr">
        <is>
          <t>xq939tnpy5hluwa|Mirage</t>
        </is>
      </c>
      <c r="B191" t="inlineStr">
        <is>
          <t>xq939tnpy5hluwa</t>
        </is>
      </c>
      <c r="C191" t="inlineStr">
        <is>
          <t>Gafolo</t>
        </is>
      </c>
      <c r="D191" t="inlineStr">
        <is>
          <t>CS2</t>
        </is>
      </c>
      <c r="E191" t="inlineStr">
        <is>
          <t>Mirage</t>
        </is>
      </c>
      <c r="F191" t="n">
        <v>9</v>
      </c>
      <c r="G191" t="n">
        <v>13.8</v>
      </c>
      <c r="H191" t="n">
        <v>0.63</v>
      </c>
      <c r="I191" s="8" t="n">
        <v>0.444</v>
      </c>
      <c r="J191" t="n">
        <v>1</v>
      </c>
      <c r="K191" s="11">
        <f>IF(H191&lt;&gt;"",H191,IFERROR(G191/INDEX(Players!$M$2:$M$124,MATCH(B191,Players!$A$2:$A$124,0)),""))</f>
        <v/>
      </c>
    </row>
    <row r="192">
      <c r="A192" t="inlineStr">
        <is>
          <t>xq939tnpy5hluwa|Cache</t>
        </is>
      </c>
      <c r="B192" t="inlineStr">
        <is>
          <t>xq939tnpy5hluwa</t>
        </is>
      </c>
      <c r="C192" t="inlineStr">
        <is>
          <t>Gafolo</t>
        </is>
      </c>
      <c r="D192" t="inlineStr">
        <is>
          <t>CS2</t>
        </is>
      </c>
      <c r="E192" t="inlineStr">
        <is>
          <t>Cache</t>
        </is>
      </c>
      <c r="F192" t="n">
        <v>7</v>
      </c>
      <c r="G192" t="n">
        <v>13.3</v>
      </c>
      <c r="H192" t="n">
        <v>0.62</v>
      </c>
      <c r="I192" s="8" t="n">
        <v>0.473</v>
      </c>
      <c r="J192" t="n">
        <v>1.03</v>
      </c>
      <c r="K192" s="11">
        <f>IF(H192&lt;&gt;"",H192,IFERROR(G192/INDEX(Players!$M$2:$M$124,MATCH(B192,Players!$A$2:$A$124,0)),""))</f>
        <v/>
      </c>
    </row>
    <row r="193">
      <c r="A193" t="inlineStr">
        <is>
          <t>xq939tnpy5hluwa|Inferno</t>
        </is>
      </c>
      <c r="B193" t="inlineStr">
        <is>
          <t>xq939tnpy5hluwa</t>
        </is>
      </c>
      <c r="C193" t="inlineStr">
        <is>
          <t>Gafolo</t>
        </is>
      </c>
      <c r="D193" t="inlineStr">
        <is>
          <t>CS2</t>
        </is>
      </c>
      <c r="E193" t="inlineStr">
        <is>
          <t>Inferno</t>
        </is>
      </c>
      <c r="F193" t="n">
        <v>6</v>
      </c>
      <c r="G193" t="n">
        <v>11.8</v>
      </c>
      <c r="H193" t="n">
        <v>0.5600000000000001</v>
      </c>
      <c r="I193" s="8" t="n">
        <v>0.465</v>
      </c>
      <c r="J193" t="n">
        <v>0.87</v>
      </c>
      <c r="K193" s="11">
        <f>IF(H193&lt;&gt;"",H193,IFERROR(G193/INDEX(Players!$M$2:$M$124,MATCH(B193,Players!$A$2:$A$124,0)),""))</f>
        <v/>
      </c>
    </row>
    <row r="194">
      <c r="A194" t="inlineStr">
        <is>
          <t>xq939tnpy5hluwa|Ancient</t>
        </is>
      </c>
      <c r="B194" t="inlineStr">
        <is>
          <t>xq939tnpy5hluwa</t>
        </is>
      </c>
      <c r="C194" t="inlineStr">
        <is>
          <t>Gafolo</t>
        </is>
      </c>
      <c r="D194" t="inlineStr">
        <is>
          <t>CS2</t>
        </is>
      </c>
      <c r="E194" t="inlineStr">
        <is>
          <t>Ancient</t>
        </is>
      </c>
      <c r="F194" t="n">
        <v>5</v>
      </c>
      <c r="G194" t="n">
        <v>13.4</v>
      </c>
      <c r="H194" t="n">
        <v>0.59</v>
      </c>
      <c r="I194" s="8" t="n">
        <v>0.388</v>
      </c>
      <c r="J194" t="n">
        <v>0.91</v>
      </c>
      <c r="K194" s="11">
        <f>IF(H194&lt;&gt;"",H194,IFERROR(G194/INDEX(Players!$M$2:$M$124,MATCH(B194,Players!$A$2:$A$124,0)),""))</f>
        <v/>
      </c>
    </row>
    <row r="195">
      <c r="A195" t="inlineStr">
        <is>
          <t>xq939tnpy5hluwa|Nuke</t>
        </is>
      </c>
      <c r="B195" t="inlineStr">
        <is>
          <t>xq939tnpy5hluwa</t>
        </is>
      </c>
      <c r="C195" t="inlineStr">
        <is>
          <t>Gafolo</t>
        </is>
      </c>
      <c r="D195" t="inlineStr">
        <is>
          <t>CS2</t>
        </is>
      </c>
      <c r="E195" t="inlineStr">
        <is>
          <t>Nuke</t>
        </is>
      </c>
      <c r="F195" t="n">
        <v>5</v>
      </c>
      <c r="G195" t="n">
        <v>12</v>
      </c>
      <c r="H195" t="n">
        <v>0.54</v>
      </c>
      <c r="I195" s="8" t="n">
        <v>0.55</v>
      </c>
      <c r="J195" t="n">
        <v>0.8</v>
      </c>
      <c r="K195" s="11">
        <f>IF(H195&lt;&gt;"",H195,IFERROR(G195/INDEX(Players!$M$2:$M$124,MATCH(B195,Players!$A$2:$A$124,0)),""))</f>
        <v/>
      </c>
    </row>
    <row r="196">
      <c r="A196" t="inlineStr">
        <is>
          <t>xq939tnpy5hluwa|Anubis</t>
        </is>
      </c>
      <c r="B196" t="inlineStr">
        <is>
          <t>xq939tnpy5hluwa</t>
        </is>
      </c>
      <c r="C196" t="inlineStr">
        <is>
          <t>Gafolo</t>
        </is>
      </c>
      <c r="D196" t="inlineStr">
        <is>
          <t>CS2</t>
        </is>
      </c>
      <c r="E196" t="inlineStr">
        <is>
          <t>Anubis</t>
        </is>
      </c>
      <c r="F196" t="n">
        <v>4</v>
      </c>
      <c r="G196" t="n">
        <v>6.5</v>
      </c>
      <c r="H196" t="n">
        <v>0.31</v>
      </c>
      <c r="I196" s="8" t="n">
        <v>0.5379999999999999</v>
      </c>
      <c r="J196" t="n">
        <v>0.47</v>
      </c>
      <c r="K196" s="11">
        <f>IF(H196&lt;&gt;"",H196,IFERROR(G196/INDEX(Players!$M$2:$M$124,MATCH(B196,Players!$A$2:$A$124,0)),""))</f>
        <v/>
      </c>
    </row>
    <row r="197">
      <c r="A197" t="inlineStr">
        <is>
          <t>tyf3s6dikrrtlem|Ancient</t>
        </is>
      </c>
      <c r="B197" t="inlineStr">
        <is>
          <t>tyf3s6dikrrtlem</t>
        </is>
      </c>
      <c r="C197" t="inlineStr">
        <is>
          <t>HeavyGod</t>
        </is>
      </c>
      <c r="D197" t="inlineStr">
        <is>
          <t>CS2</t>
        </is>
      </c>
      <c r="E197" t="inlineStr">
        <is>
          <t>Ancient</t>
        </is>
      </c>
      <c r="F197" t="n">
        <v>11</v>
      </c>
      <c r="G197" t="n">
        <v>15.7</v>
      </c>
      <c r="H197" t="n">
        <v>0.75</v>
      </c>
      <c r="I197" s="8" t="n">
        <v>0.613</v>
      </c>
      <c r="J197" t="n">
        <v>1.23</v>
      </c>
      <c r="K197" s="11">
        <f>IF(H197&lt;&gt;"",H197,IFERROR(G197/INDEX(Players!$M$2:$M$124,MATCH(B197,Players!$A$2:$A$124,0)),""))</f>
        <v/>
      </c>
    </row>
    <row r="198">
      <c r="A198" t="inlineStr">
        <is>
          <t>tyf3s6dikrrtlem|Inferno</t>
        </is>
      </c>
      <c r="B198" t="inlineStr">
        <is>
          <t>tyf3s6dikrrtlem</t>
        </is>
      </c>
      <c r="C198" t="inlineStr">
        <is>
          <t>HeavyGod</t>
        </is>
      </c>
      <c r="D198" t="inlineStr">
        <is>
          <t>CS2</t>
        </is>
      </c>
      <c r="E198" t="inlineStr">
        <is>
          <t>Inferno</t>
        </is>
      </c>
      <c r="F198" t="n">
        <v>8</v>
      </c>
      <c r="G198" t="n">
        <v>14.5</v>
      </c>
      <c r="H198" t="n">
        <v>0.64</v>
      </c>
      <c r="I198" s="8" t="n">
        <v>0.638</v>
      </c>
      <c r="J198" t="n">
        <v>1.02</v>
      </c>
      <c r="K198" s="11">
        <f>IF(H198&lt;&gt;"",H198,IFERROR(G198/INDEX(Players!$M$2:$M$124,MATCH(B198,Players!$A$2:$A$124,0)),""))</f>
        <v/>
      </c>
    </row>
    <row r="199">
      <c r="A199" t="inlineStr">
        <is>
          <t>tyf3s6dikrrtlem|Dust2</t>
        </is>
      </c>
      <c r="B199" t="inlineStr">
        <is>
          <t>tyf3s6dikrrtlem</t>
        </is>
      </c>
      <c r="C199" t="inlineStr">
        <is>
          <t>HeavyGod</t>
        </is>
      </c>
      <c r="D199" t="inlineStr">
        <is>
          <t>CS2</t>
        </is>
      </c>
      <c r="E199" t="inlineStr">
        <is>
          <t>Dust2</t>
        </is>
      </c>
      <c r="F199" t="n">
        <v>7</v>
      </c>
      <c r="G199" t="n">
        <v>16.9</v>
      </c>
      <c r="H199" t="n">
        <v>0.72</v>
      </c>
      <c r="I199" s="8" t="n">
        <v>0.619</v>
      </c>
      <c r="J199" t="n">
        <v>1.08</v>
      </c>
      <c r="K199" s="11">
        <f>IF(H199&lt;&gt;"",H199,IFERROR(G199/INDEX(Players!$M$2:$M$124,MATCH(B199,Players!$A$2:$A$124,0)),""))</f>
        <v/>
      </c>
    </row>
    <row r="200">
      <c r="A200" t="inlineStr">
        <is>
          <t>tyf3s6dikrrtlem|Mirage</t>
        </is>
      </c>
      <c r="B200" t="inlineStr">
        <is>
          <t>tyf3s6dikrrtlem</t>
        </is>
      </c>
      <c r="C200" t="inlineStr">
        <is>
          <t>HeavyGod</t>
        </is>
      </c>
      <c r="D200" t="inlineStr">
        <is>
          <t>CS2</t>
        </is>
      </c>
      <c r="E200" t="inlineStr">
        <is>
          <t>Mirage</t>
        </is>
      </c>
      <c r="F200" t="n">
        <v>6</v>
      </c>
      <c r="G200" t="n">
        <v>13.2</v>
      </c>
      <c r="H200" t="n">
        <v>0.59</v>
      </c>
      <c r="I200" s="8" t="n">
        <v>0.506</v>
      </c>
      <c r="J200" t="n">
        <v>0.85</v>
      </c>
      <c r="K200" s="11">
        <f>IF(H200&lt;&gt;"",H200,IFERROR(G200/INDEX(Players!$M$2:$M$124,MATCH(B200,Players!$A$2:$A$124,0)),""))</f>
        <v/>
      </c>
    </row>
    <row r="201">
      <c r="A201" t="inlineStr">
        <is>
          <t>tyf3s6dikrrtlem|Anubis</t>
        </is>
      </c>
      <c r="B201" t="inlineStr">
        <is>
          <t>tyf3s6dikrrtlem</t>
        </is>
      </c>
      <c r="C201" t="inlineStr">
        <is>
          <t>HeavyGod</t>
        </is>
      </c>
      <c r="D201" t="inlineStr">
        <is>
          <t>CS2</t>
        </is>
      </c>
      <c r="E201" t="inlineStr">
        <is>
          <t>Anubis</t>
        </is>
      </c>
      <c r="F201" t="n">
        <v>3</v>
      </c>
      <c r="G201" t="n">
        <v>16.3</v>
      </c>
      <c r="H201" t="n">
        <v>0.6899999999999999</v>
      </c>
      <c r="I201" s="8" t="n">
        <v>0.469</v>
      </c>
      <c r="J201" t="n">
        <v>1.22</v>
      </c>
      <c r="K201" s="11">
        <f>IF(H201&lt;&gt;"",H201,IFERROR(G201/INDEX(Players!$M$2:$M$124,MATCH(B201,Players!$A$2:$A$124,0)),""))</f>
        <v/>
      </c>
    </row>
    <row r="202">
      <c r="A202" t="inlineStr">
        <is>
          <t>tyf3s6dikrrtlem|Cache</t>
        </is>
      </c>
      <c r="B202" t="inlineStr">
        <is>
          <t>tyf3s6dikrrtlem</t>
        </is>
      </c>
      <c r="C202" t="inlineStr">
        <is>
          <t>HeavyGod</t>
        </is>
      </c>
      <c r="D202" t="inlineStr">
        <is>
          <t>CS2</t>
        </is>
      </c>
      <c r="E202" t="inlineStr">
        <is>
          <t>Cache</t>
        </is>
      </c>
      <c r="F202" t="n">
        <v>2</v>
      </c>
      <c r="G202" t="n">
        <v>11.5</v>
      </c>
      <c r="H202" t="n">
        <v>0.5600000000000001</v>
      </c>
      <c r="I202" s="8" t="n">
        <v>0.696</v>
      </c>
      <c r="J202" t="n">
        <v>0.92</v>
      </c>
      <c r="K202" s="11">
        <f>IF(H202&lt;&gt;"",H202,IFERROR(G202/INDEX(Players!$M$2:$M$124,MATCH(B202,Players!$A$2:$A$124,0)),""))</f>
        <v/>
      </c>
    </row>
    <row r="203">
      <c r="A203" t="inlineStr">
        <is>
          <t>tyf3s6dikrrtlem|Nuke</t>
        </is>
      </c>
      <c r="B203" t="inlineStr">
        <is>
          <t>tyf3s6dikrrtlem</t>
        </is>
      </c>
      <c r="C203" t="inlineStr">
        <is>
          <t>HeavyGod</t>
        </is>
      </c>
      <c r="D203" t="inlineStr">
        <is>
          <t>CS2</t>
        </is>
      </c>
      <c r="E203" t="inlineStr">
        <is>
          <t>Nuke</t>
        </is>
      </c>
      <c r="F203" t="n">
        <v>1</v>
      </c>
      <c r="G203" t="n">
        <v>12</v>
      </c>
      <c r="H203" t="n">
        <v>0.5</v>
      </c>
      <c r="I203" s="8" t="n">
        <v>0.5</v>
      </c>
      <c r="J203" t="n">
        <v>0.75</v>
      </c>
      <c r="K203" s="11">
        <f>IF(H203&lt;&gt;"",H203,IFERROR(G203/INDEX(Players!$M$2:$M$124,MATCH(B203,Players!$A$2:$A$124,0)),""))</f>
        <v/>
      </c>
    </row>
    <row r="204">
      <c r="A204" t="inlineStr">
        <is>
          <t>012uwaetq7hevsp|Dust2</t>
        </is>
      </c>
      <c r="B204" t="inlineStr">
        <is>
          <t>012uwaetq7hevsp</t>
        </is>
      </c>
      <c r="C204" t="inlineStr">
        <is>
          <t>HeCkBNk</t>
        </is>
      </c>
      <c r="D204" t="inlineStr">
        <is>
          <t>CS2</t>
        </is>
      </c>
      <c r="E204" t="inlineStr">
        <is>
          <t>Dust2</t>
        </is>
      </c>
      <c r="F204" t="n">
        <v>9</v>
      </c>
      <c r="G204" t="n">
        <v>12</v>
      </c>
      <c r="H204" t="n">
        <v>0.57</v>
      </c>
      <c r="I204" s="8" t="n">
        <v>0.611</v>
      </c>
      <c r="J204" t="n">
        <v>0.92</v>
      </c>
      <c r="K204" s="11">
        <f>IF(H204&lt;&gt;"",H204,IFERROR(G204/INDEX(Players!$M$2:$M$124,MATCH(B204,Players!$A$2:$A$124,0)),""))</f>
        <v/>
      </c>
    </row>
    <row r="205">
      <c r="A205" t="inlineStr">
        <is>
          <t>012uwaetq7hevsp|Cache</t>
        </is>
      </c>
      <c r="B205" t="inlineStr">
        <is>
          <t>012uwaetq7hevsp</t>
        </is>
      </c>
      <c r="C205" t="inlineStr">
        <is>
          <t>HeCkBNk</t>
        </is>
      </c>
      <c r="D205" t="inlineStr">
        <is>
          <t>CS2</t>
        </is>
      </c>
      <c r="E205" t="inlineStr">
        <is>
          <t>Cache</t>
        </is>
      </c>
      <c r="F205" t="n">
        <v>7</v>
      </c>
      <c r="G205" t="n">
        <v>16.6</v>
      </c>
      <c r="H205" t="n">
        <v>0.91</v>
      </c>
      <c r="I205" s="8" t="n">
        <v>0.672</v>
      </c>
      <c r="J205" t="n">
        <v>1.81</v>
      </c>
      <c r="K205" s="11">
        <f>IF(H205&lt;&gt;"",H205,IFERROR(G205/INDEX(Players!$M$2:$M$124,MATCH(B205,Players!$A$2:$A$124,0)),""))</f>
        <v/>
      </c>
    </row>
    <row r="206">
      <c r="A206" t="inlineStr">
        <is>
          <t>012uwaetq7hevsp|Anubis</t>
        </is>
      </c>
      <c r="B206" t="inlineStr">
        <is>
          <t>012uwaetq7hevsp</t>
        </is>
      </c>
      <c r="C206" t="inlineStr">
        <is>
          <t>HeCkBNk</t>
        </is>
      </c>
      <c r="D206" t="inlineStr">
        <is>
          <t>CS2</t>
        </is>
      </c>
      <c r="E206" t="inlineStr">
        <is>
          <t>Anubis</t>
        </is>
      </c>
      <c r="F206" t="n">
        <v>5</v>
      </c>
      <c r="G206" t="n">
        <v>16.2</v>
      </c>
      <c r="H206" t="n">
        <v>0.76</v>
      </c>
      <c r="I206" s="8" t="n">
        <v>0.7040000000000001</v>
      </c>
      <c r="J206" t="n">
        <v>1.23</v>
      </c>
      <c r="K206" s="11">
        <f>IF(H206&lt;&gt;"",H206,IFERROR(G206/INDEX(Players!$M$2:$M$124,MATCH(B206,Players!$A$2:$A$124,0)),""))</f>
        <v/>
      </c>
    </row>
    <row r="207">
      <c r="A207" t="inlineStr">
        <is>
          <t>012uwaetq7hevsp|Mirage</t>
        </is>
      </c>
      <c r="B207" t="inlineStr">
        <is>
          <t>012uwaetq7hevsp</t>
        </is>
      </c>
      <c r="C207" t="inlineStr">
        <is>
          <t>HeCkBNk</t>
        </is>
      </c>
      <c r="D207" t="inlineStr">
        <is>
          <t>CS2</t>
        </is>
      </c>
      <c r="E207" t="inlineStr">
        <is>
          <t>Mirage</t>
        </is>
      </c>
      <c r="F207" t="n">
        <v>4</v>
      </c>
      <c r="G207" t="n">
        <v>20</v>
      </c>
      <c r="H207" t="n">
        <v>0.83</v>
      </c>
      <c r="I207" s="8" t="n">
        <v>0.637</v>
      </c>
      <c r="J207" t="n">
        <v>1.43</v>
      </c>
      <c r="K207" s="11">
        <f>IF(H207&lt;&gt;"",H207,IFERROR(G207/INDEX(Players!$M$2:$M$124,MATCH(B207,Players!$A$2:$A$124,0)),""))</f>
        <v/>
      </c>
    </row>
    <row r="208">
      <c r="A208" t="inlineStr">
        <is>
          <t>012uwaetq7hevsp|Nuke</t>
        </is>
      </c>
      <c r="B208" t="inlineStr">
        <is>
          <t>012uwaetq7hevsp</t>
        </is>
      </c>
      <c r="C208" t="inlineStr">
        <is>
          <t>HeCkBNk</t>
        </is>
      </c>
      <c r="D208" t="inlineStr">
        <is>
          <t>CS2</t>
        </is>
      </c>
      <c r="E208" t="inlineStr">
        <is>
          <t>Nuke</t>
        </is>
      </c>
      <c r="F208" t="n">
        <v>4</v>
      </c>
      <c r="G208" t="n">
        <v>21.8</v>
      </c>
      <c r="H208" t="n">
        <v>0.74</v>
      </c>
      <c r="I208" s="8" t="n">
        <v>0.655</v>
      </c>
      <c r="J208" t="n">
        <v>1.19</v>
      </c>
      <c r="K208" s="11">
        <f>IF(H208&lt;&gt;"",H208,IFERROR(G208/INDEX(Players!$M$2:$M$124,MATCH(B208,Players!$A$2:$A$124,0)),""))</f>
        <v/>
      </c>
    </row>
    <row r="209">
      <c r="A209" t="inlineStr">
        <is>
          <t>012uwaetq7hevsp|Ancient</t>
        </is>
      </c>
      <c r="B209" t="inlineStr">
        <is>
          <t>012uwaetq7hevsp</t>
        </is>
      </c>
      <c r="C209" t="inlineStr">
        <is>
          <t>HeCkBNk</t>
        </is>
      </c>
      <c r="D209" t="inlineStr">
        <is>
          <t>CS2</t>
        </is>
      </c>
      <c r="E209" t="inlineStr">
        <is>
          <t>Ancient</t>
        </is>
      </c>
      <c r="F209" t="n">
        <v>4</v>
      </c>
      <c r="G209" t="n">
        <v>13</v>
      </c>
      <c r="H209" t="n">
        <v>0.66</v>
      </c>
      <c r="I209" s="8" t="n">
        <v>0.654</v>
      </c>
      <c r="J209" t="n">
        <v>1.08</v>
      </c>
      <c r="K209" s="11">
        <f>IF(H209&lt;&gt;"",H209,IFERROR(G209/INDEX(Players!$M$2:$M$124,MATCH(B209,Players!$A$2:$A$124,0)),""))</f>
        <v/>
      </c>
    </row>
    <row r="210">
      <c r="A210" t="inlineStr">
        <is>
          <t>fg52qcdy7yej5d9|Nuke</t>
        </is>
      </c>
      <c r="B210" t="inlineStr">
        <is>
          <t>fg52qcdy7yej5d9</t>
        </is>
      </c>
      <c r="C210" t="inlineStr">
        <is>
          <t>HUASOPEEK</t>
        </is>
      </c>
      <c r="D210" t="inlineStr">
        <is>
          <t>CS2</t>
        </is>
      </c>
      <c r="E210" t="inlineStr">
        <is>
          <t>Nuke</t>
        </is>
      </c>
      <c r="F210" t="n">
        <v>9</v>
      </c>
      <c r="G210" t="n">
        <v>11.8</v>
      </c>
      <c r="H210" t="n">
        <v>0.61</v>
      </c>
      <c r="I210" s="8" t="n">
        <v>0.5660000000000001</v>
      </c>
      <c r="J210" t="n">
        <v>0.85</v>
      </c>
      <c r="K210" s="11">
        <f>IF(H210&lt;&gt;"",H210,IFERROR(G210/INDEX(Players!$M$2:$M$124,MATCH(B210,Players!$A$2:$A$124,0)),""))</f>
        <v/>
      </c>
    </row>
    <row r="211">
      <c r="A211" t="inlineStr">
        <is>
          <t>fg52qcdy7yej5d9|Mirage</t>
        </is>
      </c>
      <c r="B211" t="inlineStr">
        <is>
          <t>fg52qcdy7yej5d9</t>
        </is>
      </c>
      <c r="C211" t="inlineStr">
        <is>
          <t>HUASOPEEK</t>
        </is>
      </c>
      <c r="D211" t="inlineStr">
        <is>
          <t>CS2</t>
        </is>
      </c>
      <c r="E211" t="inlineStr">
        <is>
          <t>Mirage</t>
        </is>
      </c>
      <c r="F211" t="n">
        <v>6</v>
      </c>
      <c r="G211" t="n">
        <v>13.7</v>
      </c>
      <c r="H211" t="n">
        <v>0.66</v>
      </c>
      <c r="I211" s="8" t="n">
        <v>0.598</v>
      </c>
      <c r="J211" t="n">
        <v>1.05</v>
      </c>
      <c r="K211" s="11">
        <f>IF(H211&lt;&gt;"",H211,IFERROR(G211/INDEX(Players!$M$2:$M$124,MATCH(B211,Players!$A$2:$A$124,0)),""))</f>
        <v/>
      </c>
    </row>
    <row r="212">
      <c r="A212" t="inlineStr">
        <is>
          <t>fg52qcdy7yej5d9|Dust2</t>
        </is>
      </c>
      <c r="B212" t="inlineStr">
        <is>
          <t>fg52qcdy7yej5d9</t>
        </is>
      </c>
      <c r="C212" t="inlineStr">
        <is>
          <t>HUASOPEEK</t>
        </is>
      </c>
      <c r="D212" t="inlineStr">
        <is>
          <t>CS2</t>
        </is>
      </c>
      <c r="E212" t="inlineStr">
        <is>
          <t>Dust2</t>
        </is>
      </c>
      <c r="F212" t="n">
        <v>6</v>
      </c>
      <c r="G212" t="n">
        <v>14.8</v>
      </c>
      <c r="H212" t="n">
        <v>0.74</v>
      </c>
      <c r="I212" s="8" t="n">
        <v>0.652</v>
      </c>
      <c r="J212" t="n">
        <v>1.03</v>
      </c>
      <c r="K212" s="11">
        <f>IF(H212&lt;&gt;"",H212,IFERROR(G212/INDEX(Players!$M$2:$M$124,MATCH(B212,Players!$A$2:$A$124,0)),""))</f>
        <v/>
      </c>
    </row>
    <row r="213">
      <c r="A213" t="inlineStr">
        <is>
          <t>fg52qcdy7yej5d9|Cache</t>
        </is>
      </c>
      <c r="B213" t="inlineStr">
        <is>
          <t>fg52qcdy7yej5d9</t>
        </is>
      </c>
      <c r="C213" t="inlineStr">
        <is>
          <t>HUASOPEEK</t>
        </is>
      </c>
      <c r="D213" t="inlineStr">
        <is>
          <t>CS2</t>
        </is>
      </c>
      <c r="E213" t="inlineStr">
        <is>
          <t>Cache</t>
        </is>
      </c>
      <c r="F213" t="n">
        <v>5</v>
      </c>
      <c r="G213" t="n">
        <v>11</v>
      </c>
      <c r="H213" t="n">
        <v>0.5600000000000001</v>
      </c>
      <c r="I213" s="8" t="n">
        <v>0.655</v>
      </c>
      <c r="J213" t="n">
        <v>0.86</v>
      </c>
      <c r="K213" s="11">
        <f>IF(H213&lt;&gt;"",H213,IFERROR(G213/INDEX(Players!$M$2:$M$124,MATCH(B213,Players!$A$2:$A$124,0)),""))</f>
        <v/>
      </c>
    </row>
    <row r="214">
      <c r="A214" t="inlineStr">
        <is>
          <t>fg52qcdy7yej5d9|Inferno</t>
        </is>
      </c>
      <c r="B214" t="inlineStr">
        <is>
          <t>fg52qcdy7yej5d9</t>
        </is>
      </c>
      <c r="C214" t="inlineStr">
        <is>
          <t>HUASOPEEK</t>
        </is>
      </c>
      <c r="D214" t="inlineStr">
        <is>
          <t>CS2</t>
        </is>
      </c>
      <c r="E214" t="inlineStr">
        <is>
          <t>Inferno</t>
        </is>
      </c>
      <c r="F214" t="n">
        <v>5</v>
      </c>
      <c r="G214" t="n">
        <v>13.4</v>
      </c>
      <c r="H214" t="n">
        <v>0.65</v>
      </c>
      <c r="I214" s="8" t="n">
        <v>0.7609999999999999</v>
      </c>
      <c r="J214" t="n">
        <v>0.83</v>
      </c>
      <c r="K214" s="11">
        <f>IF(H214&lt;&gt;"",H214,IFERROR(G214/INDEX(Players!$M$2:$M$124,MATCH(B214,Players!$A$2:$A$124,0)),""))</f>
        <v/>
      </c>
    </row>
    <row r="215">
      <c r="A215" t="inlineStr">
        <is>
          <t>fg52qcdy7yej5d9|Ancient</t>
        </is>
      </c>
      <c r="B215" t="inlineStr">
        <is>
          <t>fg52qcdy7yej5d9</t>
        </is>
      </c>
      <c r="C215" t="inlineStr">
        <is>
          <t>HUASOPEEK</t>
        </is>
      </c>
      <c r="D215" t="inlineStr">
        <is>
          <t>CS2</t>
        </is>
      </c>
      <c r="E215" t="inlineStr">
        <is>
          <t>Ancient</t>
        </is>
      </c>
      <c r="F215" t="n">
        <v>2</v>
      </c>
      <c r="G215" t="n">
        <v>21</v>
      </c>
      <c r="H215" t="n">
        <v>0.74</v>
      </c>
      <c r="I215" s="8" t="n">
        <v>0.5479999999999999</v>
      </c>
      <c r="J215" t="n">
        <v>1.02</v>
      </c>
      <c r="K215" s="11">
        <f>IF(H215&lt;&gt;"",H215,IFERROR(G215/INDEX(Players!$M$2:$M$124,MATCH(B215,Players!$A$2:$A$124,0)),""))</f>
        <v/>
      </c>
    </row>
    <row r="216">
      <c r="A216" t="inlineStr">
        <is>
          <t>ikw7yck0lcpdqwz|Ancient</t>
        </is>
      </c>
      <c r="B216" t="inlineStr">
        <is>
          <t>ikw7yck0lcpdqwz</t>
        </is>
      </c>
      <c r="C216" t="inlineStr">
        <is>
          <t>huNter-</t>
        </is>
      </c>
      <c r="D216" t="inlineStr">
        <is>
          <t>CS2</t>
        </is>
      </c>
      <c r="E216" t="inlineStr">
        <is>
          <t>Ancient</t>
        </is>
      </c>
      <c r="F216" t="n">
        <v>11</v>
      </c>
      <c r="G216" t="n">
        <v>13</v>
      </c>
      <c r="H216" t="n">
        <v>0.62</v>
      </c>
      <c r="I216" s="8" t="n">
        <v>0.615</v>
      </c>
      <c r="J216" t="n">
        <v>0.95</v>
      </c>
      <c r="K216" s="11">
        <f>IF(H216&lt;&gt;"",H216,IFERROR(G216/INDEX(Players!$M$2:$M$124,MATCH(B216,Players!$A$2:$A$124,0)),""))</f>
        <v/>
      </c>
    </row>
    <row r="217">
      <c r="A217" t="inlineStr">
        <is>
          <t>ikw7yck0lcpdqwz|Inferno</t>
        </is>
      </c>
      <c r="B217" t="inlineStr">
        <is>
          <t>ikw7yck0lcpdqwz</t>
        </is>
      </c>
      <c r="C217" t="inlineStr">
        <is>
          <t>huNter-</t>
        </is>
      </c>
      <c r="D217" t="inlineStr">
        <is>
          <t>CS2</t>
        </is>
      </c>
      <c r="E217" t="inlineStr">
        <is>
          <t>Inferno</t>
        </is>
      </c>
      <c r="F217" t="n">
        <v>8</v>
      </c>
      <c r="G217" t="n">
        <v>13.4</v>
      </c>
      <c r="H217" t="n">
        <v>0.59</v>
      </c>
      <c r="I217" s="8" t="n">
        <v>0.57</v>
      </c>
      <c r="J217" t="n">
        <v>0.88</v>
      </c>
      <c r="K217" s="11">
        <f>IF(H217&lt;&gt;"",H217,IFERROR(G217/INDEX(Players!$M$2:$M$124,MATCH(B217,Players!$A$2:$A$124,0)),""))</f>
        <v/>
      </c>
    </row>
    <row r="218">
      <c r="A218" t="inlineStr">
        <is>
          <t>ikw7yck0lcpdqwz|Dust2</t>
        </is>
      </c>
      <c r="B218" t="inlineStr">
        <is>
          <t>ikw7yck0lcpdqwz</t>
        </is>
      </c>
      <c r="C218" t="inlineStr">
        <is>
          <t>huNter-</t>
        </is>
      </c>
      <c r="D218" t="inlineStr">
        <is>
          <t>CS2</t>
        </is>
      </c>
      <c r="E218" t="inlineStr">
        <is>
          <t>Dust2</t>
        </is>
      </c>
      <c r="F218" t="n">
        <v>7</v>
      </c>
      <c r="G218" t="n">
        <v>17.3</v>
      </c>
      <c r="H218" t="n">
        <v>0.74</v>
      </c>
      <c r="I218" s="8" t="n">
        <v>0.5620000000000001</v>
      </c>
      <c r="J218" t="n">
        <v>1.11</v>
      </c>
      <c r="K218" s="11">
        <f>IF(H218&lt;&gt;"",H218,IFERROR(G218/INDEX(Players!$M$2:$M$124,MATCH(B218,Players!$A$2:$A$124,0)),""))</f>
        <v/>
      </c>
    </row>
    <row r="219">
      <c r="A219" t="inlineStr">
        <is>
          <t>ikw7yck0lcpdqwz|Mirage</t>
        </is>
      </c>
      <c r="B219" t="inlineStr">
        <is>
          <t>ikw7yck0lcpdqwz</t>
        </is>
      </c>
      <c r="C219" t="inlineStr">
        <is>
          <t>huNter-</t>
        </is>
      </c>
      <c r="D219" t="inlineStr">
        <is>
          <t>CS2</t>
        </is>
      </c>
      <c r="E219" t="inlineStr">
        <is>
          <t>Mirage</t>
        </is>
      </c>
      <c r="F219" t="n">
        <v>6</v>
      </c>
      <c r="G219" t="n">
        <v>14.3</v>
      </c>
      <c r="H219" t="n">
        <v>0.64</v>
      </c>
      <c r="I219" s="8" t="n">
        <v>0.628</v>
      </c>
      <c r="J219" t="n">
        <v>0.92</v>
      </c>
      <c r="K219" s="11">
        <f>IF(H219&lt;&gt;"",H219,IFERROR(G219/INDEX(Players!$M$2:$M$124,MATCH(B219,Players!$A$2:$A$124,0)),""))</f>
        <v/>
      </c>
    </row>
    <row r="220">
      <c r="A220" t="inlineStr">
        <is>
          <t>ikw7yck0lcpdqwz|Anubis</t>
        </is>
      </c>
      <c r="B220" t="inlineStr">
        <is>
          <t>ikw7yck0lcpdqwz</t>
        </is>
      </c>
      <c r="C220" t="inlineStr">
        <is>
          <t>huNter-</t>
        </is>
      </c>
      <c r="D220" t="inlineStr">
        <is>
          <t>CS2</t>
        </is>
      </c>
      <c r="E220" t="inlineStr">
        <is>
          <t>Anubis</t>
        </is>
      </c>
      <c r="F220" t="n">
        <v>3</v>
      </c>
      <c r="G220" t="n">
        <v>16.7</v>
      </c>
      <c r="H220" t="n">
        <v>0.7</v>
      </c>
      <c r="I220" s="8" t="n">
        <v>0.6</v>
      </c>
      <c r="J220" t="n">
        <v>1.02</v>
      </c>
      <c r="K220" s="11">
        <f>IF(H220&lt;&gt;"",H220,IFERROR(G220/INDEX(Players!$M$2:$M$124,MATCH(B220,Players!$A$2:$A$124,0)),""))</f>
        <v/>
      </c>
    </row>
    <row r="221">
      <c r="A221" t="inlineStr">
        <is>
          <t>ikw7yck0lcpdqwz|Cache</t>
        </is>
      </c>
      <c r="B221" t="inlineStr">
        <is>
          <t>ikw7yck0lcpdqwz</t>
        </is>
      </c>
      <c r="C221" t="inlineStr">
        <is>
          <t>huNter-</t>
        </is>
      </c>
      <c r="D221" t="inlineStr">
        <is>
          <t>CS2</t>
        </is>
      </c>
      <c r="E221" t="inlineStr">
        <is>
          <t>Cache</t>
        </is>
      </c>
      <c r="F221" t="n">
        <v>2</v>
      </c>
      <c r="G221" t="n">
        <v>7</v>
      </c>
      <c r="H221" t="n">
        <v>0.34</v>
      </c>
      <c r="I221" s="8" t="n">
        <v>0.643</v>
      </c>
      <c r="J221" t="n">
        <v>0.45</v>
      </c>
      <c r="K221" s="11">
        <f>IF(H221&lt;&gt;"",H221,IFERROR(G221/INDEX(Players!$M$2:$M$124,MATCH(B221,Players!$A$2:$A$124,0)),""))</f>
        <v/>
      </c>
    </row>
    <row r="222">
      <c r="A222" t="inlineStr">
        <is>
          <t>ikw7yck0lcpdqwz|Nuke</t>
        </is>
      </c>
      <c r="B222" t="inlineStr">
        <is>
          <t>ikw7yck0lcpdqwz</t>
        </is>
      </c>
      <c r="C222" t="inlineStr">
        <is>
          <t>huNter-</t>
        </is>
      </c>
      <c r="D222" t="inlineStr">
        <is>
          <t>CS2</t>
        </is>
      </c>
      <c r="E222" t="inlineStr">
        <is>
          <t>Nuke</t>
        </is>
      </c>
      <c r="F222" t="n">
        <v>1</v>
      </c>
      <c r="G222" t="n">
        <v>12</v>
      </c>
      <c r="H222" t="n">
        <v>0.5</v>
      </c>
      <c r="I222" s="8" t="n">
        <v>0.667</v>
      </c>
      <c r="J222" t="n">
        <v>0.67</v>
      </c>
      <c r="K222" s="11">
        <f>IF(H222&lt;&gt;"",H222,IFERROR(G222/INDEX(Players!$M$2:$M$124,MATCH(B222,Players!$A$2:$A$124,0)),""))</f>
        <v/>
      </c>
    </row>
    <row r="223">
      <c r="A223" t="inlineStr">
        <is>
          <t>6fnysfxfr7gofjk|Inferno</t>
        </is>
      </c>
      <c r="B223" t="inlineStr">
        <is>
          <t>6fnysfxfr7gofjk</t>
        </is>
      </c>
      <c r="C223" t="inlineStr">
        <is>
          <t>iM</t>
        </is>
      </c>
      <c r="D223" t="inlineStr">
        <is>
          <t>CS2</t>
        </is>
      </c>
      <c r="E223" t="inlineStr">
        <is>
          <t>Inferno</t>
        </is>
      </c>
      <c r="F223" t="n">
        <v>10</v>
      </c>
      <c r="G223" t="n">
        <v>15.5</v>
      </c>
      <c r="H223" t="n">
        <v>0.72</v>
      </c>
      <c r="I223" s="8" t="n">
        <v>0.503</v>
      </c>
      <c r="J223" t="n">
        <v>1.11</v>
      </c>
      <c r="K223" s="11">
        <f>IF(H223&lt;&gt;"",H223,IFERROR(G223/INDEX(Players!$M$2:$M$124,MATCH(B223,Players!$A$2:$A$124,0)),""))</f>
        <v/>
      </c>
    </row>
    <row r="224">
      <c r="A224" t="inlineStr">
        <is>
          <t>6fnysfxfr7gofjk|Mirage</t>
        </is>
      </c>
      <c r="B224" t="inlineStr">
        <is>
          <t>6fnysfxfr7gofjk</t>
        </is>
      </c>
      <c r="C224" t="inlineStr">
        <is>
          <t>iM</t>
        </is>
      </c>
      <c r="D224" t="inlineStr">
        <is>
          <t>CS2</t>
        </is>
      </c>
      <c r="E224" t="inlineStr">
        <is>
          <t>Mirage</t>
        </is>
      </c>
      <c r="F224" t="n">
        <v>9</v>
      </c>
      <c r="G224" t="n">
        <v>13</v>
      </c>
      <c r="H224" t="n">
        <v>0.62</v>
      </c>
      <c r="I224" s="8" t="n">
        <v>0.444</v>
      </c>
      <c r="J224" t="n">
        <v>0.85</v>
      </c>
      <c r="K224" s="11">
        <f>IF(H224&lt;&gt;"",H224,IFERROR(G224/INDEX(Players!$M$2:$M$124,MATCH(B224,Players!$A$2:$A$124,0)),""))</f>
        <v/>
      </c>
    </row>
    <row r="225">
      <c r="A225" t="inlineStr">
        <is>
          <t>6fnysfxfr7gofjk|Nuke</t>
        </is>
      </c>
      <c r="B225" t="inlineStr">
        <is>
          <t>6fnysfxfr7gofjk</t>
        </is>
      </c>
      <c r="C225" t="inlineStr">
        <is>
          <t>iM</t>
        </is>
      </c>
      <c r="D225" t="inlineStr">
        <is>
          <t>CS2</t>
        </is>
      </c>
      <c r="E225" t="inlineStr">
        <is>
          <t>Nuke</t>
        </is>
      </c>
      <c r="F225" t="n">
        <v>5</v>
      </c>
      <c r="G225" t="n">
        <v>13</v>
      </c>
      <c r="H225" t="n">
        <v>0.63</v>
      </c>
      <c r="I225" s="8" t="n">
        <v>0.523</v>
      </c>
      <c r="J225" t="n">
        <v>1</v>
      </c>
      <c r="K225" s="11">
        <f>IF(H225&lt;&gt;"",H225,IFERROR(G225/INDEX(Players!$M$2:$M$124,MATCH(B225,Players!$A$2:$A$124,0)),""))</f>
        <v/>
      </c>
    </row>
    <row r="226">
      <c r="A226" t="inlineStr">
        <is>
          <t>6fnysfxfr7gofjk|Cache</t>
        </is>
      </c>
      <c r="B226" t="inlineStr">
        <is>
          <t>6fnysfxfr7gofjk</t>
        </is>
      </c>
      <c r="C226" t="inlineStr">
        <is>
          <t>iM</t>
        </is>
      </c>
      <c r="D226" t="inlineStr">
        <is>
          <t>CS2</t>
        </is>
      </c>
      <c r="E226" t="inlineStr">
        <is>
          <t>Cache</t>
        </is>
      </c>
      <c r="F226" t="n">
        <v>4</v>
      </c>
      <c r="G226" t="n">
        <v>13.5</v>
      </c>
      <c r="H226" t="n">
        <v>0.64</v>
      </c>
      <c r="I226" s="8" t="n">
        <v>0.389</v>
      </c>
      <c r="J226" t="n">
        <v>0.95</v>
      </c>
      <c r="K226" s="11">
        <f>IF(H226&lt;&gt;"",H226,IFERROR(G226/INDEX(Players!$M$2:$M$124,MATCH(B226,Players!$A$2:$A$124,0)),""))</f>
        <v/>
      </c>
    </row>
    <row r="227">
      <c r="A227" t="inlineStr">
        <is>
          <t>6fnysfxfr7gofjk|Anubis</t>
        </is>
      </c>
      <c r="B227" t="inlineStr">
        <is>
          <t>6fnysfxfr7gofjk</t>
        </is>
      </c>
      <c r="C227" t="inlineStr">
        <is>
          <t>iM</t>
        </is>
      </c>
      <c r="D227" t="inlineStr">
        <is>
          <t>CS2</t>
        </is>
      </c>
      <c r="E227" t="inlineStr">
        <is>
          <t>Anubis</t>
        </is>
      </c>
      <c r="F227" t="n">
        <v>3</v>
      </c>
      <c r="G227" t="n">
        <v>13</v>
      </c>
      <c r="H227" t="n">
        <v>0.57</v>
      </c>
      <c r="I227" s="8" t="n">
        <v>0.462</v>
      </c>
      <c r="J227" t="n">
        <v>0.85</v>
      </c>
      <c r="K227" s="11">
        <f>IF(H227&lt;&gt;"",H227,IFERROR(G227/INDEX(Players!$M$2:$M$124,MATCH(B227,Players!$A$2:$A$124,0)),""))</f>
        <v/>
      </c>
    </row>
    <row r="228">
      <c r="A228" t="inlineStr">
        <is>
          <t>6fnysfxfr7gofjk|Ancient</t>
        </is>
      </c>
      <c r="B228" t="inlineStr">
        <is>
          <t>6fnysfxfr7gofjk</t>
        </is>
      </c>
      <c r="C228" t="inlineStr">
        <is>
          <t>iM</t>
        </is>
      </c>
      <c r="D228" t="inlineStr">
        <is>
          <t>CS2</t>
        </is>
      </c>
      <c r="E228" t="inlineStr">
        <is>
          <t>Ancient</t>
        </is>
      </c>
      <c r="F228" t="n">
        <v>3</v>
      </c>
      <c r="G228" t="n">
        <v>11.7</v>
      </c>
      <c r="H228" t="n">
        <v>0.63</v>
      </c>
      <c r="I228" s="8" t="n">
        <v>0.4</v>
      </c>
      <c r="J228" t="n">
        <v>0.8100000000000001</v>
      </c>
      <c r="K228" s="11">
        <f>IF(H228&lt;&gt;"",H228,IFERROR(G228/INDEX(Players!$M$2:$M$124,MATCH(B228,Players!$A$2:$A$124,0)),""))</f>
        <v/>
      </c>
    </row>
    <row r="229">
      <c r="A229" t="inlineStr">
        <is>
          <t>6fnysfxfr7gofjk|Dust2</t>
        </is>
      </c>
      <c r="B229" t="inlineStr">
        <is>
          <t>6fnysfxfr7gofjk</t>
        </is>
      </c>
      <c r="C229" t="inlineStr">
        <is>
          <t>iM</t>
        </is>
      </c>
      <c r="D229" t="inlineStr">
        <is>
          <t>CS2</t>
        </is>
      </c>
      <c r="E229" t="inlineStr">
        <is>
          <t>Dust2</t>
        </is>
      </c>
      <c r="F229" t="n">
        <v>2</v>
      </c>
      <c r="G229" t="n">
        <v>22.5</v>
      </c>
      <c r="H229" t="n">
        <v>0.6899999999999999</v>
      </c>
      <c r="I229" s="8" t="n">
        <v>0.489</v>
      </c>
      <c r="J229" t="n">
        <v>0.98</v>
      </c>
      <c r="K229" s="11">
        <f>IF(H229&lt;&gt;"",H229,IFERROR(G229/INDEX(Players!$M$2:$M$124,MATCH(B229,Players!$A$2:$A$124,0)),""))</f>
        <v/>
      </c>
    </row>
    <row r="230">
      <c r="A230" t="inlineStr">
        <is>
          <t>5efm2s88qbsnvv0|Mirage</t>
        </is>
      </c>
      <c r="B230" t="inlineStr">
        <is>
          <t>5efm2s88qbsnvv0</t>
        </is>
      </c>
      <c r="C230" t="inlineStr">
        <is>
          <t>jakekeS</t>
        </is>
      </c>
      <c r="D230" t="inlineStr">
        <is>
          <t>CS2</t>
        </is>
      </c>
      <c r="E230" t="inlineStr">
        <is>
          <t>Mirage</t>
        </is>
      </c>
      <c r="F230" t="n">
        <v>9</v>
      </c>
      <c r="G230" t="n">
        <v>13.8</v>
      </c>
      <c r="H230" t="n">
        <v>0.6</v>
      </c>
      <c r="I230" s="8" t="n">
        <v>0.556</v>
      </c>
      <c r="J230" t="n">
        <v>0.89</v>
      </c>
      <c r="K230" s="11">
        <f>IF(H230&lt;&gt;"",H230,IFERROR(G230/INDEX(Players!$M$2:$M$124,MATCH(B230,Players!$A$2:$A$124,0)),""))</f>
        <v/>
      </c>
    </row>
    <row r="231">
      <c r="A231" t="inlineStr">
        <is>
          <t>5efm2s88qbsnvv0|Ancient</t>
        </is>
      </c>
      <c r="B231" t="inlineStr">
        <is>
          <t>5efm2s88qbsnvv0</t>
        </is>
      </c>
      <c r="C231" t="inlineStr">
        <is>
          <t>jakekeS</t>
        </is>
      </c>
      <c r="D231" t="inlineStr">
        <is>
          <t>CS2</t>
        </is>
      </c>
      <c r="E231" t="inlineStr">
        <is>
          <t>Ancient</t>
        </is>
      </c>
      <c r="F231" t="n">
        <v>7</v>
      </c>
      <c r="G231" t="n">
        <v>13.6</v>
      </c>
      <c r="H231" t="n">
        <v>0.66</v>
      </c>
      <c r="I231" s="8" t="n">
        <v>0.526</v>
      </c>
      <c r="J231" t="n">
        <v>1</v>
      </c>
      <c r="K231" s="11">
        <f>IF(H231&lt;&gt;"",H231,IFERROR(G231/INDEX(Players!$M$2:$M$124,MATCH(B231,Players!$A$2:$A$124,0)),""))</f>
        <v/>
      </c>
    </row>
    <row r="232">
      <c r="A232" t="inlineStr">
        <is>
          <t>5efm2s88qbsnvv0|Dust2</t>
        </is>
      </c>
      <c r="B232" t="inlineStr">
        <is>
          <t>5efm2s88qbsnvv0</t>
        </is>
      </c>
      <c r="C232" t="inlineStr">
        <is>
          <t>jakekeS</t>
        </is>
      </c>
      <c r="D232" t="inlineStr">
        <is>
          <t>CS2</t>
        </is>
      </c>
      <c r="E232" t="inlineStr">
        <is>
          <t>Dust2</t>
        </is>
      </c>
      <c r="F232" t="n">
        <v>7</v>
      </c>
      <c r="G232" t="n">
        <v>9.1</v>
      </c>
      <c r="H232" t="n">
        <v>0.44</v>
      </c>
      <c r="I232" s="8" t="n">
        <v>0.484</v>
      </c>
      <c r="J232" t="n">
        <v>0.67</v>
      </c>
      <c r="K232" s="11">
        <f>IF(H232&lt;&gt;"",H232,IFERROR(G232/INDEX(Players!$M$2:$M$124,MATCH(B232,Players!$A$2:$A$124,0)),""))</f>
        <v/>
      </c>
    </row>
    <row r="233">
      <c r="A233" t="inlineStr">
        <is>
          <t>5efm2s88qbsnvv0|Nuke</t>
        </is>
      </c>
      <c r="B233" t="inlineStr">
        <is>
          <t>5efm2s88qbsnvv0</t>
        </is>
      </c>
      <c r="C233" t="inlineStr">
        <is>
          <t>jakekeS</t>
        </is>
      </c>
      <c r="D233" t="inlineStr">
        <is>
          <t>CS2</t>
        </is>
      </c>
      <c r="E233" t="inlineStr">
        <is>
          <t>Nuke</t>
        </is>
      </c>
      <c r="F233" t="n">
        <v>6</v>
      </c>
      <c r="G233" t="n">
        <v>16.7</v>
      </c>
      <c r="H233" t="n">
        <v>0.6899999999999999</v>
      </c>
      <c r="I233" s="8" t="n">
        <v>0.57</v>
      </c>
      <c r="J233" t="n">
        <v>1.03</v>
      </c>
      <c r="K233" s="11">
        <f>IF(H233&lt;&gt;"",H233,IFERROR(G233/INDEX(Players!$M$2:$M$124,MATCH(B233,Players!$A$2:$A$124,0)),""))</f>
        <v/>
      </c>
    </row>
    <row r="234">
      <c r="A234" t="inlineStr">
        <is>
          <t>5efm2s88qbsnvv0|Inferno</t>
        </is>
      </c>
      <c r="B234" t="inlineStr">
        <is>
          <t>5efm2s88qbsnvv0</t>
        </is>
      </c>
      <c r="C234" t="inlineStr">
        <is>
          <t>jakekeS</t>
        </is>
      </c>
      <c r="D234" t="inlineStr">
        <is>
          <t>CS2</t>
        </is>
      </c>
      <c r="E234" t="inlineStr">
        <is>
          <t>Inferno</t>
        </is>
      </c>
      <c r="F234" t="n">
        <v>4</v>
      </c>
      <c r="G234" t="n">
        <v>15.8</v>
      </c>
      <c r="H234" t="n">
        <v>0.6899999999999999</v>
      </c>
      <c r="I234" s="8" t="n">
        <v>0.5870000000000001</v>
      </c>
      <c r="J234" t="n">
        <v>1.13</v>
      </c>
      <c r="K234" s="11">
        <f>IF(H234&lt;&gt;"",H234,IFERROR(G234/INDEX(Players!$M$2:$M$124,MATCH(B234,Players!$A$2:$A$124,0)),""))</f>
        <v/>
      </c>
    </row>
    <row r="235">
      <c r="A235" t="inlineStr">
        <is>
          <t>5efm2s88qbsnvv0|Anubis</t>
        </is>
      </c>
      <c r="B235" t="inlineStr">
        <is>
          <t>5efm2s88qbsnvv0</t>
        </is>
      </c>
      <c r="C235" t="inlineStr">
        <is>
          <t>jakekeS</t>
        </is>
      </c>
      <c r="D235" t="inlineStr">
        <is>
          <t>CS2</t>
        </is>
      </c>
      <c r="E235" t="inlineStr">
        <is>
          <t>Anubis</t>
        </is>
      </c>
      <c r="F235" t="n">
        <v>1</v>
      </c>
      <c r="G235" t="n">
        <v>10</v>
      </c>
      <c r="H235" t="n">
        <v>0.5</v>
      </c>
      <c r="I235" s="8" t="n">
        <v>0.4</v>
      </c>
      <c r="J235" t="n">
        <v>0.63</v>
      </c>
      <c r="K235" s="11">
        <f>IF(H235&lt;&gt;"",H235,IFERROR(G235/INDEX(Players!$M$2:$M$124,MATCH(B235,Players!$A$2:$A$124,0)),""))</f>
        <v/>
      </c>
    </row>
    <row r="236">
      <c r="A236" t="inlineStr">
        <is>
          <t>eolw6ia2z9ydnyh|Mirage</t>
        </is>
      </c>
      <c r="B236" t="inlineStr">
        <is>
          <t>eolw6ia2z9ydnyh</t>
        </is>
      </c>
      <c r="C236" t="inlineStr">
        <is>
          <t>JamYoung</t>
        </is>
      </c>
      <c r="D236" t="inlineStr">
        <is>
          <t>CS2</t>
        </is>
      </c>
      <c r="E236" t="inlineStr">
        <is>
          <t>Mirage</t>
        </is>
      </c>
      <c r="F236" t="n">
        <v>9</v>
      </c>
      <c r="G236" t="n">
        <v>15</v>
      </c>
      <c r="H236" t="n">
        <v>0.76</v>
      </c>
      <c r="I236" s="8" t="n">
        <v>0.585</v>
      </c>
      <c r="J236" t="n">
        <v>1.31</v>
      </c>
      <c r="K236" s="11">
        <f>IF(H236&lt;&gt;"",H236,IFERROR(G236/INDEX(Players!$M$2:$M$124,MATCH(B236,Players!$A$2:$A$124,0)),""))</f>
        <v/>
      </c>
    </row>
    <row r="237">
      <c r="A237" t="inlineStr">
        <is>
          <t>eolw6ia2z9ydnyh|Ancient</t>
        </is>
      </c>
      <c r="B237" t="inlineStr">
        <is>
          <t>eolw6ia2z9ydnyh</t>
        </is>
      </c>
      <c r="C237" t="inlineStr">
        <is>
          <t>JamYoung</t>
        </is>
      </c>
      <c r="D237" t="inlineStr">
        <is>
          <t>CS2</t>
        </is>
      </c>
      <c r="E237" t="inlineStr">
        <is>
          <t>Ancient</t>
        </is>
      </c>
      <c r="F237" t="n">
        <v>7</v>
      </c>
      <c r="G237" t="n">
        <v>14.3</v>
      </c>
      <c r="H237" t="n">
        <v>0.75</v>
      </c>
      <c r="I237" s="8" t="n">
        <v>0.6</v>
      </c>
      <c r="J237" t="n">
        <v>1.37</v>
      </c>
      <c r="K237" s="11">
        <f>IF(H237&lt;&gt;"",H237,IFERROR(G237/INDEX(Players!$M$2:$M$124,MATCH(B237,Players!$A$2:$A$124,0)),""))</f>
        <v/>
      </c>
    </row>
    <row r="238">
      <c r="A238" t="inlineStr">
        <is>
          <t>eolw6ia2z9ydnyh|Inferno</t>
        </is>
      </c>
      <c r="B238" t="inlineStr">
        <is>
          <t>eolw6ia2z9ydnyh</t>
        </is>
      </c>
      <c r="C238" t="inlineStr">
        <is>
          <t>JamYoung</t>
        </is>
      </c>
      <c r="D238" t="inlineStr">
        <is>
          <t>CS2</t>
        </is>
      </c>
      <c r="E238" t="inlineStr">
        <is>
          <t>Inferno</t>
        </is>
      </c>
      <c r="F238" t="n">
        <v>6</v>
      </c>
      <c r="G238" t="n">
        <v>17.7</v>
      </c>
      <c r="H238" t="n">
        <v>0.88</v>
      </c>
      <c r="I238" s="8" t="n">
        <v>0.698</v>
      </c>
      <c r="J238" t="n">
        <v>1.49</v>
      </c>
      <c r="K238" s="11">
        <f>IF(H238&lt;&gt;"",H238,IFERROR(G238/INDEX(Players!$M$2:$M$124,MATCH(B238,Players!$A$2:$A$124,0)),""))</f>
        <v/>
      </c>
    </row>
    <row r="239">
      <c r="A239" t="inlineStr">
        <is>
          <t>eolw6ia2z9ydnyh|Cache</t>
        </is>
      </c>
      <c r="B239" t="inlineStr">
        <is>
          <t>eolw6ia2z9ydnyh</t>
        </is>
      </c>
      <c r="C239" t="inlineStr">
        <is>
          <t>JamYoung</t>
        </is>
      </c>
      <c r="D239" t="inlineStr">
        <is>
          <t>CS2</t>
        </is>
      </c>
      <c r="E239" t="inlineStr">
        <is>
          <t>Cache</t>
        </is>
      </c>
      <c r="F239" t="n">
        <v>4</v>
      </c>
      <c r="G239" t="n">
        <v>16.5</v>
      </c>
      <c r="H239" t="n">
        <v>0.88</v>
      </c>
      <c r="I239" s="8" t="n">
        <v>0.6970000000000001</v>
      </c>
      <c r="J239" t="n">
        <v>1.47</v>
      </c>
      <c r="K239" s="11">
        <f>IF(H239&lt;&gt;"",H239,IFERROR(G239/INDEX(Players!$M$2:$M$124,MATCH(B239,Players!$A$2:$A$124,0)),""))</f>
        <v/>
      </c>
    </row>
    <row r="240">
      <c r="A240" t="inlineStr">
        <is>
          <t>eolw6ia2z9ydnyh|Nuke</t>
        </is>
      </c>
      <c r="B240" t="inlineStr">
        <is>
          <t>eolw6ia2z9ydnyh</t>
        </is>
      </c>
      <c r="C240" t="inlineStr">
        <is>
          <t>JamYoung</t>
        </is>
      </c>
      <c r="D240" t="inlineStr">
        <is>
          <t>CS2</t>
        </is>
      </c>
      <c r="E240" t="inlineStr">
        <is>
          <t>Nuke</t>
        </is>
      </c>
      <c r="F240" t="n">
        <v>4</v>
      </c>
      <c r="G240" t="n">
        <v>11</v>
      </c>
      <c r="H240" t="n">
        <v>0.49</v>
      </c>
      <c r="I240" s="8" t="n">
        <v>0.591</v>
      </c>
      <c r="J240" t="n">
        <v>0.75</v>
      </c>
      <c r="K240" s="11">
        <f>IF(H240&lt;&gt;"",H240,IFERROR(G240/INDEX(Players!$M$2:$M$124,MATCH(B240,Players!$A$2:$A$124,0)),""))</f>
        <v/>
      </c>
    </row>
    <row r="241">
      <c r="A241" t="inlineStr">
        <is>
          <t>eolw6ia2z9ydnyh|Anubis</t>
        </is>
      </c>
      <c r="B241" t="inlineStr">
        <is>
          <t>eolw6ia2z9ydnyh</t>
        </is>
      </c>
      <c r="C241" t="inlineStr">
        <is>
          <t>JamYoung</t>
        </is>
      </c>
      <c r="D241" t="inlineStr">
        <is>
          <t>CS2</t>
        </is>
      </c>
      <c r="E241" t="inlineStr">
        <is>
          <t>Anubis</t>
        </is>
      </c>
      <c r="F241" t="n">
        <v>2</v>
      </c>
      <c r="G241" t="n">
        <v>10.5</v>
      </c>
      <c r="H241" t="n">
        <v>0.51</v>
      </c>
      <c r="I241" s="8" t="n">
        <v>0.619</v>
      </c>
      <c r="J241" t="n">
        <v>0.64</v>
      </c>
      <c r="K241" s="11">
        <f>IF(H241&lt;&gt;"",H241,IFERROR(G241/INDEX(Players!$M$2:$M$124,MATCH(B241,Players!$A$2:$A$124,0)),""))</f>
        <v/>
      </c>
    </row>
    <row r="242">
      <c r="A242" t="inlineStr">
        <is>
          <t>p3z2zy4su4m4nh0|Mirage</t>
        </is>
      </c>
      <c r="B242" t="inlineStr">
        <is>
          <t>p3z2zy4su4m4nh0</t>
        </is>
      </c>
      <c r="C242" t="inlineStr">
        <is>
          <t>Jee</t>
        </is>
      </c>
      <c r="D242" t="inlineStr">
        <is>
          <t>CS2</t>
        </is>
      </c>
      <c r="E242" t="inlineStr">
        <is>
          <t>Mirage</t>
        </is>
      </c>
      <c r="F242" t="n">
        <v>9</v>
      </c>
      <c r="G242" t="n">
        <v>12.8</v>
      </c>
      <c r="H242" t="n">
        <v>0.65</v>
      </c>
      <c r="I242" s="8" t="n">
        <v>0.313</v>
      </c>
      <c r="J242" t="n">
        <v>1.1</v>
      </c>
      <c r="K242" s="11">
        <f>IF(H242&lt;&gt;"",H242,IFERROR(G242/INDEX(Players!$M$2:$M$124,MATCH(B242,Players!$A$2:$A$124,0)),""))</f>
        <v/>
      </c>
    </row>
    <row r="243">
      <c r="A243" t="inlineStr">
        <is>
          <t>p3z2zy4su4m4nh0|Ancient</t>
        </is>
      </c>
      <c r="B243" t="inlineStr">
        <is>
          <t>p3z2zy4su4m4nh0</t>
        </is>
      </c>
      <c r="C243" t="inlineStr">
        <is>
          <t>Jee</t>
        </is>
      </c>
      <c r="D243" t="inlineStr">
        <is>
          <t>CS2</t>
        </is>
      </c>
      <c r="E243" t="inlineStr">
        <is>
          <t>Ancient</t>
        </is>
      </c>
      <c r="F243" t="n">
        <v>7</v>
      </c>
      <c r="G243" t="n">
        <v>13.9</v>
      </c>
      <c r="H243" t="n">
        <v>0.73</v>
      </c>
      <c r="I243" s="8" t="n">
        <v>0.351</v>
      </c>
      <c r="J243" t="n">
        <v>1.24</v>
      </c>
      <c r="K243" s="11">
        <f>IF(H243&lt;&gt;"",H243,IFERROR(G243/INDEX(Players!$M$2:$M$124,MATCH(B243,Players!$A$2:$A$124,0)),""))</f>
        <v/>
      </c>
    </row>
    <row r="244">
      <c r="A244" t="inlineStr">
        <is>
          <t>p3z2zy4su4m4nh0|Inferno</t>
        </is>
      </c>
      <c r="B244" t="inlineStr">
        <is>
          <t>p3z2zy4su4m4nh0</t>
        </is>
      </c>
      <c r="C244" t="inlineStr">
        <is>
          <t>Jee</t>
        </is>
      </c>
      <c r="D244" t="inlineStr">
        <is>
          <t>CS2</t>
        </is>
      </c>
      <c r="E244" t="inlineStr">
        <is>
          <t>Inferno</t>
        </is>
      </c>
      <c r="F244" t="n">
        <v>6</v>
      </c>
      <c r="G244" t="n">
        <v>15.3</v>
      </c>
      <c r="H244" t="n">
        <v>0.76</v>
      </c>
      <c r="I244" s="8" t="n">
        <v>0.359</v>
      </c>
      <c r="J244" t="n">
        <v>1.33</v>
      </c>
      <c r="K244" s="11">
        <f>IF(H244&lt;&gt;"",H244,IFERROR(G244/INDEX(Players!$M$2:$M$124,MATCH(B244,Players!$A$2:$A$124,0)),""))</f>
        <v/>
      </c>
    </row>
    <row r="245">
      <c r="A245" t="inlineStr">
        <is>
          <t>p3z2zy4su4m4nh0|Cache</t>
        </is>
      </c>
      <c r="B245" t="inlineStr">
        <is>
          <t>p3z2zy4su4m4nh0</t>
        </is>
      </c>
      <c r="C245" t="inlineStr">
        <is>
          <t>Jee</t>
        </is>
      </c>
      <c r="D245" t="inlineStr">
        <is>
          <t>CS2</t>
        </is>
      </c>
      <c r="E245" t="inlineStr">
        <is>
          <t>Cache</t>
        </is>
      </c>
      <c r="F245" t="n">
        <v>4</v>
      </c>
      <c r="G245" t="n">
        <v>12.3</v>
      </c>
      <c r="H245" t="n">
        <v>0.65</v>
      </c>
      <c r="I245" s="8" t="n">
        <v>0.306</v>
      </c>
      <c r="J245" t="n">
        <v>0.98</v>
      </c>
      <c r="K245" s="11">
        <f>IF(H245&lt;&gt;"",H245,IFERROR(G245/INDEX(Players!$M$2:$M$124,MATCH(B245,Players!$A$2:$A$124,0)),""))</f>
        <v/>
      </c>
    </row>
    <row r="246">
      <c r="A246" t="inlineStr">
        <is>
          <t>p3z2zy4su4m4nh0|Nuke</t>
        </is>
      </c>
      <c r="B246" t="inlineStr">
        <is>
          <t>p3z2zy4su4m4nh0</t>
        </is>
      </c>
      <c r="C246" t="inlineStr">
        <is>
          <t>Jee</t>
        </is>
      </c>
      <c r="D246" t="inlineStr">
        <is>
          <t>CS2</t>
        </is>
      </c>
      <c r="E246" t="inlineStr">
        <is>
          <t>Nuke</t>
        </is>
      </c>
      <c r="F246" t="n">
        <v>4</v>
      </c>
      <c r="G246" t="n">
        <v>12.5</v>
      </c>
      <c r="H246" t="n">
        <v>0.5600000000000001</v>
      </c>
      <c r="I246" s="8" t="n">
        <v>0.36</v>
      </c>
      <c r="J246" t="n">
        <v>0.86</v>
      </c>
      <c r="K246" s="11">
        <f>IF(H246&lt;&gt;"",H246,IFERROR(G246/INDEX(Players!$M$2:$M$124,MATCH(B246,Players!$A$2:$A$124,0)),""))</f>
        <v/>
      </c>
    </row>
    <row r="247">
      <c r="A247" t="inlineStr">
        <is>
          <t>p3z2zy4su4m4nh0|Anubis</t>
        </is>
      </c>
      <c r="B247" t="inlineStr">
        <is>
          <t>p3z2zy4su4m4nh0</t>
        </is>
      </c>
      <c r="C247" t="inlineStr">
        <is>
          <t>Jee</t>
        </is>
      </c>
      <c r="D247" t="inlineStr">
        <is>
          <t>CS2</t>
        </is>
      </c>
      <c r="E247" t="inlineStr">
        <is>
          <t>Anubis</t>
        </is>
      </c>
      <c r="F247" t="n">
        <v>2</v>
      </c>
      <c r="G247" t="n">
        <v>15.5</v>
      </c>
      <c r="H247" t="n">
        <v>0.76</v>
      </c>
      <c r="I247" s="8" t="n">
        <v>0.226</v>
      </c>
      <c r="J247" t="n">
        <v>1</v>
      </c>
      <c r="K247" s="11">
        <f>IF(H247&lt;&gt;"",H247,IFERROR(G247/INDEX(Players!$M$2:$M$124,MATCH(B247,Players!$A$2:$A$124,0)),""))</f>
        <v/>
      </c>
    </row>
    <row r="248">
      <c r="A248" t="inlineStr">
        <is>
          <t>66ajrvmetqiufsf|Dust2</t>
        </is>
      </c>
      <c r="B248" t="inlineStr">
        <is>
          <t>66ajrvmetqiufsf</t>
        </is>
      </c>
      <c r="C248" t="inlineStr">
        <is>
          <t>Jimpphat</t>
        </is>
      </c>
      <c r="D248" t="inlineStr">
        <is>
          <t>CS2</t>
        </is>
      </c>
      <c r="E248" t="inlineStr">
        <is>
          <t>Dust2</t>
        </is>
      </c>
      <c r="F248" t="n">
        <v>8</v>
      </c>
      <c r="G248" t="n">
        <v>16.5</v>
      </c>
      <c r="H248" t="n">
        <v>0.73</v>
      </c>
      <c r="I248" s="8" t="n">
        <v>0.606</v>
      </c>
      <c r="J248" t="n">
        <v>1.21</v>
      </c>
      <c r="K248" s="11">
        <f>IF(H248&lt;&gt;"",H248,IFERROR(G248/INDEX(Players!$M$2:$M$124,MATCH(B248,Players!$A$2:$A$124,0)),""))</f>
        <v/>
      </c>
    </row>
    <row r="249">
      <c r="A249" t="inlineStr">
        <is>
          <t>66ajrvmetqiufsf|Anubis</t>
        </is>
      </c>
      <c r="B249" t="inlineStr">
        <is>
          <t>66ajrvmetqiufsf</t>
        </is>
      </c>
      <c r="C249" t="inlineStr">
        <is>
          <t>Jimpphat</t>
        </is>
      </c>
      <c r="D249" t="inlineStr">
        <is>
          <t>CS2</t>
        </is>
      </c>
      <c r="E249" t="inlineStr">
        <is>
          <t>Anubis</t>
        </is>
      </c>
      <c r="F249" t="n">
        <v>7</v>
      </c>
      <c r="G249" t="n">
        <v>15.9</v>
      </c>
      <c r="H249" t="n">
        <v>0.8</v>
      </c>
      <c r="I249" s="8" t="n">
        <v>0.5770000000000001</v>
      </c>
      <c r="J249" t="n">
        <v>1.28</v>
      </c>
      <c r="K249" s="11">
        <f>IF(H249&lt;&gt;"",H249,IFERROR(G249/INDEX(Players!$M$2:$M$124,MATCH(B249,Players!$A$2:$A$124,0)),""))</f>
        <v/>
      </c>
    </row>
    <row r="250">
      <c r="A250" t="inlineStr">
        <is>
          <t>66ajrvmetqiufsf|Mirage</t>
        </is>
      </c>
      <c r="B250" t="inlineStr">
        <is>
          <t>66ajrvmetqiufsf</t>
        </is>
      </c>
      <c r="C250" t="inlineStr">
        <is>
          <t>Jimpphat</t>
        </is>
      </c>
      <c r="D250" t="inlineStr">
        <is>
          <t>CS2</t>
        </is>
      </c>
      <c r="E250" t="inlineStr">
        <is>
          <t>Mirage</t>
        </is>
      </c>
      <c r="F250" t="n">
        <v>7</v>
      </c>
      <c r="G250" t="n">
        <v>11.3</v>
      </c>
      <c r="H250" t="n">
        <v>0.5600000000000001</v>
      </c>
      <c r="I250" s="8" t="n">
        <v>0.519</v>
      </c>
      <c r="J250" t="n">
        <v>0.88</v>
      </c>
      <c r="K250" s="11">
        <f>IF(H250&lt;&gt;"",H250,IFERROR(G250/INDEX(Players!$M$2:$M$124,MATCH(B250,Players!$A$2:$A$124,0)),""))</f>
        <v/>
      </c>
    </row>
    <row r="251">
      <c r="A251" t="inlineStr">
        <is>
          <t>66ajrvmetqiufsf|Inferno</t>
        </is>
      </c>
      <c r="B251" t="inlineStr">
        <is>
          <t>66ajrvmetqiufsf</t>
        </is>
      </c>
      <c r="C251" t="inlineStr">
        <is>
          <t>Jimpphat</t>
        </is>
      </c>
      <c r="D251" t="inlineStr">
        <is>
          <t>CS2</t>
        </is>
      </c>
      <c r="E251" t="inlineStr">
        <is>
          <t>Inferno</t>
        </is>
      </c>
      <c r="F251" t="n">
        <v>6</v>
      </c>
      <c r="G251" t="n">
        <v>16.3</v>
      </c>
      <c r="H251" t="n">
        <v>0.7</v>
      </c>
      <c r="I251" s="8" t="n">
        <v>0.5710000000000001</v>
      </c>
      <c r="J251" t="n">
        <v>1.2</v>
      </c>
      <c r="K251" s="11">
        <f>IF(H251&lt;&gt;"",H251,IFERROR(G251/INDEX(Players!$M$2:$M$124,MATCH(B251,Players!$A$2:$A$124,0)),""))</f>
        <v/>
      </c>
    </row>
    <row r="252">
      <c r="A252" t="inlineStr">
        <is>
          <t>66ajrvmetqiufsf|Nuke</t>
        </is>
      </c>
      <c r="B252" t="inlineStr">
        <is>
          <t>66ajrvmetqiufsf</t>
        </is>
      </c>
      <c r="C252" t="inlineStr">
        <is>
          <t>Jimpphat</t>
        </is>
      </c>
      <c r="D252" t="inlineStr">
        <is>
          <t>CS2</t>
        </is>
      </c>
      <c r="E252" t="inlineStr">
        <is>
          <t>Nuke</t>
        </is>
      </c>
      <c r="F252" t="n">
        <v>6</v>
      </c>
      <c r="G252" t="n">
        <v>13.8</v>
      </c>
      <c r="H252" t="n">
        <v>0.73</v>
      </c>
      <c r="I252" s="8" t="n">
        <v>0.627</v>
      </c>
      <c r="J252" t="n">
        <v>1.08</v>
      </c>
      <c r="K252" s="11">
        <f>IF(H252&lt;&gt;"",H252,IFERROR(G252/INDEX(Players!$M$2:$M$124,MATCH(B252,Players!$A$2:$A$124,0)),""))</f>
        <v/>
      </c>
    </row>
    <row r="253">
      <c r="A253" t="inlineStr">
        <is>
          <t>66ajrvmetqiufsf|Cache</t>
        </is>
      </c>
      <c r="B253" t="inlineStr">
        <is>
          <t>66ajrvmetqiufsf</t>
        </is>
      </c>
      <c r="C253" t="inlineStr">
        <is>
          <t>Jimpphat</t>
        </is>
      </c>
      <c r="D253" t="inlineStr">
        <is>
          <t>CS2</t>
        </is>
      </c>
      <c r="E253" t="inlineStr">
        <is>
          <t>Cache</t>
        </is>
      </c>
      <c r="F253" t="n">
        <v>4</v>
      </c>
      <c r="G253" t="n">
        <v>11</v>
      </c>
      <c r="H253" t="n">
        <v>0.51</v>
      </c>
      <c r="I253" s="8" t="n">
        <v>0.5</v>
      </c>
      <c r="J253" t="n">
        <v>0.88</v>
      </c>
      <c r="K253" s="11">
        <f>IF(H253&lt;&gt;"",H253,IFERROR(G253/INDEX(Players!$M$2:$M$124,MATCH(B253,Players!$A$2:$A$124,0)),""))</f>
        <v/>
      </c>
    </row>
    <row r="254">
      <c r="A254" t="inlineStr">
        <is>
          <t>frzabcozzj3obrl|Mirage</t>
        </is>
      </c>
      <c r="B254" t="inlineStr">
        <is>
          <t>frzabcozzj3obrl</t>
        </is>
      </c>
      <c r="C254" t="inlineStr">
        <is>
          <t>jL</t>
        </is>
      </c>
      <c r="D254" t="inlineStr">
        <is>
          <t>CS2</t>
        </is>
      </c>
      <c r="E254" t="inlineStr">
        <is>
          <t>Mirage</t>
        </is>
      </c>
      <c r="F254" t="n">
        <v>7</v>
      </c>
      <c r="G254" t="n">
        <v>14.7</v>
      </c>
      <c r="H254" t="n">
        <v>0.73</v>
      </c>
      <c r="I254" s="8" t="n">
        <v>0.534</v>
      </c>
      <c r="J254" t="n">
        <v>1.11</v>
      </c>
      <c r="K254" s="11">
        <f>IF(H254&lt;&gt;"",H254,IFERROR(G254/INDEX(Players!$M$2:$M$124,MATCH(B254,Players!$A$2:$A$124,0)),""))</f>
        <v/>
      </c>
    </row>
    <row r="255">
      <c r="A255" t="inlineStr">
        <is>
          <t>frzabcozzj3obrl|Dust2</t>
        </is>
      </c>
      <c r="B255" t="inlineStr">
        <is>
          <t>frzabcozzj3obrl</t>
        </is>
      </c>
      <c r="C255" t="inlineStr">
        <is>
          <t>jL</t>
        </is>
      </c>
      <c r="D255" t="inlineStr">
        <is>
          <t>CS2</t>
        </is>
      </c>
      <c r="E255" t="inlineStr">
        <is>
          <t>Dust2</t>
        </is>
      </c>
      <c r="F255" t="n">
        <v>6</v>
      </c>
      <c r="G255" t="n">
        <v>13.5</v>
      </c>
      <c r="H255" t="n">
        <v>0.6899999999999999</v>
      </c>
      <c r="I255" s="8" t="n">
        <v>0.63</v>
      </c>
      <c r="J255" t="n">
        <v>1.21</v>
      </c>
      <c r="K255" s="11">
        <f>IF(H255&lt;&gt;"",H255,IFERROR(G255/INDEX(Players!$M$2:$M$124,MATCH(B255,Players!$A$2:$A$124,0)),""))</f>
        <v/>
      </c>
    </row>
    <row r="256">
      <c r="A256" t="inlineStr">
        <is>
          <t>frzabcozzj3obrl|Nuke</t>
        </is>
      </c>
      <c r="B256" t="inlineStr">
        <is>
          <t>frzabcozzj3obrl</t>
        </is>
      </c>
      <c r="C256" t="inlineStr">
        <is>
          <t>jL</t>
        </is>
      </c>
      <c r="D256" t="inlineStr">
        <is>
          <t>CS2</t>
        </is>
      </c>
      <c r="E256" t="inlineStr">
        <is>
          <t>Nuke</t>
        </is>
      </c>
      <c r="F256" t="n">
        <v>6</v>
      </c>
      <c r="G256" t="n">
        <v>12.7</v>
      </c>
      <c r="H256" t="n">
        <v>0.6</v>
      </c>
      <c r="I256" s="8" t="n">
        <v>0.579</v>
      </c>
      <c r="J256" t="n">
        <v>0.9399999999999999</v>
      </c>
      <c r="K256" s="11">
        <f>IF(H256&lt;&gt;"",H256,IFERROR(G256/INDEX(Players!$M$2:$M$124,MATCH(B256,Players!$A$2:$A$124,0)),""))</f>
        <v/>
      </c>
    </row>
    <row r="257">
      <c r="A257" t="inlineStr">
        <is>
          <t>frzabcozzj3obrl|Overpass</t>
        </is>
      </c>
      <c r="B257" t="inlineStr">
        <is>
          <t>frzabcozzj3obrl</t>
        </is>
      </c>
      <c r="C257" t="inlineStr">
        <is>
          <t>jL</t>
        </is>
      </c>
      <c r="D257" t="inlineStr">
        <is>
          <t>CS2</t>
        </is>
      </c>
      <c r="E257" t="inlineStr">
        <is>
          <t>Overpass</t>
        </is>
      </c>
      <c r="F257" t="n">
        <v>4</v>
      </c>
      <c r="G257" t="n">
        <v>13.8</v>
      </c>
      <c r="H257" t="n">
        <v>0.75</v>
      </c>
      <c r="I257" s="8" t="n">
        <v>0.527</v>
      </c>
      <c r="J257" t="n">
        <v>1.28</v>
      </c>
      <c r="K257" s="11">
        <f>IF(H257&lt;&gt;"",H257,IFERROR(G257/INDEX(Players!$M$2:$M$124,MATCH(B257,Players!$A$2:$A$124,0)),""))</f>
        <v/>
      </c>
    </row>
    <row r="258">
      <c r="A258" t="inlineStr">
        <is>
          <t>frzabcozzj3obrl|Ancient</t>
        </is>
      </c>
      <c r="B258" t="inlineStr">
        <is>
          <t>frzabcozzj3obrl</t>
        </is>
      </c>
      <c r="C258" t="inlineStr">
        <is>
          <t>jL</t>
        </is>
      </c>
      <c r="D258" t="inlineStr">
        <is>
          <t>CS2</t>
        </is>
      </c>
      <c r="E258" t="inlineStr">
        <is>
          <t>Ancient</t>
        </is>
      </c>
      <c r="F258" t="n">
        <v>3</v>
      </c>
      <c r="G258" t="n">
        <v>17.3</v>
      </c>
      <c r="H258" t="n">
        <v>0.66</v>
      </c>
      <c r="I258" s="8" t="n">
        <v>0.481</v>
      </c>
      <c r="J258" t="n">
        <v>1.08</v>
      </c>
      <c r="K258" s="11">
        <f>IF(H258&lt;&gt;"",H258,IFERROR(G258/INDEX(Players!$M$2:$M$124,MATCH(B258,Players!$A$2:$A$124,0)),""))</f>
        <v/>
      </c>
    </row>
    <row r="259">
      <c r="A259" t="inlineStr">
        <is>
          <t>frzabcozzj3obrl|Cache</t>
        </is>
      </c>
      <c r="B259" t="inlineStr">
        <is>
          <t>frzabcozzj3obrl</t>
        </is>
      </c>
      <c r="C259" t="inlineStr">
        <is>
          <t>jL</t>
        </is>
      </c>
      <c r="D259" t="inlineStr">
        <is>
          <t>CS2</t>
        </is>
      </c>
      <c r="E259" t="inlineStr">
        <is>
          <t>Cache</t>
        </is>
      </c>
      <c r="F259" t="n">
        <v>3</v>
      </c>
      <c r="G259" t="n">
        <v>14.7</v>
      </c>
      <c r="H259" t="n">
        <v>0.58</v>
      </c>
      <c r="I259" s="8" t="n">
        <v>0.523</v>
      </c>
      <c r="J259" t="n">
        <v>0.96</v>
      </c>
      <c r="K259" s="11">
        <f>IF(H259&lt;&gt;"",H259,IFERROR(G259/INDEX(Players!$M$2:$M$124,MATCH(B259,Players!$A$2:$A$124,0)),""))</f>
        <v/>
      </c>
    </row>
    <row r="260">
      <c r="A260" t="inlineStr">
        <is>
          <t>frzabcozzj3obrl|Inferno</t>
        </is>
      </c>
      <c r="B260" t="inlineStr">
        <is>
          <t>frzabcozzj3obrl</t>
        </is>
      </c>
      <c r="C260" t="inlineStr">
        <is>
          <t>jL</t>
        </is>
      </c>
      <c r="D260" t="inlineStr">
        <is>
          <t>CS2</t>
        </is>
      </c>
      <c r="E260" t="inlineStr">
        <is>
          <t>Inferno</t>
        </is>
      </c>
      <c r="F260" t="n">
        <v>3</v>
      </c>
      <c r="G260" t="n">
        <v>10.7</v>
      </c>
      <c r="H260" t="n">
        <v>0.48</v>
      </c>
      <c r="I260" s="8" t="n">
        <v>0.6559999999999999</v>
      </c>
      <c r="J260" t="n">
        <v>0.76</v>
      </c>
      <c r="K260" s="11">
        <f>IF(H260&lt;&gt;"",H260,IFERROR(G260/INDEX(Players!$M$2:$M$124,MATCH(B260,Players!$A$2:$A$124,0)),""))</f>
        <v/>
      </c>
    </row>
    <row r="261">
      <c r="A261" t="inlineStr">
        <is>
          <t>frzabcozzj3obrl|Anubis</t>
        </is>
      </c>
      <c r="B261" t="inlineStr">
        <is>
          <t>frzabcozzj3obrl</t>
        </is>
      </c>
      <c r="C261" t="inlineStr">
        <is>
          <t>jL</t>
        </is>
      </c>
      <c r="D261" t="inlineStr">
        <is>
          <t>CS2</t>
        </is>
      </c>
      <c r="E261" t="inlineStr">
        <is>
          <t>Anubis</t>
        </is>
      </c>
      <c r="F261" t="n">
        <v>2</v>
      </c>
      <c r="G261" t="n">
        <v>14.5</v>
      </c>
      <c r="H261" t="n">
        <v>0.71</v>
      </c>
      <c r="I261" s="8" t="n">
        <v>0.414</v>
      </c>
      <c r="J261" t="n">
        <v>1.21</v>
      </c>
      <c r="K261" s="11">
        <f>IF(H261&lt;&gt;"",H261,IFERROR(G261/INDEX(Players!$M$2:$M$124,MATCH(B261,Players!$A$2:$A$124,0)),""))</f>
        <v/>
      </c>
    </row>
    <row r="262">
      <c r="A262" t="inlineStr">
        <is>
          <t>eb7cqiuc8bqx4zr|Mirage</t>
        </is>
      </c>
      <c r="B262" t="inlineStr">
        <is>
          <t>eb7cqiuc8bqx4zr</t>
        </is>
      </c>
      <c r="C262" t="inlineStr">
        <is>
          <t>Jorko</t>
        </is>
      </c>
      <c r="D262" t="inlineStr">
        <is>
          <t>CS2</t>
        </is>
      </c>
      <c r="E262" t="inlineStr">
        <is>
          <t>Mirage</t>
        </is>
      </c>
      <c r="F262" t="n">
        <v>7</v>
      </c>
      <c r="G262" t="n">
        <v>17.1</v>
      </c>
      <c r="H262" t="n">
        <v>0.72</v>
      </c>
      <c r="I262" s="8" t="n">
        <v>0.3</v>
      </c>
      <c r="J262" t="n">
        <v>1.25</v>
      </c>
      <c r="K262" s="11">
        <f>IF(H262&lt;&gt;"",H262,IFERROR(G262/INDEX(Players!$M$2:$M$124,MATCH(B262,Players!$A$2:$A$124,0)),""))</f>
        <v/>
      </c>
    </row>
    <row r="263">
      <c r="A263" t="inlineStr">
        <is>
          <t>eb7cqiuc8bqx4zr|Cache</t>
        </is>
      </c>
      <c r="B263" t="inlineStr">
        <is>
          <t>eb7cqiuc8bqx4zr</t>
        </is>
      </c>
      <c r="C263" t="inlineStr">
        <is>
          <t>Jorko</t>
        </is>
      </c>
      <c r="D263" t="inlineStr">
        <is>
          <t>CS2</t>
        </is>
      </c>
      <c r="E263" t="inlineStr">
        <is>
          <t>Cache</t>
        </is>
      </c>
      <c r="F263" t="n">
        <v>7</v>
      </c>
      <c r="G263" t="n">
        <v>14.7</v>
      </c>
      <c r="H263" t="n">
        <v>0.66</v>
      </c>
      <c r="I263" s="8" t="n">
        <v>0.398</v>
      </c>
      <c r="J263" t="n">
        <v>1.13</v>
      </c>
      <c r="K263" s="11">
        <f>IF(H263&lt;&gt;"",H263,IFERROR(G263/INDEX(Players!$M$2:$M$124,MATCH(B263,Players!$A$2:$A$124,0)),""))</f>
        <v/>
      </c>
    </row>
    <row r="264">
      <c r="A264" t="inlineStr">
        <is>
          <t>eb7cqiuc8bqx4zr|Inferno</t>
        </is>
      </c>
      <c r="B264" t="inlineStr">
        <is>
          <t>eb7cqiuc8bqx4zr</t>
        </is>
      </c>
      <c r="C264" t="inlineStr">
        <is>
          <t>Jorko</t>
        </is>
      </c>
      <c r="D264" t="inlineStr">
        <is>
          <t>CS2</t>
        </is>
      </c>
      <c r="E264" t="inlineStr">
        <is>
          <t>Inferno</t>
        </is>
      </c>
      <c r="F264" t="n">
        <v>5</v>
      </c>
      <c r="G264" t="n">
        <v>14.2</v>
      </c>
      <c r="H264" t="n">
        <v>0.7</v>
      </c>
      <c r="I264" s="8" t="n">
        <v>0.296</v>
      </c>
      <c r="J264" t="n">
        <v>1.31</v>
      </c>
      <c r="K264" s="11">
        <f>IF(H264&lt;&gt;"",H264,IFERROR(G264/INDEX(Players!$M$2:$M$124,MATCH(B264,Players!$A$2:$A$124,0)),""))</f>
        <v/>
      </c>
    </row>
    <row r="265">
      <c r="A265" t="inlineStr">
        <is>
          <t>eb7cqiuc8bqx4zr|Nuke</t>
        </is>
      </c>
      <c r="B265" t="inlineStr">
        <is>
          <t>eb7cqiuc8bqx4zr</t>
        </is>
      </c>
      <c r="C265" t="inlineStr">
        <is>
          <t>Jorko</t>
        </is>
      </c>
      <c r="D265" t="inlineStr">
        <is>
          <t>CS2</t>
        </is>
      </c>
      <c r="E265" t="inlineStr">
        <is>
          <t>Nuke</t>
        </is>
      </c>
      <c r="F265" t="n">
        <v>4</v>
      </c>
      <c r="G265" t="n">
        <v>16</v>
      </c>
      <c r="H265" t="n">
        <v>0.77</v>
      </c>
      <c r="I265" s="8" t="n">
        <v>0.234</v>
      </c>
      <c r="J265" t="n">
        <v>1.21</v>
      </c>
      <c r="K265" s="11">
        <f>IF(H265&lt;&gt;"",H265,IFERROR(G265/INDEX(Players!$M$2:$M$124,MATCH(B265,Players!$A$2:$A$124,0)),""))</f>
        <v/>
      </c>
    </row>
    <row r="266">
      <c r="A266" t="inlineStr">
        <is>
          <t>eb7cqiuc8bqx4zr|Anubis</t>
        </is>
      </c>
      <c r="B266" t="inlineStr">
        <is>
          <t>eb7cqiuc8bqx4zr</t>
        </is>
      </c>
      <c r="C266" t="inlineStr">
        <is>
          <t>Jorko</t>
        </is>
      </c>
      <c r="D266" t="inlineStr">
        <is>
          <t>CS2</t>
        </is>
      </c>
      <c r="E266" t="inlineStr">
        <is>
          <t>Anubis</t>
        </is>
      </c>
      <c r="F266" t="n">
        <v>3</v>
      </c>
      <c r="G266" t="n">
        <v>16</v>
      </c>
      <c r="H266" t="n">
        <v>0.8</v>
      </c>
      <c r="I266" s="8" t="n">
        <v>0.333</v>
      </c>
      <c r="J266" t="n">
        <v>1.66</v>
      </c>
      <c r="K266" s="11">
        <f>IF(H266&lt;&gt;"",H266,IFERROR(G266/INDEX(Players!$M$2:$M$124,MATCH(B266,Players!$A$2:$A$124,0)),""))</f>
        <v/>
      </c>
    </row>
    <row r="267">
      <c r="A267" t="inlineStr">
        <is>
          <t>eb7cqiuc8bqx4zr|Dust2</t>
        </is>
      </c>
      <c r="B267" t="inlineStr">
        <is>
          <t>eb7cqiuc8bqx4zr</t>
        </is>
      </c>
      <c r="C267" t="inlineStr">
        <is>
          <t>Jorko</t>
        </is>
      </c>
      <c r="D267" t="inlineStr">
        <is>
          <t>CS2</t>
        </is>
      </c>
      <c r="E267" t="inlineStr">
        <is>
          <t>Dust2</t>
        </is>
      </c>
      <c r="F267" t="n">
        <v>3</v>
      </c>
      <c r="G267" t="n">
        <v>12.7</v>
      </c>
      <c r="H267" t="n">
        <v>0.63</v>
      </c>
      <c r="I267" s="8" t="n">
        <v>0.368</v>
      </c>
      <c r="J267" t="n">
        <v>0.97</v>
      </c>
      <c r="K267" s="11">
        <f>IF(H267&lt;&gt;"",H267,IFERROR(G267/INDEX(Players!$M$2:$M$124,MATCH(B267,Players!$A$2:$A$124,0)),""))</f>
        <v/>
      </c>
    </row>
    <row r="268">
      <c r="A268" t="inlineStr">
        <is>
          <t>eb7cqiuc8bqx4zr|Ancient</t>
        </is>
      </c>
      <c r="B268" t="inlineStr">
        <is>
          <t>eb7cqiuc8bqx4zr</t>
        </is>
      </c>
      <c r="C268" t="inlineStr">
        <is>
          <t>Jorko</t>
        </is>
      </c>
      <c r="D268" t="inlineStr">
        <is>
          <t>CS2</t>
        </is>
      </c>
      <c r="E268" t="inlineStr">
        <is>
          <t>Ancient</t>
        </is>
      </c>
      <c r="F268" t="n">
        <v>1</v>
      </c>
      <c r="G268" t="n">
        <v>13</v>
      </c>
      <c r="H268" t="n">
        <v>0.45</v>
      </c>
      <c r="I268" s="8" t="n">
        <v>0.5379999999999999</v>
      </c>
      <c r="J268" t="n">
        <v>0.72</v>
      </c>
      <c r="K268" s="11">
        <f>IF(H268&lt;&gt;"",H268,IFERROR(G268/INDEX(Players!$M$2:$M$124,MATCH(B268,Players!$A$2:$A$124,0)),""))</f>
        <v/>
      </c>
    </row>
    <row r="269">
      <c r="A269" t="inlineStr">
        <is>
          <t>j4y4z5p4stvkatz|Cache</t>
        </is>
      </c>
      <c r="B269" t="inlineStr">
        <is>
          <t>j4y4z5p4stvkatz</t>
        </is>
      </c>
      <c r="C269" t="inlineStr">
        <is>
          <t>JT</t>
        </is>
      </c>
      <c r="D269" t="inlineStr">
        <is>
          <t>CS2</t>
        </is>
      </c>
      <c r="E269" t="inlineStr">
        <is>
          <t>Cache</t>
        </is>
      </c>
      <c r="F269" t="n">
        <v>7</v>
      </c>
      <c r="G269" t="n">
        <v>12.7</v>
      </c>
      <c r="H269" t="n">
        <v>0.57</v>
      </c>
      <c r="I269" s="8" t="n">
        <v>0.573</v>
      </c>
      <c r="J269" t="n">
        <v>0.88</v>
      </c>
      <c r="K269" s="11">
        <f>IF(H269&lt;&gt;"",H269,IFERROR(G269/INDEX(Players!$M$2:$M$124,MATCH(B269,Players!$A$2:$A$124,0)),""))</f>
        <v/>
      </c>
    </row>
    <row r="270">
      <c r="A270" t="inlineStr">
        <is>
          <t>j4y4z5p4stvkatz|Mirage</t>
        </is>
      </c>
      <c r="B270" t="inlineStr">
        <is>
          <t>j4y4z5p4stvkatz</t>
        </is>
      </c>
      <c r="C270" t="inlineStr">
        <is>
          <t>JT</t>
        </is>
      </c>
      <c r="D270" t="inlineStr">
        <is>
          <t>CS2</t>
        </is>
      </c>
      <c r="E270" t="inlineStr">
        <is>
          <t>Mirage</t>
        </is>
      </c>
      <c r="F270" t="n">
        <v>7</v>
      </c>
      <c r="G270" t="n">
        <v>11.3</v>
      </c>
      <c r="H270" t="n">
        <v>0.48</v>
      </c>
      <c r="I270" s="8" t="n">
        <v>0.456</v>
      </c>
      <c r="J270" t="n">
        <v>0.6899999999999999</v>
      </c>
      <c r="K270" s="11">
        <f>IF(H270&lt;&gt;"",H270,IFERROR(G270/INDEX(Players!$M$2:$M$124,MATCH(B270,Players!$A$2:$A$124,0)),""))</f>
        <v/>
      </c>
    </row>
    <row r="271">
      <c r="A271" t="inlineStr">
        <is>
          <t>j4y4z5p4stvkatz|Inferno</t>
        </is>
      </c>
      <c r="B271" t="inlineStr">
        <is>
          <t>j4y4z5p4stvkatz</t>
        </is>
      </c>
      <c r="C271" t="inlineStr">
        <is>
          <t>JT</t>
        </is>
      </c>
      <c r="D271" t="inlineStr">
        <is>
          <t>CS2</t>
        </is>
      </c>
      <c r="E271" t="inlineStr">
        <is>
          <t>Inferno</t>
        </is>
      </c>
      <c r="F271" t="n">
        <v>5</v>
      </c>
      <c r="G271" t="n">
        <v>10.8</v>
      </c>
      <c r="H271" t="n">
        <v>0.53</v>
      </c>
      <c r="I271" s="8" t="n">
        <v>0.7040000000000001</v>
      </c>
      <c r="J271" t="n">
        <v>1</v>
      </c>
      <c r="K271" s="11">
        <f>IF(H271&lt;&gt;"",H271,IFERROR(G271/INDEX(Players!$M$2:$M$124,MATCH(B271,Players!$A$2:$A$124,0)),""))</f>
        <v/>
      </c>
    </row>
    <row r="272">
      <c r="A272" t="inlineStr">
        <is>
          <t>j4y4z5p4stvkatz|Nuke</t>
        </is>
      </c>
      <c r="B272" t="inlineStr">
        <is>
          <t>j4y4z5p4stvkatz</t>
        </is>
      </c>
      <c r="C272" t="inlineStr">
        <is>
          <t>JT</t>
        </is>
      </c>
      <c r="D272" t="inlineStr">
        <is>
          <t>CS2</t>
        </is>
      </c>
      <c r="E272" t="inlineStr">
        <is>
          <t>Nuke</t>
        </is>
      </c>
      <c r="F272" t="n">
        <v>4</v>
      </c>
      <c r="G272" t="n">
        <v>12.3</v>
      </c>
      <c r="H272" t="n">
        <v>0.59</v>
      </c>
      <c r="I272" s="8" t="n">
        <v>0.49</v>
      </c>
      <c r="J272" t="n">
        <v>0.73</v>
      </c>
      <c r="K272" s="11">
        <f>IF(H272&lt;&gt;"",H272,IFERROR(G272/INDEX(Players!$M$2:$M$124,MATCH(B272,Players!$A$2:$A$124,0)),""))</f>
        <v/>
      </c>
    </row>
    <row r="273">
      <c r="A273" t="inlineStr">
        <is>
          <t>j4y4z5p4stvkatz|Dust2</t>
        </is>
      </c>
      <c r="B273" t="inlineStr">
        <is>
          <t>j4y4z5p4stvkatz</t>
        </is>
      </c>
      <c r="C273" t="inlineStr">
        <is>
          <t>JT</t>
        </is>
      </c>
      <c r="D273" t="inlineStr">
        <is>
          <t>CS2</t>
        </is>
      </c>
      <c r="E273" t="inlineStr">
        <is>
          <t>Dust2</t>
        </is>
      </c>
      <c r="F273" t="n">
        <v>3</v>
      </c>
      <c r="G273" t="n">
        <v>11</v>
      </c>
      <c r="H273" t="n">
        <v>0.55</v>
      </c>
      <c r="I273" s="8" t="n">
        <v>0.5760000000000001</v>
      </c>
      <c r="J273" t="n">
        <v>0.8</v>
      </c>
      <c r="K273" s="11">
        <f>IF(H273&lt;&gt;"",H273,IFERROR(G273/INDEX(Players!$M$2:$M$124,MATCH(B273,Players!$A$2:$A$124,0)),""))</f>
        <v/>
      </c>
    </row>
    <row r="274">
      <c r="A274" t="inlineStr">
        <is>
          <t>j4y4z5p4stvkatz|Anubis</t>
        </is>
      </c>
      <c r="B274" t="inlineStr">
        <is>
          <t>j4y4z5p4stvkatz</t>
        </is>
      </c>
      <c r="C274" t="inlineStr">
        <is>
          <t>JT</t>
        </is>
      </c>
      <c r="D274" t="inlineStr">
        <is>
          <t>CS2</t>
        </is>
      </c>
      <c r="E274" t="inlineStr">
        <is>
          <t>Anubis</t>
        </is>
      </c>
      <c r="F274" t="n">
        <v>3</v>
      </c>
      <c r="G274" t="n">
        <v>8.699999999999999</v>
      </c>
      <c r="H274" t="n">
        <v>0.43</v>
      </c>
      <c r="I274" s="8" t="n">
        <v>0.5770000000000001</v>
      </c>
      <c r="J274" t="n">
        <v>0.58</v>
      </c>
      <c r="K274" s="11">
        <f>IF(H274&lt;&gt;"",H274,IFERROR(G274/INDEX(Players!$M$2:$M$124,MATCH(B274,Players!$A$2:$A$124,0)),""))</f>
        <v/>
      </c>
    </row>
    <row r="275">
      <c r="A275" t="inlineStr">
        <is>
          <t>j4y4z5p4stvkatz|Ancient</t>
        </is>
      </c>
      <c r="B275" t="inlineStr">
        <is>
          <t>j4y4z5p4stvkatz</t>
        </is>
      </c>
      <c r="C275" t="inlineStr">
        <is>
          <t>JT</t>
        </is>
      </c>
      <c r="D275" t="inlineStr">
        <is>
          <t>CS2</t>
        </is>
      </c>
      <c r="E275" t="inlineStr">
        <is>
          <t>Ancient</t>
        </is>
      </c>
      <c r="F275" t="n">
        <v>1</v>
      </c>
      <c r="G275" t="n">
        <v>10</v>
      </c>
      <c r="H275" t="n">
        <v>0.34</v>
      </c>
      <c r="I275" s="8" t="n">
        <v>0.6</v>
      </c>
      <c r="J275" t="n">
        <v>0.48</v>
      </c>
      <c r="K275" s="11">
        <f>IF(H275&lt;&gt;"",H275,IFERROR(G275/INDEX(Players!$M$2:$M$124,MATCH(B275,Players!$A$2:$A$124,0)),""))</f>
        <v/>
      </c>
    </row>
    <row r="276">
      <c r="A276" t="inlineStr">
        <is>
          <t>m02i8zld44pmsf6|Ancient</t>
        </is>
      </c>
      <c r="B276" t="inlineStr">
        <is>
          <t>m02i8zld44pmsf6</t>
        </is>
      </c>
      <c r="C276" t="inlineStr">
        <is>
          <t>K0s</t>
        </is>
      </c>
      <c r="D276" t="inlineStr">
        <is>
          <t>CS2</t>
        </is>
      </c>
      <c r="E276" t="inlineStr">
        <is>
          <t>Ancient</t>
        </is>
      </c>
      <c r="F276" t="n">
        <v>8</v>
      </c>
      <c r="G276" t="n">
        <v>14.3</v>
      </c>
      <c r="H276" t="n">
        <v>0.66</v>
      </c>
      <c r="I276" s="8" t="n">
        <v>0.482</v>
      </c>
      <c r="J276" t="n">
        <v>0.96</v>
      </c>
      <c r="K276" s="11">
        <f>IF(H276&lt;&gt;"",H276,IFERROR(G276/INDEX(Players!$M$2:$M$124,MATCH(B276,Players!$A$2:$A$124,0)),""))</f>
        <v/>
      </c>
    </row>
    <row r="277">
      <c r="A277" t="inlineStr">
        <is>
          <t>m02i8zld44pmsf6|Nuke</t>
        </is>
      </c>
      <c r="B277" t="inlineStr">
        <is>
          <t>m02i8zld44pmsf6</t>
        </is>
      </c>
      <c r="C277" t="inlineStr">
        <is>
          <t>K0s</t>
        </is>
      </c>
      <c r="D277" t="inlineStr">
        <is>
          <t>CS2</t>
        </is>
      </c>
      <c r="E277" t="inlineStr">
        <is>
          <t>Nuke</t>
        </is>
      </c>
      <c r="F277" t="n">
        <v>8</v>
      </c>
      <c r="G277" t="n">
        <v>11.1</v>
      </c>
      <c r="H277" t="n">
        <v>0.6</v>
      </c>
      <c r="I277" s="8" t="n">
        <v>0.584</v>
      </c>
      <c r="J277" t="n">
        <v>0.75</v>
      </c>
      <c r="K277" s="11">
        <f>IF(H277&lt;&gt;"",H277,IFERROR(G277/INDEX(Players!$M$2:$M$124,MATCH(B277,Players!$A$2:$A$124,0)),""))</f>
        <v/>
      </c>
    </row>
    <row r="278">
      <c r="A278" t="inlineStr">
        <is>
          <t>m02i8zld44pmsf6|Dust2</t>
        </is>
      </c>
      <c r="B278" t="inlineStr">
        <is>
          <t>m02i8zld44pmsf6</t>
        </is>
      </c>
      <c r="C278" t="inlineStr">
        <is>
          <t>K0s</t>
        </is>
      </c>
      <c r="D278" t="inlineStr">
        <is>
          <t>CS2</t>
        </is>
      </c>
      <c r="E278" t="inlineStr">
        <is>
          <t>Dust2</t>
        </is>
      </c>
      <c r="F278" t="n">
        <v>7</v>
      </c>
      <c r="G278" t="n">
        <v>19</v>
      </c>
      <c r="H278" t="n">
        <v>0.8</v>
      </c>
      <c r="I278" s="8" t="n">
        <v>0.586</v>
      </c>
      <c r="J278" t="n">
        <v>1.2</v>
      </c>
      <c r="K278" s="11">
        <f>IF(H278&lt;&gt;"",H278,IFERROR(G278/INDEX(Players!$M$2:$M$124,MATCH(B278,Players!$A$2:$A$124,0)),""))</f>
        <v/>
      </c>
    </row>
    <row r="279">
      <c r="A279" t="inlineStr">
        <is>
          <t>m02i8zld44pmsf6|Inferno</t>
        </is>
      </c>
      <c r="B279" t="inlineStr">
        <is>
          <t>m02i8zld44pmsf6</t>
        </is>
      </c>
      <c r="C279" t="inlineStr">
        <is>
          <t>K0s</t>
        </is>
      </c>
      <c r="D279" t="inlineStr">
        <is>
          <t>CS2</t>
        </is>
      </c>
      <c r="E279" t="inlineStr">
        <is>
          <t>Inferno</t>
        </is>
      </c>
      <c r="F279" t="n">
        <v>7</v>
      </c>
      <c r="G279" t="n">
        <v>14.7</v>
      </c>
      <c r="H279" t="n">
        <v>0.67</v>
      </c>
      <c r="I279" s="8" t="n">
        <v>0.476</v>
      </c>
      <c r="J279" t="n">
        <v>1.1</v>
      </c>
      <c r="K279" s="11">
        <f>IF(H279&lt;&gt;"",H279,IFERROR(G279/INDEX(Players!$M$2:$M$124,MATCH(B279,Players!$A$2:$A$124,0)),""))</f>
        <v/>
      </c>
    </row>
    <row r="280">
      <c r="A280" t="inlineStr">
        <is>
          <t>m02i8zld44pmsf6|Cache</t>
        </is>
      </c>
      <c r="B280" t="inlineStr">
        <is>
          <t>m02i8zld44pmsf6</t>
        </is>
      </c>
      <c r="C280" t="inlineStr">
        <is>
          <t>K0s</t>
        </is>
      </c>
      <c r="D280" t="inlineStr">
        <is>
          <t>CS2</t>
        </is>
      </c>
      <c r="E280" t="inlineStr">
        <is>
          <t>Cache</t>
        </is>
      </c>
      <c r="F280" t="n">
        <v>4</v>
      </c>
      <c r="G280" t="n">
        <v>11</v>
      </c>
      <c r="H280" t="n">
        <v>0.52</v>
      </c>
      <c r="I280" s="8" t="n">
        <v>0.5</v>
      </c>
      <c r="J280" t="n">
        <v>0.64</v>
      </c>
      <c r="K280" s="11">
        <f>IF(H280&lt;&gt;"",H280,IFERROR(G280/INDEX(Players!$M$2:$M$124,MATCH(B280,Players!$A$2:$A$124,0)),""))</f>
        <v/>
      </c>
    </row>
    <row r="281">
      <c r="A281" t="inlineStr">
        <is>
          <t>m02i8zld44pmsf6|Anubis</t>
        </is>
      </c>
      <c r="B281" t="inlineStr">
        <is>
          <t>m02i8zld44pmsf6</t>
        </is>
      </c>
      <c r="C281" t="inlineStr">
        <is>
          <t>K0s</t>
        </is>
      </c>
      <c r="D281" t="inlineStr">
        <is>
          <t>CS2</t>
        </is>
      </c>
      <c r="E281" t="inlineStr">
        <is>
          <t>Anubis</t>
        </is>
      </c>
      <c r="F281" t="n">
        <v>1</v>
      </c>
      <c r="G281" t="n">
        <v>18</v>
      </c>
      <c r="H281" t="n">
        <v>0.86</v>
      </c>
      <c r="I281" s="8" t="n">
        <v>0.389</v>
      </c>
      <c r="J281" t="n">
        <v>1.29</v>
      </c>
      <c r="K281" s="11">
        <f>IF(H281&lt;&gt;"",H281,IFERROR(G281/INDEX(Players!$M$2:$M$124,MATCH(B281,Players!$A$2:$A$124,0)),""))</f>
        <v/>
      </c>
    </row>
    <row r="282">
      <c r="A282" t="inlineStr">
        <is>
          <t>jqawnnqgchzqat7|Ancient</t>
        </is>
      </c>
      <c r="B282" t="inlineStr">
        <is>
          <t>jqawnnqgchzqat7</t>
        </is>
      </c>
      <c r="C282" t="inlineStr">
        <is>
          <t>k1slll</t>
        </is>
      </c>
      <c r="D282" t="inlineStr">
        <is>
          <t>CS2</t>
        </is>
      </c>
      <c r="E282" t="inlineStr">
        <is>
          <t>Ancient</t>
        </is>
      </c>
      <c r="F282" t="n">
        <v>8</v>
      </c>
      <c r="G282" t="n">
        <v>15</v>
      </c>
      <c r="H282" t="n">
        <v>0.6899999999999999</v>
      </c>
      <c r="I282" s="8" t="n">
        <v>0.517</v>
      </c>
      <c r="J282" t="n">
        <v>0.98</v>
      </c>
      <c r="K282" s="11">
        <f>IF(H282&lt;&gt;"",H282,IFERROR(G282/INDEX(Players!$M$2:$M$124,MATCH(B282,Players!$A$2:$A$124,0)),""))</f>
        <v/>
      </c>
    </row>
    <row r="283">
      <c r="A283" t="inlineStr">
        <is>
          <t>jqawnnqgchzqat7|Nuke</t>
        </is>
      </c>
      <c r="B283" t="inlineStr">
        <is>
          <t>jqawnnqgchzqat7</t>
        </is>
      </c>
      <c r="C283" t="inlineStr">
        <is>
          <t>k1slll</t>
        </is>
      </c>
      <c r="D283" t="inlineStr">
        <is>
          <t>CS2</t>
        </is>
      </c>
      <c r="E283" t="inlineStr">
        <is>
          <t>Nuke</t>
        </is>
      </c>
      <c r="F283" t="n">
        <v>8</v>
      </c>
      <c r="G283" t="n">
        <v>12.3</v>
      </c>
      <c r="H283" t="n">
        <v>0.66</v>
      </c>
      <c r="I283" s="8" t="n">
        <v>0.51</v>
      </c>
      <c r="J283" t="n">
        <v>0.8</v>
      </c>
      <c r="K283" s="11">
        <f>IF(H283&lt;&gt;"",H283,IFERROR(G283/INDEX(Players!$M$2:$M$124,MATCH(B283,Players!$A$2:$A$124,0)),""))</f>
        <v/>
      </c>
    </row>
    <row r="284">
      <c r="A284" t="inlineStr">
        <is>
          <t>jqawnnqgchzqat7|Inferno</t>
        </is>
      </c>
      <c r="B284" t="inlineStr">
        <is>
          <t>jqawnnqgchzqat7</t>
        </is>
      </c>
      <c r="C284" t="inlineStr">
        <is>
          <t>k1slll</t>
        </is>
      </c>
      <c r="D284" t="inlineStr">
        <is>
          <t>CS2</t>
        </is>
      </c>
      <c r="E284" t="inlineStr">
        <is>
          <t>Inferno</t>
        </is>
      </c>
      <c r="F284" t="n">
        <v>7</v>
      </c>
      <c r="G284" t="n">
        <v>12.9</v>
      </c>
      <c r="H284" t="n">
        <v>0.59</v>
      </c>
      <c r="I284" s="8" t="n">
        <v>0.522</v>
      </c>
      <c r="J284" t="n">
        <v>0.86</v>
      </c>
      <c r="K284" s="11">
        <f>IF(H284&lt;&gt;"",H284,IFERROR(G284/INDEX(Players!$M$2:$M$124,MATCH(B284,Players!$A$2:$A$124,0)),""))</f>
        <v/>
      </c>
    </row>
    <row r="285">
      <c r="A285" t="inlineStr">
        <is>
          <t>jqawnnqgchzqat7|Dust2</t>
        </is>
      </c>
      <c r="B285" t="inlineStr">
        <is>
          <t>jqawnnqgchzqat7</t>
        </is>
      </c>
      <c r="C285" t="inlineStr">
        <is>
          <t>k1slll</t>
        </is>
      </c>
      <c r="D285" t="inlineStr">
        <is>
          <t>CS2</t>
        </is>
      </c>
      <c r="E285" t="inlineStr">
        <is>
          <t>Dust2</t>
        </is>
      </c>
      <c r="F285" t="n">
        <v>7</v>
      </c>
      <c r="G285" t="n">
        <v>13.6</v>
      </c>
      <c r="H285" t="n">
        <v>0.57</v>
      </c>
      <c r="I285" s="8" t="n">
        <v>0.516</v>
      </c>
      <c r="J285" t="n">
        <v>0.79</v>
      </c>
      <c r="K285" s="11">
        <f>IF(H285&lt;&gt;"",H285,IFERROR(G285/INDEX(Players!$M$2:$M$124,MATCH(B285,Players!$A$2:$A$124,0)),""))</f>
        <v/>
      </c>
    </row>
    <row r="286">
      <c r="A286" t="inlineStr">
        <is>
          <t>jqawnnqgchzqat7|Cache</t>
        </is>
      </c>
      <c r="B286" t="inlineStr">
        <is>
          <t>jqawnnqgchzqat7</t>
        </is>
      </c>
      <c r="C286" t="inlineStr">
        <is>
          <t>k1slll</t>
        </is>
      </c>
      <c r="D286" t="inlineStr">
        <is>
          <t>CS2</t>
        </is>
      </c>
      <c r="E286" t="inlineStr">
        <is>
          <t>Cache</t>
        </is>
      </c>
      <c r="F286" t="n">
        <v>4</v>
      </c>
      <c r="G286" t="n">
        <v>14.5</v>
      </c>
      <c r="H286" t="n">
        <v>0.68</v>
      </c>
      <c r="I286" s="8" t="n">
        <v>0.397</v>
      </c>
      <c r="J286" t="n">
        <v>1</v>
      </c>
      <c r="K286" s="11">
        <f>IF(H286&lt;&gt;"",H286,IFERROR(G286/INDEX(Players!$M$2:$M$124,MATCH(B286,Players!$A$2:$A$124,0)),""))</f>
        <v/>
      </c>
    </row>
    <row r="287">
      <c r="A287" t="inlineStr">
        <is>
          <t>jqawnnqgchzqat7|Anubis</t>
        </is>
      </c>
      <c r="B287" t="inlineStr">
        <is>
          <t>jqawnnqgchzqat7</t>
        </is>
      </c>
      <c r="C287" t="inlineStr">
        <is>
          <t>k1slll</t>
        </is>
      </c>
      <c r="D287" t="inlineStr">
        <is>
          <t>CS2</t>
        </is>
      </c>
      <c r="E287" t="inlineStr">
        <is>
          <t>Anubis</t>
        </is>
      </c>
      <c r="F287" t="n">
        <v>1</v>
      </c>
      <c r="G287" t="n">
        <v>11</v>
      </c>
      <c r="H287" t="n">
        <v>0.52</v>
      </c>
      <c r="I287" s="8" t="n">
        <v>0.273</v>
      </c>
      <c r="J287" t="n">
        <v>0.65</v>
      </c>
      <c r="K287" s="11">
        <f>IF(H287&lt;&gt;"",H287,IFERROR(G287/INDEX(Players!$M$2:$M$124,MATCH(B287,Players!$A$2:$A$124,0)),""))</f>
        <v/>
      </c>
    </row>
    <row r="288">
      <c r="A288" t="inlineStr">
        <is>
          <t>fhr6sqp0a6355ky|Ancient</t>
        </is>
      </c>
      <c r="B288" t="inlineStr">
        <is>
          <t>fhr6sqp0a6355ky</t>
        </is>
      </c>
      <c r="C288" t="inlineStr">
        <is>
          <t>KaiR0N</t>
        </is>
      </c>
      <c r="D288" t="inlineStr">
        <is>
          <t>CS2</t>
        </is>
      </c>
      <c r="E288" t="inlineStr">
        <is>
          <t>Ancient</t>
        </is>
      </c>
      <c r="F288" t="n">
        <v>8</v>
      </c>
      <c r="G288" t="n">
        <v>19.9</v>
      </c>
      <c r="H288" t="n">
        <v>0.77</v>
      </c>
      <c r="I288" s="8" t="n">
        <v>0.5720000000000001</v>
      </c>
      <c r="J288" t="n">
        <v>1.01</v>
      </c>
      <c r="K288" s="11">
        <f>IF(H288&lt;&gt;"",H288,IFERROR(G288/INDEX(Players!$M$2:$M$124,MATCH(B288,Players!$A$2:$A$124,0)),""))</f>
        <v/>
      </c>
    </row>
    <row r="289">
      <c r="A289" t="inlineStr">
        <is>
          <t>fhr6sqp0a6355ky|Cache</t>
        </is>
      </c>
      <c r="B289" t="inlineStr">
        <is>
          <t>fhr6sqp0a6355ky</t>
        </is>
      </c>
      <c r="C289" t="inlineStr">
        <is>
          <t>KaiR0N</t>
        </is>
      </c>
      <c r="D289" t="inlineStr">
        <is>
          <t>CS2</t>
        </is>
      </c>
      <c r="E289" t="inlineStr">
        <is>
          <t>Cache</t>
        </is>
      </c>
      <c r="F289" t="n">
        <v>8</v>
      </c>
      <c r="G289" t="n">
        <v>14.8</v>
      </c>
      <c r="H289" t="n">
        <v>0.66</v>
      </c>
      <c r="I289" s="8" t="n">
        <v>0.602</v>
      </c>
      <c r="J289" t="n">
        <v>0.89</v>
      </c>
      <c r="K289" s="11">
        <f>IF(H289&lt;&gt;"",H289,IFERROR(G289/INDEX(Players!$M$2:$M$124,MATCH(B289,Players!$A$2:$A$124,0)),""))</f>
        <v/>
      </c>
    </row>
    <row r="290">
      <c r="A290" t="inlineStr">
        <is>
          <t>fhr6sqp0a6355ky|Mirage</t>
        </is>
      </c>
      <c r="B290" t="inlineStr">
        <is>
          <t>fhr6sqp0a6355ky</t>
        </is>
      </c>
      <c r="C290" t="inlineStr">
        <is>
          <t>KaiR0N</t>
        </is>
      </c>
      <c r="D290" t="inlineStr">
        <is>
          <t>CS2</t>
        </is>
      </c>
      <c r="E290" t="inlineStr">
        <is>
          <t>Mirage</t>
        </is>
      </c>
      <c r="F290" t="n">
        <v>7</v>
      </c>
      <c r="G290" t="n">
        <v>20.4</v>
      </c>
      <c r="H290" t="n">
        <v>0.82</v>
      </c>
      <c r="I290" s="8" t="n">
        <v>0.608</v>
      </c>
      <c r="J290" t="n">
        <v>1.14</v>
      </c>
      <c r="K290" s="11">
        <f>IF(H290&lt;&gt;"",H290,IFERROR(G290/INDEX(Players!$M$2:$M$124,MATCH(B290,Players!$A$2:$A$124,0)),""))</f>
        <v/>
      </c>
    </row>
    <row r="291">
      <c r="A291" t="inlineStr">
        <is>
          <t>fhr6sqp0a6355ky|Dust2</t>
        </is>
      </c>
      <c r="B291" t="inlineStr">
        <is>
          <t>fhr6sqp0a6355ky</t>
        </is>
      </c>
      <c r="C291" t="inlineStr">
        <is>
          <t>KaiR0N</t>
        </is>
      </c>
      <c r="D291" t="inlineStr">
        <is>
          <t>CS2</t>
        </is>
      </c>
      <c r="E291" t="inlineStr">
        <is>
          <t>Dust2</t>
        </is>
      </c>
      <c r="F291" t="n">
        <v>7</v>
      </c>
      <c r="G291" t="n">
        <v>18.3</v>
      </c>
      <c r="H291" t="n">
        <v>0.77</v>
      </c>
      <c r="I291" s="8" t="n">
        <v>0.648</v>
      </c>
      <c r="J291" t="n">
        <v>1.12</v>
      </c>
      <c r="K291" s="11">
        <f>IF(H291&lt;&gt;"",H291,IFERROR(G291/INDEX(Players!$M$2:$M$124,MATCH(B291,Players!$A$2:$A$124,0)),""))</f>
        <v/>
      </c>
    </row>
    <row r="292">
      <c r="A292" t="inlineStr">
        <is>
          <t>fhr6sqp0a6355ky|Nuke</t>
        </is>
      </c>
      <c r="B292" t="inlineStr">
        <is>
          <t>fhr6sqp0a6355ky</t>
        </is>
      </c>
      <c r="C292" t="inlineStr">
        <is>
          <t>KaiR0N</t>
        </is>
      </c>
      <c r="D292" t="inlineStr">
        <is>
          <t>CS2</t>
        </is>
      </c>
      <c r="E292" t="inlineStr">
        <is>
          <t>Nuke</t>
        </is>
      </c>
      <c r="F292" t="n">
        <v>4</v>
      </c>
      <c r="G292" t="n">
        <v>13</v>
      </c>
      <c r="H292" t="n">
        <v>0.64</v>
      </c>
      <c r="I292" s="8" t="n">
        <v>0.654</v>
      </c>
      <c r="J292" t="n">
        <v>0.91</v>
      </c>
      <c r="K292" s="11">
        <f>IF(H292&lt;&gt;"",H292,IFERROR(G292/INDEX(Players!$M$2:$M$124,MATCH(B292,Players!$A$2:$A$124,0)),""))</f>
        <v/>
      </c>
    </row>
    <row r="293">
      <c r="A293" t="inlineStr">
        <is>
          <t>fhr6sqp0a6355ky|Anubis</t>
        </is>
      </c>
      <c r="B293" t="inlineStr">
        <is>
          <t>fhr6sqp0a6355ky</t>
        </is>
      </c>
      <c r="C293" t="inlineStr">
        <is>
          <t>KaiR0N</t>
        </is>
      </c>
      <c r="D293" t="inlineStr">
        <is>
          <t>CS2</t>
        </is>
      </c>
      <c r="E293" t="inlineStr">
        <is>
          <t>Anubis</t>
        </is>
      </c>
      <c r="F293" t="n">
        <v>3</v>
      </c>
      <c r="G293" t="n">
        <v>18</v>
      </c>
      <c r="H293" t="n">
        <v>0.71</v>
      </c>
      <c r="I293" s="8" t="n">
        <v>0.759</v>
      </c>
      <c r="J293" t="n">
        <v>1.2</v>
      </c>
      <c r="K293" s="11">
        <f>IF(H293&lt;&gt;"",H293,IFERROR(G293/INDEX(Players!$M$2:$M$124,MATCH(B293,Players!$A$2:$A$124,0)),""))</f>
        <v/>
      </c>
    </row>
    <row r="294">
      <c r="A294" t="inlineStr">
        <is>
          <t>h7nuz2cmw8wvh2s|Mirage</t>
        </is>
      </c>
      <c r="B294" t="inlineStr">
        <is>
          <t>h7nuz2cmw8wvh2s</t>
        </is>
      </c>
      <c r="C294" t="inlineStr">
        <is>
          <t>kauez</t>
        </is>
      </c>
      <c r="D294" t="inlineStr">
        <is>
          <t>CS2</t>
        </is>
      </c>
      <c r="E294" t="inlineStr">
        <is>
          <t>Mirage</t>
        </is>
      </c>
      <c r="F294" t="n">
        <v>10</v>
      </c>
      <c r="G294" t="n">
        <v>17.7</v>
      </c>
      <c r="H294" t="n">
        <v>0.82</v>
      </c>
      <c r="I294" s="8" t="n">
        <v>0.5820000000000001</v>
      </c>
      <c r="J294" t="n">
        <v>1.3</v>
      </c>
      <c r="K294" s="11">
        <f>IF(H294&lt;&gt;"",H294,IFERROR(G294/INDEX(Players!$M$2:$M$124,MATCH(B294,Players!$A$2:$A$124,0)),""))</f>
        <v/>
      </c>
    </row>
    <row r="295">
      <c r="A295" t="inlineStr">
        <is>
          <t>h7nuz2cmw8wvh2s|Ancient</t>
        </is>
      </c>
      <c r="B295" t="inlineStr">
        <is>
          <t>h7nuz2cmw8wvh2s</t>
        </is>
      </c>
      <c r="C295" t="inlineStr">
        <is>
          <t>kauez</t>
        </is>
      </c>
      <c r="D295" t="inlineStr">
        <is>
          <t>CS2</t>
        </is>
      </c>
      <c r="E295" t="inlineStr">
        <is>
          <t>Ancient</t>
        </is>
      </c>
      <c r="F295" t="n">
        <v>6</v>
      </c>
      <c r="G295" t="n">
        <v>12.7</v>
      </c>
      <c r="H295" t="n">
        <v>0.6</v>
      </c>
      <c r="I295" s="8" t="n">
        <v>0.487</v>
      </c>
      <c r="J295" t="n">
        <v>0.97</v>
      </c>
      <c r="K295" s="11">
        <f>IF(H295&lt;&gt;"",H295,IFERROR(G295/INDEX(Players!$M$2:$M$124,MATCH(B295,Players!$A$2:$A$124,0)),""))</f>
        <v/>
      </c>
    </row>
    <row r="296">
      <c r="A296" t="inlineStr">
        <is>
          <t>h7nuz2cmw8wvh2s|Inferno</t>
        </is>
      </c>
      <c r="B296" t="inlineStr">
        <is>
          <t>h7nuz2cmw8wvh2s</t>
        </is>
      </c>
      <c r="C296" t="inlineStr">
        <is>
          <t>kauez</t>
        </is>
      </c>
      <c r="D296" t="inlineStr">
        <is>
          <t>CS2</t>
        </is>
      </c>
      <c r="E296" t="inlineStr">
        <is>
          <t>Inferno</t>
        </is>
      </c>
      <c r="F296" t="n">
        <v>5</v>
      </c>
      <c r="G296" t="n">
        <v>20.2</v>
      </c>
      <c r="H296" t="n">
        <v>0.8100000000000001</v>
      </c>
      <c r="I296" s="8" t="n">
        <v>0.5539999999999999</v>
      </c>
      <c r="J296" t="n">
        <v>1.31</v>
      </c>
      <c r="K296" s="11">
        <f>IF(H296&lt;&gt;"",H296,IFERROR(G296/INDEX(Players!$M$2:$M$124,MATCH(B296,Players!$A$2:$A$124,0)),""))</f>
        <v/>
      </c>
    </row>
    <row r="297">
      <c r="A297" t="inlineStr">
        <is>
          <t>h7nuz2cmw8wvh2s|Dust2</t>
        </is>
      </c>
      <c r="B297" t="inlineStr">
        <is>
          <t>h7nuz2cmw8wvh2s</t>
        </is>
      </c>
      <c r="C297" t="inlineStr">
        <is>
          <t>kauez</t>
        </is>
      </c>
      <c r="D297" t="inlineStr">
        <is>
          <t>CS2</t>
        </is>
      </c>
      <c r="E297" t="inlineStr">
        <is>
          <t>Dust2</t>
        </is>
      </c>
      <c r="F297" t="n">
        <v>5</v>
      </c>
      <c r="G297" t="n">
        <v>9.6</v>
      </c>
      <c r="H297" t="n">
        <v>0.44</v>
      </c>
      <c r="I297" s="8" t="n">
        <v>0.625</v>
      </c>
      <c r="J297" t="n">
        <v>0.65</v>
      </c>
      <c r="K297" s="11">
        <f>IF(H297&lt;&gt;"",H297,IFERROR(G297/INDEX(Players!$M$2:$M$124,MATCH(B297,Players!$A$2:$A$124,0)),""))</f>
        <v/>
      </c>
    </row>
    <row r="298">
      <c r="A298" t="inlineStr">
        <is>
          <t>h7nuz2cmw8wvh2s|Cache</t>
        </is>
      </c>
      <c r="B298" t="inlineStr">
        <is>
          <t>h7nuz2cmw8wvh2s</t>
        </is>
      </c>
      <c r="C298" t="inlineStr">
        <is>
          <t>kauez</t>
        </is>
      </c>
      <c r="D298" t="inlineStr">
        <is>
          <t>CS2</t>
        </is>
      </c>
      <c r="E298" t="inlineStr">
        <is>
          <t>Cache</t>
        </is>
      </c>
      <c r="F298" t="n">
        <v>4</v>
      </c>
      <c r="G298" t="n">
        <v>11.3</v>
      </c>
      <c r="H298" t="n">
        <v>0.52</v>
      </c>
      <c r="I298" s="8" t="n">
        <v>0.733</v>
      </c>
      <c r="J298" t="n">
        <v>0.74</v>
      </c>
      <c r="K298" s="11">
        <f>IF(H298&lt;&gt;"",H298,IFERROR(G298/INDEX(Players!$M$2:$M$124,MATCH(B298,Players!$A$2:$A$124,0)),""))</f>
        <v/>
      </c>
    </row>
    <row r="299">
      <c r="A299" t="inlineStr">
        <is>
          <t>h7nuz2cmw8wvh2s|Nuke</t>
        </is>
      </c>
      <c r="B299" t="inlineStr">
        <is>
          <t>h7nuz2cmw8wvh2s</t>
        </is>
      </c>
      <c r="C299" t="inlineStr">
        <is>
          <t>kauez</t>
        </is>
      </c>
      <c r="D299" t="inlineStr">
        <is>
          <t>CS2</t>
        </is>
      </c>
      <c r="E299" t="inlineStr">
        <is>
          <t>Nuke</t>
        </is>
      </c>
      <c r="F299" t="n">
        <v>2</v>
      </c>
      <c r="G299" t="n">
        <v>10.5</v>
      </c>
      <c r="H299" t="n">
        <v>0.55</v>
      </c>
      <c r="I299" s="8" t="n">
        <v>0.476</v>
      </c>
      <c r="J299" t="n">
        <v>0.72</v>
      </c>
      <c r="K299" s="11">
        <f>IF(H299&lt;&gt;"",H299,IFERROR(G299/INDEX(Players!$M$2:$M$124,MATCH(B299,Players!$A$2:$A$124,0)),""))</f>
        <v/>
      </c>
    </row>
    <row r="300">
      <c r="A300" t="inlineStr">
        <is>
          <t>h7nuz2cmw8wvh2s|Overpass</t>
        </is>
      </c>
      <c r="B300" t="inlineStr">
        <is>
          <t>h7nuz2cmw8wvh2s</t>
        </is>
      </c>
      <c r="C300" t="inlineStr">
        <is>
          <t>kauez</t>
        </is>
      </c>
      <c r="D300" t="inlineStr">
        <is>
          <t>CS2</t>
        </is>
      </c>
      <c r="E300" t="inlineStr">
        <is>
          <t>Overpass</t>
        </is>
      </c>
      <c r="F300" t="n">
        <v>1</v>
      </c>
      <c r="G300" t="n">
        <v>6</v>
      </c>
      <c r="H300" t="n">
        <v>0.4</v>
      </c>
      <c r="I300" s="8" t="n">
        <v>0.5</v>
      </c>
      <c r="J300" t="n">
        <v>0.5</v>
      </c>
      <c r="K300" s="11">
        <f>IF(H300&lt;&gt;"",H300,IFERROR(G300/INDEX(Players!$M$2:$M$124,MATCH(B300,Players!$A$2:$A$124,0)),""))</f>
        <v/>
      </c>
    </row>
    <row r="301">
      <c r="A301" t="inlineStr">
        <is>
          <t>sj7nkpqagh6m88h|Cache</t>
        </is>
      </c>
      <c r="B301" t="inlineStr">
        <is>
          <t>sj7nkpqagh6m88h</t>
        </is>
      </c>
      <c r="C301" t="inlineStr">
        <is>
          <t>khaN</t>
        </is>
      </c>
      <c r="D301" t="inlineStr">
        <is>
          <t>CS2</t>
        </is>
      </c>
      <c r="E301" t="inlineStr">
        <is>
          <t>Cache</t>
        </is>
      </c>
      <c r="F301" t="n">
        <v>8</v>
      </c>
      <c r="G301" t="n">
        <v>16.6</v>
      </c>
      <c r="H301" t="n">
        <v>0.75</v>
      </c>
      <c r="I301" s="8" t="n">
        <v>0.316</v>
      </c>
      <c r="J301" t="n">
        <v>1.21</v>
      </c>
      <c r="K301" s="11">
        <f>IF(H301&lt;&gt;"",H301,IFERROR(G301/INDEX(Players!$M$2:$M$124,MATCH(B301,Players!$A$2:$A$124,0)),""))</f>
        <v/>
      </c>
    </row>
    <row r="302">
      <c r="A302" t="inlineStr">
        <is>
          <t>sj7nkpqagh6m88h|Ancient</t>
        </is>
      </c>
      <c r="B302" t="inlineStr">
        <is>
          <t>sj7nkpqagh6m88h</t>
        </is>
      </c>
      <c r="C302" t="inlineStr">
        <is>
          <t>khaN</t>
        </is>
      </c>
      <c r="D302" t="inlineStr">
        <is>
          <t>CS2</t>
        </is>
      </c>
      <c r="E302" t="inlineStr">
        <is>
          <t>Ancient</t>
        </is>
      </c>
      <c r="F302" t="n">
        <v>8</v>
      </c>
      <c r="G302" t="n">
        <v>15.8</v>
      </c>
      <c r="H302" t="n">
        <v>0.61</v>
      </c>
      <c r="I302" s="8" t="n">
        <v>0.317</v>
      </c>
      <c r="J302" t="n">
        <v>0.99</v>
      </c>
      <c r="K302" s="11">
        <f>IF(H302&lt;&gt;"",H302,IFERROR(G302/INDEX(Players!$M$2:$M$124,MATCH(B302,Players!$A$2:$A$124,0)),""))</f>
        <v/>
      </c>
    </row>
    <row r="303">
      <c r="A303" t="inlineStr">
        <is>
          <t>sj7nkpqagh6m88h|Dust2</t>
        </is>
      </c>
      <c r="B303" t="inlineStr">
        <is>
          <t>sj7nkpqagh6m88h</t>
        </is>
      </c>
      <c r="C303" t="inlineStr">
        <is>
          <t>khaN</t>
        </is>
      </c>
      <c r="D303" t="inlineStr">
        <is>
          <t>CS2</t>
        </is>
      </c>
      <c r="E303" t="inlineStr">
        <is>
          <t>Dust2</t>
        </is>
      </c>
      <c r="F303" t="n">
        <v>7</v>
      </c>
      <c r="G303" t="n">
        <v>19</v>
      </c>
      <c r="H303" t="n">
        <v>0.8</v>
      </c>
      <c r="I303" s="8" t="n">
        <v>0.331</v>
      </c>
      <c r="J303" t="n">
        <v>1.3</v>
      </c>
      <c r="K303" s="11">
        <f>IF(H303&lt;&gt;"",H303,IFERROR(G303/INDEX(Players!$M$2:$M$124,MATCH(B303,Players!$A$2:$A$124,0)),""))</f>
        <v/>
      </c>
    </row>
    <row r="304">
      <c r="A304" t="inlineStr">
        <is>
          <t>sj7nkpqagh6m88h|Mirage</t>
        </is>
      </c>
      <c r="B304" t="inlineStr">
        <is>
          <t>sj7nkpqagh6m88h</t>
        </is>
      </c>
      <c r="C304" t="inlineStr">
        <is>
          <t>khaN</t>
        </is>
      </c>
      <c r="D304" t="inlineStr">
        <is>
          <t>CS2</t>
        </is>
      </c>
      <c r="E304" t="inlineStr">
        <is>
          <t>Mirage</t>
        </is>
      </c>
      <c r="F304" t="n">
        <v>7</v>
      </c>
      <c r="G304" t="n">
        <v>17.1</v>
      </c>
      <c r="H304" t="n">
        <v>0.6899999999999999</v>
      </c>
      <c r="I304" s="8" t="n">
        <v>0.225</v>
      </c>
      <c r="J304" t="n">
        <v>1.04</v>
      </c>
      <c r="K304" s="11">
        <f>IF(H304&lt;&gt;"",H304,IFERROR(G304/INDEX(Players!$M$2:$M$124,MATCH(B304,Players!$A$2:$A$124,0)),""))</f>
        <v/>
      </c>
    </row>
    <row r="305">
      <c r="A305" t="inlineStr">
        <is>
          <t>sj7nkpqagh6m88h|Nuke</t>
        </is>
      </c>
      <c r="B305" t="inlineStr">
        <is>
          <t>sj7nkpqagh6m88h</t>
        </is>
      </c>
      <c r="C305" t="inlineStr">
        <is>
          <t>khaN</t>
        </is>
      </c>
      <c r="D305" t="inlineStr">
        <is>
          <t>CS2</t>
        </is>
      </c>
      <c r="E305" t="inlineStr">
        <is>
          <t>Nuke</t>
        </is>
      </c>
      <c r="F305" t="n">
        <v>4</v>
      </c>
      <c r="G305" t="n">
        <v>11</v>
      </c>
      <c r="H305" t="n">
        <v>0.54</v>
      </c>
      <c r="I305" s="8" t="n">
        <v>0.341</v>
      </c>
      <c r="J305" t="n">
        <v>0.86</v>
      </c>
      <c r="K305" s="11">
        <f>IF(H305&lt;&gt;"",H305,IFERROR(G305/INDEX(Players!$M$2:$M$124,MATCH(B305,Players!$A$2:$A$124,0)),""))</f>
        <v/>
      </c>
    </row>
    <row r="306">
      <c r="A306" t="inlineStr">
        <is>
          <t>sj7nkpqagh6m88h|Anubis</t>
        </is>
      </c>
      <c r="B306" t="inlineStr">
        <is>
          <t>sj7nkpqagh6m88h</t>
        </is>
      </c>
      <c r="C306" t="inlineStr">
        <is>
          <t>khaN</t>
        </is>
      </c>
      <c r="D306" t="inlineStr">
        <is>
          <t>CS2</t>
        </is>
      </c>
      <c r="E306" t="inlineStr">
        <is>
          <t>Anubis</t>
        </is>
      </c>
      <c r="F306" t="n">
        <v>3</v>
      </c>
      <c r="G306" t="n">
        <v>18.3</v>
      </c>
      <c r="H306" t="n">
        <v>0.72</v>
      </c>
      <c r="I306" s="8" t="n">
        <v>0.418</v>
      </c>
      <c r="J306" t="n">
        <v>1.34</v>
      </c>
      <c r="K306" s="11">
        <f>IF(H306&lt;&gt;"",H306,IFERROR(G306/INDEX(Players!$M$2:$M$124,MATCH(B306,Players!$A$2:$A$124,0)),""))</f>
        <v/>
      </c>
    </row>
    <row r="307">
      <c r="A307" t="inlineStr">
        <is>
          <t>at2vo8jmt9hrk3m|Mirage</t>
        </is>
      </c>
      <c r="B307" t="inlineStr">
        <is>
          <t>at2vo8jmt9hrk3m</t>
        </is>
      </c>
      <c r="C307" t="inlineStr">
        <is>
          <t>koala</t>
        </is>
      </c>
      <c r="D307" t="inlineStr">
        <is>
          <t>CS2</t>
        </is>
      </c>
      <c r="E307" t="inlineStr">
        <is>
          <t>Mirage</t>
        </is>
      </c>
      <c r="F307" t="n">
        <v>9</v>
      </c>
      <c r="G307" t="n">
        <v>14.3</v>
      </c>
      <c r="H307" t="n">
        <v>0.66</v>
      </c>
      <c r="I307" s="8" t="n">
        <v>0.496</v>
      </c>
      <c r="J307" t="n">
        <v>1.12</v>
      </c>
      <c r="K307" s="11">
        <f>IF(H307&lt;&gt;"",H307,IFERROR(G307/INDEX(Players!$M$2:$M$124,MATCH(B307,Players!$A$2:$A$124,0)),""))</f>
        <v/>
      </c>
    </row>
    <row r="308">
      <c r="A308" t="inlineStr">
        <is>
          <t>at2vo8jmt9hrk3m|Cache</t>
        </is>
      </c>
      <c r="B308" t="inlineStr">
        <is>
          <t>at2vo8jmt9hrk3m</t>
        </is>
      </c>
      <c r="C308" t="inlineStr">
        <is>
          <t>koala</t>
        </is>
      </c>
      <c r="D308" t="inlineStr">
        <is>
          <t>CS2</t>
        </is>
      </c>
      <c r="E308" t="inlineStr">
        <is>
          <t>Cache</t>
        </is>
      </c>
      <c r="F308" t="n">
        <v>7</v>
      </c>
      <c r="G308" t="n">
        <v>13.3</v>
      </c>
      <c r="H308" t="n">
        <v>0.62</v>
      </c>
      <c r="I308" s="8" t="n">
        <v>0.473</v>
      </c>
      <c r="J308" t="n">
        <v>1.02</v>
      </c>
      <c r="K308" s="11">
        <f>IF(H308&lt;&gt;"",H308,IFERROR(G308/INDEX(Players!$M$2:$M$124,MATCH(B308,Players!$A$2:$A$124,0)),""))</f>
        <v/>
      </c>
    </row>
    <row r="309">
      <c r="A309" t="inlineStr">
        <is>
          <t>at2vo8jmt9hrk3m|Inferno</t>
        </is>
      </c>
      <c r="B309" t="inlineStr">
        <is>
          <t>at2vo8jmt9hrk3m</t>
        </is>
      </c>
      <c r="C309" t="inlineStr">
        <is>
          <t>koala</t>
        </is>
      </c>
      <c r="D309" t="inlineStr">
        <is>
          <t>CS2</t>
        </is>
      </c>
      <c r="E309" t="inlineStr">
        <is>
          <t>Inferno</t>
        </is>
      </c>
      <c r="F309" t="n">
        <v>6</v>
      </c>
      <c r="G309" t="n">
        <v>21</v>
      </c>
      <c r="H309" t="n">
        <v>1</v>
      </c>
      <c r="I309" s="8" t="n">
        <v>0.468</v>
      </c>
      <c r="J309" t="n">
        <v>1.68</v>
      </c>
      <c r="K309" s="11">
        <f>IF(H309&lt;&gt;"",H309,IFERROR(G309/INDEX(Players!$M$2:$M$124,MATCH(B309,Players!$A$2:$A$124,0)),""))</f>
        <v/>
      </c>
    </row>
    <row r="310">
      <c r="A310" t="inlineStr">
        <is>
          <t>at2vo8jmt9hrk3m|Ancient</t>
        </is>
      </c>
      <c r="B310" t="inlineStr">
        <is>
          <t>at2vo8jmt9hrk3m</t>
        </is>
      </c>
      <c r="C310" t="inlineStr">
        <is>
          <t>koala</t>
        </is>
      </c>
      <c r="D310" t="inlineStr">
        <is>
          <t>CS2</t>
        </is>
      </c>
      <c r="E310" t="inlineStr">
        <is>
          <t>Ancient</t>
        </is>
      </c>
      <c r="F310" t="n">
        <v>5</v>
      </c>
      <c r="G310" t="n">
        <v>18</v>
      </c>
      <c r="H310" t="n">
        <v>0.8</v>
      </c>
      <c r="I310" s="8" t="n">
        <v>0.544</v>
      </c>
      <c r="J310" t="n">
        <v>1.15</v>
      </c>
      <c r="K310" s="11">
        <f>IF(H310&lt;&gt;"",H310,IFERROR(G310/INDEX(Players!$M$2:$M$124,MATCH(B310,Players!$A$2:$A$124,0)),""))</f>
        <v/>
      </c>
    </row>
    <row r="311">
      <c r="A311" t="inlineStr">
        <is>
          <t>at2vo8jmt9hrk3m|Nuke</t>
        </is>
      </c>
      <c r="B311" t="inlineStr">
        <is>
          <t>at2vo8jmt9hrk3m</t>
        </is>
      </c>
      <c r="C311" t="inlineStr">
        <is>
          <t>koala</t>
        </is>
      </c>
      <c r="D311" t="inlineStr">
        <is>
          <t>CS2</t>
        </is>
      </c>
      <c r="E311" t="inlineStr">
        <is>
          <t>Nuke</t>
        </is>
      </c>
      <c r="F311" t="n">
        <v>5</v>
      </c>
      <c r="G311" t="n">
        <v>15</v>
      </c>
      <c r="H311" t="n">
        <v>0.67</v>
      </c>
      <c r="I311" s="8" t="n">
        <v>0.52</v>
      </c>
      <c r="J311" t="n">
        <v>0.97</v>
      </c>
      <c r="K311" s="11">
        <f>IF(H311&lt;&gt;"",H311,IFERROR(G311/INDEX(Players!$M$2:$M$124,MATCH(B311,Players!$A$2:$A$124,0)),""))</f>
        <v/>
      </c>
    </row>
    <row r="312">
      <c r="A312" t="inlineStr">
        <is>
          <t>at2vo8jmt9hrk3m|Anubis</t>
        </is>
      </c>
      <c r="B312" t="inlineStr">
        <is>
          <t>at2vo8jmt9hrk3m</t>
        </is>
      </c>
      <c r="C312" t="inlineStr">
        <is>
          <t>koala</t>
        </is>
      </c>
      <c r="D312" t="inlineStr">
        <is>
          <t>CS2</t>
        </is>
      </c>
      <c r="E312" t="inlineStr">
        <is>
          <t>Anubis</t>
        </is>
      </c>
      <c r="F312" t="n">
        <v>4</v>
      </c>
      <c r="G312" t="n">
        <v>15.3</v>
      </c>
      <c r="H312" t="n">
        <v>0.73</v>
      </c>
      <c r="I312" s="8" t="n">
        <v>0.508</v>
      </c>
      <c r="J312" t="n">
        <v>1.11</v>
      </c>
      <c r="K312" s="11">
        <f>IF(H312&lt;&gt;"",H312,IFERROR(G312/INDEX(Players!$M$2:$M$124,MATCH(B312,Players!$A$2:$A$124,0)),""))</f>
        <v/>
      </c>
    </row>
    <row r="313">
      <c r="A313" t="inlineStr">
        <is>
          <t>rhz6c2hq5wcant1|Ancient</t>
        </is>
      </c>
      <c r="B313" t="inlineStr">
        <is>
          <t>rhz6c2hq5wcant1</t>
        </is>
      </c>
      <c r="C313" t="inlineStr">
        <is>
          <t>Krabeni</t>
        </is>
      </c>
      <c r="D313" t="inlineStr">
        <is>
          <t>CS2</t>
        </is>
      </c>
      <c r="E313" t="inlineStr">
        <is>
          <t>Ancient</t>
        </is>
      </c>
      <c r="F313" t="n">
        <v>11</v>
      </c>
      <c r="G313" t="n">
        <v>15.8</v>
      </c>
      <c r="H313" t="n">
        <v>0.75</v>
      </c>
      <c r="I313" s="8" t="n">
        <v>0.534</v>
      </c>
      <c r="J313" t="n">
        <v>1.05</v>
      </c>
      <c r="K313" s="11">
        <f>IF(H313&lt;&gt;"",H313,IFERROR(G313/INDEX(Players!$M$2:$M$124,MATCH(B313,Players!$A$2:$A$124,0)),""))</f>
        <v/>
      </c>
    </row>
    <row r="314">
      <c r="A314" t="inlineStr">
        <is>
          <t>rhz6c2hq5wcant1|Dust2</t>
        </is>
      </c>
      <c r="B314" t="inlineStr">
        <is>
          <t>rhz6c2hq5wcant1</t>
        </is>
      </c>
      <c r="C314" t="inlineStr">
        <is>
          <t>Krabeni</t>
        </is>
      </c>
      <c r="D314" t="inlineStr">
        <is>
          <t>CS2</t>
        </is>
      </c>
      <c r="E314" t="inlineStr">
        <is>
          <t>Dust2</t>
        </is>
      </c>
      <c r="F314" t="n">
        <v>7</v>
      </c>
      <c r="G314" t="n">
        <v>16.3</v>
      </c>
      <c r="H314" t="n">
        <v>0.67</v>
      </c>
      <c r="I314" s="8" t="n">
        <v>0.5529999999999999</v>
      </c>
      <c r="J314" t="n">
        <v>0.92</v>
      </c>
      <c r="K314" s="11">
        <f>IF(H314&lt;&gt;"",H314,IFERROR(G314/INDEX(Players!$M$2:$M$124,MATCH(B314,Players!$A$2:$A$124,0)),""))</f>
        <v/>
      </c>
    </row>
    <row r="315">
      <c r="A315" t="inlineStr">
        <is>
          <t>rhz6c2hq5wcant1|Mirage</t>
        </is>
      </c>
      <c r="B315" t="inlineStr">
        <is>
          <t>rhz6c2hq5wcant1</t>
        </is>
      </c>
      <c r="C315" t="inlineStr">
        <is>
          <t>Krabeni</t>
        </is>
      </c>
      <c r="D315" t="inlineStr">
        <is>
          <t>CS2</t>
        </is>
      </c>
      <c r="E315" t="inlineStr">
        <is>
          <t>Mirage</t>
        </is>
      </c>
      <c r="F315" t="n">
        <v>6</v>
      </c>
      <c r="G315" t="n">
        <v>17.2</v>
      </c>
      <c r="H315" t="n">
        <v>0.79</v>
      </c>
      <c r="I315" s="8" t="n">
        <v>0.485</v>
      </c>
      <c r="J315" t="n">
        <v>1.1</v>
      </c>
      <c r="K315" s="11">
        <f>IF(H315&lt;&gt;"",H315,IFERROR(G315/INDEX(Players!$M$2:$M$124,MATCH(B315,Players!$A$2:$A$124,0)),""))</f>
        <v/>
      </c>
    </row>
    <row r="316">
      <c r="A316" t="inlineStr">
        <is>
          <t>rhz6c2hq5wcant1|Anubis</t>
        </is>
      </c>
      <c r="B316" t="inlineStr">
        <is>
          <t>rhz6c2hq5wcant1</t>
        </is>
      </c>
      <c r="C316" t="inlineStr">
        <is>
          <t>Krabeni</t>
        </is>
      </c>
      <c r="D316" t="inlineStr">
        <is>
          <t>CS2</t>
        </is>
      </c>
      <c r="E316" t="inlineStr">
        <is>
          <t>Anubis</t>
        </is>
      </c>
      <c r="F316" t="n">
        <v>5</v>
      </c>
      <c r="G316" t="n">
        <v>17.2</v>
      </c>
      <c r="H316" t="n">
        <v>0.8</v>
      </c>
      <c r="I316" s="8" t="n">
        <v>0.535</v>
      </c>
      <c r="J316" t="n">
        <v>1.13</v>
      </c>
      <c r="K316" s="11">
        <f>IF(H316&lt;&gt;"",H316,IFERROR(G316/INDEX(Players!$M$2:$M$124,MATCH(B316,Players!$A$2:$A$124,0)),""))</f>
        <v/>
      </c>
    </row>
    <row r="317">
      <c r="A317" t="inlineStr">
        <is>
          <t>rhz6c2hq5wcant1|Nuke</t>
        </is>
      </c>
      <c r="B317" t="inlineStr">
        <is>
          <t>rhz6c2hq5wcant1</t>
        </is>
      </c>
      <c r="C317" t="inlineStr">
        <is>
          <t>Krabeni</t>
        </is>
      </c>
      <c r="D317" t="inlineStr">
        <is>
          <t>CS2</t>
        </is>
      </c>
      <c r="E317" t="inlineStr">
        <is>
          <t>Nuke</t>
        </is>
      </c>
      <c r="F317" t="n">
        <v>5</v>
      </c>
      <c r="G317" t="n">
        <v>12.8</v>
      </c>
      <c r="H317" t="n">
        <v>0.6</v>
      </c>
      <c r="I317" s="8" t="n">
        <v>0.531</v>
      </c>
      <c r="J317" t="n">
        <v>0.79</v>
      </c>
      <c r="K317" s="11">
        <f>IF(H317&lt;&gt;"",H317,IFERROR(G317/INDEX(Players!$M$2:$M$124,MATCH(B317,Players!$A$2:$A$124,0)),""))</f>
        <v/>
      </c>
    </row>
    <row r="318">
      <c r="A318" t="inlineStr">
        <is>
          <t>rhz6c2hq5wcant1|Cache</t>
        </is>
      </c>
      <c r="B318" t="inlineStr">
        <is>
          <t>rhz6c2hq5wcant1</t>
        </is>
      </c>
      <c r="C318" t="inlineStr">
        <is>
          <t>Krabeni</t>
        </is>
      </c>
      <c r="D318" t="inlineStr">
        <is>
          <t>CS2</t>
        </is>
      </c>
      <c r="E318" t="inlineStr">
        <is>
          <t>Cache</t>
        </is>
      </c>
      <c r="F318" t="n">
        <v>1</v>
      </c>
      <c r="G318" t="n">
        <v>18</v>
      </c>
      <c r="H318" t="n">
        <v>0.78</v>
      </c>
      <c r="I318" s="8" t="n">
        <v>0.722</v>
      </c>
      <c r="J318" t="n">
        <v>1.2</v>
      </c>
      <c r="K318" s="11">
        <f>IF(H318&lt;&gt;"",H318,IFERROR(G318/INDEX(Players!$M$2:$M$124,MATCH(B318,Players!$A$2:$A$124,0)),""))</f>
        <v/>
      </c>
    </row>
    <row r="319">
      <c r="A319" t="inlineStr">
        <is>
          <t>rhz6c2hq5wcant1|Inferno</t>
        </is>
      </c>
      <c r="B319" t="inlineStr">
        <is>
          <t>rhz6c2hq5wcant1</t>
        </is>
      </c>
      <c r="C319" t="inlineStr">
        <is>
          <t>Krabeni</t>
        </is>
      </c>
      <c r="D319" t="inlineStr">
        <is>
          <t>CS2</t>
        </is>
      </c>
      <c r="E319" t="inlineStr">
        <is>
          <t>Inferno</t>
        </is>
      </c>
      <c r="F319" t="n">
        <v>1</v>
      </c>
      <c r="G319" t="n">
        <v>15</v>
      </c>
      <c r="H319" t="n">
        <v>0.63</v>
      </c>
      <c r="I319" s="8" t="n">
        <v>0.5329999999999999</v>
      </c>
      <c r="J319" t="n">
        <v>0.88</v>
      </c>
      <c r="K319" s="11">
        <f>IF(H319&lt;&gt;"",H319,IFERROR(G319/INDEX(Players!$M$2:$M$124,MATCH(B319,Players!$A$2:$A$124,0)),""))</f>
        <v/>
      </c>
    </row>
    <row r="320">
      <c r="A320" t="inlineStr">
        <is>
          <t>xlunjfskczbvxwn|Mirage</t>
        </is>
      </c>
      <c r="B320" t="inlineStr">
        <is>
          <t>xlunjfskczbvxwn</t>
        </is>
      </c>
      <c r="C320" t="inlineStr">
        <is>
          <t>KSCERATO</t>
        </is>
      </c>
      <c r="D320" t="inlineStr">
        <is>
          <t>CS2</t>
        </is>
      </c>
      <c r="E320" t="inlineStr">
        <is>
          <t>Mirage</t>
        </is>
      </c>
      <c r="F320" t="n">
        <v>10</v>
      </c>
      <c r="G320" t="n">
        <v>17.4</v>
      </c>
      <c r="H320" t="n">
        <v>0.78</v>
      </c>
      <c r="I320" s="8" t="n">
        <v>0.489</v>
      </c>
      <c r="J320" t="n">
        <v>1.28</v>
      </c>
      <c r="K320" s="11">
        <f>IF(H320&lt;&gt;"",H320,IFERROR(G320/INDEX(Players!$M$2:$M$124,MATCH(B320,Players!$A$2:$A$124,0)),""))</f>
        <v/>
      </c>
    </row>
    <row r="321">
      <c r="A321" t="inlineStr">
        <is>
          <t>xlunjfskczbvxwn|Inferno</t>
        </is>
      </c>
      <c r="B321" t="inlineStr">
        <is>
          <t>xlunjfskczbvxwn</t>
        </is>
      </c>
      <c r="C321" t="inlineStr">
        <is>
          <t>KSCERATO</t>
        </is>
      </c>
      <c r="D321" t="inlineStr">
        <is>
          <t>CS2</t>
        </is>
      </c>
      <c r="E321" t="inlineStr">
        <is>
          <t>Inferno</t>
        </is>
      </c>
      <c r="F321" t="n">
        <v>6</v>
      </c>
      <c r="G321" t="n">
        <v>14.3</v>
      </c>
      <c r="H321" t="n">
        <v>0.7</v>
      </c>
      <c r="I321" s="8" t="n">
        <v>0.512</v>
      </c>
      <c r="J321" t="n">
        <v>1.39</v>
      </c>
      <c r="K321" s="11">
        <f>IF(H321&lt;&gt;"",H321,IFERROR(G321/INDEX(Players!$M$2:$M$124,MATCH(B321,Players!$A$2:$A$124,0)),""))</f>
        <v/>
      </c>
    </row>
    <row r="322">
      <c r="A322" t="inlineStr">
        <is>
          <t>xlunjfskczbvxwn|Nuke</t>
        </is>
      </c>
      <c r="B322" t="inlineStr">
        <is>
          <t>xlunjfskczbvxwn</t>
        </is>
      </c>
      <c r="C322" t="inlineStr">
        <is>
          <t>KSCERATO</t>
        </is>
      </c>
      <c r="D322" t="inlineStr">
        <is>
          <t>CS2</t>
        </is>
      </c>
      <c r="E322" t="inlineStr">
        <is>
          <t>Nuke</t>
        </is>
      </c>
      <c r="F322" t="n">
        <v>6</v>
      </c>
      <c r="G322" t="n">
        <v>15.3</v>
      </c>
      <c r="H322" t="n">
        <v>0.7</v>
      </c>
      <c r="I322" s="8" t="n">
        <v>0.522</v>
      </c>
      <c r="J322" t="n">
        <v>1.24</v>
      </c>
      <c r="K322" s="11">
        <f>IF(H322&lt;&gt;"",H322,IFERROR(G322/INDEX(Players!$M$2:$M$124,MATCH(B322,Players!$A$2:$A$124,0)),""))</f>
        <v/>
      </c>
    </row>
    <row r="323">
      <c r="A323" t="inlineStr">
        <is>
          <t>xlunjfskczbvxwn|Cache</t>
        </is>
      </c>
      <c r="B323" t="inlineStr">
        <is>
          <t>xlunjfskczbvxwn</t>
        </is>
      </c>
      <c r="C323" t="inlineStr">
        <is>
          <t>KSCERATO</t>
        </is>
      </c>
      <c r="D323" t="inlineStr">
        <is>
          <t>CS2</t>
        </is>
      </c>
      <c r="E323" t="inlineStr">
        <is>
          <t>Cache</t>
        </is>
      </c>
      <c r="F323" t="n">
        <v>6</v>
      </c>
      <c r="G323" t="n">
        <v>14</v>
      </c>
      <c r="H323" t="n">
        <v>0.66</v>
      </c>
      <c r="I323" s="8" t="n">
        <v>0.5</v>
      </c>
      <c r="J323" t="n">
        <v>1.09</v>
      </c>
      <c r="K323" s="11">
        <f>IF(H323&lt;&gt;"",H323,IFERROR(G323/INDEX(Players!$M$2:$M$124,MATCH(B323,Players!$A$2:$A$124,0)),""))</f>
        <v/>
      </c>
    </row>
    <row r="324">
      <c r="A324" t="inlineStr">
        <is>
          <t>xlunjfskczbvxwn|Dust2</t>
        </is>
      </c>
      <c r="B324" t="inlineStr">
        <is>
          <t>xlunjfskczbvxwn</t>
        </is>
      </c>
      <c r="C324" t="inlineStr">
        <is>
          <t>KSCERATO</t>
        </is>
      </c>
      <c r="D324" t="inlineStr">
        <is>
          <t>CS2</t>
        </is>
      </c>
      <c r="E324" t="inlineStr">
        <is>
          <t>Dust2</t>
        </is>
      </c>
      <c r="F324" t="n">
        <v>4</v>
      </c>
      <c r="G324" t="n">
        <v>18.3</v>
      </c>
      <c r="H324" t="n">
        <v>0.92</v>
      </c>
      <c r="I324" s="8" t="n">
        <v>0.5479999999999999</v>
      </c>
      <c r="J324" t="n">
        <v>1.74</v>
      </c>
      <c r="K324" s="11">
        <f>IF(H324&lt;&gt;"",H324,IFERROR(G324/INDEX(Players!$M$2:$M$124,MATCH(B324,Players!$A$2:$A$124,0)),""))</f>
        <v/>
      </c>
    </row>
    <row r="325">
      <c r="A325" t="inlineStr">
        <is>
          <t>xlunjfskczbvxwn|Ancient</t>
        </is>
      </c>
      <c r="B325" t="inlineStr">
        <is>
          <t>xlunjfskczbvxwn</t>
        </is>
      </c>
      <c r="C325" t="inlineStr">
        <is>
          <t>KSCERATO</t>
        </is>
      </c>
      <c r="D325" t="inlineStr">
        <is>
          <t>CS2</t>
        </is>
      </c>
      <c r="E325" t="inlineStr">
        <is>
          <t>Ancient</t>
        </is>
      </c>
      <c r="F325" t="n">
        <v>4</v>
      </c>
      <c r="G325" t="n">
        <v>15</v>
      </c>
      <c r="H325" t="n">
        <v>0.61</v>
      </c>
      <c r="I325" s="8" t="n">
        <v>0.467</v>
      </c>
      <c r="J325" t="n">
        <v>1.05</v>
      </c>
      <c r="K325" s="11">
        <f>IF(H325&lt;&gt;"",H325,IFERROR(G325/INDEX(Players!$M$2:$M$124,MATCH(B325,Players!$A$2:$A$124,0)),""))</f>
        <v/>
      </c>
    </row>
    <row r="326">
      <c r="A326" t="inlineStr">
        <is>
          <t>xlunjfskczbvxwn|Anubis</t>
        </is>
      </c>
      <c r="B326" t="inlineStr">
        <is>
          <t>xlunjfskczbvxwn</t>
        </is>
      </c>
      <c r="C326" t="inlineStr">
        <is>
          <t>KSCERATO</t>
        </is>
      </c>
      <c r="D326" t="inlineStr">
        <is>
          <t>CS2</t>
        </is>
      </c>
      <c r="E326" t="inlineStr">
        <is>
          <t>Anubis</t>
        </is>
      </c>
      <c r="F326" t="n">
        <v>1</v>
      </c>
      <c r="G326" t="n">
        <v>16</v>
      </c>
      <c r="H326" t="n">
        <v>0.76</v>
      </c>
      <c r="I326" s="8" t="n">
        <v>0.5</v>
      </c>
      <c r="J326" t="n">
        <v>1.14</v>
      </c>
      <c r="K326" s="11">
        <f>IF(H326&lt;&gt;"",H326,IFERROR(G326/INDEX(Players!$M$2:$M$124,MATCH(B326,Players!$A$2:$A$124,0)),""))</f>
        <v/>
      </c>
    </row>
    <row r="327">
      <c r="A327" t="inlineStr">
        <is>
          <t>2s3qwqpg7uefnn7|Dust2</t>
        </is>
      </c>
      <c r="B327" t="inlineStr">
        <is>
          <t>2s3qwqpg7uefnn7</t>
        </is>
      </c>
      <c r="C327" t="inlineStr">
        <is>
          <t>KusMe</t>
        </is>
      </c>
      <c r="D327" t="inlineStr">
        <is>
          <t>CS2</t>
        </is>
      </c>
      <c r="E327" t="inlineStr">
        <is>
          <t>Dust2</t>
        </is>
      </c>
      <c r="F327" t="n">
        <v>9</v>
      </c>
      <c r="G327" t="n">
        <v>13</v>
      </c>
      <c r="H327" t="n">
        <v>0.62</v>
      </c>
      <c r="I327" s="8" t="n">
        <v>0.487</v>
      </c>
      <c r="J327" t="n">
        <v>0.93</v>
      </c>
      <c r="K327" s="11">
        <f>IF(H327&lt;&gt;"",H327,IFERROR(G327/INDEX(Players!$M$2:$M$124,MATCH(B327,Players!$A$2:$A$124,0)),""))</f>
        <v/>
      </c>
    </row>
    <row r="328">
      <c r="A328" t="inlineStr">
        <is>
          <t>2s3qwqpg7uefnn7|Cache</t>
        </is>
      </c>
      <c r="B328" t="inlineStr">
        <is>
          <t>2s3qwqpg7uefnn7</t>
        </is>
      </c>
      <c r="C328" t="inlineStr">
        <is>
          <t>KusMe</t>
        </is>
      </c>
      <c r="D328" t="inlineStr">
        <is>
          <t>CS2</t>
        </is>
      </c>
      <c r="E328" t="inlineStr">
        <is>
          <t>Cache</t>
        </is>
      </c>
      <c r="F328" t="n">
        <v>7</v>
      </c>
      <c r="G328" t="n">
        <v>14.1</v>
      </c>
      <c r="H328" t="n">
        <v>0.77</v>
      </c>
      <c r="I328" s="8" t="n">
        <v>0.535</v>
      </c>
      <c r="J328" t="n">
        <v>1.48</v>
      </c>
      <c r="K328" s="11">
        <f>IF(H328&lt;&gt;"",H328,IFERROR(G328/INDEX(Players!$M$2:$M$124,MATCH(B328,Players!$A$2:$A$124,0)),""))</f>
        <v/>
      </c>
    </row>
    <row r="329">
      <c r="A329" t="inlineStr">
        <is>
          <t>2s3qwqpg7uefnn7|Anubis</t>
        </is>
      </c>
      <c r="B329" t="inlineStr">
        <is>
          <t>2s3qwqpg7uefnn7</t>
        </is>
      </c>
      <c r="C329" t="inlineStr">
        <is>
          <t>KusMe</t>
        </is>
      </c>
      <c r="D329" t="inlineStr">
        <is>
          <t>CS2</t>
        </is>
      </c>
      <c r="E329" t="inlineStr">
        <is>
          <t>Anubis</t>
        </is>
      </c>
      <c r="F329" t="n">
        <v>5</v>
      </c>
      <c r="G329" t="n">
        <v>12.8</v>
      </c>
      <c r="H329" t="n">
        <v>0.6</v>
      </c>
      <c r="I329" s="8" t="n">
        <v>0.594</v>
      </c>
      <c r="J329" t="n">
        <v>0.88</v>
      </c>
      <c r="K329" s="11">
        <f>IF(H329&lt;&gt;"",H329,IFERROR(G329/INDEX(Players!$M$2:$M$124,MATCH(B329,Players!$A$2:$A$124,0)),""))</f>
        <v/>
      </c>
    </row>
    <row r="330">
      <c r="A330" t="inlineStr">
        <is>
          <t>2s3qwqpg7uefnn7|Mirage</t>
        </is>
      </c>
      <c r="B330" t="inlineStr">
        <is>
          <t>2s3qwqpg7uefnn7</t>
        </is>
      </c>
      <c r="C330" t="inlineStr">
        <is>
          <t>KusMe</t>
        </is>
      </c>
      <c r="D330" t="inlineStr">
        <is>
          <t>CS2</t>
        </is>
      </c>
      <c r="E330" t="inlineStr">
        <is>
          <t>Mirage</t>
        </is>
      </c>
      <c r="F330" t="n">
        <v>4</v>
      </c>
      <c r="G330" t="n">
        <v>18.3</v>
      </c>
      <c r="H330" t="n">
        <v>0.76</v>
      </c>
      <c r="I330" s="8" t="n">
        <v>0.575</v>
      </c>
      <c r="J330" t="n">
        <v>1.28</v>
      </c>
      <c r="K330" s="11">
        <f>IF(H330&lt;&gt;"",H330,IFERROR(G330/INDEX(Players!$M$2:$M$124,MATCH(B330,Players!$A$2:$A$124,0)),""))</f>
        <v/>
      </c>
    </row>
    <row r="331">
      <c r="A331" t="inlineStr">
        <is>
          <t>2s3qwqpg7uefnn7|Nuke</t>
        </is>
      </c>
      <c r="B331" t="inlineStr">
        <is>
          <t>2s3qwqpg7uefnn7</t>
        </is>
      </c>
      <c r="C331" t="inlineStr">
        <is>
          <t>KusMe</t>
        </is>
      </c>
      <c r="D331" t="inlineStr">
        <is>
          <t>CS2</t>
        </is>
      </c>
      <c r="E331" t="inlineStr">
        <is>
          <t>Nuke</t>
        </is>
      </c>
      <c r="F331" t="n">
        <v>4</v>
      </c>
      <c r="G331" t="n">
        <v>20.8</v>
      </c>
      <c r="H331" t="n">
        <v>0.7</v>
      </c>
      <c r="I331" s="8" t="n">
        <v>0.506</v>
      </c>
      <c r="J331" t="n">
        <v>1.04</v>
      </c>
      <c r="K331" s="11">
        <f>IF(H331&lt;&gt;"",H331,IFERROR(G331/INDEX(Players!$M$2:$M$124,MATCH(B331,Players!$A$2:$A$124,0)),""))</f>
        <v/>
      </c>
    </row>
    <row r="332">
      <c r="A332" t="inlineStr">
        <is>
          <t>2s3qwqpg7uefnn7|Ancient</t>
        </is>
      </c>
      <c r="B332" t="inlineStr">
        <is>
          <t>2s3qwqpg7uefnn7</t>
        </is>
      </c>
      <c r="C332" t="inlineStr">
        <is>
          <t>KusMe</t>
        </is>
      </c>
      <c r="D332" t="inlineStr">
        <is>
          <t>CS2</t>
        </is>
      </c>
      <c r="E332" t="inlineStr">
        <is>
          <t>Ancient</t>
        </is>
      </c>
      <c r="F332" t="n">
        <v>4</v>
      </c>
      <c r="G332" t="n">
        <v>12.5</v>
      </c>
      <c r="H332" t="n">
        <v>0.63</v>
      </c>
      <c r="I332" s="8" t="n">
        <v>0.5</v>
      </c>
      <c r="J332" t="n">
        <v>0.89</v>
      </c>
      <c r="K332" s="11">
        <f>IF(H332&lt;&gt;"",H332,IFERROR(G332/INDEX(Players!$M$2:$M$124,MATCH(B332,Players!$A$2:$A$124,0)),""))</f>
        <v/>
      </c>
    </row>
    <row r="333">
      <c r="A333" t="inlineStr">
        <is>
          <t>efi7mmb5o1ctn6l|Mirage</t>
        </is>
      </c>
      <c r="B333" t="inlineStr">
        <is>
          <t>efi7mmb5o1ctn6l</t>
        </is>
      </c>
      <c r="C333" t="inlineStr">
        <is>
          <t>KWERTZZ</t>
        </is>
      </c>
      <c r="D333" t="inlineStr">
        <is>
          <t>CS2</t>
        </is>
      </c>
      <c r="E333" t="inlineStr">
        <is>
          <t>Mirage</t>
        </is>
      </c>
      <c r="F333" t="n">
        <v>9</v>
      </c>
      <c r="G333" t="n">
        <v>14.4</v>
      </c>
      <c r="H333" t="n">
        <v>0.6899999999999999</v>
      </c>
      <c r="I333" s="8" t="n">
        <v>0.662</v>
      </c>
      <c r="J333" t="n">
        <v>1.1</v>
      </c>
      <c r="K333" s="11">
        <f>IF(H333&lt;&gt;"",H333,IFERROR(G333/INDEX(Players!$M$2:$M$124,MATCH(B333,Players!$A$2:$A$124,0)),""))</f>
        <v/>
      </c>
    </row>
    <row r="334">
      <c r="A334" t="inlineStr">
        <is>
          <t>efi7mmb5o1ctn6l|Dust2</t>
        </is>
      </c>
      <c r="B334" t="inlineStr">
        <is>
          <t>efi7mmb5o1ctn6l</t>
        </is>
      </c>
      <c r="C334" t="inlineStr">
        <is>
          <t>KWERTZZ</t>
        </is>
      </c>
      <c r="D334" t="inlineStr">
        <is>
          <t>CS2</t>
        </is>
      </c>
      <c r="E334" t="inlineStr">
        <is>
          <t>Dust2</t>
        </is>
      </c>
      <c r="F334" t="n">
        <v>8</v>
      </c>
      <c r="G334" t="n">
        <v>16.8</v>
      </c>
      <c r="H334" t="n">
        <v>0.8100000000000001</v>
      </c>
      <c r="I334" s="8" t="n">
        <v>0.7390000000000001</v>
      </c>
      <c r="J334" t="n">
        <v>1.24</v>
      </c>
      <c r="K334" s="11">
        <f>IF(H334&lt;&gt;"",H334,IFERROR(G334/INDEX(Players!$M$2:$M$124,MATCH(B334,Players!$A$2:$A$124,0)),""))</f>
        <v/>
      </c>
    </row>
    <row r="335">
      <c r="A335" t="inlineStr">
        <is>
          <t>efi7mmb5o1ctn6l|Cache</t>
        </is>
      </c>
      <c r="B335" t="inlineStr">
        <is>
          <t>efi7mmb5o1ctn6l</t>
        </is>
      </c>
      <c r="C335" t="inlineStr">
        <is>
          <t>KWERTZZ</t>
        </is>
      </c>
      <c r="D335" t="inlineStr">
        <is>
          <t>CS2</t>
        </is>
      </c>
      <c r="E335" t="inlineStr">
        <is>
          <t>Cache</t>
        </is>
      </c>
      <c r="F335" t="n">
        <v>7</v>
      </c>
      <c r="G335" t="n">
        <v>14.1</v>
      </c>
      <c r="H335" t="n">
        <v>0.7</v>
      </c>
      <c r="I335" s="8" t="n">
        <v>0.6459999999999999</v>
      </c>
      <c r="J335" t="n">
        <v>1.1</v>
      </c>
      <c r="K335" s="11">
        <f>IF(H335&lt;&gt;"",H335,IFERROR(G335/INDEX(Players!$M$2:$M$124,MATCH(B335,Players!$A$2:$A$124,0)),""))</f>
        <v/>
      </c>
    </row>
    <row r="336">
      <c r="A336" t="inlineStr">
        <is>
          <t>efi7mmb5o1ctn6l|Ancient</t>
        </is>
      </c>
      <c r="B336" t="inlineStr">
        <is>
          <t>efi7mmb5o1ctn6l</t>
        </is>
      </c>
      <c r="C336" t="inlineStr">
        <is>
          <t>KWERTZZ</t>
        </is>
      </c>
      <c r="D336" t="inlineStr">
        <is>
          <t>CS2</t>
        </is>
      </c>
      <c r="E336" t="inlineStr">
        <is>
          <t>Ancient</t>
        </is>
      </c>
      <c r="F336" t="n">
        <v>6</v>
      </c>
      <c r="G336" t="n">
        <v>19.3</v>
      </c>
      <c r="H336" t="n">
        <v>0.76</v>
      </c>
      <c r="I336" s="8" t="n">
        <v>0.698</v>
      </c>
      <c r="J336" t="n">
        <v>1.08</v>
      </c>
      <c r="K336" s="11">
        <f>IF(H336&lt;&gt;"",H336,IFERROR(G336/INDEX(Players!$M$2:$M$124,MATCH(B336,Players!$A$2:$A$124,0)),""))</f>
        <v/>
      </c>
    </row>
    <row r="337">
      <c r="A337" t="inlineStr">
        <is>
          <t>efi7mmb5o1ctn6l|Inferno</t>
        </is>
      </c>
      <c r="B337" t="inlineStr">
        <is>
          <t>efi7mmb5o1ctn6l</t>
        </is>
      </c>
      <c r="C337" t="inlineStr">
        <is>
          <t>KWERTZZ</t>
        </is>
      </c>
      <c r="D337" t="inlineStr">
        <is>
          <t>CS2</t>
        </is>
      </c>
      <c r="E337" t="inlineStr">
        <is>
          <t>Inferno</t>
        </is>
      </c>
      <c r="F337" t="n">
        <v>5</v>
      </c>
      <c r="G337" t="n">
        <v>13</v>
      </c>
      <c r="H337" t="n">
        <v>0.64</v>
      </c>
      <c r="I337" s="8" t="n">
        <v>0.631</v>
      </c>
      <c r="J337" t="n">
        <v>1.08</v>
      </c>
      <c r="K337" s="11">
        <f>IF(H337&lt;&gt;"",H337,IFERROR(G337/INDEX(Players!$M$2:$M$124,MATCH(B337,Players!$A$2:$A$124,0)),""))</f>
        <v/>
      </c>
    </row>
    <row r="338">
      <c r="A338" t="inlineStr">
        <is>
          <t>efi7mmb5o1ctn6l|Anubis</t>
        </is>
      </c>
      <c r="B338" t="inlineStr">
        <is>
          <t>efi7mmb5o1ctn6l</t>
        </is>
      </c>
      <c r="C338" t="inlineStr">
        <is>
          <t>KWERTZZ</t>
        </is>
      </c>
      <c r="D338" t="inlineStr">
        <is>
          <t>CS2</t>
        </is>
      </c>
      <c r="E338" t="inlineStr">
        <is>
          <t>Anubis</t>
        </is>
      </c>
      <c r="F338" t="n">
        <v>1</v>
      </c>
      <c r="G338" t="n">
        <v>16</v>
      </c>
      <c r="H338" t="n">
        <v>0.73</v>
      </c>
      <c r="I338" s="8" t="n">
        <v>0.5</v>
      </c>
      <c r="J338" t="n">
        <v>1</v>
      </c>
      <c r="K338" s="11">
        <f>IF(H338&lt;&gt;"",H338,IFERROR(G338/INDEX(Players!$M$2:$M$124,MATCH(B338,Players!$A$2:$A$124,0)),""))</f>
        <v/>
      </c>
    </row>
    <row r="339">
      <c r="A339" t="inlineStr">
        <is>
          <t>80bybpfrkhru947|Ancient</t>
        </is>
      </c>
      <c r="B339" t="inlineStr">
        <is>
          <t>80bybpfrkhru947</t>
        </is>
      </c>
      <c r="C339" t="inlineStr">
        <is>
          <t>kyuubii</t>
        </is>
      </c>
      <c r="D339" t="inlineStr">
        <is>
          <t>CS2</t>
        </is>
      </c>
      <c r="E339" t="inlineStr">
        <is>
          <t>Ancient</t>
        </is>
      </c>
      <c r="F339" t="n">
        <v>10</v>
      </c>
      <c r="G339" t="n">
        <v>14.5</v>
      </c>
      <c r="H339" t="n">
        <v>0.65</v>
      </c>
      <c r="I339" s="8" t="n">
        <v>0.628</v>
      </c>
      <c r="J339" t="n">
        <v>1.05</v>
      </c>
      <c r="K339" s="11">
        <f>IF(H339&lt;&gt;"",H339,IFERROR(G339/INDEX(Players!$M$2:$M$124,MATCH(B339,Players!$A$2:$A$124,0)),""))</f>
        <v/>
      </c>
    </row>
    <row r="340">
      <c r="A340" t="inlineStr">
        <is>
          <t>80bybpfrkhru947|Dust2</t>
        </is>
      </c>
      <c r="B340" t="inlineStr">
        <is>
          <t>80bybpfrkhru947</t>
        </is>
      </c>
      <c r="C340" t="inlineStr">
        <is>
          <t>kyuubii</t>
        </is>
      </c>
      <c r="D340" t="inlineStr">
        <is>
          <t>CS2</t>
        </is>
      </c>
      <c r="E340" t="inlineStr">
        <is>
          <t>Dust2</t>
        </is>
      </c>
      <c r="F340" t="n">
        <v>6</v>
      </c>
      <c r="G340" t="n">
        <v>17.8</v>
      </c>
      <c r="H340" t="n">
        <v>0.7</v>
      </c>
      <c r="I340" s="8" t="n">
        <v>0.5329999999999999</v>
      </c>
      <c r="J340" t="n">
        <v>0.96</v>
      </c>
      <c r="K340" s="11">
        <f>IF(H340&lt;&gt;"",H340,IFERROR(G340/INDEX(Players!$M$2:$M$124,MATCH(B340,Players!$A$2:$A$124,0)),""))</f>
        <v/>
      </c>
    </row>
    <row r="341">
      <c r="A341" t="inlineStr">
        <is>
          <t>80bybpfrkhru947|Mirage</t>
        </is>
      </c>
      <c r="B341" t="inlineStr">
        <is>
          <t>80bybpfrkhru947</t>
        </is>
      </c>
      <c r="C341" t="inlineStr">
        <is>
          <t>kyuubii</t>
        </is>
      </c>
      <c r="D341" t="inlineStr">
        <is>
          <t>CS2</t>
        </is>
      </c>
      <c r="E341" t="inlineStr">
        <is>
          <t>Mirage</t>
        </is>
      </c>
      <c r="F341" t="n">
        <v>4</v>
      </c>
      <c r="G341" t="n">
        <v>17.8</v>
      </c>
      <c r="H341" t="n">
        <v>0.66</v>
      </c>
      <c r="I341" s="8" t="n">
        <v>0.521</v>
      </c>
      <c r="J341" t="n">
        <v>1.01</v>
      </c>
      <c r="K341" s="11">
        <f>IF(H341&lt;&gt;"",H341,IFERROR(G341/INDEX(Players!$M$2:$M$124,MATCH(B341,Players!$A$2:$A$124,0)),""))</f>
        <v/>
      </c>
    </row>
    <row r="342">
      <c r="A342" t="inlineStr">
        <is>
          <t>80bybpfrkhru947|Nuke</t>
        </is>
      </c>
      <c r="B342" t="inlineStr">
        <is>
          <t>80bybpfrkhru947</t>
        </is>
      </c>
      <c r="C342" t="inlineStr">
        <is>
          <t>kyuubii</t>
        </is>
      </c>
      <c r="D342" t="inlineStr">
        <is>
          <t>CS2</t>
        </is>
      </c>
      <c r="E342" t="inlineStr">
        <is>
          <t>Nuke</t>
        </is>
      </c>
      <c r="F342" t="n">
        <v>3</v>
      </c>
      <c r="G342" t="n">
        <v>16.3</v>
      </c>
      <c r="H342" t="n">
        <v>0.77</v>
      </c>
      <c r="I342" s="8" t="n">
        <v>0.551</v>
      </c>
      <c r="J342" t="n">
        <v>1.26</v>
      </c>
      <c r="K342" s="11">
        <f>IF(H342&lt;&gt;"",H342,IFERROR(G342/INDEX(Players!$M$2:$M$124,MATCH(B342,Players!$A$2:$A$124,0)),""))</f>
        <v/>
      </c>
    </row>
    <row r="343">
      <c r="A343" t="inlineStr">
        <is>
          <t>80bybpfrkhru947|Inferno</t>
        </is>
      </c>
      <c r="B343" t="inlineStr">
        <is>
          <t>80bybpfrkhru947</t>
        </is>
      </c>
      <c r="C343" t="inlineStr">
        <is>
          <t>kyuubii</t>
        </is>
      </c>
      <c r="D343" t="inlineStr">
        <is>
          <t>CS2</t>
        </is>
      </c>
      <c r="E343" t="inlineStr">
        <is>
          <t>Inferno</t>
        </is>
      </c>
      <c r="F343" t="n">
        <v>3</v>
      </c>
      <c r="G343" t="n">
        <v>15</v>
      </c>
      <c r="H343" t="n">
        <v>0.66</v>
      </c>
      <c r="I343" s="8" t="n">
        <v>0.622</v>
      </c>
      <c r="J343" t="n">
        <v>1.1</v>
      </c>
      <c r="K343" s="11">
        <f>IF(H343&lt;&gt;"",H343,IFERROR(G343/INDEX(Players!$M$2:$M$124,MATCH(B343,Players!$A$2:$A$124,0)),""))</f>
        <v/>
      </c>
    </row>
    <row r="344">
      <c r="A344" t="inlineStr">
        <is>
          <t>80bybpfrkhru947|Cache</t>
        </is>
      </c>
      <c r="B344" t="inlineStr">
        <is>
          <t>80bybpfrkhru947</t>
        </is>
      </c>
      <c r="C344" t="inlineStr">
        <is>
          <t>kyuubii</t>
        </is>
      </c>
      <c r="D344" t="inlineStr">
        <is>
          <t>CS2</t>
        </is>
      </c>
      <c r="E344" t="inlineStr">
        <is>
          <t>Cache</t>
        </is>
      </c>
      <c r="F344" t="n">
        <v>2</v>
      </c>
      <c r="G344" t="n">
        <v>8.5</v>
      </c>
      <c r="H344" t="n">
        <v>0.49</v>
      </c>
      <c r="I344" s="8" t="n">
        <v>0.647</v>
      </c>
      <c r="J344" t="n">
        <v>0.65</v>
      </c>
      <c r="K344" s="11">
        <f>IF(H344&lt;&gt;"",H344,IFERROR(G344/INDEX(Players!$M$2:$M$124,MATCH(B344,Players!$A$2:$A$124,0)),""))</f>
        <v/>
      </c>
    </row>
    <row r="345">
      <c r="A345" t="inlineStr">
        <is>
          <t>gzghvr1quamb0xn|Dust2</t>
        </is>
      </c>
      <c r="B345" t="inlineStr">
        <is>
          <t>gzghvr1quamb0xn</t>
        </is>
      </c>
      <c r="C345" t="inlineStr">
        <is>
          <t>kyxsan</t>
        </is>
      </c>
      <c r="D345" t="inlineStr">
        <is>
          <t>CS2</t>
        </is>
      </c>
      <c r="E345" t="inlineStr">
        <is>
          <t>Dust2</t>
        </is>
      </c>
      <c r="F345" t="n">
        <v>8</v>
      </c>
      <c r="G345" t="n">
        <v>10.9</v>
      </c>
      <c r="H345" t="n">
        <v>0.48</v>
      </c>
      <c r="I345" s="8" t="n">
        <v>0.529</v>
      </c>
      <c r="J345" t="n">
        <v>0.7</v>
      </c>
      <c r="K345" s="11">
        <f>IF(H345&lt;&gt;"",H345,IFERROR(G345/INDEX(Players!$M$2:$M$124,MATCH(B345,Players!$A$2:$A$124,0)),""))</f>
        <v/>
      </c>
    </row>
    <row r="346">
      <c r="A346" t="inlineStr">
        <is>
          <t>gzghvr1quamb0xn|Mirage</t>
        </is>
      </c>
      <c r="B346" t="inlineStr">
        <is>
          <t>gzghvr1quamb0xn</t>
        </is>
      </c>
      <c r="C346" t="inlineStr">
        <is>
          <t>kyxsan</t>
        </is>
      </c>
      <c r="D346" t="inlineStr">
        <is>
          <t>CS2</t>
        </is>
      </c>
      <c r="E346" t="inlineStr">
        <is>
          <t>Mirage</t>
        </is>
      </c>
      <c r="F346" t="n">
        <v>7</v>
      </c>
      <c r="G346" t="n">
        <v>11.1</v>
      </c>
      <c r="H346" t="n">
        <v>0.5600000000000001</v>
      </c>
      <c r="I346" s="8" t="n">
        <v>0.5770000000000001</v>
      </c>
      <c r="J346" t="n">
        <v>0.86</v>
      </c>
      <c r="K346" s="11">
        <f>IF(H346&lt;&gt;"",H346,IFERROR(G346/INDEX(Players!$M$2:$M$124,MATCH(B346,Players!$A$2:$A$124,0)),""))</f>
        <v/>
      </c>
    </row>
    <row r="347">
      <c r="A347" t="inlineStr">
        <is>
          <t>gzghvr1quamb0xn|Anubis</t>
        </is>
      </c>
      <c r="B347" t="inlineStr">
        <is>
          <t>gzghvr1quamb0xn</t>
        </is>
      </c>
      <c r="C347" t="inlineStr">
        <is>
          <t>kyxsan</t>
        </is>
      </c>
      <c r="D347" t="inlineStr">
        <is>
          <t>CS2</t>
        </is>
      </c>
      <c r="E347" t="inlineStr">
        <is>
          <t>Anubis</t>
        </is>
      </c>
      <c r="F347" t="n">
        <v>7</v>
      </c>
      <c r="G347" t="n">
        <v>10.3</v>
      </c>
      <c r="H347" t="n">
        <v>0.52</v>
      </c>
      <c r="I347" s="8" t="n">
        <v>0.667</v>
      </c>
      <c r="J347" t="n">
        <v>0.73</v>
      </c>
      <c r="K347" s="11">
        <f>IF(H347&lt;&gt;"",H347,IFERROR(G347/INDEX(Players!$M$2:$M$124,MATCH(B347,Players!$A$2:$A$124,0)),""))</f>
        <v/>
      </c>
    </row>
    <row r="348">
      <c r="A348" t="inlineStr">
        <is>
          <t>gzghvr1quamb0xn|Inferno</t>
        </is>
      </c>
      <c r="B348" t="inlineStr">
        <is>
          <t>gzghvr1quamb0xn</t>
        </is>
      </c>
      <c r="C348" t="inlineStr">
        <is>
          <t>kyxsan</t>
        </is>
      </c>
      <c r="D348" t="inlineStr">
        <is>
          <t>CS2</t>
        </is>
      </c>
      <c r="E348" t="inlineStr">
        <is>
          <t>Inferno</t>
        </is>
      </c>
      <c r="F348" t="n">
        <v>6</v>
      </c>
      <c r="G348" t="n">
        <v>11.3</v>
      </c>
      <c r="H348" t="n">
        <v>0.49</v>
      </c>
      <c r="I348" s="8" t="n">
        <v>0.618</v>
      </c>
      <c r="J348" t="n">
        <v>0.75</v>
      </c>
      <c r="K348" s="11">
        <f>IF(H348&lt;&gt;"",H348,IFERROR(G348/INDEX(Players!$M$2:$M$124,MATCH(B348,Players!$A$2:$A$124,0)),""))</f>
        <v/>
      </c>
    </row>
    <row r="349">
      <c r="A349" t="inlineStr">
        <is>
          <t>gzghvr1quamb0xn|Nuke</t>
        </is>
      </c>
      <c r="B349" t="inlineStr">
        <is>
          <t>gzghvr1quamb0xn</t>
        </is>
      </c>
      <c r="C349" t="inlineStr">
        <is>
          <t>kyxsan</t>
        </is>
      </c>
      <c r="D349" t="inlineStr">
        <is>
          <t>CS2</t>
        </is>
      </c>
      <c r="E349" t="inlineStr">
        <is>
          <t>Nuke</t>
        </is>
      </c>
      <c r="F349" t="n">
        <v>6</v>
      </c>
      <c r="G349" t="n">
        <v>8.300000000000001</v>
      </c>
      <c r="H349" t="n">
        <v>0.44</v>
      </c>
      <c r="I349" s="8" t="n">
        <v>0.54</v>
      </c>
      <c r="J349" t="n">
        <v>0.5600000000000001</v>
      </c>
      <c r="K349" s="11">
        <f>IF(H349&lt;&gt;"",H349,IFERROR(G349/INDEX(Players!$M$2:$M$124,MATCH(B349,Players!$A$2:$A$124,0)),""))</f>
        <v/>
      </c>
    </row>
    <row r="350">
      <c r="A350" t="inlineStr">
        <is>
          <t>gzghvr1quamb0xn|Cache</t>
        </is>
      </c>
      <c r="B350" t="inlineStr">
        <is>
          <t>gzghvr1quamb0xn</t>
        </is>
      </c>
      <c r="C350" t="inlineStr">
        <is>
          <t>kyxsan</t>
        </is>
      </c>
      <c r="D350" t="inlineStr">
        <is>
          <t>CS2</t>
        </is>
      </c>
      <c r="E350" t="inlineStr">
        <is>
          <t>Cache</t>
        </is>
      </c>
      <c r="F350" t="n">
        <v>4</v>
      </c>
      <c r="G350" t="n">
        <v>13.8</v>
      </c>
      <c r="H350" t="n">
        <v>0.64</v>
      </c>
      <c r="I350" s="8" t="n">
        <v>0.509</v>
      </c>
      <c r="J350" t="n">
        <v>1.1</v>
      </c>
      <c r="K350" s="11">
        <f>IF(H350&lt;&gt;"",H350,IFERROR(G350/INDEX(Players!$M$2:$M$124,MATCH(B350,Players!$A$2:$A$124,0)),""))</f>
        <v/>
      </c>
    </row>
    <row r="351">
      <c r="A351" t="inlineStr">
        <is>
          <t>798yw8my6zycp2s|Dust2</t>
        </is>
      </c>
      <c r="B351" t="inlineStr">
        <is>
          <t>798yw8my6zycp2s</t>
        </is>
      </c>
      <c r="C351" t="inlineStr">
        <is>
          <t>Lack1</t>
        </is>
      </c>
      <c r="D351" t="inlineStr">
        <is>
          <t>CS2</t>
        </is>
      </c>
      <c r="E351" t="inlineStr">
        <is>
          <t>Dust2</t>
        </is>
      </c>
      <c r="F351" t="n">
        <v>9</v>
      </c>
      <c r="G351" t="n">
        <v>13.3</v>
      </c>
      <c r="H351" t="n">
        <v>0.64</v>
      </c>
      <c r="I351" s="8" t="n">
        <v>0.542</v>
      </c>
      <c r="J351" t="n">
        <v>0.9</v>
      </c>
      <c r="K351" s="11">
        <f>IF(H351&lt;&gt;"",H351,IFERROR(G351/INDEX(Players!$M$2:$M$124,MATCH(B351,Players!$A$2:$A$124,0)),""))</f>
        <v/>
      </c>
    </row>
    <row r="352">
      <c r="A352" t="inlineStr">
        <is>
          <t>798yw8my6zycp2s|Cache</t>
        </is>
      </c>
      <c r="B352" t="inlineStr">
        <is>
          <t>798yw8my6zycp2s</t>
        </is>
      </c>
      <c r="C352" t="inlineStr">
        <is>
          <t>Lack1</t>
        </is>
      </c>
      <c r="D352" t="inlineStr">
        <is>
          <t>CS2</t>
        </is>
      </c>
      <c r="E352" t="inlineStr">
        <is>
          <t>Cache</t>
        </is>
      </c>
      <c r="F352" t="n">
        <v>7</v>
      </c>
      <c r="G352" t="n">
        <v>11.9</v>
      </c>
      <c r="H352" t="n">
        <v>0.65</v>
      </c>
      <c r="I352" s="8" t="n">
        <v>0.627</v>
      </c>
      <c r="J352" t="n">
        <v>1.05</v>
      </c>
      <c r="K352" s="11">
        <f>IF(H352&lt;&gt;"",H352,IFERROR(G352/INDEX(Players!$M$2:$M$124,MATCH(B352,Players!$A$2:$A$124,0)),""))</f>
        <v/>
      </c>
    </row>
    <row r="353">
      <c r="A353" t="inlineStr">
        <is>
          <t>798yw8my6zycp2s|Anubis</t>
        </is>
      </c>
      <c r="B353" t="inlineStr">
        <is>
          <t>798yw8my6zycp2s</t>
        </is>
      </c>
      <c r="C353" t="inlineStr">
        <is>
          <t>Lack1</t>
        </is>
      </c>
      <c r="D353" t="inlineStr">
        <is>
          <t>CS2</t>
        </is>
      </c>
      <c r="E353" t="inlineStr">
        <is>
          <t>Anubis</t>
        </is>
      </c>
      <c r="F353" t="n">
        <v>5</v>
      </c>
      <c r="G353" t="n">
        <v>11.8</v>
      </c>
      <c r="H353" t="n">
        <v>0.55</v>
      </c>
      <c r="I353" s="8" t="n">
        <v>0.475</v>
      </c>
      <c r="J353" t="n">
        <v>0.74</v>
      </c>
      <c r="K353" s="11">
        <f>IF(H353&lt;&gt;"",H353,IFERROR(G353/INDEX(Players!$M$2:$M$124,MATCH(B353,Players!$A$2:$A$124,0)),""))</f>
        <v/>
      </c>
    </row>
    <row r="354">
      <c r="A354" t="inlineStr">
        <is>
          <t>798yw8my6zycp2s|Nuke</t>
        </is>
      </c>
      <c r="B354" t="inlineStr">
        <is>
          <t>798yw8my6zycp2s</t>
        </is>
      </c>
      <c r="C354" t="inlineStr">
        <is>
          <t>Lack1</t>
        </is>
      </c>
      <c r="D354" t="inlineStr">
        <is>
          <t>CS2</t>
        </is>
      </c>
      <c r="E354" t="inlineStr">
        <is>
          <t>Nuke</t>
        </is>
      </c>
      <c r="F354" t="n">
        <v>4</v>
      </c>
      <c r="G354" t="n">
        <v>24</v>
      </c>
      <c r="H354" t="n">
        <v>0.8100000000000001</v>
      </c>
      <c r="I354" s="8" t="n">
        <v>0.594</v>
      </c>
      <c r="J354" t="n">
        <v>1.26</v>
      </c>
      <c r="K354" s="11">
        <f>IF(H354&lt;&gt;"",H354,IFERROR(G354/INDEX(Players!$M$2:$M$124,MATCH(B354,Players!$A$2:$A$124,0)),""))</f>
        <v/>
      </c>
    </row>
    <row r="355">
      <c r="A355" t="inlineStr">
        <is>
          <t>798yw8my6zycp2s|Mirage</t>
        </is>
      </c>
      <c r="B355" t="inlineStr">
        <is>
          <t>798yw8my6zycp2s</t>
        </is>
      </c>
      <c r="C355" t="inlineStr">
        <is>
          <t>Lack1</t>
        </is>
      </c>
      <c r="D355" t="inlineStr">
        <is>
          <t>CS2</t>
        </is>
      </c>
      <c r="E355" t="inlineStr">
        <is>
          <t>Mirage</t>
        </is>
      </c>
      <c r="F355" t="n">
        <v>4</v>
      </c>
      <c r="G355" t="n">
        <v>15.8</v>
      </c>
      <c r="H355" t="n">
        <v>0.66</v>
      </c>
      <c r="I355" s="8" t="n">
        <v>0.492</v>
      </c>
      <c r="J355" t="n">
        <v>1</v>
      </c>
      <c r="K355" s="11">
        <f>IF(H355&lt;&gt;"",H355,IFERROR(G355/INDEX(Players!$M$2:$M$124,MATCH(B355,Players!$A$2:$A$124,0)),""))</f>
        <v/>
      </c>
    </row>
    <row r="356">
      <c r="A356" t="inlineStr">
        <is>
          <t>798yw8my6zycp2s|Ancient</t>
        </is>
      </c>
      <c r="B356" t="inlineStr">
        <is>
          <t>798yw8my6zycp2s</t>
        </is>
      </c>
      <c r="C356" t="inlineStr">
        <is>
          <t>Lack1</t>
        </is>
      </c>
      <c r="D356" t="inlineStr">
        <is>
          <t>CS2</t>
        </is>
      </c>
      <c r="E356" t="inlineStr">
        <is>
          <t>Ancient</t>
        </is>
      </c>
      <c r="F356" t="n">
        <v>4</v>
      </c>
      <c r="G356" t="n">
        <v>12.3</v>
      </c>
      <c r="H356" t="n">
        <v>0.62</v>
      </c>
      <c r="I356" s="8" t="n">
        <v>0.5710000000000001</v>
      </c>
      <c r="J356" t="n">
        <v>0.91</v>
      </c>
      <c r="K356" s="11">
        <f>IF(H356&lt;&gt;"",H356,IFERROR(G356/INDEX(Players!$M$2:$M$124,MATCH(B356,Players!$A$2:$A$124,0)),""))</f>
        <v/>
      </c>
    </row>
    <row r="357">
      <c r="A357" t="inlineStr">
        <is>
          <t>1wpbb1hb0wgcwoh|Dust2</t>
        </is>
      </c>
      <c r="B357" t="inlineStr">
        <is>
          <t>1wpbb1hb0wgcwoh</t>
        </is>
      </c>
      <c r="C357" t="inlineStr">
        <is>
          <t>latto</t>
        </is>
      </c>
      <c r="D357" t="inlineStr">
        <is>
          <t>CS2</t>
        </is>
      </c>
      <c r="E357" t="inlineStr">
        <is>
          <t>Dust2</t>
        </is>
      </c>
      <c r="F357" t="n">
        <v>11</v>
      </c>
      <c r="G357" t="n">
        <v>15.6</v>
      </c>
      <c r="H357" t="n">
        <v>0.77</v>
      </c>
      <c r="I357" s="8" t="n">
        <v>0.5870000000000001</v>
      </c>
      <c r="J357" t="n">
        <v>1.21</v>
      </c>
      <c r="K357" s="11">
        <f>IF(H357&lt;&gt;"",H357,IFERROR(G357/INDEX(Players!$M$2:$M$124,MATCH(B357,Players!$A$2:$A$124,0)),""))</f>
        <v/>
      </c>
    </row>
    <row r="358">
      <c r="A358" t="inlineStr">
        <is>
          <t>1wpbb1hb0wgcwoh|Mirage</t>
        </is>
      </c>
      <c r="B358" t="inlineStr">
        <is>
          <t>1wpbb1hb0wgcwoh</t>
        </is>
      </c>
      <c r="C358" t="inlineStr">
        <is>
          <t>latto</t>
        </is>
      </c>
      <c r="D358" t="inlineStr">
        <is>
          <t>CS2</t>
        </is>
      </c>
      <c r="E358" t="inlineStr">
        <is>
          <t>Mirage</t>
        </is>
      </c>
      <c r="F358" t="n">
        <v>10</v>
      </c>
      <c r="G358" t="n">
        <v>16.5</v>
      </c>
      <c r="H358" t="n">
        <v>0.7</v>
      </c>
      <c r="I358" s="8" t="n">
        <v>0.606</v>
      </c>
      <c r="J358" t="n">
        <v>1.18</v>
      </c>
      <c r="K358" s="11">
        <f>IF(H358&lt;&gt;"",H358,IFERROR(G358/INDEX(Players!$M$2:$M$124,MATCH(B358,Players!$A$2:$A$124,0)),""))</f>
        <v/>
      </c>
    </row>
    <row r="359">
      <c r="A359" t="inlineStr">
        <is>
          <t>1wpbb1hb0wgcwoh|Ancient</t>
        </is>
      </c>
      <c r="B359" t="inlineStr">
        <is>
          <t>1wpbb1hb0wgcwoh</t>
        </is>
      </c>
      <c r="C359" t="inlineStr">
        <is>
          <t>latto</t>
        </is>
      </c>
      <c r="D359" t="inlineStr">
        <is>
          <t>CS2</t>
        </is>
      </c>
      <c r="E359" t="inlineStr">
        <is>
          <t>Ancient</t>
        </is>
      </c>
      <c r="F359" t="n">
        <v>8</v>
      </c>
      <c r="G359" t="n">
        <v>20.6</v>
      </c>
      <c r="H359" t="n">
        <v>0.79</v>
      </c>
      <c r="I359" s="8" t="n">
        <v>0.515</v>
      </c>
      <c r="J359" t="n">
        <v>1.34</v>
      </c>
      <c r="K359" s="11">
        <f>IF(H359&lt;&gt;"",H359,IFERROR(G359/INDEX(Players!$M$2:$M$124,MATCH(B359,Players!$A$2:$A$124,0)),""))</f>
        <v/>
      </c>
    </row>
    <row r="360">
      <c r="A360" t="inlineStr">
        <is>
          <t>1wpbb1hb0wgcwoh|Nuke</t>
        </is>
      </c>
      <c r="B360" t="inlineStr">
        <is>
          <t>1wpbb1hb0wgcwoh</t>
        </is>
      </c>
      <c r="C360" t="inlineStr">
        <is>
          <t>latto</t>
        </is>
      </c>
      <c r="D360" t="inlineStr">
        <is>
          <t>CS2</t>
        </is>
      </c>
      <c r="E360" t="inlineStr">
        <is>
          <t>Nuke</t>
        </is>
      </c>
      <c r="F360" t="n">
        <v>4</v>
      </c>
      <c r="G360" t="n">
        <v>19.5</v>
      </c>
      <c r="H360" t="n">
        <v>0.76</v>
      </c>
      <c r="I360" s="8" t="n">
        <v>0.551</v>
      </c>
      <c r="J360" t="n">
        <v>1.32</v>
      </c>
      <c r="K360" s="11">
        <f>IF(H360&lt;&gt;"",H360,IFERROR(G360/INDEX(Players!$M$2:$M$124,MATCH(B360,Players!$A$2:$A$124,0)),""))</f>
        <v/>
      </c>
    </row>
    <row r="361">
      <c r="A361" t="inlineStr">
        <is>
          <t>1wpbb1hb0wgcwoh|Inferno</t>
        </is>
      </c>
      <c r="B361" t="inlineStr">
        <is>
          <t>1wpbb1hb0wgcwoh</t>
        </is>
      </c>
      <c r="C361" t="inlineStr">
        <is>
          <t>latto</t>
        </is>
      </c>
      <c r="D361" t="inlineStr">
        <is>
          <t>CS2</t>
        </is>
      </c>
      <c r="E361" t="inlineStr">
        <is>
          <t>Inferno</t>
        </is>
      </c>
      <c r="F361" t="n">
        <v>4</v>
      </c>
      <c r="G361" t="n">
        <v>15</v>
      </c>
      <c r="H361" t="n">
        <v>0.75</v>
      </c>
      <c r="I361" s="8" t="n">
        <v>0.5329999999999999</v>
      </c>
      <c r="J361" t="n">
        <v>1.22</v>
      </c>
      <c r="K361" s="11">
        <f>IF(H361&lt;&gt;"",H361,IFERROR(G361/INDEX(Players!$M$2:$M$124,MATCH(B361,Players!$A$2:$A$124,0)),""))</f>
        <v/>
      </c>
    </row>
    <row r="362">
      <c r="A362" t="inlineStr">
        <is>
          <t>1wpbb1hb0wgcwoh|Cache</t>
        </is>
      </c>
      <c r="B362" t="inlineStr">
        <is>
          <t>1wpbb1hb0wgcwoh</t>
        </is>
      </c>
      <c r="C362" t="inlineStr">
        <is>
          <t>latto</t>
        </is>
      </c>
      <c r="D362" t="inlineStr">
        <is>
          <t>CS2</t>
        </is>
      </c>
      <c r="E362" t="inlineStr">
        <is>
          <t>Cache</t>
        </is>
      </c>
      <c r="F362" t="n">
        <v>2</v>
      </c>
      <c r="G362" t="n">
        <v>12.5</v>
      </c>
      <c r="H362" t="n">
        <v>0.63</v>
      </c>
      <c r="I362" s="8" t="n">
        <v>0.44</v>
      </c>
      <c r="J362" t="n">
        <v>0.86</v>
      </c>
      <c r="K362" s="11">
        <f>IF(H362&lt;&gt;"",H362,IFERROR(G362/INDEX(Players!$M$2:$M$124,MATCH(B362,Players!$A$2:$A$124,0)),""))</f>
        <v/>
      </c>
    </row>
    <row r="363">
      <c r="A363" t="inlineStr">
        <is>
          <t>uf3pcvx03g3k6xm|Nuke</t>
        </is>
      </c>
      <c r="B363" t="inlineStr">
        <is>
          <t>uf3pcvx03g3k6xm</t>
        </is>
      </c>
      <c r="C363" t="inlineStr">
        <is>
          <t>luchov</t>
        </is>
      </c>
      <c r="D363" t="inlineStr">
        <is>
          <t>CS2</t>
        </is>
      </c>
      <c r="E363" t="inlineStr">
        <is>
          <t>Nuke</t>
        </is>
      </c>
      <c r="F363" t="n">
        <v>9</v>
      </c>
      <c r="G363" t="n">
        <v>13.9</v>
      </c>
      <c r="H363" t="n">
        <v>0.72</v>
      </c>
      <c r="I363" s="8" t="n">
        <v>0.624</v>
      </c>
      <c r="J363" t="n">
        <v>0.98</v>
      </c>
      <c r="K363" s="11">
        <f>IF(H363&lt;&gt;"",H363,IFERROR(G363/INDEX(Players!$M$2:$M$124,MATCH(B363,Players!$A$2:$A$124,0)),""))</f>
        <v/>
      </c>
    </row>
    <row r="364">
      <c r="A364" t="inlineStr">
        <is>
          <t>uf3pcvx03g3k6xm|Mirage</t>
        </is>
      </c>
      <c r="B364" t="inlineStr">
        <is>
          <t>uf3pcvx03g3k6xm</t>
        </is>
      </c>
      <c r="C364" t="inlineStr">
        <is>
          <t>luchov</t>
        </is>
      </c>
      <c r="D364" t="inlineStr">
        <is>
          <t>CS2</t>
        </is>
      </c>
      <c r="E364" t="inlineStr">
        <is>
          <t>Mirage</t>
        </is>
      </c>
      <c r="F364" t="n">
        <v>6</v>
      </c>
      <c r="G364" t="n">
        <v>17.3</v>
      </c>
      <c r="H364" t="n">
        <v>0.84</v>
      </c>
      <c r="I364" s="8" t="n">
        <v>0.596</v>
      </c>
      <c r="J364" t="n">
        <v>1.3</v>
      </c>
      <c r="K364" s="11">
        <f>IF(H364&lt;&gt;"",H364,IFERROR(G364/INDEX(Players!$M$2:$M$124,MATCH(B364,Players!$A$2:$A$124,0)),""))</f>
        <v/>
      </c>
    </row>
    <row r="365">
      <c r="A365" t="inlineStr">
        <is>
          <t>uf3pcvx03g3k6xm|Dust2</t>
        </is>
      </c>
      <c r="B365" t="inlineStr">
        <is>
          <t>uf3pcvx03g3k6xm</t>
        </is>
      </c>
      <c r="C365" t="inlineStr">
        <is>
          <t>luchov</t>
        </is>
      </c>
      <c r="D365" t="inlineStr">
        <is>
          <t>CS2</t>
        </is>
      </c>
      <c r="E365" t="inlineStr">
        <is>
          <t>Dust2</t>
        </is>
      </c>
      <c r="F365" t="n">
        <v>6</v>
      </c>
      <c r="G365" t="n">
        <v>10</v>
      </c>
      <c r="H365" t="n">
        <v>0.5</v>
      </c>
      <c r="I365" s="8" t="n">
        <v>0.5</v>
      </c>
      <c r="J365" t="n">
        <v>0.65</v>
      </c>
      <c r="K365" s="11">
        <f>IF(H365&lt;&gt;"",H365,IFERROR(G365/INDEX(Players!$M$2:$M$124,MATCH(B365,Players!$A$2:$A$124,0)),""))</f>
        <v/>
      </c>
    </row>
    <row r="366">
      <c r="A366" t="inlineStr">
        <is>
          <t>uf3pcvx03g3k6xm|Cache</t>
        </is>
      </c>
      <c r="B366" t="inlineStr">
        <is>
          <t>uf3pcvx03g3k6xm</t>
        </is>
      </c>
      <c r="C366" t="inlineStr">
        <is>
          <t>luchov</t>
        </is>
      </c>
      <c r="D366" t="inlineStr">
        <is>
          <t>CS2</t>
        </is>
      </c>
      <c r="E366" t="inlineStr">
        <is>
          <t>Cache</t>
        </is>
      </c>
      <c r="F366" t="n">
        <v>5</v>
      </c>
      <c r="G366" t="n">
        <v>13.8</v>
      </c>
      <c r="H366" t="n">
        <v>0.7</v>
      </c>
      <c r="I366" s="8" t="n">
        <v>0.6809999999999999</v>
      </c>
      <c r="J366" t="n">
        <v>1.05</v>
      </c>
      <c r="K366" s="11">
        <f>IF(H366&lt;&gt;"",H366,IFERROR(G366/INDEX(Players!$M$2:$M$124,MATCH(B366,Players!$A$2:$A$124,0)),""))</f>
        <v/>
      </c>
    </row>
    <row r="367">
      <c r="A367" t="inlineStr">
        <is>
          <t>uf3pcvx03g3k6xm|Inferno</t>
        </is>
      </c>
      <c r="B367" t="inlineStr">
        <is>
          <t>uf3pcvx03g3k6xm</t>
        </is>
      </c>
      <c r="C367" t="inlineStr">
        <is>
          <t>luchov</t>
        </is>
      </c>
      <c r="D367" t="inlineStr">
        <is>
          <t>CS2</t>
        </is>
      </c>
      <c r="E367" t="inlineStr">
        <is>
          <t>Inferno</t>
        </is>
      </c>
      <c r="F367" t="n">
        <v>5</v>
      </c>
      <c r="G367" t="n">
        <v>9.4</v>
      </c>
      <c r="H367" t="n">
        <v>0.46</v>
      </c>
      <c r="I367" s="8" t="n">
        <v>0.66</v>
      </c>
      <c r="J367" t="n">
        <v>0.57</v>
      </c>
      <c r="K367" s="11">
        <f>IF(H367&lt;&gt;"",H367,IFERROR(G367/INDEX(Players!$M$2:$M$124,MATCH(B367,Players!$A$2:$A$124,0)),""))</f>
        <v/>
      </c>
    </row>
    <row r="368">
      <c r="A368" t="inlineStr">
        <is>
          <t>uf3pcvx03g3k6xm|Ancient</t>
        </is>
      </c>
      <c r="B368" t="inlineStr">
        <is>
          <t>uf3pcvx03g3k6xm</t>
        </is>
      </c>
      <c r="C368" t="inlineStr">
        <is>
          <t>luchov</t>
        </is>
      </c>
      <c r="D368" t="inlineStr">
        <is>
          <t>CS2</t>
        </is>
      </c>
      <c r="E368" t="inlineStr">
        <is>
          <t>Ancient</t>
        </is>
      </c>
      <c r="F368" t="n">
        <v>2</v>
      </c>
      <c r="G368" t="n">
        <v>16.5</v>
      </c>
      <c r="H368" t="n">
        <v>0.58</v>
      </c>
      <c r="I368" s="8" t="n">
        <v>0.485</v>
      </c>
      <c r="J368" t="n">
        <v>0.8</v>
      </c>
      <c r="K368" s="11">
        <f>IF(H368&lt;&gt;"",H368,IFERROR(G368/INDEX(Players!$M$2:$M$124,MATCH(B368,Players!$A$2:$A$124,0)),""))</f>
        <v/>
      </c>
    </row>
    <row r="369">
      <c r="A369" t="inlineStr">
        <is>
          <t>r0t80uiaisgetxr|Mirage</t>
        </is>
      </c>
      <c r="B369" t="inlineStr">
        <is>
          <t>r0t80uiaisgetxr</t>
        </is>
      </c>
      <c r="C369" t="inlineStr">
        <is>
          <t>M1key</t>
        </is>
      </c>
      <c r="D369" t="inlineStr">
        <is>
          <t>CS2</t>
        </is>
      </c>
      <c r="E369" t="inlineStr">
        <is>
          <t>Mirage</t>
        </is>
      </c>
      <c r="F369" t="n">
        <v>9</v>
      </c>
      <c r="G369" t="n">
        <v>16.6</v>
      </c>
      <c r="H369" t="n">
        <v>0.79</v>
      </c>
      <c r="I369" s="8" t="n">
        <v>0.456</v>
      </c>
      <c r="J369" t="n">
        <v>1.32</v>
      </c>
      <c r="K369" s="11">
        <f>IF(H369&lt;&gt;"",H369,IFERROR(G369/INDEX(Players!$M$2:$M$124,MATCH(B369,Players!$A$2:$A$124,0)),""))</f>
        <v/>
      </c>
    </row>
    <row r="370">
      <c r="A370" t="inlineStr">
        <is>
          <t>r0t80uiaisgetxr|Dust2</t>
        </is>
      </c>
      <c r="B370" t="inlineStr">
        <is>
          <t>r0t80uiaisgetxr</t>
        </is>
      </c>
      <c r="C370" t="inlineStr">
        <is>
          <t>M1key</t>
        </is>
      </c>
      <c r="D370" t="inlineStr">
        <is>
          <t>CS2</t>
        </is>
      </c>
      <c r="E370" t="inlineStr">
        <is>
          <t>Dust2</t>
        </is>
      </c>
      <c r="F370" t="n">
        <v>8</v>
      </c>
      <c r="G370" t="n">
        <v>16.1</v>
      </c>
      <c r="H370" t="n">
        <v>0.78</v>
      </c>
      <c r="I370" s="8" t="n">
        <v>0.488</v>
      </c>
      <c r="J370" t="n">
        <v>1.21</v>
      </c>
      <c r="K370" s="11">
        <f>IF(H370&lt;&gt;"",H370,IFERROR(G370/INDEX(Players!$M$2:$M$124,MATCH(B370,Players!$A$2:$A$124,0)),""))</f>
        <v/>
      </c>
    </row>
    <row r="371">
      <c r="A371" t="inlineStr">
        <is>
          <t>r0t80uiaisgetxr|Cache</t>
        </is>
      </c>
      <c r="B371" t="inlineStr">
        <is>
          <t>r0t80uiaisgetxr</t>
        </is>
      </c>
      <c r="C371" t="inlineStr">
        <is>
          <t>M1key</t>
        </is>
      </c>
      <c r="D371" t="inlineStr">
        <is>
          <t>CS2</t>
        </is>
      </c>
      <c r="E371" t="inlineStr">
        <is>
          <t>Cache</t>
        </is>
      </c>
      <c r="F371" t="n">
        <v>7</v>
      </c>
      <c r="G371" t="n">
        <v>13.1</v>
      </c>
      <c r="H371" t="n">
        <v>0.65</v>
      </c>
      <c r="I371" s="8" t="n">
        <v>0.457</v>
      </c>
      <c r="J371" t="n">
        <v>0.92</v>
      </c>
      <c r="K371" s="11">
        <f>IF(H371&lt;&gt;"",H371,IFERROR(G371/INDEX(Players!$M$2:$M$124,MATCH(B371,Players!$A$2:$A$124,0)),""))</f>
        <v/>
      </c>
    </row>
    <row r="372">
      <c r="A372" t="inlineStr">
        <is>
          <t>r0t80uiaisgetxr|Ancient</t>
        </is>
      </c>
      <c r="B372" t="inlineStr">
        <is>
          <t>r0t80uiaisgetxr</t>
        </is>
      </c>
      <c r="C372" t="inlineStr">
        <is>
          <t>M1key</t>
        </is>
      </c>
      <c r="D372" t="inlineStr">
        <is>
          <t>CS2</t>
        </is>
      </c>
      <c r="E372" t="inlineStr">
        <is>
          <t>Ancient</t>
        </is>
      </c>
      <c r="F372" t="n">
        <v>6</v>
      </c>
      <c r="G372" t="n">
        <v>17.8</v>
      </c>
      <c r="H372" t="n">
        <v>0.7</v>
      </c>
      <c r="I372" s="8" t="n">
        <v>0.607</v>
      </c>
      <c r="J372" t="n">
        <v>1.05</v>
      </c>
      <c r="K372" s="11">
        <f>IF(H372&lt;&gt;"",H372,IFERROR(G372/INDEX(Players!$M$2:$M$124,MATCH(B372,Players!$A$2:$A$124,0)),""))</f>
        <v/>
      </c>
    </row>
    <row r="373">
      <c r="A373" t="inlineStr">
        <is>
          <t>r0t80uiaisgetxr|Inferno</t>
        </is>
      </c>
      <c r="B373" t="inlineStr">
        <is>
          <t>r0t80uiaisgetxr</t>
        </is>
      </c>
      <c r="C373" t="inlineStr">
        <is>
          <t>M1key</t>
        </is>
      </c>
      <c r="D373" t="inlineStr">
        <is>
          <t>CS2</t>
        </is>
      </c>
      <c r="E373" t="inlineStr">
        <is>
          <t>Inferno</t>
        </is>
      </c>
      <c r="F373" t="n">
        <v>5</v>
      </c>
      <c r="G373" t="n">
        <v>15.8</v>
      </c>
      <c r="H373" t="n">
        <v>0.78</v>
      </c>
      <c r="I373" s="8" t="n">
        <v>0.544</v>
      </c>
      <c r="J373" t="n">
        <v>1.46</v>
      </c>
      <c r="K373" s="11">
        <f>IF(H373&lt;&gt;"",H373,IFERROR(G373/INDEX(Players!$M$2:$M$124,MATCH(B373,Players!$A$2:$A$124,0)),""))</f>
        <v/>
      </c>
    </row>
    <row r="374">
      <c r="A374" t="inlineStr">
        <is>
          <t>r0t80uiaisgetxr|Anubis</t>
        </is>
      </c>
      <c r="B374" t="inlineStr">
        <is>
          <t>r0t80uiaisgetxr</t>
        </is>
      </c>
      <c r="C374" t="inlineStr">
        <is>
          <t>M1key</t>
        </is>
      </c>
      <c r="D374" t="inlineStr">
        <is>
          <t>CS2</t>
        </is>
      </c>
      <c r="E374" t="inlineStr">
        <is>
          <t>Anubis</t>
        </is>
      </c>
      <c r="F374" t="n">
        <v>1</v>
      </c>
      <c r="G374" t="n">
        <v>14</v>
      </c>
      <c r="H374" t="n">
        <v>0.64</v>
      </c>
      <c r="I374" s="8" t="n">
        <v>0.357</v>
      </c>
      <c r="J374" t="n">
        <v>0.74</v>
      </c>
      <c r="K374" s="11">
        <f>IF(H374&lt;&gt;"",H374,IFERROR(G374/INDEX(Players!$M$2:$M$124,MATCH(B374,Players!$A$2:$A$124,0)),""))</f>
        <v/>
      </c>
    </row>
    <row r="375">
      <c r="A375" t="inlineStr">
        <is>
          <t>6ztw7i4ms6nvy7y|Dust2</t>
        </is>
      </c>
      <c r="B375" t="inlineStr">
        <is>
          <t>6ztw7i4ms6nvy7y</t>
        </is>
      </c>
      <c r="C375" t="inlineStr">
        <is>
          <t>m1QUSE</t>
        </is>
      </c>
      <c r="D375" t="inlineStr">
        <is>
          <t>CS2</t>
        </is>
      </c>
      <c r="E375" t="inlineStr">
        <is>
          <t>Dust2</t>
        </is>
      </c>
      <c r="F375" t="n">
        <v>13</v>
      </c>
      <c r="G375" t="n">
        <v>10.2</v>
      </c>
      <c r="H375" t="n">
        <v>0.49</v>
      </c>
      <c r="I375" s="8" t="n">
        <v>0.534</v>
      </c>
      <c r="J375" t="n">
        <v>0.7</v>
      </c>
      <c r="K375" s="11">
        <f>IF(H375&lt;&gt;"",H375,IFERROR(G375/INDEX(Players!$M$2:$M$124,MATCH(B375,Players!$A$2:$A$124,0)),""))</f>
        <v/>
      </c>
    </row>
    <row r="376">
      <c r="A376" t="inlineStr">
        <is>
          <t>6ztw7i4ms6nvy7y|Inferno</t>
        </is>
      </c>
      <c r="B376" t="inlineStr">
        <is>
          <t>6ztw7i4ms6nvy7y</t>
        </is>
      </c>
      <c r="C376" t="inlineStr">
        <is>
          <t>m1QUSE</t>
        </is>
      </c>
      <c r="D376" t="inlineStr">
        <is>
          <t>CS2</t>
        </is>
      </c>
      <c r="E376" t="inlineStr">
        <is>
          <t>Inferno</t>
        </is>
      </c>
      <c r="F376" t="n">
        <v>8</v>
      </c>
      <c r="G376" t="n">
        <v>16.4</v>
      </c>
      <c r="H376" t="n">
        <v>0.77</v>
      </c>
      <c r="I376" s="8" t="n">
        <v>0.504</v>
      </c>
      <c r="J376" t="n">
        <v>1.25</v>
      </c>
      <c r="K376" s="11">
        <f>IF(H376&lt;&gt;"",H376,IFERROR(G376/INDEX(Players!$M$2:$M$124,MATCH(B376,Players!$A$2:$A$124,0)),""))</f>
        <v/>
      </c>
    </row>
    <row r="377">
      <c r="A377" t="inlineStr">
        <is>
          <t>6ztw7i4ms6nvy7y|Ancient</t>
        </is>
      </c>
      <c r="B377" t="inlineStr">
        <is>
          <t>6ztw7i4ms6nvy7y</t>
        </is>
      </c>
      <c r="C377" t="inlineStr">
        <is>
          <t>m1QUSE</t>
        </is>
      </c>
      <c r="D377" t="inlineStr">
        <is>
          <t>CS2</t>
        </is>
      </c>
      <c r="E377" t="inlineStr">
        <is>
          <t>Ancient</t>
        </is>
      </c>
      <c r="F377" t="n">
        <v>7</v>
      </c>
      <c r="G377" t="n">
        <v>13.3</v>
      </c>
      <c r="H377" t="n">
        <v>0.63</v>
      </c>
      <c r="I377" s="8" t="n">
        <v>0.473</v>
      </c>
      <c r="J377" t="n">
        <v>0.91</v>
      </c>
      <c r="K377" s="11">
        <f>IF(H377&lt;&gt;"",H377,IFERROR(G377/INDEX(Players!$M$2:$M$124,MATCH(B377,Players!$A$2:$A$124,0)),""))</f>
        <v/>
      </c>
    </row>
    <row r="378">
      <c r="A378" t="inlineStr">
        <is>
          <t>6ztw7i4ms6nvy7y|Anubis</t>
        </is>
      </c>
      <c r="B378" t="inlineStr">
        <is>
          <t>6ztw7i4ms6nvy7y</t>
        </is>
      </c>
      <c r="C378" t="inlineStr">
        <is>
          <t>m1QUSE</t>
        </is>
      </c>
      <c r="D378" t="inlineStr">
        <is>
          <t>CS2</t>
        </is>
      </c>
      <c r="E378" t="inlineStr">
        <is>
          <t>Anubis</t>
        </is>
      </c>
      <c r="F378" t="n">
        <v>5</v>
      </c>
      <c r="G378" t="n">
        <v>13.2</v>
      </c>
      <c r="H378" t="n">
        <v>0.64</v>
      </c>
      <c r="I378" s="8" t="n">
        <v>0.424</v>
      </c>
      <c r="J378" t="n">
        <v>0.87</v>
      </c>
      <c r="K378" s="11">
        <f>IF(H378&lt;&gt;"",H378,IFERROR(G378/INDEX(Players!$M$2:$M$124,MATCH(B378,Players!$A$2:$A$124,0)),""))</f>
        <v/>
      </c>
    </row>
    <row r="379">
      <c r="A379" t="inlineStr">
        <is>
          <t>6ztw7i4ms6nvy7y|Mirage</t>
        </is>
      </c>
      <c r="B379" t="inlineStr">
        <is>
          <t>6ztw7i4ms6nvy7y</t>
        </is>
      </c>
      <c r="C379" t="inlineStr">
        <is>
          <t>m1QUSE</t>
        </is>
      </c>
      <c r="D379" t="inlineStr">
        <is>
          <t>CS2</t>
        </is>
      </c>
      <c r="E379" t="inlineStr">
        <is>
          <t>Mirage</t>
        </is>
      </c>
      <c r="F379" t="n">
        <v>2</v>
      </c>
      <c r="G379" t="n">
        <v>13</v>
      </c>
      <c r="H379" t="n">
        <v>0.68</v>
      </c>
      <c r="I379" s="8" t="n">
        <v>0.654</v>
      </c>
      <c r="J379" t="n">
        <v>0.9</v>
      </c>
      <c r="K379" s="11">
        <f>IF(H379&lt;&gt;"",H379,IFERROR(G379/INDEX(Players!$M$2:$M$124,MATCH(B379,Players!$A$2:$A$124,0)),""))</f>
        <v/>
      </c>
    </row>
    <row r="380">
      <c r="A380" t="inlineStr">
        <is>
          <t>6ztw7i4ms6nvy7y|Nuke</t>
        </is>
      </c>
      <c r="B380" t="inlineStr">
        <is>
          <t>6ztw7i4ms6nvy7y</t>
        </is>
      </c>
      <c r="C380" t="inlineStr">
        <is>
          <t>m1QUSE</t>
        </is>
      </c>
      <c r="D380" t="inlineStr">
        <is>
          <t>CS2</t>
        </is>
      </c>
      <c r="E380" t="inlineStr">
        <is>
          <t>Nuke</t>
        </is>
      </c>
      <c r="F380" t="n">
        <v>2</v>
      </c>
      <c r="G380" t="n">
        <v>11</v>
      </c>
      <c r="H380" t="n">
        <v>0.59</v>
      </c>
      <c r="I380" s="8" t="n">
        <v>0.636</v>
      </c>
      <c r="J380" t="n">
        <v>0.76</v>
      </c>
      <c r="K380" s="11">
        <f>IF(H380&lt;&gt;"",H380,IFERROR(G380/INDEX(Players!$M$2:$M$124,MATCH(B380,Players!$A$2:$A$124,0)),""))</f>
        <v/>
      </c>
    </row>
    <row r="381">
      <c r="A381" t="inlineStr">
        <is>
          <t>6ztw7i4ms6nvy7y|Cache</t>
        </is>
      </c>
      <c r="B381" t="inlineStr">
        <is>
          <t>6ztw7i4ms6nvy7y</t>
        </is>
      </c>
      <c r="C381" t="inlineStr">
        <is>
          <t>m1QUSE</t>
        </is>
      </c>
      <c r="D381" t="inlineStr">
        <is>
          <t>CS2</t>
        </is>
      </c>
      <c r="E381" t="inlineStr">
        <is>
          <t>Cache</t>
        </is>
      </c>
      <c r="F381" t="n">
        <v>2</v>
      </c>
      <c r="G381" t="n">
        <v>12.5</v>
      </c>
      <c r="H381" t="n">
        <v>0.5</v>
      </c>
      <c r="I381" s="8" t="n">
        <v>0.6</v>
      </c>
      <c r="J381" t="n">
        <v>0.64</v>
      </c>
      <c r="K381" s="11">
        <f>IF(H381&lt;&gt;"",H381,IFERROR(G381/INDEX(Players!$M$2:$M$124,MATCH(B381,Players!$A$2:$A$124,0)),""))</f>
        <v/>
      </c>
    </row>
    <row r="382">
      <c r="A382" t="inlineStr">
        <is>
          <t>lfjx2i4g14pwgag|Ancient</t>
        </is>
      </c>
      <c r="B382" t="inlineStr">
        <is>
          <t>lfjx2i4g14pwgag</t>
        </is>
      </c>
      <c r="C382" t="inlineStr">
        <is>
          <t>magixx</t>
        </is>
      </c>
      <c r="D382" t="inlineStr">
        <is>
          <t>CS2</t>
        </is>
      </c>
      <c r="E382" t="inlineStr">
        <is>
          <t>Ancient</t>
        </is>
      </c>
      <c r="F382" t="n">
        <v>7</v>
      </c>
      <c r="G382" t="n">
        <v>13</v>
      </c>
      <c r="H382" t="n">
        <v>0.59</v>
      </c>
      <c r="I382" s="8" t="n">
        <v>0.593</v>
      </c>
      <c r="J382" t="n">
        <v>0.93</v>
      </c>
      <c r="K382" s="11">
        <f>IF(H382&lt;&gt;"",H382,IFERROR(G382/INDEX(Players!$M$2:$M$124,MATCH(B382,Players!$A$2:$A$124,0)),""))</f>
        <v/>
      </c>
    </row>
    <row r="383">
      <c r="A383" t="inlineStr">
        <is>
          <t>lfjx2i4g14pwgag|Mirage</t>
        </is>
      </c>
      <c r="B383" t="inlineStr">
        <is>
          <t>lfjx2i4g14pwgag</t>
        </is>
      </c>
      <c r="C383" t="inlineStr">
        <is>
          <t>magixx</t>
        </is>
      </c>
      <c r="D383" t="inlineStr">
        <is>
          <t>CS2</t>
        </is>
      </c>
      <c r="E383" t="inlineStr">
        <is>
          <t>Mirage</t>
        </is>
      </c>
      <c r="F383" t="n">
        <v>7</v>
      </c>
      <c r="G383" t="n">
        <v>13</v>
      </c>
      <c r="H383" t="n">
        <v>0.58</v>
      </c>
      <c r="I383" s="8" t="n">
        <v>0.44</v>
      </c>
      <c r="J383" t="n">
        <v>0.89</v>
      </c>
      <c r="K383" s="11">
        <f>IF(H383&lt;&gt;"",H383,IFERROR(G383/INDEX(Players!$M$2:$M$124,MATCH(B383,Players!$A$2:$A$124,0)),""))</f>
        <v/>
      </c>
    </row>
    <row r="384">
      <c r="A384" t="inlineStr">
        <is>
          <t>lfjx2i4g14pwgag|Dust2</t>
        </is>
      </c>
      <c r="B384" t="inlineStr">
        <is>
          <t>lfjx2i4g14pwgag</t>
        </is>
      </c>
      <c r="C384" t="inlineStr">
        <is>
          <t>magixx</t>
        </is>
      </c>
      <c r="D384" t="inlineStr">
        <is>
          <t>CS2</t>
        </is>
      </c>
      <c r="E384" t="inlineStr">
        <is>
          <t>Dust2</t>
        </is>
      </c>
      <c r="F384" t="n">
        <v>7</v>
      </c>
      <c r="G384" t="n">
        <v>11</v>
      </c>
      <c r="H384" t="n">
        <v>0.55</v>
      </c>
      <c r="I384" s="8" t="n">
        <v>0.61</v>
      </c>
      <c r="J384" t="n">
        <v>0.8</v>
      </c>
      <c r="K384" s="11">
        <f>IF(H384&lt;&gt;"",H384,IFERROR(G384/INDEX(Players!$M$2:$M$124,MATCH(B384,Players!$A$2:$A$124,0)),""))</f>
        <v/>
      </c>
    </row>
    <row r="385">
      <c r="A385" t="inlineStr">
        <is>
          <t>lfjx2i4g14pwgag|Cache</t>
        </is>
      </c>
      <c r="B385" t="inlineStr">
        <is>
          <t>lfjx2i4g14pwgag</t>
        </is>
      </c>
      <c r="C385" t="inlineStr">
        <is>
          <t>magixx</t>
        </is>
      </c>
      <c r="D385" t="inlineStr">
        <is>
          <t>CS2</t>
        </is>
      </c>
      <c r="E385" t="inlineStr">
        <is>
          <t>Cache</t>
        </is>
      </c>
      <c r="F385" t="n">
        <v>6</v>
      </c>
      <c r="G385" t="n">
        <v>12.3</v>
      </c>
      <c r="H385" t="n">
        <v>0.6</v>
      </c>
      <c r="I385" s="8" t="n">
        <v>0.459</v>
      </c>
      <c r="J385" t="n">
        <v>1.04</v>
      </c>
      <c r="K385" s="11">
        <f>IF(H385&lt;&gt;"",H385,IFERROR(G385/INDEX(Players!$M$2:$M$124,MATCH(B385,Players!$A$2:$A$124,0)),""))</f>
        <v/>
      </c>
    </row>
    <row r="386">
      <c r="A386" t="inlineStr">
        <is>
          <t>lfjx2i4g14pwgag|Anubis</t>
        </is>
      </c>
      <c r="B386" t="inlineStr">
        <is>
          <t>lfjx2i4g14pwgag</t>
        </is>
      </c>
      <c r="C386" t="inlineStr">
        <is>
          <t>magixx</t>
        </is>
      </c>
      <c r="D386" t="inlineStr">
        <is>
          <t>CS2</t>
        </is>
      </c>
      <c r="E386" t="inlineStr">
        <is>
          <t>Anubis</t>
        </is>
      </c>
      <c r="F386" t="n">
        <v>6</v>
      </c>
      <c r="G386" t="n">
        <v>14.3</v>
      </c>
      <c r="H386" t="n">
        <v>0.64</v>
      </c>
      <c r="I386" s="8" t="n">
        <v>0.442</v>
      </c>
      <c r="J386" t="n">
        <v>0.89</v>
      </c>
      <c r="K386" s="11">
        <f>IF(H386&lt;&gt;"",H386,IFERROR(G386/INDEX(Players!$M$2:$M$124,MATCH(B386,Players!$A$2:$A$124,0)),""))</f>
        <v/>
      </c>
    </row>
    <row r="387">
      <c r="A387" t="inlineStr">
        <is>
          <t>lfjx2i4g14pwgag|Nuke</t>
        </is>
      </c>
      <c r="B387" t="inlineStr">
        <is>
          <t>lfjx2i4g14pwgag</t>
        </is>
      </c>
      <c r="C387" t="inlineStr">
        <is>
          <t>magixx</t>
        </is>
      </c>
      <c r="D387" t="inlineStr">
        <is>
          <t>CS2</t>
        </is>
      </c>
      <c r="E387" t="inlineStr">
        <is>
          <t>Nuke</t>
        </is>
      </c>
      <c r="F387" t="n">
        <v>5</v>
      </c>
      <c r="G387" t="n">
        <v>11.4</v>
      </c>
      <c r="H387" t="n">
        <v>0.54</v>
      </c>
      <c r="I387" s="8" t="n">
        <v>0.456</v>
      </c>
      <c r="J387" t="n">
        <v>0.93</v>
      </c>
      <c r="K387" s="11">
        <f>IF(H387&lt;&gt;"",H387,IFERROR(G387/INDEX(Players!$M$2:$M$124,MATCH(B387,Players!$A$2:$A$124,0)),""))</f>
        <v/>
      </c>
    </row>
    <row r="388">
      <c r="A388" t="inlineStr">
        <is>
          <t>w2jejpg0j9hthoo|Mirage</t>
        </is>
      </c>
      <c r="B388" t="inlineStr">
        <is>
          <t>w2jejpg0j9hthoo</t>
        </is>
      </c>
      <c r="C388" t="inlineStr">
        <is>
          <t>Magnojez</t>
        </is>
      </c>
      <c r="D388" t="inlineStr">
        <is>
          <t>CS2</t>
        </is>
      </c>
      <c r="E388" t="inlineStr">
        <is>
          <t>Mirage</t>
        </is>
      </c>
      <c r="F388" t="n">
        <v>11</v>
      </c>
      <c r="G388" t="n">
        <v>18.4</v>
      </c>
      <c r="H388" t="n">
        <v>0.85</v>
      </c>
      <c r="I388" s="8" t="n">
        <v>0.51</v>
      </c>
      <c r="J388" t="n">
        <v>1.2</v>
      </c>
      <c r="K388" s="11">
        <f>IF(H388&lt;&gt;"",H388,IFERROR(G388/INDEX(Players!$M$2:$M$124,MATCH(B388,Players!$A$2:$A$124,0)),""))</f>
        <v/>
      </c>
    </row>
    <row r="389">
      <c r="A389" t="inlineStr">
        <is>
          <t>w2jejpg0j9hthoo|Anubis</t>
        </is>
      </c>
      <c r="B389" t="inlineStr">
        <is>
          <t>w2jejpg0j9hthoo</t>
        </is>
      </c>
      <c r="C389" t="inlineStr">
        <is>
          <t>Magnojez</t>
        </is>
      </c>
      <c r="D389" t="inlineStr">
        <is>
          <t>CS2</t>
        </is>
      </c>
      <c r="E389" t="inlineStr">
        <is>
          <t>Anubis</t>
        </is>
      </c>
      <c r="F389" t="n">
        <v>9</v>
      </c>
      <c r="G389" t="n">
        <v>13.7</v>
      </c>
      <c r="H389" t="n">
        <v>0.59</v>
      </c>
      <c r="I389" s="8" t="n">
        <v>0.472</v>
      </c>
      <c r="J389" t="n">
        <v>0.84</v>
      </c>
      <c r="K389" s="11">
        <f>IF(H389&lt;&gt;"",H389,IFERROR(G389/INDEX(Players!$M$2:$M$124,MATCH(B389,Players!$A$2:$A$124,0)),""))</f>
        <v/>
      </c>
    </row>
    <row r="390">
      <c r="A390" t="inlineStr">
        <is>
          <t>w2jejpg0j9hthoo|Ancient</t>
        </is>
      </c>
      <c r="B390" t="inlineStr">
        <is>
          <t>w2jejpg0j9hthoo</t>
        </is>
      </c>
      <c r="C390" t="inlineStr">
        <is>
          <t>Magnojez</t>
        </is>
      </c>
      <c r="D390" t="inlineStr">
        <is>
          <t>CS2</t>
        </is>
      </c>
      <c r="E390" t="inlineStr">
        <is>
          <t>Ancient</t>
        </is>
      </c>
      <c r="F390" t="n">
        <v>6</v>
      </c>
      <c r="G390" t="n">
        <v>16.5</v>
      </c>
      <c r="H390" t="n">
        <v>0.67</v>
      </c>
      <c r="I390" s="8" t="n">
        <v>0.606</v>
      </c>
      <c r="J390" t="n">
        <v>0.96</v>
      </c>
      <c r="K390" s="11">
        <f>IF(H390&lt;&gt;"",H390,IFERROR(G390/INDEX(Players!$M$2:$M$124,MATCH(B390,Players!$A$2:$A$124,0)),""))</f>
        <v/>
      </c>
    </row>
    <row r="391">
      <c r="A391" t="inlineStr">
        <is>
          <t>w2jejpg0j9hthoo|Nuke</t>
        </is>
      </c>
      <c r="B391" t="inlineStr">
        <is>
          <t>w2jejpg0j9hthoo</t>
        </is>
      </c>
      <c r="C391" t="inlineStr">
        <is>
          <t>Magnojez</t>
        </is>
      </c>
      <c r="D391" t="inlineStr">
        <is>
          <t>CS2</t>
        </is>
      </c>
      <c r="E391" t="inlineStr">
        <is>
          <t>Nuke</t>
        </is>
      </c>
      <c r="F391" t="n">
        <v>5</v>
      </c>
      <c r="G391" t="n">
        <v>17.6</v>
      </c>
      <c r="H391" t="n">
        <v>0.8100000000000001</v>
      </c>
      <c r="I391" s="8" t="n">
        <v>0.58</v>
      </c>
      <c r="J391" t="n">
        <v>1.38</v>
      </c>
      <c r="K391" s="11">
        <f>IF(H391&lt;&gt;"",H391,IFERROR(G391/INDEX(Players!$M$2:$M$124,MATCH(B391,Players!$A$2:$A$124,0)),""))</f>
        <v/>
      </c>
    </row>
    <row r="392">
      <c r="A392" t="inlineStr">
        <is>
          <t>w2jejpg0j9hthoo|Cache</t>
        </is>
      </c>
      <c r="B392" t="inlineStr">
        <is>
          <t>w2jejpg0j9hthoo</t>
        </is>
      </c>
      <c r="C392" t="inlineStr">
        <is>
          <t>Magnojez</t>
        </is>
      </c>
      <c r="D392" t="inlineStr">
        <is>
          <t>CS2</t>
        </is>
      </c>
      <c r="E392" t="inlineStr">
        <is>
          <t>Cache</t>
        </is>
      </c>
      <c r="F392" t="n">
        <v>4</v>
      </c>
      <c r="G392" t="n">
        <v>18.5</v>
      </c>
      <c r="H392" t="n">
        <v>0.74</v>
      </c>
      <c r="I392" s="8" t="n">
        <v>0.527</v>
      </c>
      <c r="J392" t="n">
        <v>1.04</v>
      </c>
      <c r="K392" s="11">
        <f>IF(H392&lt;&gt;"",H392,IFERROR(G392/INDEX(Players!$M$2:$M$124,MATCH(B392,Players!$A$2:$A$124,0)),""))</f>
        <v/>
      </c>
    </row>
    <row r="393">
      <c r="A393" t="inlineStr">
        <is>
          <t>w2jejpg0j9hthoo|Dust2</t>
        </is>
      </c>
      <c r="B393" t="inlineStr">
        <is>
          <t>w2jejpg0j9hthoo</t>
        </is>
      </c>
      <c r="C393" t="inlineStr">
        <is>
          <t>Magnojez</t>
        </is>
      </c>
      <c r="D393" t="inlineStr">
        <is>
          <t>CS2</t>
        </is>
      </c>
      <c r="E393" t="inlineStr">
        <is>
          <t>Dust2</t>
        </is>
      </c>
      <c r="F393" t="n">
        <v>4</v>
      </c>
      <c r="G393" t="n">
        <v>13.8</v>
      </c>
      <c r="H393" t="n">
        <v>0.59</v>
      </c>
      <c r="I393" s="8" t="n">
        <v>0.527</v>
      </c>
      <c r="J393" t="n">
        <v>0.83</v>
      </c>
      <c r="K393" s="11">
        <f>IF(H393&lt;&gt;"",H393,IFERROR(G393/INDEX(Players!$M$2:$M$124,MATCH(B393,Players!$A$2:$A$124,0)),""))</f>
        <v/>
      </c>
    </row>
    <row r="394">
      <c r="A394" t="inlineStr">
        <is>
          <t>cenz32hm5akyeqy|Nuke</t>
        </is>
      </c>
      <c r="B394" t="inlineStr">
        <is>
          <t>cenz32hm5akyeqy</t>
        </is>
      </c>
      <c r="C394" t="inlineStr">
        <is>
          <t>MaiL09</t>
        </is>
      </c>
      <c r="D394" t="inlineStr">
        <is>
          <t>CS2</t>
        </is>
      </c>
      <c r="E394" t="inlineStr">
        <is>
          <t>Nuke</t>
        </is>
      </c>
      <c r="F394" t="n">
        <v>11</v>
      </c>
      <c r="G394" t="n">
        <v>16.3</v>
      </c>
      <c r="H394" t="n">
        <v>0.71</v>
      </c>
      <c r="I394" s="8" t="n">
        <v>0.6870000000000001</v>
      </c>
      <c r="J394" t="n">
        <v>1.1</v>
      </c>
      <c r="K394" s="11">
        <f>IF(H394&lt;&gt;"",H394,IFERROR(G394/INDEX(Players!$M$2:$M$124,MATCH(B394,Players!$A$2:$A$124,0)),""))</f>
        <v/>
      </c>
    </row>
    <row r="395">
      <c r="A395" t="inlineStr">
        <is>
          <t>cenz32hm5akyeqy|Mirage</t>
        </is>
      </c>
      <c r="B395" t="inlineStr">
        <is>
          <t>cenz32hm5akyeqy</t>
        </is>
      </c>
      <c r="C395" t="inlineStr">
        <is>
          <t>MaiL09</t>
        </is>
      </c>
      <c r="D395" t="inlineStr">
        <is>
          <t>CS2</t>
        </is>
      </c>
      <c r="E395" t="inlineStr">
        <is>
          <t>Mirage</t>
        </is>
      </c>
      <c r="F395" t="n">
        <v>7</v>
      </c>
      <c r="G395" t="n">
        <v>15.7</v>
      </c>
      <c r="H395" t="n">
        <v>0.71</v>
      </c>
      <c r="I395" s="8" t="n">
        <v>0.6820000000000001</v>
      </c>
      <c r="J395" t="n">
        <v>1.12</v>
      </c>
      <c r="K395" s="11">
        <f>IF(H395&lt;&gt;"",H395,IFERROR(G395/INDEX(Players!$M$2:$M$124,MATCH(B395,Players!$A$2:$A$124,0)),""))</f>
        <v/>
      </c>
    </row>
    <row r="396">
      <c r="A396" t="inlineStr">
        <is>
          <t>cenz32hm5akyeqy|Cache</t>
        </is>
      </c>
      <c r="B396" t="inlineStr">
        <is>
          <t>cenz32hm5akyeqy</t>
        </is>
      </c>
      <c r="C396" t="inlineStr">
        <is>
          <t>MaiL09</t>
        </is>
      </c>
      <c r="D396" t="inlineStr">
        <is>
          <t>CS2</t>
        </is>
      </c>
      <c r="E396" t="inlineStr">
        <is>
          <t>Cache</t>
        </is>
      </c>
      <c r="F396" t="n">
        <v>5</v>
      </c>
      <c r="G396" t="n">
        <v>14.6</v>
      </c>
      <c r="H396" t="n">
        <v>0.7</v>
      </c>
      <c r="I396" s="8" t="n">
        <v>0.521</v>
      </c>
      <c r="J396" t="n">
        <v>1.06</v>
      </c>
      <c r="K396" s="11">
        <f>IF(H396&lt;&gt;"",H396,IFERROR(G396/INDEX(Players!$M$2:$M$124,MATCH(B396,Players!$A$2:$A$124,0)),""))</f>
        <v/>
      </c>
    </row>
    <row r="397">
      <c r="A397" t="inlineStr">
        <is>
          <t>cenz32hm5akyeqy|Inferno</t>
        </is>
      </c>
      <c r="B397" t="inlineStr">
        <is>
          <t>cenz32hm5akyeqy</t>
        </is>
      </c>
      <c r="C397" t="inlineStr">
        <is>
          <t>MaiL09</t>
        </is>
      </c>
      <c r="D397" t="inlineStr">
        <is>
          <t>CS2</t>
        </is>
      </c>
      <c r="E397" t="inlineStr">
        <is>
          <t>Inferno</t>
        </is>
      </c>
      <c r="F397" t="n">
        <v>3</v>
      </c>
      <c r="G397" t="n">
        <v>15</v>
      </c>
      <c r="H397" t="n">
        <v>0.74</v>
      </c>
      <c r="I397" s="8" t="n">
        <v>0.6890000000000001</v>
      </c>
      <c r="J397" t="n">
        <v>1.36</v>
      </c>
      <c r="K397" s="11">
        <f>IF(H397&lt;&gt;"",H397,IFERROR(G397/INDEX(Players!$M$2:$M$124,MATCH(B397,Players!$A$2:$A$124,0)),""))</f>
        <v/>
      </c>
    </row>
    <row r="398">
      <c r="A398" t="inlineStr">
        <is>
          <t>cenz32hm5akyeqy|Anubis</t>
        </is>
      </c>
      <c r="B398" t="inlineStr">
        <is>
          <t>cenz32hm5akyeqy</t>
        </is>
      </c>
      <c r="C398" t="inlineStr">
        <is>
          <t>MaiL09</t>
        </is>
      </c>
      <c r="D398" t="inlineStr">
        <is>
          <t>CS2</t>
        </is>
      </c>
      <c r="E398" t="inlineStr">
        <is>
          <t>Anubis</t>
        </is>
      </c>
      <c r="F398" t="n">
        <v>3</v>
      </c>
      <c r="G398" t="n">
        <v>13.3</v>
      </c>
      <c r="H398" t="n">
        <v>0.63</v>
      </c>
      <c r="I398" s="8" t="n">
        <v>0.775</v>
      </c>
      <c r="J398" t="n">
        <v>1.08</v>
      </c>
      <c r="K398" s="11">
        <f>IF(H398&lt;&gt;"",H398,IFERROR(G398/INDEX(Players!$M$2:$M$124,MATCH(B398,Players!$A$2:$A$124,0)),""))</f>
        <v/>
      </c>
    </row>
    <row r="399">
      <c r="A399" t="inlineStr">
        <is>
          <t>cenz32hm5akyeqy|Ancient</t>
        </is>
      </c>
      <c r="B399" t="inlineStr">
        <is>
          <t>cenz32hm5akyeqy</t>
        </is>
      </c>
      <c r="C399" t="inlineStr">
        <is>
          <t>MaiL09</t>
        </is>
      </c>
      <c r="D399" t="inlineStr">
        <is>
          <t>CS2</t>
        </is>
      </c>
      <c r="E399" t="inlineStr">
        <is>
          <t>Ancient</t>
        </is>
      </c>
      <c r="F399" t="n">
        <v>2</v>
      </c>
      <c r="G399" t="n">
        <v>17.5</v>
      </c>
      <c r="H399" t="n">
        <v>0.83</v>
      </c>
      <c r="I399" s="8" t="n">
        <v>0.743</v>
      </c>
      <c r="J399" t="n">
        <v>1.25</v>
      </c>
      <c r="K399" s="11">
        <f>IF(H399&lt;&gt;"",H399,IFERROR(G399/INDEX(Players!$M$2:$M$124,MATCH(B399,Players!$A$2:$A$124,0)),""))</f>
        <v/>
      </c>
    </row>
    <row r="400">
      <c r="A400" t="inlineStr">
        <is>
          <t>6oi74s8csyxqh63|Inferno</t>
        </is>
      </c>
      <c r="B400" t="inlineStr">
        <is>
          <t>6oi74s8csyxqh63</t>
        </is>
      </c>
      <c r="C400" t="inlineStr">
        <is>
          <t>makazze</t>
        </is>
      </c>
      <c r="D400" t="inlineStr">
        <is>
          <t>CS2</t>
        </is>
      </c>
      <c r="E400" t="inlineStr">
        <is>
          <t>Inferno</t>
        </is>
      </c>
      <c r="F400" t="n">
        <v>10</v>
      </c>
      <c r="G400" t="n">
        <v>11.2</v>
      </c>
      <c r="H400" t="n">
        <v>0.52</v>
      </c>
      <c r="I400" s="8" t="n">
        <v>0.5539999999999999</v>
      </c>
      <c r="J400" t="n">
        <v>0.6899999999999999</v>
      </c>
      <c r="K400" s="11">
        <f>IF(H400&lt;&gt;"",H400,IFERROR(G400/INDEX(Players!$M$2:$M$124,MATCH(B400,Players!$A$2:$A$124,0)),""))</f>
        <v/>
      </c>
    </row>
    <row r="401">
      <c r="A401" t="inlineStr">
        <is>
          <t>6oi74s8csyxqh63|Mirage</t>
        </is>
      </c>
      <c r="B401" t="inlineStr">
        <is>
          <t>6oi74s8csyxqh63</t>
        </is>
      </c>
      <c r="C401" t="inlineStr">
        <is>
          <t>makazze</t>
        </is>
      </c>
      <c r="D401" t="inlineStr">
        <is>
          <t>CS2</t>
        </is>
      </c>
      <c r="E401" t="inlineStr">
        <is>
          <t>Mirage</t>
        </is>
      </c>
      <c r="F401" t="n">
        <v>9</v>
      </c>
      <c r="G401" t="n">
        <v>14.9</v>
      </c>
      <c r="H401" t="n">
        <v>0.71</v>
      </c>
      <c r="I401" s="8" t="n">
        <v>0.53</v>
      </c>
      <c r="J401" t="n">
        <v>0.98</v>
      </c>
      <c r="K401" s="11">
        <f>IF(H401&lt;&gt;"",H401,IFERROR(G401/INDEX(Players!$M$2:$M$124,MATCH(B401,Players!$A$2:$A$124,0)),""))</f>
        <v/>
      </c>
    </row>
    <row r="402">
      <c r="A402" t="inlineStr">
        <is>
          <t>6oi74s8csyxqh63|Nuke</t>
        </is>
      </c>
      <c r="B402" t="inlineStr">
        <is>
          <t>6oi74s8csyxqh63</t>
        </is>
      </c>
      <c r="C402" t="inlineStr">
        <is>
          <t>makazze</t>
        </is>
      </c>
      <c r="D402" t="inlineStr">
        <is>
          <t>CS2</t>
        </is>
      </c>
      <c r="E402" t="inlineStr">
        <is>
          <t>Nuke</t>
        </is>
      </c>
      <c r="F402" t="n">
        <v>5</v>
      </c>
      <c r="G402" t="n">
        <v>14.8</v>
      </c>
      <c r="H402" t="n">
        <v>0.71</v>
      </c>
      <c r="I402" s="8" t="n">
        <v>0.459</v>
      </c>
      <c r="J402" t="n">
        <v>1.06</v>
      </c>
      <c r="K402" s="11">
        <f>IF(H402&lt;&gt;"",H402,IFERROR(G402/INDEX(Players!$M$2:$M$124,MATCH(B402,Players!$A$2:$A$124,0)),""))</f>
        <v/>
      </c>
    </row>
    <row r="403">
      <c r="A403" t="inlineStr">
        <is>
          <t>6oi74s8csyxqh63|Cache</t>
        </is>
      </c>
      <c r="B403" t="inlineStr">
        <is>
          <t>6oi74s8csyxqh63</t>
        </is>
      </c>
      <c r="C403" t="inlineStr">
        <is>
          <t>makazze</t>
        </is>
      </c>
      <c r="D403" t="inlineStr">
        <is>
          <t>CS2</t>
        </is>
      </c>
      <c r="E403" t="inlineStr">
        <is>
          <t>Cache</t>
        </is>
      </c>
      <c r="F403" t="n">
        <v>4</v>
      </c>
      <c r="G403" t="n">
        <v>16.5</v>
      </c>
      <c r="H403" t="n">
        <v>0.78</v>
      </c>
      <c r="I403" s="8" t="n">
        <v>0.545</v>
      </c>
      <c r="J403" t="n">
        <v>1.27</v>
      </c>
      <c r="K403" s="11">
        <f>IF(H403&lt;&gt;"",H403,IFERROR(G403/INDEX(Players!$M$2:$M$124,MATCH(B403,Players!$A$2:$A$124,0)),""))</f>
        <v/>
      </c>
    </row>
    <row r="404">
      <c r="A404" t="inlineStr">
        <is>
          <t>6oi74s8csyxqh63|Anubis</t>
        </is>
      </c>
      <c r="B404" t="inlineStr">
        <is>
          <t>6oi74s8csyxqh63</t>
        </is>
      </c>
      <c r="C404" t="inlineStr">
        <is>
          <t>makazze</t>
        </is>
      </c>
      <c r="D404" t="inlineStr">
        <is>
          <t>CS2</t>
        </is>
      </c>
      <c r="E404" t="inlineStr">
        <is>
          <t>Anubis</t>
        </is>
      </c>
      <c r="F404" t="n">
        <v>3</v>
      </c>
      <c r="G404" t="n">
        <v>19</v>
      </c>
      <c r="H404" t="n">
        <v>0.83</v>
      </c>
      <c r="I404" s="8" t="n">
        <v>0.6840000000000001</v>
      </c>
      <c r="J404" t="n">
        <v>1.14</v>
      </c>
      <c r="K404" s="11">
        <f>IF(H404&lt;&gt;"",H404,IFERROR(G404/INDEX(Players!$M$2:$M$124,MATCH(B404,Players!$A$2:$A$124,0)),""))</f>
        <v/>
      </c>
    </row>
    <row r="405">
      <c r="A405" t="inlineStr">
        <is>
          <t>6oi74s8csyxqh63|Ancient</t>
        </is>
      </c>
      <c r="B405" t="inlineStr">
        <is>
          <t>6oi74s8csyxqh63</t>
        </is>
      </c>
      <c r="C405" t="inlineStr">
        <is>
          <t>makazze</t>
        </is>
      </c>
      <c r="D405" t="inlineStr">
        <is>
          <t>CS2</t>
        </is>
      </c>
      <c r="E405" t="inlineStr">
        <is>
          <t>Ancient</t>
        </is>
      </c>
      <c r="F405" t="n">
        <v>3</v>
      </c>
      <c r="G405" t="n">
        <v>13.7</v>
      </c>
      <c r="H405" t="n">
        <v>0.73</v>
      </c>
      <c r="I405" s="8" t="n">
        <v>0.512</v>
      </c>
      <c r="J405" t="n">
        <v>0.95</v>
      </c>
      <c r="K405" s="11">
        <f>IF(H405&lt;&gt;"",H405,IFERROR(G405/INDEX(Players!$M$2:$M$124,MATCH(B405,Players!$A$2:$A$124,0)),""))</f>
        <v/>
      </c>
    </row>
    <row r="406">
      <c r="A406" t="inlineStr">
        <is>
          <t>6oi74s8csyxqh63|Dust2</t>
        </is>
      </c>
      <c r="B406" t="inlineStr">
        <is>
          <t>6oi74s8csyxqh63</t>
        </is>
      </c>
      <c r="C406" t="inlineStr">
        <is>
          <t>makazze</t>
        </is>
      </c>
      <c r="D406" t="inlineStr">
        <is>
          <t>CS2</t>
        </is>
      </c>
      <c r="E406" t="inlineStr">
        <is>
          <t>Dust2</t>
        </is>
      </c>
      <c r="F406" t="n">
        <v>2</v>
      </c>
      <c r="G406" t="n">
        <v>20</v>
      </c>
      <c r="H406" t="n">
        <v>0.62</v>
      </c>
      <c r="I406" s="8" t="n">
        <v>0.45</v>
      </c>
      <c r="J406" t="n">
        <v>0.78</v>
      </c>
      <c r="K406" s="11">
        <f>IF(H406&lt;&gt;"",H406,IFERROR(G406/INDEX(Players!$M$2:$M$124,MATCH(B406,Players!$A$2:$A$124,0)),""))</f>
        <v/>
      </c>
    </row>
    <row r="407">
      <c r="A407" t="inlineStr">
        <is>
          <t>30ba4vwtbgb75sn|Inferno</t>
        </is>
      </c>
      <c r="B407" t="inlineStr">
        <is>
          <t>30ba4vwtbgb75sn</t>
        </is>
      </c>
      <c r="C407" t="inlineStr">
        <is>
          <t>malbsMd</t>
        </is>
      </c>
      <c r="D407" t="inlineStr">
        <is>
          <t>CS2</t>
        </is>
      </c>
      <c r="E407" t="inlineStr">
        <is>
          <t>Inferno</t>
        </is>
      </c>
      <c r="F407" t="n">
        <v>7</v>
      </c>
      <c r="G407" t="n">
        <v>16.6</v>
      </c>
      <c r="H407" t="n">
        <v>0.78</v>
      </c>
      <c r="I407" s="8" t="n">
        <v>0.595</v>
      </c>
      <c r="J407" t="n">
        <v>1.25</v>
      </c>
      <c r="K407" s="11">
        <f>IF(H407&lt;&gt;"",H407,IFERROR(G407/INDEX(Players!$M$2:$M$124,MATCH(B407,Players!$A$2:$A$124,0)),""))</f>
        <v/>
      </c>
    </row>
    <row r="408">
      <c r="A408" t="inlineStr">
        <is>
          <t>30ba4vwtbgb75sn|Mirage</t>
        </is>
      </c>
      <c r="B408" t="inlineStr">
        <is>
          <t>30ba4vwtbgb75sn</t>
        </is>
      </c>
      <c r="C408" t="inlineStr">
        <is>
          <t>malbsMd</t>
        </is>
      </c>
      <c r="D408" t="inlineStr">
        <is>
          <t>CS2</t>
        </is>
      </c>
      <c r="E408" t="inlineStr">
        <is>
          <t>Mirage</t>
        </is>
      </c>
      <c r="F408" t="n">
        <v>7</v>
      </c>
      <c r="G408" t="n">
        <v>18.1</v>
      </c>
      <c r="H408" t="n">
        <v>0.79</v>
      </c>
      <c r="I408" s="8" t="n">
        <v>0.677</v>
      </c>
      <c r="J408" t="n">
        <v>1.25</v>
      </c>
      <c r="K408" s="11">
        <f>IF(H408&lt;&gt;"",H408,IFERROR(G408/INDEX(Players!$M$2:$M$124,MATCH(B408,Players!$A$2:$A$124,0)),""))</f>
        <v/>
      </c>
    </row>
    <row r="409">
      <c r="A409" t="inlineStr">
        <is>
          <t>30ba4vwtbgb75sn|Cache</t>
        </is>
      </c>
      <c r="B409" t="inlineStr">
        <is>
          <t>30ba4vwtbgb75sn</t>
        </is>
      </c>
      <c r="C409" t="inlineStr">
        <is>
          <t>malbsMd</t>
        </is>
      </c>
      <c r="D409" t="inlineStr">
        <is>
          <t>CS2</t>
        </is>
      </c>
      <c r="E409" t="inlineStr">
        <is>
          <t>Cache</t>
        </is>
      </c>
      <c r="F409" t="n">
        <v>7</v>
      </c>
      <c r="G409" t="n">
        <v>14.7</v>
      </c>
      <c r="H409" t="n">
        <v>0.66</v>
      </c>
      <c r="I409" s="8" t="n">
        <v>0.583</v>
      </c>
      <c r="J409" t="n">
        <v>0.98</v>
      </c>
      <c r="K409" s="11">
        <f>IF(H409&lt;&gt;"",H409,IFERROR(G409/INDEX(Players!$M$2:$M$124,MATCH(B409,Players!$A$2:$A$124,0)),""))</f>
        <v/>
      </c>
    </row>
    <row r="410">
      <c r="A410" t="inlineStr">
        <is>
          <t>30ba4vwtbgb75sn|Nuke</t>
        </is>
      </c>
      <c r="B410" t="inlineStr">
        <is>
          <t>30ba4vwtbgb75sn</t>
        </is>
      </c>
      <c r="C410" t="inlineStr">
        <is>
          <t>malbsMd</t>
        </is>
      </c>
      <c r="D410" t="inlineStr">
        <is>
          <t>CS2</t>
        </is>
      </c>
      <c r="E410" t="inlineStr">
        <is>
          <t>Nuke</t>
        </is>
      </c>
      <c r="F410" t="n">
        <v>6</v>
      </c>
      <c r="G410" t="n">
        <v>14.5</v>
      </c>
      <c r="H410" t="n">
        <v>0.6899999999999999</v>
      </c>
      <c r="I410" s="8" t="n">
        <v>0.655</v>
      </c>
      <c r="J410" t="n">
        <v>0.95</v>
      </c>
      <c r="K410" s="11">
        <f>IF(H410&lt;&gt;"",H410,IFERROR(G410/INDEX(Players!$M$2:$M$124,MATCH(B410,Players!$A$2:$A$124,0)),""))</f>
        <v/>
      </c>
    </row>
    <row r="411">
      <c r="A411" t="inlineStr">
        <is>
          <t>30ba4vwtbgb75sn|Anubis</t>
        </is>
      </c>
      <c r="B411" t="inlineStr">
        <is>
          <t>30ba4vwtbgb75sn</t>
        </is>
      </c>
      <c r="C411" t="inlineStr">
        <is>
          <t>malbsMd</t>
        </is>
      </c>
      <c r="D411" t="inlineStr">
        <is>
          <t>CS2</t>
        </is>
      </c>
      <c r="E411" t="inlineStr">
        <is>
          <t>Anubis</t>
        </is>
      </c>
      <c r="F411" t="n">
        <v>5</v>
      </c>
      <c r="G411" t="n">
        <v>15.2</v>
      </c>
      <c r="H411" t="n">
        <v>0.72</v>
      </c>
      <c r="I411" s="8" t="n">
        <v>0.6970000000000001</v>
      </c>
      <c r="J411" t="n">
        <v>1.13</v>
      </c>
      <c r="K411" s="11">
        <f>IF(H411&lt;&gt;"",H411,IFERROR(G411/INDEX(Players!$M$2:$M$124,MATCH(B411,Players!$A$2:$A$124,0)),""))</f>
        <v/>
      </c>
    </row>
    <row r="412">
      <c r="A412" t="inlineStr">
        <is>
          <t>30ba4vwtbgb75sn|Dust2</t>
        </is>
      </c>
      <c r="B412" t="inlineStr">
        <is>
          <t>30ba4vwtbgb75sn</t>
        </is>
      </c>
      <c r="C412" t="inlineStr">
        <is>
          <t>malbsMd</t>
        </is>
      </c>
      <c r="D412" t="inlineStr">
        <is>
          <t>CS2</t>
        </is>
      </c>
      <c r="E412" t="inlineStr">
        <is>
          <t>Dust2</t>
        </is>
      </c>
      <c r="F412" t="n">
        <v>5</v>
      </c>
      <c r="G412" t="n">
        <v>9.800000000000001</v>
      </c>
      <c r="H412" t="n">
        <v>0.49</v>
      </c>
      <c r="I412" s="8" t="n">
        <v>0.735</v>
      </c>
      <c r="J412" t="n">
        <v>0.63</v>
      </c>
      <c r="K412" s="11">
        <f>IF(H412&lt;&gt;"",H412,IFERROR(G412/INDEX(Players!$M$2:$M$124,MATCH(B412,Players!$A$2:$A$124,0)),""))</f>
        <v/>
      </c>
    </row>
    <row r="413">
      <c r="A413" t="inlineStr">
        <is>
          <t>30ba4vwtbgb75sn|Ancient</t>
        </is>
      </c>
      <c r="B413" t="inlineStr">
        <is>
          <t>30ba4vwtbgb75sn</t>
        </is>
      </c>
      <c r="C413" t="inlineStr">
        <is>
          <t>malbsMd</t>
        </is>
      </c>
      <c r="D413" t="inlineStr">
        <is>
          <t>CS2</t>
        </is>
      </c>
      <c r="E413" t="inlineStr">
        <is>
          <t>Ancient</t>
        </is>
      </c>
      <c r="F413" t="n">
        <v>2</v>
      </c>
      <c r="G413" t="n">
        <v>15.5</v>
      </c>
      <c r="H413" t="n">
        <v>0.6</v>
      </c>
      <c r="I413" s="8" t="n">
        <v>0.645</v>
      </c>
      <c r="J413" t="n">
        <v>0.72</v>
      </c>
      <c r="K413" s="11">
        <f>IF(H413&lt;&gt;"",H413,IFERROR(G413/INDEX(Players!$M$2:$M$124,MATCH(B413,Players!$A$2:$A$124,0)),""))</f>
        <v/>
      </c>
    </row>
    <row r="414">
      <c r="A414" t="inlineStr">
        <is>
          <t>5l639x0qis2rfwi|Ancient</t>
        </is>
      </c>
      <c r="B414" t="inlineStr">
        <is>
          <t>5l639x0qis2rfwi</t>
        </is>
      </c>
      <c r="C414" t="inlineStr">
        <is>
          <t>MATYS</t>
        </is>
      </c>
      <c r="D414" t="inlineStr">
        <is>
          <t>CS2</t>
        </is>
      </c>
      <c r="E414" t="inlineStr">
        <is>
          <t>Ancient</t>
        </is>
      </c>
      <c r="F414" t="n">
        <v>11</v>
      </c>
      <c r="G414" t="n">
        <v>13.7</v>
      </c>
      <c r="H414" t="n">
        <v>0.66</v>
      </c>
      <c r="I414" s="8" t="n">
        <v>0.642</v>
      </c>
      <c r="J414" t="n">
        <v>1.04</v>
      </c>
      <c r="K414" s="11">
        <f>IF(H414&lt;&gt;"",H414,IFERROR(G414/INDEX(Players!$M$2:$M$124,MATCH(B414,Players!$A$2:$A$124,0)),""))</f>
        <v/>
      </c>
    </row>
    <row r="415">
      <c r="A415" t="inlineStr">
        <is>
          <t>5l639x0qis2rfwi|Inferno</t>
        </is>
      </c>
      <c r="B415" t="inlineStr">
        <is>
          <t>5l639x0qis2rfwi</t>
        </is>
      </c>
      <c r="C415" t="inlineStr">
        <is>
          <t>MATYS</t>
        </is>
      </c>
      <c r="D415" t="inlineStr">
        <is>
          <t>CS2</t>
        </is>
      </c>
      <c r="E415" t="inlineStr">
        <is>
          <t>Inferno</t>
        </is>
      </c>
      <c r="F415" t="n">
        <v>8</v>
      </c>
      <c r="G415" t="n">
        <v>16.8</v>
      </c>
      <c r="H415" t="n">
        <v>0.74</v>
      </c>
      <c r="I415" s="8" t="n">
        <v>0.7090000000000001</v>
      </c>
      <c r="J415" t="n">
        <v>1.09</v>
      </c>
      <c r="K415" s="11">
        <f>IF(H415&lt;&gt;"",H415,IFERROR(G415/INDEX(Players!$M$2:$M$124,MATCH(B415,Players!$A$2:$A$124,0)),""))</f>
        <v/>
      </c>
    </row>
    <row r="416">
      <c r="A416" t="inlineStr">
        <is>
          <t>5l639x0qis2rfwi|Dust2</t>
        </is>
      </c>
      <c r="B416" t="inlineStr">
        <is>
          <t>5l639x0qis2rfwi</t>
        </is>
      </c>
      <c r="C416" t="inlineStr">
        <is>
          <t>MATYS</t>
        </is>
      </c>
      <c r="D416" t="inlineStr">
        <is>
          <t>CS2</t>
        </is>
      </c>
      <c r="E416" t="inlineStr">
        <is>
          <t>Dust2</t>
        </is>
      </c>
      <c r="F416" t="n">
        <v>7</v>
      </c>
      <c r="G416" t="n">
        <v>12</v>
      </c>
      <c r="H416" t="n">
        <v>0.52</v>
      </c>
      <c r="I416" s="8" t="n">
        <v>0.679</v>
      </c>
      <c r="J416" t="n">
        <v>0.8100000000000001</v>
      </c>
      <c r="K416" s="11">
        <f>IF(H416&lt;&gt;"",H416,IFERROR(G416/INDEX(Players!$M$2:$M$124,MATCH(B416,Players!$A$2:$A$124,0)),""))</f>
        <v/>
      </c>
    </row>
    <row r="417">
      <c r="A417" t="inlineStr">
        <is>
          <t>5l639x0qis2rfwi|Mirage</t>
        </is>
      </c>
      <c r="B417" t="inlineStr">
        <is>
          <t>5l639x0qis2rfwi</t>
        </is>
      </c>
      <c r="C417" t="inlineStr">
        <is>
          <t>MATYS</t>
        </is>
      </c>
      <c r="D417" t="inlineStr">
        <is>
          <t>CS2</t>
        </is>
      </c>
      <c r="E417" t="inlineStr">
        <is>
          <t>Mirage</t>
        </is>
      </c>
      <c r="F417" t="n">
        <v>6</v>
      </c>
      <c r="G417" t="n">
        <v>16.2</v>
      </c>
      <c r="H417" t="n">
        <v>0.72</v>
      </c>
      <c r="I417" s="8" t="n">
        <v>0.608</v>
      </c>
      <c r="J417" t="n">
        <v>1.01</v>
      </c>
      <c r="K417" s="11">
        <f>IF(H417&lt;&gt;"",H417,IFERROR(G417/INDEX(Players!$M$2:$M$124,MATCH(B417,Players!$A$2:$A$124,0)),""))</f>
        <v/>
      </c>
    </row>
    <row r="418">
      <c r="A418" t="inlineStr">
        <is>
          <t>5l639x0qis2rfwi|Anubis</t>
        </is>
      </c>
      <c r="B418" t="inlineStr">
        <is>
          <t>5l639x0qis2rfwi</t>
        </is>
      </c>
      <c r="C418" t="inlineStr">
        <is>
          <t>MATYS</t>
        </is>
      </c>
      <c r="D418" t="inlineStr">
        <is>
          <t>CS2</t>
        </is>
      </c>
      <c r="E418" t="inlineStr">
        <is>
          <t>Anubis</t>
        </is>
      </c>
      <c r="F418" t="n">
        <v>3</v>
      </c>
      <c r="G418" t="n">
        <v>15.3</v>
      </c>
      <c r="H418" t="n">
        <v>0.65</v>
      </c>
      <c r="I418" s="8" t="n">
        <v>0.63</v>
      </c>
      <c r="J418" t="n">
        <v>0.92</v>
      </c>
      <c r="K418" s="11">
        <f>IF(H418&lt;&gt;"",H418,IFERROR(G418/INDEX(Players!$M$2:$M$124,MATCH(B418,Players!$A$2:$A$124,0)),""))</f>
        <v/>
      </c>
    </row>
    <row r="419">
      <c r="A419" t="inlineStr">
        <is>
          <t>5l639x0qis2rfwi|Cache</t>
        </is>
      </c>
      <c r="B419" t="inlineStr">
        <is>
          <t>5l639x0qis2rfwi</t>
        </is>
      </c>
      <c r="C419" t="inlineStr">
        <is>
          <t>MATYS</t>
        </is>
      </c>
      <c r="D419" t="inlineStr">
        <is>
          <t>CS2</t>
        </is>
      </c>
      <c r="E419" t="inlineStr">
        <is>
          <t>Cache</t>
        </is>
      </c>
      <c r="F419" t="n">
        <v>2</v>
      </c>
      <c r="G419" t="n">
        <v>6.5</v>
      </c>
      <c r="H419" t="n">
        <v>0.32</v>
      </c>
      <c r="I419" s="8" t="n">
        <v>0.6920000000000001</v>
      </c>
      <c r="J419" t="n">
        <v>0.43</v>
      </c>
      <c r="K419" s="11">
        <f>IF(H419&lt;&gt;"",H419,IFERROR(G419/INDEX(Players!$M$2:$M$124,MATCH(B419,Players!$A$2:$A$124,0)),""))</f>
        <v/>
      </c>
    </row>
    <row r="420">
      <c r="A420" t="inlineStr">
        <is>
          <t>5l639x0qis2rfwi|Nuke</t>
        </is>
      </c>
      <c r="B420" t="inlineStr">
        <is>
          <t>5l639x0qis2rfwi</t>
        </is>
      </c>
      <c r="C420" t="inlineStr">
        <is>
          <t>MATYS</t>
        </is>
      </c>
      <c r="D420" t="inlineStr">
        <is>
          <t>CS2</t>
        </is>
      </c>
      <c r="E420" t="inlineStr">
        <is>
          <t>Nuke</t>
        </is>
      </c>
      <c r="F420" t="n">
        <v>1</v>
      </c>
      <c r="G420" t="n">
        <v>16</v>
      </c>
      <c r="H420" t="n">
        <v>0.67</v>
      </c>
      <c r="I420" s="8" t="n">
        <v>0.75</v>
      </c>
      <c r="J420" t="n">
        <v>1.23</v>
      </c>
      <c r="K420" s="11">
        <f>IF(H420&lt;&gt;"",H420,IFERROR(G420/INDEX(Players!$M$2:$M$124,MATCH(B420,Players!$A$2:$A$124,0)),""))</f>
        <v/>
      </c>
    </row>
    <row r="421">
      <c r="A421" t="inlineStr">
        <is>
          <t>2l8hxj94mm620bg|Nuke</t>
        </is>
      </c>
      <c r="B421" t="inlineStr">
        <is>
          <t>2l8hxj94mm620bg</t>
        </is>
      </c>
      <c r="C421" t="inlineStr">
        <is>
          <t>max</t>
        </is>
      </c>
      <c r="D421" t="inlineStr">
        <is>
          <t>CS2</t>
        </is>
      </c>
      <c r="E421" t="inlineStr">
        <is>
          <t>Nuke</t>
        </is>
      </c>
      <c r="F421" t="n">
        <v>9</v>
      </c>
      <c r="G421" t="n">
        <v>12.2</v>
      </c>
      <c r="H421" t="n">
        <v>0.63</v>
      </c>
      <c r="I421" s="8" t="n">
        <v>0.5</v>
      </c>
      <c r="J421" t="n">
        <v>0.96</v>
      </c>
      <c r="K421" s="11">
        <f>IF(H421&lt;&gt;"",H421,IFERROR(G421/INDEX(Players!$M$2:$M$124,MATCH(B421,Players!$A$2:$A$124,0)),""))</f>
        <v/>
      </c>
    </row>
    <row r="422">
      <c r="A422" t="inlineStr">
        <is>
          <t>2l8hxj94mm620bg|Dust2</t>
        </is>
      </c>
      <c r="B422" t="inlineStr">
        <is>
          <t>2l8hxj94mm620bg</t>
        </is>
      </c>
      <c r="C422" t="inlineStr">
        <is>
          <t>max</t>
        </is>
      </c>
      <c r="D422" t="inlineStr">
        <is>
          <t>CS2</t>
        </is>
      </c>
      <c r="E422" t="inlineStr">
        <is>
          <t>Dust2</t>
        </is>
      </c>
      <c r="F422" t="n">
        <v>6</v>
      </c>
      <c r="G422" t="n">
        <v>11</v>
      </c>
      <c r="H422" t="n">
        <v>0.55</v>
      </c>
      <c r="I422" s="8" t="n">
        <v>0.485</v>
      </c>
      <c r="J422" t="n">
        <v>0.84</v>
      </c>
      <c r="K422" s="11">
        <f>IF(H422&lt;&gt;"",H422,IFERROR(G422/INDEX(Players!$M$2:$M$124,MATCH(B422,Players!$A$2:$A$124,0)),""))</f>
        <v/>
      </c>
    </row>
    <row r="423">
      <c r="A423" t="inlineStr">
        <is>
          <t>2l8hxj94mm620bg|Mirage</t>
        </is>
      </c>
      <c r="B423" t="inlineStr">
        <is>
          <t>2l8hxj94mm620bg</t>
        </is>
      </c>
      <c r="C423" t="inlineStr">
        <is>
          <t>max</t>
        </is>
      </c>
      <c r="D423" t="inlineStr">
        <is>
          <t>CS2</t>
        </is>
      </c>
      <c r="E423" t="inlineStr">
        <is>
          <t>Mirage</t>
        </is>
      </c>
      <c r="F423" t="n">
        <v>6</v>
      </c>
      <c r="G423" t="n">
        <v>9.199999999999999</v>
      </c>
      <c r="H423" t="n">
        <v>0.44</v>
      </c>
      <c r="I423" s="8" t="n">
        <v>0.418</v>
      </c>
      <c r="J423" t="n">
        <v>0.72</v>
      </c>
      <c r="K423" s="11">
        <f>IF(H423&lt;&gt;"",H423,IFERROR(G423/INDEX(Players!$M$2:$M$124,MATCH(B423,Players!$A$2:$A$124,0)),""))</f>
        <v/>
      </c>
    </row>
    <row r="424">
      <c r="A424" t="inlineStr">
        <is>
          <t>2l8hxj94mm620bg|Cache</t>
        </is>
      </c>
      <c r="B424" t="inlineStr">
        <is>
          <t>2l8hxj94mm620bg</t>
        </is>
      </c>
      <c r="C424" t="inlineStr">
        <is>
          <t>max</t>
        </is>
      </c>
      <c r="D424" t="inlineStr">
        <is>
          <t>CS2</t>
        </is>
      </c>
      <c r="E424" t="inlineStr">
        <is>
          <t>Cache</t>
        </is>
      </c>
      <c r="F424" t="n">
        <v>5</v>
      </c>
      <c r="G424" t="n">
        <v>8.4</v>
      </c>
      <c r="H424" t="n">
        <v>0.42</v>
      </c>
      <c r="I424" s="8" t="n">
        <v>0.619</v>
      </c>
      <c r="J424" t="n">
        <v>0.63</v>
      </c>
      <c r="K424" s="11">
        <f>IF(H424&lt;&gt;"",H424,IFERROR(G424/INDEX(Players!$M$2:$M$124,MATCH(B424,Players!$A$2:$A$124,0)),""))</f>
        <v/>
      </c>
    </row>
    <row r="425">
      <c r="A425" t="inlineStr">
        <is>
          <t>2l8hxj94mm620bg|Inferno</t>
        </is>
      </c>
      <c r="B425" t="inlineStr">
        <is>
          <t>2l8hxj94mm620bg</t>
        </is>
      </c>
      <c r="C425" t="inlineStr">
        <is>
          <t>max</t>
        </is>
      </c>
      <c r="D425" t="inlineStr">
        <is>
          <t>CS2</t>
        </is>
      </c>
      <c r="E425" t="inlineStr">
        <is>
          <t>Inferno</t>
        </is>
      </c>
      <c r="F425" t="n">
        <v>5</v>
      </c>
      <c r="G425" t="n">
        <v>9.4</v>
      </c>
      <c r="H425" t="n">
        <v>0.46</v>
      </c>
      <c r="I425" s="8" t="n">
        <v>0.468</v>
      </c>
      <c r="J425" t="n">
        <v>0.63</v>
      </c>
      <c r="K425" s="11">
        <f>IF(H425&lt;&gt;"",H425,IFERROR(G425/INDEX(Players!$M$2:$M$124,MATCH(B425,Players!$A$2:$A$124,0)),""))</f>
        <v/>
      </c>
    </row>
    <row r="426">
      <c r="A426" t="inlineStr">
        <is>
          <t>2l8hxj94mm620bg|Ancient</t>
        </is>
      </c>
      <c r="B426" t="inlineStr">
        <is>
          <t>2l8hxj94mm620bg</t>
        </is>
      </c>
      <c r="C426" t="inlineStr">
        <is>
          <t>max</t>
        </is>
      </c>
      <c r="D426" t="inlineStr">
        <is>
          <t>CS2</t>
        </is>
      </c>
      <c r="E426" t="inlineStr">
        <is>
          <t>Ancient</t>
        </is>
      </c>
      <c r="F426" t="n">
        <v>2</v>
      </c>
      <c r="G426" t="n">
        <v>13.5</v>
      </c>
      <c r="H426" t="n">
        <v>0.47</v>
      </c>
      <c r="I426" s="8" t="n">
        <v>0.63</v>
      </c>
      <c r="J426" t="n">
        <v>0.66</v>
      </c>
      <c r="K426" s="11">
        <f>IF(H426&lt;&gt;"",H426,IFERROR(G426/INDEX(Players!$M$2:$M$124,MATCH(B426,Players!$A$2:$A$124,0)),""))</f>
        <v/>
      </c>
    </row>
    <row r="427">
      <c r="A427" t="inlineStr">
        <is>
          <t>sir58v1hxyyne29|Mirage</t>
        </is>
      </c>
      <c r="B427" t="inlineStr">
        <is>
          <t>sir58v1hxyyne29</t>
        </is>
      </c>
      <c r="C427" t="inlineStr">
        <is>
          <t>maxxkor</t>
        </is>
      </c>
      <c r="D427" t="inlineStr">
        <is>
          <t>CS2</t>
        </is>
      </c>
      <c r="E427" t="inlineStr">
        <is>
          <t>Mirage</t>
        </is>
      </c>
      <c r="F427" t="n">
        <v>9</v>
      </c>
      <c r="G427" t="n">
        <v>14.1</v>
      </c>
      <c r="H427" t="n">
        <v>0.65</v>
      </c>
      <c r="I427" s="8" t="n">
        <v>0.291</v>
      </c>
      <c r="J427" t="n">
        <v>1.18</v>
      </c>
      <c r="K427" s="11">
        <f>IF(H427&lt;&gt;"",H427,IFERROR(G427/INDEX(Players!$M$2:$M$124,MATCH(B427,Players!$A$2:$A$124,0)),""))</f>
        <v/>
      </c>
    </row>
    <row r="428">
      <c r="A428" t="inlineStr">
        <is>
          <t>sir58v1hxyyne29|Cache</t>
        </is>
      </c>
      <c r="B428" t="inlineStr">
        <is>
          <t>sir58v1hxyyne29</t>
        </is>
      </c>
      <c r="C428" t="inlineStr">
        <is>
          <t>maxxkor</t>
        </is>
      </c>
      <c r="D428" t="inlineStr">
        <is>
          <t>CS2</t>
        </is>
      </c>
      <c r="E428" t="inlineStr">
        <is>
          <t>Cache</t>
        </is>
      </c>
      <c r="F428" t="n">
        <v>7</v>
      </c>
      <c r="G428" t="n">
        <v>13</v>
      </c>
      <c r="H428" t="n">
        <v>0.6</v>
      </c>
      <c r="I428" s="8" t="n">
        <v>0.264</v>
      </c>
      <c r="J428" t="n">
        <v>1.12</v>
      </c>
      <c r="K428" s="11">
        <f>IF(H428&lt;&gt;"",H428,IFERROR(G428/INDEX(Players!$M$2:$M$124,MATCH(B428,Players!$A$2:$A$124,0)),""))</f>
        <v/>
      </c>
    </row>
    <row r="429">
      <c r="A429" t="inlineStr">
        <is>
          <t>sir58v1hxyyne29|Inferno</t>
        </is>
      </c>
      <c r="B429" t="inlineStr">
        <is>
          <t>sir58v1hxyyne29</t>
        </is>
      </c>
      <c r="C429" t="inlineStr">
        <is>
          <t>maxxkor</t>
        </is>
      </c>
      <c r="D429" t="inlineStr">
        <is>
          <t>CS2</t>
        </is>
      </c>
      <c r="E429" t="inlineStr">
        <is>
          <t>Inferno</t>
        </is>
      </c>
      <c r="F429" t="n">
        <v>6</v>
      </c>
      <c r="G429" t="n">
        <v>14.7</v>
      </c>
      <c r="H429" t="n">
        <v>0.7</v>
      </c>
      <c r="I429" s="8" t="n">
        <v>0.307</v>
      </c>
      <c r="J429" t="n">
        <v>1.1</v>
      </c>
      <c r="K429" s="11">
        <f>IF(H429&lt;&gt;"",H429,IFERROR(G429/INDEX(Players!$M$2:$M$124,MATCH(B429,Players!$A$2:$A$124,0)),""))</f>
        <v/>
      </c>
    </row>
    <row r="430">
      <c r="A430" t="inlineStr">
        <is>
          <t>sir58v1hxyyne29|Ancient</t>
        </is>
      </c>
      <c r="B430" t="inlineStr">
        <is>
          <t>sir58v1hxyyne29</t>
        </is>
      </c>
      <c r="C430" t="inlineStr">
        <is>
          <t>maxxkor</t>
        </is>
      </c>
      <c r="D430" t="inlineStr">
        <is>
          <t>CS2</t>
        </is>
      </c>
      <c r="E430" t="inlineStr">
        <is>
          <t>Ancient</t>
        </is>
      </c>
      <c r="F430" t="n">
        <v>5</v>
      </c>
      <c r="G430" t="n">
        <v>17.6</v>
      </c>
      <c r="H430" t="n">
        <v>0.78</v>
      </c>
      <c r="I430" s="8" t="n">
        <v>0.193</v>
      </c>
      <c r="J430" t="n">
        <v>1.52</v>
      </c>
      <c r="K430" s="11">
        <f>IF(H430&lt;&gt;"",H430,IFERROR(G430/INDEX(Players!$M$2:$M$124,MATCH(B430,Players!$A$2:$A$124,0)),""))</f>
        <v/>
      </c>
    </row>
    <row r="431">
      <c r="A431" t="inlineStr">
        <is>
          <t>sir58v1hxyyne29|Nuke</t>
        </is>
      </c>
      <c r="B431" t="inlineStr">
        <is>
          <t>sir58v1hxyyne29</t>
        </is>
      </c>
      <c r="C431" t="inlineStr">
        <is>
          <t>maxxkor</t>
        </is>
      </c>
      <c r="D431" t="inlineStr">
        <is>
          <t>CS2</t>
        </is>
      </c>
      <c r="E431" t="inlineStr">
        <is>
          <t>Nuke</t>
        </is>
      </c>
      <c r="F431" t="n">
        <v>5</v>
      </c>
      <c r="G431" t="n">
        <v>13.4</v>
      </c>
      <c r="H431" t="n">
        <v>0.6</v>
      </c>
      <c r="I431" s="8" t="n">
        <v>0.448</v>
      </c>
      <c r="J431" t="n">
        <v>1.08</v>
      </c>
      <c r="K431" s="11">
        <f>IF(H431&lt;&gt;"",H431,IFERROR(G431/INDEX(Players!$M$2:$M$124,MATCH(B431,Players!$A$2:$A$124,0)),""))</f>
        <v/>
      </c>
    </row>
    <row r="432">
      <c r="A432" t="inlineStr">
        <is>
          <t>sir58v1hxyyne29|Anubis</t>
        </is>
      </c>
      <c r="B432" t="inlineStr">
        <is>
          <t>sir58v1hxyyne29</t>
        </is>
      </c>
      <c r="C432" t="inlineStr">
        <is>
          <t>maxxkor</t>
        </is>
      </c>
      <c r="D432" t="inlineStr">
        <is>
          <t>CS2</t>
        </is>
      </c>
      <c r="E432" t="inlineStr">
        <is>
          <t>Anubis</t>
        </is>
      </c>
      <c r="F432" t="n">
        <v>4</v>
      </c>
      <c r="G432" t="n">
        <v>12</v>
      </c>
      <c r="H432" t="n">
        <v>0.57</v>
      </c>
      <c r="I432" s="8" t="n">
        <v>0.375</v>
      </c>
      <c r="J432" t="n">
        <v>0.89</v>
      </c>
      <c r="K432" s="11">
        <f>IF(H432&lt;&gt;"",H432,IFERROR(G432/INDEX(Players!$M$2:$M$124,MATCH(B432,Players!$A$2:$A$124,0)),""))</f>
        <v/>
      </c>
    </row>
    <row r="433">
      <c r="A433" t="inlineStr">
        <is>
          <t>7jjpyjuolf7cdlx|Mirage</t>
        </is>
      </c>
      <c r="B433" t="inlineStr">
        <is>
          <t>7jjpyjuolf7cdlx</t>
        </is>
      </c>
      <c r="C433" t="inlineStr">
        <is>
          <t>Mercury</t>
        </is>
      </c>
      <c r="D433" t="inlineStr">
        <is>
          <t>CS2</t>
        </is>
      </c>
      <c r="E433" t="inlineStr">
        <is>
          <t>Mirage</t>
        </is>
      </c>
      <c r="F433" t="n">
        <v>9</v>
      </c>
      <c r="G433" t="n">
        <v>13.2</v>
      </c>
      <c r="H433" t="n">
        <v>0.67</v>
      </c>
      <c r="I433" s="8" t="n">
        <v>0.613</v>
      </c>
      <c r="J433" t="n">
        <v>1.01</v>
      </c>
      <c r="K433" s="11">
        <f>IF(H433&lt;&gt;"",H433,IFERROR(G433/INDEX(Players!$M$2:$M$124,MATCH(B433,Players!$A$2:$A$124,0)),""))</f>
        <v/>
      </c>
    </row>
    <row r="434">
      <c r="A434" t="inlineStr">
        <is>
          <t>7jjpyjuolf7cdlx|Ancient</t>
        </is>
      </c>
      <c r="B434" t="inlineStr">
        <is>
          <t>7jjpyjuolf7cdlx</t>
        </is>
      </c>
      <c r="C434" t="inlineStr">
        <is>
          <t>Mercury</t>
        </is>
      </c>
      <c r="D434" t="inlineStr">
        <is>
          <t>CS2</t>
        </is>
      </c>
      <c r="E434" t="inlineStr">
        <is>
          <t>Ancient</t>
        </is>
      </c>
      <c r="F434" t="n">
        <v>7</v>
      </c>
      <c r="G434" t="n">
        <v>10.4</v>
      </c>
      <c r="H434" t="n">
        <v>0.55</v>
      </c>
      <c r="I434" s="8" t="n">
        <v>0.767</v>
      </c>
      <c r="J434" t="n">
        <v>0.9399999999999999</v>
      </c>
      <c r="K434" s="11">
        <f>IF(H434&lt;&gt;"",H434,IFERROR(G434/INDEX(Players!$M$2:$M$124,MATCH(B434,Players!$A$2:$A$124,0)),""))</f>
        <v/>
      </c>
    </row>
    <row r="435">
      <c r="A435" t="inlineStr">
        <is>
          <t>7jjpyjuolf7cdlx|Inferno</t>
        </is>
      </c>
      <c r="B435" t="inlineStr">
        <is>
          <t>7jjpyjuolf7cdlx</t>
        </is>
      </c>
      <c r="C435" t="inlineStr">
        <is>
          <t>Mercury</t>
        </is>
      </c>
      <c r="D435" t="inlineStr">
        <is>
          <t>CS2</t>
        </is>
      </c>
      <c r="E435" t="inlineStr">
        <is>
          <t>Inferno</t>
        </is>
      </c>
      <c r="F435" t="n">
        <v>6</v>
      </c>
      <c r="G435" t="n">
        <v>11.5</v>
      </c>
      <c r="H435" t="n">
        <v>0.57</v>
      </c>
      <c r="I435" s="8" t="n">
        <v>0.58</v>
      </c>
      <c r="J435" t="n">
        <v>0.99</v>
      </c>
      <c r="K435" s="11">
        <f>IF(H435&lt;&gt;"",H435,IFERROR(G435/INDEX(Players!$M$2:$M$124,MATCH(B435,Players!$A$2:$A$124,0)),""))</f>
        <v/>
      </c>
    </row>
    <row r="436">
      <c r="A436" t="inlineStr">
        <is>
          <t>7jjpyjuolf7cdlx|Cache</t>
        </is>
      </c>
      <c r="B436" t="inlineStr">
        <is>
          <t>7jjpyjuolf7cdlx</t>
        </is>
      </c>
      <c r="C436" t="inlineStr">
        <is>
          <t>Mercury</t>
        </is>
      </c>
      <c r="D436" t="inlineStr">
        <is>
          <t>CS2</t>
        </is>
      </c>
      <c r="E436" t="inlineStr">
        <is>
          <t>Cache</t>
        </is>
      </c>
      <c r="F436" t="n">
        <v>4</v>
      </c>
      <c r="G436" t="n">
        <v>16.5</v>
      </c>
      <c r="H436" t="n">
        <v>0.88</v>
      </c>
      <c r="I436" s="8" t="n">
        <v>0.606</v>
      </c>
      <c r="J436" t="n">
        <v>1.53</v>
      </c>
      <c r="K436" s="11">
        <f>IF(H436&lt;&gt;"",H436,IFERROR(G436/INDEX(Players!$M$2:$M$124,MATCH(B436,Players!$A$2:$A$124,0)),""))</f>
        <v/>
      </c>
    </row>
    <row r="437">
      <c r="A437" t="inlineStr">
        <is>
          <t>7jjpyjuolf7cdlx|Nuke</t>
        </is>
      </c>
      <c r="B437" t="inlineStr">
        <is>
          <t>7jjpyjuolf7cdlx</t>
        </is>
      </c>
      <c r="C437" t="inlineStr">
        <is>
          <t>Mercury</t>
        </is>
      </c>
      <c r="D437" t="inlineStr">
        <is>
          <t>CS2</t>
        </is>
      </c>
      <c r="E437" t="inlineStr">
        <is>
          <t>Nuke</t>
        </is>
      </c>
      <c r="F437" t="n">
        <v>4</v>
      </c>
      <c r="G437" t="n">
        <v>13.5</v>
      </c>
      <c r="H437" t="n">
        <v>0.61</v>
      </c>
      <c r="I437" s="8" t="n">
        <v>0.519</v>
      </c>
      <c r="J437" t="n">
        <v>0.86</v>
      </c>
      <c r="K437" s="11">
        <f>IF(H437&lt;&gt;"",H437,IFERROR(G437/INDEX(Players!$M$2:$M$124,MATCH(B437,Players!$A$2:$A$124,0)),""))</f>
        <v/>
      </c>
    </row>
    <row r="438">
      <c r="A438" t="inlineStr">
        <is>
          <t>7jjpyjuolf7cdlx|Anubis</t>
        </is>
      </c>
      <c r="B438" t="inlineStr">
        <is>
          <t>7jjpyjuolf7cdlx</t>
        </is>
      </c>
      <c r="C438" t="inlineStr">
        <is>
          <t>Mercury</t>
        </is>
      </c>
      <c r="D438" t="inlineStr">
        <is>
          <t>CS2</t>
        </is>
      </c>
      <c r="E438" t="inlineStr">
        <is>
          <t>Anubis</t>
        </is>
      </c>
      <c r="F438" t="n">
        <v>2</v>
      </c>
      <c r="G438" t="n">
        <v>5.5</v>
      </c>
      <c r="H438" t="n">
        <v>0.27</v>
      </c>
      <c r="I438" s="8" t="n">
        <v>0.727</v>
      </c>
      <c r="J438" t="n">
        <v>0.32</v>
      </c>
      <c r="K438" s="11">
        <f>IF(H438&lt;&gt;"",H438,IFERROR(G438/INDEX(Players!$M$2:$M$124,MATCH(B438,Players!$A$2:$A$124,0)),""))</f>
        <v/>
      </c>
    </row>
    <row r="439">
      <c r="A439" t="inlineStr">
        <is>
          <t>pumzitjp9bsniic|Nuke</t>
        </is>
      </c>
      <c r="B439" t="inlineStr">
        <is>
          <t>pumzitjp9bsniic</t>
        </is>
      </c>
      <c r="C439" t="inlineStr">
        <is>
          <t>meyern</t>
        </is>
      </c>
      <c r="D439" t="inlineStr">
        <is>
          <t>CS2</t>
        </is>
      </c>
      <c r="E439" t="inlineStr">
        <is>
          <t>Nuke</t>
        </is>
      </c>
      <c r="F439" t="n">
        <v>9</v>
      </c>
      <c r="G439" t="n">
        <v>10.2</v>
      </c>
      <c r="H439" t="n">
        <v>0.53</v>
      </c>
      <c r="I439" s="8" t="n">
        <v>0.391</v>
      </c>
      <c r="J439" t="n">
        <v>0.79</v>
      </c>
      <c r="K439" s="11">
        <f>IF(H439&lt;&gt;"",H439,IFERROR(G439/INDEX(Players!$M$2:$M$124,MATCH(B439,Players!$A$2:$A$124,0)),""))</f>
        <v/>
      </c>
    </row>
    <row r="440">
      <c r="A440" t="inlineStr">
        <is>
          <t>pumzitjp9bsniic|Mirage</t>
        </is>
      </c>
      <c r="B440" t="inlineStr">
        <is>
          <t>pumzitjp9bsniic</t>
        </is>
      </c>
      <c r="C440" t="inlineStr">
        <is>
          <t>meyern</t>
        </is>
      </c>
      <c r="D440" t="inlineStr">
        <is>
          <t>CS2</t>
        </is>
      </c>
      <c r="E440" t="inlineStr">
        <is>
          <t>Mirage</t>
        </is>
      </c>
      <c r="F440" t="n">
        <v>6</v>
      </c>
      <c r="G440" t="n">
        <v>13</v>
      </c>
      <c r="H440" t="n">
        <v>0.63</v>
      </c>
      <c r="I440" s="8" t="n">
        <v>0.397</v>
      </c>
      <c r="J440" t="n">
        <v>1.34</v>
      </c>
      <c r="K440" s="11">
        <f>IF(H440&lt;&gt;"",H440,IFERROR(G440/INDEX(Players!$M$2:$M$124,MATCH(B440,Players!$A$2:$A$124,0)),""))</f>
        <v/>
      </c>
    </row>
    <row r="441">
      <c r="A441" t="inlineStr">
        <is>
          <t>pumzitjp9bsniic|Dust2</t>
        </is>
      </c>
      <c r="B441" t="inlineStr">
        <is>
          <t>pumzitjp9bsniic</t>
        </is>
      </c>
      <c r="C441" t="inlineStr">
        <is>
          <t>meyern</t>
        </is>
      </c>
      <c r="D441" t="inlineStr">
        <is>
          <t>CS2</t>
        </is>
      </c>
      <c r="E441" t="inlineStr">
        <is>
          <t>Dust2</t>
        </is>
      </c>
      <c r="F441" t="n">
        <v>6</v>
      </c>
      <c r="G441" t="n">
        <v>12.8</v>
      </c>
      <c r="H441" t="n">
        <v>0.64</v>
      </c>
      <c r="I441" s="8" t="n">
        <v>0.325</v>
      </c>
      <c r="J441" t="n">
        <v>1.1</v>
      </c>
      <c r="K441" s="11">
        <f>IF(H441&lt;&gt;"",H441,IFERROR(G441/INDEX(Players!$M$2:$M$124,MATCH(B441,Players!$A$2:$A$124,0)),""))</f>
        <v/>
      </c>
    </row>
    <row r="442">
      <c r="A442" t="inlineStr">
        <is>
          <t>pumzitjp9bsniic|Cache</t>
        </is>
      </c>
      <c r="B442" t="inlineStr">
        <is>
          <t>pumzitjp9bsniic</t>
        </is>
      </c>
      <c r="C442" t="inlineStr">
        <is>
          <t>meyern</t>
        </is>
      </c>
      <c r="D442" t="inlineStr">
        <is>
          <t>CS2</t>
        </is>
      </c>
      <c r="E442" t="inlineStr">
        <is>
          <t>Cache</t>
        </is>
      </c>
      <c r="F442" t="n">
        <v>5</v>
      </c>
      <c r="G442" t="n">
        <v>11.4</v>
      </c>
      <c r="H442" t="n">
        <v>0.58</v>
      </c>
      <c r="I442" s="8" t="n">
        <v>0.386</v>
      </c>
      <c r="J442" t="n">
        <v>1.04</v>
      </c>
      <c r="K442" s="11">
        <f>IF(H442&lt;&gt;"",H442,IFERROR(G442/INDEX(Players!$M$2:$M$124,MATCH(B442,Players!$A$2:$A$124,0)),""))</f>
        <v/>
      </c>
    </row>
    <row r="443">
      <c r="A443" t="inlineStr">
        <is>
          <t>pumzitjp9bsniic|Inferno</t>
        </is>
      </c>
      <c r="B443" t="inlineStr">
        <is>
          <t>pumzitjp9bsniic</t>
        </is>
      </c>
      <c r="C443" t="inlineStr">
        <is>
          <t>meyern</t>
        </is>
      </c>
      <c r="D443" t="inlineStr">
        <is>
          <t>CS2</t>
        </is>
      </c>
      <c r="E443" t="inlineStr">
        <is>
          <t>Inferno</t>
        </is>
      </c>
      <c r="F443" t="n">
        <v>5</v>
      </c>
      <c r="G443" t="n">
        <v>14.2</v>
      </c>
      <c r="H443" t="n">
        <v>0.6899999999999999</v>
      </c>
      <c r="I443" s="8" t="n">
        <v>0.521</v>
      </c>
      <c r="J443" t="n">
        <v>1.03</v>
      </c>
      <c r="K443" s="11">
        <f>IF(H443&lt;&gt;"",H443,IFERROR(G443/INDEX(Players!$M$2:$M$124,MATCH(B443,Players!$A$2:$A$124,0)),""))</f>
        <v/>
      </c>
    </row>
    <row r="444">
      <c r="A444" t="inlineStr">
        <is>
          <t>pumzitjp9bsniic|Ancient</t>
        </is>
      </c>
      <c r="B444" t="inlineStr">
        <is>
          <t>pumzitjp9bsniic</t>
        </is>
      </c>
      <c r="C444" t="inlineStr">
        <is>
          <t>meyern</t>
        </is>
      </c>
      <c r="D444" t="inlineStr">
        <is>
          <t>CS2</t>
        </is>
      </c>
      <c r="E444" t="inlineStr">
        <is>
          <t>Ancient</t>
        </is>
      </c>
      <c r="F444" t="n">
        <v>2</v>
      </c>
      <c r="G444" t="n">
        <v>16.5</v>
      </c>
      <c r="H444" t="n">
        <v>0.58</v>
      </c>
      <c r="I444" s="8" t="n">
        <v>0.273</v>
      </c>
      <c r="J444" t="n">
        <v>1</v>
      </c>
      <c r="K444" s="11">
        <f>IF(H444&lt;&gt;"",H444,IFERROR(G444/INDEX(Players!$M$2:$M$124,MATCH(B444,Players!$A$2:$A$124,0)),""))</f>
        <v/>
      </c>
    </row>
    <row r="445">
      <c r="A445" t="inlineStr">
        <is>
          <t>w4swyv4mqy1ob42|Mirage</t>
        </is>
      </c>
      <c r="B445" t="inlineStr">
        <is>
          <t>w4swyv4mqy1ob42</t>
        </is>
      </c>
      <c r="C445" t="inlineStr">
        <is>
          <t>mezii</t>
        </is>
      </c>
      <c r="D445" t="inlineStr">
        <is>
          <t>CS2</t>
        </is>
      </c>
      <c r="E445" t="inlineStr">
        <is>
          <t>Mirage</t>
        </is>
      </c>
      <c r="F445" t="n">
        <v>8</v>
      </c>
      <c r="G445" t="n">
        <v>14.1</v>
      </c>
      <c r="H445" t="n">
        <v>0.73</v>
      </c>
      <c r="I445" s="8" t="n">
        <v>0.628</v>
      </c>
      <c r="J445" t="n">
        <v>1.33</v>
      </c>
      <c r="K445" s="11">
        <f>IF(H445&lt;&gt;"",H445,IFERROR(G445/INDEX(Players!$M$2:$M$124,MATCH(B445,Players!$A$2:$A$124,0)),""))</f>
        <v/>
      </c>
    </row>
    <row r="446">
      <c r="A446" t="inlineStr">
        <is>
          <t>w4swyv4mqy1ob42|Dust2</t>
        </is>
      </c>
      <c r="B446" t="inlineStr">
        <is>
          <t>w4swyv4mqy1ob42</t>
        </is>
      </c>
      <c r="C446" t="inlineStr">
        <is>
          <t>mezii</t>
        </is>
      </c>
      <c r="D446" t="inlineStr">
        <is>
          <t>CS2</t>
        </is>
      </c>
      <c r="E446" t="inlineStr">
        <is>
          <t>Dust2</t>
        </is>
      </c>
      <c r="F446" t="n">
        <v>8</v>
      </c>
      <c r="G446" t="n">
        <v>13.1</v>
      </c>
      <c r="H446" t="n">
        <v>0.65</v>
      </c>
      <c r="I446" s="8" t="n">
        <v>0.61</v>
      </c>
      <c r="J446" t="n">
        <v>1.17</v>
      </c>
      <c r="K446" s="11">
        <f>IF(H446&lt;&gt;"",H446,IFERROR(G446/INDEX(Players!$M$2:$M$124,MATCH(B446,Players!$A$2:$A$124,0)),""))</f>
        <v/>
      </c>
    </row>
    <row r="447">
      <c r="A447" t="inlineStr">
        <is>
          <t>w4swyv4mqy1ob42|Anubis</t>
        </is>
      </c>
      <c r="B447" t="inlineStr">
        <is>
          <t>w4swyv4mqy1ob42</t>
        </is>
      </c>
      <c r="C447" t="inlineStr">
        <is>
          <t>mezii</t>
        </is>
      </c>
      <c r="D447" t="inlineStr">
        <is>
          <t>CS2</t>
        </is>
      </c>
      <c r="E447" t="inlineStr">
        <is>
          <t>Anubis</t>
        </is>
      </c>
      <c r="F447" t="n">
        <v>7</v>
      </c>
      <c r="G447" t="n">
        <v>14.1</v>
      </c>
      <c r="H447" t="n">
        <v>0.7</v>
      </c>
      <c r="I447" s="8" t="n">
        <v>0.5660000000000001</v>
      </c>
      <c r="J447" t="n">
        <v>1.1</v>
      </c>
      <c r="K447" s="11">
        <f>IF(H447&lt;&gt;"",H447,IFERROR(G447/INDEX(Players!$M$2:$M$124,MATCH(B447,Players!$A$2:$A$124,0)),""))</f>
        <v/>
      </c>
    </row>
    <row r="448">
      <c r="A448" t="inlineStr">
        <is>
          <t>w4swyv4mqy1ob42|Cache</t>
        </is>
      </c>
      <c r="B448" t="inlineStr">
        <is>
          <t>w4swyv4mqy1ob42</t>
        </is>
      </c>
      <c r="C448" t="inlineStr">
        <is>
          <t>mezii</t>
        </is>
      </c>
      <c r="D448" t="inlineStr">
        <is>
          <t>CS2</t>
        </is>
      </c>
      <c r="E448" t="inlineStr">
        <is>
          <t>Cache</t>
        </is>
      </c>
      <c r="F448" t="n">
        <v>7</v>
      </c>
      <c r="G448" t="n">
        <v>9.9</v>
      </c>
      <c r="H448" t="n">
        <v>0.5</v>
      </c>
      <c r="I448" s="8" t="n">
        <v>0.5649999999999999</v>
      </c>
      <c r="J448" t="n">
        <v>0.86</v>
      </c>
      <c r="K448" s="11">
        <f>IF(H448&lt;&gt;"",H448,IFERROR(G448/INDEX(Players!$M$2:$M$124,MATCH(B448,Players!$A$2:$A$124,0)),""))</f>
        <v/>
      </c>
    </row>
    <row r="449">
      <c r="A449" t="inlineStr">
        <is>
          <t>w4swyv4mqy1ob42|Inferno</t>
        </is>
      </c>
      <c r="B449" t="inlineStr">
        <is>
          <t>w4swyv4mqy1ob42</t>
        </is>
      </c>
      <c r="C449" t="inlineStr">
        <is>
          <t>mezii</t>
        </is>
      </c>
      <c r="D449" t="inlineStr">
        <is>
          <t>CS2</t>
        </is>
      </c>
      <c r="E449" t="inlineStr">
        <is>
          <t>Inferno</t>
        </is>
      </c>
      <c r="F449" t="n">
        <v>5</v>
      </c>
      <c r="G449" t="n">
        <v>13.4</v>
      </c>
      <c r="H449" t="n">
        <v>0.66</v>
      </c>
      <c r="I449" s="8" t="n">
        <v>0.522</v>
      </c>
      <c r="J449" t="n">
        <v>1.31</v>
      </c>
      <c r="K449" s="11">
        <f>IF(H449&lt;&gt;"",H449,IFERROR(G449/INDEX(Players!$M$2:$M$124,MATCH(B449,Players!$A$2:$A$124,0)),""))</f>
        <v/>
      </c>
    </row>
    <row r="450">
      <c r="A450" t="inlineStr">
        <is>
          <t>w4swyv4mqy1ob42|Nuke</t>
        </is>
      </c>
      <c r="B450" t="inlineStr">
        <is>
          <t>w4swyv4mqy1ob42</t>
        </is>
      </c>
      <c r="C450" t="inlineStr">
        <is>
          <t>mezii</t>
        </is>
      </c>
      <c r="D450" t="inlineStr">
        <is>
          <t>CS2</t>
        </is>
      </c>
      <c r="E450" t="inlineStr">
        <is>
          <t>Nuke</t>
        </is>
      </c>
      <c r="F450" t="n">
        <v>3</v>
      </c>
      <c r="G450" t="n">
        <v>12.3</v>
      </c>
      <c r="H450" t="n">
        <v>0.54</v>
      </c>
      <c r="I450" s="8" t="n">
        <v>0.514</v>
      </c>
      <c r="J450" t="n">
        <v>0.77</v>
      </c>
      <c r="K450" s="11">
        <f>IF(H450&lt;&gt;"",H450,IFERROR(G450/INDEX(Players!$M$2:$M$124,MATCH(B450,Players!$A$2:$A$124,0)),""))</f>
        <v/>
      </c>
    </row>
    <row r="451">
      <c r="A451" t="inlineStr">
        <is>
          <t>g1czin1kua6nls5|Mirage</t>
        </is>
      </c>
      <c r="B451" t="inlineStr">
        <is>
          <t>g1czin1kua6nls5</t>
        </is>
      </c>
      <c r="C451" t="inlineStr">
        <is>
          <t>molodoy</t>
        </is>
      </c>
      <c r="D451" t="inlineStr">
        <is>
          <t>CS2</t>
        </is>
      </c>
      <c r="E451" t="inlineStr">
        <is>
          <t>Mirage</t>
        </is>
      </c>
      <c r="F451" t="n">
        <v>10</v>
      </c>
      <c r="G451" t="n">
        <v>16.8</v>
      </c>
      <c r="H451" t="n">
        <v>0.76</v>
      </c>
      <c r="I451" s="8" t="n">
        <v>0.345</v>
      </c>
      <c r="J451" t="n">
        <v>1.32</v>
      </c>
      <c r="K451" s="11">
        <f>IF(H451&lt;&gt;"",H451,IFERROR(G451/INDEX(Players!$M$2:$M$124,MATCH(B451,Players!$A$2:$A$124,0)),""))</f>
        <v/>
      </c>
    </row>
    <row r="452">
      <c r="A452" t="inlineStr">
        <is>
          <t>g1czin1kua6nls5|Inferno</t>
        </is>
      </c>
      <c r="B452" t="inlineStr">
        <is>
          <t>g1czin1kua6nls5</t>
        </is>
      </c>
      <c r="C452" t="inlineStr">
        <is>
          <t>molodoy</t>
        </is>
      </c>
      <c r="D452" t="inlineStr">
        <is>
          <t>CS2</t>
        </is>
      </c>
      <c r="E452" t="inlineStr">
        <is>
          <t>Inferno</t>
        </is>
      </c>
      <c r="F452" t="n">
        <v>6</v>
      </c>
      <c r="G452" t="n">
        <v>15.3</v>
      </c>
      <c r="H452" t="n">
        <v>0.75</v>
      </c>
      <c r="I452" s="8" t="n">
        <v>0.413</v>
      </c>
      <c r="J452" t="n">
        <v>1.28</v>
      </c>
      <c r="K452" s="11">
        <f>IF(H452&lt;&gt;"",H452,IFERROR(G452/INDEX(Players!$M$2:$M$124,MATCH(B452,Players!$A$2:$A$124,0)),""))</f>
        <v/>
      </c>
    </row>
    <row r="453">
      <c r="A453" t="inlineStr">
        <is>
          <t>g1czin1kua6nls5|Nuke</t>
        </is>
      </c>
      <c r="B453" t="inlineStr">
        <is>
          <t>g1czin1kua6nls5</t>
        </is>
      </c>
      <c r="C453" t="inlineStr">
        <is>
          <t>molodoy</t>
        </is>
      </c>
      <c r="D453" t="inlineStr">
        <is>
          <t>CS2</t>
        </is>
      </c>
      <c r="E453" t="inlineStr">
        <is>
          <t>Nuke</t>
        </is>
      </c>
      <c r="F453" t="n">
        <v>6</v>
      </c>
      <c r="G453" t="n">
        <v>15.5</v>
      </c>
      <c r="H453" t="n">
        <v>0.71</v>
      </c>
      <c r="I453" s="8" t="n">
        <v>0.409</v>
      </c>
      <c r="J453" t="n">
        <v>1.15</v>
      </c>
      <c r="K453" s="11">
        <f>IF(H453&lt;&gt;"",H453,IFERROR(G453/INDEX(Players!$M$2:$M$124,MATCH(B453,Players!$A$2:$A$124,0)),""))</f>
        <v/>
      </c>
    </row>
    <row r="454">
      <c r="A454" t="inlineStr">
        <is>
          <t>g1czin1kua6nls5|Cache</t>
        </is>
      </c>
      <c r="B454" t="inlineStr">
        <is>
          <t>g1czin1kua6nls5</t>
        </is>
      </c>
      <c r="C454" t="inlineStr">
        <is>
          <t>molodoy</t>
        </is>
      </c>
      <c r="D454" t="inlineStr">
        <is>
          <t>CS2</t>
        </is>
      </c>
      <c r="E454" t="inlineStr">
        <is>
          <t>Cache</t>
        </is>
      </c>
      <c r="F454" t="n">
        <v>6</v>
      </c>
      <c r="G454" t="n">
        <v>15.2</v>
      </c>
      <c r="H454" t="n">
        <v>0.71</v>
      </c>
      <c r="I454" s="8" t="n">
        <v>0.352</v>
      </c>
      <c r="J454" t="n">
        <v>1.05</v>
      </c>
      <c r="K454" s="11">
        <f>IF(H454&lt;&gt;"",H454,IFERROR(G454/INDEX(Players!$M$2:$M$124,MATCH(B454,Players!$A$2:$A$124,0)),""))</f>
        <v/>
      </c>
    </row>
    <row r="455">
      <c r="A455" t="inlineStr">
        <is>
          <t>g1czin1kua6nls5|Dust2</t>
        </is>
      </c>
      <c r="B455" t="inlineStr">
        <is>
          <t>g1czin1kua6nls5</t>
        </is>
      </c>
      <c r="C455" t="inlineStr">
        <is>
          <t>molodoy</t>
        </is>
      </c>
      <c r="D455" t="inlineStr">
        <is>
          <t>CS2</t>
        </is>
      </c>
      <c r="E455" t="inlineStr">
        <is>
          <t>Dust2</t>
        </is>
      </c>
      <c r="F455" t="n">
        <v>4</v>
      </c>
      <c r="G455" t="n">
        <v>16.3</v>
      </c>
      <c r="H455" t="n">
        <v>0.82</v>
      </c>
      <c r="I455" s="8" t="n">
        <v>0.4</v>
      </c>
      <c r="J455" t="n">
        <v>1.38</v>
      </c>
      <c r="K455" s="11">
        <f>IF(H455&lt;&gt;"",H455,IFERROR(G455/INDEX(Players!$M$2:$M$124,MATCH(B455,Players!$A$2:$A$124,0)),""))</f>
        <v/>
      </c>
    </row>
    <row r="456">
      <c r="A456" t="inlineStr">
        <is>
          <t>g1czin1kua6nls5|Ancient</t>
        </is>
      </c>
      <c r="B456" t="inlineStr">
        <is>
          <t>g1czin1kua6nls5</t>
        </is>
      </c>
      <c r="C456" t="inlineStr">
        <is>
          <t>molodoy</t>
        </is>
      </c>
      <c r="D456" t="inlineStr">
        <is>
          <t>CS2</t>
        </is>
      </c>
      <c r="E456" t="inlineStr">
        <is>
          <t>Ancient</t>
        </is>
      </c>
      <c r="F456" t="n">
        <v>4</v>
      </c>
      <c r="G456" t="n">
        <v>18</v>
      </c>
      <c r="H456" t="n">
        <v>0.73</v>
      </c>
      <c r="I456" s="8" t="n">
        <v>0.347</v>
      </c>
      <c r="J456" t="n">
        <v>1.2</v>
      </c>
      <c r="K456" s="11">
        <f>IF(H456&lt;&gt;"",H456,IFERROR(G456/INDEX(Players!$M$2:$M$124,MATCH(B456,Players!$A$2:$A$124,0)),""))</f>
        <v/>
      </c>
    </row>
    <row r="457">
      <c r="A457" t="inlineStr">
        <is>
          <t>g1czin1kua6nls5|Anubis</t>
        </is>
      </c>
      <c r="B457" t="inlineStr">
        <is>
          <t>g1czin1kua6nls5</t>
        </is>
      </c>
      <c r="C457" t="inlineStr">
        <is>
          <t>molodoy</t>
        </is>
      </c>
      <c r="D457" t="inlineStr">
        <is>
          <t>CS2</t>
        </is>
      </c>
      <c r="E457" t="inlineStr">
        <is>
          <t>Anubis</t>
        </is>
      </c>
      <c r="F457" t="n">
        <v>1</v>
      </c>
      <c r="G457" t="n">
        <v>9</v>
      </c>
      <c r="H457" t="n">
        <v>0.43</v>
      </c>
      <c r="I457" s="8" t="n">
        <v>0.444</v>
      </c>
      <c r="J457" t="n">
        <v>0.6899999999999999</v>
      </c>
      <c r="K457" s="11">
        <f>IF(H457&lt;&gt;"",H457,IFERROR(G457/INDEX(Players!$M$2:$M$124,MATCH(B457,Players!$A$2:$A$124,0)),""))</f>
        <v/>
      </c>
    </row>
    <row r="458">
      <c r="A458" t="inlineStr">
        <is>
          <t>ypfqlkrrqevp8h4|Mirage</t>
        </is>
      </c>
      <c r="B458" t="inlineStr">
        <is>
          <t>ypfqlkrrqevp8h4</t>
        </is>
      </c>
      <c r="C458" t="inlineStr">
        <is>
          <t>Moseyuh</t>
        </is>
      </c>
      <c r="D458" t="inlineStr">
        <is>
          <t>CS2</t>
        </is>
      </c>
      <c r="E458" t="inlineStr">
        <is>
          <t>Mirage</t>
        </is>
      </c>
      <c r="F458" t="n">
        <v>9</v>
      </c>
      <c r="G458" t="n">
        <v>10.9</v>
      </c>
      <c r="H458" t="n">
        <v>0.55</v>
      </c>
      <c r="I458" s="8" t="n">
        <v>0.6629999999999999</v>
      </c>
      <c r="J458" t="n">
        <v>0.84</v>
      </c>
      <c r="K458" s="11">
        <f>IF(H458&lt;&gt;"",H458,IFERROR(G458/INDEX(Players!$M$2:$M$124,MATCH(B458,Players!$A$2:$A$124,0)),""))</f>
        <v/>
      </c>
    </row>
    <row r="459">
      <c r="A459" t="inlineStr">
        <is>
          <t>ypfqlkrrqevp8h4|Ancient</t>
        </is>
      </c>
      <c r="B459" t="inlineStr">
        <is>
          <t>ypfqlkrrqevp8h4</t>
        </is>
      </c>
      <c r="C459" t="inlineStr">
        <is>
          <t>Moseyuh</t>
        </is>
      </c>
      <c r="D459" t="inlineStr">
        <is>
          <t>CS2</t>
        </is>
      </c>
      <c r="E459" t="inlineStr">
        <is>
          <t>Ancient</t>
        </is>
      </c>
      <c r="F459" t="n">
        <v>7</v>
      </c>
      <c r="G459" t="n">
        <v>13</v>
      </c>
      <c r="H459" t="n">
        <v>0.68</v>
      </c>
      <c r="I459" s="8" t="n">
        <v>0.648</v>
      </c>
      <c r="J459" t="n">
        <v>1.14</v>
      </c>
      <c r="K459" s="11">
        <f>IF(H459&lt;&gt;"",H459,IFERROR(G459/INDEX(Players!$M$2:$M$124,MATCH(B459,Players!$A$2:$A$124,0)),""))</f>
        <v/>
      </c>
    </row>
    <row r="460">
      <c r="A460" t="inlineStr">
        <is>
          <t>ypfqlkrrqevp8h4|Inferno</t>
        </is>
      </c>
      <c r="B460" t="inlineStr">
        <is>
          <t>ypfqlkrrqevp8h4</t>
        </is>
      </c>
      <c r="C460" t="inlineStr">
        <is>
          <t>Moseyuh</t>
        </is>
      </c>
      <c r="D460" t="inlineStr">
        <is>
          <t>CS2</t>
        </is>
      </c>
      <c r="E460" t="inlineStr">
        <is>
          <t>Inferno</t>
        </is>
      </c>
      <c r="F460" t="n">
        <v>6</v>
      </c>
      <c r="G460" t="n">
        <v>8.5</v>
      </c>
      <c r="H460" t="n">
        <v>0.42</v>
      </c>
      <c r="I460" s="8" t="n">
        <v>0.49</v>
      </c>
      <c r="J460" t="n">
        <v>0.7</v>
      </c>
      <c r="K460" s="11">
        <f>IF(H460&lt;&gt;"",H460,IFERROR(G460/INDEX(Players!$M$2:$M$124,MATCH(B460,Players!$A$2:$A$124,0)),""))</f>
        <v/>
      </c>
    </row>
    <row r="461">
      <c r="A461" t="inlineStr">
        <is>
          <t>ypfqlkrrqevp8h4|Cache</t>
        </is>
      </c>
      <c r="B461" t="inlineStr">
        <is>
          <t>ypfqlkrrqevp8h4</t>
        </is>
      </c>
      <c r="C461" t="inlineStr">
        <is>
          <t>Moseyuh</t>
        </is>
      </c>
      <c r="D461" t="inlineStr">
        <is>
          <t>CS2</t>
        </is>
      </c>
      <c r="E461" t="inlineStr">
        <is>
          <t>Cache</t>
        </is>
      </c>
      <c r="F461" t="n">
        <v>4</v>
      </c>
      <c r="G461" t="n">
        <v>14.5</v>
      </c>
      <c r="H461" t="n">
        <v>0.77</v>
      </c>
      <c r="I461" s="8" t="n">
        <v>0.6899999999999999</v>
      </c>
      <c r="J461" t="n">
        <v>1.45</v>
      </c>
      <c r="K461" s="11">
        <f>IF(H461&lt;&gt;"",H461,IFERROR(G461/INDEX(Players!$M$2:$M$124,MATCH(B461,Players!$A$2:$A$124,0)),""))</f>
        <v/>
      </c>
    </row>
    <row r="462">
      <c r="A462" t="inlineStr">
        <is>
          <t>ypfqlkrrqevp8h4|Nuke</t>
        </is>
      </c>
      <c r="B462" t="inlineStr">
        <is>
          <t>ypfqlkrrqevp8h4</t>
        </is>
      </c>
      <c r="C462" t="inlineStr">
        <is>
          <t>Moseyuh</t>
        </is>
      </c>
      <c r="D462" t="inlineStr">
        <is>
          <t>CS2</t>
        </is>
      </c>
      <c r="E462" t="inlineStr">
        <is>
          <t>Nuke</t>
        </is>
      </c>
      <c r="F462" t="n">
        <v>4</v>
      </c>
      <c r="G462" t="n">
        <v>14.8</v>
      </c>
      <c r="H462" t="n">
        <v>0.66</v>
      </c>
      <c r="I462" s="8" t="n">
        <v>0.644</v>
      </c>
      <c r="J462" t="n">
        <v>0.86</v>
      </c>
      <c r="K462" s="11">
        <f>IF(H462&lt;&gt;"",H462,IFERROR(G462/INDEX(Players!$M$2:$M$124,MATCH(B462,Players!$A$2:$A$124,0)),""))</f>
        <v/>
      </c>
    </row>
    <row r="463">
      <c r="A463" t="inlineStr">
        <is>
          <t>ypfqlkrrqevp8h4|Anubis</t>
        </is>
      </c>
      <c r="B463" t="inlineStr">
        <is>
          <t>ypfqlkrrqevp8h4</t>
        </is>
      </c>
      <c r="C463" t="inlineStr">
        <is>
          <t>Moseyuh</t>
        </is>
      </c>
      <c r="D463" t="inlineStr">
        <is>
          <t>CS2</t>
        </is>
      </c>
      <c r="E463" t="inlineStr">
        <is>
          <t>Anubis</t>
        </is>
      </c>
      <c r="F463" t="n">
        <v>2</v>
      </c>
      <c r="G463" t="n">
        <v>14</v>
      </c>
      <c r="H463" t="n">
        <v>0.68</v>
      </c>
      <c r="I463" s="8" t="n">
        <v>0.7140000000000001</v>
      </c>
      <c r="J463" t="n">
        <v>0.8</v>
      </c>
      <c r="K463" s="11">
        <f>IF(H463&lt;&gt;"",H463,IFERROR(G463/INDEX(Players!$M$2:$M$124,MATCH(B463,Players!$A$2:$A$124,0)),""))</f>
        <v/>
      </c>
    </row>
    <row r="464">
      <c r="A464" t="inlineStr">
        <is>
          <t>wgxwl9snnyzsfwq|Dust2</t>
        </is>
      </c>
      <c r="B464" t="inlineStr">
        <is>
          <t>wgxwl9snnyzsfwq</t>
        </is>
      </c>
      <c r="C464" t="inlineStr">
        <is>
          <t>n1ssim</t>
        </is>
      </c>
      <c r="D464" t="inlineStr">
        <is>
          <t>CS2</t>
        </is>
      </c>
      <c r="E464" t="inlineStr">
        <is>
          <t>Dust2</t>
        </is>
      </c>
      <c r="F464" t="n">
        <v>11</v>
      </c>
      <c r="G464" t="n">
        <v>11.6</v>
      </c>
      <c r="H464" t="n">
        <v>0.57</v>
      </c>
      <c r="I464" s="8" t="n">
        <v>0.531</v>
      </c>
      <c r="J464" t="n">
        <v>0.86</v>
      </c>
      <c r="K464" s="11">
        <f>IF(H464&lt;&gt;"",H464,IFERROR(G464/INDEX(Players!$M$2:$M$124,MATCH(B464,Players!$A$2:$A$124,0)),""))</f>
        <v/>
      </c>
    </row>
    <row r="465">
      <c r="A465" t="inlineStr">
        <is>
          <t>wgxwl9snnyzsfwq|Mirage</t>
        </is>
      </c>
      <c r="B465" t="inlineStr">
        <is>
          <t>wgxwl9snnyzsfwq</t>
        </is>
      </c>
      <c r="C465" t="inlineStr">
        <is>
          <t>n1ssim</t>
        </is>
      </c>
      <c r="D465" t="inlineStr">
        <is>
          <t>CS2</t>
        </is>
      </c>
      <c r="E465" t="inlineStr">
        <is>
          <t>Mirage</t>
        </is>
      </c>
      <c r="F465" t="n">
        <v>10</v>
      </c>
      <c r="G465" t="n">
        <v>15.6</v>
      </c>
      <c r="H465" t="n">
        <v>0.66</v>
      </c>
      <c r="I465" s="8" t="n">
        <v>0.506</v>
      </c>
      <c r="J465" t="n">
        <v>1.08</v>
      </c>
      <c r="K465" s="11">
        <f>IF(H465&lt;&gt;"",H465,IFERROR(G465/INDEX(Players!$M$2:$M$124,MATCH(B465,Players!$A$2:$A$124,0)),""))</f>
        <v/>
      </c>
    </row>
    <row r="466">
      <c r="A466" t="inlineStr">
        <is>
          <t>wgxwl9snnyzsfwq|Ancient</t>
        </is>
      </c>
      <c r="B466" t="inlineStr">
        <is>
          <t>wgxwl9snnyzsfwq</t>
        </is>
      </c>
      <c r="C466" t="inlineStr">
        <is>
          <t>n1ssim</t>
        </is>
      </c>
      <c r="D466" t="inlineStr">
        <is>
          <t>CS2</t>
        </is>
      </c>
      <c r="E466" t="inlineStr">
        <is>
          <t>Ancient</t>
        </is>
      </c>
      <c r="F466" t="n">
        <v>8</v>
      </c>
      <c r="G466" t="n">
        <v>17.3</v>
      </c>
      <c r="H466" t="n">
        <v>0.66</v>
      </c>
      <c r="I466" s="8" t="n">
        <v>0.5</v>
      </c>
      <c r="J466" t="n">
        <v>1.04</v>
      </c>
      <c r="K466" s="11">
        <f>IF(H466&lt;&gt;"",H466,IFERROR(G466/INDEX(Players!$M$2:$M$124,MATCH(B466,Players!$A$2:$A$124,0)),""))</f>
        <v/>
      </c>
    </row>
    <row r="467">
      <c r="A467" t="inlineStr">
        <is>
          <t>wgxwl9snnyzsfwq|Nuke</t>
        </is>
      </c>
      <c r="B467" t="inlineStr">
        <is>
          <t>wgxwl9snnyzsfwq</t>
        </is>
      </c>
      <c r="C467" t="inlineStr">
        <is>
          <t>n1ssim</t>
        </is>
      </c>
      <c r="D467" t="inlineStr">
        <is>
          <t>CS2</t>
        </is>
      </c>
      <c r="E467" t="inlineStr">
        <is>
          <t>Nuke</t>
        </is>
      </c>
      <c r="F467" t="n">
        <v>4</v>
      </c>
      <c r="G467" t="n">
        <v>18</v>
      </c>
      <c r="H467" t="n">
        <v>0.7</v>
      </c>
      <c r="I467" s="8" t="n">
        <v>0.556</v>
      </c>
      <c r="J467" t="n">
        <v>1.14</v>
      </c>
      <c r="K467" s="11">
        <f>IF(H467&lt;&gt;"",H467,IFERROR(G467/INDEX(Players!$M$2:$M$124,MATCH(B467,Players!$A$2:$A$124,0)),""))</f>
        <v/>
      </c>
    </row>
    <row r="468">
      <c r="A468" t="inlineStr">
        <is>
          <t>wgxwl9snnyzsfwq|Inferno</t>
        </is>
      </c>
      <c r="B468" t="inlineStr">
        <is>
          <t>wgxwl9snnyzsfwq</t>
        </is>
      </c>
      <c r="C468" t="inlineStr">
        <is>
          <t>n1ssim</t>
        </is>
      </c>
      <c r="D468" t="inlineStr">
        <is>
          <t>CS2</t>
        </is>
      </c>
      <c r="E468" t="inlineStr">
        <is>
          <t>Inferno</t>
        </is>
      </c>
      <c r="F468" t="n">
        <v>4</v>
      </c>
      <c r="G468" t="n">
        <v>10.8</v>
      </c>
      <c r="H468" t="n">
        <v>0.54</v>
      </c>
      <c r="I468" s="8" t="n">
        <v>0.5579999999999999</v>
      </c>
      <c r="J468" t="n">
        <v>0.83</v>
      </c>
      <c r="K468" s="11">
        <f>IF(H468&lt;&gt;"",H468,IFERROR(G468/INDEX(Players!$M$2:$M$124,MATCH(B468,Players!$A$2:$A$124,0)),""))</f>
        <v/>
      </c>
    </row>
    <row r="469">
      <c r="A469" t="inlineStr">
        <is>
          <t>wgxwl9snnyzsfwq|Cache</t>
        </is>
      </c>
      <c r="B469" t="inlineStr">
        <is>
          <t>wgxwl9snnyzsfwq</t>
        </is>
      </c>
      <c r="C469" t="inlineStr">
        <is>
          <t>n1ssim</t>
        </is>
      </c>
      <c r="D469" t="inlineStr">
        <is>
          <t>CS2</t>
        </is>
      </c>
      <c r="E469" t="inlineStr">
        <is>
          <t>Cache</t>
        </is>
      </c>
      <c r="F469" t="n">
        <v>2</v>
      </c>
      <c r="G469" t="n">
        <v>10</v>
      </c>
      <c r="H469" t="n">
        <v>0.5</v>
      </c>
      <c r="I469" s="8" t="n">
        <v>0.65</v>
      </c>
      <c r="J469" t="n">
        <v>0.77</v>
      </c>
      <c r="K469" s="11">
        <f>IF(H469&lt;&gt;"",H469,IFERROR(G469/INDEX(Players!$M$2:$M$124,MATCH(B469,Players!$A$2:$A$124,0)),""))</f>
        <v/>
      </c>
    </row>
    <row r="470">
      <c r="A470" t="inlineStr">
        <is>
          <t>as14gj4lvoykr11|Mirage</t>
        </is>
      </c>
      <c r="B470" t="inlineStr">
        <is>
          <t>as14gj4lvoykr11</t>
        </is>
      </c>
      <c r="C470" t="inlineStr">
        <is>
          <t>NAF</t>
        </is>
      </c>
      <c r="D470" t="inlineStr">
        <is>
          <t>CS2</t>
        </is>
      </c>
      <c r="E470" t="inlineStr">
        <is>
          <t>Mirage</t>
        </is>
      </c>
      <c r="F470" t="n">
        <v>7</v>
      </c>
      <c r="G470" t="n">
        <v>16.3</v>
      </c>
      <c r="H470" t="n">
        <v>0.6899999999999999</v>
      </c>
      <c r="I470" s="8" t="n">
        <v>0.5</v>
      </c>
      <c r="J470" t="n">
        <v>1.19</v>
      </c>
      <c r="K470" s="11">
        <f>IF(H470&lt;&gt;"",H470,IFERROR(G470/INDEX(Players!$M$2:$M$124,MATCH(B470,Players!$A$2:$A$124,0)),""))</f>
        <v/>
      </c>
    </row>
    <row r="471">
      <c r="A471" t="inlineStr">
        <is>
          <t>as14gj4lvoykr11|Cache</t>
        </is>
      </c>
      <c r="B471" t="inlineStr">
        <is>
          <t>as14gj4lvoykr11</t>
        </is>
      </c>
      <c r="C471" t="inlineStr">
        <is>
          <t>NAF</t>
        </is>
      </c>
      <c r="D471" t="inlineStr">
        <is>
          <t>CS2</t>
        </is>
      </c>
      <c r="E471" t="inlineStr">
        <is>
          <t>Cache</t>
        </is>
      </c>
      <c r="F471" t="n">
        <v>7</v>
      </c>
      <c r="G471" t="n">
        <v>13.7</v>
      </c>
      <c r="H471" t="n">
        <v>0.62</v>
      </c>
      <c r="I471" s="8" t="n">
        <v>0.542</v>
      </c>
      <c r="J471" t="n">
        <v>0.96</v>
      </c>
      <c r="K471" s="11">
        <f>IF(H471&lt;&gt;"",H471,IFERROR(G471/INDEX(Players!$M$2:$M$124,MATCH(B471,Players!$A$2:$A$124,0)),""))</f>
        <v/>
      </c>
    </row>
    <row r="472">
      <c r="A472" t="inlineStr">
        <is>
          <t>as14gj4lvoykr11|Inferno</t>
        </is>
      </c>
      <c r="B472" t="inlineStr">
        <is>
          <t>as14gj4lvoykr11</t>
        </is>
      </c>
      <c r="C472" t="inlineStr">
        <is>
          <t>NAF</t>
        </is>
      </c>
      <c r="D472" t="inlineStr">
        <is>
          <t>CS2</t>
        </is>
      </c>
      <c r="E472" t="inlineStr">
        <is>
          <t>Inferno</t>
        </is>
      </c>
      <c r="F472" t="n">
        <v>5</v>
      </c>
      <c r="G472" t="n">
        <v>15</v>
      </c>
      <c r="H472" t="n">
        <v>0.74</v>
      </c>
      <c r="I472" s="8" t="n">
        <v>0.64</v>
      </c>
      <c r="J472" t="n">
        <v>1.7</v>
      </c>
      <c r="K472" s="11">
        <f>IF(H472&lt;&gt;"",H472,IFERROR(G472/INDEX(Players!$M$2:$M$124,MATCH(B472,Players!$A$2:$A$124,0)),""))</f>
        <v/>
      </c>
    </row>
    <row r="473">
      <c r="A473" t="inlineStr">
        <is>
          <t>as14gj4lvoykr11|Nuke</t>
        </is>
      </c>
      <c r="B473" t="inlineStr">
        <is>
          <t>as14gj4lvoykr11</t>
        </is>
      </c>
      <c r="C473" t="inlineStr">
        <is>
          <t>NAF</t>
        </is>
      </c>
      <c r="D473" t="inlineStr">
        <is>
          <t>CS2</t>
        </is>
      </c>
      <c r="E473" t="inlineStr">
        <is>
          <t>Nuke</t>
        </is>
      </c>
      <c r="F473" t="n">
        <v>4</v>
      </c>
      <c r="G473" t="n">
        <v>12.5</v>
      </c>
      <c r="H473" t="n">
        <v>0.6</v>
      </c>
      <c r="I473" s="8" t="n">
        <v>0.52</v>
      </c>
      <c r="J473" t="n">
        <v>0.85</v>
      </c>
      <c r="K473" s="11">
        <f>IF(H473&lt;&gt;"",H473,IFERROR(G473/INDEX(Players!$M$2:$M$124,MATCH(B473,Players!$A$2:$A$124,0)),""))</f>
        <v/>
      </c>
    </row>
    <row r="474">
      <c r="A474" t="inlineStr">
        <is>
          <t>as14gj4lvoykr11|Anubis</t>
        </is>
      </c>
      <c r="B474" t="inlineStr">
        <is>
          <t>as14gj4lvoykr11</t>
        </is>
      </c>
      <c r="C474" t="inlineStr">
        <is>
          <t>NAF</t>
        </is>
      </c>
      <c r="D474" t="inlineStr">
        <is>
          <t>CS2</t>
        </is>
      </c>
      <c r="E474" t="inlineStr">
        <is>
          <t>Anubis</t>
        </is>
      </c>
      <c r="F474" t="n">
        <v>3</v>
      </c>
      <c r="G474" t="n">
        <v>16.3</v>
      </c>
      <c r="H474" t="n">
        <v>0.82</v>
      </c>
      <c r="I474" s="8" t="n">
        <v>0.5920000000000001</v>
      </c>
      <c r="J474" t="n">
        <v>1.48</v>
      </c>
      <c r="K474" s="11">
        <f>IF(H474&lt;&gt;"",H474,IFERROR(G474/INDEX(Players!$M$2:$M$124,MATCH(B474,Players!$A$2:$A$124,0)),""))</f>
        <v/>
      </c>
    </row>
    <row r="475">
      <c r="A475" t="inlineStr">
        <is>
          <t>as14gj4lvoykr11|Dust2</t>
        </is>
      </c>
      <c r="B475" t="inlineStr">
        <is>
          <t>as14gj4lvoykr11</t>
        </is>
      </c>
      <c r="C475" t="inlineStr">
        <is>
          <t>NAF</t>
        </is>
      </c>
      <c r="D475" t="inlineStr">
        <is>
          <t>CS2</t>
        </is>
      </c>
      <c r="E475" t="inlineStr">
        <is>
          <t>Dust2</t>
        </is>
      </c>
      <c r="F475" t="n">
        <v>3</v>
      </c>
      <c r="G475" t="n">
        <v>12</v>
      </c>
      <c r="H475" t="n">
        <v>0.6</v>
      </c>
      <c r="I475" s="8" t="n">
        <v>0.472</v>
      </c>
      <c r="J475" t="n">
        <v>1.06</v>
      </c>
      <c r="K475" s="11">
        <f>IF(H475&lt;&gt;"",H475,IFERROR(G475/INDEX(Players!$M$2:$M$124,MATCH(B475,Players!$A$2:$A$124,0)),""))</f>
        <v/>
      </c>
    </row>
    <row r="476">
      <c r="A476" t="inlineStr">
        <is>
          <t>as14gj4lvoykr11|Ancient</t>
        </is>
      </c>
      <c r="B476" t="inlineStr">
        <is>
          <t>as14gj4lvoykr11</t>
        </is>
      </c>
      <c r="C476" t="inlineStr">
        <is>
          <t>NAF</t>
        </is>
      </c>
      <c r="D476" t="inlineStr">
        <is>
          <t>CS2</t>
        </is>
      </c>
      <c r="E476" t="inlineStr">
        <is>
          <t>Ancient</t>
        </is>
      </c>
      <c r="F476" t="n">
        <v>1</v>
      </c>
      <c r="G476" t="n">
        <v>21</v>
      </c>
      <c r="H476" t="n">
        <v>0.72</v>
      </c>
      <c r="I476" s="8" t="n">
        <v>0.476</v>
      </c>
      <c r="J476" t="n">
        <v>1.11</v>
      </c>
      <c r="K476" s="11">
        <f>IF(H476&lt;&gt;"",H476,IFERROR(G476/INDEX(Players!$M$2:$M$124,MATCH(B476,Players!$A$2:$A$124,0)),""))</f>
        <v/>
      </c>
    </row>
    <row r="477">
      <c r="A477" t="inlineStr">
        <is>
          <t>l65e6bpbpsopabo|Mirage</t>
        </is>
      </c>
      <c r="B477" t="inlineStr">
        <is>
          <t>l65e6bpbpsopabo</t>
        </is>
      </c>
      <c r="C477" t="inlineStr">
        <is>
          <t>nbqq</t>
        </is>
      </c>
      <c r="D477" t="inlineStr">
        <is>
          <t>CS2</t>
        </is>
      </c>
      <c r="E477" t="inlineStr">
        <is>
          <t>Mirage</t>
        </is>
      </c>
      <c r="F477" t="n">
        <v>11</v>
      </c>
      <c r="G477" t="n">
        <v>13.1</v>
      </c>
      <c r="H477" t="n">
        <v>0.64</v>
      </c>
      <c r="I477" s="8" t="n">
        <v>0.535</v>
      </c>
      <c r="J477" t="n">
        <v>0.9399999999999999</v>
      </c>
      <c r="K477" s="11">
        <f>IF(H477&lt;&gt;"",H477,IFERROR(G477/INDEX(Players!$M$2:$M$124,MATCH(B477,Players!$A$2:$A$124,0)),""))</f>
        <v/>
      </c>
    </row>
    <row r="478">
      <c r="A478" t="inlineStr">
        <is>
          <t>l65e6bpbpsopabo|Dust2</t>
        </is>
      </c>
      <c r="B478" t="inlineStr">
        <is>
          <t>l65e6bpbpsopabo</t>
        </is>
      </c>
      <c r="C478" t="inlineStr">
        <is>
          <t>nbqq</t>
        </is>
      </c>
      <c r="D478" t="inlineStr">
        <is>
          <t>CS2</t>
        </is>
      </c>
      <c r="E478" t="inlineStr">
        <is>
          <t>Dust2</t>
        </is>
      </c>
      <c r="F478" t="n">
        <v>6</v>
      </c>
      <c r="G478" t="n">
        <v>16.3</v>
      </c>
      <c r="H478" t="n">
        <v>0.73</v>
      </c>
      <c r="I478" s="8" t="n">
        <v>0.418</v>
      </c>
      <c r="J478" t="n">
        <v>1.15</v>
      </c>
      <c r="K478" s="11">
        <f>IF(H478&lt;&gt;"",H478,IFERROR(G478/INDEX(Players!$M$2:$M$124,MATCH(B478,Players!$A$2:$A$124,0)),""))</f>
        <v/>
      </c>
    </row>
    <row r="479">
      <c r="A479" t="inlineStr">
        <is>
          <t>l65e6bpbpsopabo|Anubis</t>
        </is>
      </c>
      <c r="B479" t="inlineStr">
        <is>
          <t>l65e6bpbpsopabo</t>
        </is>
      </c>
      <c r="C479" t="inlineStr">
        <is>
          <t>nbqq</t>
        </is>
      </c>
      <c r="D479" t="inlineStr">
        <is>
          <t>CS2</t>
        </is>
      </c>
      <c r="E479" t="inlineStr">
        <is>
          <t>Anubis</t>
        </is>
      </c>
      <c r="F479" t="n">
        <v>6</v>
      </c>
      <c r="G479" t="n">
        <v>16.2</v>
      </c>
      <c r="H479" t="n">
        <v>0.6899999999999999</v>
      </c>
      <c r="I479" s="8" t="n">
        <v>0.464</v>
      </c>
      <c r="J479" t="n">
        <v>0.9399999999999999</v>
      </c>
      <c r="K479" s="11">
        <f>IF(H479&lt;&gt;"",H479,IFERROR(G479/INDEX(Players!$M$2:$M$124,MATCH(B479,Players!$A$2:$A$124,0)),""))</f>
        <v/>
      </c>
    </row>
    <row r="480">
      <c r="A480" t="inlineStr">
        <is>
          <t>l65e6bpbpsopabo|Inferno</t>
        </is>
      </c>
      <c r="B480" t="inlineStr">
        <is>
          <t>l65e6bpbpsopabo</t>
        </is>
      </c>
      <c r="C480" t="inlineStr">
        <is>
          <t>nbqq</t>
        </is>
      </c>
      <c r="D480" t="inlineStr">
        <is>
          <t>CS2</t>
        </is>
      </c>
      <c r="E480" t="inlineStr">
        <is>
          <t>Inferno</t>
        </is>
      </c>
      <c r="F480" t="n">
        <v>6</v>
      </c>
      <c r="G480" t="n">
        <v>13.5</v>
      </c>
      <c r="H480" t="n">
        <v>0.55</v>
      </c>
      <c r="I480" s="8" t="n">
        <v>0.506</v>
      </c>
      <c r="J480" t="n">
        <v>0.87</v>
      </c>
      <c r="K480" s="11">
        <f>IF(H480&lt;&gt;"",H480,IFERROR(G480/INDEX(Players!$M$2:$M$124,MATCH(B480,Players!$A$2:$A$124,0)),""))</f>
        <v/>
      </c>
    </row>
    <row r="481">
      <c r="A481" t="inlineStr">
        <is>
          <t>l65e6bpbpsopabo|Nuke</t>
        </is>
      </c>
      <c r="B481" t="inlineStr">
        <is>
          <t>l65e6bpbpsopabo</t>
        </is>
      </c>
      <c r="C481" t="inlineStr">
        <is>
          <t>nbqq</t>
        </is>
      </c>
      <c r="D481" t="inlineStr">
        <is>
          <t>CS2</t>
        </is>
      </c>
      <c r="E481" t="inlineStr">
        <is>
          <t>Nuke</t>
        </is>
      </c>
      <c r="F481" t="n">
        <v>4</v>
      </c>
      <c r="G481" t="n">
        <v>13.5</v>
      </c>
      <c r="H481" t="n">
        <v>0.71</v>
      </c>
      <c r="I481" s="8" t="n">
        <v>0.37</v>
      </c>
      <c r="J481" t="n">
        <v>1.04</v>
      </c>
      <c r="K481" s="11">
        <f>IF(H481&lt;&gt;"",H481,IFERROR(G481/INDEX(Players!$M$2:$M$124,MATCH(B481,Players!$A$2:$A$124,0)),""))</f>
        <v/>
      </c>
    </row>
    <row r="482">
      <c r="A482" t="inlineStr">
        <is>
          <t>l65e6bpbpsopabo|Cache</t>
        </is>
      </c>
      <c r="B482" t="inlineStr">
        <is>
          <t>l65e6bpbpsopabo</t>
        </is>
      </c>
      <c r="C482" t="inlineStr">
        <is>
          <t>nbqq</t>
        </is>
      </c>
      <c r="D482" t="inlineStr">
        <is>
          <t>CS2</t>
        </is>
      </c>
      <c r="E482" t="inlineStr">
        <is>
          <t>Cache</t>
        </is>
      </c>
      <c r="F482" t="n">
        <v>3</v>
      </c>
      <c r="G482" t="n">
        <v>12.7</v>
      </c>
      <c r="H482" t="n">
        <v>0.52</v>
      </c>
      <c r="I482" s="8" t="n">
        <v>0.5529999999999999</v>
      </c>
      <c r="J482" t="n">
        <v>0.79</v>
      </c>
      <c r="K482" s="11">
        <f>IF(H482&lt;&gt;"",H482,IFERROR(G482/INDEX(Players!$M$2:$M$124,MATCH(B482,Players!$A$2:$A$124,0)),""))</f>
        <v/>
      </c>
    </row>
    <row r="483">
      <c r="A483" t="inlineStr">
        <is>
          <t>l65e6bpbpsopabo|Ancient</t>
        </is>
      </c>
      <c r="B483" t="inlineStr">
        <is>
          <t>l65e6bpbpsopabo</t>
        </is>
      </c>
      <c r="C483" t="inlineStr">
        <is>
          <t>nbqq</t>
        </is>
      </c>
      <c r="D483" t="inlineStr">
        <is>
          <t>CS2</t>
        </is>
      </c>
      <c r="E483" t="inlineStr">
        <is>
          <t>Ancient</t>
        </is>
      </c>
      <c r="F483" t="n">
        <v>2</v>
      </c>
      <c r="G483" t="n">
        <v>17.5</v>
      </c>
      <c r="H483" t="n">
        <v>0.85</v>
      </c>
      <c r="I483" s="8" t="n">
        <v>0.629</v>
      </c>
      <c r="J483" t="n">
        <v>1.13</v>
      </c>
      <c r="K483" s="11">
        <f>IF(H483&lt;&gt;"",H483,IFERROR(G483/INDEX(Players!$M$2:$M$124,MATCH(B483,Players!$A$2:$A$124,0)),""))</f>
        <v/>
      </c>
    </row>
    <row r="484">
      <c r="A484" t="inlineStr">
        <is>
          <t>ysvz6uswynmfc98|Ancient</t>
        </is>
      </c>
      <c r="B484" t="inlineStr">
        <is>
          <t>ysvz6uswynmfc98</t>
        </is>
      </c>
      <c r="C484" t="inlineStr">
        <is>
          <t>NertZ</t>
        </is>
      </c>
      <c r="D484" t="inlineStr">
        <is>
          <t>CS2</t>
        </is>
      </c>
      <c r="E484" t="inlineStr">
        <is>
          <t>Ancient</t>
        </is>
      </c>
      <c r="F484" t="n">
        <v>11</v>
      </c>
      <c r="G484" t="n">
        <v>16</v>
      </c>
      <c r="H484" t="n">
        <v>0.77</v>
      </c>
      <c r="I484" s="8" t="n">
        <v>0.534</v>
      </c>
      <c r="J484" t="n">
        <v>1.14</v>
      </c>
      <c r="K484" s="11">
        <f>IF(H484&lt;&gt;"",H484,IFERROR(G484/INDEX(Players!$M$2:$M$124,MATCH(B484,Players!$A$2:$A$124,0)),""))</f>
        <v/>
      </c>
    </row>
    <row r="485">
      <c r="A485" t="inlineStr">
        <is>
          <t>ysvz6uswynmfc98|Inferno</t>
        </is>
      </c>
      <c r="B485" t="inlineStr">
        <is>
          <t>ysvz6uswynmfc98</t>
        </is>
      </c>
      <c r="C485" t="inlineStr">
        <is>
          <t>NertZ</t>
        </is>
      </c>
      <c r="D485" t="inlineStr">
        <is>
          <t>CS2</t>
        </is>
      </c>
      <c r="E485" t="inlineStr">
        <is>
          <t>Inferno</t>
        </is>
      </c>
      <c r="F485" t="n">
        <v>8</v>
      </c>
      <c r="G485" t="n">
        <v>13.6</v>
      </c>
      <c r="H485" t="n">
        <v>0.6</v>
      </c>
      <c r="I485" s="8" t="n">
        <v>0.514</v>
      </c>
      <c r="J485" t="n">
        <v>0.82</v>
      </c>
      <c r="K485" s="11">
        <f>IF(H485&lt;&gt;"",H485,IFERROR(G485/INDEX(Players!$M$2:$M$124,MATCH(B485,Players!$A$2:$A$124,0)),""))</f>
        <v/>
      </c>
    </row>
    <row r="486">
      <c r="A486" t="inlineStr">
        <is>
          <t>ysvz6uswynmfc98|Dust2</t>
        </is>
      </c>
      <c r="B486" t="inlineStr">
        <is>
          <t>ysvz6uswynmfc98</t>
        </is>
      </c>
      <c r="C486" t="inlineStr">
        <is>
          <t>NertZ</t>
        </is>
      </c>
      <c r="D486" t="inlineStr">
        <is>
          <t>CS2</t>
        </is>
      </c>
      <c r="E486" t="inlineStr">
        <is>
          <t>Dust2</t>
        </is>
      </c>
      <c r="F486" t="n">
        <v>7</v>
      </c>
      <c r="G486" t="n">
        <v>17.1</v>
      </c>
      <c r="H486" t="n">
        <v>0.74</v>
      </c>
      <c r="I486" s="8" t="n">
        <v>0.5670000000000001</v>
      </c>
      <c r="J486" t="n">
        <v>1.08</v>
      </c>
      <c r="K486" s="11">
        <f>IF(H486&lt;&gt;"",H486,IFERROR(G486/INDEX(Players!$M$2:$M$124,MATCH(B486,Players!$A$2:$A$124,0)),""))</f>
        <v/>
      </c>
    </row>
    <row r="487">
      <c r="A487" t="inlineStr">
        <is>
          <t>ysvz6uswynmfc98|Mirage</t>
        </is>
      </c>
      <c r="B487" t="inlineStr">
        <is>
          <t>ysvz6uswynmfc98</t>
        </is>
      </c>
      <c r="C487" t="inlineStr">
        <is>
          <t>NertZ</t>
        </is>
      </c>
      <c r="D487" t="inlineStr">
        <is>
          <t>CS2</t>
        </is>
      </c>
      <c r="E487" t="inlineStr">
        <is>
          <t>Mirage</t>
        </is>
      </c>
      <c r="F487" t="n">
        <v>6</v>
      </c>
      <c r="G487" t="n">
        <v>16.3</v>
      </c>
      <c r="H487" t="n">
        <v>0.73</v>
      </c>
      <c r="I487" s="8" t="n">
        <v>0.469</v>
      </c>
      <c r="J487" t="n">
        <v>1.09</v>
      </c>
      <c r="K487" s="11">
        <f>IF(H487&lt;&gt;"",H487,IFERROR(G487/INDEX(Players!$M$2:$M$124,MATCH(B487,Players!$A$2:$A$124,0)),""))</f>
        <v/>
      </c>
    </row>
    <row r="488">
      <c r="A488" t="inlineStr">
        <is>
          <t>ysvz6uswynmfc98|Anubis</t>
        </is>
      </c>
      <c r="B488" t="inlineStr">
        <is>
          <t>ysvz6uswynmfc98</t>
        </is>
      </c>
      <c r="C488" t="inlineStr">
        <is>
          <t>NertZ</t>
        </is>
      </c>
      <c r="D488" t="inlineStr">
        <is>
          <t>CS2</t>
        </is>
      </c>
      <c r="E488" t="inlineStr">
        <is>
          <t>Anubis</t>
        </is>
      </c>
      <c r="F488" t="n">
        <v>3</v>
      </c>
      <c r="G488" t="n">
        <v>21</v>
      </c>
      <c r="H488" t="n">
        <v>0.89</v>
      </c>
      <c r="I488" s="8" t="n">
        <v>0.556</v>
      </c>
      <c r="J488" t="n">
        <v>1.43</v>
      </c>
      <c r="K488" s="11">
        <f>IF(H488&lt;&gt;"",H488,IFERROR(G488/INDEX(Players!$M$2:$M$124,MATCH(B488,Players!$A$2:$A$124,0)),""))</f>
        <v/>
      </c>
    </row>
    <row r="489">
      <c r="A489" t="inlineStr">
        <is>
          <t>ysvz6uswynmfc98|Cache</t>
        </is>
      </c>
      <c r="B489" t="inlineStr">
        <is>
          <t>ysvz6uswynmfc98</t>
        </is>
      </c>
      <c r="C489" t="inlineStr">
        <is>
          <t>NertZ</t>
        </is>
      </c>
      <c r="D489" t="inlineStr">
        <is>
          <t>CS2</t>
        </is>
      </c>
      <c r="E489" t="inlineStr">
        <is>
          <t>Cache</t>
        </is>
      </c>
      <c r="F489" t="n">
        <v>2</v>
      </c>
      <c r="G489" t="n">
        <v>15.5</v>
      </c>
      <c r="H489" t="n">
        <v>0.76</v>
      </c>
      <c r="I489" s="8" t="n">
        <v>0.71</v>
      </c>
      <c r="J489" t="n">
        <v>1.03</v>
      </c>
      <c r="K489" s="11">
        <f>IF(H489&lt;&gt;"",H489,IFERROR(G489/INDEX(Players!$M$2:$M$124,MATCH(B489,Players!$A$2:$A$124,0)),""))</f>
        <v/>
      </c>
    </row>
    <row r="490">
      <c r="A490" t="inlineStr">
        <is>
          <t>ysvz6uswynmfc98|Nuke</t>
        </is>
      </c>
      <c r="B490" t="inlineStr">
        <is>
          <t>ysvz6uswynmfc98</t>
        </is>
      </c>
      <c r="C490" t="inlineStr">
        <is>
          <t>NertZ</t>
        </is>
      </c>
      <c r="D490" t="inlineStr">
        <is>
          <t>CS2</t>
        </is>
      </c>
      <c r="E490" t="inlineStr">
        <is>
          <t>Nuke</t>
        </is>
      </c>
      <c r="F490" t="n">
        <v>1</v>
      </c>
      <c r="G490" t="n">
        <v>16</v>
      </c>
      <c r="H490" t="n">
        <v>0.67</v>
      </c>
      <c r="I490" s="8" t="n">
        <v>0.625</v>
      </c>
      <c r="J490" t="n">
        <v>1.07</v>
      </c>
      <c r="K490" s="11">
        <f>IF(H490&lt;&gt;"",H490,IFERROR(G490/INDEX(Players!$M$2:$M$124,MATCH(B490,Players!$A$2:$A$124,0)),""))</f>
        <v/>
      </c>
    </row>
    <row r="491">
      <c r="A491" t="inlineStr">
        <is>
          <t>udiua4ttm49q2v4|Dust2</t>
        </is>
      </c>
      <c r="B491" t="inlineStr">
        <is>
          <t>udiua4ttm49q2v4</t>
        </is>
      </c>
      <c r="C491" t="inlineStr">
        <is>
          <t>NickelBack</t>
        </is>
      </c>
      <c r="D491" t="inlineStr">
        <is>
          <t>CS2</t>
        </is>
      </c>
      <c r="E491" t="inlineStr">
        <is>
          <t>Dust2</t>
        </is>
      </c>
      <c r="F491" t="n">
        <v>14</v>
      </c>
      <c r="G491" t="n">
        <v>13.5</v>
      </c>
      <c r="H491" t="n">
        <v>0.61</v>
      </c>
      <c r="I491" s="8" t="n">
        <v>0.4970000000000001</v>
      </c>
      <c r="J491" t="n">
        <v>0.87</v>
      </c>
      <c r="K491" s="11">
        <f>IF(H491&lt;&gt;"",H491,IFERROR(G491/INDEX(Players!$M$2:$M$124,MATCH(B491,Players!$A$2:$A$124,0)),""))</f>
        <v/>
      </c>
    </row>
    <row r="492">
      <c r="A492" t="inlineStr">
        <is>
          <t>udiua4ttm49q2v4|Cache</t>
        </is>
      </c>
      <c r="B492" t="inlineStr">
        <is>
          <t>udiua4ttm49q2v4</t>
        </is>
      </c>
      <c r="C492" t="inlineStr">
        <is>
          <t>NickelBack</t>
        </is>
      </c>
      <c r="D492" t="inlineStr">
        <is>
          <t>CS2</t>
        </is>
      </c>
      <c r="E492" t="inlineStr">
        <is>
          <t>Cache</t>
        </is>
      </c>
      <c r="F492" t="n">
        <v>6</v>
      </c>
      <c r="G492" t="n">
        <v>13.3</v>
      </c>
      <c r="H492" t="n">
        <v>0.68</v>
      </c>
      <c r="I492" s="8" t="n">
        <v>0.388</v>
      </c>
      <c r="J492" t="n">
        <v>1.14</v>
      </c>
      <c r="K492" s="11">
        <f>IF(H492&lt;&gt;"",H492,IFERROR(G492/INDEX(Players!$M$2:$M$124,MATCH(B492,Players!$A$2:$A$124,0)),""))</f>
        <v/>
      </c>
    </row>
    <row r="493">
      <c r="A493" t="inlineStr">
        <is>
          <t>udiua4ttm49q2v4|Mirage</t>
        </is>
      </c>
      <c r="B493" t="inlineStr">
        <is>
          <t>udiua4ttm49q2v4</t>
        </is>
      </c>
      <c r="C493" t="inlineStr">
        <is>
          <t>NickelBack</t>
        </is>
      </c>
      <c r="D493" t="inlineStr">
        <is>
          <t>CS2</t>
        </is>
      </c>
      <c r="E493" t="inlineStr">
        <is>
          <t>Mirage</t>
        </is>
      </c>
      <c r="F493" t="n">
        <v>6</v>
      </c>
      <c r="G493" t="n">
        <v>19</v>
      </c>
      <c r="H493" t="n">
        <v>0.7</v>
      </c>
      <c r="I493" s="8" t="n">
        <v>0.421</v>
      </c>
      <c r="J493" t="n">
        <v>0.95</v>
      </c>
      <c r="K493" s="11">
        <f>IF(H493&lt;&gt;"",H493,IFERROR(G493/INDEX(Players!$M$2:$M$124,MATCH(B493,Players!$A$2:$A$124,0)),""))</f>
        <v/>
      </c>
    </row>
    <row r="494">
      <c r="A494" t="inlineStr">
        <is>
          <t>udiua4ttm49q2v4|Inferno</t>
        </is>
      </c>
      <c r="B494" t="inlineStr">
        <is>
          <t>udiua4ttm49q2v4</t>
        </is>
      </c>
      <c r="C494" t="inlineStr">
        <is>
          <t>NickelBack</t>
        </is>
      </c>
      <c r="D494" t="inlineStr">
        <is>
          <t>CS2</t>
        </is>
      </c>
      <c r="E494" t="inlineStr">
        <is>
          <t>Inferno</t>
        </is>
      </c>
      <c r="F494" t="n">
        <v>3</v>
      </c>
      <c r="G494" t="n">
        <v>9.699999999999999</v>
      </c>
      <c r="H494" t="n">
        <v>0.45</v>
      </c>
      <c r="I494" s="8" t="n">
        <v>0.517</v>
      </c>
      <c r="J494" t="n">
        <v>0.66</v>
      </c>
      <c r="K494" s="11">
        <f>IF(H494&lt;&gt;"",H494,IFERROR(G494/INDEX(Players!$M$2:$M$124,MATCH(B494,Players!$A$2:$A$124,0)),""))</f>
        <v/>
      </c>
    </row>
    <row r="495">
      <c r="A495" t="inlineStr">
        <is>
          <t>udiua4ttm49q2v4|Nuke</t>
        </is>
      </c>
      <c r="B495" t="inlineStr">
        <is>
          <t>udiua4ttm49q2v4</t>
        </is>
      </c>
      <c r="C495" t="inlineStr">
        <is>
          <t>NickelBack</t>
        </is>
      </c>
      <c r="D495" t="inlineStr">
        <is>
          <t>CS2</t>
        </is>
      </c>
      <c r="E495" t="inlineStr">
        <is>
          <t>Nuke</t>
        </is>
      </c>
      <c r="F495" t="n">
        <v>3</v>
      </c>
      <c r="G495" t="n">
        <v>6.7</v>
      </c>
      <c r="H495" t="n">
        <v>0.3</v>
      </c>
      <c r="I495" s="8" t="n">
        <v>0.5</v>
      </c>
      <c r="J495" t="n">
        <v>0.38</v>
      </c>
      <c r="K495" s="11">
        <f>IF(H495&lt;&gt;"",H495,IFERROR(G495/INDEX(Players!$M$2:$M$124,MATCH(B495,Players!$A$2:$A$124,0)),""))</f>
        <v/>
      </c>
    </row>
    <row r="496">
      <c r="A496" t="inlineStr">
        <is>
          <t>udiua4ttm49q2v4|Ancient</t>
        </is>
      </c>
      <c r="B496" t="inlineStr">
        <is>
          <t>udiua4ttm49q2v4</t>
        </is>
      </c>
      <c r="C496" t="inlineStr">
        <is>
          <t>NickelBack</t>
        </is>
      </c>
      <c r="D496" t="inlineStr">
        <is>
          <t>CS2</t>
        </is>
      </c>
      <c r="E496" t="inlineStr">
        <is>
          <t>Ancient</t>
        </is>
      </c>
      <c r="F496" t="n">
        <v>2</v>
      </c>
      <c r="G496" t="n">
        <v>15</v>
      </c>
      <c r="H496" t="n">
        <v>0.55</v>
      </c>
      <c r="I496" s="8" t="n">
        <v>0.5</v>
      </c>
      <c r="J496" t="n">
        <v>0.83</v>
      </c>
      <c r="K496" s="11">
        <f>IF(H496&lt;&gt;"",H496,IFERROR(G496/INDEX(Players!$M$2:$M$124,MATCH(B496,Players!$A$2:$A$124,0)),""))</f>
        <v/>
      </c>
    </row>
    <row r="497">
      <c r="A497" t="inlineStr">
        <is>
          <t>udiua4ttm49q2v4|Anubis</t>
        </is>
      </c>
      <c r="B497" t="inlineStr">
        <is>
          <t>udiua4ttm49q2v4</t>
        </is>
      </c>
      <c r="C497" t="inlineStr">
        <is>
          <t>NickelBack</t>
        </is>
      </c>
      <c r="D497" t="inlineStr">
        <is>
          <t>CS2</t>
        </is>
      </c>
      <c r="E497" t="inlineStr">
        <is>
          <t>Anubis</t>
        </is>
      </c>
      <c r="F497" t="n">
        <v>1</v>
      </c>
      <c r="G497" t="n">
        <v>8</v>
      </c>
      <c r="H497" t="n">
        <v>0.47</v>
      </c>
      <c r="I497" s="8" t="n">
        <v>0.25</v>
      </c>
      <c r="J497" t="n">
        <v>0.47</v>
      </c>
      <c r="K497" s="11">
        <f>IF(H497&lt;&gt;"",H497,IFERROR(G497/INDEX(Players!$M$2:$M$124,MATCH(B497,Players!$A$2:$A$124,0)),""))</f>
        <v/>
      </c>
    </row>
    <row r="498">
      <c r="A498" t="inlineStr">
        <is>
          <t>dobeml44vsvpy4d|Ancient</t>
        </is>
      </c>
      <c r="B498" t="inlineStr">
        <is>
          <t>dobeml44vsvpy4d</t>
        </is>
      </c>
      <c r="C498" t="inlineStr">
        <is>
          <t>nin9</t>
        </is>
      </c>
      <c r="D498" t="inlineStr">
        <is>
          <t>CS2</t>
        </is>
      </c>
      <c r="E498" t="inlineStr">
        <is>
          <t>Ancient</t>
        </is>
      </c>
      <c r="F498" t="n">
        <v>8</v>
      </c>
      <c r="G498" t="n">
        <v>14.8</v>
      </c>
      <c r="H498" t="n">
        <v>0.72</v>
      </c>
      <c r="I498" s="8" t="n">
        <v>0.5760000000000001</v>
      </c>
      <c r="J498" t="n">
        <v>1.12</v>
      </c>
      <c r="K498" s="11">
        <f>IF(H498&lt;&gt;"",H498,IFERROR(G498/INDEX(Players!$M$2:$M$124,MATCH(B498,Players!$A$2:$A$124,0)),""))</f>
        <v/>
      </c>
    </row>
    <row r="499">
      <c r="A499" t="inlineStr">
        <is>
          <t>dobeml44vsvpy4d|Inferno</t>
        </is>
      </c>
      <c r="B499" t="inlineStr">
        <is>
          <t>dobeml44vsvpy4d</t>
        </is>
      </c>
      <c r="C499" t="inlineStr">
        <is>
          <t>nin9</t>
        </is>
      </c>
      <c r="D499" t="inlineStr">
        <is>
          <t>CS2</t>
        </is>
      </c>
      <c r="E499" t="inlineStr">
        <is>
          <t>Inferno</t>
        </is>
      </c>
      <c r="F499" t="n">
        <v>8</v>
      </c>
      <c r="G499" t="n">
        <v>13.5</v>
      </c>
      <c r="H499" t="n">
        <v>0.63</v>
      </c>
      <c r="I499" s="8" t="n">
        <v>0.556</v>
      </c>
      <c r="J499" t="n">
        <v>0.95</v>
      </c>
      <c r="K499" s="11">
        <f>IF(H499&lt;&gt;"",H499,IFERROR(G499/INDEX(Players!$M$2:$M$124,MATCH(B499,Players!$A$2:$A$124,0)),""))</f>
        <v/>
      </c>
    </row>
    <row r="500">
      <c r="A500" t="inlineStr">
        <is>
          <t>dobeml44vsvpy4d|Dust2</t>
        </is>
      </c>
      <c r="B500" t="inlineStr">
        <is>
          <t>dobeml44vsvpy4d</t>
        </is>
      </c>
      <c r="C500" t="inlineStr">
        <is>
          <t>nin9</t>
        </is>
      </c>
      <c r="D500" t="inlineStr">
        <is>
          <t>CS2</t>
        </is>
      </c>
      <c r="E500" t="inlineStr">
        <is>
          <t>Dust2</t>
        </is>
      </c>
      <c r="F500" t="n">
        <v>7</v>
      </c>
      <c r="G500" t="n">
        <v>14.4</v>
      </c>
      <c r="H500" t="n">
        <v>0.72</v>
      </c>
      <c r="I500" s="8" t="n">
        <v>0.574</v>
      </c>
      <c r="J500" t="n">
        <v>1.1</v>
      </c>
      <c r="K500" s="11">
        <f>IF(H500&lt;&gt;"",H500,IFERROR(G500/INDEX(Players!$M$2:$M$124,MATCH(B500,Players!$A$2:$A$124,0)),""))</f>
        <v/>
      </c>
    </row>
    <row r="501">
      <c r="A501" t="inlineStr">
        <is>
          <t>dobeml44vsvpy4d|Mirage</t>
        </is>
      </c>
      <c r="B501" t="inlineStr">
        <is>
          <t>dobeml44vsvpy4d</t>
        </is>
      </c>
      <c r="C501" t="inlineStr">
        <is>
          <t>nin9</t>
        </is>
      </c>
      <c r="D501" t="inlineStr">
        <is>
          <t>CS2</t>
        </is>
      </c>
      <c r="E501" t="inlineStr">
        <is>
          <t>Mirage</t>
        </is>
      </c>
      <c r="F501" t="n">
        <v>7</v>
      </c>
      <c r="G501" t="n">
        <v>12.6</v>
      </c>
      <c r="H501" t="n">
        <v>0.63</v>
      </c>
      <c r="I501" s="8" t="n">
        <v>0.5570000000000001</v>
      </c>
      <c r="J501" t="n">
        <v>0.98</v>
      </c>
      <c r="K501" s="11">
        <f>IF(H501&lt;&gt;"",H501,IFERROR(G501/INDEX(Players!$M$2:$M$124,MATCH(B501,Players!$A$2:$A$124,0)),""))</f>
        <v/>
      </c>
    </row>
    <row r="502">
      <c r="A502" t="inlineStr">
        <is>
          <t>dobeml44vsvpy4d|Nuke</t>
        </is>
      </c>
      <c r="B502" t="inlineStr">
        <is>
          <t>dobeml44vsvpy4d</t>
        </is>
      </c>
      <c r="C502" t="inlineStr">
        <is>
          <t>nin9</t>
        </is>
      </c>
      <c r="D502" t="inlineStr">
        <is>
          <t>CS2</t>
        </is>
      </c>
      <c r="E502" t="inlineStr">
        <is>
          <t>Nuke</t>
        </is>
      </c>
      <c r="F502" t="n">
        <v>5</v>
      </c>
      <c r="G502" t="n">
        <v>17.8</v>
      </c>
      <c r="H502" t="n">
        <v>0.72</v>
      </c>
      <c r="I502" s="8" t="n">
        <v>0.528</v>
      </c>
      <c r="J502" t="n">
        <v>1.03</v>
      </c>
      <c r="K502" s="11">
        <f>IF(H502&lt;&gt;"",H502,IFERROR(G502/INDEX(Players!$M$2:$M$124,MATCH(B502,Players!$A$2:$A$124,0)),""))</f>
        <v/>
      </c>
    </row>
    <row r="503">
      <c r="A503" t="inlineStr">
        <is>
          <t>dobeml44vsvpy4d|Cache</t>
        </is>
      </c>
      <c r="B503" t="inlineStr">
        <is>
          <t>dobeml44vsvpy4d</t>
        </is>
      </c>
      <c r="C503" t="inlineStr">
        <is>
          <t>nin9</t>
        </is>
      </c>
      <c r="D503" t="inlineStr">
        <is>
          <t>CS2</t>
        </is>
      </c>
      <c r="E503" t="inlineStr">
        <is>
          <t>Cache</t>
        </is>
      </c>
      <c r="F503" t="n">
        <v>2</v>
      </c>
      <c r="G503" t="n">
        <v>8.5</v>
      </c>
      <c r="H503" t="n">
        <v>0.45</v>
      </c>
      <c r="I503" s="8" t="n">
        <v>0.471</v>
      </c>
      <c r="J503" t="n">
        <v>0.59</v>
      </c>
      <c r="K503" s="11">
        <f>IF(H503&lt;&gt;"",H503,IFERROR(G503/INDEX(Players!$M$2:$M$124,MATCH(B503,Players!$A$2:$A$124,0)),""))</f>
        <v/>
      </c>
    </row>
    <row r="504">
      <c r="A504" t="inlineStr">
        <is>
          <t>x9afncgn4bx6f1l|Dust2</t>
        </is>
      </c>
      <c r="B504" t="inlineStr">
        <is>
          <t>x9afncgn4bx6f1l</t>
        </is>
      </c>
      <c r="C504" t="inlineStr">
        <is>
          <t>Oz1k</t>
        </is>
      </c>
      <c r="D504" t="inlineStr">
        <is>
          <t>CS2</t>
        </is>
      </c>
      <c r="E504" t="inlineStr">
        <is>
          <t>Dust2</t>
        </is>
      </c>
      <c r="F504" t="n">
        <v>13</v>
      </c>
      <c r="G504" t="n">
        <v>16</v>
      </c>
      <c r="H504" t="n">
        <v>0.68</v>
      </c>
      <c r="I504" s="8" t="n">
        <v>0.625</v>
      </c>
      <c r="J504" t="n">
        <v>1.01</v>
      </c>
      <c r="K504" s="11">
        <f>IF(H504&lt;&gt;"",H504,IFERROR(G504/INDEX(Players!$M$2:$M$124,MATCH(B504,Players!$A$2:$A$124,0)),""))</f>
        <v/>
      </c>
    </row>
    <row r="505">
      <c r="A505" t="inlineStr">
        <is>
          <t>x9afncgn4bx6f1l|Mirage</t>
        </is>
      </c>
      <c r="B505" t="inlineStr">
        <is>
          <t>x9afncgn4bx6f1l</t>
        </is>
      </c>
      <c r="C505" t="inlineStr">
        <is>
          <t>Oz1k</t>
        </is>
      </c>
      <c r="D505" t="inlineStr">
        <is>
          <t>CS2</t>
        </is>
      </c>
      <c r="E505" t="inlineStr">
        <is>
          <t>Mirage</t>
        </is>
      </c>
      <c r="F505" t="n">
        <v>7</v>
      </c>
      <c r="G505" t="n">
        <v>17.7</v>
      </c>
      <c r="H505" t="n">
        <v>0.73</v>
      </c>
      <c r="I505" s="8" t="n">
        <v>0.621</v>
      </c>
      <c r="J505" t="n">
        <v>1.1</v>
      </c>
      <c r="K505" s="11">
        <f>IF(H505&lt;&gt;"",H505,IFERROR(G505/INDEX(Players!$M$2:$M$124,MATCH(B505,Players!$A$2:$A$124,0)),""))</f>
        <v/>
      </c>
    </row>
    <row r="506">
      <c r="A506" t="inlineStr">
        <is>
          <t>x9afncgn4bx6f1l|Anubis</t>
        </is>
      </c>
      <c r="B506" t="inlineStr">
        <is>
          <t>x9afncgn4bx6f1l</t>
        </is>
      </c>
      <c r="C506" t="inlineStr">
        <is>
          <t>Oz1k</t>
        </is>
      </c>
      <c r="D506" t="inlineStr">
        <is>
          <t>CS2</t>
        </is>
      </c>
      <c r="E506" t="inlineStr">
        <is>
          <t>Anubis</t>
        </is>
      </c>
      <c r="F506" t="n">
        <v>5</v>
      </c>
      <c r="G506" t="n">
        <v>20.4</v>
      </c>
      <c r="H506" t="n">
        <v>0.77</v>
      </c>
      <c r="I506" s="8" t="n">
        <v>0.618</v>
      </c>
      <c r="J506" t="n">
        <v>1.11</v>
      </c>
      <c r="K506" s="11">
        <f>IF(H506&lt;&gt;"",H506,IFERROR(G506/INDEX(Players!$M$2:$M$124,MATCH(B506,Players!$A$2:$A$124,0)),""))</f>
        <v/>
      </c>
    </row>
    <row r="507">
      <c r="A507" t="inlineStr">
        <is>
          <t>x9afncgn4bx6f1l|Ancient</t>
        </is>
      </c>
      <c r="B507" t="inlineStr">
        <is>
          <t>x9afncgn4bx6f1l</t>
        </is>
      </c>
      <c r="C507" t="inlineStr">
        <is>
          <t>Oz1k</t>
        </is>
      </c>
      <c r="D507" t="inlineStr">
        <is>
          <t>CS2</t>
        </is>
      </c>
      <c r="E507" t="inlineStr">
        <is>
          <t>Ancient</t>
        </is>
      </c>
      <c r="F507" t="n">
        <v>4</v>
      </c>
      <c r="G507" t="n">
        <v>17</v>
      </c>
      <c r="H507" t="n">
        <v>0.8100000000000001</v>
      </c>
      <c r="I507" s="8" t="n">
        <v>0.6759999999999999</v>
      </c>
      <c r="J507" t="n">
        <v>1.33</v>
      </c>
      <c r="K507" s="11">
        <f>IF(H507&lt;&gt;"",H507,IFERROR(G507/INDEX(Players!$M$2:$M$124,MATCH(B507,Players!$A$2:$A$124,0)),""))</f>
        <v/>
      </c>
    </row>
    <row r="508">
      <c r="A508" t="inlineStr">
        <is>
          <t>x9afncgn4bx6f1l|Inferno</t>
        </is>
      </c>
      <c r="B508" t="inlineStr">
        <is>
          <t>x9afncgn4bx6f1l</t>
        </is>
      </c>
      <c r="C508" t="inlineStr">
        <is>
          <t>Oz1k</t>
        </is>
      </c>
      <c r="D508" t="inlineStr">
        <is>
          <t>CS2</t>
        </is>
      </c>
      <c r="E508" t="inlineStr">
        <is>
          <t>Inferno</t>
        </is>
      </c>
      <c r="F508" t="n">
        <v>4</v>
      </c>
      <c r="G508" t="n">
        <v>13.3</v>
      </c>
      <c r="H508" t="n">
        <v>0.76</v>
      </c>
      <c r="I508" s="8" t="n">
        <v>0.66</v>
      </c>
      <c r="J508" t="n">
        <v>1.2</v>
      </c>
      <c r="K508" s="11">
        <f>IF(H508&lt;&gt;"",H508,IFERROR(G508/INDEX(Players!$M$2:$M$124,MATCH(B508,Players!$A$2:$A$124,0)),""))</f>
        <v/>
      </c>
    </row>
    <row r="509">
      <c r="A509" t="inlineStr">
        <is>
          <t>x9afncgn4bx6f1l|Cache</t>
        </is>
      </c>
      <c r="B509" t="inlineStr">
        <is>
          <t>x9afncgn4bx6f1l</t>
        </is>
      </c>
      <c r="C509" t="inlineStr">
        <is>
          <t>Oz1k</t>
        </is>
      </c>
      <c r="D509" t="inlineStr">
        <is>
          <t>CS2</t>
        </is>
      </c>
      <c r="E509" t="inlineStr">
        <is>
          <t>Cache</t>
        </is>
      </c>
      <c r="F509" t="n">
        <v>4</v>
      </c>
      <c r="G509" t="n">
        <v>12</v>
      </c>
      <c r="H509" t="n">
        <v>0.6</v>
      </c>
      <c r="I509" s="8" t="n">
        <v>0.604</v>
      </c>
      <c r="J509" t="n">
        <v>0.89</v>
      </c>
      <c r="K509" s="11">
        <f>IF(H509&lt;&gt;"",H509,IFERROR(G509/INDEX(Players!$M$2:$M$124,MATCH(B509,Players!$A$2:$A$124,0)),""))</f>
        <v/>
      </c>
    </row>
    <row r="510">
      <c r="A510" t="inlineStr">
        <is>
          <t>vwa09ypl40r89pt|Nuke</t>
        </is>
      </c>
      <c r="B510" t="inlineStr">
        <is>
          <t>vwa09ypl40r89pt</t>
        </is>
      </c>
      <c r="C510" t="inlineStr">
        <is>
          <t>Plopski</t>
        </is>
      </c>
      <c r="D510" t="inlineStr">
        <is>
          <t>CS2</t>
        </is>
      </c>
      <c r="E510" t="inlineStr">
        <is>
          <t>Nuke</t>
        </is>
      </c>
      <c r="F510" t="n">
        <v>11</v>
      </c>
      <c r="G510" t="n">
        <v>16.3</v>
      </c>
      <c r="H510" t="n">
        <v>0.71</v>
      </c>
      <c r="I510" s="8" t="n">
        <v>0.542</v>
      </c>
      <c r="J510" t="n">
        <v>1.02</v>
      </c>
      <c r="K510" s="11">
        <f>IF(H510&lt;&gt;"",H510,IFERROR(G510/INDEX(Players!$M$2:$M$124,MATCH(B510,Players!$A$2:$A$124,0)),""))</f>
        <v/>
      </c>
    </row>
    <row r="511">
      <c r="A511" t="inlineStr">
        <is>
          <t>vwa09ypl40r89pt|Mirage</t>
        </is>
      </c>
      <c r="B511" t="inlineStr">
        <is>
          <t>vwa09ypl40r89pt</t>
        </is>
      </c>
      <c r="C511" t="inlineStr">
        <is>
          <t>Plopski</t>
        </is>
      </c>
      <c r="D511" t="inlineStr">
        <is>
          <t>CS2</t>
        </is>
      </c>
      <c r="E511" t="inlineStr">
        <is>
          <t>Mirage</t>
        </is>
      </c>
      <c r="F511" t="n">
        <v>7</v>
      </c>
      <c r="G511" t="n">
        <v>15.3</v>
      </c>
      <c r="H511" t="n">
        <v>0.6899999999999999</v>
      </c>
      <c r="I511" s="8" t="n">
        <v>0.486</v>
      </c>
      <c r="J511" t="n">
        <v>0.96</v>
      </c>
      <c r="K511" s="11">
        <f>IF(H511&lt;&gt;"",H511,IFERROR(G511/INDEX(Players!$M$2:$M$124,MATCH(B511,Players!$A$2:$A$124,0)),""))</f>
        <v/>
      </c>
    </row>
    <row r="512">
      <c r="A512" t="inlineStr">
        <is>
          <t>vwa09ypl40r89pt|Cache</t>
        </is>
      </c>
      <c r="B512" t="inlineStr">
        <is>
          <t>vwa09ypl40r89pt</t>
        </is>
      </c>
      <c r="C512" t="inlineStr">
        <is>
          <t>Plopski</t>
        </is>
      </c>
      <c r="D512" t="inlineStr">
        <is>
          <t>CS2</t>
        </is>
      </c>
      <c r="E512" t="inlineStr">
        <is>
          <t>Cache</t>
        </is>
      </c>
      <c r="F512" t="n">
        <v>5</v>
      </c>
      <c r="G512" t="n">
        <v>14.6</v>
      </c>
      <c r="H512" t="n">
        <v>0.7</v>
      </c>
      <c r="I512" s="8" t="n">
        <v>0.479</v>
      </c>
      <c r="J512" t="n">
        <v>1.14</v>
      </c>
      <c r="K512" s="11">
        <f>IF(H512&lt;&gt;"",H512,IFERROR(G512/INDEX(Players!$M$2:$M$124,MATCH(B512,Players!$A$2:$A$124,0)),""))</f>
        <v/>
      </c>
    </row>
    <row r="513">
      <c r="A513" t="inlineStr">
        <is>
          <t>vwa09ypl40r89pt|Anubis</t>
        </is>
      </c>
      <c r="B513" t="inlineStr">
        <is>
          <t>vwa09ypl40r89pt</t>
        </is>
      </c>
      <c r="C513" t="inlineStr">
        <is>
          <t>Plopski</t>
        </is>
      </c>
      <c r="D513" t="inlineStr">
        <is>
          <t>CS2</t>
        </is>
      </c>
      <c r="E513" t="inlineStr">
        <is>
          <t>Anubis</t>
        </is>
      </c>
      <c r="F513" t="n">
        <v>3</v>
      </c>
      <c r="G513" t="n">
        <v>14.3</v>
      </c>
      <c r="H513" t="n">
        <v>0.67</v>
      </c>
      <c r="I513" s="8" t="n">
        <v>0.512</v>
      </c>
      <c r="J513" t="n">
        <v>1.16</v>
      </c>
      <c r="K513" s="11">
        <f>IF(H513&lt;&gt;"",H513,IFERROR(G513/INDEX(Players!$M$2:$M$124,MATCH(B513,Players!$A$2:$A$124,0)),""))</f>
        <v/>
      </c>
    </row>
    <row r="514">
      <c r="A514" t="inlineStr">
        <is>
          <t>vwa09ypl40r89pt|Inferno</t>
        </is>
      </c>
      <c r="B514" t="inlineStr">
        <is>
          <t>vwa09ypl40r89pt</t>
        </is>
      </c>
      <c r="C514" t="inlineStr">
        <is>
          <t>Plopski</t>
        </is>
      </c>
      <c r="D514" t="inlineStr">
        <is>
          <t>CS2</t>
        </is>
      </c>
      <c r="E514" t="inlineStr">
        <is>
          <t>Inferno</t>
        </is>
      </c>
      <c r="F514" t="n">
        <v>3</v>
      </c>
      <c r="G514" t="n">
        <v>14.3</v>
      </c>
      <c r="H514" t="n">
        <v>0.7</v>
      </c>
      <c r="I514" s="8" t="n">
        <v>0.488</v>
      </c>
      <c r="J514" t="n">
        <v>1.07</v>
      </c>
      <c r="K514" s="11">
        <f>IF(H514&lt;&gt;"",H514,IFERROR(G514/INDEX(Players!$M$2:$M$124,MATCH(B514,Players!$A$2:$A$124,0)),""))</f>
        <v/>
      </c>
    </row>
    <row r="515">
      <c r="A515" t="inlineStr">
        <is>
          <t>vwa09ypl40r89pt|Ancient</t>
        </is>
      </c>
      <c r="B515" t="inlineStr">
        <is>
          <t>vwa09ypl40r89pt</t>
        </is>
      </c>
      <c r="C515" t="inlineStr">
        <is>
          <t>Plopski</t>
        </is>
      </c>
      <c r="D515" t="inlineStr">
        <is>
          <t>CS2</t>
        </is>
      </c>
      <c r="E515" t="inlineStr">
        <is>
          <t>Ancient</t>
        </is>
      </c>
      <c r="F515" t="n">
        <v>2</v>
      </c>
      <c r="G515" t="n">
        <v>15</v>
      </c>
      <c r="H515" t="n">
        <v>0.71</v>
      </c>
      <c r="I515" s="8" t="n">
        <v>0.5</v>
      </c>
      <c r="J515" t="n">
        <v>1.15</v>
      </c>
      <c r="K515" s="11">
        <f>IF(H515&lt;&gt;"",H515,IFERROR(G515/INDEX(Players!$M$2:$M$124,MATCH(B515,Players!$A$2:$A$124,0)),""))</f>
        <v/>
      </c>
    </row>
    <row r="516">
      <c r="A516" t="inlineStr">
        <is>
          <t>pddkiy5mogisq4i|Mirage</t>
        </is>
      </c>
      <c r="B516" t="inlineStr">
        <is>
          <t>pddkiy5mogisq4i</t>
        </is>
      </c>
      <c r="C516" t="inlineStr">
        <is>
          <t>PR</t>
        </is>
      </c>
      <c r="D516" t="inlineStr">
        <is>
          <t>CS2</t>
        </is>
      </c>
      <c r="E516" t="inlineStr">
        <is>
          <t>Mirage</t>
        </is>
      </c>
      <c r="F516" t="n">
        <v>10</v>
      </c>
      <c r="G516" t="n">
        <v>14.2</v>
      </c>
      <c r="H516" t="n">
        <v>0.64</v>
      </c>
      <c r="I516" s="8" t="n">
        <v>0.5</v>
      </c>
      <c r="J516" t="n">
        <v>1.05</v>
      </c>
      <c r="K516" s="11">
        <f>IF(H516&lt;&gt;"",H516,IFERROR(G516/INDEX(Players!$M$2:$M$124,MATCH(B516,Players!$A$2:$A$124,0)),""))</f>
        <v/>
      </c>
    </row>
    <row r="517">
      <c r="A517" t="inlineStr">
        <is>
          <t>pddkiy5mogisq4i|Cache</t>
        </is>
      </c>
      <c r="B517" t="inlineStr">
        <is>
          <t>pddkiy5mogisq4i</t>
        </is>
      </c>
      <c r="C517" t="inlineStr">
        <is>
          <t>PR</t>
        </is>
      </c>
      <c r="D517" t="inlineStr">
        <is>
          <t>CS2</t>
        </is>
      </c>
      <c r="E517" t="inlineStr">
        <is>
          <t>Cache</t>
        </is>
      </c>
      <c r="F517" t="n">
        <v>7</v>
      </c>
      <c r="G517" t="n">
        <v>13.1</v>
      </c>
      <c r="H517" t="n">
        <v>0.63</v>
      </c>
      <c r="I517" s="8" t="n">
        <v>0.467</v>
      </c>
      <c r="J517" t="n">
        <v>1.02</v>
      </c>
      <c r="K517" s="11">
        <f>IF(H517&lt;&gt;"",H517,IFERROR(G517/INDEX(Players!$M$2:$M$124,MATCH(B517,Players!$A$2:$A$124,0)),""))</f>
        <v/>
      </c>
    </row>
    <row r="518">
      <c r="A518" t="inlineStr">
        <is>
          <t>pddkiy5mogisq4i|Inferno</t>
        </is>
      </c>
      <c r="B518" t="inlineStr">
        <is>
          <t>pddkiy5mogisq4i</t>
        </is>
      </c>
      <c r="C518" t="inlineStr">
        <is>
          <t>PR</t>
        </is>
      </c>
      <c r="D518" t="inlineStr">
        <is>
          <t>CS2</t>
        </is>
      </c>
      <c r="E518" t="inlineStr">
        <is>
          <t>Inferno</t>
        </is>
      </c>
      <c r="F518" t="n">
        <v>6</v>
      </c>
      <c r="G518" t="n">
        <v>13.2</v>
      </c>
      <c r="H518" t="n">
        <v>0.64</v>
      </c>
      <c r="I518" s="8" t="n">
        <v>0.532</v>
      </c>
      <c r="J518" t="n">
        <v>1.16</v>
      </c>
      <c r="K518" s="11">
        <f>IF(H518&lt;&gt;"",H518,IFERROR(G518/INDEX(Players!$M$2:$M$124,MATCH(B518,Players!$A$2:$A$124,0)),""))</f>
        <v/>
      </c>
    </row>
    <row r="519">
      <c r="A519" t="inlineStr">
        <is>
          <t>pddkiy5mogisq4i|Nuke</t>
        </is>
      </c>
      <c r="B519" t="inlineStr">
        <is>
          <t>pddkiy5mogisq4i</t>
        </is>
      </c>
      <c r="C519" t="inlineStr">
        <is>
          <t>PR</t>
        </is>
      </c>
      <c r="D519" t="inlineStr">
        <is>
          <t>CS2</t>
        </is>
      </c>
      <c r="E519" t="inlineStr">
        <is>
          <t>Nuke</t>
        </is>
      </c>
      <c r="F519" t="n">
        <v>6</v>
      </c>
      <c r="G519" t="n">
        <v>15.3</v>
      </c>
      <c r="H519" t="n">
        <v>0.74</v>
      </c>
      <c r="I519" s="8" t="n">
        <v>0.5329999999999999</v>
      </c>
      <c r="J519" t="n">
        <v>1.11</v>
      </c>
      <c r="K519" s="11">
        <f>IF(H519&lt;&gt;"",H519,IFERROR(G519/INDEX(Players!$M$2:$M$124,MATCH(B519,Players!$A$2:$A$124,0)),""))</f>
        <v/>
      </c>
    </row>
    <row r="520">
      <c r="A520" t="inlineStr">
        <is>
          <t>pddkiy5mogisq4i|Dust2</t>
        </is>
      </c>
      <c r="B520" t="inlineStr">
        <is>
          <t>pddkiy5mogisq4i</t>
        </is>
      </c>
      <c r="C520" t="inlineStr">
        <is>
          <t>PR</t>
        </is>
      </c>
      <c r="D520" t="inlineStr">
        <is>
          <t>CS2</t>
        </is>
      </c>
      <c r="E520" t="inlineStr">
        <is>
          <t>Dust2</t>
        </is>
      </c>
      <c r="F520" t="n">
        <v>6</v>
      </c>
      <c r="G520" t="n">
        <v>12.3</v>
      </c>
      <c r="H520" t="n">
        <v>0.55</v>
      </c>
      <c r="I520" s="8" t="n">
        <v>0.595</v>
      </c>
      <c r="J520" t="n">
        <v>0.89</v>
      </c>
      <c r="K520" s="11">
        <f>IF(H520&lt;&gt;"",H520,IFERROR(G520/INDEX(Players!$M$2:$M$124,MATCH(B520,Players!$A$2:$A$124,0)),""))</f>
        <v/>
      </c>
    </row>
    <row r="521">
      <c r="A521" t="inlineStr">
        <is>
          <t>pddkiy5mogisq4i|Ancient</t>
        </is>
      </c>
      <c r="B521" t="inlineStr">
        <is>
          <t>pddkiy5mogisq4i</t>
        </is>
      </c>
      <c r="C521" t="inlineStr">
        <is>
          <t>PR</t>
        </is>
      </c>
      <c r="D521" t="inlineStr">
        <is>
          <t>CS2</t>
        </is>
      </c>
      <c r="E521" t="inlineStr">
        <is>
          <t>Ancient</t>
        </is>
      </c>
      <c r="F521" t="n">
        <v>4</v>
      </c>
      <c r="G521" t="n">
        <v>15.3</v>
      </c>
      <c r="H521" t="n">
        <v>0.75</v>
      </c>
      <c r="I521" s="8" t="n">
        <v>0.492</v>
      </c>
      <c r="J521" t="n">
        <v>1.24</v>
      </c>
      <c r="K521" s="11">
        <f>IF(H521&lt;&gt;"",H521,IFERROR(G521/INDEX(Players!$M$2:$M$124,MATCH(B521,Players!$A$2:$A$124,0)),""))</f>
        <v/>
      </c>
    </row>
    <row r="522">
      <c r="A522" t="inlineStr">
        <is>
          <t>3v2vw55rjp5df2r|Ancient</t>
        </is>
      </c>
      <c r="B522" t="inlineStr">
        <is>
          <t>3v2vw55rjp5df2r</t>
        </is>
      </c>
      <c r="C522" t="inlineStr">
        <is>
          <t>r1nkle</t>
        </is>
      </c>
      <c r="D522" t="inlineStr">
        <is>
          <t>CS2</t>
        </is>
      </c>
      <c r="E522" t="inlineStr">
        <is>
          <t>Ancient</t>
        </is>
      </c>
      <c r="F522" t="n">
        <v>11</v>
      </c>
      <c r="G522" t="n">
        <v>13</v>
      </c>
      <c r="H522" t="n">
        <v>0.62</v>
      </c>
      <c r="I522" s="8" t="n">
        <v>0.336</v>
      </c>
      <c r="J522" t="n">
        <v>1.15</v>
      </c>
      <c r="K522" s="11">
        <f>IF(H522&lt;&gt;"",H522,IFERROR(G522/INDEX(Players!$M$2:$M$124,MATCH(B522,Players!$A$2:$A$124,0)),""))</f>
        <v/>
      </c>
    </row>
    <row r="523">
      <c r="A523" t="inlineStr">
        <is>
          <t>3v2vw55rjp5df2r|Inferno</t>
        </is>
      </c>
      <c r="B523" t="inlineStr">
        <is>
          <t>3v2vw55rjp5df2r</t>
        </is>
      </c>
      <c r="C523" t="inlineStr">
        <is>
          <t>r1nkle</t>
        </is>
      </c>
      <c r="D523" t="inlineStr">
        <is>
          <t>CS2</t>
        </is>
      </c>
      <c r="E523" t="inlineStr">
        <is>
          <t>Inferno</t>
        </is>
      </c>
      <c r="F523" t="n">
        <v>8</v>
      </c>
      <c r="G523" t="n">
        <v>11.5</v>
      </c>
      <c r="H523" t="n">
        <v>0.51</v>
      </c>
      <c r="I523" s="8" t="n">
        <v>0.348</v>
      </c>
      <c r="J523" t="n">
        <v>0.87</v>
      </c>
      <c r="K523" s="11">
        <f>IF(H523&lt;&gt;"",H523,IFERROR(G523/INDEX(Players!$M$2:$M$124,MATCH(B523,Players!$A$2:$A$124,0)),""))</f>
        <v/>
      </c>
    </row>
    <row r="524">
      <c r="A524" t="inlineStr">
        <is>
          <t>3v2vw55rjp5df2r|Dust2</t>
        </is>
      </c>
      <c r="B524" t="inlineStr">
        <is>
          <t>3v2vw55rjp5df2r</t>
        </is>
      </c>
      <c r="C524" t="inlineStr">
        <is>
          <t>r1nkle</t>
        </is>
      </c>
      <c r="D524" t="inlineStr">
        <is>
          <t>CS2</t>
        </is>
      </c>
      <c r="E524" t="inlineStr">
        <is>
          <t>Dust2</t>
        </is>
      </c>
      <c r="F524" t="n">
        <v>7</v>
      </c>
      <c r="G524" t="n">
        <v>13.9</v>
      </c>
      <c r="H524" t="n">
        <v>0.6</v>
      </c>
      <c r="I524" s="8" t="n">
        <v>0.33</v>
      </c>
      <c r="J524" t="n">
        <v>0.96</v>
      </c>
      <c r="K524" s="11">
        <f>IF(H524&lt;&gt;"",H524,IFERROR(G524/INDEX(Players!$M$2:$M$124,MATCH(B524,Players!$A$2:$A$124,0)),""))</f>
        <v/>
      </c>
    </row>
    <row r="525">
      <c r="A525" t="inlineStr">
        <is>
          <t>3v2vw55rjp5df2r|Mirage</t>
        </is>
      </c>
      <c r="B525" t="inlineStr">
        <is>
          <t>3v2vw55rjp5df2r</t>
        </is>
      </c>
      <c r="C525" t="inlineStr">
        <is>
          <t>r1nkle</t>
        </is>
      </c>
      <c r="D525" t="inlineStr">
        <is>
          <t>CS2</t>
        </is>
      </c>
      <c r="E525" t="inlineStr">
        <is>
          <t>Mirage</t>
        </is>
      </c>
      <c r="F525" t="n">
        <v>6</v>
      </c>
      <c r="G525" t="n">
        <v>15.5</v>
      </c>
      <c r="H525" t="n">
        <v>0.6899999999999999</v>
      </c>
      <c r="I525" s="8" t="n">
        <v>0.215</v>
      </c>
      <c r="J525" t="n">
        <v>1.13</v>
      </c>
      <c r="K525" s="11">
        <f>IF(H525&lt;&gt;"",H525,IFERROR(G525/INDEX(Players!$M$2:$M$124,MATCH(B525,Players!$A$2:$A$124,0)),""))</f>
        <v/>
      </c>
    </row>
    <row r="526">
      <c r="A526" t="inlineStr">
        <is>
          <t>3v2vw55rjp5df2r|Anubis</t>
        </is>
      </c>
      <c r="B526" t="inlineStr">
        <is>
          <t>3v2vw55rjp5df2r</t>
        </is>
      </c>
      <c r="C526" t="inlineStr">
        <is>
          <t>r1nkle</t>
        </is>
      </c>
      <c r="D526" t="inlineStr">
        <is>
          <t>CS2</t>
        </is>
      </c>
      <c r="E526" t="inlineStr">
        <is>
          <t>Anubis</t>
        </is>
      </c>
      <c r="F526" t="n">
        <v>3</v>
      </c>
      <c r="G526" t="n">
        <v>13.7</v>
      </c>
      <c r="H526" t="n">
        <v>0.58</v>
      </c>
      <c r="I526" s="8" t="n">
        <v>0.244</v>
      </c>
      <c r="J526" t="n">
        <v>0.89</v>
      </c>
      <c r="K526" s="11">
        <f>IF(H526&lt;&gt;"",H526,IFERROR(G526/INDEX(Players!$M$2:$M$124,MATCH(B526,Players!$A$2:$A$124,0)),""))</f>
        <v/>
      </c>
    </row>
    <row r="527">
      <c r="A527" t="inlineStr">
        <is>
          <t>3v2vw55rjp5df2r|Cache</t>
        </is>
      </c>
      <c r="B527" t="inlineStr">
        <is>
          <t>3v2vw55rjp5df2r</t>
        </is>
      </c>
      <c r="C527" t="inlineStr">
        <is>
          <t>r1nkle</t>
        </is>
      </c>
      <c r="D527" t="inlineStr">
        <is>
          <t>CS2</t>
        </is>
      </c>
      <c r="E527" t="inlineStr">
        <is>
          <t>Cache</t>
        </is>
      </c>
      <c r="F527" t="n">
        <v>2</v>
      </c>
      <c r="G527" t="n">
        <v>11</v>
      </c>
      <c r="H527" t="n">
        <v>0.54</v>
      </c>
      <c r="I527" s="8" t="n">
        <v>0.318</v>
      </c>
      <c r="J527" t="n">
        <v>0.79</v>
      </c>
      <c r="K527" s="11">
        <f>IF(H527&lt;&gt;"",H527,IFERROR(G527/INDEX(Players!$M$2:$M$124,MATCH(B527,Players!$A$2:$A$124,0)),""))</f>
        <v/>
      </c>
    </row>
    <row r="528">
      <c r="A528" t="inlineStr">
        <is>
          <t>3v2vw55rjp5df2r|Nuke</t>
        </is>
      </c>
      <c r="B528" t="inlineStr">
        <is>
          <t>3v2vw55rjp5df2r</t>
        </is>
      </c>
      <c r="C528" t="inlineStr">
        <is>
          <t>r1nkle</t>
        </is>
      </c>
      <c r="D528" t="inlineStr">
        <is>
          <t>CS2</t>
        </is>
      </c>
      <c r="E528" t="inlineStr">
        <is>
          <t>Nuke</t>
        </is>
      </c>
      <c r="F528" t="n">
        <v>1</v>
      </c>
      <c r="G528" t="n">
        <v>9</v>
      </c>
      <c r="H528" t="n">
        <v>0.38</v>
      </c>
      <c r="I528" s="8" t="n">
        <v>0.222</v>
      </c>
      <c r="J528" t="n">
        <v>0.64</v>
      </c>
      <c r="K528" s="11">
        <f>IF(H528&lt;&gt;"",H528,IFERROR(G528/INDEX(Players!$M$2:$M$124,MATCH(B528,Players!$A$2:$A$124,0)),""))</f>
        <v/>
      </c>
    </row>
    <row r="529">
      <c r="A529" t="inlineStr">
        <is>
          <t>a0u1qo22a3z9rh8|Mirage</t>
        </is>
      </c>
      <c r="B529" t="inlineStr">
        <is>
          <t>a0u1qo22a3z9rh8</t>
        </is>
      </c>
      <c r="C529" t="inlineStr">
        <is>
          <t>rdnzao</t>
        </is>
      </c>
      <c r="D529" t="inlineStr">
        <is>
          <t>CS2</t>
        </is>
      </c>
      <c r="E529" t="inlineStr">
        <is>
          <t>Mirage</t>
        </is>
      </c>
      <c r="F529" t="n">
        <v>9</v>
      </c>
      <c r="G529" t="n">
        <v>14.7</v>
      </c>
      <c r="H529" t="n">
        <v>0.67</v>
      </c>
      <c r="I529" s="8" t="n">
        <v>0.53</v>
      </c>
      <c r="J529" t="n">
        <v>1.04</v>
      </c>
      <c r="K529" s="11">
        <f>IF(H529&lt;&gt;"",H529,IFERROR(G529/INDEX(Players!$M$2:$M$124,MATCH(B529,Players!$A$2:$A$124,0)),""))</f>
        <v/>
      </c>
    </row>
    <row r="530">
      <c r="A530" t="inlineStr">
        <is>
          <t>a0u1qo22a3z9rh8|Cache</t>
        </is>
      </c>
      <c r="B530" t="inlineStr">
        <is>
          <t>a0u1qo22a3z9rh8</t>
        </is>
      </c>
      <c r="C530" t="inlineStr">
        <is>
          <t>rdnzao</t>
        </is>
      </c>
      <c r="D530" t="inlineStr">
        <is>
          <t>CS2</t>
        </is>
      </c>
      <c r="E530" t="inlineStr">
        <is>
          <t>Cache</t>
        </is>
      </c>
      <c r="F530" t="n">
        <v>7</v>
      </c>
      <c r="G530" t="n">
        <v>17.6</v>
      </c>
      <c r="H530" t="n">
        <v>0.8100000000000001</v>
      </c>
      <c r="I530" s="8" t="n">
        <v>0.618</v>
      </c>
      <c r="J530" t="n">
        <v>1.24</v>
      </c>
      <c r="K530" s="11">
        <f>IF(H530&lt;&gt;"",H530,IFERROR(G530/INDEX(Players!$M$2:$M$124,MATCH(B530,Players!$A$2:$A$124,0)),""))</f>
        <v/>
      </c>
    </row>
    <row r="531">
      <c r="A531" t="inlineStr">
        <is>
          <t>a0u1qo22a3z9rh8|Inferno</t>
        </is>
      </c>
      <c r="B531" t="inlineStr">
        <is>
          <t>a0u1qo22a3z9rh8</t>
        </is>
      </c>
      <c r="C531" t="inlineStr">
        <is>
          <t>rdnzao</t>
        </is>
      </c>
      <c r="D531" t="inlineStr">
        <is>
          <t>CS2</t>
        </is>
      </c>
      <c r="E531" t="inlineStr">
        <is>
          <t>Inferno</t>
        </is>
      </c>
      <c r="F531" t="n">
        <v>6</v>
      </c>
      <c r="G531" t="n">
        <v>13.2</v>
      </c>
      <c r="H531" t="n">
        <v>0.63</v>
      </c>
      <c r="I531" s="8" t="n">
        <v>0.595</v>
      </c>
      <c r="J531" t="n">
        <v>0.98</v>
      </c>
      <c r="K531" s="11">
        <f>IF(H531&lt;&gt;"",H531,IFERROR(G531/INDEX(Players!$M$2:$M$124,MATCH(B531,Players!$A$2:$A$124,0)),""))</f>
        <v/>
      </c>
    </row>
    <row r="532">
      <c r="A532" t="inlineStr">
        <is>
          <t>a0u1qo22a3z9rh8|Nuke</t>
        </is>
      </c>
      <c r="B532" t="inlineStr">
        <is>
          <t>a0u1qo22a3z9rh8</t>
        </is>
      </c>
      <c r="C532" t="inlineStr">
        <is>
          <t>rdnzao</t>
        </is>
      </c>
      <c r="D532" t="inlineStr">
        <is>
          <t>CS2</t>
        </is>
      </c>
      <c r="E532" t="inlineStr">
        <is>
          <t>Nuke</t>
        </is>
      </c>
      <c r="F532" t="n">
        <v>5</v>
      </c>
      <c r="G532" t="n">
        <v>14.2</v>
      </c>
      <c r="H532" t="n">
        <v>0.63</v>
      </c>
      <c r="I532" s="8" t="n">
        <v>0.493</v>
      </c>
      <c r="J532" t="n">
        <v>0.92</v>
      </c>
      <c r="K532" s="11">
        <f>IF(H532&lt;&gt;"",H532,IFERROR(G532/INDEX(Players!$M$2:$M$124,MATCH(B532,Players!$A$2:$A$124,0)),""))</f>
        <v/>
      </c>
    </row>
    <row r="533">
      <c r="A533" t="inlineStr">
        <is>
          <t>a0u1qo22a3z9rh8|Ancient</t>
        </is>
      </c>
      <c r="B533" t="inlineStr">
        <is>
          <t>a0u1qo22a3z9rh8</t>
        </is>
      </c>
      <c r="C533" t="inlineStr">
        <is>
          <t>rdnzao</t>
        </is>
      </c>
      <c r="D533" t="inlineStr">
        <is>
          <t>CS2</t>
        </is>
      </c>
      <c r="E533" t="inlineStr">
        <is>
          <t>Ancient</t>
        </is>
      </c>
      <c r="F533" t="n">
        <v>5</v>
      </c>
      <c r="G533" t="n">
        <v>12.2</v>
      </c>
      <c r="H533" t="n">
        <v>0.54</v>
      </c>
      <c r="I533" s="8" t="n">
        <v>0.541</v>
      </c>
      <c r="J533" t="n">
        <v>0.78</v>
      </c>
      <c r="K533" s="11">
        <f>IF(H533&lt;&gt;"",H533,IFERROR(G533/INDEX(Players!$M$2:$M$124,MATCH(B533,Players!$A$2:$A$124,0)),""))</f>
        <v/>
      </c>
    </row>
    <row r="534">
      <c r="A534" t="inlineStr">
        <is>
          <t>a0u1qo22a3z9rh8|Anubis</t>
        </is>
      </c>
      <c r="B534" t="inlineStr">
        <is>
          <t>a0u1qo22a3z9rh8</t>
        </is>
      </c>
      <c r="C534" t="inlineStr">
        <is>
          <t>rdnzao</t>
        </is>
      </c>
      <c r="D534" t="inlineStr">
        <is>
          <t>CS2</t>
        </is>
      </c>
      <c r="E534" t="inlineStr">
        <is>
          <t>Anubis</t>
        </is>
      </c>
      <c r="F534" t="n">
        <v>4</v>
      </c>
      <c r="G534" t="n">
        <v>12.3</v>
      </c>
      <c r="H534" t="n">
        <v>0.58</v>
      </c>
      <c r="I534" s="8" t="n">
        <v>0.7140000000000001</v>
      </c>
      <c r="J534" t="n">
        <v>0.77</v>
      </c>
      <c r="K534" s="11">
        <f>IF(H534&lt;&gt;"",H534,IFERROR(G534/INDEX(Players!$M$2:$M$124,MATCH(B534,Players!$A$2:$A$124,0)),""))</f>
        <v/>
      </c>
    </row>
    <row r="535">
      <c r="A535" t="inlineStr">
        <is>
          <t>1p3p5e3dcd3rbvt|Dust2</t>
        </is>
      </c>
      <c r="B535" t="inlineStr">
        <is>
          <t>1p3p5e3dcd3rbvt</t>
        </is>
      </c>
      <c r="C535" t="inlineStr">
        <is>
          <t>Rkzinho</t>
        </is>
      </c>
      <c r="D535" t="inlineStr">
        <is>
          <t>CS2</t>
        </is>
      </c>
      <c r="E535" t="inlineStr">
        <is>
          <t>Dust2</t>
        </is>
      </c>
      <c r="F535" t="n">
        <v>12</v>
      </c>
      <c r="G535" t="n">
        <v>19.3</v>
      </c>
      <c r="H535" t="n">
        <v>0.8100000000000001</v>
      </c>
      <c r="I535" s="8" t="n">
        <v>0.616</v>
      </c>
      <c r="J535" t="n">
        <v>1.42</v>
      </c>
      <c r="K535" s="11">
        <f>IF(H535&lt;&gt;"",H535,IFERROR(G535/INDEX(Players!$M$2:$M$124,MATCH(B535,Players!$A$2:$A$124,0)),""))</f>
        <v/>
      </c>
    </row>
    <row r="536">
      <c r="A536" t="inlineStr">
        <is>
          <t>1p3p5e3dcd3rbvt|Mirage</t>
        </is>
      </c>
      <c r="B536" t="inlineStr">
        <is>
          <t>1p3p5e3dcd3rbvt</t>
        </is>
      </c>
      <c r="C536" t="inlineStr">
        <is>
          <t>Rkzinho</t>
        </is>
      </c>
      <c r="D536" t="inlineStr">
        <is>
          <t>CS2</t>
        </is>
      </c>
      <c r="E536" t="inlineStr">
        <is>
          <t>Mirage</t>
        </is>
      </c>
      <c r="F536" t="n">
        <v>8</v>
      </c>
      <c r="G536" t="n">
        <v>12.4</v>
      </c>
      <c r="H536" t="n">
        <v>0.5600000000000001</v>
      </c>
      <c r="I536" s="8" t="n">
        <v>0.545</v>
      </c>
      <c r="J536" t="n">
        <v>0.92</v>
      </c>
      <c r="K536" s="11">
        <f>IF(H536&lt;&gt;"",H536,IFERROR(G536/INDEX(Players!$M$2:$M$124,MATCH(B536,Players!$A$2:$A$124,0)),""))</f>
        <v/>
      </c>
    </row>
    <row r="537">
      <c r="A537" t="inlineStr">
        <is>
          <t>1p3p5e3dcd3rbvt|Anubis</t>
        </is>
      </c>
      <c r="B537" t="inlineStr">
        <is>
          <t>1p3p5e3dcd3rbvt</t>
        </is>
      </c>
      <c r="C537" t="inlineStr">
        <is>
          <t>Rkzinho</t>
        </is>
      </c>
      <c r="D537" t="inlineStr">
        <is>
          <t>CS2</t>
        </is>
      </c>
      <c r="E537" t="inlineStr">
        <is>
          <t>Anubis</t>
        </is>
      </c>
      <c r="F537" t="n">
        <v>7</v>
      </c>
      <c r="G537" t="n">
        <v>14.3</v>
      </c>
      <c r="H537" t="n">
        <v>0.6</v>
      </c>
      <c r="I537" s="8" t="n">
        <v>0.54</v>
      </c>
      <c r="J537" t="n">
        <v>0.9</v>
      </c>
      <c r="K537" s="11">
        <f>IF(H537&lt;&gt;"",H537,IFERROR(G537/INDEX(Players!$M$2:$M$124,MATCH(B537,Players!$A$2:$A$124,0)),""))</f>
        <v/>
      </c>
    </row>
    <row r="538">
      <c r="A538" t="inlineStr">
        <is>
          <t>1p3p5e3dcd3rbvt|Inferno</t>
        </is>
      </c>
      <c r="B538" t="inlineStr">
        <is>
          <t>1p3p5e3dcd3rbvt</t>
        </is>
      </c>
      <c r="C538" t="inlineStr">
        <is>
          <t>Rkzinho</t>
        </is>
      </c>
      <c r="D538" t="inlineStr">
        <is>
          <t>CS2</t>
        </is>
      </c>
      <c r="E538" t="inlineStr">
        <is>
          <t>Inferno</t>
        </is>
      </c>
      <c r="F538" t="n">
        <v>6</v>
      </c>
      <c r="G538" t="n">
        <v>12</v>
      </c>
      <c r="H538" t="n">
        <v>0.63</v>
      </c>
      <c r="I538" s="8" t="n">
        <v>0.569</v>
      </c>
      <c r="J538" t="n">
        <v>1.01</v>
      </c>
      <c r="K538" s="11">
        <f>IF(H538&lt;&gt;"",H538,IFERROR(G538/INDEX(Players!$M$2:$M$124,MATCH(B538,Players!$A$2:$A$124,0)),""))</f>
        <v/>
      </c>
    </row>
    <row r="539">
      <c r="A539" t="inlineStr">
        <is>
          <t>1p3p5e3dcd3rbvt|Cache</t>
        </is>
      </c>
      <c r="B539" t="inlineStr">
        <is>
          <t>1p3p5e3dcd3rbvt</t>
        </is>
      </c>
      <c r="C539" t="inlineStr">
        <is>
          <t>Rkzinho</t>
        </is>
      </c>
      <c r="D539" t="inlineStr">
        <is>
          <t>CS2</t>
        </is>
      </c>
      <c r="E539" t="inlineStr">
        <is>
          <t>Cache</t>
        </is>
      </c>
      <c r="F539" t="n">
        <v>5</v>
      </c>
      <c r="G539" t="n">
        <v>15.2</v>
      </c>
      <c r="H539" t="n">
        <v>0.71</v>
      </c>
      <c r="I539" s="8" t="n">
        <v>0.5920000000000001</v>
      </c>
      <c r="J539" t="n">
        <v>1.13</v>
      </c>
      <c r="K539" s="11">
        <f>IF(H539&lt;&gt;"",H539,IFERROR(G539/INDEX(Players!$M$2:$M$124,MATCH(B539,Players!$A$2:$A$124,0)),""))</f>
        <v/>
      </c>
    </row>
    <row r="540">
      <c r="A540" t="inlineStr">
        <is>
          <t>1p3p5e3dcd3rbvt|Nuke</t>
        </is>
      </c>
      <c r="B540" t="inlineStr">
        <is>
          <t>1p3p5e3dcd3rbvt</t>
        </is>
      </c>
      <c r="C540" t="inlineStr">
        <is>
          <t>Rkzinho</t>
        </is>
      </c>
      <c r="D540" t="inlineStr">
        <is>
          <t>CS2</t>
        </is>
      </c>
      <c r="E540" t="inlineStr">
        <is>
          <t>Nuke</t>
        </is>
      </c>
      <c r="F540" t="n">
        <v>1</v>
      </c>
      <c r="G540" t="n">
        <v>18</v>
      </c>
      <c r="H540" t="n">
        <v>0.62</v>
      </c>
      <c r="I540" s="8" t="n">
        <v>0.611</v>
      </c>
      <c r="J540" t="n">
        <v>0.82</v>
      </c>
      <c r="K540" s="11">
        <f>IF(H540&lt;&gt;"",H540,IFERROR(G540/INDEX(Players!$M$2:$M$124,MATCH(B540,Players!$A$2:$A$124,0)),""))</f>
        <v/>
      </c>
    </row>
    <row r="541">
      <c r="A541" t="inlineStr">
        <is>
          <t>ewe4j1nrqwzs0q7|Cache</t>
        </is>
      </c>
      <c r="B541" t="inlineStr">
        <is>
          <t>ewe4j1nrqwzs0q7</t>
        </is>
      </c>
      <c r="C541" t="inlineStr">
        <is>
          <t>robo</t>
        </is>
      </c>
      <c r="D541" t="inlineStr">
        <is>
          <t>CS2</t>
        </is>
      </c>
      <c r="E541" t="inlineStr">
        <is>
          <t>Cache</t>
        </is>
      </c>
      <c r="F541" t="n">
        <v>8</v>
      </c>
      <c r="G541" t="n">
        <v>14.9</v>
      </c>
      <c r="H541" t="n">
        <v>0.67</v>
      </c>
      <c r="I541" s="8" t="n">
        <v>0.471</v>
      </c>
      <c r="J541" t="n">
        <v>1.02</v>
      </c>
      <c r="K541" s="11">
        <f>IF(H541&lt;&gt;"",H541,IFERROR(G541/INDEX(Players!$M$2:$M$124,MATCH(B541,Players!$A$2:$A$124,0)),""))</f>
        <v/>
      </c>
    </row>
    <row r="542">
      <c r="A542" t="inlineStr">
        <is>
          <t>ewe4j1nrqwzs0q7|Ancient</t>
        </is>
      </c>
      <c r="B542" t="inlineStr">
        <is>
          <t>ewe4j1nrqwzs0q7</t>
        </is>
      </c>
      <c r="C542" t="inlineStr">
        <is>
          <t>robo</t>
        </is>
      </c>
      <c r="D542" t="inlineStr">
        <is>
          <t>CS2</t>
        </is>
      </c>
      <c r="E542" t="inlineStr">
        <is>
          <t>Ancient</t>
        </is>
      </c>
      <c r="F542" t="n">
        <v>8</v>
      </c>
      <c r="G542" t="n">
        <v>17</v>
      </c>
      <c r="H542" t="n">
        <v>0.66</v>
      </c>
      <c r="I542" s="8" t="n">
        <v>0.5660000000000001</v>
      </c>
      <c r="J542" t="n">
        <v>0.91</v>
      </c>
      <c r="K542" s="11">
        <f>IF(H542&lt;&gt;"",H542,IFERROR(G542/INDEX(Players!$M$2:$M$124,MATCH(B542,Players!$A$2:$A$124,0)),""))</f>
        <v/>
      </c>
    </row>
    <row r="543">
      <c r="A543" t="inlineStr">
        <is>
          <t>ewe4j1nrqwzs0q7|Dust2</t>
        </is>
      </c>
      <c r="B543" t="inlineStr">
        <is>
          <t>ewe4j1nrqwzs0q7</t>
        </is>
      </c>
      <c r="C543" t="inlineStr">
        <is>
          <t>robo</t>
        </is>
      </c>
      <c r="D543" t="inlineStr">
        <is>
          <t>CS2</t>
        </is>
      </c>
      <c r="E543" t="inlineStr">
        <is>
          <t>Dust2</t>
        </is>
      </c>
      <c r="F543" t="n">
        <v>7</v>
      </c>
      <c r="G543" t="n">
        <v>16.3</v>
      </c>
      <c r="H543" t="n">
        <v>0.6899999999999999</v>
      </c>
      <c r="I543" s="8" t="n">
        <v>0.518</v>
      </c>
      <c r="J543" t="n">
        <v>1.03</v>
      </c>
      <c r="K543" s="11">
        <f>IF(H543&lt;&gt;"",H543,IFERROR(G543/INDEX(Players!$M$2:$M$124,MATCH(B543,Players!$A$2:$A$124,0)),""))</f>
        <v/>
      </c>
    </row>
    <row r="544">
      <c r="A544" t="inlineStr">
        <is>
          <t>ewe4j1nrqwzs0q7|Mirage</t>
        </is>
      </c>
      <c r="B544" t="inlineStr">
        <is>
          <t>ewe4j1nrqwzs0q7</t>
        </is>
      </c>
      <c r="C544" t="inlineStr">
        <is>
          <t>robo</t>
        </is>
      </c>
      <c r="D544" t="inlineStr">
        <is>
          <t>CS2</t>
        </is>
      </c>
      <c r="E544" t="inlineStr">
        <is>
          <t>Mirage</t>
        </is>
      </c>
      <c r="F544" t="n">
        <v>7</v>
      </c>
      <c r="G544" t="n">
        <v>15.4</v>
      </c>
      <c r="H544" t="n">
        <v>0.62</v>
      </c>
      <c r="I544" s="8" t="n">
        <v>0.546</v>
      </c>
      <c r="J544" t="n">
        <v>0.8100000000000001</v>
      </c>
      <c r="K544" s="11">
        <f>IF(H544&lt;&gt;"",H544,IFERROR(G544/INDEX(Players!$M$2:$M$124,MATCH(B544,Players!$A$2:$A$124,0)),""))</f>
        <v/>
      </c>
    </row>
    <row r="545">
      <c r="A545" t="inlineStr">
        <is>
          <t>ewe4j1nrqwzs0q7|Nuke</t>
        </is>
      </c>
      <c r="B545" t="inlineStr">
        <is>
          <t>ewe4j1nrqwzs0q7</t>
        </is>
      </c>
      <c r="C545" t="inlineStr">
        <is>
          <t>robo</t>
        </is>
      </c>
      <c r="D545" t="inlineStr">
        <is>
          <t>CS2</t>
        </is>
      </c>
      <c r="E545" t="inlineStr">
        <is>
          <t>Nuke</t>
        </is>
      </c>
      <c r="F545" t="n">
        <v>4</v>
      </c>
      <c r="G545" t="n">
        <v>12.8</v>
      </c>
      <c r="H545" t="n">
        <v>0.63</v>
      </c>
      <c r="I545" s="8" t="n">
        <v>0.608</v>
      </c>
      <c r="J545" t="n">
        <v>0.9399999999999999</v>
      </c>
      <c r="K545" s="11">
        <f>IF(H545&lt;&gt;"",H545,IFERROR(G545/INDEX(Players!$M$2:$M$124,MATCH(B545,Players!$A$2:$A$124,0)),""))</f>
        <v/>
      </c>
    </row>
    <row r="546">
      <c r="A546" t="inlineStr">
        <is>
          <t>ewe4j1nrqwzs0q7|Anubis</t>
        </is>
      </c>
      <c r="B546" t="inlineStr">
        <is>
          <t>ewe4j1nrqwzs0q7</t>
        </is>
      </c>
      <c r="C546" t="inlineStr">
        <is>
          <t>robo</t>
        </is>
      </c>
      <c r="D546" t="inlineStr">
        <is>
          <t>CS2</t>
        </is>
      </c>
      <c r="E546" t="inlineStr">
        <is>
          <t>Anubis</t>
        </is>
      </c>
      <c r="F546" t="n">
        <v>3</v>
      </c>
      <c r="G546" t="n">
        <v>18.7</v>
      </c>
      <c r="H546" t="n">
        <v>0.74</v>
      </c>
      <c r="I546" s="8" t="n">
        <v>0.446</v>
      </c>
      <c r="J546" t="n">
        <v>1.19</v>
      </c>
      <c r="K546" s="11">
        <f>IF(H546&lt;&gt;"",H546,IFERROR(G546/INDEX(Players!$M$2:$M$124,MATCH(B546,Players!$A$2:$A$124,0)),""))</f>
        <v/>
      </c>
    </row>
    <row r="547">
      <c r="A547" t="inlineStr">
        <is>
          <t>jbs33yc6r5ra8l4|Dust2</t>
        </is>
      </c>
      <c r="B547" t="inlineStr">
        <is>
          <t>jbs33yc6r5ra8l4</t>
        </is>
      </c>
      <c r="C547" t="inlineStr">
        <is>
          <t>ropz</t>
        </is>
      </c>
      <c r="D547" t="inlineStr">
        <is>
          <t>CS2</t>
        </is>
      </c>
      <c r="E547" t="inlineStr">
        <is>
          <t>Dust2</t>
        </is>
      </c>
      <c r="F547" t="n">
        <v>9</v>
      </c>
      <c r="G547" t="n">
        <v>15.2</v>
      </c>
      <c r="H547" t="n">
        <v>0.74</v>
      </c>
      <c r="I547" s="8" t="n">
        <v>0.526</v>
      </c>
      <c r="J547" t="n">
        <v>1.32</v>
      </c>
      <c r="K547" s="11">
        <f>IF(H547&lt;&gt;"",H547,IFERROR(G547/INDEX(Players!$M$2:$M$124,MATCH(B547,Players!$A$2:$A$124,0)),""))</f>
        <v/>
      </c>
    </row>
    <row r="548">
      <c r="A548" t="inlineStr">
        <is>
          <t>jbs33yc6r5ra8l4|Mirage</t>
        </is>
      </c>
      <c r="B548" t="inlineStr">
        <is>
          <t>jbs33yc6r5ra8l4</t>
        </is>
      </c>
      <c r="C548" t="inlineStr">
        <is>
          <t>ropz</t>
        </is>
      </c>
      <c r="D548" t="inlineStr">
        <is>
          <t>CS2</t>
        </is>
      </c>
      <c r="E548" t="inlineStr">
        <is>
          <t>Mirage</t>
        </is>
      </c>
      <c r="F548" t="n">
        <v>8</v>
      </c>
      <c r="G548" t="n">
        <v>15.8</v>
      </c>
      <c r="H548" t="n">
        <v>0.79</v>
      </c>
      <c r="I548" s="8" t="n">
        <v>0.5629999999999999</v>
      </c>
      <c r="J548" t="n">
        <v>1.34</v>
      </c>
      <c r="K548" s="11">
        <f>IF(H548&lt;&gt;"",H548,IFERROR(G548/INDEX(Players!$M$2:$M$124,MATCH(B548,Players!$A$2:$A$124,0)),""))</f>
        <v/>
      </c>
    </row>
    <row r="549">
      <c r="A549" t="inlineStr">
        <is>
          <t>jbs33yc6r5ra8l4|Cache</t>
        </is>
      </c>
      <c r="B549" t="inlineStr">
        <is>
          <t>jbs33yc6r5ra8l4</t>
        </is>
      </c>
      <c r="C549" t="inlineStr">
        <is>
          <t>ropz</t>
        </is>
      </c>
      <c r="D549" t="inlineStr">
        <is>
          <t>CS2</t>
        </is>
      </c>
      <c r="E549" t="inlineStr">
        <is>
          <t>Cache</t>
        </is>
      </c>
      <c r="F549" t="n">
        <v>7</v>
      </c>
      <c r="G549" t="n">
        <v>15</v>
      </c>
      <c r="H549" t="n">
        <v>0.73</v>
      </c>
      <c r="I549" s="8" t="n">
        <v>0.486</v>
      </c>
      <c r="J549" t="n">
        <v>1.28</v>
      </c>
      <c r="K549" s="11">
        <f>IF(H549&lt;&gt;"",H549,IFERROR(G549/INDEX(Players!$M$2:$M$124,MATCH(B549,Players!$A$2:$A$124,0)),""))</f>
        <v/>
      </c>
    </row>
    <row r="550">
      <c r="A550" t="inlineStr">
        <is>
          <t>jbs33yc6r5ra8l4|Anubis</t>
        </is>
      </c>
      <c r="B550" t="inlineStr">
        <is>
          <t>jbs33yc6r5ra8l4</t>
        </is>
      </c>
      <c r="C550" t="inlineStr">
        <is>
          <t>ropz</t>
        </is>
      </c>
      <c r="D550" t="inlineStr">
        <is>
          <t>CS2</t>
        </is>
      </c>
      <c r="E550" t="inlineStr">
        <is>
          <t>Anubis</t>
        </is>
      </c>
      <c r="F550" t="n">
        <v>7</v>
      </c>
      <c r="G550" t="n">
        <v>14.4</v>
      </c>
      <c r="H550" t="n">
        <v>0.73</v>
      </c>
      <c r="I550" s="8" t="n">
        <v>0.5539999999999999</v>
      </c>
      <c r="J550" t="n">
        <v>1.28</v>
      </c>
      <c r="K550" s="11">
        <f>IF(H550&lt;&gt;"",H550,IFERROR(G550/INDEX(Players!$M$2:$M$124,MATCH(B550,Players!$A$2:$A$124,0)),""))</f>
        <v/>
      </c>
    </row>
    <row r="551">
      <c r="A551" t="inlineStr">
        <is>
          <t>jbs33yc6r5ra8l4|Inferno</t>
        </is>
      </c>
      <c r="B551" t="inlineStr">
        <is>
          <t>jbs33yc6r5ra8l4</t>
        </is>
      </c>
      <c r="C551" t="inlineStr">
        <is>
          <t>ropz</t>
        </is>
      </c>
      <c r="D551" t="inlineStr">
        <is>
          <t>CS2</t>
        </is>
      </c>
      <c r="E551" t="inlineStr">
        <is>
          <t>Inferno</t>
        </is>
      </c>
      <c r="F551" t="n">
        <v>4</v>
      </c>
      <c r="G551" t="n">
        <v>15.3</v>
      </c>
      <c r="H551" t="n">
        <v>0.73</v>
      </c>
      <c r="I551" s="8" t="n">
        <v>0.623</v>
      </c>
      <c r="J551" t="n">
        <v>1.52</v>
      </c>
      <c r="K551" s="11">
        <f>IF(H551&lt;&gt;"",H551,IFERROR(G551/INDEX(Players!$M$2:$M$124,MATCH(B551,Players!$A$2:$A$124,0)),""))</f>
        <v/>
      </c>
    </row>
    <row r="552">
      <c r="A552" t="inlineStr">
        <is>
          <t>jbs33yc6r5ra8l4|Nuke</t>
        </is>
      </c>
      <c r="B552" t="inlineStr">
        <is>
          <t>jbs33yc6r5ra8l4</t>
        </is>
      </c>
      <c r="C552" t="inlineStr">
        <is>
          <t>ropz</t>
        </is>
      </c>
      <c r="D552" t="inlineStr">
        <is>
          <t>CS2</t>
        </is>
      </c>
      <c r="E552" t="inlineStr">
        <is>
          <t>Nuke</t>
        </is>
      </c>
      <c r="F552" t="n">
        <v>3</v>
      </c>
      <c r="G552" t="n">
        <v>10</v>
      </c>
      <c r="H552" t="n">
        <v>0.52</v>
      </c>
      <c r="I552" s="8" t="n">
        <v>0.4</v>
      </c>
      <c r="J552" t="n">
        <v>0.7</v>
      </c>
      <c r="K552" s="11">
        <f>IF(H552&lt;&gt;"",H552,IFERROR(G552/INDEX(Players!$M$2:$M$124,MATCH(B552,Players!$A$2:$A$124,0)),""))</f>
        <v/>
      </c>
    </row>
    <row r="553">
      <c r="A553" t="inlineStr">
        <is>
          <t>bn3mlvy0cst11z3|Mirage</t>
        </is>
      </c>
      <c r="B553" t="inlineStr">
        <is>
          <t>bn3mlvy0cst11z3</t>
        </is>
      </c>
      <c r="C553" t="inlineStr">
        <is>
          <t>s1ren</t>
        </is>
      </c>
      <c r="D553" t="inlineStr">
        <is>
          <t>CS2</t>
        </is>
      </c>
      <c r="E553" t="inlineStr">
        <is>
          <t>Mirage</t>
        </is>
      </c>
      <c r="F553" t="n">
        <v>12</v>
      </c>
      <c r="G553" t="n">
        <v>13.3</v>
      </c>
      <c r="H553" t="n">
        <v>0.62</v>
      </c>
      <c r="I553" s="8" t="n">
        <v>0.591</v>
      </c>
      <c r="J553" t="n">
        <v>1.01</v>
      </c>
      <c r="K553" s="11">
        <f>IF(H553&lt;&gt;"",H553,IFERROR(G553/INDEX(Players!$M$2:$M$124,MATCH(B553,Players!$A$2:$A$124,0)),""))</f>
        <v/>
      </c>
    </row>
    <row r="554">
      <c r="A554" t="inlineStr">
        <is>
          <t>bn3mlvy0cst11z3|Anubis</t>
        </is>
      </c>
      <c r="B554" t="inlineStr">
        <is>
          <t>bn3mlvy0cst11z3</t>
        </is>
      </c>
      <c r="C554" t="inlineStr">
        <is>
          <t>s1ren</t>
        </is>
      </c>
      <c r="D554" t="inlineStr">
        <is>
          <t>CS2</t>
        </is>
      </c>
      <c r="E554" t="inlineStr">
        <is>
          <t>Anubis</t>
        </is>
      </c>
      <c r="F554" t="n">
        <v>8</v>
      </c>
      <c r="G554" t="n">
        <v>15</v>
      </c>
      <c r="H554" t="n">
        <v>0.66</v>
      </c>
      <c r="I554" s="8" t="n">
        <v>0.617</v>
      </c>
      <c r="J554" t="n">
        <v>1.03</v>
      </c>
      <c r="K554" s="11">
        <f>IF(H554&lt;&gt;"",H554,IFERROR(G554/INDEX(Players!$M$2:$M$124,MATCH(B554,Players!$A$2:$A$124,0)),""))</f>
        <v/>
      </c>
    </row>
    <row r="555">
      <c r="A555" t="inlineStr">
        <is>
          <t>bn3mlvy0cst11z3|Ancient</t>
        </is>
      </c>
      <c r="B555" t="inlineStr">
        <is>
          <t>bn3mlvy0cst11z3</t>
        </is>
      </c>
      <c r="C555" t="inlineStr">
        <is>
          <t>s1ren</t>
        </is>
      </c>
      <c r="D555" t="inlineStr">
        <is>
          <t>CS2</t>
        </is>
      </c>
      <c r="E555" t="inlineStr">
        <is>
          <t>Ancient</t>
        </is>
      </c>
      <c r="F555" t="n">
        <v>6</v>
      </c>
      <c r="G555" t="n">
        <v>18.7</v>
      </c>
      <c r="H555" t="n">
        <v>0.76</v>
      </c>
      <c r="I555" s="8" t="n">
        <v>0.518</v>
      </c>
      <c r="J555" t="n">
        <v>1.22</v>
      </c>
      <c r="K555" s="11">
        <f>IF(H555&lt;&gt;"",H555,IFERROR(G555/INDEX(Players!$M$2:$M$124,MATCH(B555,Players!$A$2:$A$124,0)),""))</f>
        <v/>
      </c>
    </row>
    <row r="556">
      <c r="A556" t="inlineStr">
        <is>
          <t>bn3mlvy0cst11z3|Dust2</t>
        </is>
      </c>
      <c r="B556" t="inlineStr">
        <is>
          <t>bn3mlvy0cst11z3</t>
        </is>
      </c>
      <c r="C556" t="inlineStr">
        <is>
          <t>s1ren</t>
        </is>
      </c>
      <c r="D556" t="inlineStr">
        <is>
          <t>CS2</t>
        </is>
      </c>
      <c r="E556" t="inlineStr">
        <is>
          <t>Dust2</t>
        </is>
      </c>
      <c r="F556" t="n">
        <v>5</v>
      </c>
      <c r="G556" t="n">
        <v>15.8</v>
      </c>
      <c r="H556" t="n">
        <v>0.6899999999999999</v>
      </c>
      <c r="I556" s="8" t="n">
        <v>0.62</v>
      </c>
      <c r="J556" t="n">
        <v>1.11</v>
      </c>
      <c r="K556" s="11">
        <f>IF(H556&lt;&gt;"",H556,IFERROR(G556/INDEX(Players!$M$2:$M$124,MATCH(B556,Players!$A$2:$A$124,0)),""))</f>
        <v/>
      </c>
    </row>
    <row r="557">
      <c r="A557" t="inlineStr">
        <is>
          <t>bn3mlvy0cst11z3|Nuke</t>
        </is>
      </c>
      <c r="B557" t="inlineStr">
        <is>
          <t>bn3mlvy0cst11z3</t>
        </is>
      </c>
      <c r="C557" t="inlineStr">
        <is>
          <t>s1ren</t>
        </is>
      </c>
      <c r="D557" t="inlineStr">
        <is>
          <t>CS2</t>
        </is>
      </c>
      <c r="E557" t="inlineStr">
        <is>
          <t>Nuke</t>
        </is>
      </c>
      <c r="F557" t="n">
        <v>4</v>
      </c>
      <c r="G557" t="n">
        <v>14</v>
      </c>
      <c r="H557" t="n">
        <v>0.6</v>
      </c>
      <c r="I557" s="8" t="n">
        <v>0.482</v>
      </c>
      <c r="J557" t="n">
        <v>0.97</v>
      </c>
      <c r="K557" s="11">
        <f>IF(H557&lt;&gt;"",H557,IFERROR(G557/INDEX(Players!$M$2:$M$124,MATCH(B557,Players!$A$2:$A$124,0)),""))</f>
        <v/>
      </c>
    </row>
    <row r="558">
      <c r="A558" t="inlineStr">
        <is>
          <t>bn3mlvy0cst11z3|Cache</t>
        </is>
      </c>
      <c r="B558" t="inlineStr">
        <is>
          <t>bn3mlvy0cst11z3</t>
        </is>
      </c>
      <c r="C558" t="inlineStr">
        <is>
          <t>s1ren</t>
        </is>
      </c>
      <c r="D558" t="inlineStr">
        <is>
          <t>CS2</t>
        </is>
      </c>
      <c r="E558" t="inlineStr">
        <is>
          <t>Cache</t>
        </is>
      </c>
      <c r="F558" t="n">
        <v>4</v>
      </c>
      <c r="G558" t="n">
        <v>17.5</v>
      </c>
      <c r="H558" t="n">
        <v>0.7</v>
      </c>
      <c r="I558" s="8" t="n">
        <v>0.586</v>
      </c>
      <c r="J558" t="n">
        <v>0.96</v>
      </c>
      <c r="K558" s="11">
        <f>IF(H558&lt;&gt;"",H558,IFERROR(G558/INDEX(Players!$M$2:$M$124,MATCH(B558,Players!$A$2:$A$124,0)),""))</f>
        <v/>
      </c>
    </row>
    <row r="559">
      <c r="A559" t="inlineStr">
        <is>
          <t>d1hn3as545n029p|Dust2</t>
        </is>
      </c>
      <c r="B559" t="inlineStr">
        <is>
          <t>d1hn3as545n029p</t>
        </is>
      </c>
      <c r="C559" t="inlineStr">
        <is>
          <t>saffee</t>
        </is>
      </c>
      <c r="D559" t="inlineStr">
        <is>
          <t>CS2</t>
        </is>
      </c>
      <c r="E559" t="inlineStr">
        <is>
          <t>Dust2</t>
        </is>
      </c>
      <c r="F559" t="n">
        <v>11</v>
      </c>
      <c r="G559" t="n">
        <v>15.5</v>
      </c>
      <c r="H559" t="n">
        <v>0.66</v>
      </c>
      <c r="I559" s="8" t="n">
        <v>0.259</v>
      </c>
      <c r="J559" t="n">
        <v>1.12</v>
      </c>
      <c r="K559" s="11">
        <f>IF(H559&lt;&gt;"",H559,IFERROR(G559/INDEX(Players!$M$2:$M$124,MATCH(B559,Players!$A$2:$A$124,0)),""))</f>
        <v/>
      </c>
    </row>
    <row r="560">
      <c r="A560" t="inlineStr">
        <is>
          <t>d1hn3as545n029p|Cache</t>
        </is>
      </c>
      <c r="B560" t="inlineStr">
        <is>
          <t>d1hn3as545n029p</t>
        </is>
      </c>
      <c r="C560" t="inlineStr">
        <is>
          <t>saffee</t>
        </is>
      </c>
      <c r="D560" t="inlineStr">
        <is>
          <t>CS2</t>
        </is>
      </c>
      <c r="E560" t="inlineStr">
        <is>
          <t>Cache</t>
        </is>
      </c>
      <c r="F560" t="n">
        <v>7</v>
      </c>
      <c r="G560" t="n">
        <v>14.3</v>
      </c>
      <c r="H560" t="n">
        <v>0.66</v>
      </c>
      <c r="I560" s="8" t="n">
        <v>0.32</v>
      </c>
      <c r="J560" t="n">
        <v>1.01</v>
      </c>
      <c r="K560" s="11">
        <f>IF(H560&lt;&gt;"",H560,IFERROR(G560/INDEX(Players!$M$2:$M$124,MATCH(B560,Players!$A$2:$A$124,0)),""))</f>
        <v/>
      </c>
    </row>
    <row r="561">
      <c r="A561" t="inlineStr">
        <is>
          <t>d1hn3as545n029p|Mirage</t>
        </is>
      </c>
      <c r="B561" t="inlineStr">
        <is>
          <t>d1hn3as545n029p</t>
        </is>
      </c>
      <c r="C561" t="inlineStr">
        <is>
          <t>saffee</t>
        </is>
      </c>
      <c r="D561" t="inlineStr">
        <is>
          <t>CS2</t>
        </is>
      </c>
      <c r="E561" t="inlineStr">
        <is>
          <t>Mirage</t>
        </is>
      </c>
      <c r="F561" t="n">
        <v>6</v>
      </c>
      <c r="G561" t="n">
        <v>14.2</v>
      </c>
      <c r="H561" t="n">
        <v>0.65</v>
      </c>
      <c r="I561" s="8" t="n">
        <v>0.282</v>
      </c>
      <c r="J561" t="n">
        <v>1.04</v>
      </c>
      <c r="K561" s="11">
        <f>IF(H561&lt;&gt;"",H561,IFERROR(G561/INDEX(Players!$M$2:$M$124,MATCH(B561,Players!$A$2:$A$124,0)),""))</f>
        <v/>
      </c>
    </row>
    <row r="562">
      <c r="A562" t="inlineStr">
        <is>
          <t>d1hn3as545n029p|Anubis</t>
        </is>
      </c>
      <c r="B562" t="inlineStr">
        <is>
          <t>d1hn3as545n029p</t>
        </is>
      </c>
      <c r="C562" t="inlineStr">
        <is>
          <t>saffee</t>
        </is>
      </c>
      <c r="D562" t="inlineStr">
        <is>
          <t>CS2</t>
        </is>
      </c>
      <c r="E562" t="inlineStr">
        <is>
          <t>Anubis</t>
        </is>
      </c>
      <c r="F562" t="n">
        <v>6</v>
      </c>
      <c r="G562" t="n">
        <v>13.5</v>
      </c>
      <c r="H562" t="n">
        <v>0.61</v>
      </c>
      <c r="I562" s="8" t="n">
        <v>0.21</v>
      </c>
      <c r="J562" t="n">
        <v>0.96</v>
      </c>
      <c r="K562" s="11">
        <f>IF(H562&lt;&gt;"",H562,IFERROR(G562/INDEX(Players!$M$2:$M$124,MATCH(B562,Players!$A$2:$A$124,0)),""))</f>
        <v/>
      </c>
    </row>
    <row r="563">
      <c r="A563" t="inlineStr">
        <is>
          <t>d1hn3as545n029p|Inferno</t>
        </is>
      </c>
      <c r="B563" t="inlineStr">
        <is>
          <t>d1hn3as545n029p</t>
        </is>
      </c>
      <c r="C563" t="inlineStr">
        <is>
          <t>saffee</t>
        </is>
      </c>
      <c r="D563" t="inlineStr">
        <is>
          <t>CS2</t>
        </is>
      </c>
      <c r="E563" t="inlineStr">
        <is>
          <t>Inferno</t>
        </is>
      </c>
      <c r="F563" t="n">
        <v>5</v>
      </c>
      <c r="G563" t="n">
        <v>10.8</v>
      </c>
      <c r="H563" t="n">
        <v>0.6</v>
      </c>
      <c r="I563" s="8" t="n">
        <v>0.315</v>
      </c>
      <c r="J563" t="n">
        <v>0.86</v>
      </c>
      <c r="K563" s="11">
        <f>IF(H563&lt;&gt;"",H563,IFERROR(G563/INDEX(Players!$M$2:$M$124,MATCH(B563,Players!$A$2:$A$124,0)),""))</f>
        <v/>
      </c>
    </row>
    <row r="564">
      <c r="A564" t="inlineStr">
        <is>
          <t>d1hn3as545n029p|Nuke</t>
        </is>
      </c>
      <c r="B564" t="inlineStr">
        <is>
          <t>d1hn3as545n029p</t>
        </is>
      </c>
      <c r="C564" t="inlineStr">
        <is>
          <t>saffee</t>
        </is>
      </c>
      <c r="D564" t="inlineStr">
        <is>
          <t>CS2</t>
        </is>
      </c>
      <c r="E564" t="inlineStr">
        <is>
          <t>Nuke</t>
        </is>
      </c>
      <c r="F564" t="n">
        <v>2</v>
      </c>
      <c r="G564" t="n">
        <v>15.5</v>
      </c>
      <c r="H564" t="n">
        <v>0.67</v>
      </c>
      <c r="I564" s="8" t="n">
        <v>0.226</v>
      </c>
      <c r="J564" t="n">
        <v>0.84</v>
      </c>
      <c r="K564" s="11">
        <f>IF(H564&lt;&gt;"",H564,IFERROR(G564/INDEX(Players!$M$2:$M$124,MATCH(B564,Players!$A$2:$A$124,0)),""))</f>
        <v/>
      </c>
    </row>
    <row r="565">
      <c r="A565" t="inlineStr">
        <is>
          <t>wcfyexekmhuiiin|Mirage</t>
        </is>
      </c>
      <c r="B565" t="inlineStr">
        <is>
          <t>wcfyexekmhuiiin</t>
        </is>
      </c>
      <c r="C565" t="inlineStr">
        <is>
          <t>ScrunK</t>
        </is>
      </c>
      <c r="D565" t="inlineStr">
        <is>
          <t>CS2</t>
        </is>
      </c>
      <c r="E565" t="inlineStr">
        <is>
          <t>Mirage</t>
        </is>
      </c>
      <c r="F565" t="n">
        <v>7</v>
      </c>
      <c r="G565" t="n">
        <v>11.9</v>
      </c>
      <c r="H565" t="n">
        <v>0.49</v>
      </c>
      <c r="I565" s="8" t="n">
        <v>0.494</v>
      </c>
      <c r="J565" t="n">
        <v>0.72</v>
      </c>
      <c r="K565" s="11">
        <f>IF(H565&lt;&gt;"",H565,IFERROR(G565/INDEX(Players!$M$2:$M$124,MATCH(B565,Players!$A$2:$A$124,0)),""))</f>
        <v/>
      </c>
    </row>
    <row r="566">
      <c r="A566" t="inlineStr">
        <is>
          <t>wcfyexekmhuiiin|Dust2</t>
        </is>
      </c>
      <c r="B566" t="inlineStr">
        <is>
          <t>wcfyexekmhuiiin</t>
        </is>
      </c>
      <c r="C566" t="inlineStr">
        <is>
          <t>ScrunK</t>
        </is>
      </c>
      <c r="D566" t="inlineStr">
        <is>
          <t>CS2</t>
        </is>
      </c>
      <c r="E566" t="inlineStr">
        <is>
          <t>Dust2</t>
        </is>
      </c>
      <c r="F566" t="n">
        <v>7</v>
      </c>
      <c r="G566" t="n">
        <v>9</v>
      </c>
      <c r="H566" t="n">
        <v>0.39</v>
      </c>
      <c r="I566" s="8" t="n">
        <v>0.492</v>
      </c>
      <c r="J566" t="n">
        <v>0.51</v>
      </c>
      <c r="K566" s="11">
        <f>IF(H566&lt;&gt;"",H566,IFERROR(G566/INDEX(Players!$M$2:$M$124,MATCH(B566,Players!$A$2:$A$124,0)),""))</f>
        <v/>
      </c>
    </row>
    <row r="567">
      <c r="A567" t="inlineStr">
        <is>
          <t>wcfyexekmhuiiin|Inferno</t>
        </is>
      </c>
      <c r="B567" t="inlineStr">
        <is>
          <t>wcfyexekmhuiiin</t>
        </is>
      </c>
      <c r="C567" t="inlineStr">
        <is>
          <t>ScrunK</t>
        </is>
      </c>
      <c r="D567" t="inlineStr">
        <is>
          <t>CS2</t>
        </is>
      </c>
      <c r="E567" t="inlineStr">
        <is>
          <t>Inferno</t>
        </is>
      </c>
      <c r="F567" t="n">
        <v>5</v>
      </c>
      <c r="G567" t="n">
        <v>13</v>
      </c>
      <c r="H567" t="n">
        <v>0.6</v>
      </c>
      <c r="I567" s="8" t="n">
        <v>0.369</v>
      </c>
      <c r="J567" t="n">
        <v>0.9</v>
      </c>
      <c r="K567" s="11">
        <f>IF(H567&lt;&gt;"",H567,IFERROR(G567/INDEX(Players!$M$2:$M$124,MATCH(B567,Players!$A$2:$A$124,0)),""))</f>
        <v/>
      </c>
    </row>
    <row r="568">
      <c r="A568" t="inlineStr">
        <is>
          <t>wcfyexekmhuiiin|Ancient</t>
        </is>
      </c>
      <c r="B568" t="inlineStr">
        <is>
          <t>wcfyexekmhuiiin</t>
        </is>
      </c>
      <c r="C568" t="inlineStr">
        <is>
          <t>ScrunK</t>
        </is>
      </c>
      <c r="D568" t="inlineStr">
        <is>
          <t>CS2</t>
        </is>
      </c>
      <c r="E568" t="inlineStr">
        <is>
          <t>Ancient</t>
        </is>
      </c>
      <c r="F568" t="n">
        <v>3</v>
      </c>
      <c r="G568" t="n">
        <v>11.3</v>
      </c>
      <c r="H568" t="n">
        <v>0.6</v>
      </c>
      <c r="I568" s="8" t="n">
        <v>0.5589999999999999</v>
      </c>
      <c r="J568" t="n">
        <v>0.9399999999999999</v>
      </c>
      <c r="K568" s="11">
        <f>IF(H568&lt;&gt;"",H568,IFERROR(G568/INDEX(Players!$M$2:$M$124,MATCH(B568,Players!$A$2:$A$124,0)),""))</f>
        <v/>
      </c>
    </row>
    <row r="569">
      <c r="A569" t="inlineStr">
        <is>
          <t>wcfyexekmhuiiin|Nuke</t>
        </is>
      </c>
      <c r="B569" t="inlineStr">
        <is>
          <t>wcfyexekmhuiiin</t>
        </is>
      </c>
      <c r="C569" t="inlineStr">
        <is>
          <t>ScrunK</t>
        </is>
      </c>
      <c r="D569" t="inlineStr">
        <is>
          <t>CS2</t>
        </is>
      </c>
      <c r="E569" t="inlineStr">
        <is>
          <t>Nuke</t>
        </is>
      </c>
      <c r="F569" t="n">
        <v>2</v>
      </c>
      <c r="G569" t="n">
        <v>12</v>
      </c>
      <c r="H569" t="n">
        <v>0.55</v>
      </c>
      <c r="I569" s="8" t="n">
        <v>0.417</v>
      </c>
      <c r="J569" t="n">
        <v>0.75</v>
      </c>
      <c r="K569" s="11">
        <f>IF(H569&lt;&gt;"",H569,IFERROR(G569/INDEX(Players!$M$2:$M$124,MATCH(B569,Players!$A$2:$A$124,0)),""))</f>
        <v/>
      </c>
    </row>
    <row r="570">
      <c r="A570" t="inlineStr">
        <is>
          <t>wcfyexekmhuiiin|Anubis</t>
        </is>
      </c>
      <c r="B570" t="inlineStr">
        <is>
          <t>wcfyexekmhuiiin</t>
        </is>
      </c>
      <c r="C570" t="inlineStr">
        <is>
          <t>ScrunK</t>
        </is>
      </c>
      <c r="D570" t="inlineStr">
        <is>
          <t>CS2</t>
        </is>
      </c>
      <c r="E570" t="inlineStr">
        <is>
          <t>Anubis</t>
        </is>
      </c>
      <c r="F570" t="n">
        <v>1</v>
      </c>
      <c r="G570" t="n">
        <v>9</v>
      </c>
      <c r="H570" t="n">
        <v>0.53</v>
      </c>
      <c r="I570" s="8" t="n">
        <v>0.444</v>
      </c>
      <c r="J570" t="n">
        <v>0.5600000000000001</v>
      </c>
      <c r="K570" s="11">
        <f>IF(H570&lt;&gt;"",H570,IFERROR(G570/INDEX(Players!$M$2:$M$124,MATCH(B570,Players!$A$2:$A$124,0)),""))</f>
        <v/>
      </c>
    </row>
    <row r="571">
      <c r="A571" t="inlineStr">
        <is>
          <t>wcfyexekmhuiiin|Cache</t>
        </is>
      </c>
      <c r="B571" t="inlineStr">
        <is>
          <t>wcfyexekmhuiiin</t>
        </is>
      </c>
      <c r="C571" t="inlineStr">
        <is>
          <t>ScrunK</t>
        </is>
      </c>
      <c r="D571" t="inlineStr">
        <is>
          <t>CS2</t>
        </is>
      </c>
      <c r="E571" t="inlineStr">
        <is>
          <t>Cache</t>
        </is>
      </c>
      <c r="F571" t="n">
        <v>1</v>
      </c>
      <c r="G571" t="n">
        <v>5</v>
      </c>
      <c r="H571" t="n">
        <v>0.36</v>
      </c>
      <c r="I571" s="8" t="n">
        <v>0.8</v>
      </c>
      <c r="J571" t="n">
        <v>0.36</v>
      </c>
      <c r="K571" s="11">
        <f>IF(H571&lt;&gt;"",H571,IFERROR(G571/INDEX(Players!$M$2:$M$124,MATCH(B571,Players!$A$2:$A$124,0)),""))</f>
        <v/>
      </c>
    </row>
    <row r="572">
      <c r="A572" t="inlineStr">
        <is>
          <t>wcfyexekmhuiiin|Overpass</t>
        </is>
      </c>
      <c r="B572" t="inlineStr">
        <is>
          <t>wcfyexekmhuiiin</t>
        </is>
      </c>
      <c r="C572" t="inlineStr">
        <is>
          <t>ScrunK</t>
        </is>
      </c>
      <c r="D572" t="inlineStr">
        <is>
          <t>CS2</t>
        </is>
      </c>
      <c r="E572" t="inlineStr">
        <is>
          <t>Overpass</t>
        </is>
      </c>
      <c r="F572" t="n">
        <v>1</v>
      </c>
      <c r="G572" t="n">
        <v>1</v>
      </c>
      <c r="H572" t="n">
        <v>0.07000000000000001</v>
      </c>
      <c r="I572" s="8" t="n">
        <v>1</v>
      </c>
      <c r="J572" t="n">
        <v>0.07000000000000001</v>
      </c>
      <c r="K572" s="11">
        <f>IF(H572&lt;&gt;"",H572,IFERROR(G572/INDEX(Players!$M$2:$M$124,MATCH(B572,Players!$A$2:$A$124,0)),""))</f>
        <v/>
      </c>
    </row>
    <row r="573">
      <c r="A573" t="inlineStr">
        <is>
          <t>4hpvy9eb05vcrre|Dust2</t>
        </is>
      </c>
      <c r="B573" t="inlineStr">
        <is>
          <t>4hpvy9eb05vcrre</t>
        </is>
      </c>
      <c r="C573" t="inlineStr">
        <is>
          <t>sh1ro</t>
        </is>
      </c>
      <c r="D573" t="inlineStr">
        <is>
          <t>CS2</t>
        </is>
      </c>
      <c r="E573" t="inlineStr">
        <is>
          <t>Dust2</t>
        </is>
      </c>
      <c r="F573" t="n">
        <v>7</v>
      </c>
      <c r="G573" t="n">
        <v>14.9</v>
      </c>
      <c r="H573" t="n">
        <v>0.74</v>
      </c>
      <c r="I573" s="8" t="n">
        <v>0.385</v>
      </c>
      <c r="J573" t="n">
        <v>1.32</v>
      </c>
      <c r="K573" s="11">
        <f>IF(H573&lt;&gt;"",H573,IFERROR(G573/INDEX(Players!$M$2:$M$124,MATCH(B573,Players!$A$2:$A$124,0)),""))</f>
        <v/>
      </c>
    </row>
    <row r="574">
      <c r="A574" t="inlineStr">
        <is>
          <t>4hpvy9eb05vcrre|Ancient</t>
        </is>
      </c>
      <c r="B574" t="inlineStr">
        <is>
          <t>4hpvy9eb05vcrre</t>
        </is>
      </c>
      <c r="C574" t="inlineStr">
        <is>
          <t>sh1ro</t>
        </is>
      </c>
      <c r="D574" t="inlineStr">
        <is>
          <t>CS2</t>
        </is>
      </c>
      <c r="E574" t="inlineStr">
        <is>
          <t>Ancient</t>
        </is>
      </c>
      <c r="F574" t="n">
        <v>7</v>
      </c>
      <c r="G574" t="n">
        <v>14.6</v>
      </c>
      <c r="H574" t="n">
        <v>0.66</v>
      </c>
      <c r="I574" s="8" t="n">
        <v>0.333</v>
      </c>
      <c r="J574" t="n">
        <v>1.23</v>
      </c>
      <c r="K574" s="11">
        <f>IF(H574&lt;&gt;"",H574,IFERROR(G574/INDEX(Players!$M$2:$M$124,MATCH(B574,Players!$A$2:$A$124,0)),""))</f>
        <v/>
      </c>
    </row>
    <row r="575">
      <c r="A575" t="inlineStr">
        <is>
          <t>4hpvy9eb05vcrre|Mirage</t>
        </is>
      </c>
      <c r="B575" t="inlineStr">
        <is>
          <t>4hpvy9eb05vcrre</t>
        </is>
      </c>
      <c r="C575" t="inlineStr">
        <is>
          <t>sh1ro</t>
        </is>
      </c>
      <c r="D575" t="inlineStr">
        <is>
          <t>CS2</t>
        </is>
      </c>
      <c r="E575" t="inlineStr">
        <is>
          <t>Mirage</t>
        </is>
      </c>
      <c r="F575" t="n">
        <v>7</v>
      </c>
      <c r="G575" t="n">
        <v>16</v>
      </c>
      <c r="H575" t="n">
        <v>0.72</v>
      </c>
      <c r="I575" s="8" t="n">
        <v>0.348</v>
      </c>
      <c r="J575" t="n">
        <v>1.2</v>
      </c>
      <c r="K575" s="11">
        <f>IF(H575&lt;&gt;"",H575,IFERROR(G575/INDEX(Players!$M$2:$M$124,MATCH(B575,Players!$A$2:$A$124,0)),""))</f>
        <v/>
      </c>
    </row>
    <row r="576">
      <c r="A576" t="inlineStr">
        <is>
          <t>4hpvy9eb05vcrre|Anubis</t>
        </is>
      </c>
      <c r="B576" t="inlineStr">
        <is>
          <t>4hpvy9eb05vcrre</t>
        </is>
      </c>
      <c r="C576" t="inlineStr">
        <is>
          <t>sh1ro</t>
        </is>
      </c>
      <c r="D576" t="inlineStr">
        <is>
          <t>CS2</t>
        </is>
      </c>
      <c r="E576" t="inlineStr">
        <is>
          <t>Anubis</t>
        </is>
      </c>
      <c r="F576" t="n">
        <v>6</v>
      </c>
      <c r="G576" t="n">
        <v>17.5</v>
      </c>
      <c r="H576" t="n">
        <v>0.78</v>
      </c>
      <c r="I576" s="8" t="n">
        <v>0.267</v>
      </c>
      <c r="J576" t="n">
        <v>1.52</v>
      </c>
      <c r="K576" s="11">
        <f>IF(H576&lt;&gt;"",H576,IFERROR(G576/INDEX(Players!$M$2:$M$124,MATCH(B576,Players!$A$2:$A$124,0)),""))</f>
        <v/>
      </c>
    </row>
    <row r="577">
      <c r="A577" t="inlineStr">
        <is>
          <t>4hpvy9eb05vcrre|Cache</t>
        </is>
      </c>
      <c r="B577" t="inlineStr">
        <is>
          <t>4hpvy9eb05vcrre</t>
        </is>
      </c>
      <c r="C577" t="inlineStr">
        <is>
          <t>sh1ro</t>
        </is>
      </c>
      <c r="D577" t="inlineStr">
        <is>
          <t>CS2</t>
        </is>
      </c>
      <c r="E577" t="inlineStr">
        <is>
          <t>Cache</t>
        </is>
      </c>
      <c r="F577" t="n">
        <v>6</v>
      </c>
      <c r="G577" t="n">
        <v>13.7</v>
      </c>
      <c r="H577" t="n">
        <v>0.66</v>
      </c>
      <c r="I577" s="8" t="n">
        <v>0.402</v>
      </c>
      <c r="J577" t="n">
        <v>1.22</v>
      </c>
      <c r="K577" s="11">
        <f>IF(H577&lt;&gt;"",H577,IFERROR(G577/INDEX(Players!$M$2:$M$124,MATCH(B577,Players!$A$2:$A$124,0)),""))</f>
        <v/>
      </c>
    </row>
    <row r="578">
      <c r="A578" t="inlineStr">
        <is>
          <t>4hpvy9eb05vcrre|Nuke</t>
        </is>
      </c>
      <c r="B578" t="inlineStr">
        <is>
          <t>4hpvy9eb05vcrre</t>
        </is>
      </c>
      <c r="C578" t="inlineStr">
        <is>
          <t>sh1ro</t>
        </is>
      </c>
      <c r="D578" t="inlineStr">
        <is>
          <t>CS2</t>
        </is>
      </c>
      <c r="E578" t="inlineStr">
        <is>
          <t>Nuke</t>
        </is>
      </c>
      <c r="F578" t="n">
        <v>5</v>
      </c>
      <c r="G578" t="n">
        <v>16.4</v>
      </c>
      <c r="H578" t="n">
        <v>0.77</v>
      </c>
      <c r="I578" s="8" t="n">
        <v>0.329</v>
      </c>
      <c r="J578" t="n">
        <v>1.34</v>
      </c>
      <c r="K578" s="11">
        <f>IF(H578&lt;&gt;"",H578,IFERROR(G578/INDEX(Players!$M$2:$M$124,MATCH(B578,Players!$A$2:$A$124,0)),""))</f>
        <v/>
      </c>
    </row>
    <row r="579">
      <c r="A579" t="inlineStr">
        <is>
          <t>9ycphxjddne0u4w|Ancient</t>
        </is>
      </c>
      <c r="B579" t="inlineStr">
        <is>
          <t>9ycphxjddne0u4w</t>
        </is>
      </c>
      <c r="C579" t="inlineStr">
        <is>
          <t>sl3nd</t>
        </is>
      </c>
      <c r="D579" t="inlineStr">
        <is>
          <t>CS2</t>
        </is>
      </c>
      <c r="E579" t="inlineStr">
        <is>
          <t>Ancient</t>
        </is>
      </c>
      <c r="F579" t="n">
        <v>10</v>
      </c>
      <c r="G579" t="n">
        <v>18.7</v>
      </c>
      <c r="H579" t="n">
        <v>0.84</v>
      </c>
      <c r="I579" s="8" t="n">
        <v>0.294</v>
      </c>
      <c r="J579" t="n">
        <v>1.36</v>
      </c>
      <c r="K579" s="11">
        <f>IF(H579&lt;&gt;"",H579,IFERROR(G579/INDEX(Players!$M$2:$M$124,MATCH(B579,Players!$A$2:$A$124,0)),""))</f>
        <v/>
      </c>
    </row>
    <row r="580">
      <c r="A580" t="inlineStr">
        <is>
          <t>9ycphxjddne0u4w|Dust2</t>
        </is>
      </c>
      <c r="B580" t="inlineStr">
        <is>
          <t>9ycphxjddne0u4w</t>
        </is>
      </c>
      <c r="C580" t="inlineStr">
        <is>
          <t>sl3nd</t>
        </is>
      </c>
      <c r="D580" t="inlineStr">
        <is>
          <t>CS2</t>
        </is>
      </c>
      <c r="E580" t="inlineStr">
        <is>
          <t>Dust2</t>
        </is>
      </c>
      <c r="F580" t="n">
        <v>6</v>
      </c>
      <c r="G580" t="n">
        <v>17.7</v>
      </c>
      <c r="H580" t="n">
        <v>0.6899999999999999</v>
      </c>
      <c r="I580" s="8" t="n">
        <v>0.264</v>
      </c>
      <c r="J580" t="n">
        <v>1.03</v>
      </c>
      <c r="K580" s="11">
        <f>IF(H580&lt;&gt;"",H580,IFERROR(G580/INDEX(Players!$M$2:$M$124,MATCH(B580,Players!$A$2:$A$124,0)),""))</f>
        <v/>
      </c>
    </row>
    <row r="581">
      <c r="A581" t="inlineStr">
        <is>
          <t>9ycphxjddne0u4w|Mirage</t>
        </is>
      </c>
      <c r="B581" t="inlineStr">
        <is>
          <t>9ycphxjddne0u4w</t>
        </is>
      </c>
      <c r="C581" t="inlineStr">
        <is>
          <t>sl3nd</t>
        </is>
      </c>
      <c r="D581" t="inlineStr">
        <is>
          <t>CS2</t>
        </is>
      </c>
      <c r="E581" t="inlineStr">
        <is>
          <t>Mirage</t>
        </is>
      </c>
      <c r="F581" t="n">
        <v>4</v>
      </c>
      <c r="G581" t="n">
        <v>23</v>
      </c>
      <c r="H581" t="n">
        <v>0.86</v>
      </c>
      <c r="I581" s="8" t="n">
        <v>0.391</v>
      </c>
      <c r="J581" t="n">
        <v>1.31</v>
      </c>
      <c r="K581" s="11">
        <f>IF(H581&lt;&gt;"",H581,IFERROR(G581/INDEX(Players!$M$2:$M$124,MATCH(B581,Players!$A$2:$A$124,0)),""))</f>
        <v/>
      </c>
    </row>
    <row r="582">
      <c r="A582" t="inlineStr">
        <is>
          <t>9ycphxjddne0u4w|Inferno</t>
        </is>
      </c>
      <c r="B582" t="inlineStr">
        <is>
          <t>9ycphxjddne0u4w</t>
        </is>
      </c>
      <c r="C582" t="inlineStr">
        <is>
          <t>sl3nd</t>
        </is>
      </c>
      <c r="D582" t="inlineStr">
        <is>
          <t>CS2</t>
        </is>
      </c>
      <c r="E582" t="inlineStr">
        <is>
          <t>Inferno</t>
        </is>
      </c>
      <c r="F582" t="n">
        <v>3</v>
      </c>
      <c r="G582" t="n">
        <v>19.3</v>
      </c>
      <c r="H582" t="n">
        <v>0.85</v>
      </c>
      <c r="I582" s="8" t="n">
        <v>0.224</v>
      </c>
      <c r="J582" t="n">
        <v>1.45</v>
      </c>
      <c r="K582" s="11">
        <f>IF(H582&lt;&gt;"",H582,IFERROR(G582/INDEX(Players!$M$2:$M$124,MATCH(B582,Players!$A$2:$A$124,0)),""))</f>
        <v/>
      </c>
    </row>
    <row r="583">
      <c r="A583" t="inlineStr">
        <is>
          <t>9ycphxjddne0u4w|Nuke</t>
        </is>
      </c>
      <c r="B583" t="inlineStr">
        <is>
          <t>9ycphxjddne0u4w</t>
        </is>
      </c>
      <c r="C583" t="inlineStr">
        <is>
          <t>sl3nd</t>
        </is>
      </c>
      <c r="D583" t="inlineStr">
        <is>
          <t>CS2</t>
        </is>
      </c>
      <c r="E583" t="inlineStr">
        <is>
          <t>Nuke</t>
        </is>
      </c>
      <c r="F583" t="n">
        <v>3</v>
      </c>
      <c r="G583" t="n">
        <v>12.3</v>
      </c>
      <c r="H583" t="n">
        <v>0.58</v>
      </c>
      <c r="I583" s="8" t="n">
        <v>0.27</v>
      </c>
      <c r="J583" t="n">
        <v>1.12</v>
      </c>
      <c r="K583" s="11">
        <f>IF(H583&lt;&gt;"",H583,IFERROR(G583/INDEX(Players!$M$2:$M$124,MATCH(B583,Players!$A$2:$A$124,0)),""))</f>
        <v/>
      </c>
    </row>
    <row r="584">
      <c r="A584" t="inlineStr">
        <is>
          <t>9ycphxjddne0u4w|Cache</t>
        </is>
      </c>
      <c r="B584" t="inlineStr">
        <is>
          <t>9ycphxjddne0u4w</t>
        </is>
      </c>
      <c r="C584" t="inlineStr">
        <is>
          <t>sl3nd</t>
        </is>
      </c>
      <c r="D584" t="inlineStr">
        <is>
          <t>CS2</t>
        </is>
      </c>
      <c r="E584" t="inlineStr">
        <is>
          <t>Cache</t>
        </is>
      </c>
      <c r="F584" t="n">
        <v>2</v>
      </c>
      <c r="G584" t="n">
        <v>12</v>
      </c>
      <c r="H584" t="n">
        <v>0.6899999999999999</v>
      </c>
      <c r="I584" s="8" t="n">
        <v>0.292</v>
      </c>
      <c r="J584" t="n">
        <v>1</v>
      </c>
      <c r="K584" s="11">
        <f>IF(H584&lt;&gt;"",H584,IFERROR(G584/INDEX(Players!$M$2:$M$124,MATCH(B584,Players!$A$2:$A$124,0)),""))</f>
        <v/>
      </c>
    </row>
    <row r="585">
      <c r="A585" t="inlineStr">
        <is>
          <t>c8wc8d745qhelxm|Mirage</t>
        </is>
      </c>
      <c r="B585" t="inlineStr">
        <is>
          <t>c8wc8d745qhelxm</t>
        </is>
      </c>
      <c r="C585" t="inlineStr">
        <is>
          <t>Sn0w</t>
        </is>
      </c>
      <c r="D585" t="inlineStr">
        <is>
          <t>CS2</t>
        </is>
      </c>
      <c r="E585" t="inlineStr">
        <is>
          <t>Mirage</t>
        </is>
      </c>
      <c r="F585" t="n">
        <v>9</v>
      </c>
      <c r="G585" t="n">
        <v>16.6</v>
      </c>
      <c r="H585" t="n">
        <v>0.79</v>
      </c>
      <c r="I585" s="8" t="n">
        <v>0.362</v>
      </c>
      <c r="J585" t="n">
        <v>1.37</v>
      </c>
      <c r="K585" s="11">
        <f>IF(H585&lt;&gt;"",H585,IFERROR(G585/INDEX(Players!$M$2:$M$124,MATCH(B585,Players!$A$2:$A$124,0)),""))</f>
        <v/>
      </c>
    </row>
    <row r="586">
      <c r="A586" t="inlineStr">
        <is>
          <t>c8wc8d745qhelxm|Dust2</t>
        </is>
      </c>
      <c r="B586" t="inlineStr">
        <is>
          <t>c8wc8d745qhelxm</t>
        </is>
      </c>
      <c r="C586" t="inlineStr">
        <is>
          <t>Sn0w</t>
        </is>
      </c>
      <c r="D586" t="inlineStr">
        <is>
          <t>CS2</t>
        </is>
      </c>
      <c r="E586" t="inlineStr">
        <is>
          <t>Dust2</t>
        </is>
      </c>
      <c r="F586" t="n">
        <v>8</v>
      </c>
      <c r="G586" t="n">
        <v>13.6</v>
      </c>
      <c r="H586" t="n">
        <v>0.66</v>
      </c>
      <c r="I586" s="8" t="n">
        <v>0.312</v>
      </c>
      <c r="J586" t="n">
        <v>1.14</v>
      </c>
      <c r="K586" s="11">
        <f>IF(H586&lt;&gt;"",H586,IFERROR(G586/INDEX(Players!$M$2:$M$124,MATCH(B586,Players!$A$2:$A$124,0)),""))</f>
        <v/>
      </c>
    </row>
    <row r="587">
      <c r="A587" t="inlineStr">
        <is>
          <t>c8wc8d745qhelxm|Cache</t>
        </is>
      </c>
      <c r="B587" t="inlineStr">
        <is>
          <t>c8wc8d745qhelxm</t>
        </is>
      </c>
      <c r="C587" t="inlineStr">
        <is>
          <t>Sn0w</t>
        </is>
      </c>
      <c r="D587" t="inlineStr">
        <is>
          <t>CS2</t>
        </is>
      </c>
      <c r="E587" t="inlineStr">
        <is>
          <t>Cache</t>
        </is>
      </c>
      <c r="F587" t="n">
        <v>7</v>
      </c>
      <c r="G587" t="n">
        <v>11.4</v>
      </c>
      <c r="H587" t="n">
        <v>0.57</v>
      </c>
      <c r="I587" s="8" t="n">
        <v>0.325</v>
      </c>
      <c r="J587" t="n">
        <v>0.96</v>
      </c>
      <c r="K587" s="11">
        <f>IF(H587&lt;&gt;"",H587,IFERROR(G587/INDEX(Players!$M$2:$M$124,MATCH(B587,Players!$A$2:$A$124,0)),""))</f>
        <v/>
      </c>
    </row>
    <row r="588">
      <c r="A588" t="inlineStr">
        <is>
          <t>c8wc8d745qhelxm|Ancient</t>
        </is>
      </c>
      <c r="B588" t="inlineStr">
        <is>
          <t>c8wc8d745qhelxm</t>
        </is>
      </c>
      <c r="C588" t="inlineStr">
        <is>
          <t>Sn0w</t>
        </is>
      </c>
      <c r="D588" t="inlineStr">
        <is>
          <t>CS2</t>
        </is>
      </c>
      <c r="E588" t="inlineStr">
        <is>
          <t>Ancient</t>
        </is>
      </c>
      <c r="F588" t="n">
        <v>6</v>
      </c>
      <c r="G588" t="n">
        <v>18</v>
      </c>
      <c r="H588" t="n">
        <v>0.71</v>
      </c>
      <c r="I588" s="8" t="n">
        <v>0.333</v>
      </c>
      <c r="J588" t="n">
        <v>1.26</v>
      </c>
      <c r="K588" s="11">
        <f>IF(H588&lt;&gt;"",H588,IFERROR(G588/INDEX(Players!$M$2:$M$124,MATCH(B588,Players!$A$2:$A$124,0)),""))</f>
        <v/>
      </c>
    </row>
    <row r="589">
      <c r="A589" t="inlineStr">
        <is>
          <t>c8wc8d745qhelxm|Inferno</t>
        </is>
      </c>
      <c r="B589" t="inlineStr">
        <is>
          <t>c8wc8d745qhelxm</t>
        </is>
      </c>
      <c r="C589" t="inlineStr">
        <is>
          <t>Sn0w</t>
        </is>
      </c>
      <c r="D589" t="inlineStr">
        <is>
          <t>CS2</t>
        </is>
      </c>
      <c r="E589" t="inlineStr">
        <is>
          <t>Inferno</t>
        </is>
      </c>
      <c r="F589" t="n">
        <v>5</v>
      </c>
      <c r="G589" t="n">
        <v>14.8</v>
      </c>
      <c r="H589" t="n">
        <v>0.73</v>
      </c>
      <c r="I589" s="8" t="n">
        <v>0.459</v>
      </c>
      <c r="J589" t="n">
        <v>1.35</v>
      </c>
      <c r="K589" s="11">
        <f>IF(H589&lt;&gt;"",H589,IFERROR(G589/INDEX(Players!$M$2:$M$124,MATCH(B589,Players!$A$2:$A$124,0)),""))</f>
        <v/>
      </c>
    </row>
    <row r="590">
      <c r="A590" t="inlineStr">
        <is>
          <t>c8wc8d745qhelxm|Anubis</t>
        </is>
      </c>
      <c r="B590" t="inlineStr">
        <is>
          <t>c8wc8d745qhelxm</t>
        </is>
      </c>
      <c r="C590" t="inlineStr">
        <is>
          <t>Sn0w</t>
        </is>
      </c>
      <c r="D590" t="inlineStr">
        <is>
          <t>CS2</t>
        </is>
      </c>
      <c r="E590" t="inlineStr">
        <is>
          <t>Anubis</t>
        </is>
      </c>
      <c r="F590" t="n">
        <v>1</v>
      </c>
      <c r="G590" t="n">
        <v>14</v>
      </c>
      <c r="H590" t="n">
        <v>0.64</v>
      </c>
      <c r="I590" s="8" t="n">
        <v>0.429</v>
      </c>
      <c r="J590" t="n">
        <v>1</v>
      </c>
      <c r="K590" s="11">
        <f>IF(H590&lt;&gt;"",H590,IFERROR(G590/INDEX(Players!$M$2:$M$124,MATCH(B590,Players!$A$2:$A$124,0)),""))</f>
        <v/>
      </c>
    </row>
    <row r="591">
      <c r="A591" t="inlineStr">
        <is>
          <t>qlzigrqycoim5ix|Mirage</t>
        </is>
      </c>
      <c r="B591" t="inlineStr">
        <is>
          <t>qlzigrqycoim5ix</t>
        </is>
      </c>
      <c r="C591" t="inlineStr">
        <is>
          <t>Spinx</t>
        </is>
      </c>
      <c r="D591" t="inlineStr">
        <is>
          <t>CS2</t>
        </is>
      </c>
      <c r="E591" t="inlineStr">
        <is>
          <t>Mirage</t>
        </is>
      </c>
      <c r="F591" t="n">
        <v>10</v>
      </c>
      <c r="G591" t="n">
        <v>16.5</v>
      </c>
      <c r="H591" t="n">
        <v>0.74</v>
      </c>
      <c r="I591" s="8" t="n">
        <v>0.6</v>
      </c>
      <c r="J591" t="n">
        <v>1.33</v>
      </c>
      <c r="K591" s="11">
        <f>IF(H591&lt;&gt;"",H591,IFERROR(G591/INDEX(Players!$M$2:$M$124,MATCH(B591,Players!$A$2:$A$124,0)),""))</f>
        <v/>
      </c>
    </row>
    <row r="592">
      <c r="A592" t="inlineStr">
        <is>
          <t>qlzigrqycoim5ix|Cache</t>
        </is>
      </c>
      <c r="B592" t="inlineStr">
        <is>
          <t>qlzigrqycoim5ix</t>
        </is>
      </c>
      <c r="C592" t="inlineStr">
        <is>
          <t>Spinx</t>
        </is>
      </c>
      <c r="D592" t="inlineStr">
        <is>
          <t>CS2</t>
        </is>
      </c>
      <c r="E592" t="inlineStr">
        <is>
          <t>Cache</t>
        </is>
      </c>
      <c r="F592" t="n">
        <v>7</v>
      </c>
      <c r="G592" t="n">
        <v>14.6</v>
      </c>
      <c r="H592" t="n">
        <v>0.7</v>
      </c>
      <c r="I592" s="8" t="n">
        <v>0.539</v>
      </c>
      <c r="J592" t="n">
        <v>1.26</v>
      </c>
      <c r="K592" s="11">
        <f>IF(H592&lt;&gt;"",H592,IFERROR(G592/INDEX(Players!$M$2:$M$124,MATCH(B592,Players!$A$2:$A$124,0)),""))</f>
        <v/>
      </c>
    </row>
    <row r="593">
      <c r="A593" t="inlineStr">
        <is>
          <t>qlzigrqycoim5ix|Inferno</t>
        </is>
      </c>
      <c r="B593" t="inlineStr">
        <is>
          <t>qlzigrqycoim5ix</t>
        </is>
      </c>
      <c r="C593" t="inlineStr">
        <is>
          <t>Spinx</t>
        </is>
      </c>
      <c r="D593" t="inlineStr">
        <is>
          <t>CS2</t>
        </is>
      </c>
      <c r="E593" t="inlineStr">
        <is>
          <t>Inferno</t>
        </is>
      </c>
      <c r="F593" t="n">
        <v>6</v>
      </c>
      <c r="G593" t="n">
        <v>13.7</v>
      </c>
      <c r="H593" t="n">
        <v>0.66</v>
      </c>
      <c r="I593" s="8" t="n">
        <v>0.585</v>
      </c>
      <c r="J593" t="n">
        <v>1.19</v>
      </c>
      <c r="K593" s="11">
        <f>IF(H593&lt;&gt;"",H593,IFERROR(G593/INDEX(Players!$M$2:$M$124,MATCH(B593,Players!$A$2:$A$124,0)),""))</f>
        <v/>
      </c>
    </row>
    <row r="594">
      <c r="A594" t="inlineStr">
        <is>
          <t>qlzigrqycoim5ix|Dust2</t>
        </is>
      </c>
      <c r="B594" t="inlineStr">
        <is>
          <t>qlzigrqycoim5ix</t>
        </is>
      </c>
      <c r="C594" t="inlineStr">
        <is>
          <t>Spinx</t>
        </is>
      </c>
      <c r="D594" t="inlineStr">
        <is>
          <t>CS2</t>
        </is>
      </c>
      <c r="E594" t="inlineStr">
        <is>
          <t>Dust2</t>
        </is>
      </c>
      <c r="F594" t="n">
        <v>6</v>
      </c>
      <c r="G594" t="n">
        <v>16.2</v>
      </c>
      <c r="H594" t="n">
        <v>0.72</v>
      </c>
      <c r="I594" s="8" t="n">
        <v>0.639</v>
      </c>
      <c r="J594" t="n">
        <v>1.17</v>
      </c>
      <c r="K594" s="11">
        <f>IF(H594&lt;&gt;"",H594,IFERROR(G594/INDEX(Players!$M$2:$M$124,MATCH(B594,Players!$A$2:$A$124,0)),""))</f>
        <v/>
      </c>
    </row>
    <row r="595">
      <c r="A595" t="inlineStr">
        <is>
          <t>qlzigrqycoim5ix|Nuke</t>
        </is>
      </c>
      <c r="B595" t="inlineStr">
        <is>
          <t>qlzigrqycoim5ix</t>
        </is>
      </c>
      <c r="C595" t="inlineStr">
        <is>
          <t>Spinx</t>
        </is>
      </c>
      <c r="D595" t="inlineStr">
        <is>
          <t>CS2</t>
        </is>
      </c>
      <c r="E595" t="inlineStr">
        <is>
          <t>Nuke</t>
        </is>
      </c>
      <c r="F595" t="n">
        <v>6</v>
      </c>
      <c r="G595" t="n">
        <v>11.8</v>
      </c>
      <c r="H595" t="n">
        <v>0.57</v>
      </c>
      <c r="I595" s="8" t="n">
        <v>0.5770000000000001</v>
      </c>
      <c r="J595" t="n">
        <v>0.83</v>
      </c>
      <c r="K595" s="11">
        <f>IF(H595&lt;&gt;"",H595,IFERROR(G595/INDEX(Players!$M$2:$M$124,MATCH(B595,Players!$A$2:$A$124,0)),""))</f>
        <v/>
      </c>
    </row>
    <row r="596">
      <c r="A596" t="inlineStr">
        <is>
          <t>qlzigrqycoim5ix|Ancient</t>
        </is>
      </c>
      <c r="B596" t="inlineStr">
        <is>
          <t>qlzigrqycoim5ix</t>
        </is>
      </c>
      <c r="C596" t="inlineStr">
        <is>
          <t>Spinx</t>
        </is>
      </c>
      <c r="D596" t="inlineStr">
        <is>
          <t>CS2</t>
        </is>
      </c>
      <c r="E596" t="inlineStr">
        <is>
          <t>Ancient</t>
        </is>
      </c>
      <c r="F596" t="n">
        <v>4</v>
      </c>
      <c r="G596" t="n">
        <v>14.8</v>
      </c>
      <c r="H596" t="n">
        <v>0.73</v>
      </c>
      <c r="I596" s="8" t="n">
        <v>0.61</v>
      </c>
      <c r="J596" t="n">
        <v>1.34</v>
      </c>
      <c r="K596" s="11">
        <f>IF(H596&lt;&gt;"",H596,IFERROR(G596/INDEX(Players!$M$2:$M$124,MATCH(B596,Players!$A$2:$A$124,0)),""))</f>
        <v/>
      </c>
    </row>
    <row r="597">
      <c r="A597" t="inlineStr">
        <is>
          <t>vl85mzwiy0ds144|Nuke</t>
        </is>
      </c>
      <c r="B597" t="inlineStr">
        <is>
          <t>vl85mzwiy0ds144</t>
        </is>
      </c>
      <c r="C597" t="inlineStr">
        <is>
          <t>stanislaw</t>
        </is>
      </c>
      <c r="D597" t="inlineStr">
        <is>
          <t>CS2</t>
        </is>
      </c>
      <c r="E597" t="inlineStr">
        <is>
          <t>Nuke</t>
        </is>
      </c>
      <c r="F597" t="n">
        <v>11</v>
      </c>
      <c r="G597" t="n">
        <v>12.5</v>
      </c>
      <c r="H597" t="n">
        <v>0.55</v>
      </c>
      <c r="I597" s="8" t="n">
        <v>0.5</v>
      </c>
      <c r="J597" t="n">
        <v>0.87</v>
      </c>
      <c r="K597" s="11">
        <f>IF(H597&lt;&gt;"",H597,IFERROR(G597/INDEX(Players!$M$2:$M$124,MATCH(B597,Players!$A$2:$A$124,0)),""))</f>
        <v/>
      </c>
    </row>
    <row r="598">
      <c r="A598" t="inlineStr">
        <is>
          <t>vl85mzwiy0ds144|Mirage</t>
        </is>
      </c>
      <c r="B598" t="inlineStr">
        <is>
          <t>vl85mzwiy0ds144</t>
        </is>
      </c>
      <c r="C598" t="inlineStr">
        <is>
          <t>stanislaw</t>
        </is>
      </c>
      <c r="D598" t="inlineStr">
        <is>
          <t>CS2</t>
        </is>
      </c>
      <c r="E598" t="inlineStr">
        <is>
          <t>Mirage</t>
        </is>
      </c>
      <c r="F598" t="n">
        <v>7</v>
      </c>
      <c r="G598" t="n">
        <v>10.9</v>
      </c>
      <c r="H598" t="n">
        <v>0.49</v>
      </c>
      <c r="I598" s="8" t="n">
        <v>0.539</v>
      </c>
      <c r="J598" t="n">
        <v>0.79</v>
      </c>
      <c r="K598" s="11">
        <f>IF(H598&lt;&gt;"",H598,IFERROR(G598/INDEX(Players!$M$2:$M$124,MATCH(B598,Players!$A$2:$A$124,0)),""))</f>
        <v/>
      </c>
    </row>
    <row r="599">
      <c r="A599" t="inlineStr">
        <is>
          <t>vl85mzwiy0ds144|Cache</t>
        </is>
      </c>
      <c r="B599" t="inlineStr">
        <is>
          <t>vl85mzwiy0ds144</t>
        </is>
      </c>
      <c r="C599" t="inlineStr">
        <is>
          <t>stanislaw</t>
        </is>
      </c>
      <c r="D599" t="inlineStr">
        <is>
          <t>CS2</t>
        </is>
      </c>
      <c r="E599" t="inlineStr">
        <is>
          <t>Cache</t>
        </is>
      </c>
      <c r="F599" t="n">
        <v>5</v>
      </c>
      <c r="G599" t="n">
        <v>12.4</v>
      </c>
      <c r="H599" t="n">
        <v>0.59</v>
      </c>
      <c r="I599" s="8" t="n">
        <v>0.5479999999999999</v>
      </c>
      <c r="J599" t="n">
        <v>0.98</v>
      </c>
      <c r="K599" s="11">
        <f>IF(H599&lt;&gt;"",H599,IFERROR(G599/INDEX(Players!$M$2:$M$124,MATCH(B599,Players!$A$2:$A$124,0)),""))</f>
        <v/>
      </c>
    </row>
    <row r="600">
      <c r="A600" t="inlineStr">
        <is>
          <t>vl85mzwiy0ds144|Anubis</t>
        </is>
      </c>
      <c r="B600" t="inlineStr">
        <is>
          <t>vl85mzwiy0ds144</t>
        </is>
      </c>
      <c r="C600" t="inlineStr">
        <is>
          <t>stanislaw</t>
        </is>
      </c>
      <c r="D600" t="inlineStr">
        <is>
          <t>CS2</t>
        </is>
      </c>
      <c r="E600" t="inlineStr">
        <is>
          <t>Anubis</t>
        </is>
      </c>
      <c r="F600" t="n">
        <v>3</v>
      </c>
      <c r="G600" t="n">
        <v>12.7</v>
      </c>
      <c r="H600" t="n">
        <v>0.59</v>
      </c>
      <c r="I600" s="8" t="n">
        <v>0.579</v>
      </c>
      <c r="J600" t="n">
        <v>0.97</v>
      </c>
      <c r="K600" s="11">
        <f>IF(H600&lt;&gt;"",H600,IFERROR(G600/INDEX(Players!$M$2:$M$124,MATCH(B600,Players!$A$2:$A$124,0)),""))</f>
        <v/>
      </c>
    </row>
    <row r="601">
      <c r="A601" t="inlineStr">
        <is>
          <t>vl85mzwiy0ds144|Inferno</t>
        </is>
      </c>
      <c r="B601" t="inlineStr">
        <is>
          <t>vl85mzwiy0ds144</t>
        </is>
      </c>
      <c r="C601" t="inlineStr">
        <is>
          <t>stanislaw</t>
        </is>
      </c>
      <c r="D601" t="inlineStr">
        <is>
          <t>CS2</t>
        </is>
      </c>
      <c r="E601" t="inlineStr">
        <is>
          <t>Inferno</t>
        </is>
      </c>
      <c r="F601" t="n">
        <v>3</v>
      </c>
      <c r="G601" t="n">
        <v>11</v>
      </c>
      <c r="H601" t="n">
        <v>0.54</v>
      </c>
      <c r="I601" s="8" t="n">
        <v>0.5760000000000001</v>
      </c>
      <c r="J601" t="n">
        <v>0.89</v>
      </c>
      <c r="K601" s="11">
        <f>IF(H601&lt;&gt;"",H601,IFERROR(G601/INDEX(Players!$M$2:$M$124,MATCH(B601,Players!$A$2:$A$124,0)),""))</f>
        <v/>
      </c>
    </row>
    <row r="602">
      <c r="A602" t="inlineStr">
        <is>
          <t>vl85mzwiy0ds144|Ancient</t>
        </is>
      </c>
      <c r="B602" t="inlineStr">
        <is>
          <t>vl85mzwiy0ds144</t>
        </is>
      </c>
      <c r="C602" t="inlineStr">
        <is>
          <t>stanislaw</t>
        </is>
      </c>
      <c r="D602" t="inlineStr">
        <is>
          <t>CS2</t>
        </is>
      </c>
      <c r="E602" t="inlineStr">
        <is>
          <t>Ancient</t>
        </is>
      </c>
      <c r="F602" t="n">
        <v>2</v>
      </c>
      <c r="G602" t="n">
        <v>10</v>
      </c>
      <c r="H602" t="n">
        <v>0.48</v>
      </c>
      <c r="I602" s="8" t="n">
        <v>0.65</v>
      </c>
      <c r="J602" t="n">
        <v>0.67</v>
      </c>
      <c r="K602" s="11">
        <f>IF(H602&lt;&gt;"",H602,IFERROR(G602/INDEX(Players!$M$2:$M$124,MATCH(B602,Players!$A$2:$A$124,0)),""))</f>
        <v/>
      </c>
    </row>
    <row r="603">
      <c r="A603" t="inlineStr">
        <is>
          <t>xwyhvw38gardzpx|Dust2</t>
        </is>
      </c>
      <c r="B603" t="inlineStr">
        <is>
          <t>xwyhvw38gardzpx</t>
        </is>
      </c>
      <c r="C603" t="inlineStr">
        <is>
          <t>SunPayus</t>
        </is>
      </c>
      <c r="D603" t="inlineStr">
        <is>
          <t>CS2</t>
        </is>
      </c>
      <c r="E603" t="inlineStr">
        <is>
          <t>Dust2</t>
        </is>
      </c>
      <c r="F603" t="n">
        <v>8</v>
      </c>
      <c r="G603" t="n">
        <v>12.1</v>
      </c>
      <c r="H603" t="n">
        <v>0.57</v>
      </c>
      <c r="I603" s="8" t="n">
        <v>0.32</v>
      </c>
      <c r="J603" t="n">
        <v>0.9</v>
      </c>
      <c r="K603" s="11">
        <f>IF(H603&lt;&gt;"",H603,IFERROR(G603/INDEX(Players!$M$2:$M$124,MATCH(B603,Players!$A$2:$A$124,0)),""))</f>
        <v/>
      </c>
    </row>
    <row r="604">
      <c r="A604" t="inlineStr">
        <is>
          <t>xwyhvw38gardzpx|Mirage</t>
        </is>
      </c>
      <c r="B604" t="inlineStr">
        <is>
          <t>xwyhvw38gardzpx</t>
        </is>
      </c>
      <c r="C604" t="inlineStr">
        <is>
          <t>SunPayus</t>
        </is>
      </c>
      <c r="D604" t="inlineStr">
        <is>
          <t>CS2</t>
        </is>
      </c>
      <c r="E604" t="inlineStr">
        <is>
          <t>Mirage</t>
        </is>
      </c>
      <c r="F604" t="n">
        <v>7</v>
      </c>
      <c r="G604" t="n">
        <v>18.9</v>
      </c>
      <c r="H604" t="n">
        <v>0.68</v>
      </c>
      <c r="I604" s="8" t="n">
        <v>0.371</v>
      </c>
      <c r="J604" t="n">
        <v>1.27</v>
      </c>
      <c r="K604" s="11">
        <f>IF(H604&lt;&gt;"",H604,IFERROR(G604/INDEX(Players!$M$2:$M$124,MATCH(B604,Players!$A$2:$A$124,0)),""))</f>
        <v/>
      </c>
    </row>
    <row r="605">
      <c r="A605" t="inlineStr">
        <is>
          <t>xwyhvw38gardzpx|Ancient</t>
        </is>
      </c>
      <c r="B605" t="inlineStr">
        <is>
          <t>xwyhvw38gardzpx</t>
        </is>
      </c>
      <c r="C605" t="inlineStr">
        <is>
          <t>SunPayus</t>
        </is>
      </c>
      <c r="D605" t="inlineStr">
        <is>
          <t>CS2</t>
        </is>
      </c>
      <c r="E605" t="inlineStr">
        <is>
          <t>Ancient</t>
        </is>
      </c>
      <c r="F605" t="n">
        <v>7</v>
      </c>
      <c r="G605" t="n">
        <v>15.4</v>
      </c>
      <c r="H605" t="n">
        <v>0.72</v>
      </c>
      <c r="I605" s="8" t="n">
        <v>0.37</v>
      </c>
      <c r="J605" t="n">
        <v>1.23</v>
      </c>
      <c r="K605" s="11">
        <f>IF(H605&lt;&gt;"",H605,IFERROR(G605/INDEX(Players!$M$2:$M$124,MATCH(B605,Players!$A$2:$A$124,0)),""))</f>
        <v/>
      </c>
    </row>
    <row r="606">
      <c r="A606" t="inlineStr">
        <is>
          <t>xwyhvw38gardzpx|Overpass</t>
        </is>
      </c>
      <c r="B606" t="inlineStr">
        <is>
          <t>xwyhvw38gardzpx</t>
        </is>
      </c>
      <c r="C606" t="inlineStr">
        <is>
          <t>SunPayus</t>
        </is>
      </c>
      <c r="D606" t="inlineStr">
        <is>
          <t>CS2</t>
        </is>
      </c>
      <c r="E606" t="inlineStr">
        <is>
          <t>Overpass</t>
        </is>
      </c>
      <c r="F606" t="n">
        <v>5</v>
      </c>
      <c r="G606" t="n">
        <v>13.6</v>
      </c>
      <c r="H606" t="n">
        <v>0.6899999999999999</v>
      </c>
      <c r="I606" s="8" t="n">
        <v>0.368</v>
      </c>
      <c r="J606" t="n">
        <v>1.45</v>
      </c>
      <c r="K606" s="11">
        <f>IF(H606&lt;&gt;"",H606,IFERROR(G606/INDEX(Players!$M$2:$M$124,MATCH(B606,Players!$A$2:$A$124,0)),""))</f>
        <v/>
      </c>
    </row>
    <row r="607">
      <c r="A607" t="inlineStr">
        <is>
          <t>xwyhvw38gardzpx|Inferno</t>
        </is>
      </c>
      <c r="B607" t="inlineStr">
        <is>
          <t>xwyhvw38gardzpx</t>
        </is>
      </c>
      <c r="C607" t="inlineStr">
        <is>
          <t>SunPayus</t>
        </is>
      </c>
      <c r="D607" t="inlineStr">
        <is>
          <t>CS2</t>
        </is>
      </c>
      <c r="E607" t="inlineStr">
        <is>
          <t>Inferno</t>
        </is>
      </c>
      <c r="F607" t="n">
        <v>4</v>
      </c>
      <c r="G607" t="n">
        <v>18.3</v>
      </c>
      <c r="H607" t="n">
        <v>0.71</v>
      </c>
      <c r="I607" s="8" t="n">
        <v>0.37</v>
      </c>
      <c r="J607" t="n">
        <v>1.12</v>
      </c>
      <c r="K607" s="11">
        <f>IF(H607&lt;&gt;"",H607,IFERROR(G607/INDEX(Players!$M$2:$M$124,MATCH(B607,Players!$A$2:$A$124,0)),""))</f>
        <v/>
      </c>
    </row>
    <row r="608">
      <c r="A608" t="inlineStr">
        <is>
          <t>xwyhvw38gardzpx|Anubis</t>
        </is>
      </c>
      <c r="B608" t="inlineStr">
        <is>
          <t>xwyhvw38gardzpx</t>
        </is>
      </c>
      <c r="C608" t="inlineStr">
        <is>
          <t>SunPayus</t>
        </is>
      </c>
      <c r="D608" t="inlineStr">
        <is>
          <t>CS2</t>
        </is>
      </c>
      <c r="E608" t="inlineStr">
        <is>
          <t>Anubis</t>
        </is>
      </c>
      <c r="F608" t="n">
        <v>2</v>
      </c>
      <c r="G608" t="n">
        <v>14.5</v>
      </c>
      <c r="H608" t="n">
        <v>0.66</v>
      </c>
      <c r="I608" s="8" t="n">
        <v>0.207</v>
      </c>
      <c r="J608" t="n">
        <v>0.97</v>
      </c>
      <c r="K608" s="11">
        <f>IF(H608&lt;&gt;"",H608,IFERROR(G608/INDEX(Players!$M$2:$M$124,MATCH(B608,Players!$A$2:$A$124,0)),""))</f>
        <v/>
      </c>
    </row>
    <row r="609">
      <c r="A609" t="inlineStr">
        <is>
          <t>xwyhvw38gardzpx|Nuke</t>
        </is>
      </c>
      <c r="B609" t="inlineStr">
        <is>
          <t>xwyhvw38gardzpx</t>
        </is>
      </c>
      <c r="C609" t="inlineStr">
        <is>
          <t>SunPayus</t>
        </is>
      </c>
      <c r="D609" t="inlineStr">
        <is>
          <t>CS2</t>
        </is>
      </c>
      <c r="E609" t="inlineStr">
        <is>
          <t>Nuke</t>
        </is>
      </c>
      <c r="F609" t="n">
        <v>1</v>
      </c>
      <c r="G609" t="n">
        <v>19</v>
      </c>
      <c r="H609" t="n">
        <v>0.86</v>
      </c>
      <c r="I609" s="8" t="n">
        <v>0.368</v>
      </c>
      <c r="J609" t="n">
        <v>2.11</v>
      </c>
      <c r="K609" s="11">
        <f>IF(H609&lt;&gt;"",H609,IFERROR(G609/INDEX(Players!$M$2:$M$124,MATCH(B609,Players!$A$2:$A$124,0)),""))</f>
        <v/>
      </c>
    </row>
    <row r="610">
      <c r="A610" t="inlineStr">
        <is>
          <t>f00llyg1ocypenv|Ancient</t>
        </is>
      </c>
      <c r="B610" t="inlineStr">
        <is>
          <t>f00llyg1ocypenv</t>
        </is>
      </c>
      <c r="C610" t="inlineStr">
        <is>
          <t>syph0</t>
        </is>
      </c>
      <c r="D610" t="inlineStr">
        <is>
          <t>CS2</t>
        </is>
      </c>
      <c r="E610" t="inlineStr">
        <is>
          <t>Ancient</t>
        </is>
      </c>
      <c r="F610" t="n">
        <v>8</v>
      </c>
      <c r="G610" t="n">
        <v>20.1</v>
      </c>
      <c r="H610" t="n">
        <v>0.78</v>
      </c>
      <c r="I610" s="8" t="n">
        <v>0.615</v>
      </c>
      <c r="J610" t="n">
        <v>1.23</v>
      </c>
      <c r="K610" s="11">
        <f>IF(H610&lt;&gt;"",H610,IFERROR(G610/INDEX(Players!$M$2:$M$124,MATCH(B610,Players!$A$2:$A$124,0)),""))</f>
        <v/>
      </c>
    </row>
    <row r="611">
      <c r="A611" t="inlineStr">
        <is>
          <t>f00llyg1ocypenv|Cache</t>
        </is>
      </c>
      <c r="B611" t="inlineStr">
        <is>
          <t>f00llyg1ocypenv</t>
        </is>
      </c>
      <c r="C611" t="inlineStr">
        <is>
          <t>syph0</t>
        </is>
      </c>
      <c r="D611" t="inlineStr">
        <is>
          <t>CS2</t>
        </is>
      </c>
      <c r="E611" t="inlineStr">
        <is>
          <t>Cache</t>
        </is>
      </c>
      <c r="F611" t="n">
        <v>8</v>
      </c>
      <c r="G611" t="n">
        <v>14.3</v>
      </c>
      <c r="H611" t="n">
        <v>0.64</v>
      </c>
      <c r="I611" s="8" t="n">
        <v>0.474</v>
      </c>
      <c r="J611" t="n">
        <v>1.02</v>
      </c>
      <c r="K611" s="11">
        <f>IF(H611&lt;&gt;"",H611,IFERROR(G611/INDEX(Players!$M$2:$M$124,MATCH(B611,Players!$A$2:$A$124,0)),""))</f>
        <v/>
      </c>
    </row>
    <row r="612">
      <c r="A612" t="inlineStr">
        <is>
          <t>f00llyg1ocypenv|Mirage</t>
        </is>
      </c>
      <c r="B612" t="inlineStr">
        <is>
          <t>f00llyg1ocypenv</t>
        </is>
      </c>
      <c r="C612" t="inlineStr">
        <is>
          <t>syph0</t>
        </is>
      </c>
      <c r="D612" t="inlineStr">
        <is>
          <t>CS2</t>
        </is>
      </c>
      <c r="E612" t="inlineStr">
        <is>
          <t>Mirage</t>
        </is>
      </c>
      <c r="F612" t="n">
        <v>7</v>
      </c>
      <c r="G612" t="n">
        <v>18.3</v>
      </c>
      <c r="H612" t="n">
        <v>0.73</v>
      </c>
      <c r="I612" s="8" t="n">
        <v>0.469</v>
      </c>
      <c r="J612" t="n">
        <v>1.16</v>
      </c>
      <c r="K612" s="11">
        <f>IF(H612&lt;&gt;"",H612,IFERROR(G612/INDEX(Players!$M$2:$M$124,MATCH(B612,Players!$A$2:$A$124,0)),""))</f>
        <v/>
      </c>
    </row>
    <row r="613">
      <c r="A613" t="inlineStr">
        <is>
          <t>f00llyg1ocypenv|Dust2</t>
        </is>
      </c>
      <c r="B613" t="inlineStr">
        <is>
          <t>f00llyg1ocypenv</t>
        </is>
      </c>
      <c r="C613" t="inlineStr">
        <is>
          <t>syph0</t>
        </is>
      </c>
      <c r="D613" t="inlineStr">
        <is>
          <t>CS2</t>
        </is>
      </c>
      <c r="E613" t="inlineStr">
        <is>
          <t>Dust2</t>
        </is>
      </c>
      <c r="F613" t="n">
        <v>7</v>
      </c>
      <c r="G613" t="n">
        <v>15.3</v>
      </c>
      <c r="H613" t="n">
        <v>0.64</v>
      </c>
      <c r="I613" s="8" t="n">
        <v>0.523</v>
      </c>
      <c r="J613" t="n">
        <v>0.97</v>
      </c>
      <c r="K613" s="11">
        <f>IF(H613&lt;&gt;"",H613,IFERROR(G613/INDEX(Players!$M$2:$M$124,MATCH(B613,Players!$A$2:$A$124,0)),""))</f>
        <v/>
      </c>
    </row>
    <row r="614">
      <c r="A614" t="inlineStr">
        <is>
          <t>f00llyg1ocypenv|Nuke</t>
        </is>
      </c>
      <c r="B614" t="inlineStr">
        <is>
          <t>f00llyg1ocypenv</t>
        </is>
      </c>
      <c r="C614" t="inlineStr">
        <is>
          <t>syph0</t>
        </is>
      </c>
      <c r="D614" t="inlineStr">
        <is>
          <t>CS2</t>
        </is>
      </c>
      <c r="E614" t="inlineStr">
        <is>
          <t>Nuke</t>
        </is>
      </c>
      <c r="F614" t="n">
        <v>4</v>
      </c>
      <c r="G614" t="n">
        <v>17.8</v>
      </c>
      <c r="H614" t="n">
        <v>0.88</v>
      </c>
      <c r="I614" s="8" t="n">
        <v>0.62</v>
      </c>
      <c r="J614" t="n">
        <v>1.34</v>
      </c>
      <c r="K614" s="11">
        <f>IF(H614&lt;&gt;"",H614,IFERROR(G614/INDEX(Players!$M$2:$M$124,MATCH(B614,Players!$A$2:$A$124,0)),""))</f>
        <v/>
      </c>
    </row>
    <row r="615">
      <c r="A615" t="inlineStr">
        <is>
          <t>f00llyg1ocypenv|Anubis</t>
        </is>
      </c>
      <c r="B615" t="inlineStr">
        <is>
          <t>f00llyg1ocypenv</t>
        </is>
      </c>
      <c r="C615" t="inlineStr">
        <is>
          <t>syph0</t>
        </is>
      </c>
      <c r="D615" t="inlineStr">
        <is>
          <t>CS2</t>
        </is>
      </c>
      <c r="E615" t="inlineStr">
        <is>
          <t>Anubis</t>
        </is>
      </c>
      <c r="F615" t="n">
        <v>3</v>
      </c>
      <c r="G615" t="n">
        <v>21.3</v>
      </c>
      <c r="H615" t="n">
        <v>0.84</v>
      </c>
      <c r="I615" s="8" t="n">
        <v>0.5</v>
      </c>
      <c r="J615" t="n">
        <v>1.49</v>
      </c>
      <c r="K615" s="11">
        <f>IF(H615&lt;&gt;"",H615,IFERROR(G615/INDEX(Players!$M$2:$M$124,MATCH(B615,Players!$A$2:$A$124,0)),""))</f>
        <v/>
      </c>
    </row>
    <row r="616">
      <c r="A616" t="inlineStr">
        <is>
          <t>2fcfnso9a3rhpcr|Mirage</t>
        </is>
      </c>
      <c r="B616" t="inlineStr">
        <is>
          <t>2fcfnso9a3rhpcr</t>
        </is>
      </c>
      <c r="C616" t="inlineStr">
        <is>
          <t>tAk</t>
        </is>
      </c>
      <c r="D616" t="inlineStr">
        <is>
          <t>CS2</t>
        </is>
      </c>
      <c r="E616" t="inlineStr">
        <is>
          <t>Mirage</t>
        </is>
      </c>
      <c r="F616" t="n">
        <v>11</v>
      </c>
      <c r="G616" t="n">
        <v>16.3</v>
      </c>
      <c r="H616" t="n">
        <v>0.79</v>
      </c>
      <c r="I616" s="8" t="n">
        <v>0.547</v>
      </c>
      <c r="J616" t="n">
        <v>1.24</v>
      </c>
      <c r="K616" s="11">
        <f>IF(H616&lt;&gt;"",H616,IFERROR(G616/INDEX(Players!$M$2:$M$124,MATCH(B616,Players!$A$2:$A$124,0)),""))</f>
        <v/>
      </c>
    </row>
    <row r="617">
      <c r="A617" t="inlineStr">
        <is>
          <t>2fcfnso9a3rhpcr|Dust2</t>
        </is>
      </c>
      <c r="B617" t="inlineStr">
        <is>
          <t>2fcfnso9a3rhpcr</t>
        </is>
      </c>
      <c r="C617" t="inlineStr">
        <is>
          <t>tAk</t>
        </is>
      </c>
      <c r="D617" t="inlineStr">
        <is>
          <t>CS2</t>
        </is>
      </c>
      <c r="E617" t="inlineStr">
        <is>
          <t>Dust2</t>
        </is>
      </c>
      <c r="F617" t="n">
        <v>6</v>
      </c>
      <c r="G617" t="n">
        <v>17</v>
      </c>
      <c r="H617" t="n">
        <v>0.76</v>
      </c>
      <c r="I617" s="8" t="n">
        <v>0.51</v>
      </c>
      <c r="J617" t="n">
        <v>1.17</v>
      </c>
      <c r="K617" s="11">
        <f>IF(H617&lt;&gt;"",H617,IFERROR(G617/INDEX(Players!$M$2:$M$124,MATCH(B617,Players!$A$2:$A$124,0)),""))</f>
        <v/>
      </c>
    </row>
    <row r="618">
      <c r="A618" t="inlineStr">
        <is>
          <t>2fcfnso9a3rhpcr|Anubis</t>
        </is>
      </c>
      <c r="B618" t="inlineStr">
        <is>
          <t>2fcfnso9a3rhpcr</t>
        </is>
      </c>
      <c r="C618" t="inlineStr">
        <is>
          <t>tAk</t>
        </is>
      </c>
      <c r="D618" t="inlineStr">
        <is>
          <t>CS2</t>
        </is>
      </c>
      <c r="E618" t="inlineStr">
        <is>
          <t>Anubis</t>
        </is>
      </c>
      <c r="F618" t="n">
        <v>6</v>
      </c>
      <c r="G618" t="n">
        <v>16.5</v>
      </c>
      <c r="H618" t="n">
        <v>0.7</v>
      </c>
      <c r="I618" s="8" t="n">
        <v>0.515</v>
      </c>
      <c r="J618" t="n">
        <v>1.15</v>
      </c>
      <c r="K618" s="11">
        <f>IF(H618&lt;&gt;"",H618,IFERROR(G618/INDEX(Players!$M$2:$M$124,MATCH(B618,Players!$A$2:$A$124,0)),""))</f>
        <v/>
      </c>
    </row>
    <row r="619">
      <c r="A619" t="inlineStr">
        <is>
          <t>2fcfnso9a3rhpcr|Inferno</t>
        </is>
      </c>
      <c r="B619" t="inlineStr">
        <is>
          <t>2fcfnso9a3rhpcr</t>
        </is>
      </c>
      <c r="C619" t="inlineStr">
        <is>
          <t>tAk</t>
        </is>
      </c>
      <c r="D619" t="inlineStr">
        <is>
          <t>CS2</t>
        </is>
      </c>
      <c r="E619" t="inlineStr">
        <is>
          <t>Inferno</t>
        </is>
      </c>
      <c r="F619" t="n">
        <v>6</v>
      </c>
      <c r="G619" t="n">
        <v>17.3</v>
      </c>
      <c r="H619" t="n">
        <v>0.71</v>
      </c>
      <c r="I619" s="8" t="n">
        <v>0.5770000000000001</v>
      </c>
      <c r="J619" t="n">
        <v>1.11</v>
      </c>
      <c r="K619" s="11">
        <f>IF(H619&lt;&gt;"",H619,IFERROR(G619/INDEX(Players!$M$2:$M$124,MATCH(B619,Players!$A$2:$A$124,0)),""))</f>
        <v/>
      </c>
    </row>
    <row r="620">
      <c r="A620" t="inlineStr">
        <is>
          <t>2fcfnso9a3rhpcr|Nuke</t>
        </is>
      </c>
      <c r="B620" t="inlineStr">
        <is>
          <t>2fcfnso9a3rhpcr</t>
        </is>
      </c>
      <c r="C620" t="inlineStr">
        <is>
          <t>tAk</t>
        </is>
      </c>
      <c r="D620" t="inlineStr">
        <is>
          <t>CS2</t>
        </is>
      </c>
      <c r="E620" t="inlineStr">
        <is>
          <t>Nuke</t>
        </is>
      </c>
      <c r="F620" t="n">
        <v>4</v>
      </c>
      <c r="G620" t="n">
        <v>13.3</v>
      </c>
      <c r="H620" t="n">
        <v>0.7</v>
      </c>
      <c r="I620" s="8" t="n">
        <v>0.472</v>
      </c>
      <c r="J620" t="n">
        <v>1.26</v>
      </c>
      <c r="K620" s="11">
        <f>IF(H620&lt;&gt;"",H620,IFERROR(G620/INDEX(Players!$M$2:$M$124,MATCH(B620,Players!$A$2:$A$124,0)),""))</f>
        <v/>
      </c>
    </row>
    <row r="621">
      <c r="A621" t="inlineStr">
        <is>
          <t>2fcfnso9a3rhpcr|Cache</t>
        </is>
      </c>
      <c r="B621" t="inlineStr">
        <is>
          <t>2fcfnso9a3rhpcr</t>
        </is>
      </c>
      <c r="C621" t="inlineStr">
        <is>
          <t>tAk</t>
        </is>
      </c>
      <c r="D621" t="inlineStr">
        <is>
          <t>CS2</t>
        </is>
      </c>
      <c r="E621" t="inlineStr">
        <is>
          <t>Cache</t>
        </is>
      </c>
      <c r="F621" t="n">
        <v>3</v>
      </c>
      <c r="G621" t="n">
        <v>12.3</v>
      </c>
      <c r="H621" t="n">
        <v>0.51</v>
      </c>
      <c r="I621" s="8" t="n">
        <v>0.541</v>
      </c>
      <c r="J621" t="n">
        <v>0.71</v>
      </c>
      <c r="K621" s="11">
        <f>IF(H621&lt;&gt;"",H621,IFERROR(G621/INDEX(Players!$M$2:$M$124,MATCH(B621,Players!$A$2:$A$124,0)),""))</f>
        <v/>
      </c>
    </row>
    <row r="622">
      <c r="A622" t="inlineStr">
        <is>
          <t>2fcfnso9a3rhpcr|Ancient</t>
        </is>
      </c>
      <c r="B622" t="inlineStr">
        <is>
          <t>2fcfnso9a3rhpcr</t>
        </is>
      </c>
      <c r="C622" t="inlineStr">
        <is>
          <t>tAk</t>
        </is>
      </c>
      <c r="D622" t="inlineStr">
        <is>
          <t>CS2</t>
        </is>
      </c>
      <c r="E622" t="inlineStr">
        <is>
          <t>Ancient</t>
        </is>
      </c>
      <c r="F622" t="n">
        <v>2</v>
      </c>
      <c r="G622" t="n">
        <v>13.5</v>
      </c>
      <c r="H622" t="n">
        <v>0.66</v>
      </c>
      <c r="I622" s="8" t="n">
        <v>0.556</v>
      </c>
      <c r="J622" t="n">
        <v>0.82</v>
      </c>
      <c r="K622" s="11">
        <f>IF(H622&lt;&gt;"",H622,IFERROR(G622/INDEX(Players!$M$2:$M$124,MATCH(B622,Players!$A$2:$A$124,0)),""))</f>
        <v/>
      </c>
    </row>
    <row r="623">
      <c r="A623" t="inlineStr">
        <is>
          <t>tkkenn22b7r5gfa|Dust2</t>
        </is>
      </c>
      <c r="B623" t="inlineStr">
        <is>
          <t>tkkenn22b7r5gfa</t>
        </is>
      </c>
      <c r="C623" t="inlineStr">
        <is>
          <t>Tatu</t>
        </is>
      </c>
      <c r="D623" t="inlineStr">
        <is>
          <t>CS2</t>
        </is>
      </c>
      <c r="E623" t="inlineStr">
        <is>
          <t>Dust2</t>
        </is>
      </c>
      <c r="F623" t="n">
        <v>9</v>
      </c>
      <c r="G623" t="n">
        <v>16</v>
      </c>
      <c r="H623" t="n">
        <v>0.68</v>
      </c>
      <c r="I623" s="8" t="n">
        <v>0.75</v>
      </c>
      <c r="J623" t="n">
        <v>1.13</v>
      </c>
      <c r="K623" s="11">
        <f>IF(H623&lt;&gt;"",H623,IFERROR(G623/INDEX(Players!$M$2:$M$124,MATCH(B623,Players!$A$2:$A$124,0)),""))</f>
        <v/>
      </c>
    </row>
    <row r="624">
      <c r="A624" t="inlineStr">
        <is>
          <t>tkkenn22b7r5gfa|Mirage</t>
        </is>
      </c>
      <c r="B624" t="inlineStr">
        <is>
          <t>tkkenn22b7r5gfa</t>
        </is>
      </c>
      <c r="C624" t="inlineStr">
        <is>
          <t>Tatu</t>
        </is>
      </c>
      <c r="D624" t="inlineStr">
        <is>
          <t>CS2</t>
        </is>
      </c>
      <c r="E624" t="inlineStr">
        <is>
          <t>Mirage</t>
        </is>
      </c>
      <c r="F624" t="n">
        <v>9</v>
      </c>
      <c r="G624" t="n">
        <v>12.4</v>
      </c>
      <c r="H624" t="n">
        <v>0.6</v>
      </c>
      <c r="I624" s="8" t="n">
        <v>0.589</v>
      </c>
      <c r="J624" t="n">
        <v>0.88</v>
      </c>
      <c r="K624" s="11">
        <f>IF(H624&lt;&gt;"",H624,IFERROR(G624/INDEX(Players!$M$2:$M$124,MATCH(B624,Players!$A$2:$A$124,0)),""))</f>
        <v/>
      </c>
    </row>
    <row r="625">
      <c r="A625" t="inlineStr">
        <is>
          <t>tkkenn22b7r5gfa|Anubis</t>
        </is>
      </c>
      <c r="B625" t="inlineStr">
        <is>
          <t>tkkenn22b7r5gfa</t>
        </is>
      </c>
      <c r="C625" t="inlineStr">
        <is>
          <t>Tatu</t>
        </is>
      </c>
      <c r="D625" t="inlineStr">
        <is>
          <t>CS2</t>
        </is>
      </c>
      <c r="E625" t="inlineStr">
        <is>
          <t>Anubis</t>
        </is>
      </c>
      <c r="F625" t="n">
        <v>7</v>
      </c>
      <c r="G625" t="n">
        <v>17.7</v>
      </c>
      <c r="H625" t="n">
        <v>0.74</v>
      </c>
      <c r="I625" s="8" t="n">
        <v>0.581</v>
      </c>
      <c r="J625" t="n">
        <v>1.11</v>
      </c>
      <c r="K625" s="11">
        <f>IF(H625&lt;&gt;"",H625,IFERROR(G625/INDEX(Players!$M$2:$M$124,MATCH(B625,Players!$A$2:$A$124,0)),""))</f>
        <v/>
      </c>
    </row>
    <row r="626">
      <c r="A626" t="inlineStr">
        <is>
          <t>tkkenn22b7r5gfa|Cache</t>
        </is>
      </c>
      <c r="B626" t="inlineStr">
        <is>
          <t>tkkenn22b7r5gfa</t>
        </is>
      </c>
      <c r="C626" t="inlineStr">
        <is>
          <t>Tatu</t>
        </is>
      </c>
      <c r="D626" t="inlineStr">
        <is>
          <t>CS2</t>
        </is>
      </c>
      <c r="E626" t="inlineStr">
        <is>
          <t>Cache</t>
        </is>
      </c>
      <c r="F626" t="n">
        <v>6</v>
      </c>
      <c r="G626" t="n">
        <v>12.8</v>
      </c>
      <c r="H626" t="n">
        <v>0.59</v>
      </c>
      <c r="I626" s="8" t="n">
        <v>0.675</v>
      </c>
      <c r="J626" t="n">
        <v>0.88</v>
      </c>
      <c r="K626" s="11">
        <f>IF(H626&lt;&gt;"",H626,IFERROR(G626/INDEX(Players!$M$2:$M$124,MATCH(B626,Players!$A$2:$A$124,0)),""))</f>
        <v/>
      </c>
    </row>
    <row r="627">
      <c r="A627" t="inlineStr">
        <is>
          <t>tkkenn22b7r5gfa|Inferno</t>
        </is>
      </c>
      <c r="B627" t="inlineStr">
        <is>
          <t>tkkenn22b7r5gfa</t>
        </is>
      </c>
      <c r="C627" t="inlineStr">
        <is>
          <t>Tatu</t>
        </is>
      </c>
      <c r="D627" t="inlineStr">
        <is>
          <t>CS2</t>
        </is>
      </c>
      <c r="E627" t="inlineStr">
        <is>
          <t>Inferno</t>
        </is>
      </c>
      <c r="F627" t="n">
        <v>5</v>
      </c>
      <c r="G627" t="n">
        <v>11.4</v>
      </c>
      <c r="H627" t="n">
        <v>0.59</v>
      </c>
      <c r="I627" s="8" t="n">
        <v>0.649</v>
      </c>
      <c r="J627" t="n">
        <v>0.78</v>
      </c>
      <c r="K627" s="11">
        <f>IF(H627&lt;&gt;"",H627,IFERROR(G627/INDEX(Players!$M$2:$M$124,MATCH(B627,Players!$A$2:$A$124,0)),""))</f>
        <v/>
      </c>
    </row>
    <row r="628">
      <c r="A628" t="inlineStr">
        <is>
          <t>tkkenn22b7r5gfa|Nuke</t>
        </is>
      </c>
      <c r="B628" t="inlineStr">
        <is>
          <t>tkkenn22b7r5gfa</t>
        </is>
      </c>
      <c r="C628" t="inlineStr">
        <is>
          <t>Tatu</t>
        </is>
      </c>
      <c r="D628" t="inlineStr">
        <is>
          <t>CS2</t>
        </is>
      </c>
      <c r="E628" t="inlineStr">
        <is>
          <t>Nuke</t>
        </is>
      </c>
      <c r="F628" t="n">
        <v>2</v>
      </c>
      <c r="G628" t="n">
        <v>13.5</v>
      </c>
      <c r="H628" t="n">
        <v>0.82</v>
      </c>
      <c r="I628" s="8" t="n">
        <v>0.667</v>
      </c>
      <c r="J628" t="n">
        <v>1.5</v>
      </c>
      <c r="K628" s="11">
        <f>IF(H628&lt;&gt;"",H628,IFERROR(G628/INDEX(Players!$M$2:$M$124,MATCH(B628,Players!$A$2:$A$124,0)),""))</f>
        <v/>
      </c>
    </row>
    <row r="629">
      <c r="A629" t="inlineStr">
        <is>
          <t>f34szm5kcyom32u|Inferno</t>
        </is>
      </c>
      <c r="B629" t="inlineStr">
        <is>
          <t>f34szm5kcyom32u</t>
        </is>
      </c>
      <c r="C629" t="inlineStr">
        <is>
          <t>Techno</t>
        </is>
      </c>
      <c r="D629" t="inlineStr">
        <is>
          <t>CS2</t>
        </is>
      </c>
      <c r="E629" t="inlineStr">
        <is>
          <t>Inferno</t>
        </is>
      </c>
      <c r="F629" t="n">
        <v>9</v>
      </c>
      <c r="G629" t="n">
        <v>13</v>
      </c>
      <c r="H629" t="n">
        <v>0.65</v>
      </c>
      <c r="I629" s="8" t="n">
        <v>0.573</v>
      </c>
      <c r="J629" t="n">
        <v>0.98</v>
      </c>
      <c r="K629" s="11">
        <f>IF(H629&lt;&gt;"",H629,IFERROR(G629/INDEX(Players!$M$2:$M$124,MATCH(B629,Players!$A$2:$A$124,0)),""))</f>
        <v/>
      </c>
    </row>
    <row r="630">
      <c r="A630" t="inlineStr">
        <is>
          <t>f34szm5kcyom32u|Mirage</t>
        </is>
      </c>
      <c r="B630" t="inlineStr">
        <is>
          <t>f34szm5kcyom32u</t>
        </is>
      </c>
      <c r="C630" t="inlineStr">
        <is>
          <t>Techno</t>
        </is>
      </c>
      <c r="D630" t="inlineStr">
        <is>
          <t>CS2</t>
        </is>
      </c>
      <c r="E630" t="inlineStr">
        <is>
          <t>Mirage</t>
        </is>
      </c>
      <c r="F630" t="n">
        <v>7</v>
      </c>
      <c r="G630" t="n">
        <v>9</v>
      </c>
      <c r="H630" t="n">
        <v>0.45</v>
      </c>
      <c r="I630" s="8" t="n">
        <v>0.73</v>
      </c>
      <c r="J630" t="n">
        <v>0.7</v>
      </c>
      <c r="K630" s="11">
        <f>IF(H630&lt;&gt;"",H630,IFERROR(G630/INDEX(Players!$M$2:$M$124,MATCH(B630,Players!$A$2:$A$124,0)),""))</f>
        <v/>
      </c>
    </row>
    <row r="631">
      <c r="A631" t="inlineStr">
        <is>
          <t>f34szm5kcyom32u|Dust2</t>
        </is>
      </c>
      <c r="B631" t="inlineStr">
        <is>
          <t>f34szm5kcyom32u</t>
        </is>
      </c>
      <c r="C631" t="inlineStr">
        <is>
          <t>Techno</t>
        </is>
      </c>
      <c r="D631" t="inlineStr">
        <is>
          <t>CS2</t>
        </is>
      </c>
      <c r="E631" t="inlineStr">
        <is>
          <t>Dust2</t>
        </is>
      </c>
      <c r="F631" t="n">
        <v>6</v>
      </c>
      <c r="G631" t="n">
        <v>15.5</v>
      </c>
      <c r="H631" t="n">
        <v>0.66</v>
      </c>
      <c r="I631" s="8" t="n">
        <v>0.645</v>
      </c>
      <c r="J631" t="n">
        <v>1.18</v>
      </c>
      <c r="K631" s="11">
        <f>IF(H631&lt;&gt;"",H631,IFERROR(G631/INDEX(Players!$M$2:$M$124,MATCH(B631,Players!$A$2:$A$124,0)),""))</f>
        <v/>
      </c>
    </row>
    <row r="632">
      <c r="A632" t="inlineStr">
        <is>
          <t>f34szm5kcyom32u|Ancient</t>
        </is>
      </c>
      <c r="B632" t="inlineStr">
        <is>
          <t>f34szm5kcyom32u</t>
        </is>
      </c>
      <c r="C632" t="inlineStr">
        <is>
          <t>Techno</t>
        </is>
      </c>
      <c r="D632" t="inlineStr">
        <is>
          <t>CS2</t>
        </is>
      </c>
      <c r="E632" t="inlineStr">
        <is>
          <t>Ancient</t>
        </is>
      </c>
      <c r="F632" t="n">
        <v>5</v>
      </c>
      <c r="G632" t="n">
        <v>12.4</v>
      </c>
      <c r="H632" t="n">
        <v>0.59</v>
      </c>
      <c r="I632" s="8" t="n">
        <v>0.6609999999999999</v>
      </c>
      <c r="J632" t="n">
        <v>0.93</v>
      </c>
      <c r="K632" s="11">
        <f>IF(H632&lt;&gt;"",H632,IFERROR(G632/INDEX(Players!$M$2:$M$124,MATCH(B632,Players!$A$2:$A$124,0)),""))</f>
        <v/>
      </c>
    </row>
    <row r="633">
      <c r="A633" t="inlineStr">
        <is>
          <t>f34szm5kcyom32u|Nuke</t>
        </is>
      </c>
      <c r="B633" t="inlineStr">
        <is>
          <t>f34szm5kcyom32u</t>
        </is>
      </c>
      <c r="C633" t="inlineStr">
        <is>
          <t>Techno</t>
        </is>
      </c>
      <c r="D633" t="inlineStr">
        <is>
          <t>CS2</t>
        </is>
      </c>
      <c r="E633" t="inlineStr">
        <is>
          <t>Nuke</t>
        </is>
      </c>
      <c r="F633" t="n">
        <v>4</v>
      </c>
      <c r="G633" t="n">
        <v>10.5</v>
      </c>
      <c r="H633" t="n">
        <v>0.5</v>
      </c>
      <c r="I633" s="8" t="n">
        <v>0.643</v>
      </c>
      <c r="J633" t="n">
        <v>0.78</v>
      </c>
      <c r="K633" s="11">
        <f>IF(H633&lt;&gt;"",H633,IFERROR(G633/INDEX(Players!$M$2:$M$124,MATCH(B633,Players!$A$2:$A$124,0)),""))</f>
        <v/>
      </c>
    </row>
    <row r="634">
      <c r="A634" t="inlineStr">
        <is>
          <t>f34szm5kcyom32u|Cache</t>
        </is>
      </c>
      <c r="B634" t="inlineStr">
        <is>
          <t>f34szm5kcyom32u</t>
        </is>
      </c>
      <c r="C634" t="inlineStr">
        <is>
          <t>Techno</t>
        </is>
      </c>
      <c r="D634" t="inlineStr">
        <is>
          <t>CS2</t>
        </is>
      </c>
      <c r="E634" t="inlineStr">
        <is>
          <t>Cache</t>
        </is>
      </c>
      <c r="F634" t="n">
        <v>3</v>
      </c>
      <c r="G634" t="n">
        <v>9.699999999999999</v>
      </c>
      <c r="H634" t="n">
        <v>0.49</v>
      </c>
      <c r="I634" s="8" t="n">
        <v>0.586</v>
      </c>
      <c r="J634" t="n">
        <v>0.6899999999999999</v>
      </c>
      <c r="K634" s="11">
        <f>IF(H634&lt;&gt;"",H634,IFERROR(G634/INDEX(Players!$M$2:$M$124,MATCH(B634,Players!$A$2:$A$124,0)),""))</f>
        <v/>
      </c>
    </row>
    <row r="635">
      <c r="A635" t="inlineStr">
        <is>
          <t>f34szm5kcyom32u|Overpass</t>
        </is>
      </c>
      <c r="B635" t="inlineStr">
        <is>
          <t>f34szm5kcyom32u</t>
        </is>
      </c>
      <c r="C635" t="inlineStr">
        <is>
          <t>Techno</t>
        </is>
      </c>
      <c r="D635" t="inlineStr">
        <is>
          <t>CS2</t>
        </is>
      </c>
      <c r="E635" t="inlineStr">
        <is>
          <t>Overpass</t>
        </is>
      </c>
      <c r="F635" t="n">
        <v>1</v>
      </c>
      <c r="G635" t="n">
        <v>9</v>
      </c>
      <c r="H635" t="n">
        <v>0.43</v>
      </c>
      <c r="I635" s="8" t="n">
        <v>0.556</v>
      </c>
      <c r="J635" t="n">
        <v>0.6</v>
      </c>
      <c r="K635" s="11">
        <f>IF(H635&lt;&gt;"",H635,IFERROR(G635/INDEX(Players!$M$2:$M$124,MATCH(B635,Players!$A$2:$A$124,0)),""))</f>
        <v/>
      </c>
    </row>
    <row r="636">
      <c r="A636" t="inlineStr">
        <is>
          <t>coz7ncv7hdezsk9|Mirage</t>
        </is>
      </c>
      <c r="B636" t="inlineStr">
        <is>
          <t>coz7ncv7hdezsk9</t>
        </is>
      </c>
      <c r="C636" t="inlineStr">
        <is>
          <t>timo</t>
        </is>
      </c>
      <c r="D636" t="inlineStr">
        <is>
          <t>CS2</t>
        </is>
      </c>
      <c r="E636" t="inlineStr">
        <is>
          <t>Mirage</t>
        </is>
      </c>
      <c r="F636" t="n">
        <v>10</v>
      </c>
      <c r="G636" t="n">
        <v>13.4</v>
      </c>
      <c r="H636" t="n">
        <v>0.63</v>
      </c>
      <c r="I636" s="8" t="n">
        <v>0.59</v>
      </c>
      <c r="J636" t="n">
        <v>0.98</v>
      </c>
      <c r="K636" s="11">
        <f>IF(H636&lt;&gt;"",H636,IFERROR(G636/INDEX(Players!$M$2:$M$124,MATCH(B636,Players!$A$2:$A$124,0)),""))</f>
        <v/>
      </c>
    </row>
    <row r="637">
      <c r="A637" t="inlineStr">
        <is>
          <t>coz7ncv7hdezsk9|Inferno</t>
        </is>
      </c>
      <c r="B637" t="inlineStr">
        <is>
          <t>coz7ncv7hdezsk9</t>
        </is>
      </c>
      <c r="C637" t="inlineStr">
        <is>
          <t>timo</t>
        </is>
      </c>
      <c r="D637" t="inlineStr">
        <is>
          <t>CS2</t>
        </is>
      </c>
      <c r="E637" t="inlineStr">
        <is>
          <t>Inferno</t>
        </is>
      </c>
      <c r="F637" t="n">
        <v>6</v>
      </c>
      <c r="G637" t="n">
        <v>18.2</v>
      </c>
      <c r="H637" t="n">
        <v>0.75</v>
      </c>
      <c r="I637" s="8" t="n">
        <v>0.5870000000000001</v>
      </c>
      <c r="J637" t="n">
        <v>1.17</v>
      </c>
      <c r="K637" s="11">
        <f>IF(H637&lt;&gt;"",H637,IFERROR(G637/INDEX(Players!$M$2:$M$124,MATCH(B637,Players!$A$2:$A$124,0)),""))</f>
        <v/>
      </c>
    </row>
    <row r="638">
      <c r="A638" t="inlineStr">
        <is>
          <t>coz7ncv7hdezsk9|Ancient</t>
        </is>
      </c>
      <c r="B638" t="inlineStr">
        <is>
          <t>coz7ncv7hdezsk9</t>
        </is>
      </c>
      <c r="C638" t="inlineStr">
        <is>
          <t>timo</t>
        </is>
      </c>
      <c r="D638" t="inlineStr">
        <is>
          <t>CS2</t>
        </is>
      </c>
      <c r="E638" t="inlineStr">
        <is>
          <t>Ancient</t>
        </is>
      </c>
      <c r="F638" t="n">
        <v>5</v>
      </c>
      <c r="G638" t="n">
        <v>14.8</v>
      </c>
      <c r="H638" t="n">
        <v>0.7</v>
      </c>
      <c r="I638" s="8" t="n">
        <v>0.473</v>
      </c>
      <c r="J638" t="n">
        <v>1.01</v>
      </c>
      <c r="K638" s="11">
        <f>IF(H638&lt;&gt;"",H638,IFERROR(G638/INDEX(Players!$M$2:$M$124,MATCH(B638,Players!$A$2:$A$124,0)),""))</f>
        <v/>
      </c>
    </row>
    <row r="639">
      <c r="A639" t="inlineStr">
        <is>
          <t>coz7ncv7hdezsk9|Dust2</t>
        </is>
      </c>
      <c r="B639" t="inlineStr">
        <is>
          <t>coz7ncv7hdezsk9</t>
        </is>
      </c>
      <c r="C639" t="inlineStr">
        <is>
          <t>timo</t>
        </is>
      </c>
      <c r="D639" t="inlineStr">
        <is>
          <t>CS2</t>
        </is>
      </c>
      <c r="E639" t="inlineStr">
        <is>
          <t>Dust2</t>
        </is>
      </c>
      <c r="F639" t="n">
        <v>5</v>
      </c>
      <c r="G639" t="n">
        <v>13</v>
      </c>
      <c r="H639" t="n">
        <v>0.6</v>
      </c>
      <c r="I639" s="8" t="n">
        <v>0.615</v>
      </c>
      <c r="J639" t="n">
        <v>0.9</v>
      </c>
      <c r="K639" s="11">
        <f>IF(H639&lt;&gt;"",H639,IFERROR(G639/INDEX(Players!$M$2:$M$124,MATCH(B639,Players!$A$2:$A$124,0)),""))</f>
        <v/>
      </c>
    </row>
    <row r="640">
      <c r="A640" t="inlineStr">
        <is>
          <t>coz7ncv7hdezsk9|Cache</t>
        </is>
      </c>
      <c r="B640" t="inlineStr">
        <is>
          <t>coz7ncv7hdezsk9</t>
        </is>
      </c>
      <c r="C640" t="inlineStr">
        <is>
          <t>timo</t>
        </is>
      </c>
      <c r="D640" t="inlineStr">
        <is>
          <t>CS2</t>
        </is>
      </c>
      <c r="E640" t="inlineStr">
        <is>
          <t>Cache</t>
        </is>
      </c>
      <c r="F640" t="n">
        <v>4</v>
      </c>
      <c r="G640" t="n">
        <v>14.5</v>
      </c>
      <c r="H640" t="n">
        <v>0.67</v>
      </c>
      <c r="I640" s="8" t="n">
        <v>0.603</v>
      </c>
      <c r="J640" t="n">
        <v>0.91</v>
      </c>
      <c r="K640" s="11">
        <f>IF(H640&lt;&gt;"",H640,IFERROR(G640/INDEX(Players!$M$2:$M$124,MATCH(B640,Players!$A$2:$A$124,0)),""))</f>
        <v/>
      </c>
    </row>
    <row r="641">
      <c r="A641" t="inlineStr">
        <is>
          <t>coz7ncv7hdezsk9|Nuke</t>
        </is>
      </c>
      <c r="B641" t="inlineStr">
        <is>
          <t>coz7ncv7hdezsk9</t>
        </is>
      </c>
      <c r="C641" t="inlineStr">
        <is>
          <t>timo</t>
        </is>
      </c>
      <c r="D641" t="inlineStr">
        <is>
          <t>CS2</t>
        </is>
      </c>
      <c r="E641" t="inlineStr">
        <is>
          <t>Nuke</t>
        </is>
      </c>
      <c r="F641" t="n">
        <v>3</v>
      </c>
      <c r="G641" t="n">
        <v>11.7</v>
      </c>
      <c r="H641" t="n">
        <v>0.57</v>
      </c>
      <c r="I641" s="8" t="n">
        <v>0.743</v>
      </c>
      <c r="J641" t="n">
        <v>0.8</v>
      </c>
      <c r="K641" s="11">
        <f>IF(H641&lt;&gt;"",H641,IFERROR(G641/INDEX(Players!$M$2:$M$124,MATCH(B641,Players!$A$2:$A$124,0)),""))</f>
        <v/>
      </c>
    </row>
    <row r="642">
      <c r="A642" t="inlineStr">
        <is>
          <t>23ihz3d4vuve2an|Dust2</t>
        </is>
      </c>
      <c r="B642" t="inlineStr">
        <is>
          <t>23ihz3d4vuve2an</t>
        </is>
      </c>
      <c r="C642" t="inlineStr">
        <is>
          <t>tN1R</t>
        </is>
      </c>
      <c r="D642" t="inlineStr">
        <is>
          <t>CS2</t>
        </is>
      </c>
      <c r="E642" t="inlineStr">
        <is>
          <t>Dust2</t>
        </is>
      </c>
      <c r="F642" t="n">
        <v>7</v>
      </c>
      <c r="G642" t="n">
        <v>14.9</v>
      </c>
      <c r="H642" t="n">
        <v>0.74</v>
      </c>
      <c r="I642" s="8" t="n">
        <v>0.596</v>
      </c>
      <c r="J642" t="n">
        <v>1.13</v>
      </c>
      <c r="K642" s="11">
        <f>IF(H642&lt;&gt;"",H642,IFERROR(G642/INDEX(Players!$M$2:$M$124,MATCH(B642,Players!$A$2:$A$124,0)),""))</f>
        <v/>
      </c>
    </row>
    <row r="643">
      <c r="A643" t="inlineStr">
        <is>
          <t>23ihz3d4vuve2an|Mirage</t>
        </is>
      </c>
      <c r="B643" t="inlineStr">
        <is>
          <t>23ihz3d4vuve2an</t>
        </is>
      </c>
      <c r="C643" t="inlineStr">
        <is>
          <t>tN1R</t>
        </is>
      </c>
      <c r="D643" t="inlineStr">
        <is>
          <t>CS2</t>
        </is>
      </c>
      <c r="E643" t="inlineStr">
        <is>
          <t>Mirage</t>
        </is>
      </c>
      <c r="F643" t="n">
        <v>7</v>
      </c>
      <c r="G643" t="n">
        <v>15.6</v>
      </c>
      <c r="H643" t="n">
        <v>0.7</v>
      </c>
      <c r="I643" s="8" t="n">
        <v>0.5600000000000001</v>
      </c>
      <c r="J643" t="n">
        <v>1.1</v>
      </c>
      <c r="K643" s="11">
        <f>IF(H643&lt;&gt;"",H643,IFERROR(G643/INDEX(Players!$M$2:$M$124,MATCH(B643,Players!$A$2:$A$124,0)),""))</f>
        <v/>
      </c>
    </row>
    <row r="644">
      <c r="A644" t="inlineStr">
        <is>
          <t>23ihz3d4vuve2an|Ancient</t>
        </is>
      </c>
      <c r="B644" t="inlineStr">
        <is>
          <t>23ihz3d4vuve2an</t>
        </is>
      </c>
      <c r="C644" t="inlineStr">
        <is>
          <t>tN1R</t>
        </is>
      </c>
      <c r="D644" t="inlineStr">
        <is>
          <t>CS2</t>
        </is>
      </c>
      <c r="E644" t="inlineStr">
        <is>
          <t>Ancient</t>
        </is>
      </c>
      <c r="F644" t="n">
        <v>7</v>
      </c>
      <c r="G644" t="n">
        <v>13.1</v>
      </c>
      <c r="H644" t="n">
        <v>0.6</v>
      </c>
      <c r="I644" s="8" t="n">
        <v>0.5539999999999999</v>
      </c>
      <c r="J644" t="n">
        <v>0.87</v>
      </c>
      <c r="K644" s="11">
        <f>IF(H644&lt;&gt;"",H644,IFERROR(G644/INDEX(Players!$M$2:$M$124,MATCH(B644,Players!$A$2:$A$124,0)),""))</f>
        <v/>
      </c>
    </row>
    <row r="645">
      <c r="A645" t="inlineStr">
        <is>
          <t>23ihz3d4vuve2an|Cache</t>
        </is>
      </c>
      <c r="B645" t="inlineStr">
        <is>
          <t>23ihz3d4vuve2an</t>
        </is>
      </c>
      <c r="C645" t="inlineStr">
        <is>
          <t>tN1R</t>
        </is>
      </c>
      <c r="D645" t="inlineStr">
        <is>
          <t>CS2</t>
        </is>
      </c>
      <c r="E645" t="inlineStr">
        <is>
          <t>Cache</t>
        </is>
      </c>
      <c r="F645" t="n">
        <v>6</v>
      </c>
      <c r="G645" t="n">
        <v>13.2</v>
      </c>
      <c r="H645" t="n">
        <v>0.64</v>
      </c>
      <c r="I645" s="8" t="n">
        <v>0.608</v>
      </c>
      <c r="J645" t="n">
        <v>0.9399999999999999</v>
      </c>
      <c r="K645" s="11">
        <f>IF(H645&lt;&gt;"",H645,IFERROR(G645/INDEX(Players!$M$2:$M$124,MATCH(B645,Players!$A$2:$A$124,0)),""))</f>
        <v/>
      </c>
    </row>
    <row r="646">
      <c r="A646" t="inlineStr">
        <is>
          <t>23ihz3d4vuve2an|Anubis</t>
        </is>
      </c>
      <c r="B646" t="inlineStr">
        <is>
          <t>23ihz3d4vuve2an</t>
        </is>
      </c>
      <c r="C646" t="inlineStr">
        <is>
          <t>tN1R</t>
        </is>
      </c>
      <c r="D646" t="inlineStr">
        <is>
          <t>CS2</t>
        </is>
      </c>
      <c r="E646" t="inlineStr">
        <is>
          <t>Anubis</t>
        </is>
      </c>
      <c r="F646" t="n">
        <v>6</v>
      </c>
      <c r="G646" t="n">
        <v>14</v>
      </c>
      <c r="H646" t="n">
        <v>0.63</v>
      </c>
      <c r="I646" s="8" t="n">
        <v>0.536</v>
      </c>
      <c r="J646" t="n">
        <v>0.92</v>
      </c>
      <c r="K646" s="11">
        <f>IF(H646&lt;&gt;"",H646,IFERROR(G646/INDEX(Players!$M$2:$M$124,MATCH(B646,Players!$A$2:$A$124,0)),""))</f>
        <v/>
      </c>
    </row>
    <row r="647">
      <c r="A647" t="inlineStr">
        <is>
          <t>23ihz3d4vuve2an|Nuke</t>
        </is>
      </c>
      <c r="B647" t="inlineStr">
        <is>
          <t>23ihz3d4vuve2an</t>
        </is>
      </c>
      <c r="C647" t="inlineStr">
        <is>
          <t>tN1R</t>
        </is>
      </c>
      <c r="D647" t="inlineStr">
        <is>
          <t>CS2</t>
        </is>
      </c>
      <c r="E647" t="inlineStr">
        <is>
          <t>Nuke</t>
        </is>
      </c>
      <c r="F647" t="n">
        <v>5</v>
      </c>
      <c r="G647" t="n">
        <v>16</v>
      </c>
      <c r="H647" t="n">
        <v>0.75</v>
      </c>
      <c r="I647" s="8" t="n">
        <v>0.6629999999999999</v>
      </c>
      <c r="J647" t="n">
        <v>1.29</v>
      </c>
      <c r="K647" s="11">
        <f>IF(H647&lt;&gt;"",H647,IFERROR(G647/INDEX(Players!$M$2:$M$124,MATCH(B647,Players!$A$2:$A$124,0)),""))</f>
        <v/>
      </c>
    </row>
    <row r="648">
      <c r="A648" t="inlineStr">
        <is>
          <t>jk73jbuxys7dhxb|Mirage</t>
        </is>
      </c>
      <c r="B648" t="inlineStr">
        <is>
          <t>jk73jbuxys7dhxb</t>
        </is>
      </c>
      <c r="C648" t="inlineStr">
        <is>
          <t>torzsi</t>
        </is>
      </c>
      <c r="D648" t="inlineStr">
        <is>
          <t>CS2</t>
        </is>
      </c>
      <c r="E648" t="inlineStr">
        <is>
          <t>Mirage</t>
        </is>
      </c>
      <c r="F648" t="n">
        <v>10</v>
      </c>
      <c r="G648" t="n">
        <v>13.4</v>
      </c>
      <c r="H648" t="n">
        <v>0.6</v>
      </c>
      <c r="I648" s="8" t="n">
        <v>0.231</v>
      </c>
      <c r="J648" t="n">
        <v>1.07</v>
      </c>
      <c r="K648" s="11">
        <f>IF(H648&lt;&gt;"",H648,IFERROR(G648/INDEX(Players!$M$2:$M$124,MATCH(B648,Players!$A$2:$A$124,0)),""))</f>
        <v/>
      </c>
    </row>
    <row r="649">
      <c r="A649" t="inlineStr">
        <is>
          <t>jk73jbuxys7dhxb|Cache</t>
        </is>
      </c>
      <c r="B649" t="inlineStr">
        <is>
          <t>jk73jbuxys7dhxb</t>
        </is>
      </c>
      <c r="C649" t="inlineStr">
        <is>
          <t>torzsi</t>
        </is>
      </c>
      <c r="D649" t="inlineStr">
        <is>
          <t>CS2</t>
        </is>
      </c>
      <c r="E649" t="inlineStr">
        <is>
          <t>Cache</t>
        </is>
      </c>
      <c r="F649" t="n">
        <v>7</v>
      </c>
      <c r="G649" t="n">
        <v>13.3</v>
      </c>
      <c r="H649" t="n">
        <v>0.64</v>
      </c>
      <c r="I649" s="8" t="n">
        <v>0.344</v>
      </c>
      <c r="J649" t="n">
        <v>1.19</v>
      </c>
      <c r="K649" s="11">
        <f>IF(H649&lt;&gt;"",H649,IFERROR(G649/INDEX(Players!$M$2:$M$124,MATCH(B649,Players!$A$2:$A$124,0)),""))</f>
        <v/>
      </c>
    </row>
    <row r="650">
      <c r="A650" t="inlineStr">
        <is>
          <t>jk73jbuxys7dhxb|Dust2</t>
        </is>
      </c>
      <c r="B650" t="inlineStr">
        <is>
          <t>jk73jbuxys7dhxb</t>
        </is>
      </c>
      <c r="C650" t="inlineStr">
        <is>
          <t>torzsi</t>
        </is>
      </c>
      <c r="D650" t="inlineStr">
        <is>
          <t>CS2</t>
        </is>
      </c>
      <c r="E650" t="inlineStr">
        <is>
          <t>Dust2</t>
        </is>
      </c>
      <c r="F650" t="n">
        <v>6</v>
      </c>
      <c r="G650" t="n">
        <v>17.5</v>
      </c>
      <c r="H650" t="n">
        <v>0.78</v>
      </c>
      <c r="I650" s="8" t="n">
        <v>0.305</v>
      </c>
      <c r="J650" t="n">
        <v>1.46</v>
      </c>
      <c r="K650" s="11">
        <f>IF(H650&lt;&gt;"",H650,IFERROR(G650/INDEX(Players!$M$2:$M$124,MATCH(B650,Players!$A$2:$A$124,0)),""))</f>
        <v/>
      </c>
    </row>
    <row r="651">
      <c r="A651" t="inlineStr">
        <is>
          <t>jk73jbuxys7dhxb|Inferno</t>
        </is>
      </c>
      <c r="B651" t="inlineStr">
        <is>
          <t>jk73jbuxys7dhxb</t>
        </is>
      </c>
      <c r="C651" t="inlineStr">
        <is>
          <t>torzsi</t>
        </is>
      </c>
      <c r="D651" t="inlineStr">
        <is>
          <t>CS2</t>
        </is>
      </c>
      <c r="E651" t="inlineStr">
        <is>
          <t>Inferno</t>
        </is>
      </c>
      <c r="F651" t="n">
        <v>6</v>
      </c>
      <c r="G651" t="n">
        <v>15</v>
      </c>
      <c r="H651" t="n">
        <v>0.73</v>
      </c>
      <c r="I651" s="8" t="n">
        <v>0.322</v>
      </c>
      <c r="J651" t="n">
        <v>1.22</v>
      </c>
      <c r="K651" s="11">
        <f>IF(H651&lt;&gt;"",H651,IFERROR(G651/INDEX(Players!$M$2:$M$124,MATCH(B651,Players!$A$2:$A$124,0)),""))</f>
        <v/>
      </c>
    </row>
    <row r="652">
      <c r="A652" t="inlineStr">
        <is>
          <t>jk73jbuxys7dhxb|Nuke</t>
        </is>
      </c>
      <c r="B652" t="inlineStr">
        <is>
          <t>jk73jbuxys7dhxb</t>
        </is>
      </c>
      <c r="C652" t="inlineStr">
        <is>
          <t>torzsi</t>
        </is>
      </c>
      <c r="D652" t="inlineStr">
        <is>
          <t>CS2</t>
        </is>
      </c>
      <c r="E652" t="inlineStr">
        <is>
          <t>Nuke</t>
        </is>
      </c>
      <c r="F652" t="n">
        <v>6</v>
      </c>
      <c r="G652" t="n">
        <v>13.2</v>
      </c>
      <c r="H652" t="n">
        <v>0.63</v>
      </c>
      <c r="I652" s="8" t="n">
        <v>0.354</v>
      </c>
      <c r="J652" t="n">
        <v>1.01</v>
      </c>
      <c r="K652" s="11">
        <f>IF(H652&lt;&gt;"",H652,IFERROR(G652/INDEX(Players!$M$2:$M$124,MATCH(B652,Players!$A$2:$A$124,0)),""))</f>
        <v/>
      </c>
    </row>
    <row r="653">
      <c r="A653" t="inlineStr">
        <is>
          <t>jk73jbuxys7dhxb|Ancient</t>
        </is>
      </c>
      <c r="B653" t="inlineStr">
        <is>
          <t>jk73jbuxys7dhxb</t>
        </is>
      </c>
      <c r="C653" t="inlineStr">
        <is>
          <t>torzsi</t>
        </is>
      </c>
      <c r="D653" t="inlineStr">
        <is>
          <t>CS2</t>
        </is>
      </c>
      <c r="E653" t="inlineStr">
        <is>
          <t>Ancient</t>
        </is>
      </c>
      <c r="F653" t="n">
        <v>4</v>
      </c>
      <c r="G653" t="n">
        <v>14.3</v>
      </c>
      <c r="H653" t="n">
        <v>0.7</v>
      </c>
      <c r="I653" s="8" t="n">
        <v>0.439</v>
      </c>
      <c r="J653" t="n">
        <v>1.16</v>
      </c>
      <c r="K653" s="11">
        <f>IF(H653&lt;&gt;"",H653,IFERROR(G653/INDEX(Players!$M$2:$M$124,MATCH(B653,Players!$A$2:$A$124,0)),""))</f>
        <v/>
      </c>
    </row>
    <row r="654">
      <c r="A654" t="inlineStr">
        <is>
          <t>qtomd625i03qfpk|Dust2</t>
        </is>
      </c>
      <c r="B654" t="inlineStr">
        <is>
          <t>qtomd625i03qfpk</t>
        </is>
      </c>
      <c r="C654" t="inlineStr">
        <is>
          <t>try</t>
        </is>
      </c>
      <c r="D654" t="inlineStr">
        <is>
          <t>CS2</t>
        </is>
      </c>
      <c r="E654" t="inlineStr">
        <is>
          <t>Dust2</t>
        </is>
      </c>
      <c r="F654" t="n">
        <v>11</v>
      </c>
      <c r="G654" t="n">
        <v>14.5</v>
      </c>
      <c r="H654" t="n">
        <v>0.71</v>
      </c>
      <c r="I654" s="8" t="n">
        <v>0.319</v>
      </c>
      <c r="J654" t="n">
        <v>1.14</v>
      </c>
      <c r="K654" s="11">
        <f>IF(H654&lt;&gt;"",H654,IFERROR(G654/INDEX(Players!$M$2:$M$124,MATCH(B654,Players!$A$2:$A$124,0)),""))</f>
        <v/>
      </c>
    </row>
    <row r="655">
      <c r="A655" t="inlineStr">
        <is>
          <t>qtomd625i03qfpk|Mirage</t>
        </is>
      </c>
      <c r="B655" t="inlineStr">
        <is>
          <t>qtomd625i03qfpk</t>
        </is>
      </c>
      <c r="C655" t="inlineStr">
        <is>
          <t>try</t>
        </is>
      </c>
      <c r="D655" t="inlineStr">
        <is>
          <t>CS2</t>
        </is>
      </c>
      <c r="E655" t="inlineStr">
        <is>
          <t>Mirage</t>
        </is>
      </c>
      <c r="F655" t="n">
        <v>10</v>
      </c>
      <c r="G655" t="n">
        <v>15.8</v>
      </c>
      <c r="H655" t="n">
        <v>0.67</v>
      </c>
      <c r="I655" s="8" t="n">
        <v>0.304</v>
      </c>
      <c r="J655" t="n">
        <v>1.11</v>
      </c>
      <c r="K655" s="11">
        <f>IF(H655&lt;&gt;"",H655,IFERROR(G655/INDEX(Players!$M$2:$M$124,MATCH(B655,Players!$A$2:$A$124,0)),""))</f>
        <v/>
      </c>
    </row>
    <row r="656">
      <c r="A656" t="inlineStr">
        <is>
          <t>qtomd625i03qfpk|Ancient</t>
        </is>
      </c>
      <c r="B656" t="inlineStr">
        <is>
          <t>qtomd625i03qfpk</t>
        </is>
      </c>
      <c r="C656" t="inlineStr">
        <is>
          <t>try</t>
        </is>
      </c>
      <c r="D656" t="inlineStr">
        <is>
          <t>CS2</t>
        </is>
      </c>
      <c r="E656" t="inlineStr">
        <is>
          <t>Ancient</t>
        </is>
      </c>
      <c r="F656" t="n">
        <v>8</v>
      </c>
      <c r="G656" t="n">
        <v>18</v>
      </c>
      <c r="H656" t="n">
        <v>0.6899999999999999</v>
      </c>
      <c r="I656" s="8" t="n">
        <v>0.319</v>
      </c>
      <c r="J656" t="n">
        <v>1.09</v>
      </c>
      <c r="K656" s="11">
        <f>IF(H656&lt;&gt;"",H656,IFERROR(G656/INDEX(Players!$M$2:$M$124,MATCH(B656,Players!$A$2:$A$124,0)),""))</f>
        <v/>
      </c>
    </row>
    <row r="657">
      <c r="A657" t="inlineStr">
        <is>
          <t>qtomd625i03qfpk|Nuke</t>
        </is>
      </c>
      <c r="B657" t="inlineStr">
        <is>
          <t>qtomd625i03qfpk</t>
        </is>
      </c>
      <c r="C657" t="inlineStr">
        <is>
          <t>try</t>
        </is>
      </c>
      <c r="D657" t="inlineStr">
        <is>
          <t>CS2</t>
        </is>
      </c>
      <c r="E657" t="inlineStr">
        <is>
          <t>Nuke</t>
        </is>
      </c>
      <c r="F657" t="n">
        <v>4</v>
      </c>
      <c r="G657" t="n">
        <v>20</v>
      </c>
      <c r="H657" t="n">
        <v>0.78</v>
      </c>
      <c r="I657" s="8" t="n">
        <v>0.313</v>
      </c>
      <c r="J657" t="n">
        <v>1.31</v>
      </c>
      <c r="K657" s="11">
        <f>IF(H657&lt;&gt;"",H657,IFERROR(G657/INDEX(Players!$M$2:$M$124,MATCH(B657,Players!$A$2:$A$124,0)),""))</f>
        <v/>
      </c>
    </row>
    <row r="658">
      <c r="A658" t="inlineStr">
        <is>
          <t>qtomd625i03qfpk|Inferno</t>
        </is>
      </c>
      <c r="B658" t="inlineStr">
        <is>
          <t>qtomd625i03qfpk</t>
        </is>
      </c>
      <c r="C658" t="inlineStr">
        <is>
          <t>try</t>
        </is>
      </c>
      <c r="D658" t="inlineStr">
        <is>
          <t>CS2</t>
        </is>
      </c>
      <c r="E658" t="inlineStr">
        <is>
          <t>Inferno</t>
        </is>
      </c>
      <c r="F658" t="n">
        <v>4</v>
      </c>
      <c r="G658" t="n">
        <v>12.3</v>
      </c>
      <c r="H658" t="n">
        <v>0.61</v>
      </c>
      <c r="I658" s="8" t="n">
        <v>0.367</v>
      </c>
      <c r="J658" t="n">
        <v>1.04</v>
      </c>
      <c r="K658" s="11">
        <f>IF(H658&lt;&gt;"",H658,IFERROR(G658/INDEX(Players!$M$2:$M$124,MATCH(B658,Players!$A$2:$A$124,0)),""))</f>
        <v/>
      </c>
    </row>
    <row r="659">
      <c r="A659" t="inlineStr">
        <is>
          <t>qtomd625i03qfpk|Cache</t>
        </is>
      </c>
      <c r="B659" t="inlineStr">
        <is>
          <t>qtomd625i03qfpk</t>
        </is>
      </c>
      <c r="C659" t="inlineStr">
        <is>
          <t>try</t>
        </is>
      </c>
      <c r="D659" t="inlineStr">
        <is>
          <t>CS2</t>
        </is>
      </c>
      <c r="E659" t="inlineStr">
        <is>
          <t>Cache</t>
        </is>
      </c>
      <c r="F659" t="n">
        <v>2</v>
      </c>
      <c r="G659" t="n">
        <v>12.5</v>
      </c>
      <c r="H659" t="n">
        <v>0.63</v>
      </c>
      <c r="I659" s="8" t="n">
        <v>0.32</v>
      </c>
      <c r="J659" t="n">
        <v>1.19</v>
      </c>
      <c r="K659" s="11">
        <f>IF(H659&lt;&gt;"",H659,IFERROR(G659/INDEX(Players!$M$2:$M$124,MATCH(B659,Players!$A$2:$A$124,0)),""))</f>
        <v/>
      </c>
    </row>
    <row r="660">
      <c r="A660" t="inlineStr">
        <is>
          <t>12s4j1y56sietsk|Ancient</t>
        </is>
      </c>
      <c r="B660" t="inlineStr">
        <is>
          <t>12s4j1y56sietsk</t>
        </is>
      </c>
      <c r="C660" t="inlineStr">
        <is>
          <t>volt</t>
        </is>
      </c>
      <c r="D660" t="inlineStr">
        <is>
          <t>CS2</t>
        </is>
      </c>
      <c r="E660" t="inlineStr">
        <is>
          <t>Ancient</t>
        </is>
      </c>
      <c r="F660" t="n">
        <v>10</v>
      </c>
      <c r="G660" t="n">
        <v>14.2</v>
      </c>
      <c r="H660" t="n">
        <v>0.64</v>
      </c>
      <c r="I660" s="8" t="n">
        <v>0.606</v>
      </c>
      <c r="J660" t="n">
        <v>0.95</v>
      </c>
      <c r="K660" s="11">
        <f>IF(H660&lt;&gt;"",H660,IFERROR(G660/INDEX(Players!$M$2:$M$124,MATCH(B660,Players!$A$2:$A$124,0)),""))</f>
        <v/>
      </c>
    </row>
    <row r="661">
      <c r="A661" t="inlineStr">
        <is>
          <t>12s4j1y56sietsk|Dust2</t>
        </is>
      </c>
      <c r="B661" t="inlineStr">
        <is>
          <t>12s4j1y56sietsk</t>
        </is>
      </c>
      <c r="C661" t="inlineStr">
        <is>
          <t>volt</t>
        </is>
      </c>
      <c r="D661" t="inlineStr">
        <is>
          <t>CS2</t>
        </is>
      </c>
      <c r="E661" t="inlineStr">
        <is>
          <t>Dust2</t>
        </is>
      </c>
      <c r="F661" t="n">
        <v>6</v>
      </c>
      <c r="G661" t="n">
        <v>16</v>
      </c>
      <c r="H661" t="n">
        <v>0.63</v>
      </c>
      <c r="I661" s="8" t="n">
        <v>0.615</v>
      </c>
      <c r="J661" t="n">
        <v>0.86</v>
      </c>
      <c r="K661" s="11">
        <f>IF(H661&lt;&gt;"",H661,IFERROR(G661/INDEX(Players!$M$2:$M$124,MATCH(B661,Players!$A$2:$A$124,0)),""))</f>
        <v/>
      </c>
    </row>
    <row r="662">
      <c r="A662" t="inlineStr">
        <is>
          <t>12s4j1y56sietsk|Mirage</t>
        </is>
      </c>
      <c r="B662" t="inlineStr">
        <is>
          <t>12s4j1y56sietsk</t>
        </is>
      </c>
      <c r="C662" t="inlineStr">
        <is>
          <t>volt</t>
        </is>
      </c>
      <c r="D662" t="inlineStr">
        <is>
          <t>CS2</t>
        </is>
      </c>
      <c r="E662" t="inlineStr">
        <is>
          <t>Mirage</t>
        </is>
      </c>
      <c r="F662" t="n">
        <v>4</v>
      </c>
      <c r="G662" t="n">
        <v>14</v>
      </c>
      <c r="H662" t="n">
        <v>0.52</v>
      </c>
      <c r="I662" s="8" t="n">
        <v>0.5710000000000001</v>
      </c>
      <c r="J662" t="n">
        <v>0.79</v>
      </c>
      <c r="K662" s="11">
        <f>IF(H662&lt;&gt;"",H662,IFERROR(G662/INDEX(Players!$M$2:$M$124,MATCH(B662,Players!$A$2:$A$124,0)),""))</f>
        <v/>
      </c>
    </row>
    <row r="663">
      <c r="A663" t="inlineStr">
        <is>
          <t>12s4j1y56sietsk|Nuke</t>
        </is>
      </c>
      <c r="B663" t="inlineStr">
        <is>
          <t>12s4j1y56sietsk</t>
        </is>
      </c>
      <c r="C663" t="inlineStr">
        <is>
          <t>volt</t>
        </is>
      </c>
      <c r="D663" t="inlineStr">
        <is>
          <t>CS2</t>
        </is>
      </c>
      <c r="E663" t="inlineStr">
        <is>
          <t>Nuke</t>
        </is>
      </c>
      <c r="F663" t="n">
        <v>3</v>
      </c>
      <c r="G663" t="n">
        <v>14</v>
      </c>
      <c r="H663" t="n">
        <v>0.66</v>
      </c>
      <c r="I663" s="8" t="n">
        <v>0.524</v>
      </c>
      <c r="J663" t="n">
        <v>1.05</v>
      </c>
      <c r="K663" s="11">
        <f>IF(H663&lt;&gt;"",H663,IFERROR(G663/INDEX(Players!$M$2:$M$124,MATCH(B663,Players!$A$2:$A$124,0)),""))</f>
        <v/>
      </c>
    </row>
    <row r="664">
      <c r="A664" t="inlineStr">
        <is>
          <t>12s4j1y56sietsk|Inferno</t>
        </is>
      </c>
      <c r="B664" t="inlineStr">
        <is>
          <t>12s4j1y56sietsk</t>
        </is>
      </c>
      <c r="C664" t="inlineStr">
        <is>
          <t>volt</t>
        </is>
      </c>
      <c r="D664" t="inlineStr">
        <is>
          <t>CS2</t>
        </is>
      </c>
      <c r="E664" t="inlineStr">
        <is>
          <t>Inferno</t>
        </is>
      </c>
      <c r="F664" t="n">
        <v>3</v>
      </c>
      <c r="G664" t="n">
        <v>13</v>
      </c>
      <c r="H664" t="n">
        <v>0.57</v>
      </c>
      <c r="I664" s="8" t="n">
        <v>0.308</v>
      </c>
      <c r="J664" t="n">
        <v>0.89</v>
      </c>
      <c r="K664" s="11">
        <f>IF(H664&lt;&gt;"",H664,IFERROR(G664/INDEX(Players!$M$2:$M$124,MATCH(B664,Players!$A$2:$A$124,0)),""))</f>
        <v/>
      </c>
    </row>
    <row r="665">
      <c r="A665" t="inlineStr">
        <is>
          <t>12s4j1y56sietsk|Cache</t>
        </is>
      </c>
      <c r="B665" t="inlineStr">
        <is>
          <t>12s4j1y56sietsk</t>
        </is>
      </c>
      <c r="C665" t="inlineStr">
        <is>
          <t>volt</t>
        </is>
      </c>
      <c r="D665" t="inlineStr">
        <is>
          <t>CS2</t>
        </is>
      </c>
      <c r="E665" t="inlineStr">
        <is>
          <t>Cache</t>
        </is>
      </c>
      <c r="F665" t="n">
        <v>2</v>
      </c>
      <c r="G665" t="n">
        <v>7.5</v>
      </c>
      <c r="H665" t="n">
        <v>0.43</v>
      </c>
      <c r="I665" s="8" t="n">
        <v>0.4</v>
      </c>
      <c r="J665" t="n">
        <v>0.6</v>
      </c>
      <c r="K665" s="11">
        <f>IF(H665&lt;&gt;"",H665,IFERROR(G665/INDEX(Players!$M$2:$M$124,MATCH(B665,Players!$A$2:$A$124,0)),""))</f>
        <v/>
      </c>
    </row>
    <row r="666">
      <c r="A666" t="inlineStr">
        <is>
          <t>9wdj3z2kekttkk3|Inferno</t>
        </is>
      </c>
      <c r="B666" t="inlineStr">
        <is>
          <t>9wdj3z2kekttkk3</t>
        </is>
      </c>
      <c r="C666" t="inlineStr">
        <is>
          <t>w0nderful</t>
        </is>
      </c>
      <c r="D666" t="inlineStr">
        <is>
          <t>CS2</t>
        </is>
      </c>
      <c r="E666" t="inlineStr">
        <is>
          <t>Inferno</t>
        </is>
      </c>
      <c r="F666" t="n">
        <v>10</v>
      </c>
      <c r="G666" t="n">
        <v>15.2</v>
      </c>
      <c r="H666" t="n">
        <v>0.71</v>
      </c>
      <c r="I666" s="8" t="n">
        <v>0.441</v>
      </c>
      <c r="J666" t="n">
        <v>1.28</v>
      </c>
      <c r="K666" s="11">
        <f>IF(H666&lt;&gt;"",H666,IFERROR(G666/INDEX(Players!$M$2:$M$124,MATCH(B666,Players!$A$2:$A$124,0)),""))</f>
        <v/>
      </c>
    </row>
    <row r="667">
      <c r="A667" t="inlineStr">
        <is>
          <t>9wdj3z2kekttkk3|Mirage</t>
        </is>
      </c>
      <c r="B667" t="inlineStr">
        <is>
          <t>9wdj3z2kekttkk3</t>
        </is>
      </c>
      <c r="C667" t="inlineStr">
        <is>
          <t>w0nderful</t>
        </is>
      </c>
      <c r="D667" t="inlineStr">
        <is>
          <t>CS2</t>
        </is>
      </c>
      <c r="E667" t="inlineStr">
        <is>
          <t>Mirage</t>
        </is>
      </c>
      <c r="F667" t="n">
        <v>9</v>
      </c>
      <c r="G667" t="n">
        <v>14.2</v>
      </c>
      <c r="H667" t="n">
        <v>0.67</v>
      </c>
      <c r="I667" s="8" t="n">
        <v>0.383</v>
      </c>
      <c r="J667" t="n">
        <v>1.03</v>
      </c>
      <c r="K667" s="11">
        <f>IF(H667&lt;&gt;"",H667,IFERROR(G667/INDEX(Players!$M$2:$M$124,MATCH(B667,Players!$A$2:$A$124,0)),""))</f>
        <v/>
      </c>
    </row>
    <row r="668">
      <c r="A668" t="inlineStr">
        <is>
          <t>9wdj3z2kekttkk3|Nuke</t>
        </is>
      </c>
      <c r="B668" t="inlineStr">
        <is>
          <t>9wdj3z2kekttkk3</t>
        </is>
      </c>
      <c r="C668" t="inlineStr">
        <is>
          <t>w0nderful</t>
        </is>
      </c>
      <c r="D668" t="inlineStr">
        <is>
          <t>CS2</t>
        </is>
      </c>
      <c r="E668" t="inlineStr">
        <is>
          <t>Nuke</t>
        </is>
      </c>
      <c r="F668" t="n">
        <v>5</v>
      </c>
      <c r="G668" t="n">
        <v>14.8</v>
      </c>
      <c r="H668" t="n">
        <v>0.71</v>
      </c>
      <c r="I668" s="8" t="n">
        <v>0.419</v>
      </c>
      <c r="J668" t="n">
        <v>1.35</v>
      </c>
      <c r="K668" s="11">
        <f>IF(H668&lt;&gt;"",H668,IFERROR(G668/INDEX(Players!$M$2:$M$124,MATCH(B668,Players!$A$2:$A$124,0)),""))</f>
        <v/>
      </c>
    </row>
    <row r="669">
      <c r="A669" t="inlineStr">
        <is>
          <t>9wdj3z2kekttkk3|Cache</t>
        </is>
      </c>
      <c r="B669" t="inlineStr">
        <is>
          <t>9wdj3z2kekttkk3</t>
        </is>
      </c>
      <c r="C669" t="inlineStr">
        <is>
          <t>w0nderful</t>
        </is>
      </c>
      <c r="D669" t="inlineStr">
        <is>
          <t>CS2</t>
        </is>
      </c>
      <c r="E669" t="inlineStr">
        <is>
          <t>Cache</t>
        </is>
      </c>
      <c r="F669" t="n">
        <v>4</v>
      </c>
      <c r="G669" t="n">
        <v>20.3</v>
      </c>
      <c r="H669" t="n">
        <v>0.95</v>
      </c>
      <c r="I669" s="8" t="n">
        <v>0.358</v>
      </c>
      <c r="J669" t="n">
        <v>1.93</v>
      </c>
      <c r="K669" s="11">
        <f>IF(H669&lt;&gt;"",H669,IFERROR(G669/INDEX(Players!$M$2:$M$124,MATCH(B669,Players!$A$2:$A$124,0)),""))</f>
        <v/>
      </c>
    </row>
    <row r="670">
      <c r="A670" t="inlineStr">
        <is>
          <t>9wdj3z2kekttkk3|Anubis</t>
        </is>
      </c>
      <c r="B670" t="inlineStr">
        <is>
          <t>9wdj3z2kekttkk3</t>
        </is>
      </c>
      <c r="C670" t="inlineStr">
        <is>
          <t>w0nderful</t>
        </is>
      </c>
      <c r="D670" t="inlineStr">
        <is>
          <t>CS2</t>
        </is>
      </c>
      <c r="E670" t="inlineStr">
        <is>
          <t>Anubis</t>
        </is>
      </c>
      <c r="F670" t="n">
        <v>3</v>
      </c>
      <c r="G670" t="n">
        <v>20</v>
      </c>
      <c r="H670" t="n">
        <v>0.87</v>
      </c>
      <c r="I670" s="8" t="n">
        <v>0.367</v>
      </c>
      <c r="J670" t="n">
        <v>1.43</v>
      </c>
      <c r="K670" s="11">
        <f>IF(H670&lt;&gt;"",H670,IFERROR(G670/INDEX(Players!$M$2:$M$124,MATCH(B670,Players!$A$2:$A$124,0)),""))</f>
        <v/>
      </c>
    </row>
    <row r="671">
      <c r="A671" t="inlineStr">
        <is>
          <t>9wdj3z2kekttkk3|Ancient</t>
        </is>
      </c>
      <c r="B671" t="inlineStr">
        <is>
          <t>9wdj3z2kekttkk3</t>
        </is>
      </c>
      <c r="C671" t="inlineStr">
        <is>
          <t>w0nderful</t>
        </is>
      </c>
      <c r="D671" t="inlineStr">
        <is>
          <t>CS2</t>
        </is>
      </c>
      <c r="E671" t="inlineStr">
        <is>
          <t>Ancient</t>
        </is>
      </c>
      <c r="F671" t="n">
        <v>3</v>
      </c>
      <c r="G671" t="n">
        <v>9</v>
      </c>
      <c r="H671" t="n">
        <v>0.48</v>
      </c>
      <c r="I671" s="8" t="n">
        <v>0.481</v>
      </c>
      <c r="J671" t="n">
        <v>0.61</v>
      </c>
      <c r="K671" s="11">
        <f>IF(H671&lt;&gt;"",H671,IFERROR(G671/INDEX(Players!$M$2:$M$124,MATCH(B671,Players!$A$2:$A$124,0)),""))</f>
        <v/>
      </c>
    </row>
    <row r="672">
      <c r="A672" t="inlineStr">
        <is>
          <t>9wdj3z2kekttkk3|Dust2</t>
        </is>
      </c>
      <c r="B672" t="inlineStr">
        <is>
          <t>9wdj3z2kekttkk3</t>
        </is>
      </c>
      <c r="C672" t="inlineStr">
        <is>
          <t>w0nderful</t>
        </is>
      </c>
      <c r="D672" t="inlineStr">
        <is>
          <t>CS2</t>
        </is>
      </c>
      <c r="E672" t="inlineStr">
        <is>
          <t>Dust2</t>
        </is>
      </c>
      <c r="F672" t="n">
        <v>2</v>
      </c>
      <c r="G672" t="n">
        <v>28</v>
      </c>
      <c r="H672" t="n">
        <v>0.86</v>
      </c>
      <c r="I672" s="8" t="n">
        <v>0.357</v>
      </c>
      <c r="J672" t="n">
        <v>1.47</v>
      </c>
      <c r="K672" s="11">
        <f>IF(H672&lt;&gt;"",H672,IFERROR(G672/INDEX(Players!$M$2:$M$124,MATCH(B672,Players!$A$2:$A$124,0)),""))</f>
        <v/>
      </c>
    </row>
    <row r="673">
      <c r="A673" t="inlineStr">
        <is>
          <t>9clq2dpvqugkf0i|Dust2</t>
        </is>
      </c>
      <c r="B673" t="inlineStr">
        <is>
          <t>9clq2dpvqugkf0i</t>
        </is>
      </c>
      <c r="C673" t="inlineStr">
        <is>
          <t>Wicadia</t>
        </is>
      </c>
      <c r="D673" t="inlineStr">
        <is>
          <t>CS2</t>
        </is>
      </c>
      <c r="E673" t="inlineStr">
        <is>
          <t>Dust2</t>
        </is>
      </c>
      <c r="F673" t="n">
        <v>8</v>
      </c>
      <c r="G673" t="n">
        <v>16.3</v>
      </c>
      <c r="H673" t="n">
        <v>0.72</v>
      </c>
      <c r="I673" s="8" t="n">
        <v>0.477</v>
      </c>
      <c r="J673" t="n">
        <v>1.07</v>
      </c>
      <c r="K673" s="11">
        <f>IF(H673&lt;&gt;"",H673,IFERROR(G673/INDEX(Players!$M$2:$M$124,MATCH(B673,Players!$A$2:$A$124,0)),""))</f>
        <v/>
      </c>
    </row>
    <row r="674">
      <c r="A674" t="inlineStr">
        <is>
          <t>9clq2dpvqugkf0i|Mirage</t>
        </is>
      </c>
      <c r="B674" t="inlineStr">
        <is>
          <t>9clq2dpvqugkf0i</t>
        </is>
      </c>
      <c r="C674" t="inlineStr">
        <is>
          <t>Wicadia</t>
        </is>
      </c>
      <c r="D674" t="inlineStr">
        <is>
          <t>CS2</t>
        </is>
      </c>
      <c r="E674" t="inlineStr">
        <is>
          <t>Mirage</t>
        </is>
      </c>
      <c r="F674" t="n">
        <v>7</v>
      </c>
      <c r="G674" t="n">
        <v>17.4</v>
      </c>
      <c r="H674" t="n">
        <v>0.87</v>
      </c>
      <c r="I674" s="8" t="n">
        <v>0.516</v>
      </c>
      <c r="J674" t="n">
        <v>1.33</v>
      </c>
      <c r="K674" s="11">
        <f>IF(H674&lt;&gt;"",H674,IFERROR(G674/INDEX(Players!$M$2:$M$124,MATCH(B674,Players!$A$2:$A$124,0)),""))</f>
        <v/>
      </c>
    </row>
    <row r="675">
      <c r="A675" t="inlineStr">
        <is>
          <t>9clq2dpvqugkf0i|Anubis</t>
        </is>
      </c>
      <c r="B675" t="inlineStr">
        <is>
          <t>9clq2dpvqugkf0i</t>
        </is>
      </c>
      <c r="C675" t="inlineStr">
        <is>
          <t>Wicadia</t>
        </is>
      </c>
      <c r="D675" t="inlineStr">
        <is>
          <t>CS2</t>
        </is>
      </c>
      <c r="E675" t="inlineStr">
        <is>
          <t>Anubis</t>
        </is>
      </c>
      <c r="F675" t="n">
        <v>7</v>
      </c>
      <c r="G675" t="n">
        <v>14.6</v>
      </c>
      <c r="H675" t="n">
        <v>0.73</v>
      </c>
      <c r="I675" s="8" t="n">
        <v>0.608</v>
      </c>
      <c r="J675" t="n">
        <v>1.21</v>
      </c>
      <c r="K675" s="11">
        <f>IF(H675&lt;&gt;"",H675,IFERROR(G675/INDEX(Players!$M$2:$M$124,MATCH(B675,Players!$A$2:$A$124,0)),""))</f>
        <v/>
      </c>
    </row>
    <row r="676">
      <c r="A676" t="inlineStr">
        <is>
          <t>9clq2dpvqugkf0i|Inferno</t>
        </is>
      </c>
      <c r="B676" t="inlineStr">
        <is>
          <t>9clq2dpvqugkf0i</t>
        </is>
      </c>
      <c r="C676" t="inlineStr">
        <is>
          <t>Wicadia</t>
        </is>
      </c>
      <c r="D676" t="inlineStr">
        <is>
          <t>CS2</t>
        </is>
      </c>
      <c r="E676" t="inlineStr">
        <is>
          <t>Inferno</t>
        </is>
      </c>
      <c r="F676" t="n">
        <v>6</v>
      </c>
      <c r="G676" t="n">
        <v>19.3</v>
      </c>
      <c r="H676" t="n">
        <v>0.83</v>
      </c>
      <c r="I676" s="8" t="n">
        <v>0.603</v>
      </c>
      <c r="J676" t="n">
        <v>1.26</v>
      </c>
      <c r="K676" s="11">
        <f>IF(H676&lt;&gt;"",H676,IFERROR(G676/INDEX(Players!$M$2:$M$124,MATCH(B676,Players!$A$2:$A$124,0)),""))</f>
        <v/>
      </c>
    </row>
    <row r="677">
      <c r="A677" t="inlineStr">
        <is>
          <t>9clq2dpvqugkf0i|Nuke</t>
        </is>
      </c>
      <c r="B677" t="inlineStr">
        <is>
          <t>9clq2dpvqugkf0i</t>
        </is>
      </c>
      <c r="C677" t="inlineStr">
        <is>
          <t>Wicadia</t>
        </is>
      </c>
      <c r="D677" t="inlineStr">
        <is>
          <t>CS2</t>
        </is>
      </c>
      <c r="E677" t="inlineStr">
        <is>
          <t>Nuke</t>
        </is>
      </c>
      <c r="F677" t="n">
        <v>6</v>
      </c>
      <c r="G677" t="n">
        <v>14.2</v>
      </c>
      <c r="H677" t="n">
        <v>0.75</v>
      </c>
      <c r="I677" s="8" t="n">
        <v>0.529</v>
      </c>
      <c r="J677" t="n">
        <v>0.98</v>
      </c>
      <c r="K677" s="11">
        <f>IF(H677&lt;&gt;"",H677,IFERROR(G677/INDEX(Players!$M$2:$M$124,MATCH(B677,Players!$A$2:$A$124,0)),""))</f>
        <v/>
      </c>
    </row>
    <row r="678">
      <c r="A678" t="inlineStr">
        <is>
          <t>9clq2dpvqugkf0i|Cache</t>
        </is>
      </c>
      <c r="B678" t="inlineStr">
        <is>
          <t>9clq2dpvqugkf0i</t>
        </is>
      </c>
      <c r="C678" t="inlineStr">
        <is>
          <t>Wicadia</t>
        </is>
      </c>
      <c r="D678" t="inlineStr">
        <is>
          <t>CS2</t>
        </is>
      </c>
      <c r="E678" t="inlineStr">
        <is>
          <t>Cache</t>
        </is>
      </c>
      <c r="F678" t="n">
        <v>4</v>
      </c>
      <c r="G678" t="n">
        <v>16.3</v>
      </c>
      <c r="H678" t="n">
        <v>0.76</v>
      </c>
      <c r="I678" s="8" t="n">
        <v>0.585</v>
      </c>
      <c r="J678" t="n">
        <v>1.03</v>
      </c>
      <c r="K678" s="11">
        <f>IF(H678&lt;&gt;"",H678,IFERROR(G678/INDEX(Players!$M$2:$M$124,MATCH(B678,Players!$A$2:$A$124,0)),""))</f>
        <v/>
      </c>
    </row>
    <row r="679">
      <c r="A679" t="inlineStr">
        <is>
          <t>lpkyyhtoofj8ova|Dust2</t>
        </is>
      </c>
      <c r="B679" t="inlineStr">
        <is>
          <t>lpkyyhtoofj8ova</t>
        </is>
      </c>
      <c r="C679" t="inlineStr">
        <is>
          <t>woxic</t>
        </is>
      </c>
      <c r="D679" t="inlineStr">
        <is>
          <t>CS2</t>
        </is>
      </c>
      <c r="E679" t="inlineStr">
        <is>
          <t>Dust2</t>
        </is>
      </c>
      <c r="F679" t="n">
        <v>8</v>
      </c>
      <c r="G679" t="n">
        <v>16.3</v>
      </c>
      <c r="H679" t="n">
        <v>0.72</v>
      </c>
      <c r="I679" s="8" t="n">
        <v>0.354</v>
      </c>
      <c r="J679" t="n">
        <v>1.17</v>
      </c>
      <c r="K679" s="11">
        <f>IF(H679&lt;&gt;"",H679,IFERROR(G679/INDEX(Players!$M$2:$M$124,MATCH(B679,Players!$A$2:$A$124,0)),""))</f>
        <v/>
      </c>
    </row>
    <row r="680">
      <c r="A680" t="inlineStr">
        <is>
          <t>lpkyyhtoofj8ova|Anubis</t>
        </is>
      </c>
      <c r="B680" t="inlineStr">
        <is>
          <t>lpkyyhtoofj8ova</t>
        </is>
      </c>
      <c r="C680" t="inlineStr">
        <is>
          <t>woxic</t>
        </is>
      </c>
      <c r="D680" t="inlineStr">
        <is>
          <t>CS2</t>
        </is>
      </c>
      <c r="E680" t="inlineStr">
        <is>
          <t>Anubis</t>
        </is>
      </c>
      <c r="F680" t="n">
        <v>7</v>
      </c>
      <c r="G680" t="n">
        <v>14.6</v>
      </c>
      <c r="H680" t="n">
        <v>0.73</v>
      </c>
      <c r="I680" s="8" t="n">
        <v>0.343</v>
      </c>
      <c r="J680" t="n">
        <v>1.24</v>
      </c>
      <c r="K680" s="11">
        <f>IF(H680&lt;&gt;"",H680,IFERROR(G680/INDEX(Players!$M$2:$M$124,MATCH(B680,Players!$A$2:$A$124,0)),""))</f>
        <v/>
      </c>
    </row>
    <row r="681">
      <c r="A681" t="inlineStr">
        <is>
          <t>lpkyyhtoofj8ova|Mirage</t>
        </is>
      </c>
      <c r="B681" t="inlineStr">
        <is>
          <t>lpkyyhtoofj8ova</t>
        </is>
      </c>
      <c r="C681" t="inlineStr">
        <is>
          <t>woxic</t>
        </is>
      </c>
      <c r="D681" t="inlineStr">
        <is>
          <t>CS2</t>
        </is>
      </c>
      <c r="E681" t="inlineStr">
        <is>
          <t>Mirage</t>
        </is>
      </c>
      <c r="F681" t="n">
        <v>7</v>
      </c>
      <c r="G681" t="n">
        <v>12.3</v>
      </c>
      <c r="H681" t="n">
        <v>0.61</v>
      </c>
      <c r="I681" s="8" t="n">
        <v>0.302</v>
      </c>
      <c r="J681" t="n">
        <v>0.91</v>
      </c>
      <c r="K681" s="11">
        <f>IF(H681&lt;&gt;"",H681,IFERROR(G681/INDEX(Players!$M$2:$M$124,MATCH(B681,Players!$A$2:$A$124,0)),""))</f>
        <v/>
      </c>
    </row>
    <row r="682">
      <c r="A682" t="inlineStr">
        <is>
          <t>lpkyyhtoofj8ova|Inferno</t>
        </is>
      </c>
      <c r="B682" t="inlineStr">
        <is>
          <t>lpkyyhtoofj8ova</t>
        </is>
      </c>
      <c r="C682" t="inlineStr">
        <is>
          <t>woxic</t>
        </is>
      </c>
      <c r="D682" t="inlineStr">
        <is>
          <t>CS2</t>
        </is>
      </c>
      <c r="E682" t="inlineStr">
        <is>
          <t>Inferno</t>
        </is>
      </c>
      <c r="F682" t="n">
        <v>6</v>
      </c>
      <c r="G682" t="n">
        <v>15.7</v>
      </c>
      <c r="H682" t="n">
        <v>0.67</v>
      </c>
      <c r="I682" s="8" t="n">
        <v>0.33</v>
      </c>
      <c r="J682" t="n">
        <v>1.16</v>
      </c>
      <c r="K682" s="11">
        <f>IF(H682&lt;&gt;"",H682,IFERROR(G682/INDEX(Players!$M$2:$M$124,MATCH(B682,Players!$A$2:$A$124,0)),""))</f>
        <v/>
      </c>
    </row>
    <row r="683">
      <c r="A683" t="inlineStr">
        <is>
          <t>lpkyyhtoofj8ova|Nuke</t>
        </is>
      </c>
      <c r="B683" t="inlineStr">
        <is>
          <t>lpkyyhtoofj8ova</t>
        </is>
      </c>
      <c r="C683" t="inlineStr">
        <is>
          <t>woxic</t>
        </is>
      </c>
      <c r="D683" t="inlineStr">
        <is>
          <t>CS2</t>
        </is>
      </c>
      <c r="E683" t="inlineStr">
        <is>
          <t>Nuke</t>
        </is>
      </c>
      <c r="F683" t="n">
        <v>6</v>
      </c>
      <c r="G683" t="n">
        <v>12.5</v>
      </c>
      <c r="H683" t="n">
        <v>0.66</v>
      </c>
      <c r="I683" s="8" t="n">
        <v>0.387</v>
      </c>
      <c r="J683" t="n">
        <v>0.99</v>
      </c>
      <c r="K683" s="11">
        <f>IF(H683&lt;&gt;"",H683,IFERROR(G683/INDEX(Players!$M$2:$M$124,MATCH(B683,Players!$A$2:$A$124,0)),""))</f>
        <v/>
      </c>
    </row>
    <row r="684">
      <c r="A684" t="inlineStr">
        <is>
          <t>lpkyyhtoofj8ova|Cache</t>
        </is>
      </c>
      <c r="B684" t="inlineStr">
        <is>
          <t>lpkyyhtoofj8ova</t>
        </is>
      </c>
      <c r="C684" t="inlineStr">
        <is>
          <t>woxic</t>
        </is>
      </c>
      <c r="D684" t="inlineStr">
        <is>
          <t>CS2</t>
        </is>
      </c>
      <c r="E684" t="inlineStr">
        <is>
          <t>Cache</t>
        </is>
      </c>
      <c r="F684" t="n">
        <v>4</v>
      </c>
      <c r="G684" t="n">
        <v>12.8</v>
      </c>
      <c r="H684" t="n">
        <v>0.59</v>
      </c>
      <c r="I684" s="8" t="n">
        <v>0.314</v>
      </c>
      <c r="J684" t="n">
        <v>0.96</v>
      </c>
      <c r="K684" s="11">
        <f>IF(H684&lt;&gt;"",H684,IFERROR(G684/INDEX(Players!$M$2:$M$124,MATCH(B684,Players!$A$2:$A$124,0)),""))</f>
        <v/>
      </c>
    </row>
    <row r="685">
      <c r="A685" t="inlineStr">
        <is>
          <t>jc1nf38p0b44dfy|Cache</t>
        </is>
      </c>
      <c r="B685" t="inlineStr">
        <is>
          <t>jc1nf38p0b44dfy</t>
        </is>
      </c>
      <c r="C685" t="inlineStr">
        <is>
          <t>Xant3r</t>
        </is>
      </c>
      <c r="D685" t="inlineStr">
        <is>
          <t>CS2</t>
        </is>
      </c>
      <c r="E685" t="inlineStr">
        <is>
          <t>Cache</t>
        </is>
      </c>
      <c r="F685" t="n">
        <v>8</v>
      </c>
      <c r="G685" t="n">
        <v>17.5</v>
      </c>
      <c r="H685" t="n">
        <v>0.79</v>
      </c>
      <c r="I685" s="8" t="n">
        <v>0.457</v>
      </c>
      <c r="J685" t="n">
        <v>1.23</v>
      </c>
      <c r="K685" s="11">
        <f>IF(H685&lt;&gt;"",H685,IFERROR(G685/INDEX(Players!$M$2:$M$124,MATCH(B685,Players!$A$2:$A$124,0)),""))</f>
        <v/>
      </c>
    </row>
    <row r="686">
      <c r="A686" t="inlineStr">
        <is>
          <t>jc1nf38p0b44dfy|Ancient</t>
        </is>
      </c>
      <c r="B686" t="inlineStr">
        <is>
          <t>jc1nf38p0b44dfy</t>
        </is>
      </c>
      <c r="C686" t="inlineStr">
        <is>
          <t>Xant3r</t>
        </is>
      </c>
      <c r="D686" t="inlineStr">
        <is>
          <t>CS2</t>
        </is>
      </c>
      <c r="E686" t="inlineStr">
        <is>
          <t>Ancient</t>
        </is>
      </c>
      <c r="F686" t="n">
        <v>8</v>
      </c>
      <c r="G686" t="n">
        <v>20.1</v>
      </c>
      <c r="H686" t="n">
        <v>0.78</v>
      </c>
      <c r="I686" s="8" t="n">
        <v>0.534</v>
      </c>
      <c r="J686" t="n">
        <v>1.22</v>
      </c>
      <c r="K686" s="11">
        <f>IF(H686&lt;&gt;"",H686,IFERROR(G686/INDEX(Players!$M$2:$M$124,MATCH(B686,Players!$A$2:$A$124,0)),""))</f>
        <v/>
      </c>
    </row>
    <row r="687">
      <c r="A687" t="inlineStr">
        <is>
          <t>jc1nf38p0b44dfy|Dust2</t>
        </is>
      </c>
      <c r="B687" t="inlineStr">
        <is>
          <t>jc1nf38p0b44dfy</t>
        </is>
      </c>
      <c r="C687" t="inlineStr">
        <is>
          <t>Xant3r</t>
        </is>
      </c>
      <c r="D687" t="inlineStr">
        <is>
          <t>CS2</t>
        </is>
      </c>
      <c r="E687" t="inlineStr">
        <is>
          <t>Dust2</t>
        </is>
      </c>
      <c r="F687" t="n">
        <v>7</v>
      </c>
      <c r="G687" t="n">
        <v>17.4</v>
      </c>
      <c r="H687" t="n">
        <v>0.73</v>
      </c>
      <c r="I687" s="8" t="n">
        <v>0.541</v>
      </c>
      <c r="J687" t="n">
        <v>1.11</v>
      </c>
      <c r="K687" s="11">
        <f>IF(H687&lt;&gt;"",H687,IFERROR(G687/INDEX(Players!$M$2:$M$124,MATCH(B687,Players!$A$2:$A$124,0)),""))</f>
        <v/>
      </c>
    </row>
    <row r="688">
      <c r="A688" t="inlineStr">
        <is>
          <t>jc1nf38p0b44dfy|Mirage</t>
        </is>
      </c>
      <c r="B688" t="inlineStr">
        <is>
          <t>jc1nf38p0b44dfy</t>
        </is>
      </c>
      <c r="C688" t="inlineStr">
        <is>
          <t>Xant3r</t>
        </is>
      </c>
      <c r="D688" t="inlineStr">
        <is>
          <t>CS2</t>
        </is>
      </c>
      <c r="E688" t="inlineStr">
        <is>
          <t>Mirage</t>
        </is>
      </c>
      <c r="F688" t="n">
        <v>7</v>
      </c>
      <c r="G688" t="n">
        <v>16</v>
      </c>
      <c r="H688" t="n">
        <v>0.64</v>
      </c>
      <c r="I688" s="8" t="n">
        <v>0.634</v>
      </c>
      <c r="J688" t="n">
        <v>0.9</v>
      </c>
      <c r="K688" s="11">
        <f>IF(H688&lt;&gt;"",H688,IFERROR(G688/INDEX(Players!$M$2:$M$124,MATCH(B688,Players!$A$2:$A$124,0)),""))</f>
        <v/>
      </c>
    </row>
    <row r="689">
      <c r="A689" t="inlineStr">
        <is>
          <t>jc1nf38p0b44dfy|Nuke</t>
        </is>
      </c>
      <c r="B689" t="inlineStr">
        <is>
          <t>jc1nf38p0b44dfy</t>
        </is>
      </c>
      <c r="C689" t="inlineStr">
        <is>
          <t>Xant3r</t>
        </is>
      </c>
      <c r="D689" t="inlineStr">
        <is>
          <t>CS2</t>
        </is>
      </c>
      <c r="E689" t="inlineStr">
        <is>
          <t>Nuke</t>
        </is>
      </c>
      <c r="F689" t="n">
        <v>4</v>
      </c>
      <c r="G689" t="n">
        <v>16</v>
      </c>
      <c r="H689" t="n">
        <v>0.79</v>
      </c>
      <c r="I689" s="8" t="n">
        <v>0.609</v>
      </c>
      <c r="J689" t="n">
        <v>1.12</v>
      </c>
      <c r="K689" s="11">
        <f>IF(H689&lt;&gt;"",H689,IFERROR(G689/INDEX(Players!$M$2:$M$124,MATCH(B689,Players!$A$2:$A$124,0)),""))</f>
        <v/>
      </c>
    </row>
    <row r="690">
      <c r="A690" t="inlineStr">
        <is>
          <t>jc1nf38p0b44dfy|Anubis</t>
        </is>
      </c>
      <c r="B690" t="inlineStr">
        <is>
          <t>jc1nf38p0b44dfy</t>
        </is>
      </c>
      <c r="C690" t="inlineStr">
        <is>
          <t>Xant3r</t>
        </is>
      </c>
      <c r="D690" t="inlineStr">
        <is>
          <t>CS2</t>
        </is>
      </c>
      <c r="E690" t="inlineStr">
        <is>
          <t>Anubis</t>
        </is>
      </c>
      <c r="F690" t="n">
        <v>3</v>
      </c>
      <c r="G690" t="n">
        <v>15.7</v>
      </c>
      <c r="H690" t="n">
        <v>0.62</v>
      </c>
      <c r="I690" s="8" t="n">
        <v>0.574</v>
      </c>
      <c r="J690" t="n">
        <v>1.12</v>
      </c>
      <c r="K690" s="11">
        <f>IF(H690&lt;&gt;"",H690,IFERROR(G690/INDEX(Players!$M$2:$M$124,MATCH(B690,Players!$A$2:$A$124,0)),""))</f>
        <v/>
      </c>
    </row>
    <row r="691">
      <c r="A691" t="inlineStr">
        <is>
          <t>zauqna21klkp1rt|Dust2</t>
        </is>
      </c>
      <c r="B691" t="inlineStr">
        <is>
          <t>zauqna21klkp1rt</t>
        </is>
      </c>
      <c r="C691" t="inlineStr">
        <is>
          <t>XANTARES</t>
        </is>
      </c>
      <c r="D691" t="inlineStr">
        <is>
          <t>CS2</t>
        </is>
      </c>
      <c r="E691" t="inlineStr">
        <is>
          <t>Dust2</t>
        </is>
      </c>
      <c r="F691" t="n">
        <v>8</v>
      </c>
      <c r="G691" t="n">
        <v>15</v>
      </c>
      <c r="H691" t="n">
        <v>0.66</v>
      </c>
      <c r="I691" s="8" t="n">
        <v>0.475</v>
      </c>
      <c r="J691" t="n">
        <v>0.95</v>
      </c>
      <c r="K691" s="11">
        <f>IF(H691&lt;&gt;"",H691,IFERROR(G691/INDEX(Players!$M$2:$M$124,MATCH(B691,Players!$A$2:$A$124,0)),""))</f>
        <v/>
      </c>
    </row>
    <row r="692">
      <c r="A692" t="inlineStr">
        <is>
          <t>zauqna21klkp1rt|Anubis</t>
        </is>
      </c>
      <c r="B692" t="inlineStr">
        <is>
          <t>zauqna21klkp1rt</t>
        </is>
      </c>
      <c r="C692" t="inlineStr">
        <is>
          <t>XANTARES</t>
        </is>
      </c>
      <c r="D692" t="inlineStr">
        <is>
          <t>CS2</t>
        </is>
      </c>
      <c r="E692" t="inlineStr">
        <is>
          <t>Anubis</t>
        </is>
      </c>
      <c r="F692" t="n">
        <v>7</v>
      </c>
      <c r="G692" t="n">
        <v>13.4</v>
      </c>
      <c r="H692" t="n">
        <v>0.68</v>
      </c>
      <c r="I692" s="8" t="n">
        <v>0.5529999999999999</v>
      </c>
      <c r="J692" t="n">
        <v>1.02</v>
      </c>
      <c r="K692" s="11">
        <f>IF(H692&lt;&gt;"",H692,IFERROR(G692/INDEX(Players!$M$2:$M$124,MATCH(B692,Players!$A$2:$A$124,0)),""))</f>
        <v/>
      </c>
    </row>
    <row r="693">
      <c r="A693" t="inlineStr">
        <is>
          <t>zauqna21klkp1rt|Mirage</t>
        </is>
      </c>
      <c r="B693" t="inlineStr">
        <is>
          <t>zauqna21klkp1rt</t>
        </is>
      </c>
      <c r="C693" t="inlineStr">
        <is>
          <t>XANTARES</t>
        </is>
      </c>
      <c r="D693" t="inlineStr">
        <is>
          <t>CS2</t>
        </is>
      </c>
      <c r="E693" t="inlineStr">
        <is>
          <t>Mirage</t>
        </is>
      </c>
      <c r="F693" t="n">
        <v>7</v>
      </c>
      <c r="G693" t="n">
        <v>12</v>
      </c>
      <c r="H693" t="n">
        <v>0.6</v>
      </c>
      <c r="I693" s="8" t="n">
        <v>0.5600000000000001</v>
      </c>
      <c r="J693" t="n">
        <v>0.85</v>
      </c>
      <c r="K693" s="11">
        <f>IF(H693&lt;&gt;"",H693,IFERROR(G693/INDEX(Players!$M$2:$M$124,MATCH(B693,Players!$A$2:$A$124,0)),""))</f>
        <v/>
      </c>
    </row>
    <row r="694">
      <c r="A694" t="inlineStr">
        <is>
          <t>zauqna21klkp1rt|Inferno</t>
        </is>
      </c>
      <c r="B694" t="inlineStr">
        <is>
          <t>zauqna21klkp1rt</t>
        </is>
      </c>
      <c r="C694" t="inlineStr">
        <is>
          <t>XANTARES</t>
        </is>
      </c>
      <c r="D694" t="inlineStr">
        <is>
          <t>CS2</t>
        </is>
      </c>
      <c r="E694" t="inlineStr">
        <is>
          <t>Inferno</t>
        </is>
      </c>
      <c r="F694" t="n">
        <v>6</v>
      </c>
      <c r="G694" t="n">
        <v>14.2</v>
      </c>
      <c r="H694" t="n">
        <v>0.61</v>
      </c>
      <c r="I694" s="8" t="n">
        <v>0.541</v>
      </c>
      <c r="J694" t="n">
        <v>1</v>
      </c>
      <c r="K694" s="11">
        <f>IF(H694&lt;&gt;"",H694,IFERROR(G694/INDEX(Players!$M$2:$M$124,MATCH(B694,Players!$A$2:$A$124,0)),""))</f>
        <v/>
      </c>
    </row>
    <row r="695">
      <c r="A695" t="inlineStr">
        <is>
          <t>zauqna21klkp1rt|Nuke</t>
        </is>
      </c>
      <c r="B695" t="inlineStr">
        <is>
          <t>zauqna21klkp1rt</t>
        </is>
      </c>
      <c r="C695" t="inlineStr">
        <is>
          <t>XANTARES</t>
        </is>
      </c>
      <c r="D695" t="inlineStr">
        <is>
          <t>CS2</t>
        </is>
      </c>
      <c r="E695" t="inlineStr">
        <is>
          <t>Nuke</t>
        </is>
      </c>
      <c r="F695" t="n">
        <v>6</v>
      </c>
      <c r="G695" t="n">
        <v>9.5</v>
      </c>
      <c r="H695" t="n">
        <v>0.5</v>
      </c>
      <c r="I695" s="8" t="n">
        <v>0.614</v>
      </c>
      <c r="J695" t="n">
        <v>0.67</v>
      </c>
      <c r="K695" s="11">
        <f>IF(H695&lt;&gt;"",H695,IFERROR(G695/INDEX(Players!$M$2:$M$124,MATCH(B695,Players!$A$2:$A$124,0)),""))</f>
        <v/>
      </c>
    </row>
    <row r="696">
      <c r="A696" t="inlineStr">
        <is>
          <t>zauqna21klkp1rt|Cache</t>
        </is>
      </c>
      <c r="B696" t="inlineStr">
        <is>
          <t>zauqna21klkp1rt</t>
        </is>
      </c>
      <c r="C696" t="inlineStr">
        <is>
          <t>XANTARES</t>
        </is>
      </c>
      <c r="D696" t="inlineStr">
        <is>
          <t>CS2</t>
        </is>
      </c>
      <c r="E696" t="inlineStr">
        <is>
          <t>Cache</t>
        </is>
      </c>
      <c r="F696" t="n">
        <v>4</v>
      </c>
      <c r="G696" t="n">
        <v>14.3</v>
      </c>
      <c r="H696" t="n">
        <v>0.66</v>
      </c>
      <c r="I696" s="8" t="n">
        <v>0.5610000000000001</v>
      </c>
      <c r="J696" t="n">
        <v>0.98</v>
      </c>
      <c r="K696" s="11">
        <f>IF(H696&lt;&gt;"",H696,IFERROR(G696/INDEX(Players!$M$2:$M$124,MATCH(B696,Players!$A$2:$A$124,0)),""))</f>
        <v/>
      </c>
    </row>
    <row r="697">
      <c r="A697" t="inlineStr">
        <is>
          <t>zs2lsmobreb35xn|Mirage</t>
        </is>
      </c>
      <c r="B697" t="inlineStr">
        <is>
          <t>zs2lsmobreb35xn</t>
        </is>
      </c>
      <c r="C697" t="inlineStr">
        <is>
          <t>xelex</t>
        </is>
      </c>
      <c r="D697" t="inlineStr">
        <is>
          <t>CS2</t>
        </is>
      </c>
      <c r="E697" t="inlineStr">
        <is>
          <t>Mirage</t>
        </is>
      </c>
      <c r="F697" t="n">
        <v>10</v>
      </c>
      <c r="G697" t="n">
        <v>16.9</v>
      </c>
      <c r="H697" t="n">
        <v>0.76</v>
      </c>
      <c r="I697" s="8" t="n">
        <v>0.615</v>
      </c>
      <c r="J697" t="n">
        <v>1.13</v>
      </c>
      <c r="K697" s="11">
        <f>IF(H697&lt;&gt;"",H697,IFERROR(G697/INDEX(Players!$M$2:$M$124,MATCH(B697,Players!$A$2:$A$124,0)),""))</f>
        <v/>
      </c>
    </row>
    <row r="698">
      <c r="A698" t="inlineStr">
        <is>
          <t>zs2lsmobreb35xn|Cache</t>
        </is>
      </c>
      <c r="B698" t="inlineStr">
        <is>
          <t>zs2lsmobreb35xn</t>
        </is>
      </c>
      <c r="C698" t="inlineStr">
        <is>
          <t>xelex</t>
        </is>
      </c>
      <c r="D698" t="inlineStr">
        <is>
          <t>CS2</t>
        </is>
      </c>
      <c r="E698" t="inlineStr">
        <is>
          <t>Cache</t>
        </is>
      </c>
      <c r="F698" t="n">
        <v>7</v>
      </c>
      <c r="G698" t="n">
        <v>12.6</v>
      </c>
      <c r="H698" t="n">
        <v>0.61</v>
      </c>
      <c r="I698" s="8" t="n">
        <v>0.67</v>
      </c>
      <c r="J698" t="n">
        <v>0.99</v>
      </c>
      <c r="K698" s="11">
        <f>IF(H698&lt;&gt;"",H698,IFERROR(G698/INDEX(Players!$M$2:$M$124,MATCH(B698,Players!$A$2:$A$124,0)),""))</f>
        <v/>
      </c>
    </row>
    <row r="699">
      <c r="A699" t="inlineStr">
        <is>
          <t>zs2lsmobreb35xn|Inferno</t>
        </is>
      </c>
      <c r="B699" t="inlineStr">
        <is>
          <t>zs2lsmobreb35xn</t>
        </is>
      </c>
      <c r="C699" t="inlineStr">
        <is>
          <t>xelex</t>
        </is>
      </c>
      <c r="D699" t="inlineStr">
        <is>
          <t>CS2</t>
        </is>
      </c>
      <c r="E699" t="inlineStr">
        <is>
          <t>Inferno</t>
        </is>
      </c>
      <c r="F699" t="n">
        <v>6</v>
      </c>
      <c r="G699" t="n">
        <v>14.8</v>
      </c>
      <c r="H699" t="n">
        <v>0.72</v>
      </c>
      <c r="I699" s="8" t="n">
        <v>0.674</v>
      </c>
      <c r="J699" t="n">
        <v>1.03</v>
      </c>
      <c r="K699" s="11">
        <f>IF(H699&lt;&gt;"",H699,IFERROR(G699/INDEX(Players!$M$2:$M$124,MATCH(B699,Players!$A$2:$A$124,0)),""))</f>
        <v/>
      </c>
    </row>
    <row r="700">
      <c r="A700" t="inlineStr">
        <is>
          <t>zs2lsmobreb35xn|Nuke</t>
        </is>
      </c>
      <c r="B700" t="inlineStr">
        <is>
          <t>zs2lsmobreb35xn</t>
        </is>
      </c>
      <c r="C700" t="inlineStr">
        <is>
          <t>xelex</t>
        </is>
      </c>
      <c r="D700" t="inlineStr">
        <is>
          <t>CS2</t>
        </is>
      </c>
      <c r="E700" t="inlineStr">
        <is>
          <t>Nuke</t>
        </is>
      </c>
      <c r="F700" t="n">
        <v>6</v>
      </c>
      <c r="G700" t="n">
        <v>13.8</v>
      </c>
      <c r="H700" t="n">
        <v>0.66</v>
      </c>
      <c r="I700" s="8" t="n">
        <v>0.723</v>
      </c>
      <c r="J700" t="n">
        <v>0.99</v>
      </c>
      <c r="K700" s="11">
        <f>IF(H700&lt;&gt;"",H700,IFERROR(G700/INDEX(Players!$M$2:$M$124,MATCH(B700,Players!$A$2:$A$124,0)),""))</f>
        <v/>
      </c>
    </row>
    <row r="701">
      <c r="A701" t="inlineStr">
        <is>
          <t>zs2lsmobreb35xn|Dust2</t>
        </is>
      </c>
      <c r="B701" t="inlineStr">
        <is>
          <t>zs2lsmobreb35xn</t>
        </is>
      </c>
      <c r="C701" t="inlineStr">
        <is>
          <t>xelex</t>
        </is>
      </c>
      <c r="D701" t="inlineStr">
        <is>
          <t>CS2</t>
        </is>
      </c>
      <c r="E701" t="inlineStr">
        <is>
          <t>Dust2</t>
        </is>
      </c>
      <c r="F701" t="n">
        <v>6</v>
      </c>
      <c r="G701" t="n">
        <v>13.2</v>
      </c>
      <c r="H701" t="n">
        <v>0.59</v>
      </c>
      <c r="I701" s="8" t="n">
        <v>0.6579999999999999</v>
      </c>
      <c r="J701" t="n">
        <v>0.9</v>
      </c>
      <c r="K701" s="11">
        <f>IF(H701&lt;&gt;"",H701,IFERROR(G701/INDEX(Players!$M$2:$M$124,MATCH(B701,Players!$A$2:$A$124,0)),""))</f>
        <v/>
      </c>
    </row>
    <row r="702">
      <c r="A702" t="inlineStr">
        <is>
          <t>zs2lsmobreb35xn|Ancient</t>
        </is>
      </c>
      <c r="B702" t="inlineStr">
        <is>
          <t>zs2lsmobreb35xn</t>
        </is>
      </c>
      <c r="C702" t="inlineStr">
        <is>
          <t>xelex</t>
        </is>
      </c>
      <c r="D702" t="inlineStr">
        <is>
          <t>CS2</t>
        </is>
      </c>
      <c r="E702" t="inlineStr">
        <is>
          <t>Ancient</t>
        </is>
      </c>
      <c r="F702" t="n">
        <v>4</v>
      </c>
      <c r="G702" t="n">
        <v>14.8</v>
      </c>
      <c r="H702" t="n">
        <v>0.73</v>
      </c>
      <c r="I702" s="8" t="n">
        <v>0.61</v>
      </c>
      <c r="J702" t="n">
        <v>1.13</v>
      </c>
      <c r="K702" s="11">
        <f>IF(H702&lt;&gt;"",H702,IFERROR(G702/INDEX(Players!$M$2:$M$124,MATCH(B702,Players!$A$2:$A$124,0)),""))</f>
        <v/>
      </c>
    </row>
    <row r="703">
      <c r="A703" t="inlineStr">
        <is>
          <t>ih00nznuepxs9r3|Mirage</t>
        </is>
      </c>
      <c r="B703" t="inlineStr">
        <is>
          <t>ih00nznuepxs9r3</t>
        </is>
      </c>
      <c r="C703" t="inlineStr">
        <is>
          <t>xertioN</t>
        </is>
      </c>
      <c r="D703" t="inlineStr">
        <is>
          <t>CS2</t>
        </is>
      </c>
      <c r="E703" t="inlineStr">
        <is>
          <t>Mirage</t>
        </is>
      </c>
      <c r="F703" t="n">
        <v>10</v>
      </c>
      <c r="G703" t="n">
        <v>16.8</v>
      </c>
      <c r="H703" t="n">
        <v>0.75</v>
      </c>
      <c r="I703" s="8" t="n">
        <v>0.512</v>
      </c>
      <c r="J703" t="n">
        <v>1.06</v>
      </c>
      <c r="K703" s="11">
        <f>IF(H703&lt;&gt;"",H703,IFERROR(G703/INDEX(Players!$M$2:$M$124,MATCH(B703,Players!$A$2:$A$124,0)),""))</f>
        <v/>
      </c>
    </row>
    <row r="704">
      <c r="A704" t="inlineStr">
        <is>
          <t>ih00nznuepxs9r3|Cache</t>
        </is>
      </c>
      <c r="B704" t="inlineStr">
        <is>
          <t>ih00nznuepxs9r3</t>
        </is>
      </c>
      <c r="C704" t="inlineStr">
        <is>
          <t>xertioN</t>
        </is>
      </c>
      <c r="D704" t="inlineStr">
        <is>
          <t>CS2</t>
        </is>
      </c>
      <c r="E704" t="inlineStr">
        <is>
          <t>Cache</t>
        </is>
      </c>
      <c r="F704" t="n">
        <v>7</v>
      </c>
      <c r="G704" t="n">
        <v>13.7</v>
      </c>
      <c r="H704" t="n">
        <v>0.66</v>
      </c>
      <c r="I704" s="8" t="n">
        <v>0.51</v>
      </c>
      <c r="J704" t="n">
        <v>0.99</v>
      </c>
      <c r="K704" s="11">
        <f>IF(H704&lt;&gt;"",H704,IFERROR(G704/INDEX(Players!$M$2:$M$124,MATCH(B704,Players!$A$2:$A$124,0)),""))</f>
        <v/>
      </c>
    </row>
    <row r="705">
      <c r="A705" t="inlineStr">
        <is>
          <t>ih00nznuepxs9r3|Dust2</t>
        </is>
      </c>
      <c r="B705" t="inlineStr">
        <is>
          <t>ih00nznuepxs9r3</t>
        </is>
      </c>
      <c r="C705" t="inlineStr">
        <is>
          <t>xertioN</t>
        </is>
      </c>
      <c r="D705" t="inlineStr">
        <is>
          <t>CS2</t>
        </is>
      </c>
      <c r="E705" t="inlineStr">
        <is>
          <t>Dust2</t>
        </is>
      </c>
      <c r="F705" t="n">
        <v>6</v>
      </c>
      <c r="G705" t="n">
        <v>16.8</v>
      </c>
      <c r="H705" t="n">
        <v>0.75</v>
      </c>
      <c r="I705" s="8" t="n">
        <v>0.594</v>
      </c>
      <c r="J705" t="n">
        <v>1.06</v>
      </c>
      <c r="K705" s="11">
        <f>IF(H705&lt;&gt;"",H705,IFERROR(G705/INDEX(Players!$M$2:$M$124,MATCH(B705,Players!$A$2:$A$124,0)),""))</f>
        <v/>
      </c>
    </row>
    <row r="706">
      <c r="A706" t="inlineStr">
        <is>
          <t>ih00nznuepxs9r3|Inferno</t>
        </is>
      </c>
      <c r="B706" t="inlineStr">
        <is>
          <t>ih00nznuepxs9r3</t>
        </is>
      </c>
      <c r="C706" t="inlineStr">
        <is>
          <t>xertioN</t>
        </is>
      </c>
      <c r="D706" t="inlineStr">
        <is>
          <t>CS2</t>
        </is>
      </c>
      <c r="E706" t="inlineStr">
        <is>
          <t>Inferno</t>
        </is>
      </c>
      <c r="F706" t="n">
        <v>6</v>
      </c>
      <c r="G706" t="n">
        <v>13.3</v>
      </c>
      <c r="H706" t="n">
        <v>0.65</v>
      </c>
      <c r="I706" s="8" t="n">
        <v>0.463</v>
      </c>
      <c r="J706" t="n">
        <v>0.96</v>
      </c>
      <c r="K706" s="11">
        <f>IF(H706&lt;&gt;"",H706,IFERROR(G706/INDEX(Players!$M$2:$M$124,MATCH(B706,Players!$A$2:$A$124,0)),""))</f>
        <v/>
      </c>
    </row>
    <row r="707">
      <c r="A707" t="inlineStr">
        <is>
          <t>ih00nznuepxs9r3|Nuke</t>
        </is>
      </c>
      <c r="B707" t="inlineStr">
        <is>
          <t>ih00nznuepxs9r3</t>
        </is>
      </c>
      <c r="C707" t="inlineStr">
        <is>
          <t>xertioN</t>
        </is>
      </c>
      <c r="D707" t="inlineStr">
        <is>
          <t>CS2</t>
        </is>
      </c>
      <c r="E707" t="inlineStr">
        <is>
          <t>Nuke</t>
        </is>
      </c>
      <c r="F707" t="n">
        <v>6</v>
      </c>
      <c r="G707" t="n">
        <v>11.7</v>
      </c>
      <c r="H707" t="n">
        <v>0.5600000000000001</v>
      </c>
      <c r="I707" s="8" t="n">
        <v>0.5</v>
      </c>
      <c r="J707" t="n">
        <v>0.71</v>
      </c>
      <c r="K707" s="11">
        <f>IF(H707&lt;&gt;"",H707,IFERROR(G707/INDEX(Players!$M$2:$M$124,MATCH(B707,Players!$A$2:$A$124,0)),""))</f>
        <v/>
      </c>
    </row>
    <row r="708">
      <c r="A708" t="inlineStr">
        <is>
          <t>ih00nznuepxs9r3|Ancient</t>
        </is>
      </c>
      <c r="B708" t="inlineStr">
        <is>
          <t>ih00nznuepxs9r3</t>
        </is>
      </c>
      <c r="C708" t="inlineStr">
        <is>
          <t>xertioN</t>
        </is>
      </c>
      <c r="D708" t="inlineStr">
        <is>
          <t>CS2</t>
        </is>
      </c>
      <c r="E708" t="inlineStr">
        <is>
          <t>Ancient</t>
        </is>
      </c>
      <c r="F708" t="n">
        <v>4</v>
      </c>
      <c r="G708" t="n">
        <v>16</v>
      </c>
      <c r="H708" t="n">
        <v>0.79</v>
      </c>
      <c r="I708" s="8" t="n">
        <v>0.625</v>
      </c>
      <c r="J708" t="n">
        <v>1.28</v>
      </c>
      <c r="K708" s="11">
        <f>IF(H708&lt;&gt;"",H708,IFERROR(G708/INDEX(Players!$M$2:$M$124,MATCH(B708,Players!$A$2:$A$124,0)),""))</f>
        <v/>
      </c>
    </row>
    <row r="709">
      <c r="A709" t="inlineStr">
        <is>
          <t>lj8zw2mudcbj35u|Ancient</t>
        </is>
      </c>
      <c r="B709" t="inlineStr">
        <is>
          <t>lj8zw2mudcbj35u</t>
        </is>
      </c>
      <c r="C709" t="inlineStr">
        <is>
          <t>xfl0ud</t>
        </is>
      </c>
      <c r="D709" t="inlineStr">
        <is>
          <t>CS2</t>
        </is>
      </c>
      <c r="E709" t="inlineStr">
        <is>
          <t>Ancient</t>
        </is>
      </c>
      <c r="F709" t="n">
        <v>10</v>
      </c>
      <c r="G709" t="n">
        <v>15.2</v>
      </c>
      <c r="H709" t="n">
        <v>0.71</v>
      </c>
      <c r="I709" s="8" t="n">
        <v>0.546</v>
      </c>
      <c r="J709" t="n">
        <v>1.01</v>
      </c>
      <c r="K709" s="11">
        <f>IF(H709&lt;&gt;"",H709,IFERROR(G709/INDEX(Players!$M$2:$M$124,MATCH(B709,Players!$A$2:$A$124,0)),""))</f>
        <v/>
      </c>
    </row>
    <row r="710">
      <c r="A710" t="inlineStr">
        <is>
          <t>lj8zw2mudcbj35u|Dust2</t>
        </is>
      </c>
      <c r="B710" t="inlineStr">
        <is>
          <t>lj8zw2mudcbj35u</t>
        </is>
      </c>
      <c r="C710" t="inlineStr">
        <is>
          <t>xfl0ud</t>
        </is>
      </c>
      <c r="D710" t="inlineStr">
        <is>
          <t>CS2</t>
        </is>
      </c>
      <c r="E710" t="inlineStr">
        <is>
          <t>Dust2</t>
        </is>
      </c>
      <c r="F710" t="n">
        <v>8</v>
      </c>
      <c r="G710" t="n">
        <v>14.3</v>
      </c>
      <c r="H710" t="n">
        <v>0.61</v>
      </c>
      <c r="I710" s="8" t="n">
        <v>0.596</v>
      </c>
      <c r="J710" t="n">
        <v>0.88</v>
      </c>
      <c r="K710" s="11">
        <f>IF(H710&lt;&gt;"",H710,IFERROR(G710/INDEX(Players!$M$2:$M$124,MATCH(B710,Players!$A$2:$A$124,0)),""))</f>
        <v/>
      </c>
    </row>
    <row r="711">
      <c r="A711" t="inlineStr">
        <is>
          <t>lj8zw2mudcbj35u|Nuke</t>
        </is>
      </c>
      <c r="B711" t="inlineStr">
        <is>
          <t>lj8zw2mudcbj35u</t>
        </is>
      </c>
      <c r="C711" t="inlineStr">
        <is>
          <t>xfl0ud</t>
        </is>
      </c>
      <c r="D711" t="inlineStr">
        <is>
          <t>CS2</t>
        </is>
      </c>
      <c r="E711" t="inlineStr">
        <is>
          <t>Nuke</t>
        </is>
      </c>
      <c r="F711" t="n">
        <v>6</v>
      </c>
      <c r="G711" t="n">
        <v>14.2</v>
      </c>
      <c r="H711" t="n">
        <v>0.6899999999999999</v>
      </c>
      <c r="I711" s="8" t="n">
        <v>0.5529999999999999</v>
      </c>
      <c r="J711" t="n">
        <v>0.92</v>
      </c>
      <c r="K711" s="11">
        <f>IF(H711&lt;&gt;"",H711,IFERROR(G711/INDEX(Players!$M$2:$M$124,MATCH(B711,Players!$A$2:$A$124,0)),""))</f>
        <v/>
      </c>
    </row>
    <row r="712">
      <c r="A712" t="inlineStr">
        <is>
          <t>lj8zw2mudcbj35u|Mirage</t>
        </is>
      </c>
      <c r="B712" t="inlineStr">
        <is>
          <t>lj8zw2mudcbj35u</t>
        </is>
      </c>
      <c r="C712" t="inlineStr">
        <is>
          <t>xfl0ud</t>
        </is>
      </c>
      <c r="D712" t="inlineStr">
        <is>
          <t>CS2</t>
        </is>
      </c>
      <c r="E712" t="inlineStr">
        <is>
          <t>Mirage</t>
        </is>
      </c>
      <c r="F712" t="n">
        <v>5</v>
      </c>
      <c r="G712" t="n">
        <v>14.2</v>
      </c>
      <c r="H712" t="n">
        <v>0.64</v>
      </c>
      <c r="I712" s="8" t="n">
        <v>0.606</v>
      </c>
      <c r="J712" t="n">
        <v>0.99</v>
      </c>
      <c r="K712" s="11">
        <f>IF(H712&lt;&gt;"",H712,IFERROR(G712/INDEX(Players!$M$2:$M$124,MATCH(B712,Players!$A$2:$A$124,0)),""))</f>
        <v/>
      </c>
    </row>
    <row r="713">
      <c r="A713" t="inlineStr">
        <is>
          <t>lj8zw2mudcbj35u|Anubis</t>
        </is>
      </c>
      <c r="B713" t="inlineStr">
        <is>
          <t>lj8zw2mudcbj35u</t>
        </is>
      </c>
      <c r="C713" t="inlineStr">
        <is>
          <t>xfl0ud</t>
        </is>
      </c>
      <c r="D713" t="inlineStr">
        <is>
          <t>CS2</t>
        </is>
      </c>
      <c r="E713" t="inlineStr">
        <is>
          <t>Anubis</t>
        </is>
      </c>
      <c r="F713" t="n">
        <v>4</v>
      </c>
      <c r="G713" t="n">
        <v>11.8</v>
      </c>
      <c r="H713" t="n">
        <v>0.55</v>
      </c>
      <c r="I713" s="8" t="n">
        <v>0.468</v>
      </c>
      <c r="J713" t="n">
        <v>0.78</v>
      </c>
      <c r="K713" s="11">
        <f>IF(H713&lt;&gt;"",H713,IFERROR(G713/INDEX(Players!$M$2:$M$124,MATCH(B713,Players!$A$2:$A$124,0)),""))</f>
        <v/>
      </c>
    </row>
    <row r="714">
      <c r="A714" t="inlineStr">
        <is>
          <t>lj8zw2mudcbj35u|Inferno</t>
        </is>
      </c>
      <c r="B714" t="inlineStr">
        <is>
          <t>lj8zw2mudcbj35u</t>
        </is>
      </c>
      <c r="C714" t="inlineStr">
        <is>
          <t>xfl0ud</t>
        </is>
      </c>
      <c r="D714" t="inlineStr">
        <is>
          <t>CS2</t>
        </is>
      </c>
      <c r="E714" t="inlineStr">
        <is>
          <t>Inferno</t>
        </is>
      </c>
      <c r="F714" t="n">
        <v>2</v>
      </c>
      <c r="G714" t="n">
        <v>7</v>
      </c>
      <c r="H714" t="n">
        <v>0.33</v>
      </c>
      <c r="I714" s="8" t="n">
        <v>0.5</v>
      </c>
      <c r="J714" t="n">
        <v>0.47</v>
      </c>
      <c r="K714" s="11">
        <f>IF(H714&lt;&gt;"",H714,IFERROR(G714/INDEX(Players!$M$2:$M$124,MATCH(B714,Players!$A$2:$A$124,0)),""))</f>
        <v/>
      </c>
    </row>
    <row r="715">
      <c r="A715" t="inlineStr">
        <is>
          <t>lj8zw2mudcbj35u|Cache</t>
        </is>
      </c>
      <c r="B715" t="inlineStr">
        <is>
          <t>lj8zw2mudcbj35u</t>
        </is>
      </c>
      <c r="C715" t="inlineStr">
        <is>
          <t>xfl0ud</t>
        </is>
      </c>
      <c r="D715" t="inlineStr">
        <is>
          <t>CS2</t>
        </is>
      </c>
      <c r="E715" t="inlineStr">
        <is>
          <t>Cache</t>
        </is>
      </c>
      <c r="F715" t="n">
        <v>1</v>
      </c>
      <c r="G715" t="n">
        <v>25</v>
      </c>
      <c r="H715" t="n">
        <v>1.09</v>
      </c>
      <c r="I715" s="8" t="n">
        <v>0.5600000000000001</v>
      </c>
      <c r="J715" t="n">
        <v>1.79</v>
      </c>
      <c r="K715" s="11">
        <f>IF(H715&lt;&gt;"",H715,IFERROR(G715/INDEX(Players!$M$2:$M$124,MATCH(B715,Players!$A$2:$A$124,0)),""))</f>
        <v/>
      </c>
    </row>
    <row r="716">
      <c r="A716" t="inlineStr">
        <is>
          <t>vl5i6xbqmsocy69|Mirage</t>
        </is>
      </c>
      <c r="B716" t="inlineStr">
        <is>
          <t>vl5i6xbqmsocy69</t>
        </is>
      </c>
      <c r="C716" t="inlineStr">
        <is>
          <t>YEKINDAR</t>
        </is>
      </c>
      <c r="D716" t="inlineStr">
        <is>
          <t>CS2</t>
        </is>
      </c>
      <c r="E716" t="inlineStr">
        <is>
          <t>Mirage</t>
        </is>
      </c>
      <c r="F716" t="n">
        <v>10</v>
      </c>
      <c r="G716" t="n">
        <v>14.1</v>
      </c>
      <c r="H716" t="n">
        <v>0.64</v>
      </c>
      <c r="I716" s="8" t="n">
        <v>0.624</v>
      </c>
      <c r="J716" t="n">
        <v>0.9399999999999999</v>
      </c>
      <c r="K716" s="11">
        <f>IF(H716&lt;&gt;"",H716,IFERROR(G716/INDEX(Players!$M$2:$M$124,MATCH(B716,Players!$A$2:$A$124,0)),""))</f>
        <v/>
      </c>
    </row>
    <row r="717">
      <c r="A717" t="inlineStr">
        <is>
          <t>vl5i6xbqmsocy69|Inferno</t>
        </is>
      </c>
      <c r="B717" t="inlineStr">
        <is>
          <t>vl5i6xbqmsocy69</t>
        </is>
      </c>
      <c r="C717" t="inlineStr">
        <is>
          <t>YEKINDAR</t>
        </is>
      </c>
      <c r="D717" t="inlineStr">
        <is>
          <t>CS2</t>
        </is>
      </c>
      <c r="E717" t="inlineStr">
        <is>
          <t>Inferno</t>
        </is>
      </c>
      <c r="F717" t="n">
        <v>6</v>
      </c>
      <c r="G717" t="n">
        <v>14.8</v>
      </c>
      <c r="H717" t="n">
        <v>0.72</v>
      </c>
      <c r="I717" s="8" t="n">
        <v>0.483</v>
      </c>
      <c r="J717" t="n">
        <v>1.14</v>
      </c>
      <c r="K717" s="11">
        <f>IF(H717&lt;&gt;"",H717,IFERROR(G717/INDEX(Players!$M$2:$M$124,MATCH(B717,Players!$A$2:$A$124,0)),""))</f>
        <v/>
      </c>
    </row>
    <row r="718">
      <c r="A718" t="inlineStr">
        <is>
          <t>vl5i6xbqmsocy69|Nuke</t>
        </is>
      </c>
      <c r="B718" t="inlineStr">
        <is>
          <t>vl5i6xbqmsocy69</t>
        </is>
      </c>
      <c r="C718" t="inlineStr">
        <is>
          <t>YEKINDAR</t>
        </is>
      </c>
      <c r="D718" t="inlineStr">
        <is>
          <t>CS2</t>
        </is>
      </c>
      <c r="E718" t="inlineStr">
        <is>
          <t>Nuke</t>
        </is>
      </c>
      <c r="F718" t="n">
        <v>6</v>
      </c>
      <c r="G718" t="n">
        <v>15.5</v>
      </c>
      <c r="H718" t="n">
        <v>0.71</v>
      </c>
      <c r="I718" s="8" t="n">
        <v>0.602</v>
      </c>
      <c r="J718" t="n">
        <v>1.01</v>
      </c>
      <c r="K718" s="11">
        <f>IF(H718&lt;&gt;"",H718,IFERROR(G718/INDEX(Players!$M$2:$M$124,MATCH(B718,Players!$A$2:$A$124,0)),""))</f>
        <v/>
      </c>
    </row>
    <row r="719">
      <c r="A719" t="inlineStr">
        <is>
          <t>vl5i6xbqmsocy69|Cache</t>
        </is>
      </c>
      <c r="B719" t="inlineStr">
        <is>
          <t>vl5i6xbqmsocy69</t>
        </is>
      </c>
      <c r="C719" t="inlineStr">
        <is>
          <t>YEKINDAR</t>
        </is>
      </c>
      <c r="D719" t="inlineStr">
        <is>
          <t>CS2</t>
        </is>
      </c>
      <c r="E719" t="inlineStr">
        <is>
          <t>Cache</t>
        </is>
      </c>
      <c r="F719" t="n">
        <v>6</v>
      </c>
      <c r="G719" t="n">
        <v>15.7</v>
      </c>
      <c r="H719" t="n">
        <v>0.73</v>
      </c>
      <c r="I719" s="8" t="n">
        <v>0.596</v>
      </c>
      <c r="J719" t="n">
        <v>1.01</v>
      </c>
      <c r="K719" s="11">
        <f>IF(H719&lt;&gt;"",H719,IFERROR(G719/INDEX(Players!$M$2:$M$124,MATCH(B719,Players!$A$2:$A$124,0)),""))</f>
        <v/>
      </c>
    </row>
    <row r="720">
      <c r="A720" t="inlineStr">
        <is>
          <t>vl5i6xbqmsocy69|Dust2</t>
        </is>
      </c>
      <c r="B720" t="inlineStr">
        <is>
          <t>vl5i6xbqmsocy69</t>
        </is>
      </c>
      <c r="C720" t="inlineStr">
        <is>
          <t>YEKINDAR</t>
        </is>
      </c>
      <c r="D720" t="inlineStr">
        <is>
          <t>CS2</t>
        </is>
      </c>
      <c r="E720" t="inlineStr">
        <is>
          <t>Dust2</t>
        </is>
      </c>
      <c r="F720" t="n">
        <v>4</v>
      </c>
      <c r="G720" t="n">
        <v>15.8</v>
      </c>
      <c r="H720" t="n">
        <v>0.8</v>
      </c>
      <c r="I720" s="8" t="n">
        <v>0.5870000000000001</v>
      </c>
      <c r="J720" t="n">
        <v>1.29</v>
      </c>
      <c r="K720" s="11">
        <f>IF(H720&lt;&gt;"",H720,IFERROR(G720/INDEX(Players!$M$2:$M$124,MATCH(B720,Players!$A$2:$A$124,0)),""))</f>
        <v/>
      </c>
    </row>
    <row r="721">
      <c r="A721" t="inlineStr">
        <is>
          <t>vl5i6xbqmsocy69|Ancient</t>
        </is>
      </c>
      <c r="B721" t="inlineStr">
        <is>
          <t>vl5i6xbqmsocy69</t>
        </is>
      </c>
      <c r="C721" t="inlineStr">
        <is>
          <t>YEKINDAR</t>
        </is>
      </c>
      <c r="D721" t="inlineStr">
        <is>
          <t>CS2</t>
        </is>
      </c>
      <c r="E721" t="inlineStr">
        <is>
          <t>Ancient</t>
        </is>
      </c>
      <c r="F721" t="n">
        <v>4</v>
      </c>
      <c r="G721" t="n">
        <v>17</v>
      </c>
      <c r="H721" t="n">
        <v>0.6899999999999999</v>
      </c>
      <c r="I721" s="8" t="n">
        <v>0.647</v>
      </c>
      <c r="J721" t="n">
        <v>0.93</v>
      </c>
      <c r="K721" s="11">
        <f>IF(H721&lt;&gt;"",H721,IFERROR(G721/INDEX(Players!$M$2:$M$124,MATCH(B721,Players!$A$2:$A$124,0)),""))</f>
        <v/>
      </c>
    </row>
    <row r="722">
      <c r="A722" t="inlineStr">
        <is>
          <t>vl5i6xbqmsocy69|Anubis</t>
        </is>
      </c>
      <c r="B722" t="inlineStr">
        <is>
          <t>vl5i6xbqmsocy69</t>
        </is>
      </c>
      <c r="C722" t="inlineStr">
        <is>
          <t>YEKINDAR</t>
        </is>
      </c>
      <c r="D722" t="inlineStr">
        <is>
          <t>CS2</t>
        </is>
      </c>
      <c r="E722" t="inlineStr">
        <is>
          <t>Anubis</t>
        </is>
      </c>
      <c r="F722" t="n">
        <v>1</v>
      </c>
      <c r="G722" t="n">
        <v>10</v>
      </c>
      <c r="H722" t="n">
        <v>0.48</v>
      </c>
      <c r="I722" s="8" t="n">
        <v>0.6</v>
      </c>
      <c r="J722" t="n">
        <v>0.5600000000000001</v>
      </c>
      <c r="K722" s="11">
        <f>IF(H722&lt;&gt;"",H722,IFERROR(G722/INDEX(Players!$M$2:$M$124,MATCH(B722,Players!$A$2:$A$124,0)),""))</f>
        <v/>
      </c>
    </row>
    <row r="723">
      <c r="A723" t="inlineStr">
        <is>
          <t>dvwiagwt3fsxpwe|Dust2</t>
        </is>
      </c>
      <c r="B723" t="inlineStr">
        <is>
          <t>dvwiagwt3fsxpwe</t>
        </is>
      </c>
      <c r="C723" t="inlineStr">
        <is>
          <t>yiksrezo</t>
        </is>
      </c>
      <c r="D723" t="inlineStr">
        <is>
          <t>CS2</t>
        </is>
      </c>
      <c r="E723" t="inlineStr">
        <is>
          <t>Dust2</t>
        </is>
      </c>
      <c r="F723" t="n">
        <v>9</v>
      </c>
      <c r="G723" t="n">
        <v>15.3</v>
      </c>
      <c r="H723" t="n">
        <v>0.73</v>
      </c>
      <c r="I723" s="8" t="n">
        <v>0.594</v>
      </c>
      <c r="J723" t="n">
        <v>1.12</v>
      </c>
      <c r="K723" s="11">
        <f>IF(H723&lt;&gt;"",H723,IFERROR(G723/INDEX(Players!$M$2:$M$124,MATCH(B723,Players!$A$2:$A$124,0)),""))</f>
        <v/>
      </c>
    </row>
    <row r="724">
      <c r="A724" t="inlineStr">
        <is>
          <t>dvwiagwt3fsxpwe|Ancient</t>
        </is>
      </c>
      <c r="B724" t="inlineStr">
        <is>
          <t>dvwiagwt3fsxpwe</t>
        </is>
      </c>
      <c r="C724" t="inlineStr">
        <is>
          <t>yiksrezo</t>
        </is>
      </c>
      <c r="D724" t="inlineStr">
        <is>
          <t>CS2</t>
        </is>
      </c>
      <c r="E724" t="inlineStr">
        <is>
          <t>Ancient</t>
        </is>
      </c>
      <c r="F724" t="n">
        <v>8</v>
      </c>
      <c r="G724" t="n">
        <v>21.1</v>
      </c>
      <c r="H724" t="n">
        <v>0.95</v>
      </c>
      <c r="I724" s="8" t="n">
        <v>0.669</v>
      </c>
      <c r="J724" t="n">
        <v>1.41</v>
      </c>
      <c r="K724" s="11">
        <f>IF(H724&lt;&gt;"",H724,IFERROR(G724/INDEX(Players!$M$2:$M$124,MATCH(B724,Players!$A$2:$A$124,0)),""))</f>
        <v/>
      </c>
    </row>
    <row r="725">
      <c r="A725" t="inlineStr">
        <is>
          <t>dvwiagwt3fsxpwe|Anubis</t>
        </is>
      </c>
      <c r="B725" t="inlineStr">
        <is>
          <t>dvwiagwt3fsxpwe</t>
        </is>
      </c>
      <c r="C725" t="inlineStr">
        <is>
          <t>yiksrezo</t>
        </is>
      </c>
      <c r="D725" t="inlineStr">
        <is>
          <t>CS2</t>
        </is>
      </c>
      <c r="E725" t="inlineStr">
        <is>
          <t>Anubis</t>
        </is>
      </c>
      <c r="F725" t="n">
        <v>7</v>
      </c>
      <c r="G725" t="n">
        <v>13</v>
      </c>
      <c r="H725" t="n">
        <v>0.66</v>
      </c>
      <c r="I725" s="8" t="n">
        <v>0.659</v>
      </c>
      <c r="J725" t="n">
        <v>0.98</v>
      </c>
      <c r="K725" s="11">
        <f>IF(H725&lt;&gt;"",H725,IFERROR(G725/INDEX(Players!$M$2:$M$124,MATCH(B725,Players!$A$2:$A$124,0)),""))</f>
        <v/>
      </c>
    </row>
    <row r="726">
      <c r="A726" t="inlineStr">
        <is>
          <t>dvwiagwt3fsxpwe|Nuke</t>
        </is>
      </c>
      <c r="B726" t="inlineStr">
        <is>
          <t>dvwiagwt3fsxpwe</t>
        </is>
      </c>
      <c r="C726" t="inlineStr">
        <is>
          <t>yiksrezo</t>
        </is>
      </c>
      <c r="D726" t="inlineStr">
        <is>
          <t>CS2</t>
        </is>
      </c>
      <c r="E726" t="inlineStr">
        <is>
          <t>Nuke</t>
        </is>
      </c>
      <c r="F726" t="n">
        <v>6</v>
      </c>
      <c r="G726" t="n">
        <v>16.7</v>
      </c>
      <c r="H726" t="n">
        <v>0.78</v>
      </c>
      <c r="I726" s="8" t="n">
        <v>0.6899999999999999</v>
      </c>
      <c r="J726" t="n">
        <v>1.04</v>
      </c>
      <c r="K726" s="11">
        <f>IF(H726&lt;&gt;"",H726,IFERROR(G726/INDEX(Players!$M$2:$M$124,MATCH(B726,Players!$A$2:$A$124,0)),""))</f>
        <v/>
      </c>
    </row>
    <row r="727">
      <c r="A727" t="inlineStr">
        <is>
          <t>dvwiagwt3fsxpwe|Mirage</t>
        </is>
      </c>
      <c r="B727" t="inlineStr">
        <is>
          <t>dvwiagwt3fsxpwe</t>
        </is>
      </c>
      <c r="C727" t="inlineStr">
        <is>
          <t>yiksrezo</t>
        </is>
      </c>
      <c r="D727" t="inlineStr">
        <is>
          <t>CS2</t>
        </is>
      </c>
      <c r="E727" t="inlineStr">
        <is>
          <t>Mirage</t>
        </is>
      </c>
      <c r="F727" t="n">
        <v>3</v>
      </c>
      <c r="G727" t="n">
        <v>18.3</v>
      </c>
      <c r="H727" t="n">
        <v>0.8100000000000001</v>
      </c>
      <c r="I727" s="8" t="n">
        <v>0.727</v>
      </c>
      <c r="J727" t="n">
        <v>1.15</v>
      </c>
      <c r="K727" s="11">
        <f>IF(H727&lt;&gt;"",H727,IFERROR(G727/INDEX(Players!$M$2:$M$124,MATCH(B727,Players!$A$2:$A$124,0)),""))</f>
        <v/>
      </c>
    </row>
    <row r="728">
      <c r="A728" t="inlineStr">
        <is>
          <t>dvwiagwt3fsxpwe|Cache</t>
        </is>
      </c>
      <c r="B728" t="inlineStr">
        <is>
          <t>dvwiagwt3fsxpwe</t>
        </is>
      </c>
      <c r="C728" t="inlineStr">
        <is>
          <t>yiksrezo</t>
        </is>
      </c>
      <c r="D728" t="inlineStr">
        <is>
          <t>CS2</t>
        </is>
      </c>
      <c r="E728" t="inlineStr">
        <is>
          <t>Cache</t>
        </is>
      </c>
      <c r="F728" t="n">
        <v>2</v>
      </c>
      <c r="G728" t="n">
        <v>11.5</v>
      </c>
      <c r="H728" t="n">
        <v>0.61</v>
      </c>
      <c r="I728" s="8" t="n">
        <v>0.609</v>
      </c>
      <c r="J728" t="n">
        <v>0.79</v>
      </c>
      <c r="K728" s="11">
        <f>IF(H728&lt;&gt;"",H728,IFERROR(G728/INDEX(Players!$M$2:$M$124,MATCH(B728,Players!$A$2:$A$124,0)),""))</f>
        <v/>
      </c>
    </row>
    <row r="729">
      <c r="A729" t="inlineStr">
        <is>
          <t>41ry45brll61gbm|Nuke</t>
        </is>
      </c>
      <c r="B729" t="inlineStr">
        <is>
          <t>41ry45brll61gbm</t>
        </is>
      </c>
      <c r="C729" t="inlineStr">
        <is>
          <t>youka</t>
        </is>
      </c>
      <c r="D729" t="inlineStr">
        <is>
          <t>CS2</t>
        </is>
      </c>
      <c r="E729" t="inlineStr">
        <is>
          <t>Nuke</t>
        </is>
      </c>
      <c r="F729" t="n">
        <v>10</v>
      </c>
      <c r="G729" t="n">
        <v>15.2</v>
      </c>
      <c r="H729" t="n">
        <v>0.67</v>
      </c>
      <c r="I729" s="8" t="n">
        <v>0.467</v>
      </c>
      <c r="J729" t="n">
        <v>1.03</v>
      </c>
      <c r="K729" s="11">
        <f>IF(H729&lt;&gt;"",H729,IFERROR(G729/INDEX(Players!$M$2:$M$124,MATCH(B729,Players!$A$2:$A$124,0)),""))</f>
        <v/>
      </c>
    </row>
    <row r="730">
      <c r="A730" t="inlineStr">
        <is>
          <t>41ry45brll61gbm|Anubis</t>
        </is>
      </c>
      <c r="B730" t="inlineStr">
        <is>
          <t>41ry45brll61gbm</t>
        </is>
      </c>
      <c r="C730" t="inlineStr">
        <is>
          <t>youka</t>
        </is>
      </c>
      <c r="D730" t="inlineStr">
        <is>
          <t>CS2</t>
        </is>
      </c>
      <c r="E730" t="inlineStr">
        <is>
          <t>Anubis</t>
        </is>
      </c>
      <c r="F730" t="n">
        <v>8</v>
      </c>
      <c r="G730" t="n">
        <v>16.3</v>
      </c>
      <c r="H730" t="n">
        <v>0.87</v>
      </c>
      <c r="I730" s="8" t="n">
        <v>0.354</v>
      </c>
      <c r="J730" t="n">
        <v>1.67</v>
      </c>
      <c r="K730" s="11">
        <f>IF(H730&lt;&gt;"",H730,IFERROR(G730/INDEX(Players!$M$2:$M$124,MATCH(B730,Players!$A$2:$A$124,0)),""))</f>
        <v/>
      </c>
    </row>
    <row r="731">
      <c r="A731" t="inlineStr">
        <is>
          <t>41ry45brll61gbm|Ancient</t>
        </is>
      </c>
      <c r="B731" t="inlineStr">
        <is>
          <t>41ry45brll61gbm</t>
        </is>
      </c>
      <c r="C731" t="inlineStr">
        <is>
          <t>youka</t>
        </is>
      </c>
      <c r="D731" t="inlineStr">
        <is>
          <t>CS2</t>
        </is>
      </c>
      <c r="E731" t="inlineStr">
        <is>
          <t>Ancient</t>
        </is>
      </c>
      <c r="F731" t="n">
        <v>7</v>
      </c>
      <c r="G731" t="n">
        <v>13.1</v>
      </c>
      <c r="H731" t="n">
        <v>0.6</v>
      </c>
      <c r="I731" s="8" t="n">
        <v>0.37</v>
      </c>
      <c r="J731" t="n">
        <v>1</v>
      </c>
      <c r="K731" s="11">
        <f>IF(H731&lt;&gt;"",H731,IFERROR(G731/INDEX(Players!$M$2:$M$124,MATCH(B731,Players!$A$2:$A$124,0)),""))</f>
        <v/>
      </c>
    </row>
    <row r="732">
      <c r="A732" t="inlineStr">
        <is>
          <t>41ry45brll61gbm|Dust2</t>
        </is>
      </c>
      <c r="B732" t="inlineStr">
        <is>
          <t>41ry45brll61gbm</t>
        </is>
      </c>
      <c r="C732" t="inlineStr">
        <is>
          <t>youka</t>
        </is>
      </c>
      <c r="D732" t="inlineStr">
        <is>
          <t>CS2</t>
        </is>
      </c>
      <c r="E732" t="inlineStr">
        <is>
          <t>Dust2</t>
        </is>
      </c>
      <c r="F732" t="n">
        <v>4</v>
      </c>
      <c r="G732" t="n">
        <v>16.3</v>
      </c>
      <c r="H732" t="n">
        <v>0.74</v>
      </c>
      <c r="I732" s="8" t="n">
        <v>0.415</v>
      </c>
      <c r="J732" t="n">
        <v>1.2</v>
      </c>
      <c r="K732" s="11">
        <f>IF(H732&lt;&gt;"",H732,IFERROR(G732/INDEX(Players!$M$2:$M$124,MATCH(B732,Players!$A$2:$A$124,0)),""))</f>
        <v/>
      </c>
    </row>
    <row r="733">
      <c r="A733" t="inlineStr">
        <is>
          <t>41ry45brll61gbm|Mirage</t>
        </is>
      </c>
      <c r="B733" t="inlineStr">
        <is>
          <t>41ry45brll61gbm</t>
        </is>
      </c>
      <c r="C733" t="inlineStr">
        <is>
          <t>youka</t>
        </is>
      </c>
      <c r="D733" t="inlineStr">
        <is>
          <t>CS2</t>
        </is>
      </c>
      <c r="E733" t="inlineStr">
        <is>
          <t>Mirage</t>
        </is>
      </c>
      <c r="F733" t="n">
        <v>3</v>
      </c>
      <c r="G733" t="n">
        <v>19</v>
      </c>
      <c r="H733" t="n">
        <v>0.7</v>
      </c>
      <c r="I733" s="8" t="n">
        <v>0.333</v>
      </c>
      <c r="J733" t="n">
        <v>1.19</v>
      </c>
      <c r="K733" s="11">
        <f>IF(H733&lt;&gt;"",H733,IFERROR(G733/INDEX(Players!$M$2:$M$124,MATCH(B733,Players!$A$2:$A$124,0)),""))</f>
        <v/>
      </c>
    </row>
    <row r="734">
      <c r="A734" t="inlineStr">
        <is>
          <t>41ry45brll61gbm|Inferno</t>
        </is>
      </c>
      <c r="B734" t="inlineStr">
        <is>
          <t>41ry45brll61gbm</t>
        </is>
      </c>
      <c r="C734" t="inlineStr">
        <is>
          <t>youka</t>
        </is>
      </c>
      <c r="D734" t="inlineStr">
        <is>
          <t>CS2</t>
        </is>
      </c>
      <c r="E734" t="inlineStr">
        <is>
          <t>Inferno</t>
        </is>
      </c>
      <c r="F734" t="n">
        <v>2</v>
      </c>
      <c r="G734" t="n">
        <v>11.5</v>
      </c>
      <c r="H734" t="n">
        <v>0.55</v>
      </c>
      <c r="I734" s="8" t="n">
        <v>0.391</v>
      </c>
      <c r="J734" t="n">
        <v>1.05</v>
      </c>
      <c r="K734" s="11">
        <f>IF(H734&lt;&gt;"",H734,IFERROR(G734/INDEX(Players!$M$2:$M$124,MATCH(B734,Players!$A$2:$A$124,0)),""))</f>
        <v/>
      </c>
    </row>
    <row r="735">
      <c r="A735" t="inlineStr">
        <is>
          <t>41ry45brll61gbm|Cache</t>
        </is>
      </c>
      <c r="B735" t="inlineStr">
        <is>
          <t>41ry45brll61gbm</t>
        </is>
      </c>
      <c r="C735" t="inlineStr">
        <is>
          <t>youka</t>
        </is>
      </c>
      <c r="D735" t="inlineStr">
        <is>
          <t>CS2</t>
        </is>
      </c>
      <c r="E735" t="inlineStr">
        <is>
          <t>Cache</t>
        </is>
      </c>
      <c r="F735" t="n">
        <v>1</v>
      </c>
      <c r="G735" t="n">
        <v>10</v>
      </c>
      <c r="H735" t="n">
        <v>0.63</v>
      </c>
      <c r="I735" s="8" t="n">
        <v>0.4</v>
      </c>
      <c r="J735" t="n">
        <v>1.43</v>
      </c>
      <c r="K735" s="11">
        <f>IF(H735&lt;&gt;"",H735,IFERROR(G735/INDEX(Players!$M$2:$M$124,MATCH(B735,Players!$A$2:$A$124,0)),""))</f>
        <v/>
      </c>
    </row>
    <row r="736">
      <c r="A736" t="inlineStr">
        <is>
          <t>fcekd28mes5c7xs|Dust2</t>
        </is>
      </c>
      <c r="B736" t="inlineStr">
        <is>
          <t>fcekd28mes5c7xs</t>
        </is>
      </c>
      <c r="C736" t="inlineStr">
        <is>
          <t>YumsaN</t>
        </is>
      </c>
      <c r="D736" t="inlineStr">
        <is>
          <t>CS2</t>
        </is>
      </c>
      <c r="E736" t="inlineStr">
        <is>
          <t>Dust2</t>
        </is>
      </c>
      <c r="F736" t="n">
        <v>9</v>
      </c>
      <c r="G736" t="n">
        <v>17.3</v>
      </c>
      <c r="H736" t="n">
        <v>0.83</v>
      </c>
      <c r="I736" s="8" t="n">
        <v>0.301</v>
      </c>
      <c r="J736" t="n">
        <v>1.53</v>
      </c>
      <c r="K736" s="11">
        <f>IF(H736&lt;&gt;"",H736,IFERROR(G736/INDEX(Players!$M$2:$M$124,MATCH(B736,Players!$A$2:$A$124,0)),""))</f>
        <v/>
      </c>
    </row>
    <row r="737">
      <c r="A737" t="inlineStr">
        <is>
          <t>fcekd28mes5c7xs|Cache</t>
        </is>
      </c>
      <c r="B737" t="inlineStr">
        <is>
          <t>fcekd28mes5c7xs</t>
        </is>
      </c>
      <c r="C737" t="inlineStr">
        <is>
          <t>YumsaN</t>
        </is>
      </c>
      <c r="D737" t="inlineStr">
        <is>
          <t>CS2</t>
        </is>
      </c>
      <c r="E737" t="inlineStr">
        <is>
          <t>Cache</t>
        </is>
      </c>
      <c r="F737" t="n">
        <v>7</v>
      </c>
      <c r="G737" t="n">
        <v>14</v>
      </c>
      <c r="H737" t="n">
        <v>0.77</v>
      </c>
      <c r="I737" s="8" t="n">
        <v>0.286</v>
      </c>
      <c r="J737" t="n">
        <v>1.51</v>
      </c>
      <c r="K737" s="11">
        <f>IF(H737&lt;&gt;"",H737,IFERROR(G737/INDEX(Players!$M$2:$M$124,MATCH(B737,Players!$A$2:$A$124,0)),""))</f>
        <v/>
      </c>
    </row>
    <row r="738">
      <c r="A738" t="inlineStr">
        <is>
          <t>fcekd28mes5c7xs|Anubis</t>
        </is>
      </c>
      <c r="B738" t="inlineStr">
        <is>
          <t>fcekd28mes5c7xs</t>
        </is>
      </c>
      <c r="C738" t="inlineStr">
        <is>
          <t>YumsaN</t>
        </is>
      </c>
      <c r="D738" t="inlineStr">
        <is>
          <t>CS2</t>
        </is>
      </c>
      <c r="E738" t="inlineStr">
        <is>
          <t>Anubis</t>
        </is>
      </c>
      <c r="F738" t="n">
        <v>5</v>
      </c>
      <c r="G738" t="n">
        <v>11.6</v>
      </c>
      <c r="H738" t="n">
        <v>0.54</v>
      </c>
      <c r="I738" s="8" t="n">
        <v>0.31</v>
      </c>
      <c r="J738" t="n">
        <v>0.85</v>
      </c>
      <c r="K738" s="11">
        <f>IF(H738&lt;&gt;"",H738,IFERROR(G738/INDEX(Players!$M$2:$M$124,MATCH(B738,Players!$A$2:$A$124,0)),""))</f>
        <v/>
      </c>
    </row>
    <row r="739">
      <c r="A739" t="inlineStr">
        <is>
          <t>fcekd28mes5c7xs|Ancient</t>
        </is>
      </c>
      <c r="B739" t="inlineStr">
        <is>
          <t>fcekd28mes5c7xs</t>
        </is>
      </c>
      <c r="C739" t="inlineStr">
        <is>
          <t>YumsaN</t>
        </is>
      </c>
      <c r="D739" t="inlineStr">
        <is>
          <t>CS2</t>
        </is>
      </c>
      <c r="E739" t="inlineStr">
        <is>
          <t>Ancient</t>
        </is>
      </c>
      <c r="F739" t="n">
        <v>4</v>
      </c>
      <c r="G739" t="n">
        <v>16</v>
      </c>
      <c r="H739" t="n">
        <v>0.8100000000000001</v>
      </c>
      <c r="I739" s="8" t="n">
        <v>0.203</v>
      </c>
      <c r="J739" t="n">
        <v>1.52</v>
      </c>
      <c r="K739" s="11">
        <f>IF(H739&lt;&gt;"",H739,IFERROR(G739/INDEX(Players!$M$2:$M$124,MATCH(B739,Players!$A$2:$A$124,0)),""))</f>
        <v/>
      </c>
    </row>
    <row r="740">
      <c r="A740" t="inlineStr">
        <is>
          <t>fcekd28mes5c7xs|Nuke</t>
        </is>
      </c>
      <c r="B740" t="inlineStr">
        <is>
          <t>fcekd28mes5c7xs</t>
        </is>
      </c>
      <c r="C740" t="inlineStr">
        <is>
          <t>YumsaN</t>
        </is>
      </c>
      <c r="D740" t="inlineStr">
        <is>
          <t>CS2</t>
        </is>
      </c>
      <c r="E740" t="inlineStr">
        <is>
          <t>Nuke</t>
        </is>
      </c>
      <c r="F740" t="n">
        <v>4</v>
      </c>
      <c r="G740" t="n">
        <v>23.5</v>
      </c>
      <c r="H740" t="n">
        <v>0.8</v>
      </c>
      <c r="I740" s="8" t="n">
        <v>0.255</v>
      </c>
      <c r="J740" t="n">
        <v>1.31</v>
      </c>
      <c r="K740" s="11">
        <f>IF(H740&lt;&gt;"",H740,IFERROR(G740/INDEX(Players!$M$2:$M$124,MATCH(B740,Players!$A$2:$A$124,0)),""))</f>
        <v/>
      </c>
    </row>
    <row r="741">
      <c r="A741" t="inlineStr">
        <is>
          <t>fcekd28mes5c7xs|Mirage</t>
        </is>
      </c>
      <c r="B741" t="inlineStr">
        <is>
          <t>fcekd28mes5c7xs</t>
        </is>
      </c>
      <c r="C741" t="inlineStr">
        <is>
          <t>YumsaN</t>
        </is>
      </c>
      <c r="D741" t="inlineStr">
        <is>
          <t>CS2</t>
        </is>
      </c>
      <c r="E741" t="inlineStr">
        <is>
          <t>Mirage</t>
        </is>
      </c>
      <c r="F741" t="n">
        <v>4</v>
      </c>
      <c r="G741" t="n">
        <v>15.5</v>
      </c>
      <c r="H741" t="n">
        <v>0.65</v>
      </c>
      <c r="I741" s="8" t="n">
        <v>0.323</v>
      </c>
      <c r="J741" t="n">
        <v>0.98</v>
      </c>
      <c r="K741" s="11">
        <f>IF(H741&lt;&gt;"",H741,IFERROR(G741/INDEX(Players!$M$2:$M$124,MATCH(B741,Players!$A$2:$A$124,0)),""))</f>
        <v/>
      </c>
    </row>
    <row r="742">
      <c r="A742" t="inlineStr">
        <is>
          <t>npowbduexyegr6i|Mirage</t>
        </is>
      </c>
      <c r="B742" t="inlineStr">
        <is>
          <t>npowbduexyegr6i</t>
        </is>
      </c>
      <c r="C742" t="inlineStr">
        <is>
          <t>yuurih</t>
        </is>
      </c>
      <c r="D742" t="inlineStr">
        <is>
          <t>CS2</t>
        </is>
      </c>
      <c r="E742" t="inlineStr">
        <is>
          <t>Mirage</t>
        </is>
      </c>
      <c r="F742" t="n">
        <v>10</v>
      </c>
      <c r="G742" t="n">
        <v>12</v>
      </c>
      <c r="H742" t="n">
        <v>0.54</v>
      </c>
      <c r="I742" s="8" t="n">
        <v>0.467</v>
      </c>
      <c r="J742" t="n">
        <v>0.9399999999999999</v>
      </c>
      <c r="K742" s="11">
        <f>IF(H742&lt;&gt;"",H742,IFERROR(G742/INDEX(Players!$M$2:$M$124,MATCH(B742,Players!$A$2:$A$124,0)),""))</f>
        <v/>
      </c>
    </row>
    <row r="743">
      <c r="A743" t="inlineStr">
        <is>
          <t>npowbduexyegr6i|Nuke</t>
        </is>
      </c>
      <c r="B743" t="inlineStr">
        <is>
          <t>npowbduexyegr6i</t>
        </is>
      </c>
      <c r="C743" t="inlineStr">
        <is>
          <t>yuurih</t>
        </is>
      </c>
      <c r="D743" t="inlineStr">
        <is>
          <t>CS2</t>
        </is>
      </c>
      <c r="E743" t="inlineStr">
        <is>
          <t>Nuke</t>
        </is>
      </c>
      <c r="F743" t="n">
        <v>6</v>
      </c>
      <c r="G743" t="n">
        <v>13</v>
      </c>
      <c r="H743" t="n">
        <v>0.6</v>
      </c>
      <c r="I743" s="8" t="n">
        <v>0.487</v>
      </c>
      <c r="J743" t="n">
        <v>1.07</v>
      </c>
      <c r="K743" s="11">
        <f>IF(H743&lt;&gt;"",H743,IFERROR(G743/INDEX(Players!$M$2:$M$124,MATCH(B743,Players!$A$2:$A$124,0)),""))</f>
        <v/>
      </c>
    </row>
    <row r="744">
      <c r="A744" t="inlineStr">
        <is>
          <t>npowbduexyegr6i|Inferno</t>
        </is>
      </c>
      <c r="B744" t="inlineStr">
        <is>
          <t>npowbduexyegr6i</t>
        </is>
      </c>
      <c r="C744" t="inlineStr">
        <is>
          <t>yuurih</t>
        </is>
      </c>
      <c r="D744" t="inlineStr">
        <is>
          <t>CS2</t>
        </is>
      </c>
      <c r="E744" t="inlineStr">
        <is>
          <t>Inferno</t>
        </is>
      </c>
      <c r="F744" t="n">
        <v>6</v>
      </c>
      <c r="G744" t="n">
        <v>11.8</v>
      </c>
      <c r="H744" t="n">
        <v>0.58</v>
      </c>
      <c r="I744" s="8" t="n">
        <v>0.479</v>
      </c>
      <c r="J744" t="n">
        <v>0.99</v>
      </c>
      <c r="K744" s="11">
        <f>IF(H744&lt;&gt;"",H744,IFERROR(G744/INDEX(Players!$M$2:$M$124,MATCH(B744,Players!$A$2:$A$124,0)),""))</f>
        <v/>
      </c>
    </row>
    <row r="745">
      <c r="A745" t="inlineStr">
        <is>
          <t>npowbduexyegr6i|Cache</t>
        </is>
      </c>
      <c r="B745" t="inlineStr">
        <is>
          <t>npowbduexyegr6i</t>
        </is>
      </c>
      <c r="C745" t="inlineStr">
        <is>
          <t>yuurih</t>
        </is>
      </c>
      <c r="D745" t="inlineStr">
        <is>
          <t>CS2</t>
        </is>
      </c>
      <c r="E745" t="inlineStr">
        <is>
          <t>Cache</t>
        </is>
      </c>
      <c r="F745" t="n">
        <v>6</v>
      </c>
      <c r="G745" t="n">
        <v>12.5</v>
      </c>
      <c r="H745" t="n">
        <v>0.59</v>
      </c>
      <c r="I745" s="8" t="n">
        <v>0.453</v>
      </c>
      <c r="J745" t="n">
        <v>0.93</v>
      </c>
      <c r="K745" s="11">
        <f>IF(H745&lt;&gt;"",H745,IFERROR(G745/INDEX(Players!$M$2:$M$124,MATCH(B745,Players!$A$2:$A$124,0)),""))</f>
        <v/>
      </c>
    </row>
    <row r="746">
      <c r="A746" t="inlineStr">
        <is>
          <t>npowbduexyegr6i|Dust2</t>
        </is>
      </c>
      <c r="B746" t="inlineStr">
        <is>
          <t>npowbduexyegr6i</t>
        </is>
      </c>
      <c r="C746" t="inlineStr">
        <is>
          <t>yuurih</t>
        </is>
      </c>
      <c r="D746" t="inlineStr">
        <is>
          <t>CS2</t>
        </is>
      </c>
      <c r="E746" t="inlineStr">
        <is>
          <t>Dust2</t>
        </is>
      </c>
      <c r="F746" t="n">
        <v>4</v>
      </c>
      <c r="G746" t="n">
        <v>11.3</v>
      </c>
      <c r="H746" t="n">
        <v>0.57</v>
      </c>
      <c r="I746" s="8" t="n">
        <v>0.578</v>
      </c>
      <c r="J746" t="n">
        <v>1.18</v>
      </c>
      <c r="K746" s="11">
        <f>IF(H746&lt;&gt;"",H746,IFERROR(G746/INDEX(Players!$M$2:$M$124,MATCH(B746,Players!$A$2:$A$124,0)),""))</f>
        <v/>
      </c>
    </row>
    <row r="747">
      <c r="A747" t="inlineStr">
        <is>
          <t>npowbduexyegr6i|Ancient</t>
        </is>
      </c>
      <c r="B747" t="inlineStr">
        <is>
          <t>npowbduexyegr6i</t>
        </is>
      </c>
      <c r="C747" t="inlineStr">
        <is>
          <t>yuurih</t>
        </is>
      </c>
      <c r="D747" t="inlineStr">
        <is>
          <t>CS2</t>
        </is>
      </c>
      <c r="E747" t="inlineStr">
        <is>
          <t>Ancient</t>
        </is>
      </c>
      <c r="F747" t="n">
        <v>4</v>
      </c>
      <c r="G747" t="n">
        <v>16</v>
      </c>
      <c r="H747" t="n">
        <v>0.65</v>
      </c>
      <c r="I747" s="8" t="n">
        <v>0.359</v>
      </c>
      <c r="J747" t="n">
        <v>1.02</v>
      </c>
      <c r="K747" s="11">
        <f>IF(H747&lt;&gt;"",H747,IFERROR(G747/INDEX(Players!$M$2:$M$124,MATCH(B747,Players!$A$2:$A$124,0)),""))</f>
        <v/>
      </c>
    </row>
    <row r="748">
      <c r="A748" t="inlineStr">
        <is>
          <t>npowbduexyegr6i|Anubis</t>
        </is>
      </c>
      <c r="B748" t="inlineStr">
        <is>
          <t>npowbduexyegr6i</t>
        </is>
      </c>
      <c r="C748" t="inlineStr">
        <is>
          <t>yuurih</t>
        </is>
      </c>
      <c r="D748" t="inlineStr">
        <is>
          <t>CS2</t>
        </is>
      </c>
      <c r="E748" t="inlineStr">
        <is>
          <t>Anubis</t>
        </is>
      </c>
      <c r="F748" t="n">
        <v>1</v>
      </c>
      <c r="G748" t="n">
        <v>13</v>
      </c>
      <c r="H748" t="n">
        <v>0.62</v>
      </c>
      <c r="I748" s="8" t="n">
        <v>0.462</v>
      </c>
      <c r="J748" t="n">
        <v>0.76</v>
      </c>
      <c r="K748" s="11">
        <f>IF(H748&lt;&gt;"",H748,IFERROR(G748/INDEX(Players!$M$2:$M$124,MATCH(B748,Players!$A$2:$A$124,0)),""))</f>
        <v/>
      </c>
    </row>
    <row r="749">
      <c r="A749" t="inlineStr">
        <is>
          <t>a5ni4ejys4e3xjq|Mirage</t>
        </is>
      </c>
      <c r="B749" t="inlineStr">
        <is>
          <t>a5ni4ejys4e3xjq</t>
        </is>
      </c>
      <c r="C749" t="inlineStr">
        <is>
          <t>ZEDKO</t>
        </is>
      </c>
      <c r="D749" t="inlineStr">
        <is>
          <t>CS2</t>
        </is>
      </c>
      <c r="E749" t="inlineStr">
        <is>
          <t>Mirage</t>
        </is>
      </c>
      <c r="F749" t="n">
        <v>11</v>
      </c>
      <c r="G749" t="n">
        <v>13.8</v>
      </c>
      <c r="H749" t="n">
        <v>0.67</v>
      </c>
      <c r="I749" s="8" t="n">
        <v>0.5589999999999999</v>
      </c>
      <c r="J749" t="n">
        <v>1.12</v>
      </c>
      <c r="K749" s="11">
        <f>IF(H749&lt;&gt;"",H749,IFERROR(G749/INDEX(Players!$M$2:$M$124,MATCH(B749,Players!$A$2:$A$124,0)),""))</f>
        <v/>
      </c>
    </row>
    <row r="750">
      <c r="A750" t="inlineStr">
        <is>
          <t>a5ni4ejys4e3xjq|Inferno</t>
        </is>
      </c>
      <c r="B750" t="inlineStr">
        <is>
          <t>a5ni4ejys4e3xjq</t>
        </is>
      </c>
      <c r="C750" t="inlineStr">
        <is>
          <t>ZEDKO</t>
        </is>
      </c>
      <c r="D750" t="inlineStr">
        <is>
          <t>CS2</t>
        </is>
      </c>
      <c r="E750" t="inlineStr">
        <is>
          <t>Inferno</t>
        </is>
      </c>
      <c r="F750" t="n">
        <v>6</v>
      </c>
      <c r="G750" t="n">
        <v>15.5</v>
      </c>
      <c r="H750" t="n">
        <v>0.64</v>
      </c>
      <c r="I750" s="8" t="n">
        <v>0.581</v>
      </c>
      <c r="J750" t="n">
        <v>1.07</v>
      </c>
      <c r="K750" s="11">
        <f>IF(H750&lt;&gt;"",H750,IFERROR(G750/INDEX(Players!$M$2:$M$124,MATCH(B750,Players!$A$2:$A$124,0)),""))</f>
        <v/>
      </c>
    </row>
    <row r="751">
      <c r="A751" t="inlineStr">
        <is>
          <t>a5ni4ejys4e3xjq|Dust2</t>
        </is>
      </c>
      <c r="B751" t="inlineStr">
        <is>
          <t>a5ni4ejys4e3xjq</t>
        </is>
      </c>
      <c r="C751" t="inlineStr">
        <is>
          <t>ZEDKO</t>
        </is>
      </c>
      <c r="D751" t="inlineStr">
        <is>
          <t>CS2</t>
        </is>
      </c>
      <c r="E751" t="inlineStr">
        <is>
          <t>Dust2</t>
        </is>
      </c>
      <c r="F751" t="n">
        <v>6</v>
      </c>
      <c r="G751" t="n">
        <v>13.3</v>
      </c>
      <c r="H751" t="n">
        <v>0.6</v>
      </c>
      <c r="I751" s="8" t="n">
        <v>0.6</v>
      </c>
      <c r="J751" t="n">
        <v>0.99</v>
      </c>
      <c r="K751" s="11">
        <f>IF(H751&lt;&gt;"",H751,IFERROR(G751/INDEX(Players!$M$2:$M$124,MATCH(B751,Players!$A$2:$A$124,0)),""))</f>
        <v/>
      </c>
    </row>
    <row r="752">
      <c r="A752" t="inlineStr">
        <is>
          <t>a5ni4ejys4e3xjq|Anubis</t>
        </is>
      </c>
      <c r="B752" t="inlineStr">
        <is>
          <t>a5ni4ejys4e3xjq</t>
        </is>
      </c>
      <c r="C752" t="inlineStr">
        <is>
          <t>ZEDKO</t>
        </is>
      </c>
      <c r="D752" t="inlineStr">
        <is>
          <t>CS2</t>
        </is>
      </c>
      <c r="E752" t="inlineStr">
        <is>
          <t>Anubis</t>
        </is>
      </c>
      <c r="F752" t="n">
        <v>6</v>
      </c>
      <c r="G752" t="n">
        <v>13.2</v>
      </c>
      <c r="H752" t="n">
        <v>0.5600000000000001</v>
      </c>
      <c r="I752" s="8" t="n">
        <v>0.519</v>
      </c>
      <c r="J752" t="n">
        <v>0.86</v>
      </c>
      <c r="K752" s="11">
        <f>IF(H752&lt;&gt;"",H752,IFERROR(G752/INDEX(Players!$M$2:$M$124,MATCH(B752,Players!$A$2:$A$124,0)),""))</f>
        <v/>
      </c>
    </row>
    <row r="753">
      <c r="A753" t="inlineStr">
        <is>
          <t>a5ni4ejys4e3xjq|Nuke</t>
        </is>
      </c>
      <c r="B753" t="inlineStr">
        <is>
          <t>a5ni4ejys4e3xjq</t>
        </is>
      </c>
      <c r="C753" t="inlineStr">
        <is>
          <t>ZEDKO</t>
        </is>
      </c>
      <c r="D753" t="inlineStr">
        <is>
          <t>CS2</t>
        </is>
      </c>
      <c r="E753" t="inlineStr">
        <is>
          <t>Nuke</t>
        </is>
      </c>
      <c r="F753" t="n">
        <v>4</v>
      </c>
      <c r="G753" t="n">
        <v>16</v>
      </c>
      <c r="H753" t="n">
        <v>0.84</v>
      </c>
      <c r="I753" s="8" t="n">
        <v>0.5</v>
      </c>
      <c r="J753" t="n">
        <v>1.83</v>
      </c>
      <c r="K753" s="11">
        <f>IF(H753&lt;&gt;"",H753,IFERROR(G753/INDEX(Players!$M$2:$M$124,MATCH(B753,Players!$A$2:$A$124,0)),""))</f>
        <v/>
      </c>
    </row>
    <row r="754">
      <c r="A754" t="inlineStr">
        <is>
          <t>a5ni4ejys4e3xjq|Cache</t>
        </is>
      </c>
      <c r="B754" t="inlineStr">
        <is>
          <t>a5ni4ejys4e3xjq</t>
        </is>
      </c>
      <c r="C754" t="inlineStr">
        <is>
          <t>ZEDKO</t>
        </is>
      </c>
      <c r="D754" t="inlineStr">
        <is>
          <t>CS2</t>
        </is>
      </c>
      <c r="E754" t="inlineStr">
        <is>
          <t>Cache</t>
        </is>
      </c>
      <c r="F754" t="n">
        <v>3</v>
      </c>
      <c r="G754" t="n">
        <v>17.3</v>
      </c>
      <c r="H754" t="n">
        <v>0.71</v>
      </c>
      <c r="I754" s="8" t="n">
        <v>0.519</v>
      </c>
      <c r="J754" t="n">
        <v>1.18</v>
      </c>
      <c r="K754" s="11">
        <f>IF(H754&lt;&gt;"",H754,IFERROR(G754/INDEX(Players!$M$2:$M$124,MATCH(B754,Players!$A$2:$A$124,0)),""))</f>
        <v/>
      </c>
    </row>
    <row r="755">
      <c r="A755" t="inlineStr">
        <is>
          <t>a5ni4ejys4e3xjq|Ancient</t>
        </is>
      </c>
      <c r="B755" t="inlineStr">
        <is>
          <t>a5ni4ejys4e3xjq</t>
        </is>
      </c>
      <c r="C755" t="inlineStr">
        <is>
          <t>ZEDKO</t>
        </is>
      </c>
      <c r="D755" t="inlineStr">
        <is>
          <t>CS2</t>
        </is>
      </c>
      <c r="E755" t="inlineStr">
        <is>
          <t>Ancient</t>
        </is>
      </c>
      <c r="F755" t="n">
        <v>2</v>
      </c>
      <c r="G755" t="n">
        <v>14</v>
      </c>
      <c r="H755" t="n">
        <v>0.68</v>
      </c>
      <c r="I755" s="8" t="n">
        <v>0.5710000000000001</v>
      </c>
      <c r="J755" t="n">
        <v>1.04</v>
      </c>
      <c r="K755" s="11">
        <f>IF(H755&lt;&gt;"",H755,IFERROR(G755/INDEX(Players!$M$2:$M$124,MATCH(B755,Players!$A$2:$A$124,0)),""))</f>
        <v/>
      </c>
    </row>
    <row r="756">
      <c r="A756" t="inlineStr">
        <is>
          <t>8xh80pn743zwzp0|Mirage</t>
        </is>
      </c>
      <c r="B756" t="inlineStr">
        <is>
          <t>8xh80pn743zwzp0</t>
        </is>
      </c>
      <c r="C756" t="inlineStr">
        <is>
          <t>zero</t>
        </is>
      </c>
      <c r="D756" t="inlineStr">
        <is>
          <t>CS2</t>
        </is>
      </c>
      <c r="E756" t="inlineStr">
        <is>
          <t>Mirage</t>
        </is>
      </c>
      <c r="F756" t="n">
        <v>9</v>
      </c>
      <c r="G756" t="n">
        <v>13</v>
      </c>
      <c r="H756" t="n">
        <v>0.66</v>
      </c>
      <c r="I756" s="8" t="n">
        <v>0.487</v>
      </c>
      <c r="J756" t="n">
        <v>0.99</v>
      </c>
      <c r="K756" s="11">
        <f>IF(H756&lt;&gt;"",H756,IFERROR(G756/INDEX(Players!$M$2:$M$124,MATCH(B756,Players!$A$2:$A$124,0)),""))</f>
        <v/>
      </c>
    </row>
    <row r="757">
      <c r="A757" t="inlineStr">
        <is>
          <t>8xh80pn743zwzp0|Ancient</t>
        </is>
      </c>
      <c r="B757" t="inlineStr">
        <is>
          <t>8xh80pn743zwzp0</t>
        </is>
      </c>
      <c r="C757" t="inlineStr">
        <is>
          <t>zero</t>
        </is>
      </c>
      <c r="D757" t="inlineStr">
        <is>
          <t>CS2</t>
        </is>
      </c>
      <c r="E757" t="inlineStr">
        <is>
          <t>Ancient</t>
        </is>
      </c>
      <c r="F757" t="n">
        <v>7</v>
      </c>
      <c r="G757" t="n">
        <v>13.6</v>
      </c>
      <c r="H757" t="n">
        <v>0.71</v>
      </c>
      <c r="I757" s="8" t="n">
        <v>0.537</v>
      </c>
      <c r="J757" t="n">
        <v>1.09</v>
      </c>
      <c r="K757" s="11">
        <f>IF(H757&lt;&gt;"",H757,IFERROR(G757/INDEX(Players!$M$2:$M$124,MATCH(B757,Players!$A$2:$A$124,0)),""))</f>
        <v/>
      </c>
    </row>
    <row r="758">
      <c r="A758" t="inlineStr">
        <is>
          <t>8xh80pn743zwzp0|Inferno</t>
        </is>
      </c>
      <c r="B758" t="inlineStr">
        <is>
          <t>8xh80pn743zwzp0</t>
        </is>
      </c>
      <c r="C758" t="inlineStr">
        <is>
          <t>zero</t>
        </is>
      </c>
      <c r="D758" t="inlineStr">
        <is>
          <t>CS2</t>
        </is>
      </c>
      <c r="E758" t="inlineStr">
        <is>
          <t>Inferno</t>
        </is>
      </c>
      <c r="F758" t="n">
        <v>6</v>
      </c>
      <c r="G758" t="n">
        <v>13.2</v>
      </c>
      <c r="H758" t="n">
        <v>0.65</v>
      </c>
      <c r="I758" s="8" t="n">
        <v>0.532</v>
      </c>
      <c r="J758" t="n">
        <v>1.14</v>
      </c>
      <c r="K758" s="11">
        <f>IF(H758&lt;&gt;"",H758,IFERROR(G758/INDEX(Players!$M$2:$M$124,MATCH(B758,Players!$A$2:$A$124,0)),""))</f>
        <v/>
      </c>
    </row>
    <row r="759">
      <c r="A759" t="inlineStr">
        <is>
          <t>8xh80pn743zwzp0|Nuke</t>
        </is>
      </c>
      <c r="B759" t="inlineStr">
        <is>
          <t>8xh80pn743zwzp0</t>
        </is>
      </c>
      <c r="C759" t="inlineStr">
        <is>
          <t>zero</t>
        </is>
      </c>
      <c r="D759" t="inlineStr">
        <is>
          <t>CS2</t>
        </is>
      </c>
      <c r="E759" t="inlineStr">
        <is>
          <t>Nuke</t>
        </is>
      </c>
      <c r="F759" t="n">
        <v>4</v>
      </c>
      <c r="G759" t="n">
        <v>14</v>
      </c>
      <c r="H759" t="n">
        <v>0.63</v>
      </c>
      <c r="I759" s="8" t="n">
        <v>0.696</v>
      </c>
      <c r="J759" t="n">
        <v>0.88</v>
      </c>
      <c r="K759" s="11">
        <f>IF(H759&lt;&gt;"",H759,IFERROR(G759/INDEX(Players!$M$2:$M$124,MATCH(B759,Players!$A$2:$A$124,0)),""))</f>
        <v/>
      </c>
    </row>
    <row r="760">
      <c r="A760" t="inlineStr">
        <is>
          <t>8xh80pn743zwzp0|Cache</t>
        </is>
      </c>
      <c r="B760" t="inlineStr">
        <is>
          <t>8xh80pn743zwzp0</t>
        </is>
      </c>
      <c r="C760" t="inlineStr">
        <is>
          <t>zero</t>
        </is>
      </c>
      <c r="D760" t="inlineStr">
        <is>
          <t>CS2</t>
        </is>
      </c>
      <c r="E760" t="inlineStr">
        <is>
          <t>Cache</t>
        </is>
      </c>
      <c r="F760" t="n">
        <v>4</v>
      </c>
      <c r="G760" t="n">
        <v>6.5</v>
      </c>
      <c r="H760" t="n">
        <v>0.35</v>
      </c>
      <c r="I760" s="8" t="n">
        <v>0.5379999999999999</v>
      </c>
      <c r="J760" t="n">
        <v>0.48</v>
      </c>
      <c r="K760" s="11">
        <f>IF(H760&lt;&gt;"",H760,IFERROR(G760/INDEX(Players!$M$2:$M$124,MATCH(B760,Players!$A$2:$A$124,0)),""))</f>
        <v/>
      </c>
    </row>
    <row r="761">
      <c r="A761" t="inlineStr">
        <is>
          <t>8xh80pn743zwzp0|Anubis</t>
        </is>
      </c>
      <c r="B761" t="inlineStr">
        <is>
          <t>8xh80pn743zwzp0</t>
        </is>
      </c>
      <c r="C761" t="inlineStr">
        <is>
          <t>zero</t>
        </is>
      </c>
      <c r="D761" t="inlineStr">
        <is>
          <t>CS2</t>
        </is>
      </c>
      <c r="E761" t="inlineStr">
        <is>
          <t>Anubis</t>
        </is>
      </c>
      <c r="F761" t="n">
        <v>2</v>
      </c>
      <c r="G761" t="n">
        <v>15</v>
      </c>
      <c r="H761" t="n">
        <v>0.73</v>
      </c>
      <c r="I761" s="8" t="n">
        <v>0.5670000000000001</v>
      </c>
      <c r="J761" t="n">
        <v>1</v>
      </c>
      <c r="K761" s="11">
        <f>IF(H761&lt;&gt;"",H761,IFERROR(G761/INDEX(Players!$M$2:$M$124,MATCH(B761,Players!$A$2:$A$124,0)),""))</f>
        <v/>
      </c>
    </row>
    <row r="762">
      <c r="A762" t="inlineStr">
        <is>
          <t>4wgqqpezywhvfib|Mirage</t>
        </is>
      </c>
      <c r="B762" t="inlineStr">
        <is>
          <t>4wgqqpezywhvfib</t>
        </is>
      </c>
      <c r="C762" t="inlineStr">
        <is>
          <t>zont1x</t>
        </is>
      </c>
      <c r="D762" t="inlineStr">
        <is>
          <t>CS2</t>
        </is>
      </c>
      <c r="E762" t="inlineStr">
        <is>
          <t>Mirage</t>
        </is>
      </c>
      <c r="F762" t="n">
        <v>7</v>
      </c>
      <c r="G762" t="n">
        <v>14.7</v>
      </c>
      <c r="H762" t="n">
        <v>0.66</v>
      </c>
      <c r="I762" s="8" t="n">
        <v>0.379</v>
      </c>
      <c r="J762" t="n">
        <v>0.97</v>
      </c>
      <c r="K762" s="11">
        <f>IF(H762&lt;&gt;"",H762,IFERROR(G762/INDEX(Players!$M$2:$M$124,MATCH(B762,Players!$A$2:$A$124,0)),""))</f>
        <v/>
      </c>
    </row>
    <row r="763">
      <c r="A763" t="inlineStr">
        <is>
          <t>4wgqqpezywhvfib|Dust2</t>
        </is>
      </c>
      <c r="B763" t="inlineStr">
        <is>
          <t>4wgqqpezywhvfib</t>
        </is>
      </c>
      <c r="C763" t="inlineStr">
        <is>
          <t>zont1x</t>
        </is>
      </c>
      <c r="D763" t="inlineStr">
        <is>
          <t>CS2</t>
        </is>
      </c>
      <c r="E763" t="inlineStr">
        <is>
          <t>Dust2</t>
        </is>
      </c>
      <c r="F763" t="n">
        <v>7</v>
      </c>
      <c r="G763" t="n">
        <v>10.9</v>
      </c>
      <c r="H763" t="n">
        <v>0.54</v>
      </c>
      <c r="I763" s="8" t="n">
        <v>0.395</v>
      </c>
      <c r="J763" t="n">
        <v>0.93</v>
      </c>
      <c r="K763" s="11">
        <f>IF(H763&lt;&gt;"",H763,IFERROR(G763/INDEX(Players!$M$2:$M$124,MATCH(B763,Players!$A$2:$A$124,0)),""))</f>
        <v/>
      </c>
    </row>
    <row r="764">
      <c r="A764" t="inlineStr">
        <is>
          <t>4wgqqpezywhvfib|Ancient</t>
        </is>
      </c>
      <c r="B764" t="inlineStr">
        <is>
          <t>4wgqqpezywhvfib</t>
        </is>
      </c>
      <c r="C764" t="inlineStr">
        <is>
          <t>zont1x</t>
        </is>
      </c>
      <c r="D764" t="inlineStr">
        <is>
          <t>CS2</t>
        </is>
      </c>
      <c r="E764" t="inlineStr">
        <is>
          <t>Ancient</t>
        </is>
      </c>
      <c r="F764" t="n">
        <v>7</v>
      </c>
      <c r="G764" t="n">
        <v>13.7</v>
      </c>
      <c r="H764" t="n">
        <v>0.62</v>
      </c>
      <c r="I764" s="8" t="n">
        <v>0.417</v>
      </c>
      <c r="J764" t="n">
        <v>0.89</v>
      </c>
      <c r="K764" s="11">
        <f>IF(H764&lt;&gt;"",H764,IFERROR(G764/INDEX(Players!$M$2:$M$124,MATCH(B764,Players!$A$2:$A$124,0)),""))</f>
        <v/>
      </c>
    </row>
    <row r="765">
      <c r="A765" t="inlineStr">
        <is>
          <t>4wgqqpezywhvfib|Anubis</t>
        </is>
      </c>
      <c r="B765" t="inlineStr">
        <is>
          <t>4wgqqpezywhvfib</t>
        </is>
      </c>
      <c r="C765" t="inlineStr">
        <is>
          <t>zont1x</t>
        </is>
      </c>
      <c r="D765" t="inlineStr">
        <is>
          <t>CS2</t>
        </is>
      </c>
      <c r="E765" t="inlineStr">
        <is>
          <t>Anubis</t>
        </is>
      </c>
      <c r="F765" t="n">
        <v>6</v>
      </c>
      <c r="G765" t="n">
        <v>12.2</v>
      </c>
      <c r="H765" t="n">
        <v>0.54</v>
      </c>
      <c r="I765" s="8" t="n">
        <v>0.384</v>
      </c>
      <c r="J765" t="n">
        <v>0.88</v>
      </c>
      <c r="K765" s="11">
        <f>IF(H765&lt;&gt;"",H765,IFERROR(G765/INDEX(Players!$M$2:$M$124,MATCH(B765,Players!$A$2:$A$124,0)),""))</f>
        <v/>
      </c>
    </row>
    <row r="766">
      <c r="A766" t="inlineStr">
        <is>
          <t>4wgqqpezywhvfib|Cache</t>
        </is>
      </c>
      <c r="B766" t="inlineStr">
        <is>
          <t>4wgqqpezywhvfib</t>
        </is>
      </c>
      <c r="C766" t="inlineStr">
        <is>
          <t>zont1x</t>
        </is>
      </c>
      <c r="D766" t="inlineStr">
        <is>
          <t>CS2</t>
        </is>
      </c>
      <c r="E766" t="inlineStr">
        <is>
          <t>Cache</t>
        </is>
      </c>
      <c r="F766" t="n">
        <v>6</v>
      </c>
      <c r="G766" t="n">
        <v>11</v>
      </c>
      <c r="H766" t="n">
        <v>0.53</v>
      </c>
      <c r="I766" s="8" t="n">
        <v>0.455</v>
      </c>
      <c r="J766" t="n">
        <v>0.86</v>
      </c>
      <c r="K766" s="11">
        <f>IF(H766&lt;&gt;"",H766,IFERROR(G766/INDEX(Players!$M$2:$M$124,MATCH(B766,Players!$A$2:$A$124,0)),""))</f>
        <v/>
      </c>
    </row>
    <row r="767">
      <c r="A767" t="inlineStr">
        <is>
          <t>4wgqqpezywhvfib|Nuke</t>
        </is>
      </c>
      <c r="B767" t="inlineStr">
        <is>
          <t>4wgqqpezywhvfib</t>
        </is>
      </c>
      <c r="C767" t="inlineStr">
        <is>
          <t>zont1x</t>
        </is>
      </c>
      <c r="D767" t="inlineStr">
        <is>
          <t>CS2</t>
        </is>
      </c>
      <c r="E767" t="inlineStr">
        <is>
          <t>Nuke</t>
        </is>
      </c>
      <c r="F767" t="n">
        <v>5</v>
      </c>
      <c r="G767" t="n">
        <v>14.6</v>
      </c>
      <c r="H767" t="n">
        <v>0.6899999999999999</v>
      </c>
      <c r="I767" s="8" t="n">
        <v>0.301</v>
      </c>
      <c r="J767" t="n">
        <v>1.12</v>
      </c>
      <c r="K767" s="11">
        <f>IF(H767&lt;&gt;"",H767,IFERROR(G767/INDEX(Players!$M$2:$M$124,MATCH(B767,Players!$A$2:$A$124,0)),""))</f>
        <v/>
      </c>
    </row>
    <row r="768">
      <c r="A768" t="inlineStr">
        <is>
          <t>c4m3zncm4mxvzoh|Mirage</t>
        </is>
      </c>
      <c r="B768" t="inlineStr">
        <is>
          <t>c4m3zncm4mxvzoh</t>
        </is>
      </c>
      <c r="C768" t="inlineStr">
        <is>
          <t>zorte</t>
        </is>
      </c>
      <c r="D768" t="inlineStr">
        <is>
          <t>CS2</t>
        </is>
      </c>
      <c r="E768" t="inlineStr">
        <is>
          <t>Mirage</t>
        </is>
      </c>
      <c r="F768" t="n">
        <v>11</v>
      </c>
      <c r="G768" t="n">
        <v>15.4</v>
      </c>
      <c r="H768" t="n">
        <v>0.71</v>
      </c>
      <c r="I768" s="8" t="n">
        <v>0.278</v>
      </c>
      <c r="J768" t="n">
        <v>1.13</v>
      </c>
      <c r="K768" s="11">
        <f>IF(H768&lt;&gt;"",H768,IFERROR(G768/INDEX(Players!$M$2:$M$124,MATCH(B768,Players!$A$2:$A$124,0)),""))</f>
        <v/>
      </c>
    </row>
    <row r="769">
      <c r="A769" t="inlineStr">
        <is>
          <t>c4m3zncm4mxvzoh|Anubis</t>
        </is>
      </c>
      <c r="B769" t="inlineStr">
        <is>
          <t>c4m3zncm4mxvzoh</t>
        </is>
      </c>
      <c r="C769" t="inlineStr">
        <is>
          <t>zorte</t>
        </is>
      </c>
      <c r="D769" t="inlineStr">
        <is>
          <t>CS2</t>
        </is>
      </c>
      <c r="E769" t="inlineStr">
        <is>
          <t>Anubis</t>
        </is>
      </c>
      <c r="F769" t="n">
        <v>9</v>
      </c>
      <c r="G769" t="n">
        <v>15.3</v>
      </c>
      <c r="H769" t="n">
        <v>0.67</v>
      </c>
      <c r="I769" s="8" t="n">
        <v>0.246</v>
      </c>
      <c r="J769" t="n">
        <v>1.1</v>
      </c>
      <c r="K769" s="11">
        <f>IF(H769&lt;&gt;"",H769,IFERROR(G769/INDEX(Players!$M$2:$M$124,MATCH(B769,Players!$A$2:$A$124,0)),""))</f>
        <v/>
      </c>
    </row>
    <row r="770">
      <c r="A770" t="inlineStr">
        <is>
          <t>c4m3zncm4mxvzoh|Ancient</t>
        </is>
      </c>
      <c r="B770" t="inlineStr">
        <is>
          <t>c4m3zncm4mxvzoh</t>
        </is>
      </c>
      <c r="C770" t="inlineStr">
        <is>
          <t>zorte</t>
        </is>
      </c>
      <c r="D770" t="inlineStr">
        <is>
          <t>CS2</t>
        </is>
      </c>
      <c r="E770" t="inlineStr">
        <is>
          <t>Ancient</t>
        </is>
      </c>
      <c r="F770" t="n">
        <v>6</v>
      </c>
      <c r="G770" t="n">
        <v>17</v>
      </c>
      <c r="H770" t="n">
        <v>0.6899999999999999</v>
      </c>
      <c r="I770" s="8" t="n">
        <v>0.255</v>
      </c>
      <c r="J770" t="n">
        <v>1.16</v>
      </c>
      <c r="K770" s="11">
        <f>IF(H770&lt;&gt;"",H770,IFERROR(G770/INDEX(Players!$M$2:$M$124,MATCH(B770,Players!$A$2:$A$124,0)),""))</f>
        <v/>
      </c>
    </row>
    <row r="771">
      <c r="A771" t="inlineStr">
        <is>
          <t>c4m3zncm4mxvzoh|Nuke</t>
        </is>
      </c>
      <c r="B771" t="inlineStr">
        <is>
          <t>c4m3zncm4mxvzoh</t>
        </is>
      </c>
      <c r="C771" t="inlineStr">
        <is>
          <t>zorte</t>
        </is>
      </c>
      <c r="D771" t="inlineStr">
        <is>
          <t>CS2</t>
        </is>
      </c>
      <c r="E771" t="inlineStr">
        <is>
          <t>Nuke</t>
        </is>
      </c>
      <c r="F771" t="n">
        <v>5</v>
      </c>
      <c r="G771" t="n">
        <v>15.4</v>
      </c>
      <c r="H771" t="n">
        <v>0.71</v>
      </c>
      <c r="I771" s="8" t="n">
        <v>0.377</v>
      </c>
      <c r="J771" t="n">
        <v>1.38</v>
      </c>
      <c r="K771" s="11">
        <f>IF(H771&lt;&gt;"",H771,IFERROR(G771/INDEX(Players!$M$2:$M$124,MATCH(B771,Players!$A$2:$A$124,0)),""))</f>
        <v/>
      </c>
    </row>
    <row r="772">
      <c r="A772" t="inlineStr">
        <is>
          <t>c4m3zncm4mxvzoh|Dust2</t>
        </is>
      </c>
      <c r="B772" t="inlineStr">
        <is>
          <t>c4m3zncm4mxvzoh</t>
        </is>
      </c>
      <c r="C772" t="inlineStr">
        <is>
          <t>zorte</t>
        </is>
      </c>
      <c r="D772" t="inlineStr">
        <is>
          <t>CS2</t>
        </is>
      </c>
      <c r="E772" t="inlineStr">
        <is>
          <t>Dust2</t>
        </is>
      </c>
      <c r="F772" t="n">
        <v>4</v>
      </c>
      <c r="G772" t="n">
        <v>15.5</v>
      </c>
      <c r="H772" t="n">
        <v>0.66</v>
      </c>
      <c r="I772" s="8" t="n">
        <v>0.435</v>
      </c>
      <c r="J772" t="n">
        <v>1.03</v>
      </c>
      <c r="K772" s="11">
        <f>IF(H772&lt;&gt;"",H772,IFERROR(G772/INDEX(Players!$M$2:$M$124,MATCH(B772,Players!$A$2:$A$124,0)),""))</f>
        <v/>
      </c>
    </row>
    <row r="773">
      <c r="A773" t="inlineStr">
        <is>
          <t>c4m3zncm4mxvzoh|Cache</t>
        </is>
      </c>
      <c r="B773" t="inlineStr">
        <is>
          <t>c4m3zncm4mxvzoh</t>
        </is>
      </c>
      <c r="C773" t="inlineStr">
        <is>
          <t>zorte</t>
        </is>
      </c>
      <c r="D773" t="inlineStr">
        <is>
          <t>CS2</t>
        </is>
      </c>
      <c r="E773" t="inlineStr">
        <is>
          <t>Cache</t>
        </is>
      </c>
      <c r="F773" t="n">
        <v>4</v>
      </c>
      <c r="G773" t="n">
        <v>16.5</v>
      </c>
      <c r="H773" t="n">
        <v>0.66</v>
      </c>
      <c r="I773" s="8" t="n">
        <v>0.424</v>
      </c>
      <c r="J773" t="n">
        <v>0.99</v>
      </c>
      <c r="K773" s="11">
        <f>IF(H773&lt;&gt;"",H773,IFERROR(G773/INDEX(Players!$M$2:$M$124,MATCH(B773,Players!$A$2:$A$124,0)),""))</f>
        <v/>
      </c>
    </row>
    <row r="774">
      <c r="A774" t="inlineStr">
        <is>
          <t>6vanqemhsqez4mc|Dust2</t>
        </is>
      </c>
      <c r="B774" t="inlineStr">
        <is>
          <t>6vanqemhsqez4mc</t>
        </is>
      </c>
      <c r="C774" t="inlineStr">
        <is>
          <t>ZywOo</t>
        </is>
      </c>
      <c r="D774" t="inlineStr">
        <is>
          <t>CS2</t>
        </is>
      </c>
      <c r="E774" t="inlineStr">
        <is>
          <t>Dust2</t>
        </is>
      </c>
      <c r="F774" t="n">
        <v>9</v>
      </c>
      <c r="G774" t="n">
        <v>18.1</v>
      </c>
      <c r="H774" t="n">
        <v>0.89</v>
      </c>
      <c r="I774" s="8" t="n">
        <v>0.344</v>
      </c>
      <c r="J774" t="n">
        <v>1.83</v>
      </c>
      <c r="K774" s="11">
        <f>IF(H774&lt;&gt;"",H774,IFERROR(G774/INDEX(Players!$M$2:$M$124,MATCH(B774,Players!$A$2:$A$124,0)),""))</f>
        <v/>
      </c>
    </row>
    <row r="775">
      <c r="A775" t="inlineStr">
        <is>
          <t>6vanqemhsqez4mc|Mirage</t>
        </is>
      </c>
      <c r="B775" t="inlineStr">
        <is>
          <t>6vanqemhsqez4mc</t>
        </is>
      </c>
      <c r="C775" t="inlineStr">
        <is>
          <t>ZywOo</t>
        </is>
      </c>
      <c r="D775" t="inlineStr">
        <is>
          <t>CS2</t>
        </is>
      </c>
      <c r="E775" t="inlineStr">
        <is>
          <t>Mirage</t>
        </is>
      </c>
      <c r="F775" t="n">
        <v>8</v>
      </c>
      <c r="G775" t="n">
        <v>17.6</v>
      </c>
      <c r="H775" t="n">
        <v>0.89</v>
      </c>
      <c r="I775" s="8" t="n">
        <v>0.362</v>
      </c>
      <c r="J775" t="n">
        <v>1.64</v>
      </c>
      <c r="K775" s="11">
        <f>IF(H775&lt;&gt;"",H775,IFERROR(G775/INDEX(Players!$M$2:$M$124,MATCH(B775,Players!$A$2:$A$124,0)),""))</f>
        <v/>
      </c>
    </row>
    <row r="776">
      <c r="A776" t="inlineStr">
        <is>
          <t>6vanqemhsqez4mc|Cache</t>
        </is>
      </c>
      <c r="B776" t="inlineStr">
        <is>
          <t>6vanqemhsqez4mc</t>
        </is>
      </c>
      <c r="C776" t="inlineStr">
        <is>
          <t>ZywOo</t>
        </is>
      </c>
      <c r="D776" t="inlineStr">
        <is>
          <t>CS2</t>
        </is>
      </c>
      <c r="E776" t="inlineStr">
        <is>
          <t>Cache</t>
        </is>
      </c>
      <c r="F776" t="n">
        <v>7</v>
      </c>
      <c r="G776" t="n">
        <v>19.7</v>
      </c>
      <c r="H776" t="n">
        <v>0.96</v>
      </c>
      <c r="I776" s="8" t="n">
        <v>0.478</v>
      </c>
      <c r="J776" t="n">
        <v>1.97</v>
      </c>
      <c r="K776" s="11">
        <f>IF(H776&lt;&gt;"",H776,IFERROR(G776/INDEX(Players!$M$2:$M$124,MATCH(B776,Players!$A$2:$A$124,0)),""))</f>
        <v/>
      </c>
    </row>
    <row r="777">
      <c r="A777" t="inlineStr">
        <is>
          <t>6vanqemhsqez4mc|Anubis</t>
        </is>
      </c>
      <c r="B777" t="inlineStr">
        <is>
          <t>6vanqemhsqez4mc</t>
        </is>
      </c>
      <c r="C777" t="inlineStr">
        <is>
          <t>ZywOo</t>
        </is>
      </c>
      <c r="D777" t="inlineStr">
        <is>
          <t>CS2</t>
        </is>
      </c>
      <c r="E777" t="inlineStr">
        <is>
          <t>Anubis</t>
        </is>
      </c>
      <c r="F777" t="n">
        <v>7</v>
      </c>
      <c r="G777" t="n">
        <v>16.3</v>
      </c>
      <c r="H777" t="n">
        <v>0.83</v>
      </c>
      <c r="I777" s="8" t="n">
        <v>0.5</v>
      </c>
      <c r="J777" t="n">
        <v>1.41</v>
      </c>
      <c r="K777" s="11">
        <f>IF(H777&lt;&gt;"",H777,IFERROR(G777/INDEX(Players!$M$2:$M$124,MATCH(B777,Players!$A$2:$A$124,0)),""))</f>
        <v/>
      </c>
    </row>
    <row r="778">
      <c r="A778" t="inlineStr">
        <is>
          <t>6vanqemhsqez4mc|Inferno</t>
        </is>
      </c>
      <c r="B778" t="inlineStr">
        <is>
          <t>6vanqemhsqez4mc</t>
        </is>
      </c>
      <c r="C778" t="inlineStr">
        <is>
          <t>ZywOo</t>
        </is>
      </c>
      <c r="D778" t="inlineStr">
        <is>
          <t>CS2</t>
        </is>
      </c>
      <c r="E778" t="inlineStr">
        <is>
          <t>Inferno</t>
        </is>
      </c>
      <c r="F778" t="n">
        <v>4</v>
      </c>
      <c r="G778" t="n">
        <v>15</v>
      </c>
      <c r="H778" t="n">
        <v>0.72</v>
      </c>
      <c r="I778" s="8" t="n">
        <v>0.5</v>
      </c>
      <c r="J778" t="n">
        <v>1.36</v>
      </c>
      <c r="K778" s="11">
        <f>IF(H778&lt;&gt;"",H778,IFERROR(G778/INDEX(Players!$M$2:$M$124,MATCH(B778,Players!$A$2:$A$124,0)),""))</f>
        <v/>
      </c>
    </row>
    <row r="779">
      <c r="A779" t="inlineStr">
        <is>
          <t>6vanqemhsqez4mc|Nuke</t>
        </is>
      </c>
      <c r="B779" t="inlineStr">
        <is>
          <t>6vanqemhsqez4mc</t>
        </is>
      </c>
      <c r="C779" t="inlineStr">
        <is>
          <t>ZywOo</t>
        </is>
      </c>
      <c r="D779" t="inlineStr">
        <is>
          <t>CS2</t>
        </is>
      </c>
      <c r="E779" t="inlineStr">
        <is>
          <t>Nuke</t>
        </is>
      </c>
      <c r="F779" t="n">
        <v>3</v>
      </c>
      <c r="G779" t="n">
        <v>10.7</v>
      </c>
      <c r="H779" t="n">
        <v>0.55</v>
      </c>
      <c r="I779" s="8" t="n">
        <v>0.4379999999999999</v>
      </c>
      <c r="J779" t="n">
        <v>0.7</v>
      </c>
      <c r="K779" s="11">
        <f>IF(H779&lt;&gt;"",H779,IFERROR(G779/INDEX(Players!$M$2:$M$124,MATCH(B779,Players!$A$2:$A$124,0)),""))</f>
        <v/>
      </c>
    </row>
  </sheetData>
  <autoFilter ref="A1:K7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FUT vs TL</t>
        </is>
      </c>
      <c r="B2" t="inlineStr">
        <is>
          <t>dem0n</t>
        </is>
      </c>
      <c r="C2" t="n">
        <v>15.68</v>
      </c>
      <c r="D2" t="n">
        <v>3</v>
      </c>
      <c r="E2" t="n">
        <v>15.5</v>
      </c>
      <c r="F2" t="n">
        <v>3</v>
      </c>
      <c r="G2" t="n">
        <v>31.18</v>
      </c>
      <c r="H2" t="inlineStr">
        <is>
          <t>w5k5az5ca72wkvb</t>
        </is>
      </c>
    </row>
    <row r="3">
      <c r="A3" t="inlineStr">
        <is>
          <t>CS2 · FUT vs TL</t>
        </is>
      </c>
      <c r="B3" t="inlineStr">
        <is>
          <t>dziugss</t>
        </is>
      </c>
      <c r="C3" t="n">
        <v>13.85</v>
      </c>
      <c r="D3" t="n">
        <v>3</v>
      </c>
      <c r="E3" t="n">
        <v>14.26</v>
      </c>
      <c r="F3" t="n">
        <v>3</v>
      </c>
      <c r="G3" t="n">
        <v>28.11</v>
      </c>
      <c r="H3" t="inlineStr">
        <is>
          <t>jf6rt002svd50mx</t>
        </is>
      </c>
    </row>
    <row r="4">
      <c r="A4" t="inlineStr">
        <is>
          <t>CS2 · FUT vs TL</t>
        </is>
      </c>
      <c r="B4" t="inlineStr">
        <is>
          <t>elige</t>
        </is>
      </c>
      <c r="C4" t="n">
        <v>15.68</v>
      </c>
      <c r="D4" t="n">
        <v>3</v>
      </c>
      <c r="E4" t="n">
        <v>15.71</v>
      </c>
      <c r="F4" t="n">
        <v>3</v>
      </c>
      <c r="G4" t="n">
        <v>31.4</v>
      </c>
      <c r="H4" t="inlineStr">
        <is>
          <t>we8rbjpf65bc2tn</t>
        </is>
      </c>
    </row>
    <row r="5">
      <c r="A5" t="inlineStr">
        <is>
          <t>CS2 · FUT vs TL</t>
        </is>
      </c>
      <c r="B5" t="inlineStr">
        <is>
          <t>jorko</t>
        </is>
      </c>
      <c r="C5" t="n">
        <v>13.68</v>
      </c>
      <c r="D5" t="n">
        <v>3</v>
      </c>
      <c r="E5" t="n">
        <v>14.22</v>
      </c>
      <c r="F5" t="n">
        <v>3</v>
      </c>
      <c r="G5" t="n">
        <v>27.91</v>
      </c>
      <c r="H5" t="inlineStr">
        <is>
          <t>eb7cqiuc8bqx4zr</t>
        </is>
      </c>
    </row>
    <row r="6">
      <c r="A6" t="inlineStr">
        <is>
          <t>CS2 · FUT vs TL</t>
        </is>
      </c>
      <c r="B6" t="inlineStr">
        <is>
          <t>jt</t>
        </is>
      </c>
      <c r="C6" t="n">
        <v>11.85</v>
      </c>
      <c r="D6" t="n">
        <v>3</v>
      </c>
      <c r="E6" t="n">
        <v>11.32</v>
      </c>
      <c r="F6" t="n">
        <v>3</v>
      </c>
      <c r="G6" t="n">
        <v>23.17</v>
      </c>
      <c r="H6" t="inlineStr">
        <is>
          <t>j4y4z5p4stvkatz</t>
        </is>
      </c>
    </row>
    <row r="7">
      <c r="A7" t="inlineStr">
        <is>
          <t>CS2 · FUT vs TL</t>
        </is>
      </c>
      <c r="B7" t="inlineStr">
        <is>
          <t>krabeni</t>
        </is>
      </c>
      <c r="C7" t="n">
        <v>15.5</v>
      </c>
      <c r="D7" t="n">
        <v>3</v>
      </c>
      <c r="E7" t="n">
        <v>15.68</v>
      </c>
      <c r="F7" t="n">
        <v>3</v>
      </c>
      <c r="G7" t="n">
        <v>31.18</v>
      </c>
      <c r="H7" t="inlineStr">
        <is>
          <t>rhz6c2hq5wcant1</t>
        </is>
      </c>
    </row>
    <row r="8">
      <c r="A8" t="inlineStr">
        <is>
          <t>CS2 · FUT vs TL</t>
        </is>
      </c>
      <c r="B8" t="inlineStr">
        <is>
          <t>malbsmd</t>
        </is>
      </c>
      <c r="C8" t="n">
        <v>13.26</v>
      </c>
      <c r="D8" t="n">
        <v>3</v>
      </c>
      <c r="E8" t="n">
        <v>13.5</v>
      </c>
      <c r="F8" t="n">
        <v>3</v>
      </c>
      <c r="G8" t="n">
        <v>26.76</v>
      </c>
      <c r="H8" t="inlineStr">
        <is>
          <t>30ba4vwtbgb75sn</t>
        </is>
      </c>
    </row>
    <row r="9">
      <c r="A9" t="inlineStr">
        <is>
          <t>CS2 · FUT vs TL</t>
        </is>
      </c>
      <c r="B9" t="inlineStr">
        <is>
          <t>naf</t>
        </is>
      </c>
      <c r="C9" t="n">
        <v>13.38</v>
      </c>
      <c r="D9" t="n">
        <v>3</v>
      </c>
      <c r="E9" t="n">
        <v>13.68</v>
      </c>
      <c r="F9" t="n">
        <v>3</v>
      </c>
      <c r="G9" t="n">
        <v>27.06</v>
      </c>
      <c r="H9" t="inlineStr">
        <is>
          <t>as14gj4lvoykr11</t>
        </is>
      </c>
    </row>
    <row r="10">
      <c r="A10" t="inlineStr">
        <is>
          <t>CS2 · FUT vs TL</t>
        </is>
      </c>
      <c r="B10" t="inlineStr">
        <is>
          <t>sunpayus</t>
        </is>
      </c>
      <c r="C10" t="n">
        <v>14.68</v>
      </c>
      <c r="D10" t="n">
        <v>3</v>
      </c>
      <c r="E10" t="n">
        <v>14.5</v>
      </c>
      <c r="F10" t="n">
        <v>3</v>
      </c>
      <c r="G10" t="n">
        <v>29.18</v>
      </c>
      <c r="H10" t="inlineStr">
        <is>
          <t>xwyhvw38gardzpx</t>
        </is>
      </c>
    </row>
    <row r="11">
      <c r="A11" t="inlineStr">
        <is>
          <t>CS2 · FUT vs TL</t>
        </is>
      </c>
      <c r="B11" t="inlineStr">
        <is>
          <t>xfl0ud</t>
        </is>
      </c>
      <c r="C11" t="n">
        <v>14.5</v>
      </c>
      <c r="D11" t="n">
        <v>3</v>
      </c>
      <c r="E11" t="n">
        <v>14.4</v>
      </c>
      <c r="F11" t="n">
        <v>3</v>
      </c>
      <c r="G11" t="n">
        <v>28.9</v>
      </c>
      <c r="H11" t="inlineStr">
        <is>
          <t>lj8zw2mudcbj35u</t>
        </is>
      </c>
    </row>
    <row r="12">
      <c r="A12" t="inlineStr">
        <is>
          <t>CS2 · TS vs TYLOO</t>
        </is>
      </c>
      <c r="B12" t="inlineStr">
        <is>
          <t>donk</t>
        </is>
      </c>
      <c r="C12" t="n">
        <v>19.5</v>
      </c>
      <c r="D12" t="n">
        <v>3</v>
      </c>
      <c r="E12" t="n">
        <v>19.5</v>
      </c>
      <c r="F12" t="n">
        <v>3</v>
      </c>
      <c r="G12" t="n">
        <v>39</v>
      </c>
      <c r="H12" t="inlineStr">
        <is>
          <t>jm8g7f19qs3a8gx</t>
        </is>
      </c>
    </row>
    <row r="13">
      <c r="A13" t="inlineStr">
        <is>
          <t>CS2 · TS vs TYLOO</t>
        </is>
      </c>
      <c r="B13" t="inlineStr">
        <is>
          <t>jamyoung</t>
        </is>
      </c>
      <c r="C13" t="n">
        <v>12.5</v>
      </c>
      <c r="D13" t="n">
        <v>3</v>
      </c>
      <c r="E13" t="n">
        <v>12.32</v>
      </c>
      <c r="F13" t="n">
        <v>3</v>
      </c>
      <c r="G13" t="n">
        <v>24.82</v>
      </c>
      <c r="H13" t="inlineStr">
        <is>
          <t>eolw6ia2z9ydnyh</t>
        </is>
      </c>
    </row>
    <row r="14">
      <c r="A14" t="inlineStr">
        <is>
          <t>CS2 · TS vs TYLOO</t>
        </is>
      </c>
      <c r="B14" t="inlineStr">
        <is>
          <t>jee</t>
        </is>
      </c>
      <c r="C14" t="n">
        <v>12.26</v>
      </c>
      <c r="D14" t="n">
        <v>3</v>
      </c>
      <c r="E14" t="n">
        <v>12.32</v>
      </c>
      <c r="F14" t="n">
        <v>3</v>
      </c>
      <c r="G14" t="n">
        <v>24.58</v>
      </c>
      <c r="H14" t="inlineStr">
        <is>
          <t>p3z2zy4su4m4nh0</t>
        </is>
      </c>
    </row>
    <row r="15">
      <c r="A15" t="inlineStr">
        <is>
          <t>CS2 · TS vs TYLOO</t>
        </is>
      </c>
      <c r="B15" t="inlineStr">
        <is>
          <t>magixx</t>
        </is>
      </c>
      <c r="C15" t="n">
        <v>12.5</v>
      </c>
      <c r="D15" t="n">
        <v>3</v>
      </c>
      <c r="E15" t="n">
        <v>12.5</v>
      </c>
      <c r="F15" t="n">
        <v>3</v>
      </c>
      <c r="G15" t="n">
        <v>25</v>
      </c>
      <c r="H15" t="inlineStr">
        <is>
          <t>lfjx2i4g14pwgag</t>
        </is>
      </c>
    </row>
    <row r="16">
      <c r="A16" t="inlineStr">
        <is>
          <t>CS2 · TS vs TYLOO</t>
        </is>
      </c>
      <c r="B16" t="inlineStr">
        <is>
          <t>mercury</t>
        </is>
      </c>
      <c r="C16" t="n">
        <v>11.15</v>
      </c>
      <c r="D16" t="n">
        <v>3</v>
      </c>
      <c r="E16" t="n">
        <v>10.5</v>
      </c>
      <c r="F16" t="n">
        <v>3</v>
      </c>
      <c r="G16" t="n">
        <v>21.65</v>
      </c>
      <c r="H16" t="inlineStr">
        <is>
          <t>7jjpyjuolf7cdlx</t>
        </is>
      </c>
    </row>
    <row r="17">
      <c r="A17" t="inlineStr">
        <is>
          <t>CS2 · TS vs TYLOO</t>
        </is>
      </c>
      <c r="B17" t="inlineStr">
        <is>
          <t>moseyuh</t>
        </is>
      </c>
      <c r="C17" t="n">
        <v>11.38</v>
      </c>
      <c r="D17" t="n">
        <v>3</v>
      </c>
      <c r="E17" t="n">
        <v>11.68</v>
      </c>
      <c r="F17" t="n">
        <v>3</v>
      </c>
      <c r="G17" t="n">
        <v>23.06</v>
      </c>
      <c r="H17" t="inlineStr">
        <is>
          <t>ypfqlkrrqevp8h4</t>
        </is>
      </c>
    </row>
    <row r="18">
      <c r="A18" t="inlineStr">
        <is>
          <t>CS2 · TS vs TYLOO</t>
        </is>
      </c>
      <c r="B18" t="inlineStr">
        <is>
          <t>sh1ro</t>
        </is>
      </c>
      <c r="C18" t="n">
        <v>15.74</v>
      </c>
      <c r="D18" t="n">
        <v>3</v>
      </c>
      <c r="E18" t="n">
        <v>15.85</v>
      </c>
      <c r="F18" t="n">
        <v>3</v>
      </c>
      <c r="G18" t="n">
        <v>31.59</v>
      </c>
      <c r="H18" t="inlineStr">
        <is>
          <t>4hpvy9eb05vcrre</t>
        </is>
      </c>
    </row>
    <row r="19">
      <c r="A19" t="inlineStr">
        <is>
          <t>CS2 · TS vs TYLOO</t>
        </is>
      </c>
      <c r="B19" t="inlineStr">
        <is>
          <t>tn1r</t>
        </is>
      </c>
      <c r="C19" t="n">
        <v>14.68</v>
      </c>
      <c r="D19" t="n">
        <v>3</v>
      </c>
      <c r="E19" t="n">
        <v>14.5</v>
      </c>
      <c r="F19" t="n">
        <v>3</v>
      </c>
      <c r="G19" t="n">
        <v>29.18</v>
      </c>
      <c r="H19" t="inlineStr">
        <is>
          <t>23ihz3d4vuve2an</t>
        </is>
      </c>
    </row>
    <row r="20">
      <c r="A20" t="inlineStr">
        <is>
          <t>CS2 · TS vs TYLOO</t>
        </is>
      </c>
      <c r="B20" t="inlineStr">
        <is>
          <t>zero</t>
        </is>
      </c>
      <c r="C20" t="n">
        <v>11.92</v>
      </c>
      <c r="D20" t="n">
        <v>3</v>
      </c>
      <c r="E20" t="n">
        <v>11.78</v>
      </c>
      <c r="F20" t="n">
        <v>3</v>
      </c>
      <c r="G20" t="n">
        <v>23.69</v>
      </c>
      <c r="H20" t="inlineStr">
        <is>
          <t>8xh80pn743zwzp0</t>
        </is>
      </c>
    </row>
    <row r="21">
      <c r="A21" t="inlineStr">
        <is>
          <t>CS2 · TS vs TYLOO</t>
        </is>
      </c>
      <c r="B21" t="inlineStr">
        <is>
          <t>zont1x</t>
        </is>
      </c>
      <c r="C21" t="n">
        <v>13.11</v>
      </c>
      <c r="D21" t="n">
        <v>3</v>
      </c>
      <c r="E21" t="n">
        <v>12.89</v>
      </c>
      <c r="F21" t="n">
        <v>3</v>
      </c>
      <c r="G21" t="n">
        <v>26</v>
      </c>
      <c r="H21" t="inlineStr">
        <is>
          <t>4wgqqpezywhvfib</t>
        </is>
      </c>
    </row>
    <row r="22">
      <c r="A22" t="inlineStr">
        <is>
          <t>CS2 · BB vs NEMI</t>
        </is>
      </c>
      <c r="B22" t="inlineStr">
        <is>
          <t>boombl4</t>
        </is>
      </c>
      <c r="C22" t="n">
        <v>12.68</v>
      </c>
      <c r="D22" t="n">
        <v>3</v>
      </c>
      <c r="E22" t="n">
        <v>12.5</v>
      </c>
      <c r="F22" t="n">
        <v>3</v>
      </c>
      <c r="G22" t="n">
        <v>25.18</v>
      </c>
      <c r="H22" t="inlineStr">
        <is>
          <t>75r40osa6cjt3o0</t>
        </is>
      </c>
    </row>
    <row r="23">
      <c r="A23" t="inlineStr">
        <is>
          <t>CS2 · BB vs NEMI</t>
        </is>
      </c>
      <c r="B23" t="inlineStr">
        <is>
          <t>d1ledez</t>
        </is>
      </c>
      <c r="C23" t="n">
        <v>14.68</v>
      </c>
      <c r="D23" t="n">
        <v>3</v>
      </c>
      <c r="E23" t="n">
        <v>14.5</v>
      </c>
      <c r="F23" t="n">
        <v>3</v>
      </c>
      <c r="G23" t="n">
        <v>29.18</v>
      </c>
      <c r="H23" t="inlineStr">
        <is>
          <t>kgpnwz42wxtq29r</t>
        </is>
      </c>
    </row>
    <row r="24">
      <c r="A24" t="inlineStr">
        <is>
          <t>CS2 · BB vs NEMI</t>
        </is>
      </c>
      <c r="B24" t="inlineStr">
        <is>
          <t>kair0n-</t>
        </is>
      </c>
      <c r="C24" t="n">
        <v>14.78</v>
      </c>
      <c r="D24" t="n">
        <v>3</v>
      </c>
      <c r="E24" t="n">
        <v>15</v>
      </c>
      <c r="F24" t="n">
        <v>3</v>
      </c>
      <c r="G24" t="n">
        <v>29.78</v>
      </c>
    </row>
    <row r="25">
      <c r="A25" t="inlineStr">
        <is>
          <t>CS2 · BB vs NEMI</t>
        </is>
      </c>
      <c r="B25" t="inlineStr">
        <is>
          <t>khan</t>
        </is>
      </c>
      <c r="C25" t="n">
        <v>14.32</v>
      </c>
      <c r="D25" t="n">
        <v>3</v>
      </c>
      <c r="E25" t="n">
        <v>14.08</v>
      </c>
      <c r="F25" t="n">
        <v>3</v>
      </c>
      <c r="G25" t="n">
        <v>28.4</v>
      </c>
      <c r="H25" t="inlineStr">
        <is>
          <t>sj7nkpqagh6m88h</t>
        </is>
      </c>
    </row>
    <row r="26">
      <c r="A26" t="inlineStr">
        <is>
          <t>CS2 · BB vs NEMI</t>
        </is>
      </c>
      <c r="B26" t="inlineStr">
        <is>
          <t>magnojez</t>
        </is>
      </c>
      <c r="C26" t="n">
        <v>16.5</v>
      </c>
      <c r="D26" t="n">
        <v>3</v>
      </c>
      <c r="E26" t="n">
        <v>16.5</v>
      </c>
      <c r="F26" t="n">
        <v>3</v>
      </c>
      <c r="G26" t="n">
        <v>33</v>
      </c>
      <c r="H26" t="inlineStr">
        <is>
          <t>w2jejpg0j9hthoo</t>
        </is>
      </c>
    </row>
    <row r="27">
      <c r="A27" t="inlineStr">
        <is>
          <t>CS2 · BB vs NEMI</t>
        </is>
      </c>
      <c r="B27" t="inlineStr">
        <is>
          <t>robo</t>
        </is>
      </c>
      <c r="C27" t="n">
        <v>13.26</v>
      </c>
      <c r="D27" t="n">
        <v>3</v>
      </c>
      <c r="E27" t="n">
        <v>12.85</v>
      </c>
      <c r="F27" t="n">
        <v>3</v>
      </c>
      <c r="G27" t="n">
        <v>26.11</v>
      </c>
      <c r="H27" t="inlineStr">
        <is>
          <t>ewe4j1nrqwzs0q7</t>
        </is>
      </c>
    </row>
    <row r="28">
      <c r="A28" t="inlineStr">
        <is>
          <t>CS2 · BB vs NEMI</t>
        </is>
      </c>
      <c r="B28" t="inlineStr">
        <is>
          <t>s1ren</t>
        </is>
      </c>
      <c r="C28" t="n">
        <v>14.15</v>
      </c>
      <c r="D28" t="n">
        <v>3</v>
      </c>
      <c r="E28" t="n">
        <v>13.85</v>
      </c>
      <c r="F28" t="n">
        <v>3</v>
      </c>
      <c r="G28" t="n">
        <v>28</v>
      </c>
      <c r="H28" t="inlineStr">
        <is>
          <t>bn3mlvy0cst11z3</t>
        </is>
      </c>
    </row>
    <row r="29">
      <c r="A29" t="inlineStr">
        <is>
          <t>CS2 · BB vs NEMI</t>
        </is>
      </c>
      <c r="B29" t="inlineStr">
        <is>
          <t>syph0</t>
        </is>
      </c>
      <c r="C29" t="n">
        <v>14.15</v>
      </c>
      <c r="D29" t="n">
        <v>3</v>
      </c>
      <c r="E29" t="n">
        <v>14</v>
      </c>
      <c r="F29" t="n">
        <v>3</v>
      </c>
      <c r="G29" t="n">
        <v>28.15</v>
      </c>
      <c r="H29" t="inlineStr">
        <is>
          <t>f00llyg1ocypenv</t>
        </is>
      </c>
    </row>
    <row r="30">
      <c r="A30" t="inlineStr">
        <is>
          <t>CS2 · BB vs NEMI</t>
        </is>
      </c>
      <c r="B30" t="inlineStr">
        <is>
          <t>xant3r</t>
        </is>
      </c>
      <c r="C30" t="n">
        <v>13.85</v>
      </c>
      <c r="D30" t="n">
        <v>3</v>
      </c>
      <c r="E30" t="n">
        <v>13.68</v>
      </c>
      <c r="F30" t="n">
        <v>3</v>
      </c>
      <c r="G30" t="n">
        <v>27.54</v>
      </c>
      <c r="H30" t="inlineStr">
        <is>
          <t>jc1nf38p0b44dfy</t>
        </is>
      </c>
    </row>
    <row r="31">
      <c r="A31" t="inlineStr">
        <is>
          <t>CS2 · BB vs NEMI</t>
        </is>
      </c>
      <c r="B31" t="inlineStr">
        <is>
          <t>zorte</t>
        </is>
      </c>
      <c r="C31" t="n">
        <v>14.74</v>
      </c>
      <c r="D31" t="n">
        <v>3</v>
      </c>
      <c r="E31" t="n">
        <v>14.5</v>
      </c>
      <c r="F31" t="n">
        <v>3</v>
      </c>
      <c r="G31" t="n">
        <v>29.24</v>
      </c>
      <c r="H31" t="inlineStr">
        <is>
          <t>c4m3zncm4mxvzoh</t>
        </is>
      </c>
    </row>
    <row r="32">
      <c r="A32" t="inlineStr">
        <is>
          <t>CS2 · VIT vs MGLZ</t>
        </is>
      </c>
      <c r="B32" t="inlineStr">
        <is>
          <t>910</t>
        </is>
      </c>
      <c r="C32" t="n">
        <v>15.08</v>
      </c>
      <c r="D32" t="n">
        <v>3</v>
      </c>
      <c r="E32" t="n">
        <v>14.68</v>
      </c>
      <c r="F32" t="n">
        <v>3</v>
      </c>
      <c r="G32" t="n">
        <v>29.77</v>
      </c>
      <c r="H32" t="inlineStr">
        <is>
          <t>5ttqna5u230tb49</t>
        </is>
      </c>
    </row>
    <row r="33">
      <c r="A33" t="inlineStr">
        <is>
          <t>CS2 · VIT vs MGLZ</t>
        </is>
      </c>
      <c r="B33" t="inlineStr">
        <is>
          <t>blitz</t>
        </is>
      </c>
      <c r="C33" t="n">
        <v>12.68</v>
      </c>
      <c r="D33" t="n">
        <v>3</v>
      </c>
      <c r="E33" t="n">
        <v>12.78</v>
      </c>
      <c r="F33" t="n">
        <v>3</v>
      </c>
      <c r="G33" t="n">
        <v>25.46</v>
      </c>
      <c r="H33" t="inlineStr">
        <is>
          <t>56bqvguml6vhetk</t>
        </is>
      </c>
    </row>
    <row r="34">
      <c r="A34" t="inlineStr">
        <is>
          <t>CS2 · VIT vs MGLZ</t>
        </is>
      </c>
      <c r="B34" t="inlineStr">
        <is>
          <t>cobrazera</t>
        </is>
      </c>
      <c r="C34" t="n">
        <v>12.92</v>
      </c>
      <c r="D34" t="n">
        <v>3</v>
      </c>
      <c r="E34" t="n">
        <v>12.68</v>
      </c>
      <c r="F34" t="n">
        <v>3</v>
      </c>
      <c r="G34" t="n">
        <v>25.6</v>
      </c>
      <c r="H34" t="inlineStr">
        <is>
          <t>01464eymprqfx0w</t>
        </is>
      </c>
    </row>
    <row r="35">
      <c r="A35" t="inlineStr">
        <is>
          <t>CS2 · VIT vs MGLZ</t>
        </is>
      </c>
      <c r="B35" t="inlineStr">
        <is>
          <t>flamez</t>
        </is>
      </c>
      <c r="C35" t="n">
        <v>15.5</v>
      </c>
      <c r="D35" t="n">
        <v>3</v>
      </c>
      <c r="E35" t="n">
        <v>15.32</v>
      </c>
      <c r="F35" t="n">
        <v>3</v>
      </c>
      <c r="G35" t="n">
        <v>30.82</v>
      </c>
      <c r="H35" t="inlineStr">
        <is>
          <t>uiy2ot3l9f0c2i9</t>
        </is>
      </c>
    </row>
    <row r="36">
      <c r="A36" t="inlineStr">
        <is>
          <t>CS2 · VIT vs MGLZ</t>
        </is>
      </c>
      <c r="B36" t="inlineStr">
        <is>
          <t>jl</t>
        </is>
      </c>
      <c r="C36" t="n">
        <v>14.6</v>
      </c>
      <c r="D36" t="n">
        <v>3</v>
      </c>
      <c r="E36" t="n">
        <v>14.4</v>
      </c>
      <c r="F36" t="n">
        <v>3</v>
      </c>
      <c r="G36" t="n">
        <v>29</v>
      </c>
      <c r="H36" t="inlineStr">
        <is>
          <t>frzabcozzj3obrl</t>
        </is>
      </c>
    </row>
    <row r="37">
      <c r="A37" t="inlineStr">
        <is>
          <t>CS2 · VIT vs MGLZ</t>
        </is>
      </c>
      <c r="B37" t="inlineStr">
        <is>
          <t>mezii</t>
        </is>
      </c>
      <c r="C37" t="n">
        <v>13.32</v>
      </c>
      <c r="D37" t="n">
        <v>3</v>
      </c>
      <c r="E37" t="n">
        <v>12.89</v>
      </c>
      <c r="F37" t="n">
        <v>3</v>
      </c>
      <c r="G37" t="n">
        <v>26.2</v>
      </c>
      <c r="H37" t="inlineStr">
        <is>
          <t>w4swyv4mqy1ob42</t>
        </is>
      </c>
    </row>
    <row r="38">
      <c r="A38" t="inlineStr">
        <is>
          <t>CS2 · VIT vs MGLZ</t>
        </is>
      </c>
      <c r="B38" t="inlineStr">
        <is>
          <t>nin9</t>
        </is>
      </c>
      <c r="C38" t="n">
        <v>12.32</v>
      </c>
      <c r="D38" t="n">
        <v>3</v>
      </c>
      <c r="E38" t="n">
        <v>12.22</v>
      </c>
      <c r="F38" t="n">
        <v>3</v>
      </c>
      <c r="G38" t="n">
        <v>24.54</v>
      </c>
      <c r="H38" t="inlineStr">
        <is>
          <t>dobeml44vsvpy4d</t>
        </is>
      </c>
    </row>
    <row r="39">
      <c r="A39" t="inlineStr">
        <is>
          <t>CS2 · VIT vs MGLZ</t>
        </is>
      </c>
      <c r="B39" t="inlineStr">
        <is>
          <t>ropz</t>
        </is>
      </c>
      <c r="C39" t="n">
        <v>15.4</v>
      </c>
      <c r="D39" t="n">
        <v>3</v>
      </c>
      <c r="E39" t="n">
        <v>15.68</v>
      </c>
      <c r="F39" t="n">
        <v>3</v>
      </c>
      <c r="G39" t="n">
        <v>31.08</v>
      </c>
      <c r="H39" t="inlineStr">
        <is>
          <t>jbs33yc6r5ra8l4</t>
        </is>
      </c>
    </row>
    <row r="40">
      <c r="A40" t="inlineStr">
        <is>
          <t>CS2 · VIT vs MGLZ</t>
        </is>
      </c>
      <c r="B40" t="inlineStr">
        <is>
          <t>techno</t>
        </is>
      </c>
      <c r="C40" t="n">
        <v>11.5</v>
      </c>
      <c r="D40" t="n">
        <v>3</v>
      </c>
      <c r="E40" t="n">
        <v>11.5</v>
      </c>
      <c r="F40" t="n">
        <v>3</v>
      </c>
      <c r="G40" t="n">
        <v>23</v>
      </c>
      <c r="H40" t="inlineStr">
        <is>
          <t>f34szm5kcyom32u</t>
        </is>
      </c>
    </row>
    <row r="41">
      <c r="A41" t="inlineStr">
        <is>
          <t>CS2 · VIT vs MGLZ</t>
        </is>
      </c>
      <c r="B41" t="inlineStr">
        <is>
          <t>zywoo</t>
        </is>
      </c>
      <c r="C41" t="n">
        <v>18.5</v>
      </c>
      <c r="D41" t="n">
        <v>3</v>
      </c>
      <c r="E41" t="n">
        <v>18.5</v>
      </c>
      <c r="F41" t="n">
        <v>3</v>
      </c>
      <c r="G41" t="n">
        <v>37</v>
      </c>
      <c r="H41" t="inlineStr">
        <is>
          <t>6vanqemhsqez4mc</t>
        </is>
      </c>
    </row>
    <row r="42">
      <c r="A42" t="inlineStr">
        <is>
          <t>CS2 · MOUZ vs 9z</t>
        </is>
      </c>
      <c r="B42" t="inlineStr">
        <is>
          <t>dgt</t>
        </is>
      </c>
      <c r="C42" t="n">
        <v>13.92</v>
      </c>
      <c r="D42" t="n">
        <v>3</v>
      </c>
      <c r="E42" t="n">
        <v>13.78</v>
      </c>
      <c r="F42" t="n">
        <v>3</v>
      </c>
      <c r="G42" t="n">
        <v>27.69</v>
      </c>
      <c r="H42" t="inlineStr">
        <is>
          <t>id2uf5ot80ms5oo</t>
        </is>
      </c>
    </row>
    <row r="43">
      <c r="A43" t="inlineStr">
        <is>
          <t>CS2 · MOUZ vs 9z</t>
        </is>
      </c>
      <c r="B43" t="inlineStr">
        <is>
          <t>huasopeek</t>
        </is>
      </c>
      <c r="C43" t="n">
        <v>14.22</v>
      </c>
      <c r="D43" t="n">
        <v>3</v>
      </c>
      <c r="E43" t="n">
        <v>13.92</v>
      </c>
      <c r="F43" t="n">
        <v>3</v>
      </c>
      <c r="G43" t="n">
        <v>28.14</v>
      </c>
      <c r="H43" t="inlineStr">
        <is>
          <t>fg52qcdy7yej5d9</t>
        </is>
      </c>
    </row>
    <row r="44">
      <c r="A44" t="inlineStr">
        <is>
          <t>CS2 · MOUZ vs 9z</t>
        </is>
      </c>
      <c r="B44" t="inlineStr">
        <is>
          <t>luchov</t>
        </is>
      </c>
      <c r="C44" t="n">
        <v>13.92</v>
      </c>
      <c r="D44" t="n">
        <v>3</v>
      </c>
      <c r="E44" t="n">
        <v>13.68</v>
      </c>
      <c r="F44" t="n">
        <v>3</v>
      </c>
      <c r="G44" t="n">
        <v>27.6</v>
      </c>
      <c r="H44" t="inlineStr">
        <is>
          <t>uf3pcvx03g3k6xm</t>
        </is>
      </c>
    </row>
    <row r="45">
      <c r="A45" t="inlineStr">
        <is>
          <t>CS2 · MOUZ vs 9z</t>
        </is>
      </c>
      <c r="B45" t="inlineStr">
        <is>
          <t>max</t>
        </is>
      </c>
      <c r="C45" t="n">
        <v>10.6</v>
      </c>
      <c r="D45" t="n">
        <v>3</v>
      </c>
      <c r="E45" t="n">
        <v>10.19</v>
      </c>
      <c r="F45" t="n">
        <v>3</v>
      </c>
      <c r="G45" t="n">
        <v>20.79</v>
      </c>
      <c r="H45" t="inlineStr">
        <is>
          <t>2l8hxj94mm620bg</t>
        </is>
      </c>
    </row>
    <row r="46">
      <c r="A46" t="inlineStr">
        <is>
          <t>CS2 · MOUZ vs 9z</t>
        </is>
      </c>
      <c r="B46" t="inlineStr">
        <is>
          <t>meyern</t>
        </is>
      </c>
      <c r="C46" t="n">
        <v>12.85</v>
      </c>
      <c r="D46" t="n">
        <v>3</v>
      </c>
      <c r="E46" t="n">
        <v>12.68</v>
      </c>
      <c r="F46" t="n">
        <v>3</v>
      </c>
      <c r="G46" t="n">
        <v>25.54</v>
      </c>
      <c r="H46" t="inlineStr">
        <is>
          <t>pumzitjp9bsniic</t>
        </is>
      </c>
    </row>
    <row r="47">
      <c r="A47" t="inlineStr">
        <is>
          <t>CS2 · MOUZ vs 9z</t>
        </is>
      </c>
      <c r="B47" t="inlineStr">
        <is>
          <t>pr</t>
        </is>
      </c>
      <c r="C47" t="n">
        <v>14.26</v>
      </c>
      <c r="D47" t="n">
        <v>3</v>
      </c>
      <c r="E47" t="n">
        <v>14.26</v>
      </c>
      <c r="F47" t="n">
        <v>3</v>
      </c>
      <c r="G47" t="n">
        <v>28.52</v>
      </c>
      <c r="H47" t="inlineStr">
        <is>
          <t>pddkiy5mogisq4i</t>
        </is>
      </c>
    </row>
    <row r="48">
      <c r="A48" t="inlineStr">
        <is>
          <t>CS2 · MOUZ vs 9z</t>
        </is>
      </c>
      <c r="B48" t="inlineStr">
        <is>
          <t>spinx</t>
        </is>
      </c>
      <c r="C48" t="n">
        <v>15.38</v>
      </c>
      <c r="D48" t="n">
        <v>3</v>
      </c>
      <c r="E48" t="n">
        <v>15.26</v>
      </c>
      <c r="F48" t="n">
        <v>3</v>
      </c>
      <c r="G48" t="n">
        <v>30.64</v>
      </c>
      <c r="H48" t="inlineStr">
        <is>
          <t>qlzigrqycoim5ix</t>
        </is>
      </c>
    </row>
    <row r="49">
      <c r="A49" t="inlineStr">
        <is>
          <t>CS2 · MOUZ vs 9z</t>
        </is>
      </c>
      <c r="B49" t="inlineStr">
        <is>
          <t>torzsi</t>
        </is>
      </c>
      <c r="C49" t="n">
        <v>15.26</v>
      </c>
      <c r="D49" t="n">
        <v>3</v>
      </c>
      <c r="E49" t="n">
        <v>14.74</v>
      </c>
      <c r="F49" t="n">
        <v>3</v>
      </c>
      <c r="G49" t="n">
        <v>30</v>
      </c>
      <c r="H49" t="inlineStr">
        <is>
          <t>jk73jbuxys7dhxb</t>
        </is>
      </c>
    </row>
    <row r="50">
      <c r="A50" t="inlineStr">
        <is>
          <t>CS2 · MOUZ vs 9z</t>
        </is>
      </c>
      <c r="B50" t="inlineStr">
        <is>
          <t>xelex</t>
        </is>
      </c>
      <c r="C50" t="n">
        <v>14.5</v>
      </c>
      <c r="D50" t="n">
        <v>3</v>
      </c>
      <c r="E50" t="n">
        <v>14.6</v>
      </c>
      <c r="F50" t="n">
        <v>3</v>
      </c>
      <c r="G50" t="n">
        <v>29.1</v>
      </c>
      <c r="H50" t="inlineStr">
        <is>
          <t>zs2lsmobreb35xn</t>
        </is>
      </c>
    </row>
    <row r="51">
      <c r="A51" t="inlineStr">
        <is>
          <t>CS2 · MOUZ vs 9z</t>
        </is>
      </c>
      <c r="B51" t="inlineStr">
        <is>
          <t>xertion</t>
        </is>
      </c>
      <c r="C51" t="n">
        <v>15.15</v>
      </c>
      <c r="D51" t="n">
        <v>3</v>
      </c>
      <c r="E51" t="n">
        <v>14.85</v>
      </c>
      <c r="F51" t="n">
        <v>3</v>
      </c>
      <c r="G51" t="n">
        <v>30</v>
      </c>
      <c r="H51" t="inlineStr">
        <is>
          <t>ih00nznuepxs9r3</t>
        </is>
      </c>
    </row>
    <row r="52">
      <c r="A52" t="inlineStr">
        <is>
          <t>CS2 · AUR vs G2</t>
        </is>
      </c>
      <c r="B52" t="inlineStr">
        <is>
          <t>heavygod</t>
        </is>
      </c>
      <c r="C52" t="n">
        <v>14.5</v>
      </c>
      <c r="D52" t="n">
        <v>3</v>
      </c>
      <c r="E52" t="n">
        <v>14.26</v>
      </c>
      <c r="F52" t="n">
        <v>3</v>
      </c>
      <c r="G52" t="n">
        <v>28.76</v>
      </c>
      <c r="H52" t="inlineStr">
        <is>
          <t>tyf3s6dikrrtlem</t>
        </is>
      </c>
    </row>
    <row r="53">
      <c r="A53" t="inlineStr">
        <is>
          <t>CS2 · AUR vs G2</t>
        </is>
      </c>
      <c r="B53" t="inlineStr">
        <is>
          <t>hunter-</t>
        </is>
      </c>
      <c r="C53" t="n">
        <v>13.26</v>
      </c>
      <c r="D53" t="n">
        <v>3</v>
      </c>
      <c r="E53" t="n">
        <v>13.4</v>
      </c>
      <c r="F53" t="n">
        <v>3</v>
      </c>
      <c r="G53" t="n">
        <v>26.66</v>
      </c>
      <c r="H53" t="inlineStr">
        <is>
          <t>ikw7yck0lcpdqwz</t>
        </is>
      </c>
    </row>
    <row r="54">
      <c r="A54" t="inlineStr">
        <is>
          <t>CS2 · AUR vs G2</t>
        </is>
      </c>
      <c r="B54" t="inlineStr">
        <is>
          <t>jimpphat</t>
        </is>
      </c>
      <c r="C54" t="n">
        <v>15.26</v>
      </c>
      <c r="D54" t="n">
        <v>3</v>
      </c>
      <c r="E54" t="n">
        <v>14.92</v>
      </c>
      <c r="F54" t="n">
        <v>3</v>
      </c>
      <c r="G54" t="n">
        <v>30.18</v>
      </c>
      <c r="H54" t="inlineStr">
        <is>
          <t>66ajrvmetqiufsf</t>
        </is>
      </c>
    </row>
    <row r="55">
      <c r="A55" t="inlineStr">
        <is>
          <t>CS2 · AUR vs G2</t>
        </is>
      </c>
      <c r="B55" t="inlineStr">
        <is>
          <t>kyxsan</t>
        </is>
      </c>
      <c r="C55" t="n">
        <v>11.81</v>
      </c>
      <c r="D55" t="n">
        <v>3</v>
      </c>
      <c r="E55" t="n">
        <v>11.5</v>
      </c>
      <c r="F55" t="n">
        <v>3</v>
      </c>
      <c r="G55" t="n">
        <v>23.31</v>
      </c>
      <c r="H55" t="inlineStr">
        <is>
          <t>gzghvr1quamb0xn</t>
        </is>
      </c>
    </row>
    <row r="56">
      <c r="A56" t="inlineStr">
        <is>
          <t>CS2 · AUR vs G2</t>
        </is>
      </c>
      <c r="B56" t="inlineStr">
        <is>
          <t>matys</t>
        </is>
      </c>
      <c r="C56" t="n">
        <v>13.26</v>
      </c>
      <c r="D56" t="n">
        <v>3</v>
      </c>
      <c r="E56" t="n">
        <v>13.5</v>
      </c>
      <c r="F56" t="n">
        <v>3</v>
      </c>
      <c r="G56" t="n">
        <v>26.76</v>
      </c>
      <c r="H56" t="inlineStr">
        <is>
          <t>5l639x0qis2rfwi</t>
        </is>
      </c>
    </row>
    <row r="57">
      <c r="A57" t="inlineStr">
        <is>
          <t>CS2 · AUR vs G2</t>
        </is>
      </c>
      <c r="B57" t="inlineStr">
        <is>
          <t>nertz</t>
        </is>
      </c>
      <c r="C57" t="n">
        <v>15.32</v>
      </c>
      <c r="D57" t="n">
        <v>3</v>
      </c>
      <c r="E57" t="n">
        <v>15.08</v>
      </c>
      <c r="F57" t="n">
        <v>3</v>
      </c>
      <c r="G57" t="n">
        <v>30.4</v>
      </c>
      <c r="H57" t="inlineStr">
        <is>
          <t>ysvz6uswynmfc98</t>
        </is>
      </c>
    </row>
    <row r="58">
      <c r="A58" t="inlineStr">
        <is>
          <t>CS2 · AUR vs G2</t>
        </is>
      </c>
      <c r="B58" t="inlineStr">
        <is>
          <t>r1nkle</t>
        </is>
      </c>
      <c r="C58" t="n">
        <v>13.5</v>
      </c>
      <c r="D58" t="n">
        <v>3</v>
      </c>
      <c r="E58" t="n">
        <v>13.4</v>
      </c>
      <c r="F58" t="n">
        <v>3</v>
      </c>
      <c r="G58" t="n">
        <v>26.9</v>
      </c>
      <c r="H58" t="inlineStr">
        <is>
          <t>3v2vw55rjp5df2r</t>
        </is>
      </c>
    </row>
    <row r="59">
      <c r="A59" t="inlineStr">
        <is>
          <t>CS2 · AUR vs G2</t>
        </is>
      </c>
      <c r="B59" t="inlineStr">
        <is>
          <t>wicadia</t>
        </is>
      </c>
      <c r="C59" t="n">
        <v>15.92</v>
      </c>
      <c r="D59" t="n">
        <v>3</v>
      </c>
      <c r="E59" t="n">
        <v>16.22</v>
      </c>
      <c r="F59" t="n">
        <v>3</v>
      </c>
      <c r="G59" t="n">
        <v>32.14</v>
      </c>
      <c r="H59" t="inlineStr">
        <is>
          <t>9clq2dpvqugkf0i</t>
        </is>
      </c>
    </row>
    <row r="60">
      <c r="A60" t="inlineStr">
        <is>
          <t>CS2 · AUR vs G2</t>
        </is>
      </c>
      <c r="B60" t="inlineStr">
        <is>
          <t>woxic</t>
        </is>
      </c>
      <c r="C60" t="n">
        <v>15</v>
      </c>
      <c r="D60" t="n">
        <v>3</v>
      </c>
      <c r="E60" t="n">
        <v>14.74</v>
      </c>
      <c r="F60" t="n">
        <v>3</v>
      </c>
      <c r="G60" t="n">
        <v>29.74</v>
      </c>
      <c r="H60" t="inlineStr">
        <is>
          <t>lpkyyhtoofj8ova</t>
        </is>
      </c>
    </row>
    <row r="61">
      <c r="A61" t="inlineStr">
        <is>
          <t>CS2 · AUR vs G2</t>
        </is>
      </c>
      <c r="B61" t="inlineStr">
        <is>
          <t>xantares</t>
        </is>
      </c>
      <c r="C61" t="n">
        <v>14.68</v>
      </c>
      <c r="D61" t="n">
        <v>3</v>
      </c>
      <c r="E61" t="n">
        <v>15</v>
      </c>
      <c r="F61" t="n">
        <v>3</v>
      </c>
      <c r="G61" t="n">
        <v>29.68</v>
      </c>
      <c r="H61" t="inlineStr">
        <is>
          <t>zauqna21klkp1rt</t>
        </is>
      </c>
    </row>
    <row r="62">
      <c r="A62" t="inlineStr">
        <is>
          <t>CS2 · LGC vs DEN</t>
        </is>
      </c>
      <c r="B62" t="inlineStr">
        <is>
          <t>art</t>
        </is>
      </c>
      <c r="C62" t="n">
        <v>12.19</v>
      </c>
      <c r="D62" t="n">
        <v>3</v>
      </c>
      <c r="E62" t="n">
        <v>12.41</v>
      </c>
      <c r="F62" t="n">
        <v>3</v>
      </c>
      <c r="G62" t="n">
        <v>24.6</v>
      </c>
      <c r="H62" t="inlineStr">
        <is>
          <t>6ihem6avn05n11t</t>
        </is>
      </c>
    </row>
    <row r="63">
      <c r="A63" t="inlineStr">
        <is>
          <t>CS2 · LGC vs DEN</t>
        </is>
      </c>
      <c r="B63" t="inlineStr">
        <is>
          <t>doc</t>
        </is>
      </c>
      <c r="C63" t="n">
        <v>14.5</v>
      </c>
      <c r="D63" t="n">
        <v>3</v>
      </c>
      <c r="E63" t="n">
        <v>14.32</v>
      </c>
      <c r="F63" t="n">
        <v>3</v>
      </c>
      <c r="G63" t="n">
        <v>28.82</v>
      </c>
      <c r="H63" t="inlineStr">
        <is>
          <t>oilrc57yb4vi4v4</t>
        </is>
      </c>
    </row>
    <row r="64">
      <c r="A64" t="inlineStr">
        <is>
          <t>CS2 · LGC vs DEN</t>
        </is>
      </c>
      <c r="B64" t="inlineStr">
        <is>
          <t>dumau</t>
        </is>
      </c>
      <c r="C64" t="n">
        <v>15.74</v>
      </c>
      <c r="D64" t="n">
        <v>3</v>
      </c>
      <c r="E64" t="n">
        <v>15.5</v>
      </c>
      <c r="F64" t="n">
        <v>3</v>
      </c>
      <c r="G64" t="n">
        <v>31.24</v>
      </c>
      <c r="H64" t="inlineStr">
        <is>
          <t>fegzpn598j6etni</t>
        </is>
      </c>
    </row>
    <row r="65">
      <c r="A65" t="inlineStr">
        <is>
          <t>CS2 · LGC vs DEN</t>
        </is>
      </c>
      <c r="B65" t="inlineStr">
        <is>
          <t>gafolo</t>
        </is>
      </c>
      <c r="C65" t="n">
        <v>11.5</v>
      </c>
      <c r="D65" t="n">
        <v>3</v>
      </c>
      <c r="E65" t="n">
        <v>11.32</v>
      </c>
      <c r="F65" t="n">
        <v>3</v>
      </c>
      <c r="G65" t="n">
        <v>22.82</v>
      </c>
      <c r="H65" t="inlineStr">
        <is>
          <t>xq939tnpy5hluwa</t>
        </is>
      </c>
    </row>
    <row r="66">
      <c r="A66" t="inlineStr">
        <is>
          <t>CS2 · LGC vs DEN</t>
        </is>
      </c>
      <c r="B66" t="inlineStr">
        <is>
          <t>koala</t>
        </is>
      </c>
      <c r="C66" t="n">
        <v>13.68</v>
      </c>
      <c r="D66" t="n">
        <v>3</v>
      </c>
      <c r="E66" t="n">
        <v>13.92</v>
      </c>
      <c r="F66" t="n">
        <v>3</v>
      </c>
      <c r="G66" t="n">
        <v>27.6</v>
      </c>
      <c r="H66" t="inlineStr">
        <is>
          <t>at2vo8jmt9hrk3m</t>
        </is>
      </c>
    </row>
    <row r="67">
      <c r="A67" t="inlineStr">
        <is>
          <t>CS2 · LGC vs DEN</t>
        </is>
      </c>
      <c r="B67" t="inlineStr">
        <is>
          <t>latto</t>
        </is>
      </c>
      <c r="C67" t="n">
        <v>16.08</v>
      </c>
      <c r="D67" t="n">
        <v>3</v>
      </c>
      <c r="E67" t="n">
        <v>15.74</v>
      </c>
      <c r="F67" t="n">
        <v>3</v>
      </c>
      <c r="G67" t="n">
        <v>31.82</v>
      </c>
      <c r="H67" t="inlineStr">
        <is>
          <t>1wpbb1hb0wgcwoh</t>
        </is>
      </c>
    </row>
    <row r="68">
      <c r="A68" t="inlineStr">
        <is>
          <t>CS2 · LGC vs DEN</t>
        </is>
      </c>
      <c r="B68" t="inlineStr">
        <is>
          <t>maxxkor</t>
        </is>
      </c>
      <c r="C68" t="n">
        <v>12.5</v>
      </c>
      <c r="D68" t="n">
        <v>3</v>
      </c>
      <c r="E68" t="n">
        <v>12.5</v>
      </c>
      <c r="F68" t="n">
        <v>3</v>
      </c>
      <c r="G68" t="n">
        <v>25</v>
      </c>
      <c r="H68" t="inlineStr">
        <is>
          <t>sir58v1hxyyne29</t>
        </is>
      </c>
    </row>
    <row r="69">
      <c r="A69" t="inlineStr">
        <is>
          <t>CS2 · LGC vs DEN</t>
        </is>
      </c>
      <c r="B69" t="inlineStr">
        <is>
          <t>n1ssim</t>
        </is>
      </c>
      <c r="C69" t="n">
        <v>13.85</v>
      </c>
      <c r="D69" t="n">
        <v>3</v>
      </c>
      <c r="E69" t="n">
        <v>13.68</v>
      </c>
      <c r="F69" t="n">
        <v>3</v>
      </c>
      <c r="G69" t="n">
        <v>27.54</v>
      </c>
      <c r="H69" t="inlineStr">
        <is>
          <t>wgxwl9snnyzsfwq</t>
        </is>
      </c>
    </row>
    <row r="70">
      <c r="A70" t="inlineStr">
        <is>
          <t>CS2 · LGC vs DEN</t>
        </is>
      </c>
      <c r="B70" t="inlineStr">
        <is>
          <t>rdnzao</t>
        </is>
      </c>
      <c r="C70" t="n">
        <v>13.38</v>
      </c>
      <c r="D70" t="n">
        <v>3</v>
      </c>
      <c r="E70" t="n">
        <v>12.68</v>
      </c>
      <c r="F70" t="n">
        <v>3</v>
      </c>
      <c r="G70" t="n">
        <v>26.06</v>
      </c>
      <c r="H70" t="inlineStr">
        <is>
          <t>a0u1qo22a3z9rh8</t>
        </is>
      </c>
    </row>
    <row r="71">
      <c r="A71" t="inlineStr">
        <is>
          <t>CS2 · LGC vs DEN</t>
        </is>
      </c>
      <c r="B71" t="inlineStr">
        <is>
          <t>try</t>
        </is>
      </c>
      <c r="C71" t="n">
        <v>15.74</v>
      </c>
      <c r="D71" t="n">
        <v>3</v>
      </c>
      <c r="E71" t="n">
        <v>15.5</v>
      </c>
      <c r="F71" t="n">
        <v>3</v>
      </c>
      <c r="G71" t="n">
        <v>31.24</v>
      </c>
      <c r="H71" t="inlineStr">
        <is>
          <t>qtomd625i03qfpk</t>
        </is>
      </c>
    </row>
    <row r="72">
      <c r="A72" t="inlineStr">
        <is>
          <t>CS2 · FURIA vs NAVI</t>
        </is>
      </c>
      <c r="B72" t="inlineStr">
        <is>
          <t>aleksib</t>
        </is>
      </c>
      <c r="C72" t="n">
        <v>10.5</v>
      </c>
      <c r="D72" t="n">
        <v>3</v>
      </c>
      <c r="E72" t="n">
        <v>10.5</v>
      </c>
      <c r="F72" t="n">
        <v>3</v>
      </c>
      <c r="G72" t="n">
        <v>21</v>
      </c>
      <c r="H72" t="inlineStr">
        <is>
          <t>509x6s2e70l3hhg</t>
        </is>
      </c>
    </row>
    <row r="73">
      <c r="A73" t="inlineStr">
        <is>
          <t>CS2 · FURIA vs NAVI</t>
        </is>
      </c>
      <c r="B73" t="inlineStr">
        <is>
          <t>b1t</t>
        </is>
      </c>
      <c r="C73" t="n">
        <v>14.74</v>
      </c>
      <c r="D73" t="n">
        <v>3</v>
      </c>
      <c r="E73" t="n">
        <v>14.5</v>
      </c>
      <c r="F73" t="n">
        <v>3</v>
      </c>
      <c r="G73" t="n">
        <v>29.24</v>
      </c>
      <c r="H73" t="inlineStr">
        <is>
          <t>2y1yay7td9d3pb6</t>
        </is>
      </c>
    </row>
    <row r="74">
      <c r="A74" t="inlineStr">
        <is>
          <t>CS2 · FURIA vs NAVI</t>
        </is>
      </c>
      <c r="B74" t="inlineStr">
        <is>
          <t>fallen</t>
        </is>
      </c>
      <c r="C74" t="n">
        <v>11.68</v>
      </c>
      <c r="D74" t="n">
        <v>3</v>
      </c>
      <c r="E74" t="n">
        <v>11.93</v>
      </c>
      <c r="F74" t="n">
        <v>3</v>
      </c>
      <c r="G74" t="n">
        <v>23.62</v>
      </c>
      <c r="H74" t="inlineStr">
        <is>
          <t>upsdzrueyrfmr1m</t>
        </is>
      </c>
    </row>
    <row r="75">
      <c r="A75" t="inlineStr">
        <is>
          <t>CS2 · FURIA vs NAVI</t>
        </is>
      </c>
      <c r="B75" t="inlineStr">
        <is>
          <t>im</t>
        </is>
      </c>
      <c r="C75" t="n">
        <v>13.85</v>
      </c>
      <c r="D75" t="n">
        <v>3</v>
      </c>
      <c r="E75" t="n">
        <v>14.22</v>
      </c>
      <c r="F75" t="n">
        <v>3</v>
      </c>
      <c r="G75" t="n">
        <v>28.08</v>
      </c>
      <c r="H75" t="inlineStr">
        <is>
          <t>6fnysfxfr7gofjk</t>
        </is>
      </c>
    </row>
    <row r="76">
      <c r="A76" t="inlineStr">
        <is>
          <t>CS2 · FURIA vs NAVI</t>
        </is>
      </c>
      <c r="B76" t="inlineStr">
        <is>
          <t>kscerato</t>
        </is>
      </c>
      <c r="C76" t="n">
        <v>15.5</v>
      </c>
      <c r="D76" t="n">
        <v>3</v>
      </c>
      <c r="E76" t="n">
        <v>15.68</v>
      </c>
      <c r="F76" t="n">
        <v>3</v>
      </c>
      <c r="G76" t="n">
        <v>31.18</v>
      </c>
      <c r="H76" t="inlineStr">
        <is>
          <t>xlunjfskczbvxwn</t>
        </is>
      </c>
    </row>
    <row r="77">
      <c r="A77" t="inlineStr">
        <is>
          <t>CS2 · FURIA vs NAVI</t>
        </is>
      </c>
      <c r="B77" t="inlineStr">
        <is>
          <t>makazze</t>
        </is>
      </c>
      <c r="C77" t="n">
        <v>14.68</v>
      </c>
      <c r="D77" t="n">
        <v>3</v>
      </c>
      <c r="E77" t="n">
        <v>14.5</v>
      </c>
      <c r="F77" t="n">
        <v>3</v>
      </c>
      <c r="G77" t="n">
        <v>29.18</v>
      </c>
      <c r="H77" t="inlineStr">
        <is>
          <t>6oi74s8csyxqh63</t>
        </is>
      </c>
    </row>
    <row r="78">
      <c r="A78" t="inlineStr">
        <is>
          <t>CS2 · FURIA vs NAVI</t>
        </is>
      </c>
      <c r="B78" t="inlineStr">
        <is>
          <t>molodoy</t>
        </is>
      </c>
      <c r="C78" t="n">
        <v>16.22</v>
      </c>
      <c r="D78" t="n">
        <v>3</v>
      </c>
      <c r="E78" t="n">
        <v>16.5</v>
      </c>
      <c r="F78" t="n">
        <v>3</v>
      </c>
      <c r="G78" t="n">
        <v>32.72</v>
      </c>
      <c r="H78" t="inlineStr">
        <is>
          <t>g1czin1kua6nls5</t>
        </is>
      </c>
    </row>
    <row r="79">
      <c r="A79" t="inlineStr">
        <is>
          <t>CS2 · FURIA vs NAVI</t>
        </is>
      </c>
      <c r="B79" t="inlineStr">
        <is>
          <t>w0nderful</t>
        </is>
      </c>
      <c r="C79" t="n">
        <v>16.5</v>
      </c>
      <c r="D79" t="n">
        <v>3</v>
      </c>
      <c r="E79" t="n">
        <v>16.32</v>
      </c>
      <c r="F79" t="n">
        <v>3</v>
      </c>
      <c r="G79" t="n">
        <v>32.82</v>
      </c>
      <c r="H79" t="inlineStr">
        <is>
          <t>9wdj3z2kekttkk3</t>
        </is>
      </c>
    </row>
    <row r="80">
      <c r="A80" t="inlineStr">
        <is>
          <t>CS2 · FURIA vs NAVI</t>
        </is>
      </c>
      <c r="B80" t="inlineStr">
        <is>
          <t>yekindar</t>
        </is>
      </c>
      <c r="C80" t="n">
        <v>15.22</v>
      </c>
      <c r="D80" t="n">
        <v>3</v>
      </c>
      <c r="E80" t="n">
        <v>14.74</v>
      </c>
      <c r="F80" t="n">
        <v>3</v>
      </c>
      <c r="G80" t="n">
        <v>29.96</v>
      </c>
      <c r="H80" t="inlineStr">
        <is>
          <t>vl5i6xbqmsocy69</t>
        </is>
      </c>
    </row>
    <row r="81">
      <c r="A81" t="inlineStr">
        <is>
          <t>CS2 · FURIA vs NAVI</t>
        </is>
      </c>
      <c r="B81" t="inlineStr">
        <is>
          <t>yuurih</t>
        </is>
      </c>
      <c r="C81" t="n">
        <v>13.15</v>
      </c>
      <c r="D81" t="n">
        <v>3</v>
      </c>
      <c r="E81" t="n">
        <v>12.74</v>
      </c>
      <c r="F81" t="n">
        <v>3</v>
      </c>
      <c r="G81" t="n">
        <v>25.89</v>
      </c>
      <c r="H81" t="inlineStr">
        <is>
          <t>npowbduexyegr6i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1"/>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FUT vs TL</t>
        </is>
      </c>
      <c r="B2" t="n">
        <v>1</v>
      </c>
      <c r="C2" t="n">
        <v>17.5</v>
      </c>
      <c r="D2" t="n">
        <v>1.12</v>
      </c>
      <c r="E2" t="n">
        <v>5.3</v>
      </c>
      <c r="F2" s="8" t="n">
        <v>0.8255</v>
      </c>
      <c r="G2" t="n">
        <v>21.42</v>
      </c>
    </row>
    <row r="3">
      <c r="A3" t="inlineStr">
        <is>
          <t>CS2 · FUT vs TL</t>
        </is>
      </c>
      <c r="B3" t="n">
        <v>1</v>
      </c>
      <c r="C3" t="n">
        <v>18.5</v>
      </c>
      <c r="D3" t="n">
        <v>1.22</v>
      </c>
      <c r="E3" t="n">
        <v>3.8</v>
      </c>
      <c r="F3" s="8" t="n">
        <v>0.757</v>
      </c>
      <c r="G3" t="n">
        <v>21.42</v>
      </c>
    </row>
    <row r="4">
      <c r="A4" t="inlineStr">
        <is>
          <t>CS2 · FUT vs TL</t>
        </is>
      </c>
      <c r="B4" t="n">
        <v>1</v>
      </c>
      <c r="C4" t="n">
        <v>19.5</v>
      </c>
      <c r="D4" t="n">
        <v>1.35</v>
      </c>
      <c r="E4" t="n">
        <v>2.9</v>
      </c>
      <c r="F4" s="8" t="n">
        <v>0.6824</v>
      </c>
      <c r="G4" t="n">
        <v>21.42</v>
      </c>
    </row>
    <row r="5">
      <c r="A5" t="inlineStr">
        <is>
          <t>CS2 · FUT vs TL</t>
        </is>
      </c>
      <c r="B5" t="n">
        <v>1</v>
      </c>
      <c r="C5" t="n">
        <v>20.5</v>
      </c>
      <c r="D5" t="n">
        <v>1.55</v>
      </c>
      <c r="E5" t="n">
        <v>2.3</v>
      </c>
      <c r="F5" s="8" t="n">
        <v>0.5974</v>
      </c>
      <c r="G5" t="n">
        <v>21.42</v>
      </c>
    </row>
    <row r="6">
      <c r="A6" t="inlineStr">
        <is>
          <t>CS2 · FUT vs TL</t>
        </is>
      </c>
      <c r="B6" t="n">
        <v>1</v>
      </c>
      <c r="C6" t="n">
        <v>21.5</v>
      </c>
      <c r="D6" t="n">
        <v>1.88</v>
      </c>
      <c r="E6" t="n">
        <v>1.82</v>
      </c>
      <c r="F6" s="8" t="n">
        <v>0.4919</v>
      </c>
      <c r="G6" t="n">
        <v>21.42</v>
      </c>
    </row>
    <row r="7">
      <c r="A7" t="inlineStr">
        <is>
          <t>CS2 · FUT vs TL</t>
        </is>
      </c>
      <c r="B7" t="n">
        <v>1</v>
      </c>
      <c r="C7" t="n">
        <v>22.5</v>
      </c>
      <c r="D7" t="n">
        <v>2.4</v>
      </c>
      <c r="E7" t="n">
        <v>1.5</v>
      </c>
      <c r="F7" s="8" t="n">
        <v>0.3846</v>
      </c>
      <c r="G7" t="n">
        <v>21.42</v>
      </c>
    </row>
    <row r="8">
      <c r="A8" t="inlineStr">
        <is>
          <t>CS2 · FUT vs TL</t>
        </is>
      </c>
      <c r="B8" t="n">
        <v>2</v>
      </c>
      <c r="C8" t="n">
        <v>17.5</v>
      </c>
      <c r="D8" t="n">
        <v>1.13</v>
      </c>
      <c r="E8" t="n">
        <v>5</v>
      </c>
      <c r="F8" s="8" t="n">
        <v>0.8157</v>
      </c>
      <c r="G8" t="n">
        <v>21.22</v>
      </c>
    </row>
    <row r="9">
      <c r="A9" t="inlineStr">
        <is>
          <t>CS2 · FUT vs TL</t>
        </is>
      </c>
      <c r="B9" t="n">
        <v>2</v>
      </c>
      <c r="C9" t="n">
        <v>18.5</v>
      </c>
      <c r="D9" t="n">
        <v>1.22</v>
      </c>
      <c r="E9" t="n">
        <v>3.8</v>
      </c>
      <c r="F9" s="8" t="n">
        <v>0.757</v>
      </c>
      <c r="G9" t="n">
        <v>21.22</v>
      </c>
    </row>
    <row r="10">
      <c r="A10" t="inlineStr">
        <is>
          <t>CS2 · FUT vs TL</t>
        </is>
      </c>
      <c r="B10" t="n">
        <v>2</v>
      </c>
      <c r="C10" t="n">
        <v>19.5</v>
      </c>
      <c r="D10" t="n">
        <v>1.38</v>
      </c>
      <c r="E10" t="n">
        <v>2.8</v>
      </c>
      <c r="F10" s="8" t="n">
        <v>0.6699000000000001</v>
      </c>
      <c r="G10" t="n">
        <v>21.22</v>
      </c>
    </row>
    <row r="11">
      <c r="A11" t="inlineStr">
        <is>
          <t>CS2 · FUT vs TL</t>
        </is>
      </c>
      <c r="B11" t="n">
        <v>2</v>
      </c>
      <c r="C11" t="n">
        <v>20.5</v>
      </c>
      <c r="D11" t="n">
        <v>1.62</v>
      </c>
      <c r="E11" t="n">
        <v>2.15</v>
      </c>
      <c r="F11" s="8" t="n">
        <v>0.5703</v>
      </c>
      <c r="G11" t="n">
        <v>21.22</v>
      </c>
    </row>
    <row r="12">
      <c r="A12" t="inlineStr">
        <is>
          <t>CS2 · FUT vs TL</t>
        </is>
      </c>
      <c r="B12" t="n">
        <v>2</v>
      </c>
      <c r="C12" t="n">
        <v>21.5</v>
      </c>
      <c r="D12" t="n">
        <v>1.95</v>
      </c>
      <c r="E12" t="n">
        <v>1.75</v>
      </c>
      <c r="F12" s="8" t="n">
        <v>0.473</v>
      </c>
      <c r="G12" t="n">
        <v>21.22</v>
      </c>
    </row>
    <row r="13">
      <c r="A13" t="inlineStr">
        <is>
          <t>CS2 · FUT vs TL</t>
        </is>
      </c>
      <c r="B13" t="n">
        <v>2</v>
      </c>
      <c r="C13" t="n">
        <v>22.5</v>
      </c>
      <c r="D13" t="n">
        <v>2.5</v>
      </c>
      <c r="E13" t="n">
        <v>1.48</v>
      </c>
      <c r="F13" s="8" t="n">
        <v>0.3719</v>
      </c>
      <c r="G13" t="n">
        <v>21.22</v>
      </c>
    </row>
    <row r="14">
      <c r="A14" t="inlineStr">
        <is>
          <t>CS2 · FUT vs TL</t>
        </is>
      </c>
      <c r="B14" t="n">
        <v>3</v>
      </c>
      <c r="C14" t="n">
        <v>17.5</v>
      </c>
      <c r="D14" t="n">
        <v>1.12</v>
      </c>
      <c r="E14" t="n">
        <v>5.3</v>
      </c>
      <c r="F14" s="8" t="n">
        <v>0.8255</v>
      </c>
      <c r="G14" t="n">
        <v>21.31</v>
      </c>
    </row>
    <row r="15">
      <c r="A15" t="inlineStr">
        <is>
          <t>CS2 · FUT vs TL</t>
        </is>
      </c>
      <c r="B15" t="n">
        <v>3</v>
      </c>
      <c r="C15" t="n">
        <v>18.5</v>
      </c>
      <c r="D15" t="n">
        <v>1.22</v>
      </c>
      <c r="E15" t="n">
        <v>3.8</v>
      </c>
      <c r="F15" s="8" t="n">
        <v>0.757</v>
      </c>
      <c r="G15" t="n">
        <v>21.31</v>
      </c>
    </row>
    <row r="16">
      <c r="A16" t="inlineStr">
        <is>
          <t>CS2 · FUT vs TL</t>
        </is>
      </c>
      <c r="B16" t="n">
        <v>3</v>
      </c>
      <c r="C16" t="n">
        <v>19.5</v>
      </c>
      <c r="D16" t="n">
        <v>1.38</v>
      </c>
      <c r="E16" t="n">
        <v>2.8</v>
      </c>
      <c r="F16" s="8" t="n">
        <v>0.6699000000000001</v>
      </c>
      <c r="G16" t="n">
        <v>21.31</v>
      </c>
    </row>
    <row r="17">
      <c r="A17" t="inlineStr">
        <is>
          <t>CS2 · FUT vs TL</t>
        </is>
      </c>
      <c r="B17" t="n">
        <v>3</v>
      </c>
      <c r="C17" t="n">
        <v>20.5</v>
      </c>
      <c r="D17" t="n">
        <v>1.58</v>
      </c>
      <c r="E17" t="n">
        <v>2.2</v>
      </c>
      <c r="F17" s="8" t="n">
        <v>0.582</v>
      </c>
      <c r="G17" t="n">
        <v>21.31</v>
      </c>
    </row>
    <row r="18">
      <c r="A18" t="inlineStr">
        <is>
          <t>CS2 · FUT vs TL</t>
        </is>
      </c>
      <c r="B18" t="n">
        <v>3</v>
      </c>
      <c r="C18" t="n">
        <v>21.5</v>
      </c>
      <c r="D18" t="n">
        <v>1.92</v>
      </c>
      <c r="E18" t="n">
        <v>1.78</v>
      </c>
      <c r="F18" s="8" t="n">
        <v>0.4811</v>
      </c>
      <c r="G18" t="n">
        <v>21.31</v>
      </c>
    </row>
    <row r="19">
      <c r="A19" t="inlineStr">
        <is>
          <t>CS2 · FUT vs TL</t>
        </is>
      </c>
      <c r="B19" t="n">
        <v>3</v>
      </c>
      <c r="C19" t="n">
        <v>22.5</v>
      </c>
      <c r="D19" t="n">
        <v>2.5</v>
      </c>
      <c r="E19" t="n">
        <v>1.48</v>
      </c>
      <c r="F19" s="8" t="n">
        <v>0.3719</v>
      </c>
      <c r="G19" t="n">
        <v>21.31</v>
      </c>
    </row>
    <row r="20">
      <c r="A20" t="inlineStr">
        <is>
          <t>CS2 · TS vs TYLOO</t>
        </is>
      </c>
      <c r="B20" t="n">
        <v>1</v>
      </c>
      <c r="C20" t="n">
        <v>17.5</v>
      </c>
      <c r="D20" t="n">
        <v>1.2</v>
      </c>
      <c r="E20" t="n">
        <v>4</v>
      </c>
      <c r="F20" s="8" t="n">
        <v>0.7692</v>
      </c>
      <c r="G20" t="n">
        <v>20.59</v>
      </c>
    </row>
    <row r="21">
      <c r="A21" t="inlineStr">
        <is>
          <t>CS2 · TS vs TYLOO</t>
        </is>
      </c>
      <c r="B21" t="n">
        <v>1</v>
      </c>
      <c r="C21" t="n">
        <v>18.5</v>
      </c>
      <c r="D21" t="n">
        <v>1.32</v>
      </c>
      <c r="E21" t="n">
        <v>3.1</v>
      </c>
      <c r="F21" s="8" t="n">
        <v>0.7014</v>
      </c>
      <c r="G21" t="n">
        <v>20.59</v>
      </c>
    </row>
    <row r="22">
      <c r="A22" t="inlineStr">
        <is>
          <t>CS2 · TS vs TYLOO</t>
        </is>
      </c>
      <c r="B22" t="n">
        <v>1</v>
      </c>
      <c r="C22" t="n">
        <v>19.5</v>
      </c>
      <c r="D22" t="n">
        <v>1.52</v>
      </c>
      <c r="E22" t="n">
        <v>2.35</v>
      </c>
      <c r="F22" s="8" t="n">
        <v>0.6072</v>
      </c>
      <c r="G22" t="n">
        <v>20.59</v>
      </c>
    </row>
    <row r="23">
      <c r="A23" t="inlineStr">
        <is>
          <t>CS2 · TS vs TYLOO</t>
        </is>
      </c>
      <c r="B23" t="n">
        <v>1</v>
      </c>
      <c r="C23" t="n">
        <v>20.5</v>
      </c>
      <c r="D23" t="n">
        <v>1.82</v>
      </c>
      <c r="E23" t="n">
        <v>1.88</v>
      </c>
      <c r="F23" s="8" t="n">
        <v>0.5081</v>
      </c>
      <c r="G23" t="n">
        <v>20.59</v>
      </c>
    </row>
    <row r="24">
      <c r="A24" t="inlineStr">
        <is>
          <t>CS2 · TS vs TYLOO</t>
        </is>
      </c>
      <c r="B24" t="n">
        <v>1</v>
      </c>
      <c r="C24" t="n">
        <v>21.5</v>
      </c>
      <c r="D24" t="n">
        <v>2.2</v>
      </c>
      <c r="E24" t="n">
        <v>1.58</v>
      </c>
      <c r="F24" s="8" t="n">
        <v>0.418</v>
      </c>
      <c r="G24" t="n">
        <v>20.59</v>
      </c>
    </row>
    <row r="25">
      <c r="A25" t="inlineStr">
        <is>
          <t>CS2 · TS vs TYLOO</t>
        </is>
      </c>
      <c r="B25" t="n">
        <v>1</v>
      </c>
      <c r="C25" t="n">
        <v>22.5</v>
      </c>
      <c r="D25" t="n">
        <v>2.9</v>
      </c>
      <c r="E25" t="n">
        <v>1.35</v>
      </c>
      <c r="F25" s="8" t="n">
        <v>0.3176</v>
      </c>
      <c r="G25" t="n">
        <v>20.59</v>
      </c>
    </row>
    <row r="26">
      <c r="A26" t="inlineStr">
        <is>
          <t>CS2 · TS vs TYLOO</t>
        </is>
      </c>
      <c r="B26" t="n">
        <v>2</v>
      </c>
      <c r="C26" t="n">
        <v>17.5</v>
      </c>
      <c r="D26" t="n">
        <v>1.22</v>
      </c>
      <c r="E26" t="n">
        <v>3.8</v>
      </c>
      <c r="F26" s="8" t="n">
        <v>0.757</v>
      </c>
      <c r="G26" t="n">
        <v>20.29</v>
      </c>
    </row>
    <row r="27">
      <c r="A27" t="inlineStr">
        <is>
          <t>CS2 · TS vs TYLOO</t>
        </is>
      </c>
      <c r="B27" t="n">
        <v>2</v>
      </c>
      <c r="C27" t="n">
        <v>18.5</v>
      </c>
      <c r="D27" t="n">
        <v>1.38</v>
      </c>
      <c r="E27" t="n">
        <v>2.8</v>
      </c>
      <c r="F27" s="8" t="n">
        <v>0.6699000000000001</v>
      </c>
      <c r="G27" t="n">
        <v>20.29</v>
      </c>
    </row>
    <row r="28">
      <c r="A28" t="inlineStr">
        <is>
          <t>CS2 · TS vs TYLOO</t>
        </is>
      </c>
      <c r="B28" t="n">
        <v>2</v>
      </c>
      <c r="C28" t="n">
        <v>19.5</v>
      </c>
      <c r="D28" t="n">
        <v>1.62</v>
      </c>
      <c r="E28" t="n">
        <v>2.15</v>
      </c>
      <c r="F28" s="8" t="n">
        <v>0.5703</v>
      </c>
      <c r="G28" t="n">
        <v>20.29</v>
      </c>
    </row>
    <row r="29">
      <c r="A29" t="inlineStr">
        <is>
          <t>CS2 · TS vs TYLOO</t>
        </is>
      </c>
      <c r="B29" t="n">
        <v>2</v>
      </c>
      <c r="C29" t="n">
        <v>20.5</v>
      </c>
      <c r="D29" t="n">
        <v>1.92</v>
      </c>
      <c r="E29" t="n">
        <v>1.78</v>
      </c>
      <c r="F29" s="8" t="n">
        <v>0.4811</v>
      </c>
      <c r="G29" t="n">
        <v>20.29</v>
      </c>
    </row>
    <row r="30">
      <c r="A30" t="inlineStr">
        <is>
          <t>CS2 · TS vs TYLOO</t>
        </is>
      </c>
      <c r="B30" t="n">
        <v>2</v>
      </c>
      <c r="C30" t="n">
        <v>21.5</v>
      </c>
      <c r="D30" t="n">
        <v>2.4</v>
      </c>
      <c r="E30" t="n">
        <v>1.5</v>
      </c>
      <c r="F30" s="8" t="n">
        <v>0.3846</v>
      </c>
      <c r="G30" t="n">
        <v>20.29</v>
      </c>
    </row>
    <row r="31">
      <c r="A31" t="inlineStr">
        <is>
          <t>CS2 · TS vs TYLOO</t>
        </is>
      </c>
      <c r="B31" t="n">
        <v>2</v>
      </c>
      <c r="C31" t="n">
        <v>22.5</v>
      </c>
      <c r="D31" t="n">
        <v>3.2</v>
      </c>
      <c r="E31" t="n">
        <v>1.3</v>
      </c>
      <c r="F31" s="8" t="n">
        <v>0.2889</v>
      </c>
      <c r="G31" t="n">
        <v>20.29</v>
      </c>
    </row>
    <row r="32">
      <c r="A32" t="inlineStr">
        <is>
          <t>CS2 · TS vs TYLOO</t>
        </is>
      </c>
      <c r="B32" t="n">
        <v>3</v>
      </c>
      <c r="C32" t="n">
        <v>17.5</v>
      </c>
      <c r="D32" t="n">
        <v>1.2</v>
      </c>
      <c r="E32" t="n">
        <v>4</v>
      </c>
      <c r="F32" s="8" t="n">
        <v>0.7692</v>
      </c>
      <c r="G32" t="n">
        <v>20.59</v>
      </c>
    </row>
    <row r="33">
      <c r="A33" t="inlineStr">
        <is>
          <t>CS2 · TS vs TYLOO</t>
        </is>
      </c>
      <c r="B33" t="n">
        <v>3</v>
      </c>
      <c r="C33" t="n">
        <v>18.5</v>
      </c>
      <c r="D33" t="n">
        <v>1.32</v>
      </c>
      <c r="E33" t="n">
        <v>3.1</v>
      </c>
      <c r="F33" s="8" t="n">
        <v>0.7014</v>
      </c>
      <c r="G33" t="n">
        <v>20.59</v>
      </c>
    </row>
    <row r="34">
      <c r="A34" t="inlineStr">
        <is>
          <t>CS2 · TS vs TYLOO</t>
        </is>
      </c>
      <c r="B34" t="n">
        <v>3</v>
      </c>
      <c r="C34" t="n">
        <v>19.5</v>
      </c>
      <c r="D34" t="n">
        <v>1.52</v>
      </c>
      <c r="E34" t="n">
        <v>2.35</v>
      </c>
      <c r="F34" s="8" t="n">
        <v>0.6072</v>
      </c>
      <c r="G34" t="n">
        <v>20.59</v>
      </c>
    </row>
    <row r="35">
      <c r="A35" t="inlineStr">
        <is>
          <t>CS2 · TS vs TYLOO</t>
        </is>
      </c>
      <c r="B35" t="n">
        <v>3</v>
      </c>
      <c r="C35" t="n">
        <v>20.5</v>
      </c>
      <c r="D35" t="n">
        <v>1.82</v>
      </c>
      <c r="E35" t="n">
        <v>1.88</v>
      </c>
      <c r="F35" s="8" t="n">
        <v>0.5081</v>
      </c>
      <c r="G35" t="n">
        <v>20.59</v>
      </c>
    </row>
    <row r="36">
      <c r="A36" t="inlineStr">
        <is>
          <t>CS2 · TS vs TYLOO</t>
        </is>
      </c>
      <c r="B36" t="n">
        <v>3</v>
      </c>
      <c r="C36" t="n">
        <v>21.5</v>
      </c>
      <c r="D36" t="n">
        <v>2.2</v>
      </c>
      <c r="E36" t="n">
        <v>1.58</v>
      </c>
      <c r="F36" s="8" t="n">
        <v>0.418</v>
      </c>
      <c r="G36" t="n">
        <v>20.59</v>
      </c>
    </row>
    <row r="37">
      <c r="A37" t="inlineStr">
        <is>
          <t>CS2 · TS vs TYLOO</t>
        </is>
      </c>
      <c r="B37" t="n">
        <v>3</v>
      </c>
      <c r="C37" t="n">
        <v>22.5</v>
      </c>
      <c r="D37" t="n">
        <v>2.9</v>
      </c>
      <c r="E37" t="n">
        <v>1.35</v>
      </c>
      <c r="F37" s="8" t="n">
        <v>0.3176</v>
      </c>
      <c r="G37" t="n">
        <v>20.59</v>
      </c>
    </row>
    <row r="38">
      <c r="A38" t="inlineStr">
        <is>
          <t>CS2 · BB vs NEMI</t>
        </is>
      </c>
      <c r="B38" t="n">
        <v>1</v>
      </c>
      <c r="C38" t="n">
        <v>17.5</v>
      </c>
      <c r="D38" t="n">
        <v>1.1</v>
      </c>
      <c r="E38" t="n">
        <v>5.8</v>
      </c>
      <c r="F38" s="8" t="n">
        <v>0.8406</v>
      </c>
      <c r="G38" t="n">
        <v>21.5</v>
      </c>
    </row>
    <row r="39">
      <c r="A39" t="inlineStr">
        <is>
          <t>CS2 · BB vs NEMI</t>
        </is>
      </c>
      <c r="B39" t="n">
        <v>1</v>
      </c>
      <c r="C39" t="n">
        <v>18.5</v>
      </c>
      <c r="D39" t="n">
        <v>1.2</v>
      </c>
      <c r="E39" t="n">
        <v>4</v>
      </c>
      <c r="F39" s="8" t="n">
        <v>0.7692</v>
      </c>
      <c r="G39" t="n">
        <v>21.5</v>
      </c>
    </row>
    <row r="40">
      <c r="A40" t="inlineStr">
        <is>
          <t>CS2 · BB vs NEMI</t>
        </is>
      </c>
      <c r="B40" t="n">
        <v>1</v>
      </c>
      <c r="C40" t="n">
        <v>19.5</v>
      </c>
      <c r="D40" t="n">
        <v>1.32</v>
      </c>
      <c r="E40" t="n">
        <v>3.1</v>
      </c>
      <c r="F40" s="8" t="n">
        <v>0.7014</v>
      </c>
      <c r="G40" t="n">
        <v>21.5</v>
      </c>
    </row>
    <row r="41">
      <c r="A41" t="inlineStr">
        <is>
          <t>CS2 · BB vs NEMI</t>
        </is>
      </c>
      <c r="B41" t="n">
        <v>1</v>
      </c>
      <c r="C41" t="n">
        <v>20.5</v>
      </c>
      <c r="D41" t="n">
        <v>1.52</v>
      </c>
      <c r="E41" t="n">
        <v>2.35</v>
      </c>
      <c r="F41" s="8" t="n">
        <v>0.6072</v>
      </c>
      <c r="G41" t="n">
        <v>21.5</v>
      </c>
    </row>
    <row r="42">
      <c r="A42" t="inlineStr">
        <is>
          <t>CS2 · BB vs NEMI</t>
        </is>
      </c>
      <c r="B42" t="n">
        <v>1</v>
      </c>
      <c r="C42" t="n">
        <v>21.5</v>
      </c>
      <c r="D42" t="n">
        <v>1.85</v>
      </c>
      <c r="E42" t="n">
        <v>1.85</v>
      </c>
      <c r="F42" s="8" t="n">
        <v>0.5</v>
      </c>
      <c r="G42" t="n">
        <v>21.5</v>
      </c>
    </row>
    <row r="43">
      <c r="A43" t="inlineStr">
        <is>
          <t>CS2 · BB vs NEMI</t>
        </is>
      </c>
      <c r="B43" t="n">
        <v>1</v>
      </c>
      <c r="C43" t="n">
        <v>22.5</v>
      </c>
      <c r="D43" t="n">
        <v>2.4</v>
      </c>
      <c r="E43" t="n">
        <v>1.5</v>
      </c>
      <c r="F43" s="8" t="n">
        <v>0.3846</v>
      </c>
      <c r="G43" t="n">
        <v>21.5</v>
      </c>
    </row>
    <row r="44">
      <c r="A44" t="inlineStr">
        <is>
          <t>CS2 · BB vs NEMI</t>
        </is>
      </c>
      <c r="B44" t="n">
        <v>2</v>
      </c>
      <c r="C44" t="n">
        <v>17.5</v>
      </c>
      <c r="D44" t="n">
        <v>1.12</v>
      </c>
      <c r="E44" t="n">
        <v>5.3</v>
      </c>
      <c r="F44" s="8" t="n">
        <v>0.8255</v>
      </c>
      <c r="G44" t="n">
        <v>21.36</v>
      </c>
    </row>
    <row r="45">
      <c r="A45" t="inlineStr">
        <is>
          <t>CS2 · BB vs NEMI</t>
        </is>
      </c>
      <c r="B45" t="n">
        <v>2</v>
      </c>
      <c r="C45" t="n">
        <v>18.5</v>
      </c>
      <c r="D45" t="n">
        <v>1.22</v>
      </c>
      <c r="E45" t="n">
        <v>3.8</v>
      </c>
      <c r="F45" s="8" t="n">
        <v>0.757</v>
      </c>
      <c r="G45" t="n">
        <v>21.36</v>
      </c>
    </row>
    <row r="46">
      <c r="A46" t="inlineStr">
        <is>
          <t>CS2 · BB vs NEMI</t>
        </is>
      </c>
      <c r="B46" t="n">
        <v>2</v>
      </c>
      <c r="C46" t="n">
        <v>19.5</v>
      </c>
      <c r="D46" t="n">
        <v>1.35</v>
      </c>
      <c r="E46" t="n">
        <v>2.9</v>
      </c>
      <c r="F46" s="8" t="n">
        <v>0.6824</v>
      </c>
      <c r="G46" t="n">
        <v>21.36</v>
      </c>
    </row>
    <row r="47">
      <c r="A47" t="inlineStr">
        <is>
          <t>CS2 · BB vs NEMI</t>
        </is>
      </c>
      <c r="B47" t="n">
        <v>2</v>
      </c>
      <c r="C47" t="n">
        <v>20.5</v>
      </c>
      <c r="D47" t="n">
        <v>1.58</v>
      </c>
      <c r="E47" t="n">
        <v>2.2</v>
      </c>
      <c r="F47" s="8" t="n">
        <v>0.582</v>
      </c>
      <c r="G47" t="n">
        <v>21.36</v>
      </c>
    </row>
    <row r="48">
      <c r="A48" t="inlineStr">
        <is>
          <t>CS2 · BB vs NEMI</t>
        </is>
      </c>
      <c r="B48" t="n">
        <v>2</v>
      </c>
      <c r="C48" t="n">
        <v>21.5</v>
      </c>
      <c r="D48" t="n">
        <v>1.9</v>
      </c>
      <c r="E48" t="n">
        <v>1.8</v>
      </c>
      <c r="F48" s="8" t="n">
        <v>0.4865</v>
      </c>
      <c r="G48" t="n">
        <v>21.36</v>
      </c>
    </row>
    <row r="49">
      <c r="A49" t="inlineStr">
        <is>
          <t>CS2 · BB vs NEMI</t>
        </is>
      </c>
      <c r="B49" t="n">
        <v>2</v>
      </c>
      <c r="C49" t="n">
        <v>22.5</v>
      </c>
      <c r="D49" t="n">
        <v>2.4</v>
      </c>
      <c r="E49" t="n">
        <v>1.5</v>
      </c>
      <c r="F49" s="8" t="n">
        <v>0.3846</v>
      </c>
      <c r="G49" t="n">
        <v>21.36</v>
      </c>
    </row>
    <row r="50">
      <c r="A50" t="inlineStr">
        <is>
          <t>CS2 · BB vs NEMI</t>
        </is>
      </c>
      <c r="B50" t="n">
        <v>3</v>
      </c>
      <c r="C50" t="n">
        <v>17.5</v>
      </c>
      <c r="D50" t="n">
        <v>1.1</v>
      </c>
      <c r="E50" t="n">
        <v>5.8</v>
      </c>
      <c r="F50" s="8" t="n">
        <v>0.8406</v>
      </c>
      <c r="G50" t="n">
        <v>21.5</v>
      </c>
    </row>
    <row r="51">
      <c r="A51" t="inlineStr">
        <is>
          <t>CS2 · BB vs NEMI</t>
        </is>
      </c>
      <c r="B51" t="n">
        <v>3</v>
      </c>
      <c r="C51" t="n">
        <v>18.5</v>
      </c>
      <c r="D51" t="n">
        <v>1.2</v>
      </c>
      <c r="E51" t="n">
        <v>4</v>
      </c>
      <c r="F51" s="8" t="n">
        <v>0.7692</v>
      </c>
      <c r="G51" t="n">
        <v>21.5</v>
      </c>
    </row>
    <row r="52">
      <c r="A52" t="inlineStr">
        <is>
          <t>CS2 · BB vs NEMI</t>
        </is>
      </c>
      <c r="B52" t="n">
        <v>3</v>
      </c>
      <c r="C52" t="n">
        <v>19.5</v>
      </c>
      <c r="D52" t="n">
        <v>1.35</v>
      </c>
      <c r="E52" t="n">
        <v>2.9</v>
      </c>
      <c r="F52" s="8" t="n">
        <v>0.6824</v>
      </c>
      <c r="G52" t="n">
        <v>21.5</v>
      </c>
    </row>
    <row r="53">
      <c r="A53" t="inlineStr">
        <is>
          <t>CS2 · BB vs NEMI</t>
        </is>
      </c>
      <c r="B53" t="n">
        <v>3</v>
      </c>
      <c r="C53" t="n">
        <v>20.5</v>
      </c>
      <c r="D53" t="n">
        <v>1.52</v>
      </c>
      <c r="E53" t="n">
        <v>2.35</v>
      </c>
      <c r="F53" s="8" t="n">
        <v>0.6072</v>
      </c>
      <c r="G53" t="n">
        <v>21.5</v>
      </c>
    </row>
    <row r="54">
      <c r="A54" t="inlineStr">
        <is>
          <t>CS2 · BB vs NEMI</t>
        </is>
      </c>
      <c r="B54" t="n">
        <v>3</v>
      </c>
      <c r="C54" t="n">
        <v>21.5</v>
      </c>
      <c r="D54" t="n">
        <v>1.85</v>
      </c>
      <c r="E54" t="n">
        <v>1.85</v>
      </c>
      <c r="F54" s="8" t="n">
        <v>0.5</v>
      </c>
      <c r="G54" t="n">
        <v>21.5</v>
      </c>
    </row>
    <row r="55">
      <c r="A55" t="inlineStr">
        <is>
          <t>CS2 · BB vs NEMI</t>
        </is>
      </c>
      <c r="B55" t="n">
        <v>3</v>
      </c>
      <c r="C55" t="n">
        <v>22.5</v>
      </c>
      <c r="D55" t="n">
        <v>2.4</v>
      </c>
      <c r="E55" t="n">
        <v>1.5</v>
      </c>
      <c r="F55" s="8" t="n">
        <v>0.3846</v>
      </c>
      <c r="G55" t="n">
        <v>21.5</v>
      </c>
    </row>
    <row r="56">
      <c r="A56" t="inlineStr">
        <is>
          <t>CS2 · VIT vs MGLZ</t>
        </is>
      </c>
      <c r="B56" t="n">
        <v>1</v>
      </c>
      <c r="C56" t="n">
        <v>17.5</v>
      </c>
      <c r="D56" t="n">
        <v>1.13</v>
      </c>
      <c r="E56" t="n">
        <v>5</v>
      </c>
      <c r="F56" s="8" t="n">
        <v>0.8157</v>
      </c>
      <c r="G56" t="n">
        <v>21.05</v>
      </c>
    </row>
    <row r="57">
      <c r="A57" t="inlineStr">
        <is>
          <t>CS2 · VIT vs MGLZ</t>
        </is>
      </c>
      <c r="B57" t="n">
        <v>1</v>
      </c>
      <c r="C57" t="n">
        <v>18.5</v>
      </c>
      <c r="D57" t="n">
        <v>1.25</v>
      </c>
      <c r="E57" t="n">
        <v>3.5</v>
      </c>
      <c r="F57" s="8" t="n">
        <v>0.7368</v>
      </c>
      <c r="G57" t="n">
        <v>21.05</v>
      </c>
    </row>
    <row r="58">
      <c r="A58" t="inlineStr">
        <is>
          <t>CS2 · VIT vs MGLZ</t>
        </is>
      </c>
      <c r="B58" t="n">
        <v>1</v>
      </c>
      <c r="C58" t="n">
        <v>19.5</v>
      </c>
      <c r="D58" t="n">
        <v>1.42</v>
      </c>
      <c r="E58" t="n">
        <v>2.7</v>
      </c>
      <c r="F58" s="8" t="n">
        <v>0.6553</v>
      </c>
      <c r="G58" t="n">
        <v>21.05</v>
      </c>
    </row>
    <row r="59">
      <c r="A59" t="inlineStr">
        <is>
          <t>CS2 · VIT vs MGLZ</t>
        </is>
      </c>
      <c r="B59" t="n">
        <v>1</v>
      </c>
      <c r="C59" t="n">
        <v>20.5</v>
      </c>
      <c r="D59" t="n">
        <v>1.65</v>
      </c>
      <c r="E59" t="n">
        <v>2.1</v>
      </c>
      <c r="F59" s="8" t="n">
        <v>0.5600000000000001</v>
      </c>
      <c r="G59" t="n">
        <v>21.05</v>
      </c>
    </row>
    <row r="60">
      <c r="A60" t="inlineStr">
        <is>
          <t>CS2 · VIT vs MGLZ</t>
        </is>
      </c>
      <c r="B60" t="n">
        <v>1</v>
      </c>
      <c r="C60" t="n">
        <v>21.5</v>
      </c>
      <c r="D60" t="n">
        <v>2.05</v>
      </c>
      <c r="E60" t="n">
        <v>1.68</v>
      </c>
      <c r="F60" s="8" t="n">
        <v>0.4504</v>
      </c>
      <c r="G60" t="n">
        <v>21.05</v>
      </c>
    </row>
    <row r="61">
      <c r="A61" t="inlineStr">
        <is>
          <t>CS2 · VIT vs MGLZ</t>
        </is>
      </c>
      <c r="B61" t="n">
        <v>1</v>
      </c>
      <c r="C61" t="n">
        <v>22.5</v>
      </c>
      <c r="D61" t="n">
        <v>2.7</v>
      </c>
      <c r="E61" t="n">
        <v>1.42</v>
      </c>
      <c r="F61" s="8" t="n">
        <v>0.3447</v>
      </c>
      <c r="G61" t="n">
        <v>21.05</v>
      </c>
    </row>
    <row r="62">
      <c r="A62" t="inlineStr">
        <is>
          <t>CS2 · VIT vs MGLZ</t>
        </is>
      </c>
      <c r="B62" t="n">
        <v>2</v>
      </c>
      <c r="C62" t="n">
        <v>17.5</v>
      </c>
      <c r="D62" t="n">
        <v>1.17</v>
      </c>
      <c r="E62" t="n">
        <v>4.4</v>
      </c>
      <c r="F62" s="8" t="n">
        <v>0.7899</v>
      </c>
      <c r="G62" t="n">
        <v>20.71</v>
      </c>
    </row>
    <row r="63">
      <c r="A63" t="inlineStr">
        <is>
          <t>CS2 · VIT vs MGLZ</t>
        </is>
      </c>
      <c r="B63" t="n">
        <v>2</v>
      </c>
      <c r="C63" t="n">
        <v>18.5</v>
      </c>
      <c r="D63" t="n">
        <v>1.32</v>
      </c>
      <c r="E63" t="n">
        <v>3.1</v>
      </c>
      <c r="F63" s="8" t="n">
        <v>0.7014</v>
      </c>
      <c r="G63" t="n">
        <v>20.71</v>
      </c>
    </row>
    <row r="64">
      <c r="A64" t="inlineStr">
        <is>
          <t>CS2 · VIT vs MGLZ</t>
        </is>
      </c>
      <c r="B64" t="n">
        <v>2</v>
      </c>
      <c r="C64" t="n">
        <v>19.5</v>
      </c>
      <c r="D64" t="n">
        <v>1.5</v>
      </c>
      <c r="E64" t="n">
        <v>2.4</v>
      </c>
      <c r="F64" s="8" t="n">
        <v>0.6153999999999999</v>
      </c>
      <c r="G64" t="n">
        <v>20.71</v>
      </c>
    </row>
    <row r="65">
      <c r="A65" t="inlineStr">
        <is>
          <t>CS2 · VIT vs MGLZ</t>
        </is>
      </c>
      <c r="B65" t="n">
        <v>2</v>
      </c>
      <c r="C65" t="n">
        <v>20.5</v>
      </c>
      <c r="D65" t="n">
        <v>1.78</v>
      </c>
      <c r="E65" t="n">
        <v>1.92</v>
      </c>
      <c r="F65" s="8" t="n">
        <v>0.5189</v>
      </c>
      <c r="G65" t="n">
        <v>20.71</v>
      </c>
    </row>
    <row r="66">
      <c r="A66" t="inlineStr">
        <is>
          <t>CS2 · VIT vs MGLZ</t>
        </is>
      </c>
      <c r="B66" t="n">
        <v>2</v>
      </c>
      <c r="C66" t="n">
        <v>21.5</v>
      </c>
      <c r="D66" t="n">
        <v>2.15</v>
      </c>
      <c r="E66" t="n">
        <v>1.62</v>
      </c>
      <c r="F66" s="8" t="n">
        <v>0.4297</v>
      </c>
      <c r="G66" t="n">
        <v>20.71</v>
      </c>
    </row>
    <row r="67">
      <c r="A67" t="inlineStr">
        <is>
          <t>CS2 · VIT vs MGLZ</t>
        </is>
      </c>
      <c r="B67" t="n">
        <v>2</v>
      </c>
      <c r="C67" t="n">
        <v>22.5</v>
      </c>
      <c r="D67" t="n">
        <v>2.8</v>
      </c>
      <c r="E67" t="n">
        <v>1.38</v>
      </c>
      <c r="F67" s="8" t="n">
        <v>0.3301</v>
      </c>
      <c r="G67" t="n">
        <v>20.71</v>
      </c>
    </row>
    <row r="68">
      <c r="A68" t="inlineStr">
        <is>
          <t>CS2 · VIT vs MGLZ</t>
        </is>
      </c>
      <c r="B68" t="n">
        <v>3</v>
      </c>
      <c r="C68" t="n">
        <v>17.5</v>
      </c>
      <c r="D68" t="n">
        <v>1.15</v>
      </c>
      <c r="E68" t="n">
        <v>4.8</v>
      </c>
      <c r="F68" s="8" t="n">
        <v>0.8067</v>
      </c>
      <c r="G68" t="n">
        <v>20.89</v>
      </c>
    </row>
    <row r="69">
      <c r="A69" t="inlineStr">
        <is>
          <t>CS2 · VIT vs MGLZ</t>
        </is>
      </c>
      <c r="B69" t="n">
        <v>3</v>
      </c>
      <c r="C69" t="n">
        <v>18.5</v>
      </c>
      <c r="D69" t="n">
        <v>1.28</v>
      </c>
      <c r="E69" t="n">
        <v>3.3</v>
      </c>
      <c r="F69" s="8" t="n">
        <v>0.7205</v>
      </c>
      <c r="G69" t="n">
        <v>20.89</v>
      </c>
    </row>
    <row r="70">
      <c r="A70" t="inlineStr">
        <is>
          <t>CS2 · VIT vs MGLZ</t>
        </is>
      </c>
      <c r="B70" t="n">
        <v>3</v>
      </c>
      <c r="C70" t="n">
        <v>19.5</v>
      </c>
      <c r="D70" t="n">
        <v>1.48</v>
      </c>
      <c r="E70" t="n">
        <v>2.5</v>
      </c>
      <c r="F70" s="8" t="n">
        <v>0.6281</v>
      </c>
      <c r="G70" t="n">
        <v>20.89</v>
      </c>
    </row>
    <row r="71">
      <c r="A71" t="inlineStr">
        <is>
          <t>CS2 · VIT vs MGLZ</t>
        </is>
      </c>
      <c r="B71" t="n">
        <v>3</v>
      </c>
      <c r="C71" t="n">
        <v>20.5</v>
      </c>
      <c r="D71" t="n">
        <v>1.72</v>
      </c>
      <c r="E71" t="n">
        <v>2</v>
      </c>
      <c r="F71" s="8" t="n">
        <v>0.5376</v>
      </c>
      <c r="G71" t="n">
        <v>20.89</v>
      </c>
    </row>
    <row r="72">
      <c r="A72" t="inlineStr">
        <is>
          <t>CS2 · VIT vs MGLZ</t>
        </is>
      </c>
      <c r="B72" t="n">
        <v>3</v>
      </c>
      <c r="C72" t="n">
        <v>21.5</v>
      </c>
      <c r="D72" t="n">
        <v>2.1</v>
      </c>
      <c r="E72" t="n">
        <v>1.65</v>
      </c>
      <c r="F72" s="8" t="n">
        <v>0.44</v>
      </c>
      <c r="G72" t="n">
        <v>20.89</v>
      </c>
    </row>
    <row r="73">
      <c r="A73" t="inlineStr">
        <is>
          <t>CS2 · VIT vs MGLZ</t>
        </is>
      </c>
      <c r="B73" t="n">
        <v>3</v>
      </c>
      <c r="C73" t="n">
        <v>22.5</v>
      </c>
      <c r="D73" t="n">
        <v>2.7</v>
      </c>
      <c r="E73" t="n">
        <v>1.4</v>
      </c>
      <c r="F73" s="8" t="n">
        <v>0.3415</v>
      </c>
      <c r="G73" t="n">
        <v>20.89</v>
      </c>
    </row>
    <row r="74">
      <c r="A74" t="inlineStr">
        <is>
          <t>CS2 · MOUZ vs 9z</t>
        </is>
      </c>
      <c r="B74" t="n">
        <v>1</v>
      </c>
      <c r="C74" t="n">
        <v>17.5</v>
      </c>
      <c r="D74" t="n">
        <v>1.12</v>
      </c>
      <c r="E74" t="n">
        <v>5.3</v>
      </c>
      <c r="F74" s="8" t="n">
        <v>0.8255</v>
      </c>
      <c r="G74" t="n">
        <v>21.31</v>
      </c>
    </row>
    <row r="75">
      <c r="A75" t="inlineStr">
        <is>
          <t>CS2 · MOUZ vs 9z</t>
        </is>
      </c>
      <c r="B75" t="n">
        <v>1</v>
      </c>
      <c r="C75" t="n">
        <v>18.5</v>
      </c>
      <c r="D75" t="n">
        <v>1.22</v>
      </c>
      <c r="E75" t="n">
        <v>3.8</v>
      </c>
      <c r="F75" s="8" t="n">
        <v>0.757</v>
      </c>
      <c r="G75" t="n">
        <v>21.31</v>
      </c>
    </row>
    <row r="76">
      <c r="A76" t="inlineStr">
        <is>
          <t>CS2 · MOUZ vs 9z</t>
        </is>
      </c>
      <c r="B76" t="n">
        <v>1</v>
      </c>
      <c r="C76" t="n">
        <v>19.5</v>
      </c>
      <c r="D76" t="n">
        <v>1.38</v>
      </c>
      <c r="E76" t="n">
        <v>2.8</v>
      </c>
      <c r="F76" s="8" t="n">
        <v>0.6699000000000001</v>
      </c>
      <c r="G76" t="n">
        <v>21.31</v>
      </c>
    </row>
    <row r="77">
      <c r="A77" t="inlineStr">
        <is>
          <t>CS2 · MOUZ vs 9z</t>
        </is>
      </c>
      <c r="B77" t="n">
        <v>1</v>
      </c>
      <c r="C77" t="n">
        <v>20.5</v>
      </c>
      <c r="D77" t="n">
        <v>1.58</v>
      </c>
      <c r="E77" t="n">
        <v>2.2</v>
      </c>
      <c r="F77" s="8" t="n">
        <v>0.582</v>
      </c>
      <c r="G77" t="n">
        <v>21.31</v>
      </c>
    </row>
    <row r="78">
      <c r="A78" t="inlineStr">
        <is>
          <t>CS2 · MOUZ vs 9z</t>
        </is>
      </c>
      <c r="B78" t="n">
        <v>1</v>
      </c>
      <c r="C78" t="n">
        <v>21.5</v>
      </c>
      <c r="D78" t="n">
        <v>1.92</v>
      </c>
      <c r="E78" t="n">
        <v>1.78</v>
      </c>
      <c r="F78" s="8" t="n">
        <v>0.4811</v>
      </c>
      <c r="G78" t="n">
        <v>21.31</v>
      </c>
    </row>
    <row r="79">
      <c r="A79" t="inlineStr">
        <is>
          <t>CS2 · MOUZ vs 9z</t>
        </is>
      </c>
      <c r="B79" t="n">
        <v>1</v>
      </c>
      <c r="C79" t="n">
        <v>22.5</v>
      </c>
      <c r="D79" t="n">
        <v>2.5</v>
      </c>
      <c r="E79" t="n">
        <v>1.48</v>
      </c>
      <c r="F79" s="8" t="n">
        <v>0.3719</v>
      </c>
      <c r="G79" t="n">
        <v>21.31</v>
      </c>
    </row>
    <row r="80">
      <c r="A80" t="inlineStr">
        <is>
          <t>CS2 · MOUZ vs 9z</t>
        </is>
      </c>
      <c r="B80" t="n">
        <v>2</v>
      </c>
      <c r="C80" t="n">
        <v>17.5</v>
      </c>
      <c r="D80" t="n">
        <v>1.15</v>
      </c>
      <c r="E80" t="n">
        <v>4.8</v>
      </c>
      <c r="F80" s="8" t="n">
        <v>0.8067</v>
      </c>
      <c r="G80" t="n">
        <v>21.05</v>
      </c>
    </row>
    <row r="81">
      <c r="A81" t="inlineStr">
        <is>
          <t>CS2 · MOUZ vs 9z</t>
        </is>
      </c>
      <c r="B81" t="n">
        <v>2</v>
      </c>
      <c r="C81" t="n">
        <v>18.5</v>
      </c>
      <c r="D81" t="n">
        <v>1.26</v>
      </c>
      <c r="E81" t="n">
        <v>3.4</v>
      </c>
      <c r="F81" s="8" t="n">
        <v>0.7296</v>
      </c>
      <c r="G81" t="n">
        <v>21.05</v>
      </c>
    </row>
    <row r="82">
      <c r="A82" t="inlineStr">
        <is>
          <t>CS2 · MOUZ vs 9z</t>
        </is>
      </c>
      <c r="B82" t="n">
        <v>2</v>
      </c>
      <c r="C82" t="n">
        <v>19.5</v>
      </c>
      <c r="D82" t="n">
        <v>1.42</v>
      </c>
      <c r="E82" t="n">
        <v>2.7</v>
      </c>
      <c r="F82" s="8" t="n">
        <v>0.6553</v>
      </c>
      <c r="G82" t="n">
        <v>21.05</v>
      </c>
    </row>
    <row r="83">
      <c r="A83" t="inlineStr">
        <is>
          <t>CS2 · MOUZ vs 9z</t>
        </is>
      </c>
      <c r="B83" t="n">
        <v>2</v>
      </c>
      <c r="C83" t="n">
        <v>20.5</v>
      </c>
      <c r="D83" t="n">
        <v>1.65</v>
      </c>
      <c r="E83" t="n">
        <v>2.1</v>
      </c>
      <c r="F83" s="8" t="n">
        <v>0.5600000000000001</v>
      </c>
      <c r="G83" t="n">
        <v>21.05</v>
      </c>
    </row>
    <row r="84">
      <c r="A84" t="inlineStr">
        <is>
          <t>CS2 · MOUZ vs 9z</t>
        </is>
      </c>
      <c r="B84" t="n">
        <v>2</v>
      </c>
      <c r="C84" t="n">
        <v>21.5</v>
      </c>
      <c r="D84" t="n">
        <v>2.05</v>
      </c>
      <c r="E84" t="n">
        <v>1.68</v>
      </c>
      <c r="F84" s="8" t="n">
        <v>0.4504</v>
      </c>
      <c r="G84" t="n">
        <v>21.05</v>
      </c>
    </row>
    <row r="85">
      <c r="A85" t="inlineStr">
        <is>
          <t>CS2 · MOUZ vs 9z</t>
        </is>
      </c>
      <c r="B85" t="n">
        <v>2</v>
      </c>
      <c r="C85" t="n">
        <v>22.5</v>
      </c>
      <c r="D85" t="n">
        <v>2.7</v>
      </c>
      <c r="E85" t="n">
        <v>1.42</v>
      </c>
      <c r="F85" s="8" t="n">
        <v>0.3447</v>
      </c>
      <c r="G85" t="n">
        <v>21.05</v>
      </c>
    </row>
    <row r="86">
      <c r="A86" t="inlineStr">
        <is>
          <t>CS2 · MOUZ vs 9z</t>
        </is>
      </c>
      <c r="B86" t="n">
        <v>3</v>
      </c>
      <c r="C86" t="n">
        <v>17.5</v>
      </c>
      <c r="D86" t="n">
        <v>1.13</v>
      </c>
      <c r="E86" t="n">
        <v>5</v>
      </c>
      <c r="F86" s="8" t="n">
        <v>0.8157</v>
      </c>
      <c r="G86" t="n">
        <v>21.11</v>
      </c>
    </row>
    <row r="87">
      <c r="A87" t="inlineStr">
        <is>
          <t>CS2 · MOUZ vs 9z</t>
        </is>
      </c>
      <c r="B87" t="n">
        <v>3</v>
      </c>
      <c r="C87" t="n">
        <v>18.5</v>
      </c>
      <c r="D87" t="n">
        <v>1.22</v>
      </c>
      <c r="E87" t="n">
        <v>3.8</v>
      </c>
      <c r="F87" s="8" t="n">
        <v>0.757</v>
      </c>
      <c r="G87" t="n">
        <v>21.11</v>
      </c>
    </row>
    <row r="88">
      <c r="A88" t="inlineStr">
        <is>
          <t>CS2 · MOUZ vs 9z</t>
        </is>
      </c>
      <c r="B88" t="n">
        <v>3</v>
      </c>
      <c r="C88" t="n">
        <v>19.5</v>
      </c>
      <c r="D88" t="n">
        <v>1.38</v>
      </c>
      <c r="E88" t="n">
        <v>2.8</v>
      </c>
      <c r="F88" s="8" t="n">
        <v>0.6699000000000001</v>
      </c>
      <c r="G88" t="n">
        <v>21.11</v>
      </c>
    </row>
    <row r="89">
      <c r="A89" t="inlineStr">
        <is>
          <t>CS2 · MOUZ vs 9z</t>
        </is>
      </c>
      <c r="B89" t="n">
        <v>3</v>
      </c>
      <c r="C89" t="n">
        <v>20.5</v>
      </c>
      <c r="D89" t="n">
        <v>1.65</v>
      </c>
      <c r="E89" t="n">
        <v>2.1</v>
      </c>
      <c r="F89" s="8" t="n">
        <v>0.5600000000000001</v>
      </c>
      <c r="G89" t="n">
        <v>21.11</v>
      </c>
    </row>
    <row r="90">
      <c r="A90" t="inlineStr">
        <is>
          <t>CS2 · MOUZ vs 9z</t>
        </is>
      </c>
      <c r="B90" t="n">
        <v>3</v>
      </c>
      <c r="C90" t="n">
        <v>21.5</v>
      </c>
      <c r="D90" t="n">
        <v>2</v>
      </c>
      <c r="E90" t="n">
        <v>1.72</v>
      </c>
      <c r="F90" s="8" t="n">
        <v>0.4624</v>
      </c>
      <c r="G90" t="n">
        <v>21.11</v>
      </c>
    </row>
    <row r="91">
      <c r="A91" t="inlineStr">
        <is>
          <t>CS2 · MOUZ vs 9z</t>
        </is>
      </c>
      <c r="B91" t="n">
        <v>3</v>
      </c>
      <c r="C91" t="n">
        <v>22.5</v>
      </c>
      <c r="D91" t="n">
        <v>2.6</v>
      </c>
      <c r="E91" t="n">
        <v>1.45</v>
      </c>
      <c r="F91" s="8" t="n">
        <v>0.358</v>
      </c>
      <c r="G91" t="n">
        <v>21.11</v>
      </c>
    </row>
    <row r="92">
      <c r="A92" t="inlineStr">
        <is>
          <t>CS2 · AUR vs G2</t>
        </is>
      </c>
      <c r="B92" t="n">
        <v>1</v>
      </c>
      <c r="C92" t="n">
        <v>17.5</v>
      </c>
      <c r="D92" t="n">
        <v>1.12</v>
      </c>
      <c r="E92" t="n">
        <v>5.3</v>
      </c>
      <c r="F92" s="8" t="n">
        <v>0.8255</v>
      </c>
      <c r="G92" t="n">
        <v>21.42</v>
      </c>
    </row>
    <row r="93">
      <c r="A93" t="inlineStr">
        <is>
          <t>CS2 · AUR vs G2</t>
        </is>
      </c>
      <c r="B93" t="n">
        <v>1</v>
      </c>
      <c r="C93" t="n">
        <v>18.5</v>
      </c>
      <c r="D93" t="n">
        <v>1.22</v>
      </c>
      <c r="E93" t="n">
        <v>3.8</v>
      </c>
      <c r="F93" s="8" t="n">
        <v>0.757</v>
      </c>
      <c r="G93" t="n">
        <v>21.42</v>
      </c>
    </row>
    <row r="94">
      <c r="A94" t="inlineStr">
        <is>
          <t>CS2 · AUR vs G2</t>
        </is>
      </c>
      <c r="B94" t="n">
        <v>1</v>
      </c>
      <c r="C94" t="n">
        <v>19.5</v>
      </c>
      <c r="D94" t="n">
        <v>1.35</v>
      </c>
      <c r="E94" t="n">
        <v>2.9</v>
      </c>
      <c r="F94" s="8" t="n">
        <v>0.6824</v>
      </c>
      <c r="G94" t="n">
        <v>21.42</v>
      </c>
    </row>
    <row r="95">
      <c r="A95" t="inlineStr">
        <is>
          <t>CS2 · AUR vs G2</t>
        </is>
      </c>
      <c r="B95" t="n">
        <v>1</v>
      </c>
      <c r="C95" t="n">
        <v>20.5</v>
      </c>
      <c r="D95" t="n">
        <v>1.55</v>
      </c>
      <c r="E95" t="n">
        <v>2.3</v>
      </c>
      <c r="F95" s="8" t="n">
        <v>0.5974</v>
      </c>
      <c r="G95" t="n">
        <v>21.42</v>
      </c>
    </row>
    <row r="96">
      <c r="A96" t="inlineStr">
        <is>
          <t>CS2 · AUR vs G2</t>
        </is>
      </c>
      <c r="B96" t="n">
        <v>1</v>
      </c>
      <c r="C96" t="n">
        <v>21.5</v>
      </c>
      <c r="D96" t="n">
        <v>1.88</v>
      </c>
      <c r="E96" t="n">
        <v>1.82</v>
      </c>
      <c r="F96" s="8" t="n">
        <v>0.4919</v>
      </c>
      <c r="G96" t="n">
        <v>21.42</v>
      </c>
    </row>
    <row r="97">
      <c r="A97" t="inlineStr">
        <is>
          <t>CS2 · AUR vs G2</t>
        </is>
      </c>
      <c r="B97" t="n">
        <v>1</v>
      </c>
      <c r="C97" t="n">
        <v>22.5</v>
      </c>
      <c r="D97" t="n">
        <v>2.4</v>
      </c>
      <c r="E97" t="n">
        <v>1.5</v>
      </c>
      <c r="F97" s="8" t="n">
        <v>0.3846</v>
      </c>
      <c r="G97" t="n">
        <v>21.42</v>
      </c>
    </row>
    <row r="98">
      <c r="A98" t="inlineStr">
        <is>
          <t>CS2 · AUR vs G2</t>
        </is>
      </c>
      <c r="B98" t="n">
        <v>2</v>
      </c>
      <c r="C98" t="n">
        <v>17.5</v>
      </c>
      <c r="D98" t="n">
        <v>1.1</v>
      </c>
      <c r="E98" t="n">
        <v>5.8</v>
      </c>
      <c r="F98" s="8" t="n">
        <v>0.8406</v>
      </c>
      <c r="G98" t="n">
        <v>21.5</v>
      </c>
    </row>
    <row r="99">
      <c r="A99" t="inlineStr">
        <is>
          <t>CS2 · AUR vs G2</t>
        </is>
      </c>
      <c r="B99" t="n">
        <v>2</v>
      </c>
      <c r="C99" t="n">
        <v>18.5</v>
      </c>
      <c r="D99" t="n">
        <v>1.2</v>
      </c>
      <c r="E99" t="n">
        <v>4</v>
      </c>
      <c r="F99" s="8" t="n">
        <v>0.7692</v>
      </c>
      <c r="G99" t="n">
        <v>21.5</v>
      </c>
    </row>
    <row r="100">
      <c r="A100" t="inlineStr">
        <is>
          <t>CS2 · AUR vs G2</t>
        </is>
      </c>
      <c r="B100" t="n">
        <v>2</v>
      </c>
      <c r="C100" t="n">
        <v>19.5</v>
      </c>
      <c r="D100" t="n">
        <v>1.32</v>
      </c>
      <c r="E100" t="n">
        <v>3.1</v>
      </c>
      <c r="F100" s="8" t="n">
        <v>0.7014</v>
      </c>
      <c r="G100" t="n">
        <v>21.5</v>
      </c>
    </row>
    <row r="101">
      <c r="A101" t="inlineStr">
        <is>
          <t>CS2 · AUR vs G2</t>
        </is>
      </c>
      <c r="B101" t="n">
        <v>2</v>
      </c>
      <c r="C101" t="n">
        <v>20.5</v>
      </c>
      <c r="D101" t="n">
        <v>1.52</v>
      </c>
      <c r="E101" t="n">
        <v>2.35</v>
      </c>
      <c r="F101" s="8" t="n">
        <v>0.6072</v>
      </c>
      <c r="G101" t="n">
        <v>21.5</v>
      </c>
    </row>
    <row r="102">
      <c r="A102" t="inlineStr">
        <is>
          <t>CS2 · AUR vs G2</t>
        </is>
      </c>
      <c r="B102" t="n">
        <v>2</v>
      </c>
      <c r="C102" t="n">
        <v>21.5</v>
      </c>
      <c r="D102" t="n">
        <v>1.85</v>
      </c>
      <c r="E102" t="n">
        <v>1.85</v>
      </c>
      <c r="F102" s="8" t="n">
        <v>0.5</v>
      </c>
      <c r="G102" t="n">
        <v>21.5</v>
      </c>
    </row>
    <row r="103">
      <c r="A103" t="inlineStr">
        <is>
          <t>CS2 · AUR vs G2</t>
        </is>
      </c>
      <c r="B103" t="n">
        <v>2</v>
      </c>
      <c r="C103" t="n">
        <v>22.5</v>
      </c>
      <c r="D103" t="n">
        <v>2.4</v>
      </c>
      <c r="E103" t="n">
        <v>1.5</v>
      </c>
      <c r="F103" s="8" t="n">
        <v>0.3846</v>
      </c>
      <c r="G103" t="n">
        <v>21.5</v>
      </c>
    </row>
    <row r="104">
      <c r="A104" t="inlineStr">
        <is>
          <t>CS2 · AUR vs G2</t>
        </is>
      </c>
      <c r="B104" t="n">
        <v>3</v>
      </c>
      <c r="C104" t="n">
        <v>17.5</v>
      </c>
      <c r="D104" t="n">
        <v>1.1</v>
      </c>
      <c r="E104" t="n">
        <v>5.8</v>
      </c>
      <c r="F104" s="8" t="n">
        <v>0.8406</v>
      </c>
      <c r="G104" t="n">
        <v>21.5</v>
      </c>
    </row>
    <row r="105">
      <c r="A105" t="inlineStr">
        <is>
          <t>CS2 · AUR vs G2</t>
        </is>
      </c>
      <c r="B105" t="n">
        <v>3</v>
      </c>
      <c r="C105" t="n">
        <v>18.5</v>
      </c>
      <c r="D105" t="n">
        <v>1.2</v>
      </c>
      <c r="E105" t="n">
        <v>4</v>
      </c>
      <c r="F105" s="8" t="n">
        <v>0.7692</v>
      </c>
      <c r="G105" t="n">
        <v>21.5</v>
      </c>
    </row>
    <row r="106">
      <c r="A106" t="inlineStr">
        <is>
          <t>CS2 · AUR vs G2</t>
        </is>
      </c>
      <c r="B106" t="n">
        <v>3</v>
      </c>
      <c r="C106" t="n">
        <v>19.5</v>
      </c>
      <c r="D106" t="n">
        <v>1.35</v>
      </c>
      <c r="E106" t="n">
        <v>2.9</v>
      </c>
      <c r="F106" s="8" t="n">
        <v>0.6824</v>
      </c>
      <c r="G106" t="n">
        <v>21.5</v>
      </c>
    </row>
    <row r="107">
      <c r="A107" t="inlineStr">
        <is>
          <t>CS2 · AUR vs G2</t>
        </is>
      </c>
      <c r="B107" t="n">
        <v>3</v>
      </c>
      <c r="C107" t="n">
        <v>20.5</v>
      </c>
      <c r="D107" t="n">
        <v>1.55</v>
      </c>
      <c r="E107" t="n">
        <v>2.3</v>
      </c>
      <c r="F107" s="8" t="n">
        <v>0.5974</v>
      </c>
      <c r="G107" t="n">
        <v>21.5</v>
      </c>
    </row>
    <row r="108">
      <c r="A108" t="inlineStr">
        <is>
          <t>CS2 · AUR vs G2</t>
        </is>
      </c>
      <c r="B108" t="n">
        <v>3</v>
      </c>
      <c r="C108" t="n">
        <v>21.5</v>
      </c>
      <c r="D108" t="n">
        <v>1.85</v>
      </c>
      <c r="E108" t="n">
        <v>1.85</v>
      </c>
      <c r="F108" s="8" t="n">
        <v>0.5</v>
      </c>
      <c r="G108" t="n">
        <v>21.5</v>
      </c>
    </row>
    <row r="109">
      <c r="A109" t="inlineStr">
        <is>
          <t>CS2 · AUR vs G2</t>
        </is>
      </c>
      <c r="B109" t="n">
        <v>3</v>
      </c>
      <c r="C109" t="n">
        <v>22.5</v>
      </c>
      <c r="D109" t="n">
        <v>2.4</v>
      </c>
      <c r="E109" t="n">
        <v>1.5</v>
      </c>
      <c r="F109" s="8" t="n">
        <v>0.3846</v>
      </c>
      <c r="G109" t="n">
        <v>21.5</v>
      </c>
    </row>
    <row r="110">
      <c r="A110" t="inlineStr">
        <is>
          <t>CS2 · INF vs BRUTE</t>
        </is>
      </c>
      <c r="B110" t="n">
        <v>1</v>
      </c>
      <c r="C110" t="n">
        <v>17.5</v>
      </c>
      <c r="D110" t="n">
        <v>1.1</v>
      </c>
      <c r="E110" t="n">
        <v>5.8</v>
      </c>
      <c r="F110" s="8" t="n">
        <v>0.8406</v>
      </c>
      <c r="G110" t="n">
        <v>21.5</v>
      </c>
    </row>
    <row r="111">
      <c r="A111" t="inlineStr">
        <is>
          <t>CS2 · INF vs BRUTE</t>
        </is>
      </c>
      <c r="B111" t="n">
        <v>1</v>
      </c>
      <c r="C111" t="n">
        <v>18.5</v>
      </c>
      <c r="D111" t="n">
        <v>1.2</v>
      </c>
      <c r="E111" t="n">
        <v>4</v>
      </c>
      <c r="F111" s="8" t="n">
        <v>0.7692</v>
      </c>
      <c r="G111" t="n">
        <v>21.5</v>
      </c>
    </row>
    <row r="112">
      <c r="A112" t="inlineStr">
        <is>
          <t>CS2 · INF vs BRUTE</t>
        </is>
      </c>
      <c r="B112" t="n">
        <v>1</v>
      </c>
      <c r="C112" t="n">
        <v>19.5</v>
      </c>
      <c r="D112" t="n">
        <v>1.32</v>
      </c>
      <c r="E112" t="n">
        <v>3.1</v>
      </c>
      <c r="F112" s="8" t="n">
        <v>0.7014</v>
      </c>
      <c r="G112" t="n">
        <v>21.5</v>
      </c>
    </row>
    <row r="113">
      <c r="A113" t="inlineStr">
        <is>
          <t>CS2 · INF vs BRUTE</t>
        </is>
      </c>
      <c r="B113" t="n">
        <v>1</v>
      </c>
      <c r="C113" t="n">
        <v>20.5</v>
      </c>
      <c r="D113" t="n">
        <v>1.52</v>
      </c>
      <c r="E113" t="n">
        <v>2.35</v>
      </c>
      <c r="F113" s="8" t="n">
        <v>0.6072</v>
      </c>
      <c r="G113" t="n">
        <v>21.5</v>
      </c>
    </row>
    <row r="114">
      <c r="A114" t="inlineStr">
        <is>
          <t>CS2 · INF vs BRUTE</t>
        </is>
      </c>
      <c r="B114" t="n">
        <v>1</v>
      </c>
      <c r="C114" t="n">
        <v>21.5</v>
      </c>
      <c r="D114" t="n">
        <v>1.85</v>
      </c>
      <c r="E114" t="n">
        <v>1.85</v>
      </c>
      <c r="F114" s="8" t="n">
        <v>0.5</v>
      </c>
      <c r="G114" t="n">
        <v>21.5</v>
      </c>
    </row>
    <row r="115">
      <c r="A115" t="inlineStr">
        <is>
          <t>CS2 · INF vs BRUTE</t>
        </is>
      </c>
      <c r="B115" t="n">
        <v>1</v>
      </c>
      <c r="C115" t="n">
        <v>22.5</v>
      </c>
      <c r="D115" t="n">
        <v>2.4</v>
      </c>
      <c r="E115" t="n">
        <v>1.5</v>
      </c>
      <c r="F115" s="8" t="n">
        <v>0.3846</v>
      </c>
      <c r="G115" t="n">
        <v>21.5</v>
      </c>
    </row>
    <row r="116">
      <c r="A116" t="inlineStr">
        <is>
          <t>CS2 · INF vs BRUTE</t>
        </is>
      </c>
      <c r="B116" t="n">
        <v>2</v>
      </c>
      <c r="C116" t="n">
        <v>17.5</v>
      </c>
      <c r="D116" t="n">
        <v>1.1</v>
      </c>
      <c r="E116" t="n">
        <v>5.8</v>
      </c>
      <c r="F116" s="8" t="n">
        <v>0.8406</v>
      </c>
      <c r="G116" t="n">
        <v>21.5</v>
      </c>
    </row>
    <row r="117">
      <c r="A117" t="inlineStr">
        <is>
          <t>CS2 · INF vs BRUTE</t>
        </is>
      </c>
      <c r="B117" t="n">
        <v>2</v>
      </c>
      <c r="C117" t="n">
        <v>18.5</v>
      </c>
      <c r="D117" t="n">
        <v>1.2</v>
      </c>
      <c r="E117" t="n">
        <v>4</v>
      </c>
      <c r="F117" s="8" t="n">
        <v>0.7692</v>
      </c>
      <c r="G117" t="n">
        <v>21.5</v>
      </c>
    </row>
    <row r="118">
      <c r="A118" t="inlineStr">
        <is>
          <t>CS2 · INF vs BRUTE</t>
        </is>
      </c>
      <c r="B118" t="n">
        <v>2</v>
      </c>
      <c r="C118" t="n">
        <v>19.5</v>
      </c>
      <c r="D118" t="n">
        <v>1.32</v>
      </c>
      <c r="E118" t="n">
        <v>3.1</v>
      </c>
      <c r="F118" s="8" t="n">
        <v>0.7014</v>
      </c>
      <c r="G118" t="n">
        <v>21.5</v>
      </c>
    </row>
    <row r="119">
      <c r="A119" t="inlineStr">
        <is>
          <t>CS2 · INF vs BRUTE</t>
        </is>
      </c>
      <c r="B119" t="n">
        <v>2</v>
      </c>
      <c r="C119" t="n">
        <v>20.5</v>
      </c>
      <c r="D119" t="n">
        <v>1.52</v>
      </c>
      <c r="E119" t="n">
        <v>2.35</v>
      </c>
      <c r="F119" s="8" t="n">
        <v>0.6072</v>
      </c>
      <c r="G119" t="n">
        <v>21.5</v>
      </c>
    </row>
    <row r="120">
      <c r="A120" t="inlineStr">
        <is>
          <t>CS2 · INF vs BRUTE</t>
        </is>
      </c>
      <c r="B120" t="n">
        <v>2</v>
      </c>
      <c r="C120" t="n">
        <v>21.5</v>
      </c>
      <c r="D120" t="n">
        <v>1.85</v>
      </c>
      <c r="E120" t="n">
        <v>1.85</v>
      </c>
      <c r="F120" s="8" t="n">
        <v>0.5</v>
      </c>
      <c r="G120" t="n">
        <v>21.5</v>
      </c>
    </row>
    <row r="121">
      <c r="A121" t="inlineStr">
        <is>
          <t>CS2 · INF vs BRUTE</t>
        </is>
      </c>
      <c r="B121" t="n">
        <v>2</v>
      </c>
      <c r="C121" t="n">
        <v>22.5</v>
      </c>
      <c r="D121" t="n">
        <v>2.4</v>
      </c>
      <c r="E121" t="n">
        <v>1.5</v>
      </c>
      <c r="F121" s="8" t="n">
        <v>0.3846</v>
      </c>
      <c r="G121" t="n">
        <v>21.5</v>
      </c>
    </row>
    <row r="122">
      <c r="A122" t="inlineStr">
        <is>
          <t>CS2 · INF vs BRUTE</t>
        </is>
      </c>
      <c r="B122" t="n">
        <v>3</v>
      </c>
      <c r="C122" t="n">
        <v>17.5</v>
      </c>
      <c r="D122" t="n">
        <v>1.1</v>
      </c>
      <c r="E122" t="n">
        <v>5.8</v>
      </c>
      <c r="F122" s="8" t="n">
        <v>0.8406</v>
      </c>
      <c r="G122" t="n">
        <v>21.5</v>
      </c>
    </row>
    <row r="123">
      <c r="A123" t="inlineStr">
        <is>
          <t>CS2 · INF vs BRUTE</t>
        </is>
      </c>
      <c r="B123" t="n">
        <v>3</v>
      </c>
      <c r="C123" t="n">
        <v>18.5</v>
      </c>
      <c r="D123" t="n">
        <v>1.2</v>
      </c>
      <c r="E123" t="n">
        <v>4</v>
      </c>
      <c r="F123" s="8" t="n">
        <v>0.7692</v>
      </c>
      <c r="G123" t="n">
        <v>21.5</v>
      </c>
    </row>
    <row r="124">
      <c r="A124" t="inlineStr">
        <is>
          <t>CS2 · INF vs BRUTE</t>
        </is>
      </c>
      <c r="B124" t="n">
        <v>3</v>
      </c>
      <c r="C124" t="n">
        <v>19.5</v>
      </c>
      <c r="D124" t="n">
        <v>1.32</v>
      </c>
      <c r="E124" t="n">
        <v>3.1</v>
      </c>
      <c r="F124" s="8" t="n">
        <v>0.7014</v>
      </c>
      <c r="G124" t="n">
        <v>21.5</v>
      </c>
    </row>
    <row r="125">
      <c r="A125" t="inlineStr">
        <is>
          <t>CS2 · INF vs BRUTE</t>
        </is>
      </c>
      <c r="B125" t="n">
        <v>3</v>
      </c>
      <c r="C125" t="n">
        <v>20.5</v>
      </c>
      <c r="D125" t="n">
        <v>1.52</v>
      </c>
      <c r="E125" t="n">
        <v>2.35</v>
      </c>
      <c r="F125" s="8" t="n">
        <v>0.6072</v>
      </c>
      <c r="G125" t="n">
        <v>21.5</v>
      </c>
    </row>
    <row r="126">
      <c r="A126" t="inlineStr">
        <is>
          <t>CS2 · INF vs BRUTE</t>
        </is>
      </c>
      <c r="B126" t="n">
        <v>3</v>
      </c>
      <c r="C126" t="n">
        <v>21.5</v>
      </c>
      <c r="D126" t="n">
        <v>1.85</v>
      </c>
      <c r="E126" t="n">
        <v>1.85</v>
      </c>
      <c r="F126" s="8" t="n">
        <v>0.5</v>
      </c>
      <c r="G126" t="n">
        <v>21.5</v>
      </c>
    </row>
    <row r="127">
      <c r="A127" t="inlineStr">
        <is>
          <t>CS2 · INF vs BRUTE</t>
        </is>
      </c>
      <c r="B127" t="n">
        <v>3</v>
      </c>
      <c r="C127" t="n">
        <v>22.5</v>
      </c>
      <c r="D127" t="n">
        <v>2.4</v>
      </c>
      <c r="E127" t="n">
        <v>1.5</v>
      </c>
      <c r="F127" s="8" t="n">
        <v>0.3846</v>
      </c>
      <c r="G127" t="n">
        <v>21.5</v>
      </c>
    </row>
    <row r="128">
      <c r="A128" t="inlineStr">
        <is>
          <t>CS2 · LGC vs DEN</t>
        </is>
      </c>
      <c r="B128" t="n">
        <v>1</v>
      </c>
      <c r="C128" t="n">
        <v>17.5</v>
      </c>
      <c r="D128" t="n">
        <v>1.12</v>
      </c>
      <c r="E128" t="n">
        <v>5.3</v>
      </c>
      <c r="F128" s="8" t="n">
        <v>0.8255</v>
      </c>
      <c r="G128" t="n">
        <v>21.36</v>
      </c>
    </row>
    <row r="129">
      <c r="A129" t="inlineStr">
        <is>
          <t>CS2 · LGC vs DEN</t>
        </is>
      </c>
      <c r="B129" t="n">
        <v>1</v>
      </c>
      <c r="C129" t="n">
        <v>18.5</v>
      </c>
      <c r="D129" t="n">
        <v>1.22</v>
      </c>
      <c r="E129" t="n">
        <v>3.8</v>
      </c>
      <c r="F129" s="8" t="n">
        <v>0.757</v>
      </c>
      <c r="G129" t="n">
        <v>21.36</v>
      </c>
    </row>
    <row r="130">
      <c r="A130" t="inlineStr">
        <is>
          <t>CS2 · LGC vs DEN</t>
        </is>
      </c>
      <c r="B130" t="n">
        <v>1</v>
      </c>
      <c r="C130" t="n">
        <v>19.5</v>
      </c>
      <c r="D130" t="n">
        <v>1.38</v>
      </c>
      <c r="E130" t="n">
        <v>2.8</v>
      </c>
      <c r="F130" s="8" t="n">
        <v>0.6699000000000001</v>
      </c>
      <c r="G130" t="n">
        <v>21.36</v>
      </c>
    </row>
    <row r="131">
      <c r="A131" t="inlineStr">
        <is>
          <t>CS2 · LGC vs DEN</t>
        </is>
      </c>
      <c r="B131" t="n">
        <v>1</v>
      </c>
      <c r="C131" t="n">
        <v>20.5</v>
      </c>
      <c r="D131" t="n">
        <v>1.58</v>
      </c>
      <c r="E131" t="n">
        <v>2.2</v>
      </c>
      <c r="F131" s="8" t="n">
        <v>0.582</v>
      </c>
      <c r="G131" t="n">
        <v>21.36</v>
      </c>
    </row>
    <row r="132">
      <c r="A132" t="inlineStr">
        <is>
          <t>CS2 · LGC vs DEN</t>
        </is>
      </c>
      <c r="B132" t="n">
        <v>1</v>
      </c>
      <c r="C132" t="n">
        <v>21.5</v>
      </c>
      <c r="D132" t="n">
        <v>1.9</v>
      </c>
      <c r="E132" t="n">
        <v>1.8</v>
      </c>
      <c r="F132" s="8" t="n">
        <v>0.4865</v>
      </c>
      <c r="G132" t="n">
        <v>21.36</v>
      </c>
    </row>
    <row r="133">
      <c r="A133" t="inlineStr">
        <is>
          <t>CS2 · LGC vs DEN</t>
        </is>
      </c>
      <c r="B133" t="n">
        <v>1</v>
      </c>
      <c r="C133" t="n">
        <v>22.5</v>
      </c>
      <c r="D133" t="n">
        <v>2.4</v>
      </c>
      <c r="E133" t="n">
        <v>1.5</v>
      </c>
      <c r="F133" s="8" t="n">
        <v>0.3846</v>
      </c>
      <c r="G133" t="n">
        <v>21.36</v>
      </c>
    </row>
    <row r="134">
      <c r="A134" t="inlineStr">
        <is>
          <t>CS2 · LGC vs DEN</t>
        </is>
      </c>
      <c r="B134" t="n">
        <v>2</v>
      </c>
      <c r="C134" t="n">
        <v>17.5</v>
      </c>
      <c r="D134" t="n">
        <v>1.13</v>
      </c>
      <c r="E134" t="n">
        <v>5</v>
      </c>
      <c r="F134" s="8" t="n">
        <v>0.8157</v>
      </c>
      <c r="G134" t="n">
        <v>21.11</v>
      </c>
    </row>
    <row r="135">
      <c r="A135" t="inlineStr">
        <is>
          <t>CS2 · LGC vs DEN</t>
        </is>
      </c>
      <c r="B135" t="n">
        <v>2</v>
      </c>
      <c r="C135" t="n">
        <v>18.5</v>
      </c>
      <c r="D135" t="n">
        <v>1.25</v>
      </c>
      <c r="E135" t="n">
        <v>3.5</v>
      </c>
      <c r="F135" s="8" t="n">
        <v>0.7368</v>
      </c>
      <c r="G135" t="n">
        <v>21.11</v>
      </c>
    </row>
    <row r="136">
      <c r="A136" t="inlineStr">
        <is>
          <t>CS2 · LGC vs DEN</t>
        </is>
      </c>
      <c r="B136" t="n">
        <v>2</v>
      </c>
      <c r="C136" t="n">
        <v>19.5</v>
      </c>
      <c r="D136" t="n">
        <v>1.4</v>
      </c>
      <c r="E136" t="n">
        <v>2.7</v>
      </c>
      <c r="F136" s="8" t="n">
        <v>0.6585</v>
      </c>
      <c r="G136" t="n">
        <v>21.11</v>
      </c>
    </row>
    <row r="137">
      <c r="A137" t="inlineStr">
        <is>
          <t>CS2 · LGC vs DEN</t>
        </is>
      </c>
      <c r="B137" t="n">
        <v>2</v>
      </c>
      <c r="C137" t="n">
        <v>20.5</v>
      </c>
      <c r="D137" t="n">
        <v>1.65</v>
      </c>
      <c r="E137" t="n">
        <v>2.1</v>
      </c>
      <c r="F137" s="8" t="n">
        <v>0.5600000000000001</v>
      </c>
      <c r="G137" t="n">
        <v>21.11</v>
      </c>
    </row>
    <row r="138">
      <c r="A138" t="inlineStr">
        <is>
          <t>CS2 · LGC vs DEN</t>
        </is>
      </c>
      <c r="B138" t="n">
        <v>2</v>
      </c>
      <c r="C138" t="n">
        <v>21.5</v>
      </c>
      <c r="D138" t="n">
        <v>2</v>
      </c>
      <c r="E138" t="n">
        <v>1.72</v>
      </c>
      <c r="F138" s="8" t="n">
        <v>0.4624</v>
      </c>
      <c r="G138" t="n">
        <v>21.11</v>
      </c>
    </row>
    <row r="139">
      <c r="A139" t="inlineStr">
        <is>
          <t>CS2 · LGC vs DEN</t>
        </is>
      </c>
      <c r="B139" t="n">
        <v>2</v>
      </c>
      <c r="C139" t="n">
        <v>22.5</v>
      </c>
      <c r="D139" t="n">
        <v>2.6</v>
      </c>
      <c r="E139" t="n">
        <v>1.45</v>
      </c>
      <c r="F139" s="8" t="n">
        <v>0.358</v>
      </c>
      <c r="G139" t="n">
        <v>21.11</v>
      </c>
    </row>
    <row r="140">
      <c r="A140" t="inlineStr">
        <is>
          <t>CS2 · LGC vs DEN</t>
        </is>
      </c>
      <c r="B140" t="n">
        <v>3</v>
      </c>
      <c r="C140" t="n">
        <v>17.5</v>
      </c>
      <c r="D140" t="n">
        <v>1.12</v>
      </c>
      <c r="E140" t="n">
        <v>5.3</v>
      </c>
      <c r="F140" s="8" t="n">
        <v>0.8255</v>
      </c>
      <c r="G140" t="n">
        <v>21.22</v>
      </c>
    </row>
    <row r="141">
      <c r="A141" t="inlineStr">
        <is>
          <t>CS2 · LGC vs DEN</t>
        </is>
      </c>
      <c r="B141" t="n">
        <v>3</v>
      </c>
      <c r="C141" t="n">
        <v>18.5</v>
      </c>
      <c r="D141" t="n">
        <v>1.22</v>
      </c>
      <c r="E141" t="n">
        <v>3.8</v>
      </c>
      <c r="F141" s="8" t="n">
        <v>0.757</v>
      </c>
      <c r="G141" t="n">
        <v>21.22</v>
      </c>
    </row>
    <row r="142">
      <c r="A142" t="inlineStr">
        <is>
          <t>CS2 · LGC vs DEN</t>
        </is>
      </c>
      <c r="B142" t="n">
        <v>3</v>
      </c>
      <c r="C142" t="n">
        <v>19.5</v>
      </c>
      <c r="D142" t="n">
        <v>1.38</v>
      </c>
      <c r="E142" t="n">
        <v>2.8</v>
      </c>
      <c r="F142" s="8" t="n">
        <v>0.6699000000000001</v>
      </c>
      <c r="G142" t="n">
        <v>21.22</v>
      </c>
    </row>
    <row r="143">
      <c r="A143" t="inlineStr">
        <is>
          <t>CS2 · LGC vs DEN</t>
        </is>
      </c>
      <c r="B143" t="n">
        <v>3</v>
      </c>
      <c r="C143" t="n">
        <v>20.5</v>
      </c>
      <c r="D143" t="n">
        <v>1.62</v>
      </c>
      <c r="E143" t="n">
        <v>2.15</v>
      </c>
      <c r="F143" s="8" t="n">
        <v>0.5703</v>
      </c>
      <c r="G143" t="n">
        <v>21.22</v>
      </c>
    </row>
    <row r="144">
      <c r="A144" t="inlineStr">
        <is>
          <t>CS2 · LGC vs DEN</t>
        </is>
      </c>
      <c r="B144" t="n">
        <v>3</v>
      </c>
      <c r="C144" t="n">
        <v>21.5</v>
      </c>
      <c r="D144" t="n">
        <v>1.95</v>
      </c>
      <c r="E144" t="n">
        <v>1.75</v>
      </c>
      <c r="F144" s="8" t="n">
        <v>0.473</v>
      </c>
      <c r="G144" t="n">
        <v>21.22</v>
      </c>
    </row>
    <row r="145">
      <c r="A145" t="inlineStr">
        <is>
          <t>CS2 · LGC vs DEN</t>
        </is>
      </c>
      <c r="B145" t="n">
        <v>3</v>
      </c>
      <c r="C145" t="n">
        <v>22.5</v>
      </c>
      <c r="D145" t="n">
        <v>2.5</v>
      </c>
      <c r="E145" t="n">
        <v>1.48</v>
      </c>
      <c r="F145" s="8" t="n">
        <v>0.3719</v>
      </c>
      <c r="G145" t="n">
        <v>21.22</v>
      </c>
    </row>
    <row r="146">
      <c r="A146" t="inlineStr">
        <is>
          <t>CS2 · FURIA vs NAVI</t>
        </is>
      </c>
      <c r="B146" t="n">
        <v>1</v>
      </c>
      <c r="C146" t="n">
        <v>17.5</v>
      </c>
      <c r="D146" t="n">
        <v>1.1</v>
      </c>
      <c r="E146" t="n">
        <v>5.8</v>
      </c>
      <c r="F146" s="8" t="n">
        <v>0.8406</v>
      </c>
      <c r="G146" t="n">
        <v>21.5</v>
      </c>
    </row>
    <row r="147">
      <c r="A147" t="inlineStr">
        <is>
          <t>CS2 · FURIA vs NAVI</t>
        </is>
      </c>
      <c r="B147" t="n">
        <v>1</v>
      </c>
      <c r="C147" t="n">
        <v>18.5</v>
      </c>
      <c r="D147" t="n">
        <v>1.2</v>
      </c>
      <c r="E147" t="n">
        <v>4</v>
      </c>
      <c r="F147" s="8" t="n">
        <v>0.7692</v>
      </c>
      <c r="G147" t="n">
        <v>21.5</v>
      </c>
    </row>
    <row r="148">
      <c r="A148" t="inlineStr">
        <is>
          <t>CS2 · FURIA vs NAVI</t>
        </is>
      </c>
      <c r="B148" t="n">
        <v>1</v>
      </c>
      <c r="C148" t="n">
        <v>19.5</v>
      </c>
      <c r="D148" t="n">
        <v>1.32</v>
      </c>
      <c r="E148" t="n">
        <v>3.1</v>
      </c>
      <c r="F148" s="8" t="n">
        <v>0.7014</v>
      </c>
      <c r="G148" t="n">
        <v>21.5</v>
      </c>
    </row>
    <row r="149">
      <c r="A149" t="inlineStr">
        <is>
          <t>CS2 · FURIA vs NAVI</t>
        </is>
      </c>
      <c r="B149" t="n">
        <v>1</v>
      </c>
      <c r="C149" t="n">
        <v>20.5</v>
      </c>
      <c r="D149" t="n">
        <v>1.52</v>
      </c>
      <c r="E149" t="n">
        <v>2.35</v>
      </c>
      <c r="F149" s="8" t="n">
        <v>0.6072</v>
      </c>
      <c r="G149" t="n">
        <v>21.5</v>
      </c>
    </row>
    <row r="150">
      <c r="A150" t="inlineStr">
        <is>
          <t>CS2 · FURIA vs NAVI</t>
        </is>
      </c>
      <c r="B150" t="n">
        <v>1</v>
      </c>
      <c r="C150" t="n">
        <v>21.5</v>
      </c>
      <c r="D150" t="n">
        <v>1.85</v>
      </c>
      <c r="E150" t="n">
        <v>1.85</v>
      </c>
      <c r="F150" s="8" t="n">
        <v>0.5</v>
      </c>
      <c r="G150" t="n">
        <v>21.5</v>
      </c>
    </row>
    <row r="151">
      <c r="A151" t="inlineStr">
        <is>
          <t>CS2 · FURIA vs NAVI</t>
        </is>
      </c>
      <c r="B151" t="n">
        <v>1</v>
      </c>
      <c r="C151" t="n">
        <v>22.5</v>
      </c>
      <c r="D151" t="n">
        <v>2.4</v>
      </c>
      <c r="E151" t="n">
        <v>1.5</v>
      </c>
      <c r="F151" s="8" t="n">
        <v>0.3846</v>
      </c>
      <c r="G151" t="n">
        <v>21.5</v>
      </c>
    </row>
    <row r="152">
      <c r="A152" t="inlineStr">
        <is>
          <t>CS2 · FURIA vs NAVI</t>
        </is>
      </c>
      <c r="B152" t="n">
        <v>2</v>
      </c>
      <c r="C152" t="n">
        <v>17.5</v>
      </c>
      <c r="D152" t="n">
        <v>1.1</v>
      </c>
      <c r="E152" t="n">
        <v>5.8</v>
      </c>
      <c r="F152" s="8" t="n">
        <v>0.8406</v>
      </c>
      <c r="G152" t="n">
        <v>21.42</v>
      </c>
    </row>
    <row r="153">
      <c r="A153" t="inlineStr">
        <is>
          <t>CS2 · FURIA vs NAVI</t>
        </is>
      </c>
      <c r="B153" t="n">
        <v>2</v>
      </c>
      <c r="C153" t="n">
        <v>18.5</v>
      </c>
      <c r="D153" t="n">
        <v>1.22</v>
      </c>
      <c r="E153" t="n">
        <v>3.8</v>
      </c>
      <c r="F153" s="8" t="n">
        <v>0.757</v>
      </c>
      <c r="G153" t="n">
        <v>21.42</v>
      </c>
    </row>
    <row r="154">
      <c r="A154" t="inlineStr">
        <is>
          <t>CS2 · FURIA vs NAVI</t>
        </is>
      </c>
      <c r="B154" t="n">
        <v>2</v>
      </c>
      <c r="C154" t="n">
        <v>19.5</v>
      </c>
      <c r="D154" t="n">
        <v>1.35</v>
      </c>
      <c r="E154" t="n">
        <v>2.9</v>
      </c>
      <c r="F154" s="8" t="n">
        <v>0.6824</v>
      </c>
      <c r="G154" t="n">
        <v>21.42</v>
      </c>
    </row>
    <row r="155">
      <c r="A155" t="inlineStr">
        <is>
          <t>CS2 · FURIA vs NAVI</t>
        </is>
      </c>
      <c r="B155" t="n">
        <v>2</v>
      </c>
      <c r="C155" t="n">
        <v>20.5</v>
      </c>
      <c r="D155" t="n">
        <v>1.55</v>
      </c>
      <c r="E155" t="n">
        <v>2.3</v>
      </c>
      <c r="F155" s="8" t="n">
        <v>0.5974</v>
      </c>
      <c r="G155" t="n">
        <v>21.42</v>
      </c>
    </row>
    <row r="156">
      <c r="A156" t="inlineStr">
        <is>
          <t>CS2 · FURIA vs NAVI</t>
        </is>
      </c>
      <c r="B156" t="n">
        <v>2</v>
      </c>
      <c r="C156" t="n">
        <v>21.5</v>
      </c>
      <c r="D156" t="n">
        <v>1.88</v>
      </c>
      <c r="E156" t="n">
        <v>1.82</v>
      </c>
      <c r="F156" s="8" t="n">
        <v>0.4919</v>
      </c>
      <c r="G156" t="n">
        <v>21.42</v>
      </c>
    </row>
    <row r="157">
      <c r="A157" t="inlineStr">
        <is>
          <t>CS2 · FURIA vs NAVI</t>
        </is>
      </c>
      <c r="B157" t="n">
        <v>2</v>
      </c>
      <c r="C157" t="n">
        <v>22.5</v>
      </c>
      <c r="D157" t="n">
        <v>2.4</v>
      </c>
      <c r="E157" t="n">
        <v>1.5</v>
      </c>
      <c r="F157" s="8" t="n">
        <v>0.3846</v>
      </c>
      <c r="G157" t="n">
        <v>21.42</v>
      </c>
    </row>
    <row r="158">
      <c r="A158" t="inlineStr">
        <is>
          <t>CS2 · FURIA vs NAVI</t>
        </is>
      </c>
      <c r="B158" t="n">
        <v>3</v>
      </c>
      <c r="C158" t="n">
        <v>17.5</v>
      </c>
      <c r="D158" t="n">
        <v>1.1</v>
      </c>
      <c r="E158" t="n">
        <v>5.8</v>
      </c>
      <c r="F158" s="8" t="n">
        <v>0.8406</v>
      </c>
      <c r="G158" t="n">
        <v>21.5</v>
      </c>
    </row>
    <row r="159">
      <c r="A159" t="inlineStr">
        <is>
          <t>CS2 · FURIA vs NAVI</t>
        </is>
      </c>
      <c r="B159" t="n">
        <v>3</v>
      </c>
      <c r="C159" t="n">
        <v>18.5</v>
      </c>
      <c r="D159" t="n">
        <v>1.2</v>
      </c>
      <c r="E159" t="n">
        <v>4</v>
      </c>
      <c r="F159" s="8" t="n">
        <v>0.7692</v>
      </c>
      <c r="G159" t="n">
        <v>21.5</v>
      </c>
    </row>
    <row r="160">
      <c r="A160" t="inlineStr">
        <is>
          <t>CS2 · FURIA vs NAVI</t>
        </is>
      </c>
      <c r="B160" t="n">
        <v>3</v>
      </c>
      <c r="C160" t="n">
        <v>19.5</v>
      </c>
      <c r="D160" t="n">
        <v>1.35</v>
      </c>
      <c r="E160" t="n">
        <v>2.9</v>
      </c>
      <c r="F160" s="8" t="n">
        <v>0.6824</v>
      </c>
      <c r="G160" t="n">
        <v>21.5</v>
      </c>
    </row>
    <row r="161">
      <c r="A161" t="inlineStr">
        <is>
          <t>CS2 · FURIA vs NAVI</t>
        </is>
      </c>
      <c r="B161" t="n">
        <v>3</v>
      </c>
      <c r="C161" t="n">
        <v>20.5</v>
      </c>
      <c r="D161" t="n">
        <v>1.52</v>
      </c>
      <c r="E161" t="n">
        <v>2.35</v>
      </c>
      <c r="F161" s="8" t="n">
        <v>0.6072</v>
      </c>
      <c r="G161" t="n">
        <v>21.5</v>
      </c>
    </row>
    <row r="162">
      <c r="A162" t="inlineStr">
        <is>
          <t>CS2 · FURIA vs NAVI</t>
        </is>
      </c>
      <c r="B162" t="n">
        <v>3</v>
      </c>
      <c r="C162" t="n">
        <v>21.5</v>
      </c>
      <c r="D162" t="n">
        <v>1.85</v>
      </c>
      <c r="E162" t="n">
        <v>1.85</v>
      </c>
      <c r="F162" s="8" t="n">
        <v>0.5</v>
      </c>
      <c r="G162" t="n">
        <v>21.5</v>
      </c>
    </row>
    <row r="163">
      <c r="A163" t="inlineStr">
        <is>
          <t>CS2 · FURIA vs NAVI</t>
        </is>
      </c>
      <c r="B163" t="n">
        <v>3</v>
      </c>
      <c r="C163" t="n">
        <v>22.5</v>
      </c>
      <c r="D163" t="n">
        <v>2.4</v>
      </c>
      <c r="E163" t="n">
        <v>1.5</v>
      </c>
      <c r="F163" s="8" t="n">
        <v>0.3846</v>
      </c>
      <c r="G163" t="n">
        <v>21.5</v>
      </c>
    </row>
    <row r="164">
      <c r="A164" t="inlineStr">
        <is>
          <t>CS2 · paiN vs BST</t>
        </is>
      </c>
      <c r="B164" t="n">
        <v>1</v>
      </c>
      <c r="C164" t="n">
        <v>17.5</v>
      </c>
      <c r="D164" t="n">
        <v>1.1</v>
      </c>
      <c r="E164" t="n">
        <v>5.8</v>
      </c>
      <c r="F164" s="8" t="n">
        <v>0.8406</v>
      </c>
      <c r="G164" t="n">
        <v>21.5</v>
      </c>
    </row>
    <row r="165">
      <c r="A165" t="inlineStr">
        <is>
          <t>CS2 · paiN vs BST</t>
        </is>
      </c>
      <c r="B165" t="n">
        <v>1</v>
      </c>
      <c r="C165" t="n">
        <v>18.5</v>
      </c>
      <c r="D165" t="n">
        <v>1.2</v>
      </c>
      <c r="E165" t="n">
        <v>4</v>
      </c>
      <c r="F165" s="8" t="n">
        <v>0.7692</v>
      </c>
      <c r="G165" t="n">
        <v>21.5</v>
      </c>
    </row>
    <row r="166">
      <c r="A166" t="inlineStr">
        <is>
          <t>CS2 · paiN vs BST</t>
        </is>
      </c>
      <c r="B166" t="n">
        <v>1</v>
      </c>
      <c r="C166" t="n">
        <v>19.5</v>
      </c>
      <c r="D166" t="n">
        <v>1.32</v>
      </c>
      <c r="E166" t="n">
        <v>3.1</v>
      </c>
      <c r="F166" s="8" t="n">
        <v>0.7014</v>
      </c>
      <c r="G166" t="n">
        <v>21.5</v>
      </c>
    </row>
    <row r="167">
      <c r="A167" t="inlineStr">
        <is>
          <t>CS2 · paiN vs BST</t>
        </is>
      </c>
      <c r="B167" t="n">
        <v>1</v>
      </c>
      <c r="C167" t="n">
        <v>20.5</v>
      </c>
      <c r="D167" t="n">
        <v>1.52</v>
      </c>
      <c r="E167" t="n">
        <v>2.35</v>
      </c>
      <c r="F167" s="8" t="n">
        <v>0.6072</v>
      </c>
      <c r="G167" t="n">
        <v>21.5</v>
      </c>
    </row>
    <row r="168">
      <c r="A168" t="inlineStr">
        <is>
          <t>CS2 · paiN vs BST</t>
        </is>
      </c>
      <c r="B168" t="n">
        <v>1</v>
      </c>
      <c r="C168" t="n">
        <v>21.5</v>
      </c>
      <c r="D168" t="n">
        <v>1.85</v>
      </c>
      <c r="E168" t="n">
        <v>1.85</v>
      </c>
      <c r="F168" s="8" t="n">
        <v>0.5</v>
      </c>
      <c r="G168" t="n">
        <v>21.5</v>
      </c>
    </row>
    <row r="169">
      <c r="A169" t="inlineStr">
        <is>
          <t>CS2 · paiN vs BST</t>
        </is>
      </c>
      <c r="B169" t="n">
        <v>1</v>
      </c>
      <c r="C169" t="n">
        <v>22.5</v>
      </c>
      <c r="D169" t="n">
        <v>2.4</v>
      </c>
      <c r="E169" t="n">
        <v>1.5</v>
      </c>
      <c r="F169" s="8" t="n">
        <v>0.3846</v>
      </c>
      <c r="G169" t="n">
        <v>21.5</v>
      </c>
    </row>
    <row r="170">
      <c r="A170" t="inlineStr">
        <is>
          <t>CS2 · paiN vs BST</t>
        </is>
      </c>
      <c r="B170" t="n">
        <v>2</v>
      </c>
      <c r="C170" t="n">
        <v>17.5</v>
      </c>
      <c r="D170" t="n">
        <v>1.1</v>
      </c>
      <c r="E170" t="n">
        <v>5.8</v>
      </c>
      <c r="F170" s="8" t="n">
        <v>0.8406</v>
      </c>
      <c r="G170" t="n">
        <v>21.5</v>
      </c>
    </row>
    <row r="171">
      <c r="A171" t="inlineStr">
        <is>
          <t>CS2 · paiN vs BST</t>
        </is>
      </c>
      <c r="B171" t="n">
        <v>2</v>
      </c>
      <c r="C171" t="n">
        <v>18.5</v>
      </c>
      <c r="D171" t="n">
        <v>1.2</v>
      </c>
      <c r="E171" t="n">
        <v>4</v>
      </c>
      <c r="F171" s="8" t="n">
        <v>0.7692</v>
      </c>
      <c r="G171" t="n">
        <v>21.5</v>
      </c>
    </row>
    <row r="172">
      <c r="A172" t="inlineStr">
        <is>
          <t>CS2 · paiN vs BST</t>
        </is>
      </c>
      <c r="B172" t="n">
        <v>2</v>
      </c>
      <c r="C172" t="n">
        <v>19.5</v>
      </c>
      <c r="D172" t="n">
        <v>1.35</v>
      </c>
      <c r="E172" t="n">
        <v>2.9</v>
      </c>
      <c r="F172" s="8" t="n">
        <v>0.6824</v>
      </c>
      <c r="G172" t="n">
        <v>21.5</v>
      </c>
    </row>
    <row r="173">
      <c r="A173" t="inlineStr">
        <is>
          <t>CS2 · paiN vs BST</t>
        </is>
      </c>
      <c r="B173" t="n">
        <v>2</v>
      </c>
      <c r="C173" t="n">
        <v>20.5</v>
      </c>
      <c r="D173" t="n">
        <v>1.55</v>
      </c>
      <c r="E173" t="n">
        <v>2.3</v>
      </c>
      <c r="F173" s="8" t="n">
        <v>0.5974</v>
      </c>
      <c r="G173" t="n">
        <v>21.5</v>
      </c>
    </row>
    <row r="174">
      <c r="A174" t="inlineStr">
        <is>
          <t>CS2 · paiN vs BST</t>
        </is>
      </c>
      <c r="B174" t="n">
        <v>2</v>
      </c>
      <c r="C174" t="n">
        <v>21.5</v>
      </c>
      <c r="D174" t="n">
        <v>1.85</v>
      </c>
      <c r="E174" t="n">
        <v>1.85</v>
      </c>
      <c r="F174" s="8" t="n">
        <v>0.5</v>
      </c>
      <c r="G174" t="n">
        <v>21.5</v>
      </c>
    </row>
    <row r="175">
      <c r="A175" t="inlineStr">
        <is>
          <t>CS2 · paiN vs BST</t>
        </is>
      </c>
      <c r="B175" t="n">
        <v>2</v>
      </c>
      <c r="C175" t="n">
        <v>22.5</v>
      </c>
      <c r="D175" t="n">
        <v>2.4</v>
      </c>
      <c r="E175" t="n">
        <v>1.5</v>
      </c>
      <c r="F175" s="8" t="n">
        <v>0.3846</v>
      </c>
      <c r="G175" t="n">
        <v>21.5</v>
      </c>
    </row>
    <row r="176">
      <c r="A176" t="inlineStr">
        <is>
          <t>CS2 · paiN vs BST</t>
        </is>
      </c>
      <c r="B176" t="n">
        <v>3</v>
      </c>
      <c r="C176" t="n">
        <v>17.5</v>
      </c>
      <c r="D176" t="n">
        <v>1.1</v>
      </c>
      <c r="E176" t="n">
        <v>5.8</v>
      </c>
      <c r="F176" s="8" t="n">
        <v>0.8406</v>
      </c>
      <c r="G176" t="n">
        <v>21.5</v>
      </c>
    </row>
    <row r="177">
      <c r="A177" t="inlineStr">
        <is>
          <t>CS2 · paiN vs BST</t>
        </is>
      </c>
      <c r="B177" t="n">
        <v>3</v>
      </c>
      <c r="C177" t="n">
        <v>18.5</v>
      </c>
      <c r="D177" t="n">
        <v>1.2</v>
      </c>
      <c r="E177" t="n">
        <v>4</v>
      </c>
      <c r="F177" s="8" t="n">
        <v>0.7692</v>
      </c>
      <c r="G177" t="n">
        <v>21.5</v>
      </c>
    </row>
    <row r="178">
      <c r="A178" t="inlineStr">
        <is>
          <t>CS2 · paiN vs BST</t>
        </is>
      </c>
      <c r="B178" t="n">
        <v>3</v>
      </c>
      <c r="C178" t="n">
        <v>19.5</v>
      </c>
      <c r="D178" t="n">
        <v>1.32</v>
      </c>
      <c r="E178" t="n">
        <v>3.1</v>
      </c>
      <c r="F178" s="8" t="n">
        <v>0.7014</v>
      </c>
      <c r="G178" t="n">
        <v>21.5</v>
      </c>
    </row>
    <row r="179">
      <c r="A179" t="inlineStr">
        <is>
          <t>CS2 · paiN vs BST</t>
        </is>
      </c>
      <c r="B179" t="n">
        <v>3</v>
      </c>
      <c r="C179" t="n">
        <v>20.5</v>
      </c>
      <c r="D179" t="n">
        <v>1.52</v>
      </c>
      <c r="E179" t="n">
        <v>2.35</v>
      </c>
      <c r="F179" s="8" t="n">
        <v>0.6072</v>
      </c>
      <c r="G179" t="n">
        <v>21.5</v>
      </c>
    </row>
    <row r="180">
      <c r="A180" t="inlineStr">
        <is>
          <t>CS2 · paiN vs BST</t>
        </is>
      </c>
      <c r="B180" t="n">
        <v>3</v>
      </c>
      <c r="C180" t="n">
        <v>21.5</v>
      </c>
      <c r="D180" t="n">
        <v>1.85</v>
      </c>
      <c r="E180" t="n">
        <v>1.85</v>
      </c>
      <c r="F180" s="8" t="n">
        <v>0.5</v>
      </c>
      <c r="G180" t="n">
        <v>21.5</v>
      </c>
    </row>
    <row r="181">
      <c r="A181" t="inlineStr">
        <is>
          <t>CS2 · paiN vs BST</t>
        </is>
      </c>
      <c r="B181" t="n">
        <v>3</v>
      </c>
      <c r="C181" t="n">
        <v>22.5</v>
      </c>
      <c r="D181" t="n">
        <v>2.4</v>
      </c>
      <c r="E181" t="n">
        <v>1.5</v>
      </c>
      <c r="F181" s="8" t="n">
        <v>0.3846</v>
      </c>
      <c r="G181" t="n">
        <v>21.5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9"/>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 FUT vs TL|A</t>
        </is>
      </c>
      <c r="B2" t="inlineStr">
        <is>
          <t>CS2 · FUT vs TL</t>
        </is>
      </c>
      <c r="C2" t="inlineStr">
        <is>
          <t>A</t>
        </is>
      </c>
      <c r="D2" t="inlineStr">
        <is>
          <t>FUT</t>
        </is>
      </c>
      <c r="E2" t="inlineStr"/>
      <c r="F2" t="n">
        <v>8.140000000000001</v>
      </c>
      <c r="G2" t="n">
        <v>9.300000000000001</v>
      </c>
      <c r="H2" s="8" t="n">
        <v>0.3</v>
      </c>
      <c r="I2" s="8" t="n">
        <v>0.4</v>
      </c>
      <c r="J2" s="8" t="n">
        <v>0.3</v>
      </c>
      <c r="K2" s="8" t="n">
        <v>0</v>
      </c>
      <c r="L2" s="8" t="n">
        <v>0</v>
      </c>
      <c r="M2" s="8">
        <f>IFERROR((2*H2+2*I2+K2)/(2*H2+3*I2+2*J2+3*K2),"")</f>
        <v/>
      </c>
      <c r="N2" s="8">
        <f>IFERROR((M2*13+(1-M2)*G2)/((M2*13+(1-M2)*G2)+(M2*F2+(1-M2)*13)),"")</f>
        <v/>
      </c>
    </row>
    <row r="3">
      <c r="A3" t="inlineStr">
        <is>
          <t>CS2 · FUT vs TL|B</t>
        </is>
      </c>
      <c r="B3" t="inlineStr">
        <is>
          <t>CS2 · FUT vs TL</t>
        </is>
      </c>
      <c r="C3" t="inlineStr">
        <is>
          <t>B</t>
        </is>
      </c>
      <c r="D3" t="inlineStr">
        <is>
          <t>Liquid</t>
        </is>
      </c>
      <c r="E3" t="inlineStr"/>
      <c r="F3" t="n">
        <v>7.58</v>
      </c>
      <c r="G3" t="n">
        <v>8.24</v>
      </c>
      <c r="H3" s="8" t="n">
        <v>0.458</v>
      </c>
      <c r="I3" s="8" t="n">
        <v>0.208</v>
      </c>
      <c r="J3" s="8" t="n">
        <v>0.167</v>
      </c>
      <c r="K3" s="8" t="n">
        <v>0.167</v>
      </c>
      <c r="L3" s="8" t="n">
        <v>0</v>
      </c>
      <c r="M3" s="8">
        <f>IFERROR((2*H3+2*I3+K3)/(2*H3+3*I3+2*J3+3*K3),"")</f>
        <v/>
      </c>
      <c r="N3" s="8">
        <f>IFERROR((M3*13+(1-M3)*G3)/((M3*13+(1-M3)*G3)+(M3*F3+(1-M3)*13)),"")</f>
        <v/>
      </c>
    </row>
    <row r="4">
      <c r="A4" t="inlineStr">
        <is>
          <t>CS2 · TS vs TYLOO|A</t>
        </is>
      </c>
      <c r="B4" t="inlineStr">
        <is>
          <t>CS2 · TS vs TYLOO</t>
        </is>
      </c>
      <c r="C4" t="inlineStr">
        <is>
          <t>A</t>
        </is>
      </c>
      <c r="D4" t="inlineStr">
        <is>
          <t>Spirit</t>
        </is>
      </c>
      <c r="E4" t="inlineStr"/>
      <c r="F4" t="n">
        <v>7.71</v>
      </c>
      <c r="G4" t="n">
        <v>8.619999999999999</v>
      </c>
      <c r="H4" s="8" t="n">
        <v>0.476</v>
      </c>
      <c r="I4" s="8" t="n">
        <v>0.286</v>
      </c>
      <c r="J4" s="8" t="n">
        <v>0.143</v>
      </c>
      <c r="K4" s="8" t="n">
        <v>0.095</v>
      </c>
      <c r="L4" s="8" t="n">
        <v>0.02</v>
      </c>
      <c r="M4" s="8">
        <f>IFERROR((2*H4+2*I4+K4)/(2*H4+3*I4+2*J4+3*K4),"")</f>
        <v/>
      </c>
      <c r="N4" s="8">
        <f>IFERROR((M4*13+(1-M4)*G4)/((M4*13+(1-M4)*G4)+(M4*F4+(1-M4)*13)),"")</f>
        <v/>
      </c>
    </row>
    <row r="5">
      <c r="A5" t="inlineStr">
        <is>
          <t>CS2 · TS vs TYLOO|B</t>
        </is>
      </c>
      <c r="B5" t="inlineStr">
        <is>
          <t>CS2 · TS vs TYLOO</t>
        </is>
      </c>
      <c r="C5" t="inlineStr">
        <is>
          <t>B</t>
        </is>
      </c>
      <c r="D5" t="inlineStr">
        <is>
          <t>TYLOO</t>
        </is>
      </c>
      <c r="E5" t="inlineStr"/>
      <c r="F5" t="n">
        <v>5.57</v>
      </c>
      <c r="G5" t="n">
        <v>7.93</v>
      </c>
      <c r="H5" s="8" t="n">
        <v>0.385</v>
      </c>
      <c r="I5" s="8" t="n">
        <v>0.077</v>
      </c>
      <c r="J5" s="8" t="n">
        <v>0.462</v>
      </c>
      <c r="K5" s="8" t="n">
        <v>0.077</v>
      </c>
      <c r="L5" s="8" t="n">
        <v>0</v>
      </c>
      <c r="M5" s="8">
        <f>IFERROR((2*H5+2*I5+K5)/(2*H5+3*I5+2*J5+3*K5),"")</f>
        <v/>
      </c>
      <c r="N5" s="8">
        <f>IFERROR((M5*13+(1-M5)*G5)/((M5*13+(1-M5)*G5)+(M5*F5+(1-M5)*13)),"")</f>
        <v/>
      </c>
    </row>
    <row r="6">
      <c r="A6" t="inlineStr">
        <is>
          <t>CS2 [NO MARKET] · ACE vs UNiTY|A</t>
        </is>
      </c>
      <c r="B6" t="inlineStr">
        <is>
          <t>CS2 [NO MARKET] · ACE vs UNiTY</t>
        </is>
      </c>
      <c r="C6" t="inlineStr">
        <is>
          <t>A</t>
        </is>
      </c>
      <c r="D6" t="inlineStr">
        <is>
          <t>Acend</t>
        </is>
      </c>
      <c r="E6" t="inlineStr"/>
      <c r="F6" t="n">
        <v>7.04</v>
      </c>
      <c r="G6" t="n">
        <v>6.69</v>
      </c>
      <c r="H6" s="8" t="n">
        <v>0.286</v>
      </c>
      <c r="I6" s="8" t="n">
        <v>0.19</v>
      </c>
      <c r="J6" s="8" t="n">
        <v>0.381</v>
      </c>
      <c r="K6" s="8" t="n">
        <v>0.143</v>
      </c>
      <c r="L6" s="8" t="n">
        <v>0</v>
      </c>
      <c r="M6" s="8">
        <f>IFERROR((2*H6+2*I6+K6)/(2*H6+3*I6+2*J6+3*K6),"")</f>
        <v/>
      </c>
      <c r="N6" s="8">
        <f>IFERROR((M6*13+(1-M6)*G6)/((M6*13+(1-M6)*G6)+(M6*F6+(1-M6)*13)),"")</f>
        <v/>
      </c>
    </row>
    <row r="7">
      <c r="A7" t="inlineStr">
        <is>
          <t>CS2 [NO MARKET] · ACE vs UNiTY|B</t>
        </is>
      </c>
      <c r="B7" t="inlineStr">
        <is>
          <t>CS2 [NO MARKET] · ACE vs UNiTY</t>
        </is>
      </c>
      <c r="C7" t="inlineStr">
        <is>
          <t>B</t>
        </is>
      </c>
      <c r="D7" t="inlineStr">
        <is>
          <t>UNiTY</t>
        </is>
      </c>
      <c r="E7" t="inlineStr"/>
      <c r="F7" t="n">
        <v>8.119999999999999</v>
      </c>
      <c r="G7" t="n">
        <v>9.07</v>
      </c>
      <c r="H7" s="8" t="n">
        <v>0.409</v>
      </c>
      <c r="I7" s="8" t="n">
        <v>0.25</v>
      </c>
      <c r="J7" s="8" t="n">
        <v>0.227</v>
      </c>
      <c r="K7" s="8" t="n">
        <v>0.114</v>
      </c>
      <c r="L7" s="8" t="n">
        <v>0.048</v>
      </c>
      <c r="M7" s="8">
        <f>IFERROR((2*H7+2*I7+K7)/(2*H7+3*I7+2*J7+3*K7),"")</f>
        <v/>
      </c>
      <c r="N7" s="8">
        <f>IFERROR((M7*13+(1-M7)*G7)/((M7*13+(1-M7)*G7)+(M7*F7+(1-M7)*13)),"")</f>
        <v/>
      </c>
    </row>
    <row r="8">
      <c r="A8" t="inlineStr">
        <is>
          <t>CS2 · BB vs NEMI|A</t>
        </is>
      </c>
      <c r="B8" t="inlineStr">
        <is>
          <t>CS2 · BB vs NEMI</t>
        </is>
      </c>
      <c r="C8" t="inlineStr">
        <is>
          <t>A</t>
        </is>
      </c>
      <c r="D8" t="inlineStr">
        <is>
          <t>BETBOOM</t>
        </is>
      </c>
      <c r="E8" t="inlineStr"/>
      <c r="F8" t="n">
        <v>9.67</v>
      </c>
      <c r="G8" t="n">
        <v>8.56</v>
      </c>
      <c r="H8" s="8" t="n">
        <v>0.286</v>
      </c>
      <c r="I8" s="8" t="n">
        <v>0.286</v>
      </c>
      <c r="J8" s="8" t="n">
        <v>0.286</v>
      </c>
      <c r="K8" s="8" t="n">
        <v>0.143</v>
      </c>
      <c r="L8" s="8" t="n">
        <v>0</v>
      </c>
      <c r="M8" s="8">
        <f>IFERROR((2*H8+2*I8+K8)/(2*H8+3*I8+2*J8+3*K8),"")</f>
        <v/>
      </c>
      <c r="N8" s="8">
        <f>IFERROR((M8*13+(1-M8)*G8)/((M8*13+(1-M8)*G8)+(M8*F8+(1-M8)*13)),"")</f>
        <v/>
      </c>
    </row>
    <row r="9">
      <c r="A9" t="inlineStr">
        <is>
          <t>CS2 · BB vs NEMI|B</t>
        </is>
      </c>
      <c r="B9" t="inlineStr">
        <is>
          <t>CS2 · BB vs NEMI</t>
        </is>
      </c>
      <c r="C9" t="inlineStr">
        <is>
          <t>B</t>
        </is>
      </c>
      <c r="D9" t="inlineStr">
        <is>
          <t>Nemiga</t>
        </is>
      </c>
      <c r="E9" t="inlineStr"/>
      <c r="F9" t="n">
        <v>8.58</v>
      </c>
      <c r="G9" t="n">
        <v>8.81</v>
      </c>
      <c r="H9" s="8" t="n">
        <v>0.545</v>
      </c>
      <c r="I9" s="8" t="n">
        <v>0.205</v>
      </c>
      <c r="J9" s="8" t="n">
        <v>0.136</v>
      </c>
      <c r="K9" s="8" t="n">
        <v>0.114</v>
      </c>
      <c r="L9" s="8" t="n">
        <v>0.058</v>
      </c>
      <c r="M9" s="8">
        <f>IFERROR((2*H9+2*I9+K9)/(2*H9+3*I9+2*J9+3*K9),"")</f>
        <v/>
      </c>
      <c r="N9" s="8">
        <f>IFERROR((M9*13+(1-M9)*G9)/((M9*13+(1-M9)*G9)+(M9*F9+(1-M9)*13)),"")</f>
        <v/>
      </c>
    </row>
    <row r="10">
      <c r="A10" t="inlineStr">
        <is>
          <t>CS2 · VIT vs MGLZ|A</t>
        </is>
      </c>
      <c r="B10" t="inlineStr">
        <is>
          <t>CS2 · VIT vs MGLZ</t>
        </is>
      </c>
      <c r="C10" t="inlineStr">
        <is>
          <t>A</t>
        </is>
      </c>
      <c r="D10" t="inlineStr">
        <is>
          <t>Vitality</t>
        </is>
      </c>
      <c r="E10" t="inlineStr"/>
      <c r="F10" t="n">
        <v>7.15</v>
      </c>
      <c r="G10" t="n">
        <v>7.93</v>
      </c>
      <c r="H10" s="8" t="n">
        <v>0.5</v>
      </c>
      <c r="I10" s="8" t="n">
        <v>0.25</v>
      </c>
      <c r="J10" s="8" t="n">
        <v>0.1</v>
      </c>
      <c r="K10" s="8" t="n">
        <v>0.15</v>
      </c>
      <c r="L10" s="8" t="n">
        <v>0</v>
      </c>
      <c r="M10" s="8">
        <f>IFERROR((2*H10+2*I10+K10)/(2*H10+3*I10+2*J10+3*K10),"")</f>
        <v/>
      </c>
      <c r="N10" s="8">
        <f>IFERROR((M10*13+(1-M10)*G10)/((M10*13+(1-M10)*G10)+(M10*F10+(1-M10)*13)),"")</f>
        <v/>
      </c>
    </row>
    <row r="11">
      <c r="A11" t="inlineStr">
        <is>
          <t>CS2 · VIT vs MGLZ|B</t>
        </is>
      </c>
      <c r="B11" t="inlineStr">
        <is>
          <t>CS2 · VIT vs MGLZ</t>
        </is>
      </c>
      <c r="C11" t="inlineStr">
        <is>
          <t>B</t>
        </is>
      </c>
      <c r="D11" t="inlineStr">
        <is>
          <t>The MongolZ</t>
        </is>
      </c>
      <c r="E11" t="inlineStr"/>
      <c r="F11" t="n">
        <v>7.24</v>
      </c>
      <c r="G11" t="n">
        <v>8.210000000000001</v>
      </c>
      <c r="H11" s="8" t="n">
        <v>0.385</v>
      </c>
      <c r="I11" s="8" t="n">
        <v>0.154</v>
      </c>
      <c r="J11" s="8" t="n">
        <v>0.231</v>
      </c>
      <c r="K11" s="8" t="n">
        <v>0.231</v>
      </c>
      <c r="L11" s="8" t="n">
        <v>0</v>
      </c>
      <c r="M11" s="8">
        <f>IFERROR((2*H11+2*I11+K11)/(2*H11+3*I11+2*J11+3*K11),"")</f>
        <v/>
      </c>
      <c r="N11" s="8">
        <f>IFERROR((M11*13+(1-M11)*G11)/((M11*13+(1-M11)*G11)+(M11*F11+(1-M11)*13)),"")</f>
        <v/>
      </c>
    </row>
    <row r="12">
      <c r="A12" t="inlineStr">
        <is>
          <t>CS2 [NO MARKET] · BAKS vs MZP|A</t>
        </is>
      </c>
      <c r="B12" t="inlineStr">
        <is>
          <t>CS2 [NO MARKET] · BAKS vs MZP</t>
        </is>
      </c>
      <c r="C12" t="inlineStr">
        <is>
          <t>A</t>
        </is>
      </c>
      <c r="D12" t="inlineStr">
        <is>
          <t>BAKS</t>
        </is>
      </c>
      <c r="E12" t="inlineStr"/>
      <c r="F12" t="n">
        <v>7.79</v>
      </c>
      <c r="G12" t="n">
        <v>7.95</v>
      </c>
      <c r="H12" s="8" t="n">
        <v>0.243</v>
      </c>
      <c r="I12" s="8" t="n">
        <v>0.324</v>
      </c>
      <c r="J12" s="8" t="n">
        <v>0.189</v>
      </c>
      <c r="K12" s="8" t="n">
        <v>0.243</v>
      </c>
      <c r="L12" s="8" t="n">
        <v>0.042</v>
      </c>
      <c r="M12" s="8">
        <f>IFERROR((2*H12+2*I12+K12)/(2*H12+3*I12+2*J12+3*K12),"")</f>
        <v/>
      </c>
      <c r="N12" s="8">
        <f>IFERROR((M12*13+(1-M12)*G12)/((M12*13+(1-M12)*G12)+(M12*F12+(1-M12)*13)),"")</f>
        <v/>
      </c>
    </row>
    <row r="13">
      <c r="A13" t="inlineStr">
        <is>
          <t>CS2 [NO MARKET] · BAKS vs MZP|B</t>
        </is>
      </c>
      <c r="B13" t="inlineStr">
        <is>
          <t>CS2 [NO MARKET] · BAKS vs MZP</t>
        </is>
      </c>
      <c r="C13" t="inlineStr">
        <is>
          <t>B</t>
        </is>
      </c>
      <c r="D13" t="inlineStr">
        <is>
          <t>Metizport</t>
        </is>
      </c>
      <c r="E13" t="inlineStr"/>
      <c r="F13" t="n">
        <v>8.67</v>
      </c>
      <c r="G13" t="n">
        <v>8.81</v>
      </c>
      <c r="H13" s="8" t="n">
        <v>0.414</v>
      </c>
      <c r="I13" s="8" t="n">
        <v>0.276</v>
      </c>
      <c r="J13" s="8" t="n">
        <v>0.103</v>
      </c>
      <c r="K13" s="8" t="n">
        <v>0.207</v>
      </c>
      <c r="L13" s="8" t="n">
        <v>0.028</v>
      </c>
      <c r="M13" s="8">
        <f>IFERROR((2*H13+2*I13+K13)/(2*H13+3*I13+2*J13+3*K13),"")</f>
        <v/>
      </c>
      <c r="N13" s="8">
        <f>IFERROR((M13*13+(1-M13)*G13)/((M13*13+(1-M13)*G13)+(M13*F13+(1-M13)*13)),"")</f>
        <v/>
      </c>
    </row>
    <row r="14">
      <c r="A14" t="inlineStr">
        <is>
          <t>CS2 · MOUZ vs 9z|A</t>
        </is>
      </c>
      <c r="B14" t="inlineStr">
        <is>
          <t>CS2 · MOUZ vs 9z</t>
        </is>
      </c>
      <c r="C14" t="inlineStr">
        <is>
          <t>A</t>
        </is>
      </c>
      <c r="D14" t="inlineStr">
        <is>
          <t>MOUZ</t>
        </is>
      </c>
      <c r="E14" t="inlineStr"/>
      <c r="F14" t="n">
        <v>8.26</v>
      </c>
      <c r="G14" t="n">
        <v>9.31</v>
      </c>
      <c r="H14" s="8" t="n">
        <v>0.45</v>
      </c>
      <c r="I14" s="8" t="n">
        <v>0.3</v>
      </c>
      <c r="J14" s="8" t="n">
        <v>0.05</v>
      </c>
      <c r="K14" s="8" t="n">
        <v>0.2</v>
      </c>
      <c r="L14" s="8" t="n">
        <v>0.06</v>
      </c>
      <c r="M14" s="8">
        <f>IFERROR((2*H14+2*I14+K14)/(2*H14+3*I14+2*J14+3*K14),"")</f>
        <v/>
      </c>
      <c r="N14" s="8">
        <f>IFERROR((M14*13+(1-M14)*G14)/((M14*13+(1-M14)*G14)+(M14*F14+(1-M14)*13)),"")</f>
        <v/>
      </c>
    </row>
    <row r="15">
      <c r="A15" t="inlineStr">
        <is>
          <t>CS2 · MOUZ vs 9z|B</t>
        </is>
      </c>
      <c r="B15" t="inlineStr">
        <is>
          <t>CS2 · MOUZ vs 9z</t>
        </is>
      </c>
      <c r="C15" t="inlineStr">
        <is>
          <t>B</t>
        </is>
      </c>
      <c r="D15" t="inlineStr">
        <is>
          <t>9z</t>
        </is>
      </c>
      <c r="E15" t="inlineStr"/>
      <c r="F15" t="n">
        <v>7.5</v>
      </c>
      <c r="G15" t="n">
        <v>7.42</v>
      </c>
      <c r="H15" s="8" t="n">
        <v>0.25</v>
      </c>
      <c r="I15" s="8" t="n">
        <v>0</v>
      </c>
      <c r="J15" s="8" t="n">
        <v>0.5</v>
      </c>
      <c r="K15" s="8" t="n">
        <v>0.25</v>
      </c>
      <c r="L15" s="8" t="n">
        <v>0.028</v>
      </c>
      <c r="M15" s="8">
        <f>IFERROR((2*H15+2*I15+K15)/(2*H15+3*I15+2*J15+3*K15),"")</f>
        <v/>
      </c>
      <c r="N15" s="8">
        <f>IFERROR((M15*13+(1-M15)*G15)/((M15*13+(1-M15)*G15)+(M15*F15+(1-M15)*13)),"")</f>
        <v/>
      </c>
    </row>
    <row r="16">
      <c r="A16" t="inlineStr">
        <is>
          <t>CS2 · AUR vs G2|A</t>
        </is>
      </c>
      <c r="B16" t="inlineStr">
        <is>
          <t>CS2 · AUR vs G2</t>
        </is>
      </c>
      <c r="C16" t="inlineStr">
        <is>
          <t>A</t>
        </is>
      </c>
      <c r="D16" t="inlineStr">
        <is>
          <t>Aurora</t>
        </is>
      </c>
      <c r="E16" t="inlineStr"/>
      <c r="F16" t="n">
        <v>8.32</v>
      </c>
      <c r="G16" t="n">
        <v>7.95</v>
      </c>
      <c r="H16" s="8" t="n">
        <v>0.48</v>
      </c>
      <c r="I16" s="8" t="n">
        <v>0.2</v>
      </c>
      <c r="J16" s="8" t="n">
        <v>0.16</v>
      </c>
      <c r="K16" s="8" t="n">
        <v>0.16</v>
      </c>
      <c r="L16" s="8" t="n">
        <v>0.051</v>
      </c>
      <c r="M16" s="8">
        <f>IFERROR((2*H16+2*I16+K16)/(2*H16+3*I16+2*J16+3*K16),"")</f>
        <v/>
      </c>
      <c r="N16" s="8">
        <f>IFERROR((M16*13+(1-M16)*G16)/((M16*13+(1-M16)*G16)+(M16*F16+(1-M16)*13)),"")</f>
        <v/>
      </c>
    </row>
    <row r="17">
      <c r="A17" t="inlineStr">
        <is>
          <t>CS2 · AUR vs G2|B</t>
        </is>
      </c>
      <c r="B17" t="inlineStr">
        <is>
          <t>CS2 · AUR vs G2</t>
        </is>
      </c>
      <c r="C17" t="inlineStr">
        <is>
          <t>B</t>
        </is>
      </c>
      <c r="D17" t="inlineStr">
        <is>
          <t>G2</t>
        </is>
      </c>
      <c r="E17" t="inlineStr"/>
      <c r="F17" t="n">
        <v>7.65</v>
      </c>
      <c r="G17" t="n">
        <v>8</v>
      </c>
      <c r="H17" s="8" t="n">
        <v>0.25</v>
      </c>
      <c r="I17" s="8" t="n">
        <v>0.3</v>
      </c>
      <c r="J17" s="8" t="n">
        <v>0.25</v>
      </c>
      <c r="K17" s="8" t="n">
        <v>0.2</v>
      </c>
      <c r="L17" s="8" t="n">
        <v>0.06</v>
      </c>
      <c r="M17" s="8">
        <f>IFERROR((2*H17+2*I17+K17)/(2*H17+3*I17+2*J17+3*K17),"")</f>
        <v/>
      </c>
      <c r="N17" s="8">
        <f>IFERROR((M17*13+(1-M17)*G17)/((M17*13+(1-M17)*G17)+(M17*F17+(1-M17)*13)),"")</f>
        <v/>
      </c>
    </row>
    <row r="18">
      <c r="A18" t="inlineStr">
        <is>
          <t>CS2 · INF vs BRUTE|A</t>
        </is>
      </c>
      <c r="B18" t="inlineStr">
        <is>
          <t>CS2 · INF vs BRUTE</t>
        </is>
      </c>
      <c r="C18" t="inlineStr">
        <is>
          <t>A</t>
        </is>
      </c>
      <c r="D18" t="inlineStr">
        <is>
          <t>INFINITE</t>
        </is>
      </c>
      <c r="E18" t="inlineStr"/>
      <c r="F18" t="n">
        <v>8.43</v>
      </c>
      <c r="G18" t="n">
        <v>8.81</v>
      </c>
      <c r="H18" s="8" t="n">
        <v>0.259</v>
      </c>
      <c r="I18" s="8" t="n">
        <v>0.111</v>
      </c>
      <c r="J18" s="8" t="n">
        <v>0.556</v>
      </c>
      <c r="K18" s="8" t="n">
        <v>0.07400000000000001</v>
      </c>
      <c r="L18" s="8" t="n">
        <v>0.067</v>
      </c>
      <c r="M18" s="8">
        <f>IFERROR((2*H18+2*I18+K18)/(2*H18+3*I18+2*J18+3*K18),"")</f>
        <v/>
      </c>
      <c r="N18" s="8">
        <f>IFERROR((M18*13+(1-M18)*G18)/((M18*13+(1-M18)*G18)+(M18*F18+(1-M18)*13)),"")</f>
        <v/>
      </c>
    </row>
    <row r="19">
      <c r="A19" t="inlineStr">
        <is>
          <t>CS2 · INF vs BRUTE|B</t>
        </is>
      </c>
      <c r="B19" t="inlineStr">
        <is>
          <t>CS2 · INF vs BRUTE</t>
        </is>
      </c>
      <c r="C19" t="inlineStr">
        <is>
          <t>B</t>
        </is>
      </c>
      <c r="D19" t="inlineStr">
        <is>
          <t>BRUTE</t>
        </is>
      </c>
      <c r="E19" t="inlineStr"/>
      <c r="F19" t="n">
        <v>8.58</v>
      </c>
      <c r="G19" t="n">
        <v>7.67</v>
      </c>
      <c r="H19" s="8" t="n">
        <v>0.346</v>
      </c>
      <c r="I19" s="8" t="n">
        <v>0.192</v>
      </c>
      <c r="J19" s="8" t="n">
        <v>0.154</v>
      </c>
      <c r="K19" s="8" t="n">
        <v>0.308</v>
      </c>
      <c r="L19" s="8" t="n">
        <v>0.03</v>
      </c>
      <c r="M19" s="8">
        <f>IFERROR((2*H19+2*I19+K19)/(2*H19+3*I19+2*J19+3*K19),"")</f>
        <v/>
      </c>
      <c r="N19" s="8">
        <f>IFERROR((M19*13+(1-M19)*G19)/((M19*13+(1-M19)*G19)+(M19*F19+(1-M19)*13)),"")</f>
        <v/>
      </c>
    </row>
    <row r="20">
      <c r="A20" t="inlineStr">
        <is>
          <t>CS2 · LGC vs DEN|A</t>
        </is>
      </c>
      <c r="B20" t="inlineStr">
        <is>
          <t>CS2 · LGC vs DEN</t>
        </is>
      </c>
      <c r="C20" t="inlineStr">
        <is>
          <t>A</t>
        </is>
      </c>
      <c r="D20" t="inlineStr">
        <is>
          <t>Legacy</t>
        </is>
      </c>
      <c r="E20" t="inlineStr"/>
      <c r="F20" t="n">
        <v>9.109999999999999</v>
      </c>
      <c r="G20" t="n">
        <v>8.699999999999999</v>
      </c>
      <c r="H20" s="8" t="n">
        <v>0.381</v>
      </c>
      <c r="I20" s="8" t="n">
        <v>0.143</v>
      </c>
      <c r="J20" s="8" t="n">
        <v>0.19</v>
      </c>
      <c r="K20" s="8" t="n">
        <v>0.286</v>
      </c>
      <c r="L20" s="8" t="n">
        <v>0.02</v>
      </c>
      <c r="M20" s="8">
        <f>IFERROR((2*H20+2*I20+K20)/(2*H20+3*I20+2*J20+3*K20),"")</f>
        <v/>
      </c>
      <c r="N20" s="8">
        <f>IFERROR((M20*13+(1-M20)*G20)/((M20*13+(1-M20)*G20)+(M20*F20+(1-M20)*13)),"")</f>
        <v/>
      </c>
    </row>
    <row r="21">
      <c r="A21" t="inlineStr">
        <is>
          <t>CS2 · LGC vs DEN|B</t>
        </is>
      </c>
      <c r="B21" t="inlineStr">
        <is>
          <t>CS2 · LGC vs DEN</t>
        </is>
      </c>
      <c r="C21" t="inlineStr">
        <is>
          <t>B</t>
        </is>
      </c>
      <c r="D21" t="inlineStr">
        <is>
          <t>DENDELE</t>
        </is>
      </c>
      <c r="E21" t="inlineStr"/>
      <c r="F21" t="n">
        <v>7.59</v>
      </c>
      <c r="G21" t="n">
        <v>8.57</v>
      </c>
      <c r="H21" s="8" t="n">
        <v>0.389</v>
      </c>
      <c r="I21" s="8" t="n">
        <v>0.05599999999999999</v>
      </c>
      <c r="J21" s="8" t="n">
        <v>0.222</v>
      </c>
      <c r="K21" s="8" t="n">
        <v>0.333</v>
      </c>
      <c r="L21" s="8" t="n">
        <v>0.023</v>
      </c>
      <c r="M21" s="8">
        <f>IFERROR((2*H21+2*I21+K21)/(2*H21+3*I21+2*J21+3*K21),"")</f>
        <v/>
      </c>
      <c r="N21" s="8">
        <f>IFERROR((M21*13+(1-M21)*G21)/((M21*13+(1-M21)*G21)+(M21*F21+(1-M21)*13)),"")</f>
        <v/>
      </c>
    </row>
    <row r="22">
      <c r="A22" t="inlineStr">
        <is>
          <t>CS2 · FURIA vs NAVI|A</t>
        </is>
      </c>
      <c r="B22" t="inlineStr">
        <is>
          <t>CS2 · FURIA vs NAVI</t>
        </is>
      </c>
      <c r="C22" t="inlineStr">
        <is>
          <t>A</t>
        </is>
      </c>
      <c r="D22" t="inlineStr">
        <is>
          <t>FURIA</t>
        </is>
      </c>
      <c r="E22" t="inlineStr"/>
      <c r="F22" t="n">
        <v>7.32</v>
      </c>
      <c r="G22" t="n">
        <v>8.73</v>
      </c>
      <c r="H22" s="8" t="n">
        <v>0.321</v>
      </c>
      <c r="I22" s="8" t="n">
        <v>0.286</v>
      </c>
      <c r="J22" s="8" t="n">
        <v>0.25</v>
      </c>
      <c r="K22" s="8" t="n">
        <v>0.143</v>
      </c>
      <c r="L22" s="8" t="n">
        <v>0.015</v>
      </c>
      <c r="M22" s="8">
        <f>IFERROR((2*H22+2*I22+K22)/(2*H22+3*I22+2*J22+3*K22),"")</f>
        <v/>
      </c>
      <c r="N22" s="8">
        <f>IFERROR((M22*13+(1-M22)*G22)/((M22*13+(1-M22)*G22)+(M22*F22+(1-M22)*13)),"")</f>
        <v/>
      </c>
    </row>
    <row r="23">
      <c r="A23" t="inlineStr">
        <is>
          <t>CS2 · FURIA vs NAVI|B</t>
        </is>
      </c>
      <c r="B23" t="inlineStr">
        <is>
          <t>CS2 · FURIA vs NAVI</t>
        </is>
      </c>
      <c r="C23" t="inlineStr">
        <is>
          <t>B</t>
        </is>
      </c>
      <c r="D23" t="inlineStr">
        <is>
          <t>Natus Vincere</t>
        </is>
      </c>
      <c r="E23" t="inlineStr"/>
      <c r="F23" t="n">
        <v>8.529999999999999</v>
      </c>
      <c r="G23" t="n">
        <v>7.35</v>
      </c>
      <c r="H23" s="8" t="n">
        <v>0.308</v>
      </c>
      <c r="I23" s="8" t="n">
        <v>0.077</v>
      </c>
      <c r="J23" s="8" t="n">
        <v>0.231</v>
      </c>
      <c r="K23" s="8" t="n">
        <v>0.385</v>
      </c>
      <c r="L23" s="8" t="n">
        <v>0.062</v>
      </c>
      <c r="M23" s="8">
        <f>IFERROR((2*H23+2*I23+K23)/(2*H23+3*I23+2*J23+3*K23),"")</f>
        <v/>
      </c>
      <c r="N23" s="8">
        <f>IFERROR((M23*13+(1-M23)*G23)/((M23*13+(1-M23)*G23)+(M23*F23+(1-M23)*13)),"")</f>
        <v/>
      </c>
    </row>
    <row r="24">
      <c r="A24" t="inlineStr">
        <is>
          <t>CS2 · paiN vs BST|A</t>
        </is>
      </c>
      <c r="B24" t="inlineStr">
        <is>
          <t>CS2 · paiN vs BST</t>
        </is>
      </c>
      <c r="C24" t="inlineStr">
        <is>
          <t>A</t>
        </is>
      </c>
      <c r="D24" t="inlineStr">
        <is>
          <t>paiN</t>
        </is>
      </c>
      <c r="E24" t="inlineStr"/>
      <c r="F24" t="n">
        <v>8.960000000000001</v>
      </c>
      <c r="G24" t="n">
        <v>8.25</v>
      </c>
      <c r="H24" s="8" t="n">
        <v>0.3</v>
      </c>
      <c r="I24" s="8" t="n">
        <v>0.2</v>
      </c>
      <c r="J24" s="8" t="n">
        <v>0.3</v>
      </c>
      <c r="K24" s="8" t="n">
        <v>0.2</v>
      </c>
      <c r="L24" s="8" t="n">
        <v>0.042</v>
      </c>
      <c r="M24" s="8">
        <f>IFERROR((2*H24+2*I24+K24)/(2*H24+3*I24+2*J24+3*K24),"")</f>
        <v/>
      </c>
      <c r="N24" s="8">
        <f>IFERROR((M24*13+(1-M24)*G24)/((M24*13+(1-M24)*G24)+(M24*F24+(1-M24)*13)),"")</f>
        <v/>
      </c>
    </row>
    <row r="25">
      <c r="A25" t="inlineStr">
        <is>
          <t>CS2 · paiN vs BST|B</t>
        </is>
      </c>
      <c r="B25" t="inlineStr">
        <is>
          <t>CS2 · paiN vs BST</t>
        </is>
      </c>
      <c r="C25" t="inlineStr">
        <is>
          <t>B</t>
        </is>
      </c>
      <c r="D25" t="inlineStr">
        <is>
          <t>BESTIA</t>
        </is>
      </c>
      <c r="E25" t="inlineStr"/>
      <c r="F25" t="n">
        <v>9.390000000000001</v>
      </c>
      <c r="G25" t="n">
        <v>7.76</v>
      </c>
      <c r="H25" s="8" t="n">
        <v>0.423</v>
      </c>
      <c r="I25" s="8" t="n">
        <v>0.192</v>
      </c>
      <c r="J25" s="8" t="n">
        <v>0.346</v>
      </c>
      <c r="K25" s="8" t="n">
        <v>0.038</v>
      </c>
      <c r="L25" s="8" t="n">
        <v>0.08599999999999999</v>
      </c>
      <c r="M25" s="8">
        <f>IFERROR((2*H25+2*I25+K25)/(2*H25+3*I25+2*J25+3*K25),"")</f>
        <v/>
      </c>
      <c r="N25" s="8">
        <f>IFERROR((M25*13+(1-M25)*G25)/((M25*13+(1-M25)*G25)+(M25*F25+(1-M25)*13)),"")</f>
        <v/>
      </c>
    </row>
    <row r="26">
      <c r="A26" t="inlineStr">
        <is>
          <t>CS2 · FORZE.R vs ex-RUSTEC|A</t>
        </is>
      </c>
      <c r="B26" t="inlineStr">
        <is>
          <t>CS2 · FORZE.R vs ex-RUSTEC</t>
        </is>
      </c>
      <c r="C26" t="inlineStr">
        <is>
          <t>A</t>
        </is>
      </c>
      <c r="D26" t="inlineStr">
        <is>
          <t>FORZE Reload</t>
        </is>
      </c>
      <c r="E26" t="inlineStr"/>
      <c r="F26" t="n">
        <v>7.09</v>
      </c>
      <c r="G26" t="n">
        <v>8.75</v>
      </c>
      <c r="H26" s="8" t="n">
        <v>0.595</v>
      </c>
      <c r="I26" s="8" t="n">
        <v>0.05400000000000001</v>
      </c>
      <c r="J26" s="8" t="n">
        <v>0.216</v>
      </c>
      <c r="K26" s="8" t="n">
        <v>0.135</v>
      </c>
      <c r="L26" s="8" t="n">
        <v>0.03700000000000001</v>
      </c>
      <c r="M26" s="8">
        <f>IFERROR((2*H26+2*I26+K26)/(2*H26+3*I26+2*J26+3*K26),"")</f>
        <v/>
      </c>
      <c r="N26" s="8">
        <f>IFERROR((M26*13+(1-M26)*G26)/((M26*13+(1-M26)*G26)+(M26*F26+(1-M26)*13)),"")</f>
        <v/>
      </c>
    </row>
    <row r="27">
      <c r="A27" t="inlineStr">
        <is>
          <t>CS2 · FORZE.R vs ex-RUSTEC|B</t>
        </is>
      </c>
      <c r="B27" t="inlineStr">
        <is>
          <t>CS2 · FORZE.R vs ex-RUSTEC</t>
        </is>
      </c>
      <c r="C27" t="inlineStr">
        <is>
          <t>B</t>
        </is>
      </c>
      <c r="D27" t="inlineStr">
        <is>
          <t>ex-RUSTEC</t>
        </is>
      </c>
      <c r="E27" t="inlineStr"/>
      <c r="F27" t="n">
        <v>8.07</v>
      </c>
      <c r="G27" t="n">
        <v>8.51</v>
      </c>
      <c r="H27" s="8" t="n">
        <v>0.32</v>
      </c>
      <c r="I27" s="8" t="n">
        <v>0.307</v>
      </c>
      <c r="J27" s="8" t="n">
        <v>0.253</v>
      </c>
      <c r="K27" s="8" t="n">
        <v>0.12</v>
      </c>
      <c r="L27" s="8" t="n">
        <v>0.049</v>
      </c>
      <c r="M27" s="8">
        <f>IFERROR((2*H27+2*I27+K27)/(2*H27+3*I27+2*J27+3*K27),"")</f>
        <v/>
      </c>
      <c r="N27" s="8">
        <f>IFERROR((M27*13+(1-M27)*G27)/((M27*13+(1-M27)*G27)+(M27*F27+(1-M27)*13)),"")</f>
        <v/>
      </c>
    </row>
    <row r="28">
      <c r="A28" t="inlineStr">
        <is>
          <t>CS2 [NO MARKET] · Color vs ex-ZT|A</t>
        </is>
      </c>
      <c r="B28" t="inlineStr">
        <is>
          <t>CS2 [NO MARKET] · Color vs ex-ZT</t>
        </is>
      </c>
      <c r="C28" t="inlineStr">
        <is>
          <t>A</t>
        </is>
      </c>
      <c r="D28" t="inlineStr">
        <is>
          <t>Color</t>
        </is>
      </c>
      <c r="E28" t="inlineStr"/>
      <c r="F28" t="n">
        <v>8.23</v>
      </c>
      <c r="G28" t="n">
        <v>9.43</v>
      </c>
      <c r="H28" s="8" t="n">
        <v>0.387</v>
      </c>
      <c r="I28" s="8" t="n">
        <v>0.258</v>
      </c>
      <c r="J28" s="8" t="n">
        <v>0.129</v>
      </c>
      <c r="K28" s="8" t="n">
        <v>0.226</v>
      </c>
      <c r="L28" s="8" t="n">
        <v>0.038</v>
      </c>
      <c r="M28" s="8">
        <f>IFERROR((2*H28+2*I28+K28)/(2*H28+3*I28+2*J28+3*K28),"")</f>
        <v/>
      </c>
      <c r="N28" s="8">
        <f>IFERROR((M28*13+(1-M28)*G28)/((M28*13+(1-M28)*G28)+(M28*F28+(1-M28)*13)),"")</f>
        <v/>
      </c>
    </row>
    <row r="29">
      <c r="A29" t="inlineStr">
        <is>
          <t>CS2 [NO MARKET] · Color vs ex-ZT|B</t>
        </is>
      </c>
      <c r="B29" t="inlineStr">
        <is>
          <t>CS2 [NO MARKET] · Color vs ex-ZT</t>
        </is>
      </c>
      <c r="C29" t="inlineStr">
        <is>
          <t>B</t>
        </is>
      </c>
      <c r="D29" t="inlineStr">
        <is>
          <t>ex-Zero Tenacity</t>
        </is>
      </c>
      <c r="E29" t="inlineStr"/>
      <c r="F29" t="n">
        <v>7.42</v>
      </c>
      <c r="G29" t="n">
        <v>7.65</v>
      </c>
      <c r="H29" s="8" t="n">
        <v>0.491</v>
      </c>
      <c r="I29" s="8" t="n">
        <v>0.2</v>
      </c>
      <c r="J29" s="8" t="n">
        <v>0.127</v>
      </c>
      <c r="K29" s="8" t="n">
        <v>0.182</v>
      </c>
      <c r="L29" s="8" t="n">
        <v>0</v>
      </c>
      <c r="M29" s="8">
        <f>IFERROR((2*H29+2*I29+K29)/(2*H29+3*I29+2*J29+3*K29),"")</f>
        <v/>
      </c>
      <c r="N29" s="8">
        <f>IFERROR((M29*13+(1-M29)*G29)/((M29*13+(1-M29)*G29)+(M29*F29+(1-M29)*13)),"")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95"/>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 FUT vs TL|A|ALL|lw</t>
        </is>
      </c>
      <c r="B2" t="n">
        <v>8.140000000000001</v>
      </c>
    </row>
    <row r="3">
      <c r="A3" t="inlineStr">
        <is>
          <t>CS2 · FUT vs TL|A|ALL|wl</t>
        </is>
      </c>
      <c r="B3" t="n">
        <v>9.300000000000001</v>
      </c>
    </row>
    <row r="4">
      <c r="A4" t="inlineStr">
        <is>
          <t>CS2 · FUT vs TL|A|Dust2|lw</t>
        </is>
      </c>
      <c r="B4" t="n">
        <v>13</v>
      </c>
    </row>
    <row r="5">
      <c r="A5" t="inlineStr">
        <is>
          <t>CS2 · FUT vs TL|A|Dust2|wl</t>
        </is>
      </c>
      <c r="B5" t="n">
        <v>10</v>
      </c>
    </row>
    <row r="6">
      <c r="A6" t="inlineStr">
        <is>
          <t>CS2 · FUT vs TL|A|Mirage|lw</t>
        </is>
      </c>
      <c r="B6" t="n">
        <v>9.33</v>
      </c>
    </row>
    <row r="7">
      <c r="A7" t="inlineStr">
        <is>
          <t>CS2 · FUT vs TL|A|Nuke|lw</t>
        </is>
      </c>
      <c r="B7" t="n">
        <v>7.5</v>
      </c>
    </row>
    <row r="8">
      <c r="A8" t="inlineStr">
        <is>
          <t>CS2 · FUT vs TL|A|Nuke|wl</t>
        </is>
      </c>
      <c r="B8" t="n">
        <v>9</v>
      </c>
    </row>
    <row r="9">
      <c r="A9" t="inlineStr">
        <is>
          <t>CS2 · FUT vs TL|A|Ancient|lw</t>
        </is>
      </c>
      <c r="B9" t="n">
        <v>7</v>
      </c>
    </row>
    <row r="10">
      <c r="A10" t="inlineStr">
        <is>
          <t>CS2 · FUT vs TL|A|Ancient|wl</t>
        </is>
      </c>
      <c r="B10" t="n">
        <v>9.33</v>
      </c>
    </row>
    <row r="11">
      <c r="A11" t="inlineStr">
        <is>
          <t>CS2 · FUT vs TL|A|Anubis|lw</t>
        </is>
      </c>
      <c r="B11" t="n">
        <v>5</v>
      </c>
    </row>
    <row r="12">
      <c r="A12" t="inlineStr">
        <is>
          <t>CS2 · FUT vs TL|A|Anubis|wl</t>
        </is>
      </c>
      <c r="B12" t="n">
        <v>7</v>
      </c>
    </row>
    <row r="13">
      <c r="A13" t="inlineStr">
        <is>
          <t>CS2 · FUT vs TL|B|ALL|lw</t>
        </is>
      </c>
      <c r="B13" t="n">
        <v>7.58</v>
      </c>
    </row>
    <row r="14">
      <c r="A14" t="inlineStr">
        <is>
          <t>CS2 · FUT vs TL|B|ALL|wl</t>
        </is>
      </c>
      <c r="B14" t="n">
        <v>8.24</v>
      </c>
    </row>
    <row r="15">
      <c r="A15" t="inlineStr">
        <is>
          <t>CS2 · FUT vs TL|B|Cache|lw</t>
        </is>
      </c>
      <c r="B15" t="n">
        <v>8.140000000000001</v>
      </c>
    </row>
    <row r="16">
      <c r="A16" t="inlineStr">
        <is>
          <t>CS2 · FUT vs TL|B|Cache|wl</t>
        </is>
      </c>
      <c r="B16" t="n">
        <v>9</v>
      </c>
    </row>
    <row r="17">
      <c r="A17" t="inlineStr">
        <is>
          <t>CS2 · FUT vs TL|B|Dust2|lw</t>
        </is>
      </c>
      <c r="B17" t="n">
        <v>8.33</v>
      </c>
    </row>
    <row r="18">
      <c r="A18" t="inlineStr">
        <is>
          <t>CS2 · FUT vs TL|B|Dust2|wl</t>
        </is>
      </c>
      <c r="B18" t="n">
        <v>5.6</v>
      </c>
    </row>
    <row r="19">
      <c r="A19" t="inlineStr">
        <is>
          <t>CS2 · FUT vs TL|B|Mirage|lw</t>
        </is>
      </c>
      <c r="B19" t="n">
        <v>8.289999999999999</v>
      </c>
    </row>
    <row r="20">
      <c r="A20" t="inlineStr">
        <is>
          <t>CS2 · FUT vs TL|B|Mirage|wl</t>
        </is>
      </c>
      <c r="B20" t="n">
        <v>9</v>
      </c>
    </row>
    <row r="21">
      <c r="A21" t="inlineStr">
        <is>
          <t>CS2 · FUT vs TL|B|Inferno|lw</t>
        </is>
      </c>
      <c r="B21" t="n">
        <v>8.33</v>
      </c>
    </row>
    <row r="22">
      <c r="A22" t="inlineStr">
        <is>
          <t>CS2 · FUT vs TL|B|Inferno|wl</t>
        </is>
      </c>
      <c r="B22" t="n">
        <v>7</v>
      </c>
    </row>
    <row r="23">
      <c r="A23" t="inlineStr">
        <is>
          <t>CS2 · FUT vs TL|B|Nuke|lw</t>
        </is>
      </c>
      <c r="B23" t="n">
        <v>6.2</v>
      </c>
    </row>
    <row r="24">
      <c r="A24" t="inlineStr">
        <is>
          <t>CS2 · FUT vs TL|B|Nuke|wl</t>
        </is>
      </c>
      <c r="B24" t="n">
        <v>8.75</v>
      </c>
    </row>
    <row r="25">
      <c r="A25" t="inlineStr">
        <is>
          <t>CS2 · FUT vs TL|B|Ancient|wl</t>
        </is>
      </c>
      <c r="B25" t="n">
        <v>11.5</v>
      </c>
    </row>
    <row r="26">
      <c r="A26" t="inlineStr">
        <is>
          <t>CS2 · FUT vs TL|B|Anubis|lw</t>
        </is>
      </c>
      <c r="B26" t="n">
        <v>6.5</v>
      </c>
    </row>
    <row r="27">
      <c r="A27" t="inlineStr">
        <is>
          <t>CS2 · FUT vs TL|B|Anubis|wl</t>
        </is>
      </c>
      <c r="B27" t="n">
        <v>8.75</v>
      </c>
    </row>
    <row r="28">
      <c r="A28" t="inlineStr">
        <is>
          <t>CS2 · TS vs TYLOO|A|ALL|lw</t>
        </is>
      </c>
      <c r="B28" t="n">
        <v>7.71</v>
      </c>
    </row>
    <row r="29">
      <c r="A29" t="inlineStr">
        <is>
          <t>CS2 · TS vs TYLOO|A|ALL|wl</t>
        </is>
      </c>
      <c r="B29" t="n">
        <v>8.619999999999999</v>
      </c>
    </row>
    <row r="30">
      <c r="A30" t="inlineStr">
        <is>
          <t>CS2 · TS vs TYLOO|A|Cache|lw</t>
        </is>
      </c>
      <c r="B30" t="n">
        <v>7.75</v>
      </c>
    </row>
    <row r="31">
      <c r="A31" t="inlineStr">
        <is>
          <t>CS2 · TS vs TYLOO|A|Cache|wl</t>
        </is>
      </c>
      <c r="B31" t="n">
        <v>7.67</v>
      </c>
    </row>
    <row r="32">
      <c r="A32" t="inlineStr">
        <is>
          <t>CS2 · TS vs TYLOO|A|Dust2|lw</t>
        </is>
      </c>
      <c r="B32" t="n">
        <v>7.2</v>
      </c>
    </row>
    <row r="33">
      <c r="A33" t="inlineStr">
        <is>
          <t>CS2 · TS vs TYLOO|A|Dust2|wl</t>
        </is>
      </c>
      <c r="B33" t="n">
        <v>7.67</v>
      </c>
    </row>
    <row r="34">
      <c r="A34" t="inlineStr">
        <is>
          <t>CS2 · TS vs TYLOO|A|Mirage|lw</t>
        </is>
      </c>
      <c r="B34" t="n">
        <v>6</v>
      </c>
    </row>
    <row r="35">
      <c r="A35" t="inlineStr">
        <is>
          <t>CS2 · TS vs TYLOO|A|Mirage|wl</t>
        </is>
      </c>
      <c r="B35" t="n">
        <v>9.5</v>
      </c>
    </row>
    <row r="36">
      <c r="A36" t="inlineStr">
        <is>
          <t>CS2 · TS vs TYLOO|A|Nuke|lw</t>
        </is>
      </c>
      <c r="B36" t="n">
        <v>9.5</v>
      </c>
    </row>
    <row r="37">
      <c r="A37" t="inlineStr">
        <is>
          <t>CS2 · TS vs TYLOO|A|Nuke|wl</t>
        </is>
      </c>
      <c r="B37" t="n">
        <v>12.5</v>
      </c>
    </row>
    <row r="38">
      <c r="A38" t="inlineStr">
        <is>
          <t>CS2 · TS vs TYLOO|A|Ancient|lw</t>
        </is>
      </c>
      <c r="B38" t="n">
        <v>8.199999999999999</v>
      </c>
    </row>
    <row r="39">
      <c r="A39" t="inlineStr">
        <is>
          <t>CS2 · TS vs TYLOO|A|Ancient|wl</t>
        </is>
      </c>
      <c r="B39" t="n">
        <v>7</v>
      </c>
    </row>
    <row r="40">
      <c r="A40" t="inlineStr">
        <is>
          <t>CS2 · TS vs TYLOO|A|Anubis|lw</t>
        </is>
      </c>
      <c r="B40" t="n">
        <v>9</v>
      </c>
    </row>
    <row r="41">
      <c r="A41" t="inlineStr">
        <is>
          <t>CS2 · TS vs TYLOO|A|Anubis|wl</t>
        </is>
      </c>
      <c r="B41" t="n">
        <v>7.5</v>
      </c>
    </row>
    <row r="42">
      <c r="A42" t="inlineStr">
        <is>
          <t>CS2 · TS vs TYLOO|B|ALL|lw</t>
        </is>
      </c>
      <c r="B42" t="n">
        <v>5.57</v>
      </c>
    </row>
    <row r="43">
      <c r="A43" t="inlineStr">
        <is>
          <t>CS2 · TS vs TYLOO|B|ALL|wl</t>
        </is>
      </c>
      <c r="B43" t="n">
        <v>7.93</v>
      </c>
    </row>
    <row r="44">
      <c r="A44" t="inlineStr">
        <is>
          <t>CS2 · TS vs TYLOO|B|Cache|lw</t>
        </is>
      </c>
      <c r="B44" t="n">
        <v>7.5</v>
      </c>
    </row>
    <row r="45">
      <c r="A45" t="inlineStr">
        <is>
          <t>CS2 · TS vs TYLOO|B|Cache|wl</t>
        </is>
      </c>
      <c r="B45" t="n">
        <v>7</v>
      </c>
    </row>
    <row r="46">
      <c r="A46" t="inlineStr">
        <is>
          <t>CS2 · TS vs TYLOO|B|Mirage|lw</t>
        </is>
      </c>
      <c r="B46" t="n">
        <v>5.8</v>
      </c>
    </row>
    <row r="47">
      <c r="A47" t="inlineStr">
        <is>
          <t>CS2 · TS vs TYLOO|B|Mirage|wl</t>
        </is>
      </c>
      <c r="B47" t="n">
        <v>6.5</v>
      </c>
    </row>
    <row r="48">
      <c r="A48" t="inlineStr">
        <is>
          <t>CS2 · TS vs TYLOO|B|Inferno|lw</t>
        </is>
      </c>
      <c r="B48" t="n">
        <v>5.67</v>
      </c>
    </row>
    <row r="49">
      <c r="A49" t="inlineStr">
        <is>
          <t>CS2 · TS vs TYLOO|B|Inferno|wl</t>
        </is>
      </c>
      <c r="B49" t="n">
        <v>8.67</v>
      </c>
    </row>
    <row r="50">
      <c r="A50" t="inlineStr">
        <is>
          <t>CS2 · TS vs TYLOO|B|Nuke|wl</t>
        </is>
      </c>
      <c r="B50" t="n">
        <v>9.25</v>
      </c>
    </row>
    <row r="51">
      <c r="A51" t="inlineStr">
        <is>
          <t>CS2 · TS vs TYLOO|B|Ancient|lw</t>
        </is>
      </c>
      <c r="B51" t="n">
        <v>5.67</v>
      </c>
    </row>
    <row r="52">
      <c r="A52" t="inlineStr">
        <is>
          <t>CS2 · TS vs TYLOO|B|Ancient|wl</t>
        </is>
      </c>
      <c r="B52" t="n">
        <v>7</v>
      </c>
    </row>
    <row r="53">
      <c r="A53" t="inlineStr">
        <is>
          <t>CS2 · TS vs TYLOO|B|Anubis|wl</t>
        </is>
      </c>
      <c r="B53" t="n">
        <v>7.5</v>
      </c>
    </row>
    <row r="54">
      <c r="A54" t="inlineStr">
        <is>
          <t>CS2 [NO MARKET] · ACE vs UNiTY|A|ALL|lw</t>
        </is>
      </c>
      <c r="B54" t="n">
        <v>7.04</v>
      </c>
    </row>
    <row r="55">
      <c r="A55" t="inlineStr">
        <is>
          <t>CS2 [NO MARKET] · ACE vs UNiTY|A|ALL|wl</t>
        </is>
      </c>
      <c r="B55" t="n">
        <v>6.69</v>
      </c>
    </row>
    <row r="56">
      <c r="A56" t="inlineStr">
        <is>
          <t>CS2 [NO MARKET] · ACE vs UNiTY|A|Cache|lw</t>
        </is>
      </c>
      <c r="B56" t="n">
        <v>2</v>
      </c>
    </row>
    <row r="57">
      <c r="A57" t="inlineStr">
        <is>
          <t>CS2 [NO MARKET] · ACE vs UNiTY|A|Cache|wl</t>
        </is>
      </c>
      <c r="B57" t="n">
        <v>6</v>
      </c>
    </row>
    <row r="58">
      <c r="A58" t="inlineStr">
        <is>
          <t>CS2 [NO MARKET] · ACE vs UNiTY|A|Dust2|lw</t>
        </is>
      </c>
      <c r="B58" t="n">
        <v>7.2</v>
      </c>
    </row>
    <row r="59">
      <c r="A59" t="inlineStr">
        <is>
          <t>CS2 [NO MARKET] · ACE vs UNiTY|A|Dust2|wl</t>
        </is>
      </c>
      <c r="B59" t="n">
        <v>8.17</v>
      </c>
    </row>
    <row r="60">
      <c r="A60" t="inlineStr">
        <is>
          <t>CS2 [NO MARKET] · ACE vs UNiTY|A|Mirage|lw</t>
        </is>
      </c>
      <c r="B60" t="n">
        <v>8</v>
      </c>
    </row>
    <row r="61">
      <c r="A61" t="inlineStr">
        <is>
          <t>CS2 [NO MARKET] · ACE vs UNiTY|A|Mirage|wl</t>
        </is>
      </c>
      <c r="B61" t="n">
        <v>7.75</v>
      </c>
    </row>
    <row r="62">
      <c r="A62" t="inlineStr">
        <is>
          <t>CS2 [NO MARKET] · ACE vs UNiTY|A|Inferno|lw</t>
        </is>
      </c>
      <c r="B62" t="n">
        <v>8</v>
      </c>
    </row>
    <row r="63">
      <c r="A63" t="inlineStr">
        <is>
          <t>CS2 [NO MARKET] · ACE vs UNiTY|A|Inferno|wl</t>
        </is>
      </c>
      <c r="B63" t="n">
        <v>7</v>
      </c>
    </row>
    <row r="64">
      <c r="A64" t="inlineStr">
        <is>
          <t>CS2 [NO MARKET] · ACE vs UNiTY|A|Ancient|lw</t>
        </is>
      </c>
      <c r="B64" t="n">
        <v>6.5</v>
      </c>
    </row>
    <row r="65">
      <c r="A65" t="inlineStr">
        <is>
          <t>CS2 [NO MARKET] · ACE vs UNiTY|A|Ancient|wl</t>
        </is>
      </c>
      <c r="B65" t="n">
        <v>2.5</v>
      </c>
    </row>
    <row r="66">
      <c r="A66" t="inlineStr">
        <is>
          <t>CS2 [NO MARKET] · ACE vs UNiTY|A|Anubis|lw</t>
        </is>
      </c>
      <c r="B66" t="n">
        <v>8</v>
      </c>
    </row>
    <row r="67">
      <c r="A67" t="inlineStr">
        <is>
          <t>CS2 [NO MARKET] · ACE vs UNiTY|A|Anubis|wl</t>
        </is>
      </c>
      <c r="B67" t="n">
        <v>6.33</v>
      </c>
    </row>
    <row r="68">
      <c r="A68" t="inlineStr">
        <is>
          <t>CS2 [NO MARKET] · ACE vs UNiTY|B|ALL|lw</t>
        </is>
      </c>
      <c r="B68" t="n">
        <v>8.119999999999999</v>
      </c>
    </row>
    <row r="69">
      <c r="A69" t="inlineStr">
        <is>
          <t>CS2 [NO MARKET] · ACE vs UNiTY|B|ALL|wl</t>
        </is>
      </c>
      <c r="B69" t="n">
        <v>9.07</v>
      </c>
    </row>
    <row r="70">
      <c r="A70" t="inlineStr">
        <is>
          <t>CS2 [NO MARKET] · ACE vs UNiTY|B|Cache|lw</t>
        </is>
      </c>
      <c r="B70" t="n">
        <v>9.43</v>
      </c>
    </row>
    <row r="71">
      <c r="A71" t="inlineStr">
        <is>
          <t>CS2 [NO MARKET] · ACE vs UNiTY|B|Cache|wl</t>
        </is>
      </c>
      <c r="B71" t="n">
        <v>8</v>
      </c>
    </row>
    <row r="72">
      <c r="A72" t="inlineStr">
        <is>
          <t>CS2 [NO MARKET] · ACE vs UNiTY|B|Dust2|lw</t>
        </is>
      </c>
      <c r="B72" t="n">
        <v>6.8</v>
      </c>
    </row>
    <row r="73">
      <c r="A73" t="inlineStr">
        <is>
          <t>CS2 [NO MARKET] · ACE vs UNiTY|B|Dust2|wl</t>
        </is>
      </c>
      <c r="B73" t="n">
        <v>7.71</v>
      </c>
    </row>
    <row r="74">
      <c r="A74" t="inlineStr">
        <is>
          <t>CS2 [NO MARKET] · ACE vs UNiTY|B|Mirage|lw</t>
        </is>
      </c>
      <c r="B74" t="n">
        <v>8.359999999999999</v>
      </c>
    </row>
    <row r="75">
      <c r="A75" t="inlineStr">
        <is>
          <t>CS2 [NO MARKET] · ACE vs UNiTY|B|Mirage|wl</t>
        </is>
      </c>
      <c r="B75" t="n">
        <v>11.29</v>
      </c>
    </row>
    <row r="76">
      <c r="A76" t="inlineStr">
        <is>
          <t>CS2 [NO MARKET] · ACE vs UNiTY|B|Inferno|lw</t>
        </is>
      </c>
      <c r="B76" t="n">
        <v>7.36</v>
      </c>
    </row>
    <row r="77">
      <c r="A77" t="inlineStr">
        <is>
          <t>CS2 [NO MARKET] · ACE vs UNiTY|B|Inferno|wl</t>
        </is>
      </c>
      <c r="B77" t="n">
        <v>7.17</v>
      </c>
    </row>
    <row r="78">
      <c r="A78" t="inlineStr">
        <is>
          <t>CS2 [NO MARKET] · ACE vs UNiTY|B|Nuke|wl</t>
        </is>
      </c>
      <c r="B78" t="n">
        <v>7</v>
      </c>
    </row>
    <row r="79">
      <c r="A79" t="inlineStr">
        <is>
          <t>CS2 [NO MARKET] · ACE vs UNiTY|B|Ancient|lw</t>
        </is>
      </c>
      <c r="B79" t="n">
        <v>9.07</v>
      </c>
    </row>
    <row r="80">
      <c r="A80" t="inlineStr">
        <is>
          <t>CS2 [NO MARKET] · ACE vs UNiTY|B|Ancient|wl</t>
        </is>
      </c>
      <c r="B80" t="n">
        <v>11.17</v>
      </c>
    </row>
    <row r="81">
      <c r="A81" t="inlineStr">
        <is>
          <t>CS2 [NO MARKET] · ACE vs UNiTY|B|Anubis|lw</t>
        </is>
      </c>
      <c r="B81" t="n">
        <v>8.67</v>
      </c>
    </row>
    <row r="82">
      <c r="A82" t="inlineStr">
        <is>
          <t>CS2 [NO MARKET] · ACE vs UNiTY|B|Anubis|wl</t>
        </is>
      </c>
      <c r="B82" t="n">
        <v>14.67</v>
      </c>
    </row>
    <row r="83">
      <c r="A83" t="inlineStr">
        <is>
          <t>CS2 · BB vs NEMI|A|ALL|lw</t>
        </is>
      </c>
      <c r="B83" t="n">
        <v>9.67</v>
      </c>
    </row>
    <row r="84">
      <c r="A84" t="inlineStr">
        <is>
          <t>CS2 · BB vs NEMI|A|ALL|wl</t>
        </is>
      </c>
      <c r="B84" t="n">
        <v>8.56</v>
      </c>
    </row>
    <row r="85">
      <c r="A85" t="inlineStr">
        <is>
          <t>CS2 · BB vs NEMI|A|Cache|lw</t>
        </is>
      </c>
      <c r="B85" t="n">
        <v>11</v>
      </c>
    </row>
    <row r="86">
      <c r="A86" t="inlineStr">
        <is>
          <t>CS2 · BB vs NEMI|A|Cache|wl</t>
        </is>
      </c>
      <c r="B86" t="n">
        <v>14</v>
      </c>
    </row>
    <row r="87">
      <c r="A87" t="inlineStr">
        <is>
          <t>CS2 · BB vs NEMI|A|Dust2|lw</t>
        </is>
      </c>
      <c r="B87" t="n">
        <v>14</v>
      </c>
    </row>
    <row r="88">
      <c r="A88" t="inlineStr">
        <is>
          <t>CS2 · BB vs NEMI|A|Dust2|wl</t>
        </is>
      </c>
      <c r="B88" t="n">
        <v>9.5</v>
      </c>
    </row>
    <row r="89">
      <c r="A89" t="inlineStr">
        <is>
          <t>CS2 · BB vs NEMI|A|Mirage|lw</t>
        </is>
      </c>
      <c r="B89" t="n">
        <v>9.17</v>
      </c>
    </row>
    <row r="90">
      <c r="A90" t="inlineStr">
        <is>
          <t>CS2 · BB vs NEMI|A|Mirage|wl</t>
        </is>
      </c>
      <c r="B90" t="n">
        <v>6.75</v>
      </c>
    </row>
    <row r="91">
      <c r="A91" t="inlineStr">
        <is>
          <t>CS2 · BB vs NEMI|A|Nuke|lw</t>
        </is>
      </c>
      <c r="B91" t="n">
        <v>9.67</v>
      </c>
    </row>
    <row r="92">
      <c r="A92" t="inlineStr">
        <is>
          <t>CS2 · BB vs NEMI|A|Nuke|wl</t>
        </is>
      </c>
      <c r="B92" t="n">
        <v>3</v>
      </c>
    </row>
    <row r="93">
      <c r="A93" t="inlineStr">
        <is>
          <t>CS2 · BB vs NEMI|A|Ancient|lw</t>
        </is>
      </c>
      <c r="B93" t="n">
        <v>8.5</v>
      </c>
    </row>
    <row r="94">
      <c r="A94" t="inlineStr">
        <is>
          <t>CS2 · BB vs NEMI|A|Ancient|wl</t>
        </is>
      </c>
      <c r="B94" t="n">
        <v>9</v>
      </c>
    </row>
    <row r="95">
      <c r="A95" t="inlineStr">
        <is>
          <t>CS2 · BB vs NEMI|A|Anubis|lw</t>
        </is>
      </c>
      <c r="B95" t="n">
        <v>9.25</v>
      </c>
    </row>
    <row r="96">
      <c r="A96" t="inlineStr">
        <is>
          <t>CS2 · BB vs NEMI|A|Anubis|wl</t>
        </is>
      </c>
      <c r="B96" t="n">
        <v>9.4</v>
      </c>
    </row>
    <row r="97">
      <c r="A97" t="inlineStr">
        <is>
          <t>CS2 · BB vs NEMI|B|ALL|lw</t>
        </is>
      </c>
      <c r="B97" t="n">
        <v>8.58</v>
      </c>
    </row>
    <row r="98">
      <c r="A98" t="inlineStr">
        <is>
          <t>CS2 · BB vs NEMI|B|ALL|wl</t>
        </is>
      </c>
      <c r="B98" t="n">
        <v>8.81</v>
      </c>
    </row>
    <row r="99">
      <c r="A99" t="inlineStr">
        <is>
          <t>CS2 · BB vs NEMI|B|Cache|lw</t>
        </is>
      </c>
      <c r="B99" t="n">
        <v>7.8</v>
      </c>
    </row>
    <row r="100">
      <c r="A100" t="inlineStr">
        <is>
          <t>CS2 · BB vs NEMI|B|Cache|wl</t>
        </is>
      </c>
      <c r="B100" t="n">
        <v>9</v>
      </c>
    </row>
    <row r="101">
      <c r="A101" t="inlineStr">
        <is>
          <t>CS2 · BB vs NEMI|B|Dust2|lw</t>
        </is>
      </c>
      <c r="B101" t="n">
        <v>6.69</v>
      </c>
    </row>
    <row r="102">
      <c r="A102" t="inlineStr">
        <is>
          <t>CS2 · BB vs NEMI|B|Dust2|wl</t>
        </is>
      </c>
      <c r="B102" t="n">
        <v>7.5</v>
      </c>
    </row>
    <row r="103">
      <c r="A103" t="inlineStr">
        <is>
          <t>CS2 · BB vs NEMI|B|Mirage|lw</t>
        </is>
      </c>
      <c r="B103" t="n">
        <v>10.92</v>
      </c>
    </row>
    <row r="104">
      <c r="A104" t="inlineStr">
        <is>
          <t>CS2 · BB vs NEMI|B|Mirage|wl</t>
        </is>
      </c>
      <c r="B104" t="n">
        <v>10.33</v>
      </c>
    </row>
    <row r="105">
      <c r="A105" t="inlineStr">
        <is>
          <t>CS2 · BB vs NEMI|B|Inferno|lw</t>
        </is>
      </c>
      <c r="B105" t="n">
        <v>7</v>
      </c>
    </row>
    <row r="106">
      <c r="A106" t="inlineStr">
        <is>
          <t>CS2 · BB vs NEMI|B|Nuke|lw</t>
        </is>
      </c>
      <c r="B106" t="n">
        <v>9</v>
      </c>
    </row>
    <row r="107">
      <c r="A107" t="inlineStr">
        <is>
          <t>CS2 · BB vs NEMI|B|Nuke|wl</t>
        </is>
      </c>
      <c r="B107" t="n">
        <v>8.5</v>
      </c>
    </row>
    <row r="108">
      <c r="A108" t="inlineStr">
        <is>
          <t>CS2 · BB vs NEMI|B|Ancient|lw</t>
        </is>
      </c>
      <c r="B108" t="n">
        <v>9</v>
      </c>
    </row>
    <row r="109">
      <c r="A109" t="inlineStr">
        <is>
          <t>CS2 · BB vs NEMI|B|Ancient|wl</t>
        </is>
      </c>
      <c r="B109" t="n">
        <v>9.67</v>
      </c>
    </row>
    <row r="110">
      <c r="A110" t="inlineStr">
        <is>
          <t>CS2 · BB vs NEMI|B|Anubis|lw</t>
        </is>
      </c>
      <c r="B110" t="n">
        <v>9</v>
      </c>
    </row>
    <row r="111">
      <c r="A111" t="inlineStr">
        <is>
          <t>CS2 · BB vs NEMI|B|Anubis|wl</t>
        </is>
      </c>
      <c r="B111" t="n">
        <v>11.33</v>
      </c>
    </row>
    <row r="112">
      <c r="A112" t="inlineStr">
        <is>
          <t>CS2 · VIT vs MGLZ|A|ALL|lw</t>
        </is>
      </c>
      <c r="B112" t="n">
        <v>7.15</v>
      </c>
    </row>
    <row r="113">
      <c r="A113" t="inlineStr">
        <is>
          <t>CS2 · VIT vs MGLZ|A|ALL|wl</t>
        </is>
      </c>
      <c r="B113" t="n">
        <v>7.93</v>
      </c>
    </row>
    <row r="114">
      <c r="A114" t="inlineStr">
        <is>
          <t>CS2 · VIT vs MGLZ|A|Cache|lw</t>
        </is>
      </c>
      <c r="B114" t="n">
        <v>7.33</v>
      </c>
    </row>
    <row r="115">
      <c r="A115" t="inlineStr">
        <is>
          <t>CS2 · VIT vs MGLZ|A|Cache|wl</t>
        </is>
      </c>
      <c r="B115" t="n">
        <v>13</v>
      </c>
    </row>
    <row r="116">
      <c r="A116" t="inlineStr">
        <is>
          <t>CS2 · VIT vs MGLZ|A|Dust2|lw</t>
        </is>
      </c>
      <c r="B116" t="n">
        <v>5.82</v>
      </c>
    </row>
    <row r="117">
      <c r="A117" t="inlineStr">
        <is>
          <t>CS2 · VIT vs MGLZ|A|Dust2|wl</t>
        </is>
      </c>
      <c r="B117" t="n">
        <v>7.5</v>
      </c>
    </row>
    <row r="118">
      <c r="A118" t="inlineStr">
        <is>
          <t>CS2 · VIT vs MGLZ|A|Mirage|lw</t>
        </is>
      </c>
      <c r="B118" t="n">
        <v>8</v>
      </c>
    </row>
    <row r="119">
      <c r="A119" t="inlineStr">
        <is>
          <t>CS2 · VIT vs MGLZ|A|Mirage|wl</t>
        </is>
      </c>
      <c r="B119" t="n">
        <v>6.33</v>
      </c>
    </row>
    <row r="120">
      <c r="A120" t="inlineStr">
        <is>
          <t>CS2 · VIT vs MGLZ|A|Inferno|lw</t>
        </is>
      </c>
      <c r="B120" t="n">
        <v>6</v>
      </c>
    </row>
    <row r="121">
      <c r="A121" t="inlineStr">
        <is>
          <t>CS2 · VIT vs MGLZ|A|Inferno|wl</t>
        </is>
      </c>
      <c r="B121" t="n">
        <v>11</v>
      </c>
    </row>
    <row r="122">
      <c r="A122" t="inlineStr">
        <is>
          <t>CS2 · VIT vs MGLZ|A|Nuke|lw</t>
        </is>
      </c>
      <c r="B122" t="n">
        <v>11.33</v>
      </c>
    </row>
    <row r="123">
      <c r="A123" t="inlineStr">
        <is>
          <t>CS2 · VIT vs MGLZ|A|Nuke|wl</t>
        </is>
      </c>
      <c r="B123" t="n">
        <v>6.33</v>
      </c>
    </row>
    <row r="124">
      <c r="A124" t="inlineStr">
        <is>
          <t>CS2 · VIT vs MGLZ|A|Anubis|lw</t>
        </is>
      </c>
      <c r="B124" t="n">
        <v>6.67</v>
      </c>
    </row>
    <row r="125">
      <c r="A125" t="inlineStr">
        <is>
          <t>CS2 · VIT vs MGLZ|A|Anubis|wl</t>
        </is>
      </c>
      <c r="B125" t="n">
        <v>8.4</v>
      </c>
    </row>
    <row r="126">
      <c r="A126" t="inlineStr">
        <is>
          <t>CS2 · VIT vs MGLZ|B|ALL|lw</t>
        </is>
      </c>
      <c r="B126" t="n">
        <v>7.24</v>
      </c>
    </row>
    <row r="127">
      <c r="A127" t="inlineStr">
        <is>
          <t>CS2 · VIT vs MGLZ|B|ALL|wl</t>
        </is>
      </c>
      <c r="B127" t="n">
        <v>8.210000000000001</v>
      </c>
    </row>
    <row r="128">
      <c r="A128" t="inlineStr">
        <is>
          <t>CS2 · VIT vs MGLZ|B|Cache|wl</t>
        </is>
      </c>
      <c r="B128" t="n">
        <v>6</v>
      </c>
    </row>
    <row r="129">
      <c r="A129" t="inlineStr">
        <is>
          <t>CS2 · VIT vs MGLZ|B|Dust2|lw</t>
        </is>
      </c>
      <c r="B129" t="n">
        <v>9</v>
      </c>
    </row>
    <row r="130">
      <c r="A130" t="inlineStr">
        <is>
          <t>CS2 · VIT vs MGLZ|B|Dust2|wl</t>
        </is>
      </c>
      <c r="B130" t="n">
        <v>9</v>
      </c>
    </row>
    <row r="131">
      <c r="A131" t="inlineStr">
        <is>
          <t>CS2 · VIT vs MGLZ|B|Mirage|lw</t>
        </is>
      </c>
      <c r="B131" t="n">
        <v>6.67</v>
      </c>
    </row>
    <row r="132">
      <c r="A132" t="inlineStr">
        <is>
          <t>CS2 · VIT vs MGLZ|B|Mirage|wl</t>
        </is>
      </c>
      <c r="B132" t="n">
        <v>7.33</v>
      </c>
    </row>
    <row r="133">
      <c r="A133" t="inlineStr">
        <is>
          <t>CS2 · VIT vs MGLZ|B|Inferno|lw</t>
        </is>
      </c>
      <c r="B133" t="n">
        <v>6.6</v>
      </c>
    </row>
    <row r="134">
      <c r="A134" t="inlineStr">
        <is>
          <t>CS2 · VIT vs MGLZ|B|Inferno|wl</t>
        </is>
      </c>
      <c r="B134" t="n">
        <v>8.199999999999999</v>
      </c>
    </row>
    <row r="135">
      <c r="A135" t="inlineStr">
        <is>
          <t>CS2 · VIT vs MGLZ|B|Nuke|lw</t>
        </is>
      </c>
      <c r="B135" t="n">
        <v>6</v>
      </c>
    </row>
    <row r="136">
      <c r="A136" t="inlineStr">
        <is>
          <t>CS2 · VIT vs MGLZ|B|Nuke|wl</t>
        </is>
      </c>
      <c r="B136" t="n">
        <v>11.5</v>
      </c>
    </row>
    <row r="137">
      <c r="A137" t="inlineStr">
        <is>
          <t>CS2 · VIT vs MGLZ|B|Ancient|lw</t>
        </is>
      </c>
      <c r="B137" t="n">
        <v>7.75</v>
      </c>
    </row>
    <row r="138">
      <c r="A138" t="inlineStr">
        <is>
          <t>CS2 · VIT vs MGLZ|B|Ancient|wl</t>
        </is>
      </c>
      <c r="B138" t="n">
        <v>8</v>
      </c>
    </row>
    <row r="139">
      <c r="A139" t="inlineStr">
        <is>
          <t>CS2 [NO MARKET] · BAKS vs MZP|A|ALL|lw</t>
        </is>
      </c>
      <c r="B139" t="n">
        <v>7.79</v>
      </c>
    </row>
    <row r="140">
      <c r="A140" t="inlineStr">
        <is>
          <t>CS2 [NO MARKET] · BAKS vs MZP|A|ALL|wl</t>
        </is>
      </c>
      <c r="B140" t="n">
        <v>7.95</v>
      </c>
    </row>
    <row r="141">
      <c r="A141" t="inlineStr">
        <is>
          <t>CS2 [NO MARKET] · BAKS vs MZP|A|Cache|lw</t>
        </is>
      </c>
      <c r="B141" t="n">
        <v>7.65</v>
      </c>
    </row>
    <row r="142">
      <c r="A142" t="inlineStr">
        <is>
          <t>CS2 [NO MARKET] · BAKS vs MZP|A|Cache|wl</t>
        </is>
      </c>
      <c r="B142" t="n">
        <v>8.83</v>
      </c>
    </row>
    <row r="143">
      <c r="A143" t="inlineStr">
        <is>
          <t>CS2 [NO MARKET] · BAKS vs MZP|A|Dust2|lw</t>
        </is>
      </c>
      <c r="B143" t="n">
        <v>7.25</v>
      </c>
    </row>
    <row r="144">
      <c r="A144" t="inlineStr">
        <is>
          <t>CS2 [NO MARKET] · BAKS vs MZP|A|Dust2|wl</t>
        </is>
      </c>
      <c r="B144" t="n">
        <v>7.42</v>
      </c>
    </row>
    <row r="145">
      <c r="A145" t="inlineStr">
        <is>
          <t>CS2 [NO MARKET] · BAKS vs MZP|A|Mirage|lw</t>
        </is>
      </c>
      <c r="B145" t="n">
        <v>6.75</v>
      </c>
    </row>
    <row r="146">
      <c r="A146" t="inlineStr">
        <is>
          <t>CS2 [NO MARKET] · BAKS vs MZP|A|Mirage|wl</t>
        </is>
      </c>
      <c r="B146" t="n">
        <v>6</v>
      </c>
    </row>
    <row r="147">
      <c r="A147" t="inlineStr">
        <is>
          <t>CS2 [NO MARKET] · BAKS vs MZP|A|Inferno|lw</t>
        </is>
      </c>
      <c r="B147" t="n">
        <v>8.5</v>
      </c>
    </row>
    <row r="148">
      <c r="A148" t="inlineStr">
        <is>
          <t>CS2 [NO MARKET] · BAKS vs MZP|A|Inferno|wl</t>
        </is>
      </c>
      <c r="B148" t="n">
        <v>7.57</v>
      </c>
    </row>
    <row r="149">
      <c r="A149" t="inlineStr">
        <is>
          <t>CS2 [NO MARKET] · BAKS vs MZP|A|Nuke|lw</t>
        </is>
      </c>
      <c r="B149" t="n">
        <v>10</v>
      </c>
    </row>
    <row r="150">
      <c r="A150" t="inlineStr">
        <is>
          <t>CS2 [NO MARKET] · BAKS vs MZP|A|Nuke|wl</t>
        </is>
      </c>
      <c r="B150" t="n">
        <v>8.779999999999999</v>
      </c>
    </row>
    <row r="151">
      <c r="A151" t="inlineStr">
        <is>
          <t>CS2 [NO MARKET] · BAKS vs MZP|A|Ancient|lw</t>
        </is>
      </c>
      <c r="B151" t="n">
        <v>10.5</v>
      </c>
    </row>
    <row r="152">
      <c r="A152" t="inlineStr">
        <is>
          <t>CS2 [NO MARKET] · BAKS vs MZP|A|Ancient|wl</t>
        </is>
      </c>
      <c r="B152" t="n">
        <v>5.5</v>
      </c>
    </row>
    <row r="153">
      <c r="A153" t="inlineStr">
        <is>
          <t>CS2 [NO MARKET] · BAKS vs MZP|B|ALL|lw</t>
        </is>
      </c>
      <c r="B153" t="n">
        <v>8.67</v>
      </c>
    </row>
    <row r="154">
      <c r="A154" t="inlineStr">
        <is>
          <t>CS2 [NO MARKET] · BAKS vs MZP|B|ALL|wl</t>
        </is>
      </c>
      <c r="B154" t="n">
        <v>8.81</v>
      </c>
    </row>
    <row r="155">
      <c r="A155" t="inlineStr">
        <is>
          <t>CS2 [NO MARKET] · BAKS vs MZP|B|Cache|lw</t>
        </is>
      </c>
      <c r="B155" t="n">
        <v>9.4</v>
      </c>
    </row>
    <row r="156">
      <c r="A156" t="inlineStr">
        <is>
          <t>CS2 [NO MARKET] · BAKS vs MZP|B|Cache|wl</t>
        </is>
      </c>
      <c r="B156" t="n">
        <v>8</v>
      </c>
    </row>
    <row r="157">
      <c r="A157" t="inlineStr">
        <is>
          <t>CS2 [NO MARKET] · BAKS vs MZP|B|Mirage|lw</t>
        </is>
      </c>
      <c r="B157" t="n">
        <v>9.25</v>
      </c>
    </row>
    <row r="158">
      <c r="A158" t="inlineStr">
        <is>
          <t>CS2 [NO MARKET] · BAKS vs MZP|B|Mirage|wl</t>
        </is>
      </c>
      <c r="B158" t="n">
        <v>9.199999999999999</v>
      </c>
    </row>
    <row r="159">
      <c r="A159" t="inlineStr">
        <is>
          <t>CS2 [NO MARKET] · BAKS vs MZP|B|Inferno|lw</t>
        </is>
      </c>
      <c r="B159" t="n">
        <v>8.56</v>
      </c>
    </row>
    <row r="160">
      <c r="A160" t="inlineStr">
        <is>
          <t>CS2 [NO MARKET] · BAKS vs MZP|B|Inferno|wl</t>
        </is>
      </c>
      <c r="B160" t="n">
        <v>7.6</v>
      </c>
    </row>
    <row r="161">
      <c r="A161" t="inlineStr">
        <is>
          <t>CS2 [NO MARKET] · BAKS vs MZP|B|Nuke|lw</t>
        </is>
      </c>
      <c r="B161" t="n">
        <v>9.17</v>
      </c>
    </row>
    <row r="162">
      <c r="A162" t="inlineStr">
        <is>
          <t>CS2 [NO MARKET] · BAKS vs MZP|B|Nuke|wl</t>
        </is>
      </c>
      <c r="B162" t="n">
        <v>9.25</v>
      </c>
    </row>
    <row r="163">
      <c r="A163" t="inlineStr">
        <is>
          <t>CS2 [NO MARKET] · BAKS vs MZP|B|Ancient|lw</t>
        </is>
      </c>
      <c r="B163" t="n">
        <v>6.33</v>
      </c>
    </row>
    <row r="164">
      <c r="A164" t="inlineStr">
        <is>
          <t>CS2 [NO MARKET] · BAKS vs MZP|B|Ancient|wl</t>
        </is>
      </c>
      <c r="B164" t="n">
        <v>9.67</v>
      </c>
    </row>
    <row r="165">
      <c r="A165" t="inlineStr">
        <is>
          <t>CS2 [NO MARKET] · BAKS vs MZP|B|Anubis|lw</t>
        </is>
      </c>
      <c r="B165" t="n">
        <v>8.83</v>
      </c>
    </row>
    <row r="166">
      <c r="A166" t="inlineStr">
        <is>
          <t>CS2 [NO MARKET] · BAKS vs MZP|B|Anubis|wl</t>
        </is>
      </c>
      <c r="B166" t="n">
        <v>9</v>
      </c>
    </row>
    <row r="167">
      <c r="A167" t="inlineStr">
        <is>
          <t>CS2 · MOUZ vs 9z|A|ALL|lw</t>
        </is>
      </c>
      <c r="B167" t="n">
        <v>8.26</v>
      </c>
    </row>
    <row r="168">
      <c r="A168" t="inlineStr">
        <is>
          <t>CS2 · MOUZ vs 9z|A|ALL|wl</t>
        </is>
      </c>
      <c r="B168" t="n">
        <v>9.31</v>
      </c>
    </row>
    <row r="169">
      <c r="A169" t="inlineStr">
        <is>
          <t>CS2 · MOUZ vs 9z|A|Cache|lw</t>
        </is>
      </c>
      <c r="B169" t="n">
        <v>5.67</v>
      </c>
    </row>
    <row r="170">
      <c r="A170" t="inlineStr">
        <is>
          <t>CS2 · MOUZ vs 9z|A|Cache|wl</t>
        </is>
      </c>
      <c r="B170" t="n">
        <v>9.67</v>
      </c>
    </row>
    <row r="171">
      <c r="A171" t="inlineStr">
        <is>
          <t>CS2 · MOUZ vs 9z|A|Dust2|lw</t>
        </is>
      </c>
      <c r="B171" t="n">
        <v>7.67</v>
      </c>
    </row>
    <row r="172">
      <c r="A172" t="inlineStr">
        <is>
          <t>CS2 · MOUZ vs 9z|A|Dust2|wl</t>
        </is>
      </c>
      <c r="B172" t="n">
        <v>11</v>
      </c>
    </row>
    <row r="173">
      <c r="A173" t="inlineStr">
        <is>
          <t>CS2 · MOUZ vs 9z|A|Mirage|lw</t>
        </is>
      </c>
      <c r="B173" t="n">
        <v>8.800000000000001</v>
      </c>
    </row>
    <row r="174">
      <c r="A174" t="inlineStr">
        <is>
          <t>CS2 · MOUZ vs 9z|A|Mirage|wl</t>
        </is>
      </c>
      <c r="B174" t="n">
        <v>9</v>
      </c>
    </row>
    <row r="175">
      <c r="A175" t="inlineStr">
        <is>
          <t>CS2 · MOUZ vs 9z|A|Inferno|lw</t>
        </is>
      </c>
      <c r="B175" t="n">
        <v>6.17</v>
      </c>
    </row>
    <row r="176">
      <c r="A176" t="inlineStr">
        <is>
          <t>CS2 · MOUZ vs 9z|A|Inferno|wl</t>
        </is>
      </c>
      <c r="B176" t="n">
        <v>12</v>
      </c>
    </row>
    <row r="177">
      <c r="A177" t="inlineStr">
        <is>
          <t>CS2 · MOUZ vs 9z|A|Nuke|lw</t>
        </is>
      </c>
      <c r="B177" t="n">
        <v>11.67</v>
      </c>
    </row>
    <row r="178">
      <c r="A178" t="inlineStr">
        <is>
          <t>CS2 · MOUZ vs 9z|A|Nuke|wl</t>
        </is>
      </c>
      <c r="B178" t="n">
        <v>6</v>
      </c>
    </row>
    <row r="179">
      <c r="A179" t="inlineStr">
        <is>
          <t>CS2 · MOUZ vs 9z|A|Ancient|lw</t>
        </is>
      </c>
      <c r="B179" t="n">
        <v>7.67</v>
      </c>
    </row>
    <row r="180">
      <c r="A180" t="inlineStr">
        <is>
          <t>CS2 · MOUZ vs 9z|A|Ancient|wl</t>
        </is>
      </c>
      <c r="B180" t="n">
        <v>9</v>
      </c>
    </row>
    <row r="181">
      <c r="A181" t="inlineStr">
        <is>
          <t>CS2 · MOUZ vs 9z|B|ALL|lw</t>
        </is>
      </c>
      <c r="B181" t="n">
        <v>7.5</v>
      </c>
    </row>
    <row r="182">
      <c r="A182" t="inlineStr">
        <is>
          <t>CS2 · MOUZ vs 9z|B|ALL|wl</t>
        </is>
      </c>
      <c r="B182" t="n">
        <v>7.42</v>
      </c>
    </row>
    <row r="183">
      <c r="A183" t="inlineStr">
        <is>
          <t>CS2 · MOUZ vs 9z|B|Cache|lw</t>
        </is>
      </c>
      <c r="B183" t="n">
        <v>3</v>
      </c>
    </row>
    <row r="184">
      <c r="A184" t="inlineStr">
        <is>
          <t>CS2 · MOUZ vs 9z|B|Cache|wl</t>
        </is>
      </c>
      <c r="B184" t="n">
        <v>7.75</v>
      </c>
    </row>
    <row r="185">
      <c r="A185" t="inlineStr">
        <is>
          <t>CS2 · MOUZ vs 9z|B|Dust2|lw</t>
        </is>
      </c>
      <c r="B185" t="n">
        <v>9.67</v>
      </c>
    </row>
    <row r="186">
      <c r="A186" t="inlineStr">
        <is>
          <t>CS2 · MOUZ vs 9z|B|Dust2|wl</t>
        </is>
      </c>
      <c r="B186" t="n">
        <v>5</v>
      </c>
    </row>
    <row r="187">
      <c r="A187" t="inlineStr">
        <is>
          <t>CS2 · MOUZ vs 9z|B|Mirage|lw</t>
        </is>
      </c>
      <c r="B187" t="n">
        <v>8</v>
      </c>
    </row>
    <row r="188">
      <c r="A188" t="inlineStr">
        <is>
          <t>CS2 · MOUZ vs 9z|B|Mirage|wl</t>
        </is>
      </c>
      <c r="B188" t="n">
        <v>9</v>
      </c>
    </row>
    <row r="189">
      <c r="A189" t="inlineStr">
        <is>
          <t>CS2 · MOUZ vs 9z|B|Inferno|lw</t>
        </is>
      </c>
      <c r="B189" t="n">
        <v>11</v>
      </c>
    </row>
    <row r="190">
      <c r="A190" t="inlineStr">
        <is>
          <t>CS2 · MOUZ vs 9z|B|Inferno|wl</t>
        </is>
      </c>
      <c r="B190" t="n">
        <v>6.75</v>
      </c>
    </row>
    <row r="191">
      <c r="A191" t="inlineStr">
        <is>
          <t>CS2 · MOUZ vs 9z|B|Nuke|lw</t>
        </is>
      </c>
      <c r="B191" t="n">
        <v>5</v>
      </c>
    </row>
    <row r="192">
      <c r="A192" t="inlineStr">
        <is>
          <t>CS2 · MOUZ vs 9z|B|Nuke|wl</t>
        </is>
      </c>
      <c r="B192" t="n">
        <v>6.86</v>
      </c>
    </row>
    <row r="193">
      <c r="A193" t="inlineStr">
        <is>
          <t>CS2 · MOUZ vs 9z|B|Ancient|wl</t>
        </is>
      </c>
      <c r="B193" t="n">
        <v>12.5</v>
      </c>
    </row>
    <row r="194">
      <c r="A194" t="inlineStr">
        <is>
          <t>CS2 · AUR vs G2|A|ALL|lw</t>
        </is>
      </c>
      <c r="B194" t="n">
        <v>8.32</v>
      </c>
    </row>
    <row r="195">
      <c r="A195" t="inlineStr">
        <is>
          <t>CS2 · AUR vs G2|A|ALL|wl</t>
        </is>
      </c>
      <c r="B195" t="n">
        <v>7.95</v>
      </c>
    </row>
    <row r="196">
      <c r="A196" t="inlineStr">
        <is>
          <t>CS2 · AUR vs G2|A|Cache|lw</t>
        </is>
      </c>
      <c r="B196" t="n">
        <v>9</v>
      </c>
    </row>
    <row r="197">
      <c r="A197" t="inlineStr">
        <is>
          <t>CS2 · AUR vs G2|A|Cache|wl</t>
        </is>
      </c>
      <c r="B197" t="n">
        <v>7</v>
      </c>
    </row>
    <row r="198">
      <c r="A198" t="inlineStr">
        <is>
          <t>CS2 · AUR vs G2|A|Dust2|lw</t>
        </is>
      </c>
      <c r="B198" t="n">
        <v>8</v>
      </c>
    </row>
    <row r="199">
      <c r="A199" t="inlineStr">
        <is>
          <t>CS2 · AUR vs G2|A|Dust2|wl</t>
        </is>
      </c>
      <c r="B199" t="n">
        <v>8.75</v>
      </c>
    </row>
    <row r="200">
      <c r="A200" t="inlineStr">
        <is>
          <t>CS2 · AUR vs G2|A|Mirage|lw</t>
        </is>
      </c>
      <c r="B200" t="n">
        <v>9.33</v>
      </c>
    </row>
    <row r="201">
      <c r="A201" t="inlineStr">
        <is>
          <t>CS2 · AUR vs G2|A|Mirage|wl</t>
        </is>
      </c>
      <c r="B201" t="n">
        <v>5.5</v>
      </c>
    </row>
    <row r="202">
      <c r="A202" t="inlineStr">
        <is>
          <t>CS2 · AUR vs G2|A|Inferno|lw</t>
        </is>
      </c>
      <c r="B202" t="n">
        <v>8</v>
      </c>
    </row>
    <row r="203">
      <c r="A203" t="inlineStr">
        <is>
          <t>CS2 · AUR vs G2|A|Inferno|wl</t>
        </is>
      </c>
      <c r="B203" t="n">
        <v>10.6</v>
      </c>
    </row>
    <row r="204">
      <c r="A204" t="inlineStr">
        <is>
          <t>CS2 · AUR vs G2|A|Nuke|lw</t>
        </is>
      </c>
      <c r="B204" t="n">
        <v>9.6</v>
      </c>
    </row>
    <row r="205">
      <c r="A205" t="inlineStr">
        <is>
          <t>CS2 · AUR vs G2|A|Nuke|wl</t>
        </is>
      </c>
      <c r="B205" t="n">
        <v>3.33</v>
      </c>
    </row>
    <row r="206">
      <c r="A206" t="inlineStr">
        <is>
          <t>CS2 · AUR vs G2|A|Ancient|wl</t>
        </is>
      </c>
      <c r="B206" t="n">
        <v>11</v>
      </c>
    </row>
    <row r="207">
      <c r="A207" t="inlineStr">
        <is>
          <t>CS2 · AUR vs G2|A|Anubis|lw</t>
        </is>
      </c>
      <c r="B207" t="n">
        <v>6.38</v>
      </c>
    </row>
    <row r="208">
      <c r="A208" t="inlineStr">
        <is>
          <t>CS2 · AUR vs G2|A|Anubis|wl</t>
        </is>
      </c>
      <c r="B208" t="n">
        <v>9.67</v>
      </c>
    </row>
    <row r="209">
      <c r="A209" t="inlineStr">
        <is>
          <t>CS2 · AUR vs G2|B|ALL|lw</t>
        </is>
      </c>
      <c r="B209" t="n">
        <v>7.65</v>
      </c>
    </row>
    <row r="210">
      <c r="A210" t="inlineStr">
        <is>
          <t>CS2 · AUR vs G2|B|ALL|wl</t>
        </is>
      </c>
      <c r="B210" t="n">
        <v>8</v>
      </c>
    </row>
    <row r="211">
      <c r="A211" t="inlineStr">
        <is>
          <t>CS2 · AUR vs G2|B|Cache|lw</t>
        </is>
      </c>
      <c r="B211" t="n">
        <v>5</v>
      </c>
    </row>
    <row r="212">
      <c r="A212" t="inlineStr">
        <is>
          <t>CS2 · AUR vs G2|B|Cache|wl</t>
        </is>
      </c>
      <c r="B212" t="n">
        <v>8</v>
      </c>
    </row>
    <row r="213">
      <c r="A213" t="inlineStr">
        <is>
          <t>CS2 · AUR vs G2|B|Dust2|lw</t>
        </is>
      </c>
      <c r="B213" t="n">
        <v>5</v>
      </c>
    </row>
    <row r="214">
      <c r="A214" t="inlineStr">
        <is>
          <t>CS2 · AUR vs G2|B|Dust2|wl</t>
        </is>
      </c>
      <c r="B214" t="n">
        <v>10</v>
      </c>
    </row>
    <row r="215">
      <c r="A215" t="inlineStr">
        <is>
          <t>CS2 · AUR vs G2|B|Mirage|lw</t>
        </is>
      </c>
      <c r="B215" t="n">
        <v>8.33</v>
      </c>
    </row>
    <row r="216">
      <c r="A216" t="inlineStr">
        <is>
          <t>CS2 · AUR vs G2|B|Mirage|wl</t>
        </is>
      </c>
      <c r="B216" t="n">
        <v>6.67</v>
      </c>
    </row>
    <row r="217">
      <c r="A217" t="inlineStr">
        <is>
          <t>CS2 · AUR vs G2|B|Inferno|lw</t>
        </is>
      </c>
      <c r="B217" t="n">
        <v>8.289999999999999</v>
      </c>
    </row>
    <row r="218">
      <c r="A218" t="inlineStr">
        <is>
          <t>CS2 · AUR vs G2|B|Inferno|wl</t>
        </is>
      </c>
      <c r="B218" t="n">
        <v>6.5</v>
      </c>
    </row>
    <row r="219">
      <c r="A219" t="inlineStr">
        <is>
          <t>CS2 · AUR vs G2|B|Nuke|wl</t>
        </is>
      </c>
      <c r="B219" t="n">
        <v>11</v>
      </c>
    </row>
    <row r="220">
      <c r="A220" t="inlineStr">
        <is>
          <t>CS2 · AUR vs G2|B|Ancient|lw</t>
        </is>
      </c>
      <c r="B220" t="n">
        <v>7.38</v>
      </c>
    </row>
    <row r="221">
      <c r="A221" t="inlineStr">
        <is>
          <t>CS2 · AUR vs G2|B|Ancient|wl</t>
        </is>
      </c>
      <c r="B221" t="n">
        <v>7.6</v>
      </c>
    </row>
    <row r="222">
      <c r="A222" t="inlineStr">
        <is>
          <t>CS2 · AUR vs G2|B|Anubis|lw</t>
        </is>
      </c>
      <c r="B222" t="n">
        <v>9.25</v>
      </c>
    </row>
    <row r="223">
      <c r="A223" t="inlineStr">
        <is>
          <t>CS2 · AUR vs G2|B|Anubis|wl</t>
        </is>
      </c>
      <c r="B223" t="n">
        <v>6.5</v>
      </c>
    </row>
    <row r="224">
      <c r="A224" t="inlineStr">
        <is>
          <t>CS2 · INF vs BRUTE|A|ALL|lw</t>
        </is>
      </c>
      <c r="B224" t="n">
        <v>8.43</v>
      </c>
    </row>
    <row r="225">
      <c r="A225" t="inlineStr">
        <is>
          <t>CS2 · INF vs BRUTE|A|ALL|wl</t>
        </is>
      </c>
      <c r="B225" t="n">
        <v>8.81</v>
      </c>
    </row>
    <row r="226">
      <c r="A226" t="inlineStr">
        <is>
          <t>CS2 · INF vs BRUTE|A|Cache|lw</t>
        </is>
      </c>
      <c r="B226" t="n">
        <v>6</v>
      </c>
    </row>
    <row r="227">
      <c r="A227" t="inlineStr">
        <is>
          <t>CS2 · INF vs BRUTE|A|Cache|wl</t>
        </is>
      </c>
      <c r="B227" t="n">
        <v>9.33</v>
      </c>
    </row>
    <row r="228">
      <c r="A228" t="inlineStr">
        <is>
          <t>CS2 · INF vs BRUTE|A|Dust2|lw</t>
        </is>
      </c>
      <c r="B228" t="n">
        <v>12</v>
      </c>
    </row>
    <row r="229">
      <c r="A229" t="inlineStr">
        <is>
          <t>CS2 · INF vs BRUTE|A|Dust2|wl</t>
        </is>
      </c>
      <c r="B229" t="n">
        <v>9</v>
      </c>
    </row>
    <row r="230">
      <c r="A230" t="inlineStr">
        <is>
          <t>CS2 · INF vs BRUTE|A|Mirage|lw</t>
        </is>
      </c>
      <c r="B230" t="n">
        <v>10</v>
      </c>
    </row>
    <row r="231">
      <c r="A231" t="inlineStr">
        <is>
          <t>CS2 · INF vs BRUTE|A|Mirage|wl</t>
        </is>
      </c>
      <c r="B231" t="n">
        <v>10.8</v>
      </c>
    </row>
    <row r="232">
      <c r="A232" t="inlineStr">
        <is>
          <t>CS2 · INF vs BRUTE|A|Inferno|lw</t>
        </is>
      </c>
      <c r="B232" t="n">
        <v>9</v>
      </c>
    </row>
    <row r="233">
      <c r="A233" t="inlineStr">
        <is>
          <t>CS2 · INF vs BRUTE|A|Inferno|wl</t>
        </is>
      </c>
      <c r="B233" t="n">
        <v>7</v>
      </c>
    </row>
    <row r="234">
      <c r="A234" t="inlineStr">
        <is>
          <t>CS2 · INF vs BRUTE|A|Nuke|lw</t>
        </is>
      </c>
      <c r="B234" t="n">
        <v>8</v>
      </c>
    </row>
    <row r="235">
      <c r="A235" t="inlineStr">
        <is>
          <t>CS2 · INF vs BRUTE|A|Nuke|wl</t>
        </is>
      </c>
      <c r="B235" t="n">
        <v>7.75</v>
      </c>
    </row>
    <row r="236">
      <c r="A236" t="inlineStr">
        <is>
          <t>CS2 · INF vs BRUTE|A|Ancient|lw</t>
        </is>
      </c>
      <c r="B236" t="n">
        <v>9</v>
      </c>
    </row>
    <row r="237">
      <c r="A237" t="inlineStr">
        <is>
          <t>CS2 · INF vs BRUTE|A|Ancient|wl</t>
        </is>
      </c>
      <c r="B237" t="n">
        <v>9.25</v>
      </c>
    </row>
    <row r="238">
      <c r="A238" t="inlineStr">
        <is>
          <t>CS2 · INF vs BRUTE|A|Anubis|wl</t>
        </is>
      </c>
      <c r="B238" t="n">
        <v>5</v>
      </c>
    </row>
    <row r="239">
      <c r="A239" t="inlineStr">
        <is>
          <t>CS2 · INF vs BRUTE|B|ALL|lw</t>
        </is>
      </c>
      <c r="B239" t="n">
        <v>8.58</v>
      </c>
    </row>
    <row r="240">
      <c r="A240" t="inlineStr">
        <is>
          <t>CS2 · INF vs BRUTE|B|ALL|wl</t>
        </is>
      </c>
      <c r="B240" t="n">
        <v>7.67</v>
      </c>
    </row>
    <row r="241">
      <c r="A241" t="inlineStr">
        <is>
          <t>CS2 · INF vs BRUTE|B|Cache|lw</t>
        </is>
      </c>
      <c r="B241" t="n">
        <v>10.75</v>
      </c>
    </row>
    <row r="242">
      <c r="A242" t="inlineStr">
        <is>
          <t>CS2 · INF vs BRUTE|B|Cache|wl</t>
        </is>
      </c>
      <c r="B242" t="n">
        <v>7.5</v>
      </c>
    </row>
    <row r="243">
      <c r="A243" t="inlineStr">
        <is>
          <t>CS2 · INF vs BRUTE|B|Dust2|lw</t>
        </is>
      </c>
      <c r="B243" t="n">
        <v>9.67</v>
      </c>
    </row>
    <row r="244">
      <c r="A244" t="inlineStr">
        <is>
          <t>CS2 · INF vs BRUTE|B|Dust2|wl</t>
        </is>
      </c>
      <c r="B244" t="n">
        <v>8.33</v>
      </c>
    </row>
    <row r="245">
      <c r="A245" t="inlineStr">
        <is>
          <t>CS2 · INF vs BRUTE|B|Mirage|lw</t>
        </is>
      </c>
      <c r="B245" t="n">
        <v>5.75</v>
      </c>
    </row>
    <row r="246">
      <c r="A246" t="inlineStr">
        <is>
          <t>CS2 · INF vs BRUTE|B|Mirage|wl</t>
        </is>
      </c>
      <c r="B246" t="n">
        <v>7.67</v>
      </c>
    </row>
    <row r="247">
      <c r="A247" t="inlineStr">
        <is>
          <t>CS2 · INF vs BRUTE|B|Inferno|lw</t>
        </is>
      </c>
      <c r="B247" t="n">
        <v>10.75</v>
      </c>
    </row>
    <row r="248">
      <c r="A248" t="inlineStr">
        <is>
          <t>CS2 · INF vs BRUTE|B|Inferno|wl</t>
        </is>
      </c>
      <c r="B248" t="n">
        <v>8</v>
      </c>
    </row>
    <row r="249">
      <c r="A249" t="inlineStr">
        <is>
          <t>CS2 · INF vs BRUTE|B|Nuke|lw</t>
        </is>
      </c>
      <c r="B249" t="n">
        <v>6.8</v>
      </c>
    </row>
    <row r="250">
      <c r="A250" t="inlineStr">
        <is>
          <t>CS2 · INF vs BRUTE|B|Nuke|wl</t>
        </is>
      </c>
      <c r="B250" t="n">
        <v>7.67</v>
      </c>
    </row>
    <row r="251">
      <c r="A251" t="inlineStr">
        <is>
          <t>CS2 · INF vs BRUTE|B|Ancient|wl</t>
        </is>
      </c>
      <c r="B251" t="n">
        <v>7.5</v>
      </c>
    </row>
    <row r="252">
      <c r="A252" t="inlineStr">
        <is>
          <t>CS2 · INF vs BRUTE|B|Anubis|lw</t>
        </is>
      </c>
      <c r="B252" t="n">
        <v>9.33</v>
      </c>
    </row>
    <row r="253">
      <c r="A253" t="inlineStr">
        <is>
          <t>CS2 · INF vs BRUTE|B|Anubis|wl</t>
        </is>
      </c>
      <c r="B253" t="n">
        <v>8.119999999999999</v>
      </c>
    </row>
    <row r="254">
      <c r="A254" t="inlineStr">
        <is>
          <t>CS2 · LGC vs DEN|A|ALL|lw</t>
        </is>
      </c>
      <c r="B254" t="n">
        <v>9.109999999999999</v>
      </c>
    </row>
    <row r="255">
      <c r="A255" t="inlineStr">
        <is>
          <t>CS2 · LGC vs DEN|A|ALL|wl</t>
        </is>
      </c>
      <c r="B255" t="n">
        <v>8.699999999999999</v>
      </c>
    </row>
    <row r="256">
      <c r="A256" t="inlineStr">
        <is>
          <t>CS2 · LGC vs DEN|A|Cache|lw</t>
        </is>
      </c>
      <c r="B256" t="n">
        <v>10</v>
      </c>
    </row>
    <row r="257">
      <c r="A257" t="inlineStr">
        <is>
          <t>CS2 · LGC vs DEN|A|Cache|wl</t>
        </is>
      </c>
      <c r="B257" t="n">
        <v>5</v>
      </c>
    </row>
    <row r="258">
      <c r="A258" t="inlineStr">
        <is>
          <t>CS2 · LGC vs DEN|A|Dust2|lw</t>
        </is>
      </c>
      <c r="B258" t="n">
        <v>9</v>
      </c>
    </row>
    <row r="259">
      <c r="A259" t="inlineStr">
        <is>
          <t>CS2 · LGC vs DEN|A|Dust2|wl</t>
        </is>
      </c>
      <c r="B259" t="n">
        <v>7.29</v>
      </c>
    </row>
    <row r="260">
      <c r="A260" t="inlineStr">
        <is>
          <t>CS2 · LGC vs DEN|A|Mirage|lw</t>
        </is>
      </c>
      <c r="B260" t="n">
        <v>10.14</v>
      </c>
    </row>
    <row r="261">
      <c r="A261" t="inlineStr">
        <is>
          <t>CS2 · LGC vs DEN|A|Mirage|wl</t>
        </is>
      </c>
      <c r="B261" t="n">
        <v>8.25</v>
      </c>
    </row>
    <row r="262">
      <c r="A262" t="inlineStr">
        <is>
          <t>CS2 · LGC vs DEN|A|Inferno|lw</t>
        </is>
      </c>
      <c r="B262" t="n">
        <v>8.75</v>
      </c>
    </row>
    <row r="263">
      <c r="A263" t="inlineStr">
        <is>
          <t>CS2 · LGC vs DEN|A|Inferno|wl</t>
        </is>
      </c>
      <c r="B263" t="n">
        <v>3.5</v>
      </c>
    </row>
    <row r="264">
      <c r="A264" t="inlineStr">
        <is>
          <t>CS2 · LGC vs DEN|A|Nuke|lw</t>
        </is>
      </c>
      <c r="B264" t="n">
        <v>9.5</v>
      </c>
    </row>
    <row r="265">
      <c r="A265" t="inlineStr">
        <is>
          <t>CS2 · LGC vs DEN|A|Nuke|wl</t>
        </is>
      </c>
      <c r="B265" t="n">
        <v>13.5</v>
      </c>
    </row>
    <row r="266">
      <c r="A266" t="inlineStr">
        <is>
          <t>CS2 · LGC vs DEN|A|Ancient|lw</t>
        </is>
      </c>
      <c r="B266" t="n">
        <v>7.6</v>
      </c>
    </row>
    <row r="267">
      <c r="A267" t="inlineStr">
        <is>
          <t>CS2 · LGC vs DEN|A|Ancient|wl</t>
        </is>
      </c>
      <c r="B267" t="n">
        <v>12</v>
      </c>
    </row>
    <row r="268">
      <c r="A268" t="inlineStr">
        <is>
          <t>CS2 · LGC vs DEN|B|ALL|lw</t>
        </is>
      </c>
      <c r="B268" t="n">
        <v>7.59</v>
      </c>
    </row>
    <row r="269">
      <c r="A269" t="inlineStr">
        <is>
          <t>CS2 · LGC vs DEN|B|ALL|wl</t>
        </is>
      </c>
      <c r="B269" t="n">
        <v>8.57</v>
      </c>
    </row>
    <row r="270">
      <c r="A270" t="inlineStr">
        <is>
          <t>CS2 · LGC vs DEN|B|Cache|lw</t>
        </is>
      </c>
      <c r="B270" t="n">
        <v>6</v>
      </c>
    </row>
    <row r="271">
      <c r="A271" t="inlineStr">
        <is>
          <t>CS2 · LGC vs DEN|B|Cache|wl</t>
        </is>
      </c>
      <c r="B271" t="n">
        <v>8</v>
      </c>
    </row>
    <row r="272">
      <c r="A272" t="inlineStr">
        <is>
          <t>CS2 · LGC vs DEN|B|Mirage|lw</t>
        </is>
      </c>
      <c r="B272" t="n">
        <v>9.6</v>
      </c>
    </row>
    <row r="273">
      <c r="A273" t="inlineStr">
        <is>
          <t>CS2 · LGC vs DEN|B|Mirage|wl</t>
        </is>
      </c>
      <c r="B273" t="n">
        <v>9.6</v>
      </c>
    </row>
    <row r="274">
      <c r="A274" t="inlineStr">
        <is>
          <t>CS2 · LGC vs DEN|B|Inferno|lw</t>
        </is>
      </c>
      <c r="B274" t="n">
        <v>7.75</v>
      </c>
    </row>
    <row r="275">
      <c r="A275" t="inlineStr">
        <is>
          <t>CS2 · LGC vs DEN|B|Inferno|wl</t>
        </is>
      </c>
      <c r="B275" t="n">
        <v>11</v>
      </c>
    </row>
    <row r="276">
      <c r="A276" t="inlineStr">
        <is>
          <t>CS2 · LGC vs DEN|B|Nuke|lw</t>
        </is>
      </c>
      <c r="B276" t="n">
        <v>4.33</v>
      </c>
    </row>
    <row r="277">
      <c r="A277" t="inlineStr">
        <is>
          <t>CS2 · LGC vs DEN|B|Nuke|wl</t>
        </is>
      </c>
      <c r="B277" t="n">
        <v>6</v>
      </c>
    </row>
    <row r="278">
      <c r="A278" t="inlineStr">
        <is>
          <t>CS2 · LGC vs DEN|B|Ancient|lw</t>
        </is>
      </c>
      <c r="B278" t="n">
        <v>10.67</v>
      </c>
    </row>
    <row r="279">
      <c r="A279" t="inlineStr">
        <is>
          <t>CS2 · LGC vs DEN|B|Ancient|wl</t>
        </is>
      </c>
      <c r="B279" t="n">
        <v>8.5</v>
      </c>
    </row>
    <row r="280">
      <c r="A280" t="inlineStr">
        <is>
          <t>CS2 · LGC vs DEN|B|Anubis|lw</t>
        </is>
      </c>
      <c r="B280" t="n">
        <v>6.5</v>
      </c>
    </row>
    <row r="281">
      <c r="A281" t="inlineStr">
        <is>
          <t>CS2 · LGC vs DEN|B|Anubis|wl</t>
        </is>
      </c>
      <c r="B281" t="n">
        <v>6.5</v>
      </c>
    </row>
    <row r="282">
      <c r="A282" t="inlineStr">
        <is>
          <t>CS2 · FURIA vs NAVI|A|ALL|lw</t>
        </is>
      </c>
      <c r="B282" t="n">
        <v>7.32</v>
      </c>
    </row>
    <row r="283">
      <c r="A283" t="inlineStr">
        <is>
          <t>CS2 · FURIA vs NAVI|A|ALL|wl</t>
        </is>
      </c>
      <c r="B283" t="n">
        <v>8.73</v>
      </c>
    </row>
    <row r="284">
      <c r="A284" t="inlineStr">
        <is>
          <t>CS2 · FURIA vs NAVI|A|Cache|lw</t>
        </is>
      </c>
      <c r="B284" t="n">
        <v>9.4</v>
      </c>
    </row>
    <row r="285">
      <c r="A285" t="inlineStr">
        <is>
          <t>CS2 · FURIA vs NAVI|A|Cache|wl</t>
        </is>
      </c>
      <c r="B285" t="n">
        <v>7.67</v>
      </c>
    </row>
    <row r="286">
      <c r="A286" t="inlineStr">
        <is>
          <t>CS2 · FURIA vs NAVI|A|Dust2|lw</t>
        </is>
      </c>
      <c r="B286" t="n">
        <v>5.67</v>
      </c>
    </row>
    <row r="287">
      <c r="A287" t="inlineStr">
        <is>
          <t>CS2 · FURIA vs NAVI|A|Dust2|wl</t>
        </is>
      </c>
      <c r="B287" t="n">
        <v>6.8</v>
      </c>
    </row>
    <row r="288">
      <c r="A288" t="inlineStr">
        <is>
          <t>CS2 · FURIA vs NAVI|A|Mirage|lw</t>
        </is>
      </c>
      <c r="B288" t="n">
        <v>7</v>
      </c>
    </row>
    <row r="289">
      <c r="A289" t="inlineStr">
        <is>
          <t>CS2 · FURIA vs NAVI|A|Mirage|wl</t>
        </is>
      </c>
      <c r="B289" t="n">
        <v>10</v>
      </c>
    </row>
    <row r="290">
      <c r="A290" t="inlineStr">
        <is>
          <t>CS2 · FURIA vs NAVI|A|Inferno|lw</t>
        </is>
      </c>
      <c r="B290" t="n">
        <v>8.33</v>
      </c>
    </row>
    <row r="291">
      <c r="A291" t="inlineStr">
        <is>
          <t>CS2 · FURIA vs NAVI|A|Inferno|wl</t>
        </is>
      </c>
      <c r="B291" t="n">
        <v>8.5</v>
      </c>
    </row>
    <row r="292">
      <c r="A292" t="inlineStr">
        <is>
          <t>CS2 · FURIA vs NAVI|A|Nuke|lw</t>
        </is>
      </c>
      <c r="B292" t="n">
        <v>6.86</v>
      </c>
    </row>
    <row r="293">
      <c r="A293" t="inlineStr">
        <is>
          <t>CS2 · FURIA vs NAVI|A|Nuke|wl</t>
        </is>
      </c>
      <c r="B293" t="n">
        <v>10.75</v>
      </c>
    </row>
    <row r="294">
      <c r="A294" t="inlineStr">
        <is>
          <t>CS2 · FURIA vs NAVI|A|Ancient|lw</t>
        </is>
      </c>
      <c r="B294" t="n">
        <v>7.17</v>
      </c>
    </row>
    <row r="295">
      <c r="A295" t="inlineStr">
        <is>
          <t>CS2 · FURIA vs NAVI|A|Ancient|wl</t>
        </is>
      </c>
      <c r="B295" t="n">
        <v>10.2</v>
      </c>
    </row>
    <row r="296">
      <c r="A296" t="inlineStr">
        <is>
          <t>CS2 · FURIA vs NAVI|A|Anubis|wl</t>
        </is>
      </c>
      <c r="B296" t="n">
        <v>5.5</v>
      </c>
    </row>
    <row r="297">
      <c r="A297" t="inlineStr">
        <is>
          <t>CS2 · FURIA vs NAVI|B|ALL|lw</t>
        </is>
      </c>
      <c r="B297" t="n">
        <v>8.529999999999999</v>
      </c>
    </row>
    <row r="298">
      <c r="A298" t="inlineStr">
        <is>
          <t>CS2 · FURIA vs NAVI|B|ALL|wl</t>
        </is>
      </c>
      <c r="B298" t="n">
        <v>7.35</v>
      </c>
    </row>
    <row r="299">
      <c r="A299" t="inlineStr">
        <is>
          <t>CS2 · FURIA vs NAVI|B|Cache|lw</t>
        </is>
      </c>
      <c r="B299" t="n">
        <v>7.67</v>
      </c>
    </row>
    <row r="300">
      <c r="A300" t="inlineStr">
        <is>
          <t>CS2 · FURIA vs NAVI|B|Cache|wl</t>
        </is>
      </c>
      <c r="B300" t="n">
        <v>10</v>
      </c>
    </row>
    <row r="301">
      <c r="A301" t="inlineStr">
        <is>
          <t>CS2 · FURIA vs NAVI|B|Dust2|lw</t>
        </is>
      </c>
      <c r="B301" t="n">
        <v>19</v>
      </c>
    </row>
    <row r="302">
      <c r="A302" t="inlineStr">
        <is>
          <t>CS2 · FURIA vs NAVI|B|Mirage|lw</t>
        </is>
      </c>
      <c r="B302" t="n">
        <v>9.5</v>
      </c>
    </row>
    <row r="303">
      <c r="A303" t="inlineStr">
        <is>
          <t>CS2 · FURIA vs NAVI|B|Mirage|wl</t>
        </is>
      </c>
      <c r="B303" t="n">
        <v>7.33</v>
      </c>
    </row>
    <row r="304">
      <c r="A304" t="inlineStr">
        <is>
          <t>CS2 · FURIA vs NAVI|B|Inferno|lw</t>
        </is>
      </c>
      <c r="B304" t="n">
        <v>5.67</v>
      </c>
    </row>
    <row r="305">
      <c r="A305" t="inlineStr">
        <is>
          <t>CS2 · FURIA vs NAVI|B|Inferno|wl</t>
        </is>
      </c>
      <c r="B305" t="n">
        <v>8.199999999999999</v>
      </c>
    </row>
    <row r="306">
      <c r="A306" t="inlineStr">
        <is>
          <t>CS2 · FURIA vs NAVI|B|Nuke|lw</t>
        </is>
      </c>
      <c r="B306" t="n">
        <v>7.75</v>
      </c>
    </row>
    <row r="307">
      <c r="A307" t="inlineStr">
        <is>
          <t>CS2 · FURIA vs NAVI|B|Nuke|wl</t>
        </is>
      </c>
      <c r="B307" t="n">
        <v>8</v>
      </c>
    </row>
    <row r="308">
      <c r="A308" t="inlineStr">
        <is>
          <t>CS2 · FURIA vs NAVI|B|Ancient|wl</t>
        </is>
      </c>
      <c r="B308" t="n">
        <v>5.67</v>
      </c>
    </row>
    <row r="309">
      <c r="A309" t="inlineStr">
        <is>
          <t>CS2 · FURIA vs NAVI|B|Anubis|lw</t>
        </is>
      </c>
      <c r="B309" t="n">
        <v>9.5</v>
      </c>
    </row>
    <row r="310">
      <c r="A310" t="inlineStr">
        <is>
          <t>CS2 · FURIA vs NAVI|B|Anubis|wl</t>
        </is>
      </c>
      <c r="B310" t="n">
        <v>5</v>
      </c>
    </row>
    <row r="311">
      <c r="A311" t="inlineStr">
        <is>
          <t>CS2 · paiN vs BST|A|ALL|lw</t>
        </is>
      </c>
      <c r="B311" t="n">
        <v>8.960000000000001</v>
      </c>
    </row>
    <row r="312">
      <c r="A312" t="inlineStr">
        <is>
          <t>CS2 · paiN vs BST|A|ALL|wl</t>
        </is>
      </c>
      <c r="B312" t="n">
        <v>8.25</v>
      </c>
    </row>
    <row r="313">
      <c r="A313" t="inlineStr">
        <is>
          <t>CS2 · paiN vs BST|A|Cache|lw</t>
        </is>
      </c>
      <c r="B313" t="n">
        <v>8</v>
      </c>
    </row>
    <row r="314">
      <c r="A314" t="inlineStr">
        <is>
          <t>CS2 · paiN vs BST|A|Cache|wl</t>
        </is>
      </c>
      <c r="B314" t="n">
        <v>8</v>
      </c>
    </row>
    <row r="315">
      <c r="A315" t="inlineStr">
        <is>
          <t>CS2 · paiN vs BST|A|Dust2|lw</t>
        </is>
      </c>
      <c r="B315" t="n">
        <v>9.44</v>
      </c>
    </row>
    <row r="316">
      <c r="A316" t="inlineStr">
        <is>
          <t>CS2 · paiN vs BST|A|Dust2|wl</t>
        </is>
      </c>
      <c r="B316" t="n">
        <v>8</v>
      </c>
    </row>
    <row r="317">
      <c r="A317" t="inlineStr">
        <is>
          <t>CS2 · paiN vs BST|A|Mirage|lw</t>
        </is>
      </c>
      <c r="B317" t="n">
        <v>9.800000000000001</v>
      </c>
    </row>
    <row r="318">
      <c r="A318" t="inlineStr">
        <is>
          <t>CS2 · paiN vs BST|A|Mirage|wl</t>
        </is>
      </c>
      <c r="B318" t="n">
        <v>9.199999999999999</v>
      </c>
    </row>
    <row r="319">
      <c r="A319" t="inlineStr">
        <is>
          <t>CS2 · paiN vs BST|A|Inferno|wl</t>
        </is>
      </c>
      <c r="B319" t="n">
        <v>7.25</v>
      </c>
    </row>
    <row r="320">
      <c r="A320" t="inlineStr">
        <is>
          <t>CS2 · paiN vs BST|A|Nuke|lw</t>
        </is>
      </c>
      <c r="B320" t="n">
        <v>6.33</v>
      </c>
    </row>
    <row r="321">
      <c r="A321" t="inlineStr">
        <is>
          <t>CS2 · paiN vs BST|A|Nuke|wl</t>
        </is>
      </c>
      <c r="B321" t="n">
        <v>9</v>
      </c>
    </row>
    <row r="322">
      <c r="A322" t="inlineStr">
        <is>
          <t>CS2 · paiN vs BST|A|Anubis|lw</t>
        </is>
      </c>
      <c r="B322" t="n">
        <v>9.5</v>
      </c>
    </row>
    <row r="323">
      <c r="A323" t="inlineStr">
        <is>
          <t>CS2 · paiN vs BST|A|Anubis|wl</t>
        </is>
      </c>
      <c r="B323" t="n">
        <v>10</v>
      </c>
    </row>
    <row r="324">
      <c r="A324" t="inlineStr">
        <is>
          <t>CS2 · paiN vs BST|B|ALL|lw</t>
        </is>
      </c>
      <c r="B324" t="n">
        <v>9.390000000000001</v>
      </c>
    </row>
    <row r="325">
      <c r="A325" t="inlineStr">
        <is>
          <t>CS2 · paiN vs BST|B|ALL|wl</t>
        </is>
      </c>
      <c r="B325" t="n">
        <v>7.76</v>
      </c>
    </row>
    <row r="326">
      <c r="A326" t="inlineStr">
        <is>
          <t>CS2 · paiN vs BST|B|Cache|lw</t>
        </is>
      </c>
      <c r="B326" t="n">
        <v>12.67</v>
      </c>
    </row>
    <row r="327">
      <c r="A327" t="inlineStr">
        <is>
          <t>CS2 · paiN vs BST|B|Cache|wl</t>
        </is>
      </c>
      <c r="B327" t="n">
        <v>7.4</v>
      </c>
    </row>
    <row r="328">
      <c r="A328" t="inlineStr">
        <is>
          <t>CS2 · paiN vs BST|B|Dust2|lw</t>
        </is>
      </c>
      <c r="B328" t="n">
        <v>9.33</v>
      </c>
    </row>
    <row r="329">
      <c r="A329" t="inlineStr">
        <is>
          <t>CS2 · paiN vs BST|B|Dust2|wl</t>
        </is>
      </c>
      <c r="B329" t="n">
        <v>9.17</v>
      </c>
    </row>
    <row r="330">
      <c r="A330" t="inlineStr">
        <is>
          <t>CS2 · paiN vs BST|B|Mirage|lw</t>
        </is>
      </c>
      <c r="B330" t="n">
        <v>7.86</v>
      </c>
    </row>
    <row r="331">
      <c r="A331" t="inlineStr">
        <is>
          <t>CS2 · paiN vs BST|B|Mirage|wl</t>
        </is>
      </c>
      <c r="B331" t="n">
        <v>6.4</v>
      </c>
    </row>
    <row r="332">
      <c r="A332" t="inlineStr">
        <is>
          <t>CS2 · paiN vs BST|B|Inferno|lw</t>
        </is>
      </c>
      <c r="B332" t="n">
        <v>9.289999999999999</v>
      </c>
    </row>
    <row r="333">
      <c r="A333" t="inlineStr">
        <is>
          <t>CS2 · paiN vs BST|B|Inferno|wl</t>
        </is>
      </c>
      <c r="B333" t="n">
        <v>6</v>
      </c>
    </row>
    <row r="334">
      <c r="A334" t="inlineStr">
        <is>
          <t>CS2 · paiN vs BST|B|Nuke|lw</t>
        </is>
      </c>
      <c r="B334" t="n">
        <v>10.67</v>
      </c>
    </row>
    <row r="335">
      <c r="A335" t="inlineStr">
        <is>
          <t>CS2 · paiN vs BST|B|Nuke|wl</t>
        </is>
      </c>
      <c r="B335" t="n">
        <v>7.33</v>
      </c>
    </row>
    <row r="336">
      <c r="A336" t="inlineStr">
        <is>
          <t>CS2 · paiN vs BST|B|Ancient|lw</t>
        </is>
      </c>
      <c r="B336" t="n">
        <v>9</v>
      </c>
    </row>
    <row r="337">
      <c r="A337" t="inlineStr">
        <is>
          <t>CS2 · paiN vs BST|B|Ancient|wl</t>
        </is>
      </c>
      <c r="B337" t="n">
        <v>9</v>
      </c>
    </row>
    <row r="338">
      <c r="A338" t="inlineStr">
        <is>
          <t>CS2 · FORZE.R vs ex-RUSTEC|A|ALL|lw</t>
        </is>
      </c>
      <c r="B338" t="n">
        <v>7.09</v>
      </c>
    </row>
    <row r="339">
      <c r="A339" t="inlineStr">
        <is>
          <t>CS2 · FORZE.R vs ex-RUSTEC|A|ALL|wl</t>
        </is>
      </c>
      <c r="B339" t="n">
        <v>8.75</v>
      </c>
    </row>
    <row r="340">
      <c r="A340" t="inlineStr">
        <is>
          <t>CS2 · FORZE.R vs ex-RUSTEC|A|Cache|lw</t>
        </is>
      </c>
      <c r="B340" t="n">
        <v>6.42</v>
      </c>
    </row>
    <row r="341">
      <c r="A341" t="inlineStr">
        <is>
          <t>CS2 · FORZE.R vs ex-RUSTEC|A|Cache|wl</t>
        </is>
      </c>
      <c r="B341" t="n">
        <v>6</v>
      </c>
    </row>
    <row r="342">
      <c r="A342" t="inlineStr">
        <is>
          <t>CS2 · FORZE.R vs ex-RUSTEC|A|Dust2|lw</t>
        </is>
      </c>
      <c r="B342" t="n">
        <v>7.15</v>
      </c>
    </row>
    <row r="343">
      <c r="A343" t="inlineStr">
        <is>
          <t>CS2 · FORZE.R vs ex-RUSTEC|A|Dust2|wl</t>
        </is>
      </c>
      <c r="B343" t="n">
        <v>9.17</v>
      </c>
    </row>
    <row r="344">
      <c r="A344" t="inlineStr">
        <is>
          <t>CS2 · FORZE.R vs ex-RUSTEC|A|Mirage|lw</t>
        </is>
      </c>
      <c r="B344" t="n">
        <v>8.380000000000001</v>
      </c>
    </row>
    <row r="345">
      <c r="A345" t="inlineStr">
        <is>
          <t>CS2 · FORZE.R vs ex-RUSTEC|A|Mirage|wl</t>
        </is>
      </c>
      <c r="B345" t="n">
        <v>9.6</v>
      </c>
    </row>
    <row r="346">
      <c r="A346" t="inlineStr">
        <is>
          <t>CS2 · FORZE.R vs ex-RUSTEC|A|Nuke|lw</t>
        </is>
      </c>
      <c r="B346" t="n">
        <v>7.38</v>
      </c>
    </row>
    <row r="347">
      <c r="A347" t="inlineStr">
        <is>
          <t>CS2 · FORZE.R vs ex-RUSTEC|A|Nuke|wl</t>
        </is>
      </c>
      <c r="B347" t="n">
        <v>15.25</v>
      </c>
    </row>
    <row r="348">
      <c r="A348" t="inlineStr">
        <is>
          <t>CS2 · FORZE.R vs ex-RUSTEC|A|Ancient|lw</t>
        </is>
      </c>
      <c r="B348" t="n">
        <v>7.5</v>
      </c>
    </row>
    <row r="349">
      <c r="A349" t="inlineStr">
        <is>
          <t>CS2 · FORZE.R vs ex-RUSTEC|A|Ancient|wl</t>
        </is>
      </c>
      <c r="B349" t="n">
        <v>6.67</v>
      </c>
    </row>
    <row r="350">
      <c r="A350" t="inlineStr">
        <is>
          <t>CS2 · FORZE.R vs ex-RUSTEC|A|Anubis|lw</t>
        </is>
      </c>
      <c r="B350" t="n">
        <v>7</v>
      </c>
    </row>
    <row r="351">
      <c r="A351" t="inlineStr">
        <is>
          <t>CS2 · FORZE.R vs ex-RUSTEC|A|Anubis|wl</t>
        </is>
      </c>
      <c r="B351" t="n">
        <v>7.17</v>
      </c>
    </row>
    <row r="352">
      <c r="A352" t="inlineStr">
        <is>
          <t>CS2 · FORZE.R vs ex-RUSTEC|B|ALL|lw</t>
        </is>
      </c>
      <c r="B352" t="n">
        <v>8.07</v>
      </c>
    </row>
    <row r="353">
      <c r="A353" t="inlineStr">
        <is>
          <t>CS2 · FORZE.R vs ex-RUSTEC|B|ALL|wl</t>
        </is>
      </c>
      <c r="B353" t="n">
        <v>8.51</v>
      </c>
    </row>
    <row r="354">
      <c r="A354" t="inlineStr">
        <is>
          <t>CS2 · FORZE.R vs ex-RUSTEC|B|Cache|lw</t>
        </is>
      </c>
      <c r="B354" t="n">
        <v>5.86</v>
      </c>
    </row>
    <row r="355">
      <c r="A355" t="inlineStr">
        <is>
          <t>CS2 · FORZE.R vs ex-RUSTEC|B|Cache|wl</t>
        </is>
      </c>
      <c r="B355" t="n">
        <v>9.380000000000001</v>
      </c>
    </row>
    <row r="356">
      <c r="A356" t="inlineStr">
        <is>
          <t>CS2 · FORZE.R vs ex-RUSTEC|B|Dust2|lw</t>
        </is>
      </c>
      <c r="B356" t="n">
        <v>8.119999999999999</v>
      </c>
    </row>
    <row r="357">
      <c r="A357" t="inlineStr">
        <is>
          <t>CS2 · FORZE.R vs ex-RUSTEC|B|Dust2|wl</t>
        </is>
      </c>
      <c r="B357" t="n">
        <v>9.57</v>
      </c>
    </row>
    <row r="358">
      <c r="A358" t="inlineStr">
        <is>
          <t>CS2 · FORZE.R vs ex-RUSTEC|B|Mirage|lw</t>
        </is>
      </c>
      <c r="B358" t="n">
        <v>7.5</v>
      </c>
    </row>
    <row r="359">
      <c r="A359" t="inlineStr">
        <is>
          <t>CS2 · FORZE.R vs ex-RUSTEC|B|Mirage|wl</t>
        </is>
      </c>
      <c r="B359" t="n">
        <v>10.1</v>
      </c>
    </row>
    <row r="360">
      <c r="A360" t="inlineStr">
        <is>
          <t>CS2 · FORZE.R vs ex-RUSTEC|B|Inferno|lw</t>
        </is>
      </c>
      <c r="B360" t="n">
        <v>9.44</v>
      </c>
    </row>
    <row r="361">
      <c r="A361" t="inlineStr">
        <is>
          <t>CS2 · FORZE.R vs ex-RUSTEC|B|Inferno|wl</t>
        </is>
      </c>
      <c r="B361" t="n">
        <v>7.29</v>
      </c>
    </row>
    <row r="362">
      <c r="A362" t="inlineStr">
        <is>
          <t>CS2 · FORZE.R vs ex-RUSTEC|B|Nuke|lw</t>
        </is>
      </c>
      <c r="B362" t="n">
        <v>9.710000000000001</v>
      </c>
    </row>
    <row r="363">
      <c r="A363" t="inlineStr">
        <is>
          <t>CS2 · FORZE.R vs ex-RUSTEC|B|Nuke|wl</t>
        </is>
      </c>
      <c r="B363" t="n">
        <v>8.470000000000001</v>
      </c>
    </row>
    <row r="364">
      <c r="A364" t="inlineStr">
        <is>
          <t>CS2 · FORZE.R vs ex-RUSTEC|B|Ancient|lw</t>
        </is>
      </c>
      <c r="B364" t="n">
        <v>8</v>
      </c>
    </row>
    <row r="365">
      <c r="A365" t="inlineStr">
        <is>
          <t>CS2 · FORZE.R vs ex-RUSTEC|B|Ancient|wl</t>
        </is>
      </c>
      <c r="B365" t="n">
        <v>5.75</v>
      </c>
    </row>
    <row r="366">
      <c r="A366" t="inlineStr">
        <is>
          <t>CS2 · FORZE.R vs ex-RUSTEC|B|Anubis|lw</t>
        </is>
      </c>
      <c r="B366" t="n">
        <v>7.59</v>
      </c>
    </row>
    <row r="367">
      <c r="A367" t="inlineStr">
        <is>
          <t>CS2 · FORZE.R vs ex-RUSTEC|B|Anubis|wl</t>
        </is>
      </c>
      <c r="B367" t="n">
        <v>7.5</v>
      </c>
    </row>
    <row r="368">
      <c r="A368" t="inlineStr">
        <is>
          <t>CS2 [NO MARKET] · Color vs ex-ZT|A|ALL|lw</t>
        </is>
      </c>
      <c r="B368" t="n">
        <v>8.23</v>
      </c>
    </row>
    <row r="369">
      <c r="A369" t="inlineStr">
        <is>
          <t>CS2 [NO MARKET] · Color vs ex-ZT|A|ALL|wl</t>
        </is>
      </c>
      <c r="B369" t="n">
        <v>9.43</v>
      </c>
    </row>
    <row r="370">
      <c r="A370" t="inlineStr">
        <is>
          <t>CS2 [NO MARKET] · Color vs ex-ZT|A|Cache|lw</t>
        </is>
      </c>
      <c r="B370" t="n">
        <v>5.67</v>
      </c>
    </row>
    <row r="371">
      <c r="A371" t="inlineStr">
        <is>
          <t>CS2 [NO MARKET] · Color vs ex-ZT|A|Cache|wl</t>
        </is>
      </c>
      <c r="B371" t="n">
        <v>7.17</v>
      </c>
    </row>
    <row r="372">
      <c r="A372" t="inlineStr">
        <is>
          <t>CS2 [NO MARKET] · Color vs ex-ZT|A|Dust2|lw</t>
        </is>
      </c>
      <c r="B372" t="n">
        <v>9.31</v>
      </c>
    </row>
    <row r="373">
      <c r="A373" t="inlineStr">
        <is>
          <t>CS2 [NO MARKET] · Color vs ex-ZT|A|Dust2|wl</t>
        </is>
      </c>
      <c r="B373" t="n">
        <v>11.38</v>
      </c>
    </row>
    <row r="374">
      <c r="A374" t="inlineStr">
        <is>
          <t>CS2 [NO MARKET] · Color vs ex-ZT|A|Mirage|lw</t>
        </is>
      </c>
      <c r="B374" t="n">
        <v>9.75</v>
      </c>
    </row>
    <row r="375">
      <c r="A375" t="inlineStr">
        <is>
          <t>CS2 [NO MARKET] · Color vs ex-ZT|A|Mirage|wl</t>
        </is>
      </c>
      <c r="B375" t="n">
        <v>12</v>
      </c>
    </row>
    <row r="376">
      <c r="A376" t="inlineStr">
        <is>
          <t>CS2 [NO MARKET] · Color vs ex-ZT|A|Inferno|lw</t>
        </is>
      </c>
      <c r="B376" t="n">
        <v>6.33</v>
      </c>
    </row>
    <row r="377">
      <c r="A377" t="inlineStr">
        <is>
          <t>CS2 [NO MARKET] · Color vs ex-ZT|A|Inferno|wl</t>
        </is>
      </c>
      <c r="B377" t="n">
        <v>6</v>
      </c>
    </row>
    <row r="378">
      <c r="A378" t="inlineStr">
        <is>
          <t>CS2 [NO MARKET] · Color vs ex-ZT|A|Ancient|lw</t>
        </is>
      </c>
      <c r="B378" t="n">
        <v>7.29</v>
      </c>
    </row>
    <row r="379">
      <c r="A379" t="inlineStr">
        <is>
          <t>CS2 [NO MARKET] · Color vs ex-ZT|A|Ancient|wl</t>
        </is>
      </c>
      <c r="B379" t="n">
        <v>8.199999999999999</v>
      </c>
    </row>
    <row r="380">
      <c r="A380" t="inlineStr">
        <is>
          <t>CS2 [NO MARKET] · Color vs ex-ZT|A|Anubis|lw</t>
        </is>
      </c>
      <c r="B380" t="n">
        <v>8.4</v>
      </c>
    </row>
    <row r="381">
      <c r="A381" t="inlineStr">
        <is>
          <t>CS2 [NO MARKET] · Color vs ex-ZT|A|Anubis|wl</t>
        </is>
      </c>
      <c r="B381" t="n">
        <v>14</v>
      </c>
    </row>
    <row r="382">
      <c r="A382" t="inlineStr">
        <is>
          <t>CS2 [NO MARKET] · Color vs ex-ZT|B|ALL|lw</t>
        </is>
      </c>
      <c r="B382" t="n">
        <v>7.42</v>
      </c>
    </row>
    <row r="383">
      <c r="A383" t="inlineStr">
        <is>
          <t>CS2 [NO MARKET] · Color vs ex-ZT|B|ALL|wl</t>
        </is>
      </c>
      <c r="B383" t="n">
        <v>7.65</v>
      </c>
    </row>
    <row r="384">
      <c r="A384" t="inlineStr">
        <is>
          <t>CS2 [NO MARKET] · Color vs ex-ZT|B|Cache|lw</t>
        </is>
      </c>
      <c r="B384" t="n">
        <v>6.65</v>
      </c>
    </row>
    <row r="385">
      <c r="A385" t="inlineStr">
        <is>
          <t>CS2 [NO MARKET] · Color vs ex-ZT|B|Cache|wl</t>
        </is>
      </c>
      <c r="B385" t="n">
        <v>8.44</v>
      </c>
    </row>
    <row r="386">
      <c r="A386" t="inlineStr">
        <is>
          <t>CS2 [NO MARKET] · Color vs ex-ZT|B|Dust2|lw</t>
        </is>
      </c>
      <c r="B386" t="n">
        <v>8.109999999999999</v>
      </c>
    </row>
    <row r="387">
      <c r="A387" t="inlineStr">
        <is>
          <t>CS2 [NO MARKET] · Color vs ex-ZT|B|Dust2|wl</t>
        </is>
      </c>
      <c r="B387" t="n">
        <v>9.119999999999999</v>
      </c>
    </row>
    <row r="388">
      <c r="A388" t="inlineStr">
        <is>
          <t>CS2 [NO MARKET] · Color vs ex-ZT|B|Mirage|lw</t>
        </is>
      </c>
      <c r="B388" t="n">
        <v>6.67</v>
      </c>
    </row>
    <row r="389">
      <c r="A389" t="inlineStr">
        <is>
          <t>CS2 [NO MARKET] · Color vs ex-ZT|B|Mirage|wl</t>
        </is>
      </c>
      <c r="B389" t="n">
        <v>5.62</v>
      </c>
    </row>
    <row r="390">
      <c r="A390" t="inlineStr">
        <is>
          <t>CS2 [NO MARKET] · Color vs ex-ZT|B|Inferno|lw</t>
        </is>
      </c>
      <c r="B390" t="n">
        <v>7.54</v>
      </c>
    </row>
    <row r="391">
      <c r="A391" t="inlineStr">
        <is>
          <t>CS2 [NO MARKET] · Color vs ex-ZT|B|Inferno|wl</t>
        </is>
      </c>
      <c r="B391" t="n">
        <v>8.43</v>
      </c>
    </row>
    <row r="392">
      <c r="A392" t="inlineStr">
        <is>
          <t>CS2 [NO MARKET] · Color vs ex-ZT|B|Nuke|lw</t>
        </is>
      </c>
      <c r="B392" t="n">
        <v>9</v>
      </c>
    </row>
    <row r="393">
      <c r="A393" t="inlineStr">
        <is>
          <t>CS2 [NO MARKET] · Color vs ex-ZT|B|Nuke|wl</t>
        </is>
      </c>
      <c r="B393" t="n">
        <v>8.699999999999999</v>
      </c>
    </row>
    <row r="394">
      <c r="A394" t="inlineStr">
        <is>
          <t>CS2 [NO MARKET] · Color vs ex-ZT|B|Anubis|lw</t>
        </is>
      </c>
      <c r="B394" t="n">
        <v>8</v>
      </c>
    </row>
    <row r="395">
      <c r="A395" t="inlineStr">
        <is>
          <t>CS2 [NO MARKET] · Color vs ex-ZT|B|Anubis|wl</t>
        </is>
      </c>
      <c r="B395"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7"/>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 FUT vs TL</t>
        </is>
      </c>
      <c r="B2" t="inlineStr">
        <is>
          <t>Cache</t>
        </is>
      </c>
      <c r="C2" t="inlineStr">
        <is>
          <t>FUT</t>
        </is>
      </c>
      <c r="D2" t="n">
        <v>4</v>
      </c>
      <c r="E2" t="n">
        <v>0</v>
      </c>
      <c r="F2" t="n">
        <v>100</v>
      </c>
      <c r="G2" t="n">
        <v>1</v>
      </c>
    </row>
    <row r="3">
      <c r="A3" t="inlineStr">
        <is>
          <t>CS2 · FUT vs TL</t>
        </is>
      </c>
      <c r="B3" t="inlineStr">
        <is>
          <t>Cache</t>
        </is>
      </c>
      <c r="C3" t="inlineStr">
        <is>
          <t>Liquid</t>
        </is>
      </c>
      <c r="D3" t="n">
        <v>8</v>
      </c>
      <c r="E3" t="n">
        <v>3</v>
      </c>
      <c r="F3" t="n">
        <v>62</v>
      </c>
      <c r="G3" t="n">
        <v>13</v>
      </c>
    </row>
    <row r="4">
      <c r="A4" t="inlineStr">
        <is>
          <t>CS2 · FUT vs TL</t>
        </is>
      </c>
      <c r="B4" t="inlineStr">
        <is>
          <t>Dust2</t>
        </is>
      </c>
      <c r="C4" t="inlineStr">
        <is>
          <t>FUT</t>
        </is>
      </c>
      <c r="D4" t="n">
        <v>4</v>
      </c>
      <c r="E4" t="n">
        <v>12</v>
      </c>
      <c r="F4" t="n">
        <v>33</v>
      </c>
      <c r="G4" t="n">
        <v>6</v>
      </c>
    </row>
    <row r="5">
      <c r="A5" t="inlineStr">
        <is>
          <t>CS2 · FUT vs TL</t>
        </is>
      </c>
      <c r="B5" t="inlineStr">
        <is>
          <t>Dust2</t>
        </is>
      </c>
      <c r="C5" t="inlineStr">
        <is>
          <t>Liquid</t>
        </is>
      </c>
      <c r="D5" t="n">
        <v>8</v>
      </c>
      <c r="E5" t="n">
        <v>11</v>
      </c>
      <c r="F5" t="n">
        <v>33</v>
      </c>
      <c r="G5" t="n">
        <v>9</v>
      </c>
    </row>
    <row r="6">
      <c r="A6" t="inlineStr">
        <is>
          <t>CS2 · FUT vs TL</t>
        </is>
      </c>
      <c r="B6" t="inlineStr">
        <is>
          <t>Mirage</t>
        </is>
      </c>
      <c r="C6" t="inlineStr">
        <is>
          <t>FUT</t>
        </is>
      </c>
      <c r="D6" t="n">
        <v>16</v>
      </c>
      <c r="E6" t="n">
        <v>0</v>
      </c>
      <c r="F6" t="n">
        <v>100</v>
      </c>
      <c r="G6" t="n">
        <v>4</v>
      </c>
    </row>
    <row r="7">
      <c r="A7" t="inlineStr">
        <is>
          <t>CS2 · FUT vs TL</t>
        </is>
      </c>
      <c r="B7" t="inlineStr">
        <is>
          <t>Mirage</t>
        </is>
      </c>
      <c r="C7" t="inlineStr">
        <is>
          <t>Liquid</t>
        </is>
      </c>
      <c r="D7" t="n">
        <v>14</v>
      </c>
      <c r="E7" t="n">
        <v>0</v>
      </c>
      <c r="F7" t="n">
        <v>82</v>
      </c>
      <c r="G7" t="n">
        <v>11</v>
      </c>
    </row>
    <row r="8">
      <c r="A8" t="inlineStr">
        <is>
          <t>CS2 · FUT vs TL</t>
        </is>
      </c>
      <c r="B8" t="inlineStr">
        <is>
          <t>Inferno</t>
        </is>
      </c>
      <c r="C8" t="inlineStr">
        <is>
          <t>FUT</t>
        </is>
      </c>
      <c r="D8" t="n">
        <v>0</v>
      </c>
      <c r="E8" t="n">
        <v>84</v>
      </c>
      <c r="G8" t="n">
        <v>0</v>
      </c>
    </row>
    <row r="9">
      <c r="A9" t="inlineStr">
        <is>
          <t>CS2 · FUT vs TL</t>
        </is>
      </c>
      <c r="B9" t="inlineStr">
        <is>
          <t>Inferno</t>
        </is>
      </c>
      <c r="C9" t="inlineStr">
        <is>
          <t>Liquid</t>
        </is>
      </c>
      <c r="D9" t="n">
        <v>14</v>
      </c>
      <c r="E9" t="n">
        <v>3</v>
      </c>
      <c r="F9" t="n">
        <v>88</v>
      </c>
      <c r="G9" t="n">
        <v>8</v>
      </c>
    </row>
    <row r="10">
      <c r="A10" t="inlineStr">
        <is>
          <t>CS2 · FUT vs TL</t>
        </is>
      </c>
      <c r="B10" t="inlineStr">
        <is>
          <t>Nuke</t>
        </is>
      </c>
      <c r="C10" t="inlineStr">
        <is>
          <t>FUT</t>
        </is>
      </c>
      <c r="D10" t="n">
        <v>0</v>
      </c>
      <c r="E10" t="n">
        <v>4</v>
      </c>
      <c r="F10" t="n">
        <v>40</v>
      </c>
      <c r="G10" t="n">
        <v>5</v>
      </c>
    </row>
    <row r="11">
      <c r="A11" t="inlineStr">
        <is>
          <t>CS2 · FUT vs TL</t>
        </is>
      </c>
      <c r="B11" t="inlineStr">
        <is>
          <t>Nuke</t>
        </is>
      </c>
      <c r="C11" t="inlineStr">
        <is>
          <t>Liquid</t>
        </is>
      </c>
      <c r="D11" t="n">
        <v>14</v>
      </c>
      <c r="E11" t="n">
        <v>0</v>
      </c>
      <c r="F11" t="n">
        <v>50</v>
      </c>
      <c r="G11" t="n">
        <v>12</v>
      </c>
    </row>
    <row r="12">
      <c r="A12" t="inlineStr">
        <is>
          <t>CS2 · FUT vs TL</t>
        </is>
      </c>
      <c r="B12" t="inlineStr">
        <is>
          <t>Ancient</t>
        </is>
      </c>
      <c r="C12" t="inlineStr">
        <is>
          <t>FUT</t>
        </is>
      </c>
      <c r="D12" t="n">
        <v>36</v>
      </c>
      <c r="E12" t="n">
        <v>0</v>
      </c>
      <c r="F12" t="n">
        <v>56</v>
      </c>
      <c r="G12" t="n">
        <v>9</v>
      </c>
    </row>
    <row r="13">
      <c r="A13" t="inlineStr">
        <is>
          <t>CS2 · FUT vs TL</t>
        </is>
      </c>
      <c r="B13" t="inlineStr">
        <is>
          <t>Ancient</t>
        </is>
      </c>
      <c r="C13" t="inlineStr">
        <is>
          <t>Liquid</t>
        </is>
      </c>
      <c r="D13" t="n">
        <v>0</v>
      </c>
      <c r="E13" t="n">
        <v>62</v>
      </c>
      <c r="F13" t="n">
        <v>0</v>
      </c>
      <c r="G13" t="n">
        <v>2</v>
      </c>
    </row>
    <row r="14">
      <c r="A14" t="inlineStr">
        <is>
          <t>CS2 · FUT vs TL</t>
        </is>
      </c>
      <c r="B14" t="inlineStr">
        <is>
          <t>Anubis</t>
        </is>
      </c>
      <c r="C14" t="inlineStr">
        <is>
          <t>FUT</t>
        </is>
      </c>
      <c r="D14" t="n">
        <v>20</v>
      </c>
      <c r="E14" t="n">
        <v>0</v>
      </c>
      <c r="F14" t="n">
        <v>50</v>
      </c>
      <c r="G14" t="n">
        <v>4</v>
      </c>
    </row>
    <row r="15">
      <c r="A15" t="inlineStr">
        <is>
          <t>CS2 · FUT vs TL</t>
        </is>
      </c>
      <c r="B15" t="inlineStr">
        <is>
          <t>Anubis</t>
        </is>
      </c>
      <c r="C15" t="inlineStr">
        <is>
          <t>Liquid</t>
        </is>
      </c>
      <c r="D15" t="n">
        <v>32</v>
      </c>
      <c r="E15" t="n">
        <v>0</v>
      </c>
      <c r="F15" t="n">
        <v>67</v>
      </c>
      <c r="G15" t="n">
        <v>12</v>
      </c>
    </row>
    <row r="16">
      <c r="A16" t="inlineStr">
        <is>
          <t>CS2 · TS vs TYLOO</t>
        </is>
      </c>
      <c r="B16" t="inlineStr">
        <is>
          <t>Cache</t>
        </is>
      </c>
      <c r="C16" t="inlineStr">
        <is>
          <t>Spirit</t>
        </is>
      </c>
      <c r="D16" t="n">
        <v>0</v>
      </c>
      <c r="E16" t="n">
        <v>0</v>
      </c>
      <c r="F16" t="n">
        <v>50</v>
      </c>
      <c r="G16" t="n">
        <v>8</v>
      </c>
    </row>
    <row r="17">
      <c r="A17" t="inlineStr">
        <is>
          <t>CS2 · TS vs TYLOO</t>
        </is>
      </c>
      <c r="B17" t="inlineStr">
        <is>
          <t>Cache</t>
        </is>
      </c>
      <c r="C17" t="inlineStr">
        <is>
          <t>TYLOO</t>
        </is>
      </c>
      <c r="D17" t="n">
        <v>5</v>
      </c>
      <c r="E17" t="n">
        <v>0</v>
      </c>
      <c r="F17" t="n">
        <v>75</v>
      </c>
      <c r="G17" t="n">
        <v>4</v>
      </c>
    </row>
    <row r="18">
      <c r="A18" t="inlineStr">
        <is>
          <t>CS2 · TS vs TYLOO</t>
        </is>
      </c>
      <c r="B18" t="inlineStr">
        <is>
          <t>Dust2</t>
        </is>
      </c>
      <c r="C18" t="inlineStr">
        <is>
          <t>Spirit</t>
        </is>
      </c>
      <c r="D18" t="n">
        <v>63</v>
      </c>
      <c r="E18" t="n">
        <v>0</v>
      </c>
      <c r="F18" t="n">
        <v>73</v>
      </c>
      <c r="G18" t="n">
        <v>15</v>
      </c>
    </row>
    <row r="19">
      <c r="A19" t="inlineStr">
        <is>
          <t>CS2 · TS vs TYLOO</t>
        </is>
      </c>
      <c r="B19" t="inlineStr">
        <is>
          <t>Dust2</t>
        </is>
      </c>
      <c r="C19" t="inlineStr">
        <is>
          <t>TYLOO</t>
        </is>
      </c>
      <c r="D19" t="n">
        <v>0</v>
      </c>
      <c r="E19" t="n">
        <v>95</v>
      </c>
      <c r="G19" t="n">
        <v>0</v>
      </c>
    </row>
    <row r="20">
      <c r="A20" t="inlineStr">
        <is>
          <t>CS2 · TS vs TYLOO</t>
        </is>
      </c>
      <c r="B20" t="inlineStr">
        <is>
          <t>Mirage</t>
        </is>
      </c>
      <c r="C20" t="inlineStr">
        <is>
          <t>Spirit</t>
        </is>
      </c>
      <c r="D20" t="n">
        <v>16</v>
      </c>
      <c r="E20" t="n">
        <v>0</v>
      </c>
      <c r="F20" t="n">
        <v>46</v>
      </c>
      <c r="G20" t="n">
        <v>13</v>
      </c>
    </row>
    <row r="21">
      <c r="A21" t="inlineStr">
        <is>
          <t>CS2 · TS vs TYLOO</t>
        </is>
      </c>
      <c r="B21" t="inlineStr">
        <is>
          <t>Mirage</t>
        </is>
      </c>
      <c r="C21" t="inlineStr">
        <is>
          <t>TYLOO</t>
        </is>
      </c>
      <c r="D21" t="n">
        <v>26</v>
      </c>
      <c r="E21" t="n">
        <v>0</v>
      </c>
      <c r="F21" t="n">
        <v>67</v>
      </c>
      <c r="G21" t="n">
        <v>9</v>
      </c>
    </row>
    <row r="22">
      <c r="A22" t="inlineStr">
        <is>
          <t>CS2 · TS vs TYLOO</t>
        </is>
      </c>
      <c r="B22" t="inlineStr">
        <is>
          <t>Inferno</t>
        </is>
      </c>
      <c r="C22" t="inlineStr">
        <is>
          <t>Spirit</t>
        </is>
      </c>
      <c r="D22" t="n">
        <v>0</v>
      </c>
      <c r="E22" t="n">
        <v>100</v>
      </c>
      <c r="G22" t="n">
        <v>0</v>
      </c>
    </row>
    <row r="23">
      <c r="A23" t="inlineStr">
        <is>
          <t>CS2 · TS vs TYLOO</t>
        </is>
      </c>
      <c r="B23" t="inlineStr">
        <is>
          <t>Inferno</t>
        </is>
      </c>
      <c r="C23" t="inlineStr">
        <is>
          <t>TYLOO</t>
        </is>
      </c>
      <c r="D23" t="n">
        <v>43</v>
      </c>
      <c r="E23" t="n">
        <v>2</v>
      </c>
      <c r="F23" t="n">
        <v>50</v>
      </c>
      <c r="G23" t="n">
        <v>6</v>
      </c>
    </row>
    <row r="24">
      <c r="A24" t="inlineStr">
        <is>
          <t>CS2 · TS vs TYLOO</t>
        </is>
      </c>
      <c r="B24" t="inlineStr">
        <is>
          <t>Nuke</t>
        </is>
      </c>
      <c r="C24" t="inlineStr">
        <is>
          <t>Spirit</t>
        </is>
      </c>
      <c r="D24" t="n">
        <v>0</v>
      </c>
      <c r="E24" t="n">
        <v>0</v>
      </c>
      <c r="F24" t="n">
        <v>57</v>
      </c>
      <c r="G24" t="n">
        <v>7</v>
      </c>
    </row>
    <row r="25">
      <c r="A25" t="inlineStr">
        <is>
          <t>CS2 · TS vs TYLOO</t>
        </is>
      </c>
      <c r="B25" t="inlineStr">
        <is>
          <t>Nuke</t>
        </is>
      </c>
      <c r="C25" t="inlineStr">
        <is>
          <t>TYLOO</t>
        </is>
      </c>
      <c r="D25" t="n">
        <v>7</v>
      </c>
      <c r="E25" t="n">
        <v>0</v>
      </c>
      <c r="F25" t="n">
        <v>0</v>
      </c>
      <c r="G25" t="n">
        <v>4</v>
      </c>
    </row>
    <row r="26">
      <c r="A26" t="inlineStr">
        <is>
          <t>CS2 · TS vs TYLOO</t>
        </is>
      </c>
      <c r="B26" t="inlineStr">
        <is>
          <t>Ancient</t>
        </is>
      </c>
      <c r="C26" t="inlineStr">
        <is>
          <t>Spirit</t>
        </is>
      </c>
      <c r="D26" t="n">
        <v>11</v>
      </c>
      <c r="E26" t="n">
        <v>0</v>
      </c>
      <c r="F26" t="n">
        <v>80</v>
      </c>
      <c r="G26" t="n">
        <v>10</v>
      </c>
    </row>
    <row r="27">
      <c r="A27" t="inlineStr">
        <is>
          <t>CS2 · TS vs TYLOO</t>
        </is>
      </c>
      <c r="B27" t="inlineStr">
        <is>
          <t>Ancient</t>
        </is>
      </c>
      <c r="C27" t="inlineStr">
        <is>
          <t>TYLOO</t>
        </is>
      </c>
      <c r="D27" t="n">
        <v>0</v>
      </c>
      <c r="E27" t="n">
        <v>2</v>
      </c>
      <c r="F27" t="n">
        <v>57</v>
      </c>
      <c r="G27" t="n">
        <v>7</v>
      </c>
    </row>
    <row r="28">
      <c r="A28" t="inlineStr">
        <is>
          <t>CS2 · TS vs TYLOO</t>
        </is>
      </c>
      <c r="B28" t="inlineStr">
        <is>
          <t>Anubis</t>
        </is>
      </c>
      <c r="C28" t="inlineStr">
        <is>
          <t>Spirit</t>
        </is>
      </c>
      <c r="D28" t="n">
        <v>8</v>
      </c>
      <c r="E28" t="n">
        <v>0</v>
      </c>
      <c r="F28" t="n">
        <v>80</v>
      </c>
      <c r="G28" t="n">
        <v>10</v>
      </c>
    </row>
    <row r="29">
      <c r="A29" t="inlineStr">
        <is>
          <t>CS2 · TS vs TYLOO</t>
        </is>
      </c>
      <c r="B29" t="inlineStr">
        <is>
          <t>Anubis</t>
        </is>
      </c>
      <c r="C29" t="inlineStr">
        <is>
          <t>TYLOO</t>
        </is>
      </c>
      <c r="D29" t="n">
        <v>0</v>
      </c>
      <c r="E29" t="n">
        <v>0</v>
      </c>
      <c r="F29" t="n">
        <v>0</v>
      </c>
      <c r="G29" t="n">
        <v>2</v>
      </c>
    </row>
    <row r="30">
      <c r="A30" t="inlineStr">
        <is>
          <t>CS2 [NO MARKET] · ACE vs UNiTY</t>
        </is>
      </c>
      <c r="B30" t="inlineStr">
        <is>
          <t>Cache</t>
        </is>
      </c>
      <c r="C30" t="inlineStr">
        <is>
          <t>Acend</t>
        </is>
      </c>
      <c r="D30" t="n">
        <v>0</v>
      </c>
      <c r="E30" t="n">
        <v>2</v>
      </c>
      <c r="F30" t="n">
        <v>22</v>
      </c>
      <c r="G30" t="n">
        <v>9</v>
      </c>
    </row>
    <row r="31">
      <c r="A31" t="inlineStr">
        <is>
          <t>CS2 [NO MARKET] · ACE vs UNiTY</t>
        </is>
      </c>
      <c r="B31" t="inlineStr">
        <is>
          <t>Cache</t>
        </is>
      </c>
      <c r="C31" t="inlineStr">
        <is>
          <t>UNiTY</t>
        </is>
      </c>
      <c r="D31" t="n">
        <v>5</v>
      </c>
      <c r="E31" t="n">
        <v>2</v>
      </c>
      <c r="F31" t="n">
        <v>47</v>
      </c>
      <c r="G31" t="n">
        <v>15</v>
      </c>
    </row>
    <row r="32">
      <c r="A32" t="inlineStr">
        <is>
          <t>CS2 [NO MARKET] · ACE vs UNiTY</t>
        </is>
      </c>
      <c r="B32" t="inlineStr">
        <is>
          <t>Dust2</t>
        </is>
      </c>
      <c r="C32" t="inlineStr">
        <is>
          <t>Acend</t>
        </is>
      </c>
      <c r="D32" t="n">
        <v>6</v>
      </c>
      <c r="E32" t="n">
        <v>0</v>
      </c>
      <c r="F32" t="n">
        <v>45</v>
      </c>
      <c r="G32" t="n">
        <v>11</v>
      </c>
    </row>
    <row r="33">
      <c r="A33" t="inlineStr">
        <is>
          <t>CS2 [NO MARKET] · ACE vs UNiTY</t>
        </is>
      </c>
      <c r="B33" t="inlineStr">
        <is>
          <t>Dust2</t>
        </is>
      </c>
      <c r="C33" t="inlineStr">
        <is>
          <t>UNiTY</t>
        </is>
      </c>
      <c r="D33" t="n">
        <v>2</v>
      </c>
      <c r="E33" t="n">
        <v>15</v>
      </c>
      <c r="F33" t="n">
        <v>59</v>
      </c>
      <c r="G33" t="n">
        <v>17</v>
      </c>
    </row>
    <row r="34">
      <c r="A34" t="inlineStr">
        <is>
          <t>CS2 [NO MARKET] · ACE vs UNiTY</t>
        </is>
      </c>
      <c r="B34" t="inlineStr">
        <is>
          <t>Mirage</t>
        </is>
      </c>
      <c r="C34" t="inlineStr">
        <is>
          <t>Acend</t>
        </is>
      </c>
      <c r="D34" t="n">
        <v>43</v>
      </c>
      <c r="E34" t="n">
        <v>0</v>
      </c>
      <c r="F34" t="n">
        <v>33</v>
      </c>
      <c r="G34" t="n">
        <v>6</v>
      </c>
    </row>
    <row r="35">
      <c r="A35" t="inlineStr">
        <is>
          <t>CS2 [NO MARKET] · ACE vs UNiTY</t>
        </is>
      </c>
      <c r="B35" t="inlineStr">
        <is>
          <t>Mirage</t>
        </is>
      </c>
      <c r="C35" t="inlineStr">
        <is>
          <t>UNiTY</t>
        </is>
      </c>
      <c r="D35" t="n">
        <v>21</v>
      </c>
      <c r="E35" t="n">
        <v>2</v>
      </c>
      <c r="F35" t="n">
        <v>67</v>
      </c>
      <c r="G35" t="n">
        <v>21</v>
      </c>
    </row>
    <row r="36">
      <c r="A36" t="inlineStr">
        <is>
          <t>CS2 [NO MARKET] · ACE vs UNiTY</t>
        </is>
      </c>
      <c r="B36" t="inlineStr">
        <is>
          <t>Inferno</t>
        </is>
      </c>
      <c r="C36" t="inlineStr">
        <is>
          <t>Acend</t>
        </is>
      </c>
      <c r="D36" t="n">
        <v>34</v>
      </c>
      <c r="E36" t="n">
        <v>0</v>
      </c>
      <c r="F36" t="n">
        <v>69</v>
      </c>
      <c r="G36" t="n">
        <v>13</v>
      </c>
    </row>
    <row r="37">
      <c r="A37" t="inlineStr">
        <is>
          <t>CS2 [NO MARKET] · ACE vs UNiTY</t>
        </is>
      </c>
      <c r="B37" t="inlineStr">
        <is>
          <t>Inferno</t>
        </is>
      </c>
      <c r="C37" t="inlineStr">
        <is>
          <t>UNiTY</t>
        </is>
      </c>
      <c r="D37" t="n">
        <v>24</v>
      </c>
      <c r="E37" t="n">
        <v>0</v>
      </c>
      <c r="F37" t="n">
        <v>65</v>
      </c>
      <c r="G37" t="n">
        <v>17</v>
      </c>
    </row>
    <row r="38">
      <c r="A38" t="inlineStr">
        <is>
          <t>CS2 [NO MARKET] · ACE vs UNiTY</t>
        </is>
      </c>
      <c r="B38" t="inlineStr">
        <is>
          <t>Nuke</t>
        </is>
      </c>
      <c r="C38" t="inlineStr">
        <is>
          <t>Acend</t>
        </is>
      </c>
      <c r="D38" t="n">
        <v>0</v>
      </c>
      <c r="E38" t="n">
        <v>96</v>
      </c>
      <c r="G38" t="n">
        <v>0</v>
      </c>
    </row>
    <row r="39">
      <c r="A39" t="inlineStr">
        <is>
          <t>CS2 [NO MARKET] · ACE vs UNiTY</t>
        </is>
      </c>
      <c r="B39" t="inlineStr">
        <is>
          <t>Nuke</t>
        </is>
      </c>
      <c r="C39" t="inlineStr">
        <is>
          <t>UNiTY</t>
        </is>
      </c>
      <c r="D39" t="n">
        <v>0</v>
      </c>
      <c r="E39" t="n">
        <v>73</v>
      </c>
      <c r="F39" t="n">
        <v>0</v>
      </c>
      <c r="G39" t="n">
        <v>3</v>
      </c>
    </row>
    <row r="40">
      <c r="A40" t="inlineStr">
        <is>
          <t>CS2 [NO MARKET] · ACE vs UNiTY</t>
        </is>
      </c>
      <c r="B40" t="inlineStr">
        <is>
          <t>Ancient</t>
        </is>
      </c>
      <c r="C40" t="inlineStr">
        <is>
          <t>Acend</t>
        </is>
      </c>
      <c r="D40" t="n">
        <v>6</v>
      </c>
      <c r="E40" t="n">
        <v>0</v>
      </c>
      <c r="F40" t="n">
        <v>71</v>
      </c>
      <c r="G40" t="n">
        <v>7</v>
      </c>
    </row>
    <row r="41">
      <c r="A41" t="inlineStr">
        <is>
          <t>CS2 [NO MARKET] · ACE vs UNiTY</t>
        </is>
      </c>
      <c r="B41" t="inlineStr">
        <is>
          <t>Ancient</t>
        </is>
      </c>
      <c r="C41" t="inlineStr">
        <is>
          <t>UNiTY</t>
        </is>
      </c>
      <c r="D41" t="n">
        <v>40</v>
      </c>
      <c r="E41" t="n">
        <v>0</v>
      </c>
      <c r="F41" t="n">
        <v>71</v>
      </c>
      <c r="G41" t="n">
        <v>21</v>
      </c>
    </row>
    <row r="42">
      <c r="A42" t="inlineStr">
        <is>
          <t>CS2 [NO MARKET] · ACE vs UNiTY</t>
        </is>
      </c>
      <c r="B42" t="inlineStr">
        <is>
          <t>Anubis</t>
        </is>
      </c>
      <c r="C42" t="inlineStr">
        <is>
          <t>Acend</t>
        </is>
      </c>
      <c r="D42" t="n">
        <v>2</v>
      </c>
      <c r="E42" t="n">
        <v>2</v>
      </c>
      <c r="F42" t="n">
        <v>25</v>
      </c>
      <c r="G42" t="n">
        <v>4</v>
      </c>
    </row>
    <row r="43">
      <c r="A43" t="inlineStr">
        <is>
          <t>CS2 [NO MARKET] · ACE vs UNiTY</t>
        </is>
      </c>
      <c r="B43" t="inlineStr">
        <is>
          <t>Anubis</t>
        </is>
      </c>
      <c r="C43" t="inlineStr">
        <is>
          <t>UNiTY</t>
        </is>
      </c>
      <c r="D43" t="n">
        <v>8</v>
      </c>
      <c r="E43" t="n">
        <v>5</v>
      </c>
      <c r="F43" t="n">
        <v>67</v>
      </c>
      <c r="G43" t="n">
        <v>9</v>
      </c>
    </row>
    <row r="44">
      <c r="A44" t="inlineStr">
        <is>
          <t>CS2 · BB vs NEMI</t>
        </is>
      </c>
      <c r="B44" t="inlineStr">
        <is>
          <t>Cache</t>
        </is>
      </c>
      <c r="C44" t="inlineStr">
        <is>
          <t>BETBOOM</t>
        </is>
      </c>
      <c r="D44" t="n">
        <v>0</v>
      </c>
      <c r="E44" t="n">
        <v>0</v>
      </c>
      <c r="F44" t="n">
        <v>50</v>
      </c>
      <c r="G44" t="n">
        <v>4</v>
      </c>
    </row>
    <row r="45">
      <c r="A45" t="inlineStr">
        <is>
          <t>CS2 · BB vs NEMI</t>
        </is>
      </c>
      <c r="B45" t="inlineStr">
        <is>
          <t>Cache</t>
        </is>
      </c>
      <c r="C45" t="inlineStr">
        <is>
          <t>Nemiga</t>
        </is>
      </c>
      <c r="D45" t="n">
        <v>16</v>
      </c>
      <c r="E45" t="n">
        <v>1</v>
      </c>
      <c r="F45" t="n">
        <v>69</v>
      </c>
      <c r="G45" t="n">
        <v>16</v>
      </c>
    </row>
    <row r="46">
      <c r="A46" t="inlineStr">
        <is>
          <t>CS2 · BB vs NEMI</t>
        </is>
      </c>
      <c r="B46" t="inlineStr">
        <is>
          <t>Dust2</t>
        </is>
      </c>
      <c r="C46" t="inlineStr">
        <is>
          <t>BETBOOM</t>
        </is>
      </c>
      <c r="D46" t="n">
        <v>16</v>
      </c>
      <c r="E46" t="n">
        <v>3</v>
      </c>
      <c r="F46" t="n">
        <v>25</v>
      </c>
      <c r="G46" t="n">
        <v>4</v>
      </c>
    </row>
    <row r="47">
      <c r="A47" t="inlineStr">
        <is>
          <t>CS2 · BB vs NEMI</t>
        </is>
      </c>
      <c r="B47" t="inlineStr">
        <is>
          <t>Dust2</t>
        </is>
      </c>
      <c r="C47" t="inlineStr">
        <is>
          <t>Nemiga</t>
        </is>
      </c>
      <c r="D47" t="n">
        <v>6</v>
      </c>
      <c r="E47" t="n">
        <v>15</v>
      </c>
      <c r="F47" t="n">
        <v>64</v>
      </c>
      <c r="G47" t="n">
        <v>22</v>
      </c>
    </row>
    <row r="48">
      <c r="A48" t="inlineStr">
        <is>
          <t>CS2 · BB vs NEMI</t>
        </is>
      </c>
      <c r="B48" t="inlineStr">
        <is>
          <t>Mirage</t>
        </is>
      </c>
      <c r="C48" t="inlineStr">
        <is>
          <t>BETBOOM</t>
        </is>
      </c>
      <c r="D48" t="n">
        <v>9</v>
      </c>
      <c r="E48" t="n">
        <v>0</v>
      </c>
      <c r="F48" t="n">
        <v>55</v>
      </c>
      <c r="G48" t="n">
        <v>11</v>
      </c>
    </row>
    <row r="49">
      <c r="A49" t="inlineStr">
        <is>
          <t>CS2 · BB vs NEMI</t>
        </is>
      </c>
      <c r="B49" t="inlineStr">
        <is>
          <t>Mirage</t>
        </is>
      </c>
      <c r="C49" t="inlineStr">
        <is>
          <t>Nemiga</t>
        </is>
      </c>
      <c r="D49" t="n">
        <v>13</v>
      </c>
      <c r="E49" t="n">
        <v>6</v>
      </c>
      <c r="F49" t="n">
        <v>78</v>
      </c>
      <c r="G49" t="n">
        <v>18</v>
      </c>
    </row>
    <row r="50">
      <c r="A50" t="inlineStr">
        <is>
          <t>CS2 · BB vs NEMI</t>
        </is>
      </c>
      <c r="B50" t="inlineStr">
        <is>
          <t>Inferno</t>
        </is>
      </c>
      <c r="C50" t="inlineStr">
        <is>
          <t>BETBOOM</t>
        </is>
      </c>
      <c r="D50" t="n">
        <v>0</v>
      </c>
      <c r="E50" t="n">
        <v>94</v>
      </c>
      <c r="G50" t="n">
        <v>0</v>
      </c>
    </row>
    <row r="51">
      <c r="A51" t="inlineStr">
        <is>
          <t>CS2 · BB vs NEMI</t>
        </is>
      </c>
      <c r="B51" t="inlineStr">
        <is>
          <t>Inferno</t>
        </is>
      </c>
      <c r="C51" t="inlineStr">
        <is>
          <t>Nemiga</t>
        </is>
      </c>
      <c r="D51" t="n">
        <v>0</v>
      </c>
      <c r="E51" t="n">
        <v>75</v>
      </c>
      <c r="F51" t="n">
        <v>100</v>
      </c>
      <c r="G51" t="n">
        <v>1</v>
      </c>
    </row>
    <row r="52">
      <c r="A52" t="inlineStr">
        <is>
          <t>CS2 · BB vs NEMI</t>
        </is>
      </c>
      <c r="B52" t="inlineStr">
        <is>
          <t>Nuke</t>
        </is>
      </c>
      <c r="C52" t="inlineStr">
        <is>
          <t>BETBOOM</t>
        </is>
      </c>
      <c r="D52" t="n">
        <v>31</v>
      </c>
      <c r="E52" t="n">
        <v>0</v>
      </c>
      <c r="F52" t="n">
        <v>67</v>
      </c>
      <c r="G52" t="n">
        <v>6</v>
      </c>
    </row>
    <row r="53">
      <c r="A53" t="inlineStr">
        <is>
          <t>CS2 · BB vs NEMI</t>
        </is>
      </c>
      <c r="B53" t="inlineStr">
        <is>
          <t>Nuke</t>
        </is>
      </c>
      <c r="C53" t="inlineStr">
        <is>
          <t>Nemiga</t>
        </is>
      </c>
      <c r="D53" t="n">
        <v>9</v>
      </c>
      <c r="E53" t="n">
        <v>1</v>
      </c>
      <c r="F53" t="n">
        <v>69</v>
      </c>
      <c r="G53" t="n">
        <v>16</v>
      </c>
    </row>
    <row r="54">
      <c r="A54" t="inlineStr">
        <is>
          <t>CS2 · BB vs NEMI</t>
        </is>
      </c>
      <c r="B54" t="inlineStr">
        <is>
          <t>Ancient</t>
        </is>
      </c>
      <c r="C54" t="inlineStr">
        <is>
          <t>BETBOOM</t>
        </is>
      </c>
      <c r="D54" t="n">
        <v>9</v>
      </c>
      <c r="E54" t="n">
        <v>3</v>
      </c>
      <c r="F54" t="n">
        <v>50</v>
      </c>
      <c r="G54" t="n">
        <v>6</v>
      </c>
    </row>
    <row r="55">
      <c r="A55" t="inlineStr">
        <is>
          <t>CS2 · BB vs NEMI</t>
        </is>
      </c>
      <c r="B55" t="inlineStr">
        <is>
          <t>Ancient</t>
        </is>
      </c>
      <c r="C55" t="inlineStr">
        <is>
          <t>Nemiga</t>
        </is>
      </c>
      <c r="D55" t="n">
        <v>22</v>
      </c>
      <c r="E55" t="n">
        <v>1</v>
      </c>
      <c r="F55" t="n">
        <v>65</v>
      </c>
      <c r="G55" t="n">
        <v>26</v>
      </c>
    </row>
    <row r="56">
      <c r="A56" t="inlineStr">
        <is>
          <t>CS2 · BB vs NEMI</t>
        </is>
      </c>
      <c r="B56" t="inlineStr">
        <is>
          <t>Anubis</t>
        </is>
      </c>
      <c r="C56" t="inlineStr">
        <is>
          <t>BETBOOM</t>
        </is>
      </c>
      <c r="D56" t="n">
        <v>28</v>
      </c>
      <c r="E56" t="n">
        <v>0</v>
      </c>
      <c r="F56" t="n">
        <v>44</v>
      </c>
      <c r="G56" t="n">
        <v>9</v>
      </c>
    </row>
    <row r="57">
      <c r="A57" t="inlineStr">
        <is>
          <t>CS2 · BB vs NEMI</t>
        </is>
      </c>
      <c r="B57" t="inlineStr">
        <is>
          <t>Anubis</t>
        </is>
      </c>
      <c r="C57" t="inlineStr">
        <is>
          <t>Nemiga</t>
        </is>
      </c>
      <c r="D57" t="n">
        <v>25</v>
      </c>
      <c r="E57" t="n">
        <v>0</v>
      </c>
      <c r="F57" t="n">
        <v>80</v>
      </c>
      <c r="G57" t="n">
        <v>15</v>
      </c>
    </row>
    <row r="58">
      <c r="A58" t="inlineStr">
        <is>
          <t>CS2 · VIT vs MGLZ</t>
        </is>
      </c>
      <c r="B58" t="inlineStr">
        <is>
          <t>Cache</t>
        </is>
      </c>
      <c r="C58" t="inlineStr">
        <is>
          <t>Vitality</t>
        </is>
      </c>
      <c r="D58" t="n">
        <v>14</v>
      </c>
      <c r="E58" t="n">
        <v>0</v>
      </c>
      <c r="F58" t="n">
        <v>89</v>
      </c>
      <c r="G58" t="n">
        <v>9</v>
      </c>
    </row>
    <row r="59">
      <c r="A59" t="inlineStr">
        <is>
          <t>CS2 · VIT vs MGLZ</t>
        </is>
      </c>
      <c r="B59" t="inlineStr">
        <is>
          <t>Cache</t>
        </is>
      </c>
      <c r="C59" t="inlineStr">
        <is>
          <t>The MongolZ</t>
        </is>
      </c>
      <c r="D59" t="n">
        <v>3</v>
      </c>
      <c r="E59" t="n">
        <v>0</v>
      </c>
      <c r="F59" t="n">
        <v>0</v>
      </c>
      <c r="G59" t="n">
        <v>2</v>
      </c>
    </row>
    <row r="60">
      <c r="A60" t="inlineStr">
        <is>
          <t>CS2 · VIT vs MGLZ</t>
        </is>
      </c>
      <c r="B60" t="inlineStr">
        <is>
          <t>Dust2</t>
        </is>
      </c>
      <c r="C60" t="inlineStr">
        <is>
          <t>Vitality</t>
        </is>
      </c>
      <c r="D60" t="n">
        <v>35</v>
      </c>
      <c r="E60" t="n">
        <v>0</v>
      </c>
      <c r="F60" t="n">
        <v>86</v>
      </c>
      <c r="G60" t="n">
        <v>14</v>
      </c>
    </row>
    <row r="61">
      <c r="A61" t="inlineStr">
        <is>
          <t>CS2 · VIT vs MGLZ</t>
        </is>
      </c>
      <c r="B61" t="inlineStr">
        <is>
          <t>Dust2</t>
        </is>
      </c>
      <c r="C61" t="inlineStr">
        <is>
          <t>The MongolZ</t>
        </is>
      </c>
      <c r="D61" t="n">
        <v>3</v>
      </c>
      <c r="E61" t="n">
        <v>0</v>
      </c>
      <c r="F61" t="n">
        <v>80</v>
      </c>
      <c r="G61" t="n">
        <v>5</v>
      </c>
    </row>
    <row r="62">
      <c r="A62" t="inlineStr">
        <is>
          <t>CS2 · VIT vs MGLZ</t>
        </is>
      </c>
      <c r="B62" t="inlineStr">
        <is>
          <t>Mirage</t>
        </is>
      </c>
      <c r="C62" t="inlineStr">
        <is>
          <t>Vitality</t>
        </is>
      </c>
      <c r="D62" t="n">
        <v>3</v>
      </c>
      <c r="E62" t="n">
        <v>0</v>
      </c>
      <c r="F62" t="n">
        <v>73</v>
      </c>
      <c r="G62" t="n">
        <v>11</v>
      </c>
    </row>
    <row r="63">
      <c r="A63" t="inlineStr">
        <is>
          <t>CS2 · VIT vs MGLZ</t>
        </is>
      </c>
      <c r="B63" t="inlineStr">
        <is>
          <t>Mirage</t>
        </is>
      </c>
      <c r="C63" t="inlineStr">
        <is>
          <t>The MongolZ</t>
        </is>
      </c>
      <c r="D63" t="n">
        <v>27</v>
      </c>
      <c r="E63" t="n">
        <v>0</v>
      </c>
      <c r="F63" t="n">
        <v>62</v>
      </c>
      <c r="G63" t="n">
        <v>8</v>
      </c>
    </row>
    <row r="64">
      <c r="A64" t="inlineStr">
        <is>
          <t>CS2 · VIT vs MGLZ</t>
        </is>
      </c>
      <c r="B64" t="inlineStr">
        <is>
          <t>Inferno</t>
        </is>
      </c>
      <c r="C64" t="inlineStr">
        <is>
          <t>Vitality</t>
        </is>
      </c>
      <c r="D64" t="n">
        <v>14</v>
      </c>
      <c r="E64" t="n">
        <v>0</v>
      </c>
      <c r="F64" t="n">
        <v>67</v>
      </c>
      <c r="G64" t="n">
        <v>6</v>
      </c>
    </row>
    <row r="65">
      <c r="A65" t="inlineStr">
        <is>
          <t>CS2 · VIT vs MGLZ</t>
        </is>
      </c>
      <c r="B65" t="inlineStr">
        <is>
          <t>Inferno</t>
        </is>
      </c>
      <c r="C65" t="inlineStr">
        <is>
          <t>The MongolZ</t>
        </is>
      </c>
      <c r="D65" t="n">
        <v>47</v>
      </c>
      <c r="E65" t="n">
        <v>0</v>
      </c>
      <c r="F65" t="n">
        <v>50</v>
      </c>
      <c r="G65" t="n">
        <v>10</v>
      </c>
    </row>
    <row r="66">
      <c r="A66" t="inlineStr">
        <is>
          <t>CS2 · VIT vs MGLZ</t>
        </is>
      </c>
      <c r="B66" t="inlineStr">
        <is>
          <t>Nuke</t>
        </is>
      </c>
      <c r="C66" t="inlineStr">
        <is>
          <t>Vitality</t>
        </is>
      </c>
      <c r="D66" t="n">
        <v>19</v>
      </c>
      <c r="E66" t="n">
        <v>0</v>
      </c>
      <c r="F66" t="n">
        <v>57</v>
      </c>
      <c r="G66" t="n">
        <v>7</v>
      </c>
    </row>
    <row r="67">
      <c r="A67" t="inlineStr">
        <is>
          <t>CS2 · VIT vs MGLZ</t>
        </is>
      </c>
      <c r="B67" t="inlineStr">
        <is>
          <t>Nuke</t>
        </is>
      </c>
      <c r="C67" t="inlineStr">
        <is>
          <t>The MongolZ</t>
        </is>
      </c>
      <c r="D67" t="n">
        <v>10</v>
      </c>
      <c r="E67" t="n">
        <v>0</v>
      </c>
      <c r="F67" t="n">
        <v>50</v>
      </c>
      <c r="G67" t="n">
        <v>4</v>
      </c>
    </row>
    <row r="68">
      <c r="A68" t="inlineStr">
        <is>
          <t>CS2 · VIT vs MGLZ</t>
        </is>
      </c>
      <c r="B68" t="inlineStr">
        <is>
          <t>Ancient</t>
        </is>
      </c>
      <c r="C68" t="inlineStr">
        <is>
          <t>Vitality</t>
        </is>
      </c>
      <c r="D68" t="n">
        <v>0</v>
      </c>
      <c r="E68" t="n">
        <v>100</v>
      </c>
      <c r="G68" t="n">
        <v>0</v>
      </c>
    </row>
    <row r="69">
      <c r="A69" t="inlineStr">
        <is>
          <t>CS2 · VIT vs MGLZ</t>
        </is>
      </c>
      <c r="B69" t="inlineStr">
        <is>
          <t>Ancient</t>
        </is>
      </c>
      <c r="C69" t="inlineStr">
        <is>
          <t>The MongolZ</t>
        </is>
      </c>
      <c r="D69" t="n">
        <v>3</v>
      </c>
      <c r="E69" t="n">
        <v>3</v>
      </c>
      <c r="F69" t="n">
        <v>83</v>
      </c>
      <c r="G69" t="n">
        <v>6</v>
      </c>
    </row>
    <row r="70">
      <c r="A70" t="inlineStr">
        <is>
          <t>CS2 · VIT vs MGLZ</t>
        </is>
      </c>
      <c r="B70" t="inlineStr">
        <is>
          <t>Anubis</t>
        </is>
      </c>
      <c r="C70" t="inlineStr">
        <is>
          <t>Vitality</t>
        </is>
      </c>
      <c r="D70" t="n">
        <v>3</v>
      </c>
      <c r="E70" t="n">
        <v>0</v>
      </c>
      <c r="F70" t="n">
        <v>44</v>
      </c>
      <c r="G70" t="n">
        <v>9</v>
      </c>
    </row>
    <row r="71">
      <c r="A71" t="inlineStr">
        <is>
          <t>CS2 · VIT vs MGLZ</t>
        </is>
      </c>
      <c r="B71" t="inlineStr">
        <is>
          <t>Anubis</t>
        </is>
      </c>
      <c r="C71" t="inlineStr">
        <is>
          <t>The MongolZ</t>
        </is>
      </c>
      <c r="D71" t="n">
        <v>0</v>
      </c>
      <c r="E71" t="n">
        <v>97</v>
      </c>
      <c r="G71" t="n">
        <v>0</v>
      </c>
    </row>
    <row r="72">
      <c r="A72" t="inlineStr">
        <is>
          <t>CS2 [NO MARKET] · BAKS vs MZP</t>
        </is>
      </c>
      <c r="B72" t="inlineStr">
        <is>
          <t>Cache</t>
        </is>
      </c>
      <c r="C72" t="inlineStr">
        <is>
          <t>BAKS</t>
        </is>
      </c>
      <c r="D72" t="n">
        <v>69</v>
      </c>
      <c r="E72" t="n">
        <v>0</v>
      </c>
      <c r="F72" t="n">
        <v>62</v>
      </c>
      <c r="G72" t="n">
        <v>32</v>
      </c>
    </row>
    <row r="73">
      <c r="A73" t="inlineStr">
        <is>
          <t>CS2 [NO MARKET] · BAKS vs MZP</t>
        </is>
      </c>
      <c r="B73" t="inlineStr">
        <is>
          <t>Cache</t>
        </is>
      </c>
      <c r="C73" t="inlineStr">
        <is>
          <t>Metizport</t>
        </is>
      </c>
      <c r="D73" t="n">
        <v>0</v>
      </c>
      <c r="E73" t="n">
        <v>0</v>
      </c>
      <c r="F73" t="n">
        <v>56</v>
      </c>
      <c r="G73" t="n">
        <v>9</v>
      </c>
    </row>
    <row r="74">
      <c r="A74" t="inlineStr">
        <is>
          <t>CS2 [NO MARKET] · BAKS vs MZP</t>
        </is>
      </c>
      <c r="B74" t="inlineStr">
        <is>
          <t>Dust2</t>
        </is>
      </c>
      <c r="C74" t="inlineStr">
        <is>
          <t>BAKS</t>
        </is>
      </c>
      <c r="D74" t="n">
        <v>7</v>
      </c>
      <c r="E74" t="n">
        <v>2</v>
      </c>
      <c r="F74" t="n">
        <v>40</v>
      </c>
      <c r="G74" t="n">
        <v>20</v>
      </c>
    </row>
    <row r="75">
      <c r="A75" t="inlineStr">
        <is>
          <t>CS2 [NO MARKET] · BAKS vs MZP</t>
        </is>
      </c>
      <c r="B75" t="inlineStr">
        <is>
          <t>Dust2</t>
        </is>
      </c>
      <c r="C75" t="inlineStr">
        <is>
          <t>Metizport</t>
        </is>
      </c>
      <c r="D75" t="n">
        <v>0</v>
      </c>
      <c r="E75" t="n">
        <v>100</v>
      </c>
      <c r="G75" t="n">
        <v>0</v>
      </c>
    </row>
    <row r="76">
      <c r="A76" t="inlineStr">
        <is>
          <t>CS2 [NO MARKET] · BAKS vs MZP</t>
        </is>
      </c>
      <c r="B76" t="inlineStr">
        <is>
          <t>Mirage</t>
        </is>
      </c>
      <c r="C76" t="inlineStr">
        <is>
          <t>BAKS</t>
        </is>
      </c>
      <c r="D76" t="n">
        <v>5</v>
      </c>
      <c r="E76" t="n">
        <v>0</v>
      </c>
      <c r="F76" t="n">
        <v>80</v>
      </c>
      <c r="G76" t="n">
        <v>10</v>
      </c>
    </row>
    <row r="77">
      <c r="A77" t="inlineStr">
        <is>
          <t>CS2 [NO MARKET] · BAKS vs MZP</t>
        </is>
      </c>
      <c r="B77" t="inlineStr">
        <is>
          <t>Mirage</t>
        </is>
      </c>
      <c r="C77" t="inlineStr">
        <is>
          <t>Metizport</t>
        </is>
      </c>
      <c r="D77" t="n">
        <v>0</v>
      </c>
      <c r="E77" t="n">
        <v>0</v>
      </c>
      <c r="F77" t="n">
        <v>57</v>
      </c>
      <c r="G77" t="n">
        <v>14</v>
      </c>
    </row>
    <row r="78">
      <c r="A78" t="inlineStr">
        <is>
          <t>CS2 [NO MARKET] · BAKS vs MZP</t>
        </is>
      </c>
      <c r="B78" t="inlineStr">
        <is>
          <t>Inferno</t>
        </is>
      </c>
      <c r="C78" t="inlineStr">
        <is>
          <t>BAKS</t>
        </is>
      </c>
      <c r="D78" t="n">
        <v>5</v>
      </c>
      <c r="E78" t="n">
        <v>0</v>
      </c>
      <c r="F78" t="n">
        <v>20</v>
      </c>
      <c r="G78" t="n">
        <v>10</v>
      </c>
    </row>
    <row r="79">
      <c r="A79" t="inlineStr">
        <is>
          <t>CS2 [NO MARKET] · BAKS vs MZP</t>
        </is>
      </c>
      <c r="B79" t="inlineStr">
        <is>
          <t>Inferno</t>
        </is>
      </c>
      <c r="C79" t="inlineStr">
        <is>
          <t>Metizport</t>
        </is>
      </c>
      <c r="D79" t="n">
        <v>29</v>
      </c>
      <c r="E79" t="n">
        <v>0</v>
      </c>
      <c r="F79" t="n">
        <v>64</v>
      </c>
      <c r="G79" t="n">
        <v>14</v>
      </c>
    </row>
    <row r="80">
      <c r="A80" t="inlineStr">
        <is>
          <t>CS2 [NO MARKET] · BAKS vs MZP</t>
        </is>
      </c>
      <c r="B80" t="inlineStr">
        <is>
          <t>Nuke</t>
        </is>
      </c>
      <c r="C80" t="inlineStr">
        <is>
          <t>BAKS</t>
        </is>
      </c>
      <c r="D80" t="n">
        <v>5</v>
      </c>
      <c r="E80" t="n">
        <v>0</v>
      </c>
      <c r="F80" t="n">
        <v>40</v>
      </c>
      <c r="G80" t="n">
        <v>15</v>
      </c>
    </row>
    <row r="81">
      <c r="A81" t="inlineStr">
        <is>
          <t>CS2 [NO MARKET] · BAKS vs MZP</t>
        </is>
      </c>
      <c r="B81" t="inlineStr">
        <is>
          <t>Nuke</t>
        </is>
      </c>
      <c r="C81" t="inlineStr">
        <is>
          <t>Metizport</t>
        </is>
      </c>
      <c r="D81" t="n">
        <v>57</v>
      </c>
      <c r="E81" t="n">
        <v>0</v>
      </c>
      <c r="F81" t="n">
        <v>59</v>
      </c>
      <c r="G81" t="n">
        <v>22</v>
      </c>
    </row>
    <row r="82">
      <c r="A82" t="inlineStr">
        <is>
          <t>CS2 [NO MARKET] · BAKS vs MZP</t>
        </is>
      </c>
      <c r="B82" t="inlineStr">
        <is>
          <t>Ancient</t>
        </is>
      </c>
      <c r="C82" t="inlineStr">
        <is>
          <t>BAKS</t>
        </is>
      </c>
      <c r="D82" t="n">
        <v>7</v>
      </c>
      <c r="E82" t="n">
        <v>2</v>
      </c>
      <c r="F82" t="n">
        <v>75</v>
      </c>
      <c r="G82" t="n">
        <v>8</v>
      </c>
    </row>
    <row r="83">
      <c r="A83" t="inlineStr">
        <is>
          <t>CS2 [NO MARKET] · BAKS vs MZP</t>
        </is>
      </c>
      <c r="B83" t="inlineStr">
        <is>
          <t>Ancient</t>
        </is>
      </c>
      <c r="C83" t="inlineStr">
        <is>
          <t>Metizport</t>
        </is>
      </c>
      <c r="D83" t="n">
        <v>6</v>
      </c>
      <c r="E83" t="n">
        <v>0</v>
      </c>
      <c r="F83" t="n">
        <v>67</v>
      </c>
      <c r="G83" t="n">
        <v>9</v>
      </c>
    </row>
    <row r="84">
      <c r="A84" t="inlineStr">
        <is>
          <t>CS2 [NO MARKET] · BAKS vs MZP</t>
        </is>
      </c>
      <c r="B84" t="inlineStr">
        <is>
          <t>Anubis</t>
        </is>
      </c>
      <c r="C84" t="inlineStr">
        <is>
          <t>BAKS</t>
        </is>
      </c>
      <c r="D84" t="n">
        <v>0</v>
      </c>
      <c r="E84" t="n">
        <v>95</v>
      </c>
      <c r="G84" t="n">
        <v>0</v>
      </c>
    </row>
    <row r="85">
      <c r="A85" t="inlineStr">
        <is>
          <t>CS2 [NO MARKET] · BAKS vs MZP</t>
        </is>
      </c>
      <c r="B85" t="inlineStr">
        <is>
          <t>Anubis</t>
        </is>
      </c>
      <c r="C85" t="inlineStr">
        <is>
          <t>Metizport</t>
        </is>
      </c>
      <c r="D85" t="n">
        <v>3</v>
      </c>
      <c r="E85" t="n">
        <v>0</v>
      </c>
      <c r="F85" t="n">
        <v>60</v>
      </c>
      <c r="G85" t="n">
        <v>10</v>
      </c>
    </row>
    <row r="86">
      <c r="A86" t="inlineStr">
        <is>
          <t>CS2 · MOUZ vs 9z</t>
        </is>
      </c>
      <c r="B86" t="inlineStr">
        <is>
          <t>Cache</t>
        </is>
      </c>
      <c r="C86" t="inlineStr">
        <is>
          <t>MOUZ</t>
        </is>
      </c>
      <c r="D86" t="n">
        <v>0</v>
      </c>
      <c r="E86" t="n">
        <v>0</v>
      </c>
      <c r="F86" t="n">
        <v>43</v>
      </c>
      <c r="G86" t="n">
        <v>7</v>
      </c>
    </row>
    <row r="87">
      <c r="A87" t="inlineStr">
        <is>
          <t>CS2 · MOUZ vs 9z</t>
        </is>
      </c>
      <c r="B87" t="inlineStr">
        <is>
          <t>Cache</t>
        </is>
      </c>
      <c r="C87" t="inlineStr">
        <is>
          <t>9z</t>
        </is>
      </c>
      <c r="D87" t="n">
        <v>2</v>
      </c>
      <c r="E87" t="n">
        <v>0</v>
      </c>
      <c r="F87" t="n">
        <v>33</v>
      </c>
      <c r="G87" t="n">
        <v>6</v>
      </c>
    </row>
    <row r="88">
      <c r="A88" t="inlineStr">
        <is>
          <t>CS2 · MOUZ vs 9z</t>
        </is>
      </c>
      <c r="B88" t="inlineStr">
        <is>
          <t>Dust2</t>
        </is>
      </c>
      <c r="C88" t="inlineStr">
        <is>
          <t>MOUZ</t>
        </is>
      </c>
      <c r="D88" t="n">
        <v>2</v>
      </c>
      <c r="E88" t="n">
        <v>0</v>
      </c>
      <c r="F88" t="n">
        <v>62</v>
      </c>
      <c r="G88" t="n">
        <v>13</v>
      </c>
    </row>
    <row r="89">
      <c r="A89" t="inlineStr">
        <is>
          <t>CS2 · MOUZ vs 9z</t>
        </is>
      </c>
      <c r="B89" t="inlineStr">
        <is>
          <t>Dust2</t>
        </is>
      </c>
      <c r="C89" t="inlineStr">
        <is>
          <t>9z</t>
        </is>
      </c>
      <c r="D89" t="n">
        <v>24</v>
      </c>
      <c r="E89" t="n">
        <v>0</v>
      </c>
      <c r="F89" t="n">
        <v>43</v>
      </c>
      <c r="G89" t="n">
        <v>7</v>
      </c>
    </row>
    <row r="90">
      <c r="A90" t="inlineStr">
        <is>
          <t>CS2 · MOUZ vs 9z</t>
        </is>
      </c>
      <c r="B90" t="inlineStr">
        <is>
          <t>Mirage</t>
        </is>
      </c>
      <c r="C90" t="inlineStr">
        <is>
          <t>MOUZ</t>
        </is>
      </c>
      <c r="D90" t="n">
        <v>38</v>
      </c>
      <c r="E90" t="n">
        <v>0</v>
      </c>
      <c r="F90" t="n">
        <v>80</v>
      </c>
      <c r="G90" t="n">
        <v>15</v>
      </c>
    </row>
    <row r="91">
      <c r="A91" t="inlineStr">
        <is>
          <t>CS2 · MOUZ vs 9z</t>
        </is>
      </c>
      <c r="B91" t="inlineStr">
        <is>
          <t>Mirage</t>
        </is>
      </c>
      <c r="C91" t="inlineStr">
        <is>
          <t>9z</t>
        </is>
      </c>
      <c r="D91" t="n">
        <v>2</v>
      </c>
      <c r="E91" t="n">
        <v>12</v>
      </c>
      <c r="F91" t="n">
        <v>57</v>
      </c>
      <c r="G91" t="n">
        <v>7</v>
      </c>
    </row>
    <row r="92">
      <c r="A92" t="inlineStr">
        <is>
          <t>CS2 · MOUZ vs 9z</t>
        </is>
      </c>
      <c r="B92" t="inlineStr">
        <is>
          <t>Inferno</t>
        </is>
      </c>
      <c r="C92" t="inlineStr">
        <is>
          <t>MOUZ</t>
        </is>
      </c>
      <c r="D92" t="n">
        <v>19</v>
      </c>
      <c r="E92" t="n">
        <v>0</v>
      </c>
      <c r="F92" t="n">
        <v>75</v>
      </c>
      <c r="G92" t="n">
        <v>8</v>
      </c>
    </row>
    <row r="93">
      <c r="A93" t="inlineStr">
        <is>
          <t>CS2 · MOUZ vs 9z</t>
        </is>
      </c>
      <c r="B93" t="inlineStr">
        <is>
          <t>Inferno</t>
        </is>
      </c>
      <c r="C93" t="inlineStr">
        <is>
          <t>9z</t>
        </is>
      </c>
      <c r="D93" t="n">
        <v>12</v>
      </c>
      <c r="E93" t="n">
        <v>2</v>
      </c>
      <c r="F93" t="n">
        <v>20</v>
      </c>
      <c r="G93" t="n">
        <v>5</v>
      </c>
    </row>
    <row r="94">
      <c r="A94" t="inlineStr">
        <is>
          <t>CS2 · MOUZ vs 9z</t>
        </is>
      </c>
      <c r="B94" t="inlineStr">
        <is>
          <t>Nuke</t>
        </is>
      </c>
      <c r="C94" t="inlineStr">
        <is>
          <t>MOUZ</t>
        </is>
      </c>
      <c r="D94" t="n">
        <v>29</v>
      </c>
      <c r="E94" t="n">
        <v>0</v>
      </c>
      <c r="F94" t="n">
        <v>70</v>
      </c>
      <c r="G94" t="n">
        <v>10</v>
      </c>
    </row>
    <row r="95">
      <c r="A95" t="inlineStr">
        <is>
          <t>CS2 · MOUZ vs 9z</t>
        </is>
      </c>
      <c r="B95" t="inlineStr">
        <is>
          <t>Nuke</t>
        </is>
      </c>
      <c r="C95" t="inlineStr">
        <is>
          <t>9z</t>
        </is>
      </c>
      <c r="D95" t="n">
        <v>31</v>
      </c>
      <c r="E95" t="n">
        <v>0</v>
      </c>
      <c r="F95" t="n">
        <v>30</v>
      </c>
      <c r="G95" t="n">
        <v>10</v>
      </c>
    </row>
    <row r="96">
      <c r="A96" t="inlineStr">
        <is>
          <t>CS2 · MOUZ vs 9z</t>
        </is>
      </c>
      <c r="B96" t="inlineStr">
        <is>
          <t>Ancient</t>
        </is>
      </c>
      <c r="C96" t="inlineStr">
        <is>
          <t>MOUZ</t>
        </is>
      </c>
      <c r="D96" t="n">
        <v>2</v>
      </c>
      <c r="E96" t="n">
        <v>0</v>
      </c>
      <c r="F96" t="n">
        <v>33</v>
      </c>
      <c r="G96" t="n">
        <v>9</v>
      </c>
    </row>
    <row r="97">
      <c r="A97" t="inlineStr">
        <is>
          <t>CS2 · MOUZ vs 9z</t>
        </is>
      </c>
      <c r="B97" t="inlineStr">
        <is>
          <t>Ancient</t>
        </is>
      </c>
      <c r="C97" t="inlineStr">
        <is>
          <t>9z</t>
        </is>
      </c>
      <c r="D97" t="n">
        <v>0</v>
      </c>
      <c r="E97" t="n">
        <v>0</v>
      </c>
      <c r="F97" t="n">
        <v>0</v>
      </c>
      <c r="G97" t="n">
        <v>2</v>
      </c>
    </row>
    <row r="98">
      <c r="A98" t="inlineStr">
        <is>
          <t>CS2 · MOUZ vs 9z</t>
        </is>
      </c>
      <c r="B98" t="inlineStr">
        <is>
          <t>Anubis</t>
        </is>
      </c>
      <c r="C98" t="inlineStr">
        <is>
          <t>MOUZ</t>
        </is>
      </c>
      <c r="D98" t="n">
        <v>0</v>
      </c>
      <c r="E98" t="n">
        <v>100</v>
      </c>
      <c r="G98" t="n">
        <v>0</v>
      </c>
    </row>
    <row r="99">
      <c r="A99" t="inlineStr">
        <is>
          <t>CS2 · MOUZ vs 9z</t>
        </is>
      </c>
      <c r="B99" t="inlineStr">
        <is>
          <t>Anubis</t>
        </is>
      </c>
      <c r="C99" t="inlineStr">
        <is>
          <t>9z</t>
        </is>
      </c>
      <c r="D99" t="n">
        <v>0</v>
      </c>
      <c r="E99" t="n">
        <v>86</v>
      </c>
      <c r="G99" t="n">
        <v>0</v>
      </c>
    </row>
    <row r="100">
      <c r="A100" t="inlineStr">
        <is>
          <t>CS2 · AUR vs G2</t>
        </is>
      </c>
      <c r="B100" t="inlineStr">
        <is>
          <t>Cache</t>
        </is>
      </c>
      <c r="C100" t="inlineStr">
        <is>
          <t>Aurora</t>
        </is>
      </c>
      <c r="D100" t="n">
        <v>2</v>
      </c>
      <c r="E100" t="n">
        <v>0</v>
      </c>
      <c r="F100" t="n">
        <v>62</v>
      </c>
      <c r="G100" t="n">
        <v>8</v>
      </c>
    </row>
    <row r="101">
      <c r="A101" t="inlineStr">
        <is>
          <t>CS2 · AUR vs G2</t>
        </is>
      </c>
      <c r="B101" t="inlineStr">
        <is>
          <t>Cache</t>
        </is>
      </c>
      <c r="C101" t="inlineStr">
        <is>
          <t>G2</t>
        </is>
      </c>
      <c r="D101" t="n">
        <v>2</v>
      </c>
      <c r="E101" t="n">
        <v>5</v>
      </c>
      <c r="F101" t="n">
        <v>25</v>
      </c>
      <c r="G101" t="n">
        <v>4</v>
      </c>
    </row>
    <row r="102">
      <c r="A102" t="inlineStr">
        <is>
          <t>CS2 · AUR vs G2</t>
        </is>
      </c>
      <c r="B102" t="inlineStr">
        <is>
          <t>Dust2</t>
        </is>
      </c>
      <c r="C102" t="inlineStr">
        <is>
          <t>Aurora</t>
        </is>
      </c>
      <c r="D102" t="n">
        <v>29</v>
      </c>
      <c r="E102" t="n">
        <v>7</v>
      </c>
      <c r="F102" t="n">
        <v>60</v>
      </c>
      <c r="G102" t="n">
        <v>10</v>
      </c>
    </row>
    <row r="103">
      <c r="A103" t="inlineStr">
        <is>
          <t>CS2 · AUR vs G2</t>
        </is>
      </c>
      <c r="B103" t="inlineStr">
        <is>
          <t>Dust2</t>
        </is>
      </c>
      <c r="C103" t="inlineStr">
        <is>
          <t>G2</t>
        </is>
      </c>
      <c r="D103" t="n">
        <v>14</v>
      </c>
      <c r="E103" t="n">
        <v>2</v>
      </c>
      <c r="F103" t="n">
        <v>30</v>
      </c>
      <c r="G103" t="n">
        <v>10</v>
      </c>
    </row>
    <row r="104">
      <c r="A104" t="inlineStr">
        <is>
          <t>CS2 · AUR vs G2</t>
        </is>
      </c>
      <c r="B104" t="inlineStr">
        <is>
          <t>Mirage</t>
        </is>
      </c>
      <c r="C104" t="inlineStr">
        <is>
          <t>Aurora</t>
        </is>
      </c>
      <c r="D104" t="n">
        <v>10</v>
      </c>
      <c r="E104" t="n">
        <v>0</v>
      </c>
      <c r="F104" t="n">
        <v>64</v>
      </c>
      <c r="G104" t="n">
        <v>14</v>
      </c>
    </row>
    <row r="105">
      <c r="A105" t="inlineStr">
        <is>
          <t>CS2 · AUR vs G2</t>
        </is>
      </c>
      <c r="B105" t="inlineStr">
        <is>
          <t>Mirage</t>
        </is>
      </c>
      <c r="C105" t="inlineStr">
        <is>
          <t>G2</t>
        </is>
      </c>
      <c r="D105" t="n">
        <v>21</v>
      </c>
      <c r="E105" t="n">
        <v>0</v>
      </c>
      <c r="F105" t="n">
        <v>50</v>
      </c>
      <c r="G105" t="n">
        <v>8</v>
      </c>
    </row>
    <row r="106">
      <c r="A106" t="inlineStr">
        <is>
          <t>CS2 · AUR vs G2</t>
        </is>
      </c>
      <c r="B106" t="inlineStr">
        <is>
          <t>Inferno</t>
        </is>
      </c>
      <c r="C106" t="inlineStr">
        <is>
          <t>Aurora</t>
        </is>
      </c>
      <c r="D106" t="n">
        <v>0</v>
      </c>
      <c r="E106" t="n">
        <v>2</v>
      </c>
      <c r="F106" t="n">
        <v>55</v>
      </c>
      <c r="G106" t="n">
        <v>11</v>
      </c>
    </row>
    <row r="107">
      <c r="A107" t="inlineStr">
        <is>
          <t>CS2 · AUR vs G2</t>
        </is>
      </c>
      <c r="B107" t="inlineStr">
        <is>
          <t>Inferno</t>
        </is>
      </c>
      <c r="C107" t="inlineStr">
        <is>
          <t>G2</t>
        </is>
      </c>
      <c r="D107" t="n">
        <v>17</v>
      </c>
      <c r="E107" t="n">
        <v>0</v>
      </c>
      <c r="F107" t="n">
        <v>64</v>
      </c>
      <c r="G107" t="n">
        <v>11</v>
      </c>
    </row>
    <row r="108">
      <c r="A108" t="inlineStr">
        <is>
          <t>CS2 · AUR vs G2</t>
        </is>
      </c>
      <c r="B108" t="inlineStr">
        <is>
          <t>Nuke</t>
        </is>
      </c>
      <c r="C108" t="inlineStr">
        <is>
          <t>Aurora</t>
        </is>
      </c>
      <c r="D108" t="n">
        <v>12</v>
      </c>
      <c r="E108" t="n">
        <v>0</v>
      </c>
      <c r="F108" t="n">
        <v>62</v>
      </c>
      <c r="G108" t="n">
        <v>8</v>
      </c>
    </row>
    <row r="109">
      <c r="A109" t="inlineStr">
        <is>
          <t>CS2 · AUR vs G2</t>
        </is>
      </c>
      <c r="B109" t="inlineStr">
        <is>
          <t>Nuke</t>
        </is>
      </c>
      <c r="C109" t="inlineStr">
        <is>
          <t>G2</t>
        </is>
      </c>
      <c r="D109" t="n">
        <v>0</v>
      </c>
      <c r="E109" t="n">
        <v>86</v>
      </c>
      <c r="F109" t="n">
        <v>0</v>
      </c>
      <c r="G109" t="n">
        <v>1</v>
      </c>
    </row>
    <row r="110">
      <c r="A110" t="inlineStr">
        <is>
          <t>CS2 · AUR vs G2</t>
        </is>
      </c>
      <c r="B110" t="inlineStr">
        <is>
          <t>Ancient</t>
        </is>
      </c>
      <c r="C110" t="inlineStr">
        <is>
          <t>Aurora</t>
        </is>
      </c>
      <c r="D110" t="n">
        <v>2</v>
      </c>
      <c r="E110" t="n">
        <v>88</v>
      </c>
      <c r="F110" t="n">
        <v>0</v>
      </c>
      <c r="G110" t="n">
        <v>1</v>
      </c>
    </row>
    <row r="111">
      <c r="A111" t="inlineStr">
        <is>
          <t>CS2 · AUR vs G2</t>
        </is>
      </c>
      <c r="B111" t="inlineStr">
        <is>
          <t>Ancient</t>
        </is>
      </c>
      <c r="C111" t="inlineStr">
        <is>
          <t>G2</t>
        </is>
      </c>
      <c r="D111" t="n">
        <v>24</v>
      </c>
      <c r="E111" t="n">
        <v>0</v>
      </c>
      <c r="F111" t="n">
        <v>57</v>
      </c>
      <c r="G111" t="n">
        <v>14</v>
      </c>
    </row>
    <row r="112">
      <c r="A112" t="inlineStr">
        <is>
          <t>CS2 · AUR vs G2</t>
        </is>
      </c>
      <c r="B112" t="inlineStr">
        <is>
          <t>Anubis</t>
        </is>
      </c>
      <c r="C112" t="inlineStr">
        <is>
          <t>Aurora</t>
        </is>
      </c>
      <c r="D112" t="n">
        <v>40</v>
      </c>
      <c r="E112" t="n">
        <v>0</v>
      </c>
      <c r="F112" t="n">
        <v>67</v>
      </c>
      <c r="G112" t="n">
        <v>12</v>
      </c>
    </row>
    <row r="113">
      <c r="A113" t="inlineStr">
        <is>
          <t>CS2 · AUR vs G2</t>
        </is>
      </c>
      <c r="B113" t="inlineStr">
        <is>
          <t>Anubis</t>
        </is>
      </c>
      <c r="C113" t="inlineStr">
        <is>
          <t>G2</t>
        </is>
      </c>
      <c r="D113" t="n">
        <v>2</v>
      </c>
      <c r="E113" t="n">
        <v>7</v>
      </c>
      <c r="F113" t="n">
        <v>67</v>
      </c>
      <c r="G113" t="n">
        <v>6</v>
      </c>
    </row>
    <row r="114">
      <c r="A114" t="inlineStr">
        <is>
          <t>CS2 · INF vs BRUTE</t>
        </is>
      </c>
      <c r="B114" t="inlineStr">
        <is>
          <t>Cache</t>
        </is>
      </c>
      <c r="C114" t="inlineStr">
        <is>
          <t>INFINITE</t>
        </is>
      </c>
      <c r="D114" t="n">
        <v>2</v>
      </c>
      <c r="E114" t="n">
        <v>7</v>
      </c>
      <c r="F114" t="n">
        <v>50</v>
      </c>
      <c r="G114" t="n">
        <v>6</v>
      </c>
    </row>
    <row r="115">
      <c r="A115" t="inlineStr">
        <is>
          <t>CS2 · INF vs BRUTE</t>
        </is>
      </c>
      <c r="B115" t="inlineStr">
        <is>
          <t>Cache</t>
        </is>
      </c>
      <c r="C115" t="inlineStr">
        <is>
          <t>BRUTE</t>
        </is>
      </c>
      <c r="D115" t="n">
        <v>6</v>
      </c>
      <c r="E115" t="n">
        <v>0</v>
      </c>
      <c r="F115" t="n">
        <v>71</v>
      </c>
      <c r="G115" t="n">
        <v>7</v>
      </c>
    </row>
    <row r="116">
      <c r="A116" t="inlineStr">
        <is>
          <t>CS2 · INF vs BRUTE</t>
        </is>
      </c>
      <c r="B116" t="inlineStr">
        <is>
          <t>Dust2</t>
        </is>
      </c>
      <c r="C116" t="inlineStr">
        <is>
          <t>INFINITE</t>
        </is>
      </c>
      <c r="D116" t="n">
        <v>20</v>
      </c>
      <c r="E116" t="n">
        <v>0</v>
      </c>
      <c r="F116" t="n">
        <v>19</v>
      </c>
      <c r="G116" t="n">
        <v>16</v>
      </c>
    </row>
    <row r="117">
      <c r="A117" t="inlineStr">
        <is>
          <t>CS2 · INF vs BRUTE</t>
        </is>
      </c>
      <c r="B117" t="inlineStr">
        <is>
          <t>Dust2</t>
        </is>
      </c>
      <c r="C117" t="inlineStr">
        <is>
          <t>BRUTE</t>
        </is>
      </c>
      <c r="D117" t="n">
        <v>33</v>
      </c>
      <c r="E117" t="n">
        <v>0</v>
      </c>
      <c r="F117" t="n">
        <v>62</v>
      </c>
      <c r="G117" t="n">
        <v>16</v>
      </c>
    </row>
    <row r="118">
      <c r="A118" t="inlineStr">
        <is>
          <t>CS2 · INF vs BRUTE</t>
        </is>
      </c>
      <c r="B118" t="inlineStr">
        <is>
          <t>Mirage</t>
        </is>
      </c>
      <c r="C118" t="inlineStr">
        <is>
          <t>INFINITE</t>
        </is>
      </c>
      <c r="D118" t="n">
        <v>33</v>
      </c>
      <c r="E118" t="n">
        <v>0</v>
      </c>
      <c r="F118" t="n">
        <v>53</v>
      </c>
      <c r="G118" t="n">
        <v>15</v>
      </c>
    </row>
    <row r="119">
      <c r="A119" t="inlineStr">
        <is>
          <t>CS2 · INF vs BRUTE</t>
        </is>
      </c>
      <c r="B119" t="inlineStr">
        <is>
          <t>Mirage</t>
        </is>
      </c>
      <c r="C119" t="inlineStr">
        <is>
          <t>BRUTE</t>
        </is>
      </c>
      <c r="D119" t="n">
        <v>23</v>
      </c>
      <c r="E119" t="n">
        <v>0</v>
      </c>
      <c r="F119" t="n">
        <v>60</v>
      </c>
      <c r="G119" t="n">
        <v>15</v>
      </c>
    </row>
    <row r="120">
      <c r="A120" t="inlineStr">
        <is>
          <t>CS2 · INF vs BRUTE</t>
        </is>
      </c>
      <c r="B120" t="inlineStr">
        <is>
          <t>Inferno</t>
        </is>
      </c>
      <c r="C120" t="inlineStr">
        <is>
          <t>INFINITE</t>
        </is>
      </c>
      <c r="D120" t="n">
        <v>2</v>
      </c>
      <c r="E120" t="n">
        <v>4</v>
      </c>
      <c r="F120" t="n">
        <v>29</v>
      </c>
      <c r="G120" t="n">
        <v>7</v>
      </c>
    </row>
    <row r="121">
      <c r="A121" t="inlineStr">
        <is>
          <t>CS2 · INF vs BRUTE</t>
        </is>
      </c>
      <c r="B121" t="inlineStr">
        <is>
          <t>Inferno</t>
        </is>
      </c>
      <c r="C121" t="inlineStr">
        <is>
          <t>BRUTE</t>
        </is>
      </c>
      <c r="D121" t="n">
        <v>12</v>
      </c>
      <c r="E121" t="n">
        <v>6</v>
      </c>
      <c r="F121" t="n">
        <v>67</v>
      </c>
      <c r="G121" t="n">
        <v>6</v>
      </c>
    </row>
    <row r="122">
      <c r="A122" t="inlineStr">
        <is>
          <t>CS2 · INF vs BRUTE</t>
        </is>
      </c>
      <c r="B122" t="inlineStr">
        <is>
          <t>Nuke</t>
        </is>
      </c>
      <c r="C122" t="inlineStr">
        <is>
          <t>INFINITE</t>
        </is>
      </c>
      <c r="D122" t="n">
        <v>7</v>
      </c>
      <c r="E122" t="n">
        <v>7</v>
      </c>
      <c r="F122" t="n">
        <v>29</v>
      </c>
      <c r="G122" t="n">
        <v>7</v>
      </c>
    </row>
    <row r="123">
      <c r="A123" t="inlineStr">
        <is>
          <t>CS2 · INF vs BRUTE</t>
        </is>
      </c>
      <c r="B123" t="inlineStr">
        <is>
          <t>Nuke</t>
        </is>
      </c>
      <c r="C123" t="inlineStr">
        <is>
          <t>BRUTE</t>
        </is>
      </c>
      <c r="D123" t="n">
        <v>4</v>
      </c>
      <c r="E123" t="n">
        <v>6</v>
      </c>
      <c r="F123" t="n">
        <v>67</v>
      </c>
      <c r="G123" t="n">
        <v>9</v>
      </c>
    </row>
    <row r="124">
      <c r="A124" t="inlineStr">
        <is>
          <t>CS2 · INF vs BRUTE</t>
        </is>
      </c>
      <c r="B124" t="inlineStr">
        <is>
          <t>Ancient</t>
        </is>
      </c>
      <c r="C124" t="inlineStr">
        <is>
          <t>INFINITE</t>
        </is>
      </c>
      <c r="D124" t="n">
        <v>33</v>
      </c>
      <c r="E124" t="n">
        <v>0</v>
      </c>
      <c r="F124" t="n">
        <v>38</v>
      </c>
      <c r="G124" t="n">
        <v>13</v>
      </c>
    </row>
    <row r="125">
      <c r="A125" t="inlineStr">
        <is>
          <t>CS2 · INF vs BRUTE</t>
        </is>
      </c>
      <c r="B125" t="inlineStr">
        <is>
          <t>Ancient</t>
        </is>
      </c>
      <c r="C125" t="inlineStr">
        <is>
          <t>BRUTE</t>
        </is>
      </c>
      <c r="D125" t="n">
        <v>0</v>
      </c>
      <c r="E125" t="n">
        <v>88</v>
      </c>
      <c r="F125" t="n">
        <v>0</v>
      </c>
      <c r="G125" t="n">
        <v>2</v>
      </c>
    </row>
    <row r="126">
      <c r="A126" t="inlineStr">
        <is>
          <t>CS2 · INF vs BRUTE</t>
        </is>
      </c>
      <c r="B126" t="inlineStr">
        <is>
          <t>Anubis</t>
        </is>
      </c>
      <c r="C126" t="inlineStr">
        <is>
          <t>INFINITE</t>
        </is>
      </c>
      <c r="D126" t="n">
        <v>0</v>
      </c>
      <c r="E126" t="n">
        <v>80</v>
      </c>
      <c r="F126" t="n">
        <v>0</v>
      </c>
      <c r="G126" t="n">
        <v>1</v>
      </c>
    </row>
    <row r="127">
      <c r="A127" t="inlineStr">
        <is>
          <t>CS2 · INF vs BRUTE</t>
        </is>
      </c>
      <c r="B127" t="inlineStr">
        <is>
          <t>Anubis</t>
        </is>
      </c>
      <c r="C127" t="inlineStr">
        <is>
          <t>BRUTE</t>
        </is>
      </c>
      <c r="D127" t="n">
        <v>6</v>
      </c>
      <c r="E127" t="n">
        <v>0</v>
      </c>
      <c r="F127" t="n">
        <v>43</v>
      </c>
      <c r="G127" t="n">
        <v>14</v>
      </c>
    </row>
    <row r="128">
      <c r="A128" t="inlineStr">
        <is>
          <t>CS2 · LGC vs DEN</t>
        </is>
      </c>
      <c r="B128" t="inlineStr">
        <is>
          <t>Cache</t>
        </is>
      </c>
      <c r="C128" t="inlineStr">
        <is>
          <t>Legacy</t>
        </is>
      </c>
      <c r="D128" t="n">
        <v>0</v>
      </c>
      <c r="E128" t="n">
        <v>0</v>
      </c>
      <c r="F128" t="n">
        <v>50</v>
      </c>
      <c r="G128" t="n">
        <v>4</v>
      </c>
    </row>
    <row r="129">
      <c r="A129" t="inlineStr">
        <is>
          <t>CS2 · LGC vs DEN</t>
        </is>
      </c>
      <c r="B129" t="inlineStr">
        <is>
          <t>Cache</t>
        </is>
      </c>
      <c r="C129" t="inlineStr">
        <is>
          <t>DENDELE</t>
        </is>
      </c>
      <c r="D129" t="n">
        <v>38</v>
      </c>
      <c r="E129" t="n">
        <v>0</v>
      </c>
      <c r="F129" t="n">
        <v>58</v>
      </c>
      <c r="G129" t="n">
        <v>12</v>
      </c>
    </row>
    <row r="130">
      <c r="A130" t="inlineStr">
        <is>
          <t>CS2 · LGC vs DEN</t>
        </is>
      </c>
      <c r="B130" t="inlineStr">
        <is>
          <t>Dust2</t>
        </is>
      </c>
      <c r="C130" t="inlineStr">
        <is>
          <t>Legacy</t>
        </is>
      </c>
      <c r="D130" t="n">
        <v>24</v>
      </c>
      <c r="E130" t="n">
        <v>0</v>
      </c>
      <c r="F130" t="n">
        <v>53</v>
      </c>
      <c r="G130" t="n">
        <v>15</v>
      </c>
    </row>
    <row r="131">
      <c r="A131" t="inlineStr">
        <is>
          <t>CS2 · LGC vs DEN</t>
        </is>
      </c>
      <c r="B131" t="inlineStr">
        <is>
          <t>Dust2</t>
        </is>
      </c>
      <c r="C131" t="inlineStr">
        <is>
          <t>DENDELE</t>
        </is>
      </c>
      <c r="D131" t="n">
        <v>0</v>
      </c>
      <c r="E131" t="n">
        <v>100</v>
      </c>
      <c r="G131" t="n">
        <v>0</v>
      </c>
    </row>
    <row r="132">
      <c r="A132" t="inlineStr">
        <is>
          <t>CS2 · LGC vs DEN</t>
        </is>
      </c>
      <c r="B132" t="inlineStr">
        <is>
          <t>Mirage</t>
        </is>
      </c>
      <c r="C132" t="inlineStr">
        <is>
          <t>Legacy</t>
        </is>
      </c>
      <c r="D132" t="n">
        <v>32</v>
      </c>
      <c r="E132" t="n">
        <v>0</v>
      </c>
      <c r="F132" t="n">
        <v>67</v>
      </c>
      <c r="G132" t="n">
        <v>12</v>
      </c>
    </row>
    <row r="133">
      <c r="A133" t="inlineStr">
        <is>
          <t>CS2 · LGC vs DEN</t>
        </is>
      </c>
      <c r="B133" t="inlineStr">
        <is>
          <t>Mirage</t>
        </is>
      </c>
      <c r="C133" t="inlineStr">
        <is>
          <t>DENDELE</t>
        </is>
      </c>
      <c r="D133" t="n">
        <v>5</v>
      </c>
      <c r="E133" t="n">
        <v>0</v>
      </c>
      <c r="F133" t="n">
        <v>58</v>
      </c>
      <c r="G133" t="n">
        <v>12</v>
      </c>
    </row>
    <row r="134">
      <c r="A134" t="inlineStr">
        <is>
          <t>CS2 · LGC vs DEN</t>
        </is>
      </c>
      <c r="B134" t="inlineStr">
        <is>
          <t>Inferno</t>
        </is>
      </c>
      <c r="C134" t="inlineStr">
        <is>
          <t>Legacy</t>
        </is>
      </c>
      <c r="D134" t="n">
        <v>17</v>
      </c>
      <c r="E134" t="n">
        <v>2</v>
      </c>
      <c r="F134" t="n">
        <v>67</v>
      </c>
      <c r="G134" t="n">
        <v>6</v>
      </c>
    </row>
    <row r="135">
      <c r="A135" t="inlineStr">
        <is>
          <t>CS2 · LGC vs DEN</t>
        </is>
      </c>
      <c r="B135" t="inlineStr">
        <is>
          <t>Inferno</t>
        </is>
      </c>
      <c r="C135" t="inlineStr">
        <is>
          <t>DENDELE</t>
        </is>
      </c>
      <c r="D135" t="n">
        <v>5</v>
      </c>
      <c r="E135" t="n">
        <v>0</v>
      </c>
      <c r="F135" t="n">
        <v>62</v>
      </c>
      <c r="G135" t="n">
        <v>8</v>
      </c>
    </row>
    <row r="136">
      <c r="A136" t="inlineStr">
        <is>
          <t>CS2 · LGC vs DEN</t>
        </is>
      </c>
      <c r="B136" t="inlineStr">
        <is>
          <t>Nuke</t>
        </is>
      </c>
      <c r="C136" t="inlineStr">
        <is>
          <t>Legacy</t>
        </is>
      </c>
      <c r="D136" t="n">
        <v>2</v>
      </c>
      <c r="E136" t="n">
        <v>0</v>
      </c>
      <c r="F136" t="n">
        <v>67</v>
      </c>
      <c r="G136" t="n">
        <v>6</v>
      </c>
    </row>
    <row r="137">
      <c r="A137" t="inlineStr">
        <is>
          <t>CS2 · LGC vs DEN</t>
        </is>
      </c>
      <c r="B137" t="inlineStr">
        <is>
          <t>Nuke</t>
        </is>
      </c>
      <c r="C137" t="inlineStr">
        <is>
          <t>DENDELE</t>
        </is>
      </c>
      <c r="D137" t="n">
        <v>24</v>
      </c>
      <c r="E137" t="n">
        <v>0</v>
      </c>
      <c r="F137" t="n">
        <v>43</v>
      </c>
      <c r="G137" t="n">
        <v>7</v>
      </c>
    </row>
    <row r="138">
      <c r="A138" t="inlineStr">
        <is>
          <t>CS2 · LGC vs DEN</t>
        </is>
      </c>
      <c r="B138" t="inlineStr">
        <is>
          <t>Ancient</t>
        </is>
      </c>
      <c r="C138" t="inlineStr">
        <is>
          <t>Legacy</t>
        </is>
      </c>
      <c r="D138" t="n">
        <v>20</v>
      </c>
      <c r="E138" t="n">
        <v>5</v>
      </c>
      <c r="F138" t="n">
        <v>50</v>
      </c>
      <c r="G138" t="n">
        <v>12</v>
      </c>
    </row>
    <row r="139">
      <c r="A139" t="inlineStr">
        <is>
          <t>CS2 · LGC vs DEN</t>
        </is>
      </c>
      <c r="B139" t="inlineStr">
        <is>
          <t>Ancient</t>
        </is>
      </c>
      <c r="C139" t="inlineStr">
        <is>
          <t>DENDELE</t>
        </is>
      </c>
      <c r="D139" t="n">
        <v>10</v>
      </c>
      <c r="E139" t="n">
        <v>0</v>
      </c>
      <c r="F139" t="n">
        <v>50</v>
      </c>
      <c r="G139" t="n">
        <v>8</v>
      </c>
    </row>
    <row r="140">
      <c r="A140" t="inlineStr">
        <is>
          <t>CS2 · LGC vs DEN</t>
        </is>
      </c>
      <c r="B140" t="inlineStr">
        <is>
          <t>Anubis</t>
        </is>
      </c>
      <c r="C140" t="inlineStr">
        <is>
          <t>Legacy</t>
        </is>
      </c>
      <c r="D140" t="n">
        <v>0</v>
      </c>
      <c r="E140" t="n">
        <v>88</v>
      </c>
      <c r="G140" t="n">
        <v>0</v>
      </c>
    </row>
    <row r="141">
      <c r="A141" t="inlineStr">
        <is>
          <t>CS2 · LGC vs DEN</t>
        </is>
      </c>
      <c r="B141" t="inlineStr">
        <is>
          <t>Anubis</t>
        </is>
      </c>
      <c r="C141" t="inlineStr">
        <is>
          <t>DENDELE</t>
        </is>
      </c>
      <c r="D141" t="n">
        <v>19</v>
      </c>
      <c r="E141" t="n">
        <v>0</v>
      </c>
      <c r="F141" t="n">
        <v>50</v>
      </c>
      <c r="G141" t="n">
        <v>6</v>
      </c>
    </row>
    <row r="142">
      <c r="A142" t="inlineStr">
        <is>
          <t>CS2 · FURIA vs NAVI</t>
        </is>
      </c>
      <c r="B142" t="inlineStr">
        <is>
          <t>Cache</t>
        </is>
      </c>
      <c r="C142" t="inlineStr">
        <is>
          <t>FURIA</t>
        </is>
      </c>
      <c r="D142" t="n">
        <v>19</v>
      </c>
      <c r="E142" t="n">
        <v>0</v>
      </c>
      <c r="F142" t="n">
        <v>50</v>
      </c>
      <c r="G142" t="n">
        <v>12</v>
      </c>
    </row>
    <row r="143">
      <c r="A143" t="inlineStr">
        <is>
          <t>CS2 · FURIA vs NAVI</t>
        </is>
      </c>
      <c r="B143" t="inlineStr">
        <is>
          <t>Cache</t>
        </is>
      </c>
      <c r="C143" t="inlineStr">
        <is>
          <t>Natus Vincere</t>
        </is>
      </c>
      <c r="D143" t="n">
        <v>14</v>
      </c>
      <c r="E143" t="n">
        <v>7</v>
      </c>
      <c r="F143" t="n">
        <v>75</v>
      </c>
      <c r="G143" t="n">
        <v>4</v>
      </c>
    </row>
    <row r="144">
      <c r="A144" t="inlineStr">
        <is>
          <t>CS2 · FURIA vs NAVI</t>
        </is>
      </c>
      <c r="B144" t="inlineStr">
        <is>
          <t>Dust2</t>
        </is>
      </c>
      <c r="C144" t="inlineStr">
        <is>
          <t>FURIA</t>
        </is>
      </c>
      <c r="D144" t="n">
        <v>7</v>
      </c>
      <c r="E144" t="n">
        <v>5</v>
      </c>
      <c r="F144" t="n">
        <v>58</v>
      </c>
      <c r="G144" t="n">
        <v>12</v>
      </c>
    </row>
    <row r="145">
      <c r="A145" t="inlineStr">
        <is>
          <t>CS2 · FURIA vs NAVI</t>
        </is>
      </c>
      <c r="B145" t="inlineStr">
        <is>
          <t>Dust2</t>
        </is>
      </c>
      <c r="C145" t="inlineStr">
        <is>
          <t>Natus Vincere</t>
        </is>
      </c>
      <c r="D145" t="n">
        <v>0</v>
      </c>
      <c r="E145" t="n">
        <v>25</v>
      </c>
      <c r="F145" t="n">
        <v>100</v>
      </c>
      <c r="G145" t="n">
        <v>1</v>
      </c>
    </row>
    <row r="146">
      <c r="A146" t="inlineStr">
        <is>
          <t>CS2 · FURIA vs NAVI</t>
        </is>
      </c>
      <c r="B146" t="inlineStr">
        <is>
          <t>Mirage</t>
        </is>
      </c>
      <c r="C146" t="inlineStr">
        <is>
          <t>FURIA</t>
        </is>
      </c>
      <c r="D146" t="n">
        <v>26</v>
      </c>
      <c r="E146" t="n">
        <v>2</v>
      </c>
      <c r="F146" t="n">
        <v>60</v>
      </c>
      <c r="G146" t="n">
        <v>15</v>
      </c>
    </row>
    <row r="147">
      <c r="A147" t="inlineStr">
        <is>
          <t>CS2 · FURIA vs NAVI</t>
        </is>
      </c>
      <c r="B147" t="inlineStr">
        <is>
          <t>Mirage</t>
        </is>
      </c>
      <c r="C147" t="inlineStr">
        <is>
          <t>Natus Vincere</t>
        </is>
      </c>
      <c r="D147" t="n">
        <v>18</v>
      </c>
      <c r="E147" t="n">
        <v>0</v>
      </c>
      <c r="F147" t="n">
        <v>25</v>
      </c>
      <c r="G147" t="n">
        <v>8</v>
      </c>
    </row>
    <row r="148">
      <c r="A148" t="inlineStr">
        <is>
          <t>CS2 · FURIA vs NAVI</t>
        </is>
      </c>
      <c r="B148" t="inlineStr">
        <is>
          <t>Inferno</t>
        </is>
      </c>
      <c r="C148" t="inlineStr">
        <is>
          <t>FURIA</t>
        </is>
      </c>
      <c r="D148" t="n">
        <v>16</v>
      </c>
      <c r="E148" t="n">
        <v>12</v>
      </c>
      <c r="F148" t="n">
        <v>78</v>
      </c>
      <c r="G148" t="n">
        <v>9</v>
      </c>
    </row>
    <row r="149">
      <c r="A149" t="inlineStr">
        <is>
          <t>CS2 · FURIA vs NAVI</t>
        </is>
      </c>
      <c r="B149" t="inlineStr">
        <is>
          <t>Inferno</t>
        </is>
      </c>
      <c r="C149" t="inlineStr">
        <is>
          <t>Natus Vincere</t>
        </is>
      </c>
      <c r="D149" t="n">
        <v>7</v>
      </c>
      <c r="E149" t="n">
        <v>0</v>
      </c>
      <c r="F149" t="n">
        <v>44</v>
      </c>
      <c r="G149" t="n">
        <v>9</v>
      </c>
    </row>
    <row r="150">
      <c r="A150" t="inlineStr">
        <is>
          <t>CS2 · FURIA vs NAVI</t>
        </is>
      </c>
      <c r="B150" t="inlineStr">
        <is>
          <t>Nuke</t>
        </is>
      </c>
      <c r="C150" t="inlineStr">
        <is>
          <t>FURIA</t>
        </is>
      </c>
      <c r="D150" t="n">
        <v>21</v>
      </c>
      <c r="E150" t="n">
        <v>0</v>
      </c>
      <c r="F150" t="n">
        <v>58</v>
      </c>
      <c r="G150" t="n">
        <v>12</v>
      </c>
    </row>
    <row r="151">
      <c r="A151" t="inlineStr">
        <is>
          <t>CS2 · FURIA vs NAVI</t>
        </is>
      </c>
      <c r="B151" t="inlineStr">
        <is>
          <t>Nuke</t>
        </is>
      </c>
      <c r="C151" t="inlineStr">
        <is>
          <t>Natus Vincere</t>
        </is>
      </c>
      <c r="D151" t="n">
        <v>4</v>
      </c>
      <c r="E151" t="n">
        <v>7</v>
      </c>
      <c r="F151" t="n">
        <v>80</v>
      </c>
      <c r="G151" t="n">
        <v>5</v>
      </c>
    </row>
    <row r="152">
      <c r="A152" t="inlineStr">
        <is>
          <t>CS2 · FURIA vs NAVI</t>
        </is>
      </c>
      <c r="B152" t="inlineStr">
        <is>
          <t>Ancient</t>
        </is>
      </c>
      <c r="C152" t="inlineStr">
        <is>
          <t>FURIA</t>
        </is>
      </c>
      <c r="D152" t="n">
        <v>0</v>
      </c>
      <c r="E152" t="n">
        <v>37</v>
      </c>
      <c r="F152" t="n">
        <v>50</v>
      </c>
      <c r="G152" t="n">
        <v>12</v>
      </c>
    </row>
    <row r="153">
      <c r="A153" t="inlineStr">
        <is>
          <t>CS2 · FURIA vs NAVI</t>
        </is>
      </c>
      <c r="B153" t="inlineStr">
        <is>
          <t>Ancient</t>
        </is>
      </c>
      <c r="C153" t="inlineStr">
        <is>
          <t>Natus Vincere</t>
        </is>
      </c>
      <c r="D153" t="n">
        <v>39</v>
      </c>
      <c r="E153" t="n">
        <v>11</v>
      </c>
      <c r="F153" t="n">
        <v>0</v>
      </c>
      <c r="G153" t="n">
        <v>3</v>
      </c>
    </row>
    <row r="154">
      <c r="A154" t="inlineStr">
        <is>
          <t>CS2 · FURIA vs NAVI</t>
        </is>
      </c>
      <c r="B154" t="inlineStr">
        <is>
          <t>Anubis</t>
        </is>
      </c>
      <c r="C154" t="inlineStr">
        <is>
          <t>FURIA</t>
        </is>
      </c>
      <c r="D154" t="n">
        <v>2</v>
      </c>
      <c r="E154" t="n">
        <v>44</v>
      </c>
      <c r="F154" t="n">
        <v>0</v>
      </c>
      <c r="G154" t="n">
        <v>2</v>
      </c>
    </row>
    <row r="155">
      <c r="A155" t="inlineStr">
        <is>
          <t>CS2 · FURIA vs NAVI</t>
        </is>
      </c>
      <c r="B155" t="inlineStr">
        <is>
          <t>Anubis</t>
        </is>
      </c>
      <c r="C155" t="inlineStr">
        <is>
          <t>Natus Vincere</t>
        </is>
      </c>
      <c r="D155" t="n">
        <v>18</v>
      </c>
      <c r="E155" t="n">
        <v>0</v>
      </c>
      <c r="F155" t="n">
        <v>67</v>
      </c>
      <c r="G155" t="n">
        <v>3</v>
      </c>
    </row>
    <row r="156">
      <c r="A156" t="inlineStr">
        <is>
          <t>CS2 · paiN vs BST</t>
        </is>
      </c>
      <c r="B156" t="inlineStr">
        <is>
          <t>Cache</t>
        </is>
      </c>
      <c r="C156" t="inlineStr">
        <is>
          <t>paiN</t>
        </is>
      </c>
      <c r="D156" t="n">
        <v>0</v>
      </c>
      <c r="E156" t="n">
        <v>11</v>
      </c>
      <c r="F156" t="n">
        <v>33</v>
      </c>
      <c r="G156" t="n">
        <v>9</v>
      </c>
    </row>
    <row r="157">
      <c r="A157" t="inlineStr">
        <is>
          <t>CS2 · paiN vs BST</t>
        </is>
      </c>
      <c r="B157" t="inlineStr">
        <is>
          <t>Cache</t>
        </is>
      </c>
      <c r="C157" t="inlineStr">
        <is>
          <t>BESTIA</t>
        </is>
      </c>
      <c r="D157" t="n">
        <v>11</v>
      </c>
      <c r="E157" t="n">
        <v>0</v>
      </c>
      <c r="F157" t="n">
        <v>38</v>
      </c>
      <c r="G157" t="n">
        <v>8</v>
      </c>
    </row>
    <row r="158">
      <c r="A158" t="inlineStr">
        <is>
          <t>CS2 · paiN vs BST</t>
        </is>
      </c>
      <c r="B158" t="inlineStr">
        <is>
          <t>Dust2</t>
        </is>
      </c>
      <c r="C158" t="inlineStr">
        <is>
          <t>paiN</t>
        </is>
      </c>
      <c r="D158" t="n">
        <v>32</v>
      </c>
      <c r="E158" t="n">
        <v>0</v>
      </c>
      <c r="F158" t="n">
        <v>82</v>
      </c>
      <c r="G158" t="n">
        <v>11</v>
      </c>
    </row>
    <row r="159">
      <c r="A159" t="inlineStr">
        <is>
          <t>CS2 · paiN vs BST</t>
        </is>
      </c>
      <c r="B159" t="inlineStr">
        <is>
          <t>Dust2</t>
        </is>
      </c>
      <c r="C159" t="inlineStr">
        <is>
          <t>BESTIA</t>
        </is>
      </c>
      <c r="D159" t="n">
        <v>53</v>
      </c>
      <c r="E159" t="n">
        <v>0</v>
      </c>
      <c r="F159" t="n">
        <v>60</v>
      </c>
      <c r="G159" t="n">
        <v>15</v>
      </c>
    </row>
    <row r="160">
      <c r="A160" t="inlineStr">
        <is>
          <t>CS2 · paiN vs BST</t>
        </is>
      </c>
      <c r="B160" t="inlineStr">
        <is>
          <t>Mirage</t>
        </is>
      </c>
      <c r="C160" t="inlineStr">
        <is>
          <t>paiN</t>
        </is>
      </c>
      <c r="D160" t="n">
        <v>5</v>
      </c>
      <c r="E160" t="n">
        <v>0</v>
      </c>
      <c r="F160" t="n">
        <v>45</v>
      </c>
      <c r="G160" t="n">
        <v>11</v>
      </c>
    </row>
    <row r="161">
      <c r="A161" t="inlineStr">
        <is>
          <t>CS2 · paiN vs BST</t>
        </is>
      </c>
      <c r="B161" t="inlineStr">
        <is>
          <t>Mirage</t>
        </is>
      </c>
      <c r="C161" t="inlineStr">
        <is>
          <t>BESTIA</t>
        </is>
      </c>
      <c r="D161" t="n">
        <v>31</v>
      </c>
      <c r="E161" t="n">
        <v>0</v>
      </c>
      <c r="F161" t="n">
        <v>58</v>
      </c>
      <c r="G161" t="n">
        <v>12</v>
      </c>
    </row>
    <row r="162">
      <c r="A162" t="inlineStr">
        <is>
          <t>CS2 · paiN vs BST</t>
        </is>
      </c>
      <c r="B162" t="inlineStr">
        <is>
          <t>Inferno</t>
        </is>
      </c>
      <c r="C162" t="inlineStr">
        <is>
          <t>paiN</t>
        </is>
      </c>
      <c r="D162" t="n">
        <v>3</v>
      </c>
      <c r="E162" t="n">
        <v>5</v>
      </c>
      <c r="F162" t="n">
        <v>0</v>
      </c>
      <c r="G162" t="n">
        <v>8</v>
      </c>
    </row>
    <row r="163">
      <c r="A163" t="inlineStr">
        <is>
          <t>CS2 · paiN vs BST</t>
        </is>
      </c>
      <c r="B163" t="inlineStr">
        <is>
          <t>Inferno</t>
        </is>
      </c>
      <c r="C163" t="inlineStr">
        <is>
          <t>BESTIA</t>
        </is>
      </c>
      <c r="D163" t="n">
        <v>3</v>
      </c>
      <c r="E163" t="n">
        <v>11</v>
      </c>
      <c r="F163" t="n">
        <v>78</v>
      </c>
      <c r="G163" t="n">
        <v>9</v>
      </c>
    </row>
    <row r="164">
      <c r="A164" t="inlineStr">
        <is>
          <t>CS2 · paiN vs BST</t>
        </is>
      </c>
      <c r="B164" t="inlineStr">
        <is>
          <t>Nuke</t>
        </is>
      </c>
      <c r="C164" t="inlineStr">
        <is>
          <t>paiN</t>
        </is>
      </c>
      <c r="D164" t="n">
        <v>43</v>
      </c>
      <c r="E164" t="n">
        <v>0</v>
      </c>
      <c r="F164" t="n">
        <v>43</v>
      </c>
      <c r="G164" t="n">
        <v>7</v>
      </c>
    </row>
    <row r="165">
      <c r="A165" t="inlineStr">
        <is>
          <t>CS2 · paiN vs BST</t>
        </is>
      </c>
      <c r="B165" t="inlineStr">
        <is>
          <t>Nuke</t>
        </is>
      </c>
      <c r="C165" t="inlineStr">
        <is>
          <t>BESTIA</t>
        </is>
      </c>
      <c r="D165" t="n">
        <v>3</v>
      </c>
      <c r="E165" t="n">
        <v>6</v>
      </c>
      <c r="F165" t="n">
        <v>50</v>
      </c>
      <c r="G165" t="n">
        <v>6</v>
      </c>
    </row>
    <row r="166">
      <c r="A166" t="inlineStr">
        <is>
          <t>CS2 · paiN vs BST</t>
        </is>
      </c>
      <c r="B166" t="inlineStr">
        <is>
          <t>Ancient</t>
        </is>
      </c>
      <c r="C166" t="inlineStr">
        <is>
          <t>paiN</t>
        </is>
      </c>
      <c r="D166" t="n">
        <v>0</v>
      </c>
      <c r="E166" t="n">
        <v>84</v>
      </c>
      <c r="G166" t="n">
        <v>0</v>
      </c>
    </row>
    <row r="167">
      <c r="A167" t="inlineStr">
        <is>
          <t>CS2 · paiN vs BST</t>
        </is>
      </c>
      <c r="B167" t="inlineStr">
        <is>
          <t>Ancient</t>
        </is>
      </c>
      <c r="C167" t="inlineStr">
        <is>
          <t>BESTIA</t>
        </is>
      </c>
      <c r="D167" t="n">
        <v>0</v>
      </c>
      <c r="E167" t="n">
        <v>0</v>
      </c>
      <c r="F167" t="n">
        <v>50</v>
      </c>
      <c r="G167" t="n">
        <v>8</v>
      </c>
    </row>
    <row r="168">
      <c r="A168" t="inlineStr">
        <is>
          <t>CS2 · paiN vs BST</t>
        </is>
      </c>
      <c r="B168" t="inlineStr">
        <is>
          <t>Anubis</t>
        </is>
      </c>
      <c r="C168" t="inlineStr">
        <is>
          <t>paiN</t>
        </is>
      </c>
      <c r="D168" t="n">
        <v>16</v>
      </c>
      <c r="E168" t="n">
        <v>0</v>
      </c>
      <c r="F168" t="n">
        <v>67</v>
      </c>
      <c r="G168" t="n">
        <v>6</v>
      </c>
    </row>
    <row r="169">
      <c r="A169" t="inlineStr">
        <is>
          <t>CS2 · paiN vs BST</t>
        </is>
      </c>
      <c r="B169" t="inlineStr">
        <is>
          <t>Anubis</t>
        </is>
      </c>
      <c r="C169" t="inlineStr">
        <is>
          <t>BESTIA</t>
        </is>
      </c>
      <c r="D169" t="n">
        <v>0</v>
      </c>
      <c r="E169" t="n">
        <v>83</v>
      </c>
      <c r="G169" t="n">
        <v>0</v>
      </c>
    </row>
    <row r="170">
      <c r="A170" t="inlineStr">
        <is>
          <t>CS2 · FORZE.R vs ex-RUSTEC</t>
        </is>
      </c>
      <c r="B170" t="inlineStr">
        <is>
          <t>Cache</t>
        </is>
      </c>
      <c r="C170" t="inlineStr">
        <is>
          <t>FORZE Reload</t>
        </is>
      </c>
      <c r="D170" t="n">
        <v>22</v>
      </c>
      <c r="E170" t="n">
        <v>0</v>
      </c>
      <c r="F170" t="n">
        <v>80</v>
      </c>
      <c r="G170" t="n">
        <v>15</v>
      </c>
    </row>
    <row r="171">
      <c r="A171" t="inlineStr">
        <is>
          <t>CS2 · FORZE.R vs ex-RUSTEC</t>
        </is>
      </c>
      <c r="B171" t="inlineStr">
        <is>
          <t>Cache</t>
        </is>
      </c>
      <c r="C171" t="inlineStr">
        <is>
          <t>ex-RUSTEC</t>
        </is>
      </c>
      <c r="D171" t="n">
        <v>9</v>
      </c>
      <c r="E171" t="n">
        <v>11</v>
      </c>
      <c r="F171" t="n">
        <v>47</v>
      </c>
      <c r="G171" t="n">
        <v>15</v>
      </c>
    </row>
    <row r="172">
      <c r="A172" t="inlineStr">
        <is>
          <t>CS2 · FORZE.R vs ex-RUSTEC</t>
        </is>
      </c>
      <c r="B172" t="inlineStr">
        <is>
          <t>Dust2</t>
        </is>
      </c>
      <c r="C172" t="inlineStr">
        <is>
          <t>FORZE Reload</t>
        </is>
      </c>
      <c r="D172" t="n">
        <v>31</v>
      </c>
      <c r="E172" t="n">
        <v>0</v>
      </c>
      <c r="F172" t="n">
        <v>68</v>
      </c>
      <c r="G172" t="n">
        <v>19</v>
      </c>
    </row>
    <row r="173">
      <c r="A173" t="inlineStr">
        <is>
          <t>CS2 · FORZE.R vs ex-RUSTEC</t>
        </is>
      </c>
      <c r="B173" t="inlineStr">
        <is>
          <t>Dust2</t>
        </is>
      </c>
      <c r="C173" t="inlineStr">
        <is>
          <t>ex-RUSTEC</t>
        </is>
      </c>
      <c r="D173" t="n">
        <v>39</v>
      </c>
      <c r="E173" t="n">
        <v>0</v>
      </c>
      <c r="F173" t="n">
        <v>53</v>
      </c>
      <c r="G173" t="n">
        <v>45</v>
      </c>
    </row>
    <row r="174">
      <c r="A174" t="inlineStr">
        <is>
          <t>CS2 · FORZE.R vs ex-RUSTEC</t>
        </is>
      </c>
      <c r="B174" t="inlineStr">
        <is>
          <t>Mirage</t>
        </is>
      </c>
      <c r="C174" t="inlineStr">
        <is>
          <t>FORZE Reload</t>
        </is>
      </c>
      <c r="D174" t="n">
        <v>19</v>
      </c>
      <c r="E174" t="n">
        <v>0</v>
      </c>
      <c r="F174" t="n">
        <v>62</v>
      </c>
      <c r="G174" t="n">
        <v>13</v>
      </c>
    </row>
    <row r="175">
      <c r="A175" t="inlineStr">
        <is>
          <t>CS2 · FORZE.R vs ex-RUSTEC</t>
        </is>
      </c>
      <c r="B175" t="inlineStr">
        <is>
          <t>Mirage</t>
        </is>
      </c>
      <c r="C175" t="inlineStr">
        <is>
          <t>ex-RUSTEC</t>
        </is>
      </c>
      <c r="D175" t="n">
        <v>4</v>
      </c>
      <c r="E175" t="n">
        <v>6</v>
      </c>
      <c r="F175" t="n">
        <v>50</v>
      </c>
      <c r="G175" t="n">
        <v>20</v>
      </c>
    </row>
    <row r="176">
      <c r="A176" t="inlineStr">
        <is>
          <t>CS2 · FORZE.R vs ex-RUSTEC</t>
        </is>
      </c>
      <c r="B176" t="inlineStr">
        <is>
          <t>Inferno</t>
        </is>
      </c>
      <c r="C176" t="inlineStr">
        <is>
          <t>FORZE Reload</t>
        </is>
      </c>
      <c r="D176" t="n">
        <v>0</v>
      </c>
      <c r="E176" t="n">
        <v>100</v>
      </c>
      <c r="G176" t="n">
        <v>0</v>
      </c>
    </row>
    <row r="177">
      <c r="A177" t="inlineStr">
        <is>
          <t>CS2 · FORZE.R vs ex-RUSTEC</t>
        </is>
      </c>
      <c r="B177" t="inlineStr">
        <is>
          <t>Inferno</t>
        </is>
      </c>
      <c r="C177" t="inlineStr">
        <is>
          <t>ex-RUSTEC</t>
        </is>
      </c>
      <c r="D177" t="n">
        <v>3</v>
      </c>
      <c r="E177" t="n">
        <v>22</v>
      </c>
      <c r="F177" t="n">
        <v>56</v>
      </c>
      <c r="G177" t="n">
        <v>16</v>
      </c>
    </row>
    <row r="178">
      <c r="A178" t="inlineStr">
        <is>
          <t>CS2 · FORZE.R vs ex-RUSTEC</t>
        </is>
      </c>
      <c r="B178" t="inlineStr">
        <is>
          <t>Nuke</t>
        </is>
      </c>
      <c r="C178" t="inlineStr">
        <is>
          <t>FORZE Reload</t>
        </is>
      </c>
      <c r="D178" t="n">
        <v>25</v>
      </c>
      <c r="E178" t="n">
        <v>0</v>
      </c>
      <c r="F178" t="n">
        <v>67</v>
      </c>
      <c r="G178" t="n">
        <v>12</v>
      </c>
    </row>
    <row r="179">
      <c r="A179" t="inlineStr">
        <is>
          <t>CS2 · FORZE.R vs ex-RUSTEC</t>
        </is>
      </c>
      <c r="B179" t="inlineStr">
        <is>
          <t>Nuke</t>
        </is>
      </c>
      <c r="C179" t="inlineStr">
        <is>
          <t>ex-RUSTEC</t>
        </is>
      </c>
      <c r="D179" t="n">
        <v>28</v>
      </c>
      <c r="E179" t="n">
        <v>0</v>
      </c>
      <c r="F179" t="n">
        <v>52</v>
      </c>
      <c r="G179" t="n">
        <v>40</v>
      </c>
    </row>
    <row r="180">
      <c r="A180" t="inlineStr">
        <is>
          <t>CS2 · FORZE.R vs ex-RUSTEC</t>
        </is>
      </c>
      <c r="B180" t="inlineStr">
        <is>
          <t>Ancient</t>
        </is>
      </c>
      <c r="C180" t="inlineStr">
        <is>
          <t>FORZE Reload</t>
        </is>
      </c>
      <c r="D180" t="n">
        <v>0</v>
      </c>
      <c r="E180" t="n">
        <v>0</v>
      </c>
      <c r="F180" t="n">
        <v>67</v>
      </c>
      <c r="G180" t="n">
        <v>9</v>
      </c>
    </row>
    <row r="181">
      <c r="A181" t="inlineStr">
        <is>
          <t>CS2 · FORZE.R vs ex-RUSTEC</t>
        </is>
      </c>
      <c r="B181" t="inlineStr">
        <is>
          <t>Ancient</t>
        </is>
      </c>
      <c r="C181" t="inlineStr">
        <is>
          <t>ex-RUSTEC</t>
        </is>
      </c>
      <c r="D181" t="n">
        <v>1</v>
      </c>
      <c r="E181" t="n">
        <v>61</v>
      </c>
      <c r="F181" t="n">
        <v>67</v>
      </c>
      <c r="G181" t="n">
        <v>12</v>
      </c>
    </row>
    <row r="182">
      <c r="A182" t="inlineStr">
        <is>
          <t>CS2 · FORZE.R vs ex-RUSTEC</t>
        </is>
      </c>
      <c r="B182" t="inlineStr">
        <is>
          <t>Anubis</t>
        </is>
      </c>
      <c r="C182" t="inlineStr">
        <is>
          <t>FORZE Reload</t>
        </is>
      </c>
      <c r="D182" t="n">
        <v>3</v>
      </c>
      <c r="E182" t="n">
        <v>0</v>
      </c>
      <c r="F182" t="n">
        <v>45</v>
      </c>
      <c r="G182" t="n">
        <v>11</v>
      </c>
    </row>
    <row r="183">
      <c r="A183" t="inlineStr">
        <is>
          <t>CS2 · FORZE.R vs ex-RUSTEC</t>
        </is>
      </c>
      <c r="B183" t="inlineStr">
        <is>
          <t>Anubis</t>
        </is>
      </c>
      <c r="C183" t="inlineStr">
        <is>
          <t>ex-RUSTEC</t>
        </is>
      </c>
      <c r="D183" t="n">
        <v>16</v>
      </c>
      <c r="E183" t="n">
        <v>0</v>
      </c>
      <c r="F183" t="n">
        <v>74</v>
      </c>
      <c r="G183" t="n">
        <v>31</v>
      </c>
    </row>
    <row r="184">
      <c r="A184" t="inlineStr">
        <is>
          <t>CS2 [NO MARKET] · Color vs ex-ZT</t>
        </is>
      </c>
      <c r="B184" t="inlineStr">
        <is>
          <t>Cache</t>
        </is>
      </c>
      <c r="C184" t="inlineStr">
        <is>
          <t>Color</t>
        </is>
      </c>
      <c r="D184" t="n">
        <v>4</v>
      </c>
      <c r="E184" t="n">
        <v>0</v>
      </c>
      <c r="F184" t="n">
        <v>33</v>
      </c>
      <c r="G184" t="n">
        <v>9</v>
      </c>
    </row>
    <row r="185">
      <c r="A185" t="inlineStr">
        <is>
          <t>CS2 [NO MARKET] · Color vs ex-ZT</t>
        </is>
      </c>
      <c r="B185" t="inlineStr">
        <is>
          <t>Cache</t>
        </is>
      </c>
      <c r="C185" t="inlineStr">
        <is>
          <t>ex-Zero Tenacity</t>
        </is>
      </c>
      <c r="D185" t="n">
        <v>34</v>
      </c>
      <c r="E185" t="n">
        <v>0</v>
      </c>
      <c r="F185" t="n">
        <v>72</v>
      </c>
      <c r="G185" t="n">
        <v>32</v>
      </c>
    </row>
    <row r="186">
      <c r="A186" t="inlineStr">
        <is>
          <t>CS2 [NO MARKET] · Color vs ex-ZT</t>
        </is>
      </c>
      <c r="B186" t="inlineStr">
        <is>
          <t>Dust2</t>
        </is>
      </c>
      <c r="C186" t="inlineStr">
        <is>
          <t>Color</t>
        </is>
      </c>
      <c r="D186" t="n">
        <v>63</v>
      </c>
      <c r="E186" t="n">
        <v>0</v>
      </c>
      <c r="F186" t="n">
        <v>67</v>
      </c>
      <c r="G186" t="n">
        <v>24</v>
      </c>
    </row>
    <row r="187">
      <c r="A187" t="inlineStr">
        <is>
          <t>CS2 [NO MARKET] · Color vs ex-ZT</t>
        </is>
      </c>
      <c r="B187" t="inlineStr">
        <is>
          <t>Dust2</t>
        </is>
      </c>
      <c r="C187" t="inlineStr">
        <is>
          <t>ex-Zero Tenacity</t>
        </is>
      </c>
      <c r="D187" t="n">
        <v>19</v>
      </c>
      <c r="E187" t="n">
        <v>0</v>
      </c>
      <c r="F187" t="n">
        <v>68</v>
      </c>
      <c r="G187" t="n">
        <v>28</v>
      </c>
    </row>
    <row r="188">
      <c r="A188" t="inlineStr">
        <is>
          <t>CS2 [NO MARKET] · Color vs ex-ZT</t>
        </is>
      </c>
      <c r="B188" t="inlineStr">
        <is>
          <t>Mirage</t>
        </is>
      </c>
      <c r="C188" t="inlineStr">
        <is>
          <t>Color</t>
        </is>
      </c>
      <c r="D188" t="n">
        <v>30</v>
      </c>
      <c r="E188" t="n">
        <v>0</v>
      </c>
      <c r="F188" t="n">
        <v>80</v>
      </c>
      <c r="G188" t="n">
        <v>15</v>
      </c>
    </row>
    <row r="189">
      <c r="A189" t="inlineStr">
        <is>
          <t>CS2 [NO MARKET] · Color vs ex-ZT</t>
        </is>
      </c>
      <c r="B189" t="inlineStr">
        <is>
          <t>Mirage</t>
        </is>
      </c>
      <c r="C189" t="inlineStr">
        <is>
          <t>ex-Zero Tenacity</t>
        </is>
      </c>
      <c r="D189" t="n">
        <v>6</v>
      </c>
      <c r="E189" t="n">
        <v>0</v>
      </c>
      <c r="F189" t="n">
        <v>53</v>
      </c>
      <c r="G189" t="n">
        <v>17</v>
      </c>
    </row>
    <row r="190">
      <c r="A190" t="inlineStr">
        <is>
          <t>CS2 [NO MARKET] · Color vs ex-ZT</t>
        </is>
      </c>
      <c r="B190" t="inlineStr">
        <is>
          <t>Inferno</t>
        </is>
      </c>
      <c r="C190" t="inlineStr">
        <is>
          <t>Color</t>
        </is>
      </c>
      <c r="D190" t="n">
        <v>0</v>
      </c>
      <c r="E190" t="n">
        <v>0</v>
      </c>
      <c r="F190" t="n">
        <v>44</v>
      </c>
      <c r="G190" t="n">
        <v>9</v>
      </c>
    </row>
    <row r="191">
      <c r="A191" t="inlineStr">
        <is>
          <t>CS2 [NO MARKET] · Color vs ex-ZT</t>
        </is>
      </c>
      <c r="B191" t="inlineStr">
        <is>
          <t>Inferno</t>
        </is>
      </c>
      <c r="C191" t="inlineStr">
        <is>
          <t>ex-Zero Tenacity</t>
        </is>
      </c>
      <c r="D191" t="n">
        <v>24</v>
      </c>
      <c r="E191" t="n">
        <v>0</v>
      </c>
      <c r="F191" t="n">
        <v>65</v>
      </c>
      <c r="G191" t="n">
        <v>20</v>
      </c>
    </row>
    <row r="192">
      <c r="A192" t="inlineStr">
        <is>
          <t>CS2 [NO MARKET] · Color vs ex-ZT</t>
        </is>
      </c>
      <c r="B192" t="inlineStr">
        <is>
          <t>Nuke</t>
        </is>
      </c>
      <c r="C192" t="inlineStr">
        <is>
          <t>Color</t>
        </is>
      </c>
      <c r="D192" t="n">
        <v>0</v>
      </c>
      <c r="E192" t="n">
        <v>100</v>
      </c>
      <c r="G192" t="n">
        <v>0</v>
      </c>
    </row>
    <row r="193">
      <c r="A193" t="inlineStr">
        <is>
          <t>CS2 [NO MARKET] · Color vs ex-ZT</t>
        </is>
      </c>
      <c r="B193" t="inlineStr">
        <is>
          <t>Nuke</t>
        </is>
      </c>
      <c r="C193" t="inlineStr">
        <is>
          <t>ex-Zero Tenacity</t>
        </is>
      </c>
      <c r="D193" t="n">
        <v>14</v>
      </c>
      <c r="E193" t="n">
        <v>0</v>
      </c>
      <c r="F193" t="n">
        <v>57</v>
      </c>
      <c r="G193" t="n">
        <v>23</v>
      </c>
    </row>
    <row r="194">
      <c r="A194" t="inlineStr">
        <is>
          <t>CS2 [NO MARKET] · Color vs ex-ZT</t>
        </is>
      </c>
      <c r="B194" t="inlineStr">
        <is>
          <t>Ancient</t>
        </is>
      </c>
      <c r="C194" t="inlineStr">
        <is>
          <t>Color</t>
        </is>
      </c>
      <c r="D194" t="n">
        <v>0</v>
      </c>
      <c r="E194" t="n">
        <v>0</v>
      </c>
      <c r="F194" t="n">
        <v>58</v>
      </c>
      <c r="G194" t="n">
        <v>12</v>
      </c>
    </row>
    <row r="195">
      <c r="A195" t="inlineStr">
        <is>
          <t>CS2 [NO MARKET] · Color vs ex-ZT</t>
        </is>
      </c>
      <c r="B195" t="inlineStr">
        <is>
          <t>Ancient</t>
        </is>
      </c>
      <c r="C195" t="inlineStr">
        <is>
          <t>ex-Zero Tenacity</t>
        </is>
      </c>
      <c r="D195" t="n">
        <v>0</v>
      </c>
      <c r="E195" t="n">
        <v>99</v>
      </c>
      <c r="G195" t="n">
        <v>0</v>
      </c>
    </row>
    <row r="196">
      <c r="A196" t="inlineStr">
        <is>
          <t>CS2 [NO MARKET] · Color vs ex-ZT</t>
        </is>
      </c>
      <c r="B196" t="inlineStr">
        <is>
          <t>Anubis</t>
        </is>
      </c>
      <c r="C196" t="inlineStr">
        <is>
          <t>Color</t>
        </is>
      </c>
      <c r="D196" t="n">
        <v>4</v>
      </c>
      <c r="E196" t="n">
        <v>0</v>
      </c>
      <c r="F196" t="n">
        <v>62</v>
      </c>
      <c r="G196" t="n">
        <v>8</v>
      </c>
    </row>
    <row r="197">
      <c r="A197" t="inlineStr">
        <is>
          <t>CS2 [NO MARKET] · Color vs ex-ZT</t>
        </is>
      </c>
      <c r="B197" t="inlineStr">
        <is>
          <t>Anubis</t>
        </is>
      </c>
      <c r="C197" t="inlineStr">
        <is>
          <t>ex-Zero Tenacity</t>
        </is>
      </c>
      <c r="D197" t="n">
        <v>3</v>
      </c>
      <c r="E197" t="n">
        <v>1</v>
      </c>
      <c r="F197" t="n">
        <v>70</v>
      </c>
      <c r="G197" t="n">
        <v>10</v>
      </c>
    </row>
  </sheetData>
  <autoFilter ref="A1:G19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46"/>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2026-10-25 03:09</t>
        </is>
      </c>
      <c r="B2" t="inlineStr">
        <is>
          <t>2026-10-25</t>
        </is>
      </c>
      <c r="C2" t="inlineStr">
        <is>
          <t>CS2</t>
        </is>
      </c>
      <c r="D2" t="inlineStr">
        <is>
          <t>CS2 [NO MARKET] · ACE vs INOX</t>
        </is>
      </c>
      <c r="E2" t="inlineStr">
        <is>
          <t>El1an</t>
        </is>
      </c>
      <c r="F2" t="inlineStr">
        <is>
          <t>Maps 1-2 HS</t>
        </is>
      </c>
      <c r="G2" t="n">
        <v>9.5</v>
      </c>
      <c r="H2" t="n">
        <v>9.779999999999999</v>
      </c>
      <c r="I2" s="8" t="n">
        <v>0.5337</v>
      </c>
      <c r="J2" s="8" t="n">
        <v>0.4663</v>
      </c>
      <c r="K2" t="inlineStr">
        <is>
          <t>Dust2 / Ancient</t>
        </is>
      </c>
      <c r="L2" t="inlineStr">
        <is>
          <t>21.5 / 21.5</t>
        </is>
      </c>
      <c r="N2" s="8" t="n">
        <v>0.6</v>
      </c>
      <c r="O2" s="12" t="n"/>
      <c r="P2">
        <f>IF(O2="","",IF(O2&gt;G2,"OVER",IF(O2&lt;G2,"UNDER","PUSH")))</f>
        <v/>
      </c>
      <c r="Q2" t="n">
        <v>9.779999999999999</v>
      </c>
      <c r="R2" s="8" t="n">
        <v>0.5337</v>
      </c>
      <c r="S2" t="n">
        <v>1</v>
      </c>
      <c r="T2" t="n">
        <v>9.75</v>
      </c>
      <c r="U2" t="n">
        <v>9.75</v>
      </c>
    </row>
    <row r="3">
      <c r="A3" t="inlineStr">
        <is>
          <t>2026-10-25 03:09</t>
        </is>
      </c>
      <c r="B3" t="inlineStr">
        <is>
          <t>2026-10-25</t>
        </is>
      </c>
      <c r="C3" t="inlineStr">
        <is>
          <t>CS2</t>
        </is>
      </c>
      <c r="D3" t="inlineStr">
        <is>
          <t>CS2 [NO MARKET] · ACE vs INOX</t>
        </is>
      </c>
      <c r="E3" t="inlineStr">
        <is>
          <t>El1an</t>
        </is>
      </c>
      <c r="F3" t="inlineStr">
        <is>
          <t>Maps 1-2 Kills</t>
        </is>
      </c>
      <c r="G3" t="n">
        <v>32.5</v>
      </c>
      <c r="H3" t="n">
        <v>31.02</v>
      </c>
      <c r="I3" s="8" t="n">
        <v>0.411</v>
      </c>
      <c r="J3" s="8" t="n">
        <v>0.589</v>
      </c>
      <c r="K3" t="inlineStr">
        <is>
          <t>Dust2 / Ancient</t>
        </is>
      </c>
      <c r="L3" t="inlineStr">
        <is>
          <t>21.5 / 21.5</t>
        </is>
      </c>
      <c r="N3" s="8" t="n">
        <v>0.5</v>
      </c>
      <c r="O3" s="12" t="n"/>
      <c r="P3">
        <f>IF(O3="","",IF(O3&gt;G3,"OVER",IF(O3&lt;G3,"UNDER","PUSH")))</f>
        <v/>
      </c>
      <c r="Q3" t="n">
        <v>31.02</v>
      </c>
      <c r="R3" s="8" t="n">
        <v>0.411</v>
      </c>
      <c r="S3" t="n">
        <v>1</v>
      </c>
      <c r="T3" t="n">
        <v>30.96</v>
      </c>
      <c r="U3" t="n">
        <v>30.96</v>
      </c>
    </row>
    <row r="4">
      <c r="A4" t="inlineStr">
        <is>
          <t>2026-10-25 03:09</t>
        </is>
      </c>
      <c r="B4" t="inlineStr">
        <is>
          <t>2026-10-25</t>
        </is>
      </c>
      <c r="C4" t="inlineStr">
        <is>
          <t>CS2</t>
        </is>
      </c>
      <c r="D4" t="inlineStr">
        <is>
          <t>CS2 [NO MARKET] · ACE vs INOX</t>
        </is>
      </c>
      <c r="E4" t="inlineStr">
        <is>
          <t>finW</t>
        </is>
      </c>
      <c r="F4" t="inlineStr">
        <is>
          <t>Maps 1-2 HS</t>
        </is>
      </c>
      <c r="G4" t="n">
        <v>15</v>
      </c>
      <c r="H4" t="n">
        <v>14.98</v>
      </c>
      <c r="I4" s="8" t="n">
        <v>0.4511</v>
      </c>
      <c r="J4" s="8" t="n">
        <v>0.4553</v>
      </c>
      <c r="K4" t="inlineStr">
        <is>
          <t>Dust2 / Ancient</t>
        </is>
      </c>
      <c r="L4" t="inlineStr">
        <is>
          <t>21.5 / 21.5</t>
        </is>
      </c>
      <c r="N4" s="8" t="n">
        <v>0.5</v>
      </c>
      <c r="O4" s="12" t="n"/>
      <c r="P4">
        <f>IF(O4="","",IF(O4&gt;G4,"OVER",IF(O4&lt;G4,"UNDER","PUSH")))</f>
        <v/>
      </c>
      <c r="Q4" t="n">
        <v>14.98</v>
      </c>
      <c r="R4" s="8" t="n">
        <v>0.4511</v>
      </c>
      <c r="S4" t="n">
        <v>1</v>
      </c>
      <c r="T4" t="n">
        <v>14.56</v>
      </c>
      <c r="U4" t="n">
        <v>14.56</v>
      </c>
    </row>
    <row r="5">
      <c r="A5" t="inlineStr">
        <is>
          <t>2026-10-25 03:09</t>
        </is>
      </c>
      <c r="B5" t="inlineStr">
        <is>
          <t>2026-10-25</t>
        </is>
      </c>
      <c r="C5" t="inlineStr">
        <is>
          <t>CS2</t>
        </is>
      </c>
      <c r="D5" t="inlineStr">
        <is>
          <t>CS2 [NO MARKET] · ACE vs INOX</t>
        </is>
      </c>
      <c r="E5" t="inlineStr">
        <is>
          <t>finW</t>
        </is>
      </c>
      <c r="F5" t="inlineStr">
        <is>
          <t>Maps 1-2 Kills</t>
        </is>
      </c>
      <c r="G5" t="n">
        <v>27.5</v>
      </c>
      <c r="H5" t="n">
        <v>29</v>
      </c>
      <c r="I5" s="8" t="n">
        <v>0.5928</v>
      </c>
      <c r="J5" s="8" t="n">
        <v>0.4072</v>
      </c>
      <c r="K5" t="inlineStr">
        <is>
          <t>Dust2 / Ancient</t>
        </is>
      </c>
      <c r="L5" t="inlineStr">
        <is>
          <t>21.5 / 21.5</t>
        </is>
      </c>
      <c r="N5" s="8" t="n">
        <v>0.5</v>
      </c>
      <c r="O5" s="12" t="n"/>
      <c r="P5">
        <f>IF(O5="","",IF(O5&gt;G5,"OVER",IF(O5&lt;G5,"UNDER","PUSH")))</f>
        <v/>
      </c>
      <c r="Q5" t="n">
        <v>29</v>
      </c>
      <c r="R5" s="8" t="n">
        <v>0.5928</v>
      </c>
      <c r="S5" t="n">
        <v>1</v>
      </c>
      <c r="T5" t="n">
        <v>27.52</v>
      </c>
      <c r="U5" t="n">
        <v>27.52</v>
      </c>
    </row>
    <row r="6">
      <c r="A6" t="inlineStr">
        <is>
          <t>2026-10-25 03:09</t>
        </is>
      </c>
      <c r="B6" t="inlineStr">
        <is>
          <t>2026-10-25</t>
        </is>
      </c>
      <c r="C6" t="inlineStr">
        <is>
          <t>CS2</t>
        </is>
      </c>
      <c r="D6" t="inlineStr">
        <is>
          <t>CS2 [NO MARKET] · ACE vs INOX</t>
        </is>
      </c>
      <c r="E6" t="inlineStr">
        <is>
          <t>K0s</t>
        </is>
      </c>
      <c r="F6" t="inlineStr">
        <is>
          <t>Maps 1-2 HS</t>
        </is>
      </c>
      <c r="G6" t="n">
        <v>15</v>
      </c>
      <c r="H6" t="n">
        <v>16.1</v>
      </c>
      <c r="I6" s="8" t="n">
        <v>0.5544</v>
      </c>
      <c r="J6" s="8" t="n">
        <v>0.3583</v>
      </c>
      <c r="K6" t="inlineStr">
        <is>
          <t>Dust2 / Ancient</t>
        </is>
      </c>
      <c r="L6" t="inlineStr">
        <is>
          <t>21.5 / 21.5</t>
        </is>
      </c>
      <c r="N6" s="8" t="n">
        <v>0.5</v>
      </c>
      <c r="O6" s="12" t="n"/>
      <c r="P6">
        <f>IF(O6="","",IF(O6&gt;G6,"OVER",IF(O6&lt;G6,"UNDER","PUSH")))</f>
        <v/>
      </c>
      <c r="Q6" t="n">
        <v>16.1</v>
      </c>
      <c r="R6" s="8" t="n">
        <v>0.5544</v>
      </c>
      <c r="S6" t="n">
        <v>1</v>
      </c>
      <c r="T6" t="n">
        <v>15.13</v>
      </c>
      <c r="U6" t="n">
        <v>15.13</v>
      </c>
    </row>
    <row r="7">
      <c r="A7" t="inlineStr">
        <is>
          <t>2026-10-25 03:09</t>
        </is>
      </c>
      <c r="B7" t="inlineStr">
        <is>
          <t>2026-10-25</t>
        </is>
      </c>
      <c r="C7" t="inlineStr">
        <is>
          <t>CS2</t>
        </is>
      </c>
      <c r="D7" t="inlineStr">
        <is>
          <t>CS2 [NO MARKET] · ACE vs INOX</t>
        </is>
      </c>
      <c r="E7" t="inlineStr">
        <is>
          <t>K0s</t>
        </is>
      </c>
      <c r="F7" t="inlineStr">
        <is>
          <t>Maps 1-2 Kills</t>
        </is>
      </c>
      <c r="G7" t="n">
        <v>29</v>
      </c>
      <c r="H7" t="n">
        <v>30.31</v>
      </c>
      <c r="I7" s="8" t="n">
        <v>0.5494</v>
      </c>
      <c r="J7" s="8" t="n">
        <v>0.3907</v>
      </c>
      <c r="K7" t="inlineStr">
        <is>
          <t>Dust2 / Ancient</t>
        </is>
      </c>
      <c r="L7" t="inlineStr">
        <is>
          <t>21.5 / 21.5</t>
        </is>
      </c>
      <c r="N7" s="8" t="n">
        <v>0.6</v>
      </c>
      <c r="O7" s="12" t="n"/>
      <c r="P7">
        <f>IF(O7="","",IF(O7&gt;G7,"OVER",IF(O7&lt;G7,"UNDER","PUSH")))</f>
        <v/>
      </c>
      <c r="Q7" t="n">
        <v>30.31</v>
      </c>
      <c r="R7" s="8" t="n">
        <v>0.5494</v>
      </c>
      <c r="S7" t="n">
        <v>1</v>
      </c>
      <c r="T7" t="n">
        <v>28.81</v>
      </c>
      <c r="U7" t="n">
        <v>28.81</v>
      </c>
    </row>
    <row r="8">
      <c r="A8" t="inlineStr">
        <is>
          <t>2026-10-25 03:09</t>
        </is>
      </c>
      <c r="B8" t="inlineStr">
        <is>
          <t>2026-10-25</t>
        </is>
      </c>
      <c r="C8" t="inlineStr">
        <is>
          <t>CS2</t>
        </is>
      </c>
      <c r="D8" t="inlineStr">
        <is>
          <t>CS2 [NO MARKET] · ACE vs INOX</t>
        </is>
      </c>
      <c r="E8" t="inlineStr">
        <is>
          <t>k1slll</t>
        </is>
      </c>
      <c r="F8" t="inlineStr">
        <is>
          <t>Maps 1-2 HS</t>
        </is>
      </c>
      <c r="G8" t="n">
        <v>15</v>
      </c>
      <c r="H8" t="n">
        <v>13.79</v>
      </c>
      <c r="I8" s="8" t="n">
        <v>0.3375</v>
      </c>
      <c r="J8" s="8" t="n">
        <v>0.569</v>
      </c>
      <c r="K8" t="inlineStr">
        <is>
          <t>Dust2 / Ancient</t>
        </is>
      </c>
      <c r="L8" t="inlineStr">
        <is>
          <t>21.5 / 21.5</t>
        </is>
      </c>
      <c r="N8" s="8" t="n">
        <v>0.3</v>
      </c>
      <c r="O8" s="12" t="n"/>
      <c r="P8">
        <f>IF(O8="","",IF(O8&gt;G8,"OVER",IF(O8&lt;G8,"UNDER","PUSH")))</f>
        <v/>
      </c>
      <c r="Q8" t="n">
        <v>13.79</v>
      </c>
      <c r="R8" s="8" t="n">
        <v>0.3375</v>
      </c>
      <c r="S8" t="n">
        <v>1</v>
      </c>
      <c r="T8" t="n">
        <v>13.44</v>
      </c>
      <c r="U8" t="n">
        <v>13.44</v>
      </c>
    </row>
    <row r="9">
      <c r="A9" t="inlineStr">
        <is>
          <t>2026-10-25 03:09</t>
        </is>
      </c>
      <c r="B9" t="inlineStr">
        <is>
          <t>2026-10-25</t>
        </is>
      </c>
      <c r="C9" t="inlineStr">
        <is>
          <t>CS2</t>
        </is>
      </c>
      <c r="D9" t="inlineStr">
        <is>
          <t>CS2 [NO MARKET] · ACE vs INOX</t>
        </is>
      </c>
      <c r="E9" t="inlineStr">
        <is>
          <t>k1slll</t>
        </is>
      </c>
      <c r="F9" t="inlineStr">
        <is>
          <t>Maps 1-2 Kills</t>
        </is>
      </c>
      <c r="G9" t="n">
        <v>29</v>
      </c>
      <c r="H9" t="n">
        <v>27.13</v>
      </c>
      <c r="I9" s="8" t="n">
        <v>0.3504</v>
      </c>
      <c r="J9" s="8" t="n">
        <v>0.5879</v>
      </c>
      <c r="K9" t="inlineStr">
        <is>
          <t>Dust2 / Ancient</t>
        </is>
      </c>
      <c r="L9" t="inlineStr">
        <is>
          <t>21.5 / 21.5</t>
        </is>
      </c>
      <c r="N9" s="8" t="n">
        <v>0.3</v>
      </c>
      <c r="O9" s="12" t="n"/>
      <c r="P9">
        <f>IF(O9="","",IF(O9&gt;G9,"OVER",IF(O9&lt;G9,"UNDER","PUSH")))</f>
        <v/>
      </c>
      <c r="Q9" t="n">
        <v>27.13</v>
      </c>
      <c r="R9" s="8" t="n">
        <v>0.3504</v>
      </c>
      <c r="S9" t="n">
        <v>1</v>
      </c>
      <c r="T9" t="n">
        <v>27.09</v>
      </c>
      <c r="U9" t="n">
        <v>27.09</v>
      </c>
    </row>
    <row r="10">
      <c r="A10" t="inlineStr">
        <is>
          <t>2026-10-25 03:09</t>
        </is>
      </c>
      <c r="B10" t="inlineStr">
        <is>
          <t>2026-10-25</t>
        </is>
      </c>
      <c r="C10" t="inlineStr">
        <is>
          <t>CS2</t>
        </is>
      </c>
      <c r="D10" t="inlineStr">
        <is>
          <t>CS2 [NO MARKET] · ACE vs INOX</t>
        </is>
      </c>
      <c r="E10" t="inlineStr">
        <is>
          <t>m1QUSE</t>
        </is>
      </c>
      <c r="F10" t="inlineStr">
        <is>
          <t>Maps 1-2 HS</t>
        </is>
      </c>
      <c r="G10" t="n">
        <v>15.5</v>
      </c>
      <c r="H10" t="n">
        <v>12.5</v>
      </c>
      <c r="I10" s="8" t="n">
        <v>0.2193</v>
      </c>
      <c r="J10" s="8" t="n">
        <v>0.7806999999999999</v>
      </c>
      <c r="K10" t="inlineStr">
        <is>
          <t>Dust2 / Ancient</t>
        </is>
      </c>
      <c r="L10" t="inlineStr">
        <is>
          <t>21.5 / 21.5</t>
        </is>
      </c>
      <c r="N10" s="8" t="n">
        <v>0.2</v>
      </c>
      <c r="O10" s="12" t="n"/>
      <c r="P10">
        <f>IF(O10="","",IF(O10&gt;G10,"OVER",IF(O10&lt;G10,"UNDER","PUSH")))</f>
        <v/>
      </c>
      <c r="Q10" t="n">
        <v>12.5</v>
      </c>
      <c r="R10" s="8" t="n">
        <v>0.2193</v>
      </c>
      <c r="S10" t="n">
        <v>1</v>
      </c>
      <c r="T10" t="n">
        <v>13.48</v>
      </c>
      <c r="U10" t="n">
        <v>13.48</v>
      </c>
    </row>
    <row r="11">
      <c r="A11" t="inlineStr">
        <is>
          <t>2026-10-25 03:09</t>
        </is>
      </c>
      <c r="B11" t="inlineStr">
        <is>
          <t>2026-10-25</t>
        </is>
      </c>
      <c r="C11" t="inlineStr">
        <is>
          <t>CS2</t>
        </is>
      </c>
      <c r="D11" t="inlineStr">
        <is>
          <t>CS2 [NO MARKET] · ACE vs INOX</t>
        </is>
      </c>
      <c r="E11" t="inlineStr">
        <is>
          <t>m1QUSE</t>
        </is>
      </c>
      <c r="F11" t="inlineStr">
        <is>
          <t>Maps 1-2 Kills</t>
        </is>
      </c>
      <c r="G11" t="n">
        <v>29.5</v>
      </c>
      <c r="H11" t="n">
        <v>24.62</v>
      </c>
      <c r="I11" s="8" t="n">
        <v>0.2028</v>
      </c>
      <c r="J11" s="8" t="n">
        <v>0.7972</v>
      </c>
      <c r="K11" t="inlineStr">
        <is>
          <t>Dust2 / Ancient</t>
        </is>
      </c>
      <c r="L11" t="inlineStr">
        <is>
          <t>21.5 / 21.5</t>
        </is>
      </c>
      <c r="N11" s="8" t="n">
        <v>0.2</v>
      </c>
      <c r="O11" s="12" t="n"/>
      <c r="P11">
        <f>IF(O11="","",IF(O11&gt;G11,"OVER",IF(O11&lt;G11,"UNDER","PUSH")))</f>
        <v/>
      </c>
      <c r="Q11" t="n">
        <v>24.62</v>
      </c>
      <c r="R11" s="8" t="n">
        <v>0.2028</v>
      </c>
      <c r="S11" t="n">
        <v>1</v>
      </c>
      <c r="T11" t="n">
        <v>26.23</v>
      </c>
      <c r="U11" t="n">
        <v>26.23</v>
      </c>
    </row>
    <row r="12">
      <c r="A12" t="inlineStr">
        <is>
          <t>2026-10-25 03:09</t>
        </is>
      </c>
      <c r="B12" t="inlineStr">
        <is>
          <t>2026-10-25</t>
        </is>
      </c>
      <c r="C12" t="inlineStr">
        <is>
          <t>CS2</t>
        </is>
      </c>
      <c r="D12" t="inlineStr">
        <is>
          <t>CS2 [NO MARKET] · ACE vs UNiTY</t>
        </is>
      </c>
      <c r="E12" t="inlineStr">
        <is>
          <t>2high</t>
        </is>
      </c>
      <c r="F12" t="inlineStr">
        <is>
          <t>Maps 1-2 HS</t>
        </is>
      </c>
      <c r="G12" t="n">
        <v>13</v>
      </c>
      <c r="H12" t="n">
        <v>12.54</v>
      </c>
      <c r="I12" s="8" t="n">
        <v>0.4019</v>
      </c>
      <c r="J12" s="8" t="n">
        <v>0.4957</v>
      </c>
      <c r="K12" t="inlineStr">
        <is>
          <t>Inferno / Dust2</t>
        </is>
      </c>
      <c r="L12" t="inlineStr">
        <is>
          <t>21.5 / 21.5</t>
        </is>
      </c>
      <c r="N12" s="8" t="n">
        <v>0.3</v>
      </c>
      <c r="O12" s="12" t="n"/>
      <c r="P12">
        <f>IF(O12="","",IF(O12&gt;G12,"OVER",IF(O12&lt;G12,"UNDER","PUSH")))</f>
        <v/>
      </c>
      <c r="Q12" t="n">
        <v>12.54</v>
      </c>
      <c r="R12" s="8" t="n">
        <v>0.4019</v>
      </c>
      <c r="S12" t="n">
        <v>1</v>
      </c>
      <c r="T12" t="n">
        <v>13.04</v>
      </c>
      <c r="U12" t="n">
        <v>13.04</v>
      </c>
    </row>
    <row r="13">
      <c r="A13" t="inlineStr">
        <is>
          <t>2026-10-25 03:09</t>
        </is>
      </c>
      <c r="B13" t="inlineStr">
        <is>
          <t>2026-10-25</t>
        </is>
      </c>
      <c r="C13" t="inlineStr">
        <is>
          <t>CS2</t>
        </is>
      </c>
      <c r="D13" t="inlineStr">
        <is>
          <t>CS2 [NO MARKET] · ACE vs UNiTY</t>
        </is>
      </c>
      <c r="E13" t="inlineStr">
        <is>
          <t>2high</t>
        </is>
      </c>
      <c r="F13" t="inlineStr">
        <is>
          <t>Maps 1-2 Kills</t>
        </is>
      </c>
      <c r="G13" t="n">
        <v>27.5</v>
      </c>
      <c r="H13" t="n">
        <v>26.91</v>
      </c>
      <c r="I13" s="8" t="n">
        <v>0.4616</v>
      </c>
      <c r="J13" s="8" t="n">
        <v>0.5384</v>
      </c>
      <c r="K13" t="inlineStr">
        <is>
          <t>Inferno / Dust2</t>
        </is>
      </c>
      <c r="L13" t="inlineStr">
        <is>
          <t>21.5 / 21.5</t>
        </is>
      </c>
      <c r="N13" s="8" t="n">
        <v>0.3</v>
      </c>
      <c r="O13" s="12" t="n"/>
      <c r="P13">
        <f>IF(O13="","",IF(O13&gt;G13,"OVER",IF(O13&lt;G13,"UNDER","PUSH")))</f>
        <v/>
      </c>
      <c r="Q13" t="n">
        <v>26.91</v>
      </c>
      <c r="R13" s="8" t="n">
        <v>0.4616</v>
      </c>
      <c r="S13" t="n">
        <v>1</v>
      </c>
      <c r="T13" t="n">
        <v>26.66</v>
      </c>
      <c r="U13" t="n">
        <v>26.66</v>
      </c>
    </row>
    <row r="14">
      <c r="A14" t="inlineStr">
        <is>
          <t>2026-10-25 03:09</t>
        </is>
      </c>
      <c r="B14" t="inlineStr">
        <is>
          <t>2026-10-25</t>
        </is>
      </c>
      <c r="C14" t="inlineStr">
        <is>
          <t>CS2</t>
        </is>
      </c>
      <c r="D14" t="inlineStr">
        <is>
          <t>CS2 [NO MARKET] · ACE vs UNiTY</t>
        </is>
      </c>
      <c r="E14" t="inlineStr">
        <is>
          <t>Dytor</t>
        </is>
      </c>
      <c r="F14" t="inlineStr">
        <is>
          <t>Maps 1-2 HS</t>
        </is>
      </c>
      <c r="G14" t="n">
        <v>15</v>
      </c>
      <c r="H14" t="n">
        <v>16.16</v>
      </c>
      <c r="I14" s="8" t="n">
        <v>0.5591</v>
      </c>
      <c r="J14" s="8" t="n">
        <v>0.3539</v>
      </c>
      <c r="K14" t="inlineStr">
        <is>
          <t>Inferno / Dust2</t>
        </is>
      </c>
      <c r="L14" t="inlineStr">
        <is>
          <t>21.5 / 21.5</t>
        </is>
      </c>
      <c r="N14" s="8" t="n">
        <v>0.4</v>
      </c>
      <c r="O14" s="12" t="n"/>
      <c r="P14">
        <f>IF(O14="","",IF(O14&gt;G14,"OVER",IF(O14&lt;G14,"UNDER","PUSH")))</f>
        <v/>
      </c>
      <c r="Q14" t="n">
        <v>16.16</v>
      </c>
      <c r="R14" s="8" t="n">
        <v>0.5591</v>
      </c>
      <c r="S14" t="n">
        <v>1</v>
      </c>
      <c r="T14" t="n">
        <v>15.28</v>
      </c>
      <c r="U14" t="n">
        <v>15.28</v>
      </c>
    </row>
    <row r="15">
      <c r="A15" t="inlineStr">
        <is>
          <t>2026-10-25 03:09</t>
        </is>
      </c>
      <c r="B15" t="inlineStr">
        <is>
          <t>2026-10-25</t>
        </is>
      </c>
      <c r="C15" t="inlineStr">
        <is>
          <t>CS2</t>
        </is>
      </c>
      <c r="D15" t="inlineStr">
        <is>
          <t>CS2 [NO MARKET] · ACE vs UNiTY</t>
        </is>
      </c>
      <c r="E15" t="inlineStr">
        <is>
          <t>Dytor</t>
        </is>
      </c>
      <c r="F15" t="inlineStr">
        <is>
          <t>Maps 1-2 Kills</t>
        </is>
      </c>
      <c r="G15" t="n">
        <v>28.5</v>
      </c>
      <c r="H15" t="n">
        <v>30.76</v>
      </c>
      <c r="I15" s="8" t="n">
        <v>0.6349</v>
      </c>
      <c r="J15" s="8" t="n">
        <v>0.3651</v>
      </c>
      <c r="K15" t="inlineStr">
        <is>
          <t>Inferno / Dust2</t>
        </is>
      </c>
      <c r="L15" t="inlineStr">
        <is>
          <t>21.5 / 21.5</t>
        </is>
      </c>
      <c r="N15" s="8" t="n">
        <v>0.2</v>
      </c>
      <c r="O15" s="12" t="n"/>
      <c r="P15">
        <f>IF(O15="","",IF(O15&gt;G15,"OVER",IF(O15&lt;G15,"UNDER","PUSH")))</f>
        <v/>
      </c>
      <c r="Q15" t="n">
        <v>30.76</v>
      </c>
      <c r="R15" s="8" t="n">
        <v>0.6349</v>
      </c>
      <c r="S15" t="n">
        <v>1</v>
      </c>
      <c r="T15" t="n">
        <v>29.67</v>
      </c>
      <c r="U15" t="n">
        <v>29.67</v>
      </c>
    </row>
    <row r="16">
      <c r="A16" t="inlineStr">
        <is>
          <t>2026-10-25 03:09</t>
        </is>
      </c>
      <c r="B16" t="inlineStr">
        <is>
          <t>2026-10-25</t>
        </is>
      </c>
      <c r="C16" t="inlineStr">
        <is>
          <t>CS2</t>
        </is>
      </c>
      <c r="D16" t="inlineStr">
        <is>
          <t>CS2 [NO MARKET] · ACE vs UNiTY</t>
        </is>
      </c>
      <c r="E16" t="inlineStr">
        <is>
          <t>KWERTZZ</t>
        </is>
      </c>
      <c r="F16" t="inlineStr">
        <is>
          <t>Maps 1-2 HS</t>
        </is>
      </c>
      <c r="G16" t="n">
        <v>21.5</v>
      </c>
      <c r="H16" t="n">
        <v>21.61</v>
      </c>
      <c r="I16" s="8" t="n">
        <v>0.5086000000000001</v>
      </c>
      <c r="J16" s="8" t="n">
        <v>0.4914</v>
      </c>
      <c r="K16" t="inlineStr">
        <is>
          <t>Inferno / Dust2</t>
        </is>
      </c>
      <c r="L16" t="inlineStr">
        <is>
          <t>21.5 / 21.5</t>
        </is>
      </c>
      <c r="N16" s="8" t="n">
        <v>0.3</v>
      </c>
      <c r="O16" s="12" t="n"/>
      <c r="P16">
        <f>IF(O16="","",IF(O16&gt;G16,"OVER",IF(O16&lt;G16,"UNDER","PUSH")))</f>
        <v/>
      </c>
      <c r="Q16" t="n">
        <v>21.61</v>
      </c>
      <c r="R16" s="8" t="n">
        <v>0.5086000000000001</v>
      </c>
      <c r="S16" t="n">
        <v>1</v>
      </c>
      <c r="T16" t="n">
        <v>21.25</v>
      </c>
      <c r="U16" t="n">
        <v>21.25</v>
      </c>
    </row>
    <row r="17">
      <c r="A17" t="inlineStr">
        <is>
          <t>2026-10-25 03:09</t>
        </is>
      </c>
      <c r="B17" t="inlineStr">
        <is>
          <t>2026-10-25</t>
        </is>
      </c>
      <c r="C17" t="inlineStr">
        <is>
          <t>CS2</t>
        </is>
      </c>
      <c r="D17" t="inlineStr">
        <is>
          <t>CS2 [NO MARKET] · ACE vs UNiTY</t>
        </is>
      </c>
      <c r="E17" t="inlineStr">
        <is>
          <t>KWERTZZ</t>
        </is>
      </c>
      <c r="F17" t="inlineStr">
        <is>
          <t>Maps 1-2 Kills</t>
        </is>
      </c>
      <c r="G17" t="n">
        <v>31.5</v>
      </c>
      <c r="H17" t="n">
        <v>31.48</v>
      </c>
      <c r="I17" s="8" t="n">
        <v>0.4989</v>
      </c>
      <c r="J17" s="8" t="n">
        <v>0.5011</v>
      </c>
      <c r="K17" t="inlineStr">
        <is>
          <t>Inferno / Dust2</t>
        </is>
      </c>
      <c r="L17" t="inlineStr">
        <is>
          <t>21.5 / 21.5</t>
        </is>
      </c>
      <c r="N17" s="8" t="n">
        <v>0.3</v>
      </c>
      <c r="O17" s="12" t="n"/>
      <c r="P17">
        <f>IF(O17="","",IF(O17&gt;G17,"OVER",IF(O17&lt;G17,"UNDER","PUSH")))</f>
        <v/>
      </c>
      <c r="Q17" t="n">
        <v>31.48</v>
      </c>
      <c r="R17" s="8" t="n">
        <v>0.4989</v>
      </c>
      <c r="S17" t="n">
        <v>1</v>
      </c>
      <c r="T17" t="n">
        <v>31.39</v>
      </c>
      <c r="U17" t="n">
        <v>31.39</v>
      </c>
    </row>
    <row r="18">
      <c r="A18" t="inlineStr">
        <is>
          <t>2026-10-25 03:09</t>
        </is>
      </c>
      <c r="B18" t="inlineStr">
        <is>
          <t>2026-10-25</t>
        </is>
      </c>
      <c r="C18" t="inlineStr">
        <is>
          <t>CS2</t>
        </is>
      </c>
      <c r="D18" t="inlineStr">
        <is>
          <t>CS2 [NO MARKET] · ACE vs UNiTY</t>
        </is>
      </c>
      <c r="E18" t="inlineStr">
        <is>
          <t>M1key</t>
        </is>
      </c>
      <c r="F18" t="inlineStr">
        <is>
          <t>Maps 1-2 HS</t>
        </is>
      </c>
      <c r="G18" t="n">
        <v>15.5</v>
      </c>
      <c r="H18" t="n">
        <v>16.66</v>
      </c>
      <c r="I18" s="8" t="n">
        <v>0.6019</v>
      </c>
      <c r="J18" s="8" t="n">
        <v>0.3981</v>
      </c>
      <c r="K18" t="inlineStr">
        <is>
          <t>Inferno / Dust2</t>
        </is>
      </c>
      <c r="L18" t="inlineStr">
        <is>
          <t>21.5 / 21.5</t>
        </is>
      </c>
      <c r="N18" s="8" t="n">
        <v>0.2</v>
      </c>
      <c r="O18" s="12" t="n"/>
      <c r="P18">
        <f>IF(O18="","",IF(O18&gt;G18,"OVER",IF(O18&lt;G18,"UNDER","PUSH")))</f>
        <v/>
      </c>
      <c r="Q18" t="n">
        <v>16.66</v>
      </c>
      <c r="R18" s="8" t="n">
        <v>0.6019</v>
      </c>
      <c r="S18" t="n">
        <v>1</v>
      </c>
      <c r="T18" t="n">
        <v>15.97</v>
      </c>
      <c r="U18" t="n">
        <v>15.97</v>
      </c>
    </row>
    <row r="19">
      <c r="A19" t="inlineStr">
        <is>
          <t>2026-10-25 03:09</t>
        </is>
      </c>
      <c r="B19" t="inlineStr">
        <is>
          <t>2026-10-25</t>
        </is>
      </c>
      <c r="C19" t="inlineStr">
        <is>
          <t>CS2</t>
        </is>
      </c>
      <c r="D19" t="inlineStr">
        <is>
          <t>CS2 [NO MARKET] · ACE vs UNiTY</t>
        </is>
      </c>
      <c r="E19" t="inlineStr">
        <is>
          <t>M1key</t>
        </is>
      </c>
      <c r="F19" t="inlineStr">
        <is>
          <t>Maps 1-2 Kills</t>
        </is>
      </c>
      <c r="G19" t="n">
        <v>29.5</v>
      </c>
      <c r="H19" t="n">
        <v>32.78</v>
      </c>
      <c r="I19" s="8" t="n">
        <v>0.6858</v>
      </c>
      <c r="J19" s="8" t="n">
        <v>0.3142</v>
      </c>
      <c r="K19" t="inlineStr">
        <is>
          <t>Inferno / Dust2</t>
        </is>
      </c>
      <c r="L19" t="inlineStr">
        <is>
          <t>21.5 / 21.5</t>
        </is>
      </c>
      <c r="N19" s="8" t="n">
        <v>0.5</v>
      </c>
      <c r="O19" s="12" t="n"/>
      <c r="P19">
        <f>IF(O19="","",IF(O19&gt;G19,"OVER",IF(O19&lt;G19,"UNDER","PUSH")))</f>
        <v/>
      </c>
      <c r="Q19" t="n">
        <v>32.78</v>
      </c>
      <c r="R19" s="8" t="n">
        <v>0.6858</v>
      </c>
      <c r="S19" t="n">
        <v>1</v>
      </c>
      <c r="T19" t="n">
        <v>31.82</v>
      </c>
      <c r="U19" t="n">
        <v>31.82</v>
      </c>
    </row>
    <row r="20">
      <c r="A20" t="inlineStr">
        <is>
          <t>2026-10-25 03:09</t>
        </is>
      </c>
      <c r="B20" t="inlineStr">
        <is>
          <t>2026-10-25</t>
        </is>
      </c>
      <c r="C20" t="inlineStr">
        <is>
          <t>CS2</t>
        </is>
      </c>
      <c r="D20" t="inlineStr">
        <is>
          <t>CS2 [NO MARKET] · ACE vs UNiTY</t>
        </is>
      </c>
      <c r="E20" t="inlineStr">
        <is>
          <t>Sn0w</t>
        </is>
      </c>
      <c r="F20" t="inlineStr">
        <is>
          <t>Maps 1-2 HS</t>
        </is>
      </c>
      <c r="G20" t="n">
        <v>10.5</v>
      </c>
      <c r="H20" t="n">
        <v>10.97</v>
      </c>
      <c r="I20" s="8" t="n">
        <v>0.5526</v>
      </c>
      <c r="J20" s="8" t="n">
        <v>0.4474</v>
      </c>
      <c r="K20" t="inlineStr">
        <is>
          <t>Inferno / Dust2</t>
        </is>
      </c>
      <c r="L20" t="inlineStr">
        <is>
          <t>21.5 / 21.5</t>
        </is>
      </c>
      <c r="N20" s="8" t="n">
        <v>0.5</v>
      </c>
      <c r="O20" s="12" t="n"/>
      <c r="P20">
        <f>IF(O20="","",IF(O20&gt;G20,"OVER",IF(O20&lt;G20,"UNDER","PUSH")))</f>
        <v/>
      </c>
      <c r="Q20" t="n">
        <v>10.97</v>
      </c>
      <c r="R20" s="8" t="n">
        <v>0.5526</v>
      </c>
      <c r="S20" t="n">
        <v>1</v>
      </c>
      <c r="T20" t="n">
        <v>10.56</v>
      </c>
      <c r="U20" t="n">
        <v>10.56</v>
      </c>
    </row>
    <row r="21">
      <c r="A21" t="inlineStr">
        <is>
          <t>2026-10-25 03:09</t>
        </is>
      </c>
      <c r="B21" t="inlineStr">
        <is>
          <t>2026-10-25</t>
        </is>
      </c>
      <c r="C21" t="inlineStr">
        <is>
          <t>CS2</t>
        </is>
      </c>
      <c r="D21" t="inlineStr">
        <is>
          <t>CS2 [NO MARKET] · ACE vs UNiTY</t>
        </is>
      </c>
      <c r="E21" t="inlineStr">
        <is>
          <t>Sn0w</t>
        </is>
      </c>
      <c r="F21" t="inlineStr">
        <is>
          <t>Maps 1-2 Kills</t>
        </is>
      </c>
      <c r="G21" t="n">
        <v>30.5</v>
      </c>
      <c r="H21" t="n">
        <v>29.7</v>
      </c>
      <c r="I21" s="8" t="n">
        <v>0.4508</v>
      </c>
      <c r="J21" s="8" t="n">
        <v>0.5492</v>
      </c>
      <c r="K21" t="inlineStr">
        <is>
          <t>Inferno / Dust2</t>
        </is>
      </c>
      <c r="L21" t="inlineStr">
        <is>
          <t>21.5 / 21.5</t>
        </is>
      </c>
      <c r="N21" s="8" t="n">
        <v>0.3</v>
      </c>
      <c r="O21" s="12" t="n"/>
      <c r="P21">
        <f>IF(O21="","",IF(O21&gt;G21,"OVER",IF(O21&lt;G21,"UNDER","PUSH")))</f>
        <v/>
      </c>
      <c r="Q21" t="n">
        <v>29.7</v>
      </c>
      <c r="R21" s="8" t="n">
        <v>0.4508</v>
      </c>
      <c r="S21" t="n">
        <v>1</v>
      </c>
      <c r="T21" t="n">
        <v>29.67</v>
      </c>
      <c r="U21" t="n">
        <v>29.67</v>
      </c>
    </row>
    <row r="22">
      <c r="A22" t="inlineStr">
        <is>
          <t>2026-10-25 03:09</t>
        </is>
      </c>
      <c r="B22" t="inlineStr">
        <is>
          <t>2026-10-25</t>
        </is>
      </c>
      <c r="C22" t="inlineStr">
        <is>
          <t>CS2</t>
        </is>
      </c>
      <c r="D22" t="inlineStr">
        <is>
          <t>CS2 [NO MARKET] · BAKS vs MZP</t>
        </is>
      </c>
      <c r="E22" t="inlineStr">
        <is>
          <t>F1KU</t>
        </is>
      </c>
      <c r="F22" t="inlineStr">
        <is>
          <t>Maps 1-2 HS</t>
        </is>
      </c>
      <c r="G22" t="n">
        <v>18.5</v>
      </c>
      <c r="H22" t="n">
        <v>17.36</v>
      </c>
      <c r="I22" s="8" t="n">
        <v>0.4028</v>
      </c>
      <c r="J22" s="8" t="n">
        <v>0.5972</v>
      </c>
      <c r="K22" t="inlineStr">
        <is>
          <t>Cache / Nuke</t>
        </is>
      </c>
      <c r="L22" t="inlineStr">
        <is>
          <t>21.5 / 21.5</t>
        </is>
      </c>
      <c r="N22" s="8" t="n">
        <v>0.6</v>
      </c>
      <c r="O22" s="12" t="n"/>
      <c r="P22">
        <f>IF(O22="","",IF(O22&gt;G22,"OVER",IF(O22&lt;G22,"UNDER","PUSH")))</f>
        <v/>
      </c>
      <c r="Q22" t="n">
        <v>17.36</v>
      </c>
      <c r="R22" s="8" t="n">
        <v>0.4028</v>
      </c>
      <c r="S22" t="n">
        <v>1</v>
      </c>
      <c r="T22" t="n">
        <v>16.72</v>
      </c>
      <c r="U22" t="n">
        <v>16.72</v>
      </c>
    </row>
    <row r="23">
      <c r="A23" t="inlineStr">
        <is>
          <t>2026-10-25 03:09</t>
        </is>
      </c>
      <c r="B23" t="inlineStr">
        <is>
          <t>2026-10-25</t>
        </is>
      </c>
      <c r="C23" t="inlineStr">
        <is>
          <t>CS2</t>
        </is>
      </c>
      <c r="D23" t="inlineStr">
        <is>
          <t>CS2 [NO MARKET] · BAKS vs MZP</t>
        </is>
      </c>
      <c r="E23" t="inlineStr">
        <is>
          <t>F1KU</t>
        </is>
      </c>
      <c r="F23" t="inlineStr">
        <is>
          <t>Maps 1-2 Kills</t>
        </is>
      </c>
      <c r="G23" t="n">
        <v>31</v>
      </c>
      <c r="H23" t="n">
        <v>29.15</v>
      </c>
      <c r="I23" s="8" t="n">
        <v>0.3562</v>
      </c>
      <c r="J23" s="8" t="n">
        <v>0.5839</v>
      </c>
      <c r="K23" t="inlineStr">
        <is>
          <t>Cache / Nuke</t>
        </is>
      </c>
      <c r="L23" t="inlineStr">
        <is>
          <t>21.5 / 21.5</t>
        </is>
      </c>
      <c r="N23" s="8" t="n">
        <v>0.6</v>
      </c>
      <c r="O23" s="12" t="n"/>
      <c r="P23">
        <f>IF(O23="","",IF(O23&gt;G23,"OVER",IF(O23&lt;G23,"UNDER","PUSH")))</f>
        <v/>
      </c>
      <c r="Q23" t="n">
        <v>29.15</v>
      </c>
      <c r="R23" s="8" t="n">
        <v>0.3562</v>
      </c>
      <c r="S23" t="n">
        <v>1</v>
      </c>
      <c r="T23" t="n">
        <v>28.38</v>
      </c>
      <c r="U23" t="n">
        <v>28.38</v>
      </c>
    </row>
    <row r="24">
      <c r="A24" t="inlineStr">
        <is>
          <t>2026-10-25 03:09</t>
        </is>
      </c>
      <c r="B24" t="inlineStr">
        <is>
          <t>2026-10-25</t>
        </is>
      </c>
      <c r="C24" t="inlineStr">
        <is>
          <t>CS2</t>
        </is>
      </c>
      <c r="D24" t="inlineStr">
        <is>
          <t>CS2 [NO MARKET] · BAKS vs MZP</t>
        </is>
      </c>
      <c r="E24" t="inlineStr">
        <is>
          <t>forsyy</t>
        </is>
      </c>
      <c r="F24" t="inlineStr">
        <is>
          <t>Maps 1-2 HS</t>
        </is>
      </c>
      <c r="G24" t="n">
        <v>11</v>
      </c>
      <c r="H24" t="n">
        <v>10.98</v>
      </c>
      <c r="I24" s="8" t="n">
        <v>0.4418</v>
      </c>
      <c r="J24" s="8" t="n">
        <v>0.446</v>
      </c>
      <c r="K24" t="inlineStr">
        <is>
          <t>Cache / Nuke</t>
        </is>
      </c>
      <c r="L24" t="inlineStr">
        <is>
          <t>21.5 / 21.5</t>
        </is>
      </c>
      <c r="N24" s="8" t="n">
        <v>0.5</v>
      </c>
      <c r="O24" s="12" t="n"/>
      <c r="P24">
        <f>IF(O24="","",IF(O24&gt;G24,"OVER",IF(O24&lt;G24,"UNDER","PUSH")))</f>
        <v/>
      </c>
      <c r="Q24" t="n">
        <v>10.98</v>
      </c>
      <c r="R24" s="8" t="n">
        <v>0.4418</v>
      </c>
      <c r="S24" t="n">
        <v>1</v>
      </c>
      <c r="T24" t="n">
        <v>11.36</v>
      </c>
      <c r="U24" t="n">
        <v>11.36</v>
      </c>
    </row>
    <row r="25">
      <c r="A25" t="inlineStr">
        <is>
          <t>2026-10-25 03:09</t>
        </is>
      </c>
      <c r="B25" t="inlineStr">
        <is>
          <t>2026-10-25</t>
        </is>
      </c>
      <c r="C25" t="inlineStr">
        <is>
          <t>CS2</t>
        </is>
      </c>
      <c r="D25" t="inlineStr">
        <is>
          <t>CS2 [NO MARKET] · BAKS vs MZP</t>
        </is>
      </c>
      <c r="E25" t="inlineStr">
        <is>
          <t>forsyy</t>
        </is>
      </c>
      <c r="F25" t="inlineStr">
        <is>
          <t>Maps 1-2 Kills</t>
        </is>
      </c>
      <c r="G25" t="n">
        <v>32.5</v>
      </c>
      <c r="H25" t="n">
        <v>30.29</v>
      </c>
      <c r="I25" s="8" t="n">
        <v>0.3671</v>
      </c>
      <c r="J25" s="8" t="n">
        <v>0.6329</v>
      </c>
      <c r="K25" t="inlineStr">
        <is>
          <t>Cache / Nuke</t>
        </is>
      </c>
      <c r="L25" t="inlineStr">
        <is>
          <t>21.5 / 21.5</t>
        </is>
      </c>
      <c r="N25" s="8" t="n">
        <v>0.4</v>
      </c>
      <c r="O25" s="12" t="n"/>
      <c r="P25">
        <f>IF(O25="","",IF(O25&gt;G25,"OVER",IF(O25&lt;G25,"UNDER","PUSH")))</f>
        <v/>
      </c>
      <c r="Q25" t="n">
        <v>30.29</v>
      </c>
      <c r="R25" s="8" t="n">
        <v>0.3671</v>
      </c>
      <c r="S25" t="n">
        <v>1</v>
      </c>
      <c r="T25" t="n">
        <v>30.96</v>
      </c>
      <c r="U25" t="n">
        <v>30.96</v>
      </c>
    </row>
    <row r="26">
      <c r="A26" t="inlineStr">
        <is>
          <t>2026-10-25 03:09</t>
        </is>
      </c>
      <c r="B26" t="inlineStr">
        <is>
          <t>2026-10-25</t>
        </is>
      </c>
      <c r="C26" t="inlineStr">
        <is>
          <t>CS2</t>
        </is>
      </c>
      <c r="D26" t="inlineStr">
        <is>
          <t>CS2 [NO MARKET] · BAKS vs MZP</t>
        </is>
      </c>
      <c r="E26" t="inlineStr">
        <is>
          <t>MaiL09</t>
        </is>
      </c>
      <c r="F26" t="inlineStr">
        <is>
          <t>Maps 1-2 HS</t>
        </is>
      </c>
      <c r="G26" t="n">
        <v>20.5</v>
      </c>
      <c r="H26" t="n">
        <v>19.46</v>
      </c>
      <c r="I26" s="8" t="n">
        <v>0.4164</v>
      </c>
      <c r="J26" s="8" t="n">
        <v>0.5836</v>
      </c>
      <c r="K26" t="inlineStr">
        <is>
          <t>Cache / Nuke</t>
        </is>
      </c>
      <c r="L26" t="inlineStr">
        <is>
          <t>21.5 / 21.5</t>
        </is>
      </c>
      <c r="N26" s="8" t="n">
        <v>0.6</v>
      </c>
      <c r="O26" s="12" t="n"/>
      <c r="P26">
        <f>IF(O26="","",IF(O26&gt;G26,"OVER",IF(O26&lt;G26,"UNDER","PUSH")))</f>
        <v/>
      </c>
      <c r="Q26" t="n">
        <v>19.46</v>
      </c>
      <c r="R26" s="8" t="n">
        <v>0.4164</v>
      </c>
      <c r="S26" t="n">
        <v>1</v>
      </c>
      <c r="T26" t="n">
        <v>20.52</v>
      </c>
      <c r="U26" t="n">
        <v>20.52</v>
      </c>
    </row>
    <row r="27">
      <c r="A27" t="inlineStr">
        <is>
          <t>2026-10-25 03:09</t>
        </is>
      </c>
      <c r="B27" t="inlineStr">
        <is>
          <t>2026-10-25</t>
        </is>
      </c>
      <c r="C27" t="inlineStr">
        <is>
          <t>CS2</t>
        </is>
      </c>
      <c r="D27" t="inlineStr">
        <is>
          <t>CS2 [NO MARKET] · BAKS vs MZP</t>
        </is>
      </c>
      <c r="E27" t="inlineStr">
        <is>
          <t>MaiL09</t>
        </is>
      </c>
      <c r="F27" t="inlineStr">
        <is>
          <t>Maps 1-2 Kills</t>
        </is>
      </c>
      <c r="G27" t="n">
        <v>32</v>
      </c>
      <c r="H27" t="n">
        <v>30.42</v>
      </c>
      <c r="I27" s="8" t="n">
        <v>0.3751</v>
      </c>
      <c r="J27" s="8" t="n">
        <v>0.5656</v>
      </c>
      <c r="K27" t="inlineStr">
        <is>
          <t>Cache / Nuke</t>
        </is>
      </c>
      <c r="L27" t="inlineStr">
        <is>
          <t>21.5 / 21.5</t>
        </is>
      </c>
      <c r="N27" s="8" t="n">
        <v>0.6</v>
      </c>
      <c r="O27" s="12" t="n"/>
      <c r="P27">
        <f>IF(O27="","",IF(O27&gt;G27,"OVER",IF(O27&lt;G27,"UNDER","PUSH")))</f>
        <v/>
      </c>
      <c r="Q27" t="n">
        <v>30.42</v>
      </c>
      <c r="R27" s="8" t="n">
        <v>0.3751</v>
      </c>
      <c r="S27" t="n">
        <v>1</v>
      </c>
      <c r="T27" t="n">
        <v>30.53</v>
      </c>
      <c r="U27" t="n">
        <v>30.53</v>
      </c>
    </row>
    <row r="28">
      <c r="A28" t="inlineStr">
        <is>
          <t>2026-10-25 03:09</t>
        </is>
      </c>
      <c r="B28" t="inlineStr">
        <is>
          <t>2026-10-25</t>
        </is>
      </c>
      <c r="C28" t="inlineStr">
        <is>
          <t>CS2</t>
        </is>
      </c>
      <c r="D28" t="inlineStr">
        <is>
          <t>CS2 [NO MARKET] · BAKS vs MZP</t>
        </is>
      </c>
      <c r="E28" t="inlineStr">
        <is>
          <t>Plopski</t>
        </is>
      </c>
      <c r="F28" t="inlineStr">
        <is>
          <t>Maps 1-2 HS</t>
        </is>
      </c>
      <c r="G28" t="n">
        <v>16</v>
      </c>
      <c r="H28" t="n">
        <v>15.52</v>
      </c>
      <c r="I28" s="8" t="n">
        <v>0.4099</v>
      </c>
      <c r="J28" s="8" t="n">
        <v>0.4986</v>
      </c>
      <c r="K28" t="inlineStr">
        <is>
          <t>Cache / Nuke</t>
        </is>
      </c>
      <c r="L28" t="inlineStr">
        <is>
          <t>21.5 / 21.5</t>
        </is>
      </c>
      <c r="N28" s="8" t="n">
        <v>0.7</v>
      </c>
      <c r="O28" s="12" t="n"/>
      <c r="P28">
        <f>IF(O28="","",IF(O28&gt;G28,"OVER",IF(O28&lt;G28,"UNDER","PUSH")))</f>
        <v/>
      </c>
      <c r="Q28" t="n">
        <v>15.52</v>
      </c>
      <c r="R28" s="8" t="n">
        <v>0.4099</v>
      </c>
      <c r="S28" t="n">
        <v>1</v>
      </c>
      <c r="T28" t="n">
        <v>15.32</v>
      </c>
      <c r="U28" t="n">
        <v>15.32</v>
      </c>
    </row>
    <row r="29">
      <c r="A29" t="inlineStr">
        <is>
          <t>2026-10-25 03:09</t>
        </is>
      </c>
      <c r="B29" t="inlineStr">
        <is>
          <t>2026-10-25</t>
        </is>
      </c>
      <c r="C29" t="inlineStr">
        <is>
          <t>CS2</t>
        </is>
      </c>
      <c r="D29" t="inlineStr">
        <is>
          <t>CS2 [NO MARKET] · BAKS vs MZP</t>
        </is>
      </c>
      <c r="E29" t="inlineStr">
        <is>
          <t>Plopski</t>
        </is>
      </c>
      <c r="F29" t="inlineStr">
        <is>
          <t>Maps 1-2 Kills</t>
        </is>
      </c>
      <c r="G29" t="n">
        <v>31</v>
      </c>
      <c r="H29" t="n">
        <v>30.25</v>
      </c>
      <c r="I29" s="8" t="n">
        <v>0.4237</v>
      </c>
      <c r="J29" s="8" t="n">
        <v>0.5155</v>
      </c>
      <c r="K29" t="inlineStr">
        <is>
          <t>Cache / Nuke</t>
        </is>
      </c>
      <c r="L29" t="inlineStr">
        <is>
          <t>21.5 / 21.5</t>
        </is>
      </c>
      <c r="N29" s="8" t="n">
        <v>0.6</v>
      </c>
      <c r="O29" s="12" t="n"/>
      <c r="P29">
        <f>IF(O29="","",IF(O29&gt;G29,"OVER",IF(O29&lt;G29,"UNDER","PUSH")))</f>
        <v/>
      </c>
      <c r="Q29" t="n">
        <v>30.25</v>
      </c>
      <c r="R29" s="8" t="n">
        <v>0.4237</v>
      </c>
      <c r="S29" t="n">
        <v>1</v>
      </c>
      <c r="T29" t="n">
        <v>30.1</v>
      </c>
      <c r="U29" t="n">
        <v>30.1</v>
      </c>
    </row>
    <row r="30">
      <c r="A30" t="inlineStr">
        <is>
          <t>2026-10-25 03:09</t>
        </is>
      </c>
      <c r="B30" t="inlineStr">
        <is>
          <t>2026-10-25</t>
        </is>
      </c>
      <c r="C30" t="inlineStr">
        <is>
          <t>CS2</t>
        </is>
      </c>
      <c r="D30" t="inlineStr">
        <is>
          <t>CS2 [NO MARKET] · BAKS vs MZP</t>
        </is>
      </c>
      <c r="E30" t="inlineStr">
        <is>
          <t>stanislaw</t>
        </is>
      </c>
      <c r="F30" t="inlineStr">
        <is>
          <t>Maps 1-2 HS</t>
        </is>
      </c>
      <c r="G30" t="n">
        <v>13.5</v>
      </c>
      <c r="H30" t="n">
        <v>12.63</v>
      </c>
      <c r="I30" s="8" t="n">
        <v>0.4124</v>
      </c>
      <c r="J30" s="8" t="n">
        <v>0.5876</v>
      </c>
      <c r="K30" t="inlineStr">
        <is>
          <t>Cache / Nuke</t>
        </is>
      </c>
      <c r="L30" t="inlineStr">
        <is>
          <t>21.5 / 21.5</t>
        </is>
      </c>
      <c r="N30" s="8" t="n">
        <v>0.6</v>
      </c>
      <c r="O30" s="12" t="n"/>
      <c r="P30">
        <f>IF(O30="","",IF(O30&gt;G30,"OVER",IF(O30&lt;G30,"UNDER","PUSH")))</f>
        <v/>
      </c>
      <c r="Q30" t="n">
        <v>12.63</v>
      </c>
      <c r="R30" s="8" t="n">
        <v>0.4124</v>
      </c>
      <c r="S30" t="n">
        <v>1</v>
      </c>
      <c r="T30" t="n">
        <v>12.54</v>
      </c>
      <c r="U30" t="n">
        <v>12.54</v>
      </c>
    </row>
    <row r="31">
      <c r="A31" t="inlineStr">
        <is>
          <t>2026-10-25 03:09</t>
        </is>
      </c>
      <c r="B31" t="inlineStr">
        <is>
          <t>2026-10-25</t>
        </is>
      </c>
      <c r="C31" t="inlineStr">
        <is>
          <t>CS2</t>
        </is>
      </c>
      <c r="D31" t="inlineStr">
        <is>
          <t>CS2 [NO MARKET] · BAKS vs MZP</t>
        </is>
      </c>
      <c r="E31" t="inlineStr">
        <is>
          <t>stanislaw</t>
        </is>
      </c>
      <c r="F31" t="inlineStr">
        <is>
          <t>Maps 1-2 Kills</t>
        </is>
      </c>
      <c r="G31" t="n">
        <v>24.5</v>
      </c>
      <c r="H31" t="n">
        <v>23.91</v>
      </c>
      <c r="I31" s="8" t="n">
        <v>0.4591</v>
      </c>
      <c r="J31" s="8" t="n">
        <v>0.5409</v>
      </c>
      <c r="K31" t="inlineStr">
        <is>
          <t>Cache / Nuke</t>
        </is>
      </c>
      <c r="L31" t="inlineStr">
        <is>
          <t>21.5 / 21.5</t>
        </is>
      </c>
      <c r="N31" s="8" t="n">
        <v>0.5</v>
      </c>
      <c r="O31" s="12" t="n"/>
      <c r="P31">
        <f>IF(O31="","",IF(O31&gt;G31,"OVER",IF(O31&lt;G31,"UNDER","PUSH")))</f>
        <v/>
      </c>
      <c r="Q31" t="n">
        <v>23.91</v>
      </c>
      <c r="R31" s="8" t="n">
        <v>0.4591</v>
      </c>
      <c r="S31" t="n">
        <v>1</v>
      </c>
      <c r="T31" t="n">
        <v>23.22</v>
      </c>
      <c r="U31" t="n">
        <v>23.22</v>
      </c>
    </row>
    <row r="32">
      <c r="A32" t="inlineStr">
        <is>
          <t>2026-10-25 03:09</t>
        </is>
      </c>
      <c r="B32" t="inlineStr">
        <is>
          <t>2026-10-25</t>
        </is>
      </c>
      <c r="C32" t="inlineStr">
        <is>
          <t>CS2</t>
        </is>
      </c>
      <c r="D32" t="inlineStr">
        <is>
          <t>CS2 [NO MARKET] · Color vs ex-ZT</t>
        </is>
      </c>
      <c r="E32" t="inlineStr">
        <is>
          <t>cronuss</t>
        </is>
      </c>
      <c r="F32" t="inlineStr">
        <is>
          <t>Maps 1-2 HS</t>
        </is>
      </c>
      <c r="G32" t="n">
        <v>18</v>
      </c>
      <c r="H32" t="n">
        <v>19.02</v>
      </c>
      <c r="I32" s="8" t="n">
        <v>0.5421</v>
      </c>
      <c r="J32" s="8" t="n">
        <v>0.3782</v>
      </c>
      <c r="K32" t="inlineStr">
        <is>
          <t>Dust2 / Cache</t>
        </is>
      </c>
      <c r="L32" t="inlineStr">
        <is>
          <t>21.5 / 21.5</t>
        </is>
      </c>
      <c r="N32" s="8" t="n">
        <v>0.7</v>
      </c>
      <c r="O32" s="12" t="n"/>
      <c r="P32">
        <f>IF(O32="","",IF(O32&gt;G32,"OVER",IF(O32&lt;G32,"UNDER","PUSH")))</f>
        <v/>
      </c>
      <c r="Q32" t="n">
        <v>19.02</v>
      </c>
      <c r="R32" s="8" t="n">
        <v>0.5421</v>
      </c>
      <c r="S32" t="n">
        <v>1</v>
      </c>
      <c r="T32" t="n">
        <v>19.23</v>
      </c>
      <c r="U32" t="n">
        <v>19.23</v>
      </c>
    </row>
    <row r="33">
      <c r="A33" t="inlineStr">
        <is>
          <t>2026-10-25 03:09</t>
        </is>
      </c>
      <c r="B33" t="inlineStr">
        <is>
          <t>2026-10-25</t>
        </is>
      </c>
      <c r="C33" t="inlineStr">
        <is>
          <t>CS2</t>
        </is>
      </c>
      <c r="D33" t="inlineStr">
        <is>
          <t>CS2 [NO MARKET] · Color vs ex-ZT</t>
        </is>
      </c>
      <c r="E33" t="inlineStr">
        <is>
          <t>cronuss</t>
        </is>
      </c>
      <c r="F33" t="inlineStr">
        <is>
          <t>Maps 1-2 Kills</t>
        </is>
      </c>
      <c r="G33" t="n">
        <v>30.5</v>
      </c>
      <c r="H33" t="n">
        <v>29.6</v>
      </c>
      <c r="I33" s="8" t="n">
        <v>0.4443</v>
      </c>
      <c r="J33" s="8" t="n">
        <v>0.5557</v>
      </c>
      <c r="K33" t="inlineStr">
        <is>
          <t>Dust2 / Cache</t>
        </is>
      </c>
      <c r="L33" t="inlineStr">
        <is>
          <t>21.5 / 21.5</t>
        </is>
      </c>
      <c r="N33" s="8" t="n">
        <v>0.6</v>
      </c>
      <c r="O33" s="12" t="n"/>
      <c r="P33">
        <f>IF(O33="","",IF(O33&gt;G33,"OVER",IF(O33&lt;G33,"UNDER","PUSH")))</f>
        <v/>
      </c>
      <c r="Q33" t="n">
        <v>29.6</v>
      </c>
      <c r="R33" s="8" t="n">
        <v>0.4443</v>
      </c>
      <c r="S33" t="n">
        <v>1</v>
      </c>
      <c r="T33" t="n">
        <v>30.53</v>
      </c>
      <c r="U33" t="n">
        <v>30.53</v>
      </c>
    </row>
    <row r="34">
      <c r="A34" t="inlineStr">
        <is>
          <t>2026-10-25 03:09</t>
        </is>
      </c>
      <c r="B34" t="inlineStr">
        <is>
          <t>2026-10-25</t>
        </is>
      </c>
      <c r="C34" t="inlineStr">
        <is>
          <t>CS2</t>
        </is>
      </c>
      <c r="D34" t="inlineStr">
        <is>
          <t>CS2 [NO MARKET] · Color vs ex-ZT</t>
        </is>
      </c>
      <c r="E34" t="inlineStr">
        <is>
          <t>Oz1k</t>
        </is>
      </c>
      <c r="F34" t="inlineStr">
        <is>
          <t>Maps 1-2 HS</t>
        </is>
      </c>
      <c r="G34" t="n">
        <v>17.5</v>
      </c>
      <c r="H34" t="n">
        <v>18.17</v>
      </c>
      <c r="I34" s="8" t="n">
        <v>0.5561</v>
      </c>
      <c r="J34" s="8" t="n">
        <v>0.4439</v>
      </c>
      <c r="K34" t="inlineStr">
        <is>
          <t>Dust2 / Cache</t>
        </is>
      </c>
      <c r="L34" t="inlineStr">
        <is>
          <t>21.5 / 21.5</t>
        </is>
      </c>
      <c r="N34" s="8" t="n">
        <v>0.5</v>
      </c>
      <c r="O34" s="12" t="n"/>
      <c r="P34">
        <f>IF(O34="","",IF(O34&gt;G34,"OVER",IF(O34&lt;G34,"UNDER","PUSH")))</f>
        <v/>
      </c>
      <c r="Q34" t="n">
        <v>18.17</v>
      </c>
      <c r="R34" s="8" t="n">
        <v>0.5561</v>
      </c>
      <c r="S34" t="n">
        <v>1</v>
      </c>
      <c r="T34" t="n">
        <v>19.5</v>
      </c>
      <c r="U34" t="n">
        <v>19.5</v>
      </c>
    </row>
    <row r="35">
      <c r="A35" t="inlineStr">
        <is>
          <t>2026-10-25 03:09</t>
        </is>
      </c>
      <c r="B35" t="inlineStr">
        <is>
          <t>2026-10-25</t>
        </is>
      </c>
      <c r="C35" t="inlineStr">
        <is>
          <t>CS2</t>
        </is>
      </c>
      <c r="D35" t="inlineStr">
        <is>
          <t>CS2 [NO MARKET] · Color vs ex-ZT</t>
        </is>
      </c>
      <c r="E35" t="inlineStr">
        <is>
          <t>Oz1k</t>
        </is>
      </c>
      <c r="F35" t="inlineStr">
        <is>
          <t>Maps 1-2 Kills</t>
        </is>
      </c>
      <c r="G35" t="n">
        <v>29</v>
      </c>
      <c r="H35" t="n">
        <v>29.19</v>
      </c>
      <c r="I35" s="8" t="n">
        <v>0.4808</v>
      </c>
      <c r="J35" s="8" t="n">
        <v>0.4569</v>
      </c>
      <c r="K35" t="inlineStr">
        <is>
          <t>Dust2 / Cache</t>
        </is>
      </c>
      <c r="L35" t="inlineStr">
        <is>
          <t>21.5 / 21.5</t>
        </is>
      </c>
      <c r="N35" s="8" t="n">
        <v>0.5</v>
      </c>
      <c r="O35" s="12" t="n"/>
      <c r="P35">
        <f>IF(O35="","",IF(O35&gt;G35,"OVER",IF(O35&lt;G35,"UNDER","PUSH")))</f>
        <v/>
      </c>
      <c r="Q35" t="n">
        <v>29.19</v>
      </c>
      <c r="R35" s="8" t="n">
        <v>0.4808</v>
      </c>
      <c r="S35" t="n">
        <v>1</v>
      </c>
      <c r="T35" t="n">
        <v>30.96</v>
      </c>
      <c r="U35" t="n">
        <v>30.96</v>
      </c>
    </row>
    <row r="36">
      <c r="A36" t="inlineStr">
        <is>
          <t>2026-10-25 03:09</t>
        </is>
      </c>
      <c r="B36" t="inlineStr">
        <is>
          <t>2026-10-25</t>
        </is>
      </c>
      <c r="C36" t="inlineStr">
        <is>
          <t>CS2</t>
        </is>
      </c>
      <c r="D36" t="inlineStr">
        <is>
          <t>CS2 · AUR vs G2</t>
        </is>
      </c>
      <c r="E36" t="inlineStr">
        <is>
          <t>Jimpphat</t>
        </is>
      </c>
      <c r="F36" t="inlineStr">
        <is>
          <t>Maps 1-2 HS</t>
        </is>
      </c>
      <c r="G36" t="n">
        <v>16</v>
      </c>
      <c r="H36" t="n">
        <v>15.61</v>
      </c>
      <c r="I36" s="8" t="n">
        <v>0.4191</v>
      </c>
      <c r="J36" s="8" t="n">
        <v>0.4902</v>
      </c>
      <c r="K36" t="inlineStr">
        <is>
          <t>Mirage / Inferno</t>
        </is>
      </c>
      <c r="L36" t="inlineStr">
        <is>
          <t>21.4 / 21.5</t>
        </is>
      </c>
      <c r="N36" s="8" t="n">
        <v>0.4</v>
      </c>
      <c r="O36" s="12" t="n"/>
      <c r="P36">
        <f>IF(O36="","",IF(O36&gt;G36,"OVER",IF(O36&lt;G36,"UNDER","PUSH")))</f>
        <v/>
      </c>
      <c r="Q36" t="n">
        <v>15.52</v>
      </c>
      <c r="R36" s="8" t="n">
        <v>0.411</v>
      </c>
      <c r="S36" t="n">
        <v>0.9944</v>
      </c>
      <c r="T36" t="n">
        <v>16.81</v>
      </c>
      <c r="U36" t="n">
        <v>16.71</v>
      </c>
    </row>
    <row r="37">
      <c r="A37" t="inlineStr">
        <is>
          <t>2026-10-25 03:09</t>
        </is>
      </c>
      <c r="B37" t="inlineStr">
        <is>
          <t>2026-10-25</t>
        </is>
      </c>
      <c r="C37" t="inlineStr">
        <is>
          <t>CS2</t>
        </is>
      </c>
      <c r="D37" t="inlineStr">
        <is>
          <t>CS2 · AUR vs G2</t>
        </is>
      </c>
      <c r="E37" t="inlineStr">
        <is>
          <t>Jimpphat</t>
        </is>
      </c>
      <c r="F37" t="inlineStr">
        <is>
          <t>Maps 1-2 Kills</t>
        </is>
      </c>
      <c r="G37" t="n">
        <v>30</v>
      </c>
      <c r="H37" t="n">
        <v>27.92</v>
      </c>
      <c r="I37" s="8" t="n">
        <v>0.34</v>
      </c>
      <c r="J37" s="8" t="n">
        <v>0.5997</v>
      </c>
      <c r="K37" t="inlineStr">
        <is>
          <t>Mirage / Inferno</t>
        </is>
      </c>
      <c r="L37" t="inlineStr">
        <is>
          <t>21.4 / 21.5</t>
        </is>
      </c>
      <c r="M37" t="n">
        <v>30.18</v>
      </c>
      <c r="N37" s="8" t="n">
        <v>0.5</v>
      </c>
      <c r="O37" s="12" t="n"/>
      <c r="P37">
        <f>IF(O37="","",IF(O37&gt;G37,"OVER",IF(O37&lt;G37,"UNDER","PUSH")))</f>
        <v/>
      </c>
      <c r="Q37" t="n">
        <v>27.76</v>
      </c>
      <c r="R37" s="8" t="n">
        <v>0.33</v>
      </c>
      <c r="S37" t="n">
        <v>0.9942</v>
      </c>
      <c r="T37" t="n">
        <v>29.19</v>
      </c>
      <c r="U37" t="n">
        <v>29</v>
      </c>
    </row>
    <row r="38">
      <c r="A38" t="inlineStr">
        <is>
          <t>2026-10-25 03:09</t>
        </is>
      </c>
      <c r="B38" t="inlineStr">
        <is>
          <t>2026-10-25</t>
        </is>
      </c>
      <c r="C38" t="inlineStr">
        <is>
          <t>CS2</t>
        </is>
      </c>
      <c r="D38" t="inlineStr">
        <is>
          <t>CS2 · AUR vs G2</t>
        </is>
      </c>
      <c r="E38" t="inlineStr">
        <is>
          <t>kyxsan</t>
        </is>
      </c>
      <c r="F38" t="inlineStr">
        <is>
          <t>Maps 1-2 HS</t>
        </is>
      </c>
      <c r="G38" t="n">
        <v>13.5</v>
      </c>
      <c r="H38" t="n">
        <v>13.09</v>
      </c>
      <c r="I38" s="8" t="n">
        <v>0.4589</v>
      </c>
      <c r="J38" s="8" t="n">
        <v>0.5411</v>
      </c>
      <c r="K38" t="inlineStr">
        <is>
          <t>Mirage / Inferno</t>
        </is>
      </c>
      <c r="L38" t="inlineStr">
        <is>
          <t>21.4 / 21.5</t>
        </is>
      </c>
      <c r="N38" s="8" t="n">
        <v>0.4</v>
      </c>
      <c r="O38" s="12" t="n"/>
      <c r="P38">
        <f>IF(O38="","",IF(O38&gt;G38,"OVER",IF(O38&lt;G38,"UNDER","PUSH")))</f>
        <v/>
      </c>
      <c r="Q38" t="n">
        <v>13</v>
      </c>
      <c r="R38" s="8" t="n">
        <v>0.4505</v>
      </c>
      <c r="S38" t="n">
        <v>0.9936</v>
      </c>
      <c r="T38" t="n">
        <v>12.61</v>
      </c>
      <c r="U38" t="n">
        <v>12.53</v>
      </c>
    </row>
    <row r="39">
      <c r="A39" t="inlineStr">
        <is>
          <t>2026-10-25 03:09</t>
        </is>
      </c>
      <c r="B39" t="inlineStr">
        <is>
          <t>2026-10-25</t>
        </is>
      </c>
      <c r="C39" t="inlineStr">
        <is>
          <t>CS2</t>
        </is>
      </c>
      <c r="D39" t="inlineStr">
        <is>
          <t>CS2 · AUR vs G2</t>
        </is>
      </c>
      <c r="E39" t="inlineStr">
        <is>
          <t>kyxsan</t>
        </is>
      </c>
      <c r="F39" t="inlineStr">
        <is>
          <t>Maps 1-2 Kills</t>
        </is>
      </c>
      <c r="G39" t="n">
        <v>24.5</v>
      </c>
      <c r="H39" t="n">
        <v>22.28</v>
      </c>
      <c r="I39" s="8" t="n">
        <v>0.3455</v>
      </c>
      <c r="J39" s="8" t="n">
        <v>0.6545</v>
      </c>
      <c r="K39" t="inlineStr">
        <is>
          <t>Mirage / Inferno</t>
        </is>
      </c>
      <c r="L39" t="inlineStr">
        <is>
          <t>21.4 / 21.5</t>
        </is>
      </c>
      <c r="M39" t="n">
        <v>23.31</v>
      </c>
      <c r="N39" s="8" t="n">
        <v>0.3</v>
      </c>
      <c r="O39" s="12" t="n"/>
      <c r="P39">
        <f>IF(O39="","",IF(O39&gt;G39,"OVER",IF(O39&lt;G39,"UNDER","PUSH")))</f>
        <v/>
      </c>
      <c r="Q39" t="n">
        <v>22.13</v>
      </c>
      <c r="R39" s="8" t="n">
        <v>0.3353</v>
      </c>
      <c r="S39" t="n">
        <v>0.9933999999999999</v>
      </c>
      <c r="T39" t="n">
        <v>21.89</v>
      </c>
      <c r="U39" t="n">
        <v>21.75</v>
      </c>
    </row>
    <row r="40">
      <c r="A40" t="inlineStr">
        <is>
          <t>2026-10-25 03:09</t>
        </is>
      </c>
      <c r="B40" t="inlineStr">
        <is>
          <t>2026-10-25</t>
        </is>
      </c>
      <c r="C40" t="inlineStr">
        <is>
          <t>CS2</t>
        </is>
      </c>
      <c r="D40" t="inlineStr">
        <is>
          <t>CS2 · AUR vs G2</t>
        </is>
      </c>
      <c r="E40" t="inlineStr">
        <is>
          <t>Wicadia</t>
        </is>
      </c>
      <c r="F40" t="inlineStr">
        <is>
          <t>Maps 1-2 HS</t>
        </is>
      </c>
      <c r="G40" t="n">
        <v>17.5</v>
      </c>
      <c r="H40" t="n">
        <v>19.47</v>
      </c>
      <c r="I40" s="8" t="n">
        <v>0.657</v>
      </c>
      <c r="J40" s="8" t="n">
        <v>0.343</v>
      </c>
      <c r="K40" t="inlineStr">
        <is>
          <t>Mirage / Inferno</t>
        </is>
      </c>
      <c r="L40" t="inlineStr">
        <is>
          <t>21.4 / 21.5</t>
        </is>
      </c>
      <c r="N40" s="8" t="n">
        <v>0.5</v>
      </c>
      <c r="O40" s="12" t="n"/>
      <c r="P40">
        <f>IF(O40="","",IF(O40&gt;G40,"OVER",IF(O40&lt;G40,"UNDER","PUSH")))</f>
        <v/>
      </c>
      <c r="Q40" t="n">
        <v>19.35</v>
      </c>
      <c r="R40" s="8" t="n">
        <v>0.6484</v>
      </c>
      <c r="S40" t="n">
        <v>0.9939</v>
      </c>
      <c r="T40" t="n">
        <v>18.35</v>
      </c>
      <c r="U40" t="n">
        <v>18.23</v>
      </c>
    </row>
    <row r="41">
      <c r="A41" t="inlineStr">
        <is>
          <t>2026-10-25 03:09</t>
        </is>
      </c>
      <c r="B41" t="inlineStr">
        <is>
          <t>2026-10-25</t>
        </is>
      </c>
      <c r="C41" t="inlineStr">
        <is>
          <t>CS2</t>
        </is>
      </c>
      <c r="D41" t="inlineStr">
        <is>
          <t>CS2 · AUR vs G2</t>
        </is>
      </c>
      <c r="E41" t="inlineStr">
        <is>
          <t>Wicadia</t>
        </is>
      </c>
      <c r="F41" t="inlineStr">
        <is>
          <t>Maps 1-2 Kills</t>
        </is>
      </c>
      <c r="G41" t="n">
        <v>32.5</v>
      </c>
      <c r="H41" t="n">
        <v>35.19</v>
      </c>
      <c r="I41" s="8" t="n">
        <v>0.6492</v>
      </c>
      <c r="J41" s="8" t="n">
        <v>0.3508</v>
      </c>
      <c r="K41" t="inlineStr">
        <is>
          <t>Mirage / Inferno</t>
        </is>
      </c>
      <c r="L41" t="inlineStr">
        <is>
          <t>21.4 / 21.5</t>
        </is>
      </c>
      <c r="M41" t="n">
        <v>32.14</v>
      </c>
      <c r="N41" s="8" t="n">
        <v>0.6</v>
      </c>
      <c r="O41" s="12" t="n"/>
      <c r="P41">
        <f>IF(O41="","",IF(O41&gt;G41,"OVER",IF(O41&lt;G41,"UNDER","PUSH")))</f>
        <v/>
      </c>
      <c r="Q41" t="n">
        <v>34.96</v>
      </c>
      <c r="R41" s="8" t="n">
        <v>0.6375999999999999</v>
      </c>
      <c r="S41" t="n">
        <v>0.9936</v>
      </c>
      <c r="T41" t="n">
        <v>33.48</v>
      </c>
      <c r="U41" t="n">
        <v>33.27</v>
      </c>
    </row>
    <row r="42">
      <c r="A42" t="inlineStr">
        <is>
          <t>2026-10-25 03:09</t>
        </is>
      </c>
      <c r="B42" t="inlineStr">
        <is>
          <t>2026-10-25</t>
        </is>
      </c>
      <c r="C42" t="inlineStr">
        <is>
          <t>CS2</t>
        </is>
      </c>
      <c r="D42" t="inlineStr">
        <is>
          <t>CS2 · AUR vs G2</t>
        </is>
      </c>
      <c r="E42" t="inlineStr">
        <is>
          <t>woxic</t>
        </is>
      </c>
      <c r="F42" t="inlineStr">
        <is>
          <t>Maps 1-2 HS</t>
        </is>
      </c>
      <c r="G42" t="n">
        <v>10</v>
      </c>
      <c r="H42" t="n">
        <v>9.140000000000001</v>
      </c>
      <c r="I42" s="8" t="n">
        <v>0.3364</v>
      </c>
      <c r="J42" s="8" t="n">
        <v>0.5443</v>
      </c>
      <c r="K42" t="inlineStr">
        <is>
          <t>Mirage / Inferno</t>
        </is>
      </c>
      <c r="L42" t="inlineStr">
        <is>
          <t>21.4 / 21.5</t>
        </is>
      </c>
      <c r="N42" s="8" t="n">
        <v>0.7</v>
      </c>
      <c r="O42" s="12" t="n"/>
      <c r="P42">
        <f>IF(O42="","",IF(O42&gt;G42,"OVER",IF(O42&lt;G42,"UNDER","PUSH")))</f>
        <v/>
      </c>
      <c r="Q42" t="n">
        <v>9.09</v>
      </c>
      <c r="R42" s="8" t="n">
        <v>0.3298</v>
      </c>
      <c r="S42" t="n">
        <v>0.9941</v>
      </c>
      <c r="T42" t="n">
        <v>9.779999999999999</v>
      </c>
      <c r="U42" t="n">
        <v>9.720000000000001</v>
      </c>
    </row>
    <row r="43">
      <c r="A43" t="inlineStr">
        <is>
          <t>2026-10-25 03:09</t>
        </is>
      </c>
      <c r="B43" t="inlineStr">
        <is>
          <t>2026-10-25</t>
        </is>
      </c>
      <c r="C43" t="inlineStr">
        <is>
          <t>CS2</t>
        </is>
      </c>
      <c r="D43" t="inlineStr">
        <is>
          <t>CS2 · AUR vs G2</t>
        </is>
      </c>
      <c r="E43" t="inlineStr">
        <is>
          <t>woxic</t>
        </is>
      </c>
      <c r="F43" t="inlineStr">
        <is>
          <t>Maps 1-2 Kills</t>
        </is>
      </c>
      <c r="G43" t="n">
        <v>30</v>
      </c>
      <c r="H43" t="n">
        <v>28.01</v>
      </c>
      <c r="I43" s="8" t="n">
        <v>0.3452</v>
      </c>
      <c r="J43" s="8" t="n">
        <v>0.5942</v>
      </c>
      <c r="K43" t="inlineStr">
        <is>
          <t>Mirage / Inferno</t>
        </is>
      </c>
      <c r="L43" t="inlineStr">
        <is>
          <t>21.4 / 21.5</t>
        </is>
      </c>
      <c r="M43" t="n">
        <v>29.74</v>
      </c>
      <c r="N43" s="8" t="n">
        <v>0.4</v>
      </c>
      <c r="O43" s="12" t="n"/>
      <c r="P43">
        <f>IF(O43="","",IF(O43&gt;G43,"OVER",IF(O43&lt;G43,"UNDER","PUSH")))</f>
        <v/>
      </c>
      <c r="Q43" t="n">
        <v>27.84</v>
      </c>
      <c r="R43" s="8" t="n">
        <v>0.3348</v>
      </c>
      <c r="S43" t="n">
        <v>0.9939</v>
      </c>
      <c r="T43" t="n">
        <v>28.76</v>
      </c>
      <c r="U43" t="n">
        <v>28.58</v>
      </c>
    </row>
    <row r="44">
      <c r="A44" t="inlineStr">
        <is>
          <t>2026-10-25 03:09</t>
        </is>
      </c>
      <c r="B44" t="inlineStr">
        <is>
          <t>2026-10-25</t>
        </is>
      </c>
      <c r="C44" t="inlineStr">
        <is>
          <t>CS2</t>
        </is>
      </c>
      <c r="D44" t="inlineStr">
        <is>
          <t>CS2 · AUR vs G2</t>
        </is>
      </c>
      <c r="E44" t="inlineStr">
        <is>
          <t>XANTARES</t>
        </is>
      </c>
      <c r="F44" t="inlineStr">
        <is>
          <t>Maps 1-2 HS</t>
        </is>
      </c>
      <c r="G44" t="n">
        <v>16.5</v>
      </c>
      <c r="H44" t="n">
        <v>14.34</v>
      </c>
      <c r="I44" s="8" t="n">
        <v>0.3029</v>
      </c>
      <c r="J44" s="8" t="n">
        <v>0.6971000000000001</v>
      </c>
      <c r="K44" t="inlineStr">
        <is>
          <t>Mirage / Inferno</t>
        </is>
      </c>
      <c r="L44" t="inlineStr">
        <is>
          <t>21.4 / 21.5</t>
        </is>
      </c>
      <c r="N44" s="8" t="n">
        <v>0.4</v>
      </c>
      <c r="O44" s="12" t="n"/>
      <c r="P44">
        <f>IF(O44="","",IF(O44&gt;G44,"OVER",IF(O44&lt;G44,"UNDER","PUSH")))</f>
        <v/>
      </c>
      <c r="Q44" t="n">
        <v>14.25</v>
      </c>
      <c r="R44" s="8" t="n">
        <v>0.2947</v>
      </c>
      <c r="S44" t="n">
        <v>0.9937</v>
      </c>
      <c r="T44" t="n">
        <v>14.4</v>
      </c>
      <c r="U44" t="n">
        <v>14.31</v>
      </c>
    </row>
    <row r="45">
      <c r="A45" t="inlineStr">
        <is>
          <t>2026-10-25 03:09</t>
        </is>
      </c>
      <c r="B45" t="inlineStr">
        <is>
          <t>2026-10-25</t>
        </is>
      </c>
      <c r="C45" t="inlineStr">
        <is>
          <t>CS2</t>
        </is>
      </c>
      <c r="D45" t="inlineStr">
        <is>
          <t>CS2 · AUR vs G2</t>
        </is>
      </c>
      <c r="E45" t="inlineStr">
        <is>
          <t>XANTARES</t>
        </is>
      </c>
      <c r="F45" t="inlineStr">
        <is>
          <t>Maps 1-2 Kills</t>
        </is>
      </c>
      <c r="G45" t="n">
        <v>29.5</v>
      </c>
      <c r="H45" t="n">
        <v>26.24</v>
      </c>
      <c r="I45" s="8" t="n">
        <v>0.2955</v>
      </c>
      <c r="J45" s="8" t="n">
        <v>0.7045</v>
      </c>
      <c r="K45" t="inlineStr">
        <is>
          <t>Mirage / Inferno</t>
        </is>
      </c>
      <c r="L45" t="inlineStr">
        <is>
          <t>21.4 / 21.5</t>
        </is>
      </c>
      <c r="M45" t="n">
        <v>29.68</v>
      </c>
      <c r="N45" s="8" t="n">
        <v>0.5</v>
      </c>
      <c r="O45" s="12" t="n"/>
      <c r="P45">
        <f>IF(O45="","",IF(O45&gt;G45,"OVER",IF(O45&lt;G45,"UNDER","PUSH")))</f>
        <v/>
      </c>
      <c r="Q45" t="n">
        <v>26.08</v>
      </c>
      <c r="R45" s="8" t="n">
        <v>0.2856</v>
      </c>
      <c r="S45" t="n">
        <v>0.9937</v>
      </c>
      <c r="T45" t="n">
        <v>26.61</v>
      </c>
      <c r="U45" t="n">
        <v>26.44</v>
      </c>
    </row>
    <row r="46">
      <c r="A46" t="inlineStr">
        <is>
          <t>2026-10-25 03:09</t>
        </is>
      </c>
      <c r="B46" t="inlineStr">
        <is>
          <t>2026-10-25</t>
        </is>
      </c>
      <c r="C46" t="inlineStr">
        <is>
          <t>CS2</t>
        </is>
      </c>
      <c r="D46" t="inlineStr">
        <is>
          <t>CS2 · AUR vs G2</t>
        </is>
      </c>
      <c r="E46" t="inlineStr">
        <is>
          <t>HeavyGod</t>
        </is>
      </c>
      <c r="F46" t="inlineStr">
        <is>
          <t>Maps 1-2 HS</t>
        </is>
      </c>
      <c r="G46" t="n">
        <v>16</v>
      </c>
      <c r="H46" t="n">
        <v>16.12</v>
      </c>
      <c r="I46" s="8" t="n">
        <v>0.4659</v>
      </c>
      <c r="J46" s="8" t="n">
        <v>0.4448</v>
      </c>
      <c r="K46" t="inlineStr">
        <is>
          <t>Mirage / Inferno</t>
        </is>
      </c>
      <c r="L46" t="inlineStr">
        <is>
          <t>21.4 / 21.5</t>
        </is>
      </c>
      <c r="N46" s="8" t="n">
        <v>0.7</v>
      </c>
      <c r="O46" s="12" t="n"/>
      <c r="P46">
        <f>IF(O46="","",IF(O46&gt;G46,"OVER",IF(O46&lt;G46,"UNDER","PUSH")))</f>
        <v/>
      </c>
      <c r="Q46" t="n">
        <v>15.67</v>
      </c>
      <c r="R46" s="8" t="n">
        <v>0.4252</v>
      </c>
      <c r="S46" t="n">
        <v>0.9722</v>
      </c>
      <c r="T46" t="n">
        <v>17.31</v>
      </c>
      <c r="U46" t="n">
        <v>16.84</v>
      </c>
    </row>
    <row r="47">
      <c r="A47" t="inlineStr">
        <is>
          <t>2026-10-25 03:09</t>
        </is>
      </c>
      <c r="B47" t="inlineStr">
        <is>
          <t>2026-10-25</t>
        </is>
      </c>
      <c r="C47" t="inlineStr">
        <is>
          <t>CS2</t>
        </is>
      </c>
      <c r="D47" t="inlineStr">
        <is>
          <t>CS2 · AUR vs G2</t>
        </is>
      </c>
      <c r="E47" t="inlineStr">
        <is>
          <t>HeavyGod</t>
        </is>
      </c>
      <c r="F47" t="inlineStr">
        <is>
          <t>Maps 1-2 Kills</t>
        </is>
      </c>
      <c r="G47" t="n">
        <v>28</v>
      </c>
      <c r="H47" t="n">
        <v>27.6</v>
      </c>
      <c r="I47" s="8" t="n">
        <v>0.4428</v>
      </c>
      <c r="J47" s="8" t="n">
        <v>0.4933</v>
      </c>
      <c r="K47" t="inlineStr">
        <is>
          <t>Mirage / Inferno</t>
        </is>
      </c>
      <c r="L47" t="inlineStr">
        <is>
          <t>21.4 / 21.5</t>
        </is>
      </c>
      <c r="M47" t="n">
        <v>28.76</v>
      </c>
      <c r="N47" s="8" t="n">
        <v>0.6</v>
      </c>
      <c r="O47" s="12" t="n"/>
      <c r="P47">
        <f>IF(O47="","",IF(O47&gt;G47,"OVER",IF(O47&lt;G47,"UNDER","PUSH")))</f>
        <v/>
      </c>
      <c r="Q47" t="n">
        <v>26.85</v>
      </c>
      <c r="R47" s="8" t="n">
        <v>0.394</v>
      </c>
      <c r="S47" t="n">
        <v>0.9727</v>
      </c>
      <c r="T47" t="n">
        <v>29.19</v>
      </c>
      <c r="U47" t="n">
        <v>28.39</v>
      </c>
    </row>
    <row r="48">
      <c r="A48" t="inlineStr">
        <is>
          <t>2026-10-25 03:09</t>
        </is>
      </c>
      <c r="B48" t="inlineStr">
        <is>
          <t>2026-10-25</t>
        </is>
      </c>
      <c r="C48" t="inlineStr">
        <is>
          <t>CS2</t>
        </is>
      </c>
      <c r="D48" t="inlineStr">
        <is>
          <t>CS2 · AUR vs G2</t>
        </is>
      </c>
      <c r="E48" t="inlineStr">
        <is>
          <t>huNter-</t>
        </is>
      </c>
      <c r="F48" t="inlineStr">
        <is>
          <t>Maps 1-2 HS</t>
        </is>
      </c>
      <c r="G48" t="n">
        <v>15.5</v>
      </c>
      <c r="H48" t="n">
        <v>15.91</v>
      </c>
      <c r="I48" s="8" t="n">
        <v>0.5368000000000001</v>
      </c>
      <c r="J48" s="8" t="n">
        <v>0.4632</v>
      </c>
      <c r="K48" t="inlineStr">
        <is>
          <t>Mirage / Inferno</t>
        </is>
      </c>
      <c r="L48" t="inlineStr">
        <is>
          <t>21.4 / 21.5</t>
        </is>
      </c>
      <c r="N48" s="8" t="n">
        <v>0.7</v>
      </c>
      <c r="O48" s="12" t="n"/>
      <c r="P48">
        <f>IF(O48="","",IF(O48&gt;G48,"OVER",IF(O48&lt;G48,"UNDER","PUSH")))</f>
        <v/>
      </c>
      <c r="Q48" t="n">
        <v>15.48</v>
      </c>
      <c r="R48" s="8" t="n">
        <v>0.4986</v>
      </c>
      <c r="S48" t="n">
        <v>0.9732</v>
      </c>
      <c r="T48" t="n">
        <v>16.14</v>
      </c>
      <c r="U48" t="n">
        <v>15.7</v>
      </c>
    </row>
    <row r="49">
      <c r="A49" t="inlineStr">
        <is>
          <t>2026-10-25 03:09</t>
        </is>
      </c>
      <c r="B49" t="inlineStr">
        <is>
          <t>2026-10-25</t>
        </is>
      </c>
      <c r="C49" t="inlineStr">
        <is>
          <t>CS2</t>
        </is>
      </c>
      <c r="D49" t="inlineStr">
        <is>
          <t>CS2 · AUR vs G2</t>
        </is>
      </c>
      <c r="E49" t="inlineStr">
        <is>
          <t>huNter-</t>
        </is>
      </c>
      <c r="F49" t="inlineStr">
        <is>
          <t>Maps 1-2 Kills</t>
        </is>
      </c>
      <c r="G49" t="n">
        <v>26</v>
      </c>
      <c r="H49" t="n">
        <v>26.63</v>
      </c>
      <c r="I49" s="8" t="n">
        <v>0.5083</v>
      </c>
      <c r="J49" s="8" t="n">
        <v>0.4268</v>
      </c>
      <c r="K49" t="inlineStr">
        <is>
          <t>Mirage / Inferno</t>
        </is>
      </c>
      <c r="L49" t="inlineStr">
        <is>
          <t>21.4 / 21.5</t>
        </is>
      </c>
      <c r="M49" t="n">
        <v>26.66</v>
      </c>
      <c r="N49" s="8" t="n">
        <v>0.8</v>
      </c>
      <c r="O49" s="12" t="n"/>
      <c r="P49">
        <f>IF(O49="","",IF(O49&gt;G49,"OVER",IF(O49&lt;G49,"UNDER","PUSH")))</f>
        <v/>
      </c>
      <c r="Q49" t="n">
        <v>25.91</v>
      </c>
      <c r="R49" s="8" t="n">
        <v>0.4609</v>
      </c>
      <c r="S49" t="n">
        <v>0.973</v>
      </c>
      <c r="T49" t="n">
        <v>27.04</v>
      </c>
      <c r="U49" t="n">
        <v>26.3</v>
      </c>
    </row>
    <row r="50">
      <c r="A50" t="inlineStr">
        <is>
          <t>2026-10-25 03:09</t>
        </is>
      </c>
      <c r="B50" t="inlineStr">
        <is>
          <t>2026-10-25</t>
        </is>
      </c>
      <c r="C50" t="inlineStr">
        <is>
          <t>CS2</t>
        </is>
      </c>
      <c r="D50" t="inlineStr">
        <is>
          <t>CS2 · AUR vs G2</t>
        </is>
      </c>
      <c r="E50" t="inlineStr">
        <is>
          <t>MATYS</t>
        </is>
      </c>
      <c r="F50" t="inlineStr">
        <is>
          <t>Maps 1-2 HS</t>
        </is>
      </c>
      <c r="G50" t="n">
        <v>16.5</v>
      </c>
      <c r="H50" t="n">
        <v>19.68</v>
      </c>
      <c r="I50" s="8" t="n">
        <v>0.7383</v>
      </c>
      <c r="J50" s="8" t="n">
        <v>0.2617</v>
      </c>
      <c r="K50" t="inlineStr">
        <is>
          <t>Mirage / Inferno</t>
        </is>
      </c>
      <c r="L50" t="inlineStr">
        <is>
          <t>21.4 / 21.5</t>
        </is>
      </c>
      <c r="N50" s="8" t="n">
        <v>0.6</v>
      </c>
      <c r="O50" s="12" t="n"/>
      <c r="P50">
        <f>IF(O50="","",IF(O50&gt;G50,"OVER",IF(O50&lt;G50,"UNDER","PUSH")))</f>
        <v/>
      </c>
      <c r="Q50" t="n">
        <v>19.14</v>
      </c>
      <c r="R50" s="8" t="n">
        <v>0.7042</v>
      </c>
      <c r="S50" t="n">
        <v>0.9724</v>
      </c>
      <c r="T50" t="n">
        <v>18.18</v>
      </c>
      <c r="U50" t="n">
        <v>17.69</v>
      </c>
    </row>
    <row r="51">
      <c r="A51" t="inlineStr">
        <is>
          <t>2026-10-25 03:09</t>
        </is>
      </c>
      <c r="B51" t="inlineStr">
        <is>
          <t>2026-10-25</t>
        </is>
      </c>
      <c r="C51" t="inlineStr">
        <is>
          <t>CS2</t>
        </is>
      </c>
      <c r="D51" t="inlineStr">
        <is>
          <t>CS2 · AUR vs G2</t>
        </is>
      </c>
      <c r="E51" t="inlineStr">
        <is>
          <t>MATYS</t>
        </is>
      </c>
      <c r="F51" t="inlineStr">
        <is>
          <t>Maps 1-2 Kills</t>
        </is>
      </c>
      <c r="G51" t="n">
        <v>26</v>
      </c>
      <c r="H51" t="n">
        <v>29.73</v>
      </c>
      <c r="I51" s="8" t="n">
        <v>0.6915</v>
      </c>
      <c r="J51" s="8" t="n">
        <v>0.2562</v>
      </c>
      <c r="K51" t="inlineStr">
        <is>
          <t>Mirage / Inferno</t>
        </is>
      </c>
      <c r="L51" t="inlineStr">
        <is>
          <t>21.4 / 21.5</t>
        </is>
      </c>
      <c r="M51" t="n">
        <v>26.76</v>
      </c>
      <c r="N51" s="8" t="n">
        <v>0.6</v>
      </c>
      <c r="O51" s="12" t="n"/>
      <c r="P51">
        <f>IF(O51="","",IF(O51&gt;G51,"OVER",IF(O51&lt;G51,"UNDER","PUSH")))</f>
        <v/>
      </c>
      <c r="Q51" t="n">
        <v>28.92</v>
      </c>
      <c r="R51" s="8" t="n">
        <v>0.6479</v>
      </c>
      <c r="S51" t="n">
        <v>0.9727</v>
      </c>
      <c r="T51" t="n">
        <v>27.47</v>
      </c>
      <c r="U51" t="n">
        <v>26.72</v>
      </c>
    </row>
    <row r="52">
      <c r="A52" t="inlineStr">
        <is>
          <t>2026-10-25 03:09</t>
        </is>
      </c>
      <c r="B52" t="inlineStr">
        <is>
          <t>2026-10-25</t>
        </is>
      </c>
      <c r="C52" t="inlineStr">
        <is>
          <t>CS2</t>
        </is>
      </c>
      <c r="D52" t="inlineStr">
        <is>
          <t>CS2 · AUR vs G2</t>
        </is>
      </c>
      <c r="E52" t="inlineStr">
        <is>
          <t>NertZ</t>
        </is>
      </c>
      <c r="F52" t="inlineStr">
        <is>
          <t>Maps 1-2 HS</t>
        </is>
      </c>
      <c r="G52" t="n">
        <v>16</v>
      </c>
      <c r="H52" t="n">
        <v>15.16</v>
      </c>
      <c r="I52" s="8" t="n">
        <v>0.377</v>
      </c>
      <c r="J52" s="8" t="n">
        <v>0.5316</v>
      </c>
      <c r="K52" t="inlineStr">
        <is>
          <t>Mirage / Inferno</t>
        </is>
      </c>
      <c r="L52" t="inlineStr">
        <is>
          <t>21.4 / 21.5</t>
        </is>
      </c>
      <c r="N52" s="8" t="n">
        <v>0.7</v>
      </c>
      <c r="O52" s="12" t="n"/>
      <c r="P52">
        <f>IF(O52="","",IF(O52&gt;G52,"OVER",IF(O52&lt;G52,"UNDER","PUSH")))</f>
        <v/>
      </c>
      <c r="Q52" t="n">
        <v>14.75</v>
      </c>
      <c r="R52" s="8" t="n">
        <v>0.3393</v>
      </c>
      <c r="S52" t="n">
        <v>0.9731</v>
      </c>
      <c r="T52" t="n">
        <v>16.92</v>
      </c>
      <c r="U52" t="n">
        <v>16.46</v>
      </c>
    </row>
    <row r="53">
      <c r="A53" t="inlineStr">
        <is>
          <t>2026-10-25 03:09</t>
        </is>
      </c>
      <c r="B53" t="inlineStr">
        <is>
          <t>2026-10-25</t>
        </is>
      </c>
      <c r="C53" t="inlineStr">
        <is>
          <t>CS2</t>
        </is>
      </c>
      <c r="D53" t="inlineStr">
        <is>
          <t>CS2 · AUR vs G2</t>
        </is>
      </c>
      <c r="E53" t="inlineStr">
        <is>
          <t>NertZ</t>
        </is>
      </c>
      <c r="F53" t="inlineStr">
        <is>
          <t>Maps 1-2 Kills</t>
        </is>
      </c>
      <c r="G53" t="n">
        <v>31</v>
      </c>
      <c r="H53" t="n">
        <v>29.61</v>
      </c>
      <c r="I53" s="8" t="n">
        <v>0.3846</v>
      </c>
      <c r="J53" s="8" t="n">
        <v>0.5548999999999999</v>
      </c>
      <c r="K53" t="inlineStr">
        <is>
          <t>Mirage / Inferno</t>
        </is>
      </c>
      <c r="L53" t="inlineStr">
        <is>
          <t>21.4 / 21.5</t>
        </is>
      </c>
      <c r="M53" t="n">
        <v>30.4</v>
      </c>
      <c r="N53" s="8" t="n">
        <v>0.7</v>
      </c>
      <c r="O53" s="12" t="n"/>
      <c r="P53">
        <f>IF(O53="","",IF(O53&gt;G53,"OVER",IF(O53&lt;G53,"UNDER","PUSH")))</f>
        <v/>
      </c>
      <c r="Q53" t="n">
        <v>28.82</v>
      </c>
      <c r="R53" s="8" t="n">
        <v>0.3365</v>
      </c>
      <c r="S53" t="n">
        <v>0.9733000000000001</v>
      </c>
      <c r="T53" t="n">
        <v>31.33</v>
      </c>
      <c r="U53" t="n">
        <v>30.48</v>
      </c>
    </row>
    <row r="54">
      <c r="A54" t="inlineStr">
        <is>
          <t>2026-10-25 03:09</t>
        </is>
      </c>
      <c r="B54" t="inlineStr">
        <is>
          <t>2026-10-25</t>
        </is>
      </c>
      <c r="C54" t="inlineStr">
        <is>
          <t>CS2</t>
        </is>
      </c>
      <c r="D54" t="inlineStr">
        <is>
          <t>CS2 · AUR vs G2</t>
        </is>
      </c>
      <c r="E54" t="inlineStr">
        <is>
          <t>r1nkle</t>
        </is>
      </c>
      <c r="F54" t="inlineStr">
        <is>
          <t>Maps 1-2 HS</t>
        </is>
      </c>
      <c r="G54" t="n">
        <v>9.5</v>
      </c>
      <c r="H54" t="n">
        <v>7.38</v>
      </c>
      <c r="I54" s="8" t="n">
        <v>0.2296</v>
      </c>
      <c r="J54" s="8" t="n">
        <v>0.7704</v>
      </c>
      <c r="K54" t="inlineStr">
        <is>
          <t>Mirage / Inferno</t>
        </is>
      </c>
      <c r="L54" t="inlineStr">
        <is>
          <t>21.4 / 21.5</t>
        </is>
      </c>
      <c r="N54" s="8" t="n">
        <v>0.4</v>
      </c>
      <c r="O54" s="12" t="n"/>
      <c r="P54">
        <f>IF(O54="","",IF(O54&gt;G54,"OVER",IF(O54&lt;G54,"UNDER","PUSH")))</f>
        <v/>
      </c>
      <c r="Q54" t="n">
        <v>7.17</v>
      </c>
      <c r="R54" s="8" t="n">
        <v>0.2055</v>
      </c>
      <c r="S54" t="n">
        <v>0.9725</v>
      </c>
      <c r="T54" t="n">
        <v>7.7</v>
      </c>
      <c r="U54" t="n">
        <v>7.49</v>
      </c>
    </row>
    <row r="55">
      <c r="A55" t="inlineStr">
        <is>
          <t>2026-10-25 03:09</t>
        </is>
      </c>
      <c r="B55" t="inlineStr">
        <is>
          <t>2026-10-25</t>
        </is>
      </c>
      <c r="C55" t="inlineStr">
        <is>
          <t>CS2</t>
        </is>
      </c>
      <c r="D55" t="inlineStr">
        <is>
          <t>CS2 · AUR vs G2</t>
        </is>
      </c>
      <c r="E55" t="inlineStr">
        <is>
          <t>r1nkle</t>
        </is>
      </c>
      <c r="F55" t="inlineStr">
        <is>
          <t>Maps 1-2 Kills</t>
        </is>
      </c>
      <c r="G55" t="n">
        <v>27</v>
      </c>
      <c r="H55" t="n">
        <v>25.43</v>
      </c>
      <c r="I55" s="8" t="n">
        <v>0.3645</v>
      </c>
      <c r="J55" s="8" t="n">
        <v>0.571</v>
      </c>
      <c r="K55" t="inlineStr">
        <is>
          <t>Mirage / Inferno</t>
        </is>
      </c>
      <c r="L55" t="inlineStr">
        <is>
          <t>21.4 / 21.5</t>
        </is>
      </c>
      <c r="M55" t="n">
        <v>26.9</v>
      </c>
      <c r="N55" s="8" t="n">
        <v>0.4</v>
      </c>
      <c r="O55" s="12" t="n"/>
      <c r="P55">
        <f>IF(O55="","",IF(O55&gt;G55,"OVER",IF(O55&lt;G55,"UNDER","PUSH")))</f>
        <v/>
      </c>
      <c r="Q55" t="n">
        <v>24.76</v>
      </c>
      <c r="R55" s="8" t="n">
        <v>0.3207</v>
      </c>
      <c r="S55" t="n">
        <v>0.9735</v>
      </c>
      <c r="T55" t="n">
        <v>25.32</v>
      </c>
      <c r="U55" t="n">
        <v>24.63</v>
      </c>
    </row>
    <row r="56">
      <c r="A56" t="inlineStr">
        <is>
          <t>2026-10-25 03:09</t>
        </is>
      </c>
      <c r="B56" t="inlineStr">
        <is>
          <t>2026-10-25</t>
        </is>
      </c>
      <c r="C56" t="inlineStr">
        <is>
          <t>CS2</t>
        </is>
      </c>
      <c r="D56" t="inlineStr">
        <is>
          <t>CS2 · BB vs NEMI</t>
        </is>
      </c>
      <c r="E56" t="inlineStr">
        <is>
          <t>Boombl4</t>
        </is>
      </c>
      <c r="F56" t="inlineStr">
        <is>
          <t>Maps 1-2 HS</t>
        </is>
      </c>
      <c r="G56" t="n">
        <v>11.5</v>
      </c>
      <c r="H56" t="n">
        <v>9.85</v>
      </c>
      <c r="I56" s="8" t="n">
        <v>0.3144</v>
      </c>
      <c r="J56" s="8" t="n">
        <v>0.6856</v>
      </c>
      <c r="K56" t="inlineStr">
        <is>
          <t>Ancient / Mirage</t>
        </is>
      </c>
      <c r="L56" t="inlineStr">
        <is>
          <t>21.5 / 21.4</t>
        </is>
      </c>
      <c r="N56" s="8" t="n">
        <v>0.5</v>
      </c>
      <c r="O56" s="12" t="n"/>
      <c r="P56">
        <f>IF(O56="","",IF(O56&gt;G56,"OVER",IF(O56&lt;G56,"UNDER","PUSH")))</f>
        <v/>
      </c>
      <c r="Q56" t="n">
        <v>9.98</v>
      </c>
      <c r="R56" s="8" t="n">
        <v>0.3285</v>
      </c>
      <c r="S56" t="n">
        <v>1.0126</v>
      </c>
      <c r="T56" t="n">
        <v>10.65</v>
      </c>
      <c r="U56" t="n">
        <v>10.79</v>
      </c>
    </row>
    <row r="57">
      <c r="A57" t="inlineStr">
        <is>
          <t>2026-10-25 03:09</t>
        </is>
      </c>
      <c r="B57" t="inlineStr">
        <is>
          <t>2026-10-25</t>
        </is>
      </c>
      <c r="C57" t="inlineStr">
        <is>
          <t>CS2</t>
        </is>
      </c>
      <c r="D57" t="inlineStr">
        <is>
          <t>CS2 · BB vs NEMI</t>
        </is>
      </c>
      <c r="E57" t="inlineStr">
        <is>
          <t>Boombl4</t>
        </is>
      </c>
      <c r="F57" t="inlineStr">
        <is>
          <t>Maps 1-2 Kills</t>
        </is>
      </c>
      <c r="G57" t="n">
        <v>25</v>
      </c>
      <c r="H57" t="n">
        <v>22.28</v>
      </c>
      <c r="I57" s="8" t="n">
        <v>0.2823</v>
      </c>
      <c r="J57" s="8" t="n">
        <v>0.6544</v>
      </c>
      <c r="K57" t="inlineStr">
        <is>
          <t>Ancient / Mirage</t>
        </is>
      </c>
      <c r="L57" t="inlineStr">
        <is>
          <t>21.5 / 21.4</t>
        </is>
      </c>
      <c r="M57" t="n">
        <v>25.18</v>
      </c>
      <c r="N57" s="8" t="n">
        <v>0.4</v>
      </c>
      <c r="O57" s="12" t="n"/>
      <c r="P57">
        <f>IF(O57="","",IF(O57&gt;G57,"OVER",IF(O57&lt;G57,"UNDER","PUSH")))</f>
        <v/>
      </c>
      <c r="Q57" t="n">
        <v>22.56</v>
      </c>
      <c r="R57" s="8" t="n">
        <v>0.3007</v>
      </c>
      <c r="S57" t="n">
        <v>1.0126</v>
      </c>
      <c r="T57" t="n">
        <v>23.57</v>
      </c>
      <c r="U57" t="n">
        <v>23.87</v>
      </c>
    </row>
    <row r="58">
      <c r="A58" t="inlineStr">
        <is>
          <t>2026-10-25 03:09</t>
        </is>
      </c>
      <c r="B58" t="inlineStr">
        <is>
          <t>2026-10-25</t>
        </is>
      </c>
      <c r="C58" t="inlineStr">
        <is>
          <t>CS2</t>
        </is>
      </c>
      <c r="D58" t="inlineStr">
        <is>
          <t>CS2 · BB vs NEMI</t>
        </is>
      </c>
      <c r="E58" t="inlineStr">
        <is>
          <t>d1Ledez</t>
        </is>
      </c>
      <c r="F58" t="inlineStr">
        <is>
          <t>Maps 1-2 HS</t>
        </is>
      </c>
      <c r="G58" t="n">
        <v>17.5</v>
      </c>
      <c r="H58" t="n">
        <v>16.13</v>
      </c>
      <c r="I58" s="8" t="n">
        <v>0.379</v>
      </c>
      <c r="J58" s="8" t="n">
        <v>0.621</v>
      </c>
      <c r="K58" t="inlineStr">
        <is>
          <t>Ancient / Mirage</t>
        </is>
      </c>
      <c r="L58" t="inlineStr">
        <is>
          <t>21.5 / 21.4</t>
        </is>
      </c>
      <c r="N58" s="8" t="n">
        <v>0.6</v>
      </c>
      <c r="O58" s="12" t="n"/>
      <c r="P58">
        <f>IF(O58="","",IF(O58&gt;G58,"OVER",IF(O58&lt;G58,"UNDER","PUSH")))</f>
        <v/>
      </c>
      <c r="Q58" t="n">
        <v>16.33</v>
      </c>
      <c r="R58" s="8" t="n">
        <v>0.3971</v>
      </c>
      <c r="S58" t="n">
        <v>1.0126</v>
      </c>
      <c r="T58" t="n">
        <v>16.77</v>
      </c>
      <c r="U58" t="n">
        <v>16.98</v>
      </c>
    </row>
    <row r="59">
      <c r="A59" t="inlineStr">
        <is>
          <t>2026-10-25 03:09</t>
        </is>
      </c>
      <c r="B59" t="inlineStr">
        <is>
          <t>2026-10-25</t>
        </is>
      </c>
      <c r="C59" t="inlineStr">
        <is>
          <t>CS2</t>
        </is>
      </c>
      <c r="D59" t="inlineStr">
        <is>
          <t>CS2 · BB vs NEMI</t>
        </is>
      </c>
      <c r="E59" t="inlineStr">
        <is>
          <t>d1Ledez</t>
        </is>
      </c>
      <c r="F59" t="inlineStr">
        <is>
          <t>Maps 1-2 Kills</t>
        </is>
      </c>
      <c r="G59" t="n">
        <v>30.5</v>
      </c>
      <c r="H59" t="n">
        <v>28.98</v>
      </c>
      <c r="I59" s="8" t="n">
        <v>0.4057</v>
      </c>
      <c r="J59" s="8" t="n">
        <v>0.5943000000000001</v>
      </c>
      <c r="K59" t="inlineStr">
        <is>
          <t>Ancient / Mirage</t>
        </is>
      </c>
      <c r="L59" t="inlineStr">
        <is>
          <t>21.5 / 21.4</t>
        </is>
      </c>
      <c r="M59" t="n">
        <v>29.18</v>
      </c>
      <c r="N59" s="8" t="n">
        <v>0.6</v>
      </c>
      <c r="O59" s="12" t="n"/>
      <c r="P59">
        <f>IF(O59="","",IF(O59&gt;G59,"OVER",IF(O59&lt;G59,"UNDER","PUSH")))</f>
        <v/>
      </c>
      <c r="Q59" t="n">
        <v>29.34</v>
      </c>
      <c r="R59" s="8" t="n">
        <v>0.4284</v>
      </c>
      <c r="S59" t="n">
        <v>1.0126</v>
      </c>
      <c r="T59" t="n">
        <v>28.72</v>
      </c>
      <c r="U59" t="n">
        <v>29.08</v>
      </c>
    </row>
    <row r="60">
      <c r="A60" t="inlineStr">
        <is>
          <t>2026-10-25 03:09</t>
        </is>
      </c>
      <c r="B60" t="inlineStr">
        <is>
          <t>2026-10-25</t>
        </is>
      </c>
      <c r="C60" t="inlineStr">
        <is>
          <t>CS2</t>
        </is>
      </c>
      <c r="D60" t="inlineStr">
        <is>
          <t>CS2 · BB vs NEMI</t>
        </is>
      </c>
      <c r="E60" t="inlineStr">
        <is>
          <t>Magnojez</t>
        </is>
      </c>
      <c r="F60" t="inlineStr">
        <is>
          <t>Maps 1-2 HS</t>
        </is>
      </c>
      <c r="G60" t="n">
        <v>16.5</v>
      </c>
      <c r="H60" t="n">
        <v>17.44</v>
      </c>
      <c r="I60" s="8" t="n">
        <v>0.5805</v>
      </c>
      <c r="J60" s="8" t="n">
        <v>0.4195</v>
      </c>
      <c r="K60" t="inlineStr">
        <is>
          <t>Ancient / Mirage</t>
        </is>
      </c>
      <c r="L60" t="inlineStr">
        <is>
          <t>21.5 / 21.4</t>
        </is>
      </c>
      <c r="N60" s="8" t="n">
        <v>0.5</v>
      </c>
      <c r="O60" s="12" t="n"/>
      <c r="P60">
        <f>IF(O60="","",IF(O60&gt;G60,"OVER",IF(O60&lt;G60,"UNDER","PUSH")))</f>
        <v/>
      </c>
      <c r="Q60" t="n">
        <v>17.66</v>
      </c>
      <c r="R60" s="8" t="n">
        <v>0.5985</v>
      </c>
      <c r="S60" t="n">
        <v>1.0126</v>
      </c>
      <c r="T60" t="n">
        <v>16.36</v>
      </c>
      <c r="U60" t="n">
        <v>16.56</v>
      </c>
    </row>
    <row r="61">
      <c r="A61" t="inlineStr">
        <is>
          <t>2026-10-25 03:09</t>
        </is>
      </c>
      <c r="B61" t="inlineStr">
        <is>
          <t>2026-10-25</t>
        </is>
      </c>
      <c r="C61" t="inlineStr">
        <is>
          <t>CS2</t>
        </is>
      </c>
      <c r="D61" t="inlineStr">
        <is>
          <t>CS2 · BB vs NEMI</t>
        </is>
      </c>
      <c r="E61" t="inlineStr">
        <is>
          <t>Magnojez</t>
        </is>
      </c>
      <c r="F61" t="inlineStr">
        <is>
          <t>Maps 1-2 Kills</t>
        </is>
      </c>
      <c r="G61" t="n">
        <v>32.5</v>
      </c>
      <c r="H61" t="n">
        <v>32.18</v>
      </c>
      <c r="I61" s="8" t="n">
        <v>0.4811</v>
      </c>
      <c r="J61" s="8" t="n">
        <v>0.5189</v>
      </c>
      <c r="K61" t="inlineStr">
        <is>
          <t>Ancient / Mirage</t>
        </is>
      </c>
      <c r="L61" t="inlineStr">
        <is>
          <t>21.5 / 21.4</t>
        </is>
      </c>
      <c r="M61" t="n">
        <v>33</v>
      </c>
      <c r="N61" s="8" t="n">
        <v>0.4</v>
      </c>
      <c r="O61" s="12" t="n"/>
      <c r="P61">
        <f>IF(O61="","",IF(O61&gt;G61,"OVER",IF(O61&lt;G61,"UNDER","PUSH")))</f>
        <v/>
      </c>
      <c r="Q61" t="n">
        <v>32.59</v>
      </c>
      <c r="R61" s="8" t="n">
        <v>0.5053</v>
      </c>
      <c r="S61" t="n">
        <v>1.0127</v>
      </c>
      <c r="T61" t="n">
        <v>30.86</v>
      </c>
      <c r="U61" t="n">
        <v>31.25</v>
      </c>
    </row>
    <row r="62">
      <c r="A62" t="inlineStr">
        <is>
          <t>2026-10-25 03:09</t>
        </is>
      </c>
      <c r="B62" t="inlineStr">
        <is>
          <t>2026-10-25</t>
        </is>
      </c>
      <c r="C62" t="inlineStr">
        <is>
          <t>CS2</t>
        </is>
      </c>
      <c r="D62" t="inlineStr">
        <is>
          <t>CS2 · BB vs NEMI</t>
        </is>
      </c>
      <c r="E62" t="inlineStr">
        <is>
          <t>s1ren</t>
        </is>
      </c>
      <c r="F62" t="inlineStr">
        <is>
          <t>Maps 1-2 HS</t>
        </is>
      </c>
      <c r="G62" t="n">
        <v>17</v>
      </c>
      <c r="H62" t="n">
        <v>16.37</v>
      </c>
      <c r="I62" s="8" t="n">
        <v>0.4003</v>
      </c>
      <c r="J62" s="8" t="n">
        <v>0.5117</v>
      </c>
      <c r="K62" t="inlineStr">
        <is>
          <t>Ancient / Mirage</t>
        </is>
      </c>
      <c r="L62" t="inlineStr">
        <is>
          <t>21.5 / 21.4</t>
        </is>
      </c>
      <c r="N62" s="8" t="n">
        <v>0.5</v>
      </c>
      <c r="O62" s="12" t="n"/>
      <c r="P62">
        <f>IF(O62="","",IF(O62&gt;G62,"OVER",IF(O62&lt;G62,"UNDER","PUSH")))</f>
        <v/>
      </c>
      <c r="Q62" t="n">
        <v>16.57</v>
      </c>
      <c r="R62" s="8" t="n">
        <v>0.4187</v>
      </c>
      <c r="S62" t="n">
        <v>1.0126</v>
      </c>
      <c r="T62" t="n">
        <v>16.54</v>
      </c>
      <c r="U62" t="n">
        <v>16.75</v>
      </c>
    </row>
    <row r="63">
      <c r="A63" t="inlineStr">
        <is>
          <t>2026-10-25 03:09</t>
        </is>
      </c>
      <c r="B63" t="inlineStr">
        <is>
          <t>2026-10-25</t>
        </is>
      </c>
      <c r="C63" t="inlineStr">
        <is>
          <t>CS2</t>
        </is>
      </c>
      <c r="D63" t="inlineStr">
        <is>
          <t>CS2 · BB vs NEMI</t>
        </is>
      </c>
      <c r="E63" t="inlineStr">
        <is>
          <t>s1ren</t>
        </is>
      </c>
      <c r="F63" t="inlineStr">
        <is>
          <t>Maps 1-2 Kills</t>
        </is>
      </c>
      <c r="G63" t="n">
        <v>29.5</v>
      </c>
      <c r="H63" t="n">
        <v>29.02</v>
      </c>
      <c r="I63" s="8" t="n">
        <v>0.4698</v>
      </c>
      <c r="J63" s="8" t="n">
        <v>0.5302</v>
      </c>
      <c r="K63" t="inlineStr">
        <is>
          <t>Ancient / Mirage</t>
        </is>
      </c>
      <c r="L63" t="inlineStr">
        <is>
          <t>21.5 / 21.4</t>
        </is>
      </c>
      <c r="M63" t="n">
        <v>28</v>
      </c>
      <c r="N63" s="8" t="n">
        <v>0.5</v>
      </c>
      <c r="O63" s="12" t="n"/>
      <c r="P63">
        <f>IF(O63="","",IF(O63&gt;G63,"OVER",IF(O63&lt;G63,"UNDER","PUSH")))</f>
        <v/>
      </c>
      <c r="Q63" t="n">
        <v>29.38</v>
      </c>
      <c r="R63" s="8" t="n">
        <v>0.4927</v>
      </c>
      <c r="S63" t="n">
        <v>1.0126</v>
      </c>
      <c r="T63" t="n">
        <v>28.72</v>
      </c>
      <c r="U63" t="n">
        <v>29.08</v>
      </c>
    </row>
    <row r="64">
      <c r="A64" t="inlineStr">
        <is>
          <t>2026-10-25 03:09</t>
        </is>
      </c>
      <c r="B64" t="inlineStr">
        <is>
          <t>2026-10-25</t>
        </is>
      </c>
      <c r="C64" t="inlineStr">
        <is>
          <t>CS2</t>
        </is>
      </c>
      <c r="D64" t="inlineStr">
        <is>
          <t>CS2 · BB vs NEMI</t>
        </is>
      </c>
      <c r="E64" t="inlineStr">
        <is>
          <t>zorte</t>
        </is>
      </c>
      <c r="F64" t="inlineStr">
        <is>
          <t>Maps 1-2 HS</t>
        </is>
      </c>
      <c r="G64" t="n">
        <v>10</v>
      </c>
      <c r="H64" t="n">
        <v>8.49</v>
      </c>
      <c r="I64" s="8" t="n">
        <v>0.2572</v>
      </c>
      <c r="J64" s="8" t="n">
        <v>0.6281</v>
      </c>
      <c r="K64" t="inlineStr">
        <is>
          <t>Ancient / Mirage</t>
        </is>
      </c>
      <c r="L64" t="inlineStr">
        <is>
          <t>21.5 / 21.4</t>
        </is>
      </c>
      <c r="N64" s="8" t="n">
        <v>0.4</v>
      </c>
      <c r="O64" s="12" t="n"/>
      <c r="P64">
        <f>IF(O64="","",IF(O64&gt;G64,"OVER",IF(O64&lt;G64,"UNDER","PUSH")))</f>
        <v/>
      </c>
      <c r="Q64" t="n">
        <v>8.6</v>
      </c>
      <c r="R64" s="8" t="n">
        <v>0.2699</v>
      </c>
      <c r="S64" t="n">
        <v>1.0126</v>
      </c>
      <c r="T64" t="n">
        <v>9.199999999999999</v>
      </c>
      <c r="U64" t="n">
        <v>9.31</v>
      </c>
    </row>
    <row r="65">
      <c r="A65" t="inlineStr">
        <is>
          <t>2026-10-25 03:09</t>
        </is>
      </c>
      <c r="B65" t="inlineStr">
        <is>
          <t>2026-10-25</t>
        </is>
      </c>
      <c r="C65" t="inlineStr">
        <is>
          <t>CS2</t>
        </is>
      </c>
      <c r="D65" t="inlineStr">
        <is>
          <t>CS2 · BB vs NEMI</t>
        </is>
      </c>
      <c r="E65" t="inlineStr">
        <is>
          <t>zorte</t>
        </is>
      </c>
      <c r="F65" t="inlineStr">
        <is>
          <t>Maps 1-2 Kills</t>
        </is>
      </c>
      <c r="G65" t="n">
        <v>30.5</v>
      </c>
      <c r="H65" t="n">
        <v>29.87</v>
      </c>
      <c r="I65" s="8" t="n">
        <v>0.461</v>
      </c>
      <c r="J65" s="8" t="n">
        <v>0.539</v>
      </c>
      <c r="K65" t="inlineStr">
        <is>
          <t>Ancient / Mirage</t>
        </is>
      </c>
      <c r="L65" t="inlineStr">
        <is>
          <t>21.5 / 21.4</t>
        </is>
      </c>
      <c r="M65" t="n">
        <v>29.24</v>
      </c>
      <c r="N65" s="8" t="n">
        <v>0.5</v>
      </c>
      <c r="O65" s="12" t="n"/>
      <c r="P65">
        <f>IF(O65="","",IF(O65&gt;G65,"OVER",IF(O65&lt;G65,"UNDER","PUSH")))</f>
        <v/>
      </c>
      <c r="Q65" t="n">
        <v>30.24</v>
      </c>
      <c r="R65" s="8" t="n">
        <v>0.4843</v>
      </c>
      <c r="S65" t="n">
        <v>1.0126</v>
      </c>
      <c r="T65" t="n">
        <v>29.57</v>
      </c>
      <c r="U65" t="n">
        <v>29.95</v>
      </c>
    </row>
    <row r="66">
      <c r="A66" t="inlineStr">
        <is>
          <t>2026-10-25 03:09</t>
        </is>
      </c>
      <c r="B66" t="inlineStr">
        <is>
          <t>2026-10-25</t>
        </is>
      </c>
      <c r="C66" t="inlineStr">
        <is>
          <t>CS2</t>
        </is>
      </c>
      <c r="D66" t="inlineStr">
        <is>
          <t>CS2 · BB vs NEMI</t>
        </is>
      </c>
      <c r="E66" t="inlineStr">
        <is>
          <t>KaiR0N</t>
        </is>
      </c>
      <c r="F66" t="inlineStr">
        <is>
          <t>Maps 1-2 HS</t>
        </is>
      </c>
      <c r="G66" t="n">
        <v>18</v>
      </c>
      <c r="H66" t="n">
        <v>19.96</v>
      </c>
      <c r="I66" s="8" t="n">
        <v>0.615</v>
      </c>
      <c r="J66" s="8" t="n">
        <v>0.3109</v>
      </c>
      <c r="K66" t="inlineStr">
        <is>
          <t>Ancient / Mirage</t>
        </is>
      </c>
      <c r="L66" t="inlineStr">
        <is>
          <t>21.5 / 21.4</t>
        </is>
      </c>
      <c r="N66" s="8" t="n">
        <v>0.7</v>
      </c>
      <c r="O66" s="12" t="n"/>
      <c r="P66">
        <f>IF(O66="","",IF(O66&gt;G66,"OVER",IF(O66&lt;G66,"UNDER","PUSH")))</f>
        <v/>
      </c>
      <c r="Q66" t="n">
        <v>19.12</v>
      </c>
      <c r="R66" s="8" t="n">
        <v>0.551</v>
      </c>
      <c r="S66" t="n">
        <v>0.9584</v>
      </c>
      <c r="T66" t="n">
        <v>19.73</v>
      </c>
      <c r="U66" t="n">
        <v>18.91</v>
      </c>
    </row>
    <row r="67">
      <c r="A67" t="inlineStr">
        <is>
          <t>2026-10-25 03:09</t>
        </is>
      </c>
      <c r="B67" t="inlineStr">
        <is>
          <t>2026-10-25</t>
        </is>
      </c>
      <c r="C67" t="inlineStr">
        <is>
          <t>CS2</t>
        </is>
      </c>
      <c r="D67" t="inlineStr">
        <is>
          <t>CS2 · BB vs NEMI</t>
        </is>
      </c>
      <c r="E67" t="inlineStr">
        <is>
          <t>KaiR0N</t>
        </is>
      </c>
      <c r="F67" t="inlineStr">
        <is>
          <t>Maps 1-2 Kills</t>
        </is>
      </c>
      <c r="G67" t="n">
        <v>29.5</v>
      </c>
      <c r="H67" t="n">
        <v>33.11</v>
      </c>
      <c r="I67" s="8" t="n">
        <v>0.702</v>
      </c>
      <c r="J67" s="8" t="n">
        <v>0.298</v>
      </c>
      <c r="K67" t="inlineStr">
        <is>
          <t>Ancient / Mirage</t>
        </is>
      </c>
      <c r="L67" t="inlineStr">
        <is>
          <t>21.5 / 21.4</t>
        </is>
      </c>
      <c r="N67" s="8" t="n">
        <v>0.6</v>
      </c>
      <c r="O67" s="12" t="n"/>
      <c r="P67">
        <f>IF(O67="","",IF(O67&gt;G67,"OVER",IF(O67&lt;G67,"UNDER","PUSH")))</f>
        <v/>
      </c>
      <c r="Q67" t="n">
        <v>31.73</v>
      </c>
      <c r="R67" s="8" t="n">
        <v>0.6312</v>
      </c>
      <c r="S67" t="n">
        <v>0.9584</v>
      </c>
      <c r="T67" t="n">
        <v>31.72</v>
      </c>
      <c r="U67" t="n">
        <v>30.4</v>
      </c>
    </row>
    <row r="68">
      <c r="A68" t="inlineStr">
        <is>
          <t>2026-10-25 03:09</t>
        </is>
      </c>
      <c r="B68" t="inlineStr">
        <is>
          <t>2026-10-25</t>
        </is>
      </c>
      <c r="C68" t="inlineStr">
        <is>
          <t>CS2</t>
        </is>
      </c>
      <c r="D68" t="inlineStr">
        <is>
          <t>CS2 · BB vs NEMI</t>
        </is>
      </c>
      <c r="E68" t="inlineStr">
        <is>
          <t>khaN</t>
        </is>
      </c>
      <c r="F68" t="inlineStr">
        <is>
          <t>Maps 1-2 HS</t>
        </is>
      </c>
      <c r="G68" t="n">
        <v>9.5</v>
      </c>
      <c r="H68" t="n">
        <v>8.199999999999999</v>
      </c>
      <c r="I68" s="8" t="n">
        <v>0.334</v>
      </c>
      <c r="J68" s="8" t="n">
        <v>0.666</v>
      </c>
      <c r="K68" t="inlineStr">
        <is>
          <t>Ancient / Mirage</t>
        </is>
      </c>
      <c r="L68" t="inlineStr">
        <is>
          <t>21.5 / 21.4</t>
        </is>
      </c>
      <c r="N68" s="8" t="n">
        <v>0.5</v>
      </c>
      <c r="O68" s="12" t="n"/>
      <c r="P68">
        <f>IF(O68="","",IF(O68&gt;G68,"OVER",IF(O68&lt;G68,"UNDER","PUSH")))</f>
        <v/>
      </c>
      <c r="Q68" t="n">
        <v>7.86</v>
      </c>
      <c r="R68" s="8" t="n">
        <v>0.29</v>
      </c>
      <c r="S68" t="n">
        <v>0.9584</v>
      </c>
      <c r="T68" t="n">
        <v>9.26</v>
      </c>
      <c r="U68" t="n">
        <v>8.869999999999999</v>
      </c>
    </row>
    <row r="69">
      <c r="A69" t="inlineStr">
        <is>
          <t>2026-10-25 03:09</t>
        </is>
      </c>
      <c r="B69" t="inlineStr">
        <is>
          <t>2026-10-25</t>
        </is>
      </c>
      <c r="C69" t="inlineStr">
        <is>
          <t>CS2</t>
        </is>
      </c>
      <c r="D69" t="inlineStr">
        <is>
          <t>CS2 · BB vs NEMI</t>
        </is>
      </c>
      <c r="E69" t="inlineStr">
        <is>
          <t>khaN</t>
        </is>
      </c>
      <c r="F69" t="inlineStr">
        <is>
          <t>Maps 1-2 Kills</t>
        </is>
      </c>
      <c r="G69" t="n">
        <v>28</v>
      </c>
      <c r="H69" t="n">
        <v>28.51</v>
      </c>
      <c r="I69" s="8" t="n">
        <v>0.5009</v>
      </c>
      <c r="J69" s="8" t="n">
        <v>0.4362</v>
      </c>
      <c r="K69" t="inlineStr">
        <is>
          <t>Ancient / Mirage</t>
        </is>
      </c>
      <c r="L69" t="inlineStr">
        <is>
          <t>21.5 / 21.4</t>
        </is>
      </c>
      <c r="M69" t="n">
        <v>28.4</v>
      </c>
      <c r="N69" s="8" t="n">
        <v>0.7</v>
      </c>
      <c r="O69" s="12" t="n"/>
      <c r="P69">
        <f>IF(O69="","",IF(O69&gt;G69,"OVER",IF(O69&lt;G69,"UNDER","PUSH")))</f>
        <v/>
      </c>
      <c r="Q69" t="n">
        <v>27.33</v>
      </c>
      <c r="R69" s="8" t="n">
        <v>0.4249</v>
      </c>
      <c r="S69" t="n">
        <v>0.9584</v>
      </c>
      <c r="T69" t="n">
        <v>29.57</v>
      </c>
      <c r="U69" t="n">
        <v>28.34</v>
      </c>
    </row>
    <row r="70">
      <c r="A70" t="inlineStr">
        <is>
          <t>2026-10-25 03:09</t>
        </is>
      </c>
      <c r="B70" t="inlineStr">
        <is>
          <t>2026-10-25</t>
        </is>
      </c>
      <c r="C70" t="inlineStr">
        <is>
          <t>CS2</t>
        </is>
      </c>
      <c r="D70" t="inlineStr">
        <is>
          <t>CS2 · BB vs NEMI</t>
        </is>
      </c>
      <c r="E70" t="inlineStr">
        <is>
          <t>robo</t>
        </is>
      </c>
      <c r="F70" t="inlineStr">
        <is>
          <t>Maps 1-2 HS</t>
        </is>
      </c>
      <c r="G70" t="n">
        <v>14.5</v>
      </c>
      <c r="H70" t="n">
        <v>15.13</v>
      </c>
      <c r="I70" s="8" t="n">
        <v>0.5579</v>
      </c>
      <c r="J70" s="8" t="n">
        <v>0.4421</v>
      </c>
      <c r="K70" t="inlineStr">
        <is>
          <t>Ancient / Mirage</t>
        </is>
      </c>
      <c r="L70" t="inlineStr">
        <is>
          <t>21.5 / 21.4</t>
        </is>
      </c>
      <c r="N70" s="8" t="n">
        <v>0.9</v>
      </c>
      <c r="O70" s="12" t="n"/>
      <c r="P70">
        <f>IF(O70="","",IF(O70&gt;G70,"OVER",IF(O70&lt;G70,"UNDER","PUSH")))</f>
        <v/>
      </c>
      <c r="Q70" t="n">
        <v>14.5</v>
      </c>
      <c r="R70" s="8" t="n">
        <v>0.4996</v>
      </c>
      <c r="S70" t="n">
        <v>0.9584</v>
      </c>
      <c r="T70" t="n">
        <v>14.88</v>
      </c>
      <c r="U70" t="n">
        <v>14.26</v>
      </c>
    </row>
    <row r="71">
      <c r="A71" t="inlineStr">
        <is>
          <t>2026-10-25 03:09</t>
        </is>
      </c>
      <c r="B71" t="inlineStr">
        <is>
          <t>2026-10-25</t>
        </is>
      </c>
      <c r="C71" t="inlineStr">
        <is>
          <t>CS2</t>
        </is>
      </c>
      <c r="D71" t="inlineStr">
        <is>
          <t>CS2 · BB vs NEMI</t>
        </is>
      </c>
      <c r="E71" t="inlineStr">
        <is>
          <t>robo</t>
        </is>
      </c>
      <c r="F71" t="inlineStr">
        <is>
          <t>Maps 1-2 Kills</t>
        </is>
      </c>
      <c r="G71" t="n">
        <v>26</v>
      </c>
      <c r="H71" t="n">
        <v>27.79</v>
      </c>
      <c r="I71" s="8" t="n">
        <v>0.5819</v>
      </c>
      <c r="J71" s="8" t="n">
        <v>0.3568</v>
      </c>
      <c r="K71" t="inlineStr">
        <is>
          <t>Ancient / Mirage</t>
        </is>
      </c>
      <c r="L71" t="inlineStr">
        <is>
          <t>21.5 / 21.4</t>
        </is>
      </c>
      <c r="M71" t="n">
        <v>26.11</v>
      </c>
      <c r="N71" s="8" t="n">
        <v>0.9</v>
      </c>
      <c r="O71" s="12" t="n"/>
      <c r="P71">
        <f>IF(O71="","",IF(O71&gt;G71,"OVER",IF(O71&lt;G71,"UNDER","PUSH")))</f>
        <v/>
      </c>
      <c r="Q71" t="n">
        <v>26.63</v>
      </c>
      <c r="R71" s="8" t="n">
        <v>0.5087</v>
      </c>
      <c r="S71" t="n">
        <v>0.9584</v>
      </c>
      <c r="T71" t="n">
        <v>28.29</v>
      </c>
      <c r="U71" t="n">
        <v>27.11</v>
      </c>
    </row>
    <row r="72">
      <c r="A72" t="inlineStr">
        <is>
          <t>2026-10-25 03:09</t>
        </is>
      </c>
      <c r="B72" t="inlineStr">
        <is>
          <t>2026-10-25</t>
        </is>
      </c>
      <c r="C72" t="inlineStr">
        <is>
          <t>CS2</t>
        </is>
      </c>
      <c r="D72" t="inlineStr">
        <is>
          <t>CS2 · BB vs NEMI</t>
        </is>
      </c>
      <c r="E72" t="inlineStr">
        <is>
          <t>syph0</t>
        </is>
      </c>
      <c r="F72" t="inlineStr">
        <is>
          <t>Maps 1-2 HS</t>
        </is>
      </c>
      <c r="G72" t="n">
        <v>15.5</v>
      </c>
      <c r="H72" t="n">
        <v>17.3</v>
      </c>
      <c r="I72" s="8" t="n">
        <v>0.6524</v>
      </c>
      <c r="J72" s="8" t="n">
        <v>0.3476</v>
      </c>
      <c r="K72" t="inlineStr">
        <is>
          <t>Ancient / Mirage</t>
        </is>
      </c>
      <c r="L72" t="inlineStr">
        <is>
          <t>21.5 / 21.4</t>
        </is>
      </c>
      <c r="N72" s="8" t="n">
        <v>0.8</v>
      </c>
      <c r="O72" s="12" t="n"/>
      <c r="P72">
        <f>IF(O72="","",IF(O72&gt;G72,"OVER",IF(O72&lt;G72,"UNDER","PUSH")))</f>
        <v/>
      </c>
      <c r="Q72" t="n">
        <v>16.58</v>
      </c>
      <c r="R72" s="8" t="n">
        <v>0.595</v>
      </c>
      <c r="S72" t="n">
        <v>0.9585</v>
      </c>
      <c r="T72" t="n">
        <v>16.74</v>
      </c>
      <c r="U72" t="n">
        <v>16.04</v>
      </c>
    </row>
    <row r="73">
      <c r="A73" t="inlineStr">
        <is>
          <t>2026-10-25 03:09</t>
        </is>
      </c>
      <c r="B73" t="inlineStr">
        <is>
          <t>2026-10-25</t>
        </is>
      </c>
      <c r="C73" t="inlineStr">
        <is>
          <t>CS2</t>
        </is>
      </c>
      <c r="D73" t="inlineStr">
        <is>
          <t>CS2 · BB vs NEMI</t>
        </is>
      </c>
      <c r="E73" t="inlineStr">
        <is>
          <t>syph0</t>
        </is>
      </c>
      <c r="F73" t="inlineStr">
        <is>
          <t>Maps 1-2 Kills</t>
        </is>
      </c>
      <c r="G73" t="n">
        <v>28</v>
      </c>
      <c r="H73" t="n">
        <v>31.95</v>
      </c>
      <c r="I73" s="8" t="n">
        <v>0.697</v>
      </c>
      <c r="J73" s="8" t="n">
        <v>0.2529</v>
      </c>
      <c r="K73" t="inlineStr">
        <is>
          <t>Ancient / Mirage</t>
        </is>
      </c>
      <c r="L73" t="inlineStr">
        <is>
          <t>21.5 / 21.4</t>
        </is>
      </c>
      <c r="M73" t="n">
        <v>28.15</v>
      </c>
      <c r="N73" s="8" t="n">
        <v>0.9</v>
      </c>
      <c r="O73" s="12" t="n"/>
      <c r="P73">
        <f>IF(O73="","",IF(O73&gt;G73,"OVER",IF(O73&lt;G73,"UNDER","PUSH")))</f>
        <v/>
      </c>
      <c r="Q73" t="n">
        <v>30.62</v>
      </c>
      <c r="R73" s="8" t="n">
        <v>0.627</v>
      </c>
      <c r="S73" t="n">
        <v>0.9584</v>
      </c>
      <c r="T73" t="n">
        <v>31.29</v>
      </c>
      <c r="U73" t="n">
        <v>29.99</v>
      </c>
    </row>
    <row r="74">
      <c r="A74" t="inlineStr">
        <is>
          <t>2026-10-25 03:09</t>
        </is>
      </c>
      <c r="B74" t="inlineStr">
        <is>
          <t>2026-10-25</t>
        </is>
      </c>
      <c r="C74" t="inlineStr">
        <is>
          <t>CS2</t>
        </is>
      </c>
      <c r="D74" t="inlineStr">
        <is>
          <t>CS2 · BB vs NEMI</t>
        </is>
      </c>
      <c r="E74" t="inlineStr">
        <is>
          <t>Xant3r</t>
        </is>
      </c>
      <c r="F74" t="inlineStr">
        <is>
          <t>Maps 1-2 HS</t>
        </is>
      </c>
      <c r="G74" t="n">
        <v>14.5</v>
      </c>
      <c r="H74" t="n">
        <v>17.45</v>
      </c>
      <c r="I74" s="8" t="n">
        <v>0.7383999999999999</v>
      </c>
      <c r="J74" s="8" t="n">
        <v>0.2616</v>
      </c>
      <c r="K74" t="inlineStr">
        <is>
          <t>Ancient / Mirage</t>
        </is>
      </c>
      <c r="L74" t="inlineStr">
        <is>
          <t>21.5 / 21.4</t>
        </is>
      </c>
      <c r="N74" s="8" t="n">
        <v>0.7</v>
      </c>
      <c r="O74" s="12" t="n"/>
      <c r="P74">
        <f>IF(O74="","",IF(O74&gt;G74,"OVER",IF(O74&lt;G74,"UNDER","PUSH")))</f>
        <v/>
      </c>
      <c r="Q74" t="n">
        <v>16.73</v>
      </c>
      <c r="R74" s="8" t="n">
        <v>0.6886</v>
      </c>
      <c r="S74" t="n">
        <v>0.9584</v>
      </c>
      <c r="T74" t="n">
        <v>17.08</v>
      </c>
      <c r="U74" t="n">
        <v>16.37</v>
      </c>
    </row>
    <row r="75">
      <c r="A75" t="inlineStr">
        <is>
          <t>2026-10-25 03:09</t>
        </is>
      </c>
      <c r="B75" t="inlineStr">
        <is>
          <t>2026-10-25</t>
        </is>
      </c>
      <c r="C75" t="inlineStr">
        <is>
          <t>CS2</t>
        </is>
      </c>
      <c r="D75" t="inlineStr">
        <is>
          <t>CS2 · BB vs NEMI</t>
        </is>
      </c>
      <c r="E75" t="inlineStr">
        <is>
          <t>Xant3r</t>
        </is>
      </c>
      <c r="F75" t="inlineStr">
        <is>
          <t>Maps 1-2 Kills</t>
        </is>
      </c>
      <c r="G75" t="n">
        <v>26.5</v>
      </c>
      <c r="H75" t="n">
        <v>30.83</v>
      </c>
      <c r="I75" s="8" t="n">
        <v>0.745</v>
      </c>
      <c r="J75" s="8" t="n">
        <v>0.255</v>
      </c>
      <c r="K75" t="inlineStr">
        <is>
          <t>Ancient / Mirage</t>
        </is>
      </c>
      <c r="L75" t="inlineStr">
        <is>
          <t>21.5 / 21.4</t>
        </is>
      </c>
      <c r="M75" t="n">
        <v>27.54</v>
      </c>
      <c r="N75" s="8" t="n">
        <v>0.9</v>
      </c>
      <c r="O75" s="12" t="n"/>
      <c r="P75">
        <f>IF(O75="","",IF(O75&gt;G75,"OVER",IF(O75&lt;G75,"UNDER","PUSH")))</f>
        <v/>
      </c>
      <c r="Q75" t="n">
        <v>29.55</v>
      </c>
      <c r="R75" s="8" t="n">
        <v>0.6822</v>
      </c>
      <c r="S75" t="n">
        <v>0.9584</v>
      </c>
      <c r="T75" t="n">
        <v>31.29</v>
      </c>
      <c r="U75" t="n">
        <v>29.99</v>
      </c>
    </row>
    <row r="76">
      <c r="A76" t="inlineStr">
        <is>
          <t>2026-10-25 03:09</t>
        </is>
      </c>
      <c r="B76" t="inlineStr">
        <is>
          <t>2026-10-25</t>
        </is>
      </c>
      <c r="C76" t="inlineStr">
        <is>
          <t>CS2</t>
        </is>
      </c>
      <c r="D76" t="inlineStr">
        <is>
          <t>CS2 · FORZE.R vs ex-RUSTEC</t>
        </is>
      </c>
      <c r="E76" t="inlineStr">
        <is>
          <t>HeCkBNk</t>
        </is>
      </c>
      <c r="F76" t="inlineStr">
        <is>
          <t>Maps 1-2 HS</t>
        </is>
      </c>
      <c r="G76" t="n">
        <v>19.5</v>
      </c>
      <c r="H76" t="n">
        <v>18.79</v>
      </c>
      <c r="I76" s="8" t="n">
        <v>0.4422</v>
      </c>
      <c r="J76" s="8" t="n">
        <v>0.5578</v>
      </c>
      <c r="K76" t="inlineStr">
        <is>
          <t>Dust2 / Nuke</t>
        </is>
      </c>
      <c r="L76" t="inlineStr">
        <is>
          <t>21.5 / 21.5</t>
        </is>
      </c>
      <c r="N76" s="8" t="n">
        <v>0.5</v>
      </c>
      <c r="O76" s="12" t="n"/>
      <c r="P76">
        <f>IF(O76="","",IF(O76&gt;G76,"OVER",IF(O76&lt;G76,"UNDER","PUSH")))</f>
        <v/>
      </c>
      <c r="Q76" t="n">
        <v>18.45</v>
      </c>
      <c r="R76" s="8" t="n">
        <v>0.4139</v>
      </c>
      <c r="S76" t="n">
        <v>0.9819</v>
      </c>
      <c r="T76" t="n">
        <v>20.56</v>
      </c>
      <c r="U76" t="n">
        <v>20.15</v>
      </c>
    </row>
    <row r="77">
      <c r="A77" t="inlineStr">
        <is>
          <t>2026-10-25 03:09</t>
        </is>
      </c>
      <c r="B77" t="inlineStr">
        <is>
          <t>2026-10-25</t>
        </is>
      </c>
      <c r="C77" t="inlineStr">
        <is>
          <t>CS2</t>
        </is>
      </c>
      <c r="D77" t="inlineStr">
        <is>
          <t>CS2 · FORZE.R vs ex-RUSTEC</t>
        </is>
      </c>
      <c r="E77" t="inlineStr">
        <is>
          <t>HeCkBNk</t>
        </is>
      </c>
      <c r="F77" t="inlineStr">
        <is>
          <t>Maps 1-2 Kills</t>
        </is>
      </c>
      <c r="G77" t="n">
        <v>32</v>
      </c>
      <c r="H77" t="n">
        <v>29.27</v>
      </c>
      <c r="I77" s="8" t="n">
        <v>0.3072</v>
      </c>
      <c r="J77" s="8" t="n">
        <v>0.636</v>
      </c>
      <c r="K77" t="inlineStr">
        <is>
          <t>Dust2 / Nuke</t>
        </is>
      </c>
      <c r="L77" t="inlineStr">
        <is>
          <t>21.5 / 21.5</t>
        </is>
      </c>
      <c r="N77" s="8" t="n">
        <v>0.3</v>
      </c>
      <c r="O77" s="12" t="n"/>
      <c r="P77">
        <f>IF(O77="","",IF(O77&gt;G77,"OVER",IF(O77&lt;G77,"UNDER","PUSH")))</f>
        <v/>
      </c>
      <c r="Q77" t="n">
        <v>28.73</v>
      </c>
      <c r="R77" s="8" t="n">
        <v>0.2762</v>
      </c>
      <c r="S77" t="n">
        <v>0.9815</v>
      </c>
      <c r="T77" t="n">
        <v>31.39</v>
      </c>
      <c r="U77" t="n">
        <v>30.76</v>
      </c>
    </row>
    <row r="78">
      <c r="A78" t="inlineStr">
        <is>
          <t>2026-10-25 03:09</t>
        </is>
      </c>
      <c r="B78" t="inlineStr">
        <is>
          <t>2026-10-25</t>
        </is>
      </c>
      <c r="C78" t="inlineStr">
        <is>
          <t>CS2</t>
        </is>
      </c>
      <c r="D78" t="inlineStr">
        <is>
          <t>CS2 · FORZE.R vs ex-RUSTEC</t>
        </is>
      </c>
      <c r="E78" t="inlineStr">
        <is>
          <t>KusMe</t>
        </is>
      </c>
      <c r="F78" t="inlineStr">
        <is>
          <t>Maps 1-2 HS</t>
        </is>
      </c>
      <c r="G78" t="n">
        <v>16</v>
      </c>
      <c r="H78" t="n">
        <v>14.61</v>
      </c>
      <c r="I78" s="8" t="n">
        <v>0.3258</v>
      </c>
      <c r="J78" s="8" t="n">
        <v>0.5843</v>
      </c>
      <c r="K78" t="inlineStr">
        <is>
          <t>Dust2 / Nuke</t>
        </is>
      </c>
      <c r="L78" t="inlineStr">
        <is>
          <t>21.5 / 21.5</t>
        </is>
      </c>
      <c r="N78" s="8" t="n">
        <v>0.5</v>
      </c>
      <c r="O78" s="12" t="n"/>
      <c r="P78">
        <f>IF(O78="","",IF(O78&gt;G78,"OVER",IF(O78&lt;G78,"UNDER","PUSH")))</f>
        <v/>
      </c>
      <c r="Q78" t="n">
        <v>14.33</v>
      </c>
      <c r="R78" s="8" t="n">
        <v>0.3006</v>
      </c>
      <c r="S78" t="n">
        <v>0.981</v>
      </c>
      <c r="T78" t="n">
        <v>15.47</v>
      </c>
      <c r="U78" t="n">
        <v>15.16</v>
      </c>
    </row>
    <row r="79">
      <c r="A79" t="inlineStr">
        <is>
          <t>2026-10-25 03:09</t>
        </is>
      </c>
      <c r="B79" t="inlineStr">
        <is>
          <t>2026-10-25</t>
        </is>
      </c>
      <c r="C79" t="inlineStr">
        <is>
          <t>CS2</t>
        </is>
      </c>
      <c r="D79" t="inlineStr">
        <is>
          <t>CS2 · FORZE.R vs ex-RUSTEC</t>
        </is>
      </c>
      <c r="E79" t="inlineStr">
        <is>
          <t>KusMe</t>
        </is>
      </c>
      <c r="F79" t="inlineStr">
        <is>
          <t>Maps 1-2 Kills</t>
        </is>
      </c>
      <c r="G79" t="n">
        <v>29.5</v>
      </c>
      <c r="H79" t="n">
        <v>28.6</v>
      </c>
      <c r="I79" s="8" t="n">
        <v>0.4436</v>
      </c>
      <c r="J79" s="8" t="n">
        <v>0.5564</v>
      </c>
      <c r="K79" t="inlineStr">
        <is>
          <t>Dust2 / Nuke</t>
        </is>
      </c>
      <c r="L79" t="inlineStr">
        <is>
          <t>21.5 / 21.5</t>
        </is>
      </c>
      <c r="N79" s="8" t="n">
        <v>0.2</v>
      </c>
      <c r="O79" s="12" t="n"/>
      <c r="P79">
        <f>IF(O79="","",IF(O79&gt;G79,"OVER",IF(O79&lt;G79,"UNDER","PUSH")))</f>
        <v/>
      </c>
      <c r="Q79" t="n">
        <v>28.05</v>
      </c>
      <c r="R79" s="8" t="n">
        <v>0.4085</v>
      </c>
      <c r="S79" t="n">
        <v>0.9807</v>
      </c>
      <c r="T79" t="n">
        <v>29.24</v>
      </c>
      <c r="U79" t="n">
        <v>28.66</v>
      </c>
    </row>
    <row r="80">
      <c r="A80" t="inlineStr">
        <is>
          <t>2026-10-25 03:09</t>
        </is>
      </c>
      <c r="B80" t="inlineStr">
        <is>
          <t>2026-10-25</t>
        </is>
      </c>
      <c r="C80" t="inlineStr">
        <is>
          <t>CS2</t>
        </is>
      </c>
      <c r="D80" t="inlineStr">
        <is>
          <t>CS2 · FORZE.R vs ex-RUSTEC</t>
        </is>
      </c>
      <c r="E80" t="inlineStr">
        <is>
          <t>Lack1</t>
        </is>
      </c>
      <c r="F80" t="inlineStr">
        <is>
          <t>Maps 1-2 HS</t>
        </is>
      </c>
      <c r="G80" t="n">
        <v>17</v>
      </c>
      <c r="H80" t="n">
        <v>16.55</v>
      </c>
      <c r="I80" s="8" t="n">
        <v>0.4162</v>
      </c>
      <c r="J80" s="8" t="n">
        <v>0.4958</v>
      </c>
      <c r="K80" t="inlineStr">
        <is>
          <t>Dust2 / Nuke</t>
        </is>
      </c>
      <c r="L80" t="inlineStr">
        <is>
          <t>21.5 / 21.5</t>
        </is>
      </c>
      <c r="N80" s="8" t="n">
        <v>0.4</v>
      </c>
      <c r="O80" s="12" t="n"/>
      <c r="P80">
        <f>IF(O80="","",IF(O80&gt;G80,"OVER",IF(O80&lt;G80,"UNDER","PUSH")))</f>
        <v/>
      </c>
      <c r="Q80" t="n">
        <v>16.24</v>
      </c>
      <c r="R80" s="8" t="n">
        <v>0.3889</v>
      </c>
      <c r="S80" t="n">
        <v>0.9815</v>
      </c>
      <c r="T80" t="n">
        <v>15.75</v>
      </c>
      <c r="U80" t="n">
        <v>15.44</v>
      </c>
    </row>
    <row r="81">
      <c r="A81" t="inlineStr">
        <is>
          <t>2026-10-25 03:09</t>
        </is>
      </c>
      <c r="B81" t="inlineStr">
        <is>
          <t>2026-10-25</t>
        </is>
      </c>
      <c r="C81" t="inlineStr">
        <is>
          <t>CS2</t>
        </is>
      </c>
      <c r="D81" t="inlineStr">
        <is>
          <t>CS2 · FORZE.R vs ex-RUSTEC</t>
        </is>
      </c>
      <c r="E81" t="inlineStr">
        <is>
          <t>Lack1</t>
        </is>
      </c>
      <c r="F81" t="inlineStr">
        <is>
          <t>Maps 1-2 Kills</t>
        </is>
      </c>
      <c r="G81" t="n">
        <v>29</v>
      </c>
      <c r="H81" t="n">
        <v>29.54</v>
      </c>
      <c r="I81" s="8" t="n">
        <v>0.5023</v>
      </c>
      <c r="J81" s="8" t="n">
        <v>0.4359</v>
      </c>
      <c r="K81" t="inlineStr">
        <is>
          <t>Dust2 / Nuke</t>
        </is>
      </c>
      <c r="L81" t="inlineStr">
        <is>
          <t>21.5 / 21.5</t>
        </is>
      </c>
      <c r="N81" s="8" t="n">
        <v>0.4</v>
      </c>
      <c r="O81" s="12" t="n"/>
      <c r="P81">
        <f>IF(O81="","",IF(O81&gt;G81,"OVER",IF(O81&lt;G81,"UNDER","PUSH")))</f>
        <v/>
      </c>
      <c r="Q81" t="n">
        <v>28.98</v>
      </c>
      <c r="R81" s="8" t="n">
        <v>0.4674</v>
      </c>
      <c r="S81" t="n">
        <v>0.9811</v>
      </c>
      <c r="T81" t="n">
        <v>28.38</v>
      </c>
      <c r="U81" t="n">
        <v>27.81</v>
      </c>
    </row>
    <row r="82">
      <c r="A82" t="inlineStr">
        <is>
          <t>2026-10-25 03:09</t>
        </is>
      </c>
      <c r="B82" t="inlineStr">
        <is>
          <t>2026-10-25</t>
        </is>
      </c>
      <c r="C82" t="inlineStr">
        <is>
          <t>CS2</t>
        </is>
      </c>
      <c r="D82" t="inlineStr">
        <is>
          <t>CS2 · FORZE.R vs ex-RUSTEC</t>
        </is>
      </c>
      <c r="E82" t="inlineStr">
        <is>
          <t>NickelBack</t>
        </is>
      </c>
      <c r="F82" t="inlineStr">
        <is>
          <t>Maps 1-2 HS</t>
        </is>
      </c>
      <c r="G82" t="n">
        <v>12.5</v>
      </c>
      <c r="H82" t="n">
        <v>11.22</v>
      </c>
      <c r="I82" s="8" t="n">
        <v>0.3632</v>
      </c>
      <c r="J82" s="8" t="n">
        <v>0.6368</v>
      </c>
      <c r="K82" t="inlineStr">
        <is>
          <t>Dust2 / Nuke</t>
        </is>
      </c>
      <c r="L82" t="inlineStr">
        <is>
          <t>21.5 / 21.5</t>
        </is>
      </c>
      <c r="N82" s="8" t="n">
        <v>0.3</v>
      </c>
      <c r="O82" s="12" t="n"/>
      <c r="P82">
        <f>IF(O82="","",IF(O82&gt;G82,"OVER",IF(O82&lt;G82,"UNDER","PUSH")))</f>
        <v/>
      </c>
      <c r="Q82" t="n">
        <v>10.97</v>
      </c>
      <c r="R82" s="8" t="n">
        <v>0.3363</v>
      </c>
      <c r="S82" t="n">
        <v>0.9778</v>
      </c>
      <c r="T82" t="n">
        <v>11.59</v>
      </c>
      <c r="U82" t="n">
        <v>11.36</v>
      </c>
    </row>
    <row r="83">
      <c r="A83" t="inlineStr">
        <is>
          <t>2026-10-25 03:09</t>
        </is>
      </c>
      <c r="B83" t="inlineStr">
        <is>
          <t>2026-10-25</t>
        </is>
      </c>
      <c r="C83" t="inlineStr">
        <is>
          <t>CS2</t>
        </is>
      </c>
      <c r="D83" t="inlineStr">
        <is>
          <t>CS2 · FORZE.R vs ex-RUSTEC</t>
        </is>
      </c>
      <c r="E83" t="inlineStr">
        <is>
          <t>NickelBack</t>
        </is>
      </c>
      <c r="F83" t="inlineStr">
        <is>
          <t>Maps 1-2 Kills</t>
        </is>
      </c>
      <c r="G83" t="n">
        <v>25.5</v>
      </c>
      <c r="H83" t="n">
        <v>23.35</v>
      </c>
      <c r="I83" s="8" t="n">
        <v>0.3534</v>
      </c>
      <c r="J83" s="8" t="n">
        <v>0.6466</v>
      </c>
      <c r="K83" t="inlineStr">
        <is>
          <t>Dust2 / Nuke</t>
        </is>
      </c>
      <c r="L83" t="inlineStr">
        <is>
          <t>21.5 / 21.5</t>
        </is>
      </c>
      <c r="N83" s="8" t="n">
        <v>0.6</v>
      </c>
      <c r="O83" s="12" t="n"/>
      <c r="P83">
        <f>IF(O83="","",IF(O83&gt;G83,"OVER",IF(O83&lt;G83,"UNDER","PUSH")))</f>
        <v/>
      </c>
      <c r="Q83" t="n">
        <v>22.84</v>
      </c>
      <c r="R83" s="8" t="n">
        <v>0.3188</v>
      </c>
      <c r="S83" t="n">
        <v>0.9781</v>
      </c>
      <c r="T83" t="n">
        <v>25.37</v>
      </c>
      <c r="U83" t="n">
        <v>24.86</v>
      </c>
    </row>
    <row r="84">
      <c r="A84" t="inlineStr">
        <is>
          <t>2026-10-25 03:09</t>
        </is>
      </c>
      <c r="B84" t="inlineStr">
        <is>
          <t>2026-10-25</t>
        </is>
      </c>
      <c r="C84" t="inlineStr">
        <is>
          <t>CS2</t>
        </is>
      </c>
      <c r="D84" t="inlineStr">
        <is>
          <t>CS2 · FORZE.R vs ex-RUSTEC</t>
        </is>
      </c>
      <c r="E84" t="inlineStr">
        <is>
          <t>YumsaN</t>
        </is>
      </c>
      <c r="F84" t="inlineStr">
        <is>
          <t>Maps 1-2 HS</t>
        </is>
      </c>
      <c r="G84" t="n">
        <v>10</v>
      </c>
      <c r="H84" t="n">
        <v>9.5</v>
      </c>
      <c r="I84" s="8" t="n">
        <v>0.3789</v>
      </c>
      <c r="J84" s="8" t="n">
        <v>0.5003</v>
      </c>
      <c r="K84" t="inlineStr">
        <is>
          <t>Dust2 / Nuke</t>
        </is>
      </c>
      <c r="L84" t="inlineStr">
        <is>
          <t>21.5 / 21.5</t>
        </is>
      </c>
      <c r="N84" s="8" t="n">
        <v>0.3</v>
      </c>
      <c r="O84" s="12" t="n"/>
      <c r="P84">
        <f>IF(O84="","",IF(O84&gt;G84,"OVER",IF(O84&lt;G84,"UNDER","PUSH")))</f>
        <v/>
      </c>
      <c r="Q84" t="n">
        <v>9.300000000000001</v>
      </c>
      <c r="R84" s="8" t="n">
        <v>0.3543</v>
      </c>
      <c r="S84" t="n">
        <v>0.979</v>
      </c>
      <c r="T84" t="n">
        <v>8.970000000000001</v>
      </c>
      <c r="U84" t="n">
        <v>8.789999999999999</v>
      </c>
    </row>
    <row r="85">
      <c r="A85" t="inlineStr">
        <is>
          <t>2026-10-25 03:09</t>
        </is>
      </c>
      <c r="B85" t="inlineStr">
        <is>
          <t>2026-10-25</t>
        </is>
      </c>
      <c r="C85" t="inlineStr">
        <is>
          <t>CS2</t>
        </is>
      </c>
      <c r="D85" t="inlineStr">
        <is>
          <t>CS2 · FORZE.R vs ex-RUSTEC</t>
        </is>
      </c>
      <c r="E85" t="inlineStr">
        <is>
          <t>YumsaN</t>
        </is>
      </c>
      <c r="F85" t="inlineStr">
        <is>
          <t>Maps 1-2 Kills</t>
        </is>
      </c>
      <c r="G85" t="n">
        <v>32</v>
      </c>
      <c r="H85" t="n">
        <v>33.64</v>
      </c>
      <c r="I85" s="8" t="n">
        <v>0.5658</v>
      </c>
      <c r="J85" s="8" t="n">
        <v>0.3777</v>
      </c>
      <c r="K85" t="inlineStr">
        <is>
          <t>Dust2 / Nuke</t>
        </is>
      </c>
      <c r="L85" t="inlineStr">
        <is>
          <t>21.5 / 21.5</t>
        </is>
      </c>
      <c r="N85" s="8" t="n">
        <v>0.5</v>
      </c>
      <c r="O85" s="12" t="n"/>
      <c r="P85">
        <f>IF(O85="","",IF(O85&gt;G85,"OVER",IF(O85&lt;G85,"UNDER","PUSH")))</f>
        <v/>
      </c>
      <c r="Q85" t="n">
        <v>32.96</v>
      </c>
      <c r="R85" s="8" t="n">
        <v>0.5266999999999999</v>
      </c>
      <c r="S85" t="n">
        <v>0.9797</v>
      </c>
      <c r="T85" t="n">
        <v>31.82</v>
      </c>
      <c r="U85" t="n">
        <v>31.19</v>
      </c>
    </row>
    <row r="86">
      <c r="A86" t="inlineStr">
        <is>
          <t>2026-10-25 03:09</t>
        </is>
      </c>
      <c r="B86" t="inlineStr">
        <is>
          <t>2026-10-25</t>
        </is>
      </c>
      <c r="C86" t="inlineStr">
        <is>
          <t>CS2</t>
        </is>
      </c>
      <c r="D86" t="inlineStr">
        <is>
          <t>CS2 · FORZE.R vs ex-RUSTEC</t>
        </is>
      </c>
      <c r="E86" t="inlineStr">
        <is>
          <t>bl1x1</t>
        </is>
      </c>
      <c r="F86" t="inlineStr">
        <is>
          <t>Maps 1-2 HS</t>
        </is>
      </c>
      <c r="G86" t="n">
        <v>18</v>
      </c>
      <c r="H86" t="n">
        <v>17.31</v>
      </c>
      <c r="I86" s="8" t="n">
        <v>0.3991</v>
      </c>
      <c r="J86" s="8" t="n">
        <v>0.5163</v>
      </c>
      <c r="K86" t="inlineStr">
        <is>
          <t>Dust2 / Nuke</t>
        </is>
      </c>
      <c r="L86" t="inlineStr">
        <is>
          <t>21.5 / 21.5</t>
        </is>
      </c>
      <c r="N86" s="8" t="n">
        <v>0.7</v>
      </c>
      <c r="O86" s="12" t="n"/>
      <c r="P86">
        <f>IF(O86="","",IF(O86&gt;G86,"OVER",IF(O86&lt;G86,"UNDER","PUSH")))</f>
        <v/>
      </c>
      <c r="Q86" t="n">
        <v>16.44</v>
      </c>
      <c r="R86" s="8" t="n">
        <v>0.3251</v>
      </c>
      <c r="S86" t="n">
        <v>0.9499</v>
      </c>
      <c r="T86" t="n">
        <v>20.02</v>
      </c>
      <c r="U86" t="n">
        <v>19.06</v>
      </c>
    </row>
    <row r="87">
      <c r="A87" t="inlineStr">
        <is>
          <t>2026-10-25 03:09</t>
        </is>
      </c>
      <c r="B87" t="inlineStr">
        <is>
          <t>2026-10-25</t>
        </is>
      </c>
      <c r="C87" t="inlineStr">
        <is>
          <t>CS2</t>
        </is>
      </c>
      <c r="D87" t="inlineStr">
        <is>
          <t>CS2 · FORZE.R vs ex-RUSTEC</t>
        </is>
      </c>
      <c r="E87" t="inlineStr">
        <is>
          <t>bl1x1</t>
        </is>
      </c>
      <c r="F87" t="inlineStr">
        <is>
          <t>Maps 1-2 Kills</t>
        </is>
      </c>
      <c r="G87" t="n">
        <v>29</v>
      </c>
      <c r="H87" t="n">
        <v>27.21</v>
      </c>
      <c r="I87" s="8" t="n">
        <v>0.3551</v>
      </c>
      <c r="J87" s="8" t="n">
        <v>0.583</v>
      </c>
      <c r="K87" t="inlineStr">
        <is>
          <t>Dust2 / Nuke</t>
        </is>
      </c>
      <c r="L87" t="inlineStr">
        <is>
          <t>21.5 / 21.5</t>
        </is>
      </c>
      <c r="N87" s="8" t="n">
        <v>0.4</v>
      </c>
      <c r="O87" s="12" t="n"/>
      <c r="P87">
        <f>IF(O87="","",IF(O87&gt;G87,"OVER",IF(O87&lt;G87,"UNDER","PUSH")))</f>
        <v/>
      </c>
      <c r="Q87" t="n">
        <v>25.87</v>
      </c>
      <c r="R87" s="8" t="n">
        <v>0.2731</v>
      </c>
      <c r="S87" t="n">
        <v>0.9508</v>
      </c>
      <c r="T87" t="n">
        <v>30.1</v>
      </c>
      <c r="U87" t="n">
        <v>28.66</v>
      </c>
    </row>
    <row r="88">
      <c r="A88" t="inlineStr">
        <is>
          <t>2026-10-25 03:09</t>
        </is>
      </c>
      <c r="B88" t="inlineStr">
        <is>
          <t>2026-10-25</t>
        </is>
      </c>
      <c r="C88" t="inlineStr">
        <is>
          <t>CS2</t>
        </is>
      </c>
      <c r="D88" t="inlineStr">
        <is>
          <t>CS2 · FORZE.R vs ex-RUSTEC</t>
        </is>
      </c>
      <c r="E88" t="inlineStr">
        <is>
          <t>Brilliance</t>
        </is>
      </c>
      <c r="F88" t="inlineStr">
        <is>
          <t>Maps 1-2 HS</t>
        </is>
      </c>
      <c r="G88" t="n">
        <v>14.5</v>
      </c>
      <c r="H88" t="n">
        <v>14.19</v>
      </c>
      <c r="I88" s="8" t="n">
        <v>0.4709</v>
      </c>
      <c r="J88" s="8" t="n">
        <v>0.5291</v>
      </c>
      <c r="K88" t="inlineStr">
        <is>
          <t>Dust2 / Nuke</t>
        </is>
      </c>
      <c r="L88" t="inlineStr">
        <is>
          <t>21.5 / 21.5</t>
        </is>
      </c>
      <c r="N88" s="8" t="n">
        <v>0.4</v>
      </c>
      <c r="O88" s="12" t="n"/>
      <c r="P88">
        <f>IF(O88="","",IF(O88&gt;G88,"OVER",IF(O88&lt;G88,"UNDER","PUSH")))</f>
        <v/>
      </c>
      <c r="Q88" t="n">
        <v>13.51</v>
      </c>
      <c r="R88" s="8" t="n">
        <v>0.4038</v>
      </c>
      <c r="S88" t="n">
        <v>0.9515</v>
      </c>
      <c r="T88" t="n">
        <v>14.82</v>
      </c>
      <c r="U88" t="n">
        <v>14.11</v>
      </c>
    </row>
    <row r="89">
      <c r="A89" t="inlineStr">
        <is>
          <t>2026-10-25 03:09</t>
        </is>
      </c>
      <c r="B89" t="inlineStr">
        <is>
          <t>2026-10-25</t>
        </is>
      </c>
      <c r="C89" t="inlineStr">
        <is>
          <t>CS2</t>
        </is>
      </c>
      <c r="D89" t="inlineStr">
        <is>
          <t>CS2 · FORZE.R vs ex-RUSTEC</t>
        </is>
      </c>
      <c r="E89" t="inlineStr">
        <is>
          <t>Brilliance</t>
        </is>
      </c>
      <c r="F89" t="inlineStr">
        <is>
          <t>Maps 1-2 Kills</t>
        </is>
      </c>
      <c r="G89" t="n">
        <v>25.5</v>
      </c>
      <c r="H89" t="n">
        <v>24.22</v>
      </c>
      <c r="I89" s="8" t="n">
        <v>0.4132</v>
      </c>
      <c r="J89" s="8" t="n">
        <v>0.5868</v>
      </c>
      <c r="K89" t="inlineStr">
        <is>
          <t>Dust2 / Nuke</t>
        </is>
      </c>
      <c r="L89" t="inlineStr">
        <is>
          <t>21.5 / 21.5</t>
        </is>
      </c>
      <c r="N89" s="8" t="n">
        <v>0.4</v>
      </c>
      <c r="O89" s="12" t="n"/>
      <c r="P89">
        <f>IF(O89="","",IF(O89&gt;G89,"OVER",IF(O89&lt;G89,"UNDER","PUSH")))</f>
        <v/>
      </c>
      <c r="Q89" t="n">
        <v>23.05</v>
      </c>
      <c r="R89" s="8" t="n">
        <v>0.3334</v>
      </c>
      <c r="S89" t="n">
        <v>0.9517</v>
      </c>
      <c r="T89" t="n">
        <v>25.37</v>
      </c>
      <c r="U89" t="n">
        <v>24.16</v>
      </c>
    </row>
    <row r="90">
      <c r="A90" t="inlineStr">
        <is>
          <t>2026-10-25 03:09</t>
        </is>
      </c>
      <c r="B90" t="inlineStr">
        <is>
          <t>2026-10-25</t>
        </is>
      </c>
      <c r="C90" t="inlineStr">
        <is>
          <t>CS2</t>
        </is>
      </c>
      <c r="D90" t="inlineStr">
        <is>
          <t>CS2 · FORZE.R vs ex-RUSTEC</t>
        </is>
      </c>
      <c r="E90" t="inlineStr">
        <is>
          <t>jakekeS</t>
        </is>
      </c>
      <c r="F90" t="inlineStr">
        <is>
          <t>Maps 1-2 HS</t>
        </is>
      </c>
      <c r="G90" t="n">
        <v>14.5</v>
      </c>
      <c r="H90" t="n">
        <v>13.43</v>
      </c>
      <c r="I90" s="8" t="n">
        <v>0.396</v>
      </c>
      <c r="J90" s="8" t="n">
        <v>0.604</v>
      </c>
      <c r="K90" t="inlineStr">
        <is>
          <t>Dust2 / Nuke</t>
        </is>
      </c>
      <c r="L90" t="inlineStr">
        <is>
          <t>21.5 / 21.5</t>
        </is>
      </c>
      <c r="N90" s="8" t="n">
        <v>0.4</v>
      </c>
      <c r="O90" s="12" t="n"/>
      <c r="P90">
        <f>IF(O90="","",IF(O90&gt;G90,"OVER",IF(O90&lt;G90,"UNDER","PUSH")))</f>
        <v/>
      </c>
      <c r="Q90" t="n">
        <v>12.75</v>
      </c>
      <c r="R90" s="8" t="n">
        <v>0.3283</v>
      </c>
      <c r="S90" t="n">
        <v>0.9491000000000001</v>
      </c>
      <c r="T90" t="n">
        <v>14.27</v>
      </c>
      <c r="U90" t="n">
        <v>13.59</v>
      </c>
    </row>
    <row r="91">
      <c r="A91" t="inlineStr">
        <is>
          <t>2026-10-25 03:09</t>
        </is>
      </c>
      <c r="B91" t="inlineStr">
        <is>
          <t>2026-10-25</t>
        </is>
      </c>
      <c r="C91" t="inlineStr">
        <is>
          <t>CS2</t>
        </is>
      </c>
      <c r="D91" t="inlineStr">
        <is>
          <t>CS2 · FORZE.R vs ex-RUSTEC</t>
        </is>
      </c>
      <c r="E91" t="inlineStr">
        <is>
          <t>jakekeS</t>
        </is>
      </c>
      <c r="F91" t="inlineStr">
        <is>
          <t>Maps 1-2 Kills</t>
        </is>
      </c>
      <c r="G91" t="n">
        <v>26.5</v>
      </c>
      <c r="H91" t="n">
        <v>25.04</v>
      </c>
      <c r="I91" s="8" t="n">
        <v>0.4024</v>
      </c>
      <c r="J91" s="8" t="n">
        <v>0.5976</v>
      </c>
      <c r="K91" t="inlineStr">
        <is>
          <t>Dust2 / Nuke</t>
        </is>
      </c>
      <c r="L91" t="inlineStr">
        <is>
          <t>21.5 / 21.5</t>
        </is>
      </c>
      <c r="N91" s="8" t="n">
        <v>0.4</v>
      </c>
      <c r="O91" s="12" t="n"/>
      <c r="P91">
        <f>IF(O91="","",IF(O91&gt;G91,"OVER",IF(O91&lt;G91,"UNDER","PUSH")))</f>
        <v/>
      </c>
      <c r="Q91" t="n">
        <v>23.78</v>
      </c>
      <c r="R91" s="8" t="n">
        <v>0.3188</v>
      </c>
      <c r="S91" t="n">
        <v>0.9499</v>
      </c>
      <c r="T91" t="n">
        <v>26.23</v>
      </c>
      <c r="U91" t="n">
        <v>24.98</v>
      </c>
    </row>
    <row r="92">
      <c r="A92" t="inlineStr">
        <is>
          <t>2026-10-25 03:09</t>
        </is>
      </c>
      <c r="B92" t="inlineStr">
        <is>
          <t>2026-10-25</t>
        </is>
      </c>
      <c r="C92" t="inlineStr">
        <is>
          <t>CS2</t>
        </is>
      </c>
      <c r="D92" t="inlineStr">
        <is>
          <t>CS2 · FORZE.R vs ex-RUSTEC</t>
        </is>
      </c>
      <c r="E92" t="inlineStr">
        <is>
          <t>yiksrezo</t>
        </is>
      </c>
      <c r="F92" t="inlineStr">
        <is>
          <t>Maps 1-2 HS</t>
        </is>
      </c>
      <c r="G92" t="n">
        <v>20.5</v>
      </c>
      <c r="H92" t="n">
        <v>21.22</v>
      </c>
      <c r="I92" s="8" t="n">
        <v>0.5553</v>
      </c>
      <c r="J92" s="8" t="n">
        <v>0.4447</v>
      </c>
      <c r="K92" t="inlineStr">
        <is>
          <t>Dust2 / Nuke</t>
        </is>
      </c>
      <c r="L92" t="inlineStr">
        <is>
          <t>21.5 / 21.5</t>
        </is>
      </c>
      <c r="N92" s="8" t="n">
        <v>0.6</v>
      </c>
      <c r="O92" s="12" t="n"/>
      <c r="P92">
        <f>IF(O92="","",IF(O92&gt;G92,"OVER",IF(O92&lt;G92,"UNDER","PUSH")))</f>
        <v/>
      </c>
      <c r="Q92" t="n">
        <v>20.18</v>
      </c>
      <c r="R92" s="8" t="n">
        <v>0.4745</v>
      </c>
      <c r="S92" t="n">
        <v>0.951</v>
      </c>
      <c r="T92" t="n">
        <v>22</v>
      </c>
      <c r="U92" t="n">
        <v>20.95</v>
      </c>
    </row>
    <row r="93">
      <c r="A93" t="inlineStr">
        <is>
          <t>2026-10-25 03:09</t>
        </is>
      </c>
      <c r="B93" t="inlineStr">
        <is>
          <t>2026-10-25</t>
        </is>
      </c>
      <c r="C93" t="inlineStr">
        <is>
          <t>CS2</t>
        </is>
      </c>
      <c r="D93" t="inlineStr">
        <is>
          <t>CS2 · FORZE.R vs ex-RUSTEC</t>
        </is>
      </c>
      <c r="E93" t="inlineStr">
        <is>
          <t>yiksrezo</t>
        </is>
      </c>
      <c r="F93" t="inlineStr">
        <is>
          <t>Maps 1-2 Kills</t>
        </is>
      </c>
      <c r="G93" t="n">
        <v>31.5</v>
      </c>
      <c r="H93" t="n">
        <v>32.85</v>
      </c>
      <c r="I93" s="8" t="n">
        <v>0.5788</v>
      </c>
      <c r="J93" s="8" t="n">
        <v>0.4212</v>
      </c>
      <c r="K93" t="inlineStr">
        <is>
          <t>Dust2 / Nuke</t>
        </is>
      </c>
      <c r="L93" t="inlineStr">
        <is>
          <t>21.5 / 21.5</t>
        </is>
      </c>
      <c r="N93" s="8" t="n">
        <v>0.7</v>
      </c>
      <c r="O93" s="12" t="n"/>
      <c r="P93">
        <f>IF(O93="","",IF(O93&gt;G93,"OVER",IF(O93&lt;G93,"UNDER","PUSH")))</f>
        <v/>
      </c>
      <c r="Q93" t="n">
        <v>31.27</v>
      </c>
      <c r="R93" s="8" t="n">
        <v>0.4858</v>
      </c>
      <c r="S93" t="n">
        <v>0.9518</v>
      </c>
      <c r="T93" t="n">
        <v>33.54</v>
      </c>
      <c r="U93" t="n">
        <v>31.94</v>
      </c>
    </row>
    <row r="94">
      <c r="A94" t="inlineStr">
        <is>
          <t>2026-10-25 03:09</t>
        </is>
      </c>
      <c r="B94" t="inlineStr">
        <is>
          <t>2026-10-25</t>
        </is>
      </c>
      <c r="C94" t="inlineStr">
        <is>
          <t>CS2</t>
        </is>
      </c>
      <c r="D94" t="inlineStr">
        <is>
          <t>CS2 · FORZE.R vs ex-RUSTEC</t>
        </is>
      </c>
      <c r="E94" t="inlineStr">
        <is>
          <t>youka</t>
        </is>
      </c>
      <c r="F94" t="inlineStr">
        <is>
          <t>Maps 1-2 HS</t>
        </is>
      </c>
      <c r="G94" t="n">
        <v>11</v>
      </c>
      <c r="H94" t="n">
        <v>12.74</v>
      </c>
      <c r="I94" s="8" t="n">
        <v>0.6257</v>
      </c>
      <c r="J94" s="8" t="n">
        <v>0.2811</v>
      </c>
      <c r="K94" t="inlineStr">
        <is>
          <t>Dust2 / Nuke</t>
        </is>
      </c>
      <c r="L94" t="inlineStr">
        <is>
          <t>21.5 / 21.5</t>
        </is>
      </c>
      <c r="N94" s="8" t="n">
        <v>0.6</v>
      </c>
      <c r="O94" s="12" t="n"/>
      <c r="P94">
        <f>IF(O94="","",IF(O94&gt;G94,"OVER",IF(O94&lt;G94,"UNDER","PUSH")))</f>
        <v/>
      </c>
      <c r="Q94" t="n">
        <v>12.12</v>
      </c>
      <c r="R94" s="8" t="n">
        <v>0.5657</v>
      </c>
      <c r="S94" t="n">
        <v>0.9518</v>
      </c>
      <c r="T94" t="n">
        <v>11.95</v>
      </c>
      <c r="U94" t="n">
        <v>11.38</v>
      </c>
    </row>
    <row r="95">
      <c r="A95" t="inlineStr">
        <is>
          <t>2026-10-25 03:09</t>
        </is>
      </c>
      <c r="B95" t="inlineStr">
        <is>
          <t>2026-10-25</t>
        </is>
      </c>
      <c r="C95" t="inlineStr">
        <is>
          <t>CS2</t>
        </is>
      </c>
      <c r="D95" t="inlineStr">
        <is>
          <t>CS2 · FORZE.R vs ex-RUSTEC</t>
        </is>
      </c>
      <c r="E95" t="inlineStr">
        <is>
          <t>youka</t>
        </is>
      </c>
      <c r="F95" t="inlineStr">
        <is>
          <t>Maps 1-2 Kills</t>
        </is>
      </c>
      <c r="G95" t="n">
        <v>30.5</v>
      </c>
      <c r="H95" t="n">
        <v>30.05</v>
      </c>
      <c r="I95" s="8" t="n">
        <v>0.4725</v>
      </c>
      <c r="J95" s="8" t="n">
        <v>0.5275</v>
      </c>
      <c r="K95" t="inlineStr">
        <is>
          <t>Dust2 / Nuke</t>
        </is>
      </c>
      <c r="L95" t="inlineStr">
        <is>
          <t>21.5 / 21.5</t>
        </is>
      </c>
      <c r="N95" s="8" t="n">
        <v>0.5</v>
      </c>
      <c r="O95" s="12" t="n"/>
      <c r="P95">
        <f>IF(O95="","",IF(O95&gt;G95,"OVER",IF(O95&lt;G95,"UNDER","PUSH")))</f>
        <v/>
      </c>
      <c r="Q95" t="n">
        <v>28.63</v>
      </c>
      <c r="R95" s="8" t="n">
        <v>0.3838</v>
      </c>
      <c r="S95" t="n">
        <v>0.9527</v>
      </c>
      <c r="T95" t="n">
        <v>30.1</v>
      </c>
      <c r="U95" t="n">
        <v>28.66</v>
      </c>
    </row>
    <row r="96">
      <c r="A96" t="inlineStr">
        <is>
          <t>2026-10-25 03:09</t>
        </is>
      </c>
      <c r="B96" t="inlineStr">
        <is>
          <t>2026-10-25</t>
        </is>
      </c>
      <c r="C96" t="inlineStr">
        <is>
          <t>CS2</t>
        </is>
      </c>
      <c r="D96" t="inlineStr">
        <is>
          <t>CS2 · FURIA vs NAVI</t>
        </is>
      </c>
      <c r="E96" t="inlineStr">
        <is>
          <t>FalleN</t>
        </is>
      </c>
      <c r="F96" t="inlineStr">
        <is>
          <t>Maps 1-2 HS</t>
        </is>
      </c>
      <c r="G96" t="n">
        <v>13</v>
      </c>
      <c r="H96" t="n">
        <v>12.32</v>
      </c>
      <c r="I96" s="8" t="n">
        <v>0.3792</v>
      </c>
      <c r="J96" s="8" t="n">
        <v>0.5191</v>
      </c>
      <c r="K96" t="inlineStr">
        <is>
          <t>Mirage / Inferno</t>
        </is>
      </c>
      <c r="L96" t="inlineStr">
        <is>
          <t>21.5 / 21.4</t>
        </is>
      </c>
      <c r="N96" s="8" t="n">
        <v>0.5</v>
      </c>
      <c r="O96" s="12" t="n"/>
      <c r="P96">
        <f>IF(O96="","",IF(O96&gt;G96,"OVER",IF(O96&lt;G96,"UNDER","PUSH")))</f>
        <v/>
      </c>
      <c r="Q96" t="n">
        <v>12.18</v>
      </c>
      <c r="R96" s="8" t="n">
        <v>0.3656</v>
      </c>
      <c r="S96" t="n">
        <v>0.9893999999999999</v>
      </c>
      <c r="T96" t="n">
        <v>11.87</v>
      </c>
      <c r="U96" t="n">
        <v>11.75</v>
      </c>
    </row>
    <row r="97">
      <c r="A97" t="inlineStr">
        <is>
          <t>2026-10-25 03:09</t>
        </is>
      </c>
      <c r="B97" t="inlineStr">
        <is>
          <t>2026-10-25</t>
        </is>
      </c>
      <c r="C97" t="inlineStr">
        <is>
          <t>CS2</t>
        </is>
      </c>
      <c r="D97" t="inlineStr">
        <is>
          <t>CS2 · FURIA vs NAVI</t>
        </is>
      </c>
      <c r="E97" t="inlineStr">
        <is>
          <t>FalleN</t>
        </is>
      </c>
      <c r="F97" t="inlineStr">
        <is>
          <t>Maps 1-2 Kills</t>
        </is>
      </c>
      <c r="G97" t="n">
        <v>24.5</v>
      </c>
      <c r="H97" t="n">
        <v>24.37</v>
      </c>
      <c r="I97" s="8" t="n">
        <v>0.4912</v>
      </c>
      <c r="J97" s="8" t="n">
        <v>0.5088</v>
      </c>
      <c r="K97" t="inlineStr">
        <is>
          <t>Mirage / Inferno</t>
        </is>
      </c>
      <c r="L97" t="inlineStr">
        <is>
          <t>21.5 / 21.4</t>
        </is>
      </c>
      <c r="M97" t="n">
        <v>23.62</v>
      </c>
      <c r="N97" s="8" t="n">
        <v>0.5</v>
      </c>
      <c r="O97" s="12" t="n"/>
      <c r="P97">
        <f>IF(O97="","",IF(O97&gt;G97,"OVER",IF(O97&lt;G97,"UNDER","PUSH")))</f>
        <v/>
      </c>
      <c r="Q97" t="n">
        <v>24.12</v>
      </c>
      <c r="R97" s="8" t="n">
        <v>0.4739</v>
      </c>
      <c r="S97" t="n">
        <v>0.9897</v>
      </c>
      <c r="T97" t="n">
        <v>23.18</v>
      </c>
      <c r="U97" t="n">
        <v>22.95</v>
      </c>
    </row>
    <row r="98">
      <c r="A98" t="inlineStr">
        <is>
          <t>2026-10-25 03:09</t>
        </is>
      </c>
      <c r="B98" t="inlineStr">
        <is>
          <t>2026-10-25</t>
        </is>
      </c>
      <c r="C98" t="inlineStr">
        <is>
          <t>CS2</t>
        </is>
      </c>
      <c r="D98" t="inlineStr">
        <is>
          <t>CS2 · FURIA vs NAVI</t>
        </is>
      </c>
      <c r="E98" t="inlineStr">
        <is>
          <t>KSCERATO</t>
        </is>
      </c>
      <c r="F98" t="inlineStr">
        <is>
          <t>Maps 1-2 HS</t>
        </is>
      </c>
      <c r="G98" t="n">
        <v>17</v>
      </c>
      <c r="H98" t="n">
        <v>15.88</v>
      </c>
      <c r="I98" s="8" t="n">
        <v>0.3551</v>
      </c>
      <c r="J98" s="8" t="n">
        <v>0.5566</v>
      </c>
      <c r="K98" t="inlineStr">
        <is>
          <t>Mirage / Inferno</t>
        </is>
      </c>
      <c r="L98" t="inlineStr">
        <is>
          <t>21.5 / 21.4</t>
        </is>
      </c>
      <c r="N98" s="8" t="n">
        <v>0.4</v>
      </c>
      <c r="O98" s="12" t="n"/>
      <c r="P98">
        <f>IF(O98="","",IF(O98&gt;G98,"OVER",IF(O98&lt;G98,"UNDER","PUSH")))</f>
        <v/>
      </c>
      <c r="Q98" t="n">
        <v>15.72</v>
      </c>
      <c r="R98" s="8" t="n">
        <v>0.3414</v>
      </c>
      <c r="S98" t="n">
        <v>0.9903</v>
      </c>
      <c r="T98" t="n">
        <v>15.79</v>
      </c>
      <c r="U98" t="n">
        <v>15.63</v>
      </c>
    </row>
    <row r="99">
      <c r="A99" t="inlineStr">
        <is>
          <t>2026-10-25 03:09</t>
        </is>
      </c>
      <c r="B99" t="inlineStr">
        <is>
          <t>2026-10-25</t>
        </is>
      </c>
      <c r="C99" t="inlineStr">
        <is>
          <t>CS2</t>
        </is>
      </c>
      <c r="D99" t="inlineStr">
        <is>
          <t>CS2 · FURIA vs NAVI</t>
        </is>
      </c>
      <c r="E99" t="inlineStr">
        <is>
          <t>KSCERATO</t>
        </is>
      </c>
      <c r="F99" t="inlineStr">
        <is>
          <t>Maps 1-2 Kills</t>
        </is>
      </c>
      <c r="G99" t="n">
        <v>33</v>
      </c>
      <c r="H99" t="n">
        <v>31.7</v>
      </c>
      <c r="I99" s="8" t="n">
        <v>0.3934</v>
      </c>
      <c r="J99" s="8" t="n">
        <v>0.5479000000000001</v>
      </c>
      <c r="K99" t="inlineStr">
        <is>
          <t>Mirage / Inferno</t>
        </is>
      </c>
      <c r="L99" t="inlineStr">
        <is>
          <t>21.5 / 21.4</t>
        </is>
      </c>
      <c r="M99" t="n">
        <v>31.18</v>
      </c>
      <c r="N99" s="8" t="n">
        <v>0.4</v>
      </c>
      <c r="O99" s="12" t="n"/>
      <c r="P99">
        <f>IF(O99="","",IF(O99&gt;G99,"OVER",IF(O99&lt;G99,"UNDER","PUSH")))</f>
        <v/>
      </c>
      <c r="Q99" t="n">
        <v>31.39</v>
      </c>
      <c r="R99" s="8" t="n">
        <v>0.3754</v>
      </c>
      <c r="S99" t="n">
        <v>0.9903999999999999</v>
      </c>
      <c r="T99" t="n">
        <v>31.33</v>
      </c>
      <c r="U99" t="n">
        <v>31.02</v>
      </c>
    </row>
    <row r="100">
      <c r="A100" t="inlineStr">
        <is>
          <t>2026-10-25 03:09</t>
        </is>
      </c>
      <c r="B100" t="inlineStr">
        <is>
          <t>2026-10-25</t>
        </is>
      </c>
      <c r="C100" t="inlineStr">
        <is>
          <t>CS2</t>
        </is>
      </c>
      <c r="D100" t="inlineStr">
        <is>
          <t>CS2 · FURIA vs NAVI</t>
        </is>
      </c>
      <c r="E100" t="inlineStr">
        <is>
          <t>molodoy</t>
        </is>
      </c>
      <c r="F100" t="inlineStr">
        <is>
          <t>Maps 1-2 HS</t>
        </is>
      </c>
      <c r="G100" t="n">
        <v>12</v>
      </c>
      <c r="H100" t="n">
        <v>12</v>
      </c>
      <c r="I100" s="8" t="n">
        <v>0.447</v>
      </c>
      <c r="J100" s="8" t="n">
        <v>0.446</v>
      </c>
      <c r="K100" t="inlineStr">
        <is>
          <t>Mirage / Inferno</t>
        </is>
      </c>
      <c r="L100" t="inlineStr">
        <is>
          <t>21.5 / 21.4</t>
        </is>
      </c>
      <c r="N100" s="8" t="n">
        <v>0.6</v>
      </c>
      <c r="O100" s="12" t="n"/>
      <c r="P100">
        <f>IF(O100="","",IF(O100&gt;G100,"OVER",IF(O100&lt;G100,"UNDER","PUSH")))</f>
        <v/>
      </c>
      <c r="Q100" t="n">
        <v>11.88</v>
      </c>
      <c r="R100" s="8" t="n">
        <v>0.4333</v>
      </c>
      <c r="S100" t="n">
        <v>0.9896</v>
      </c>
      <c r="T100" t="n">
        <v>11.75</v>
      </c>
      <c r="U100" t="n">
        <v>11.63</v>
      </c>
    </row>
    <row r="101">
      <c r="A101" t="inlineStr">
        <is>
          <t>2026-10-25 03:09</t>
        </is>
      </c>
      <c r="B101" t="inlineStr">
        <is>
          <t>2026-10-25</t>
        </is>
      </c>
      <c r="C101" t="inlineStr">
        <is>
          <t>CS2</t>
        </is>
      </c>
      <c r="D101" t="inlineStr">
        <is>
          <t>CS2 · FURIA vs NAVI</t>
        </is>
      </c>
      <c r="E101" t="inlineStr">
        <is>
          <t>molodoy</t>
        </is>
      </c>
      <c r="F101" t="inlineStr">
        <is>
          <t>Maps 1-2 Kills</t>
        </is>
      </c>
      <c r="G101" t="n">
        <v>33.5</v>
      </c>
      <c r="H101" t="n">
        <v>32</v>
      </c>
      <c r="I101" s="8" t="n">
        <v>0.4111</v>
      </c>
      <c r="J101" s="8" t="n">
        <v>0.5889</v>
      </c>
      <c r="K101" t="inlineStr">
        <is>
          <t>Mirage / Inferno</t>
        </is>
      </c>
      <c r="L101" t="inlineStr">
        <is>
          <t>21.5 / 21.4</t>
        </is>
      </c>
      <c r="M101" t="n">
        <v>32.72</v>
      </c>
      <c r="N101" s="8" t="n">
        <v>0.4</v>
      </c>
      <c r="O101" s="12" t="n"/>
      <c r="P101">
        <f>IF(O101="","",IF(O101&gt;G101,"OVER",IF(O101&lt;G101,"UNDER","PUSH")))</f>
        <v/>
      </c>
      <c r="Q101" t="n">
        <v>31.68</v>
      </c>
      <c r="R101" s="8" t="n">
        <v>0.3923</v>
      </c>
      <c r="S101" t="n">
        <v>0.9901</v>
      </c>
      <c r="T101" t="n">
        <v>31.33</v>
      </c>
      <c r="U101" t="n">
        <v>31.02</v>
      </c>
    </row>
    <row r="102">
      <c r="A102" t="inlineStr">
        <is>
          <t>2026-10-25 03:09</t>
        </is>
      </c>
      <c r="B102" t="inlineStr">
        <is>
          <t>2026-10-25</t>
        </is>
      </c>
      <c r="C102" t="inlineStr">
        <is>
          <t>CS2</t>
        </is>
      </c>
      <c r="D102" t="inlineStr">
        <is>
          <t>CS2 · FURIA vs NAVI</t>
        </is>
      </c>
      <c r="E102" t="inlineStr">
        <is>
          <t>YEKINDAR</t>
        </is>
      </c>
      <c r="F102" t="inlineStr">
        <is>
          <t>Maps 1-2 HS</t>
        </is>
      </c>
      <c r="G102" t="n">
        <v>18.5</v>
      </c>
      <c r="H102" t="n">
        <v>16.71</v>
      </c>
      <c r="I102" s="8" t="n">
        <v>0.346</v>
      </c>
      <c r="J102" s="8" t="n">
        <v>0.654</v>
      </c>
      <c r="K102" t="inlineStr">
        <is>
          <t>Mirage / Inferno</t>
        </is>
      </c>
      <c r="L102" t="inlineStr">
        <is>
          <t>21.5 / 21.4</t>
        </is>
      </c>
      <c r="N102" s="8" t="n">
        <v>0.2</v>
      </c>
      <c r="O102" s="12" t="n"/>
      <c r="P102">
        <f>IF(O102="","",IF(O102&gt;G102,"OVER",IF(O102&lt;G102,"UNDER","PUSH")))</f>
        <v/>
      </c>
      <c r="Q102" t="n">
        <v>16.55</v>
      </c>
      <c r="R102" s="8" t="n">
        <v>0.3323</v>
      </c>
      <c r="S102" t="n">
        <v>0.9905</v>
      </c>
      <c r="T102" t="n">
        <v>17.5</v>
      </c>
      <c r="U102" t="n">
        <v>17.33</v>
      </c>
    </row>
    <row r="103">
      <c r="A103" t="inlineStr">
        <is>
          <t>2026-10-25 03:09</t>
        </is>
      </c>
      <c r="B103" t="inlineStr">
        <is>
          <t>2026-10-25</t>
        </is>
      </c>
      <c r="C103" t="inlineStr">
        <is>
          <t>CS2</t>
        </is>
      </c>
      <c r="D103" t="inlineStr">
        <is>
          <t>CS2 · FURIA vs NAVI</t>
        </is>
      </c>
      <c r="E103" t="inlineStr">
        <is>
          <t>YEKINDAR</t>
        </is>
      </c>
      <c r="F103" t="inlineStr">
        <is>
          <t>Maps 1-2 Kills</t>
        </is>
      </c>
      <c r="G103" t="n">
        <v>30</v>
      </c>
      <c r="H103" t="n">
        <v>29.25</v>
      </c>
      <c r="I103" s="8" t="n">
        <v>0.4225</v>
      </c>
      <c r="J103" s="8" t="n">
        <v>0.5157</v>
      </c>
      <c r="K103" t="inlineStr">
        <is>
          <t>Mirage / Inferno</t>
        </is>
      </c>
      <c r="L103" t="inlineStr">
        <is>
          <t>21.5 / 21.4</t>
        </is>
      </c>
      <c r="M103" t="n">
        <v>29.96</v>
      </c>
      <c r="N103" s="8" t="n">
        <v>0.5</v>
      </c>
      <c r="O103" s="12" t="n"/>
      <c r="P103">
        <f>IF(O103="","",IF(O103&gt;G103,"OVER",IF(O103&lt;G103,"UNDER","PUSH")))</f>
        <v/>
      </c>
      <c r="Q103" t="n">
        <v>28.95</v>
      </c>
      <c r="R103" s="8" t="n">
        <v>0.4036</v>
      </c>
      <c r="S103" t="n">
        <v>0.9897</v>
      </c>
      <c r="T103" t="n">
        <v>29.61</v>
      </c>
      <c r="U103" t="n">
        <v>29.32</v>
      </c>
    </row>
    <row r="104">
      <c r="A104" t="inlineStr">
        <is>
          <t>2026-10-25 03:09</t>
        </is>
      </c>
      <c r="B104" t="inlineStr">
        <is>
          <t>2026-10-25</t>
        </is>
      </c>
      <c r="C104" t="inlineStr">
        <is>
          <t>CS2</t>
        </is>
      </c>
      <c r="D104" t="inlineStr">
        <is>
          <t>CS2 · FURIA vs NAVI</t>
        </is>
      </c>
      <c r="E104" t="inlineStr">
        <is>
          <t>yuurih</t>
        </is>
      </c>
      <c r="F104" t="inlineStr">
        <is>
          <t>Maps 1-2 HS</t>
        </is>
      </c>
      <c r="G104" t="n">
        <v>12.5</v>
      </c>
      <c r="H104" t="n">
        <v>11.43</v>
      </c>
      <c r="I104" s="8" t="n">
        <v>0.3857</v>
      </c>
      <c r="J104" s="8" t="n">
        <v>0.6143</v>
      </c>
      <c r="K104" t="inlineStr">
        <is>
          <t>Mirage / Inferno</t>
        </is>
      </c>
      <c r="L104" t="inlineStr">
        <is>
          <t>21.5 / 21.4</t>
        </is>
      </c>
      <c r="N104" s="8" t="n">
        <v>0.4</v>
      </c>
      <c r="O104" s="12" t="n"/>
      <c r="P104">
        <f>IF(O104="","",IF(O104&gt;G104,"OVER",IF(O104&lt;G104,"UNDER","PUSH")))</f>
        <v/>
      </c>
      <c r="Q104" t="n">
        <v>11.31</v>
      </c>
      <c r="R104" s="8" t="n">
        <v>0.373</v>
      </c>
      <c r="S104" t="n">
        <v>0.9898</v>
      </c>
      <c r="T104" t="n">
        <v>11.6</v>
      </c>
      <c r="U104" t="n">
        <v>11.49</v>
      </c>
    </row>
    <row r="105">
      <c r="A105" t="inlineStr">
        <is>
          <t>2026-10-25 03:09</t>
        </is>
      </c>
      <c r="B105" t="inlineStr">
        <is>
          <t>2026-10-25</t>
        </is>
      </c>
      <c r="C105" t="inlineStr">
        <is>
          <t>CS2</t>
        </is>
      </c>
      <c r="D105" t="inlineStr">
        <is>
          <t>CS2 · FURIA vs NAVI</t>
        </is>
      </c>
      <c r="E105" t="inlineStr">
        <is>
          <t>yuurih</t>
        </is>
      </c>
      <c r="F105" t="inlineStr">
        <is>
          <t>Maps 1-2 Kills</t>
        </is>
      </c>
      <c r="G105" t="n">
        <v>25.5</v>
      </c>
      <c r="H105" t="n">
        <v>24.32</v>
      </c>
      <c r="I105" s="8" t="n">
        <v>0.4199</v>
      </c>
      <c r="J105" s="8" t="n">
        <v>0.5800999999999999</v>
      </c>
      <c r="K105" t="inlineStr">
        <is>
          <t>Mirage / Inferno</t>
        </is>
      </c>
      <c r="L105" t="inlineStr">
        <is>
          <t>21.5 / 21.4</t>
        </is>
      </c>
      <c r="M105" t="n">
        <v>25.89</v>
      </c>
      <c r="N105" s="8" t="n">
        <v>0.5</v>
      </c>
      <c r="O105" s="12" t="n"/>
      <c r="P105">
        <f>IF(O105="","",IF(O105&gt;G105,"OVER",IF(O105&lt;G105,"UNDER","PUSH")))</f>
        <v/>
      </c>
      <c r="Q105" t="n">
        <v>24.07</v>
      </c>
      <c r="R105" s="8" t="n">
        <v>0.4029</v>
      </c>
      <c r="S105" t="n">
        <v>0.9898</v>
      </c>
      <c r="T105" t="n">
        <v>24.89</v>
      </c>
      <c r="U105" t="n">
        <v>24.65</v>
      </c>
    </row>
    <row r="106">
      <c r="A106" t="inlineStr">
        <is>
          <t>2026-10-25 03:09</t>
        </is>
      </c>
      <c r="B106" t="inlineStr">
        <is>
          <t>2026-10-25</t>
        </is>
      </c>
      <c r="C106" t="inlineStr">
        <is>
          <t>CS2</t>
        </is>
      </c>
      <c r="D106" t="inlineStr">
        <is>
          <t>CS2 · FURIA vs NAVI</t>
        </is>
      </c>
      <c r="E106" t="inlineStr">
        <is>
          <t>Aleksib</t>
        </is>
      </c>
      <c r="F106" t="inlineStr">
        <is>
          <t>Maps 1-2 HS</t>
        </is>
      </c>
      <c r="G106" t="n">
        <v>12</v>
      </c>
      <c r="H106" t="n">
        <v>11.2</v>
      </c>
      <c r="I106" s="8" t="n">
        <v>0.3617</v>
      </c>
      <c r="J106" s="8" t="n">
        <v>0.5328000000000001</v>
      </c>
      <c r="K106" t="inlineStr">
        <is>
          <t>Mirage / Inferno</t>
        </is>
      </c>
      <c r="L106" t="inlineStr">
        <is>
          <t>21.5 / 21.4</t>
        </is>
      </c>
      <c r="N106" s="8" t="n">
        <v>0.5</v>
      </c>
      <c r="O106" s="12" t="n"/>
      <c r="P106">
        <f>IF(O106="","",IF(O106&gt;G106,"OVER",IF(O106&lt;G106,"UNDER","PUSH")))</f>
        <v/>
      </c>
      <c r="Q106" t="n">
        <v>11.23</v>
      </c>
      <c r="R106" s="8" t="n">
        <v>0.3652</v>
      </c>
      <c r="S106" t="n">
        <v>1.0029</v>
      </c>
      <c r="T106" t="n">
        <v>11.42</v>
      </c>
      <c r="U106" t="n">
        <v>11.44</v>
      </c>
    </row>
    <row r="107">
      <c r="A107" t="inlineStr">
        <is>
          <t>2026-10-25 03:09</t>
        </is>
      </c>
      <c r="B107" t="inlineStr">
        <is>
          <t>2026-10-25</t>
        </is>
      </c>
      <c r="C107" t="inlineStr">
        <is>
          <t>CS2</t>
        </is>
      </c>
      <c r="D107" t="inlineStr">
        <is>
          <t>CS2 · FURIA vs NAVI</t>
        </is>
      </c>
      <c r="E107" t="inlineStr">
        <is>
          <t>Aleksib</t>
        </is>
      </c>
      <c r="F107" t="inlineStr">
        <is>
          <t>Maps 1-2 Kills</t>
        </is>
      </c>
      <c r="G107" t="n">
        <v>22</v>
      </c>
      <c r="H107" t="n">
        <v>21.19</v>
      </c>
      <c r="I107" s="8" t="n">
        <v>0.4052</v>
      </c>
      <c r="J107" s="8" t="n">
        <v>0.5225</v>
      </c>
      <c r="K107" t="inlineStr">
        <is>
          <t>Mirage / Inferno</t>
        </is>
      </c>
      <c r="L107" t="inlineStr">
        <is>
          <t>21.5 / 21.4</t>
        </is>
      </c>
      <c r="M107" t="n">
        <v>21</v>
      </c>
      <c r="N107" s="8" t="n">
        <v>0.4</v>
      </c>
      <c r="O107" s="12" t="n"/>
      <c r="P107">
        <f>IF(O107="","",IF(O107&gt;G107,"OVER",IF(O107&lt;G107,"UNDER","PUSH")))</f>
        <v/>
      </c>
      <c r="Q107" t="n">
        <v>21.25</v>
      </c>
      <c r="R107" s="8" t="n">
        <v>0.4091</v>
      </c>
      <c r="S107" t="n">
        <v>1.0026</v>
      </c>
      <c r="T107" t="n">
        <v>21.46</v>
      </c>
      <c r="U107" t="n">
        <v>21.51</v>
      </c>
    </row>
    <row r="108">
      <c r="A108" t="inlineStr">
        <is>
          <t>2026-10-25 03:09</t>
        </is>
      </c>
      <c r="B108" t="inlineStr">
        <is>
          <t>2026-10-25</t>
        </is>
      </c>
      <c r="C108" t="inlineStr">
        <is>
          <t>CS2</t>
        </is>
      </c>
      <c r="D108" t="inlineStr">
        <is>
          <t>CS2 · FURIA vs NAVI</t>
        </is>
      </c>
      <c r="E108" t="inlineStr">
        <is>
          <t>b1t</t>
        </is>
      </c>
      <c r="F108" t="inlineStr">
        <is>
          <t>Maps 1-2 HS</t>
        </is>
      </c>
      <c r="G108" t="n">
        <v>17.5</v>
      </c>
      <c r="H108" t="n">
        <v>17.06</v>
      </c>
      <c r="I108" s="8" t="n">
        <v>0.4619</v>
      </c>
      <c r="J108" s="8" t="n">
        <v>0.5381</v>
      </c>
      <c r="K108" t="inlineStr">
        <is>
          <t>Mirage / Inferno</t>
        </is>
      </c>
      <c r="L108" t="inlineStr">
        <is>
          <t>21.5 / 21.4</t>
        </is>
      </c>
      <c r="N108" s="8" t="n">
        <v>0.5</v>
      </c>
      <c r="O108" s="12" t="n"/>
      <c r="P108">
        <f>IF(O108="","",IF(O108&gt;G108,"OVER",IF(O108&lt;G108,"UNDER","PUSH")))</f>
        <v/>
      </c>
      <c r="Q108" t="n">
        <v>17.1</v>
      </c>
      <c r="R108" s="8" t="n">
        <v>0.4656</v>
      </c>
      <c r="S108" t="n">
        <v>1.0025</v>
      </c>
      <c r="T108" t="n">
        <v>17.79</v>
      </c>
      <c r="U108" t="n">
        <v>17.83</v>
      </c>
    </row>
    <row r="109">
      <c r="A109" t="inlineStr">
        <is>
          <t>2026-10-25 03:09</t>
        </is>
      </c>
      <c r="B109" t="inlineStr">
        <is>
          <t>2026-10-25</t>
        </is>
      </c>
      <c r="C109" t="inlineStr">
        <is>
          <t>CS2</t>
        </is>
      </c>
      <c r="D109" t="inlineStr">
        <is>
          <t>CS2 · FURIA vs NAVI</t>
        </is>
      </c>
      <c r="E109" t="inlineStr">
        <is>
          <t>b1t</t>
        </is>
      </c>
      <c r="F109" t="inlineStr">
        <is>
          <t>Maps 1-2 Kills</t>
        </is>
      </c>
      <c r="G109" t="n">
        <v>29</v>
      </c>
      <c r="H109" t="n">
        <v>27.49</v>
      </c>
      <c r="I109" s="8" t="n">
        <v>0.3732</v>
      </c>
      <c r="J109" s="8" t="n">
        <v>0.5644</v>
      </c>
      <c r="K109" t="inlineStr">
        <is>
          <t>Mirage / Inferno</t>
        </is>
      </c>
      <c r="L109" t="inlineStr">
        <is>
          <t>21.5 / 21.4</t>
        </is>
      </c>
      <c r="M109" t="n">
        <v>29.24</v>
      </c>
      <c r="N109" s="8" t="n">
        <v>0.6</v>
      </c>
      <c r="O109" s="12" t="n"/>
      <c r="P109">
        <f>IF(O109="","",IF(O109&gt;G109,"OVER",IF(O109&lt;G109,"UNDER","PUSH")))</f>
        <v/>
      </c>
      <c r="Q109" t="n">
        <v>27.56</v>
      </c>
      <c r="R109" s="8" t="n">
        <v>0.3772</v>
      </c>
      <c r="S109" t="n">
        <v>1.0023</v>
      </c>
      <c r="T109" t="n">
        <v>28.33</v>
      </c>
      <c r="U109" t="n">
        <v>28.39</v>
      </c>
    </row>
    <row r="110">
      <c r="A110" t="inlineStr">
        <is>
          <t>2026-10-25 03:09</t>
        </is>
      </c>
      <c r="B110" t="inlineStr">
        <is>
          <t>2026-10-25</t>
        </is>
      </c>
      <c r="C110" t="inlineStr">
        <is>
          <t>CS2</t>
        </is>
      </c>
      <c r="D110" t="inlineStr">
        <is>
          <t>CS2 · FURIA vs NAVI</t>
        </is>
      </c>
      <c r="E110" t="inlineStr">
        <is>
          <t>iM</t>
        </is>
      </c>
      <c r="F110" t="inlineStr">
        <is>
          <t>Maps 1-2 HS</t>
        </is>
      </c>
      <c r="G110" t="n">
        <v>12.5</v>
      </c>
      <c r="H110" t="n">
        <v>13.48</v>
      </c>
      <c r="I110" s="8" t="n">
        <v>0.5966</v>
      </c>
      <c r="J110" s="8" t="n">
        <v>0.4034</v>
      </c>
      <c r="K110" t="inlineStr">
        <is>
          <t>Mirage / Inferno</t>
        </is>
      </c>
      <c r="L110" t="inlineStr">
        <is>
          <t>21.5 / 21.4</t>
        </is>
      </c>
      <c r="N110" s="8" t="n">
        <v>0.6</v>
      </c>
      <c r="O110" s="12" t="n"/>
      <c r="P110">
        <f>IF(O110="","",IF(O110&gt;G110,"OVER",IF(O110&lt;G110,"UNDER","PUSH")))</f>
        <v/>
      </c>
      <c r="Q110" t="n">
        <v>13.52</v>
      </c>
      <c r="R110" s="8" t="n">
        <v>0.6005</v>
      </c>
      <c r="S110" t="n">
        <v>1.0031</v>
      </c>
      <c r="T110" t="n">
        <v>13.08</v>
      </c>
      <c r="U110" t="n">
        <v>13.11</v>
      </c>
    </row>
    <row r="111">
      <c r="A111" t="inlineStr">
        <is>
          <t>2026-10-25 03:09</t>
        </is>
      </c>
      <c r="B111" t="inlineStr">
        <is>
          <t>2026-10-25</t>
        </is>
      </c>
      <c r="C111" t="inlineStr">
        <is>
          <t>CS2</t>
        </is>
      </c>
      <c r="D111" t="inlineStr">
        <is>
          <t>CS2 · FURIA vs NAVI</t>
        </is>
      </c>
      <c r="E111" t="inlineStr">
        <is>
          <t>iM</t>
        </is>
      </c>
      <c r="F111" t="inlineStr">
        <is>
          <t>Maps 1-2 Kills</t>
        </is>
      </c>
      <c r="G111" t="n">
        <v>27.5</v>
      </c>
      <c r="H111" t="n">
        <v>28.48</v>
      </c>
      <c r="I111" s="8" t="n">
        <v>0.5618</v>
      </c>
      <c r="J111" s="8" t="n">
        <v>0.4382</v>
      </c>
      <c r="K111" t="inlineStr">
        <is>
          <t>Mirage / Inferno</t>
        </is>
      </c>
      <c r="L111" t="inlineStr">
        <is>
          <t>21.5 / 21.4</t>
        </is>
      </c>
      <c r="M111" t="n">
        <v>28.08</v>
      </c>
      <c r="N111" s="8" t="n">
        <v>0.7</v>
      </c>
      <c r="O111" s="12" t="n"/>
      <c r="P111">
        <f>IF(O111="","",IF(O111&gt;G111,"OVER",IF(O111&lt;G111,"UNDER","PUSH")))</f>
        <v/>
      </c>
      <c r="Q111" t="n">
        <v>28.56</v>
      </c>
      <c r="R111" s="8" t="n">
        <v>0.5665</v>
      </c>
      <c r="S111" t="n">
        <v>1.0027</v>
      </c>
      <c r="T111" t="n">
        <v>27.9</v>
      </c>
      <c r="U111" t="n">
        <v>27.96</v>
      </c>
    </row>
    <row r="112">
      <c r="A112" t="inlineStr">
        <is>
          <t>2026-10-25 03:09</t>
        </is>
      </c>
      <c r="B112" t="inlineStr">
        <is>
          <t>2026-10-25</t>
        </is>
      </c>
      <c r="C112" t="inlineStr">
        <is>
          <t>CS2</t>
        </is>
      </c>
      <c r="D112" t="inlineStr">
        <is>
          <t>CS2 · FURIA vs NAVI</t>
        </is>
      </c>
      <c r="E112" t="inlineStr">
        <is>
          <t>makazze</t>
        </is>
      </c>
      <c r="F112" t="inlineStr">
        <is>
          <t>Maps 1-2 HS</t>
        </is>
      </c>
      <c r="G112" t="n">
        <v>16</v>
      </c>
      <c r="H112" t="n">
        <v>14.65</v>
      </c>
      <c r="I112" s="8" t="n">
        <v>0.3306</v>
      </c>
      <c r="J112" s="8" t="n">
        <v>0.5798</v>
      </c>
      <c r="K112" t="inlineStr">
        <is>
          <t>Mirage / Inferno</t>
        </is>
      </c>
      <c r="L112" t="inlineStr">
        <is>
          <t>21.5 / 21.4</t>
        </is>
      </c>
      <c r="N112" s="8" t="n">
        <v>0.4</v>
      </c>
      <c r="O112" s="12" t="n"/>
      <c r="P112">
        <f>IF(O112="","",IF(O112&gt;G112,"OVER",IF(O112&lt;G112,"UNDER","PUSH")))</f>
        <v/>
      </c>
      <c r="Q112" t="n">
        <v>14.67</v>
      </c>
      <c r="R112" s="8" t="n">
        <v>0.3321</v>
      </c>
      <c r="S112" t="n">
        <v>1.0011</v>
      </c>
      <c r="T112" t="n">
        <v>15.41</v>
      </c>
      <c r="U112" t="n">
        <v>15.45</v>
      </c>
    </row>
    <row r="113">
      <c r="A113" t="inlineStr">
        <is>
          <t>2026-10-25 03:09</t>
        </is>
      </c>
      <c r="B113" t="inlineStr">
        <is>
          <t>2026-10-25</t>
        </is>
      </c>
      <c r="C113" t="inlineStr">
        <is>
          <t>CS2</t>
        </is>
      </c>
      <c r="D113" t="inlineStr">
        <is>
          <t>CS2 · FURIA vs NAVI</t>
        </is>
      </c>
      <c r="E113" t="inlineStr">
        <is>
          <t>makazze</t>
        </is>
      </c>
      <c r="F113" t="inlineStr">
        <is>
          <t>Maps 1-2 Kills</t>
        </is>
      </c>
      <c r="G113" t="n">
        <v>29</v>
      </c>
      <c r="H113" t="n">
        <v>27.17</v>
      </c>
      <c r="I113" s="8" t="n">
        <v>0.3526</v>
      </c>
      <c r="J113" s="8" t="n">
        <v>0.5855</v>
      </c>
      <c r="K113" t="inlineStr">
        <is>
          <t>Mirage / Inferno</t>
        </is>
      </c>
      <c r="L113" t="inlineStr">
        <is>
          <t>21.5 / 21.4</t>
        </is>
      </c>
      <c r="M113" t="n">
        <v>29.18</v>
      </c>
      <c r="N113" s="8" t="n">
        <v>0.7</v>
      </c>
      <c r="O113" s="12" t="n"/>
      <c r="P113">
        <f>IF(O113="","",IF(O113&gt;G113,"OVER",IF(O113&lt;G113,"UNDER","PUSH")))</f>
        <v/>
      </c>
      <c r="Q113" t="n">
        <v>27.19</v>
      </c>
      <c r="R113" s="8" t="n">
        <v>0.3543</v>
      </c>
      <c r="S113" t="n">
        <v>1.001</v>
      </c>
      <c r="T113" t="n">
        <v>28.76</v>
      </c>
      <c r="U113" t="n">
        <v>28.82</v>
      </c>
    </row>
    <row r="114">
      <c r="A114" t="inlineStr">
        <is>
          <t>2026-10-25 03:09</t>
        </is>
      </c>
      <c r="B114" t="inlineStr">
        <is>
          <t>2026-10-25</t>
        </is>
      </c>
      <c r="C114" t="inlineStr">
        <is>
          <t>CS2</t>
        </is>
      </c>
      <c r="D114" t="inlineStr">
        <is>
          <t>CS2 · FURIA vs NAVI</t>
        </is>
      </c>
      <c r="E114" t="inlineStr">
        <is>
          <t>w0nderful</t>
        </is>
      </c>
      <c r="F114" t="inlineStr">
        <is>
          <t>Maps 1-2 HS</t>
        </is>
      </c>
      <c r="G114" t="n">
        <v>12.5</v>
      </c>
      <c r="H114" t="n">
        <v>12.4</v>
      </c>
      <c r="I114" s="8" t="n">
        <v>0.4899</v>
      </c>
      <c r="J114" s="8" t="n">
        <v>0.5101</v>
      </c>
      <c r="K114" t="inlineStr">
        <is>
          <t>Mirage / Inferno</t>
        </is>
      </c>
      <c r="L114" t="inlineStr">
        <is>
          <t>21.5 / 21.4</t>
        </is>
      </c>
      <c r="N114" s="8" t="n">
        <v>0.6</v>
      </c>
      <c r="O114" s="12" t="n"/>
      <c r="P114">
        <f>IF(O114="","",IF(O114&gt;G114,"OVER",IF(O114&lt;G114,"UNDER","PUSH")))</f>
        <v/>
      </c>
      <c r="Q114" t="n">
        <v>12.44</v>
      </c>
      <c r="R114" s="8" t="n">
        <v>0.4937</v>
      </c>
      <c r="S114" t="n">
        <v>1.0028</v>
      </c>
      <c r="T114" t="n">
        <v>12.7</v>
      </c>
      <c r="U114" t="n">
        <v>12.73</v>
      </c>
    </row>
    <row r="115">
      <c r="A115" t="inlineStr">
        <is>
          <t>2026-10-25 03:09</t>
        </is>
      </c>
      <c r="B115" t="inlineStr">
        <is>
          <t>2026-10-25</t>
        </is>
      </c>
      <c r="C115" t="inlineStr">
        <is>
          <t>CS2</t>
        </is>
      </c>
      <c r="D115" t="inlineStr">
        <is>
          <t>CS2 · FURIA vs NAVI</t>
        </is>
      </c>
      <c r="E115" t="inlineStr">
        <is>
          <t>w0nderful</t>
        </is>
      </c>
      <c r="F115" t="inlineStr">
        <is>
          <t>Maps 1-2 Kills</t>
        </is>
      </c>
      <c r="G115" t="n">
        <v>32.5</v>
      </c>
      <c r="H115" t="n">
        <v>30.36</v>
      </c>
      <c r="I115" s="8" t="n">
        <v>0.3717</v>
      </c>
      <c r="J115" s="8" t="n">
        <v>0.6283</v>
      </c>
      <c r="K115" t="inlineStr">
        <is>
          <t>Mirage / Inferno</t>
        </is>
      </c>
      <c r="L115" t="inlineStr">
        <is>
          <t>21.5 / 21.4</t>
        </is>
      </c>
      <c r="M115" t="n">
        <v>32.82</v>
      </c>
      <c r="N115" s="8" t="n">
        <v>0.6</v>
      </c>
      <c r="O115" s="12" t="n"/>
      <c r="P115">
        <f>IF(O115="","",IF(O115&gt;G115,"OVER",IF(O115&lt;G115,"UNDER","PUSH")))</f>
        <v/>
      </c>
      <c r="Q115" t="n">
        <v>30.44</v>
      </c>
      <c r="R115" s="8" t="n">
        <v>0.3759</v>
      </c>
      <c r="S115" t="n">
        <v>1.0023</v>
      </c>
      <c r="T115" t="n">
        <v>31.76</v>
      </c>
      <c r="U115" t="n">
        <v>31.83</v>
      </c>
    </row>
    <row r="116">
      <c r="A116" t="inlineStr">
        <is>
          <t>2026-10-25 03:09</t>
        </is>
      </c>
      <c r="B116" t="inlineStr">
        <is>
          <t>2026-10-25</t>
        </is>
      </c>
      <c r="C116" t="inlineStr">
        <is>
          <t>CS2</t>
        </is>
      </c>
      <c r="D116" t="inlineStr">
        <is>
          <t>CS2 · FUT vs TL</t>
        </is>
      </c>
      <c r="E116" t="inlineStr">
        <is>
          <t>Dem0N</t>
        </is>
      </c>
      <c r="F116" t="inlineStr">
        <is>
          <t>Maps 1-2 HS</t>
        </is>
      </c>
      <c r="G116" t="n">
        <v>21.5</v>
      </c>
      <c r="H116" t="n">
        <v>20.51</v>
      </c>
      <c r="I116" s="8" t="n">
        <v>0.4229</v>
      </c>
      <c r="J116" s="8" t="n">
        <v>0.5770999999999999</v>
      </c>
      <c r="K116" t="inlineStr">
        <is>
          <t>Nuke / Anubis</t>
        </is>
      </c>
      <c r="L116" t="inlineStr">
        <is>
          <t>21.4 / 21.2</t>
        </is>
      </c>
      <c r="N116" s="8" t="n">
        <v>0.4</v>
      </c>
      <c r="O116" s="12" t="n"/>
      <c r="P116">
        <f>IF(O116="","",IF(O116&gt;G116,"OVER",IF(O116&lt;G116,"UNDER","PUSH")))</f>
        <v/>
      </c>
      <c r="Q116" t="n">
        <v>20.56</v>
      </c>
      <c r="R116" s="8" t="n">
        <v>0.4268</v>
      </c>
      <c r="S116" t="n">
        <v>1.0025</v>
      </c>
      <c r="T116" t="n">
        <v>20.28</v>
      </c>
      <c r="U116" t="n">
        <v>20.33</v>
      </c>
    </row>
    <row r="117">
      <c r="A117" t="inlineStr">
        <is>
          <t>2026-10-25 03:09</t>
        </is>
      </c>
      <c r="B117" t="inlineStr">
        <is>
          <t>2026-10-25</t>
        </is>
      </c>
      <c r="C117" t="inlineStr">
        <is>
          <t>CS2</t>
        </is>
      </c>
      <c r="D117" t="inlineStr">
        <is>
          <t>CS2 · FUT vs TL</t>
        </is>
      </c>
      <c r="E117" t="inlineStr">
        <is>
          <t>Dem0N</t>
        </is>
      </c>
      <c r="F117" t="inlineStr">
        <is>
          <t>Maps 1-2 Kills</t>
        </is>
      </c>
      <c r="G117" t="n">
        <v>32</v>
      </c>
      <c r="H117" t="n">
        <v>30.67</v>
      </c>
      <c r="I117" s="8" t="n">
        <v>0.39</v>
      </c>
      <c r="J117" s="8" t="n">
        <v>0.5504</v>
      </c>
      <c r="K117" t="inlineStr">
        <is>
          <t>Nuke / Anubis</t>
        </is>
      </c>
      <c r="L117" t="inlineStr">
        <is>
          <t>21.4 / 21.2</t>
        </is>
      </c>
      <c r="M117" t="n">
        <v>31.18</v>
      </c>
      <c r="N117" s="8" t="n">
        <v>0.5</v>
      </c>
      <c r="O117" s="12" t="n"/>
      <c r="P117">
        <f>IF(O117="","",IF(O117&gt;G117,"OVER",IF(O117&lt;G117,"UNDER","PUSH")))</f>
        <v/>
      </c>
      <c r="Q117" t="n">
        <v>30.73</v>
      </c>
      <c r="R117" s="8" t="n">
        <v>0.3939</v>
      </c>
      <c r="S117" t="n">
        <v>1.0021</v>
      </c>
      <c r="T117" t="n">
        <v>30.27</v>
      </c>
      <c r="U117" t="n">
        <v>30.35</v>
      </c>
    </row>
    <row r="118">
      <c r="A118" t="inlineStr">
        <is>
          <t>2026-10-25 03:09</t>
        </is>
      </c>
      <c r="B118" t="inlineStr">
        <is>
          <t>2026-10-25</t>
        </is>
      </c>
      <c r="C118" t="inlineStr">
        <is>
          <t>CS2</t>
        </is>
      </c>
      <c r="D118" t="inlineStr">
        <is>
          <t>CS2 · FUT vs TL</t>
        </is>
      </c>
      <c r="E118" t="inlineStr">
        <is>
          <t>dziugss</t>
        </is>
      </c>
      <c r="F118" t="inlineStr">
        <is>
          <t>Maps 1-2 HS</t>
        </is>
      </c>
      <c r="G118" t="n">
        <v>16</v>
      </c>
      <c r="H118" t="n">
        <v>16.25</v>
      </c>
      <c r="I118" s="8" t="n">
        <v>0.4782</v>
      </c>
      <c r="J118" s="8" t="n">
        <v>0.4334</v>
      </c>
      <c r="K118" t="inlineStr">
        <is>
          <t>Nuke / Anubis</t>
        </is>
      </c>
      <c r="L118" t="inlineStr">
        <is>
          <t>21.4 / 21.2</t>
        </is>
      </c>
      <c r="N118" s="8" t="n">
        <v>0.3</v>
      </c>
      <c r="O118" s="12" t="n"/>
      <c r="P118">
        <f>IF(O118="","",IF(O118&gt;G118,"OVER",IF(O118&lt;G118,"UNDER","PUSH")))</f>
        <v/>
      </c>
      <c r="Q118" t="n">
        <v>16.3</v>
      </c>
      <c r="R118" s="8" t="n">
        <v>0.4826</v>
      </c>
      <c r="S118" t="n">
        <v>1.003</v>
      </c>
      <c r="T118" t="n">
        <v>16.16</v>
      </c>
      <c r="U118" t="n">
        <v>16.2</v>
      </c>
    </row>
    <row r="119">
      <c r="A119" t="inlineStr">
        <is>
          <t>2026-10-25 03:09</t>
        </is>
      </c>
      <c r="B119" t="inlineStr">
        <is>
          <t>2026-10-25</t>
        </is>
      </c>
      <c r="C119" t="inlineStr">
        <is>
          <t>CS2</t>
        </is>
      </c>
      <c r="D119" t="inlineStr">
        <is>
          <t>CS2 · FUT vs TL</t>
        </is>
      </c>
      <c r="E119" t="inlineStr">
        <is>
          <t>dziugss</t>
        </is>
      </c>
      <c r="F119" t="inlineStr">
        <is>
          <t>Maps 1-2 Kills</t>
        </is>
      </c>
      <c r="G119" t="n">
        <v>27.5</v>
      </c>
      <c r="H119" t="n">
        <v>26.48</v>
      </c>
      <c r="I119" s="8" t="n">
        <v>0.4338</v>
      </c>
      <c r="J119" s="8" t="n">
        <v>0.5662</v>
      </c>
      <c r="K119" t="inlineStr">
        <is>
          <t>Nuke / Anubis</t>
        </is>
      </c>
      <c r="L119" t="inlineStr">
        <is>
          <t>21.4 / 21.2</t>
        </is>
      </c>
      <c r="M119" t="n">
        <v>28.11</v>
      </c>
      <c r="N119" s="8" t="n">
        <v>0.4</v>
      </c>
      <c r="O119" s="12" t="n"/>
      <c r="P119">
        <f>IF(O119="","",IF(O119&gt;G119,"OVER",IF(O119&lt;G119,"UNDER","PUSH")))</f>
        <v/>
      </c>
      <c r="Q119" t="n">
        <v>26.58</v>
      </c>
      <c r="R119" s="8" t="n">
        <v>0.4404</v>
      </c>
      <c r="S119" t="n">
        <v>1.0038</v>
      </c>
      <c r="T119" t="n">
        <v>27.72</v>
      </c>
      <c r="U119" t="n">
        <v>27.78</v>
      </c>
    </row>
    <row r="120">
      <c r="A120" t="inlineStr">
        <is>
          <t>2026-10-25 03:09</t>
        </is>
      </c>
      <c r="B120" t="inlineStr">
        <is>
          <t>2026-10-25</t>
        </is>
      </c>
      <c r="C120" t="inlineStr">
        <is>
          <t>CS2</t>
        </is>
      </c>
      <c r="D120" t="inlineStr">
        <is>
          <t>CS2 · FUT vs TL</t>
        </is>
      </c>
      <c r="E120" t="inlineStr">
        <is>
          <t>Krabeni</t>
        </is>
      </c>
      <c r="F120" t="inlineStr">
        <is>
          <t>Maps 1-2 HS</t>
        </is>
      </c>
      <c r="G120" t="n">
        <v>17</v>
      </c>
      <c r="H120" t="n">
        <v>16.28</v>
      </c>
      <c r="I120" s="8" t="n">
        <v>0.3916</v>
      </c>
      <c r="J120" s="8" t="n">
        <v>0.52</v>
      </c>
      <c r="K120" t="inlineStr">
        <is>
          <t>Nuke / Anubis</t>
        </is>
      </c>
      <c r="L120" t="inlineStr">
        <is>
          <t>21.4 / 21.2</t>
        </is>
      </c>
      <c r="N120" s="8" t="n">
        <v>0.7</v>
      </c>
      <c r="O120" s="12" t="n"/>
      <c r="P120">
        <f>IF(O120="","",IF(O120&gt;G120,"OVER",IF(O120&lt;G120,"UNDER","PUSH")))</f>
        <v/>
      </c>
      <c r="Q120" t="n">
        <v>16.33</v>
      </c>
      <c r="R120" s="8" t="n">
        <v>0.3965</v>
      </c>
      <c r="S120" t="n">
        <v>1.0034</v>
      </c>
      <c r="T120" t="n">
        <v>16.65</v>
      </c>
      <c r="U120" t="n">
        <v>16.69</v>
      </c>
    </row>
    <row r="121">
      <c r="A121" t="inlineStr">
        <is>
          <t>2026-10-25 03:09</t>
        </is>
      </c>
      <c r="B121" t="inlineStr">
        <is>
          <t>2026-10-25</t>
        </is>
      </c>
      <c r="C121" t="inlineStr">
        <is>
          <t>CS2</t>
        </is>
      </c>
      <c r="D121" t="inlineStr">
        <is>
          <t>CS2 · FUT vs TL</t>
        </is>
      </c>
      <c r="E121" t="inlineStr">
        <is>
          <t>Krabeni</t>
        </is>
      </c>
      <c r="F121" t="inlineStr">
        <is>
          <t>Maps 1-2 Kills</t>
        </is>
      </c>
      <c r="G121" t="n">
        <v>31</v>
      </c>
      <c r="H121" t="n">
        <v>30.48</v>
      </c>
      <c r="I121" s="8" t="n">
        <v>0.4378</v>
      </c>
      <c r="J121" s="8" t="n">
        <v>0.5014</v>
      </c>
      <c r="K121" t="inlineStr">
        <is>
          <t>Nuke / Anubis</t>
        </is>
      </c>
      <c r="L121" t="inlineStr">
        <is>
          <t>21.4 / 21.2</t>
        </is>
      </c>
      <c r="M121" t="n">
        <v>31.18</v>
      </c>
      <c r="N121" s="8" t="n">
        <v>0.6</v>
      </c>
      <c r="O121" s="12" t="n"/>
      <c r="P121">
        <f>IF(O121="","",IF(O121&gt;G121,"OVER",IF(O121&lt;G121,"UNDER","PUSH")))</f>
        <v/>
      </c>
      <c r="Q121" t="n">
        <v>30.58</v>
      </c>
      <c r="R121" s="8" t="n">
        <v>0.4441</v>
      </c>
      <c r="S121" t="n">
        <v>1.0033</v>
      </c>
      <c r="T121" t="n">
        <v>31.13</v>
      </c>
      <c r="U121" t="n">
        <v>31.2</v>
      </c>
    </row>
    <row r="122">
      <c r="A122" t="inlineStr">
        <is>
          <t>2026-10-25 03:09</t>
        </is>
      </c>
      <c r="B122" t="inlineStr">
        <is>
          <t>2026-10-25</t>
        </is>
      </c>
      <c r="C122" t="inlineStr">
        <is>
          <t>CS2</t>
        </is>
      </c>
      <c r="D122" t="inlineStr">
        <is>
          <t>CS2 · FUT vs TL</t>
        </is>
      </c>
      <c r="E122" t="inlineStr">
        <is>
          <t>SunPayus</t>
        </is>
      </c>
      <c r="F122" t="inlineStr">
        <is>
          <t>Maps 1-2 HS</t>
        </is>
      </c>
      <c r="G122" t="n">
        <v>10.5</v>
      </c>
      <c r="H122" t="n">
        <v>9.73</v>
      </c>
      <c r="I122" s="8" t="n">
        <v>0.408</v>
      </c>
      <c r="J122" s="8" t="n">
        <v>0.592</v>
      </c>
      <c r="K122" t="inlineStr">
        <is>
          <t>Nuke / Anubis</t>
        </is>
      </c>
      <c r="L122" t="inlineStr">
        <is>
          <t>21.4 / 21.2</t>
        </is>
      </c>
      <c r="N122" s="8" t="n">
        <v>0.4</v>
      </c>
      <c r="O122" s="12" t="n"/>
      <c r="P122">
        <f>IF(O122="","",IF(O122&gt;G122,"OVER",IF(O122&lt;G122,"UNDER","PUSH")))</f>
        <v/>
      </c>
      <c r="Q122" t="n">
        <v>9.74</v>
      </c>
      <c r="R122" s="8" t="n">
        <v>0.4094</v>
      </c>
      <c r="S122" t="n">
        <v>1.0012</v>
      </c>
      <c r="T122" t="n">
        <v>10.06</v>
      </c>
      <c r="U122" t="n">
        <v>10.08</v>
      </c>
    </row>
    <row r="123">
      <c r="A123" t="inlineStr">
        <is>
          <t>2026-10-25 03:09</t>
        </is>
      </c>
      <c r="B123" t="inlineStr">
        <is>
          <t>2026-10-25</t>
        </is>
      </c>
      <c r="C123" t="inlineStr">
        <is>
          <t>CS2</t>
        </is>
      </c>
      <c r="D123" t="inlineStr">
        <is>
          <t>CS2 · FUT vs TL</t>
        </is>
      </c>
      <c r="E123" t="inlineStr">
        <is>
          <t>SunPayus</t>
        </is>
      </c>
      <c r="F123" t="inlineStr">
        <is>
          <t>Maps 1-2 Kills</t>
        </is>
      </c>
      <c r="G123" t="n">
        <v>29.5</v>
      </c>
      <c r="H123" t="n">
        <v>29.19</v>
      </c>
      <c r="I123" s="8" t="n">
        <v>0.4804</v>
      </c>
      <c r="J123" s="8" t="n">
        <v>0.5196</v>
      </c>
      <c r="K123" t="inlineStr">
        <is>
          <t>Nuke / Anubis</t>
        </is>
      </c>
      <c r="L123" t="inlineStr">
        <is>
          <t>21.4 / 21.2</t>
        </is>
      </c>
      <c r="M123" t="n">
        <v>29.18</v>
      </c>
      <c r="N123" s="8" t="n">
        <v>0.5</v>
      </c>
      <c r="O123" s="12" t="n"/>
      <c r="P123">
        <f>IF(O123="","",IF(O123&gt;G123,"OVER",IF(O123&lt;G123,"UNDER","PUSH")))</f>
        <v/>
      </c>
      <c r="Q123" t="n">
        <v>29.25</v>
      </c>
      <c r="R123" s="8" t="n">
        <v>0.4843</v>
      </c>
      <c r="S123" t="n">
        <v>1.0021</v>
      </c>
      <c r="T123" t="n">
        <v>28.57</v>
      </c>
      <c r="U123" t="n">
        <v>28.64</v>
      </c>
    </row>
    <row r="124">
      <c r="A124" t="inlineStr">
        <is>
          <t>2026-10-25 03:09</t>
        </is>
      </c>
      <c r="B124" t="inlineStr">
        <is>
          <t>2026-10-25</t>
        </is>
      </c>
      <c r="C124" t="inlineStr">
        <is>
          <t>CS2</t>
        </is>
      </c>
      <c r="D124" t="inlineStr">
        <is>
          <t>CS2 · FUT vs TL</t>
        </is>
      </c>
      <c r="E124" t="inlineStr">
        <is>
          <t>xfl0ud</t>
        </is>
      </c>
      <c r="F124" t="inlineStr">
        <is>
          <t>Maps 1-2 HS</t>
        </is>
      </c>
      <c r="G124" t="n">
        <v>16</v>
      </c>
      <c r="H124" t="n">
        <v>14.66</v>
      </c>
      <c r="I124" s="8" t="n">
        <v>0.3315</v>
      </c>
      <c r="J124" s="8" t="n">
        <v>0.5788</v>
      </c>
      <c r="K124" t="inlineStr">
        <is>
          <t>Nuke / Anubis</t>
        </is>
      </c>
      <c r="L124" t="inlineStr">
        <is>
          <t>21.4 / 21.2</t>
        </is>
      </c>
      <c r="N124" s="8" t="n">
        <v>0.6</v>
      </c>
      <c r="O124" s="12" t="n"/>
      <c r="P124">
        <f>IF(O124="","",IF(O124&gt;G124,"OVER",IF(O124&lt;G124,"UNDER","PUSH")))</f>
        <v/>
      </c>
      <c r="Q124" t="n">
        <v>14.68</v>
      </c>
      <c r="R124" s="8" t="n">
        <v>0.3332</v>
      </c>
      <c r="S124" t="n">
        <v>1.0013</v>
      </c>
      <c r="T124" t="n">
        <v>15.49</v>
      </c>
      <c r="U124" t="n">
        <v>15.53</v>
      </c>
    </row>
    <row r="125">
      <c r="A125" t="inlineStr">
        <is>
          <t>2026-10-25 03:09</t>
        </is>
      </c>
      <c r="B125" t="inlineStr">
        <is>
          <t>2026-10-25</t>
        </is>
      </c>
      <c r="C125" t="inlineStr">
        <is>
          <t>CS2</t>
        </is>
      </c>
      <c r="D125" t="inlineStr">
        <is>
          <t>CS2 · FUT vs TL</t>
        </is>
      </c>
      <c r="E125" t="inlineStr">
        <is>
          <t>xfl0ud</t>
        </is>
      </c>
      <c r="F125" t="inlineStr">
        <is>
          <t>Maps 1-2 Kills</t>
        </is>
      </c>
      <c r="G125" t="n">
        <v>29</v>
      </c>
      <c r="H125" t="n">
        <v>27.24</v>
      </c>
      <c r="I125" s="8" t="n">
        <v>0.3572</v>
      </c>
      <c r="J125" s="8" t="n">
        <v>0.5808</v>
      </c>
      <c r="K125" t="inlineStr">
        <is>
          <t>Nuke / Anubis</t>
        </is>
      </c>
      <c r="L125" t="inlineStr">
        <is>
          <t>21.4 / 21.2</t>
        </is>
      </c>
      <c r="M125" t="n">
        <v>28.9</v>
      </c>
      <c r="N125" s="8" t="n">
        <v>0.6</v>
      </c>
      <c r="O125" s="12" t="n"/>
      <c r="P125">
        <f>IF(O125="","",IF(O125&gt;G125,"OVER",IF(O125&lt;G125,"UNDER","PUSH")))</f>
        <v/>
      </c>
      <c r="Q125" t="n">
        <v>27.29</v>
      </c>
      <c r="R125" s="8" t="n">
        <v>0.3602</v>
      </c>
      <c r="S125" t="n">
        <v>1.0017</v>
      </c>
      <c r="T125" t="n">
        <v>27.72</v>
      </c>
      <c r="U125" t="n">
        <v>27.78</v>
      </c>
    </row>
    <row r="126">
      <c r="A126" t="inlineStr">
        <is>
          <t>2026-10-25 03:09</t>
        </is>
      </c>
      <c r="B126" t="inlineStr">
        <is>
          <t>2026-10-25</t>
        </is>
      </c>
      <c r="C126" t="inlineStr">
        <is>
          <t>CS2</t>
        </is>
      </c>
      <c r="D126" t="inlineStr">
        <is>
          <t>CS2 · FUT vs TL</t>
        </is>
      </c>
      <c r="E126" t="inlineStr">
        <is>
          <t>EliGE</t>
        </is>
      </c>
      <c r="F126" t="inlineStr">
        <is>
          <t>Maps 1-2 HS</t>
        </is>
      </c>
      <c r="G126" t="n">
        <v>18</v>
      </c>
      <c r="H126" t="n">
        <v>19.41</v>
      </c>
      <c r="I126" s="8" t="n">
        <v>0.5738</v>
      </c>
      <c r="J126" s="8" t="n">
        <v>0.3479</v>
      </c>
      <c r="K126" t="inlineStr">
        <is>
          <t>Nuke / Anubis</t>
        </is>
      </c>
      <c r="L126" t="inlineStr">
        <is>
          <t>21.4 / 21.2</t>
        </is>
      </c>
      <c r="N126" s="8" t="n">
        <v>0.5</v>
      </c>
      <c r="O126" s="12" t="n"/>
      <c r="P126">
        <f>IF(O126="","",IF(O126&gt;G126,"OVER",IF(O126&lt;G126,"UNDER","PUSH")))</f>
        <v/>
      </c>
      <c r="Q126" t="n">
        <v>18.19</v>
      </c>
      <c r="R126" s="8" t="n">
        <v>0.474</v>
      </c>
      <c r="S126" t="n">
        <v>0.9373</v>
      </c>
      <c r="T126" t="n">
        <v>19.39</v>
      </c>
      <c r="U126" t="n">
        <v>18.17</v>
      </c>
    </row>
    <row r="127">
      <c r="A127" t="inlineStr">
        <is>
          <t>2026-10-25 03:09</t>
        </is>
      </c>
      <c r="B127" t="inlineStr">
        <is>
          <t>2026-10-25</t>
        </is>
      </c>
      <c r="C127" t="inlineStr">
        <is>
          <t>CS2</t>
        </is>
      </c>
      <c r="D127" t="inlineStr">
        <is>
          <t>CS2 · FUT vs TL</t>
        </is>
      </c>
      <c r="E127" t="inlineStr">
        <is>
          <t>EliGE</t>
        </is>
      </c>
      <c r="F127" t="inlineStr">
        <is>
          <t>Maps 1-2 Kills</t>
        </is>
      </c>
      <c r="G127" t="n">
        <v>31</v>
      </c>
      <c r="H127" t="n">
        <v>34.2</v>
      </c>
      <c r="I127" s="8" t="n">
        <v>0.6516999999999999</v>
      </c>
      <c r="J127" s="8" t="n">
        <v>0.2966</v>
      </c>
      <c r="K127" t="inlineStr">
        <is>
          <t>Nuke / Anubis</t>
        </is>
      </c>
      <c r="L127" t="inlineStr">
        <is>
          <t>21.4 / 21.2</t>
        </is>
      </c>
      <c r="M127" t="n">
        <v>31.4</v>
      </c>
      <c r="N127" s="8" t="n">
        <v>0.5</v>
      </c>
      <c r="O127" s="12" t="n"/>
      <c r="P127">
        <f>IF(O127="","",IF(O127&gt;G127,"OVER",IF(O127&lt;G127,"UNDER","PUSH")))</f>
        <v/>
      </c>
      <c r="Q127" t="n">
        <v>32.05</v>
      </c>
      <c r="R127" s="8" t="n">
        <v>0.5327</v>
      </c>
      <c r="S127" t="n">
        <v>0.9372</v>
      </c>
      <c r="T127" t="n">
        <v>33.26</v>
      </c>
      <c r="U127" t="n">
        <v>31.17</v>
      </c>
    </row>
    <row r="128">
      <c r="A128" t="inlineStr">
        <is>
          <t>2026-10-25 03:09</t>
        </is>
      </c>
      <c r="B128" t="inlineStr">
        <is>
          <t>2026-10-25</t>
        </is>
      </c>
      <c r="C128" t="inlineStr">
        <is>
          <t>CS2</t>
        </is>
      </c>
      <c r="D128" t="inlineStr">
        <is>
          <t>CS2 · FUT vs TL</t>
        </is>
      </c>
      <c r="E128" t="inlineStr">
        <is>
          <t>Jorko</t>
        </is>
      </c>
      <c r="F128" t="inlineStr">
        <is>
          <t>Maps 1-2 HS</t>
        </is>
      </c>
      <c r="G128" t="n">
        <v>9.5</v>
      </c>
      <c r="H128" t="n">
        <v>9.640000000000001</v>
      </c>
      <c r="I128" s="8" t="n">
        <v>0.5175</v>
      </c>
      <c r="J128" s="8" t="n">
        <v>0.4825</v>
      </c>
      <c r="K128" t="inlineStr">
        <is>
          <t>Nuke / Anubis</t>
        </is>
      </c>
      <c r="L128" t="inlineStr">
        <is>
          <t>21.4 / 21.2</t>
        </is>
      </c>
      <c r="N128" s="8" t="n">
        <v>0.7</v>
      </c>
      <c r="O128" s="12" t="n"/>
      <c r="P128">
        <f>IF(O128="","",IF(O128&gt;G128,"OVER",IF(O128&lt;G128,"UNDER","PUSH")))</f>
        <v/>
      </c>
      <c r="Q128" t="n">
        <v>9.029999999999999</v>
      </c>
      <c r="R128" s="8" t="n">
        <v>0.4414</v>
      </c>
      <c r="S128" t="n">
        <v>0.9363</v>
      </c>
      <c r="T128" t="n">
        <v>9.789999999999999</v>
      </c>
      <c r="U128" t="n">
        <v>9.18</v>
      </c>
    </row>
    <row r="129">
      <c r="A129" t="inlineStr">
        <is>
          <t>2026-10-25 03:09</t>
        </is>
      </c>
      <c r="B129" t="inlineStr">
        <is>
          <t>2026-10-25</t>
        </is>
      </c>
      <c r="C129" t="inlineStr">
        <is>
          <t>CS2</t>
        </is>
      </c>
      <c r="D129" t="inlineStr">
        <is>
          <t>CS2 · FUT vs TL</t>
        </is>
      </c>
      <c r="E129" t="inlineStr">
        <is>
          <t>Jorko</t>
        </is>
      </c>
      <c r="F129" t="inlineStr">
        <is>
          <t>Maps 1-2 Kills</t>
        </is>
      </c>
      <c r="G129" t="n">
        <v>27.5</v>
      </c>
      <c r="H129" t="n">
        <v>31.31</v>
      </c>
      <c r="I129" s="8" t="n">
        <v>0.7175</v>
      </c>
      <c r="J129" s="8" t="n">
        <v>0.2825</v>
      </c>
      <c r="K129" t="inlineStr">
        <is>
          <t>Nuke / Anubis</t>
        </is>
      </c>
      <c r="L129" t="inlineStr">
        <is>
          <t>21.4 / 21.2</t>
        </is>
      </c>
      <c r="M129" t="n">
        <v>27.91</v>
      </c>
      <c r="N129" s="8" t="n">
        <v>0.7</v>
      </c>
      <c r="O129" s="12" t="n"/>
      <c r="P129">
        <f>IF(O129="","",IF(O129&gt;G129,"OVER",IF(O129&lt;G129,"UNDER","PUSH")))</f>
        <v/>
      </c>
      <c r="Q129" t="n">
        <v>29.35</v>
      </c>
      <c r="R129" s="8" t="n">
        <v>0.6133</v>
      </c>
      <c r="S129" t="n">
        <v>0.9372</v>
      </c>
      <c r="T129" t="n">
        <v>29.85</v>
      </c>
      <c r="U129" t="n">
        <v>27.98</v>
      </c>
    </row>
    <row r="130">
      <c r="A130" t="inlineStr">
        <is>
          <t>2026-10-25 03:09</t>
        </is>
      </c>
      <c r="B130" t="inlineStr">
        <is>
          <t>2026-10-25</t>
        </is>
      </c>
      <c r="C130" t="inlineStr">
        <is>
          <t>CS2</t>
        </is>
      </c>
      <c r="D130" t="inlineStr">
        <is>
          <t>CS2 · FUT vs TL</t>
        </is>
      </c>
      <c r="E130" t="inlineStr">
        <is>
          <t>JT</t>
        </is>
      </c>
      <c r="F130" t="inlineStr">
        <is>
          <t>Maps 1-2 HS</t>
        </is>
      </c>
      <c r="G130" t="n">
        <v>12.5</v>
      </c>
      <c r="H130" t="n">
        <v>12.04</v>
      </c>
      <c r="I130" s="8" t="n">
        <v>0.4517</v>
      </c>
      <c r="J130" s="8" t="n">
        <v>0.5483</v>
      </c>
      <c r="K130" t="inlineStr">
        <is>
          <t>Nuke / Anubis</t>
        </is>
      </c>
      <c r="L130" t="inlineStr">
        <is>
          <t>21.4 / 21.2</t>
        </is>
      </c>
      <c r="N130" s="8" t="n">
        <v>0.3</v>
      </c>
      <c r="O130" s="12" t="n"/>
      <c r="P130">
        <f>IF(O130="","",IF(O130&gt;G130,"OVER",IF(O130&lt;G130,"UNDER","PUSH")))</f>
        <v/>
      </c>
      <c r="Q130" t="n">
        <v>11.29</v>
      </c>
      <c r="R130" s="8" t="n">
        <v>0.3716</v>
      </c>
      <c r="S130" t="n">
        <v>0.9377</v>
      </c>
      <c r="T130" t="n">
        <v>12.33</v>
      </c>
      <c r="U130" t="n">
        <v>11.56</v>
      </c>
    </row>
    <row r="131">
      <c r="A131" t="inlineStr">
        <is>
          <t>2026-10-25 03:09</t>
        </is>
      </c>
      <c r="B131" t="inlineStr">
        <is>
          <t>2026-10-25</t>
        </is>
      </c>
      <c r="C131" t="inlineStr">
        <is>
          <t>CS2</t>
        </is>
      </c>
      <c r="D131" t="inlineStr">
        <is>
          <t>CS2 · FUT vs TL</t>
        </is>
      </c>
      <c r="E131" t="inlineStr">
        <is>
          <t>JT</t>
        </is>
      </c>
      <c r="F131" t="inlineStr">
        <is>
          <t>Maps 1-2 Kills</t>
        </is>
      </c>
      <c r="G131" t="n">
        <v>23</v>
      </c>
      <c r="H131" t="n">
        <v>22.12</v>
      </c>
      <c r="I131" s="8" t="n">
        <v>0.4023</v>
      </c>
      <c r="J131" s="8" t="n">
        <v>0.527</v>
      </c>
      <c r="K131" t="inlineStr">
        <is>
          <t>Nuke / Anubis</t>
        </is>
      </c>
      <c r="L131" t="inlineStr">
        <is>
          <t>21.4 / 21.2</t>
        </is>
      </c>
      <c r="M131" t="n">
        <v>23.17</v>
      </c>
      <c r="N131" s="8" t="n">
        <v>0.4</v>
      </c>
      <c r="O131" s="12" t="n"/>
      <c r="P131">
        <f>IF(O131="","",IF(O131&gt;G131,"OVER",IF(O131&lt;G131,"UNDER","PUSH")))</f>
        <v/>
      </c>
      <c r="Q131" t="n">
        <v>20.75</v>
      </c>
      <c r="R131" s="8" t="n">
        <v>0.3052</v>
      </c>
      <c r="S131" t="n">
        <v>0.9381</v>
      </c>
      <c r="T131" t="n">
        <v>22.17</v>
      </c>
      <c r="U131" t="n">
        <v>20.78</v>
      </c>
    </row>
    <row r="132">
      <c r="A132" t="inlineStr">
        <is>
          <t>2026-10-25 03:09</t>
        </is>
      </c>
      <c r="B132" t="inlineStr">
        <is>
          <t>2026-10-25</t>
        </is>
      </c>
      <c r="C132" t="inlineStr">
        <is>
          <t>CS2</t>
        </is>
      </c>
      <c r="D132" t="inlineStr">
        <is>
          <t>CS2 · FUT vs TL</t>
        </is>
      </c>
      <c r="E132" t="inlineStr">
        <is>
          <t>malbsMd</t>
        </is>
      </c>
      <c r="F132" t="inlineStr">
        <is>
          <t>Maps 1-2 HS</t>
        </is>
      </c>
      <c r="G132" t="n">
        <v>17.5</v>
      </c>
      <c r="H132" t="n">
        <v>19.68</v>
      </c>
      <c r="I132" s="8" t="n">
        <v>0.6689000000000001</v>
      </c>
      <c r="J132" s="8" t="n">
        <v>0.3311</v>
      </c>
      <c r="K132" t="inlineStr">
        <is>
          <t>Nuke / Anubis</t>
        </is>
      </c>
      <c r="L132" t="inlineStr">
        <is>
          <t>21.4 / 21.2</t>
        </is>
      </c>
      <c r="N132" s="8" t="n">
        <v>0.6</v>
      </c>
      <c r="O132" s="12" t="n"/>
      <c r="P132">
        <f>IF(O132="","",IF(O132&gt;G132,"OVER",IF(O132&lt;G132,"UNDER","PUSH")))</f>
        <v/>
      </c>
      <c r="Q132" t="n">
        <v>18.44</v>
      </c>
      <c r="R132" s="8" t="n">
        <v>0.5770999999999999</v>
      </c>
      <c r="S132" t="n">
        <v>0.9370000000000001</v>
      </c>
      <c r="T132" t="n">
        <v>19.04</v>
      </c>
      <c r="U132" t="n">
        <v>17.84</v>
      </c>
    </row>
    <row r="133">
      <c r="A133" t="inlineStr">
        <is>
          <t>2026-10-25 03:09</t>
        </is>
      </c>
      <c r="B133" t="inlineStr">
        <is>
          <t>2026-10-25</t>
        </is>
      </c>
      <c r="C133" t="inlineStr">
        <is>
          <t>CS2</t>
        </is>
      </c>
      <c r="D133" t="inlineStr">
        <is>
          <t>CS2 · FUT vs TL</t>
        </is>
      </c>
      <c r="E133" t="inlineStr">
        <is>
          <t>malbsMd</t>
        </is>
      </c>
      <c r="F133" t="inlineStr">
        <is>
          <t>Maps 1-2 Kills</t>
        </is>
      </c>
      <c r="G133" t="n">
        <v>27</v>
      </c>
      <c r="H133" t="n">
        <v>29.74</v>
      </c>
      <c r="I133" s="8" t="n">
        <v>0.6358</v>
      </c>
      <c r="J133" s="8" t="n">
        <v>0.3078</v>
      </c>
      <c r="K133" t="inlineStr">
        <is>
          <t>Nuke / Anubis</t>
        </is>
      </c>
      <c r="L133" t="inlineStr">
        <is>
          <t>21.4 / 21.2</t>
        </is>
      </c>
      <c r="M133" t="n">
        <v>26.76</v>
      </c>
      <c r="N133" s="8" t="n">
        <v>0.5</v>
      </c>
      <c r="O133" s="12" t="n"/>
      <c r="P133">
        <f>IF(O133="","",IF(O133&gt;G133,"OVER",IF(O133&lt;G133,"UNDER","PUSH")))</f>
        <v/>
      </c>
      <c r="Q133" t="n">
        <v>27.87</v>
      </c>
      <c r="R133" s="8" t="n">
        <v>0.5237000000000001</v>
      </c>
      <c r="S133" t="n">
        <v>0.9372</v>
      </c>
      <c r="T133" t="n">
        <v>29.42</v>
      </c>
      <c r="U133" t="n">
        <v>27.58</v>
      </c>
    </row>
    <row r="134">
      <c r="A134" t="inlineStr">
        <is>
          <t>2026-10-25 03:09</t>
        </is>
      </c>
      <c r="B134" t="inlineStr">
        <is>
          <t>2026-10-25</t>
        </is>
      </c>
      <c r="C134" t="inlineStr">
        <is>
          <t>CS2</t>
        </is>
      </c>
      <c r="D134" t="inlineStr">
        <is>
          <t>CS2 · FUT vs TL</t>
        </is>
      </c>
      <c r="E134" t="inlineStr">
        <is>
          <t>NAF</t>
        </is>
      </c>
      <c r="F134" t="inlineStr">
        <is>
          <t>Maps 1-2 HS</t>
        </is>
      </c>
      <c r="G134" t="n">
        <v>13.5</v>
      </c>
      <c r="H134" t="n">
        <v>15.93</v>
      </c>
      <c r="I134" s="8" t="n">
        <v>0.709</v>
      </c>
      <c r="J134" s="8" t="n">
        <v>0.291</v>
      </c>
      <c r="K134" t="inlineStr">
        <is>
          <t>Nuke / Anubis</t>
        </is>
      </c>
      <c r="L134" t="inlineStr">
        <is>
          <t>21.4 / 21.2</t>
        </is>
      </c>
      <c r="N134" s="8" t="n">
        <v>0.8</v>
      </c>
      <c r="O134" s="12" t="n"/>
      <c r="P134">
        <f>IF(O134="","",IF(O134&gt;G134,"OVER",IF(O134&lt;G134,"UNDER","PUSH")))</f>
        <v/>
      </c>
      <c r="Q134" t="n">
        <v>14.91</v>
      </c>
      <c r="R134" s="8" t="n">
        <v>0.6294</v>
      </c>
      <c r="S134" t="n">
        <v>0.9361</v>
      </c>
      <c r="T134" t="n">
        <v>15.48</v>
      </c>
      <c r="U134" t="n">
        <v>14.51</v>
      </c>
    </row>
    <row r="135">
      <c r="A135" t="inlineStr">
        <is>
          <t>2026-10-25 03:09</t>
        </is>
      </c>
      <c r="B135" t="inlineStr">
        <is>
          <t>2026-10-25</t>
        </is>
      </c>
      <c r="C135" t="inlineStr">
        <is>
          <t>CS2</t>
        </is>
      </c>
      <c r="D135" t="inlineStr">
        <is>
          <t>CS2 · FUT vs TL</t>
        </is>
      </c>
      <c r="E135" t="inlineStr">
        <is>
          <t>NAF</t>
        </is>
      </c>
      <c r="F135" t="inlineStr">
        <is>
          <t>Maps 1-2 Kills</t>
        </is>
      </c>
      <c r="G135" t="n">
        <v>27</v>
      </c>
      <c r="H135" t="n">
        <v>29.1</v>
      </c>
      <c r="I135" s="8" t="n">
        <v>0.5987</v>
      </c>
      <c r="J135" s="8" t="n">
        <v>0.3421</v>
      </c>
      <c r="K135" t="inlineStr">
        <is>
          <t>Nuke / Anubis</t>
        </is>
      </c>
      <c r="L135" t="inlineStr">
        <is>
          <t>21.4 / 21.2</t>
        </is>
      </c>
      <c r="M135" t="n">
        <v>27.06</v>
      </c>
      <c r="N135" s="8" t="n">
        <v>0.8</v>
      </c>
      <c r="O135" s="12" t="n"/>
      <c r="P135">
        <f>IF(O135="","",IF(O135&gt;G135,"OVER",IF(O135&lt;G135,"UNDER","PUSH")))</f>
        <v/>
      </c>
      <c r="Q135" t="n">
        <v>27.25</v>
      </c>
      <c r="R135" s="8" t="n">
        <v>0.4837</v>
      </c>
      <c r="S135" t="n">
        <v>0.9365</v>
      </c>
      <c r="T135" t="n">
        <v>28.57</v>
      </c>
      <c r="U135" t="n">
        <v>26.78</v>
      </c>
    </row>
    <row r="136">
      <c r="A136" t="inlineStr">
        <is>
          <t>2026-10-25 03:09</t>
        </is>
      </c>
      <c r="B136" t="inlineStr">
        <is>
          <t>2026-10-25</t>
        </is>
      </c>
      <c r="C136" t="inlineStr">
        <is>
          <t>CS2</t>
        </is>
      </c>
      <c r="D136" t="inlineStr">
        <is>
          <t>CS2 · INF vs BRUTE</t>
        </is>
      </c>
      <c r="E136" t="inlineStr">
        <is>
          <t>nbqq</t>
        </is>
      </c>
      <c r="F136" t="inlineStr">
        <is>
          <t>Maps 1-2 HS</t>
        </is>
      </c>
      <c r="G136" t="n">
        <v>13.5</v>
      </c>
      <c r="H136" t="n">
        <v>13.9</v>
      </c>
      <c r="I136" s="8" t="n">
        <v>0.5394</v>
      </c>
      <c r="J136" s="8" t="n">
        <v>0.4606</v>
      </c>
      <c r="K136" t="inlineStr">
        <is>
          <t>Dust2 / Mirage</t>
        </is>
      </c>
      <c r="L136" t="inlineStr">
        <is>
          <t>21.5 / 21.5</t>
        </is>
      </c>
      <c r="N136" s="8" t="n">
        <v>0.5</v>
      </c>
      <c r="O136" s="12" t="n"/>
      <c r="P136">
        <f>IF(O136="","",IF(O136&gt;G136,"OVER",IF(O136&lt;G136,"UNDER","PUSH")))</f>
        <v/>
      </c>
      <c r="Q136" t="n">
        <v>13.98</v>
      </c>
      <c r="R136" s="8" t="n">
        <v>0.5467</v>
      </c>
      <c r="S136" t="n">
        <v>1.0055</v>
      </c>
      <c r="T136" t="n">
        <v>13.64</v>
      </c>
      <c r="U136" t="n">
        <v>13.72</v>
      </c>
    </row>
    <row r="137">
      <c r="A137" t="inlineStr">
        <is>
          <t>2026-10-25 03:09</t>
        </is>
      </c>
      <c r="B137" t="inlineStr">
        <is>
          <t>2026-10-25</t>
        </is>
      </c>
      <c r="C137" t="inlineStr">
        <is>
          <t>CS2</t>
        </is>
      </c>
      <c r="D137" t="inlineStr">
        <is>
          <t>CS2 · INF vs BRUTE</t>
        </is>
      </c>
      <c r="E137" t="inlineStr">
        <is>
          <t>nbqq</t>
        </is>
      </c>
      <c r="F137" t="inlineStr">
        <is>
          <t>Maps 1-2 Kills</t>
        </is>
      </c>
      <c r="G137" t="n">
        <v>28.5</v>
      </c>
      <c r="H137" t="n">
        <v>28.74</v>
      </c>
      <c r="I137" s="8" t="n">
        <v>0.5151</v>
      </c>
      <c r="J137" s="8" t="n">
        <v>0.4849</v>
      </c>
      <c r="K137" t="inlineStr">
        <is>
          <t>Dust2 / Mirage</t>
        </is>
      </c>
      <c r="L137" t="inlineStr">
        <is>
          <t>21.5 / 21.5</t>
        </is>
      </c>
      <c r="N137" s="8" t="n">
        <v>0.5</v>
      </c>
      <c r="O137" s="12" t="n"/>
      <c r="P137">
        <f>IF(O137="","",IF(O137&gt;G137,"OVER",IF(O137&lt;G137,"UNDER","PUSH")))</f>
        <v/>
      </c>
      <c r="Q137" t="n">
        <v>28.9</v>
      </c>
      <c r="R137" s="8" t="n">
        <v>0.5251</v>
      </c>
      <c r="S137" t="n">
        <v>1.0056</v>
      </c>
      <c r="T137" t="n">
        <v>27.95</v>
      </c>
      <c r="U137" t="n">
        <v>28.1</v>
      </c>
    </row>
    <row r="138">
      <c r="A138" t="inlineStr">
        <is>
          <t>2026-10-25 03:09</t>
        </is>
      </c>
      <c r="B138" t="inlineStr">
        <is>
          <t>2026-10-25</t>
        </is>
      </c>
      <c r="C138" t="inlineStr">
        <is>
          <t>CS2</t>
        </is>
      </c>
      <c r="D138" t="inlineStr">
        <is>
          <t>CS2 · INF vs BRUTE</t>
        </is>
      </c>
      <c r="E138" t="inlineStr">
        <is>
          <t>tAk</t>
        </is>
      </c>
      <c r="F138" t="inlineStr">
        <is>
          <t>Maps 1-2 HS</t>
        </is>
      </c>
      <c r="G138" t="n">
        <v>15.5</v>
      </c>
      <c r="H138" t="n">
        <v>17.27</v>
      </c>
      <c r="I138" s="8" t="n">
        <v>0.6509</v>
      </c>
      <c r="J138" s="8" t="n">
        <v>0.3491</v>
      </c>
      <c r="K138" t="inlineStr">
        <is>
          <t>Dust2 / Mirage</t>
        </is>
      </c>
      <c r="L138" t="inlineStr">
        <is>
          <t>21.5 / 21.5</t>
        </is>
      </c>
      <c r="N138" s="8" t="n">
        <v>0.7</v>
      </c>
      <c r="O138" s="12" t="n"/>
      <c r="P138">
        <f>IF(O138="","",IF(O138&gt;G138,"OVER",IF(O138&lt;G138,"UNDER","PUSH")))</f>
        <v/>
      </c>
      <c r="Q138" t="n">
        <v>17.37</v>
      </c>
      <c r="R138" s="8" t="n">
        <v>0.6581</v>
      </c>
      <c r="S138" t="n">
        <v>1.0055</v>
      </c>
      <c r="T138" t="n">
        <v>16.53</v>
      </c>
      <c r="U138" t="n">
        <v>16.62</v>
      </c>
    </row>
    <row r="139">
      <c r="A139" t="inlineStr">
        <is>
          <t>2026-10-25 03:09</t>
        </is>
      </c>
      <c r="B139" t="inlineStr">
        <is>
          <t>2026-10-25</t>
        </is>
      </c>
      <c r="C139" t="inlineStr">
        <is>
          <t>CS2</t>
        </is>
      </c>
      <c r="D139" t="inlineStr">
        <is>
          <t>CS2 · INF vs BRUTE</t>
        </is>
      </c>
      <c r="E139" t="inlineStr">
        <is>
          <t>tAk</t>
        </is>
      </c>
      <c r="F139" t="inlineStr">
        <is>
          <t>Maps 1-2 Kills</t>
        </is>
      </c>
      <c r="G139" t="n">
        <v>31</v>
      </c>
      <c r="H139" t="n">
        <v>32.46</v>
      </c>
      <c r="I139" s="8" t="n">
        <v>0.5568</v>
      </c>
      <c r="J139" s="8" t="n">
        <v>0.3854</v>
      </c>
      <c r="K139" t="inlineStr">
        <is>
          <t>Dust2 / Mirage</t>
        </is>
      </c>
      <c r="L139" t="inlineStr">
        <is>
          <t>21.5 / 21.5</t>
        </is>
      </c>
      <c r="N139" s="8" t="n">
        <v>0.6</v>
      </c>
      <c r="O139" s="12" t="n"/>
      <c r="P139">
        <f>IF(O139="","",IF(O139&gt;G139,"OVER",IF(O139&lt;G139,"UNDER","PUSH")))</f>
        <v/>
      </c>
      <c r="Q139" t="n">
        <v>32.64</v>
      </c>
      <c r="R139" s="8" t="n">
        <v>0.5671</v>
      </c>
      <c r="S139" t="n">
        <v>1.0055</v>
      </c>
      <c r="T139" t="n">
        <v>30.96</v>
      </c>
      <c r="U139" t="n">
        <v>31.13</v>
      </c>
    </row>
    <row r="140">
      <c r="A140" t="inlineStr">
        <is>
          <t>2026-10-25 03:09</t>
        </is>
      </c>
      <c r="B140" t="inlineStr">
        <is>
          <t>2026-10-25</t>
        </is>
      </c>
      <c r="C140" t="inlineStr">
        <is>
          <t>CS2</t>
        </is>
      </c>
      <c r="D140" t="inlineStr">
        <is>
          <t>CS2 · INF vs BRUTE</t>
        </is>
      </c>
      <c r="E140" t="inlineStr">
        <is>
          <t>ZEDKO</t>
        </is>
      </c>
      <c r="F140" t="inlineStr">
        <is>
          <t>Maps 1-2 HS</t>
        </is>
      </c>
      <c r="G140" t="n">
        <v>14.5</v>
      </c>
      <c r="H140" t="n">
        <v>15.7</v>
      </c>
      <c r="I140" s="8" t="n">
        <v>0.6075</v>
      </c>
      <c r="J140" s="8" t="n">
        <v>0.3925</v>
      </c>
      <c r="K140" t="inlineStr">
        <is>
          <t>Dust2 / Mirage</t>
        </is>
      </c>
      <c r="L140" t="inlineStr">
        <is>
          <t>21.5 / 21.5</t>
        </is>
      </c>
      <c r="N140" s="8" t="n">
        <v>0.3</v>
      </c>
      <c r="O140" s="12" t="n"/>
      <c r="P140">
        <f>IF(O140="","",IF(O140&gt;G140,"OVER",IF(O140&lt;G140,"UNDER","PUSH")))</f>
        <v/>
      </c>
      <c r="Q140" t="n">
        <v>15.78</v>
      </c>
      <c r="R140" s="8" t="n">
        <v>0.6148</v>
      </c>
      <c r="S140" t="n">
        <v>1.0055</v>
      </c>
      <c r="T140" t="n">
        <v>15.46</v>
      </c>
      <c r="U140" t="n">
        <v>15.54</v>
      </c>
    </row>
    <row r="141">
      <c r="A141" t="inlineStr">
        <is>
          <t>2026-10-25 03:09</t>
        </is>
      </c>
      <c r="B141" t="inlineStr">
        <is>
          <t>2026-10-25</t>
        </is>
      </c>
      <c r="C141" t="inlineStr">
        <is>
          <t>CS2</t>
        </is>
      </c>
      <c r="D141" t="inlineStr">
        <is>
          <t>CS2 · INF vs BRUTE</t>
        </is>
      </c>
      <c r="E141" t="inlineStr">
        <is>
          <t>ZEDKO</t>
        </is>
      </c>
      <c r="F141" t="inlineStr">
        <is>
          <t>Maps 1-2 Kills</t>
        </is>
      </c>
      <c r="G141" t="n">
        <v>27</v>
      </c>
      <c r="H141" t="n">
        <v>27.66</v>
      </c>
      <c r="I141" s="8" t="n">
        <v>0.5102</v>
      </c>
      <c r="J141" s="8" t="n">
        <v>0.4261</v>
      </c>
      <c r="K141" t="inlineStr">
        <is>
          <t>Dust2 / Mirage</t>
        </is>
      </c>
      <c r="L141" t="inlineStr">
        <is>
          <t>21.5 / 21.5</t>
        </is>
      </c>
      <c r="N141" s="8" t="n">
        <v>0.3</v>
      </c>
      <c r="O141" s="12" t="n"/>
      <c r="P141">
        <f>IF(O141="","",IF(O141&gt;G141,"OVER",IF(O141&lt;G141,"UNDER","PUSH")))</f>
        <v/>
      </c>
      <c r="Q141" t="n">
        <v>27.81</v>
      </c>
      <c r="R141" s="8" t="n">
        <v>0.5199</v>
      </c>
      <c r="S141" t="n">
        <v>1.0055</v>
      </c>
      <c r="T141" t="n">
        <v>27.95</v>
      </c>
      <c r="U141" t="n">
        <v>28.1</v>
      </c>
    </row>
    <row r="142">
      <c r="A142" t="inlineStr">
        <is>
          <t>2026-10-25 03:09</t>
        </is>
      </c>
      <c r="B142" t="inlineStr">
        <is>
          <t>2026-10-25</t>
        </is>
      </c>
      <c r="C142" t="inlineStr">
        <is>
          <t>CS2</t>
        </is>
      </c>
      <c r="D142" t="inlineStr">
        <is>
          <t>CS2 · INF vs BRUTE</t>
        </is>
      </c>
      <c r="E142" t="inlineStr">
        <is>
          <t>kyuubii</t>
        </is>
      </c>
      <c r="F142" t="inlineStr">
        <is>
          <t>Maps 1-2 HS</t>
        </is>
      </c>
      <c r="G142" t="n">
        <v>16</v>
      </c>
      <c r="H142" t="n">
        <v>16.08</v>
      </c>
      <c r="I142" s="8" t="n">
        <v>0.4618</v>
      </c>
      <c r="J142" s="8" t="n">
        <v>0.4483</v>
      </c>
      <c r="K142" t="inlineStr">
        <is>
          <t>Dust2 / Mirage</t>
        </is>
      </c>
      <c r="L142" t="inlineStr">
        <is>
          <t>21.5 / 21.5</t>
        </is>
      </c>
      <c r="N142" s="8" t="n">
        <v>0.7</v>
      </c>
      <c r="O142" s="12" t="n"/>
      <c r="P142">
        <f>IF(O142="","",IF(O142&gt;G142,"OVER",IF(O142&lt;G142,"UNDER","PUSH")))</f>
        <v/>
      </c>
      <c r="Q142" t="n">
        <v>16.27</v>
      </c>
      <c r="R142" s="8" t="n">
        <v>0.4798</v>
      </c>
      <c r="S142" t="n">
        <v>1.0123</v>
      </c>
      <c r="T142" t="n">
        <v>16.65</v>
      </c>
      <c r="U142" t="n">
        <v>16.86</v>
      </c>
    </row>
    <row r="143">
      <c r="A143" t="inlineStr">
        <is>
          <t>2026-10-25 03:09</t>
        </is>
      </c>
      <c r="B143" t="inlineStr">
        <is>
          <t>2026-10-25</t>
        </is>
      </c>
      <c r="C143" t="inlineStr">
        <is>
          <t>CS2</t>
        </is>
      </c>
      <c r="D143" t="inlineStr">
        <is>
          <t>CS2 · INF vs BRUTE</t>
        </is>
      </c>
      <c r="E143" t="inlineStr">
        <is>
          <t>kyuubii</t>
        </is>
      </c>
      <c r="F143" t="inlineStr">
        <is>
          <t>Maps 1-2 Kills</t>
        </is>
      </c>
      <c r="G143" t="n">
        <v>28.5</v>
      </c>
      <c r="H143" t="n">
        <v>29.07</v>
      </c>
      <c r="I143" s="8" t="n">
        <v>0.5354</v>
      </c>
      <c r="J143" s="8" t="n">
        <v>0.4646</v>
      </c>
      <c r="K143" t="inlineStr">
        <is>
          <t>Dust2 / Mirage</t>
        </is>
      </c>
      <c r="L143" t="inlineStr">
        <is>
          <t>21.5 / 21.5</t>
        </is>
      </c>
      <c r="N143" s="8" t="n">
        <v>0.5</v>
      </c>
      <c r="O143" s="12" t="n"/>
      <c r="P143">
        <f>IF(O143="","",IF(O143&gt;G143,"OVER",IF(O143&lt;G143,"UNDER","PUSH")))</f>
        <v/>
      </c>
      <c r="Q143" t="n">
        <v>29.43</v>
      </c>
      <c r="R143" s="8" t="n">
        <v>0.5573</v>
      </c>
      <c r="S143" t="n">
        <v>1.0123</v>
      </c>
      <c r="T143" t="n">
        <v>28.81</v>
      </c>
      <c r="U143" t="n">
        <v>29.17</v>
      </c>
    </row>
    <row r="144">
      <c r="A144" t="inlineStr">
        <is>
          <t>2026-10-25 03:09</t>
        </is>
      </c>
      <c r="B144" t="inlineStr">
        <is>
          <t>2026-10-25</t>
        </is>
      </c>
      <c r="C144" t="inlineStr">
        <is>
          <t>CS2</t>
        </is>
      </c>
      <c r="D144" t="inlineStr">
        <is>
          <t>CS2 · INF vs BRUTE</t>
        </is>
      </c>
      <c r="E144" t="inlineStr">
        <is>
          <t>ScrunK</t>
        </is>
      </c>
      <c r="F144" t="inlineStr">
        <is>
          <t>Maps 1-2 HS</t>
        </is>
      </c>
      <c r="G144" t="n">
        <v>11.5</v>
      </c>
      <c r="H144" t="n">
        <v>9.51</v>
      </c>
      <c r="I144" s="8" t="n">
        <v>0.2774</v>
      </c>
      <c r="J144" s="8" t="n">
        <v>0.7226</v>
      </c>
      <c r="K144" t="inlineStr">
        <is>
          <t>Dust2 / Mirage</t>
        </is>
      </c>
      <c r="L144" t="inlineStr">
        <is>
          <t>21.5 / 21.5</t>
        </is>
      </c>
      <c r="N144" s="8" t="n">
        <v>0.2</v>
      </c>
      <c r="O144" s="12" t="n"/>
      <c r="P144">
        <f>IF(O144="","",IF(O144&gt;G144,"OVER",IF(O144&lt;G144,"UNDER","PUSH")))</f>
        <v/>
      </c>
      <c r="Q144" t="n">
        <v>9.630000000000001</v>
      </c>
      <c r="R144" s="8" t="n">
        <v>0.2904</v>
      </c>
      <c r="S144" t="n">
        <v>1.0124</v>
      </c>
      <c r="T144" t="n">
        <v>9.74</v>
      </c>
      <c r="U144" t="n">
        <v>9.859999999999999</v>
      </c>
    </row>
    <row r="145">
      <c r="A145" t="inlineStr">
        <is>
          <t>2026-10-25 03:09</t>
        </is>
      </c>
      <c r="B145" t="inlineStr">
        <is>
          <t>2026-10-25</t>
        </is>
      </c>
      <c r="C145" t="inlineStr">
        <is>
          <t>CS2</t>
        </is>
      </c>
      <c r="D145" t="inlineStr">
        <is>
          <t>CS2 · INF vs BRUTE</t>
        </is>
      </c>
      <c r="E145" t="inlineStr">
        <is>
          <t>ScrunK</t>
        </is>
      </c>
      <c r="F145" t="inlineStr">
        <is>
          <t>Maps 1-2 Kills</t>
        </is>
      </c>
      <c r="G145" t="n">
        <v>23.5</v>
      </c>
      <c r="H145" t="n">
        <v>19.64</v>
      </c>
      <c r="I145" s="8" t="n">
        <v>0.2306</v>
      </c>
      <c r="J145" s="8" t="n">
        <v>0.7694</v>
      </c>
      <c r="K145" t="inlineStr">
        <is>
          <t>Dust2 / Mirage</t>
        </is>
      </c>
      <c r="L145" t="inlineStr">
        <is>
          <t>21.5 / 21.5</t>
        </is>
      </c>
      <c r="N145" s="8" t="n">
        <v>0.3</v>
      </c>
      <c r="O145" s="12" t="n"/>
      <c r="P145">
        <f>IF(O145="","",IF(O145&gt;G145,"OVER",IF(O145&lt;G145,"UNDER","PUSH")))</f>
        <v/>
      </c>
      <c r="Q145" t="n">
        <v>19.88</v>
      </c>
      <c r="R145" s="8" t="n">
        <v>0.2464</v>
      </c>
      <c r="S145" t="n">
        <v>1.0124</v>
      </c>
      <c r="T145" t="n">
        <v>20.64</v>
      </c>
      <c r="U145" t="n">
        <v>20.9</v>
      </c>
    </row>
    <row r="146">
      <c r="A146" t="inlineStr">
        <is>
          <t>2026-10-25 03:09</t>
        </is>
      </c>
      <c r="B146" t="inlineStr">
        <is>
          <t>2026-10-25</t>
        </is>
      </c>
      <c r="C146" t="inlineStr">
        <is>
          <t>CS2</t>
        </is>
      </c>
      <c r="D146" t="inlineStr">
        <is>
          <t>CS2 · INF vs BRUTE</t>
        </is>
      </c>
      <c r="E146" t="inlineStr">
        <is>
          <t>sl3nd</t>
        </is>
      </c>
      <c r="F146" t="inlineStr">
        <is>
          <t>Maps 1-2 HS</t>
        </is>
      </c>
      <c r="G146" t="n">
        <v>11</v>
      </c>
      <c r="H146" t="n">
        <v>10.31</v>
      </c>
      <c r="I146" s="8" t="n">
        <v>0.3631</v>
      </c>
      <c r="J146" s="8" t="n">
        <v>0.5225</v>
      </c>
      <c r="K146" t="inlineStr">
        <is>
          <t>Dust2 / Mirage</t>
        </is>
      </c>
      <c r="L146" t="inlineStr">
        <is>
          <t>21.5 / 21.5</t>
        </is>
      </c>
      <c r="N146" s="8" t="n">
        <v>0.4</v>
      </c>
      <c r="O146" s="12" t="n"/>
      <c r="P146">
        <f>IF(O146="","",IF(O146&gt;G146,"OVER",IF(O146&lt;G146,"UNDER","PUSH")))</f>
        <v/>
      </c>
      <c r="Q146" t="n">
        <v>10.44</v>
      </c>
      <c r="R146" s="8" t="n">
        <v>0.3782</v>
      </c>
      <c r="S146" t="n">
        <v>1.0125</v>
      </c>
      <c r="T146" t="n">
        <v>9.93</v>
      </c>
      <c r="U146" t="n">
        <v>10.05</v>
      </c>
    </row>
    <row r="147">
      <c r="A147" t="inlineStr">
        <is>
          <t>2026-10-25 03:09</t>
        </is>
      </c>
      <c r="B147" t="inlineStr">
        <is>
          <t>2026-10-25</t>
        </is>
      </c>
      <c r="C147" t="inlineStr">
        <is>
          <t>CS2</t>
        </is>
      </c>
      <c r="D147" t="inlineStr">
        <is>
          <t>CS2 · INF vs BRUTE</t>
        </is>
      </c>
      <c r="E147" t="inlineStr">
        <is>
          <t>sl3nd</t>
        </is>
      </c>
      <c r="F147" t="inlineStr">
        <is>
          <t>Maps 1-2 Kills</t>
        </is>
      </c>
      <c r="G147" t="n">
        <v>34.5</v>
      </c>
      <c r="H147" t="n">
        <v>33.25</v>
      </c>
      <c r="I147" s="8" t="n">
        <v>0.4273</v>
      </c>
      <c r="J147" s="8" t="n">
        <v>0.5727</v>
      </c>
      <c r="K147" t="inlineStr">
        <is>
          <t>Dust2 / Mirage</t>
        </is>
      </c>
      <c r="L147" t="inlineStr">
        <is>
          <t>21.5 / 21.5</t>
        </is>
      </c>
      <c r="N147" s="8" t="n">
        <v>0.5</v>
      </c>
      <c r="O147" s="12" t="n"/>
      <c r="P147">
        <f>IF(O147="","",IF(O147&gt;G147,"OVER",IF(O147&lt;G147,"UNDER","PUSH")))</f>
        <v/>
      </c>
      <c r="Q147" t="n">
        <v>33.66</v>
      </c>
      <c r="R147" s="8" t="n">
        <v>0.4514</v>
      </c>
      <c r="S147" t="n">
        <v>1.0124</v>
      </c>
      <c r="T147" t="n">
        <v>33.54</v>
      </c>
      <c r="U147" t="n">
        <v>33.95</v>
      </c>
    </row>
    <row r="148">
      <c r="A148" t="inlineStr">
        <is>
          <t>2026-10-25 03:09</t>
        </is>
      </c>
      <c r="B148" t="inlineStr">
        <is>
          <t>2026-10-25</t>
        </is>
      </c>
      <c r="C148" t="inlineStr">
        <is>
          <t>CS2</t>
        </is>
      </c>
      <c r="D148" t="inlineStr">
        <is>
          <t>CS2 · INF vs BRUTE</t>
        </is>
      </c>
      <c r="E148" t="inlineStr">
        <is>
          <t>volt</t>
        </is>
      </c>
      <c r="F148" t="inlineStr">
        <is>
          <t>Maps 1-2 HS</t>
        </is>
      </c>
      <c r="G148" t="n">
        <v>14.5</v>
      </c>
      <c r="H148" t="n">
        <v>14.62</v>
      </c>
      <c r="I148" s="8" t="n">
        <v>0.5115</v>
      </c>
      <c r="J148" s="8" t="n">
        <v>0.4885</v>
      </c>
      <c r="K148" t="inlineStr">
        <is>
          <t>Dust2 / Mirage</t>
        </is>
      </c>
      <c r="L148" t="inlineStr">
        <is>
          <t>21.5 / 21.5</t>
        </is>
      </c>
      <c r="N148" s="8" t="n">
        <v>0.5</v>
      </c>
      <c r="O148" s="12" t="n"/>
      <c r="P148">
        <f>IF(O148="","",IF(O148&gt;G148,"OVER",IF(O148&lt;G148,"UNDER","PUSH")))</f>
        <v/>
      </c>
      <c r="Q148" t="n">
        <v>14.8</v>
      </c>
      <c r="R148" s="8" t="n">
        <v>0.5282</v>
      </c>
      <c r="S148" t="n">
        <v>1.0123</v>
      </c>
      <c r="T148" t="n">
        <v>14.34</v>
      </c>
      <c r="U148" t="n">
        <v>14.52</v>
      </c>
    </row>
    <row r="149">
      <c r="A149" t="inlineStr">
        <is>
          <t>2026-10-25 03:09</t>
        </is>
      </c>
      <c r="B149" t="inlineStr">
        <is>
          <t>2026-10-25</t>
        </is>
      </c>
      <c r="C149" t="inlineStr">
        <is>
          <t>CS2</t>
        </is>
      </c>
      <c r="D149" t="inlineStr">
        <is>
          <t>CS2 · INF vs BRUTE</t>
        </is>
      </c>
      <c r="E149" t="inlineStr">
        <is>
          <t>volt</t>
        </is>
      </c>
      <c r="F149" t="inlineStr">
        <is>
          <t>Maps 1-2 Kills</t>
        </is>
      </c>
      <c r="G149" t="n">
        <v>26</v>
      </c>
      <c r="H149" t="n">
        <v>25.39</v>
      </c>
      <c r="I149" s="8" t="n">
        <v>0.426</v>
      </c>
      <c r="J149" s="8" t="n">
        <v>0.5075</v>
      </c>
      <c r="K149" t="inlineStr">
        <is>
          <t>Dust2 / Mirage</t>
        </is>
      </c>
      <c r="L149" t="inlineStr">
        <is>
          <t>21.5 / 21.5</t>
        </is>
      </c>
      <c r="N149" s="8" t="n">
        <v>0.6</v>
      </c>
      <c r="O149" s="12" t="n"/>
      <c r="P149">
        <f>IF(O149="","",IF(O149&gt;G149,"OVER",IF(O149&lt;G149,"UNDER","PUSH")))</f>
        <v/>
      </c>
      <c r="Q149" t="n">
        <v>25.7</v>
      </c>
      <c r="R149" s="8" t="n">
        <v>0.4469</v>
      </c>
      <c r="S149" t="n">
        <v>1.0123</v>
      </c>
      <c r="T149" t="n">
        <v>25.8</v>
      </c>
      <c r="U149" t="n">
        <v>26.12</v>
      </c>
    </row>
    <row r="150">
      <c r="A150" t="inlineStr">
        <is>
          <t>2026-10-25 03:09</t>
        </is>
      </c>
      <c r="B150" t="inlineStr">
        <is>
          <t>2026-10-25</t>
        </is>
      </c>
      <c r="C150" t="inlineStr">
        <is>
          <t>CS2</t>
        </is>
      </c>
      <c r="D150" t="inlineStr">
        <is>
          <t>CS2 · LGC vs DEN</t>
        </is>
      </c>
      <c r="E150" t="inlineStr">
        <is>
          <t>doc</t>
        </is>
      </c>
      <c r="F150" t="inlineStr">
        <is>
          <t>Maps 1-2 HS</t>
        </is>
      </c>
      <c r="G150" t="n">
        <v>17</v>
      </c>
      <c r="H150" t="n">
        <v>18.98</v>
      </c>
      <c r="I150" s="8" t="n">
        <v>0.6208</v>
      </c>
      <c r="J150" s="8" t="n">
        <v>0.3032</v>
      </c>
      <c r="K150" t="inlineStr">
        <is>
          <t>Mirage / Ancient</t>
        </is>
      </c>
      <c r="L150" t="inlineStr">
        <is>
          <t>21.4 / 21.1</t>
        </is>
      </c>
      <c r="N150" s="8" t="n">
        <v>0.7</v>
      </c>
      <c r="O150" s="12" t="n"/>
      <c r="P150">
        <f>IF(O150="","",IF(O150&gt;G150,"OVER",IF(O150&lt;G150,"UNDER","PUSH")))</f>
        <v/>
      </c>
      <c r="Q150" t="n">
        <v>18.13</v>
      </c>
      <c r="R150" s="8" t="n">
        <v>0.5528999999999999</v>
      </c>
      <c r="S150" t="n">
        <v>0.9549</v>
      </c>
      <c r="T150" t="n">
        <v>19.11</v>
      </c>
      <c r="U150" t="n">
        <v>18.28</v>
      </c>
    </row>
    <row r="151">
      <c r="A151" t="inlineStr">
        <is>
          <t>2026-10-25 03:09</t>
        </is>
      </c>
      <c r="B151" t="inlineStr">
        <is>
          <t>2026-10-25</t>
        </is>
      </c>
      <c r="C151" t="inlineStr">
        <is>
          <t>CS2</t>
        </is>
      </c>
      <c r="D151" t="inlineStr">
        <is>
          <t>CS2 · LGC vs DEN</t>
        </is>
      </c>
      <c r="E151" t="inlineStr">
        <is>
          <t>doc</t>
        </is>
      </c>
      <c r="F151" t="inlineStr">
        <is>
          <t>Maps 1-2 Kills</t>
        </is>
      </c>
      <c r="G151" t="n">
        <v>30</v>
      </c>
      <c r="H151" t="n">
        <v>34.16</v>
      </c>
      <c r="I151" s="8" t="n">
        <v>0.7017</v>
      </c>
      <c r="J151" s="8" t="n">
        <v>0.2502</v>
      </c>
      <c r="K151" t="inlineStr">
        <is>
          <t>Mirage / Ancient</t>
        </is>
      </c>
      <c r="L151" t="inlineStr">
        <is>
          <t>21.4 / 21.1</t>
        </is>
      </c>
      <c r="M151" t="n">
        <v>28.82</v>
      </c>
      <c r="N151" s="8" t="n">
        <v>0.8</v>
      </c>
      <c r="O151" s="12" t="n"/>
      <c r="P151">
        <f>IF(O151="","",IF(O151&gt;G151,"OVER",IF(O151&lt;G151,"UNDER","PUSH")))</f>
        <v/>
      </c>
      <c r="Q151" t="n">
        <v>32.62</v>
      </c>
      <c r="R151" s="8" t="n">
        <v>0.623</v>
      </c>
      <c r="S151" t="n">
        <v>0.9548</v>
      </c>
      <c r="T151" t="n">
        <v>33.13</v>
      </c>
      <c r="U151" t="n">
        <v>31.68</v>
      </c>
    </row>
    <row r="152">
      <c r="A152" t="inlineStr">
        <is>
          <t>2026-10-25 03:09</t>
        </is>
      </c>
      <c r="B152" t="inlineStr">
        <is>
          <t>2026-10-25</t>
        </is>
      </c>
      <c r="C152" t="inlineStr">
        <is>
          <t>CS2</t>
        </is>
      </c>
      <c r="D152" t="inlineStr">
        <is>
          <t>CS2 · LGC vs DEN</t>
        </is>
      </c>
      <c r="E152" t="inlineStr">
        <is>
          <t>Gafolo</t>
        </is>
      </c>
      <c r="F152" t="inlineStr">
        <is>
          <t>Maps 1-2 HS</t>
        </is>
      </c>
      <c r="G152" t="n">
        <v>11</v>
      </c>
      <c r="H152" t="n">
        <v>11.01</v>
      </c>
      <c r="I152" s="8" t="n">
        <v>0.446</v>
      </c>
      <c r="J152" s="8" t="n">
        <v>0.4435</v>
      </c>
      <c r="K152" t="inlineStr">
        <is>
          <t>Mirage / Ancient</t>
        </is>
      </c>
      <c r="L152" t="inlineStr">
        <is>
          <t>21.4 / 21.1</t>
        </is>
      </c>
      <c r="N152" s="8" t="n">
        <v>0.4</v>
      </c>
      <c r="O152" s="12" t="n"/>
      <c r="P152">
        <f>IF(O152="","",IF(O152&gt;G152,"OVER",IF(O152&lt;G152,"UNDER","PUSH")))</f>
        <v/>
      </c>
      <c r="Q152" t="n">
        <v>10.55</v>
      </c>
      <c r="R152" s="8" t="n">
        <v>0.3931</v>
      </c>
      <c r="S152" t="n">
        <v>0.9576</v>
      </c>
      <c r="T152" t="n">
        <v>11.06</v>
      </c>
      <c r="U152" t="n">
        <v>10.58</v>
      </c>
    </row>
    <row r="153">
      <c r="A153" t="inlineStr">
        <is>
          <t>2026-10-25 03:09</t>
        </is>
      </c>
      <c r="B153" t="inlineStr">
        <is>
          <t>2026-10-25</t>
        </is>
      </c>
      <c r="C153" t="inlineStr">
        <is>
          <t>CS2</t>
        </is>
      </c>
      <c r="D153" t="inlineStr">
        <is>
          <t>CS2 · LGC vs DEN</t>
        </is>
      </c>
      <c r="E153" t="inlineStr">
        <is>
          <t>Gafolo</t>
        </is>
      </c>
      <c r="F153" t="inlineStr">
        <is>
          <t>Maps 1-2 Kills</t>
        </is>
      </c>
      <c r="G153" t="n">
        <v>22.5</v>
      </c>
      <c r="H153" t="n">
        <v>25.06</v>
      </c>
      <c r="I153" s="8" t="n">
        <v>0.6673</v>
      </c>
      <c r="J153" s="8" t="n">
        <v>0.3327</v>
      </c>
      <c r="K153" t="inlineStr">
        <is>
          <t>Mirage / Ancient</t>
        </is>
      </c>
      <c r="L153" t="inlineStr">
        <is>
          <t>21.4 / 21.1</t>
        </is>
      </c>
      <c r="M153" t="n">
        <v>22.82</v>
      </c>
      <c r="N153" s="8" t="n">
        <v>0.7</v>
      </c>
      <c r="O153" s="12" t="n"/>
      <c r="P153">
        <f>IF(O153="","",IF(O153&gt;G153,"OVER",IF(O153&lt;G153,"UNDER","PUSH")))</f>
        <v/>
      </c>
      <c r="Q153" t="n">
        <v>23.98</v>
      </c>
      <c r="R153" s="8" t="n">
        <v>0.6009</v>
      </c>
      <c r="S153" t="n">
        <v>0.957</v>
      </c>
      <c r="T153" t="n">
        <v>23.78</v>
      </c>
      <c r="U153" t="n">
        <v>22.74</v>
      </c>
    </row>
    <row r="154">
      <c r="A154" t="inlineStr">
        <is>
          <t>2026-10-25 03:09</t>
        </is>
      </c>
      <c r="B154" t="inlineStr">
        <is>
          <t>2026-10-25</t>
        </is>
      </c>
      <c r="C154" t="inlineStr">
        <is>
          <t>CS2</t>
        </is>
      </c>
      <c r="D154" t="inlineStr">
        <is>
          <t>CS2 · LGC vs DEN</t>
        </is>
      </c>
      <c r="E154" t="inlineStr">
        <is>
          <t>koala</t>
        </is>
      </c>
      <c r="F154" t="inlineStr">
        <is>
          <t>Maps 1-2 HS</t>
        </is>
      </c>
      <c r="G154" t="n">
        <v>14.5</v>
      </c>
      <c r="H154" t="n">
        <v>15.68</v>
      </c>
      <c r="I154" s="8" t="n">
        <v>0.6072</v>
      </c>
      <c r="J154" s="8" t="n">
        <v>0.3928</v>
      </c>
      <c r="K154" t="inlineStr">
        <is>
          <t>Mirage / Ancient</t>
        </is>
      </c>
      <c r="L154" t="inlineStr">
        <is>
          <t>21.4 / 21.1</t>
        </is>
      </c>
      <c r="N154" s="8" t="n">
        <v>0.6</v>
      </c>
      <c r="O154" s="12" t="n"/>
      <c r="P154">
        <f>IF(O154="","",IF(O154&gt;G154,"OVER",IF(O154&lt;G154,"UNDER","PUSH")))</f>
        <v/>
      </c>
      <c r="Q154" t="n">
        <v>14.97</v>
      </c>
      <c r="R154" s="8" t="n">
        <v>0.5438</v>
      </c>
      <c r="S154" t="n">
        <v>0.9544</v>
      </c>
      <c r="T154" t="n">
        <v>15.44</v>
      </c>
      <c r="U154" t="n">
        <v>14.77</v>
      </c>
    </row>
    <row r="155">
      <c r="A155" t="inlineStr">
        <is>
          <t>2026-10-25 03:09</t>
        </is>
      </c>
      <c r="B155" t="inlineStr">
        <is>
          <t>2026-10-25</t>
        </is>
      </c>
      <c r="C155" t="inlineStr">
        <is>
          <t>CS2</t>
        </is>
      </c>
      <c r="D155" t="inlineStr">
        <is>
          <t>CS2 · LGC vs DEN</t>
        </is>
      </c>
      <c r="E155" t="inlineStr">
        <is>
          <t>koala</t>
        </is>
      </c>
      <c r="F155" t="inlineStr">
        <is>
          <t>Maps 1-2 Kills</t>
        </is>
      </c>
      <c r="G155" t="n">
        <v>27.5</v>
      </c>
      <c r="H155" t="n">
        <v>30.78</v>
      </c>
      <c r="I155" s="8" t="n">
        <v>0.6914</v>
      </c>
      <c r="J155" s="8" t="n">
        <v>0.3086</v>
      </c>
      <c r="K155" t="inlineStr">
        <is>
          <t>Mirage / Ancient</t>
        </is>
      </c>
      <c r="L155" t="inlineStr">
        <is>
          <t>21.4 / 21.1</t>
        </is>
      </c>
      <c r="M155" t="n">
        <v>27.6</v>
      </c>
      <c r="N155" s="8" t="n">
        <v>0.7</v>
      </c>
      <c r="O155" s="12" t="n"/>
      <c r="P155">
        <f>IF(O155="","",IF(O155&gt;G155,"OVER",IF(O155&lt;G155,"UNDER","PUSH")))</f>
        <v/>
      </c>
      <c r="Q155" t="n">
        <v>29.4</v>
      </c>
      <c r="R155" s="8" t="n">
        <v>0.6162</v>
      </c>
      <c r="S155" t="n">
        <v>0.955</v>
      </c>
      <c r="T155" t="n">
        <v>31</v>
      </c>
      <c r="U155" t="n">
        <v>29.65</v>
      </c>
    </row>
    <row r="156">
      <c r="A156" t="inlineStr">
        <is>
          <t>2026-10-25 03:09</t>
        </is>
      </c>
      <c r="B156" t="inlineStr">
        <is>
          <t>2026-10-25</t>
        </is>
      </c>
      <c r="C156" t="inlineStr">
        <is>
          <t>CS2</t>
        </is>
      </c>
      <c r="D156" t="inlineStr">
        <is>
          <t>CS2 · LGC vs DEN</t>
        </is>
      </c>
      <c r="E156" t="inlineStr">
        <is>
          <t>maxxkor</t>
        </is>
      </c>
      <c r="F156" t="inlineStr">
        <is>
          <t>Maps 1-2 HS</t>
        </is>
      </c>
      <c r="G156" t="n">
        <v>8.5</v>
      </c>
      <c r="H156" t="n">
        <v>7.82</v>
      </c>
      <c r="I156" s="8" t="n">
        <v>0.4084</v>
      </c>
      <c r="J156" s="8" t="n">
        <v>0.5916</v>
      </c>
      <c r="K156" t="inlineStr">
        <is>
          <t>Mirage / Ancient</t>
        </is>
      </c>
      <c r="L156" t="inlineStr">
        <is>
          <t>21.4 / 21.1</t>
        </is>
      </c>
      <c r="N156" s="8" t="n">
        <v>0.5</v>
      </c>
      <c r="O156" s="12" t="n"/>
      <c r="P156">
        <f>IF(O156="","",IF(O156&gt;G156,"OVER",IF(O156&lt;G156,"UNDER","PUSH")))</f>
        <v/>
      </c>
      <c r="Q156" t="n">
        <v>7.48</v>
      </c>
      <c r="R156" s="8" t="n">
        <v>0.3621</v>
      </c>
      <c r="S156" t="n">
        <v>0.9573</v>
      </c>
      <c r="T156" t="n">
        <v>8.31</v>
      </c>
      <c r="U156" t="n">
        <v>7.95</v>
      </c>
    </row>
    <row r="157">
      <c r="A157" t="inlineStr">
        <is>
          <t>2026-10-25 03:09</t>
        </is>
      </c>
      <c r="B157" t="inlineStr">
        <is>
          <t>2026-10-25</t>
        </is>
      </c>
      <c r="C157" t="inlineStr">
        <is>
          <t>CS2</t>
        </is>
      </c>
      <c r="D157" t="inlineStr">
        <is>
          <t>CS2 · LGC vs DEN</t>
        </is>
      </c>
      <c r="E157" t="inlineStr">
        <is>
          <t>maxxkor</t>
        </is>
      </c>
      <c r="F157" t="inlineStr">
        <is>
          <t>Maps 1-2 Kills</t>
        </is>
      </c>
      <c r="G157" t="n">
        <v>25.5</v>
      </c>
      <c r="H157" t="n">
        <v>28.98</v>
      </c>
      <c r="I157" s="8" t="n">
        <v>0.7075</v>
      </c>
      <c r="J157" s="8" t="n">
        <v>0.2925</v>
      </c>
      <c r="K157" t="inlineStr">
        <is>
          <t>Mirage / Ancient</t>
        </is>
      </c>
      <c r="L157" t="inlineStr">
        <is>
          <t>21.4 / 21.1</t>
        </is>
      </c>
      <c r="M157" t="n">
        <v>25</v>
      </c>
      <c r="N157" s="8" t="n">
        <v>0.7</v>
      </c>
      <c r="O157" s="12" t="n"/>
      <c r="P157">
        <f>IF(O157="","",IF(O157&gt;G157,"OVER",IF(O157&lt;G157,"UNDER","PUSH")))</f>
        <v/>
      </c>
      <c r="Q157" t="n">
        <v>27.68</v>
      </c>
      <c r="R157" s="8" t="n">
        <v>0.6369</v>
      </c>
      <c r="S157" t="n">
        <v>0.9552</v>
      </c>
      <c r="T157" t="n">
        <v>27.61</v>
      </c>
      <c r="U157" t="n">
        <v>26.4</v>
      </c>
    </row>
    <row r="158">
      <c r="A158" t="inlineStr">
        <is>
          <t>2026-10-25 03:09</t>
        </is>
      </c>
      <c r="B158" t="inlineStr">
        <is>
          <t>2026-10-25</t>
        </is>
      </c>
      <c r="C158" t="inlineStr">
        <is>
          <t>CS2</t>
        </is>
      </c>
      <c r="D158" t="inlineStr">
        <is>
          <t>CS2 · LGC vs DEN</t>
        </is>
      </c>
      <c r="E158" t="inlineStr">
        <is>
          <t>rdnzao</t>
        </is>
      </c>
      <c r="F158" t="inlineStr">
        <is>
          <t>Maps 1-2 HS</t>
        </is>
      </c>
      <c r="G158" t="n">
        <v>15.5</v>
      </c>
      <c r="H158" t="n">
        <v>14.84</v>
      </c>
      <c r="I158" s="8" t="n">
        <v>0.4385</v>
      </c>
      <c r="J158" s="8" t="n">
        <v>0.5615</v>
      </c>
      <c r="K158" t="inlineStr">
        <is>
          <t>Mirage / Ancient</t>
        </is>
      </c>
      <c r="L158" t="inlineStr">
        <is>
          <t>21.4 / 21.1</t>
        </is>
      </c>
      <c r="N158" s="8" t="n">
        <v>0.5</v>
      </c>
      <c r="O158" s="12" t="n"/>
      <c r="P158">
        <f>IF(O158="","",IF(O158&gt;G158,"OVER",IF(O158&lt;G158,"UNDER","PUSH")))</f>
        <v/>
      </c>
      <c r="Q158" t="n">
        <v>14.21</v>
      </c>
      <c r="R158" s="8" t="n">
        <v>0.3782</v>
      </c>
      <c r="S158" t="n">
        <v>0.9573</v>
      </c>
      <c r="T158" t="n">
        <v>16.12</v>
      </c>
      <c r="U158" t="n">
        <v>15.41</v>
      </c>
    </row>
    <row r="159">
      <c r="A159" t="inlineStr">
        <is>
          <t>2026-10-25 03:09</t>
        </is>
      </c>
      <c r="B159" t="inlineStr">
        <is>
          <t>2026-10-25</t>
        </is>
      </c>
      <c r="C159" t="inlineStr">
        <is>
          <t>CS2</t>
        </is>
      </c>
      <c r="D159" t="inlineStr">
        <is>
          <t>CS2 · LGC vs DEN</t>
        </is>
      </c>
      <c r="E159" t="inlineStr">
        <is>
          <t>rdnzao</t>
        </is>
      </c>
      <c r="F159" t="inlineStr">
        <is>
          <t>Maps 1-2 Kills</t>
        </is>
      </c>
      <c r="G159" t="n">
        <v>25.5</v>
      </c>
      <c r="H159" t="n">
        <v>26.9</v>
      </c>
      <c r="I159" s="8" t="n">
        <v>0.5903</v>
      </c>
      <c r="J159" s="8" t="n">
        <v>0.4097</v>
      </c>
      <c r="K159" t="inlineStr">
        <is>
          <t>Mirage / Ancient</t>
        </is>
      </c>
      <c r="L159" t="inlineStr">
        <is>
          <t>21.4 / 21.1</t>
        </is>
      </c>
      <c r="M159" t="n">
        <v>26.06</v>
      </c>
      <c r="N159" s="8" t="n">
        <v>0.9</v>
      </c>
      <c r="O159" s="12" t="n"/>
      <c r="P159">
        <f>IF(O159="","",IF(O159&gt;G159,"OVER",IF(O159&lt;G159,"UNDER","PUSH")))</f>
        <v/>
      </c>
      <c r="Q159" t="n">
        <v>25.76</v>
      </c>
      <c r="R159" s="8" t="n">
        <v>0.5173</v>
      </c>
      <c r="S159" t="n">
        <v>0.9576</v>
      </c>
      <c r="T159" t="n">
        <v>28.03</v>
      </c>
      <c r="U159" t="n">
        <v>26.81</v>
      </c>
    </row>
    <row r="160">
      <c r="A160" t="inlineStr">
        <is>
          <t>2026-10-25 03:09</t>
        </is>
      </c>
      <c r="B160" t="inlineStr">
        <is>
          <t>2026-10-25</t>
        </is>
      </c>
      <c r="C160" t="inlineStr">
        <is>
          <t>CS2</t>
        </is>
      </c>
      <c r="D160" t="inlineStr">
        <is>
          <t>CS2 · LGC vs DEN</t>
        </is>
      </c>
      <c r="E160" t="inlineStr">
        <is>
          <t>arT</t>
        </is>
      </c>
      <c r="F160" t="inlineStr">
        <is>
          <t>Maps 1-2 HS</t>
        </is>
      </c>
      <c r="G160" t="n">
        <v>11</v>
      </c>
      <c r="H160" t="n">
        <v>10.69</v>
      </c>
      <c r="I160" s="8" t="n">
        <v>0.4096</v>
      </c>
      <c r="J160" s="8" t="n">
        <v>0.4789</v>
      </c>
      <c r="K160" t="inlineStr">
        <is>
          <t>Mirage / Ancient</t>
        </is>
      </c>
      <c r="L160" t="inlineStr">
        <is>
          <t>21.4 / 21.1</t>
        </is>
      </c>
      <c r="N160" s="8" t="n">
        <v>0.5</v>
      </c>
      <c r="O160" s="12" t="n"/>
      <c r="P160">
        <f>IF(O160="","",IF(O160&gt;G160,"OVER",IF(O160&lt;G160,"UNDER","PUSH")))</f>
        <v/>
      </c>
      <c r="Q160" t="n">
        <v>10.98</v>
      </c>
      <c r="R160" s="8" t="n">
        <v>0.4428</v>
      </c>
      <c r="S160" t="n">
        <v>1.0275</v>
      </c>
      <c r="T160" t="n">
        <v>10.46</v>
      </c>
      <c r="U160" t="n">
        <v>10.74</v>
      </c>
    </row>
    <row r="161">
      <c r="A161" t="inlineStr">
        <is>
          <t>2026-10-25 03:09</t>
        </is>
      </c>
      <c r="B161" t="inlineStr">
        <is>
          <t>2026-10-25</t>
        </is>
      </c>
      <c r="C161" t="inlineStr">
        <is>
          <t>CS2</t>
        </is>
      </c>
      <c r="D161" t="inlineStr">
        <is>
          <t>CS2 · LGC vs DEN</t>
        </is>
      </c>
      <c r="E161" t="inlineStr">
        <is>
          <t>arT</t>
        </is>
      </c>
      <c r="F161" t="inlineStr">
        <is>
          <t>Maps 1-2 Kills</t>
        </is>
      </c>
      <c r="G161" t="n">
        <v>24.5</v>
      </c>
      <c r="H161" t="n">
        <v>23.48</v>
      </c>
      <c r="I161" s="8" t="n">
        <v>0.4292</v>
      </c>
      <c r="J161" s="8" t="n">
        <v>0.5708</v>
      </c>
      <c r="K161" t="inlineStr">
        <is>
          <t>Mirage / Ancient</t>
        </is>
      </c>
      <c r="L161" t="inlineStr">
        <is>
          <t>21.4 / 21.1</t>
        </is>
      </c>
      <c r="M161" t="n">
        <v>24.6</v>
      </c>
      <c r="N161" s="8" t="n">
        <v>0.7</v>
      </c>
      <c r="O161" s="12" t="n"/>
      <c r="P161">
        <f>IF(O161="","",IF(O161&gt;G161,"OVER",IF(O161&lt;G161,"UNDER","PUSH")))</f>
        <v/>
      </c>
      <c r="Q161" t="n">
        <v>24.13</v>
      </c>
      <c r="R161" s="8" t="n">
        <v>0.4745</v>
      </c>
      <c r="S161" t="n">
        <v>1.0278</v>
      </c>
      <c r="T161" t="n">
        <v>22.93</v>
      </c>
      <c r="U161" t="n">
        <v>23.56</v>
      </c>
    </row>
    <row r="162">
      <c r="A162" t="inlineStr">
        <is>
          <t>2026-10-25 03:09</t>
        </is>
      </c>
      <c r="B162" t="inlineStr">
        <is>
          <t>2026-10-25</t>
        </is>
      </c>
      <c r="C162" t="inlineStr">
        <is>
          <t>CS2</t>
        </is>
      </c>
      <c r="D162" t="inlineStr">
        <is>
          <t>CS2 · LGC vs DEN</t>
        </is>
      </c>
      <c r="E162" t="inlineStr">
        <is>
          <t>dumau</t>
        </is>
      </c>
      <c r="F162" t="inlineStr">
        <is>
          <t>Maps 1-2 HS</t>
        </is>
      </c>
      <c r="G162" t="n">
        <v>15.5</v>
      </c>
      <c r="H162" t="n">
        <v>14.72</v>
      </c>
      <c r="I162" s="8" t="n">
        <v>0.4262</v>
      </c>
      <c r="J162" s="8" t="n">
        <v>0.5738</v>
      </c>
      <c r="K162" t="inlineStr">
        <is>
          <t>Mirage / Ancient</t>
        </is>
      </c>
      <c r="L162" t="inlineStr">
        <is>
          <t>21.4 / 21.1</t>
        </is>
      </c>
      <c r="N162" s="8" t="n">
        <v>0.6</v>
      </c>
      <c r="O162" s="12" t="n"/>
      <c r="P162">
        <f>IF(O162="","",IF(O162&gt;G162,"OVER",IF(O162&lt;G162,"UNDER","PUSH")))</f>
        <v/>
      </c>
      <c r="Q162" t="n">
        <v>15.12</v>
      </c>
      <c r="R162" s="8" t="n">
        <v>0.4645</v>
      </c>
      <c r="S162" t="n">
        <v>1.0273</v>
      </c>
      <c r="T162" t="n">
        <v>14.09</v>
      </c>
      <c r="U162" t="n">
        <v>14.47</v>
      </c>
    </row>
    <row r="163">
      <c r="A163" t="inlineStr">
        <is>
          <t>2026-10-25 03:09</t>
        </is>
      </c>
      <c r="B163" t="inlineStr">
        <is>
          <t>2026-10-25</t>
        </is>
      </c>
      <c r="C163" t="inlineStr">
        <is>
          <t>CS2</t>
        </is>
      </c>
      <c r="D163" t="inlineStr">
        <is>
          <t>CS2 · LGC vs DEN</t>
        </is>
      </c>
      <c r="E163" t="inlineStr">
        <is>
          <t>dumau</t>
        </is>
      </c>
      <c r="F163" t="inlineStr">
        <is>
          <t>Maps 1-2 Kills</t>
        </is>
      </c>
      <c r="G163" t="n">
        <v>30</v>
      </c>
      <c r="H163" t="n">
        <v>30.5</v>
      </c>
      <c r="I163" s="8" t="n">
        <v>0.5002</v>
      </c>
      <c r="J163" s="8" t="n">
        <v>0.439</v>
      </c>
      <c r="K163" t="inlineStr">
        <is>
          <t>Mirage / Ancient</t>
        </is>
      </c>
      <c r="L163" t="inlineStr">
        <is>
          <t>21.4 / 21.1</t>
        </is>
      </c>
      <c r="M163" t="n">
        <v>31.24</v>
      </c>
      <c r="N163" s="8" t="n">
        <v>0.8</v>
      </c>
      <c r="O163" s="12" t="n"/>
      <c r="P163">
        <f>IF(O163="","",IF(O163&gt;G163,"OVER",IF(O163&lt;G163,"UNDER","PUSH")))</f>
        <v/>
      </c>
      <c r="Q163" t="n">
        <v>31.28</v>
      </c>
      <c r="R163" s="8" t="n">
        <v>0.5471</v>
      </c>
      <c r="S163" t="n">
        <v>1.0256</v>
      </c>
      <c r="T163" t="n">
        <v>29.73</v>
      </c>
      <c r="U163" t="n">
        <v>30.54</v>
      </c>
    </row>
    <row r="164">
      <c r="A164" t="inlineStr">
        <is>
          <t>2026-10-25 03:09</t>
        </is>
      </c>
      <c r="B164" t="inlineStr">
        <is>
          <t>2026-10-25</t>
        </is>
      </c>
      <c r="C164" t="inlineStr">
        <is>
          <t>CS2</t>
        </is>
      </c>
      <c r="D164" t="inlineStr">
        <is>
          <t>CS2 · LGC vs DEN</t>
        </is>
      </c>
      <c r="E164" t="inlineStr">
        <is>
          <t>latto</t>
        </is>
      </c>
      <c r="F164" t="inlineStr">
        <is>
          <t>Maps 1-2 HS</t>
        </is>
      </c>
      <c r="G164" t="n">
        <v>17.5</v>
      </c>
      <c r="H164" t="n">
        <v>17.73</v>
      </c>
      <c r="I164" s="8" t="n">
        <v>0.5201</v>
      </c>
      <c r="J164" s="8" t="n">
        <v>0.4799</v>
      </c>
      <c r="K164" t="inlineStr">
        <is>
          <t>Mirage / Ancient</t>
        </is>
      </c>
      <c r="L164" t="inlineStr">
        <is>
          <t>21.4 / 21.1</t>
        </is>
      </c>
      <c r="N164" s="8" t="n">
        <v>0.5</v>
      </c>
      <c r="O164" s="12" t="n"/>
      <c r="P164">
        <f>IF(O164="","",IF(O164&gt;G164,"OVER",IF(O164&lt;G164,"UNDER","PUSH")))</f>
        <v/>
      </c>
      <c r="Q164" t="n">
        <v>18.21</v>
      </c>
      <c r="R164" s="8" t="n">
        <v>0.5599</v>
      </c>
      <c r="S164" t="n">
        <v>1.0269</v>
      </c>
      <c r="T164" t="n">
        <v>17.81</v>
      </c>
      <c r="U164" t="n">
        <v>18.29</v>
      </c>
    </row>
    <row r="165">
      <c r="A165" t="inlineStr">
        <is>
          <t>2026-10-25 03:09</t>
        </is>
      </c>
      <c r="B165" t="inlineStr">
        <is>
          <t>2026-10-25</t>
        </is>
      </c>
      <c r="C165" t="inlineStr">
        <is>
          <t>CS2</t>
        </is>
      </c>
      <c r="D165" t="inlineStr">
        <is>
          <t>CS2 · LGC vs DEN</t>
        </is>
      </c>
      <c r="E165" t="inlineStr">
        <is>
          <t>latto</t>
        </is>
      </c>
      <c r="F165" t="inlineStr">
        <is>
          <t>Maps 1-2 Kills</t>
        </is>
      </c>
      <c r="G165" t="n">
        <v>32.5</v>
      </c>
      <c r="H165" t="n">
        <v>31.66</v>
      </c>
      <c r="I165" s="8" t="n">
        <v>0.4498</v>
      </c>
      <c r="J165" s="8" t="n">
        <v>0.5502</v>
      </c>
      <c r="K165" t="inlineStr">
        <is>
          <t>Mirage / Ancient</t>
        </is>
      </c>
      <c r="L165" t="inlineStr">
        <is>
          <t>21.4 / 21.1</t>
        </is>
      </c>
      <c r="M165" t="n">
        <v>31.82</v>
      </c>
      <c r="N165" s="8" t="n">
        <v>0.5</v>
      </c>
      <c r="O165" s="12" t="n"/>
      <c r="P165">
        <f>IF(O165="","",IF(O165&gt;G165,"OVER",IF(O165&lt;G165,"UNDER","PUSH")))</f>
        <v/>
      </c>
      <c r="Q165" t="n">
        <v>32.55</v>
      </c>
      <c r="R165" s="8" t="n">
        <v>0.503</v>
      </c>
      <c r="S165" t="n">
        <v>1.0281</v>
      </c>
      <c r="T165" t="n">
        <v>31.85</v>
      </c>
      <c r="U165" t="n">
        <v>32.72</v>
      </c>
    </row>
    <row r="166">
      <c r="A166" t="inlineStr">
        <is>
          <t>2026-10-25 03:09</t>
        </is>
      </c>
      <c r="B166" t="inlineStr">
        <is>
          <t>2026-10-25</t>
        </is>
      </c>
      <c r="C166" t="inlineStr">
        <is>
          <t>CS2</t>
        </is>
      </c>
      <c r="D166" t="inlineStr">
        <is>
          <t>CS2 · LGC vs DEN</t>
        </is>
      </c>
      <c r="E166" t="inlineStr">
        <is>
          <t>n1ssim</t>
        </is>
      </c>
      <c r="F166" t="inlineStr">
        <is>
          <t>Maps 1-2 HS</t>
        </is>
      </c>
      <c r="G166" t="n">
        <v>14.5</v>
      </c>
      <c r="H166" t="n">
        <v>14.1</v>
      </c>
      <c r="I166" s="8" t="n">
        <v>0.4613</v>
      </c>
      <c r="J166" s="8" t="n">
        <v>0.5387</v>
      </c>
      <c r="K166" t="inlineStr">
        <is>
          <t>Mirage / Ancient</t>
        </is>
      </c>
      <c r="L166" t="inlineStr">
        <is>
          <t>21.4 / 21.1</t>
        </is>
      </c>
      <c r="N166" s="8" t="n">
        <v>0.5</v>
      </c>
      <c r="O166" s="12" t="n"/>
      <c r="P166">
        <f>IF(O166="","",IF(O166&gt;G166,"OVER",IF(O166&lt;G166,"UNDER","PUSH")))</f>
        <v/>
      </c>
      <c r="Q166" t="n">
        <v>14.48</v>
      </c>
      <c r="R166" s="8" t="n">
        <v>0.4982</v>
      </c>
      <c r="S166" t="n">
        <v>1.0271</v>
      </c>
      <c r="T166" t="n">
        <v>14.07</v>
      </c>
      <c r="U166" t="n">
        <v>14.46</v>
      </c>
    </row>
    <row r="167">
      <c r="A167" t="inlineStr">
        <is>
          <t>2026-10-25 03:09</t>
        </is>
      </c>
      <c r="B167" t="inlineStr">
        <is>
          <t>2026-10-25</t>
        </is>
      </c>
      <c r="C167" t="inlineStr">
        <is>
          <t>CS2</t>
        </is>
      </c>
      <c r="D167" t="inlineStr">
        <is>
          <t>CS2 · LGC vs DEN</t>
        </is>
      </c>
      <c r="E167" t="inlineStr">
        <is>
          <t>n1ssim</t>
        </is>
      </c>
      <c r="F167" t="inlineStr">
        <is>
          <t>Maps 1-2 Kills</t>
        </is>
      </c>
      <c r="G167" t="n">
        <v>27.5</v>
      </c>
      <c r="H167" t="n">
        <v>27.57</v>
      </c>
      <c r="I167" s="8" t="n">
        <v>0.5047</v>
      </c>
      <c r="J167" s="8" t="n">
        <v>0.4953</v>
      </c>
      <c r="K167" t="inlineStr">
        <is>
          <t>Mirage / Ancient</t>
        </is>
      </c>
      <c r="L167" t="inlineStr">
        <is>
          <t>21.4 / 21.1</t>
        </is>
      </c>
      <c r="M167" t="n">
        <v>27.54</v>
      </c>
      <c r="N167" s="8" t="n">
        <v>0.7</v>
      </c>
      <c r="O167" s="12" t="n"/>
      <c r="P167">
        <f>IF(O167="","",IF(O167&gt;G167,"OVER",IF(O167&lt;G167,"UNDER","PUSH")))</f>
        <v/>
      </c>
      <c r="Q167" t="n">
        <v>28.32</v>
      </c>
      <c r="R167" s="8" t="n">
        <v>0.5518999999999999</v>
      </c>
      <c r="S167" t="n">
        <v>1.0272</v>
      </c>
      <c r="T167" t="n">
        <v>26.76</v>
      </c>
      <c r="U167" t="n">
        <v>27.48</v>
      </c>
    </row>
    <row r="168">
      <c r="A168" t="inlineStr">
        <is>
          <t>2026-10-25 03:09</t>
        </is>
      </c>
      <c r="B168" t="inlineStr">
        <is>
          <t>2026-10-25</t>
        </is>
      </c>
      <c r="C168" t="inlineStr">
        <is>
          <t>CS2</t>
        </is>
      </c>
      <c r="D168" t="inlineStr">
        <is>
          <t>CS2 · LGC vs DEN</t>
        </is>
      </c>
      <c r="E168" t="inlineStr">
        <is>
          <t>try</t>
        </is>
      </c>
      <c r="F168" t="inlineStr">
        <is>
          <t>Maps 1-2 HS</t>
        </is>
      </c>
      <c r="G168" t="n">
        <v>11</v>
      </c>
      <c r="H168" t="n">
        <v>9.1</v>
      </c>
      <c r="I168" s="8" t="n">
        <v>0.2269</v>
      </c>
      <c r="J168" s="8" t="n">
        <v>0.6688</v>
      </c>
      <c r="K168" t="inlineStr">
        <is>
          <t>Mirage / Ancient</t>
        </is>
      </c>
      <c r="L168" t="inlineStr">
        <is>
          <t>21.4 / 21.1</t>
        </is>
      </c>
      <c r="N168" s="8" t="n">
        <v>0.6</v>
      </c>
      <c r="O168" s="12" t="n"/>
      <c r="P168">
        <f>IF(O168="","",IF(O168&gt;G168,"OVER",IF(O168&lt;G168,"UNDER","PUSH")))</f>
        <v/>
      </c>
      <c r="Q168" t="n">
        <v>9.359999999999999</v>
      </c>
      <c r="R168" s="8" t="n">
        <v>0.2543</v>
      </c>
      <c r="S168" t="n">
        <v>1.0278</v>
      </c>
      <c r="T168" t="n">
        <v>9.32</v>
      </c>
      <c r="U168" t="n">
        <v>9.57</v>
      </c>
    </row>
    <row r="169">
      <c r="A169" t="inlineStr">
        <is>
          <t>2026-10-25 03:09</t>
        </is>
      </c>
      <c r="B169" t="inlineStr">
        <is>
          <t>2026-10-25</t>
        </is>
      </c>
      <c r="C169" t="inlineStr">
        <is>
          <t>CS2</t>
        </is>
      </c>
      <c r="D169" t="inlineStr">
        <is>
          <t>CS2 · LGC vs DEN</t>
        </is>
      </c>
      <c r="E169" t="inlineStr">
        <is>
          <t>try</t>
        </is>
      </c>
      <c r="F169" t="inlineStr">
        <is>
          <t>Maps 1-2 Kills</t>
        </is>
      </c>
      <c r="G169" t="n">
        <v>32</v>
      </c>
      <c r="H169" t="n">
        <v>29.02</v>
      </c>
      <c r="I169" s="8" t="n">
        <v>0.2925</v>
      </c>
      <c r="J169" s="8" t="n">
        <v>0.6514</v>
      </c>
      <c r="K169" t="inlineStr">
        <is>
          <t>Mirage / Ancient</t>
        </is>
      </c>
      <c r="L169" t="inlineStr">
        <is>
          <t>21.4 / 21.1</t>
        </is>
      </c>
      <c r="M169" t="n">
        <v>31.24</v>
      </c>
      <c r="N169" s="8" t="n">
        <v>0.4</v>
      </c>
      <c r="O169" s="12" t="n"/>
      <c r="P169">
        <f>IF(O169="","",IF(O169&gt;G169,"OVER",IF(O169&lt;G169,"UNDER","PUSH")))</f>
        <v/>
      </c>
      <c r="Q169" t="n">
        <v>29.82</v>
      </c>
      <c r="R169" s="8" t="n">
        <v>0.3389</v>
      </c>
      <c r="S169" t="n">
        <v>1.0274</v>
      </c>
      <c r="T169" t="n">
        <v>29.3</v>
      </c>
      <c r="U169" t="n">
        <v>30.1</v>
      </c>
    </row>
    <row r="170">
      <c r="A170" t="inlineStr">
        <is>
          <t>2026-10-25 03:09</t>
        </is>
      </c>
      <c r="B170" t="inlineStr">
        <is>
          <t>2026-10-25</t>
        </is>
      </c>
      <c r="C170" t="inlineStr">
        <is>
          <t>CS2</t>
        </is>
      </c>
      <c r="D170" t="inlineStr">
        <is>
          <t>CS2 · MOUZ vs 9z</t>
        </is>
      </c>
      <c r="E170" t="inlineStr">
        <is>
          <t>dgt</t>
        </is>
      </c>
      <c r="F170" t="inlineStr">
        <is>
          <t>Maps 1-2 Kills</t>
        </is>
      </c>
      <c r="G170" t="n">
        <v>29</v>
      </c>
      <c r="H170" t="n">
        <v>30.55</v>
      </c>
      <c r="I170" s="8" t="n">
        <v>0.5638</v>
      </c>
      <c r="J170" s="8" t="n">
        <v>0.3769</v>
      </c>
      <c r="K170" t="inlineStr">
        <is>
          <t>Mirage / Dust2</t>
        </is>
      </c>
      <c r="L170" t="inlineStr">
        <is>
          <t>21.3 / 21.1</t>
        </is>
      </c>
      <c r="M170" t="n">
        <v>27.69</v>
      </c>
      <c r="N170" s="8" t="n">
        <v>0.5</v>
      </c>
      <c r="O170" s="12" t="n"/>
      <c r="P170">
        <f>IF(O170="","",IF(O170&gt;G170,"OVER",IF(O170&lt;G170,"UNDER","PUSH")))</f>
        <v/>
      </c>
      <c r="Q170" t="n">
        <v>30.3</v>
      </c>
      <c r="R170" s="8" t="n">
        <v>0.549</v>
      </c>
      <c r="S170" t="n">
        <v>0.9919</v>
      </c>
      <c r="T170" t="n">
        <v>30.08</v>
      </c>
      <c r="U170" t="n">
        <v>29.76</v>
      </c>
    </row>
    <row r="171">
      <c r="A171" t="inlineStr">
        <is>
          <t>2026-10-25 03:09</t>
        </is>
      </c>
      <c r="B171" t="inlineStr">
        <is>
          <t>2026-10-25</t>
        </is>
      </c>
      <c r="C171" t="inlineStr">
        <is>
          <t>CS2</t>
        </is>
      </c>
      <c r="D171" t="inlineStr">
        <is>
          <t>CS2 · MOUZ vs 9z</t>
        </is>
      </c>
      <c r="E171" t="inlineStr">
        <is>
          <t>HUASOPEEK</t>
        </is>
      </c>
      <c r="F171" t="inlineStr">
        <is>
          <t>Maps 1-2 HS</t>
        </is>
      </c>
      <c r="G171" t="n">
        <v>17</v>
      </c>
      <c r="H171" t="n">
        <v>17.98</v>
      </c>
      <c r="I171" s="8" t="n">
        <v>0.5401</v>
      </c>
      <c r="J171" s="8" t="n">
        <v>0.3777</v>
      </c>
      <c r="K171" t="inlineStr">
        <is>
          <t>Mirage / Dust2</t>
        </is>
      </c>
      <c r="L171" t="inlineStr">
        <is>
          <t>21.3 / 21.1</t>
        </is>
      </c>
      <c r="N171" s="8" t="n">
        <v>0.5</v>
      </c>
      <c r="O171" s="12" t="n"/>
      <c r="P171">
        <f>IF(O171="","",IF(O171&gt;G171,"OVER",IF(O171&lt;G171,"UNDER","PUSH")))</f>
        <v/>
      </c>
      <c r="Q171" t="n">
        <v>17.75</v>
      </c>
      <c r="R171" s="8" t="n">
        <v>0.5215</v>
      </c>
      <c r="S171" t="n">
        <v>0.9876</v>
      </c>
      <c r="T171" t="n">
        <v>17.29</v>
      </c>
      <c r="U171" t="n">
        <v>17.11</v>
      </c>
    </row>
    <row r="172">
      <c r="A172" t="inlineStr">
        <is>
          <t>2026-10-25 03:09</t>
        </is>
      </c>
      <c r="B172" t="inlineStr">
        <is>
          <t>2026-10-25</t>
        </is>
      </c>
      <c r="C172" t="inlineStr">
        <is>
          <t>CS2</t>
        </is>
      </c>
      <c r="D172" t="inlineStr">
        <is>
          <t>CS2 · MOUZ vs 9z</t>
        </is>
      </c>
      <c r="E172" t="inlineStr">
        <is>
          <t>HUASOPEEK</t>
        </is>
      </c>
      <c r="F172" t="inlineStr">
        <is>
          <t>Maps 1-2 Kills</t>
        </is>
      </c>
      <c r="G172" t="n">
        <v>27.5</v>
      </c>
      <c r="H172" t="n">
        <v>28.68</v>
      </c>
      <c r="I172" s="8" t="n">
        <v>0.5741000000000001</v>
      </c>
      <c r="J172" s="8" t="n">
        <v>0.4259</v>
      </c>
      <c r="K172" t="inlineStr">
        <is>
          <t>Mirage / Dust2</t>
        </is>
      </c>
      <c r="L172" t="inlineStr">
        <is>
          <t>21.3 / 21.1</t>
        </is>
      </c>
      <c r="M172" t="n">
        <v>28.14</v>
      </c>
      <c r="N172" s="8" t="n">
        <v>0.8</v>
      </c>
      <c r="O172" s="12" t="n"/>
      <c r="P172">
        <f>IF(O172="","",IF(O172&gt;G172,"OVER",IF(O172&lt;G172,"UNDER","PUSH")))</f>
        <v/>
      </c>
      <c r="Q172" t="n">
        <v>28.35</v>
      </c>
      <c r="R172" s="8" t="n">
        <v>0.5537</v>
      </c>
      <c r="S172" t="n">
        <v>0.9883999999999999</v>
      </c>
      <c r="T172" t="n">
        <v>27.53</v>
      </c>
      <c r="U172" t="n">
        <v>27.25</v>
      </c>
    </row>
    <row r="173">
      <c r="A173" t="inlineStr">
        <is>
          <t>2026-10-25 03:09</t>
        </is>
      </c>
      <c r="B173" t="inlineStr">
        <is>
          <t>2026-10-25</t>
        </is>
      </c>
      <c r="C173" t="inlineStr">
        <is>
          <t>CS2</t>
        </is>
      </c>
      <c r="D173" t="inlineStr">
        <is>
          <t>CS2 · MOUZ vs 9z</t>
        </is>
      </c>
      <c r="E173" t="inlineStr">
        <is>
          <t>luchov</t>
        </is>
      </c>
      <c r="F173" t="inlineStr">
        <is>
          <t>Maps 1-2 HS</t>
        </is>
      </c>
      <c r="G173" t="n">
        <v>16.5</v>
      </c>
      <c r="H173" t="n">
        <v>16.16</v>
      </c>
      <c r="I173" s="8" t="n">
        <v>0.4699</v>
      </c>
      <c r="J173" s="8" t="n">
        <v>0.5301</v>
      </c>
      <c r="K173" t="inlineStr">
        <is>
          <t>Mirage / Dust2</t>
        </is>
      </c>
      <c r="L173" t="inlineStr">
        <is>
          <t>21.3 / 21.1</t>
        </is>
      </c>
      <c r="N173" s="8" t="n">
        <v>0.6</v>
      </c>
      <c r="O173" s="12" t="n"/>
      <c r="P173">
        <f>IF(O173="","",IF(O173&gt;G173,"OVER",IF(O173&lt;G173,"UNDER","PUSH")))</f>
        <v/>
      </c>
      <c r="Q173" t="n">
        <v>16.1</v>
      </c>
      <c r="R173" s="8" t="n">
        <v>0.4639</v>
      </c>
      <c r="S173" t="n">
        <v>0.9959</v>
      </c>
      <c r="T173" t="n">
        <v>16.6</v>
      </c>
      <c r="U173" t="n">
        <v>16.43</v>
      </c>
    </row>
    <row r="174">
      <c r="A174" t="inlineStr">
        <is>
          <t>2026-10-25 03:09</t>
        </is>
      </c>
      <c r="B174" t="inlineStr">
        <is>
          <t>2026-10-25</t>
        </is>
      </c>
      <c r="C174" t="inlineStr">
        <is>
          <t>CS2</t>
        </is>
      </c>
      <c r="D174" t="inlineStr">
        <is>
          <t>CS2 · MOUZ vs 9z</t>
        </is>
      </c>
      <c r="E174" t="inlineStr">
        <is>
          <t>luchov</t>
        </is>
      </c>
      <c r="F174" t="inlineStr">
        <is>
          <t>Maps 1-2 Kills</t>
        </is>
      </c>
      <c r="G174" t="n">
        <v>26.5</v>
      </c>
      <c r="H174" t="n">
        <v>28.02</v>
      </c>
      <c r="I174" s="8" t="n">
        <v>0.5959</v>
      </c>
      <c r="J174" s="8" t="n">
        <v>0.4041</v>
      </c>
      <c r="K174" t="inlineStr">
        <is>
          <t>Mirage / Dust2</t>
        </is>
      </c>
      <c r="L174" t="inlineStr">
        <is>
          <t>21.3 / 21.1</t>
        </is>
      </c>
      <c r="M174" t="n">
        <v>27.6</v>
      </c>
      <c r="N174" s="8" t="n">
        <v>0.5</v>
      </c>
      <c r="O174" s="12" t="n"/>
      <c r="P174">
        <f>IF(O174="","",IF(O174&gt;G174,"OVER",IF(O174&lt;G174,"UNDER","PUSH")))</f>
        <v/>
      </c>
      <c r="Q174" t="n">
        <v>27.86</v>
      </c>
      <c r="R174" s="8" t="n">
        <v>0.5863</v>
      </c>
      <c r="S174" t="n">
        <v>0.9943</v>
      </c>
      <c r="T174" t="n">
        <v>27.53</v>
      </c>
      <c r="U174" t="n">
        <v>27.25</v>
      </c>
    </row>
    <row r="175">
      <c r="A175" t="inlineStr">
        <is>
          <t>2026-10-25 03:09</t>
        </is>
      </c>
      <c r="B175" t="inlineStr">
        <is>
          <t>2026-10-25</t>
        </is>
      </c>
      <c r="C175" t="inlineStr">
        <is>
          <t>CS2</t>
        </is>
      </c>
      <c r="D175" t="inlineStr">
        <is>
          <t>CS2 · MOUZ vs 9z</t>
        </is>
      </c>
      <c r="E175" t="inlineStr">
        <is>
          <t>max</t>
        </is>
      </c>
      <c r="F175" t="inlineStr">
        <is>
          <t>Maps 1-2 HS</t>
        </is>
      </c>
      <c r="G175" t="n">
        <v>11.5</v>
      </c>
      <c r="H175" t="n">
        <v>10.12</v>
      </c>
      <c r="I175" s="8" t="n">
        <v>0.3457</v>
      </c>
      <c r="J175" s="8" t="n">
        <v>0.6543</v>
      </c>
      <c r="K175" t="inlineStr">
        <is>
          <t>Mirage / Dust2</t>
        </is>
      </c>
      <c r="L175" t="inlineStr">
        <is>
          <t>21.3 / 21.1</t>
        </is>
      </c>
      <c r="N175" s="8" t="n">
        <v>0.3</v>
      </c>
      <c r="O175" s="12" t="n"/>
      <c r="P175">
        <f>IF(O175="","",IF(O175&gt;G175,"OVER",IF(O175&lt;G175,"UNDER","PUSH")))</f>
        <v/>
      </c>
      <c r="Q175" t="n">
        <v>9.98</v>
      </c>
      <c r="R175" s="8" t="n">
        <v>0.3298</v>
      </c>
      <c r="S175" t="n">
        <v>0.9862</v>
      </c>
      <c r="T175" t="n">
        <v>10.89</v>
      </c>
      <c r="U175" t="n">
        <v>10.77</v>
      </c>
    </row>
    <row r="176">
      <c r="A176" t="inlineStr">
        <is>
          <t>2026-10-25 03:09</t>
        </is>
      </c>
      <c r="B176" t="inlineStr">
        <is>
          <t>2026-10-25</t>
        </is>
      </c>
      <c r="C176" t="inlineStr">
        <is>
          <t>CS2</t>
        </is>
      </c>
      <c r="D176" t="inlineStr">
        <is>
          <t>CS2 · MOUZ vs 9z</t>
        </is>
      </c>
      <c r="E176" t="inlineStr">
        <is>
          <t>max</t>
        </is>
      </c>
      <c r="F176" t="inlineStr">
        <is>
          <t>Maps 1-2 Kills</t>
        </is>
      </c>
      <c r="G176" t="n">
        <v>22</v>
      </c>
      <c r="H176" t="n">
        <v>21.25</v>
      </c>
      <c r="I176" s="8" t="n">
        <v>0.4093</v>
      </c>
      <c r="J176" s="8" t="n">
        <v>0.5183</v>
      </c>
      <c r="K176" t="inlineStr">
        <is>
          <t>Mirage / Dust2</t>
        </is>
      </c>
      <c r="L176" t="inlineStr">
        <is>
          <t>21.3 / 21.1</t>
        </is>
      </c>
      <c r="M176" t="n">
        <v>20.79</v>
      </c>
      <c r="N176" s="8" t="n">
        <v>0.3</v>
      </c>
      <c r="O176" s="12" t="n"/>
      <c r="P176">
        <f>IF(O176="","",IF(O176&gt;G176,"OVER",IF(O176&lt;G176,"UNDER","PUSH")))</f>
        <v/>
      </c>
      <c r="Q176" t="n">
        <v>20.98</v>
      </c>
      <c r="R176" s="8" t="n">
        <v>0.3898</v>
      </c>
      <c r="S176" t="n">
        <v>0.9875</v>
      </c>
      <c r="T176" t="n">
        <v>21.6</v>
      </c>
      <c r="U176" t="n">
        <v>21.38</v>
      </c>
    </row>
    <row r="177">
      <c r="A177" t="inlineStr">
        <is>
          <t>2026-10-25 03:09</t>
        </is>
      </c>
      <c r="B177" t="inlineStr">
        <is>
          <t>2026-10-25</t>
        </is>
      </c>
      <c r="C177" t="inlineStr">
        <is>
          <t>CS2</t>
        </is>
      </c>
      <c r="D177" t="inlineStr">
        <is>
          <t>CS2 · MOUZ vs 9z</t>
        </is>
      </c>
      <c r="E177" t="inlineStr">
        <is>
          <t>meyern</t>
        </is>
      </c>
      <c r="F177" t="inlineStr">
        <is>
          <t>Maps 1-2 HS</t>
        </is>
      </c>
      <c r="G177" t="n">
        <v>10.5</v>
      </c>
      <c r="H177" t="n">
        <v>9.84</v>
      </c>
      <c r="I177" s="8" t="n">
        <v>0.4219</v>
      </c>
      <c r="J177" s="8" t="n">
        <v>0.5780999999999999</v>
      </c>
      <c r="K177" t="inlineStr">
        <is>
          <t>Mirage / Dust2</t>
        </is>
      </c>
      <c r="L177" t="inlineStr">
        <is>
          <t>21.3 / 21.1</t>
        </is>
      </c>
      <c r="N177" s="8" t="n">
        <v>0.3</v>
      </c>
      <c r="O177" s="12" t="n"/>
      <c r="P177">
        <f>IF(O177="","",IF(O177&gt;G177,"OVER",IF(O177&lt;G177,"UNDER","PUSH")))</f>
        <v/>
      </c>
      <c r="Q177" t="n">
        <v>9.75</v>
      </c>
      <c r="R177" s="8" t="n">
        <v>0.4114</v>
      </c>
      <c r="S177" t="n">
        <v>0.9912</v>
      </c>
      <c r="T177" t="n">
        <v>9.960000000000001</v>
      </c>
      <c r="U177" t="n">
        <v>9.859999999999999</v>
      </c>
    </row>
    <row r="178">
      <c r="A178" t="inlineStr">
        <is>
          <t>2026-10-25 03:09</t>
        </is>
      </c>
      <c r="B178" t="inlineStr">
        <is>
          <t>2026-10-25</t>
        </is>
      </c>
      <c r="C178" t="inlineStr">
        <is>
          <t>CS2</t>
        </is>
      </c>
      <c r="D178" t="inlineStr">
        <is>
          <t>CS2 · MOUZ vs 9z</t>
        </is>
      </c>
      <c r="E178" t="inlineStr">
        <is>
          <t>meyern</t>
        </is>
      </c>
      <c r="F178" t="inlineStr">
        <is>
          <t>Maps 1-2 Kills</t>
        </is>
      </c>
      <c r="G178" t="n">
        <v>25.5</v>
      </c>
      <c r="H178" t="n">
        <v>26.22</v>
      </c>
      <c r="I178" s="8" t="n">
        <v>0.5476</v>
      </c>
      <c r="J178" s="8" t="n">
        <v>0.4524</v>
      </c>
      <c r="K178" t="inlineStr">
        <is>
          <t>Mirage / Dust2</t>
        </is>
      </c>
      <c r="L178" t="inlineStr">
        <is>
          <t>21.3 / 21.1</t>
        </is>
      </c>
      <c r="M178" t="n">
        <v>25.54</v>
      </c>
      <c r="N178" s="8" t="n">
        <v>0.5</v>
      </c>
      <c r="O178" s="12" t="n"/>
      <c r="P178">
        <f>IF(O178="","",IF(O178&gt;G178,"OVER",IF(O178&lt;G178,"UNDER","PUSH")))</f>
        <v/>
      </c>
      <c r="Q178" t="n">
        <v>25.95</v>
      </c>
      <c r="R178" s="8" t="n">
        <v>0.5295</v>
      </c>
      <c r="S178" t="n">
        <v>0.9893999999999999</v>
      </c>
      <c r="T178" t="n">
        <v>25.42</v>
      </c>
      <c r="U178" t="n">
        <v>25.15</v>
      </c>
    </row>
    <row r="179">
      <c r="A179" t="inlineStr">
        <is>
          <t>2026-10-25 03:09</t>
        </is>
      </c>
      <c r="B179" t="inlineStr">
        <is>
          <t>2026-10-25</t>
        </is>
      </c>
      <c r="C179" t="inlineStr">
        <is>
          <t>CS2</t>
        </is>
      </c>
      <c r="D179" t="inlineStr">
        <is>
          <t>CS2 · MOUZ vs 9z</t>
        </is>
      </c>
      <c r="E179" t="inlineStr">
        <is>
          <t>PR</t>
        </is>
      </c>
      <c r="F179" t="inlineStr">
        <is>
          <t>Maps 1-2 HS</t>
        </is>
      </c>
      <c r="G179" t="n">
        <v>14.5</v>
      </c>
      <c r="H179" t="n">
        <v>13.95</v>
      </c>
      <c r="I179" s="8" t="n">
        <v>0.4464</v>
      </c>
      <c r="J179" s="8" t="n">
        <v>0.5536</v>
      </c>
      <c r="K179" t="inlineStr">
        <is>
          <t>Mirage / Dust2</t>
        </is>
      </c>
      <c r="L179" t="inlineStr">
        <is>
          <t>21.3 / 21.1</t>
        </is>
      </c>
      <c r="N179" s="8" t="n">
        <v>0.3</v>
      </c>
      <c r="O179" s="12" t="n"/>
      <c r="P179">
        <f>IF(O179="","",IF(O179&gt;G179,"OVER",IF(O179&lt;G179,"UNDER","PUSH")))</f>
        <v/>
      </c>
      <c r="Q179" t="n">
        <v>14.07</v>
      </c>
      <c r="R179" s="8" t="n">
        <v>0.4587</v>
      </c>
      <c r="S179" t="n">
        <v>1.009</v>
      </c>
      <c r="T179" t="n">
        <v>14.24</v>
      </c>
      <c r="U179" t="n">
        <v>14.36</v>
      </c>
    </row>
    <row r="180">
      <c r="A180" t="inlineStr">
        <is>
          <t>2026-10-25 03:09</t>
        </is>
      </c>
      <c r="B180" t="inlineStr">
        <is>
          <t>2026-10-25</t>
        </is>
      </c>
      <c r="C180" t="inlineStr">
        <is>
          <t>CS2</t>
        </is>
      </c>
      <c r="D180" t="inlineStr">
        <is>
          <t>CS2 · MOUZ vs 9z</t>
        </is>
      </c>
      <c r="E180" t="inlineStr">
        <is>
          <t>PR</t>
        </is>
      </c>
      <c r="F180" t="inlineStr">
        <is>
          <t>Maps 1-2 Kills</t>
        </is>
      </c>
      <c r="G180" t="n">
        <v>27.5</v>
      </c>
      <c r="H180" t="n">
        <v>26.24</v>
      </c>
      <c r="I180" s="8" t="n">
        <v>0.4179</v>
      </c>
      <c r="J180" s="8" t="n">
        <v>0.5821</v>
      </c>
      <c r="K180" t="inlineStr">
        <is>
          <t>Mirage / Dust2</t>
        </is>
      </c>
      <c r="L180" t="inlineStr">
        <is>
          <t>21.3 / 21.1</t>
        </is>
      </c>
      <c r="M180" t="n">
        <v>28.52</v>
      </c>
      <c r="N180" s="8" t="n">
        <v>0.4</v>
      </c>
      <c r="O180" s="12" t="n"/>
      <c r="P180">
        <f>IF(O180="","",IF(O180&gt;G180,"OVER",IF(O180&lt;G180,"UNDER","PUSH")))</f>
        <v/>
      </c>
      <c r="Q180" t="n">
        <v>26.44</v>
      </c>
      <c r="R180" s="8" t="n">
        <v>0.4308</v>
      </c>
      <c r="S180" t="n">
        <v>1.0074</v>
      </c>
      <c r="T180" t="n">
        <v>27.53</v>
      </c>
      <c r="U180" t="n">
        <v>27.77</v>
      </c>
    </row>
    <row r="181">
      <c r="A181" t="inlineStr">
        <is>
          <t>2026-10-25 03:09</t>
        </is>
      </c>
      <c r="B181" t="inlineStr">
        <is>
          <t>2026-10-25</t>
        </is>
      </c>
      <c r="C181" t="inlineStr">
        <is>
          <t>CS2</t>
        </is>
      </c>
      <c r="D181" t="inlineStr">
        <is>
          <t>CS2 · MOUZ vs 9z</t>
        </is>
      </c>
      <c r="E181" t="inlineStr">
        <is>
          <t>Spinx</t>
        </is>
      </c>
      <c r="F181" t="inlineStr">
        <is>
          <t>Maps 1-2 HS</t>
        </is>
      </c>
      <c r="G181" t="n">
        <v>18.5</v>
      </c>
      <c r="H181" t="n">
        <v>18.39</v>
      </c>
      <c r="I181" s="8" t="n">
        <v>0.4909</v>
      </c>
      <c r="J181" s="8" t="n">
        <v>0.5091</v>
      </c>
      <c r="K181" t="inlineStr">
        <is>
          <t>Mirage / Dust2</t>
        </is>
      </c>
      <c r="L181" t="inlineStr">
        <is>
          <t>21.3 / 21.1</t>
        </is>
      </c>
      <c r="N181" s="8" t="n">
        <v>0.6</v>
      </c>
      <c r="O181" s="12" t="n"/>
      <c r="P181">
        <f>IF(O181="","",IF(O181&gt;G181,"OVER",IF(O181&lt;G181,"UNDER","PUSH")))</f>
        <v/>
      </c>
      <c r="Q181" t="n">
        <v>18.55</v>
      </c>
      <c r="R181" s="8" t="n">
        <v>0.5044</v>
      </c>
      <c r="S181" t="n">
        <v>1.0088</v>
      </c>
      <c r="T181" t="n">
        <v>17.3</v>
      </c>
      <c r="U181" t="n">
        <v>17.45</v>
      </c>
    </row>
    <row r="182">
      <c r="A182" t="inlineStr">
        <is>
          <t>2026-10-25 03:09</t>
        </is>
      </c>
      <c r="B182" t="inlineStr">
        <is>
          <t>2026-10-25</t>
        </is>
      </c>
      <c r="C182" t="inlineStr">
        <is>
          <t>CS2</t>
        </is>
      </c>
      <c r="D182" t="inlineStr">
        <is>
          <t>CS2 · MOUZ vs 9z</t>
        </is>
      </c>
      <c r="E182" t="inlineStr">
        <is>
          <t>Spinx</t>
        </is>
      </c>
      <c r="F182" t="inlineStr">
        <is>
          <t>Maps 1-2 Kills</t>
        </is>
      </c>
      <c r="G182" t="n">
        <v>30.5</v>
      </c>
      <c r="H182" t="n">
        <v>30.28</v>
      </c>
      <c r="I182" s="8" t="n">
        <v>0.4867</v>
      </c>
      <c r="J182" s="8" t="n">
        <v>0.5133</v>
      </c>
      <c r="K182" t="inlineStr">
        <is>
          <t>Mirage / Dust2</t>
        </is>
      </c>
      <c r="L182" t="inlineStr">
        <is>
          <t>21.3 / 21.1</t>
        </is>
      </c>
      <c r="M182" t="n">
        <v>30.64</v>
      </c>
      <c r="N182" s="8" t="n">
        <v>0.4</v>
      </c>
      <c r="O182" s="12" t="n"/>
      <c r="P182">
        <f>IF(O182="","",IF(O182&gt;G182,"OVER",IF(O182&lt;G182,"UNDER","PUSH")))</f>
        <v/>
      </c>
      <c r="Q182" t="n">
        <v>30.53</v>
      </c>
      <c r="R182" s="8" t="n">
        <v>0.5021</v>
      </c>
      <c r="S182" t="n">
        <v>1.0083</v>
      </c>
      <c r="T182" t="n">
        <v>29.23</v>
      </c>
      <c r="U182" t="n">
        <v>29.48</v>
      </c>
    </row>
    <row r="183">
      <c r="A183" t="inlineStr">
        <is>
          <t>2026-10-25 03:09</t>
        </is>
      </c>
      <c r="B183" t="inlineStr">
        <is>
          <t>2026-10-25</t>
        </is>
      </c>
      <c r="C183" t="inlineStr">
        <is>
          <t>CS2</t>
        </is>
      </c>
      <c r="D183" t="inlineStr">
        <is>
          <t>CS2 · MOUZ vs 9z</t>
        </is>
      </c>
      <c r="E183" t="inlineStr">
        <is>
          <t>torzsi</t>
        </is>
      </c>
      <c r="F183" t="inlineStr">
        <is>
          <t>Maps 1-2 HS</t>
        </is>
      </c>
      <c r="G183" t="n">
        <v>10</v>
      </c>
      <c r="H183" t="n">
        <v>8.220000000000001</v>
      </c>
      <c r="I183" s="8" t="n">
        <v>0.2256</v>
      </c>
      <c r="J183" s="8" t="n">
        <v>0.6637999999999999</v>
      </c>
      <c r="K183" t="inlineStr">
        <is>
          <t>Mirage / Dust2</t>
        </is>
      </c>
      <c r="L183" t="inlineStr">
        <is>
          <t>21.3 / 21.1</t>
        </is>
      </c>
      <c r="N183" s="8" t="n">
        <v>0.6</v>
      </c>
      <c r="O183" s="12" t="n"/>
      <c r="P183">
        <f>IF(O183="","",IF(O183&gt;G183,"OVER",IF(O183&lt;G183,"UNDER","PUSH")))</f>
        <v/>
      </c>
      <c r="Q183" t="n">
        <v>8.33</v>
      </c>
      <c r="R183" s="8" t="n">
        <v>0.2387</v>
      </c>
      <c r="S183" t="n">
        <v>1.0139</v>
      </c>
      <c r="T183" t="n">
        <v>9</v>
      </c>
      <c r="U183" t="n">
        <v>9.07</v>
      </c>
    </row>
    <row r="184">
      <c r="A184" t="inlineStr">
        <is>
          <t>2026-10-25 03:09</t>
        </is>
      </c>
      <c r="B184" t="inlineStr">
        <is>
          <t>2026-10-25</t>
        </is>
      </c>
      <c r="C184" t="inlineStr">
        <is>
          <t>CS2</t>
        </is>
      </c>
      <c r="D184" t="inlineStr">
        <is>
          <t>CS2 · MOUZ vs 9z</t>
        </is>
      </c>
      <c r="E184" t="inlineStr">
        <is>
          <t>torzsi</t>
        </is>
      </c>
      <c r="F184" t="inlineStr">
        <is>
          <t>Maps 1-2 Kills</t>
        </is>
      </c>
      <c r="G184" t="n">
        <v>30.5</v>
      </c>
      <c r="H184" t="n">
        <v>28.65</v>
      </c>
      <c r="I184" s="8" t="n">
        <v>0.3851</v>
      </c>
      <c r="J184" s="8" t="n">
        <v>0.6149</v>
      </c>
      <c r="K184" t="inlineStr">
        <is>
          <t>Mirage / Dust2</t>
        </is>
      </c>
      <c r="L184" t="inlineStr">
        <is>
          <t>21.3 / 21.1</t>
        </is>
      </c>
      <c r="M184" t="n">
        <v>30</v>
      </c>
      <c r="N184" s="8" t="n">
        <v>0.5</v>
      </c>
      <c r="O184" s="12" t="n"/>
      <c r="P184">
        <f>IF(O184="","",IF(O184&gt;G184,"OVER",IF(O184&lt;G184,"UNDER","PUSH")))</f>
        <v/>
      </c>
      <c r="Q184" t="n">
        <v>28.97</v>
      </c>
      <c r="R184" s="8" t="n">
        <v>0.405</v>
      </c>
      <c r="S184" t="n">
        <v>1.0111</v>
      </c>
      <c r="T184" t="n">
        <v>28.38</v>
      </c>
      <c r="U184" t="n">
        <v>28.63</v>
      </c>
    </row>
    <row r="185">
      <c r="A185" t="inlineStr">
        <is>
          <t>2026-10-25 03:09</t>
        </is>
      </c>
      <c r="B185" t="inlineStr">
        <is>
          <t>2026-10-25</t>
        </is>
      </c>
      <c r="C185" t="inlineStr">
        <is>
          <t>CS2</t>
        </is>
      </c>
      <c r="D185" t="inlineStr">
        <is>
          <t>CS2 · MOUZ vs 9z</t>
        </is>
      </c>
      <c r="E185" t="inlineStr">
        <is>
          <t>xelex</t>
        </is>
      </c>
      <c r="F185" t="inlineStr">
        <is>
          <t>Maps 1-2 HS</t>
        </is>
      </c>
      <c r="G185" t="n">
        <v>19.5</v>
      </c>
      <c r="H185" t="n">
        <v>18.53</v>
      </c>
      <c r="I185" s="8" t="n">
        <v>0.4202</v>
      </c>
      <c r="J185" s="8" t="n">
        <v>0.5798</v>
      </c>
      <c r="K185" t="inlineStr">
        <is>
          <t>Mirage / Dust2</t>
        </is>
      </c>
      <c r="L185" t="inlineStr">
        <is>
          <t>21.3 / 21.1</t>
        </is>
      </c>
      <c r="N185" s="8" t="n">
        <v>0.7</v>
      </c>
      <c r="O185" s="12" t="n"/>
      <c r="P185">
        <f>IF(O185="","",IF(O185&gt;G185,"OVER",IF(O185&lt;G185,"UNDER","PUSH")))</f>
        <v/>
      </c>
      <c r="Q185" t="n">
        <v>18.66</v>
      </c>
      <c r="R185" s="8" t="n">
        <v>0.4309</v>
      </c>
      <c r="S185" t="n">
        <v>1.007</v>
      </c>
      <c r="T185" t="n">
        <v>18.84</v>
      </c>
      <c r="U185" t="n">
        <v>19</v>
      </c>
    </row>
    <row r="186">
      <c r="A186" t="inlineStr">
        <is>
          <t>2026-10-25 03:09</t>
        </is>
      </c>
      <c r="B186" t="inlineStr">
        <is>
          <t>2026-10-25</t>
        </is>
      </c>
      <c r="C186" t="inlineStr">
        <is>
          <t>CS2</t>
        </is>
      </c>
      <c r="D186" t="inlineStr">
        <is>
          <t>CS2 · MOUZ vs 9z</t>
        </is>
      </c>
      <c r="E186" t="inlineStr">
        <is>
          <t>xelex</t>
        </is>
      </c>
      <c r="F186" t="inlineStr">
        <is>
          <t>Maps 1-2 Kills</t>
        </is>
      </c>
      <c r="G186" t="n">
        <v>29.5</v>
      </c>
      <c r="H186" t="n">
        <v>28.91</v>
      </c>
      <c r="I186" s="8" t="n">
        <v>0.4629</v>
      </c>
      <c r="J186" s="8" t="n">
        <v>0.5371</v>
      </c>
      <c r="K186" t="inlineStr">
        <is>
          <t>Mirage / Dust2</t>
        </is>
      </c>
      <c r="L186" t="inlineStr">
        <is>
          <t>21.3 / 21.1</t>
        </is>
      </c>
      <c r="M186" t="n">
        <v>29.1</v>
      </c>
      <c r="N186" s="8" t="n">
        <v>0.5</v>
      </c>
      <c r="O186" s="12" t="n"/>
      <c r="P186">
        <f>IF(O186="","",IF(O186&gt;G186,"OVER",IF(O186&lt;G186,"UNDER","PUSH")))</f>
        <v/>
      </c>
      <c r="Q186" t="n">
        <v>29.09</v>
      </c>
      <c r="R186" s="8" t="n">
        <v>0.4744</v>
      </c>
      <c r="S186" t="n">
        <v>1.0063</v>
      </c>
      <c r="T186" t="n">
        <v>28.8</v>
      </c>
      <c r="U186" t="n">
        <v>29.05</v>
      </c>
    </row>
    <row r="187">
      <c r="A187" t="inlineStr">
        <is>
          <t>2026-10-25 03:09</t>
        </is>
      </c>
      <c r="B187" t="inlineStr">
        <is>
          <t>2026-10-25</t>
        </is>
      </c>
      <c r="C187" t="inlineStr">
        <is>
          <t>CS2</t>
        </is>
      </c>
      <c r="D187" t="inlineStr">
        <is>
          <t>CS2 · MOUZ vs 9z</t>
        </is>
      </c>
      <c r="E187" t="inlineStr">
        <is>
          <t>xertioN</t>
        </is>
      </c>
      <c r="F187" t="inlineStr">
        <is>
          <t>Maps 1-2 HS</t>
        </is>
      </c>
      <c r="G187" t="n">
        <v>15.5</v>
      </c>
      <c r="H187" t="n">
        <v>16.74</v>
      </c>
      <c r="I187" s="8" t="n">
        <v>0.6085</v>
      </c>
      <c r="J187" s="8" t="n">
        <v>0.3915</v>
      </c>
      <c r="K187" t="inlineStr">
        <is>
          <t>Mirage / Dust2</t>
        </is>
      </c>
      <c r="L187" t="inlineStr">
        <is>
          <t>21.3 / 21.1</t>
        </is>
      </c>
      <c r="N187" s="8" t="n">
        <v>0.4</v>
      </c>
      <c r="O187" s="12" t="n"/>
      <c r="P187">
        <f>IF(O187="","",IF(O187&gt;G187,"OVER",IF(O187&lt;G187,"UNDER","PUSH")))</f>
        <v/>
      </c>
      <c r="Q187" t="n">
        <v>16.91</v>
      </c>
      <c r="R187" s="8" t="n">
        <v>0.622</v>
      </c>
      <c r="S187" t="n">
        <v>1.0099</v>
      </c>
      <c r="T187" t="n">
        <v>15.72</v>
      </c>
      <c r="U187" t="n">
        <v>15.85</v>
      </c>
    </row>
    <row r="188">
      <c r="A188" t="inlineStr">
        <is>
          <t>2026-10-25 03:09</t>
        </is>
      </c>
      <c r="B188" t="inlineStr">
        <is>
          <t>2026-10-25</t>
        </is>
      </c>
      <c r="C188" t="inlineStr">
        <is>
          <t>CS2</t>
        </is>
      </c>
      <c r="D188" t="inlineStr">
        <is>
          <t>CS2 · MOUZ vs 9z</t>
        </is>
      </c>
      <c r="E188" t="inlineStr">
        <is>
          <t>xertioN</t>
        </is>
      </c>
      <c r="F188" t="inlineStr">
        <is>
          <t>Maps 1-2 Kills</t>
        </is>
      </c>
      <c r="G188" t="n">
        <v>30.5</v>
      </c>
      <c r="H188" t="n">
        <v>30.94</v>
      </c>
      <c r="I188" s="8" t="n">
        <v>0.5264</v>
      </c>
      <c r="J188" s="8" t="n">
        <v>0.4736</v>
      </c>
      <c r="K188" t="inlineStr">
        <is>
          <t>Mirage / Dust2</t>
        </is>
      </c>
      <c r="L188" t="inlineStr">
        <is>
          <t>21.3 / 21.1</t>
        </is>
      </c>
      <c r="M188" t="n">
        <v>30</v>
      </c>
      <c r="N188" s="8" t="n">
        <v>0.5</v>
      </c>
      <c r="O188" s="12" t="n"/>
      <c r="P188">
        <f>IF(O188="","",IF(O188&gt;G188,"OVER",IF(O188&lt;G188,"UNDER","PUSH")))</f>
        <v/>
      </c>
      <c r="Q188" t="n">
        <v>31.2</v>
      </c>
      <c r="R188" s="8" t="n">
        <v>0.5422</v>
      </c>
      <c r="S188" t="n">
        <v>1.0085</v>
      </c>
      <c r="T188" t="n">
        <v>29.65</v>
      </c>
      <c r="U188" t="n">
        <v>29.91</v>
      </c>
    </row>
    <row r="189">
      <c r="A189" t="inlineStr">
        <is>
          <t>2026-10-25 03:09</t>
        </is>
      </c>
      <c r="B189" t="inlineStr">
        <is>
          <t>2026-10-25</t>
        </is>
      </c>
      <c r="C189" t="inlineStr">
        <is>
          <t>CS2</t>
        </is>
      </c>
      <c r="D189" t="inlineStr">
        <is>
          <t>CS2 · TS vs TYLOO</t>
        </is>
      </c>
      <c r="E189" t="inlineStr">
        <is>
          <t>donk</t>
        </is>
      </c>
      <c r="F189" t="inlineStr">
        <is>
          <t>Maps 1-2 HS</t>
        </is>
      </c>
      <c r="G189" t="n">
        <v>24</v>
      </c>
      <c r="H189" t="n">
        <v>21.62</v>
      </c>
      <c r="I189" s="8" t="n">
        <v>0.29</v>
      </c>
      <c r="J189" s="8" t="n">
        <v>0.641</v>
      </c>
      <c r="K189" t="inlineStr">
        <is>
          <t>Mirage / Ancient</t>
        </is>
      </c>
      <c r="L189" t="inlineStr">
        <is>
          <t>20.6 / 20.3</t>
        </is>
      </c>
      <c r="N189" s="8" t="n">
        <v>0.4</v>
      </c>
      <c r="O189" s="12" t="n"/>
      <c r="P189">
        <f>IF(O189="","",IF(O189&gt;G189,"OVER",IF(O189&lt;G189,"UNDER","PUSH")))</f>
        <v/>
      </c>
      <c r="Q189" t="n">
        <v>22.24</v>
      </c>
      <c r="R189" s="8" t="n">
        <v>0.334</v>
      </c>
      <c r="S189" t="n">
        <v>1.0285</v>
      </c>
      <c r="T189" t="n">
        <v>22.89</v>
      </c>
      <c r="U189" t="n">
        <v>23.55</v>
      </c>
    </row>
    <row r="190">
      <c r="A190" t="inlineStr">
        <is>
          <t>2026-10-25 03:09</t>
        </is>
      </c>
      <c r="B190" t="inlineStr">
        <is>
          <t>2026-10-25</t>
        </is>
      </c>
      <c r="C190" t="inlineStr">
        <is>
          <t>CS2</t>
        </is>
      </c>
      <c r="D190" t="inlineStr">
        <is>
          <t>CS2 · TS vs TYLOO</t>
        </is>
      </c>
      <c r="E190" t="inlineStr">
        <is>
          <t>donk</t>
        </is>
      </c>
      <c r="F190" t="inlineStr">
        <is>
          <t>Maps 1-2 Kills</t>
        </is>
      </c>
      <c r="G190" t="n">
        <v>38.5</v>
      </c>
      <c r="H190" t="n">
        <v>34.55</v>
      </c>
      <c r="I190" s="8" t="n">
        <v>0.2848</v>
      </c>
      <c r="J190" s="8" t="n">
        <v>0.7151999999999999</v>
      </c>
      <c r="K190" t="inlineStr">
        <is>
          <t>Mirage / Ancient</t>
        </is>
      </c>
      <c r="L190" t="inlineStr">
        <is>
          <t>20.6 / 20.3</t>
        </is>
      </c>
      <c r="M190" t="n">
        <v>39</v>
      </c>
      <c r="N190" s="8" t="n">
        <v>0.2</v>
      </c>
      <c r="O190" s="12" t="n"/>
      <c r="P190">
        <f>IF(O190="","",IF(O190&gt;G190,"OVER",IF(O190&lt;G190,"UNDER","PUSH")))</f>
        <v/>
      </c>
      <c r="Q190" t="n">
        <v>35.53</v>
      </c>
      <c r="R190" s="8" t="n">
        <v>0.337</v>
      </c>
      <c r="S190" t="n">
        <v>1.0286</v>
      </c>
      <c r="T190" t="n">
        <v>35.16</v>
      </c>
      <c r="U190" t="n">
        <v>36.18</v>
      </c>
    </row>
    <row r="191">
      <c r="A191" t="inlineStr">
        <is>
          <t>2026-10-25 03:09</t>
        </is>
      </c>
      <c r="B191" t="inlineStr">
        <is>
          <t>2026-10-25</t>
        </is>
      </c>
      <c r="C191" t="inlineStr">
        <is>
          <t>CS2</t>
        </is>
      </c>
      <c r="D191" t="inlineStr">
        <is>
          <t>CS2 · TS vs TYLOO</t>
        </is>
      </c>
      <c r="E191" t="inlineStr">
        <is>
          <t>magixx</t>
        </is>
      </c>
      <c r="F191" t="inlineStr">
        <is>
          <t>Maps 1-2 HS</t>
        </is>
      </c>
      <c r="G191" t="n">
        <v>13</v>
      </c>
      <c r="H191" t="n">
        <v>12.16</v>
      </c>
      <c r="I191" s="8" t="n">
        <v>0.3632</v>
      </c>
      <c r="J191" s="8" t="n">
        <v>0.5353</v>
      </c>
      <c r="K191" t="inlineStr">
        <is>
          <t>Mirage / Ancient</t>
        </is>
      </c>
      <c r="L191" t="inlineStr">
        <is>
          <t>20.6 / 20.3</t>
        </is>
      </c>
      <c r="N191" s="8" t="n">
        <v>0.3</v>
      </c>
      <c r="O191" s="12" t="n"/>
      <c r="P191">
        <f>IF(O191="","",IF(O191&gt;G191,"OVER",IF(O191&lt;G191,"UNDER","PUSH")))</f>
        <v/>
      </c>
      <c r="Q191" t="n">
        <v>12.5</v>
      </c>
      <c r="R191" s="8" t="n">
        <v>0.3988</v>
      </c>
      <c r="S191" t="n">
        <v>1.0283</v>
      </c>
      <c r="T191" t="n">
        <v>11.9</v>
      </c>
      <c r="U191" t="n">
        <v>12.25</v>
      </c>
    </row>
    <row r="192">
      <c r="A192" t="inlineStr">
        <is>
          <t>2026-10-25 03:09</t>
        </is>
      </c>
      <c r="B192" t="inlineStr">
        <is>
          <t>2026-10-25</t>
        </is>
      </c>
      <c r="C192" t="inlineStr">
        <is>
          <t>CS2</t>
        </is>
      </c>
      <c r="D192" t="inlineStr">
        <is>
          <t>CS2 · TS vs TYLOO</t>
        </is>
      </c>
      <c r="E192" t="inlineStr">
        <is>
          <t>magixx</t>
        </is>
      </c>
      <c r="F192" t="inlineStr">
        <is>
          <t>Maps 1-2 Kills</t>
        </is>
      </c>
      <c r="G192" t="n">
        <v>25.5</v>
      </c>
      <c r="H192" t="n">
        <v>23.83</v>
      </c>
      <c r="I192" s="8" t="n">
        <v>0.3862</v>
      </c>
      <c r="J192" s="8" t="n">
        <v>0.6138</v>
      </c>
      <c r="K192" t="inlineStr">
        <is>
          <t>Mirage / Ancient</t>
        </is>
      </c>
      <c r="L192" t="inlineStr">
        <is>
          <t>20.6 / 20.3</t>
        </is>
      </c>
      <c r="M192" t="n">
        <v>25</v>
      </c>
      <c r="N192" s="8" t="n">
        <v>0.3</v>
      </c>
      <c r="O192" s="12" t="n"/>
      <c r="P192">
        <f>IF(O192="","",IF(O192&gt;G192,"OVER",IF(O192&lt;G192,"UNDER","PUSH")))</f>
        <v/>
      </c>
      <c r="Q192" t="n">
        <v>24.52</v>
      </c>
      <c r="R192" s="8" t="n">
        <v>0.4337</v>
      </c>
      <c r="S192" t="n">
        <v>1.0291</v>
      </c>
      <c r="T192" t="n">
        <v>23.71</v>
      </c>
      <c r="U192" t="n">
        <v>24.4</v>
      </c>
    </row>
    <row r="193">
      <c r="A193" t="inlineStr">
        <is>
          <t>2026-10-25 03:09</t>
        </is>
      </c>
      <c r="B193" t="inlineStr">
        <is>
          <t>2026-10-25</t>
        </is>
      </c>
      <c r="C193" t="inlineStr">
        <is>
          <t>CS2</t>
        </is>
      </c>
      <c r="D193" t="inlineStr">
        <is>
          <t>CS2 · TS vs TYLOO</t>
        </is>
      </c>
      <c r="E193" t="inlineStr">
        <is>
          <t>sh1ro</t>
        </is>
      </c>
      <c r="F193" t="inlineStr">
        <is>
          <t>Maps 1-2 HS</t>
        </is>
      </c>
      <c r="G193" t="n">
        <v>10.5</v>
      </c>
      <c r="H193" t="n">
        <v>9.800000000000001</v>
      </c>
      <c r="I193" s="8" t="n">
        <v>0.4172</v>
      </c>
      <c r="J193" s="8" t="n">
        <v>0.5828</v>
      </c>
      <c r="K193" t="inlineStr">
        <is>
          <t>Mirage / Ancient</t>
        </is>
      </c>
      <c r="L193" t="inlineStr">
        <is>
          <t>20.6 / 20.3</t>
        </is>
      </c>
      <c r="N193" s="8" t="n">
        <v>0.5</v>
      </c>
      <c r="O193" s="12" t="n"/>
      <c r="P193">
        <f>IF(O193="","",IF(O193&gt;G193,"OVER",IF(O193&lt;G193,"UNDER","PUSH")))</f>
        <v/>
      </c>
      <c r="Q193" t="n">
        <v>10.09</v>
      </c>
      <c r="R193" s="8" t="n">
        <v>0.452</v>
      </c>
      <c r="S193" t="n">
        <v>1.0295</v>
      </c>
      <c r="T193" t="n">
        <v>10.07</v>
      </c>
      <c r="U193" t="n">
        <v>10.36</v>
      </c>
    </row>
    <row r="194">
      <c r="A194" t="inlineStr">
        <is>
          <t>2026-10-25 03:09</t>
        </is>
      </c>
      <c r="B194" t="inlineStr">
        <is>
          <t>2026-10-25</t>
        </is>
      </c>
      <c r="C194" t="inlineStr">
        <is>
          <t>CS2</t>
        </is>
      </c>
      <c r="D194" t="inlineStr">
        <is>
          <t>CS2 · TS vs TYLOO</t>
        </is>
      </c>
      <c r="E194" t="inlineStr">
        <is>
          <t>sh1ro</t>
        </is>
      </c>
      <c r="F194" t="inlineStr">
        <is>
          <t>Maps 1-2 Kills</t>
        </is>
      </c>
      <c r="G194" t="n">
        <v>31</v>
      </c>
      <c r="H194" t="n">
        <v>28.72</v>
      </c>
      <c r="I194" s="8" t="n">
        <v>0.3307</v>
      </c>
      <c r="J194" s="8" t="n">
        <v>0.6103</v>
      </c>
      <c r="K194" t="inlineStr">
        <is>
          <t>Mirage / Ancient</t>
        </is>
      </c>
      <c r="L194" t="inlineStr">
        <is>
          <t>20.6 / 20.3</t>
        </is>
      </c>
      <c r="M194" t="n">
        <v>31.59</v>
      </c>
      <c r="N194" s="8" t="n">
        <v>0.4</v>
      </c>
      <c r="O194" s="12" t="n"/>
      <c r="P194">
        <f>IF(O194="","",IF(O194&gt;G194,"OVER",IF(O194&lt;G194,"UNDER","PUSH")))</f>
        <v/>
      </c>
      <c r="Q194" t="n">
        <v>29.57</v>
      </c>
      <c r="R194" s="8" t="n">
        <v>0.3819</v>
      </c>
      <c r="S194" t="n">
        <v>1.0294</v>
      </c>
      <c r="T194" t="n">
        <v>29.43</v>
      </c>
      <c r="U194" t="n">
        <v>30.29</v>
      </c>
    </row>
    <row r="195">
      <c r="A195" t="inlineStr">
        <is>
          <t>2026-10-25 03:09</t>
        </is>
      </c>
      <c r="B195" t="inlineStr">
        <is>
          <t>2026-10-25</t>
        </is>
      </c>
      <c r="C195" t="inlineStr">
        <is>
          <t>CS2</t>
        </is>
      </c>
      <c r="D195" t="inlineStr">
        <is>
          <t>CS2 · TS vs TYLOO</t>
        </is>
      </c>
      <c r="E195" t="inlineStr">
        <is>
          <t>tN1R</t>
        </is>
      </c>
      <c r="F195" t="inlineStr">
        <is>
          <t>Maps 1-2 HS</t>
        </is>
      </c>
      <c r="G195" t="n">
        <v>16.5</v>
      </c>
      <c r="H195" t="n">
        <v>15.3</v>
      </c>
      <c r="I195" s="8" t="n">
        <v>0.391</v>
      </c>
      <c r="J195" s="8" t="n">
        <v>0.609</v>
      </c>
      <c r="K195" t="inlineStr">
        <is>
          <t>Mirage / Ancient</t>
        </is>
      </c>
      <c r="L195" t="inlineStr">
        <is>
          <t>20.6 / 20.3</t>
        </is>
      </c>
      <c r="N195" s="8" t="n">
        <v>0.3</v>
      </c>
      <c r="O195" s="12" t="n"/>
      <c r="P195">
        <f>IF(O195="","",IF(O195&gt;G195,"OVER",IF(O195&lt;G195,"UNDER","PUSH")))</f>
        <v/>
      </c>
      <c r="Q195" t="n">
        <v>15.75</v>
      </c>
      <c r="R195" s="8" t="n">
        <v>0.4325</v>
      </c>
      <c r="S195" t="n">
        <v>1.0296</v>
      </c>
      <c r="T195" t="n">
        <v>16</v>
      </c>
      <c r="U195" t="n">
        <v>16.46</v>
      </c>
    </row>
    <row r="196">
      <c r="A196" t="inlineStr">
        <is>
          <t>2026-10-25 03:09</t>
        </is>
      </c>
      <c r="B196" t="inlineStr">
        <is>
          <t>2026-10-25</t>
        </is>
      </c>
      <c r="C196" t="inlineStr">
        <is>
          <t>CS2</t>
        </is>
      </c>
      <c r="D196" t="inlineStr">
        <is>
          <t>CS2 · TS vs TYLOO</t>
        </is>
      </c>
      <c r="E196" t="inlineStr">
        <is>
          <t>tN1R</t>
        </is>
      </c>
      <c r="F196" t="inlineStr">
        <is>
          <t>Maps 1-2 Kills</t>
        </is>
      </c>
      <c r="G196" t="n">
        <v>28.5</v>
      </c>
      <c r="H196" t="n">
        <v>26.92</v>
      </c>
      <c r="I196" s="8" t="n">
        <v>0.3985</v>
      </c>
      <c r="J196" s="8" t="n">
        <v>0.6015</v>
      </c>
      <c r="K196" t="inlineStr">
        <is>
          <t>Mirage / Ancient</t>
        </is>
      </c>
      <c r="L196" t="inlineStr">
        <is>
          <t>20.6 / 20.3</t>
        </is>
      </c>
      <c r="M196" t="n">
        <v>29.18</v>
      </c>
      <c r="N196" s="8" t="n">
        <v>0.4</v>
      </c>
      <c r="O196" s="12" t="n"/>
      <c r="P196">
        <f>IF(O196="","",IF(O196&gt;G196,"OVER",IF(O196&lt;G196,"UNDER","PUSH")))</f>
        <v/>
      </c>
      <c r="Q196" t="n">
        <v>27.72</v>
      </c>
      <c r="R196" s="8" t="n">
        <v>0.45</v>
      </c>
      <c r="S196" t="n">
        <v>1.0295</v>
      </c>
      <c r="T196" t="n">
        <v>27.39</v>
      </c>
      <c r="U196" t="n">
        <v>28.19</v>
      </c>
    </row>
    <row r="197">
      <c r="A197" t="inlineStr">
        <is>
          <t>2026-10-25 03:09</t>
        </is>
      </c>
      <c r="B197" t="inlineStr">
        <is>
          <t>2026-10-25</t>
        </is>
      </c>
      <c r="C197" t="inlineStr">
        <is>
          <t>CS2</t>
        </is>
      </c>
      <c r="D197" t="inlineStr">
        <is>
          <t>CS2 · TS vs TYLOO</t>
        </is>
      </c>
      <c r="E197" t="inlineStr">
        <is>
          <t>zont1x</t>
        </is>
      </c>
      <c r="F197" t="inlineStr">
        <is>
          <t>Maps 1-2 HS</t>
        </is>
      </c>
      <c r="G197" t="n">
        <v>10.5</v>
      </c>
      <c r="H197" t="n">
        <v>10.03</v>
      </c>
      <c r="I197" s="8" t="n">
        <v>0.4451</v>
      </c>
      <c r="J197" s="8" t="n">
        <v>0.5548999999999999</v>
      </c>
      <c r="K197" t="inlineStr">
        <is>
          <t>Mirage / Ancient</t>
        </is>
      </c>
      <c r="L197" t="inlineStr">
        <is>
          <t>20.6 / 20.3</t>
        </is>
      </c>
      <c r="N197" s="8" t="n">
        <v>0.2</v>
      </c>
      <c r="O197" s="12" t="n"/>
      <c r="P197">
        <f>IF(O197="","",IF(O197&gt;G197,"OVER",IF(O197&lt;G197,"UNDER","PUSH")))</f>
        <v/>
      </c>
      <c r="Q197" t="n">
        <v>10.32</v>
      </c>
      <c r="R197" s="8" t="n">
        <v>0.4793</v>
      </c>
      <c r="S197" t="n">
        <v>1.029</v>
      </c>
      <c r="T197" t="n">
        <v>9.52</v>
      </c>
      <c r="U197" t="n">
        <v>9.789999999999999</v>
      </c>
    </row>
    <row r="198">
      <c r="A198" t="inlineStr">
        <is>
          <t>2026-10-25 03:09</t>
        </is>
      </c>
      <c r="B198" t="inlineStr">
        <is>
          <t>2026-10-25</t>
        </is>
      </c>
      <c r="C198" t="inlineStr">
        <is>
          <t>CS2</t>
        </is>
      </c>
      <c r="D198" t="inlineStr">
        <is>
          <t>CS2 · TS vs TYLOO</t>
        </is>
      </c>
      <c r="E198" t="inlineStr">
        <is>
          <t>zont1x</t>
        </is>
      </c>
      <c r="F198" t="inlineStr">
        <is>
          <t>Maps 1-2 Kills</t>
        </is>
      </c>
      <c r="G198" t="n">
        <v>25.5</v>
      </c>
      <c r="H198" t="n">
        <v>25.49</v>
      </c>
      <c r="I198" s="8" t="n">
        <v>0.499</v>
      </c>
      <c r="J198" s="8" t="n">
        <v>0.501</v>
      </c>
      <c r="K198" t="inlineStr">
        <is>
          <t>Mirage / Ancient</t>
        </is>
      </c>
      <c r="L198" t="inlineStr">
        <is>
          <t>20.6 / 20.3</t>
        </is>
      </c>
      <c r="M198" t="n">
        <v>26</v>
      </c>
      <c r="N198" s="8" t="n">
        <v>0.3</v>
      </c>
      <c r="O198" s="12" t="n"/>
      <c r="P198">
        <f>IF(O198="","",IF(O198&gt;G198,"OVER",IF(O198&lt;G198,"UNDER","PUSH")))</f>
        <v/>
      </c>
      <c r="Q198" t="n">
        <v>26.23</v>
      </c>
      <c r="R198" s="8" t="n">
        <v>0.5481</v>
      </c>
      <c r="S198" t="n">
        <v>1.0293</v>
      </c>
      <c r="T198" t="n">
        <v>24.53</v>
      </c>
      <c r="U198" t="n">
        <v>25.24</v>
      </c>
    </row>
    <row r="199">
      <c r="A199" t="inlineStr">
        <is>
          <t>2026-10-25 03:09</t>
        </is>
      </c>
      <c r="B199" t="inlineStr">
        <is>
          <t>2026-10-25</t>
        </is>
      </c>
      <c r="C199" t="inlineStr">
        <is>
          <t>CS2</t>
        </is>
      </c>
      <c r="D199" t="inlineStr">
        <is>
          <t>CS2 · TS vs TYLOO</t>
        </is>
      </c>
      <c r="E199" t="inlineStr">
        <is>
          <t>JamYoung</t>
        </is>
      </c>
      <c r="F199" t="inlineStr">
        <is>
          <t>Maps 1-2 HS</t>
        </is>
      </c>
      <c r="G199" t="n">
        <v>15</v>
      </c>
      <c r="H199" t="n">
        <v>18.6</v>
      </c>
      <c r="I199" s="8" t="n">
        <v>0.7403</v>
      </c>
      <c r="J199" s="8" t="n">
        <v>0.197</v>
      </c>
      <c r="K199" t="inlineStr">
        <is>
          <t>Mirage / Ancient</t>
        </is>
      </c>
      <c r="L199" t="inlineStr">
        <is>
          <t>20.6 / 20.3</t>
        </is>
      </c>
      <c r="N199" s="8" t="n">
        <v>0.7</v>
      </c>
      <c r="O199" s="12" t="n"/>
      <c r="P199">
        <f>IF(O199="","",IF(O199&gt;G199,"OVER",IF(O199&lt;G199,"UNDER","PUSH")))</f>
        <v/>
      </c>
      <c r="Q199" t="n">
        <v>16.88</v>
      </c>
      <c r="R199" s="8" t="n">
        <v>0.6188</v>
      </c>
      <c r="S199" t="n">
        <v>0.9079</v>
      </c>
      <c r="T199" t="n">
        <v>19.09</v>
      </c>
      <c r="U199" t="n">
        <v>17.33</v>
      </c>
    </row>
    <row r="200">
      <c r="A200" t="inlineStr">
        <is>
          <t>2026-10-25 03:09</t>
        </is>
      </c>
      <c r="B200" t="inlineStr">
        <is>
          <t>2026-10-25</t>
        </is>
      </c>
      <c r="C200" t="inlineStr">
        <is>
          <t>CS2</t>
        </is>
      </c>
      <c r="D200" t="inlineStr">
        <is>
          <t>CS2 · TS vs TYLOO</t>
        </is>
      </c>
      <c r="E200" t="inlineStr">
        <is>
          <t>JamYoung</t>
        </is>
      </c>
      <c r="F200" t="inlineStr">
        <is>
          <t>Maps 1-2 Kills</t>
        </is>
      </c>
      <c r="G200" t="n">
        <v>24.5</v>
      </c>
      <c r="H200" t="n">
        <v>30.63</v>
      </c>
      <c r="I200" s="8" t="n">
        <v>0.8255</v>
      </c>
      <c r="J200" s="8" t="n">
        <v>0.1745</v>
      </c>
      <c r="K200" t="inlineStr">
        <is>
          <t>Mirage / Ancient</t>
        </is>
      </c>
      <c r="L200" t="inlineStr">
        <is>
          <t>20.6 / 20.3</t>
        </is>
      </c>
      <c r="M200" t="n">
        <v>24.82</v>
      </c>
      <c r="N200" s="8" t="n">
        <v>0.7</v>
      </c>
      <c r="O200" s="12" t="n"/>
      <c r="P200">
        <f>IF(O200="","",IF(O200&gt;G200,"OVER",IF(O200&lt;G200,"UNDER","PUSH")))</f>
        <v/>
      </c>
      <c r="Q200" t="n">
        <v>27.81</v>
      </c>
      <c r="R200" s="8" t="n">
        <v>0.702</v>
      </c>
      <c r="S200" t="n">
        <v>0.9078000000000001</v>
      </c>
      <c r="T200" t="n">
        <v>30.25</v>
      </c>
      <c r="U200" t="n">
        <v>27.46</v>
      </c>
    </row>
    <row r="201">
      <c r="A201" t="inlineStr">
        <is>
          <t>2026-10-25 03:09</t>
        </is>
      </c>
      <c r="B201" t="inlineStr">
        <is>
          <t>2026-10-25</t>
        </is>
      </c>
      <c r="C201" t="inlineStr">
        <is>
          <t>CS2</t>
        </is>
      </c>
      <c r="D201" t="inlineStr">
        <is>
          <t>CS2 · TS vs TYLOO</t>
        </is>
      </c>
      <c r="E201" t="inlineStr">
        <is>
          <t>Jee</t>
        </is>
      </c>
      <c r="F201" t="inlineStr">
        <is>
          <t>Maps 1-2 HS</t>
        </is>
      </c>
      <c r="G201" t="n">
        <v>8.5</v>
      </c>
      <c r="H201" t="n">
        <v>9.25</v>
      </c>
      <c r="I201" s="8" t="n">
        <v>0.5921</v>
      </c>
      <c r="J201" s="8" t="n">
        <v>0.4079</v>
      </c>
      <c r="K201" t="inlineStr">
        <is>
          <t>Mirage / Ancient</t>
        </is>
      </c>
      <c r="L201" t="inlineStr">
        <is>
          <t>20.6 / 20.3</t>
        </is>
      </c>
      <c r="N201" s="8" t="n">
        <v>0.4</v>
      </c>
      <c r="O201" s="12" t="n"/>
      <c r="P201">
        <f>IF(O201="","",IF(O201&gt;G201,"OVER",IF(O201&lt;G201,"UNDER","PUSH")))</f>
        <v/>
      </c>
      <c r="Q201" t="n">
        <v>8.41</v>
      </c>
      <c r="R201" s="8" t="n">
        <v>0.488</v>
      </c>
      <c r="S201" t="n">
        <v>0.9085</v>
      </c>
      <c r="T201" t="n">
        <v>9.15</v>
      </c>
      <c r="U201" t="n">
        <v>8.300000000000001</v>
      </c>
    </row>
    <row r="202">
      <c r="A202" t="inlineStr">
        <is>
          <t>2026-10-25 03:09</t>
        </is>
      </c>
      <c r="B202" t="inlineStr">
        <is>
          <t>2026-10-25</t>
        </is>
      </c>
      <c r="C202" t="inlineStr">
        <is>
          <t>CS2</t>
        </is>
      </c>
      <c r="D202" t="inlineStr">
        <is>
          <t>CS2 · TS vs TYLOO</t>
        </is>
      </c>
      <c r="E202" t="inlineStr">
        <is>
          <t>Jee</t>
        </is>
      </c>
      <c r="F202" t="inlineStr">
        <is>
          <t>Maps 1-2 Kills</t>
        </is>
      </c>
      <c r="G202" t="n">
        <v>23</v>
      </c>
      <c r="H202" t="n">
        <v>27.99</v>
      </c>
      <c r="I202" s="8" t="n">
        <v>0.7635</v>
      </c>
      <c r="J202" s="8" t="n">
        <v>0.1901</v>
      </c>
      <c r="K202" t="inlineStr">
        <is>
          <t>Mirage / Ancient</t>
        </is>
      </c>
      <c r="L202" t="inlineStr">
        <is>
          <t>20.6 / 20.3</t>
        </is>
      </c>
      <c r="M202" t="n">
        <v>24.58</v>
      </c>
      <c r="N202" s="8" t="n">
        <v>0.7</v>
      </c>
      <c r="O202" s="12" t="n"/>
      <c r="P202">
        <f>IF(O202="","",IF(O202&gt;G202,"OVER",IF(O202&lt;G202,"UNDER","PUSH")))</f>
        <v/>
      </c>
      <c r="Q202" t="n">
        <v>25.42</v>
      </c>
      <c r="R202" s="8" t="n">
        <v>0.6263</v>
      </c>
      <c r="S202" t="n">
        <v>0.9082</v>
      </c>
      <c r="T202" t="n">
        <v>27.8</v>
      </c>
      <c r="U202" t="n">
        <v>25.24</v>
      </c>
    </row>
    <row r="203">
      <c r="A203" t="inlineStr">
        <is>
          <t>2026-10-25 03:09</t>
        </is>
      </c>
      <c r="B203" t="inlineStr">
        <is>
          <t>2026-10-25</t>
        </is>
      </c>
      <c r="C203" t="inlineStr">
        <is>
          <t>CS2</t>
        </is>
      </c>
      <c r="D203" t="inlineStr">
        <is>
          <t>CS2 · TS vs TYLOO</t>
        </is>
      </c>
      <c r="E203" t="inlineStr">
        <is>
          <t>Mercury</t>
        </is>
      </c>
      <c r="F203" t="inlineStr">
        <is>
          <t>Maps 1-2 HS</t>
        </is>
      </c>
      <c r="G203" t="n">
        <v>13</v>
      </c>
      <c r="H203" t="n">
        <v>16.61</v>
      </c>
      <c r="I203" s="8" t="n">
        <v>0.7512</v>
      </c>
      <c r="J203" s="8" t="n">
        <v>0.185</v>
      </c>
      <c r="K203" t="inlineStr">
        <is>
          <t>Mirage / Ancient</t>
        </is>
      </c>
      <c r="L203" t="inlineStr">
        <is>
          <t>20.6 / 20.3</t>
        </is>
      </c>
      <c r="N203" s="8" t="n">
        <v>0.8</v>
      </c>
      <c r="O203" s="12" t="n"/>
      <c r="P203">
        <f>IF(O203="","",IF(O203&gt;G203,"OVER",IF(O203&lt;G203,"UNDER","PUSH")))</f>
        <v/>
      </c>
      <c r="Q203" t="n">
        <v>15.08</v>
      </c>
      <c r="R203" s="8" t="n">
        <v>0.6411</v>
      </c>
      <c r="S203" t="n">
        <v>0.9079</v>
      </c>
      <c r="T203" t="n">
        <v>15.84</v>
      </c>
      <c r="U203" t="n">
        <v>14.38</v>
      </c>
    </row>
    <row r="204">
      <c r="A204" t="inlineStr">
        <is>
          <t>2026-10-25 03:09</t>
        </is>
      </c>
      <c r="B204" t="inlineStr">
        <is>
          <t>2026-10-25</t>
        </is>
      </c>
      <c r="C204" t="inlineStr">
        <is>
          <t>CS2</t>
        </is>
      </c>
      <c r="D204" t="inlineStr">
        <is>
          <t>CS2 · TS vs TYLOO</t>
        </is>
      </c>
      <c r="E204" t="inlineStr">
        <is>
          <t>Mercury</t>
        </is>
      </c>
      <c r="F204" t="inlineStr">
        <is>
          <t>Maps 1-2 Kills</t>
        </is>
      </c>
      <c r="G204" t="n">
        <v>21</v>
      </c>
      <c r="H204" t="n">
        <v>25.18</v>
      </c>
      <c r="I204" s="8" t="n">
        <v>0.7323</v>
      </c>
      <c r="J204" s="8" t="n">
        <v>0.2153</v>
      </c>
      <c r="K204" t="inlineStr">
        <is>
          <t>Mirage / Ancient</t>
        </is>
      </c>
      <c r="L204" t="inlineStr">
        <is>
          <t>20.6 / 20.3</t>
        </is>
      </c>
      <c r="M204" t="n">
        <v>21.65</v>
      </c>
      <c r="N204" s="8" t="n">
        <v>0.8</v>
      </c>
      <c r="O204" s="12" t="n"/>
      <c r="P204">
        <f>IF(O204="","",IF(O204&gt;G204,"OVER",IF(O204&lt;G204,"UNDER","PUSH")))</f>
        <v/>
      </c>
      <c r="Q204" t="n">
        <v>22.84</v>
      </c>
      <c r="R204" s="8" t="n">
        <v>0.5939</v>
      </c>
      <c r="S204" t="n">
        <v>0.9072</v>
      </c>
      <c r="T204" t="n">
        <v>25.35</v>
      </c>
      <c r="U204" t="n">
        <v>23.01</v>
      </c>
    </row>
    <row r="205">
      <c r="A205" t="inlineStr">
        <is>
          <t>2026-10-25 03:09</t>
        </is>
      </c>
      <c r="B205" t="inlineStr">
        <is>
          <t>2026-10-25</t>
        </is>
      </c>
      <c r="C205" t="inlineStr">
        <is>
          <t>CS2</t>
        </is>
      </c>
      <c r="D205" t="inlineStr">
        <is>
          <t>CS2 · TS vs TYLOO</t>
        </is>
      </c>
      <c r="E205" t="inlineStr">
        <is>
          <t>Moseyuh</t>
        </is>
      </c>
      <c r="F205" t="inlineStr">
        <is>
          <t>Maps 1-2 HS</t>
        </is>
      </c>
      <c r="G205" t="n">
        <v>13</v>
      </c>
      <c r="H205" t="n">
        <v>16.13</v>
      </c>
      <c r="I205" s="8" t="n">
        <v>0.7204</v>
      </c>
      <c r="J205" s="8" t="n">
        <v>0.2101</v>
      </c>
      <c r="K205" t="inlineStr">
        <is>
          <t>Mirage / Ancient</t>
        </is>
      </c>
      <c r="L205" t="inlineStr">
        <is>
          <t>20.6 / 20.3</t>
        </is>
      </c>
      <c r="N205" s="8" t="n">
        <v>0.7</v>
      </c>
      <c r="O205" s="12" t="n"/>
      <c r="P205">
        <f>IF(O205="","",IF(O205&gt;G205,"OVER",IF(O205&lt;G205,"UNDER","PUSH")))</f>
        <v/>
      </c>
      <c r="Q205" t="n">
        <v>14.66</v>
      </c>
      <c r="R205" s="8" t="n">
        <v>0.606</v>
      </c>
      <c r="S205" t="n">
        <v>0.9084</v>
      </c>
      <c r="T205" t="n">
        <v>15.75</v>
      </c>
      <c r="U205" t="n">
        <v>14.3</v>
      </c>
    </row>
    <row r="206">
      <c r="A206" t="inlineStr">
        <is>
          <t>2026-10-25 03:09</t>
        </is>
      </c>
      <c r="B206" t="inlineStr">
        <is>
          <t>2026-10-25</t>
        </is>
      </c>
      <c r="C206" t="inlineStr">
        <is>
          <t>CS2</t>
        </is>
      </c>
      <c r="D206" t="inlineStr">
        <is>
          <t>CS2 · TS vs TYLOO</t>
        </is>
      </c>
      <c r="E206" t="inlineStr">
        <is>
          <t>Moseyuh</t>
        </is>
      </c>
      <c r="F206" t="inlineStr">
        <is>
          <t>Maps 1-2 Kills</t>
        </is>
      </c>
      <c r="G206" t="n">
        <v>21</v>
      </c>
      <c r="H206" t="n">
        <v>24.81</v>
      </c>
      <c r="I206" s="8" t="n">
        <v>0.713</v>
      </c>
      <c r="J206" s="8" t="n">
        <v>0.2322</v>
      </c>
      <c r="K206" t="inlineStr">
        <is>
          <t>Mirage / Ancient</t>
        </is>
      </c>
      <c r="L206" t="inlineStr">
        <is>
          <t>20.6 / 20.3</t>
        </is>
      </c>
      <c r="M206" t="n">
        <v>23.06</v>
      </c>
      <c r="N206" s="8" t="n">
        <v>0.8</v>
      </c>
      <c r="O206" s="12" t="n"/>
      <c r="P206">
        <f>IF(O206="","",IF(O206&gt;G206,"OVER",IF(O206&lt;G206,"UNDER","PUSH")))</f>
        <v/>
      </c>
      <c r="Q206" t="n">
        <v>22.54</v>
      </c>
      <c r="R206" s="8" t="n">
        <v>0.5735</v>
      </c>
      <c r="S206" t="n">
        <v>0.9084</v>
      </c>
      <c r="T206" t="n">
        <v>24.53</v>
      </c>
      <c r="U206" t="n">
        <v>22.27</v>
      </c>
    </row>
    <row r="207">
      <c r="A207" t="inlineStr">
        <is>
          <t>2026-10-25 03:09</t>
        </is>
      </c>
      <c r="B207" t="inlineStr">
        <is>
          <t>2026-10-25</t>
        </is>
      </c>
      <c r="C207" t="inlineStr">
        <is>
          <t>CS2</t>
        </is>
      </c>
      <c r="D207" t="inlineStr">
        <is>
          <t>CS2 · TS vs TYLOO</t>
        </is>
      </c>
      <c r="E207" t="inlineStr">
        <is>
          <t>zero</t>
        </is>
      </c>
      <c r="F207" t="inlineStr">
        <is>
          <t>Maps 1-2 HS</t>
        </is>
      </c>
      <c r="G207" t="n">
        <v>12.5</v>
      </c>
      <c r="H207" t="n">
        <v>14.22</v>
      </c>
      <c r="I207" s="8" t="n">
        <v>0.6605</v>
      </c>
      <c r="J207" s="8" t="n">
        <v>0.3395</v>
      </c>
      <c r="K207" t="inlineStr">
        <is>
          <t>Mirage / Ancient</t>
        </is>
      </c>
      <c r="L207" t="inlineStr">
        <is>
          <t>20.6 / 20.3</t>
        </is>
      </c>
      <c r="N207" s="8" t="n">
        <v>0.7</v>
      </c>
      <c r="O207" s="12" t="n"/>
      <c r="P207">
        <f>IF(O207="","",IF(O207&gt;G207,"OVER",IF(O207&lt;G207,"UNDER","PUSH")))</f>
        <v/>
      </c>
      <c r="Q207" t="n">
        <v>12.91</v>
      </c>
      <c r="R207" s="8" t="n">
        <v>0.5416</v>
      </c>
      <c r="S207" t="n">
        <v>0.9083</v>
      </c>
      <c r="T207" t="n">
        <v>14.06</v>
      </c>
      <c r="U207" t="n">
        <v>12.77</v>
      </c>
    </row>
    <row r="208">
      <c r="A208" t="inlineStr">
        <is>
          <t>2026-10-25 03:09</t>
        </is>
      </c>
      <c r="B208" t="inlineStr">
        <is>
          <t>2026-10-25</t>
        </is>
      </c>
      <c r="C208" t="inlineStr">
        <is>
          <t>CS2</t>
        </is>
      </c>
      <c r="D208" t="inlineStr">
        <is>
          <t>CS2 · TS vs TYLOO</t>
        </is>
      </c>
      <c r="E208" t="inlineStr">
        <is>
          <t>zero</t>
        </is>
      </c>
      <c r="F208" t="inlineStr">
        <is>
          <t>Maps 1-2 Kills</t>
        </is>
      </c>
      <c r="G208" t="n">
        <v>22.5</v>
      </c>
      <c r="H208" t="n">
        <v>27.1</v>
      </c>
      <c r="I208" s="8" t="n">
        <v>0.7723</v>
      </c>
      <c r="J208" s="8" t="n">
        <v>0.2277</v>
      </c>
      <c r="K208" t="inlineStr">
        <is>
          <t>Mirage / Ancient</t>
        </is>
      </c>
      <c r="L208" t="inlineStr">
        <is>
          <t>20.6 / 20.3</t>
        </is>
      </c>
      <c r="M208" t="n">
        <v>23.69</v>
      </c>
      <c r="N208" s="8" t="n">
        <v>0.8</v>
      </c>
      <c r="O208" s="12" t="n"/>
      <c r="P208">
        <f>IF(O208="","",IF(O208&gt;G208,"OVER",IF(O208&lt;G208,"UNDER","PUSH")))</f>
        <v/>
      </c>
      <c r="Q208" t="n">
        <v>24.61</v>
      </c>
      <c r="R208" s="8" t="n">
        <v>0.6401</v>
      </c>
      <c r="S208" t="n">
        <v>0.908</v>
      </c>
      <c r="T208" t="n">
        <v>25.75</v>
      </c>
      <c r="U208" t="n">
        <v>23.38</v>
      </c>
    </row>
    <row r="209">
      <c r="A209" t="inlineStr">
        <is>
          <t>2026-10-25 03:09</t>
        </is>
      </c>
      <c r="B209" t="inlineStr">
        <is>
          <t>2026-10-25</t>
        </is>
      </c>
      <c r="C209" t="inlineStr">
        <is>
          <t>CS2</t>
        </is>
      </c>
      <c r="D209" t="inlineStr">
        <is>
          <t>CS2 · VIT vs MGLZ</t>
        </is>
      </c>
      <c r="E209" t="inlineStr">
        <is>
          <t>910</t>
        </is>
      </c>
      <c r="F209" t="inlineStr">
        <is>
          <t>Maps 1-2 HS</t>
        </is>
      </c>
      <c r="G209" t="n">
        <v>11</v>
      </c>
      <c r="H209" t="n">
        <v>14.97</v>
      </c>
      <c r="I209" s="8" t="n">
        <v>0.7967</v>
      </c>
      <c r="J209" s="8" t="n">
        <v>0.1426</v>
      </c>
      <c r="K209" t="inlineStr">
        <is>
          <t>Dust2 / Mirage</t>
        </is>
      </c>
      <c r="L209" t="inlineStr">
        <is>
          <t>21.1 / 20.7</t>
        </is>
      </c>
      <c r="N209" s="8" t="n">
        <v>0.9</v>
      </c>
      <c r="O209" s="12" t="n"/>
      <c r="P209">
        <f>IF(O209="","",IF(O209&gt;G209,"OVER",IF(O209&lt;G209,"UNDER","PUSH")))</f>
        <v/>
      </c>
      <c r="Q209" t="n">
        <v>13.87</v>
      </c>
      <c r="R209" s="8" t="n">
        <v>0.7216</v>
      </c>
      <c r="S209" t="n">
        <v>0.9261</v>
      </c>
      <c r="T209" t="n">
        <v>12.75</v>
      </c>
      <c r="U209" t="n">
        <v>11.81</v>
      </c>
    </row>
    <row r="210">
      <c r="A210" t="inlineStr">
        <is>
          <t>2026-10-25 03:09</t>
        </is>
      </c>
      <c r="B210" t="inlineStr">
        <is>
          <t>2026-10-25</t>
        </is>
      </c>
      <c r="C210" t="inlineStr">
        <is>
          <t>CS2</t>
        </is>
      </c>
      <c r="D210" t="inlineStr">
        <is>
          <t>CS2 · VIT vs MGLZ</t>
        </is>
      </c>
      <c r="E210" t="inlineStr">
        <is>
          <t>910</t>
        </is>
      </c>
      <c r="F210" t="inlineStr">
        <is>
          <t>Maps 1-2 Kills</t>
        </is>
      </c>
      <c r="G210" t="n">
        <v>27.5</v>
      </c>
      <c r="H210" t="n">
        <v>35.21</v>
      </c>
      <c r="I210" s="8" t="n">
        <v>0.8638</v>
      </c>
      <c r="J210" s="8" t="n">
        <v>0.1362</v>
      </c>
      <c r="K210" t="inlineStr">
        <is>
          <t>Dust2 / Mirage</t>
        </is>
      </c>
      <c r="L210" t="inlineStr">
        <is>
          <t>21.1 / 20.7</t>
        </is>
      </c>
      <c r="M210" t="n">
        <v>29.77</v>
      </c>
      <c r="N210" s="8" t="n">
        <v>0.7</v>
      </c>
      <c r="O210" s="12" t="n"/>
      <c r="P210">
        <f>IF(O210="","",IF(O210&gt;G210,"OVER",IF(O210&lt;G210,"UNDER","PUSH")))</f>
        <v/>
      </c>
      <c r="Q210" t="n">
        <v>32.6</v>
      </c>
      <c r="R210" s="8" t="n">
        <v>0.775</v>
      </c>
      <c r="S210" t="n">
        <v>0.9261</v>
      </c>
      <c r="T210" t="n">
        <v>33.83</v>
      </c>
      <c r="U210" t="n">
        <v>31.32</v>
      </c>
    </row>
    <row r="211">
      <c r="A211" t="inlineStr">
        <is>
          <t>2026-10-25 03:09</t>
        </is>
      </c>
      <c r="B211" t="inlineStr">
        <is>
          <t>2026-10-25</t>
        </is>
      </c>
      <c r="C211" t="inlineStr">
        <is>
          <t>CS2</t>
        </is>
      </c>
      <c r="D211" t="inlineStr">
        <is>
          <t>CS2 · VIT vs MGLZ</t>
        </is>
      </c>
      <c r="E211" t="inlineStr">
        <is>
          <t>bLitz</t>
        </is>
      </c>
      <c r="F211" t="inlineStr">
        <is>
          <t>Maps 1-2 HS</t>
        </is>
      </c>
      <c r="G211" t="n">
        <v>11.5</v>
      </c>
      <c r="H211" t="n">
        <v>14.55</v>
      </c>
      <c r="I211" s="8" t="n">
        <v>0.7682</v>
      </c>
      <c r="J211" s="8" t="n">
        <v>0.2318</v>
      </c>
      <c r="K211" t="inlineStr">
        <is>
          <t>Dust2 / Mirage</t>
        </is>
      </c>
      <c r="L211" t="inlineStr">
        <is>
          <t>21.1 / 20.7</t>
        </is>
      </c>
      <c r="N211" s="8" t="n">
        <v>0.6</v>
      </c>
      <c r="O211" s="12" t="n"/>
      <c r="P211">
        <f>IF(O211="","",IF(O211&gt;G211,"OVER",IF(O211&lt;G211,"UNDER","PUSH")))</f>
        <v/>
      </c>
      <c r="Q211" t="n">
        <v>13.48</v>
      </c>
      <c r="R211" s="8" t="n">
        <v>0.6889999999999999</v>
      </c>
      <c r="S211" t="n">
        <v>0.9261</v>
      </c>
      <c r="T211" t="n">
        <v>13.13</v>
      </c>
      <c r="U211" t="n">
        <v>12.15</v>
      </c>
    </row>
    <row r="212">
      <c r="A212" t="inlineStr">
        <is>
          <t>2026-10-25 03:09</t>
        </is>
      </c>
      <c r="B212" t="inlineStr">
        <is>
          <t>2026-10-25</t>
        </is>
      </c>
      <c r="C212" t="inlineStr">
        <is>
          <t>CS2</t>
        </is>
      </c>
      <c r="D212" t="inlineStr">
        <is>
          <t>CS2 · VIT vs MGLZ</t>
        </is>
      </c>
      <c r="E212" t="inlineStr">
        <is>
          <t>bLitz</t>
        </is>
      </c>
      <c r="F212" t="inlineStr">
        <is>
          <t>Maps 1-2 Kills</t>
        </is>
      </c>
      <c r="G212" t="n">
        <v>25</v>
      </c>
      <c r="H212" t="n">
        <v>30.27</v>
      </c>
      <c r="I212" s="8" t="n">
        <v>0.7681</v>
      </c>
      <c r="J212" s="8" t="n">
        <v>0.1878</v>
      </c>
      <c r="K212" t="inlineStr">
        <is>
          <t>Dust2 / Mirage</t>
        </is>
      </c>
      <c r="L212" t="inlineStr">
        <is>
          <t>21.1 / 20.7</t>
        </is>
      </c>
      <c r="M212" t="n">
        <v>25.46</v>
      </c>
      <c r="N212" s="8" t="n">
        <v>0.6</v>
      </c>
      <c r="O212" s="12" t="n"/>
      <c r="P212">
        <f>IF(O212="","",IF(O212&gt;G212,"OVER",IF(O212&lt;G212,"UNDER","PUSH")))</f>
        <v/>
      </c>
      <c r="Q212" t="n">
        <v>28.03</v>
      </c>
      <c r="R212" s="8" t="n">
        <v>0.6569</v>
      </c>
      <c r="S212" t="n">
        <v>0.9261</v>
      </c>
      <c r="T212" t="n">
        <v>29.23</v>
      </c>
      <c r="U212" t="n">
        <v>27.07</v>
      </c>
    </row>
    <row r="213">
      <c r="A213" t="inlineStr">
        <is>
          <t>2026-10-25 03:09</t>
        </is>
      </c>
      <c r="B213" t="inlineStr">
        <is>
          <t>2026-10-25</t>
        </is>
      </c>
      <c r="C213" t="inlineStr">
        <is>
          <t>CS2</t>
        </is>
      </c>
      <c r="D213" t="inlineStr">
        <is>
          <t>CS2 · VIT vs MGLZ</t>
        </is>
      </c>
      <c r="E213" t="inlineStr">
        <is>
          <t>cobrazera</t>
        </is>
      </c>
      <c r="F213" t="inlineStr">
        <is>
          <t>Maps 1-2 HS</t>
        </is>
      </c>
      <c r="G213" t="n">
        <v>14</v>
      </c>
      <c r="H213" t="n">
        <v>16.48</v>
      </c>
      <c r="I213" s="8" t="n">
        <v>0.6686</v>
      </c>
      <c r="J213" s="8" t="n">
        <v>0.2557</v>
      </c>
      <c r="K213" t="inlineStr">
        <is>
          <t>Dust2 / Mirage</t>
        </is>
      </c>
      <c r="L213" t="inlineStr">
        <is>
          <t>21.1 / 20.7</t>
        </is>
      </c>
      <c r="N213" s="8" t="n">
        <v>0.9</v>
      </c>
      <c r="O213" s="12" t="n"/>
      <c r="P213">
        <f>IF(O213="","",IF(O213&gt;G213,"OVER",IF(O213&lt;G213,"UNDER","PUSH")))</f>
        <v/>
      </c>
      <c r="Q213" t="n">
        <v>15.26</v>
      </c>
      <c r="R213" s="8" t="n">
        <v>0.569</v>
      </c>
      <c r="S213" t="n">
        <v>0.9261</v>
      </c>
      <c r="T213" t="n">
        <v>17.12</v>
      </c>
      <c r="U213" t="n">
        <v>15.85</v>
      </c>
    </row>
    <row r="214">
      <c r="A214" t="inlineStr">
        <is>
          <t>2026-10-25 03:09</t>
        </is>
      </c>
      <c r="B214" t="inlineStr">
        <is>
          <t>2026-10-25</t>
        </is>
      </c>
      <c r="C214" t="inlineStr">
        <is>
          <t>CS2</t>
        </is>
      </c>
      <c r="D214" t="inlineStr">
        <is>
          <t>CS2 · VIT vs MGLZ</t>
        </is>
      </c>
      <c r="E214" t="inlineStr">
        <is>
          <t>cobrazera</t>
        </is>
      </c>
      <c r="F214" t="inlineStr">
        <is>
          <t>Maps 1-2 Kills</t>
        </is>
      </c>
      <c r="G214" t="n">
        <v>23.5</v>
      </c>
      <c r="H214" t="n">
        <v>26.67</v>
      </c>
      <c r="I214" s="8" t="n">
        <v>0.698</v>
      </c>
      <c r="J214" s="8" t="n">
        <v>0.302</v>
      </c>
      <c r="K214" t="inlineStr">
        <is>
          <t>Dust2 / Mirage</t>
        </is>
      </c>
      <c r="L214" t="inlineStr">
        <is>
          <t>21.1 / 20.7</t>
        </is>
      </c>
      <c r="M214" t="n">
        <v>25.6</v>
      </c>
      <c r="N214" s="8" t="n">
        <v>0.7</v>
      </c>
      <c r="O214" s="12" t="n"/>
      <c r="P214">
        <f>IF(O214="","",IF(O214&gt;G214,"OVER",IF(O214&lt;G214,"UNDER","PUSH")))</f>
        <v/>
      </c>
      <c r="Q214" t="n">
        <v>24.7</v>
      </c>
      <c r="R214" s="8" t="n">
        <v>0.5807</v>
      </c>
      <c r="S214" t="n">
        <v>0.9261</v>
      </c>
      <c r="T214" t="n">
        <v>28.81</v>
      </c>
      <c r="U214" t="n">
        <v>26.68</v>
      </c>
    </row>
    <row r="215">
      <c r="A215" t="inlineStr">
        <is>
          <t>2026-10-25 03:09</t>
        </is>
      </c>
      <c r="B215" t="inlineStr">
        <is>
          <t>2026-10-25</t>
        </is>
      </c>
      <c r="C215" t="inlineStr">
        <is>
          <t>CS2</t>
        </is>
      </c>
      <c r="D215" t="inlineStr">
        <is>
          <t>CS2 · VIT vs MGLZ</t>
        </is>
      </c>
      <c r="E215" t="inlineStr">
        <is>
          <t>nin9</t>
        </is>
      </c>
      <c r="F215" t="inlineStr">
        <is>
          <t>Maps 1-2 HS</t>
        </is>
      </c>
      <c r="G215" t="n">
        <v>13.5</v>
      </c>
      <c r="H215" t="n">
        <v>15.8</v>
      </c>
      <c r="I215" s="8" t="n">
        <v>0.6997</v>
      </c>
      <c r="J215" s="8" t="n">
        <v>0.3003</v>
      </c>
      <c r="K215" t="inlineStr">
        <is>
          <t>Dust2 / Mirage</t>
        </is>
      </c>
      <c r="L215" t="inlineStr">
        <is>
          <t>21.1 / 20.7</t>
        </is>
      </c>
      <c r="N215" s="8" t="n">
        <v>0.6</v>
      </c>
      <c r="O215" s="12" t="n"/>
      <c r="P215">
        <f>IF(O215="","",IF(O215&gt;G215,"OVER",IF(O215&lt;G215,"UNDER","PUSH")))</f>
        <v/>
      </c>
      <c r="Q215" t="n">
        <v>14.63</v>
      </c>
      <c r="R215" s="8" t="n">
        <v>0.6057</v>
      </c>
      <c r="S215" t="n">
        <v>0.9261</v>
      </c>
      <c r="T215" t="n">
        <v>15.58</v>
      </c>
      <c r="U215" t="n">
        <v>14.43</v>
      </c>
    </row>
    <row r="216">
      <c r="A216" t="inlineStr">
        <is>
          <t>2026-10-25 03:09</t>
        </is>
      </c>
      <c r="B216" t="inlineStr">
        <is>
          <t>2026-10-25</t>
        </is>
      </c>
      <c r="C216" t="inlineStr">
        <is>
          <t>CS2</t>
        </is>
      </c>
      <c r="D216" t="inlineStr">
        <is>
          <t>CS2 · VIT vs MGLZ</t>
        </is>
      </c>
      <c r="E216" t="inlineStr">
        <is>
          <t>nin9</t>
        </is>
      </c>
      <c r="F216" t="inlineStr">
        <is>
          <t>Maps 1-2 Kills</t>
        </is>
      </c>
      <c r="G216" t="n">
        <v>23.5</v>
      </c>
      <c r="H216" t="n">
        <v>28.11</v>
      </c>
      <c r="I216" s="8" t="n">
        <v>0.7688</v>
      </c>
      <c r="J216" s="8" t="n">
        <v>0.2312</v>
      </c>
      <c r="K216" t="inlineStr">
        <is>
          <t>Dust2 / Mirage</t>
        </is>
      </c>
      <c r="L216" t="inlineStr">
        <is>
          <t>21.1 / 20.7</t>
        </is>
      </c>
      <c r="M216" t="n">
        <v>24.54</v>
      </c>
      <c r="N216" s="8" t="n">
        <v>0.7</v>
      </c>
      <c r="O216" s="12" t="n"/>
      <c r="P216">
        <f>IF(O216="","",IF(O216&gt;G216,"OVER",IF(O216&lt;G216,"UNDER","PUSH")))</f>
        <v/>
      </c>
      <c r="Q216" t="n">
        <v>26.03</v>
      </c>
      <c r="R216" s="8" t="n">
        <v>0.6625</v>
      </c>
      <c r="S216" t="n">
        <v>0.9261</v>
      </c>
      <c r="T216" t="n">
        <v>27.98</v>
      </c>
      <c r="U216" t="n">
        <v>25.91</v>
      </c>
    </row>
    <row r="217">
      <c r="A217" t="inlineStr">
        <is>
          <t>2026-10-25 03:09</t>
        </is>
      </c>
      <c r="B217" t="inlineStr">
        <is>
          <t>2026-10-25</t>
        </is>
      </c>
      <c r="C217" t="inlineStr">
        <is>
          <t>CS2</t>
        </is>
      </c>
      <c r="D217" t="inlineStr">
        <is>
          <t>CS2 · VIT vs MGLZ</t>
        </is>
      </c>
      <c r="E217" t="inlineStr">
        <is>
          <t>Techno</t>
        </is>
      </c>
      <c r="F217" t="inlineStr">
        <is>
          <t>Maps 1-2 HS</t>
        </is>
      </c>
      <c r="G217" t="n">
        <v>14</v>
      </c>
      <c r="H217" t="n">
        <v>15.49</v>
      </c>
      <c r="I217" s="8" t="n">
        <v>0.5881</v>
      </c>
      <c r="J217" s="8" t="n">
        <v>0.3269</v>
      </c>
      <c r="K217" t="inlineStr">
        <is>
          <t>Dust2 / Mirage</t>
        </is>
      </c>
      <c r="L217" t="inlineStr">
        <is>
          <t>21.1 / 20.7</t>
        </is>
      </c>
      <c r="N217" s="8" t="n">
        <v>0.8</v>
      </c>
      <c r="O217" s="12" t="n"/>
      <c r="P217">
        <f>IF(O217="","",IF(O217&gt;G217,"OVER",IF(O217&lt;G217,"UNDER","PUSH")))</f>
        <v/>
      </c>
      <c r="Q217" t="n">
        <v>14.34</v>
      </c>
      <c r="R217" s="8" t="n">
        <v>0.485</v>
      </c>
      <c r="S217" t="n">
        <v>0.9261</v>
      </c>
      <c r="T217" t="n">
        <v>15.09</v>
      </c>
      <c r="U217" t="n">
        <v>13.98</v>
      </c>
    </row>
    <row r="218">
      <c r="A218" t="inlineStr">
        <is>
          <t>2026-10-25 03:09</t>
        </is>
      </c>
      <c r="B218" t="inlineStr">
        <is>
          <t>2026-10-25</t>
        </is>
      </c>
      <c r="C218" t="inlineStr">
        <is>
          <t>CS2</t>
        </is>
      </c>
      <c r="D218" t="inlineStr">
        <is>
          <t>CS2 · VIT vs MGLZ</t>
        </is>
      </c>
      <c r="E218" t="inlineStr">
        <is>
          <t>Techno</t>
        </is>
      </c>
      <c r="F218" t="inlineStr">
        <is>
          <t>Maps 1-2 Kills</t>
        </is>
      </c>
      <c r="G218" t="n">
        <v>22.5</v>
      </c>
      <c r="H218" t="n">
        <v>23.39</v>
      </c>
      <c r="I218" s="8" t="n">
        <v>0.5616</v>
      </c>
      <c r="J218" s="8" t="n">
        <v>0.4384</v>
      </c>
      <c r="K218" t="inlineStr">
        <is>
          <t>Dust2 / Mirage</t>
        </is>
      </c>
      <c r="L218" t="inlineStr">
        <is>
          <t>21.1 / 20.7</t>
        </is>
      </c>
      <c r="M218" t="n">
        <v>23</v>
      </c>
      <c r="N218" s="8" t="n">
        <v>0.6</v>
      </c>
      <c r="O218" s="12" t="n"/>
      <c r="P218">
        <f>IF(O218="","",IF(O218&gt;G218,"OVER",IF(O218&lt;G218,"UNDER","PUSH")))</f>
        <v/>
      </c>
      <c r="Q218" t="n">
        <v>21.66</v>
      </c>
      <c r="R218" s="8" t="n">
        <v>0.4392</v>
      </c>
      <c r="S218" t="n">
        <v>0.9261</v>
      </c>
      <c r="T218" t="n">
        <v>23.8</v>
      </c>
      <c r="U218" t="n">
        <v>22.04</v>
      </c>
    </row>
    <row r="219">
      <c r="A219" t="inlineStr">
        <is>
          <t>2026-10-25 03:09</t>
        </is>
      </c>
      <c r="B219" t="inlineStr">
        <is>
          <t>2026-10-25</t>
        </is>
      </c>
      <c r="C219" t="inlineStr">
        <is>
          <t>CS2</t>
        </is>
      </c>
      <c r="D219" t="inlineStr">
        <is>
          <t>CS2 · VIT vs MGLZ</t>
        </is>
      </c>
      <c r="E219" t="inlineStr">
        <is>
          <t>flameZ</t>
        </is>
      </c>
      <c r="F219" t="inlineStr">
        <is>
          <t>Maps 1-2 HS</t>
        </is>
      </c>
      <c r="G219" t="n">
        <v>16</v>
      </c>
      <c r="H219" t="n">
        <v>16.05</v>
      </c>
      <c r="I219" s="8" t="n">
        <v>0.4594</v>
      </c>
      <c r="J219" s="8" t="n">
        <v>0.4505</v>
      </c>
      <c r="K219" t="inlineStr">
        <is>
          <t>Dust2 / Mirage</t>
        </is>
      </c>
      <c r="L219" t="inlineStr">
        <is>
          <t>21.1 / 20.7</t>
        </is>
      </c>
      <c r="N219" s="8" t="n">
        <v>0.6</v>
      </c>
      <c r="O219" s="12" t="n"/>
      <c r="P219">
        <f>IF(O219="","",IF(O219&gt;G219,"OVER",IF(O219&lt;G219,"UNDER","PUSH")))</f>
        <v/>
      </c>
      <c r="Q219" t="n">
        <v>16.06</v>
      </c>
      <c r="R219" s="8" t="n">
        <v>0.4602</v>
      </c>
      <c r="S219" t="n">
        <v>1.0006</v>
      </c>
      <c r="T219" t="n">
        <v>15.73</v>
      </c>
      <c r="U219" t="n">
        <v>15.74</v>
      </c>
    </row>
    <row r="220">
      <c r="A220" t="inlineStr">
        <is>
          <t>2026-10-25 03:09</t>
        </is>
      </c>
      <c r="B220" t="inlineStr">
        <is>
          <t>2026-10-25</t>
        </is>
      </c>
      <c r="C220" t="inlineStr">
        <is>
          <t>CS2</t>
        </is>
      </c>
      <c r="D220" t="inlineStr">
        <is>
          <t>CS2 · VIT vs MGLZ</t>
        </is>
      </c>
      <c r="E220" t="inlineStr">
        <is>
          <t>flameZ</t>
        </is>
      </c>
      <c r="F220" t="inlineStr">
        <is>
          <t>Maps 1-2 Kills</t>
        </is>
      </c>
      <c r="G220" t="n">
        <v>30</v>
      </c>
      <c r="H220" t="n">
        <v>29.75</v>
      </c>
      <c r="I220" s="8" t="n">
        <v>0.454</v>
      </c>
      <c r="J220" s="8" t="n">
        <v>0.4843</v>
      </c>
      <c r="K220" t="inlineStr">
        <is>
          <t>Dust2 / Mirage</t>
        </is>
      </c>
      <c r="L220" t="inlineStr">
        <is>
          <t>21.1 / 20.7</t>
        </is>
      </c>
      <c r="M220" t="n">
        <v>30.82</v>
      </c>
      <c r="N220" s="8" t="n">
        <v>0.4</v>
      </c>
      <c r="O220" s="12" t="n"/>
      <c r="P220">
        <f>IF(O220="","",IF(O220&gt;G220,"OVER",IF(O220&lt;G220,"UNDER","PUSH")))</f>
        <v/>
      </c>
      <c r="Q220" t="n">
        <v>29.77</v>
      </c>
      <c r="R220" s="8" t="n">
        <v>0.4551</v>
      </c>
      <c r="S220" t="n">
        <v>1.0006</v>
      </c>
      <c r="T220" t="n">
        <v>28.81</v>
      </c>
      <c r="U220" t="n">
        <v>28.83</v>
      </c>
    </row>
    <row r="221">
      <c r="A221" t="inlineStr">
        <is>
          <t>2026-10-25 03:09</t>
        </is>
      </c>
      <c r="B221" t="inlineStr">
        <is>
          <t>2026-10-25</t>
        </is>
      </c>
      <c r="C221" t="inlineStr">
        <is>
          <t>CS2</t>
        </is>
      </c>
      <c r="D221" t="inlineStr">
        <is>
          <t>CS2 · VIT vs MGLZ</t>
        </is>
      </c>
      <c r="E221" t="inlineStr">
        <is>
          <t>jL</t>
        </is>
      </c>
      <c r="F221" t="inlineStr">
        <is>
          <t>Maps 1-2 HS</t>
        </is>
      </c>
      <c r="G221" t="n">
        <v>14</v>
      </c>
      <c r="H221" t="n">
        <v>16.21</v>
      </c>
      <c r="I221" s="8" t="n">
        <v>0.6492</v>
      </c>
      <c r="J221" s="8" t="n">
        <v>0.2718</v>
      </c>
      <c r="K221" t="inlineStr">
        <is>
          <t>Dust2 / Mirage</t>
        </is>
      </c>
      <c r="L221" t="inlineStr">
        <is>
          <t>21.1 / 20.7</t>
        </is>
      </c>
      <c r="N221" s="8" t="n">
        <v>0.6</v>
      </c>
      <c r="O221" s="12" t="n"/>
      <c r="P221">
        <f>IF(O221="","",IF(O221&gt;G221,"OVER",IF(O221&lt;G221,"UNDER","PUSH")))</f>
        <v/>
      </c>
      <c r="Q221" t="n">
        <v>16.22</v>
      </c>
      <c r="R221" s="8" t="n">
        <v>0.6499</v>
      </c>
      <c r="S221" t="n">
        <v>1.0006</v>
      </c>
      <c r="T221" t="n">
        <v>14.96</v>
      </c>
      <c r="U221" t="n">
        <v>14.97</v>
      </c>
    </row>
    <row r="222">
      <c r="A222" t="inlineStr">
        <is>
          <t>2026-10-25 03:09</t>
        </is>
      </c>
      <c r="B222" t="inlineStr">
        <is>
          <t>2026-10-25</t>
        </is>
      </c>
      <c r="C222" t="inlineStr">
        <is>
          <t>CS2</t>
        </is>
      </c>
      <c r="D222" t="inlineStr">
        <is>
          <t>CS2 · VIT vs MGLZ</t>
        </is>
      </c>
      <c r="E222" t="inlineStr">
        <is>
          <t>jL</t>
        </is>
      </c>
      <c r="F222" t="inlineStr">
        <is>
          <t>Maps 1-2 Kills</t>
        </is>
      </c>
      <c r="G222" t="n">
        <v>27</v>
      </c>
      <c r="H222" t="n">
        <v>28.57</v>
      </c>
      <c r="I222" s="8" t="n">
        <v>0.5672</v>
      </c>
      <c r="J222" s="8" t="n">
        <v>0.3717</v>
      </c>
      <c r="K222" t="inlineStr">
        <is>
          <t>Dust2 / Mirage</t>
        </is>
      </c>
      <c r="L222" t="inlineStr">
        <is>
          <t>21.1 / 20.7</t>
        </is>
      </c>
      <c r="M222" t="n">
        <v>29</v>
      </c>
      <c r="N222" s="8" t="n">
        <v>0.7</v>
      </c>
      <c r="O222" s="12" t="n"/>
      <c r="P222">
        <f>IF(O222="","",IF(O222&gt;G222,"OVER",IF(O222&lt;G222,"UNDER","PUSH")))</f>
        <v/>
      </c>
      <c r="Q222" t="n">
        <v>28.59</v>
      </c>
      <c r="R222" s="8" t="n">
        <v>0.5682</v>
      </c>
      <c r="S222" t="n">
        <v>1.0006</v>
      </c>
      <c r="T222" t="n">
        <v>27.14</v>
      </c>
      <c r="U222" t="n">
        <v>27.16</v>
      </c>
    </row>
    <row r="223">
      <c r="A223" t="inlineStr">
        <is>
          <t>2026-10-25 03:09</t>
        </is>
      </c>
      <c r="B223" t="inlineStr">
        <is>
          <t>2026-10-25</t>
        </is>
      </c>
      <c r="C223" t="inlineStr">
        <is>
          <t>CS2</t>
        </is>
      </c>
      <c r="D223" t="inlineStr">
        <is>
          <t>CS2 · VIT vs MGLZ</t>
        </is>
      </c>
      <c r="E223" t="inlineStr">
        <is>
          <t>mezii</t>
        </is>
      </c>
      <c r="F223" t="inlineStr">
        <is>
          <t>Maps 1-2 HS</t>
        </is>
      </c>
      <c r="G223" t="n">
        <v>15.5</v>
      </c>
      <c r="H223" t="n">
        <v>16.92</v>
      </c>
      <c r="I223" s="8" t="n">
        <v>0.6215000000000001</v>
      </c>
      <c r="J223" s="8" t="n">
        <v>0.3785</v>
      </c>
      <c r="K223" t="inlineStr">
        <is>
          <t>Dust2 / Mirage</t>
        </is>
      </c>
      <c r="L223" t="inlineStr">
        <is>
          <t>21.1 / 20.7</t>
        </is>
      </c>
      <c r="N223" s="8" t="n">
        <v>0.2</v>
      </c>
      <c r="O223" s="12" t="n"/>
      <c r="P223">
        <f>IF(O223="","",IF(O223&gt;G223,"OVER",IF(O223&lt;G223,"UNDER","PUSH")))</f>
        <v/>
      </c>
      <c r="Q223" t="n">
        <v>16.93</v>
      </c>
      <c r="R223" s="8" t="n">
        <v>0.6223</v>
      </c>
      <c r="S223" t="n">
        <v>1.0006</v>
      </c>
      <c r="T223" t="n">
        <v>15.5</v>
      </c>
      <c r="U223" t="n">
        <v>15.51</v>
      </c>
    </row>
    <row r="224">
      <c r="A224" t="inlineStr">
        <is>
          <t>2026-10-25 03:09</t>
        </is>
      </c>
      <c r="B224" t="inlineStr">
        <is>
          <t>2026-10-25</t>
        </is>
      </c>
      <c r="C224" t="inlineStr">
        <is>
          <t>CS2</t>
        </is>
      </c>
      <c r="D224" t="inlineStr">
        <is>
          <t>CS2 · VIT vs MGLZ</t>
        </is>
      </c>
      <c r="E224" t="inlineStr">
        <is>
          <t>mezii</t>
        </is>
      </c>
      <c r="F224" t="inlineStr">
        <is>
          <t>Maps 1-2 Kills</t>
        </is>
      </c>
      <c r="G224" t="n">
        <v>26.5</v>
      </c>
      <c r="H224" t="n">
        <v>28</v>
      </c>
      <c r="I224" s="8" t="n">
        <v>0.5948</v>
      </c>
      <c r="J224" s="8" t="n">
        <v>0.4052</v>
      </c>
      <c r="K224" t="inlineStr">
        <is>
          <t>Dust2 / Mirage</t>
        </is>
      </c>
      <c r="L224" t="inlineStr">
        <is>
          <t>21.1 / 20.7</t>
        </is>
      </c>
      <c r="M224" t="n">
        <v>26.2</v>
      </c>
      <c r="N224" s="8" t="n">
        <v>0.2</v>
      </c>
      <c r="O224" s="12" t="n"/>
      <c r="P224">
        <f>IF(O224="","",IF(O224&gt;G224,"OVER",IF(O224&lt;G224,"UNDER","PUSH")))</f>
        <v/>
      </c>
      <c r="Q224" t="n">
        <v>28.02</v>
      </c>
      <c r="R224" s="8" t="n">
        <v>0.5958</v>
      </c>
      <c r="S224" t="n">
        <v>1.0006</v>
      </c>
      <c r="T224" t="n">
        <v>26.73</v>
      </c>
      <c r="U224" t="n">
        <v>26.74</v>
      </c>
    </row>
    <row r="225">
      <c r="A225" t="inlineStr">
        <is>
          <t>2026-10-25 03:09</t>
        </is>
      </c>
      <c r="B225" t="inlineStr">
        <is>
          <t>2026-10-25</t>
        </is>
      </c>
      <c r="C225" t="inlineStr">
        <is>
          <t>CS2</t>
        </is>
      </c>
      <c r="D225" t="inlineStr">
        <is>
          <t>CS2 · VIT vs MGLZ</t>
        </is>
      </c>
      <c r="E225" t="inlineStr">
        <is>
          <t>ropz</t>
        </is>
      </c>
      <c r="F225" t="inlineStr">
        <is>
          <t>Maps 1-2 HS</t>
        </is>
      </c>
      <c r="G225" t="n">
        <v>15.5</v>
      </c>
      <c r="H225" t="n">
        <v>16.99</v>
      </c>
      <c r="I225" s="8" t="n">
        <v>0.6282</v>
      </c>
      <c r="J225" s="8" t="n">
        <v>0.3718</v>
      </c>
      <c r="K225" t="inlineStr">
        <is>
          <t>Dust2 / Mirage</t>
        </is>
      </c>
      <c r="L225" t="inlineStr">
        <is>
          <t>21.1 / 20.7</t>
        </is>
      </c>
      <c r="N225" s="8" t="n">
        <v>0.7</v>
      </c>
      <c r="O225" s="12" t="n"/>
      <c r="P225">
        <f>IF(O225="","",IF(O225&gt;G225,"OVER",IF(O225&lt;G225,"UNDER","PUSH")))</f>
        <v/>
      </c>
      <c r="Q225" t="n">
        <v>17</v>
      </c>
      <c r="R225" s="8" t="n">
        <v>0.6289</v>
      </c>
      <c r="S225" t="n">
        <v>1.0006</v>
      </c>
      <c r="T225" t="n">
        <v>16.34</v>
      </c>
      <c r="U225" t="n">
        <v>16.35</v>
      </c>
    </row>
    <row r="226">
      <c r="A226" t="inlineStr">
        <is>
          <t>2026-10-25 03:09</t>
        </is>
      </c>
      <c r="B226" t="inlineStr">
        <is>
          <t>2026-10-25</t>
        </is>
      </c>
      <c r="C226" t="inlineStr">
        <is>
          <t>CS2</t>
        </is>
      </c>
      <c r="D226" t="inlineStr">
        <is>
          <t>CS2 · VIT vs MGLZ</t>
        </is>
      </c>
      <c r="E226" t="inlineStr">
        <is>
          <t>ropz</t>
        </is>
      </c>
      <c r="F226" t="inlineStr">
        <is>
          <t>Maps 1-2 Kills</t>
        </is>
      </c>
      <c r="G226" t="n">
        <v>30.5</v>
      </c>
      <c r="H226" t="n">
        <v>31.38</v>
      </c>
      <c r="I226" s="8" t="n">
        <v>0.5531</v>
      </c>
      <c r="J226" s="8" t="n">
        <v>0.4469</v>
      </c>
      <c r="K226" t="inlineStr">
        <is>
          <t>Dust2 / Mirage</t>
        </is>
      </c>
      <c r="L226" t="inlineStr">
        <is>
          <t>21.1 / 20.7</t>
        </is>
      </c>
      <c r="M226" t="n">
        <v>31.08</v>
      </c>
      <c r="N226" s="8" t="n">
        <v>0.2</v>
      </c>
      <c r="O226" s="12" t="n"/>
      <c r="P226">
        <f>IF(O226="","",IF(O226&gt;G226,"OVER",IF(O226&lt;G226,"UNDER","PUSH")))</f>
        <v/>
      </c>
      <c r="Q226" t="n">
        <v>31.4</v>
      </c>
      <c r="R226" s="8" t="n">
        <v>0.5542</v>
      </c>
      <c r="S226" t="n">
        <v>1.0006</v>
      </c>
      <c r="T226" t="n">
        <v>30.48</v>
      </c>
      <c r="U226" t="n">
        <v>30.5</v>
      </c>
    </row>
    <row r="227">
      <c r="A227" t="inlineStr">
        <is>
          <t>2026-10-25 03:09</t>
        </is>
      </c>
      <c r="B227" t="inlineStr">
        <is>
          <t>2026-10-25</t>
        </is>
      </c>
      <c r="C227" t="inlineStr">
        <is>
          <t>CS2</t>
        </is>
      </c>
      <c r="D227" t="inlineStr">
        <is>
          <t>CS2 · VIT vs MGLZ</t>
        </is>
      </c>
      <c r="E227" t="inlineStr">
        <is>
          <t>ZywOo</t>
        </is>
      </c>
      <c r="F227" t="inlineStr">
        <is>
          <t>Maps 1-2 HS</t>
        </is>
      </c>
      <c r="G227" t="n">
        <v>14.5</v>
      </c>
      <c r="H227" t="n">
        <v>13.84</v>
      </c>
      <c r="I227" s="8" t="n">
        <v>0.4347</v>
      </c>
      <c r="J227" s="8" t="n">
        <v>0.5653</v>
      </c>
      <c r="K227" t="inlineStr">
        <is>
          <t>Dust2 / Mirage</t>
        </is>
      </c>
      <c r="L227" t="inlineStr">
        <is>
          <t>21.1 / 20.7</t>
        </is>
      </c>
      <c r="N227" s="8" t="n">
        <v>0.6</v>
      </c>
      <c r="O227" s="12" t="n"/>
      <c r="P227">
        <f>IF(O227="","",IF(O227&gt;G227,"OVER",IF(O227&lt;G227,"UNDER","PUSH")))</f>
        <v/>
      </c>
      <c r="Q227" t="n">
        <v>13.85</v>
      </c>
      <c r="R227" s="8" t="n">
        <v>0.4355</v>
      </c>
      <c r="S227" t="n">
        <v>1.0006</v>
      </c>
      <c r="T227" t="n">
        <v>15.01</v>
      </c>
      <c r="U227" t="n">
        <v>15.02</v>
      </c>
    </row>
    <row r="228">
      <c r="A228" t="inlineStr">
        <is>
          <t>2026-10-25 03:09</t>
        </is>
      </c>
      <c r="B228" t="inlineStr">
        <is>
          <t>2026-10-25</t>
        </is>
      </c>
      <c r="C228" t="inlineStr">
        <is>
          <t>CS2</t>
        </is>
      </c>
      <c r="D228" t="inlineStr">
        <is>
          <t>CS2 · VIT vs MGLZ</t>
        </is>
      </c>
      <c r="E228" t="inlineStr">
        <is>
          <t>ZywOo</t>
        </is>
      </c>
      <c r="F228" t="inlineStr">
        <is>
          <t>Maps 1-2 Kills</t>
        </is>
      </c>
      <c r="G228" t="n">
        <v>35.5</v>
      </c>
      <c r="H228" t="n">
        <v>36.55</v>
      </c>
      <c r="I228" s="8" t="n">
        <v>0.5582</v>
      </c>
      <c r="J228" s="8" t="n">
        <v>0.4418</v>
      </c>
      <c r="K228" t="inlineStr">
        <is>
          <t>Dust2 / Mirage</t>
        </is>
      </c>
      <c r="L228" t="inlineStr">
        <is>
          <t>21.1 / 20.7</t>
        </is>
      </c>
      <c r="M228" t="n">
        <v>37</v>
      </c>
      <c r="N228" s="8" t="n">
        <v>0.4</v>
      </c>
      <c r="O228" s="12" t="n"/>
      <c r="P228">
        <f>IF(O228="","",IF(O228&gt;G228,"OVER",IF(O228&lt;G228,"UNDER","PUSH")))</f>
        <v/>
      </c>
      <c r="Q228" t="n">
        <v>36.57</v>
      </c>
      <c r="R228" s="8" t="n">
        <v>0.5593</v>
      </c>
      <c r="S228" t="n">
        <v>1.0006</v>
      </c>
      <c r="T228" t="n">
        <v>35.5</v>
      </c>
      <c r="U228" t="n">
        <v>35.52</v>
      </c>
    </row>
    <row r="229">
      <c r="A229" t="inlineStr">
        <is>
          <t>2026-10-25 03:09</t>
        </is>
      </c>
      <c r="B229" t="inlineStr">
        <is>
          <t>2026-10-25</t>
        </is>
      </c>
      <c r="C229" t="inlineStr">
        <is>
          <t>CS2</t>
        </is>
      </c>
      <c r="D229" t="inlineStr">
        <is>
          <t>CS2 · paiN vs BST</t>
        </is>
      </c>
      <c r="E229" t="inlineStr">
        <is>
          <t>Buda</t>
        </is>
      </c>
      <c r="F229" t="inlineStr">
        <is>
          <t>Maps 1-2 HS</t>
        </is>
      </c>
      <c r="G229" t="n">
        <v>14.5</v>
      </c>
      <c r="H229" t="n">
        <v>13.91</v>
      </c>
      <c r="I229" s="8" t="n">
        <v>0.4423</v>
      </c>
      <c r="J229" s="8" t="n">
        <v>0.5577</v>
      </c>
      <c r="K229" t="inlineStr">
        <is>
          <t>Dust2 / Mirage</t>
        </is>
      </c>
      <c r="L229" t="inlineStr">
        <is>
          <t>21.5 / 21.5</t>
        </is>
      </c>
      <c r="N229" s="8" t="n">
        <v>0.5</v>
      </c>
      <c r="O229" s="12" t="n"/>
      <c r="P229">
        <f>IF(O229="","",IF(O229&gt;G229,"OVER",IF(O229&lt;G229,"UNDER","PUSH")))</f>
        <v/>
      </c>
      <c r="Q229" t="n">
        <v>13.91</v>
      </c>
      <c r="R229" s="8" t="n">
        <v>0.4425</v>
      </c>
      <c r="S229" t="n">
        <v>1.0002</v>
      </c>
      <c r="T229" t="n">
        <v>13.33</v>
      </c>
      <c r="U229" t="n">
        <v>13.33</v>
      </c>
    </row>
    <row r="230">
      <c r="A230" t="inlineStr">
        <is>
          <t>2026-10-25 03:09</t>
        </is>
      </c>
      <c r="B230" t="inlineStr">
        <is>
          <t>2026-10-25</t>
        </is>
      </c>
      <c r="C230" t="inlineStr">
        <is>
          <t>CS2</t>
        </is>
      </c>
      <c r="D230" t="inlineStr">
        <is>
          <t>CS2 · paiN vs BST</t>
        </is>
      </c>
      <c r="E230" t="inlineStr">
        <is>
          <t>Buda</t>
        </is>
      </c>
      <c r="F230" t="inlineStr">
        <is>
          <t>Maps 1-2 Kills</t>
        </is>
      </c>
      <c r="G230" t="n">
        <v>29</v>
      </c>
      <c r="H230" t="n">
        <v>27.59</v>
      </c>
      <c r="I230" s="8" t="n">
        <v>0.3794</v>
      </c>
      <c r="J230" s="8" t="n">
        <v>0.5581</v>
      </c>
      <c r="K230" t="inlineStr">
        <is>
          <t>Dust2 / Mirage</t>
        </is>
      </c>
      <c r="L230" t="inlineStr">
        <is>
          <t>21.5 / 21.5</t>
        </is>
      </c>
      <c r="N230" s="8" t="n">
        <v>0.5</v>
      </c>
      <c r="O230" s="12" t="n"/>
      <c r="P230">
        <f>IF(O230="","",IF(O230&gt;G230,"OVER",IF(O230&lt;G230,"UNDER","PUSH")))</f>
        <v/>
      </c>
      <c r="Q230" t="n">
        <v>27.6</v>
      </c>
      <c r="R230" s="8" t="n">
        <v>0.38</v>
      </c>
      <c r="S230" t="n">
        <v>1.0004</v>
      </c>
      <c r="T230" t="n">
        <v>27.09</v>
      </c>
      <c r="U230" t="n">
        <v>27.1</v>
      </c>
    </row>
    <row r="231">
      <c r="A231" t="inlineStr">
        <is>
          <t>2026-10-25 03:09</t>
        </is>
      </c>
      <c r="B231" t="inlineStr">
        <is>
          <t>2026-10-25</t>
        </is>
      </c>
      <c r="C231" t="inlineStr">
        <is>
          <t>CS2</t>
        </is>
      </c>
      <c r="D231" t="inlineStr">
        <is>
          <t>CS2 · paiN vs BST</t>
        </is>
      </c>
      <c r="E231" t="inlineStr">
        <is>
          <t>cass1n</t>
        </is>
      </c>
      <c r="F231" t="inlineStr">
        <is>
          <t>Maps 1-2 HS</t>
        </is>
      </c>
      <c r="G231" t="n">
        <v>9.5</v>
      </c>
      <c r="H231" t="n">
        <v>10.22</v>
      </c>
      <c r="I231" s="8" t="n">
        <v>0.5833</v>
      </c>
      <c r="J231" s="8" t="n">
        <v>0.4167</v>
      </c>
      <c r="K231" t="inlineStr">
        <is>
          <t>Dust2 / Mirage</t>
        </is>
      </c>
      <c r="L231" t="inlineStr">
        <is>
          <t>21.5 / 21.5</t>
        </is>
      </c>
      <c r="N231" s="8" t="n">
        <v>0.5</v>
      </c>
      <c r="O231" s="12" t="n"/>
      <c r="P231">
        <f>IF(O231="","",IF(O231&gt;G231,"OVER",IF(O231&lt;G231,"UNDER","PUSH")))</f>
        <v/>
      </c>
      <c r="Q231" t="n">
        <v>10.22</v>
      </c>
      <c r="R231" s="8" t="n">
        <v>0.5835</v>
      </c>
      <c r="S231" t="n">
        <v>1.0002</v>
      </c>
      <c r="T231" t="n">
        <v>9.81</v>
      </c>
      <c r="U231" t="n">
        <v>9.81</v>
      </c>
    </row>
    <row r="232">
      <c r="A232" t="inlineStr">
        <is>
          <t>2026-10-25 03:09</t>
        </is>
      </c>
      <c r="B232" t="inlineStr">
        <is>
          <t>2026-10-25</t>
        </is>
      </c>
      <c r="C232" t="inlineStr">
        <is>
          <t>CS2</t>
        </is>
      </c>
      <c r="D232" t="inlineStr">
        <is>
          <t>CS2 · paiN vs BST</t>
        </is>
      </c>
      <c r="E232" t="inlineStr">
        <is>
          <t>cass1n</t>
        </is>
      </c>
      <c r="F232" t="inlineStr">
        <is>
          <t>Maps 1-2 Kills</t>
        </is>
      </c>
      <c r="G232" t="n">
        <v>27</v>
      </c>
      <c r="H232" t="n">
        <v>26.88</v>
      </c>
      <c r="I232" s="8" t="n">
        <v>0.4594</v>
      </c>
      <c r="J232" s="8" t="n">
        <v>0.4756</v>
      </c>
      <c r="K232" t="inlineStr">
        <is>
          <t>Dust2 / Mirage</t>
        </is>
      </c>
      <c r="L232" t="inlineStr">
        <is>
          <t>21.5 / 21.5</t>
        </is>
      </c>
      <c r="N232" s="8" t="n">
        <v>0.5</v>
      </c>
      <c r="O232" s="12" t="n"/>
      <c r="P232">
        <f>IF(O232="","",IF(O232&gt;G232,"OVER",IF(O232&lt;G232,"UNDER","PUSH")))</f>
        <v/>
      </c>
      <c r="Q232" t="n">
        <v>26.88</v>
      </c>
      <c r="R232" s="8" t="n">
        <v>0.4599</v>
      </c>
      <c r="S232" t="n">
        <v>1.0003</v>
      </c>
      <c r="T232" t="n">
        <v>26.23</v>
      </c>
      <c r="U232" t="n">
        <v>26.24</v>
      </c>
    </row>
    <row r="233">
      <c r="A233" t="inlineStr">
        <is>
          <t>2026-10-25 03:09</t>
        </is>
      </c>
      <c r="B233" t="inlineStr">
        <is>
          <t>2026-10-25</t>
        </is>
      </c>
      <c r="C233" t="inlineStr">
        <is>
          <t>CS2</t>
        </is>
      </c>
      <c r="D233" t="inlineStr">
        <is>
          <t>CS2 · paiN vs BST</t>
        </is>
      </c>
      <c r="E233" t="inlineStr">
        <is>
          <t>drop</t>
        </is>
      </c>
      <c r="F233" t="inlineStr">
        <is>
          <t>Maps 1-2 HS</t>
        </is>
      </c>
      <c r="G233" t="n">
        <v>18.5</v>
      </c>
      <c r="H233" t="n">
        <v>17.15</v>
      </c>
      <c r="I233" s="8" t="n">
        <v>0.3848</v>
      </c>
      <c r="J233" s="8" t="n">
        <v>0.6152</v>
      </c>
      <c r="K233" t="inlineStr">
        <is>
          <t>Dust2 / Mirage</t>
        </is>
      </c>
      <c r="L233" t="inlineStr">
        <is>
          <t>21.5 / 21.5</t>
        </is>
      </c>
      <c r="N233" s="8" t="n">
        <v>0.5</v>
      </c>
      <c r="O233" s="12" t="n"/>
      <c r="P233">
        <f>IF(O233="","",IF(O233&gt;G233,"OVER",IF(O233&lt;G233,"UNDER","PUSH")))</f>
        <v/>
      </c>
      <c r="Q233" t="n">
        <v>17.13</v>
      </c>
      <c r="R233" s="8" t="n">
        <v>0.3836</v>
      </c>
      <c r="S233" t="n">
        <v>0.9992</v>
      </c>
      <c r="T233" t="n">
        <v>17.95</v>
      </c>
      <c r="U233" t="n">
        <v>17.96</v>
      </c>
    </row>
    <row r="234">
      <c r="A234" t="inlineStr">
        <is>
          <t>2026-10-25 03:09</t>
        </is>
      </c>
      <c r="B234" t="inlineStr">
        <is>
          <t>2026-10-25</t>
        </is>
      </c>
      <c r="C234" t="inlineStr">
        <is>
          <t>CS2</t>
        </is>
      </c>
      <c r="D234" t="inlineStr">
        <is>
          <t>CS2 · paiN vs BST</t>
        </is>
      </c>
      <c r="E234" t="inlineStr">
        <is>
          <t>drop</t>
        </is>
      </c>
      <c r="F234" t="inlineStr">
        <is>
          <t>Maps 1-2 Kills</t>
        </is>
      </c>
      <c r="G234" t="n">
        <v>30.5</v>
      </c>
      <c r="H234" t="n">
        <v>28.34</v>
      </c>
      <c r="I234" s="8" t="n">
        <v>0.3661</v>
      </c>
      <c r="J234" s="8" t="n">
        <v>0.6339</v>
      </c>
      <c r="K234" t="inlineStr">
        <is>
          <t>Dust2 / Mirage</t>
        </is>
      </c>
      <c r="L234" t="inlineStr">
        <is>
          <t>21.5 / 21.5</t>
        </is>
      </c>
      <c r="N234" s="8" t="n">
        <v>0.6</v>
      </c>
      <c r="O234" s="12" t="n"/>
      <c r="P234">
        <f>IF(O234="","",IF(O234&gt;G234,"OVER",IF(O234&lt;G234,"UNDER","PUSH")))</f>
        <v/>
      </c>
      <c r="Q234" t="n">
        <v>28.35</v>
      </c>
      <c r="R234" s="8" t="n">
        <v>0.3666</v>
      </c>
      <c r="S234" t="n">
        <v>1.0003</v>
      </c>
      <c r="T234" t="n">
        <v>29.67</v>
      </c>
      <c r="U234" t="n">
        <v>29.68</v>
      </c>
    </row>
    <row r="235">
      <c r="A235" t="inlineStr">
        <is>
          <t>2026-10-25 03:09</t>
        </is>
      </c>
      <c r="B235" t="inlineStr">
        <is>
          <t>2026-10-25</t>
        </is>
      </c>
      <c r="C235" t="inlineStr">
        <is>
          <t>CS2</t>
        </is>
      </c>
      <c r="D235" t="inlineStr">
        <is>
          <t>CS2 · paiN vs BST</t>
        </is>
      </c>
      <c r="E235" t="inlineStr">
        <is>
          <t>kauez</t>
        </is>
      </c>
      <c r="F235" t="inlineStr">
        <is>
          <t>Maps 1-2 HS</t>
        </is>
      </c>
      <c r="G235" t="n">
        <v>16</v>
      </c>
      <c r="H235" t="n">
        <v>16.64</v>
      </c>
      <c r="I235" s="8" t="n">
        <v>0.5122</v>
      </c>
      <c r="J235" s="8" t="n">
        <v>0.4009</v>
      </c>
      <c r="K235" t="inlineStr">
        <is>
          <t>Dust2 / Mirage</t>
        </is>
      </c>
      <c r="L235" t="inlineStr">
        <is>
          <t>21.5 / 21.5</t>
        </is>
      </c>
      <c r="N235" s="8" t="n">
        <v>0.6</v>
      </c>
      <c r="O235" s="12" t="n"/>
      <c r="P235">
        <f>IF(O235="","",IF(O235&gt;G235,"OVER",IF(O235&lt;G235,"UNDER","PUSH")))</f>
        <v/>
      </c>
      <c r="Q235" t="n">
        <v>16.61</v>
      </c>
      <c r="R235" s="8" t="n">
        <v>0.51</v>
      </c>
      <c r="S235" t="n">
        <v>0.9985000000000001</v>
      </c>
      <c r="T235" t="n">
        <v>16.29</v>
      </c>
      <c r="U235" t="n">
        <v>16.3</v>
      </c>
    </row>
    <row r="236">
      <c r="A236" t="inlineStr">
        <is>
          <t>2026-10-25 03:09</t>
        </is>
      </c>
      <c r="B236" t="inlineStr">
        <is>
          <t>2026-10-25</t>
        </is>
      </c>
      <c r="C236" t="inlineStr">
        <is>
          <t>CS2</t>
        </is>
      </c>
      <c r="D236" t="inlineStr">
        <is>
          <t>CS2 · paiN vs BST</t>
        </is>
      </c>
      <c r="E236" t="inlineStr">
        <is>
          <t>kauez</t>
        </is>
      </c>
      <c r="F236" t="inlineStr">
        <is>
          <t>Maps 1-2 Kills</t>
        </is>
      </c>
      <c r="G236" t="n">
        <v>28.5</v>
      </c>
      <c r="H236" t="n">
        <v>28.31</v>
      </c>
      <c r="I236" s="8" t="n">
        <v>0.4879</v>
      </c>
      <c r="J236" s="8" t="n">
        <v>0.5121</v>
      </c>
      <c r="K236" t="inlineStr">
        <is>
          <t>Dust2 / Mirage</t>
        </is>
      </c>
      <c r="L236" t="inlineStr">
        <is>
          <t>21.5 / 21.5</t>
        </is>
      </c>
      <c r="N236" s="8" t="n">
        <v>0.5</v>
      </c>
      <c r="O236" s="12" t="n"/>
      <c r="P236">
        <f>IF(O236="","",IF(O236&gt;G236,"OVER",IF(O236&lt;G236,"UNDER","PUSH")))</f>
        <v/>
      </c>
      <c r="Q236" t="n">
        <v>28.26</v>
      </c>
      <c r="R236" s="8" t="n">
        <v>0.4848</v>
      </c>
      <c r="S236" t="n">
        <v>0.9983</v>
      </c>
      <c r="T236" t="n">
        <v>28.38</v>
      </c>
      <c r="U236" t="n">
        <v>28.39</v>
      </c>
    </row>
    <row r="237">
      <c r="A237" t="inlineStr">
        <is>
          <t>2026-10-25 03:09</t>
        </is>
      </c>
      <c r="B237" t="inlineStr">
        <is>
          <t>2026-10-25</t>
        </is>
      </c>
      <c r="C237" t="inlineStr">
        <is>
          <t>CS2</t>
        </is>
      </c>
      <c r="D237" t="inlineStr">
        <is>
          <t>CS2 · paiN vs BST</t>
        </is>
      </c>
      <c r="E237" t="inlineStr">
        <is>
          <t>timo</t>
        </is>
      </c>
      <c r="F237" t="inlineStr">
        <is>
          <t>Maps 1-2 HS</t>
        </is>
      </c>
      <c r="G237" t="n">
        <v>17</v>
      </c>
      <c r="H237" t="n">
        <v>16.25</v>
      </c>
      <c r="I237" s="8" t="n">
        <v>0.3898</v>
      </c>
      <c r="J237" s="8" t="n">
        <v>0.5227000000000001</v>
      </c>
      <c r="K237" t="inlineStr">
        <is>
          <t>Dust2 / Mirage</t>
        </is>
      </c>
      <c r="L237" t="inlineStr">
        <is>
          <t>21.5 / 21.5</t>
        </is>
      </c>
      <c r="N237" s="8" t="n">
        <v>0.8</v>
      </c>
      <c r="O237" s="12" t="n"/>
      <c r="P237">
        <f>IF(O237="","",IF(O237&gt;G237,"OVER",IF(O237&lt;G237,"UNDER","PUSH")))</f>
        <v/>
      </c>
      <c r="Q237" t="n">
        <v>16.25</v>
      </c>
      <c r="R237" s="8" t="n">
        <v>0.3904</v>
      </c>
      <c r="S237" t="n">
        <v>1.0004</v>
      </c>
      <c r="T237" t="n">
        <v>16.66</v>
      </c>
      <c r="U237" t="n">
        <v>16.67</v>
      </c>
    </row>
    <row r="238">
      <c r="A238" t="inlineStr">
        <is>
          <t>2026-10-25 03:09</t>
        </is>
      </c>
      <c r="B238" t="inlineStr">
        <is>
          <t>2026-10-25</t>
        </is>
      </c>
      <c r="C238" t="inlineStr">
        <is>
          <t>CS2</t>
        </is>
      </c>
      <c r="D238" t="inlineStr">
        <is>
          <t>CS2 · paiN vs BST</t>
        </is>
      </c>
      <c r="E238" t="inlineStr">
        <is>
          <t>timo</t>
        </is>
      </c>
      <c r="F238" t="inlineStr">
        <is>
          <t>Maps 1-2 Kills</t>
        </is>
      </c>
      <c r="G238" t="n">
        <v>30</v>
      </c>
      <c r="H238" t="n">
        <v>27.3</v>
      </c>
      <c r="I238" s="8" t="n">
        <v>0.3027</v>
      </c>
      <c r="J238" s="8" t="n">
        <v>0.6387</v>
      </c>
      <c r="K238" t="inlineStr">
        <is>
          <t>Dust2 / Mirage</t>
        </is>
      </c>
      <c r="L238" t="inlineStr">
        <is>
          <t>21.5 / 21.5</t>
        </is>
      </c>
      <c r="N238" s="8" t="n">
        <v>0.5</v>
      </c>
      <c r="O238" s="12" t="n"/>
      <c r="P238">
        <f>IF(O238="","",IF(O238&gt;G238,"OVER",IF(O238&lt;G238,"UNDER","PUSH")))</f>
        <v/>
      </c>
      <c r="Q238" t="n">
        <v>27.31</v>
      </c>
      <c r="R238" s="8" t="n">
        <v>0.3031</v>
      </c>
      <c r="S238" t="n">
        <v>1.0003</v>
      </c>
      <c r="T238" t="n">
        <v>28.38</v>
      </c>
      <c r="U238" t="n">
        <v>28.39</v>
      </c>
    </row>
    <row r="239">
      <c r="A239" t="inlineStr">
        <is>
          <t>2026-10-25 03:09</t>
        </is>
      </c>
      <c r="B239" t="inlineStr">
        <is>
          <t>2026-10-25</t>
        </is>
      </c>
      <c r="C239" t="inlineStr">
        <is>
          <t>CS2</t>
        </is>
      </c>
      <c r="D239" t="inlineStr">
        <is>
          <t>CS2 · paiN vs BST</t>
        </is>
      </c>
      <c r="E239" t="inlineStr">
        <is>
          <t>biguzera</t>
        </is>
      </c>
      <c r="F239" t="inlineStr">
        <is>
          <t>Maps 1-2 HS</t>
        </is>
      </c>
      <c r="G239" t="n">
        <v>16.5</v>
      </c>
      <c r="H239" t="n">
        <v>16.09</v>
      </c>
      <c r="I239" s="8" t="n">
        <v>0.4628</v>
      </c>
      <c r="J239" s="8" t="n">
        <v>0.5372</v>
      </c>
      <c r="K239" t="inlineStr">
        <is>
          <t>Dust2 / Mirage</t>
        </is>
      </c>
      <c r="L239" t="inlineStr">
        <is>
          <t>21.5 / 21.5</t>
        </is>
      </c>
      <c r="N239" s="8" t="n">
        <v>0.4</v>
      </c>
      <c r="O239" s="12" t="n"/>
      <c r="P239">
        <f>IF(O239="","",IF(O239&gt;G239,"OVER",IF(O239&lt;G239,"UNDER","PUSH")))</f>
        <v/>
      </c>
      <c r="Q239" t="n">
        <v>16.27</v>
      </c>
      <c r="R239" s="8" t="n">
        <v>0.479</v>
      </c>
      <c r="S239" t="n">
        <v>1.0112</v>
      </c>
      <c r="T239" t="n">
        <v>15.97</v>
      </c>
      <c r="U239" t="n">
        <v>16.14</v>
      </c>
    </row>
    <row r="240">
      <c r="A240" t="inlineStr">
        <is>
          <t>2026-10-25 03:09</t>
        </is>
      </c>
      <c r="B240" t="inlineStr">
        <is>
          <t>2026-10-25</t>
        </is>
      </c>
      <c r="C240" t="inlineStr">
        <is>
          <t>CS2</t>
        </is>
      </c>
      <c r="D240" t="inlineStr">
        <is>
          <t>CS2 · paiN vs BST</t>
        </is>
      </c>
      <c r="E240" t="inlineStr">
        <is>
          <t>biguzera</t>
        </is>
      </c>
      <c r="F240" t="inlineStr">
        <is>
          <t>Maps 1-2 Kills</t>
        </is>
      </c>
      <c r="G240" t="n">
        <v>30.5</v>
      </c>
      <c r="H240" t="n">
        <v>29.33</v>
      </c>
      <c r="I240" s="8" t="n">
        <v>0.4274</v>
      </c>
      <c r="J240" s="8" t="n">
        <v>0.5726</v>
      </c>
      <c r="K240" t="inlineStr">
        <is>
          <t>Dust2 / Mirage</t>
        </is>
      </c>
      <c r="L240" t="inlineStr">
        <is>
          <t>21.5 / 21.5</t>
        </is>
      </c>
      <c r="N240" s="8" t="n">
        <v>0.3</v>
      </c>
      <c r="O240" s="12" t="n"/>
      <c r="P240">
        <f>IF(O240="","",IF(O240&gt;G240,"OVER",IF(O240&lt;G240,"UNDER","PUSH")))</f>
        <v/>
      </c>
      <c r="Q240" t="n">
        <v>29.66</v>
      </c>
      <c r="R240" s="8" t="n">
        <v>0.4482</v>
      </c>
      <c r="S240" t="n">
        <v>1.0114</v>
      </c>
      <c r="T240" t="n">
        <v>29.24</v>
      </c>
      <c r="U240" t="n">
        <v>29.57</v>
      </c>
    </row>
    <row r="241">
      <c r="A241" t="inlineStr">
        <is>
          <t>2026-10-25 03:09</t>
        </is>
      </c>
      <c r="B241" t="inlineStr">
        <is>
          <t>2026-10-25</t>
        </is>
      </c>
      <c r="C241" t="inlineStr">
        <is>
          <t>CS2</t>
        </is>
      </c>
      <c r="D241" t="inlineStr">
        <is>
          <t>CS2 · paiN vs BST</t>
        </is>
      </c>
      <c r="E241" t="inlineStr">
        <is>
          <t>Rkzinho</t>
        </is>
      </c>
      <c r="F241" t="inlineStr">
        <is>
          <t>Maps 1-2 HS</t>
        </is>
      </c>
      <c r="G241" t="n">
        <v>17.5</v>
      </c>
      <c r="H241" t="n">
        <v>17.35</v>
      </c>
      <c r="I241" s="8" t="n">
        <v>0.4874</v>
      </c>
      <c r="J241" s="8" t="n">
        <v>0.5125999999999999</v>
      </c>
      <c r="K241" t="inlineStr">
        <is>
          <t>Dust2 / Mirage</t>
        </is>
      </c>
      <c r="L241" t="inlineStr">
        <is>
          <t>21.5 / 21.5</t>
        </is>
      </c>
      <c r="N241" s="8" t="n">
        <v>0.5</v>
      </c>
      <c r="O241" s="12" t="n"/>
      <c r="P241">
        <f>IF(O241="","",IF(O241&gt;G241,"OVER",IF(O241&lt;G241,"UNDER","PUSH")))</f>
        <v/>
      </c>
      <c r="Q241" t="n">
        <v>17.51</v>
      </c>
      <c r="R241" s="8" t="n">
        <v>0.5011</v>
      </c>
      <c r="S241" t="n">
        <v>1.0092</v>
      </c>
      <c r="T241" t="n">
        <v>17.05</v>
      </c>
      <c r="U241" t="n">
        <v>17.24</v>
      </c>
    </row>
    <row r="242">
      <c r="A242" t="inlineStr">
        <is>
          <t>2026-10-25 03:09</t>
        </is>
      </c>
      <c r="B242" t="inlineStr">
        <is>
          <t>2026-10-25</t>
        </is>
      </c>
      <c r="C242" t="inlineStr">
        <is>
          <t>CS2</t>
        </is>
      </c>
      <c r="D242" t="inlineStr">
        <is>
          <t>CS2 · paiN vs BST</t>
        </is>
      </c>
      <c r="E242" t="inlineStr">
        <is>
          <t>Rkzinho</t>
        </is>
      </c>
      <c r="F242" t="inlineStr">
        <is>
          <t>Maps 1-2 Kills</t>
        </is>
      </c>
      <c r="G242" t="n">
        <v>29.5</v>
      </c>
      <c r="H242" t="n">
        <v>29.63</v>
      </c>
      <c r="I242" s="8" t="n">
        <v>0.5078</v>
      </c>
      <c r="J242" s="8" t="n">
        <v>0.4922</v>
      </c>
      <c r="K242" t="inlineStr">
        <is>
          <t>Dust2 / Mirage</t>
        </is>
      </c>
      <c r="L242" t="inlineStr">
        <is>
          <t>21.5 / 21.5</t>
        </is>
      </c>
      <c r="N242" s="8" t="n">
        <v>0.6</v>
      </c>
      <c r="O242" s="12" t="n"/>
      <c r="P242">
        <f>IF(O242="","",IF(O242&gt;G242,"OVER",IF(O242&lt;G242,"UNDER","PUSH")))</f>
        <v/>
      </c>
      <c r="Q242" t="n">
        <v>29.91</v>
      </c>
      <c r="R242" s="8" t="n">
        <v>0.5254</v>
      </c>
      <c r="S242" t="n">
        <v>1.0097</v>
      </c>
      <c r="T242" t="n">
        <v>29.24</v>
      </c>
      <c r="U242" t="n">
        <v>29.57</v>
      </c>
    </row>
    <row r="243">
      <c r="A243" t="inlineStr">
        <is>
          <t>2026-10-25 03:09</t>
        </is>
      </c>
      <c r="B243" t="inlineStr">
        <is>
          <t>2026-10-25</t>
        </is>
      </c>
      <c r="C243" t="inlineStr">
        <is>
          <t>CS2</t>
        </is>
      </c>
      <c r="D243" t="inlineStr">
        <is>
          <t>CS2 · paiN vs BST</t>
        </is>
      </c>
      <c r="E243" t="inlineStr">
        <is>
          <t>saffee</t>
        </is>
      </c>
      <c r="F243" t="inlineStr">
        <is>
          <t>Maps 1-2 HS</t>
        </is>
      </c>
      <c r="G243" t="n">
        <v>8.5</v>
      </c>
      <c r="H243" t="n">
        <v>7.54</v>
      </c>
      <c r="I243" s="8" t="n">
        <v>0.3695</v>
      </c>
      <c r="J243" s="8" t="n">
        <v>0.6304999999999999</v>
      </c>
      <c r="K243" t="inlineStr">
        <is>
          <t>Dust2 / Mirage</t>
        </is>
      </c>
      <c r="L243" t="inlineStr">
        <is>
          <t>21.5 / 21.5</t>
        </is>
      </c>
      <c r="N243" s="8" t="n">
        <v>0.3</v>
      </c>
      <c r="O243" s="12" t="n"/>
      <c r="P243">
        <f>IF(O243="","",IF(O243&gt;G243,"OVER",IF(O243&lt;G243,"UNDER","PUSH")))</f>
        <v/>
      </c>
      <c r="Q243" t="n">
        <v>7.62</v>
      </c>
      <c r="R243" s="8" t="n">
        <v>0.3815</v>
      </c>
      <c r="S243" t="n">
        <v>1.0115</v>
      </c>
      <c r="T243" t="n">
        <v>7.46</v>
      </c>
      <c r="U243" t="n">
        <v>7.54</v>
      </c>
    </row>
    <row r="244">
      <c r="A244" t="inlineStr">
        <is>
          <t>2026-10-25 03:09</t>
        </is>
      </c>
      <c r="B244" t="inlineStr">
        <is>
          <t>2026-10-25</t>
        </is>
      </c>
      <c r="C244" t="inlineStr">
        <is>
          <t>CS2</t>
        </is>
      </c>
      <c r="D244" t="inlineStr">
        <is>
          <t>CS2 · paiN vs BST</t>
        </is>
      </c>
      <c r="E244" t="inlineStr">
        <is>
          <t>saffee</t>
        </is>
      </c>
      <c r="F244" t="inlineStr">
        <is>
          <t>Maps 1-2 Kills</t>
        </is>
      </c>
      <c r="G244" t="n">
        <v>29.5</v>
      </c>
      <c r="H244" t="n">
        <v>27.93</v>
      </c>
      <c r="I244" s="8" t="n">
        <v>0.4011</v>
      </c>
      <c r="J244" s="8" t="n">
        <v>0.5989</v>
      </c>
      <c r="K244" t="inlineStr">
        <is>
          <t>Dust2 / Mirage</t>
        </is>
      </c>
      <c r="L244" t="inlineStr">
        <is>
          <t>21.5 / 21.5</t>
        </is>
      </c>
      <c r="N244" s="8" t="n">
        <v>0.5</v>
      </c>
      <c r="O244" s="12" t="n"/>
      <c r="P244">
        <f>IF(O244="","",IF(O244&gt;G244,"OVER",IF(O244&lt;G244,"UNDER","PUSH")))</f>
        <v/>
      </c>
      <c r="Q244" t="n">
        <v>28.24</v>
      </c>
      <c r="R244" s="8" t="n">
        <v>0.4209</v>
      </c>
      <c r="S244" t="n">
        <v>1.0111</v>
      </c>
      <c r="T244" t="n">
        <v>27.52</v>
      </c>
      <c r="U244" t="n">
        <v>27.83</v>
      </c>
    </row>
    <row r="245">
      <c r="A245" t="inlineStr">
        <is>
          <t>2026-10-25 03:09</t>
        </is>
      </c>
      <c r="B245" t="inlineStr">
        <is>
          <t>2026-10-25</t>
        </is>
      </c>
      <c r="C245" t="inlineStr">
        <is>
          <t>CS2</t>
        </is>
      </c>
      <c r="D245" t="inlineStr">
        <is>
          <t>CS2 · paiN vs BST</t>
        </is>
      </c>
      <c r="E245" t="inlineStr">
        <is>
          <t>Tatu</t>
        </is>
      </c>
      <c r="F245" t="inlineStr">
        <is>
          <t>Maps 1-2 HS</t>
        </is>
      </c>
      <c r="G245" t="n">
        <v>16</v>
      </c>
      <c r="H245" t="n">
        <v>18.51</v>
      </c>
      <c r="I245" s="8" t="n">
        <v>0.6613</v>
      </c>
      <c r="J245" s="8" t="n">
        <v>0.2668</v>
      </c>
      <c r="K245" t="inlineStr">
        <is>
          <t>Dust2 / Mirage</t>
        </is>
      </c>
      <c r="L245" t="inlineStr">
        <is>
          <t>21.5 / 21.5</t>
        </is>
      </c>
      <c r="N245" s="8" t="n">
        <v>0.4</v>
      </c>
      <c r="O245" s="12" t="n"/>
      <c r="P245">
        <f>IF(O245="","",IF(O245&gt;G245,"OVER",IF(O245&lt;G245,"UNDER","PUSH")))</f>
        <v/>
      </c>
      <c r="Q245" t="n">
        <v>18.69</v>
      </c>
      <c r="R245" s="8" t="n">
        <v>0.674</v>
      </c>
      <c r="S245" t="n">
        <v>1.0097</v>
      </c>
      <c r="T245" t="n">
        <v>18.5</v>
      </c>
      <c r="U245" t="n">
        <v>18.71</v>
      </c>
    </row>
    <row r="246">
      <c r="A246" t="inlineStr">
        <is>
          <t>2026-10-25 03:09</t>
        </is>
      </c>
      <c r="B246" t="inlineStr">
        <is>
          <t>2026-10-25</t>
        </is>
      </c>
      <c r="C246" t="inlineStr">
        <is>
          <t>CS2</t>
        </is>
      </c>
      <c r="D246" t="inlineStr">
        <is>
          <t>CS2 · paiN vs BST</t>
        </is>
      </c>
      <c r="E246" t="inlineStr">
        <is>
          <t>Tatu</t>
        </is>
      </c>
      <c r="F246" t="inlineStr">
        <is>
          <t>Maps 1-2 Kills</t>
        </is>
      </c>
      <c r="G246" t="n">
        <v>26</v>
      </c>
      <c r="H246" t="n">
        <v>27.83</v>
      </c>
      <c r="I246" s="8" t="n">
        <v>0.5842000000000001</v>
      </c>
      <c r="J246" s="8" t="n">
        <v>0.3546</v>
      </c>
      <c r="K246" t="inlineStr">
        <is>
          <t>Dust2 / Mirage</t>
        </is>
      </c>
      <c r="L246" t="inlineStr">
        <is>
          <t>21.5 / 21.5</t>
        </is>
      </c>
      <c r="N246" s="8" t="n">
        <v>0.5</v>
      </c>
      <c r="O246" s="12" t="n"/>
      <c r="P246">
        <f>IF(O246="","",IF(O246&gt;G246,"OVER",IF(O246&lt;G246,"UNDER","PUSH")))</f>
        <v/>
      </c>
      <c r="Q246" t="n">
        <v>28.13</v>
      </c>
      <c r="R246" s="8" t="n">
        <v>0.6022</v>
      </c>
      <c r="S246" t="n">
        <v>1.0107</v>
      </c>
      <c r="T246" t="n">
        <v>28.38</v>
      </c>
      <c r="U246" t="n">
        <v>28.7</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245</v>
      </c>
    </row>
    <row r="3">
      <c r="A3" t="inlineStr">
        <is>
          <t>Players with map stats</t>
        </is>
      </c>
      <c r="B3" t="n">
        <v>123</v>
      </c>
    </row>
    <row r="4">
      <c r="A4" t="inlineStr">
        <is>
          <t>Identity: Σ per-map maps == overall Maps AND weighted kills == Kills/Map</t>
        </is>
      </c>
      <c r="B4" t="inlineStr">
        <is>
          <t>123 / 123 pass</t>
        </is>
      </c>
    </row>
    <row r="5">
      <c r="A5" t="inlineStr">
        <is>
          <t>Board players with NO stats page read</t>
        </is>
      </c>
      <c r="B5" t="n">
        <v>0</v>
      </c>
    </row>
    <row r="6">
      <c r="A6" t="inlineStr">
        <is>
          <t>Matches resolved to Thunderpick</t>
        </is>
      </c>
      <c r="B6" t="inlineStr">
        <is>
          <t>11 / 11</t>
        </is>
      </c>
    </row>
    <row r="7">
      <c r="A7" t="inlineStr">
        <is>
          <t>NO MARKET games on this board (marked [NO MARKET], placeholders hold no prices, never registered)</t>
        </is>
      </c>
      <c r="B7" t="n">
        <v>4</v>
      </c>
    </row>
    <row r="8">
      <c r="A8" t="inlineStr">
        <is>
          <t>Matches with a Total Rounds ladder on map 1</t>
        </is>
      </c>
      <c r="B8" t="n">
        <v>10</v>
      </c>
    </row>
    <row r="9">
      <c r="A9" t="inlineStr">
        <is>
          <t>Matches with correct-score odds</t>
        </is>
      </c>
      <c r="B9" t="n">
        <v>10</v>
      </c>
    </row>
    <row r="10">
      <c r="A10" t="inlineStr">
        <is>
          <t>Matches with PickFinder Map Picks (rest use most-played fallback)</t>
        </is>
      </c>
      <c r="B10" t="n">
        <v>0</v>
      </c>
    </row>
    <row r="11">
      <c r="A11" t="inlineStr">
        <is>
          <t>Thunderpick player kill ladders matched to board players</t>
        </is>
      </c>
      <c r="B11" t="n">
        <v>79</v>
      </c>
    </row>
    <row r="12">
      <c r="A12" t="inlineStr">
        <is>
          <t>LIVE: formula errors on Projections (should be 0)</t>
        </is>
      </c>
      <c r="B12">
        <f>SUMPRODUCT(--ISERROR(Projections!G2:L246))</f>
        <v/>
      </c>
    </row>
    <row r="13">
      <c r="A13" t="inlineStr">
        <is>
          <t>LIVE: legs with no projection (should be 0)</t>
        </is>
      </c>
      <c r="B13">
        <f>COUNTBLANK(Projections!G2:G246)</f>
        <v/>
      </c>
    </row>
    <row r="14">
      <c r="A14" t="inlineStr">
        <is>
          <t>LIVE: formula errors on Calc (should be 0)</t>
        </is>
      </c>
      <c r="B14">
        <f>SUMPRODUCT(--ISERROR(Calc!A2:BK124))</f>
        <v/>
      </c>
    </row>
    <row r="15">
      <c r="A15" t="inlineStr">
        <is>
          <t>LIVE: largest |Projections − Log| (≈0 at default settings; grows as you edit Matches/Config)</t>
        </is>
      </c>
      <c r="B15">
        <f>SUMPRODUCT(MAX(ABS(N(+Projections!G2:G246)-N(+Log!H2:H246))))</f>
        <v/>
      </c>
    </row>
    <row r="16">
      <c r="A16" t="inlineStr">
        <is>
          <t>LIVE: largest |Projections adj − Log adj| (≈0 at default settings)</t>
        </is>
      </c>
      <c r="B16">
        <f>SUMPRODUCT(MAX(ABS(N(+Projections!Z2:Z246)-N(+Log!Q2:Q246))))</f>
        <v/>
      </c>
    </row>
    <row r="17">
      <c r="A17" t="inlineStr">
        <is>
          <t>LIVE: formula errors on Matches HLTV columns (should be 0)</t>
        </is>
      </c>
      <c r="B17">
        <f>SUMPRODUCT(--ISERROR(Matches!A5:BB19))</f>
        <v/>
      </c>
    </row>
    <row r="18">
      <c r="A18" t="inlineStr">
        <is>
          <t>CS2 matches with HLTV analytics</t>
        </is>
      </c>
      <c r="B18" t="n">
        <v>14</v>
      </c>
    </row>
    <row r="19">
      <c r="A19" t="inlineStr">
        <is>
          <t>Issue</t>
        </is>
      </c>
      <c r="B19" t="inlineStr">
        <is>
          <t>CS2 [NO MARKET] · ACE vs INOX: no Thunderpick market - no P(win), no HLTV adjustment, Config default rounds</t>
        </is>
      </c>
    </row>
    <row r="20">
      <c r="A20" t="inlineStr">
        <is>
          <t>Issue</t>
        </is>
      </c>
      <c r="B20" t="inlineStr">
        <is>
          <t>NO HLTV ANALYTICS CS2 [NO MARKET] · ACE vs INOX</t>
        </is>
      </c>
    </row>
    <row r="21">
      <c r="A21" t="inlineStr">
        <is>
          <t>Issue</t>
        </is>
      </c>
      <c r="B21" t="inlineStr">
        <is>
          <t>CS2 [NO MARKET] · ACE vs UNiTY: no Thunderpick market - no P(win), no HLTV adjustment, Config default rounds</t>
        </is>
      </c>
    </row>
    <row r="22">
      <c r="A22" t="inlineStr">
        <is>
          <t>Issue</t>
        </is>
      </c>
      <c r="B22" t="inlineStr">
        <is>
          <t>CS2 [NO MARKET] · BAKS vs MZP: no Thunderpick market - no P(win), no HLTV adjustment, Config default rounds</t>
        </is>
      </c>
    </row>
    <row r="23">
      <c r="A23" t="inlineStr">
        <is>
          <t>Issue</t>
        </is>
      </c>
      <c r="B23" t="inlineStr">
        <is>
          <t>CS2 [NO MARKET] · Color vs ex-ZT: no Thunderpick market - no P(win), no HLTV adjustment, Config default rounds</t>
        </is>
      </c>
    </row>
    <row r="24">
      <c r="A24" t="inlineStr">
        <is>
          <t>Issue</t>
        </is>
      </c>
      <c r="B24" t="inlineStr">
        <is>
          <t>MAP PICKS FALLBACK CS2 · MOUZ vs 9z -&gt; Mirage, Dust2, Nuke</t>
        </is>
      </c>
    </row>
    <row r="25">
      <c r="A25" t="inlineStr">
        <is>
          <t>Issue</t>
        </is>
      </c>
      <c r="B25" t="inlineStr">
        <is>
          <t>MAP PICKS FALLBACK CS2 · AUR vs G2 -&gt; Mirage, Inferno, Dust2</t>
        </is>
      </c>
    </row>
    <row r="26">
      <c r="A26" t="inlineStr">
        <is>
          <t>Issue</t>
        </is>
      </c>
      <c r="B26" t="inlineStr">
        <is>
          <t>MAP PICKS FALLBACK CS2 · BB vs NEMI -&gt; Ancient, Mirage, Dust2</t>
        </is>
      </c>
    </row>
    <row r="27">
      <c r="A27" t="inlineStr">
        <is>
          <t>Issue</t>
        </is>
      </c>
      <c r="B27" t="inlineStr">
        <is>
          <t>MAP PICKS FALLBACK CS2 · INF vs BRUTE -&gt; Dust2, Mirage, Nuke</t>
        </is>
      </c>
    </row>
    <row r="28">
      <c r="A28" t="inlineStr">
        <is>
          <t>Issue</t>
        </is>
      </c>
      <c r="B28" t="inlineStr">
        <is>
          <t>MAP PICKS FALLBACK CS2 · paiN vs BST -&gt; Dust2, Mirage, Cache</t>
        </is>
      </c>
    </row>
    <row r="29">
      <c r="A29" t="inlineStr">
        <is>
          <t>Issue</t>
        </is>
      </c>
      <c r="B29" t="inlineStr">
        <is>
          <t>MAP PICKS FALLBACK CS2 · LGC vs DEN -&gt; Mirage, Ancient, Cache</t>
        </is>
      </c>
    </row>
    <row r="30">
      <c r="A30" t="inlineStr">
        <is>
          <t>Issue</t>
        </is>
      </c>
      <c r="B30" t="inlineStr">
        <is>
          <t>MAP PICKS FALLBACK CS2 · FORZE.R vs ex-RUSTEC -&gt; Dust2, Nuke, Anubis</t>
        </is>
      </c>
    </row>
    <row r="31">
      <c r="A31" t="inlineStr">
        <is>
          <t>Issue</t>
        </is>
      </c>
      <c r="B31" t="inlineStr">
        <is>
          <t>MAP PICKS FALLBACK CS2 · FURIA vs NAVI -&gt; Mirage, Inferno, Nuke</t>
        </is>
      </c>
    </row>
    <row r="32">
      <c r="A32" t="inlineStr">
        <is>
          <t>Issue</t>
        </is>
      </c>
      <c r="B32" t="inlineStr">
        <is>
          <t>MAP PICKS FALLBACK CS2 · FUT vs TL -&gt; Nuke, Anubis, Dust2</t>
        </is>
      </c>
    </row>
    <row r="33">
      <c r="A33" t="inlineStr">
        <is>
          <t>Issue</t>
        </is>
      </c>
      <c r="B33" t="inlineStr">
        <is>
          <t>MAP PICKS FALLBACK CS2 · VIT vs MGLZ -&gt; Dust2, Mirage, Inferno</t>
        </is>
      </c>
    </row>
    <row r="34">
      <c r="A34" t="inlineStr">
        <is>
          <t>Issue</t>
        </is>
      </c>
      <c r="B34" t="inlineStr">
        <is>
          <t>MAP PICKS FALLBACK CS2 · TS vs TYLOO -&gt; Mirage, Ancient, Cache</t>
        </is>
      </c>
    </row>
    <row r="35">
      <c r="A35" t="inlineStr">
        <is>
          <t>Issue</t>
        </is>
      </c>
      <c r="B35" t="inlineStr">
        <is>
          <t>MAP PICKS FALLBACK CS2 [NO MARKET] · ACE vs INOX -&gt; Dust2, Ancient, Inferno</t>
        </is>
      </c>
    </row>
    <row r="36">
      <c r="A36" t="inlineStr">
        <is>
          <t>Issue</t>
        </is>
      </c>
      <c r="B36" t="inlineStr">
        <is>
          <t>MAP PICKS FALLBACK CS2 [NO MARKET] · ACE vs UNiTY -&gt; Inferno, Dust2, Ancient</t>
        </is>
      </c>
    </row>
    <row r="37">
      <c r="A37" t="inlineStr">
        <is>
          <t>Issue</t>
        </is>
      </c>
      <c r="B37" t="inlineStr">
        <is>
          <t>MAP PICKS FALLBACK CS2 [NO MARKET] · BAKS vs MZP -&gt; Cache, Nuke, Mirage</t>
        </is>
      </c>
    </row>
    <row r="38">
      <c r="A38" t="inlineStr">
        <is>
          <t>Issue</t>
        </is>
      </c>
      <c r="B38" t="inlineStr">
        <is>
          <t>MAP PICKS FALLBACK CS2 [NO MARKET] · Color vs ex-ZT -&gt; Dust2, Cache, Mirage</t>
        </is>
      </c>
    </row>
    <row r="39">
      <c r="A39" t="inlineStr">
        <is>
          <t>Issue</t>
        </is>
      </c>
      <c r="B39" t="inlineStr">
        <is>
          <t>NO TP ROUNDS LADDER CS2 · FORZE.R vs ex-RUSTEC (Config default used)</t>
        </is>
      </c>
    </row>
    <row r="40">
      <c r="A40" t="inlineStr">
        <is>
          <t>Issue</t>
        </is>
      </c>
      <c r="B40" t="inlineStr">
        <is>
          <t>NO TP ROUNDS LADDER CS2 [NO MARKET] · ACE vs INOX (Config default used)</t>
        </is>
      </c>
    </row>
    <row r="41">
      <c r="A41" t="inlineStr">
        <is>
          <t>Issue</t>
        </is>
      </c>
      <c r="B41" t="inlineStr">
        <is>
          <t>NO TP ROUNDS LADDER CS2 [NO MARKET] · ACE vs UNiTY (Config default used)</t>
        </is>
      </c>
    </row>
    <row r="42">
      <c r="A42" t="inlineStr">
        <is>
          <t>Issue</t>
        </is>
      </c>
      <c r="B42" t="inlineStr">
        <is>
          <t>NO TP ROUNDS LADDER CS2 [NO MARKET] · BAKS vs MZP (Config default used)</t>
        </is>
      </c>
    </row>
    <row r="43">
      <c r="A43" t="inlineStr">
        <is>
          <t>Issue</t>
        </is>
      </c>
      <c r="B43" t="inlineStr">
        <is>
          <t>NO TP ROUNDS LADDER CS2 [NO MARKET] · Color vs ex-ZT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2026-10-25T03:09:45Z</dcterms:created>
  <dcterms:modified xmlns:dcterms="http://purl.org/dc/terms/" xmlns:xsi="http://www.w3.org/2001/XMLSchema-instance" xsi:type="dcterms:W3CDTF">2026-10-25T03:09:45Z</dcterms:modified>
</cp:coreProperties>
</file>