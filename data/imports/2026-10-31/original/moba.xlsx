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<sst xmlns="http://schemas.openxmlformats.org/spreadsheetml/2006/main" count="966" uniqueCount="308">
  <si>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</si>
  <si>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</si>
  <si>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2026-10-31 · 10 board legs · 1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</si>
  <si>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</si>
  <si>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</si>
  <si>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</si>
  <si>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</si>
  <si>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</si>
  <si>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</si>
  <si>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</si>
  <si>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</si>
  <si>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</si>
  <si>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</si>
  <si>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</si>
  <si>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</si>
  <si>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</si>
  <si>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</si>
  <si>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</si>
  <si>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</si>
  <si>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</si>
  <si>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</si>
  <si>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</si>
  <si>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</si>
  <si>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</si>
  <si>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</si>
  <si>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</si>
  <si>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</si>
  <si>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TY vs GL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</si>
  <si>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</si>
  <si>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</si>
  <si>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</si>
  <si>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</si>
  <si>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</si>
  <si>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</si>
  <si>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</si>
  <si>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</si>
  <si>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</si>
  <si>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</si>
  <si>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</si>
  <si>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</si>
  <si>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</si>
  <si>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</si>
  <si>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</si>
  <si>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</si>
  <si>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</si>
  <si>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</si>
  <si>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</si>
  <si>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</si>
  <si>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</si>
  <si>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</si>
  <si>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</si>
  <si>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</si>
  <si>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</si>
  <si>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</si>
  <si>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</si>
  <si>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</si>
  <si>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</si>
  <si>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</si>
  <si>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</si>
  <si>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</si>
  <si>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</si>
  <si>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</si>
  <si>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</si>
  <si>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</si>
  <si>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</si>
  <si>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</si>
  <si>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</si>
  <si>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</si>
  <si>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</si>
  <si>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</si>
  <si>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</si>
  <si>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</si>
  <si>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</si>
  <si>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</si>
  <si>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</si>
  <si>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Sat 08:00</t>
  </si>
  <si>
    <t xml:space="preserve">Team Yandex (TY)</t>
  </si>
  <si>
    <t xml:space="preserve">GamerLegion (GL)</t>
  </si>
  <si>
    <t xml:space="preserve">TY</t>
  </si>
  <si>
    <t xml:space="preserve">GL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</si>
  <si>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</si>
  <si>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</si>
  <si>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</si>
  <si>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</si>
  <si>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</si>
  <si>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</si>
  <si>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</si>
  <si>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</si>
  <si>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</si>
  <si>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</si>
  <si>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</si>
  <si>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</si>
  <si>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</si>
  <si>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</si>
  <si>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</si>
  <si>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</si>
  <si>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</si>
  <si>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</si>
  <si>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</si>
  <si>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</si>
  <si>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</si>
  <si>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Bignum</t>
  </si>
  <si>
    <t xml:space="preserve">Maps 1-2 Kills</t>
  </si>
  <si>
    <t xml:space="preserve">50%/1/2</t>
  </si>
  <si>
    <t xml:space="preserve">qviujqdmb4jzi0q|DOTA · TY vs GL</t>
  </si>
  <si>
    <t xml:space="preserve">K12</t>
  </si>
  <si>
    <t xml:space="preserve">Fayde</t>
  </si>
  <si>
    <t xml:space="preserve">0%/0/2</t>
  </si>
  <si>
    <t xml:space="preserve">7f340lwfa48ats4|DOTA · TY vs GL</t>
  </si>
  <si>
    <t xml:space="preserve">RCY</t>
  </si>
  <si>
    <t xml:space="preserve">3zaze8op521xnc4|DOTA · TY vs GL</t>
  </si>
  <si>
    <t xml:space="preserve">Speeed</t>
  </si>
  <si>
    <t xml:space="preserve">t3b3k5ym37f128b|DOTA · TY vs GL</t>
  </si>
  <si>
    <t xml:space="preserve">Yuma</t>
  </si>
  <si>
    <t xml:space="preserve">25%/2/8</t>
  </si>
  <si>
    <t xml:space="preserve">388xfoz6m2jbt95|DOTA · TY vs GL</t>
  </si>
  <si>
    <t xml:space="preserve">ATF</t>
  </si>
  <si>
    <t xml:space="preserve">17%/1/6</t>
  </si>
  <si>
    <t xml:space="preserve">gjtmq8fbk0gya2i|DOTA · TY vs GL</t>
  </si>
  <si>
    <t xml:space="preserve">Chira JUNIOR</t>
  </si>
  <si>
    <t xml:space="preserve">ms674i51eq6w83k|DOTA · TY vs GL</t>
  </si>
  <si>
    <t xml:space="preserve">Malady</t>
  </si>
  <si>
    <t xml:space="preserve">100%/2/2</t>
  </si>
  <si>
    <t xml:space="preserve">0ajkyqw3r0k1f5j|DOTA · TY vs GL</t>
  </si>
  <si>
    <t xml:space="preserve">Saksa</t>
  </si>
  <si>
    <t xml:space="preserve">b2idu6d2bllmgsq|DOTA · TY vs GL</t>
  </si>
  <si>
    <t xml:space="preserve">watson</t>
  </si>
  <si>
    <t xml:space="preserve">sm63cqd6f6fdapn|DOTA · TY vs GL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</si>
  <si>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</si>
  <si>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</si>
  <si>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</si>
  <si>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</si>
  <si>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</si>
  <si>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</si>
  <si>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</si>
  <si>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</si>
  <si>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</si>
  <si>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</si>
  <si>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</si>
  <si>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</si>
  <si>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</si>
  <si>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</si>
  <si>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</si>
  <si>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</si>
  <si>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</si>
  <si>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</si>
  <si>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</si>
  <si>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</si>
  <si>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 var</t>
  </si>
  <si>
    <t xml:space="preserve">K13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</si>
  <si>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</si>
  <si>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</si>
  <si>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</si>
  <si>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</si>
  <si>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</si>
  <si>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</si>
  <si>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</si>
  <si>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</si>
  <si>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</si>
  <si>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</si>
  <si>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</si>
  <si>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</si>
  <si>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</si>
  <si>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</si>
  <si>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</si>
  <si>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</si>
  <si>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</si>
  <si>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</si>
  <si>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</si>
  <si>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</si>
  <si>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</si>
  <si>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</si>
  <si>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</si>
  <si>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</si>
  <si>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</si>
  <si>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</si>
  <si>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</si>
  <si>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</si>
  <si>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</si>
  <si>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</si>
  <si>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</si>
  <si>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</si>
  <si>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</si>
  <si>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</si>
  <si>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2026-10-31</t>
  </si>
  <si>
    <t xml:space="preserve">BUILT_UTC</t>
  </si>
  <si>
    <t xml:space="preserve">2026-10-31 03:17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</si>
  <si>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</si>
  <si>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</si>
  <si>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</si>
  <si>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</si>
  <si>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</si>
  <si>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</si>
  <si>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</si>
  <si>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</si>
  <si>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</si>
  <si>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</si>
  <si>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</si>
  <si>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</si>
  <si>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</si>
  <si>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</si>
  <si>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</si>
  <si>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</si>
  <si>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</si>
  <si>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GL vs TY</t>
  </si>
  <si>
    <t xml:space="preserve">OK</t>
  </si>
  <si>
    <t xml:space="preserve">https://www.pickfinder.app/players/dota2/qviujqdmb4jzi0q</t>
  </si>
  <si>
    <t xml:space="preserve">DOTA</t>
  </si>
  <si>
    <t xml:space="preserve">4</t>
  </si>
  <si>
    <t xml:space="preserve">https://www.pickfinder.app/players/dota2/7f340lwfa48ats4</t>
  </si>
  <si>
    <t xml:space="preserve">3</t>
  </si>
  <si>
    <t xml:space="preserve">https://www.pickfinder.app/players/dota2/3zaze8op521xnc4</t>
  </si>
  <si>
    <t xml:space="preserve">2</t>
  </si>
  <si>
    <t xml:space="preserve">https://www.pickfinder.app/players/dota2/t3b3k5ym37f128b</t>
  </si>
  <si>
    <t xml:space="preserve">5</t>
  </si>
  <si>
    <t xml:space="preserve">https://www.pickfinder.app/players/dota2/388xfoz6m2jbt95</t>
  </si>
  <si>
    <t xml:space="preserve">1</t>
  </si>
  <si>
    <t xml:space="preserve">TY vs GL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</si>
  <si>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</si>
  <si>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</si>
  <si>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</si>
  <si>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</si>
  <si>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</si>
  <si>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</si>
  <si>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</si>
  <si>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</si>
  <si>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</si>
  <si>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</si>
  <si>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</si>
  <si>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</si>
  <si>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10/29</t>
  </si>
  <si>
    <t xml:space="preserve">OG</t>
  </si>
  <si>
    <t xml:space="preserve">10/28</t>
  </si>
  <si>
    <t xml:space="preserve">LEGION</t>
  </si>
  <si>
    <t xml:space="preserve">10/26</t>
  </si>
  <si>
    <t xml:space="preserve">10/24</t>
  </si>
  <si>
    <t xml:space="preserve">1WIN</t>
  </si>
  <si>
    <t xml:space="preserve">10/23</t>
  </si>
  <si>
    <t xml:space="preserve">Liquid</t>
  </si>
  <si>
    <t xml:space="preserve">10/22</t>
  </si>
  <si>
    <t xml:space="preserve">10/03</t>
  </si>
  <si>
    <t xml:space="preserve">LGD</t>
  </si>
  <si>
    <t xml:space="preserve">10/02</t>
  </si>
  <si>
    <t xml:space="preserve">10/01</t>
  </si>
  <si>
    <t xml:space="preserve">YB</t>
  </si>
  <si>
    <t xml:space="preserve">09/29</t>
  </si>
  <si>
    <t xml:space="preserve">AUR</t>
  </si>
  <si>
    <t xml:space="preserve">09/26</t>
  </si>
  <si>
    <t xml:space="preserve">Xtreme</t>
  </si>
  <si>
    <t xml:space="preserve">09/25</t>
  </si>
  <si>
    <t xml:space="preserve">09/24</t>
  </si>
  <si>
    <t xml:space="preserve">09/22</t>
  </si>
  <si>
    <t xml:space="preserve">Nem</t>
  </si>
  <si>
    <t xml:space="preserve">09/21</t>
  </si>
  <si>
    <t xml:space="preserve">PIPS+4</t>
  </si>
  <si>
    <t xml:space="preserve">10/14</t>
  </si>
  <si>
    <t xml:space="preserve">Nix</t>
  </si>
  <si>
    <t xml:space="preserve">09/20</t>
  </si>
  <si>
    <t xml:space="preserve">TC</t>
  </si>
  <si>
    <t xml:space="preserve">09/19</t>
  </si>
  <si>
    <t xml:space="preserve">CS</t>
  </si>
  <si>
    <t xml:space="preserve">08/16</t>
  </si>
  <si>
    <t xml:space="preserve">08/15</t>
  </si>
  <si>
    <t xml:space="preserve">VG</t>
  </si>
  <si>
    <t xml:space="preserve">PARI</t>
  </si>
  <si>
    <t xml:space="preserve">AI</t>
  </si>
  <si>
    <t xml:space="preserve">10/25</t>
  </si>
  <si>
    <t xml:space="preserve">DB</t>
  </si>
  <si>
    <t xml:space="preserve">10/11</t>
  </si>
  <si>
    <t xml:space="preserve">TS</t>
  </si>
  <si>
    <t xml:space="preserve">10/10</t>
  </si>
  <si>
    <t xml:space="preserve">10/08</t>
  </si>
  <si>
    <t xml:space="preserve">BB</t>
  </si>
  <si>
    <t xml:space="preserve">09/30</t>
  </si>
  <si>
    <t xml:space="preserve">MOUZ</t>
  </si>
  <si>
    <t xml:space="preserve">09/27</t>
  </si>
  <si>
    <t xml:space="preserve">Na`Vi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</si>
  <si>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</si>
  <si>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</si>
  <si>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</si>
  <si>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</si>
  <si>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</si>
  <si>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</si>
  <si>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atf</t>
  </si>
  <si>
    <t xml:space="preserve">bignum</t>
  </si>
  <si>
    <t xml:space="preserve">chira_junior</t>
  </si>
  <si>
    <t xml:space="preserve">fayde</t>
  </si>
  <si>
    <t xml:space="preserve">malady</t>
  </si>
  <si>
    <t xml:space="preserve">rcy</t>
  </si>
  <si>
    <t xml:space="preserve">saksa</t>
  </si>
  <si>
    <t xml:space="preserve">speeed</t>
  </si>
  <si>
    <t xml:space="preserve">yuma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</si>
  <si>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</si>
  <si>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</si>
  <si>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</si>
  <si>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</si>
  <si>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</si>
  <si>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</si>
  <si>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</si>
  <si>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</si>
  <si>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10 / 10 players pass</t>
  </si>
  <si>
    <t xml:space="preserve">Matches resolved to Thunderpick</t>
  </si>
  <si>
    <t xml:space="preserve">1 / 1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</si>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</sst>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9ECE3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EFF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IFERROR(IF(INDEX(Matches!$E$5:$E$5,MATCH($B$2,Matches!$A$5:$A$5,0))="","",INDEX(Matches!$E$5:$E$5,MATCH($B$2,Matches!$A$5:$A$5,0))),"")&amp;"  vs  "&amp;IFERROR(IF(INDEX(Matches!$F$5:$F$5,MATCH($B$2,Matches!$A$5:$A$5,0))="","",INDEX(Matches!$F$5:$F$5,MATCH($B$2,Matches!$A$5:$A$5,0))),"")</f>
        <v>Team Yandex (TY)  vs  GamerLegion (GL)</v>
      </c>
      <c r="D4" s="4" t="s">
        <v>29</v>
      </c>
      <c r="E4" s="0" t="str">
        <f aca="false">IFERROR(IF(INDEX(Matches!$C$5:$C$5,MATCH($B$2,Matches!$A$5:$A$5,0))="","",INDEX(Matches!$C$5:$C$5,MATCH($B$2,Matches!$A$5:$A$5,0))),"")</f>
        <v>Sat 08:00</v>
      </c>
      <c r="G4" s="4" t="s">
        <v>30</v>
      </c>
      <c r="H4" s="6" t="n">
        <f aca="false">IFERROR(IF(INDEX(Matches!$D$5:$D$5,MATCH($B$2,Matches!$A$5:$A$5,0))="","",INDEX(Matches!$D$5:$D$5,MATCH($B$2,Matches!$A$5:$A$5,0))),"")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IFERROR(IF(INDEX(Matches!$B$5:$B$5,MATCH($B$2,Matches!$A$5:$A$5,0))="","",INDEX(Matches!$B$5:$B$5,MATCH($B$2,Matches!$A$5:$A$5,0))),"")</f>
        <v>P Universe</v>
      </c>
      <c r="D5" s="4" t="s">
        <v>32</v>
      </c>
      <c r="E5" s="7" t="n">
        <f aca="false">IFERROR(IF(INDEX(Matches!$G$5:$G$5,MATCH($B$2,Matches!$A$5:$A$5,0))="","",INDEX(Matches!$G$5:$G$5,MATCH($B$2,Matches!$A$5:$A$5,0))),"")</f>
        <v>0.864661654135338</v>
      </c>
      <c r="G5" s="4" t="s">
        <v>33</v>
      </c>
      <c r="H5" s="7" t="n">
        <f aca="false">IFERROR(IF(INDEX(Matches!$M$5:$M$5,MATCH($B$2,Matches!$A$5:$A$5,0))="","",INDEX(Matches!$M$5:$M$5,MATCH($B$2,Matches!$A$5:$A$5,0))),"")</f>
        <v>0.779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IFERROR(IF(INDEX(Matches!$H$5:$H$5,MATCH($B$2,Matches!$A$5:$A$5,0))="","",INDEX(Matches!$H$5:$H$5,MATCH($B$2,Matches!$A$5:$A$5,0))),"")</f>
        <v>52.2768344451183</v>
      </c>
      <c r="D6" s="4" t="s">
        <v>35</v>
      </c>
      <c r="E6" s="0" t="str">
        <f aca="false">IF(IFERROR(IF(INDEX(Matches!$I$5:$I$5,MATCH($B$2,Matches!$A$5:$A$5,0))="","",INDEX(Matches!$I$5:$I$5,MATCH($B$2,Matches!$A$5:$A$5,0))),"")="","",TEXT(IFERROR(IF(INDEX(Matches!$I$5:$I$5,MATCH($B$2,Matches!$A$5:$A$5,0))="","",INDEX(Matches!$I$5:$I$5,MATCH($B$2,Matches!$A$5:$A$5,0))),""),"0.0")&amp;" / "&amp;TEXT(IFERROR(IF(INDEX(Matches!$J$5:$J$5,MATCH($B$2,Matches!$A$5:$A$5,0))="","",INDEX(Matches!$J$5:$J$5,MATCH($B$2,Matches!$A$5:$A$5,0))),""),"0.0"))</f>
        <v>32.2 / 21.3</v>
      </c>
      <c r="G6" s="4" t="s">
        <v>36</v>
      </c>
      <c r="H6" s="8" t="n">
        <f aca="false">IFERROR(IF(INDEX(Matches!$K$5:$K$5,MATCH($B$2,Matches!$A$5:$A$5,0))="","",INDEX(Matches!$K$5:$K$5,MATCH($B$2,Matches!$A$5:$A$5,0))),"")</f>
        <v>40.4598953792502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IFERROR(IF(INDEX(Matches!$R$5:$R$5,MATCH($B$2,Matches!$A$5:$A$5,0))="","",INDEX(Matches!$R$5:$R$5,MATCH($B$2,Matches!$A$5:$A$5,0))),"")</f>
        <v>1</v>
      </c>
      <c r="D7" s="4" t="s">
        <v>38</v>
      </c>
      <c r="E7" s="0" t="str">
        <f aca="false">TEXT(IFERROR(IF(INDEX(Matches!$P$5:$P$5,MATCH($B$2,Matches!$A$5:$A$5,0))="","",INDEX(Matches!$P$5:$P$5,MATCH($B$2,Matches!$A$5:$A$5,0))),""),"0%")&amp;" / "&amp;TEXT(IFERROR(IF(INDEX(Matches!$Q$5:$Q$5,MATCH($B$2,Matches!$A$5:$A$5,0))="","",INDEX(Matches!$Q$5:$Q$5,MATCH($B$2,Matches!$A$5:$A$5,0))),""),"0%")</f>
        <v>100% / 34%</v>
      </c>
      <c r="G7" s="4" t="s">
        <v>39</v>
      </c>
      <c r="H7" s="8" t="n">
        <f aca="false">IF(IFERROR(IF(INDEX(Matches!$I$5:$I$5,MATCH($B$2,Matches!$A$5:$A$5,0))="","",INDEX(Matches!$I$5:$I$5,MATCH($B$2,Matches!$A$5:$A$5,0))),"")="","",IFERROR(IF(INDEX(Matches!$I$5:$I$5,MATCH($B$2,Matches!$A$5:$A$5,0))="","",INDEX(Matches!$I$5:$I$5,MATCH($B$2,Matches!$A$5:$A$5,0))),"")-IFERROR(IF(INDEX(Matches!$J$5:$J$5,MATCH($B$2,Matches!$A$5:$A$5,0))="","",INDEX(Matches!$J$5:$J$5,MATCH($B$2,Matches!$A$5:$A$5,0))),""))</f>
        <v>10.906678711112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"&amp;(MATCH($B$2,Matches!$A$5:$A$5,0)+4)&amp;"."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IF($T12="","",INDEX(Calc!$C$2:$C$11,$T12))</f>
        <v>TY</v>
      </c>
      <c r="B12" s="0" t="str">
        <f aca="false">IF($T12="","",INDEX(Calc!$D$2:$D$11,$T12))</f>
        <v>watson</v>
      </c>
      <c r="C12" s="7" t="n">
        <f aca="false">IF($T12="","",INDEX(Calc!$H$2:$H$11,$T12))</f>
        <v>0.73</v>
      </c>
      <c r="D12" s="8" t="n">
        <f aca="false">IF($T12="","",INDEX(Calc!$I$2:$I$11,$T12))</f>
        <v>10.5</v>
      </c>
      <c r="E12" s="8" t="n">
        <f aca="false">IF($T12="","",INDEX(Calc!$J$2:$J$11,$T12))</f>
        <v>11.897445746111</v>
      </c>
      <c r="F12" s="8" t="n">
        <f aca="false">IF($T12="","",INDEX(Calc!$K$2:$K$11,$T12))</f>
        <v>6.72172076051469</v>
      </c>
      <c r="G12" s="7" t="n">
        <f aca="false">IF($T12="","",INDEX(Calc!$M$2:$M$11,$T12))</f>
        <v>0.779</v>
      </c>
      <c r="H12" s="8" t="n">
        <f aca="false">IF($T12="","",INDEX(Calc!$Y$2:$Y$11,$T12))</f>
        <v>10.7536105242942</v>
      </c>
      <c r="I12" s="8" t="n">
        <f aca="false">IF($T12="","",INDEX(Calc!$AE$2:$AE$11,$T12))</f>
        <v>10.5</v>
      </c>
      <c r="J12" s="0" t="str">
        <f aca="false">IF($T12="","",IFERROR(INDEX(Projections!$E$2:$E$11,MATCH(INDEX(Calc!$A$2:$A$11,$T12)&amp;"|K1",Projections!$AA$2:$AA$11,0)),""))</f>
        <v/>
      </c>
      <c r="K12" s="7" t="str">
        <f aca="false">IF($T12="","",IFERROR(INDEX(Projections!$H$2:$H$11,MATCH(INDEX(Calc!$A$2:$A$11,$T12)&amp;"|K1",Projections!$AA$2:$AA$11,0)),""))</f>
        <v/>
      </c>
      <c r="L12" s="8" t="n">
        <f aca="false">IF($T12="","",INDEX(Calc!$AK$2:$AK$11,$T12))</f>
        <v>21.5072210485884</v>
      </c>
      <c r="M12" s="6" t="n">
        <f aca="false">IF($T12="","",IFERROR(INDEX(Projections!$E$2:$E$11,MATCH(INDEX(Calc!$A$2:$A$11,$T12)&amp;"|"&amp;INDEX(Calc!$AJ$2:$AJ$11,$T12),Projections!$AA$2:$AA$11,0)),""))</f>
        <v>19.5</v>
      </c>
      <c r="N12" s="7" t="n">
        <f aca="false">IF($T12="","",IFERROR(INDEX(Projections!$H$2:$H$11,MATCH(INDEX(Calc!$A$2:$A$11,$T12)&amp;"|"&amp;INDEX(Calc!$AJ$2:$AJ$11,$T12),Projections!$AA$2:$AA$11,0)),""))</f>
        <v>0.61307473606137</v>
      </c>
      <c r="O12" s="6" t="n">
        <f aca="false">IF($T12="","",IFERROR(INDEX(Projections!$N$2:$N$11,MATCH(INDEX(Calc!$A$2:$A$11,$T12)&amp;"|K1",Projections!$AA$2:$AA$11,0)),IFERROR(INDEX(Projections!$N$2:$N$11,MATCH(INDEX(Calc!$A$2:$A$11,$T12)&amp;"|"&amp;INDEX(Calc!$AJ$2:$AJ$11,$T12),Projections!$AA$2:$AA$11,0)),"")))</f>
        <v>17.47</v>
      </c>
      <c r="P12" s="7" t="n">
        <f aca="false">IF($T12="","",IFERROR(INDEX(Projections!$S$2:$S$11,MATCH(INDEX(Calc!$A$2:$A$11,$T12)&amp;"|K1",Projections!$AA$2:$AA$11,0)),IFERROR(INDEX(Projections!$S$2:$S$11,MATCH(INDEX(Calc!$A$2:$A$11,$T12)&amp;"|"&amp;INDEX(Calc!$AJ$2:$AJ$11,$T12),Projections!$AA$2:$AA$11,0)),"")))</f>
        <v>0.3</v>
      </c>
      <c r="Q12" s="6" t="n">
        <f aca="false">IF($T12="","",INDEX(Calc!$G$2:$G$11,$T12))</f>
        <v>30</v>
      </c>
      <c r="R12" s="0" t="str">
        <f aca="false">IF($T12="","",INDEX(Calc!$AH$2:$AH$11,$T12))</f>
        <v>new roster: 0% of his recent games with these teammates</v>
      </c>
      <c r="T12" s="6" t="n">
        <f aca="false">IFERROR(MATCH(1,Calc!$AI$2:$AI$11,0),"")</f>
        <v>10</v>
      </c>
    </row>
    <row r="13" customFormat="false" ht="15" hidden="false" customHeight="false" outlineLevel="0" collapsed="false">
      <c r="A13" s="0" t="str">
        <f aca="false">IF($T13="","",INDEX(Calc!$C$2:$C$11,$T13))</f>
        <v>TY</v>
      </c>
      <c r="B13" s="0" t="str">
        <f aca="false">IF($T13="","",INDEX(Calc!$D$2:$D$11,$T13))</f>
        <v>ATF</v>
      </c>
      <c r="C13" s="7" t="n">
        <f aca="false">IF($T13="","",INDEX(Calc!$H$2:$H$11,$T13))</f>
        <v>0.73</v>
      </c>
      <c r="D13" s="8" t="n">
        <f aca="false">IF($T13="","",INDEX(Calc!$I$2:$I$11,$T13))</f>
        <v>9.1</v>
      </c>
      <c r="E13" s="8" t="n">
        <f aca="false">IF($T13="","",INDEX(Calc!$J$2:$J$11,$T13))</f>
        <v>10.3111196466295</v>
      </c>
      <c r="F13" s="8" t="n">
        <f aca="false">IF($T13="","",INDEX(Calc!$K$2:$K$11,$T13))</f>
        <v>5.8254913257794</v>
      </c>
      <c r="G13" s="7" t="n">
        <f aca="false">IF($T13="","",INDEX(Calc!$M$2:$M$11,$T13))</f>
        <v>0.779</v>
      </c>
      <c r="H13" s="8" t="n">
        <f aca="false">IF($T13="","",INDEX(Calc!$Y$2:$Y$11,$T13))</f>
        <v>9.31979578772166</v>
      </c>
      <c r="I13" s="8" t="n">
        <f aca="false">IF($T13="","",INDEX(Calc!$AE$2:$AE$11,$T13))</f>
        <v>9.1</v>
      </c>
      <c r="J13" s="0" t="str">
        <f aca="false">IF($T13="","",IFERROR(INDEX(Projections!$E$2:$E$11,MATCH(INDEX(Calc!$A$2:$A$11,$T13)&amp;"|K1",Projections!$AA$2:$AA$11,0)),""))</f>
        <v/>
      </c>
      <c r="K13" s="7" t="str">
        <f aca="false">IF($T13="","",IFERROR(INDEX(Projections!$H$2:$H$11,MATCH(INDEX(Calc!$A$2:$A$11,$T13)&amp;"|K1",Projections!$AA$2:$AA$11,0)),""))</f>
        <v/>
      </c>
      <c r="L13" s="8" t="n">
        <f aca="false">IF($T13="","",INDEX(Calc!$AK$2:$AK$11,$T13))</f>
        <v>18.6395915754433</v>
      </c>
      <c r="M13" s="6" t="n">
        <f aca="false">IF($T13="","",IFERROR(INDEX(Projections!$E$2:$E$11,MATCH(INDEX(Calc!$A$2:$A$11,$T13)&amp;"|"&amp;INDEX(Calc!$AJ$2:$AJ$11,$T13),Projections!$AA$2:$AA$11,0)),""))</f>
        <v>16</v>
      </c>
      <c r="N13" s="7" t="n">
        <f aca="false">IF($T13="","",IFERROR(INDEX(Projections!$H$2:$H$11,MATCH(INDEX(Calc!$A$2:$A$11,$T13)&amp;"|"&amp;INDEX(Calc!$AJ$2:$AJ$11,$T13),Projections!$AA$2:$AA$11,0)),""))</f>
        <v>0.630521801348147</v>
      </c>
      <c r="O13" s="6" t="n">
        <f aca="false">IF($T13="","",IFERROR(INDEX(Projections!$N$2:$N$11,MATCH(INDEX(Calc!$A$2:$A$11,$T13)&amp;"|K1",Projections!$AA$2:$AA$11,0)),IFERROR(INDEX(Projections!$N$2:$N$11,MATCH(INDEX(Calc!$A$2:$A$11,$T13)&amp;"|"&amp;INDEX(Calc!$AJ$2:$AJ$11,$T13),Projections!$AA$2:$AA$11,0)),"")))</f>
        <v>15.91</v>
      </c>
      <c r="P13" s="7" t="n">
        <f aca="false">IF($T13="","",IFERROR(INDEX(Projections!$S$2:$S$11,MATCH(INDEX(Calc!$A$2:$A$11,$T13)&amp;"|K1",Projections!$AA$2:$AA$11,0)),IFERROR(INDEX(Projections!$S$2:$S$11,MATCH(INDEX(Calc!$A$2:$A$11,$T13)&amp;"|"&amp;INDEX(Calc!$AJ$2:$AJ$11,$T13),Projections!$AA$2:$AA$11,0)),"")))</f>
        <v>0.6</v>
      </c>
      <c r="Q13" s="6" t="n">
        <f aca="false">IF($T13="","",INDEX(Calc!$G$2:$G$11,$T13))</f>
        <v>30</v>
      </c>
      <c r="R13" s="0" t="str">
        <f aca="false">IF($T13="","",INDEX(Calc!$AH$2:$AH$11,$T13))</f>
        <v>new roster: 0% of his recent games with these teammates</v>
      </c>
      <c r="T13" s="6" t="n">
        <f aca="false">IFERROR(MATCH(2,Calc!$AI$2:$AI$11,0),"")</f>
        <v>6</v>
      </c>
    </row>
    <row r="14" customFormat="false" ht="15" hidden="false" customHeight="false" outlineLevel="0" collapsed="false">
      <c r="A14" s="0" t="str">
        <f aca="false">IF($T14="","",INDEX(Calc!$C$2:$C$11,$T14))</f>
        <v>GL</v>
      </c>
      <c r="B14" s="0" t="str">
        <f aca="false">IF($T14="","",INDEX(Calc!$D$2:$D$11,$T14))</f>
        <v>Yuma</v>
      </c>
      <c r="C14" s="7" t="n">
        <f aca="false">IF($T14="","",INDEX(Calc!$H$2:$H$11,$T14))</f>
        <v>0.57</v>
      </c>
      <c r="D14" s="8" t="n">
        <f aca="false">IF($T14="","",INDEX(Calc!$I$2:$I$11,$T14))</f>
        <v>8.9</v>
      </c>
      <c r="E14" s="8" t="n">
        <f aca="false">IF($T14="","",INDEX(Calc!$J$2:$J$11,$T14))</f>
        <v>10.9479463479047</v>
      </c>
      <c r="F14" s="8" t="n">
        <f aca="false">IF($T14="","",INDEX(Calc!$K$2:$K$11,$T14))</f>
        <v>6.185280422545</v>
      </c>
      <c r="G14" s="7" t="n">
        <f aca="false">IF($T14="","",INDEX(Calc!$M$2:$M$11,$T14))</f>
        <v>0.221</v>
      </c>
      <c r="H14" s="8" t="n">
        <f aca="false">IF($T14="","",INDEX(Calc!$Y$2:$Y$11,$T14))</f>
        <v>7.23782959204948</v>
      </c>
      <c r="I14" s="8" t="n">
        <f aca="false">IF($T14="","",INDEX(Calc!$AE$2:$AE$11,$T14))</f>
        <v>8.9</v>
      </c>
      <c r="J14" s="0" t="str">
        <f aca="false">IF($T14="","",IFERROR(INDEX(Projections!$E$2:$E$11,MATCH(INDEX(Calc!$A$2:$A$11,$T14)&amp;"|K1",Projections!$AA$2:$AA$11,0)),""))</f>
        <v/>
      </c>
      <c r="K14" s="7" t="str">
        <f aca="false">IF($T14="","",IFERROR(INDEX(Projections!$H$2:$H$11,MATCH(INDEX(Calc!$A$2:$A$11,$T14)&amp;"|K1",Projections!$AA$2:$AA$11,0)),""))</f>
        <v/>
      </c>
      <c r="L14" s="8" t="n">
        <f aca="false">IF($T14="","",INDEX(Calc!$AK$2:$AK$11,$T14))</f>
        <v>14.475659184099</v>
      </c>
      <c r="M14" s="6" t="n">
        <f aca="false">IF($T14="","",IFERROR(INDEX(Projections!$E$2:$E$11,MATCH(INDEX(Calc!$A$2:$A$11,$T14)&amp;"|"&amp;INDEX(Calc!$AJ$2:$AJ$11,$T14),Projections!$AA$2:$AA$11,0)),""))</f>
        <v>12.5</v>
      </c>
      <c r="N14" s="7" t="n">
        <f aca="false">IF($T14="","",IFERROR(INDEX(Projections!$H$2:$H$11,MATCH(INDEX(Calc!$A$2:$A$11,$T14)&amp;"|"&amp;INDEX(Calc!$AJ$2:$AJ$11,$T14),Projections!$AA$2:$AA$11,0)),""))</f>
        <v>0.631800258067625</v>
      </c>
      <c r="O14" s="6" t="n">
        <f aca="false">IF($T14="","",IFERROR(INDEX(Projections!$N$2:$N$11,MATCH(INDEX(Calc!$A$2:$A$11,$T14)&amp;"|K1",Projections!$AA$2:$AA$11,0)),IFERROR(INDEX(Projections!$N$2:$N$11,MATCH(INDEX(Calc!$A$2:$A$11,$T14)&amp;"|"&amp;INDEX(Calc!$AJ$2:$AJ$11,$T14),Projections!$AA$2:$AA$11,0)),"")))</f>
        <v>11.54</v>
      </c>
      <c r="P14" s="7" t="n">
        <f aca="false">IF($T14="","",IFERROR(INDEX(Projections!$S$2:$S$11,MATCH(INDEX(Calc!$A$2:$A$11,$T14)&amp;"|K1",Projections!$AA$2:$AA$11,0)),IFERROR(INDEX(Projections!$S$2:$S$11,MATCH(INDEX(Calc!$A$2:$A$11,$T14)&amp;"|"&amp;INDEX(Calc!$AJ$2:$AJ$11,$T14),Projections!$AA$2:$AA$11,0)),"")))</f>
        <v>0.7</v>
      </c>
      <c r="Q14" s="6" t="n">
        <f aca="false">IF($T14="","",INDEX(Calc!$G$2:$G$11,$T14))</f>
        <v>30</v>
      </c>
      <c r="R14" s="0" t="str">
        <f aca="false">IF($T14="","",INDEX(Calc!$AH$2:$AH$11,$T14))</f>
        <v>new roster: 0% of his recent games with these teammates</v>
      </c>
      <c r="T14" s="6" t="n">
        <f aca="false">IFERROR(MATCH(3,Calc!$AI$2:$AI$11,0),"")</f>
        <v>5</v>
      </c>
    </row>
    <row r="15" customFormat="false" ht="15" hidden="false" customHeight="false" outlineLevel="0" collapsed="false">
      <c r="A15" s="0" t="str">
        <f aca="false">IF($T15="","",INDEX(Calc!$C$2:$C$11,$T15))</f>
        <v>TY</v>
      </c>
      <c r="B15" s="0" t="str">
        <f aca="false">IF($T15="","",INDEX(Calc!$D$2:$D$11,$T15))</f>
        <v>Chira JUNIOR</v>
      </c>
      <c r="C15" s="7" t="n">
        <f aca="false">IF($T15="","",INDEX(Calc!$H$2:$H$11,$T15))</f>
        <v>0.73</v>
      </c>
      <c r="D15" s="8" t="n">
        <f aca="false">IF($T15="","",INDEX(Calc!$I$2:$I$11,$T15))</f>
        <v>7</v>
      </c>
      <c r="E15" s="8" t="n">
        <f aca="false">IF($T15="","",INDEX(Calc!$J$2:$J$11,$T15))</f>
        <v>7.93163049740734</v>
      </c>
      <c r="F15" s="8" t="n">
        <f aca="false">IF($T15="","",INDEX(Calc!$K$2:$K$11,$T15))</f>
        <v>4.48114717367646</v>
      </c>
      <c r="G15" s="7" t="n">
        <f aca="false">IF($T15="","",INDEX(Calc!$M$2:$M$11,$T15))</f>
        <v>0.779</v>
      </c>
      <c r="H15" s="8" t="n">
        <f aca="false">IF($T15="","",INDEX(Calc!$Y$2:$Y$11,$T15))</f>
        <v>7.16907368286281</v>
      </c>
      <c r="I15" s="8" t="n">
        <f aca="false">IF($T15="","",INDEX(Calc!$AE$2:$AE$11,$T15))</f>
        <v>7</v>
      </c>
      <c r="J15" s="0" t="str">
        <f aca="false">IF($T15="","",IFERROR(INDEX(Projections!$E$2:$E$11,MATCH(INDEX(Calc!$A$2:$A$11,$T15)&amp;"|K1",Projections!$AA$2:$AA$11,0)),""))</f>
        <v/>
      </c>
      <c r="K15" s="7" t="str">
        <f aca="false">IF($T15="","",IFERROR(INDEX(Projections!$H$2:$H$11,MATCH(INDEX(Calc!$A$2:$A$11,$T15)&amp;"|K1",Projections!$AA$2:$AA$11,0)),""))</f>
        <v/>
      </c>
      <c r="L15" s="8" t="n">
        <f aca="false">IF($T15="","",INDEX(Calc!$AK$2:$AK$11,$T15))</f>
        <v>14.3381473657256</v>
      </c>
      <c r="M15" s="6" t="n">
        <f aca="false">IF($T15="","",IFERROR(INDEX(Projections!$E$2:$E$11,MATCH(INDEX(Calc!$A$2:$A$11,$T15)&amp;"|"&amp;INDEX(Calc!$AJ$2:$AJ$11,$T15),Projections!$AA$2:$AA$11,0)),""))</f>
        <v>15.5</v>
      </c>
      <c r="N15" s="7" t="n">
        <f aca="false">IF($T15="","",IFERROR(INDEX(Projections!$H$2:$H$11,MATCH(INDEX(Calc!$A$2:$A$11,$T15)&amp;"|"&amp;INDEX(Calc!$AJ$2:$AJ$11,$T15),Projections!$AA$2:$AA$11,0)),""))</f>
        <v>0.41666138466658</v>
      </c>
      <c r="O15" s="6" t="n">
        <f aca="false">IF($T15="","",IFERROR(INDEX(Projections!$N$2:$N$11,MATCH(INDEX(Calc!$A$2:$A$11,$T15)&amp;"|K1",Projections!$AA$2:$AA$11,0)),IFERROR(INDEX(Projections!$N$2:$N$11,MATCH(INDEX(Calc!$A$2:$A$11,$T15)&amp;"|"&amp;INDEX(Calc!$AJ$2:$AJ$11,$T15),Projections!$AA$2:$AA$11,0)),"")))</f>
        <v>0</v>
      </c>
      <c r="P15" s="7" t="n">
        <f aca="false">IF($T15="","",IFERROR(INDEX(Projections!$S$2:$S$11,MATCH(INDEX(Calc!$A$2:$A$11,$T15)&amp;"|K1",Projections!$AA$2:$AA$11,0)),IFERROR(INDEX(Projections!$S$2:$S$11,MATCH(INDEX(Calc!$A$2:$A$11,$T15)&amp;"|"&amp;INDEX(Calc!$AJ$2:$AJ$11,$T15),Projections!$AA$2:$AA$11,0)),"")))</f>
        <v>0.3</v>
      </c>
      <c r="Q15" s="6" t="n">
        <f aca="false">IF($T15="","",INDEX(Calc!$G$2:$G$11,$T15))</f>
        <v>30</v>
      </c>
      <c r="R15" s="0" t="str">
        <f aca="false">IF($T15="","",INDEX(Calc!$AH$2:$AH$11,$T15))</f>
        <v>new roster: 0% of his recent games with these teammates</v>
      </c>
      <c r="T15" s="6" t="n">
        <f aca="false">IFERROR(MATCH(4,Calc!$AI$2:$AI$11,0),"")</f>
        <v>7</v>
      </c>
    </row>
    <row r="16" customFormat="false" ht="15" hidden="false" customHeight="false" outlineLevel="0" collapsed="false">
      <c r="A16" s="0" t="str">
        <f aca="false">IF($T16="","",INDEX(Calc!$C$2:$C$11,$T16))</f>
        <v>GL</v>
      </c>
      <c r="B16" s="0" t="str">
        <f aca="false">IF($T16="","",INDEX(Calc!$D$2:$D$11,$T16))</f>
        <v>RCY</v>
      </c>
      <c r="C16" s="7" t="n">
        <f aca="false">IF($T16="","",INDEX(Calc!$H$2:$H$11,$T16))</f>
        <v>0.57</v>
      </c>
      <c r="D16" s="8" t="n">
        <f aca="false">IF($T16="","",INDEX(Calc!$I$2:$I$11,$T16))</f>
        <v>8.3</v>
      </c>
      <c r="E16" s="8" t="n">
        <f aca="false">IF($T16="","",INDEX(Calc!$J$2:$J$11,$T16))</f>
        <v>10.2098825491695</v>
      </c>
      <c r="F16" s="8" t="n">
        <f aca="false">IF($T16="","",INDEX(Calc!$K$2:$K$11,$T16))</f>
        <v>5.7682952255195</v>
      </c>
      <c r="G16" s="7" t="n">
        <f aca="false">IF($T16="","",INDEX(Calc!$M$2:$M$11,$T16))</f>
        <v>0.221</v>
      </c>
      <c r="H16" s="8" t="n">
        <f aca="false">IF($T16="","",INDEX(Calc!$Y$2:$Y$11,$T16))</f>
        <v>6.74988602404615</v>
      </c>
      <c r="I16" s="8" t="n">
        <f aca="false">IF($T16="","",INDEX(Calc!$AE$2:$AE$11,$T16))</f>
        <v>8.3</v>
      </c>
      <c r="J16" s="0" t="str">
        <f aca="false">IF($T16="","",IFERROR(INDEX(Projections!$E$2:$E$11,MATCH(INDEX(Calc!$A$2:$A$11,$T16)&amp;"|K1",Projections!$AA$2:$AA$11,0)),""))</f>
        <v/>
      </c>
      <c r="K16" s="7" t="str">
        <f aca="false">IF($T16="","",IFERROR(INDEX(Projections!$H$2:$H$11,MATCH(INDEX(Calc!$A$2:$A$11,$T16)&amp;"|K1",Projections!$AA$2:$AA$11,0)),""))</f>
        <v/>
      </c>
      <c r="L16" s="8" t="n">
        <f aca="false">IF($T16="","",INDEX(Calc!$AK$2:$AK$11,$T16))</f>
        <v>13.4997720480923</v>
      </c>
      <c r="M16" s="6" t="n">
        <f aca="false">IF($T16="","",IFERROR(INDEX(Projections!$E$2:$E$11,MATCH(INDEX(Calc!$A$2:$A$11,$T16)&amp;"|"&amp;INDEX(Calc!$AJ$2:$AJ$11,$T16),Projections!$AA$2:$AA$11,0)),""))</f>
        <v>11</v>
      </c>
      <c r="N16" s="7" t="n">
        <f aca="false">IF($T16="","",IFERROR(INDEX(Projections!$H$2:$H$11,MATCH(INDEX(Calc!$A$2:$A$11,$T16)&amp;"|"&amp;INDEX(Calc!$AJ$2:$AJ$11,$T16),Projections!$AA$2:$AA$11,0)),""))</f>
        <v>0.638915874143452</v>
      </c>
      <c r="O16" s="6" t="n">
        <f aca="false">IF($T16="","",IFERROR(INDEX(Projections!$N$2:$N$11,MATCH(INDEX(Calc!$A$2:$A$11,$T16)&amp;"|K1",Projections!$AA$2:$AA$11,0)),IFERROR(INDEX(Projections!$N$2:$N$11,MATCH(INDEX(Calc!$A$2:$A$11,$T16)&amp;"|"&amp;INDEX(Calc!$AJ$2:$AJ$11,$T16),Projections!$AA$2:$AA$11,0)),"")))</f>
        <v>11.21</v>
      </c>
      <c r="P16" s="7" t="n">
        <f aca="false">IF($T16="","",IFERROR(INDEX(Projections!$S$2:$S$11,MATCH(INDEX(Calc!$A$2:$A$11,$T16)&amp;"|K1",Projections!$AA$2:$AA$11,0)),IFERROR(INDEX(Projections!$S$2:$S$11,MATCH(INDEX(Calc!$A$2:$A$11,$T16)&amp;"|"&amp;INDEX(Calc!$AJ$2:$AJ$11,$T16),Projections!$AA$2:$AA$11,0)),"")))</f>
        <v>0.7</v>
      </c>
      <c r="Q16" s="6" t="n">
        <f aca="false">IF($T16="","",INDEX(Calc!$G$2:$G$11,$T16))</f>
        <v>30</v>
      </c>
      <c r="R16" s="0" t="str">
        <f aca="false">IF($T16="","",INDEX(Calc!$AH$2:$AH$11,$T16))</f>
        <v>new roster: 0% of his recent games with these teammates</v>
      </c>
      <c r="T16" s="6" t="n">
        <f aca="false">IFERROR(MATCH(5,Calc!$AI$2:$AI$11,0),"")</f>
        <v>3</v>
      </c>
    </row>
    <row r="17" customFormat="false" ht="15" hidden="false" customHeight="false" outlineLevel="0" collapsed="false">
      <c r="A17" s="0" t="str">
        <f aca="false">IF($T17="","",INDEX(Calc!$C$2:$C$11,$T17))</f>
        <v>GL</v>
      </c>
      <c r="B17" s="0" t="str">
        <f aca="false">IF($T17="","",INDEX(Calc!$D$2:$D$11,$T17))</f>
        <v>Fayde</v>
      </c>
      <c r="C17" s="7" t="n">
        <f aca="false">IF($T17="","",INDEX(Calc!$H$2:$H$11,$T17))</f>
        <v>0.6</v>
      </c>
      <c r="D17" s="8" t="n">
        <f aca="false">IF($T17="","",INDEX(Calc!$I$2:$I$11,$T17))</f>
        <v>5.9</v>
      </c>
      <c r="E17" s="8" t="n">
        <f aca="false">IF($T17="","",INDEX(Calc!$J$2:$J$11,$T17))</f>
        <v>7.14295485636115</v>
      </c>
      <c r="F17" s="8" t="n">
        <f aca="false">IF($T17="","",INDEX(Calc!$K$2:$K$11,$T17))</f>
        <v>4.03556771545828</v>
      </c>
      <c r="G17" s="7" t="n">
        <f aca="false">IF($T17="","",INDEX(Calc!$M$2:$M$11,$T17))</f>
        <v>0.221</v>
      </c>
      <c r="H17" s="8" t="n">
        <f aca="false">IF($T17="","",INDEX(Calc!$Y$2:$Y$11,$T17))</f>
        <v>4.72230027359781</v>
      </c>
      <c r="I17" s="8" t="n">
        <f aca="false">IF($T17="","",INDEX(Calc!$AE$2:$AE$11,$T17))</f>
        <v>5.9</v>
      </c>
      <c r="J17" s="0" t="str">
        <f aca="false">IF($T17="","",IFERROR(INDEX(Projections!$E$2:$E$11,MATCH(INDEX(Calc!$A$2:$A$11,$T17)&amp;"|K1",Projections!$AA$2:$AA$11,0)),""))</f>
        <v/>
      </c>
      <c r="K17" s="7" t="str">
        <f aca="false">IF($T17="","",IFERROR(INDEX(Projections!$H$2:$H$11,MATCH(INDEX(Calc!$A$2:$A$11,$T17)&amp;"|K1",Projections!$AA$2:$AA$11,0)),""))</f>
        <v/>
      </c>
      <c r="L17" s="8" t="n">
        <f aca="false">IF($T17="","",INDEX(Calc!$AK$2:$AK$11,$T17))</f>
        <v>9.44460054719562</v>
      </c>
      <c r="M17" s="6" t="n">
        <f aca="false">IF($T17="","",IFERROR(INDEX(Projections!$E$2:$E$11,MATCH(INDEX(Calc!$A$2:$A$11,$T17)&amp;"|"&amp;INDEX(Calc!$AJ$2:$AJ$11,$T17),Projections!$AA$2:$AA$11,0)),""))</f>
        <v>7.5</v>
      </c>
      <c r="N17" s="7" t="n">
        <f aca="false">IF($T17="","",IFERROR(INDEX(Projections!$H$2:$H$11,MATCH(INDEX(Calc!$A$2:$A$11,$T17)&amp;"|"&amp;INDEX(Calc!$AJ$2:$AJ$11,$T17),Projections!$AA$2:$AA$11,0)),""))</f>
        <v>0.665449499988623</v>
      </c>
      <c r="O17" s="6" t="n">
        <f aca="false">IF($T17="","",IFERROR(INDEX(Projections!$N$2:$N$11,MATCH(INDEX(Calc!$A$2:$A$11,$T17)&amp;"|K1",Projections!$AA$2:$AA$11,0)),IFERROR(INDEX(Projections!$N$2:$N$11,MATCH(INDEX(Calc!$A$2:$A$11,$T17)&amp;"|"&amp;INDEX(Calc!$AJ$2:$AJ$11,$T17),Projections!$AA$2:$AA$11,0)),"")))</f>
        <v>7.55</v>
      </c>
      <c r="P17" s="7" t="n">
        <f aca="false">IF($T17="","",IFERROR(INDEX(Projections!$S$2:$S$11,MATCH(INDEX(Calc!$A$2:$A$11,$T17)&amp;"|K1",Projections!$AA$2:$AA$11,0)),IFERROR(INDEX(Projections!$S$2:$S$11,MATCH(INDEX(Calc!$A$2:$A$11,$T17)&amp;"|"&amp;INDEX(Calc!$AJ$2:$AJ$11,$T17),Projections!$AA$2:$AA$11,0)),"")))</f>
        <v>0.8</v>
      </c>
      <c r="Q17" s="6" t="n">
        <f aca="false">IF($T17="","",INDEX(Calc!$G$2:$G$11,$T17))</f>
        <v>30</v>
      </c>
      <c r="R17" s="0" t="str">
        <f aca="false">IF($T17="","",INDEX(Calc!$AH$2:$AH$11,$T17))</f>
        <v>new roster: 0% of his recent games with these teammates</v>
      </c>
      <c r="T17" s="6" t="n">
        <f aca="false">IFERROR(MATCH(6,Calc!$AI$2:$AI$11,0),"")</f>
        <v>2</v>
      </c>
    </row>
    <row r="18" customFormat="false" ht="15" hidden="false" customHeight="false" outlineLevel="0" collapsed="false">
      <c r="A18" s="0" t="str">
        <f aca="false">IF($T18="","",INDEX(Calc!$C$2:$C$11,$T18))</f>
        <v>TY</v>
      </c>
      <c r="B18" s="0" t="str">
        <f aca="false">IF($T18="","",INDEX(Calc!$D$2:$D$11,$T18))</f>
        <v>Saksa</v>
      </c>
      <c r="C18" s="7" t="n">
        <f aca="false">IF($T18="","",INDEX(Calc!$H$2:$H$11,$T18))</f>
        <v>0.73</v>
      </c>
      <c r="D18" s="8" t="n">
        <f aca="false">IF($T18="","",INDEX(Calc!$I$2:$I$11,$T18))</f>
        <v>4</v>
      </c>
      <c r="E18" s="8" t="n">
        <f aca="false">IF($T18="","",INDEX(Calc!$J$2:$J$11,$T18))</f>
        <v>4.53236028423276</v>
      </c>
      <c r="F18" s="8" t="n">
        <f aca="false">IF($T18="","",INDEX(Calc!$K$2:$K$11,$T18))</f>
        <v>2.56065552781512</v>
      </c>
      <c r="G18" s="7" t="n">
        <f aca="false">IF($T18="","",INDEX(Calc!$M$2:$M$11,$T18))</f>
        <v>0.779</v>
      </c>
      <c r="H18" s="8" t="n">
        <f aca="false">IF($T18="","",INDEX(Calc!$Y$2:$Y$11,$T18))</f>
        <v>4.09661353306446</v>
      </c>
      <c r="I18" s="8" t="n">
        <f aca="false">IF($T18="","",INDEX(Calc!$AE$2:$AE$11,$T18))</f>
        <v>4</v>
      </c>
      <c r="J18" s="0" t="str">
        <f aca="false">IF($T18="","",IFERROR(INDEX(Projections!$E$2:$E$11,MATCH(INDEX(Calc!$A$2:$A$11,$T18)&amp;"|K1",Projections!$AA$2:$AA$11,0)),""))</f>
        <v/>
      </c>
      <c r="K18" s="7" t="str">
        <f aca="false">IF($T18="","",IFERROR(INDEX(Projections!$H$2:$H$11,MATCH(INDEX(Calc!$A$2:$A$11,$T18)&amp;"|K1",Projections!$AA$2:$AA$11,0)),""))</f>
        <v/>
      </c>
      <c r="L18" s="8" t="n">
        <f aca="false">IF($T18="","",INDEX(Calc!$AK$2:$AK$11,$T18))</f>
        <v>8.19322706612893</v>
      </c>
      <c r="M18" s="6" t="n">
        <f aca="false">IF($T18="","",IFERROR(INDEX(Projections!$E$2:$E$11,MATCH(INDEX(Calc!$A$2:$A$11,$T18)&amp;"|"&amp;INDEX(Calc!$AJ$2:$AJ$11,$T18),Projections!$AA$2:$AA$11,0)),""))</f>
        <v>7.5</v>
      </c>
      <c r="N18" s="7" t="n">
        <f aca="false">IF($T18="","",IFERROR(INDEX(Projections!$H$2:$H$11,MATCH(INDEX(Calc!$A$2:$A$11,$T18)&amp;"|"&amp;INDEX(Calc!$AJ$2:$AJ$11,$T18),Projections!$AA$2:$AA$11,0)),""))</f>
        <v>0.567930028414762</v>
      </c>
      <c r="O18" s="6" t="n">
        <f aca="false">IF($T18="","",IFERROR(INDEX(Projections!$N$2:$N$11,MATCH(INDEX(Calc!$A$2:$A$11,$T18)&amp;"|K1",Projections!$AA$2:$AA$11,0)),IFERROR(INDEX(Projections!$N$2:$N$11,MATCH(INDEX(Calc!$A$2:$A$11,$T18)&amp;"|"&amp;INDEX(Calc!$AJ$2:$AJ$11,$T18),Projections!$AA$2:$AA$11,0)),"")))</f>
        <v>6.76</v>
      </c>
      <c r="P18" s="7" t="n">
        <f aca="false">IF($T18="","",IFERROR(INDEX(Projections!$S$2:$S$11,MATCH(INDEX(Calc!$A$2:$A$11,$T18)&amp;"|K1",Projections!$AA$2:$AA$11,0)),IFERROR(INDEX(Projections!$S$2:$S$11,MATCH(INDEX(Calc!$A$2:$A$11,$T18)&amp;"|"&amp;INDEX(Calc!$AJ$2:$AJ$11,$T18),Projections!$AA$2:$AA$11,0)),"")))</f>
        <v>0.6</v>
      </c>
      <c r="Q18" s="6" t="n">
        <f aca="false">IF($T18="","",INDEX(Calc!$G$2:$G$11,$T18))</f>
        <v>30</v>
      </c>
      <c r="R18" s="0" t="str">
        <f aca="false">IF($T18="","",INDEX(Calc!$AH$2:$AH$11,$T18))</f>
        <v>new roster: 0% of his recent games with these teammates</v>
      </c>
      <c r="T18" s="6" t="n">
        <f aca="false">IFERROR(MATCH(7,Calc!$AI$2:$AI$11,0),"")</f>
        <v>9</v>
      </c>
    </row>
    <row r="19" customFormat="false" ht="15" hidden="false" customHeight="false" outlineLevel="0" collapsed="false">
      <c r="A19" s="0" t="str">
        <f aca="false">IF($T19="","",INDEX(Calc!$C$2:$C$11,$T19))</f>
        <v>GL</v>
      </c>
      <c r="B19" s="0" t="str">
        <f aca="false">IF($T19="","",INDEX(Calc!$D$2:$D$11,$T19))</f>
        <v>Bignum</v>
      </c>
      <c r="C19" s="7" t="n">
        <f aca="false">IF($T19="","",INDEX(Calc!$H$2:$H$11,$T19))</f>
        <v>0.57</v>
      </c>
      <c r="D19" s="8" t="n">
        <f aca="false">IF($T19="","",INDEX(Calc!$I$2:$I$11,$T19))</f>
        <v>4.5</v>
      </c>
      <c r="E19" s="8" t="n">
        <f aca="false">IF($T19="","",INDEX(Calc!$J$2:$J$11,$T19))</f>
        <v>5.53547849051359</v>
      </c>
      <c r="F19" s="8" t="n">
        <f aca="false">IF($T19="","",INDEX(Calc!$K$2:$K$11,$T19))</f>
        <v>3.12738897769129</v>
      </c>
      <c r="G19" s="7" t="n">
        <f aca="false">IF($T19="","",INDEX(Calc!$M$2:$M$11,$T19))</f>
        <v>0.221</v>
      </c>
      <c r="H19" s="8" t="n">
        <f aca="false">IF($T19="","",INDEX(Calc!$Y$2:$Y$11,$T19))</f>
        <v>3.65957676002502</v>
      </c>
      <c r="I19" s="8" t="n">
        <f aca="false">IF($T19="","",INDEX(Calc!$AE$2:$AE$11,$T19))</f>
        <v>4.5</v>
      </c>
      <c r="J19" s="0" t="str">
        <f aca="false">IF($T19="","",IFERROR(INDEX(Projections!$E$2:$E$11,MATCH(INDEX(Calc!$A$2:$A$11,$T19)&amp;"|K1",Projections!$AA$2:$AA$11,0)),""))</f>
        <v/>
      </c>
      <c r="K19" s="7" t="str">
        <f aca="false">IF($T19="","",IFERROR(INDEX(Projections!$H$2:$H$11,MATCH(INDEX(Calc!$A$2:$A$11,$T19)&amp;"|K1",Projections!$AA$2:$AA$11,0)),""))</f>
        <v/>
      </c>
      <c r="L19" s="8" t="n">
        <f aca="false">IF($T19="","",INDEX(Calc!$AK$2:$AK$11,$T19))</f>
        <v>7.31915352005004</v>
      </c>
      <c r="M19" s="6" t="n">
        <f aca="false">IF($T19="","",IFERROR(INDEX(Projections!$E$2:$E$11,MATCH(INDEX(Calc!$A$2:$A$11,$T19)&amp;"|"&amp;INDEX(Calc!$AJ$2:$AJ$11,$T19),Projections!$AA$2:$AA$11,0)),""))</f>
        <v>5.5</v>
      </c>
      <c r="N19" s="7" t="n">
        <f aca="false">IF($T19="","",IFERROR(INDEX(Projections!$H$2:$H$11,MATCH(INDEX(Calc!$A$2:$A$11,$T19)&amp;"|"&amp;INDEX(Calc!$AJ$2:$AJ$11,$T19),Projections!$AA$2:$AA$11,0)),""))</f>
        <v>0.678176017248153</v>
      </c>
      <c r="O19" s="6" t="n">
        <f aca="false">IF($T19="","",IFERROR(INDEX(Projections!$N$2:$N$11,MATCH(INDEX(Calc!$A$2:$A$11,$T19)&amp;"|K1",Projections!$AA$2:$AA$11,0)),IFERROR(INDEX(Projections!$N$2:$N$11,MATCH(INDEX(Calc!$A$2:$A$11,$T19)&amp;"|"&amp;INDEX(Calc!$AJ$2:$AJ$11,$T19),Projections!$AA$2:$AA$11,0)),"")))</f>
        <v>5.62</v>
      </c>
      <c r="P19" s="7" t="n">
        <f aca="false">IF($T19="","",IFERROR(INDEX(Projections!$S$2:$S$11,MATCH(INDEX(Calc!$A$2:$A$11,$T19)&amp;"|K1",Projections!$AA$2:$AA$11,0)),IFERROR(INDEX(Projections!$S$2:$S$11,MATCH(INDEX(Calc!$A$2:$A$11,$T19)&amp;"|"&amp;INDEX(Calc!$AJ$2:$AJ$11,$T19),Projections!$AA$2:$AA$11,0)),"")))</f>
        <v>0.8</v>
      </c>
      <c r="Q19" s="6" t="n">
        <f aca="false">IF($T19="","",INDEX(Calc!$G$2:$G$11,$T19))</f>
        <v>30</v>
      </c>
      <c r="R19" s="0" t="str">
        <f aca="false">IF($T19="","",INDEX(Calc!$AH$2:$AH$11,$T19))</f>
        <v>new roster: 0% of his recent games with these teammates</v>
      </c>
      <c r="T19" s="6" t="n">
        <f aca="false">IFERROR(MATCH(8,Calc!$AI$2:$AI$11,0),"")</f>
        <v>1</v>
      </c>
    </row>
    <row r="20" customFormat="false" ht="15" hidden="false" customHeight="false" outlineLevel="0" collapsed="false">
      <c r="A20" s="0" t="str">
        <f aca="false">IF($T20="","",INDEX(Calc!$C$2:$C$11,$T20))</f>
        <v>TY</v>
      </c>
      <c r="B20" s="0" t="str">
        <f aca="false">IF($T20="","",INDEX(Calc!$D$2:$D$11,$T20))</f>
        <v>Malady</v>
      </c>
      <c r="C20" s="7" t="n">
        <f aca="false">IF($T20="","",INDEX(Calc!$H$2:$H$11,$T20))</f>
        <v>0.73</v>
      </c>
      <c r="D20" s="8" t="n">
        <f aca="false">IF($T20="","",INDEX(Calc!$I$2:$I$11,$T20))</f>
        <v>3.2</v>
      </c>
      <c r="E20" s="8" t="n">
        <f aca="false">IF($T20="","",INDEX(Calc!$J$2:$J$11,$T20))</f>
        <v>3.62588822738621</v>
      </c>
      <c r="F20" s="8" t="n">
        <f aca="false">IF($T20="","",INDEX(Calc!$K$2:$K$11,$T20))</f>
        <v>2.0485244222521</v>
      </c>
      <c r="G20" s="7" t="n">
        <f aca="false">IF($T20="","",INDEX(Calc!$M$2:$M$11,$T20))</f>
        <v>0.779</v>
      </c>
      <c r="H20" s="8" t="n">
        <f aca="false">IF($T20="","",INDEX(Calc!$Y$2:$Y$11,$T20))</f>
        <v>3.27729082645157</v>
      </c>
      <c r="I20" s="8" t="n">
        <f aca="false">IF($T20="","",INDEX(Calc!$AE$2:$AE$11,$T20))</f>
        <v>3.2</v>
      </c>
      <c r="J20" s="0" t="str">
        <f aca="false">IF($T20="","",IFERROR(INDEX(Projections!$E$2:$E$11,MATCH(INDEX(Calc!$A$2:$A$11,$T20)&amp;"|K1",Projections!$AA$2:$AA$11,0)),""))</f>
        <v/>
      </c>
      <c r="K20" s="7" t="str">
        <f aca="false">IF($T20="","",IFERROR(INDEX(Projections!$H$2:$H$11,MATCH(INDEX(Calc!$A$2:$A$11,$T20)&amp;"|K1",Projections!$AA$2:$AA$11,0)),""))</f>
        <v/>
      </c>
      <c r="L20" s="8" t="n">
        <f aca="false">IF($T20="","",INDEX(Calc!$AK$2:$AK$11,$T20))</f>
        <v>6.55458165290314</v>
      </c>
      <c r="M20" s="6" t="n">
        <f aca="false">IF($T20="","",IFERROR(INDEX(Projections!$E$2:$E$11,MATCH(INDEX(Calc!$A$2:$A$11,$T20)&amp;"|"&amp;INDEX(Calc!$AJ$2:$AJ$11,$T20),Projections!$AA$2:$AA$11,0)),""))</f>
        <v>6</v>
      </c>
      <c r="N20" s="7" t="n">
        <f aca="false">IF($T20="","",IFERROR(INDEX(Projections!$H$2:$H$11,MATCH(INDEX(Calc!$A$2:$A$11,$T20)&amp;"|"&amp;INDEX(Calc!$AJ$2:$AJ$11,$T20),Projections!$AA$2:$AA$11,0)),""))</f>
        <v>0.506058389788533</v>
      </c>
      <c r="O20" s="6" t="n">
        <f aca="false">IF($T20="","",IFERROR(INDEX(Projections!$N$2:$N$11,MATCH(INDEX(Calc!$A$2:$A$11,$T20)&amp;"|K1",Projections!$AA$2:$AA$11,0)),IFERROR(INDEX(Projections!$N$2:$N$11,MATCH(INDEX(Calc!$A$2:$A$11,$T20)&amp;"|"&amp;INDEX(Calc!$AJ$2:$AJ$11,$T20),Projections!$AA$2:$AA$11,0)),"")))</f>
        <v>6.1</v>
      </c>
      <c r="P20" s="7" t="n">
        <f aca="false">IF($T20="","",IFERROR(INDEX(Projections!$S$2:$S$11,MATCH(INDEX(Calc!$A$2:$A$11,$T20)&amp;"|K1",Projections!$AA$2:$AA$11,0)),IFERROR(INDEX(Projections!$S$2:$S$11,MATCH(INDEX(Calc!$A$2:$A$11,$T20)&amp;"|"&amp;INDEX(Calc!$AJ$2:$AJ$11,$T20),Projections!$AA$2:$AA$11,0)),"")))</f>
        <v>0.4</v>
      </c>
      <c r="Q20" s="6" t="n">
        <f aca="false">IF($T20="","",INDEX(Calc!$G$2:$G$11,$T20))</f>
        <v>30</v>
      </c>
      <c r="R20" s="0" t="str">
        <f aca="false">IF($T20="","",INDEX(Calc!$AH$2:$AH$11,$T20))</f>
        <v>new roster: 0% of his recent games with these teammates</v>
      </c>
      <c r="T20" s="6" t="n">
        <f aca="false">IFERROR(MATCH(9,Calc!$AI$2:$AI$11,0),"")</f>
        <v>8</v>
      </c>
    </row>
    <row r="21" customFormat="false" ht="15" hidden="false" customHeight="false" outlineLevel="0" collapsed="false">
      <c r="A21" s="0" t="str">
        <f aca="false">IF($T21="","",INDEX(Calc!$C$2:$C$11,$T21))</f>
        <v>GL</v>
      </c>
      <c r="B21" s="0" t="str">
        <f aca="false">IF($T21="","",INDEX(Calc!$D$2:$D$11,$T21))</f>
        <v>Speeed</v>
      </c>
      <c r="C21" s="7" t="n">
        <f aca="false">IF($T21="","",INDEX(Calc!$H$2:$H$11,$T21))</f>
        <v>0.57</v>
      </c>
      <c r="D21" s="8" t="n">
        <f aca="false">IF($T21="","",INDEX(Calc!$I$2:$I$11,$T21))</f>
        <v>2.8</v>
      </c>
      <c r="E21" s="8" t="n">
        <f aca="false">IF($T21="","",INDEX(Calc!$J$2:$J$11,$T21))</f>
        <v>3.44429772743068</v>
      </c>
      <c r="F21" s="8" t="n">
        <f aca="false">IF($T21="","",INDEX(Calc!$K$2:$K$11,$T21))</f>
        <v>1.94593091945236</v>
      </c>
      <c r="G21" s="7" t="n">
        <f aca="false">IF($T21="","",INDEX(Calc!$M$2:$M$11,$T21))</f>
        <v>0.221</v>
      </c>
      <c r="H21" s="8" t="n">
        <f aca="false">IF($T21="","",INDEX(Calc!$Y$2:$Y$11,$T21))</f>
        <v>2.27706998401557</v>
      </c>
      <c r="I21" s="8" t="n">
        <f aca="false">IF($T21="","",INDEX(Calc!$AE$2:$AE$11,$T21))</f>
        <v>2.8</v>
      </c>
      <c r="J21" s="0" t="str">
        <f aca="false">IF($T21="","",IFERROR(INDEX(Projections!$E$2:$E$11,MATCH(INDEX(Calc!$A$2:$A$11,$T21)&amp;"|K1",Projections!$AA$2:$AA$11,0)),""))</f>
        <v/>
      </c>
      <c r="K21" s="7" t="str">
        <f aca="false">IF($T21="","",IFERROR(INDEX(Projections!$H$2:$H$11,MATCH(INDEX(Calc!$A$2:$A$11,$T21)&amp;"|K1",Projections!$AA$2:$AA$11,0)),""))</f>
        <v/>
      </c>
      <c r="L21" s="8" t="n">
        <f aca="false">IF($T21="","",INDEX(Calc!$AK$2:$AK$11,$T21))</f>
        <v>4.55413996803114</v>
      </c>
      <c r="M21" s="6" t="n">
        <f aca="false">IF($T21="","",IFERROR(INDEX(Projections!$E$2:$E$11,MATCH(INDEX(Calc!$A$2:$A$11,$T21)&amp;"|"&amp;INDEX(Calc!$AJ$2:$AJ$11,$T21),Projections!$AA$2:$AA$11,0)),""))</f>
        <v>4</v>
      </c>
      <c r="N21" s="7" t="n">
        <f aca="false">IF($T21="","",IFERROR(INDEX(Projections!$H$2:$H$11,MATCH(INDEX(Calc!$A$2:$A$11,$T21)&amp;"|"&amp;INDEX(Calc!$AJ$2:$AJ$11,$T21),Projections!$AA$2:$AA$11,0)),""))</f>
        <v>0.507138903734374</v>
      </c>
      <c r="O21" s="6" t="n">
        <f aca="false">IF($T21="","",IFERROR(INDEX(Projections!$N$2:$N$11,MATCH(INDEX(Calc!$A$2:$A$11,$T21)&amp;"|K1",Projections!$AA$2:$AA$11,0)),IFERROR(INDEX(Projections!$N$2:$N$11,MATCH(INDEX(Calc!$A$2:$A$11,$T21)&amp;"|"&amp;INDEX(Calc!$AJ$2:$AJ$11,$T21),Projections!$AA$2:$AA$11,0)),"")))</f>
        <v>0</v>
      </c>
      <c r="P21" s="7" t="n">
        <f aca="false">IF($T21="","",IFERROR(INDEX(Projections!$S$2:$S$11,MATCH(INDEX(Calc!$A$2:$A$11,$T21)&amp;"|K1",Projections!$AA$2:$AA$11,0)),IFERROR(INDEX(Projections!$S$2:$S$11,MATCH(INDEX(Calc!$A$2:$A$11,$T21)&amp;"|"&amp;INDEX(Calc!$AJ$2:$AJ$11,$T21),Projections!$AA$2:$AA$11,0)),"")))</f>
        <v>0.7</v>
      </c>
      <c r="Q21" s="6" t="n">
        <f aca="false">IF($T21="","",INDEX(Calc!$G$2:$G$11,$T21))</f>
        <v>30</v>
      </c>
      <c r="R21" s="0" t="str">
        <f aca="false">IF($T21="","",INDEX(Calc!$AH$2:$AH$11,$T21))</f>
        <v>new roster: 0% of his recent games with these teammates</v>
      </c>
      <c r="T21" s="6" t="n">
        <f aca="false">IFERROR(MATCH(10,Calc!$AI$2:$AI$11,0),"")</f>
        <v>4</v>
      </c>
    </row>
    <row r="22" customFormat="false" ht="15" hidden="false" customHeight="false" outlineLevel="0" collapsed="false">
      <c r="A22" s="0" t="str">
        <f aca="false">IF($T22="","",INDEX(Calc!$C$2:$C$11,$T22))</f>
        <v/>
      </c>
      <c r="B22" s="0" t="str">
        <f aca="false">IF($T22="","",INDEX(Calc!$D$2:$D$11,$T22))</f>
        <v/>
      </c>
      <c r="C22" s="7" t="str">
        <f aca="false">IF($T22="","",INDEX(Calc!$H$2:$H$11,$T22))</f>
        <v/>
      </c>
      <c r="D22" s="8" t="str">
        <f aca="false">IF($T22="","",INDEX(Calc!$I$2:$I$11,$T22))</f>
        <v/>
      </c>
      <c r="E22" s="8" t="str">
        <f aca="false">IF($T22="","",INDEX(Calc!$J$2:$J$11,$T22))</f>
        <v/>
      </c>
      <c r="F22" s="8" t="str">
        <f aca="false">IF($T22="","",INDEX(Calc!$K$2:$K$11,$T22))</f>
        <v/>
      </c>
      <c r="G22" s="7" t="str">
        <f aca="false">IF($T22="","",INDEX(Calc!$M$2:$M$11,$T22))</f>
        <v/>
      </c>
      <c r="H22" s="8" t="str">
        <f aca="false">IF($T22="","",INDEX(Calc!$Y$2:$Y$11,$T22))</f>
        <v/>
      </c>
      <c r="I22" s="8" t="str">
        <f aca="false">IF($T22="","",INDEX(Calc!$AE$2:$AE$11,$T22))</f>
        <v/>
      </c>
      <c r="J22" s="0" t="str">
        <f aca="false">IF($T22="","",IFERROR(INDEX(Projections!$E$2:$E$11,MATCH(INDEX(Calc!$A$2:$A$11,$T22)&amp;"|K1",Projections!$AA$2:$AA$11,0)),""))</f>
        <v/>
      </c>
      <c r="K22" s="7" t="str">
        <f aca="false">IF($T22="","",IFERROR(INDEX(Projections!$H$2:$H$11,MATCH(INDEX(Calc!$A$2:$A$11,$T22)&amp;"|K1",Projections!$AA$2:$AA$11,0)),""))</f>
        <v/>
      </c>
      <c r="L22" s="8" t="str">
        <f aca="false">IF($T22="","",INDEX(Calc!$AK$2:$AK$11,$T22))</f>
        <v/>
      </c>
      <c r="M22" s="0" t="str">
        <f aca="false">IF($T22="","",IFERROR(INDEX(Projections!$E$2:$E$11,MATCH(INDEX(Calc!$A$2:$A$11,$T22)&amp;"|"&amp;INDEX(Calc!$AJ$2:$AJ$11,$T22),Projections!$AA$2:$AA$11,0)),""))</f>
        <v/>
      </c>
      <c r="N22" s="7" t="str">
        <f aca="false">IF($T22="","",IFERROR(INDEX(Projections!$H$2:$H$11,MATCH(INDEX(Calc!$A$2:$A$11,$T22)&amp;"|"&amp;INDEX(Calc!$AJ$2:$AJ$11,$T22),Projections!$AA$2:$AA$11,0)),""))</f>
        <v/>
      </c>
      <c r="O22" s="0" t="str">
        <f aca="false">IF($T22="","",IFERROR(INDEX(Projections!$N$2:$N$11,MATCH(INDEX(Calc!$A$2:$A$11,$T22)&amp;"|K1",Projections!$AA$2:$AA$11,0)),IFERROR(INDEX(Projections!$N$2:$N$11,MATCH(INDEX(Calc!$A$2:$A$11,$T22)&amp;"|"&amp;INDEX(Calc!$AJ$2:$AJ$11,$T22),Projections!$AA$2:$AA$11,0)),"")))</f>
        <v/>
      </c>
      <c r="P22" s="7" t="str">
        <f aca="false">IF($T22="","",IFERROR(INDEX(Projections!$S$2:$S$11,MATCH(INDEX(Calc!$A$2:$A$11,$T22)&amp;"|K1",Projections!$AA$2:$AA$11,0)),IFERROR(INDEX(Projections!$S$2:$S$11,MATCH(INDEX(Calc!$A$2:$A$11,$T22)&amp;"|"&amp;INDEX(Calc!$AJ$2:$AJ$11,$T22),Projections!$AA$2:$AA$11,0)),"")))</f>
        <v/>
      </c>
      <c r="Q22" s="0" t="str">
        <f aca="false">IF($T22="","",INDEX(Calc!$G$2:$G$11,$T22))</f>
        <v/>
      </c>
      <c r="R22" s="0" t="str">
        <f aca="false">IF($T22="","",INDEX(Calc!$AH$2:$AH$11,$T22))</f>
        <v/>
      </c>
      <c r="T22" s="0" t="str">
        <f aca="false">IFERROR(MATCH(11,Calc!$AI$2:$AI$11,0),"")</f>
        <v/>
      </c>
    </row>
    <row r="23" customFormat="false" ht="15" hidden="false" customHeight="false" outlineLevel="0" collapsed="false">
      <c r="A23" s="0" t="str">
        <f aca="false">IF($T23="","",INDEX(Calc!$C$2:$C$11,$T23))</f>
        <v/>
      </c>
      <c r="B23" s="0" t="str">
        <f aca="false">IF($T23="","",INDEX(Calc!$D$2:$D$11,$T23))</f>
        <v/>
      </c>
      <c r="C23" s="7" t="str">
        <f aca="false">IF($T23="","",INDEX(Calc!$H$2:$H$11,$T23))</f>
        <v/>
      </c>
      <c r="D23" s="8" t="str">
        <f aca="false">IF($T23="","",INDEX(Calc!$I$2:$I$11,$T23))</f>
        <v/>
      </c>
      <c r="E23" s="8" t="str">
        <f aca="false">IF($T23="","",INDEX(Calc!$J$2:$J$11,$T23))</f>
        <v/>
      </c>
      <c r="F23" s="8" t="str">
        <f aca="false">IF($T23="","",INDEX(Calc!$K$2:$K$11,$T23))</f>
        <v/>
      </c>
      <c r="G23" s="7" t="str">
        <f aca="false">IF($T23="","",INDEX(Calc!$M$2:$M$11,$T23))</f>
        <v/>
      </c>
      <c r="H23" s="8" t="str">
        <f aca="false">IF($T23="","",INDEX(Calc!$Y$2:$Y$11,$T23))</f>
        <v/>
      </c>
      <c r="I23" s="8" t="str">
        <f aca="false">IF($T23="","",INDEX(Calc!$AE$2:$AE$11,$T23))</f>
        <v/>
      </c>
      <c r="J23" s="0" t="str">
        <f aca="false">IF($T23="","",IFERROR(INDEX(Projections!$E$2:$E$11,MATCH(INDEX(Calc!$A$2:$A$11,$T23)&amp;"|K1",Projections!$AA$2:$AA$11,0)),""))</f>
        <v/>
      </c>
      <c r="K23" s="7" t="str">
        <f aca="false">IF($T23="","",IFERROR(INDEX(Projections!$H$2:$H$11,MATCH(INDEX(Calc!$A$2:$A$11,$T23)&amp;"|K1",Projections!$AA$2:$AA$11,0)),""))</f>
        <v/>
      </c>
      <c r="L23" s="8" t="str">
        <f aca="false">IF($T23="","",INDEX(Calc!$AK$2:$AK$11,$T23))</f>
        <v/>
      </c>
      <c r="M23" s="0" t="str">
        <f aca="false">IF($T23="","",IFERROR(INDEX(Projections!$E$2:$E$11,MATCH(INDEX(Calc!$A$2:$A$11,$T23)&amp;"|"&amp;INDEX(Calc!$AJ$2:$AJ$11,$T23),Projections!$AA$2:$AA$11,0)),""))</f>
        <v/>
      </c>
      <c r="N23" s="7" t="str">
        <f aca="false">IF($T23="","",IFERROR(INDEX(Projections!$H$2:$H$11,MATCH(INDEX(Calc!$A$2:$A$11,$T23)&amp;"|"&amp;INDEX(Calc!$AJ$2:$AJ$11,$T23),Projections!$AA$2:$AA$11,0)),""))</f>
        <v/>
      </c>
      <c r="O23" s="0" t="str">
        <f aca="false">IF($T23="","",IFERROR(INDEX(Projections!$N$2:$N$11,MATCH(INDEX(Calc!$A$2:$A$11,$T23)&amp;"|K1",Projections!$AA$2:$AA$11,0)),IFERROR(INDEX(Projections!$N$2:$N$11,MATCH(INDEX(Calc!$A$2:$A$11,$T23)&amp;"|"&amp;INDEX(Calc!$AJ$2:$AJ$11,$T23),Projections!$AA$2:$AA$11,0)),"")))</f>
        <v/>
      </c>
      <c r="P23" s="7" t="str">
        <f aca="false">IF($T23="","",IFERROR(INDEX(Projections!$S$2:$S$11,MATCH(INDEX(Calc!$A$2:$A$11,$T23)&amp;"|K1",Projections!$AA$2:$AA$11,0)),IFERROR(INDEX(Projections!$S$2:$S$11,MATCH(INDEX(Calc!$A$2:$A$11,$T23)&amp;"|"&amp;INDEX(Calc!$AJ$2:$AJ$11,$T23),Projections!$AA$2:$AA$11,0)),"")))</f>
        <v/>
      </c>
      <c r="Q23" s="0" t="str">
        <f aca="false">IF($T23="","",INDEX(Calc!$G$2:$G$11,$T23))</f>
        <v/>
      </c>
      <c r="R23" s="0" t="str">
        <f aca="false">IF($T23="","",INDEX(Calc!$AH$2:$AH$11,$T23))</f>
        <v/>
      </c>
      <c r="T23" s="0" t="str">
        <f aca="false">IFERROR(MATCH(12,Calc!$AI$2:$AI$11,0),"")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0.864661654135338</v>
      </c>
      <c r="H5" s="8" t="n">
        <v>52.2768344451183</v>
      </c>
      <c r="I5" s="8" t="n">
        <v>32.1794059838393</v>
      </c>
      <c r="J5" s="8" t="n">
        <v>21.2727272727273</v>
      </c>
      <c r="K5" s="8" t="n">
        <v>40.4598953792502</v>
      </c>
      <c r="L5" s="0" t="n">
        <v>290</v>
      </c>
      <c r="M5" s="10" t="n">
        <v>0.779</v>
      </c>
      <c r="N5" s="10" t="n">
        <v>0.779</v>
      </c>
      <c r="O5" s="10" t="n">
        <v>0.8647</v>
      </c>
      <c r="P5" s="10" t="n">
        <v>1</v>
      </c>
      <c r="Q5" s="10" t="n">
        <v>0.3419</v>
      </c>
      <c r="R5" s="11" t="n">
        <v>1</v>
      </c>
      <c r="S5" s="6" t="s">
        <v>78</v>
      </c>
      <c r="T5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  <c r="N1" s="9" t="s">
        <v>90</v>
      </c>
      <c r="O1" s="9" t="s">
        <v>91</v>
      </c>
      <c r="P1" s="9" t="s">
        <v>46</v>
      </c>
      <c r="Q1" s="9" t="s">
        <v>92</v>
      </c>
      <c r="R1" s="9" t="s">
        <v>93</v>
      </c>
      <c r="S1" s="9" t="s">
        <v>55</v>
      </c>
      <c r="T1" s="9" t="s">
        <v>94</v>
      </c>
      <c r="U1" s="9" t="s">
        <v>95</v>
      </c>
      <c r="V1" s="9" t="s">
        <v>96</v>
      </c>
      <c r="W1" s="9" t="s">
        <v>97</v>
      </c>
      <c r="X1" s="9" t="s">
        <v>57</v>
      </c>
      <c r="Y1" s="9" t="s">
        <v>98</v>
      </c>
      <c r="Z1" s="9" t="s">
        <v>99</v>
      </c>
      <c r="AA1" s="9" t="s">
        <v>100</v>
      </c>
    </row>
    <row r="2" customFormat="false" ht="15" hidden="false" customHeight="false" outlineLevel="0" collapsed="false">
      <c r="A2" s="0" t="s">
        <v>27</v>
      </c>
      <c r="B2" s="0" t="s">
        <v>101</v>
      </c>
      <c r="C2" s="0" t="s">
        <v>79</v>
      </c>
      <c r="D2" s="0" t="s">
        <v>102</v>
      </c>
      <c r="E2" s="0" t="n">
        <v>5.5</v>
      </c>
      <c r="F2" s="8" t="n">
        <f aca="false">IFERROR(INDEX(CHOOSE(MATCH($Z2,{"K1","K12","K13"},0),Calc!$Y$2:$Y$11,Calc!$AA$2:$AA$11,Calc!$AC$2:$AC$11),MATCH($Y2,Calc!$A$2:$A$11,0)),"")</f>
        <v>7.31915352005004</v>
      </c>
      <c r="G2" s="8" t="n">
        <f aca="false">IFERROR(SQRT(INDEX(CHOOSE(MATCH($Z2,{"K1","K12","K13"},0),Calc!$Z$2:$Z$11,Calc!$AB$2:$AB$11,Calc!$AD$2:$AD$11),MATCH($Y2,Calc!$A$2:$A$11,0))),"")</f>
        <v>3.93241737873048</v>
      </c>
      <c r="H2" s="7" t="n">
        <f aca="false">IF(OR($E2="",$F2="",N($G2)&lt;=0),"",1-NORMDIST(FLOOR($E2,1)+0.5,$F2,$G2,TRUE()))</f>
        <v>0.678176017248153</v>
      </c>
      <c r="I2" s="7" t="n">
        <f aca="false">IF($H2="","",NORMDIST(CEILING($E2,1)-0.5,$F2,$G2,TRUE()))</f>
        <v>0.321823982751847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OVER</v>
      </c>
      <c r="L2" s="8" t="n">
        <f aca="false">IFERROR(INDEX(CHOOSE(MATCH($Z2,{"K1","K12","K13"},0),Calc!$AE$2:$AE$11,Calc!$AF$2:$AF$11,Calc!$AG$2:$AG$11),MATCH($Y2,Calc!$A$2:$A$11,0)),"")</f>
        <v>9</v>
      </c>
      <c r="M2" s="7" t="n">
        <f aca="false">IF(OR($E2="",$L2="",N($G2)&lt;=0),"",1-NORMDIST(FLOOR($E2,1)+0.5,$L2,$G2*SQRT($L2/$F2),TRUE()))</f>
        <v>0.78890687594662</v>
      </c>
      <c r="N2" s="0" t="n">
        <v>5.62</v>
      </c>
      <c r="O2" s="7" t="n">
        <f aca="false">IFERROR(INDEX(Calc!$H$2:$H$11,MATCH($Y2,Calc!$A$2:$A$11,0)),"")</f>
        <v>0.57</v>
      </c>
      <c r="P2" s="7" t="n">
        <f aca="false">IFERROR(INDEX(Calc!$M$2:$M$11,MATCH($Y2,Calc!$A$2:$A$11,0)),"")</f>
        <v>0.221</v>
      </c>
      <c r="Q2" s="0" t="n">
        <v>9.4</v>
      </c>
      <c r="R2" s="7" t="n">
        <v>0.6</v>
      </c>
      <c r="S2" s="7" t="n">
        <v>0.8</v>
      </c>
      <c r="T2" s="7" t="n">
        <v>0.8</v>
      </c>
      <c r="U2" s="6" t="s">
        <v>103</v>
      </c>
      <c r="V2" s="0" t="n">
        <v>-1</v>
      </c>
      <c r="X2" s="0" t="str">
        <f aca="false">IFERROR(INDEX(Calc!$AH$2:$AH$11,MATCH($Y2,Calc!$A$2:$A$11,0)),"")</f>
        <v>new roster: 0% of his recent games with these teammates</v>
      </c>
      <c r="Y2" s="6" t="s">
        <v>104</v>
      </c>
      <c r="Z2" s="6" t="s">
        <v>105</v>
      </c>
      <c r="AA2" s="0" t="str">
        <f aca="false">Y2&amp;"|"&amp;Z2</f>
        <v>qviujqdmb4jzi0q|DOTA · TY vs GL|K12</v>
      </c>
    </row>
    <row r="3" customFormat="false" ht="15" hidden="false" customHeight="false" outlineLevel="0" collapsed="false">
      <c r="A3" s="0" t="s">
        <v>27</v>
      </c>
      <c r="B3" s="0" t="s">
        <v>106</v>
      </c>
      <c r="C3" s="0" t="s">
        <v>79</v>
      </c>
      <c r="D3" s="0" t="s">
        <v>102</v>
      </c>
      <c r="E3" s="0" t="n">
        <v>7.5</v>
      </c>
      <c r="F3" s="8" t="n">
        <f aca="false">IFERROR(INDEX(CHOOSE(MATCH($Z3,{"K1","K12","K13"},0),Calc!$Y$2:$Y$11,Calc!$AA$2:$AA$11,Calc!$AC$2:$AC$11),MATCH($Y3,Calc!$A$2:$A$11,0)),"")</f>
        <v>9.44460054719562</v>
      </c>
      <c r="G3" s="8" t="n">
        <f aca="false">IFERROR(SQRT(INDEX(CHOOSE(MATCH($Z3,{"K1","K12","K13"},0),Calc!$Z$2:$Z$11,Calc!$AB$2:$AB$11,Calc!$AD$2:$AD$11),MATCH($Y3,Calc!$A$2:$A$11,0))),"")</f>
        <v>4.55002743231582</v>
      </c>
      <c r="H3" s="7" t="n">
        <f aca="false">IF(OR($E3="",$F3="",N($G3)&lt;=0),"",1-NORMDIST(FLOOR($E3,1)+0.5,$F3,$G3,TRUE()))</f>
        <v>0.665449499988623</v>
      </c>
      <c r="I3" s="7" t="n">
        <f aca="false">IF($H3="","",NORMDIST(CEILING($E3,1)-0.5,$F3,$G3,TRUE()))</f>
        <v>0.334550500011377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IFERROR(INDEX(CHOOSE(MATCH($Z3,{"K1","K12","K13"},0),Calc!$AE$2:$AE$11,Calc!$AF$2:$AF$11,Calc!$AG$2:$AG$11),MATCH($Y3,Calc!$A$2:$A$11,0)),"")</f>
        <v>11.8</v>
      </c>
      <c r="M3" s="7" t="n">
        <f aca="false">IF(OR($E3="",$L3="",N($G3)&lt;=0),"",1-NORMDIST(FLOOR($E3,1)+0.5,$L3,$G3*SQRT($L3/$F3),TRUE()))</f>
        <v>0.801079582345404</v>
      </c>
      <c r="N3" s="0" t="n">
        <v>7.55</v>
      </c>
      <c r="O3" s="7" t="n">
        <f aca="false">IFERROR(INDEX(Calc!$H$2:$H$11,MATCH($Y3,Calc!$A$2:$A$11,0)),"")</f>
        <v>0.6</v>
      </c>
      <c r="P3" s="7" t="n">
        <f aca="false">IFERROR(INDEX(Calc!$M$2:$M$11,MATCH($Y3,Calc!$A$2:$A$11,0)),"")</f>
        <v>0.221</v>
      </c>
      <c r="Q3" s="0" t="n">
        <v>13.3</v>
      </c>
      <c r="R3" s="7" t="n">
        <v>1</v>
      </c>
      <c r="S3" s="7" t="n">
        <v>0.8</v>
      </c>
      <c r="T3" s="7" t="n">
        <v>0.73</v>
      </c>
      <c r="U3" s="6" t="s">
        <v>107</v>
      </c>
      <c r="V3" s="0" t="n">
        <v>5</v>
      </c>
      <c r="X3" s="0" t="str">
        <f aca="false">IFERROR(INDEX(Calc!$AH$2:$AH$11,MATCH($Y3,Calc!$A$2:$A$11,0)),"")</f>
        <v>new roster: 0% of his recent games with these teammates</v>
      </c>
      <c r="Y3" s="6" t="s">
        <v>108</v>
      </c>
      <c r="Z3" s="6" t="s">
        <v>105</v>
      </c>
      <c r="AA3" s="0" t="str">
        <f aca="false">Y3&amp;"|"&amp;Z3</f>
        <v>7f340lwfa48ats4|DOTA · TY vs GL|K12</v>
      </c>
    </row>
    <row r="4" customFormat="false" ht="15" hidden="false" customHeight="false" outlineLevel="0" collapsed="false">
      <c r="A4" s="0" t="s">
        <v>27</v>
      </c>
      <c r="B4" s="0" t="s">
        <v>109</v>
      </c>
      <c r="C4" s="0" t="s">
        <v>79</v>
      </c>
      <c r="D4" s="0" t="s">
        <v>102</v>
      </c>
      <c r="E4" s="0" t="n">
        <v>11</v>
      </c>
      <c r="F4" s="8" t="n">
        <f aca="false">IFERROR(INDEX(CHOOSE(MATCH($Z4,{"K1","K12","K13"},0),Calc!$Y$2:$Y$11,Calc!$AA$2:$AA$11,Calc!$AC$2:$AC$11),MATCH($Y4,Calc!$A$2:$A$11,0)),"")</f>
        <v>13.4997720480923</v>
      </c>
      <c r="G4" s="8" t="n">
        <f aca="false">IFERROR(SQRT(INDEX(CHOOSE(MATCH($Z4,{"K1","K12","K13"},0),Calc!$Z$2:$Z$11,Calc!$AB$2:$AB$11,Calc!$AD$2:$AD$11),MATCH($Y4,Calc!$A$2:$A$11,0))),"")</f>
        <v>5.62424946748279</v>
      </c>
      <c r="H4" s="7" t="n">
        <f aca="false">IF(OR($E4="",$F4="",N($G4)&lt;=0),"",1-NORMDIST(FLOOR($E4,1)+0.5,$F4,$G4,TRUE()))</f>
        <v>0.638915874143452</v>
      </c>
      <c r="I4" s="7" t="n">
        <f aca="false">IF($H4="","",NORMDIST(CEILING($E4,1)-0.5,$F4,$G4,TRUE()))</f>
        <v>0.296890825285543</v>
      </c>
      <c r="J4" s="7" t="n">
        <f aca="false">IF($H4="","",MAX(0,1-$H4-$I4))</f>
        <v>0.0641933005710053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IFERROR(INDEX(CHOOSE(MATCH($Z4,{"K1","K12","K13"},0),Calc!$AE$2:$AE$11,Calc!$AF$2:$AF$11,Calc!$AG$2:$AG$11),MATCH($Y4,Calc!$A$2:$A$11,0)),"")</f>
        <v>16.6</v>
      </c>
      <c r="M4" s="7" t="n">
        <f aca="false">IF(OR($E4="",$L4="",N($G4)&lt;=0),"",1-NORMDIST(FLOOR($E4,1)+0.5,$L4,$G4*SQRT($L4/$F4),TRUE()))</f>
        <v>0.793246915832159</v>
      </c>
      <c r="N4" s="0" t="n">
        <v>11.21</v>
      </c>
      <c r="O4" s="7" t="n">
        <f aca="false">IFERROR(INDEX(Calc!$H$2:$H$11,MATCH($Y4,Calc!$A$2:$A$11,0)),"")</f>
        <v>0.57</v>
      </c>
      <c r="P4" s="7" t="n">
        <f aca="false">IFERROR(INDEX(Calc!$M$2:$M$11,MATCH($Y4,Calc!$A$2:$A$11,0)),"")</f>
        <v>0.221</v>
      </c>
      <c r="Q4" s="0" t="n">
        <v>15.1</v>
      </c>
      <c r="R4" s="7" t="n">
        <v>1</v>
      </c>
      <c r="S4" s="7" t="n">
        <v>0.7</v>
      </c>
      <c r="T4" s="7" t="n">
        <v>0.73</v>
      </c>
      <c r="U4" s="6" t="s">
        <v>107</v>
      </c>
      <c r="V4" s="0" t="n">
        <v>5</v>
      </c>
      <c r="W4" s="0" t="n">
        <v>0</v>
      </c>
      <c r="X4" s="0" t="str">
        <f aca="false">IFERROR(INDEX(Calc!$AH$2:$AH$11,MATCH($Y4,Calc!$A$2:$A$11,0)),"")</f>
        <v>new roster: 0% of his recent games with these teammates</v>
      </c>
      <c r="Y4" s="6" t="s">
        <v>110</v>
      </c>
      <c r="Z4" s="6" t="s">
        <v>105</v>
      </c>
      <c r="AA4" s="0" t="str">
        <f aca="false">Y4&amp;"|"&amp;Z4</f>
        <v>3zaze8op521xnc4|DOTA · TY vs GL|K12</v>
      </c>
    </row>
    <row r="5" customFormat="false" ht="15" hidden="false" customHeight="false" outlineLevel="0" collapsed="false">
      <c r="A5" s="0" t="s">
        <v>27</v>
      </c>
      <c r="B5" s="0" t="s">
        <v>111</v>
      </c>
      <c r="C5" s="0" t="s">
        <v>79</v>
      </c>
      <c r="D5" s="0" t="s">
        <v>102</v>
      </c>
      <c r="E5" s="0" t="n">
        <v>4</v>
      </c>
      <c r="F5" s="8" t="n">
        <f aca="false">IFERROR(INDEX(CHOOSE(MATCH($Z5,{"K1","K12","K13"},0),Calc!$Y$2:$Y$11,Calc!$AA$2:$AA$11,Calc!$AC$2:$AC$11),MATCH($Y5,Calc!$A$2:$A$11,0)),"")</f>
        <v>4.55413996803114</v>
      </c>
      <c r="G5" s="8" t="n">
        <f aca="false">IFERROR(SQRT(INDEX(CHOOSE(MATCH($Z5,{"K1","K12","K13"},0),Calc!$Z$2:$Z$11,Calc!$AB$2:$AB$11,Calc!$AD$2:$AD$11),MATCH($Y5,Calc!$A$2:$A$11,0))),"")</f>
        <v>3.02533418771393</v>
      </c>
      <c r="H5" s="7" t="n">
        <f aca="false">IF(OR($E5="",$F5="",N($G5)&lt;=0),"",1-NORMDIST(FLOOR($E5,1)+0.5,$F5,$G5,TRUE()))</f>
        <v>0.507138903734374</v>
      </c>
      <c r="I5" s="7" t="n">
        <f aca="false">IF($H5="","",NORMDIST(CEILING($E5,1)-0.5,$F5,$G5,TRUE()))</f>
        <v>0.363755811180291</v>
      </c>
      <c r="J5" s="7" t="n">
        <f aca="false">IF($H5="","",MAX(0,1-$H5-$I5))</f>
        <v>0.129105285085335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IFERROR(INDEX(CHOOSE(MATCH($Z5,{"K1","K12","K13"},0),Calc!$AE$2:$AE$11,Calc!$AF$2:$AF$11,Calc!$AG$2:$AG$11),MATCH($Y5,Calc!$A$2:$A$11,0)),"")</f>
        <v>5.6</v>
      </c>
      <c r="M5" s="7" t="n">
        <f aca="false">IF(OR($E5="",$L5="",N($G5)&lt;=0),"",1-NORMDIST(FLOOR($E5,1)+0.5,$L5,$G5*SQRT($L5/$F5),TRUE()))</f>
        <v>0.628502677236158</v>
      </c>
      <c r="O5" s="7" t="n">
        <f aca="false">IFERROR(INDEX(Calc!$H$2:$H$11,MATCH($Y5,Calc!$A$2:$A$11,0)),"")</f>
        <v>0.57</v>
      </c>
      <c r="P5" s="7" t="n">
        <f aca="false">IFERROR(INDEX(Calc!$M$2:$M$11,MATCH($Y5,Calc!$A$2:$A$11,0)),"")</f>
        <v>0.221</v>
      </c>
      <c r="Q5" s="0" t="n">
        <v>5.8</v>
      </c>
      <c r="R5" s="7" t="n">
        <v>0.8</v>
      </c>
      <c r="S5" s="7" t="n">
        <v>0.7</v>
      </c>
      <c r="T5" s="7" t="n">
        <v>0.73</v>
      </c>
      <c r="U5" s="6" t="s">
        <v>103</v>
      </c>
      <c r="V5" s="0" t="n">
        <v>3</v>
      </c>
      <c r="W5" s="0" t="n">
        <v>1</v>
      </c>
      <c r="X5" s="0" t="str">
        <f aca="false">IFERROR(INDEX(Calc!$AH$2:$AH$11,MATCH($Y5,Calc!$A$2:$A$11,0)),"")</f>
        <v>new roster: 0% of his recent games with these teammates</v>
      </c>
      <c r="Y5" s="6" t="s">
        <v>112</v>
      </c>
      <c r="Z5" s="6" t="s">
        <v>105</v>
      </c>
      <c r="AA5" s="0" t="str">
        <f aca="false">Y5&amp;"|"&amp;Z5</f>
        <v>t3b3k5ym37f128b|DOTA · TY vs GL|K12</v>
      </c>
    </row>
    <row r="6" customFormat="false" ht="15" hidden="false" customHeight="false" outlineLevel="0" collapsed="false">
      <c r="A6" s="0" t="s">
        <v>27</v>
      </c>
      <c r="B6" s="0" t="s">
        <v>113</v>
      </c>
      <c r="C6" s="0" t="s">
        <v>79</v>
      </c>
      <c r="D6" s="0" t="s">
        <v>102</v>
      </c>
      <c r="E6" s="0" t="n">
        <v>12.5</v>
      </c>
      <c r="F6" s="8" t="n">
        <f aca="false">IFERROR(INDEX(CHOOSE(MATCH($Z6,{"K1","K12","K13"},0),Calc!$Y$2:$Y$11,Calc!$AA$2:$AA$11,Calc!$AC$2:$AC$11),MATCH($Y6,Calc!$A$2:$A$11,0)),"")</f>
        <v>14.475659184099</v>
      </c>
      <c r="G6" s="8" t="n">
        <f aca="false">IFERROR(SQRT(INDEX(CHOOSE(MATCH($Z6,{"K1","K12","K13"},0),Calc!$Z$2:$Z$11,Calc!$AB$2:$AB$11,Calc!$AD$2:$AD$11),MATCH($Y6,Calc!$A$2:$A$11,0))),"")</f>
        <v>5.8690181051878</v>
      </c>
      <c r="H6" s="7" t="n">
        <f aca="false">IF(OR($E6="",$F6="",N($G6)&lt;=0),"",1-NORMDIST(FLOOR($E6,1)+0.5,$F6,$G6,TRUE()))</f>
        <v>0.631800258067625</v>
      </c>
      <c r="I6" s="7" t="n">
        <f aca="false">IF($H6="","",NORMDIST(CEILING($E6,1)-0.5,$F6,$G6,TRUE()))</f>
        <v>0.368199741932375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OVER</v>
      </c>
      <c r="L6" s="8" t="n">
        <f aca="false">IFERROR(INDEX(CHOOSE(MATCH($Z6,{"K1","K12","K13"},0),Calc!$AE$2:$AE$11,Calc!$AF$2:$AF$11,Calc!$AG$2:$AG$11),MATCH($Y6,Calc!$A$2:$A$11,0)),"")</f>
        <v>17.8</v>
      </c>
      <c r="M6" s="7" t="n">
        <f aca="false">IF(OR($E6="",$L6="",N($G6)&lt;=0),"",1-NORMDIST(FLOOR($E6,1)+0.5,$L6,$G6*SQRT($L6/$F6),TRUE()))</f>
        <v>0.792282323633225</v>
      </c>
      <c r="N6" s="0" t="n">
        <v>11.54</v>
      </c>
      <c r="O6" s="7" t="n">
        <f aca="false">IFERROR(INDEX(Calc!$H$2:$H$11,MATCH($Y6,Calc!$A$2:$A$11,0)),"")</f>
        <v>0.57</v>
      </c>
      <c r="P6" s="7" t="n">
        <f aca="false">IFERROR(INDEX(Calc!$M$2:$M$11,MATCH($Y6,Calc!$A$2:$A$11,0)),"")</f>
        <v>0.221</v>
      </c>
      <c r="Q6" s="0" t="n">
        <v>17.3</v>
      </c>
      <c r="R6" s="7" t="n">
        <v>1</v>
      </c>
      <c r="S6" s="7" t="n">
        <v>0.7</v>
      </c>
      <c r="T6" s="7" t="n">
        <v>0.73</v>
      </c>
      <c r="U6" s="6" t="s">
        <v>114</v>
      </c>
      <c r="V6" s="0" t="n">
        <v>5</v>
      </c>
      <c r="X6" s="0" t="str">
        <f aca="false">IFERROR(INDEX(Calc!$AH$2:$AH$11,MATCH($Y6,Calc!$A$2:$A$11,0)),"")</f>
        <v>new roster: 0% of his recent games with these teammates</v>
      </c>
      <c r="Y6" s="6" t="s">
        <v>115</v>
      </c>
      <c r="Z6" s="6" t="s">
        <v>105</v>
      </c>
      <c r="AA6" s="0" t="str">
        <f aca="false">Y6&amp;"|"&amp;Z6</f>
        <v>388xfoz6m2jbt95|DOTA · TY vs GL|K12</v>
      </c>
    </row>
    <row r="7" customFormat="false" ht="15" hidden="false" customHeight="false" outlineLevel="0" collapsed="false">
      <c r="A7" s="0" t="s">
        <v>27</v>
      </c>
      <c r="B7" s="0" t="s">
        <v>116</v>
      </c>
      <c r="C7" s="0" t="s">
        <v>78</v>
      </c>
      <c r="D7" s="0" t="s">
        <v>102</v>
      </c>
      <c r="E7" s="0" t="n">
        <v>16</v>
      </c>
      <c r="F7" s="8" t="n">
        <f aca="false">IFERROR(INDEX(CHOOSE(MATCH($Z7,{"K1","K12","K13"},0),Calc!$Y$2:$Y$11,Calc!$AA$2:$AA$11,Calc!$AC$2:$AC$11),MATCH($Y7,Calc!$A$2:$A$11,0)),"")</f>
        <v>18.6395915754433</v>
      </c>
      <c r="G7" s="8" t="n">
        <f aca="false">IFERROR(SQRT(INDEX(CHOOSE(MATCH($Z7,{"K1","K12","K13"},0),Calc!$Z$2:$Z$11,Calc!$AB$2:$AB$11,Calc!$AD$2:$AD$11),MATCH($Y7,Calc!$A$2:$A$11,0))),"")</f>
        <v>6.42065598405949</v>
      </c>
      <c r="H7" s="7" t="n">
        <f aca="false">IF(OR($E7="",$F7="",N($G7)&lt;=0),"",1-NORMDIST(FLOOR($E7,1)+0.5,$F7,$G7,TRUE()))</f>
        <v>0.630521801348147</v>
      </c>
      <c r="I7" s="7" t="n">
        <f aca="false">IF($H7="","",NORMDIST(CEILING($E7,1)-0.5,$F7,$G7,TRUE()))</f>
        <v>0.31242686894251</v>
      </c>
      <c r="J7" s="7" t="n">
        <f aca="false">IF($H7="","",MAX(0,1-$H7-$I7))</f>
        <v>0.0570513297093431</v>
      </c>
      <c r="K7" s="0" t="str">
        <f aca="false">IF($H7="","",IF($H7&gt;=0.5+Config!$B$8,"OVER",IF($I7&gt;=0.5+Config!$B$8,"UNDER","—")))</f>
        <v>OVER</v>
      </c>
      <c r="L7" s="8" t="n">
        <f aca="false">IFERROR(INDEX(CHOOSE(MATCH($Z7,{"K1","K12","K13"},0),Calc!$AE$2:$AE$11,Calc!$AF$2:$AF$11,Calc!$AG$2:$AG$11),MATCH($Y7,Calc!$A$2:$A$11,0)),"")</f>
        <v>18.2</v>
      </c>
      <c r="M7" s="7" t="n">
        <f aca="false">IF(OR($E7="",$L7="",N($G7)&lt;=0),"",1-NORMDIST(FLOOR($E7,1)+0.5,$L7,$G7*SQRT($L7/$F7),TRUE()))</f>
        <v>0.605630684027513</v>
      </c>
      <c r="N7" s="0" t="n">
        <v>15.91</v>
      </c>
      <c r="O7" s="7" t="n">
        <f aca="false">IFERROR(INDEX(Calc!$H$2:$H$11,MATCH($Y7,Calc!$A$2:$A$11,0)),"")</f>
        <v>0.73</v>
      </c>
      <c r="P7" s="7" t="n">
        <f aca="false">IFERROR(INDEX(Calc!$M$2:$M$11,MATCH($Y7,Calc!$A$2:$A$11,0)),"")</f>
        <v>0.779</v>
      </c>
      <c r="Q7" s="0" t="n">
        <v>18.7</v>
      </c>
      <c r="R7" s="7" t="n">
        <v>0.6</v>
      </c>
      <c r="S7" s="7" t="n">
        <v>0.6</v>
      </c>
      <c r="T7" s="7" t="n">
        <v>0.6</v>
      </c>
      <c r="U7" s="6" t="s">
        <v>117</v>
      </c>
      <c r="V7" s="0" t="n">
        <v>-1</v>
      </c>
      <c r="W7" s="0" t="n">
        <v>1</v>
      </c>
      <c r="X7" s="0" t="str">
        <f aca="false">IFERROR(INDEX(Calc!$AH$2:$AH$11,MATCH($Y7,Calc!$A$2:$A$11,0)),"")</f>
        <v>new roster: 0% of his recent games with these teammates</v>
      </c>
      <c r="Y7" s="6" t="s">
        <v>118</v>
      </c>
      <c r="Z7" s="6" t="s">
        <v>105</v>
      </c>
      <c r="AA7" s="0" t="str">
        <f aca="false">Y7&amp;"|"&amp;Z7</f>
        <v>gjtmq8fbk0gya2i|DOTA · TY vs GL|K12</v>
      </c>
    </row>
    <row r="8" customFormat="false" ht="15" hidden="false" customHeight="false" outlineLevel="0" collapsed="false">
      <c r="A8" s="0" t="s">
        <v>27</v>
      </c>
      <c r="B8" s="0" t="s">
        <v>119</v>
      </c>
      <c r="C8" s="0" t="s">
        <v>78</v>
      </c>
      <c r="D8" s="0" t="s">
        <v>102</v>
      </c>
      <c r="E8" s="0" t="n">
        <v>15.5</v>
      </c>
      <c r="F8" s="8" t="n">
        <f aca="false">IFERROR(INDEX(CHOOSE(MATCH($Z8,{"K1","K12","K13"},0),Calc!$Y$2:$Y$11,Calc!$AA$2:$AA$11,Calc!$AC$2:$AC$11),MATCH($Y8,Calc!$A$2:$A$11,0)),"")</f>
        <v>14.3381473657256</v>
      </c>
      <c r="G8" s="8" t="n">
        <f aca="false">IFERROR(SQRT(INDEX(CHOOSE(MATCH($Z8,{"K1","K12","K13"},0),Calc!$Z$2:$Z$11,Calc!$AB$2:$AB$11,Calc!$AD$2:$AD$11),MATCH($Y8,Calc!$A$2:$A$11,0))),"")</f>
        <v>5.52101299636987</v>
      </c>
      <c r="H8" s="7" t="n">
        <f aca="false">IF(OR($E8="",$F8="",N($G8)&lt;=0),"",1-NORMDIST(FLOOR($E8,1)+0.5,$F8,$G8,TRUE()))</f>
        <v>0.41666138466658</v>
      </c>
      <c r="I8" s="7" t="n">
        <f aca="false">IF($H8="","",NORMDIST(CEILING($E8,1)-0.5,$F8,$G8,TRUE()))</f>
        <v>0.58333861533342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UNDER</v>
      </c>
      <c r="L8" s="8" t="n">
        <f aca="false">IFERROR(INDEX(CHOOSE(MATCH($Z8,{"K1","K12","K13"},0),Calc!$AE$2:$AE$11,Calc!$AF$2:$AF$11,Calc!$AG$2:$AG$11),MATCH($Y8,Calc!$A$2:$A$11,0)),"")</f>
        <v>14</v>
      </c>
      <c r="M8" s="7" t="n">
        <f aca="false">IF(OR($E8="",$L8="",N($G8)&lt;=0),"",1-NORMDIST(FLOOR($E8,1)+0.5,$L8,$G8*SQRT($L8/$F8),TRUE()))</f>
        <v>0.391677017954279</v>
      </c>
      <c r="O8" s="7" t="n">
        <f aca="false">IFERROR(INDEX(Calc!$H$2:$H$11,MATCH($Y8,Calc!$A$2:$A$11,0)),"")</f>
        <v>0.73</v>
      </c>
      <c r="P8" s="7" t="n">
        <f aca="false">IFERROR(INDEX(Calc!$M$2:$M$11,MATCH($Y8,Calc!$A$2:$A$11,0)),"")</f>
        <v>0.779</v>
      </c>
      <c r="Q8" s="0" t="n">
        <v>13.8</v>
      </c>
      <c r="R8" s="7" t="n">
        <v>0.2</v>
      </c>
      <c r="S8" s="7" t="n">
        <v>0.3</v>
      </c>
      <c r="T8" s="7" t="n">
        <v>0.33</v>
      </c>
      <c r="U8" s="6" t="s">
        <v>103</v>
      </c>
      <c r="V8" s="0" t="n">
        <v>-4</v>
      </c>
      <c r="X8" s="0" t="str">
        <f aca="false">IFERROR(INDEX(Calc!$AH$2:$AH$11,MATCH($Y8,Calc!$A$2:$A$11,0)),"")</f>
        <v>new roster: 0% of his recent games with these teammates</v>
      </c>
      <c r="Y8" s="6" t="s">
        <v>120</v>
      </c>
      <c r="Z8" s="6" t="s">
        <v>105</v>
      </c>
      <c r="AA8" s="0" t="str">
        <f aca="false">Y8&amp;"|"&amp;Z8</f>
        <v>ms674i51eq6w83k|DOTA · TY vs GL|K12</v>
      </c>
    </row>
    <row r="9" customFormat="false" ht="15" hidden="false" customHeight="false" outlineLevel="0" collapsed="false">
      <c r="A9" s="0" t="s">
        <v>27</v>
      </c>
      <c r="B9" s="0" t="s">
        <v>121</v>
      </c>
      <c r="C9" s="0" t="s">
        <v>78</v>
      </c>
      <c r="D9" s="0" t="s">
        <v>102</v>
      </c>
      <c r="E9" s="0" t="n">
        <v>6</v>
      </c>
      <c r="F9" s="8" t="n">
        <f aca="false">IFERROR(INDEX(CHOOSE(MATCH($Z9,{"K1","K12","K13"},0),Calc!$Y$2:$Y$11,Calc!$AA$2:$AA$11,Calc!$AC$2:$AC$11),MATCH($Y9,Calc!$A$2:$A$11,0)),"")</f>
        <v>6.55458165290314</v>
      </c>
      <c r="G9" s="8" t="n">
        <f aca="false">IFERROR(SQRT(INDEX(CHOOSE(MATCH($Z9,{"K1","K12","K13"},0),Calc!$Z$2:$Z$11,Calc!$AB$2:$AB$11,Calc!$AD$2:$AD$11),MATCH($Y9,Calc!$A$2:$A$11,0))),"")</f>
        <v>3.59403948101037</v>
      </c>
      <c r="H9" s="7" t="n">
        <f aca="false">IF(OR($E9="",$F9="",N($G9)&lt;=0),"",1-NORMDIST(FLOOR($E9,1)+0.5,$F9,$G9,TRUE()))</f>
        <v>0.506058389788533</v>
      </c>
      <c r="I9" s="7" t="n">
        <f aca="false">IF($H9="","",NORMDIST(CEILING($E9,1)-0.5,$F9,$G9,TRUE()))</f>
        <v>0.384598593647136</v>
      </c>
      <c r="J9" s="7" t="n">
        <f aca="false">IF($H9="","",MAX(0,1-$H9-$I9))</f>
        <v>0.109343016564332</v>
      </c>
      <c r="K9" s="0" t="str">
        <f aca="false">IF($H9="","",IF($H9&gt;=0.5+Config!$B$8,"OVER",IF($I9&gt;=0.5+Config!$B$8,"UNDER","—")))</f>
        <v>—</v>
      </c>
      <c r="L9" s="8" t="n">
        <f aca="false">IFERROR(INDEX(CHOOSE(MATCH($Z9,{"K1","K12","K13"},0),Calc!$AE$2:$AE$11,Calc!$AF$2:$AF$11,Calc!$AG$2:$AG$11),MATCH($Y9,Calc!$A$2:$A$11,0)),"")</f>
        <v>6.4</v>
      </c>
      <c r="M9" s="7" t="n">
        <f aca="false">IF(OR($E9="",$L9="",N($G9)&lt;=0),"",1-NORMDIST(FLOOR($E9,1)+0.5,$L9,$G9*SQRT($L9/$F9),TRUE()))</f>
        <v>0.488768123027774</v>
      </c>
      <c r="N9" s="0" t="n">
        <v>6.1</v>
      </c>
      <c r="O9" s="7" t="n">
        <f aca="false">IFERROR(INDEX(Calc!$H$2:$H$11,MATCH($Y9,Calc!$A$2:$A$11,0)),"")</f>
        <v>0.73</v>
      </c>
      <c r="P9" s="7" t="n">
        <f aca="false">IFERROR(INDEX(Calc!$M$2:$M$11,MATCH($Y9,Calc!$A$2:$A$11,0)),"")</f>
        <v>0.779</v>
      </c>
      <c r="Q9" s="0" t="n">
        <v>6.4</v>
      </c>
      <c r="R9" s="7" t="n">
        <v>0.2</v>
      </c>
      <c r="S9" s="7" t="n">
        <v>0.4</v>
      </c>
      <c r="T9" s="7" t="n">
        <v>0.47</v>
      </c>
      <c r="U9" s="6" t="s">
        <v>122</v>
      </c>
      <c r="V9" s="0" t="n">
        <v>-4</v>
      </c>
      <c r="W9" s="0" t="n">
        <v>2</v>
      </c>
      <c r="X9" s="0" t="str">
        <f aca="false">IFERROR(INDEX(Calc!$AH$2:$AH$11,MATCH($Y9,Calc!$A$2:$A$11,0)),"")</f>
        <v>new roster: 0% of his recent games with these teammates</v>
      </c>
      <c r="Y9" s="6" t="s">
        <v>123</v>
      </c>
      <c r="Z9" s="6" t="s">
        <v>105</v>
      </c>
      <c r="AA9" s="0" t="str">
        <f aca="false">Y9&amp;"|"&amp;Z9</f>
        <v>0ajkyqw3r0k1f5j|DOTA · TY vs GL|K12</v>
      </c>
    </row>
    <row r="10" customFormat="false" ht="15" hidden="false" customHeight="false" outlineLevel="0" collapsed="false">
      <c r="A10" s="0" t="s">
        <v>27</v>
      </c>
      <c r="B10" s="0" t="s">
        <v>124</v>
      </c>
      <c r="C10" s="0" t="s">
        <v>78</v>
      </c>
      <c r="D10" s="0" t="s">
        <v>102</v>
      </c>
      <c r="E10" s="0" t="n">
        <v>7.5</v>
      </c>
      <c r="F10" s="8" t="n">
        <f aca="false">IFERROR(INDEX(CHOOSE(MATCH($Z10,{"K1","K12","K13"},0),Calc!$Y$2:$Y$11,Calc!$AA$2:$AA$11,Calc!$AC$2:$AC$11),MATCH($Y10,Calc!$A$2:$A$11,0)),"")</f>
        <v>8.19322706612893</v>
      </c>
      <c r="G10" s="8" t="n">
        <f aca="false">IFERROR(SQRT(INDEX(CHOOSE(MATCH($Z10,{"K1","K12","K13"},0),Calc!$Z$2:$Z$11,Calc!$AB$2:$AB$11,Calc!$AD$2:$AD$11),MATCH($Y10,Calc!$A$2:$A$11,0))),"")</f>
        <v>4.05143372438868</v>
      </c>
      <c r="H10" s="7" t="n">
        <f aca="false">IF(OR($E10="",$F10="",N($G10)&lt;=0),"",1-NORMDIST(FLOOR($E10,1)+0.5,$F10,$G10,TRUE()))</f>
        <v>0.567930028414762</v>
      </c>
      <c r="I10" s="7" t="n">
        <f aca="false">IF($H10="","",NORMDIST(CEILING($E10,1)-0.5,$F10,$G10,TRUE()))</f>
        <v>0.432069971585238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OVER</v>
      </c>
      <c r="L10" s="8" t="n">
        <f aca="false">IFERROR(INDEX(CHOOSE(MATCH($Z10,{"K1","K12","K13"},0),Calc!$AE$2:$AE$11,Calc!$AF$2:$AF$11,Calc!$AG$2:$AG$11),MATCH($Y10,Calc!$A$2:$A$11,0)),"")</f>
        <v>8</v>
      </c>
      <c r="M10" s="7" t="n">
        <f aca="false">IF(OR($E10="",$L10="",N($G10)&lt;=0),"",1-NORMDIST(FLOOR($E10,1)+0.5,$L10,$G10*SQRT($L10/$F10),TRUE()))</f>
        <v>0.549696515335617</v>
      </c>
      <c r="N10" s="0" t="n">
        <v>6.76</v>
      </c>
      <c r="O10" s="7" t="n">
        <f aca="false">IFERROR(INDEX(Calc!$H$2:$H$11,MATCH($Y10,Calc!$A$2:$A$11,0)),"")</f>
        <v>0.73</v>
      </c>
      <c r="P10" s="7" t="n">
        <f aca="false">IFERROR(INDEX(Calc!$M$2:$M$11,MATCH($Y10,Calc!$A$2:$A$11,0)),"")</f>
        <v>0.779</v>
      </c>
      <c r="Q10" s="0" t="n">
        <v>8.9</v>
      </c>
      <c r="R10" s="7" t="n">
        <v>0.4</v>
      </c>
      <c r="S10" s="7" t="n">
        <v>0.6</v>
      </c>
      <c r="T10" s="7" t="n">
        <v>0.6</v>
      </c>
      <c r="U10" s="6" t="s">
        <v>103</v>
      </c>
      <c r="V10" s="0" t="n">
        <v>1</v>
      </c>
      <c r="X10" s="0" t="str">
        <f aca="false">IFERROR(INDEX(Calc!$AH$2:$AH$11,MATCH($Y10,Calc!$A$2:$A$11,0)),"")</f>
        <v>new roster: 0% of his recent games with these teammates</v>
      </c>
      <c r="Y10" s="6" t="s">
        <v>125</v>
      </c>
      <c r="Z10" s="6" t="s">
        <v>105</v>
      </c>
      <c r="AA10" s="0" t="str">
        <f aca="false">Y10&amp;"|"&amp;Z10</f>
        <v>b2idu6d2bllmgsq|DOTA · TY vs GL|K12</v>
      </c>
    </row>
    <row r="11" customFormat="false" ht="15" hidden="false" customHeight="false" outlineLevel="0" collapsed="false">
      <c r="A11" s="0" t="s">
        <v>27</v>
      </c>
      <c r="B11" s="0" t="s">
        <v>126</v>
      </c>
      <c r="C11" s="0" t="s">
        <v>78</v>
      </c>
      <c r="D11" s="0" t="s">
        <v>102</v>
      </c>
      <c r="E11" s="0" t="n">
        <v>19.5</v>
      </c>
      <c r="F11" s="8" t="n">
        <f aca="false">IFERROR(INDEX(CHOOSE(MATCH($Z11,{"K1","K12","K13"},0),Calc!$Y$2:$Y$11,Calc!$AA$2:$AA$11,Calc!$AC$2:$AC$11),MATCH($Y11,Calc!$A$2:$A$11,0)),"")</f>
        <v>21.5072210485884</v>
      </c>
      <c r="G11" s="8" t="n">
        <f aca="false">IFERROR(SQRT(INDEX(CHOOSE(MATCH($Z11,{"K1","K12","K13"},0),Calc!$Z$2:$Z$11,Calc!$AB$2:$AB$11,Calc!$AD$2:$AD$11),MATCH($Y11,Calc!$A$2:$A$11,0))),"")</f>
        <v>6.98547935176892</v>
      </c>
      <c r="H11" s="7" t="n">
        <f aca="false">IF(OR($E11="",$F11="",N($G11)&lt;=0),"",1-NORMDIST(FLOOR($E11,1)+0.5,$F11,$G11,TRUE()))</f>
        <v>0.61307473606137</v>
      </c>
      <c r="I11" s="7" t="n">
        <f aca="false">IF($H11="","",NORMDIST(CEILING($E11,1)-0.5,$F11,$G11,TRUE()))</f>
        <v>0.38692526393863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IFERROR(INDEX(CHOOSE(MATCH($Z11,{"K1","K12","K13"},0),Calc!$AE$2:$AE$11,Calc!$AF$2:$AF$11,Calc!$AG$2:$AG$11),MATCH($Y11,Calc!$A$2:$A$11,0)),"")</f>
        <v>21</v>
      </c>
      <c r="M11" s="7" t="n">
        <f aca="false">IF(OR($E11="",$L11="",N($G11)&lt;=0),"",1-NORMDIST(FLOOR($E11,1)+0.5,$L11,$G11*SQRT($L11/$F11),TRUE()))</f>
        <v>0.586016195887123</v>
      </c>
      <c r="N11" s="0" t="n">
        <v>17.47</v>
      </c>
      <c r="O11" s="7" t="n">
        <f aca="false">IFERROR(INDEX(Calc!$H$2:$H$11,MATCH($Y11,Calc!$A$2:$A$11,0)),"")</f>
        <v>0.73</v>
      </c>
      <c r="P11" s="7" t="n">
        <f aca="false">IFERROR(INDEX(Calc!$M$2:$M$11,MATCH($Y11,Calc!$A$2:$A$11,0)),"")</f>
        <v>0.779</v>
      </c>
      <c r="Q11" s="0" t="n">
        <v>20</v>
      </c>
      <c r="R11" s="7" t="n">
        <v>0.4</v>
      </c>
      <c r="S11" s="7" t="n">
        <v>0.3</v>
      </c>
      <c r="T11" s="7" t="n">
        <v>0.47</v>
      </c>
      <c r="U11" s="6" t="s">
        <v>103</v>
      </c>
      <c r="V11" s="0" t="n">
        <v>-2</v>
      </c>
      <c r="X11" s="0" t="str">
        <f aca="false">IFERROR(INDEX(Calc!$AH$2:$AH$11,MATCH($Y11,Calc!$A$2:$A$11,0)),"")</f>
        <v>new roster: 0% of his recent games with these teammates</v>
      </c>
      <c r="Y11" s="6" t="s">
        <v>127</v>
      </c>
      <c r="Z11" s="6" t="s">
        <v>105</v>
      </c>
      <c r="AA11" s="0" t="str">
        <f aca="false">Y11&amp;"|"&amp;Z11</f>
        <v>sm63cqd6f6fdapn|DOTA · TY vs GL|K12</v>
      </c>
    </row>
  </sheetData>
  <autoFilter ref="A1:AA11"/>
  <conditionalFormatting sqref="H2:H11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128</v>
      </c>
      <c r="B1" s="9" t="s">
        <v>62</v>
      </c>
      <c r="C1" s="9" t="s">
        <v>40</v>
      </c>
      <c r="D1" s="9" t="s">
        <v>41</v>
      </c>
      <c r="E1" s="9" t="s">
        <v>129</v>
      </c>
      <c r="F1" s="9" t="s">
        <v>130</v>
      </c>
      <c r="G1" s="9" t="s">
        <v>131</v>
      </c>
      <c r="H1" s="9" t="s">
        <v>132</v>
      </c>
      <c r="I1" s="9" t="s">
        <v>43</v>
      </c>
      <c r="J1" s="9" t="s">
        <v>44</v>
      </c>
      <c r="K1" s="9" t="s">
        <v>45</v>
      </c>
      <c r="L1" s="9" t="s">
        <v>133</v>
      </c>
      <c r="M1" s="9" t="s">
        <v>134</v>
      </c>
      <c r="N1" s="9" t="s">
        <v>135</v>
      </c>
      <c r="O1" s="9" t="s">
        <v>136</v>
      </c>
      <c r="P1" s="9" t="s">
        <v>137</v>
      </c>
      <c r="Q1" s="9" t="s">
        <v>138</v>
      </c>
      <c r="R1" s="9" t="s">
        <v>139</v>
      </c>
      <c r="S1" s="9" t="s">
        <v>140</v>
      </c>
      <c r="T1" s="9" t="s">
        <v>141</v>
      </c>
      <c r="U1" s="9" t="s">
        <v>142</v>
      </c>
      <c r="V1" s="9" t="s">
        <v>143</v>
      </c>
      <c r="W1" s="9" t="s">
        <v>144</v>
      </c>
      <c r="X1" s="9" t="s">
        <v>145</v>
      </c>
      <c r="Y1" s="9" t="s">
        <v>146</v>
      </c>
      <c r="Z1" s="9" t="s">
        <v>147</v>
      </c>
      <c r="AA1" s="9" t="s">
        <v>105</v>
      </c>
      <c r="AB1" s="9" t="s">
        <v>148</v>
      </c>
      <c r="AC1" s="9" t="s">
        <v>149</v>
      </c>
      <c r="AD1" s="9" t="s">
        <v>150</v>
      </c>
      <c r="AE1" s="9" t="s">
        <v>151</v>
      </c>
      <c r="AF1" s="9" t="s">
        <v>152</v>
      </c>
      <c r="AG1" s="9" t="s">
        <v>153</v>
      </c>
      <c r="AH1" s="9" t="s">
        <v>57</v>
      </c>
      <c r="AI1" s="9" t="s">
        <v>154</v>
      </c>
      <c r="AJ1" s="9" t="s">
        <v>155</v>
      </c>
      <c r="AK1" s="9" t="s">
        <v>156</v>
      </c>
    </row>
    <row r="2" customFormat="false" ht="15" hidden="false" customHeight="false" outlineLevel="0" collapsed="false">
      <c r="A2" s="0" t="s">
        <v>104</v>
      </c>
      <c r="B2" s="0" t="s">
        <v>27</v>
      </c>
      <c r="C2" s="0" t="s">
        <v>79</v>
      </c>
      <c r="D2" s="0" t="s">
        <v>101</v>
      </c>
      <c r="E2" s="0" t="s">
        <v>157</v>
      </c>
      <c r="F2" s="0" t="str">
        <f aca="false">IFERROR(IF($C2=INDEX(Matches!$S$5:$S$5,MATCH($B2,Matches!$A$5:$A$5,0)),"A",IF($C2=INDEX(Matches!$T$5:$T$5,MATCH($B2,Matches!$A$5:$A$5,0)),"B","")),"")</f>
        <v>B</v>
      </c>
      <c r="G2" s="0" t="n">
        <f aca="false">IFERROR(INDEX(Players!$E$2:$E$11,MATCH($E2,Players!$A$2:$A$11,0)),0)</f>
        <v>30</v>
      </c>
      <c r="H2" s="7" t="n">
        <f aca="false">IFERROR(INDEX(Players!$F$2:$F$11,MATCH($E2,Players!$A$2:$A$11,0)),"")</f>
        <v>0.57</v>
      </c>
      <c r="I2" s="6" t="n">
        <f aca="false">IFERROR(INDEX(Players!$G$2:$G$11,MATCH($E2,Players!$A$2:$A$11,0)),"")</f>
        <v>4.5</v>
      </c>
      <c r="J2" s="12" t="n">
        <f aca="false">IF(OR($I2="",$H2=""),"",$I2*IF(LEFT($B2,4)="DOTA",Config!$B$5,Config!$B$4)/($H2*IF(LEFT($B2,4)="DOTA",Config!$B$5,Config!$B$4)+1-$H2))</f>
        <v>5.53547849051359</v>
      </c>
      <c r="K2" s="12" t="n">
        <f aca="false">IF(OR($I2="",$H2=""),"",$I2/($H2*IF(LEFT($B2,4)="DOTA",Config!$B$5,Config!$B$4)+1-$H2))</f>
        <v>3.12738897769129</v>
      </c>
      <c r="L2" s="6" t="n">
        <f aca="false">IFERROR(INDEX(Matches!$R$5:$R$5,MATCH($B2,Matches!$A$5:$A$5,0)),1)</f>
        <v>1</v>
      </c>
      <c r="M2" s="7" t="n">
        <f aca="false">IFERROR(IF(INDEX(Matches!$M$5:$M$5,MATCH($B2,Matches!$A$5:$A$5,0))="","",IF($F2="A",INDEX(Matches!$M$5:$M$5,MATCH($B2,Matches!$A$5:$A$5,0)),1-INDEX(Matches!$M$5:$M$5,MATCH($B2,Matches!$A$5:$A$5,0)))),"")</f>
        <v>0.221</v>
      </c>
      <c r="N2" s="6" t="n">
        <f aca="false">1</f>
        <v>1</v>
      </c>
      <c r="O2" s="12" t="n">
        <f aca="false">IF(OR($M2="",$J2=""),"",$L2*($M2*$J2+(1-$M2)*$K2))</f>
        <v>3.65957676002502</v>
      </c>
      <c r="P2" s="6" t="n">
        <f aca="false">IF($O2="","",IF(LEFT($B2,4)="DOTA",Config!$B$7,Config!$B$6)*$O2+$L2^2*$M2*(1-$M2)*($J2-$K2)^2)</f>
        <v>7.73195322027075</v>
      </c>
      <c r="Q2" s="7" t="n">
        <f aca="false">IFERROR(IF(INDEX(Matches!$N$5:$N$5,MATCH($B2,Matches!$A$5:$A$5,0))="","",IF($F2="A",INDEX(Matches!$N$5:$N$5,MATCH($B2,Matches!$A$5:$A$5,0)),1-INDEX(Matches!$N$5:$N$5,MATCH($B2,Matches!$A$5:$A$5,0)))),"")</f>
        <v>0.221</v>
      </c>
      <c r="R2" s="6" t="n">
        <f aca="false">IFERROR(N(INDEX(Matches!$P$5:$P$5,MATCH($B2,Matches!$A$5:$A$5,0))),0)</f>
        <v>1</v>
      </c>
      <c r="S2" s="12" t="n">
        <f aca="false">IF(OR($Q2="",$J2=""),"",$L2*($Q2*$J2+(1-$Q2)*$K2))</f>
        <v>3.65957676002502</v>
      </c>
      <c r="T2" s="6" t="n">
        <f aca="false">IF($S2="","",IF(LEFT($B2,4)="DOTA",Config!$B$7,Config!$B$6)*$S2+$L2^2*$Q2*(1-$Q2)*($J2-$K2)^2)</f>
        <v>7.73195322027075</v>
      </c>
      <c r="U2" s="7" t="n">
        <f aca="false">IFERROR(IF(INDEX(Matches!$O$5:$O$5,MATCH($B2,Matches!$A$5:$A$5,0))="","",IF($F2="A",INDEX(Matches!$O$5:$O$5,MATCH($B2,Matches!$A$5:$A$5,0)),1-INDEX(Matches!$O$5:$O$5,MATCH($B2,Matches!$A$5:$A$5,0)))),"")</f>
        <v>0.1353</v>
      </c>
      <c r="V2" s="6" t="n">
        <f aca="false">IFERROR(N(INDEX(Matches!$Q$5:$Q$5,MATCH($B2,Matches!$A$5:$A$5,0))),0)</f>
        <v>0.3419</v>
      </c>
      <c r="W2" s="12" t="n">
        <f aca="false">IF(OR($U2="",$J2=""),"",$L2*($U2*$J2+(1-$U2)*$K2))</f>
        <v>3.45320348877615</v>
      </c>
      <c r="X2" s="6" t="n">
        <f aca="false">IF($W2="","",IF(LEFT($B2,4)="DOTA",Config!$B$7,Config!$B$6)*$W2+$L2^2*$U2*(1-$U2)*($J2-$K2)^2)</f>
        <v>7.03232983098342</v>
      </c>
      <c r="Y2" s="12" t="n">
        <f aca="false">IF($O2="","",$O2)</f>
        <v>3.65957676002502</v>
      </c>
      <c r="Z2" s="6" t="n">
        <f aca="false">IF($P2="","",$P2)</f>
        <v>7.73195322027075</v>
      </c>
      <c r="AA2" s="12" t="n">
        <f aca="false">IF($O2="","",N($N2)*N($O2)+N($R2)*N($S2))</f>
        <v>7.31915352005004</v>
      </c>
      <c r="AB2" s="6" t="n">
        <f aca="false">IF($O2="","",(N($N2)*N($P2)+N($N2)*(1-N($N2))*N($O2)^2)+(N($R2)*N($T2)+N($R2)*(1-N($R2))*N($S2)^2))</f>
        <v>15.4639064405415</v>
      </c>
      <c r="AC2" s="12" t="n">
        <f aca="false">IF($O2="","",N($N2)*N($O2)+N($R2)*N($S2)+N($V2)*N($W2))</f>
        <v>8.4998037928626</v>
      </c>
      <c r="AD2" s="6" t="n">
        <f aca="false">IF($O2="","",(N($N2)*N($P2)+N($N2)*(1-N($N2))*N($O2)^2)+(N($R2)*N($T2)+N($R2)*(1-N($R2))*N($S2)^2)+(N($V2)*N($X2)+N($V2)*(1-N($V2))*N($W2)^2))</f>
        <v>20.5513505841632</v>
      </c>
      <c r="AE2" s="12" t="n">
        <f aca="false">IF($I2="","",$I2*$L2)</f>
        <v>4.5</v>
      </c>
      <c r="AF2" s="12" t="n">
        <f aca="false">IF($I2="","",$I2*$L2*(1+N($R2)))</f>
        <v>9</v>
      </c>
      <c r="AG2" s="12" t="n">
        <f aca="false">IF($I2="","",$I2*$L2*(1+N($R2)+N($V2)))</f>
        <v>10.53855</v>
      </c>
      <c r="AH2" s="0" t="str">
        <f aca="false">TRIM(IF($G2&lt;Config!$B$9,"thin sample ("&amp;$G2&amp;" maps) · ","")&amp;IF($I2="","no PickFinder stats · ","")&amp;IFERROR(IF(INDEX(Players!$T$2:$T$11,MATCH($E2,Players!$A$2:$A$11,0))&lt;0.5,"new roster: "&amp;TEXT(INDEX(Players!$T$2:$T$11,MATCH($E2,Players!$A$2:$A$11,0)),"0%")&amp;" of his recent games with these teammates",""),""))</f>
        <v>new roster: 0% of his recent games with these teammates</v>
      </c>
      <c r="AI2" s="6" t="n">
        <f aca="false">IF($B2=Board!$B$2,COUNTIFS($B$2:$B$11,Board!$B$2,$Y$2:$Y$11,"&gt;"&amp;$Y2)+COUNTIFS($B$1:$B1,Board!$B$2,$Y$1:$Y1,$Y2)+1,"")</f>
        <v>8</v>
      </c>
      <c r="AJ2" s="0" t="str">
        <f aca="false">IFERROR(IF(INDEX(Matches!$D$5:$D$5,MATCH($B2,Matches!$A$5:$A$5,0))=3,"K12","K13"),"K13")</f>
        <v>K12</v>
      </c>
      <c r="AK2" s="12" t="n">
        <f aca="false">IF($AJ2="K12",$AA2,$AC2)</f>
        <v>7.31915352005004</v>
      </c>
    </row>
    <row r="3" customFormat="false" ht="15" hidden="false" customHeight="false" outlineLevel="0" collapsed="false">
      <c r="A3" s="0" t="s">
        <v>108</v>
      </c>
      <c r="B3" s="0" t="s">
        <v>27</v>
      </c>
      <c r="C3" s="0" t="s">
        <v>79</v>
      </c>
      <c r="D3" s="0" t="s">
        <v>106</v>
      </c>
      <c r="E3" s="0" t="s">
        <v>158</v>
      </c>
      <c r="F3" s="0" t="str">
        <f aca="false">IFERROR(IF($C3=INDEX(Matches!$S$5:$S$5,MATCH($B3,Matches!$A$5:$A$5,0)),"A",IF($C3=INDEX(Matches!$T$5:$T$5,MATCH($B3,Matches!$A$5:$A$5,0)),"B","")),"")</f>
        <v>B</v>
      </c>
      <c r="G3" s="0" t="n">
        <f aca="false">IFERROR(INDEX(Players!$E$2:$E$11,MATCH($E3,Players!$A$2:$A$11,0)),0)</f>
        <v>30</v>
      </c>
      <c r="H3" s="7" t="n">
        <f aca="false">IFERROR(INDEX(Players!$F$2:$F$11,MATCH($E3,Players!$A$2:$A$11,0)),"")</f>
        <v>0.6</v>
      </c>
      <c r="I3" s="6" t="n">
        <f aca="false">IFERROR(INDEX(Players!$G$2:$G$11,MATCH($E3,Players!$A$2:$A$11,0)),"")</f>
        <v>5.9</v>
      </c>
      <c r="J3" s="12" t="n">
        <f aca="false">IF(OR($I3="",$H3=""),"",$I3*IF(LEFT($B3,4)="DOTA",Config!$B$5,Config!$B$4)/($H3*IF(LEFT($B3,4)="DOTA",Config!$B$5,Config!$B$4)+1-$H3))</f>
        <v>7.14295485636115</v>
      </c>
      <c r="K3" s="12" t="n">
        <f aca="false">IF(OR($I3="",$H3=""),"",$I3/($H3*IF(LEFT($B3,4)="DOTA",Config!$B$5,Config!$B$4)+1-$H3))</f>
        <v>4.03556771545828</v>
      </c>
      <c r="L3" s="6" t="n">
        <f aca="false">IFERROR(INDEX(Matches!$R$5:$R$5,MATCH($B3,Matches!$A$5:$A$5,0)),1)</f>
        <v>1</v>
      </c>
      <c r="M3" s="7" t="n">
        <f aca="false">IFERROR(IF(INDEX(Matches!$M$5:$M$5,MATCH($B3,Matches!$A$5:$A$5,0))="","",IF($F3="A",INDEX(Matches!$M$5:$M$5,MATCH($B3,Matches!$A$5:$A$5,0)),1-INDEX(Matches!$M$5:$M$5,MATCH($B3,Matches!$A$5:$A$5,0)))),"")</f>
        <v>0.221</v>
      </c>
      <c r="N3" s="6" t="n">
        <f aca="false">1</f>
        <v>1</v>
      </c>
      <c r="O3" s="12" t="n">
        <f aca="false">IF(OR($M3="",$J3=""),"",$L3*($M3*$J3+(1-$M3)*$K3))</f>
        <v>4.72230027359781</v>
      </c>
      <c r="P3" s="6" t="n">
        <f aca="false">IF($O3="","",IF(LEFT($B3,4)="DOTA",Config!$B$7,Config!$B$6)*$O3+$L3^2*$M3*(1-$M3)*($J3-$K3)^2)</f>
        <v>10.3513748174132</v>
      </c>
      <c r="Q3" s="7" t="n">
        <f aca="false">IFERROR(IF(INDEX(Matches!$N$5:$N$5,MATCH($B3,Matches!$A$5:$A$5,0))="","",IF($F3="A",INDEX(Matches!$N$5:$N$5,MATCH($B3,Matches!$A$5:$A$5,0)),1-INDEX(Matches!$N$5:$N$5,MATCH($B3,Matches!$A$5:$A$5,0)))),"")</f>
        <v>0.221</v>
      </c>
      <c r="R3" s="6" t="n">
        <f aca="false">IFERROR(N(INDEX(Matches!$P$5:$P$5,MATCH($B3,Matches!$A$5:$A$5,0))),0)</f>
        <v>1</v>
      </c>
      <c r="S3" s="12" t="n">
        <f aca="false">IF(OR($Q3="",$J3=""),"",$L3*($Q3*$J3+(1-$Q3)*$K3))</f>
        <v>4.72230027359781</v>
      </c>
      <c r="T3" s="6" t="n">
        <f aca="false">IF($S3="","",IF(LEFT($B3,4)="DOTA",Config!$B$7,Config!$B$6)*$S3+$L3^2*$Q3*(1-$Q3)*($J3-$K3)^2)</f>
        <v>10.3513748174132</v>
      </c>
      <c r="U3" s="7" t="n">
        <f aca="false">IFERROR(IF(INDEX(Matches!$O$5:$O$5,MATCH($B3,Matches!$A$5:$A$5,0))="","",IF($F3="A",INDEX(Matches!$O$5:$O$5,MATCH($B3,Matches!$A$5:$A$5,0)),1-INDEX(Matches!$O$5:$O$5,MATCH($B3,Matches!$A$5:$A$5,0)))),"")</f>
        <v>0.1353</v>
      </c>
      <c r="V3" s="6" t="n">
        <f aca="false">IFERROR(N(INDEX(Matches!$Q$5:$Q$5,MATCH($B3,Matches!$A$5:$A$5,0))),0)</f>
        <v>0.3419</v>
      </c>
      <c r="W3" s="12" t="n">
        <f aca="false">IF(OR($U3="",$J3=""),"",$L3*($U3*$J3+(1-$U3)*$K3))</f>
        <v>4.45599719562244</v>
      </c>
      <c r="X3" s="6" t="n">
        <f aca="false">IF($W3="","",IF(LEFT($B3,4)="DOTA",Config!$B$7,Config!$B$6)*$W3+$L3^2*$U3*(1-$U3)*($J3-$K3)^2)</f>
        <v>9.32871105247276</v>
      </c>
      <c r="Y3" s="12" t="n">
        <f aca="false">IF($O3="","",$O3)</f>
        <v>4.72230027359781</v>
      </c>
      <c r="Z3" s="6" t="n">
        <f aca="false">IF($P3="","",$P3)</f>
        <v>10.3513748174132</v>
      </c>
      <c r="AA3" s="12" t="n">
        <f aca="false">IF($O3="","",N($N3)*N($O3)+N($R3)*N($S3))</f>
        <v>9.44460054719562</v>
      </c>
      <c r="AB3" s="6" t="n">
        <f aca="false">IF($O3="","",(N($N3)*N($P3)+N($N3)*(1-N($N3))*N($O3)^2)+(N($R3)*N($T3)+N($R3)*(1-N($R3))*N($S3)^2))</f>
        <v>20.7027496348265</v>
      </c>
      <c r="AC3" s="12" t="n">
        <f aca="false">IF($O3="","",N($N3)*N($O3)+N($R3)*N($S3)+N($V3)*N($W3))</f>
        <v>10.9681059883789</v>
      </c>
      <c r="AD3" s="6" t="n">
        <f aca="false">IF($O3="","",(N($N3)*N($P3)+N($N3)*(1-N($N3))*N($O3)^2)+(N($R3)*N($T3)+N($R3)*(1-N($R3))*N($S3)^2)+(N($V3)*N($X3)+N($V3)*(1-N($V3))*N($W3)^2))</f>
        <v>28.3599030877801</v>
      </c>
      <c r="AE3" s="12" t="n">
        <f aca="false">IF($I3="","",$I3*$L3)</f>
        <v>5.9</v>
      </c>
      <c r="AF3" s="12" t="n">
        <f aca="false">IF($I3="","",$I3*$L3*(1+N($R3)))</f>
        <v>11.8</v>
      </c>
      <c r="AG3" s="12" t="n">
        <f aca="false">IF($I3="","",$I3*$L3*(1+N($R3)+N($V3)))</f>
        <v>13.81721</v>
      </c>
      <c r="AH3" s="0" t="str">
        <f aca="false">TRIM(IF($G3&lt;Config!$B$9,"thin sample ("&amp;$G3&amp;" maps) · ","")&amp;IF($I3="","no PickFinder stats · ","")&amp;IFERROR(IF(INDEX(Players!$T$2:$T$11,MATCH($E3,Players!$A$2:$A$11,0))&lt;0.5,"new roster: "&amp;TEXT(INDEX(Players!$T$2:$T$11,MATCH($E3,Players!$A$2:$A$11,0)),"0%")&amp;" of his recent games with these teammates",""),""))</f>
        <v>new roster: 0% of his recent games with these teammates</v>
      </c>
      <c r="AI3" s="6" t="n">
        <f aca="false">IF($B3=Board!$B$2,COUNTIFS($B$2:$B$11,Board!$B$2,$Y$2:$Y$11,"&gt;"&amp;$Y3)+COUNTIFS($B$1:$B2,Board!$B$2,$Y$1:$Y2,$Y3)+1,"")</f>
        <v>6</v>
      </c>
      <c r="AJ3" s="0" t="str">
        <f aca="false">IFERROR(IF(INDEX(Matches!$D$5:$D$5,MATCH($B3,Matches!$A$5:$A$5,0))=3,"K12","K13"),"K13")</f>
        <v>K12</v>
      </c>
      <c r="AK3" s="12" t="n">
        <f aca="false">IF($AJ3="K12",$AA3,$AC3)</f>
        <v>9.44460054719562</v>
      </c>
    </row>
    <row r="4" customFormat="false" ht="15" hidden="false" customHeight="false" outlineLevel="0" collapsed="false">
      <c r="A4" s="0" t="s">
        <v>110</v>
      </c>
      <c r="B4" s="0" t="s">
        <v>27</v>
      </c>
      <c r="C4" s="0" t="s">
        <v>79</v>
      </c>
      <c r="D4" s="0" t="s">
        <v>109</v>
      </c>
      <c r="E4" s="0" t="s">
        <v>159</v>
      </c>
      <c r="F4" s="0" t="str">
        <f aca="false">IFERROR(IF($C4=INDEX(Matches!$S$5:$S$5,MATCH($B4,Matches!$A$5:$A$5,0)),"A",IF($C4=INDEX(Matches!$T$5:$T$5,MATCH($B4,Matches!$A$5:$A$5,0)),"B","")),"")</f>
        <v>B</v>
      </c>
      <c r="G4" s="0" t="n">
        <f aca="false">IFERROR(INDEX(Players!$E$2:$E$11,MATCH($E4,Players!$A$2:$A$11,0)),0)</f>
        <v>30</v>
      </c>
      <c r="H4" s="7" t="n">
        <f aca="false">IFERROR(INDEX(Players!$F$2:$F$11,MATCH($E4,Players!$A$2:$A$11,0)),"")</f>
        <v>0.57</v>
      </c>
      <c r="I4" s="6" t="n">
        <f aca="false">IFERROR(INDEX(Players!$G$2:$G$11,MATCH($E4,Players!$A$2:$A$11,0)),"")</f>
        <v>8.3</v>
      </c>
      <c r="J4" s="12" t="n">
        <f aca="false">IF(OR($I4="",$H4=""),"",$I4*IF(LEFT($B4,4)="DOTA",Config!$B$5,Config!$B$4)/($H4*IF(LEFT($B4,4)="DOTA",Config!$B$5,Config!$B$4)+1-$H4))</f>
        <v>10.2098825491695</v>
      </c>
      <c r="K4" s="12" t="n">
        <f aca="false">IF(OR($I4="",$H4=""),"",$I4/($H4*IF(LEFT($B4,4)="DOTA",Config!$B$5,Config!$B$4)+1-$H4))</f>
        <v>5.7682952255195</v>
      </c>
      <c r="L4" s="6" t="n">
        <f aca="false">IFERROR(INDEX(Matches!$R$5:$R$5,MATCH($B4,Matches!$A$5:$A$5,0)),1)</f>
        <v>1</v>
      </c>
      <c r="M4" s="7" t="n">
        <f aca="false">IFERROR(IF(INDEX(Matches!$M$5:$M$5,MATCH($B4,Matches!$A$5:$A$5,0))="","",IF($F4="A",INDEX(Matches!$M$5:$M$5,MATCH($B4,Matches!$A$5:$A$5,0)),1-INDEX(Matches!$M$5:$M$5,MATCH($B4,Matches!$A$5:$A$5,0)))),"")</f>
        <v>0.221</v>
      </c>
      <c r="N4" s="6" t="n">
        <f aca="false">1</f>
        <v>1</v>
      </c>
      <c r="O4" s="12" t="n">
        <f aca="false">IF(OR($M4="",$J4=""),"",$L4*($M4*$J4+(1-$M4)*$K4))</f>
        <v>6.74988602404615</v>
      </c>
      <c r="P4" s="6" t="n">
        <f aca="false">IF($O4="","",IF(LEFT($B4,4)="DOTA",Config!$B$7,Config!$B$6)*$O4+$L4^2*$M4*(1-$M4)*($J4-$K4)^2)</f>
        <v>15.8160910362402</v>
      </c>
      <c r="Q4" s="7" t="n">
        <f aca="false">IFERROR(IF(INDEX(Matches!$N$5:$N$5,MATCH($B4,Matches!$A$5:$A$5,0))="","",IF($F4="A",INDEX(Matches!$N$5:$N$5,MATCH($B4,Matches!$A$5:$A$5,0)),1-INDEX(Matches!$N$5:$N$5,MATCH($B4,Matches!$A$5:$A$5,0)))),"")</f>
        <v>0.221</v>
      </c>
      <c r="R4" s="6" t="n">
        <f aca="false">IFERROR(N(INDEX(Matches!$P$5:$P$5,MATCH($B4,Matches!$A$5:$A$5,0))),0)</f>
        <v>1</v>
      </c>
      <c r="S4" s="12" t="n">
        <f aca="false">IF(OR($Q4="",$J4=""),"",$L4*($Q4*$J4+(1-$Q4)*$K4))</f>
        <v>6.74988602404615</v>
      </c>
      <c r="T4" s="6" t="n">
        <f aca="false">IF($S4="","",IF(LEFT($B4,4)="DOTA",Config!$B$7,Config!$B$6)*$S4+$L4^2*$Q4*(1-$Q4)*($J4-$K4)^2)</f>
        <v>15.8160910362402</v>
      </c>
      <c r="U4" s="7" t="n">
        <f aca="false">IFERROR(IF(INDEX(Matches!$O$5:$O$5,MATCH($B4,Matches!$A$5:$A$5,0))="","",IF($F4="A",INDEX(Matches!$O$5:$O$5,MATCH($B4,Matches!$A$5:$A$5,0)),1-INDEX(Matches!$O$5:$O$5,MATCH($B4,Matches!$A$5:$A$5,0)))),"")</f>
        <v>0.1353</v>
      </c>
      <c r="V4" s="6" t="n">
        <f aca="false">IFERROR(N(INDEX(Matches!$Q$5:$Q$5,MATCH($B4,Matches!$A$5:$A$5,0))),0)</f>
        <v>0.3419</v>
      </c>
      <c r="W4" s="12" t="n">
        <f aca="false">IF(OR($U4="",$J4=""),"",$L4*($U4*$J4+(1-$U4)*$K4))</f>
        <v>6.36924199040934</v>
      </c>
      <c r="X4" s="6" t="n">
        <f aca="false">IF($W4="","",IF(LEFT($B4,4)="DOTA",Config!$B$7,Config!$B$6)*$W4+$L4^2*$U4*(1-$U4)*($J4-$K4)^2)</f>
        <v>14.0274257812448</v>
      </c>
      <c r="Y4" s="12" t="n">
        <f aca="false">IF($O4="","",$O4)</f>
        <v>6.74988602404615</v>
      </c>
      <c r="Z4" s="6" t="n">
        <f aca="false">IF($P4="","",$P4)</f>
        <v>15.8160910362402</v>
      </c>
      <c r="AA4" s="12" t="n">
        <f aca="false">IF($O4="","",N($N4)*N($O4)+N($R4)*N($S4))</f>
        <v>13.4997720480923</v>
      </c>
      <c r="AB4" s="6" t="n">
        <f aca="false">IF($O4="","",(N($N4)*N($P4)+N($N4)*(1-N($N4))*N($O4)^2)+(N($R4)*N($T4)+N($R4)*(1-N($R4))*N($S4)^2))</f>
        <v>31.6321820724804</v>
      </c>
      <c r="AC4" s="12" t="n">
        <f aca="false">IF($O4="","",N($N4)*N($O4)+N($R4)*N($S4)+N($V4)*N($W4))</f>
        <v>15.6774158846133</v>
      </c>
      <c r="AD4" s="6" t="n">
        <f aca="false">IF($O4="","",(N($N4)*N($P4)+N($N4)*(1-N($N4))*N($O4)^2)+(N($R4)*N($T4)+N($R4)*(1-N($R4))*N($S4)^2)+(N($V4)*N($X4)+N($V4)*(1-N($V4))*N($W4)^2))</f>
        <v>45.5559668320757</v>
      </c>
      <c r="AE4" s="12" t="n">
        <f aca="false">IF($I4="","",$I4*$L4)</f>
        <v>8.3</v>
      </c>
      <c r="AF4" s="12" t="n">
        <f aca="false">IF($I4="","",$I4*$L4*(1+N($R4)))</f>
        <v>16.6</v>
      </c>
      <c r="AG4" s="12" t="n">
        <f aca="false">IF($I4="","",$I4*$L4*(1+N($R4)+N($V4)))</f>
        <v>19.43777</v>
      </c>
      <c r="AH4" s="0" t="str">
        <f aca="false">TRIM(IF($G4&lt;Config!$B$9,"thin sample ("&amp;$G4&amp;" maps) · ","")&amp;IF($I4="","no PickFinder stats · ","")&amp;IFERROR(IF(INDEX(Players!$T$2:$T$11,MATCH($E4,Players!$A$2:$A$11,0))&lt;0.5,"new roster: "&amp;TEXT(INDEX(Players!$T$2:$T$11,MATCH($E4,Players!$A$2:$A$11,0)),"0%")&amp;" of his recent games with these teammates",""),""))</f>
        <v>new roster: 0% of his recent games with these teammates</v>
      </c>
      <c r="AI4" s="6" t="n">
        <f aca="false">IF($B4=Board!$B$2,COUNTIFS($B$2:$B$11,Board!$B$2,$Y$2:$Y$11,"&gt;"&amp;$Y4)+COUNTIFS($B$1:$B3,Board!$B$2,$Y$1:$Y3,$Y4)+1,"")</f>
        <v>5</v>
      </c>
      <c r="AJ4" s="0" t="str">
        <f aca="false">IFERROR(IF(INDEX(Matches!$D$5:$D$5,MATCH($B4,Matches!$A$5:$A$5,0))=3,"K12","K13"),"K13")</f>
        <v>K12</v>
      </c>
      <c r="AK4" s="12" t="n">
        <f aca="false">IF($AJ4="K12",$AA4,$AC4)</f>
        <v>13.4997720480923</v>
      </c>
    </row>
    <row r="5" customFormat="false" ht="15" hidden="false" customHeight="false" outlineLevel="0" collapsed="false">
      <c r="A5" s="0" t="s">
        <v>112</v>
      </c>
      <c r="B5" s="0" t="s">
        <v>27</v>
      </c>
      <c r="C5" s="0" t="s">
        <v>79</v>
      </c>
      <c r="D5" s="0" t="s">
        <v>111</v>
      </c>
      <c r="E5" s="0" t="s">
        <v>160</v>
      </c>
      <c r="F5" s="0" t="str">
        <f aca="false">IFERROR(IF($C5=INDEX(Matches!$S$5:$S$5,MATCH($B5,Matches!$A$5:$A$5,0)),"A",IF($C5=INDEX(Matches!$T$5:$T$5,MATCH($B5,Matches!$A$5:$A$5,0)),"B","")),"")</f>
        <v>B</v>
      </c>
      <c r="G5" s="0" t="n">
        <f aca="false">IFERROR(INDEX(Players!$E$2:$E$11,MATCH($E5,Players!$A$2:$A$11,0)),0)</f>
        <v>30</v>
      </c>
      <c r="H5" s="7" t="n">
        <f aca="false">IFERROR(INDEX(Players!$F$2:$F$11,MATCH($E5,Players!$A$2:$A$11,0)),"")</f>
        <v>0.57</v>
      </c>
      <c r="I5" s="6" t="n">
        <f aca="false">IFERROR(INDEX(Players!$G$2:$G$11,MATCH($E5,Players!$A$2:$A$11,0)),"")</f>
        <v>2.8</v>
      </c>
      <c r="J5" s="12" t="n">
        <f aca="false">IF(OR($I5="",$H5=""),"",$I5*IF(LEFT($B5,4)="DOTA",Config!$B$5,Config!$B$4)/($H5*IF(LEFT($B5,4)="DOTA",Config!$B$5,Config!$B$4)+1-$H5))</f>
        <v>3.44429772743068</v>
      </c>
      <c r="K5" s="12" t="n">
        <f aca="false">IF(OR($I5="",$H5=""),"",$I5/($H5*IF(LEFT($B5,4)="DOTA",Config!$B$5,Config!$B$4)+1-$H5))</f>
        <v>1.94593091945236</v>
      </c>
      <c r="L5" s="6" t="n">
        <f aca="false">IFERROR(INDEX(Matches!$R$5:$R$5,MATCH($B5,Matches!$A$5:$A$5,0)),1)</f>
        <v>1</v>
      </c>
      <c r="M5" s="7" t="n">
        <f aca="false">IFERROR(IF(INDEX(Matches!$M$5:$M$5,MATCH($B5,Matches!$A$5:$A$5,0))="","",IF($F5="A",INDEX(Matches!$M$5:$M$5,MATCH($B5,Matches!$A$5:$A$5,0)),1-INDEX(Matches!$M$5:$M$5,MATCH($B5,Matches!$A$5:$A$5,0)))),"")</f>
        <v>0.221</v>
      </c>
      <c r="N5" s="6" t="n">
        <f aca="false">1</f>
        <v>1</v>
      </c>
      <c r="O5" s="12" t="n">
        <f aca="false">IF(OR($M5="",$J5=""),"",$L5*($M5*$J5+(1-$M5)*$K5))</f>
        <v>2.27706998401557</v>
      </c>
      <c r="P5" s="6" t="n">
        <f aca="false">IF($O5="","",IF(LEFT($B5,4)="DOTA",Config!$B$7,Config!$B$6)*$O5+$L5^2*$M5*(1-$M5)*($J5-$K5)^2)</f>
        <v>4.57632347367535</v>
      </c>
      <c r="Q5" s="7" t="n">
        <f aca="false">IFERROR(IF(INDEX(Matches!$N$5:$N$5,MATCH($B5,Matches!$A$5:$A$5,0))="","",IF($F5="A",INDEX(Matches!$N$5:$N$5,MATCH($B5,Matches!$A$5:$A$5,0)),1-INDEX(Matches!$N$5:$N$5,MATCH($B5,Matches!$A$5:$A$5,0)))),"")</f>
        <v>0.221</v>
      </c>
      <c r="R5" s="6" t="n">
        <f aca="false">IFERROR(N(INDEX(Matches!$P$5:$P$5,MATCH($B5,Matches!$A$5:$A$5,0))),0)</f>
        <v>1</v>
      </c>
      <c r="S5" s="12" t="n">
        <f aca="false">IF(OR($Q5="",$J5=""),"",$L5*($Q5*$J5+(1-$Q5)*$K5))</f>
        <v>2.27706998401557</v>
      </c>
      <c r="T5" s="6" t="n">
        <f aca="false">IF($S5="","",IF(LEFT($B5,4)="DOTA",Config!$B$7,Config!$B$6)*$S5+$L5^2*$Q5*(1-$Q5)*($J5-$K5)^2)</f>
        <v>4.57632347367535</v>
      </c>
      <c r="U5" s="7" t="n">
        <f aca="false">IFERROR(IF(INDEX(Matches!$O$5:$O$5,MATCH($B5,Matches!$A$5:$A$5,0))="","",IF($F5="A",INDEX(Matches!$O$5:$O$5,MATCH($B5,Matches!$A$5:$A$5,0)),1-INDEX(Matches!$O$5:$O$5,MATCH($B5,Matches!$A$5:$A$5,0)))),"")</f>
        <v>0.1353</v>
      </c>
      <c r="V5" s="6" t="n">
        <f aca="false">IFERROR(N(INDEX(Matches!$Q$5:$Q$5,MATCH($B5,Matches!$A$5:$A$5,0))),0)</f>
        <v>0.3419</v>
      </c>
      <c r="W5" s="12" t="n">
        <f aca="false">IF(OR($U5="",$J5=""),"",$L5*($U5*$J5+(1-$U5)*$K5))</f>
        <v>2.14865994857183</v>
      </c>
      <c r="X5" s="6" t="n">
        <f aca="false">IF($W5="","",IF(LEFT($B5,4)="DOTA",Config!$B$7,Config!$B$6)*$W5+$L5^2*$U5*(1-$U5)*($J5-$K5)^2)</f>
        <v>4.21619769437072</v>
      </c>
      <c r="Y5" s="12" t="n">
        <f aca="false">IF($O5="","",$O5)</f>
        <v>2.27706998401557</v>
      </c>
      <c r="Z5" s="6" t="n">
        <f aca="false">IF($P5="","",$P5)</f>
        <v>4.57632347367535</v>
      </c>
      <c r="AA5" s="12" t="n">
        <f aca="false">IF($O5="","",N($N5)*N($O5)+N($R5)*N($S5))</f>
        <v>4.55413996803114</v>
      </c>
      <c r="AB5" s="6" t="n">
        <f aca="false">IF($O5="","",(N($N5)*N($P5)+N($N5)*(1-N($N5))*N($O5)^2)+(N($R5)*N($T5)+N($R5)*(1-N($R5))*N($S5)^2))</f>
        <v>9.1526469473507</v>
      </c>
      <c r="AC5" s="12" t="n">
        <f aca="false">IF($O5="","",N($N5)*N($O5)+N($R5)*N($S5)+N($V5)*N($W5))</f>
        <v>5.28876680444784</v>
      </c>
      <c r="AD5" s="6" t="n">
        <f aca="false">IF($O5="","",(N($N5)*N($P5)+N($N5)*(1-N($N5))*N($O5)^2)+(N($R5)*N($T5)+N($R5)*(1-N($R5))*N($S5)^2)+(N($V5)*N($X5)+N($V5)*(1-N($V5))*N($W5)^2))</f>
        <v>11.632951610827</v>
      </c>
      <c r="AE5" s="12" t="n">
        <f aca="false">IF($I5="","",$I5*$L5)</f>
        <v>2.8</v>
      </c>
      <c r="AF5" s="12" t="n">
        <f aca="false">IF($I5="","",$I5*$L5*(1+N($R5)))</f>
        <v>5.6</v>
      </c>
      <c r="AG5" s="12" t="n">
        <f aca="false">IF($I5="","",$I5*$L5*(1+N($R5)+N($V5)))</f>
        <v>6.55732</v>
      </c>
      <c r="AH5" s="0" t="str">
        <f aca="false">TRIM(IF($G5&lt;Config!$B$9,"thin sample ("&amp;$G5&amp;" maps) · ","")&amp;IF($I5="","no PickFinder stats · ","")&amp;IFERROR(IF(INDEX(Players!$T$2:$T$11,MATCH($E5,Players!$A$2:$A$11,0))&lt;0.5,"new roster: "&amp;TEXT(INDEX(Players!$T$2:$T$11,MATCH($E5,Players!$A$2:$A$11,0)),"0%")&amp;" of his recent games with these teammates",""),""))</f>
        <v>new roster: 0% of his recent games with these teammates</v>
      </c>
      <c r="AI5" s="6" t="n">
        <f aca="false">IF($B5=Board!$B$2,COUNTIFS($B$2:$B$11,Board!$B$2,$Y$2:$Y$11,"&gt;"&amp;$Y5)+COUNTIFS($B$1:$B4,Board!$B$2,$Y$1:$Y4,$Y5)+1,"")</f>
        <v>10</v>
      </c>
      <c r="AJ5" s="0" t="str">
        <f aca="false">IFERROR(IF(INDEX(Matches!$D$5:$D$5,MATCH($B5,Matches!$A$5:$A$5,0))=3,"K12","K13"),"K13")</f>
        <v>K12</v>
      </c>
      <c r="AK5" s="12" t="n">
        <f aca="false">IF($AJ5="K12",$AA5,$AC5)</f>
        <v>4.55413996803114</v>
      </c>
    </row>
    <row r="6" customFormat="false" ht="15" hidden="false" customHeight="false" outlineLevel="0" collapsed="false">
      <c r="A6" s="0" t="s">
        <v>115</v>
      </c>
      <c r="B6" s="0" t="s">
        <v>27</v>
      </c>
      <c r="C6" s="0" t="s">
        <v>79</v>
      </c>
      <c r="D6" s="0" t="s">
        <v>113</v>
      </c>
      <c r="E6" s="0" t="s">
        <v>161</v>
      </c>
      <c r="F6" s="0" t="str">
        <f aca="false">IFERROR(IF($C6=INDEX(Matches!$S$5:$S$5,MATCH($B6,Matches!$A$5:$A$5,0)),"A",IF($C6=INDEX(Matches!$T$5:$T$5,MATCH($B6,Matches!$A$5:$A$5,0)),"B","")),"")</f>
        <v>B</v>
      </c>
      <c r="G6" s="0" t="n">
        <f aca="false">IFERROR(INDEX(Players!$E$2:$E$11,MATCH($E6,Players!$A$2:$A$11,0)),0)</f>
        <v>30</v>
      </c>
      <c r="H6" s="7" t="n">
        <f aca="false">IFERROR(INDEX(Players!$F$2:$F$11,MATCH($E6,Players!$A$2:$A$11,0)),"")</f>
        <v>0.57</v>
      </c>
      <c r="I6" s="6" t="n">
        <f aca="false">IFERROR(INDEX(Players!$G$2:$G$11,MATCH($E6,Players!$A$2:$A$11,0)),"")</f>
        <v>8.9</v>
      </c>
      <c r="J6" s="12" t="n">
        <f aca="false">IF(OR($I6="",$H6=""),"",$I6*IF(LEFT($B6,4)="DOTA",Config!$B$5,Config!$B$4)/($H6*IF(LEFT($B6,4)="DOTA",Config!$B$5,Config!$B$4)+1-$H6))</f>
        <v>10.9479463479047</v>
      </c>
      <c r="K6" s="12" t="n">
        <f aca="false">IF(OR($I6="",$H6=""),"",$I6/($H6*IF(LEFT($B6,4)="DOTA",Config!$B$5,Config!$B$4)+1-$H6))</f>
        <v>6.185280422545</v>
      </c>
      <c r="L6" s="6" t="n">
        <f aca="false">IFERROR(INDEX(Matches!$R$5:$R$5,MATCH($B6,Matches!$A$5:$A$5,0)),1)</f>
        <v>1</v>
      </c>
      <c r="M6" s="7" t="n">
        <f aca="false">IFERROR(IF(INDEX(Matches!$M$5:$M$5,MATCH($B6,Matches!$A$5:$A$5,0))="","",IF($F6="A",INDEX(Matches!$M$5:$M$5,MATCH($B6,Matches!$A$5:$A$5,0)),1-INDEX(Matches!$M$5:$M$5,MATCH($B6,Matches!$A$5:$A$5,0)))),"")</f>
        <v>0.221</v>
      </c>
      <c r="N6" s="6" t="n">
        <f aca="false">1</f>
        <v>1</v>
      </c>
      <c r="O6" s="12" t="n">
        <f aca="false">IF(OR($M6="",$J6=""),"",$L6*($M6*$J6+(1-$M6)*$K6))</f>
        <v>7.23782959204948</v>
      </c>
      <c r="P6" s="6" t="n">
        <f aca="false">IF($O6="","",IF(LEFT($B6,4)="DOTA",Config!$B$7,Config!$B$6)*$O6+$L6^2*$M6*(1-$M6)*($J6-$K6)^2)</f>
        <v>17.2226867595111</v>
      </c>
      <c r="Q6" s="7" t="n">
        <f aca="false">IFERROR(IF(INDEX(Matches!$N$5:$N$5,MATCH($B6,Matches!$A$5:$A$5,0))="","",IF($F6="A",INDEX(Matches!$N$5:$N$5,MATCH($B6,Matches!$A$5:$A$5,0)),1-INDEX(Matches!$N$5:$N$5,MATCH($B6,Matches!$A$5:$A$5,0)))),"")</f>
        <v>0.221</v>
      </c>
      <c r="R6" s="6" t="n">
        <f aca="false">IFERROR(N(INDEX(Matches!$P$5:$P$5,MATCH($B6,Matches!$A$5:$A$5,0))),0)</f>
        <v>1</v>
      </c>
      <c r="S6" s="12" t="n">
        <f aca="false">IF(OR($Q6="",$J6=""),"",$L6*($Q6*$J6+(1-$Q6)*$K6))</f>
        <v>7.23782959204948</v>
      </c>
      <c r="T6" s="6" t="n">
        <f aca="false">IF($S6="","",IF(LEFT($B6,4)="DOTA",Config!$B$7,Config!$B$6)*$S6+$L6^2*$Q6*(1-$Q6)*($J6-$K6)^2)</f>
        <v>17.2226867595111</v>
      </c>
      <c r="U6" s="7" t="n">
        <f aca="false">IFERROR(IF(INDEX(Matches!$O$5:$O$5,MATCH($B6,Matches!$A$5:$A$5,0))="","",IF($F6="A",INDEX(Matches!$O$5:$O$5,MATCH($B6,Matches!$A$5:$A$5,0)),1-INDEX(Matches!$O$5:$O$5,MATCH($B6,Matches!$A$5:$A$5,0)))),"")</f>
        <v>0.1353</v>
      </c>
      <c r="V6" s="6" t="n">
        <f aca="false">IFERROR(N(INDEX(Matches!$Q$5:$Q$5,MATCH($B6,Matches!$A$5:$A$5,0))),0)</f>
        <v>0.3419</v>
      </c>
      <c r="W6" s="12" t="n">
        <f aca="false">IF(OR($U6="",$J6=""),"",$L6*($U6*$J6+(1-$U6)*$K6))</f>
        <v>6.82966912224616</v>
      </c>
      <c r="X6" s="6" t="n">
        <f aca="false">IF($W6="","",IF(LEFT($B6,4)="DOTA",Config!$B$7,Config!$B$6)*$W6+$L6^2*$U6*(1-$U6)*($J6-$K6)^2)</f>
        <v>15.2203624913839</v>
      </c>
      <c r="Y6" s="12" t="n">
        <f aca="false">IF($O6="","",$O6)</f>
        <v>7.23782959204948</v>
      </c>
      <c r="Z6" s="6" t="n">
        <f aca="false">IF($P6="","",$P6)</f>
        <v>17.2226867595111</v>
      </c>
      <c r="AA6" s="12" t="n">
        <f aca="false">IF($O6="","",N($N6)*N($O6)+N($R6)*N($S6))</f>
        <v>14.475659184099</v>
      </c>
      <c r="AB6" s="6" t="n">
        <f aca="false">IF($O6="","",(N($N6)*N($P6)+N($N6)*(1-N($N6))*N($O6)^2)+(N($R6)*N($T6)+N($R6)*(1-N($R6))*N($S6)^2))</f>
        <v>34.4453735190221</v>
      </c>
      <c r="AC6" s="12" t="n">
        <f aca="false">IF($O6="","",N($N6)*N($O6)+N($R6)*N($S6)+N($V6)*N($W6))</f>
        <v>16.8107230569949</v>
      </c>
      <c r="AD6" s="6" t="n">
        <f aca="false">IF($O6="","",(N($N6)*N($P6)+N($N6)*(1-N($N6))*N($O6)^2)+(N($R6)*N($T6)+N($R6)*(1-N($R6))*N($S6)^2)+(N($V6)*N($X6)+N($V6)*(1-N($V6))*N($W6)^2))</f>
        <v>50.1444057955125</v>
      </c>
      <c r="AE6" s="12" t="n">
        <f aca="false">IF($I6="","",$I6*$L6)</f>
        <v>8.9</v>
      </c>
      <c r="AF6" s="12" t="n">
        <f aca="false">IF($I6="","",$I6*$L6*(1+N($R6)))</f>
        <v>17.8</v>
      </c>
      <c r="AG6" s="12" t="n">
        <f aca="false">IF($I6="","",$I6*$L6*(1+N($R6)+N($V6)))</f>
        <v>20.84291</v>
      </c>
      <c r="AH6" s="0" t="str">
        <f aca="false">TRIM(IF($G6&lt;Config!$B$9,"thin sample ("&amp;$G6&amp;" maps) · ","")&amp;IF($I6="","no PickFinder stats · ","")&amp;IFERROR(IF(INDEX(Players!$T$2:$T$11,MATCH($E6,Players!$A$2:$A$11,0))&lt;0.5,"new roster: "&amp;TEXT(INDEX(Players!$T$2:$T$11,MATCH($E6,Players!$A$2:$A$11,0)),"0%")&amp;" of his recent games with these teammates",""),""))</f>
        <v>new roster: 0% of his recent games with these teammates</v>
      </c>
      <c r="AI6" s="6" t="n">
        <f aca="false">IF($B6=Board!$B$2,COUNTIFS($B$2:$B$11,Board!$B$2,$Y$2:$Y$11,"&gt;"&amp;$Y6)+COUNTIFS($B$1:$B5,Board!$B$2,$Y$1:$Y5,$Y6)+1,"")</f>
        <v>3</v>
      </c>
      <c r="AJ6" s="0" t="str">
        <f aca="false">IFERROR(IF(INDEX(Matches!$D$5:$D$5,MATCH($B6,Matches!$A$5:$A$5,0))=3,"K12","K13"),"K13")</f>
        <v>K12</v>
      </c>
      <c r="AK6" s="12" t="n">
        <f aca="false">IF($AJ6="K12",$AA6,$AC6)</f>
        <v>14.475659184099</v>
      </c>
    </row>
    <row r="7" customFormat="false" ht="15" hidden="false" customHeight="false" outlineLevel="0" collapsed="false">
      <c r="A7" s="0" t="s">
        <v>118</v>
      </c>
      <c r="B7" s="0" t="s">
        <v>27</v>
      </c>
      <c r="C7" s="0" t="s">
        <v>78</v>
      </c>
      <c r="D7" s="0" t="s">
        <v>116</v>
      </c>
      <c r="E7" s="0" t="s">
        <v>162</v>
      </c>
      <c r="F7" s="0" t="str">
        <f aca="false">IFERROR(IF($C7=INDEX(Matches!$S$5:$S$5,MATCH($B7,Matches!$A$5:$A$5,0)),"A",IF($C7=INDEX(Matches!$T$5:$T$5,MATCH($B7,Matches!$A$5:$A$5,0)),"B","")),"")</f>
        <v>A</v>
      </c>
      <c r="G7" s="0" t="n">
        <f aca="false">IFERROR(INDEX(Players!$E$2:$E$11,MATCH($E7,Players!$A$2:$A$11,0)),0)</f>
        <v>30</v>
      </c>
      <c r="H7" s="7" t="n">
        <f aca="false">IFERROR(INDEX(Players!$F$2:$F$11,MATCH($E7,Players!$A$2:$A$11,0)),"")</f>
        <v>0.73</v>
      </c>
      <c r="I7" s="6" t="n">
        <f aca="false">IFERROR(INDEX(Players!$G$2:$G$11,MATCH($E7,Players!$A$2:$A$11,0)),"")</f>
        <v>9.1</v>
      </c>
      <c r="J7" s="12" t="n">
        <f aca="false">IF(OR($I7="",$H7=""),"",$I7*IF(LEFT($B7,4)="DOTA",Config!$B$5,Config!$B$4)/($H7*IF(LEFT($B7,4)="DOTA",Config!$B$5,Config!$B$4)+1-$H7))</f>
        <v>10.3111196466295</v>
      </c>
      <c r="K7" s="12" t="n">
        <f aca="false">IF(OR($I7="",$H7=""),"",$I7/($H7*IF(LEFT($B7,4)="DOTA",Config!$B$5,Config!$B$4)+1-$H7))</f>
        <v>5.8254913257794</v>
      </c>
      <c r="L7" s="6" t="n">
        <f aca="false">IFERROR(INDEX(Matches!$R$5:$R$5,MATCH($B7,Matches!$A$5:$A$5,0)),1)</f>
        <v>1</v>
      </c>
      <c r="M7" s="7" t="n">
        <f aca="false">IFERROR(IF(INDEX(Matches!$M$5:$M$5,MATCH($B7,Matches!$A$5:$A$5,0))="","",IF($F7="A",INDEX(Matches!$M$5:$M$5,MATCH($B7,Matches!$A$5:$A$5,0)),1-INDEX(Matches!$M$5:$M$5,MATCH($B7,Matches!$A$5:$A$5,0)))),"")</f>
        <v>0.779</v>
      </c>
      <c r="N7" s="6" t="n">
        <f aca="false">1</f>
        <v>1</v>
      </c>
      <c r="O7" s="12" t="n">
        <f aca="false">IF(OR($M7="",$J7=""),"",$L7*($M7*$J7+(1-$M7)*$K7))</f>
        <v>9.31979578772166</v>
      </c>
      <c r="P7" s="6" t="n">
        <f aca="false">IF($O7="","",IF(LEFT($B7,4)="DOTA",Config!$B$7,Config!$B$6)*$O7+$L7^2*$M7*(1-$M7)*($J7-$K7)^2)</f>
        <v>20.6124116328195</v>
      </c>
      <c r="Q7" s="7" t="n">
        <f aca="false">IFERROR(IF(INDEX(Matches!$N$5:$N$5,MATCH($B7,Matches!$A$5:$A$5,0))="","",IF($F7="A",INDEX(Matches!$N$5:$N$5,MATCH($B7,Matches!$A$5:$A$5,0)),1-INDEX(Matches!$N$5:$N$5,MATCH($B7,Matches!$A$5:$A$5,0)))),"")</f>
        <v>0.779</v>
      </c>
      <c r="R7" s="6" t="n">
        <f aca="false">IFERROR(N(INDEX(Matches!$P$5:$P$5,MATCH($B7,Matches!$A$5:$A$5,0))),0)</f>
        <v>1</v>
      </c>
      <c r="S7" s="12" t="n">
        <f aca="false">IF(OR($Q7="",$J7=""),"",$L7*($Q7*$J7+(1-$Q7)*$K7))</f>
        <v>9.31979578772166</v>
      </c>
      <c r="T7" s="6" t="n">
        <f aca="false">IF($S7="","",IF(LEFT($B7,4)="DOTA",Config!$B$7,Config!$B$6)*$S7+$L7^2*$Q7*(1-$Q7)*($J7-$K7)^2)</f>
        <v>20.6124116328195</v>
      </c>
      <c r="U7" s="7" t="n">
        <f aca="false">IFERROR(IF(INDEX(Matches!$O$5:$O$5,MATCH($B7,Matches!$A$5:$A$5,0))="","",IF($F7="A",INDEX(Matches!$O$5:$O$5,MATCH($B7,Matches!$A$5:$A$5,0)),1-INDEX(Matches!$O$5:$O$5,MATCH($B7,Matches!$A$5:$A$5,0)))),"")</f>
        <v>0.8647</v>
      </c>
      <c r="V7" s="6" t="n">
        <f aca="false">IFERROR(N(INDEX(Matches!$Q$5:$Q$5,MATCH($B7,Matches!$A$5:$A$5,0))),0)</f>
        <v>0.3419</v>
      </c>
      <c r="W7" s="12" t="n">
        <f aca="false">IF(OR($U7="",$J7=""),"",$L7*($U7*$J7+(1-$U7)*$K7))</f>
        <v>9.70421413481851</v>
      </c>
      <c r="X7" s="6" t="n">
        <f aca="false">IF($W7="","",IF(LEFT($B7,4)="DOTA",Config!$B$7,Config!$B$6)*$W7+$L7^2*$U7*(1-$U7)*($J7-$K7)^2)</f>
        <v>20.209772259659</v>
      </c>
      <c r="Y7" s="12" t="n">
        <f aca="false">IF($O7="","",$O7)</f>
        <v>9.31979578772166</v>
      </c>
      <c r="Z7" s="6" t="n">
        <f aca="false">IF($P7="","",$P7)</f>
        <v>20.6124116328195</v>
      </c>
      <c r="AA7" s="12" t="n">
        <f aca="false">IF($O7="","",N($N7)*N($O7)+N($R7)*N($S7))</f>
        <v>18.6395915754433</v>
      </c>
      <c r="AB7" s="6" t="n">
        <f aca="false">IF($O7="","",(N($N7)*N($P7)+N($N7)*(1-N($N7))*N($O7)^2)+(N($R7)*N($T7)+N($R7)*(1-N($R7))*N($S7)^2))</f>
        <v>41.2248232656389</v>
      </c>
      <c r="AC7" s="12" t="n">
        <f aca="false">IF($O7="","",N($N7)*N($O7)+N($R7)*N($S7)+N($V7)*N($W7))</f>
        <v>21.9574623881378</v>
      </c>
      <c r="AD7" s="6" t="n">
        <f aca="false">IF($O7="","",(N($N7)*N($P7)+N($N7)*(1-N($N7))*N($O7)^2)+(N($R7)*N($T7)+N($R7)*(1-N($R7))*N($S7)^2)+(N($V7)*N($X7)+N($V7)*(1-N($V7))*N($W7)^2))</f>
        <v>69.3236065095379</v>
      </c>
      <c r="AE7" s="12" t="n">
        <f aca="false">IF($I7="","",$I7*$L7)</f>
        <v>9.1</v>
      </c>
      <c r="AF7" s="12" t="n">
        <f aca="false">IF($I7="","",$I7*$L7*(1+N($R7)))</f>
        <v>18.2</v>
      </c>
      <c r="AG7" s="12" t="n">
        <f aca="false">IF($I7="","",$I7*$L7*(1+N($R7)+N($V7)))</f>
        <v>21.31129</v>
      </c>
      <c r="AH7" s="0" t="str">
        <f aca="false">TRIM(IF($G7&lt;Config!$B$9,"thin sample ("&amp;$G7&amp;" maps) · ","")&amp;IF($I7="","no PickFinder stats · ","")&amp;IFERROR(IF(INDEX(Players!$T$2:$T$11,MATCH($E7,Players!$A$2:$A$11,0))&lt;0.5,"new roster: "&amp;TEXT(INDEX(Players!$T$2:$T$11,MATCH($E7,Players!$A$2:$A$11,0)),"0%")&amp;" of his recent games with these teammates",""),""))</f>
        <v>new roster: 0% of his recent games with these teammates</v>
      </c>
      <c r="AI7" s="6" t="n">
        <f aca="false">IF($B7=Board!$B$2,COUNTIFS($B$2:$B$11,Board!$B$2,$Y$2:$Y$11,"&gt;"&amp;$Y7)+COUNTIFS($B$1:$B6,Board!$B$2,$Y$1:$Y6,$Y7)+1,"")</f>
        <v>2</v>
      </c>
      <c r="AJ7" s="0" t="str">
        <f aca="false">IFERROR(IF(INDEX(Matches!$D$5:$D$5,MATCH($B7,Matches!$A$5:$A$5,0))=3,"K12","K13"),"K13")</f>
        <v>K12</v>
      </c>
      <c r="AK7" s="12" t="n">
        <f aca="false">IF($AJ7="K12",$AA7,$AC7)</f>
        <v>18.6395915754433</v>
      </c>
    </row>
    <row r="8" customFormat="false" ht="15" hidden="false" customHeight="false" outlineLevel="0" collapsed="false">
      <c r="A8" s="0" t="s">
        <v>120</v>
      </c>
      <c r="B8" s="0" t="s">
        <v>27</v>
      </c>
      <c r="C8" s="0" t="s">
        <v>78</v>
      </c>
      <c r="D8" s="0" t="s">
        <v>119</v>
      </c>
      <c r="E8" s="0" t="s">
        <v>163</v>
      </c>
      <c r="F8" s="0" t="str">
        <f aca="false">IFERROR(IF($C8=INDEX(Matches!$S$5:$S$5,MATCH($B8,Matches!$A$5:$A$5,0)),"A",IF($C8=INDEX(Matches!$T$5:$T$5,MATCH($B8,Matches!$A$5:$A$5,0)),"B","")),"")</f>
        <v>A</v>
      </c>
      <c r="G8" s="0" t="n">
        <f aca="false">IFERROR(INDEX(Players!$E$2:$E$11,MATCH($E8,Players!$A$2:$A$11,0)),0)</f>
        <v>30</v>
      </c>
      <c r="H8" s="7" t="n">
        <f aca="false">IFERROR(INDEX(Players!$F$2:$F$11,MATCH($E8,Players!$A$2:$A$11,0)),"")</f>
        <v>0.73</v>
      </c>
      <c r="I8" s="6" t="n">
        <f aca="false">IFERROR(INDEX(Players!$G$2:$G$11,MATCH($E8,Players!$A$2:$A$11,0)),"")</f>
        <v>7</v>
      </c>
      <c r="J8" s="12" t="n">
        <f aca="false">IF(OR($I8="",$H8=""),"",$I8*IF(LEFT($B8,4)="DOTA",Config!$B$5,Config!$B$4)/($H8*IF(LEFT($B8,4)="DOTA",Config!$B$5,Config!$B$4)+1-$H8))</f>
        <v>7.93163049740734</v>
      </c>
      <c r="K8" s="12" t="n">
        <f aca="false">IF(OR($I8="",$H8=""),"",$I8/($H8*IF(LEFT($B8,4)="DOTA",Config!$B$5,Config!$B$4)+1-$H8))</f>
        <v>4.48114717367646</v>
      </c>
      <c r="L8" s="6" t="n">
        <f aca="false">IFERROR(INDEX(Matches!$R$5:$R$5,MATCH($B8,Matches!$A$5:$A$5,0)),1)</f>
        <v>1</v>
      </c>
      <c r="M8" s="7" t="n">
        <f aca="false">IFERROR(IF(INDEX(Matches!$M$5:$M$5,MATCH($B8,Matches!$A$5:$A$5,0))="","",IF($F8="A",INDEX(Matches!$M$5:$M$5,MATCH($B8,Matches!$A$5:$A$5,0)),1-INDEX(Matches!$M$5:$M$5,MATCH($B8,Matches!$A$5:$A$5,0)))),"")</f>
        <v>0.779</v>
      </c>
      <c r="N8" s="6" t="n">
        <f aca="false">1</f>
        <v>1</v>
      </c>
      <c r="O8" s="12" t="n">
        <f aca="false">IF(OR($M8="",$J8=""),"",$L8*($M8*$J8+(1-$M8)*$K8))</f>
        <v>7.16907368286281</v>
      </c>
      <c r="P8" s="6" t="n">
        <f aca="false">IF($O8="","",IF(LEFT($B8,4)="DOTA",Config!$B$7,Config!$B$6)*$O8+$L8^2*$M8*(1-$M8)*($J8-$K8)^2)</f>
        <v>15.2407922530425</v>
      </c>
      <c r="Q8" s="7" t="n">
        <f aca="false">IFERROR(IF(INDEX(Matches!$N$5:$N$5,MATCH($B8,Matches!$A$5:$A$5,0))="","",IF($F8="A",INDEX(Matches!$N$5:$N$5,MATCH($B8,Matches!$A$5:$A$5,0)),1-INDEX(Matches!$N$5:$N$5,MATCH($B8,Matches!$A$5:$A$5,0)))),"")</f>
        <v>0.779</v>
      </c>
      <c r="R8" s="6" t="n">
        <f aca="false">IFERROR(N(INDEX(Matches!$P$5:$P$5,MATCH($B8,Matches!$A$5:$A$5,0))),0)</f>
        <v>1</v>
      </c>
      <c r="S8" s="12" t="n">
        <f aca="false">IF(OR($Q8="",$J8=""),"",$L8*($Q8*$J8+(1-$Q8)*$K8))</f>
        <v>7.16907368286281</v>
      </c>
      <c r="T8" s="6" t="n">
        <f aca="false">IF($S8="","",IF(LEFT($B8,4)="DOTA",Config!$B$7,Config!$B$6)*$S8+$L8^2*$Q8*(1-$Q8)*($J8-$K8)^2)</f>
        <v>15.2407922530425</v>
      </c>
      <c r="U8" s="7" t="n">
        <f aca="false">IFERROR(IF(INDEX(Matches!$O$5:$O$5,MATCH($B8,Matches!$A$5:$A$5,0))="","",IF($F8="A",INDEX(Matches!$O$5:$O$5,MATCH($B8,Matches!$A$5:$A$5,0)),1-INDEX(Matches!$O$5:$O$5,MATCH($B8,Matches!$A$5:$A$5,0)))),"")</f>
        <v>0.8647</v>
      </c>
      <c r="V8" s="6" t="n">
        <f aca="false">IFERROR(N(INDEX(Matches!$Q$5:$Q$5,MATCH($B8,Matches!$A$5:$A$5,0))),0)</f>
        <v>0.3419</v>
      </c>
      <c r="W8" s="12" t="n">
        <f aca="false">IF(OR($U8="",$J8=""),"",$L8*($U8*$J8+(1-$U8)*$K8))</f>
        <v>7.46478010370655</v>
      </c>
      <c r="X8" s="6" t="n">
        <f aca="false">IF($W8="","",IF(LEFT($B8,4)="DOTA",Config!$B$7,Config!$B$6)*$W8+$L8^2*$U8*(1-$U8)*($J8-$K8)^2)</f>
        <v>15.1281055988632</v>
      </c>
      <c r="Y8" s="12" t="n">
        <f aca="false">IF($O8="","",$O8)</f>
        <v>7.16907368286281</v>
      </c>
      <c r="Z8" s="6" t="n">
        <f aca="false">IF($P8="","",$P8)</f>
        <v>15.2407922530425</v>
      </c>
      <c r="AA8" s="12" t="n">
        <f aca="false">IF($O8="","",N($N8)*N($O8)+N($R8)*N($S8))</f>
        <v>14.3381473657256</v>
      </c>
      <c r="AB8" s="6" t="n">
        <f aca="false">IF($O8="","",(N($N8)*N($P8)+N($N8)*(1-N($N8))*N($O8)^2)+(N($R8)*N($T8)+N($R8)*(1-N($R8))*N($S8)^2))</f>
        <v>30.481584506085</v>
      </c>
      <c r="AC8" s="12" t="n">
        <f aca="false">IF($O8="","",N($N8)*N($O8)+N($R8)*N($S8)+N($V8)*N($W8))</f>
        <v>16.8903556831829</v>
      </c>
      <c r="AD8" s="6" t="n">
        <f aca="false">IF($O8="","",(N($N8)*N($P8)+N($N8)*(1-N($N8))*N($O8)^2)+(N($R8)*N($T8)+N($R8)*(1-N($R8))*N($S8)^2)+(N($V8)*N($X8)+N($V8)*(1-N($V8))*N($W8)^2))</f>
        <v>48.1917903833077</v>
      </c>
      <c r="AE8" s="12" t="n">
        <f aca="false">IF($I8="","",$I8*$L8)</f>
        <v>7</v>
      </c>
      <c r="AF8" s="12" t="n">
        <f aca="false">IF($I8="","",$I8*$L8*(1+N($R8)))</f>
        <v>14</v>
      </c>
      <c r="AG8" s="12" t="n">
        <f aca="false">IF($I8="","",$I8*$L8*(1+N($R8)+N($V8)))</f>
        <v>16.3933</v>
      </c>
      <c r="AH8" s="0" t="str">
        <f aca="false">TRIM(IF($G8&lt;Config!$B$9,"thin sample ("&amp;$G8&amp;" maps) · ","")&amp;IF($I8="","no PickFinder stats · ","")&amp;IFERROR(IF(INDEX(Players!$T$2:$T$11,MATCH($E8,Players!$A$2:$A$11,0))&lt;0.5,"new roster: "&amp;TEXT(INDEX(Players!$T$2:$T$11,MATCH($E8,Players!$A$2:$A$11,0)),"0%")&amp;" of his recent games with these teammates",""),""))</f>
        <v>new roster: 0% of his recent games with these teammates</v>
      </c>
      <c r="AI8" s="6" t="n">
        <f aca="false">IF($B8=Board!$B$2,COUNTIFS($B$2:$B$11,Board!$B$2,$Y$2:$Y$11,"&gt;"&amp;$Y8)+COUNTIFS($B$1:$B7,Board!$B$2,$Y$1:$Y7,$Y8)+1,"")</f>
        <v>4</v>
      </c>
      <c r="AJ8" s="0" t="str">
        <f aca="false">IFERROR(IF(INDEX(Matches!$D$5:$D$5,MATCH($B8,Matches!$A$5:$A$5,0))=3,"K12","K13"),"K13")</f>
        <v>K12</v>
      </c>
      <c r="AK8" s="12" t="n">
        <f aca="false">IF($AJ8="K12",$AA8,$AC8)</f>
        <v>14.3381473657256</v>
      </c>
    </row>
    <row r="9" customFormat="false" ht="15" hidden="false" customHeight="false" outlineLevel="0" collapsed="false">
      <c r="A9" s="0" t="s">
        <v>123</v>
      </c>
      <c r="B9" s="0" t="s">
        <v>27</v>
      </c>
      <c r="C9" s="0" t="s">
        <v>78</v>
      </c>
      <c r="D9" s="0" t="s">
        <v>121</v>
      </c>
      <c r="E9" s="0" t="s">
        <v>164</v>
      </c>
      <c r="F9" s="0" t="str">
        <f aca="false">IFERROR(IF($C9=INDEX(Matches!$S$5:$S$5,MATCH($B9,Matches!$A$5:$A$5,0)),"A",IF($C9=INDEX(Matches!$T$5:$T$5,MATCH($B9,Matches!$A$5:$A$5,0)),"B","")),"")</f>
        <v>A</v>
      </c>
      <c r="G9" s="0" t="n">
        <f aca="false">IFERROR(INDEX(Players!$E$2:$E$11,MATCH($E9,Players!$A$2:$A$11,0)),0)</f>
        <v>30</v>
      </c>
      <c r="H9" s="7" t="n">
        <f aca="false">IFERROR(INDEX(Players!$F$2:$F$11,MATCH($E9,Players!$A$2:$A$11,0)),"")</f>
        <v>0.73</v>
      </c>
      <c r="I9" s="6" t="n">
        <f aca="false">IFERROR(INDEX(Players!$G$2:$G$11,MATCH($E9,Players!$A$2:$A$11,0)),"")</f>
        <v>3.2</v>
      </c>
      <c r="J9" s="12" t="n">
        <f aca="false">IF(OR($I9="",$H9=""),"",$I9*IF(LEFT($B9,4)="DOTA",Config!$B$5,Config!$B$4)/($H9*IF(LEFT($B9,4)="DOTA",Config!$B$5,Config!$B$4)+1-$H9))</f>
        <v>3.62588822738621</v>
      </c>
      <c r="K9" s="12" t="n">
        <f aca="false">IF(OR($I9="",$H9=""),"",$I9/($H9*IF(LEFT($B9,4)="DOTA",Config!$B$5,Config!$B$4)+1-$H9))</f>
        <v>2.0485244222521</v>
      </c>
      <c r="L9" s="6" t="n">
        <f aca="false">IFERROR(INDEX(Matches!$R$5:$R$5,MATCH($B9,Matches!$A$5:$A$5,0)),1)</f>
        <v>1</v>
      </c>
      <c r="M9" s="7" t="n">
        <f aca="false">IFERROR(IF(INDEX(Matches!$M$5:$M$5,MATCH($B9,Matches!$A$5:$A$5,0))="","",IF($F9="A",INDEX(Matches!$M$5:$M$5,MATCH($B9,Matches!$A$5:$A$5,0)),1-INDEX(Matches!$M$5:$M$5,MATCH($B9,Matches!$A$5:$A$5,0)))),"")</f>
        <v>0.779</v>
      </c>
      <c r="N9" s="6" t="n">
        <f aca="false">1</f>
        <v>1</v>
      </c>
      <c r="O9" s="12" t="n">
        <f aca="false">IF(OR($M9="",$J9=""),"",$L9*($M9*$J9+(1-$M9)*$K9))</f>
        <v>3.27729082645157</v>
      </c>
      <c r="P9" s="6" t="n">
        <f aca="false">IF($O9="","",IF(LEFT($B9,4)="DOTA",Config!$B$7,Config!$B$6)*$O9+$L9^2*$M9*(1-$M9)*($J9-$K9)^2)</f>
        <v>6.45855989553063</v>
      </c>
      <c r="Q9" s="7" t="n">
        <f aca="false">IFERROR(IF(INDEX(Matches!$N$5:$N$5,MATCH($B9,Matches!$A$5:$A$5,0))="","",IF($F9="A",INDEX(Matches!$N$5:$N$5,MATCH($B9,Matches!$A$5:$A$5,0)),1-INDEX(Matches!$N$5:$N$5,MATCH($B9,Matches!$A$5:$A$5,0)))),"")</f>
        <v>0.779</v>
      </c>
      <c r="R9" s="6" t="n">
        <f aca="false">IFERROR(N(INDEX(Matches!$P$5:$P$5,MATCH($B9,Matches!$A$5:$A$5,0))),0)</f>
        <v>1</v>
      </c>
      <c r="S9" s="12" t="n">
        <f aca="false">IF(OR($Q9="",$J9=""),"",$L9*($Q9*$J9+(1-$Q9)*$K9))</f>
        <v>3.27729082645157</v>
      </c>
      <c r="T9" s="6" t="n">
        <f aca="false">IF($S9="","",IF(LEFT($B9,4)="DOTA",Config!$B$7,Config!$B$6)*$S9+$L9^2*$Q9*(1-$Q9)*($J9-$K9)^2)</f>
        <v>6.45855989553063</v>
      </c>
      <c r="U9" s="7" t="n">
        <f aca="false">IFERROR(IF(INDEX(Matches!$O$5:$O$5,MATCH($B9,Matches!$A$5:$A$5,0))="","",IF($F9="A",INDEX(Matches!$O$5:$O$5,MATCH($B9,Matches!$A$5:$A$5,0)),1-INDEX(Matches!$O$5:$O$5,MATCH($B9,Matches!$A$5:$A$5,0)))),"")</f>
        <v>0.8647</v>
      </c>
      <c r="V9" s="6" t="n">
        <f aca="false">IFERROR(N(INDEX(Matches!$Q$5:$Q$5,MATCH($B9,Matches!$A$5:$A$5,0))),0)</f>
        <v>0.3419</v>
      </c>
      <c r="W9" s="12" t="n">
        <f aca="false">IF(OR($U9="",$J9=""),"",$L9*($U9*$J9+(1-$U9)*$K9))</f>
        <v>3.41247090455157</v>
      </c>
      <c r="X9" s="6" t="n">
        <f aca="false">IF($W9="","",IF(LEFT($B9,4)="DOTA",Config!$B$7,Config!$B$6)*$W9+$L9^2*$U9*(1-$U9)*($J9-$K9)^2)</f>
        <v>6.57003627111697</v>
      </c>
      <c r="Y9" s="12" t="n">
        <f aca="false">IF($O9="","",$O9)</f>
        <v>3.27729082645157</v>
      </c>
      <c r="Z9" s="6" t="n">
        <f aca="false">IF($P9="","",$P9)</f>
        <v>6.45855989553063</v>
      </c>
      <c r="AA9" s="12" t="n">
        <f aca="false">IF($O9="","",N($N9)*N($O9)+N($R9)*N($S9))</f>
        <v>6.55458165290314</v>
      </c>
      <c r="AB9" s="6" t="n">
        <f aca="false">IF($O9="","",(N($N9)*N($P9)+N($N9)*(1-N($N9))*N($O9)^2)+(N($R9)*N($T9)+N($R9)*(1-N($R9))*N($S9)^2))</f>
        <v>12.9171197910613</v>
      </c>
      <c r="AC9" s="12" t="n">
        <f aca="false">IF($O9="","",N($N9)*N($O9)+N($R9)*N($S9)+N($V9)*N($W9))</f>
        <v>7.72130545516932</v>
      </c>
      <c r="AD9" s="6" t="n">
        <f aca="false">IF($O9="","",(N($N9)*N($P9)+N($N9)*(1-N($N9))*N($O9)^2)+(N($R9)*N($T9)+N($R9)*(1-N($R9))*N($S9)^2)+(N($V9)*N($X9)+N($V9)*(1-N($V9))*N($W9)^2))</f>
        <v>17.7835817902628</v>
      </c>
      <c r="AE9" s="12" t="n">
        <f aca="false">IF($I9="","",$I9*$L9)</f>
        <v>3.2</v>
      </c>
      <c r="AF9" s="12" t="n">
        <f aca="false">IF($I9="","",$I9*$L9*(1+N($R9)))</f>
        <v>6.4</v>
      </c>
      <c r="AG9" s="12" t="n">
        <f aca="false">IF($I9="","",$I9*$L9*(1+N($R9)+N($V9)))</f>
        <v>7.49408</v>
      </c>
      <c r="AH9" s="0" t="str">
        <f aca="false">TRIM(IF($G9&lt;Config!$B$9,"thin sample ("&amp;$G9&amp;" maps) · ","")&amp;IF($I9="","no PickFinder stats · ","")&amp;IFERROR(IF(INDEX(Players!$T$2:$T$11,MATCH($E9,Players!$A$2:$A$11,0))&lt;0.5,"new roster: "&amp;TEXT(INDEX(Players!$T$2:$T$11,MATCH($E9,Players!$A$2:$A$11,0)),"0%")&amp;" of his recent games with these teammates",""),""))</f>
        <v>new roster: 0% of his recent games with these teammates</v>
      </c>
      <c r="AI9" s="6" t="n">
        <f aca="false">IF($B9=Board!$B$2,COUNTIFS($B$2:$B$11,Board!$B$2,$Y$2:$Y$11,"&gt;"&amp;$Y9)+COUNTIFS($B$1:$B8,Board!$B$2,$Y$1:$Y8,$Y9)+1,"")</f>
        <v>9</v>
      </c>
      <c r="AJ9" s="0" t="str">
        <f aca="false">IFERROR(IF(INDEX(Matches!$D$5:$D$5,MATCH($B9,Matches!$A$5:$A$5,0))=3,"K12","K13"),"K13")</f>
        <v>K12</v>
      </c>
      <c r="AK9" s="12" t="n">
        <f aca="false">IF($AJ9="K12",$AA9,$AC9)</f>
        <v>6.55458165290314</v>
      </c>
    </row>
    <row r="10" customFormat="false" ht="15" hidden="false" customHeight="false" outlineLevel="0" collapsed="false">
      <c r="A10" s="0" t="s">
        <v>125</v>
      </c>
      <c r="B10" s="0" t="s">
        <v>27</v>
      </c>
      <c r="C10" s="0" t="s">
        <v>78</v>
      </c>
      <c r="D10" s="0" t="s">
        <v>124</v>
      </c>
      <c r="E10" s="0" t="s">
        <v>165</v>
      </c>
      <c r="F10" s="0" t="str">
        <f aca="false">IFERROR(IF($C10=INDEX(Matches!$S$5:$S$5,MATCH($B10,Matches!$A$5:$A$5,0)),"A",IF($C10=INDEX(Matches!$T$5:$T$5,MATCH($B10,Matches!$A$5:$A$5,0)),"B","")),"")</f>
        <v>A</v>
      </c>
      <c r="G10" s="0" t="n">
        <f aca="false">IFERROR(INDEX(Players!$E$2:$E$11,MATCH($E10,Players!$A$2:$A$11,0)),0)</f>
        <v>30</v>
      </c>
      <c r="H10" s="7" t="n">
        <f aca="false">IFERROR(INDEX(Players!$F$2:$F$11,MATCH($E10,Players!$A$2:$A$11,0)),"")</f>
        <v>0.73</v>
      </c>
      <c r="I10" s="6" t="n">
        <f aca="false">IFERROR(INDEX(Players!$G$2:$G$11,MATCH($E10,Players!$A$2:$A$11,0)),"")</f>
        <v>4</v>
      </c>
      <c r="J10" s="12" t="n">
        <f aca="false">IF(OR($I10="",$H10=""),"",$I10*IF(LEFT($B10,4)="DOTA",Config!$B$5,Config!$B$4)/($H10*IF(LEFT($B10,4)="DOTA",Config!$B$5,Config!$B$4)+1-$H10))</f>
        <v>4.53236028423276</v>
      </c>
      <c r="K10" s="12" t="n">
        <f aca="false">IF(OR($I10="",$H10=""),"",$I10/($H10*IF(LEFT($B10,4)="DOTA",Config!$B$5,Config!$B$4)+1-$H10))</f>
        <v>2.56065552781512</v>
      </c>
      <c r="L10" s="6" t="n">
        <f aca="false">IFERROR(INDEX(Matches!$R$5:$R$5,MATCH($B10,Matches!$A$5:$A$5,0)),1)</f>
        <v>1</v>
      </c>
      <c r="M10" s="7" t="n">
        <f aca="false">IFERROR(IF(INDEX(Matches!$M$5:$M$5,MATCH($B10,Matches!$A$5:$A$5,0))="","",IF($F10="A",INDEX(Matches!$M$5:$M$5,MATCH($B10,Matches!$A$5:$A$5,0)),1-INDEX(Matches!$M$5:$M$5,MATCH($B10,Matches!$A$5:$A$5,0)))),"")</f>
        <v>0.779</v>
      </c>
      <c r="N10" s="6" t="n">
        <f aca="false">1</f>
        <v>1</v>
      </c>
      <c r="O10" s="12" t="n">
        <f aca="false">IF(OR($M10="",$J10=""),"",$L10*($M10*$J10+(1-$M10)*$K10))</f>
        <v>4.09661353306446</v>
      </c>
      <c r="P10" s="6" t="n">
        <f aca="false">IF($O10="","",IF(LEFT($B10,4)="DOTA",Config!$B$7,Config!$B$6)*$O10+$L10^2*$M10*(1-$M10)*($J10-$K10)^2)</f>
        <v>8.20705761155696</v>
      </c>
      <c r="Q10" s="7" t="n">
        <f aca="false">IFERROR(IF(INDEX(Matches!$N$5:$N$5,MATCH($B10,Matches!$A$5:$A$5,0))="","",IF($F10="A",INDEX(Matches!$N$5:$N$5,MATCH($B10,Matches!$A$5:$A$5,0)),1-INDEX(Matches!$N$5:$N$5,MATCH($B10,Matches!$A$5:$A$5,0)))),"")</f>
        <v>0.779</v>
      </c>
      <c r="R10" s="6" t="n">
        <f aca="false">IFERROR(N(INDEX(Matches!$P$5:$P$5,MATCH($B10,Matches!$A$5:$A$5,0))),0)</f>
        <v>1</v>
      </c>
      <c r="S10" s="12" t="n">
        <f aca="false">IF(OR($Q10="",$J10=""),"",$L10*($Q10*$J10+(1-$Q10)*$K10))</f>
        <v>4.09661353306446</v>
      </c>
      <c r="T10" s="6" t="n">
        <f aca="false">IF($S10="","",IF(LEFT($B10,4)="DOTA",Config!$B$7,Config!$B$6)*$S10+$L10^2*$Q10*(1-$Q10)*($J10-$K10)^2)</f>
        <v>8.20705761155696</v>
      </c>
      <c r="U10" s="7" t="n">
        <f aca="false">IFERROR(IF(INDEX(Matches!$O$5:$O$5,MATCH($B10,Matches!$A$5:$A$5,0))="","",IF($F10="A",INDEX(Matches!$O$5:$O$5,MATCH($B10,Matches!$A$5:$A$5,0)),1-INDEX(Matches!$O$5:$O$5,MATCH($B10,Matches!$A$5:$A$5,0)))),"")</f>
        <v>0.8647</v>
      </c>
      <c r="V10" s="6" t="n">
        <f aca="false">IFERROR(N(INDEX(Matches!$Q$5:$Q$5,MATCH($B10,Matches!$A$5:$A$5,0))),0)</f>
        <v>0.3419</v>
      </c>
      <c r="W10" s="12" t="n">
        <f aca="false">IF(OR($U10="",$J10=""),"",$L10*($U10*$J10+(1-$U10)*$K10))</f>
        <v>4.26558863068946</v>
      </c>
      <c r="X10" s="6" t="n">
        <f aca="false">IF($W10="","",IF(LEFT($B10,4)="DOTA",Config!$B$7,Config!$B$6)*$W10+$L10^2*$U10*(1-$U10)*($J10-$K10)^2)</f>
        <v>8.30351090350311</v>
      </c>
      <c r="Y10" s="12" t="n">
        <f aca="false">IF($O10="","",$O10)</f>
        <v>4.09661353306446</v>
      </c>
      <c r="Z10" s="6" t="n">
        <f aca="false">IF($P10="","",$P10)</f>
        <v>8.20705761155696</v>
      </c>
      <c r="AA10" s="12" t="n">
        <f aca="false">IF($O10="","",N($N10)*N($O10)+N($R10)*N($S10))</f>
        <v>8.19322706612893</v>
      </c>
      <c r="AB10" s="6" t="n">
        <f aca="false">IF($O10="","",(N($N10)*N($P10)+N($N10)*(1-N($N10))*N($O10)^2)+(N($R10)*N($T10)+N($R10)*(1-N($R10))*N($S10)^2))</f>
        <v>16.4141152231139</v>
      </c>
      <c r="AC10" s="12" t="n">
        <f aca="false">IF($O10="","",N($N10)*N($O10)+N($R10)*N($S10)+N($V10)*N($W10))</f>
        <v>9.65163181896165</v>
      </c>
      <c r="AD10" s="6" t="n">
        <f aca="false">IF($O10="","",(N($N10)*N($P10)+N($N10)*(1-N($N10))*N($O10)^2)+(N($R10)*N($T10)+N($R10)*(1-N($R10))*N($S10)^2)+(N($V10)*N($X10)+N($V10)*(1-N($V10))*N($W10)^2))</f>
        <v>23.3470959105633</v>
      </c>
      <c r="AE10" s="12" t="n">
        <f aca="false">IF($I10="","",$I10*$L10)</f>
        <v>4</v>
      </c>
      <c r="AF10" s="12" t="n">
        <f aca="false">IF($I10="","",$I10*$L10*(1+N($R10)))</f>
        <v>8</v>
      </c>
      <c r="AG10" s="12" t="n">
        <f aca="false">IF($I10="","",$I10*$L10*(1+N($R10)+N($V10)))</f>
        <v>9.3676</v>
      </c>
      <c r="AH10" s="0" t="str">
        <f aca="false">TRIM(IF($G10&lt;Config!$B$9,"thin sample ("&amp;$G10&amp;" maps) · ","")&amp;IF($I10="","no PickFinder stats · ","")&amp;IFERROR(IF(INDEX(Players!$T$2:$T$11,MATCH($E10,Players!$A$2:$A$11,0))&lt;0.5,"new roster: "&amp;TEXT(INDEX(Players!$T$2:$T$11,MATCH($E10,Players!$A$2:$A$11,0)),"0%")&amp;" of his recent games with these teammates",""),""))</f>
        <v>new roster: 0% of his recent games with these teammates</v>
      </c>
      <c r="AI10" s="6" t="n">
        <f aca="false">IF($B10=Board!$B$2,COUNTIFS($B$2:$B$11,Board!$B$2,$Y$2:$Y$11,"&gt;"&amp;$Y10)+COUNTIFS($B$1:$B9,Board!$B$2,$Y$1:$Y9,$Y10)+1,"")</f>
        <v>7</v>
      </c>
      <c r="AJ10" s="0" t="str">
        <f aca="false">IFERROR(IF(INDEX(Matches!$D$5:$D$5,MATCH($B10,Matches!$A$5:$A$5,0))=3,"K12","K13"),"K13")</f>
        <v>K12</v>
      </c>
      <c r="AK10" s="12" t="n">
        <f aca="false">IF($AJ10="K12",$AA10,$AC10)</f>
        <v>8.19322706612893</v>
      </c>
    </row>
    <row r="11" customFormat="false" ht="15" hidden="false" customHeight="false" outlineLevel="0" collapsed="false">
      <c r="A11" s="0" t="s">
        <v>127</v>
      </c>
      <c r="B11" s="0" t="s">
        <v>27</v>
      </c>
      <c r="C11" s="0" t="s">
        <v>78</v>
      </c>
      <c r="D11" s="0" t="s">
        <v>126</v>
      </c>
      <c r="E11" s="0" t="s">
        <v>166</v>
      </c>
      <c r="F11" s="0" t="str">
        <f aca="false">IFERROR(IF($C11=INDEX(Matches!$S$5:$S$5,MATCH($B11,Matches!$A$5:$A$5,0)),"A",IF($C11=INDEX(Matches!$T$5:$T$5,MATCH($B11,Matches!$A$5:$A$5,0)),"B","")),"")</f>
        <v>A</v>
      </c>
      <c r="G11" s="0" t="n">
        <f aca="false">IFERROR(INDEX(Players!$E$2:$E$11,MATCH($E11,Players!$A$2:$A$11,0)),0)</f>
        <v>30</v>
      </c>
      <c r="H11" s="7" t="n">
        <f aca="false">IFERROR(INDEX(Players!$F$2:$F$11,MATCH($E11,Players!$A$2:$A$11,0)),"")</f>
        <v>0.73</v>
      </c>
      <c r="I11" s="6" t="n">
        <f aca="false">IFERROR(INDEX(Players!$G$2:$G$11,MATCH($E11,Players!$A$2:$A$11,0)),"")</f>
        <v>10.5</v>
      </c>
      <c r="J11" s="12" t="n">
        <f aca="false">IF(OR($I11="",$H11=""),"",$I11*IF(LEFT($B11,4)="DOTA",Config!$B$5,Config!$B$4)/($H11*IF(LEFT($B11,4)="DOTA",Config!$B$5,Config!$B$4)+1-$H11))</f>
        <v>11.897445746111</v>
      </c>
      <c r="K11" s="12" t="n">
        <f aca="false">IF(OR($I11="",$H11=""),"",$I11/($H11*IF(LEFT($B11,4)="DOTA",Config!$B$5,Config!$B$4)+1-$H11))</f>
        <v>6.72172076051469</v>
      </c>
      <c r="L11" s="6" t="n">
        <f aca="false">IFERROR(INDEX(Matches!$R$5:$R$5,MATCH($B11,Matches!$A$5:$A$5,0)),1)</f>
        <v>1</v>
      </c>
      <c r="M11" s="7" t="n">
        <f aca="false">IFERROR(IF(INDEX(Matches!$M$5:$M$5,MATCH($B11,Matches!$A$5:$A$5,0))="","",IF($F11="A",INDEX(Matches!$M$5:$M$5,MATCH($B11,Matches!$A$5:$A$5,0)),1-INDEX(Matches!$M$5:$M$5,MATCH($B11,Matches!$A$5:$A$5,0)))),"")</f>
        <v>0.779</v>
      </c>
      <c r="N11" s="6" t="n">
        <f aca="false">1</f>
        <v>1</v>
      </c>
      <c r="O11" s="12" t="n">
        <f aca="false">IF(OR($M11="",$J11=""),"",$L11*($M11*$J11+(1-$M11)*$K11))</f>
        <v>10.7536105242942</v>
      </c>
      <c r="P11" s="6" t="n">
        <f aca="false">IF($O11="","",IF(LEFT($B11,4)="DOTA",Config!$B$7,Config!$B$6)*$O11+$L11^2*$M11*(1-$M11)*($J11-$K11)^2)</f>
        <v>24.3984608869949</v>
      </c>
      <c r="Q11" s="7" t="n">
        <f aca="false">IFERROR(IF(INDEX(Matches!$N$5:$N$5,MATCH($B11,Matches!$A$5:$A$5,0))="","",IF($F11="A",INDEX(Matches!$N$5:$N$5,MATCH($B11,Matches!$A$5:$A$5,0)),1-INDEX(Matches!$N$5:$N$5,MATCH($B11,Matches!$A$5:$A$5,0)))),"")</f>
        <v>0.779</v>
      </c>
      <c r="R11" s="6" t="n">
        <f aca="false">IFERROR(N(INDEX(Matches!$P$5:$P$5,MATCH($B11,Matches!$A$5:$A$5,0))),0)</f>
        <v>1</v>
      </c>
      <c r="S11" s="12" t="n">
        <f aca="false">IF(OR($Q11="",$J11=""),"",$L11*($Q11*$J11+(1-$Q11)*$K11))</f>
        <v>10.7536105242942</v>
      </c>
      <c r="T11" s="6" t="n">
        <f aca="false">IF($S11="","",IF(LEFT($B11,4)="DOTA",Config!$B$7,Config!$B$6)*$S11+$L11^2*$Q11*(1-$Q11)*($J11-$K11)^2)</f>
        <v>24.3984608869949</v>
      </c>
      <c r="U11" s="7" t="n">
        <f aca="false">IFERROR(IF(INDEX(Matches!$O$5:$O$5,MATCH($B11,Matches!$A$5:$A$5,0))="","",IF($F11="A",INDEX(Matches!$O$5:$O$5,MATCH($B11,Matches!$A$5:$A$5,0)),1-INDEX(Matches!$O$5:$O$5,MATCH($B11,Matches!$A$5:$A$5,0)))),"")</f>
        <v>0.8647</v>
      </c>
      <c r="V11" s="6" t="n">
        <f aca="false">IFERROR(N(INDEX(Matches!$Q$5:$Q$5,MATCH($B11,Matches!$A$5:$A$5,0))),0)</f>
        <v>0.3419</v>
      </c>
      <c r="W11" s="12" t="n">
        <f aca="false">IF(OR($U11="",$J11=""),"",$L11*($U11*$J11+(1-$U11)*$K11))</f>
        <v>11.1971701555598</v>
      </c>
      <c r="X11" s="6" t="n">
        <f aca="false">IF($W11="","",IF(LEFT($B11,4)="DOTA",Config!$B$7,Config!$B$6)*$W11+$L11^2*$U11*(1-$U11)*($J11-$K11)^2)</f>
        <v>23.7368410543272</v>
      </c>
      <c r="Y11" s="12" t="n">
        <f aca="false">IF($O11="","",$O11)</f>
        <v>10.7536105242942</v>
      </c>
      <c r="Z11" s="6" t="n">
        <f aca="false">IF($P11="","",$P11)</f>
        <v>24.3984608869949</v>
      </c>
      <c r="AA11" s="12" t="n">
        <f aca="false">IF($O11="","",N($N11)*N($O11)+N($R11)*N($S11))</f>
        <v>21.5072210485884</v>
      </c>
      <c r="AB11" s="6" t="n">
        <f aca="false">IF($O11="","",(N($N11)*N($P11)+N($N11)*(1-N($N11))*N($O11)^2)+(N($R11)*N($T11)+N($R11)*(1-N($R11))*N($S11)^2))</f>
        <v>48.7969217739899</v>
      </c>
      <c r="AC11" s="12" t="n">
        <f aca="false">IF($O11="","",N($N11)*N($O11)+N($R11)*N($S11)+N($V11)*N($W11))</f>
        <v>25.3355335247743</v>
      </c>
      <c r="AD11" s="6" t="n">
        <f aca="false">IF($O11="","",(N($N11)*N($P11)+N($N11)*(1-N($N11))*N($O11)^2)+(N($R11)*N($T11)+N($R11)*(1-N($R11))*N($S11)^2)+(N($V11)*N($X11)+N($V11)*(1-N($V11))*N($W11)^2))</f>
        <v>85.1228375196499</v>
      </c>
      <c r="AE11" s="12" t="n">
        <f aca="false">IF($I11="","",$I11*$L11)</f>
        <v>10.5</v>
      </c>
      <c r="AF11" s="12" t="n">
        <f aca="false">IF($I11="","",$I11*$L11*(1+N($R11)))</f>
        <v>21</v>
      </c>
      <c r="AG11" s="12" t="n">
        <f aca="false">IF($I11="","",$I11*$L11*(1+N($R11)+N($V11)))</f>
        <v>24.58995</v>
      </c>
      <c r="AH11" s="0" t="str">
        <f aca="false">TRIM(IF($G11&lt;Config!$B$9,"thin sample ("&amp;$G11&amp;" maps) · ","")&amp;IF($I11="","no PickFinder stats · ","")&amp;IFERROR(IF(INDEX(Players!$T$2:$T$11,MATCH($E11,Players!$A$2:$A$11,0))&lt;0.5,"new roster: "&amp;TEXT(INDEX(Players!$T$2:$T$11,MATCH($E11,Players!$A$2:$A$11,0)),"0%")&amp;" of his recent games with these teammates",""),""))</f>
        <v>new roster: 0% of his recent games with these teammates</v>
      </c>
      <c r="AI11" s="6" t="n">
        <f aca="false">IF($B11=Board!$B$2,COUNTIFS($B$2:$B$11,Board!$B$2,$Y$2:$Y$11,"&gt;"&amp;$Y11)+COUNTIFS($B$1:$B10,Board!$B$2,$Y$1:$Y10,$Y11)+1,"")</f>
        <v>1</v>
      </c>
      <c r="AJ11" s="0" t="str">
        <f aca="false">IFERROR(IF(INDEX(Matches!$D$5:$D$5,MATCH($B11,Matches!$A$5:$A$5,0))=3,"K12","K13"),"K13")</f>
        <v>K12</v>
      </c>
      <c r="AK11" s="12" t="n">
        <f aca="false">IF($AJ11="K12",$AA11,$AC11)</f>
        <v>21.5072210485884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167</v>
      </c>
    </row>
    <row r="3" customFormat="false" ht="15" hidden="false" customHeight="false" outlineLevel="0" collapsed="false">
      <c r="A3" s="9" t="s">
        <v>168</v>
      </c>
      <c r="B3" s="9" t="s">
        <v>169</v>
      </c>
      <c r="C3" s="9" t="s">
        <v>170</v>
      </c>
    </row>
    <row r="4" customFormat="false" ht="28.35" hidden="false" customHeight="false" outlineLevel="0" collapsed="false">
      <c r="A4" s="4" t="s">
        <v>171</v>
      </c>
      <c r="B4" s="11" t="n">
        <v>2.21</v>
      </c>
      <c r="C4" s="2" t="s">
        <v>172</v>
      </c>
    </row>
    <row r="5" customFormat="false" ht="41.75" hidden="false" customHeight="false" outlineLevel="0" collapsed="false">
      <c r="A5" s="4" t="s">
        <v>173</v>
      </c>
      <c r="B5" s="11" t="n">
        <v>1.77</v>
      </c>
      <c r="C5" s="2" t="s">
        <v>174</v>
      </c>
    </row>
    <row r="6" customFormat="false" ht="28.35" hidden="false" customHeight="false" outlineLevel="0" collapsed="false">
      <c r="A6" s="4" t="s">
        <v>175</v>
      </c>
      <c r="B6" s="11" t="n">
        <v>1.3</v>
      </c>
      <c r="C6" s="2" t="s">
        <v>176</v>
      </c>
    </row>
    <row r="7" customFormat="false" ht="28.35" hidden="false" customHeight="false" outlineLevel="0" collapsed="false">
      <c r="A7" s="4" t="s">
        <v>177</v>
      </c>
      <c r="B7" s="11" t="n">
        <v>1.84</v>
      </c>
      <c r="C7" s="2" t="s">
        <v>178</v>
      </c>
    </row>
    <row r="8" customFormat="false" ht="15" hidden="false" customHeight="false" outlineLevel="0" collapsed="false">
      <c r="A8" s="4" t="s">
        <v>179</v>
      </c>
      <c r="B8" s="11" t="n">
        <v>0.04</v>
      </c>
      <c r="C8" s="2" t="s">
        <v>180</v>
      </c>
    </row>
    <row r="9" customFormat="false" ht="15" hidden="false" customHeight="false" outlineLevel="0" collapsed="false">
      <c r="A9" s="4" t="s">
        <v>181</v>
      </c>
      <c r="B9" s="11" t="n">
        <v>15</v>
      </c>
      <c r="C9" s="2" t="s">
        <v>182</v>
      </c>
    </row>
    <row r="11" customFormat="false" ht="15" hidden="false" customHeight="false" outlineLevel="0" collapsed="false">
      <c r="A11" s="0" t="s">
        <v>183</v>
      </c>
      <c r="B11" s="0" t="s">
        <v>184</v>
      </c>
    </row>
    <row r="12" customFormat="false" ht="15" hidden="false" customHeight="false" outlineLevel="0" collapsed="false">
      <c r="A12" s="0" t="s">
        <v>185</v>
      </c>
      <c r="B12" s="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129</v>
      </c>
      <c r="B1" s="9" t="s">
        <v>41</v>
      </c>
      <c r="C1" s="9" t="s">
        <v>40</v>
      </c>
      <c r="D1" s="9" t="s">
        <v>187</v>
      </c>
      <c r="E1" s="9" t="s">
        <v>188</v>
      </c>
      <c r="F1" s="9" t="s">
        <v>189</v>
      </c>
      <c r="G1" s="9" t="s">
        <v>190</v>
      </c>
      <c r="H1" s="9" t="s">
        <v>191</v>
      </c>
      <c r="I1" s="9" t="s">
        <v>192</v>
      </c>
      <c r="J1" s="9" t="s">
        <v>193</v>
      </c>
      <c r="K1" s="9" t="s">
        <v>194</v>
      </c>
      <c r="L1" s="9" t="s">
        <v>195</v>
      </c>
      <c r="M1" s="9" t="s">
        <v>196</v>
      </c>
      <c r="N1" s="9" t="s">
        <v>197</v>
      </c>
      <c r="O1" s="9" t="s">
        <v>198</v>
      </c>
      <c r="P1" s="9" t="s">
        <v>199</v>
      </c>
      <c r="Q1" s="9" t="s">
        <v>200</v>
      </c>
      <c r="R1" s="9" t="s">
        <v>201</v>
      </c>
      <c r="S1" s="9" t="s">
        <v>202</v>
      </c>
      <c r="T1" s="9" t="s">
        <v>203</v>
      </c>
    </row>
    <row r="2" customFormat="false" ht="15" hidden="false" customHeight="false" outlineLevel="0" collapsed="false">
      <c r="A2" s="0" t="s">
        <v>157</v>
      </c>
      <c r="B2" s="0" t="s">
        <v>101</v>
      </c>
      <c r="C2" s="0" t="s">
        <v>79</v>
      </c>
      <c r="D2" s="0" t="s">
        <v>204</v>
      </c>
      <c r="E2" s="0" t="n">
        <v>30</v>
      </c>
      <c r="F2" s="13" t="n">
        <v>0.57</v>
      </c>
      <c r="G2" s="0" t="n">
        <v>4.5</v>
      </c>
      <c r="H2" s="0" t="n">
        <v>6.3</v>
      </c>
      <c r="I2" s="0" t="n">
        <v>15.7</v>
      </c>
      <c r="J2" s="0" t="n">
        <v>0.7</v>
      </c>
      <c r="K2" s="0" t="n">
        <v>45</v>
      </c>
      <c r="L2" s="0" t="n">
        <v>3.42</v>
      </c>
      <c r="M2" s="6" t="s">
        <v>205</v>
      </c>
      <c r="N2" s="6" t="s">
        <v>206</v>
      </c>
      <c r="O2" s="6" t="s">
        <v>207</v>
      </c>
      <c r="P2" s="6" t="s">
        <v>208</v>
      </c>
      <c r="T2" s="13"/>
    </row>
    <row r="3" customFormat="false" ht="15" hidden="false" customHeight="false" outlineLevel="0" collapsed="false">
      <c r="A3" s="0" t="s">
        <v>158</v>
      </c>
      <c r="B3" s="0" t="s">
        <v>106</v>
      </c>
      <c r="C3" s="0" t="s">
        <v>79</v>
      </c>
      <c r="D3" s="0" t="s">
        <v>204</v>
      </c>
      <c r="E3" s="0" t="n">
        <v>30</v>
      </c>
      <c r="F3" s="13" t="n">
        <v>0.6</v>
      </c>
      <c r="G3" s="0" t="n">
        <v>5.9</v>
      </c>
      <c r="H3" s="0" t="n">
        <v>4.3</v>
      </c>
      <c r="I3" s="0" t="n">
        <v>12.7</v>
      </c>
      <c r="J3" s="0" t="n">
        <v>1.4</v>
      </c>
      <c r="K3" s="0" t="n">
        <v>45</v>
      </c>
      <c r="L3" s="0" t="n">
        <v>4.38</v>
      </c>
      <c r="M3" s="6" t="s">
        <v>205</v>
      </c>
      <c r="N3" s="6" t="s">
        <v>209</v>
      </c>
      <c r="O3" s="6" t="s">
        <v>207</v>
      </c>
      <c r="P3" s="6" t="s">
        <v>210</v>
      </c>
      <c r="T3" s="13"/>
    </row>
    <row r="4" customFormat="false" ht="15" hidden="false" customHeight="false" outlineLevel="0" collapsed="false">
      <c r="A4" s="0" t="s">
        <v>159</v>
      </c>
      <c r="B4" s="0" t="s">
        <v>109</v>
      </c>
      <c r="C4" s="0" t="s">
        <v>79</v>
      </c>
      <c r="D4" s="0" t="s">
        <v>204</v>
      </c>
      <c r="E4" s="0" t="n">
        <v>30</v>
      </c>
      <c r="F4" s="13" t="n">
        <v>0.57</v>
      </c>
      <c r="G4" s="0" t="n">
        <v>8.3</v>
      </c>
      <c r="H4" s="0" t="n">
        <v>3.2</v>
      </c>
      <c r="I4" s="0" t="n">
        <v>12</v>
      </c>
      <c r="J4" s="0" t="n">
        <v>2.6</v>
      </c>
      <c r="K4" s="0" t="n">
        <v>45</v>
      </c>
      <c r="L4" s="0" t="n">
        <v>6.69</v>
      </c>
      <c r="M4" s="6" t="s">
        <v>205</v>
      </c>
      <c r="N4" s="6" t="s">
        <v>211</v>
      </c>
      <c r="O4" s="6" t="s">
        <v>207</v>
      </c>
      <c r="P4" s="6" t="s">
        <v>212</v>
      </c>
      <c r="T4" s="13"/>
    </row>
    <row r="5" customFormat="false" ht="15" hidden="false" customHeight="false" outlineLevel="0" collapsed="false">
      <c r="A5" s="0" t="s">
        <v>160</v>
      </c>
      <c r="B5" s="0" t="s">
        <v>111</v>
      </c>
      <c r="C5" s="0" t="s">
        <v>79</v>
      </c>
      <c r="D5" s="0" t="s">
        <v>204</v>
      </c>
      <c r="E5" s="0" t="n">
        <v>30</v>
      </c>
      <c r="F5" s="13" t="n">
        <v>0.57</v>
      </c>
      <c r="G5" s="0" t="n">
        <v>2.8</v>
      </c>
      <c r="H5" s="0" t="n">
        <v>5.4</v>
      </c>
      <c r="I5" s="0" t="n">
        <v>15.3</v>
      </c>
      <c r="J5" s="0" t="n">
        <v>0.5</v>
      </c>
      <c r="K5" s="0" t="n">
        <v>45</v>
      </c>
      <c r="L5" s="0" t="n">
        <v>2.27</v>
      </c>
      <c r="M5" s="6" t="s">
        <v>205</v>
      </c>
      <c r="N5" s="6" t="s">
        <v>213</v>
      </c>
      <c r="O5" s="6" t="s">
        <v>207</v>
      </c>
      <c r="P5" s="6" t="s">
        <v>214</v>
      </c>
      <c r="T5" s="13"/>
    </row>
    <row r="6" customFormat="false" ht="15" hidden="false" customHeight="false" outlineLevel="0" collapsed="false">
      <c r="A6" s="0" t="s">
        <v>161</v>
      </c>
      <c r="B6" s="0" t="s">
        <v>113</v>
      </c>
      <c r="C6" s="0" t="s">
        <v>79</v>
      </c>
      <c r="D6" s="0" t="s">
        <v>204</v>
      </c>
      <c r="E6" s="0" t="n">
        <v>30</v>
      </c>
      <c r="F6" s="13" t="n">
        <v>0.57</v>
      </c>
      <c r="G6" s="0" t="n">
        <v>8.9</v>
      </c>
      <c r="H6" s="0" t="n">
        <v>3.5</v>
      </c>
      <c r="I6" s="0" t="n">
        <v>8.8</v>
      </c>
      <c r="J6" s="0" t="n">
        <v>2.5</v>
      </c>
      <c r="K6" s="0" t="n">
        <v>45</v>
      </c>
      <c r="L6" s="0" t="n">
        <v>6.91</v>
      </c>
      <c r="M6" s="6" t="s">
        <v>205</v>
      </c>
      <c r="N6" s="6" t="s">
        <v>215</v>
      </c>
      <c r="O6" s="6" t="s">
        <v>207</v>
      </c>
      <c r="P6" s="6" t="s">
        <v>216</v>
      </c>
      <c r="T6" s="13"/>
    </row>
    <row r="7" customFormat="false" ht="15" hidden="false" customHeight="false" outlineLevel="0" collapsed="false">
      <c r="A7" s="0" t="s">
        <v>162</v>
      </c>
      <c r="B7" s="0" t="s">
        <v>116</v>
      </c>
      <c r="C7" s="0" t="s">
        <v>78</v>
      </c>
      <c r="D7" s="0" t="s">
        <v>217</v>
      </c>
      <c r="E7" s="0" t="n">
        <v>30</v>
      </c>
      <c r="F7" s="13" t="n">
        <v>0.73</v>
      </c>
      <c r="G7" s="0" t="n">
        <v>9.1</v>
      </c>
      <c r="H7" s="0" t="n">
        <v>4.5</v>
      </c>
      <c r="I7" s="0" t="n">
        <v>10.6</v>
      </c>
      <c r="J7" s="0" t="n">
        <v>2</v>
      </c>
      <c r="K7" s="0" t="n">
        <v>45</v>
      </c>
      <c r="L7" s="0" t="n">
        <v>7.69</v>
      </c>
      <c r="M7" s="6" t="s">
        <v>205</v>
      </c>
      <c r="N7" s="6" t="s">
        <v>218</v>
      </c>
      <c r="O7" s="6" t="s">
        <v>207</v>
      </c>
      <c r="P7" s="6" t="s">
        <v>210</v>
      </c>
      <c r="T7" s="13"/>
    </row>
    <row r="8" customFormat="false" ht="15" hidden="false" customHeight="false" outlineLevel="0" collapsed="false">
      <c r="A8" s="0" t="s">
        <v>163</v>
      </c>
      <c r="B8" s="0" t="s">
        <v>119</v>
      </c>
      <c r="C8" s="0" t="s">
        <v>78</v>
      </c>
      <c r="D8" s="0" t="s">
        <v>217</v>
      </c>
      <c r="E8" s="0" t="n">
        <v>30</v>
      </c>
      <c r="F8" s="13" t="n">
        <v>0.73</v>
      </c>
      <c r="G8" s="0" t="n">
        <v>7</v>
      </c>
      <c r="H8" s="0" t="n">
        <v>4.2</v>
      </c>
      <c r="I8" s="0" t="n">
        <v>15</v>
      </c>
      <c r="J8" s="0" t="n">
        <v>1.7</v>
      </c>
      <c r="K8" s="0" t="n">
        <v>45</v>
      </c>
      <c r="L8" s="0" t="n">
        <v>5.98</v>
      </c>
      <c r="M8" s="6" t="s">
        <v>205</v>
      </c>
      <c r="N8" s="6" t="s">
        <v>219</v>
      </c>
      <c r="O8" s="6" t="s">
        <v>207</v>
      </c>
      <c r="P8" s="6" t="s">
        <v>212</v>
      </c>
      <c r="T8" s="13"/>
    </row>
    <row r="9" customFormat="false" ht="15" hidden="false" customHeight="false" outlineLevel="0" collapsed="false">
      <c r="A9" s="0" t="s">
        <v>164</v>
      </c>
      <c r="B9" s="0" t="s">
        <v>121</v>
      </c>
      <c r="C9" s="0" t="s">
        <v>78</v>
      </c>
      <c r="D9" s="0" t="s">
        <v>217</v>
      </c>
      <c r="E9" s="0" t="n">
        <v>30</v>
      </c>
      <c r="F9" s="13" t="n">
        <v>0.73</v>
      </c>
      <c r="G9" s="0" t="n">
        <v>3.2</v>
      </c>
      <c r="H9" s="0" t="n">
        <v>8.3</v>
      </c>
      <c r="I9" s="0" t="n">
        <v>15.7</v>
      </c>
      <c r="J9" s="0" t="n">
        <v>0.4</v>
      </c>
      <c r="K9" s="0" t="n">
        <v>45</v>
      </c>
      <c r="L9" s="0" t="n">
        <v>2.67</v>
      </c>
      <c r="M9" s="6" t="s">
        <v>205</v>
      </c>
      <c r="N9" s="6" t="s">
        <v>220</v>
      </c>
      <c r="O9" s="6" t="s">
        <v>207</v>
      </c>
      <c r="P9" s="6" t="s">
        <v>214</v>
      </c>
      <c r="T9" s="13"/>
    </row>
    <row r="10" customFormat="false" ht="15" hidden="false" customHeight="false" outlineLevel="0" collapsed="false">
      <c r="A10" s="0" t="s">
        <v>165</v>
      </c>
      <c r="B10" s="0" t="s">
        <v>124</v>
      </c>
      <c r="C10" s="0" t="s">
        <v>78</v>
      </c>
      <c r="D10" s="0" t="s">
        <v>217</v>
      </c>
      <c r="E10" s="0" t="n">
        <v>30</v>
      </c>
      <c r="F10" s="13" t="n">
        <v>0.73</v>
      </c>
      <c r="G10" s="0" t="n">
        <v>4</v>
      </c>
      <c r="H10" s="0" t="n">
        <v>6.7</v>
      </c>
      <c r="I10" s="0" t="n">
        <v>17.9</v>
      </c>
      <c r="J10" s="0" t="n">
        <v>0.6</v>
      </c>
      <c r="K10" s="0" t="n">
        <v>45</v>
      </c>
      <c r="L10" s="0" t="n">
        <v>3.29</v>
      </c>
      <c r="M10" s="6" t="s">
        <v>205</v>
      </c>
      <c r="N10" s="6" t="s">
        <v>221</v>
      </c>
      <c r="O10" s="6" t="s">
        <v>207</v>
      </c>
      <c r="P10" s="6" t="s">
        <v>208</v>
      </c>
      <c r="T10" s="13"/>
    </row>
    <row r="11" customFormat="false" ht="15" hidden="false" customHeight="false" outlineLevel="0" collapsed="false">
      <c r="A11" s="0" t="s">
        <v>166</v>
      </c>
      <c r="B11" s="0" t="s">
        <v>126</v>
      </c>
      <c r="C11" s="0" t="s">
        <v>78</v>
      </c>
      <c r="D11" s="0" t="s">
        <v>217</v>
      </c>
      <c r="E11" s="0" t="n">
        <v>30</v>
      </c>
      <c r="F11" s="13" t="n">
        <v>0.73</v>
      </c>
      <c r="G11" s="0" t="n">
        <v>10.5</v>
      </c>
      <c r="H11" s="0" t="n">
        <v>2.9</v>
      </c>
      <c r="I11" s="0" t="n">
        <v>10.8</v>
      </c>
      <c r="J11" s="0" t="n">
        <v>3.6</v>
      </c>
      <c r="K11" s="0" t="n">
        <v>45</v>
      </c>
      <c r="L11" s="0" t="n">
        <v>8.67</v>
      </c>
      <c r="M11" s="6" t="s">
        <v>205</v>
      </c>
      <c r="N11" s="6" t="s">
        <v>222</v>
      </c>
      <c r="O11" s="6" t="s">
        <v>207</v>
      </c>
      <c r="P11" s="6" t="s">
        <v>216</v>
      </c>
      <c r="T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223</v>
      </c>
      <c r="C1" s="9" t="s">
        <v>224</v>
      </c>
      <c r="D1" s="9" t="s">
        <v>225</v>
      </c>
      <c r="E1" s="9" t="s">
        <v>226</v>
      </c>
      <c r="F1" s="9" t="s">
        <v>227</v>
      </c>
      <c r="G1" s="9" t="s">
        <v>228</v>
      </c>
      <c r="H1" s="9" t="s">
        <v>229</v>
      </c>
    </row>
    <row r="2" customFormat="false" ht="15" hidden="false" customHeight="false" outlineLevel="0" collapsed="false">
      <c r="A2" s="0" t="s">
        <v>101</v>
      </c>
      <c r="B2" s="0" t="s">
        <v>230</v>
      </c>
      <c r="C2" s="0" t="s">
        <v>231</v>
      </c>
      <c r="D2" s="0" t="n">
        <v>4</v>
      </c>
      <c r="E2" s="0" t="n">
        <v>1</v>
      </c>
      <c r="F2" s="0" t="n">
        <v>0</v>
      </c>
      <c r="G2" s="0" t="n">
        <v>5</v>
      </c>
      <c r="H2" s="0" t="n">
        <v>5</v>
      </c>
    </row>
    <row r="3" customFormat="false" ht="15" hidden="false" customHeight="false" outlineLevel="0" collapsed="false">
      <c r="A3" s="0" t="s">
        <v>101</v>
      </c>
      <c r="B3" s="0" t="s">
        <v>232</v>
      </c>
      <c r="C3" s="0" t="s">
        <v>233</v>
      </c>
      <c r="D3" s="0" t="n">
        <v>5</v>
      </c>
      <c r="E3" s="0" t="n">
        <v>7</v>
      </c>
      <c r="F3" s="0" t="n">
        <v>6</v>
      </c>
      <c r="G3" s="0" t="n">
        <v>12</v>
      </c>
      <c r="H3" s="0" t="n">
        <v>18</v>
      </c>
    </row>
    <row r="4" customFormat="false" ht="15" hidden="false" customHeight="false" outlineLevel="0" collapsed="false">
      <c r="A4" s="0" t="s">
        <v>101</v>
      </c>
      <c r="B4" s="0" t="s">
        <v>234</v>
      </c>
      <c r="C4" s="0" t="s">
        <v>231</v>
      </c>
      <c r="D4" s="0" t="n">
        <v>4</v>
      </c>
      <c r="E4" s="0" t="n">
        <v>5</v>
      </c>
      <c r="F4" s="0" t="n">
        <v>7</v>
      </c>
      <c r="G4" s="0" t="n">
        <v>9</v>
      </c>
      <c r="H4" s="0" t="n">
        <v>16</v>
      </c>
    </row>
    <row r="5" customFormat="false" ht="15" hidden="false" customHeight="false" outlineLevel="0" collapsed="false">
      <c r="A5" s="0" t="s">
        <v>101</v>
      </c>
      <c r="B5" s="0" t="s">
        <v>235</v>
      </c>
      <c r="C5" s="0" t="s">
        <v>236</v>
      </c>
      <c r="D5" s="0" t="n">
        <v>1</v>
      </c>
      <c r="E5" s="0" t="n">
        <v>4</v>
      </c>
      <c r="F5" s="0" t="n">
        <v>0</v>
      </c>
      <c r="G5" s="0" t="n">
        <v>5</v>
      </c>
      <c r="H5" s="0" t="n">
        <v>5</v>
      </c>
    </row>
    <row r="6" customFormat="false" ht="15" hidden="false" customHeight="false" outlineLevel="0" collapsed="false">
      <c r="A6" s="0" t="s">
        <v>101</v>
      </c>
      <c r="B6" s="0" t="s">
        <v>237</v>
      </c>
      <c r="C6" s="0" t="s">
        <v>238</v>
      </c>
      <c r="D6" s="0" t="n">
        <v>6</v>
      </c>
      <c r="E6" s="0" t="n">
        <v>12</v>
      </c>
      <c r="F6" s="0" t="n">
        <v>0</v>
      </c>
      <c r="G6" s="0" t="n">
        <v>18</v>
      </c>
      <c r="H6" s="0" t="n">
        <v>18</v>
      </c>
    </row>
    <row r="7" customFormat="false" ht="15" hidden="false" customHeight="false" outlineLevel="0" collapsed="false">
      <c r="A7" s="0" t="s">
        <v>101</v>
      </c>
      <c r="B7" s="0" t="s">
        <v>239</v>
      </c>
      <c r="C7" s="0" t="s">
        <v>78</v>
      </c>
      <c r="D7" s="0" t="n">
        <v>2</v>
      </c>
      <c r="E7" s="0" t="n">
        <v>5</v>
      </c>
      <c r="F7" s="0" t="n">
        <v>0</v>
      </c>
      <c r="G7" s="0" t="n">
        <v>7</v>
      </c>
      <c r="H7" s="0" t="n">
        <v>7</v>
      </c>
    </row>
    <row r="8" customFormat="false" ht="15" hidden="false" customHeight="false" outlineLevel="0" collapsed="false">
      <c r="A8" s="0" t="s">
        <v>101</v>
      </c>
      <c r="B8" s="0" t="s">
        <v>240</v>
      </c>
      <c r="C8" s="0" t="s">
        <v>241</v>
      </c>
      <c r="D8" s="0" t="n">
        <v>6</v>
      </c>
      <c r="E8" s="0" t="n">
        <v>1</v>
      </c>
      <c r="F8" s="0" t="n">
        <v>1</v>
      </c>
      <c r="G8" s="0" t="n">
        <v>7</v>
      </c>
      <c r="H8" s="0" t="n">
        <v>8</v>
      </c>
    </row>
    <row r="9" customFormat="false" ht="15" hidden="false" customHeight="false" outlineLevel="0" collapsed="false">
      <c r="A9" s="0" t="s">
        <v>101</v>
      </c>
      <c r="B9" s="0" t="s">
        <v>242</v>
      </c>
      <c r="C9" s="0" t="s">
        <v>238</v>
      </c>
      <c r="D9" s="0" t="n">
        <v>2</v>
      </c>
      <c r="E9" s="0" t="n">
        <v>4</v>
      </c>
      <c r="F9" s="0" t="n">
        <v>0</v>
      </c>
      <c r="G9" s="0" t="n">
        <v>6</v>
      </c>
      <c r="H9" s="0" t="n">
        <v>6</v>
      </c>
    </row>
    <row r="10" customFormat="false" ht="15" hidden="false" customHeight="false" outlineLevel="0" collapsed="false">
      <c r="A10" s="0" t="s">
        <v>101</v>
      </c>
      <c r="B10" s="0" t="s">
        <v>243</v>
      </c>
      <c r="C10" s="0" t="s">
        <v>244</v>
      </c>
      <c r="D10" s="0" t="n">
        <v>9</v>
      </c>
      <c r="E10" s="0" t="n">
        <v>9</v>
      </c>
      <c r="F10" s="0" t="n">
        <v>0</v>
      </c>
      <c r="G10" s="0" t="n">
        <v>18</v>
      </c>
      <c r="H10" s="0" t="n">
        <v>18</v>
      </c>
    </row>
    <row r="11" customFormat="false" ht="15" hidden="false" customHeight="false" outlineLevel="0" collapsed="false">
      <c r="A11" s="0" t="s">
        <v>101</v>
      </c>
      <c r="B11" s="0" t="s">
        <v>245</v>
      </c>
      <c r="C11" s="0" t="s">
        <v>246</v>
      </c>
      <c r="D11" s="0" t="n">
        <v>2</v>
      </c>
      <c r="E11" s="0" t="n">
        <v>5</v>
      </c>
      <c r="F11" s="0" t="n">
        <v>0</v>
      </c>
      <c r="G11" s="0" t="n">
        <v>7</v>
      </c>
      <c r="H11" s="0" t="n">
        <v>7</v>
      </c>
    </row>
    <row r="12" customFormat="false" ht="15" hidden="false" customHeight="false" outlineLevel="0" collapsed="false">
      <c r="A12" s="0" t="s">
        <v>101</v>
      </c>
      <c r="B12" s="0" t="s">
        <v>247</v>
      </c>
      <c r="C12" s="0" t="s">
        <v>248</v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</row>
    <row r="13" customFormat="false" ht="15" hidden="false" customHeight="false" outlineLevel="0" collapsed="false">
      <c r="A13" s="0" t="s">
        <v>101</v>
      </c>
      <c r="B13" s="0" t="s">
        <v>249</v>
      </c>
      <c r="C13" s="0" t="s">
        <v>236</v>
      </c>
      <c r="D13" s="0" t="n">
        <v>2</v>
      </c>
      <c r="E13" s="0" t="n">
        <v>8</v>
      </c>
      <c r="F13" s="0" t="n">
        <v>5</v>
      </c>
      <c r="G13" s="0" t="n">
        <v>10</v>
      </c>
      <c r="H13" s="0" t="n">
        <v>15</v>
      </c>
    </row>
    <row r="14" customFormat="false" ht="15" hidden="false" customHeight="false" outlineLevel="0" collapsed="false">
      <c r="A14" s="0" t="s">
        <v>101</v>
      </c>
      <c r="B14" s="0" t="s">
        <v>250</v>
      </c>
      <c r="C14" s="0" t="s">
        <v>246</v>
      </c>
      <c r="D14" s="0" t="n">
        <v>7</v>
      </c>
      <c r="E14" s="0" t="n">
        <v>3</v>
      </c>
      <c r="F14" s="0" t="n">
        <v>0</v>
      </c>
      <c r="G14" s="0" t="n">
        <v>10</v>
      </c>
      <c r="H14" s="0" t="n">
        <v>10</v>
      </c>
    </row>
    <row r="15" customFormat="false" ht="15" hidden="false" customHeight="false" outlineLevel="0" collapsed="false">
      <c r="A15" s="0" t="s">
        <v>101</v>
      </c>
      <c r="B15" s="0" t="s">
        <v>251</v>
      </c>
      <c r="C15" s="0" t="s">
        <v>252</v>
      </c>
      <c r="D15" s="0" t="n">
        <v>2</v>
      </c>
      <c r="E15" s="0" t="n">
        <v>4</v>
      </c>
      <c r="F15" s="0" t="n">
        <v>1</v>
      </c>
      <c r="G15" s="0" t="n">
        <v>6</v>
      </c>
      <c r="H15" s="0" t="n">
        <v>7</v>
      </c>
    </row>
    <row r="16" customFormat="false" ht="15" hidden="false" customHeight="false" outlineLevel="0" collapsed="false">
      <c r="A16" s="0" t="s">
        <v>101</v>
      </c>
      <c r="B16" s="0" t="s">
        <v>253</v>
      </c>
      <c r="C16" s="0" t="s">
        <v>254</v>
      </c>
      <c r="D16" s="0" t="n">
        <v>8</v>
      </c>
      <c r="E16" s="0" t="n">
        <v>4</v>
      </c>
      <c r="F16" s="0" t="n">
        <v>1</v>
      </c>
      <c r="G16" s="0" t="n">
        <v>12</v>
      </c>
      <c r="H16" s="0" t="n">
        <v>13</v>
      </c>
    </row>
    <row r="17" customFormat="false" ht="15" hidden="false" customHeight="false" outlineLevel="0" collapsed="false">
      <c r="A17" s="0" t="s">
        <v>106</v>
      </c>
      <c r="B17" s="0" t="s">
        <v>230</v>
      </c>
      <c r="C17" s="0" t="s">
        <v>231</v>
      </c>
      <c r="D17" s="0" t="n">
        <v>3</v>
      </c>
      <c r="E17" s="0" t="n">
        <v>10</v>
      </c>
      <c r="F17" s="0" t="n">
        <v>0</v>
      </c>
      <c r="G17" s="0" t="n">
        <v>13</v>
      </c>
      <c r="H17" s="0" t="n">
        <v>13</v>
      </c>
    </row>
    <row r="18" customFormat="false" ht="15" hidden="false" customHeight="false" outlineLevel="0" collapsed="false">
      <c r="A18" s="0" t="s">
        <v>106</v>
      </c>
      <c r="B18" s="0" t="s">
        <v>232</v>
      </c>
      <c r="C18" s="0" t="s">
        <v>233</v>
      </c>
      <c r="D18" s="0" t="n">
        <v>10</v>
      </c>
      <c r="E18" s="0" t="n">
        <v>6</v>
      </c>
      <c r="F18" s="0" t="n">
        <v>8</v>
      </c>
      <c r="G18" s="0" t="n">
        <v>16</v>
      </c>
      <c r="H18" s="0" t="n">
        <v>24</v>
      </c>
    </row>
    <row r="19" customFormat="false" ht="15" hidden="false" customHeight="false" outlineLevel="0" collapsed="false">
      <c r="A19" s="0" t="s">
        <v>106</v>
      </c>
      <c r="B19" s="0" t="s">
        <v>234</v>
      </c>
      <c r="C19" s="0" t="s">
        <v>231</v>
      </c>
      <c r="D19" s="0" t="n">
        <v>7</v>
      </c>
      <c r="E19" s="0" t="n">
        <v>3</v>
      </c>
      <c r="F19" s="0" t="n">
        <v>4</v>
      </c>
      <c r="G19" s="0" t="n">
        <v>10</v>
      </c>
      <c r="H19" s="0" t="n">
        <v>14</v>
      </c>
    </row>
    <row r="20" customFormat="false" ht="15" hidden="false" customHeight="false" outlineLevel="0" collapsed="false">
      <c r="A20" s="0" t="s">
        <v>106</v>
      </c>
      <c r="B20" s="0" t="s">
        <v>235</v>
      </c>
      <c r="C20" s="0" t="s">
        <v>236</v>
      </c>
      <c r="D20" s="0" t="n">
        <v>10</v>
      </c>
      <c r="E20" s="0" t="n">
        <v>7</v>
      </c>
      <c r="F20" s="0" t="n">
        <v>0</v>
      </c>
      <c r="G20" s="0" t="n">
        <v>17</v>
      </c>
      <c r="H20" s="0" t="n">
        <v>17</v>
      </c>
    </row>
    <row r="21" customFormat="false" ht="15" hidden="false" customHeight="false" outlineLevel="0" collapsed="false">
      <c r="A21" s="0" t="s">
        <v>106</v>
      </c>
      <c r="B21" s="0" t="s">
        <v>237</v>
      </c>
      <c r="C21" s="0" t="s">
        <v>238</v>
      </c>
      <c r="D21" s="0" t="n">
        <v>10</v>
      </c>
      <c r="E21" s="0" t="n">
        <v>12</v>
      </c>
      <c r="F21" s="0" t="n">
        <v>0</v>
      </c>
      <c r="G21" s="0" t="n">
        <v>22</v>
      </c>
      <c r="H21" s="0" t="n">
        <v>22</v>
      </c>
    </row>
    <row r="22" customFormat="false" ht="15" hidden="false" customHeight="false" outlineLevel="0" collapsed="false">
      <c r="A22" s="0" t="s">
        <v>106</v>
      </c>
      <c r="B22" s="0" t="s">
        <v>239</v>
      </c>
      <c r="C22" s="0" t="s">
        <v>78</v>
      </c>
      <c r="D22" s="0" t="n">
        <v>3</v>
      </c>
      <c r="E22" s="0" t="n">
        <v>3</v>
      </c>
      <c r="F22" s="0" t="n">
        <v>0</v>
      </c>
      <c r="G22" s="0" t="n">
        <v>6</v>
      </c>
      <c r="H22" s="0" t="n">
        <v>6</v>
      </c>
    </row>
    <row r="23" customFormat="false" ht="15" hidden="false" customHeight="false" outlineLevel="0" collapsed="false">
      <c r="A23" s="0" t="s">
        <v>106</v>
      </c>
      <c r="B23" s="0" t="s">
        <v>255</v>
      </c>
      <c r="C23" s="0" t="s">
        <v>256</v>
      </c>
      <c r="D23" s="0" t="n">
        <v>10</v>
      </c>
      <c r="E23" s="0" t="n">
        <v>0</v>
      </c>
      <c r="F23" s="0" t="n">
        <v>0</v>
      </c>
      <c r="G23" s="0" t="n">
        <v>10</v>
      </c>
      <c r="H23" s="0" t="n">
        <v>10</v>
      </c>
    </row>
    <row r="24" customFormat="false" ht="15" hidden="false" customHeight="false" outlineLevel="0" collapsed="false">
      <c r="A24" s="0" t="s">
        <v>106</v>
      </c>
      <c r="B24" s="0" t="s">
        <v>240</v>
      </c>
      <c r="C24" s="0" t="s">
        <v>241</v>
      </c>
      <c r="D24" s="0" t="n">
        <v>6</v>
      </c>
      <c r="E24" s="0" t="n">
        <v>0</v>
      </c>
      <c r="F24" s="0" t="n">
        <v>2</v>
      </c>
      <c r="G24" s="0" t="n">
        <v>6</v>
      </c>
      <c r="H24" s="0" t="n">
        <v>8</v>
      </c>
    </row>
    <row r="25" customFormat="false" ht="15" hidden="false" customHeight="false" outlineLevel="0" collapsed="false">
      <c r="A25" s="0" t="s">
        <v>106</v>
      </c>
      <c r="B25" s="0" t="s">
        <v>242</v>
      </c>
      <c r="C25" s="0" t="s">
        <v>238</v>
      </c>
      <c r="D25" s="0" t="n">
        <v>8</v>
      </c>
      <c r="E25" s="0" t="n">
        <v>6</v>
      </c>
      <c r="F25" s="0" t="n">
        <v>0</v>
      </c>
      <c r="G25" s="0" t="n">
        <v>14</v>
      </c>
      <c r="H25" s="0" t="n">
        <v>14</v>
      </c>
    </row>
    <row r="26" customFormat="false" ht="15" hidden="false" customHeight="false" outlineLevel="0" collapsed="false">
      <c r="A26" s="0" t="s">
        <v>106</v>
      </c>
      <c r="B26" s="0" t="s">
        <v>243</v>
      </c>
      <c r="C26" s="0" t="s">
        <v>244</v>
      </c>
      <c r="D26" s="0" t="n">
        <v>13</v>
      </c>
      <c r="E26" s="0" t="n">
        <v>8</v>
      </c>
      <c r="F26" s="0" t="n">
        <v>0</v>
      </c>
      <c r="G26" s="0" t="n">
        <v>21</v>
      </c>
      <c r="H26" s="0" t="n">
        <v>21</v>
      </c>
    </row>
    <row r="27" customFormat="false" ht="15" hidden="false" customHeight="false" outlineLevel="0" collapsed="false">
      <c r="A27" s="0" t="s">
        <v>106</v>
      </c>
      <c r="B27" s="0" t="s">
        <v>245</v>
      </c>
      <c r="C27" s="0" t="s">
        <v>246</v>
      </c>
      <c r="D27" s="0" t="n">
        <v>3</v>
      </c>
      <c r="E27" s="0" t="n">
        <v>5</v>
      </c>
      <c r="F27" s="0" t="n">
        <v>0</v>
      </c>
      <c r="G27" s="0" t="n">
        <v>8</v>
      </c>
      <c r="H27" s="0" t="n">
        <v>8</v>
      </c>
    </row>
    <row r="28" customFormat="false" ht="15" hidden="false" customHeight="false" outlineLevel="0" collapsed="false">
      <c r="A28" s="0" t="s">
        <v>106</v>
      </c>
      <c r="B28" s="0" t="s">
        <v>247</v>
      </c>
      <c r="C28" s="0" t="s">
        <v>248</v>
      </c>
      <c r="D28" s="0" t="n">
        <v>1</v>
      </c>
      <c r="E28" s="0" t="n">
        <v>3</v>
      </c>
      <c r="F28" s="0" t="n">
        <v>0</v>
      </c>
      <c r="G28" s="0" t="n">
        <v>4</v>
      </c>
      <c r="H28" s="0" t="n">
        <v>4</v>
      </c>
    </row>
    <row r="29" customFormat="false" ht="15" hidden="false" customHeight="false" outlineLevel="0" collapsed="false">
      <c r="A29" s="0" t="s">
        <v>106</v>
      </c>
      <c r="B29" s="0" t="s">
        <v>249</v>
      </c>
      <c r="C29" s="0" t="s">
        <v>236</v>
      </c>
      <c r="D29" s="0" t="n">
        <v>9</v>
      </c>
      <c r="E29" s="0" t="n">
        <v>2</v>
      </c>
      <c r="F29" s="0" t="n">
        <v>3</v>
      </c>
      <c r="G29" s="0" t="n">
        <v>11</v>
      </c>
      <c r="H29" s="0" t="n">
        <v>14</v>
      </c>
    </row>
    <row r="30" customFormat="false" ht="15" hidden="false" customHeight="false" outlineLevel="0" collapsed="false">
      <c r="A30" s="0" t="s">
        <v>106</v>
      </c>
      <c r="B30" s="0" t="s">
        <v>250</v>
      </c>
      <c r="C30" s="0" t="s">
        <v>246</v>
      </c>
      <c r="D30" s="0" t="n">
        <v>7</v>
      </c>
      <c r="E30" s="0" t="n">
        <v>2</v>
      </c>
      <c r="F30" s="0" t="n">
        <v>0</v>
      </c>
      <c r="G30" s="0" t="n">
        <v>9</v>
      </c>
      <c r="H30" s="0" t="n">
        <v>9</v>
      </c>
    </row>
    <row r="31" customFormat="false" ht="15" hidden="false" customHeight="false" outlineLevel="0" collapsed="false">
      <c r="A31" s="0" t="s">
        <v>106</v>
      </c>
      <c r="B31" s="0" t="s">
        <v>251</v>
      </c>
      <c r="C31" s="0" t="s">
        <v>252</v>
      </c>
      <c r="D31" s="0" t="n">
        <v>1</v>
      </c>
      <c r="E31" s="0" t="n">
        <v>6</v>
      </c>
      <c r="F31" s="0" t="n">
        <v>6</v>
      </c>
      <c r="G31" s="0" t="n">
        <v>7</v>
      </c>
      <c r="H31" s="0" t="n">
        <v>13</v>
      </c>
    </row>
    <row r="32" customFormat="false" ht="15" hidden="false" customHeight="false" outlineLevel="0" collapsed="false">
      <c r="A32" s="0" t="s">
        <v>109</v>
      </c>
      <c r="B32" s="0" t="s">
        <v>230</v>
      </c>
      <c r="C32" s="0" t="s">
        <v>231</v>
      </c>
      <c r="D32" s="0" t="n">
        <v>5</v>
      </c>
      <c r="E32" s="0" t="n">
        <v>15</v>
      </c>
      <c r="F32" s="0" t="n">
        <v>0</v>
      </c>
      <c r="G32" s="0" t="n">
        <v>20</v>
      </c>
      <c r="H32" s="0" t="n">
        <v>20</v>
      </c>
    </row>
    <row r="33" customFormat="false" ht="15" hidden="false" customHeight="false" outlineLevel="0" collapsed="false">
      <c r="A33" s="0" t="s">
        <v>109</v>
      </c>
      <c r="B33" s="0" t="s">
        <v>232</v>
      </c>
      <c r="C33" s="0" t="s">
        <v>233</v>
      </c>
      <c r="D33" s="0" t="n">
        <v>6</v>
      </c>
      <c r="E33" s="0" t="n">
        <v>8</v>
      </c>
      <c r="F33" s="0" t="n">
        <v>12</v>
      </c>
      <c r="G33" s="0" t="n">
        <v>14</v>
      </c>
      <c r="H33" s="0" t="n">
        <v>26</v>
      </c>
    </row>
    <row r="34" customFormat="false" ht="15" hidden="false" customHeight="false" outlineLevel="0" collapsed="false">
      <c r="A34" s="0" t="s">
        <v>109</v>
      </c>
      <c r="B34" s="0" t="s">
        <v>234</v>
      </c>
      <c r="C34" s="0" t="s">
        <v>231</v>
      </c>
      <c r="D34" s="0" t="n">
        <v>7</v>
      </c>
      <c r="E34" s="0" t="n">
        <v>12</v>
      </c>
      <c r="F34" s="0" t="n">
        <v>13</v>
      </c>
      <c r="G34" s="0" t="n">
        <v>19</v>
      </c>
      <c r="H34" s="0" t="n">
        <v>32</v>
      </c>
    </row>
    <row r="35" customFormat="false" ht="15" hidden="false" customHeight="false" outlineLevel="0" collapsed="false">
      <c r="A35" s="0" t="s">
        <v>109</v>
      </c>
      <c r="B35" s="0" t="s">
        <v>235</v>
      </c>
      <c r="C35" s="0" t="s">
        <v>236</v>
      </c>
      <c r="D35" s="0" t="n">
        <v>5</v>
      </c>
      <c r="E35" s="0" t="n">
        <v>8</v>
      </c>
      <c r="F35" s="0" t="n">
        <v>0</v>
      </c>
      <c r="G35" s="0" t="n">
        <v>13</v>
      </c>
      <c r="H35" s="0" t="n">
        <v>13</v>
      </c>
    </row>
    <row r="36" customFormat="false" ht="15" hidden="false" customHeight="false" outlineLevel="0" collapsed="false">
      <c r="A36" s="0" t="s">
        <v>109</v>
      </c>
      <c r="B36" s="0" t="s">
        <v>237</v>
      </c>
      <c r="C36" s="0" t="s">
        <v>238</v>
      </c>
      <c r="D36" s="0" t="n">
        <v>13</v>
      </c>
      <c r="E36" s="0" t="n">
        <v>7</v>
      </c>
      <c r="F36" s="0" t="n">
        <v>0</v>
      </c>
      <c r="G36" s="0" t="n">
        <v>20</v>
      </c>
      <c r="H36" s="0" t="n">
        <v>20</v>
      </c>
    </row>
    <row r="37" customFormat="false" ht="15" hidden="false" customHeight="false" outlineLevel="0" collapsed="false">
      <c r="A37" s="0" t="s">
        <v>109</v>
      </c>
      <c r="B37" s="0" t="s">
        <v>239</v>
      </c>
      <c r="C37" s="0" t="s">
        <v>78</v>
      </c>
      <c r="D37" s="0" t="n">
        <v>4</v>
      </c>
      <c r="E37" s="0" t="n">
        <v>6</v>
      </c>
      <c r="F37" s="0" t="n">
        <v>0</v>
      </c>
      <c r="G37" s="0" t="n">
        <v>10</v>
      </c>
      <c r="H37" s="0" t="n">
        <v>10</v>
      </c>
    </row>
    <row r="38" customFormat="false" ht="15" hidden="false" customHeight="false" outlineLevel="0" collapsed="false">
      <c r="A38" s="0" t="s">
        <v>109</v>
      </c>
      <c r="B38" s="0" t="s">
        <v>240</v>
      </c>
      <c r="C38" s="0" t="s">
        <v>241</v>
      </c>
      <c r="D38" s="0" t="n">
        <v>10</v>
      </c>
      <c r="E38" s="0" t="n">
        <v>0</v>
      </c>
      <c r="F38" s="0" t="n">
        <v>5</v>
      </c>
      <c r="G38" s="0" t="n">
        <v>10</v>
      </c>
      <c r="H38" s="0" t="n">
        <v>15</v>
      </c>
    </row>
    <row r="39" customFormat="false" ht="15" hidden="false" customHeight="false" outlineLevel="0" collapsed="false">
      <c r="A39" s="0" t="s">
        <v>109</v>
      </c>
      <c r="B39" s="0" t="s">
        <v>242</v>
      </c>
      <c r="C39" s="0" t="s">
        <v>238</v>
      </c>
      <c r="D39" s="0" t="n">
        <v>8</v>
      </c>
      <c r="E39" s="0" t="n">
        <v>16</v>
      </c>
      <c r="F39" s="0" t="n">
        <v>0</v>
      </c>
      <c r="G39" s="0" t="n">
        <v>24</v>
      </c>
      <c r="H39" s="0" t="n">
        <v>24</v>
      </c>
    </row>
    <row r="40" customFormat="false" ht="15" hidden="false" customHeight="false" outlineLevel="0" collapsed="false">
      <c r="A40" s="0" t="s">
        <v>109</v>
      </c>
      <c r="B40" s="0" t="s">
        <v>243</v>
      </c>
      <c r="C40" s="0" t="s">
        <v>244</v>
      </c>
      <c r="D40" s="0" t="n">
        <v>5</v>
      </c>
      <c r="E40" s="0" t="n">
        <v>8</v>
      </c>
      <c r="F40" s="0" t="n">
        <v>0</v>
      </c>
      <c r="G40" s="0" t="n">
        <v>13</v>
      </c>
      <c r="H40" s="0" t="n">
        <v>13</v>
      </c>
    </row>
    <row r="41" customFormat="false" ht="15" hidden="false" customHeight="false" outlineLevel="0" collapsed="false">
      <c r="A41" s="0" t="s">
        <v>109</v>
      </c>
      <c r="B41" s="0" t="s">
        <v>245</v>
      </c>
      <c r="C41" s="0" t="s">
        <v>246</v>
      </c>
      <c r="D41" s="0" t="n">
        <v>4</v>
      </c>
      <c r="E41" s="0" t="n">
        <v>4</v>
      </c>
      <c r="F41" s="0" t="n">
        <v>0</v>
      </c>
      <c r="G41" s="0" t="n">
        <v>8</v>
      </c>
      <c r="H41" s="0" t="n">
        <v>8</v>
      </c>
    </row>
    <row r="42" customFormat="false" ht="15" hidden="false" customHeight="false" outlineLevel="0" collapsed="false">
      <c r="A42" s="0" t="s">
        <v>109</v>
      </c>
      <c r="B42" s="0" t="s">
        <v>247</v>
      </c>
      <c r="C42" s="0" t="s">
        <v>248</v>
      </c>
      <c r="D42" s="0" t="n">
        <v>5</v>
      </c>
      <c r="E42" s="0" t="n">
        <v>14</v>
      </c>
      <c r="F42" s="0" t="n">
        <v>0</v>
      </c>
      <c r="G42" s="0" t="n">
        <v>19</v>
      </c>
      <c r="H42" s="0" t="n">
        <v>19</v>
      </c>
    </row>
    <row r="43" customFormat="false" ht="15" hidden="false" customHeight="false" outlineLevel="0" collapsed="false">
      <c r="A43" s="0" t="s">
        <v>109</v>
      </c>
      <c r="B43" s="0" t="s">
        <v>249</v>
      </c>
      <c r="C43" s="0" t="s">
        <v>236</v>
      </c>
      <c r="D43" s="0" t="n">
        <v>11</v>
      </c>
      <c r="E43" s="0" t="n">
        <v>14</v>
      </c>
      <c r="F43" s="0" t="n">
        <v>10</v>
      </c>
      <c r="G43" s="0" t="n">
        <v>25</v>
      </c>
      <c r="H43" s="0" t="n">
        <v>35</v>
      </c>
    </row>
    <row r="44" customFormat="false" ht="15" hidden="false" customHeight="false" outlineLevel="0" collapsed="false">
      <c r="A44" s="0" t="s">
        <v>109</v>
      </c>
      <c r="B44" s="0" t="s">
        <v>250</v>
      </c>
      <c r="C44" s="0" t="s">
        <v>246</v>
      </c>
      <c r="D44" s="0" t="n">
        <v>3</v>
      </c>
      <c r="E44" s="0" t="n">
        <v>10</v>
      </c>
      <c r="F44" s="0" t="n">
        <v>0</v>
      </c>
      <c r="G44" s="0" t="n">
        <v>13</v>
      </c>
      <c r="H44" s="0" t="n">
        <v>13</v>
      </c>
    </row>
    <row r="45" customFormat="false" ht="15" hidden="false" customHeight="false" outlineLevel="0" collapsed="false">
      <c r="A45" s="0" t="s">
        <v>109</v>
      </c>
      <c r="B45" s="0" t="s">
        <v>251</v>
      </c>
      <c r="C45" s="0" t="s">
        <v>252</v>
      </c>
      <c r="D45" s="0" t="n">
        <v>3</v>
      </c>
      <c r="E45" s="0" t="n">
        <v>15</v>
      </c>
      <c r="F45" s="0" t="n">
        <v>14</v>
      </c>
      <c r="G45" s="0" t="n">
        <v>18</v>
      </c>
      <c r="H45" s="0" t="n">
        <v>32</v>
      </c>
    </row>
    <row r="46" customFormat="false" ht="15" hidden="false" customHeight="false" outlineLevel="0" collapsed="false">
      <c r="A46" s="0" t="s">
        <v>109</v>
      </c>
      <c r="B46" s="0" t="s">
        <v>253</v>
      </c>
      <c r="C46" s="0" t="s">
        <v>254</v>
      </c>
      <c r="D46" s="0" t="n">
        <v>2</v>
      </c>
      <c r="E46" s="0" t="n">
        <v>8</v>
      </c>
      <c r="F46" s="0" t="n">
        <v>11</v>
      </c>
      <c r="G46" s="0" t="n">
        <v>10</v>
      </c>
      <c r="H46" s="0" t="n">
        <v>21</v>
      </c>
    </row>
    <row r="47" customFormat="false" ht="15" hidden="false" customHeight="false" outlineLevel="0" collapsed="false">
      <c r="A47" s="0" t="s">
        <v>111</v>
      </c>
      <c r="B47" s="0" t="s">
        <v>230</v>
      </c>
      <c r="C47" s="0" t="s">
        <v>231</v>
      </c>
      <c r="D47" s="0" t="n">
        <v>2</v>
      </c>
      <c r="E47" s="0" t="n">
        <v>5</v>
      </c>
      <c r="F47" s="0" t="n">
        <v>0</v>
      </c>
      <c r="G47" s="0" t="n">
        <v>7</v>
      </c>
      <c r="H47" s="0" t="n">
        <v>7</v>
      </c>
    </row>
    <row r="48" customFormat="false" ht="15" hidden="false" customHeight="false" outlineLevel="0" collapsed="false">
      <c r="A48" s="0" t="s">
        <v>111</v>
      </c>
      <c r="B48" s="0" t="s">
        <v>232</v>
      </c>
      <c r="C48" s="0" t="s">
        <v>233</v>
      </c>
      <c r="D48" s="0" t="n">
        <v>2</v>
      </c>
      <c r="E48" s="0" t="n">
        <v>4</v>
      </c>
      <c r="F48" s="0" t="n">
        <v>4</v>
      </c>
      <c r="G48" s="0" t="n">
        <v>6</v>
      </c>
      <c r="H48" s="0" t="n">
        <v>10</v>
      </c>
    </row>
    <row r="49" customFormat="false" ht="15" hidden="false" customHeight="false" outlineLevel="0" collapsed="false">
      <c r="A49" s="0" t="s">
        <v>111</v>
      </c>
      <c r="B49" s="0" t="s">
        <v>234</v>
      </c>
      <c r="C49" s="0" t="s">
        <v>231</v>
      </c>
      <c r="D49" s="0" t="n">
        <v>4</v>
      </c>
      <c r="E49" s="0" t="n">
        <v>5</v>
      </c>
      <c r="F49" s="0" t="n">
        <v>7</v>
      </c>
      <c r="G49" s="0" t="n">
        <v>9</v>
      </c>
      <c r="H49" s="0" t="n">
        <v>16</v>
      </c>
    </row>
    <row r="50" customFormat="false" ht="15" hidden="false" customHeight="false" outlineLevel="0" collapsed="false">
      <c r="A50" s="0" t="s">
        <v>111</v>
      </c>
      <c r="B50" s="0" t="s">
        <v>235</v>
      </c>
      <c r="C50" s="0" t="s">
        <v>236</v>
      </c>
      <c r="D50" s="0" t="n">
        <v>1</v>
      </c>
      <c r="E50" s="0" t="n">
        <v>2</v>
      </c>
      <c r="F50" s="0" t="n">
        <v>0</v>
      </c>
      <c r="G50" s="0" t="n">
        <v>3</v>
      </c>
      <c r="H50" s="0" t="n">
        <v>3</v>
      </c>
    </row>
    <row r="51" customFormat="false" ht="15" hidden="false" customHeight="false" outlineLevel="0" collapsed="false">
      <c r="A51" s="0" t="s">
        <v>111</v>
      </c>
      <c r="B51" s="0" t="s">
        <v>237</v>
      </c>
      <c r="C51" s="0" t="s">
        <v>238</v>
      </c>
      <c r="D51" s="0" t="n">
        <v>1</v>
      </c>
      <c r="E51" s="0" t="n">
        <v>6</v>
      </c>
      <c r="F51" s="0" t="n">
        <v>0</v>
      </c>
      <c r="G51" s="0" t="n">
        <v>7</v>
      </c>
      <c r="H51" s="0" t="n">
        <v>7</v>
      </c>
    </row>
    <row r="52" customFormat="false" ht="15" hidden="false" customHeight="false" outlineLevel="0" collapsed="false">
      <c r="A52" s="0" t="s">
        <v>111</v>
      </c>
      <c r="B52" s="0" t="s">
        <v>239</v>
      </c>
      <c r="C52" s="0" t="s">
        <v>78</v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2</v>
      </c>
    </row>
    <row r="53" customFormat="false" ht="15" hidden="false" customHeight="false" outlineLevel="0" collapsed="false">
      <c r="A53" s="0" t="s">
        <v>111</v>
      </c>
      <c r="B53" s="0" t="s">
        <v>240</v>
      </c>
      <c r="C53" s="0" t="s">
        <v>241</v>
      </c>
      <c r="D53" s="0" t="n">
        <v>7</v>
      </c>
      <c r="E53" s="0" t="n">
        <v>0</v>
      </c>
      <c r="F53" s="0" t="n">
        <v>1</v>
      </c>
      <c r="G53" s="0" t="n">
        <v>7</v>
      </c>
      <c r="H53" s="0" t="n">
        <v>8</v>
      </c>
    </row>
    <row r="54" customFormat="false" ht="15" hidden="false" customHeight="false" outlineLevel="0" collapsed="false">
      <c r="A54" s="0" t="s">
        <v>111</v>
      </c>
      <c r="B54" s="0" t="s">
        <v>242</v>
      </c>
      <c r="C54" s="0" t="s">
        <v>238</v>
      </c>
      <c r="D54" s="0" t="n">
        <v>2</v>
      </c>
      <c r="E54" s="0" t="n">
        <v>6</v>
      </c>
      <c r="F54" s="0" t="n">
        <v>0</v>
      </c>
      <c r="G54" s="0" t="n">
        <v>8</v>
      </c>
      <c r="H54" s="0" t="n">
        <v>8</v>
      </c>
    </row>
    <row r="55" customFormat="false" ht="15" hidden="false" customHeight="false" outlineLevel="0" collapsed="false">
      <c r="A55" s="0" t="s">
        <v>111</v>
      </c>
      <c r="B55" s="0" t="s">
        <v>243</v>
      </c>
      <c r="C55" s="0" t="s">
        <v>244</v>
      </c>
      <c r="D55" s="0" t="n">
        <v>4</v>
      </c>
      <c r="E55" s="0" t="n">
        <v>2</v>
      </c>
      <c r="F55" s="0" t="n">
        <v>0</v>
      </c>
      <c r="G55" s="0" t="n">
        <v>6</v>
      </c>
      <c r="H55" s="0" t="n">
        <v>6</v>
      </c>
    </row>
    <row r="56" customFormat="false" ht="15" hidden="false" customHeight="false" outlineLevel="0" collapsed="false">
      <c r="A56" s="0" t="s">
        <v>111</v>
      </c>
      <c r="B56" s="0" t="s">
        <v>245</v>
      </c>
      <c r="C56" s="0" t="s">
        <v>246</v>
      </c>
      <c r="D56" s="0" t="n">
        <v>1</v>
      </c>
      <c r="E56" s="0" t="n">
        <v>2</v>
      </c>
      <c r="F56" s="0" t="n">
        <v>0</v>
      </c>
      <c r="G56" s="0" t="n">
        <v>3</v>
      </c>
      <c r="H56" s="0" t="n">
        <v>3</v>
      </c>
    </row>
    <row r="57" customFormat="false" ht="15" hidden="false" customHeight="false" outlineLevel="0" collapsed="false">
      <c r="A57" s="0" t="s">
        <v>111</v>
      </c>
      <c r="B57" s="0" t="s">
        <v>247</v>
      </c>
      <c r="C57" s="0" t="s">
        <v>248</v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2</v>
      </c>
    </row>
    <row r="58" customFormat="false" ht="15" hidden="false" customHeight="false" outlineLevel="0" collapsed="false">
      <c r="A58" s="0" t="s">
        <v>111</v>
      </c>
      <c r="B58" s="0" t="s">
        <v>249</v>
      </c>
      <c r="C58" s="0" t="s">
        <v>236</v>
      </c>
      <c r="D58" s="0" t="n">
        <v>5</v>
      </c>
      <c r="E58" s="0" t="n">
        <v>2</v>
      </c>
      <c r="F58" s="0" t="n">
        <v>0</v>
      </c>
      <c r="G58" s="0" t="n">
        <v>7</v>
      </c>
      <c r="H58" s="0" t="n">
        <v>7</v>
      </c>
    </row>
    <row r="59" customFormat="false" ht="15" hidden="false" customHeight="false" outlineLevel="0" collapsed="false">
      <c r="A59" s="0" t="s">
        <v>111</v>
      </c>
      <c r="B59" s="0" t="s">
        <v>250</v>
      </c>
      <c r="C59" s="0" t="s">
        <v>246</v>
      </c>
      <c r="D59" s="0" t="n">
        <v>1</v>
      </c>
      <c r="E59" s="0" t="n">
        <v>3</v>
      </c>
      <c r="F59" s="0" t="n">
        <v>0</v>
      </c>
      <c r="G59" s="0" t="n">
        <v>4</v>
      </c>
      <c r="H59" s="0" t="n">
        <v>4</v>
      </c>
    </row>
    <row r="60" customFormat="false" ht="15" hidden="false" customHeight="false" outlineLevel="0" collapsed="false">
      <c r="A60" s="0" t="s">
        <v>111</v>
      </c>
      <c r="B60" s="0" t="s">
        <v>251</v>
      </c>
      <c r="C60" s="0" t="s">
        <v>252</v>
      </c>
      <c r="D60" s="0" t="n">
        <v>3</v>
      </c>
      <c r="E60" s="0" t="n">
        <v>3</v>
      </c>
      <c r="F60" s="0" t="n">
        <v>4</v>
      </c>
      <c r="G60" s="0" t="n">
        <v>6</v>
      </c>
      <c r="H60" s="0" t="n">
        <v>10</v>
      </c>
    </row>
    <row r="61" customFormat="false" ht="15" hidden="false" customHeight="false" outlineLevel="0" collapsed="false">
      <c r="A61" s="0" t="s">
        <v>111</v>
      </c>
      <c r="B61" s="0" t="s">
        <v>253</v>
      </c>
      <c r="C61" s="0" t="s">
        <v>254</v>
      </c>
      <c r="D61" s="0" t="n">
        <v>5</v>
      </c>
      <c r="E61" s="0" t="n">
        <v>4</v>
      </c>
      <c r="F61" s="0" t="n">
        <v>0</v>
      </c>
      <c r="G61" s="0" t="n">
        <v>9</v>
      </c>
      <c r="H61" s="0" t="n">
        <v>9</v>
      </c>
    </row>
    <row r="62" customFormat="false" ht="15" hidden="false" customHeight="false" outlineLevel="0" collapsed="false">
      <c r="A62" s="0" t="s">
        <v>113</v>
      </c>
      <c r="B62" s="0" t="s">
        <v>230</v>
      </c>
      <c r="C62" s="0" t="s">
        <v>231</v>
      </c>
      <c r="D62" s="0" t="n">
        <v>8</v>
      </c>
      <c r="E62" s="0" t="n">
        <v>9</v>
      </c>
      <c r="F62" s="0" t="n">
        <v>0</v>
      </c>
      <c r="G62" s="0" t="n">
        <v>17</v>
      </c>
      <c r="H62" s="0" t="n">
        <v>17</v>
      </c>
    </row>
    <row r="63" customFormat="false" ht="15" hidden="false" customHeight="false" outlineLevel="0" collapsed="false">
      <c r="A63" s="0" t="s">
        <v>113</v>
      </c>
      <c r="B63" s="0" t="s">
        <v>232</v>
      </c>
      <c r="C63" s="0" t="s">
        <v>233</v>
      </c>
      <c r="D63" s="0" t="n">
        <v>4</v>
      </c>
      <c r="E63" s="0" t="n">
        <v>9</v>
      </c>
      <c r="F63" s="0" t="n">
        <v>16</v>
      </c>
      <c r="G63" s="0" t="n">
        <v>13</v>
      </c>
      <c r="H63" s="0" t="n">
        <v>29</v>
      </c>
    </row>
    <row r="64" customFormat="false" ht="15" hidden="false" customHeight="false" outlineLevel="0" collapsed="false">
      <c r="A64" s="0" t="s">
        <v>113</v>
      </c>
      <c r="B64" s="0" t="s">
        <v>234</v>
      </c>
      <c r="C64" s="0" t="s">
        <v>231</v>
      </c>
      <c r="D64" s="0" t="n">
        <v>10</v>
      </c>
      <c r="E64" s="0" t="n">
        <v>18</v>
      </c>
      <c r="F64" s="0" t="n">
        <v>7</v>
      </c>
      <c r="G64" s="0" t="n">
        <v>28</v>
      </c>
      <c r="H64" s="0" t="n">
        <v>35</v>
      </c>
    </row>
    <row r="65" customFormat="false" ht="15" hidden="false" customHeight="false" outlineLevel="0" collapsed="false">
      <c r="A65" s="0" t="s">
        <v>113</v>
      </c>
      <c r="B65" s="0" t="s">
        <v>235</v>
      </c>
      <c r="C65" s="0" t="s">
        <v>236</v>
      </c>
      <c r="D65" s="0" t="n">
        <v>12</v>
      </c>
      <c r="E65" s="0" t="n">
        <v>11</v>
      </c>
      <c r="F65" s="0" t="n">
        <v>0</v>
      </c>
      <c r="G65" s="0" t="n">
        <v>23</v>
      </c>
      <c r="H65" s="0" t="n">
        <v>23</v>
      </c>
    </row>
    <row r="66" customFormat="false" ht="15" hidden="false" customHeight="false" outlineLevel="0" collapsed="false">
      <c r="A66" s="0" t="s">
        <v>113</v>
      </c>
      <c r="B66" s="0" t="s">
        <v>237</v>
      </c>
      <c r="C66" s="0" t="s">
        <v>238</v>
      </c>
      <c r="D66" s="0" t="n">
        <v>15</v>
      </c>
      <c r="E66" s="0" t="n">
        <v>11</v>
      </c>
      <c r="F66" s="0" t="n">
        <v>0</v>
      </c>
      <c r="G66" s="0" t="n">
        <v>26</v>
      </c>
      <c r="H66" s="0" t="n">
        <v>26</v>
      </c>
    </row>
    <row r="67" customFormat="false" ht="15" hidden="false" customHeight="false" outlineLevel="0" collapsed="false">
      <c r="A67" s="0" t="s">
        <v>113</v>
      </c>
      <c r="B67" s="0" t="s">
        <v>239</v>
      </c>
      <c r="C67" s="0" t="s">
        <v>78</v>
      </c>
      <c r="D67" s="0" t="n">
        <v>2</v>
      </c>
      <c r="E67" s="0" t="n">
        <v>5</v>
      </c>
      <c r="F67" s="0" t="n">
        <v>0</v>
      </c>
      <c r="G67" s="0" t="n">
        <v>7</v>
      </c>
      <c r="H67" s="0" t="n">
        <v>7</v>
      </c>
    </row>
    <row r="68" customFormat="false" ht="15" hidden="false" customHeight="false" outlineLevel="0" collapsed="false">
      <c r="A68" s="0" t="s">
        <v>113</v>
      </c>
      <c r="B68" s="0" t="s">
        <v>240</v>
      </c>
      <c r="C68" s="0" t="s">
        <v>241</v>
      </c>
      <c r="D68" s="0" t="n">
        <v>10</v>
      </c>
      <c r="E68" s="0" t="n">
        <v>0</v>
      </c>
      <c r="F68" s="0" t="n">
        <v>11</v>
      </c>
      <c r="G68" s="0" t="n">
        <v>10</v>
      </c>
      <c r="H68" s="0" t="n">
        <v>21</v>
      </c>
    </row>
    <row r="69" customFormat="false" ht="15" hidden="false" customHeight="false" outlineLevel="0" collapsed="false">
      <c r="A69" s="0" t="s">
        <v>113</v>
      </c>
      <c r="B69" s="0" t="s">
        <v>242</v>
      </c>
      <c r="C69" s="0" t="s">
        <v>238</v>
      </c>
      <c r="D69" s="0" t="n">
        <v>7</v>
      </c>
      <c r="E69" s="0" t="n">
        <v>7</v>
      </c>
      <c r="F69" s="0" t="n">
        <v>0</v>
      </c>
      <c r="G69" s="0" t="n">
        <v>14</v>
      </c>
      <c r="H69" s="0" t="n">
        <v>14</v>
      </c>
    </row>
    <row r="70" customFormat="false" ht="15" hidden="false" customHeight="false" outlineLevel="0" collapsed="false">
      <c r="A70" s="0" t="s">
        <v>113</v>
      </c>
      <c r="B70" s="0" t="s">
        <v>243</v>
      </c>
      <c r="C70" s="0" t="s">
        <v>244</v>
      </c>
      <c r="D70" s="0" t="n">
        <v>15</v>
      </c>
      <c r="E70" s="0" t="n">
        <v>15</v>
      </c>
      <c r="F70" s="0" t="n">
        <v>0</v>
      </c>
      <c r="G70" s="0" t="n">
        <v>30</v>
      </c>
      <c r="H70" s="0" t="n">
        <v>30</v>
      </c>
    </row>
    <row r="71" customFormat="false" ht="15" hidden="false" customHeight="false" outlineLevel="0" collapsed="false">
      <c r="A71" s="0" t="s">
        <v>113</v>
      </c>
      <c r="B71" s="0" t="s">
        <v>245</v>
      </c>
      <c r="C71" s="0" t="s">
        <v>246</v>
      </c>
      <c r="D71" s="0" t="n">
        <v>3</v>
      </c>
      <c r="E71" s="0" t="n">
        <v>2</v>
      </c>
      <c r="F71" s="0" t="n">
        <v>0</v>
      </c>
      <c r="G71" s="0" t="n">
        <v>5</v>
      </c>
      <c r="H71" s="0" t="n">
        <v>5</v>
      </c>
    </row>
    <row r="72" customFormat="false" ht="15" hidden="false" customHeight="false" outlineLevel="0" collapsed="false">
      <c r="A72" s="0" t="s">
        <v>113</v>
      </c>
      <c r="B72" s="0" t="s">
        <v>253</v>
      </c>
      <c r="C72" s="0" t="s">
        <v>244</v>
      </c>
      <c r="D72" s="0" t="n">
        <v>6</v>
      </c>
      <c r="E72" s="0" t="n">
        <v>9</v>
      </c>
      <c r="F72" s="0" t="n">
        <v>0</v>
      </c>
      <c r="G72" s="0" t="n">
        <v>15</v>
      </c>
      <c r="H72" s="0" t="n">
        <v>15</v>
      </c>
    </row>
    <row r="73" customFormat="false" ht="15" hidden="false" customHeight="false" outlineLevel="0" collapsed="false">
      <c r="A73" s="0" t="s">
        <v>113</v>
      </c>
      <c r="B73" s="0" t="s">
        <v>257</v>
      </c>
      <c r="C73" s="0" t="s">
        <v>258</v>
      </c>
      <c r="D73" s="0" t="n">
        <v>13</v>
      </c>
      <c r="E73" s="0" t="n">
        <v>5</v>
      </c>
      <c r="F73" s="0" t="n">
        <v>3</v>
      </c>
      <c r="G73" s="0" t="n">
        <v>18</v>
      </c>
      <c r="H73" s="0" t="n">
        <v>21</v>
      </c>
    </row>
    <row r="74" customFormat="false" ht="15" hidden="false" customHeight="false" outlineLevel="0" collapsed="false">
      <c r="A74" s="0" t="s">
        <v>113</v>
      </c>
      <c r="B74" s="0" t="s">
        <v>259</v>
      </c>
      <c r="C74" s="0" t="s">
        <v>260</v>
      </c>
      <c r="D74" s="0" t="n">
        <v>1</v>
      </c>
      <c r="E74" s="0" t="n">
        <v>14</v>
      </c>
      <c r="F74" s="0" t="n">
        <v>10</v>
      </c>
      <c r="G74" s="0" t="n">
        <v>15</v>
      </c>
      <c r="H74" s="0" t="n">
        <v>25</v>
      </c>
    </row>
    <row r="75" customFormat="false" ht="15" hidden="false" customHeight="false" outlineLevel="0" collapsed="false">
      <c r="A75" s="0" t="s">
        <v>113</v>
      </c>
      <c r="B75" s="0" t="s">
        <v>261</v>
      </c>
      <c r="C75" s="0" t="s">
        <v>78</v>
      </c>
      <c r="D75" s="0" t="n">
        <v>8</v>
      </c>
      <c r="E75" s="0" t="n">
        <v>4</v>
      </c>
      <c r="F75" s="0" t="n">
        <v>8</v>
      </c>
      <c r="G75" s="0" t="n">
        <v>12</v>
      </c>
      <c r="H75" s="0" t="n">
        <v>20</v>
      </c>
    </row>
    <row r="76" customFormat="false" ht="15" hidden="false" customHeight="false" outlineLevel="0" collapsed="false">
      <c r="A76" s="0" t="s">
        <v>113</v>
      </c>
      <c r="B76" s="0" t="s">
        <v>262</v>
      </c>
      <c r="C76" s="0" t="s">
        <v>263</v>
      </c>
      <c r="D76" s="0" t="n">
        <v>15</v>
      </c>
      <c r="E76" s="0" t="n">
        <v>8</v>
      </c>
      <c r="F76" s="0" t="n">
        <v>0</v>
      </c>
      <c r="G76" s="0" t="n">
        <v>23</v>
      </c>
      <c r="H76" s="0" t="n">
        <v>23</v>
      </c>
    </row>
    <row r="77" customFormat="false" ht="15" hidden="false" customHeight="false" outlineLevel="0" collapsed="false">
      <c r="A77" s="0" t="s">
        <v>116</v>
      </c>
      <c r="B77" s="0" t="s">
        <v>230</v>
      </c>
      <c r="C77" s="0" t="s">
        <v>264</v>
      </c>
      <c r="D77" s="0" t="n">
        <v>14</v>
      </c>
      <c r="E77" s="0" t="n">
        <v>0</v>
      </c>
      <c r="F77" s="0" t="n">
        <v>13</v>
      </c>
      <c r="G77" s="0" t="n">
        <v>14</v>
      </c>
      <c r="H77" s="0" t="n">
        <v>27</v>
      </c>
    </row>
    <row r="78" customFormat="false" ht="15" hidden="false" customHeight="false" outlineLevel="0" collapsed="false">
      <c r="A78" s="0" t="s">
        <v>116</v>
      </c>
      <c r="B78" s="0" t="s">
        <v>232</v>
      </c>
      <c r="C78" s="0" t="s">
        <v>265</v>
      </c>
      <c r="D78" s="0" t="n">
        <v>4</v>
      </c>
      <c r="E78" s="0" t="n">
        <v>14</v>
      </c>
      <c r="F78" s="0" t="n">
        <v>3</v>
      </c>
      <c r="G78" s="0" t="n">
        <v>18</v>
      </c>
      <c r="H78" s="0" t="n">
        <v>21</v>
      </c>
    </row>
    <row r="79" customFormat="false" ht="15" hidden="false" customHeight="false" outlineLevel="0" collapsed="false">
      <c r="A79" s="0" t="s">
        <v>116</v>
      </c>
      <c r="B79" s="0" t="s">
        <v>234</v>
      </c>
      <c r="C79" s="0" t="s">
        <v>238</v>
      </c>
      <c r="D79" s="0" t="n">
        <v>7</v>
      </c>
      <c r="E79" s="0" t="n">
        <v>7</v>
      </c>
      <c r="F79" s="0" t="n">
        <v>9</v>
      </c>
      <c r="G79" s="0" t="n">
        <v>14</v>
      </c>
      <c r="H79" s="0" t="n">
        <v>23</v>
      </c>
    </row>
    <row r="80" customFormat="false" ht="15" hidden="false" customHeight="false" outlineLevel="0" collapsed="false">
      <c r="A80" s="0" t="s">
        <v>116</v>
      </c>
      <c r="B80" s="0" t="s">
        <v>266</v>
      </c>
      <c r="C80" s="0" t="s">
        <v>236</v>
      </c>
      <c r="D80" s="0" t="n">
        <v>10</v>
      </c>
      <c r="E80" s="0" t="n">
        <v>8</v>
      </c>
      <c r="F80" s="0" t="n">
        <v>0</v>
      </c>
      <c r="G80" s="0" t="n">
        <v>18</v>
      </c>
      <c r="H80" s="0" t="n">
        <v>18</v>
      </c>
    </row>
    <row r="81" customFormat="false" ht="15" hidden="false" customHeight="false" outlineLevel="0" collapsed="false">
      <c r="A81" s="0" t="s">
        <v>116</v>
      </c>
      <c r="B81" s="0" t="s">
        <v>235</v>
      </c>
      <c r="C81" s="0" t="s">
        <v>267</v>
      </c>
      <c r="D81" s="0" t="n">
        <v>9</v>
      </c>
      <c r="E81" s="0" t="n">
        <v>12</v>
      </c>
      <c r="F81" s="0" t="n">
        <v>0</v>
      </c>
      <c r="G81" s="0" t="n">
        <v>21</v>
      </c>
      <c r="H81" s="0" t="n">
        <v>21</v>
      </c>
    </row>
    <row r="82" customFormat="false" ht="15" hidden="false" customHeight="false" outlineLevel="0" collapsed="false">
      <c r="A82" s="0" t="s">
        <v>116</v>
      </c>
      <c r="B82" s="0" t="s">
        <v>235</v>
      </c>
      <c r="C82" s="0" t="s">
        <v>231</v>
      </c>
      <c r="D82" s="0" t="n">
        <v>11</v>
      </c>
      <c r="E82" s="0" t="n">
        <v>18</v>
      </c>
      <c r="F82" s="0" t="n">
        <v>0</v>
      </c>
      <c r="G82" s="0" t="n">
        <v>29</v>
      </c>
      <c r="H82" s="0" t="n">
        <v>29</v>
      </c>
    </row>
    <row r="83" customFormat="false" ht="15" hidden="false" customHeight="false" outlineLevel="0" collapsed="false">
      <c r="A83" s="0" t="s">
        <v>116</v>
      </c>
      <c r="B83" s="0" t="s">
        <v>268</v>
      </c>
      <c r="C83" s="0" t="s">
        <v>269</v>
      </c>
      <c r="D83" s="0" t="n">
        <v>4</v>
      </c>
      <c r="E83" s="0" t="n">
        <v>20</v>
      </c>
      <c r="F83" s="0" t="n">
        <v>8</v>
      </c>
      <c r="G83" s="0" t="n">
        <v>24</v>
      </c>
      <c r="H83" s="0" t="n">
        <v>32</v>
      </c>
    </row>
    <row r="84" customFormat="false" ht="15" hidden="false" customHeight="false" outlineLevel="0" collapsed="false">
      <c r="A84" s="0" t="s">
        <v>116</v>
      </c>
      <c r="B84" s="0" t="s">
        <v>270</v>
      </c>
      <c r="C84" s="0" t="s">
        <v>269</v>
      </c>
      <c r="D84" s="0" t="n">
        <v>11</v>
      </c>
      <c r="E84" s="0" t="n">
        <v>15</v>
      </c>
      <c r="F84" s="0" t="n">
        <v>0</v>
      </c>
      <c r="G84" s="0" t="n">
        <v>26</v>
      </c>
      <c r="H84" s="0" t="n">
        <v>26</v>
      </c>
    </row>
    <row r="85" customFormat="false" ht="15" hidden="false" customHeight="false" outlineLevel="0" collapsed="false">
      <c r="A85" s="0" t="s">
        <v>116</v>
      </c>
      <c r="B85" s="0" t="s">
        <v>271</v>
      </c>
      <c r="C85" s="0" t="s">
        <v>264</v>
      </c>
      <c r="D85" s="0" t="n">
        <v>4</v>
      </c>
      <c r="E85" s="0" t="n">
        <v>6</v>
      </c>
      <c r="F85" s="0" t="n">
        <v>11</v>
      </c>
      <c r="G85" s="0" t="n">
        <v>10</v>
      </c>
      <c r="H85" s="0" t="n">
        <v>21</v>
      </c>
    </row>
    <row r="86" customFormat="false" ht="15" hidden="false" customHeight="false" outlineLevel="0" collapsed="false">
      <c r="A86" s="0" t="s">
        <v>116</v>
      </c>
      <c r="B86" s="0" t="s">
        <v>271</v>
      </c>
      <c r="C86" s="0" t="s">
        <v>241</v>
      </c>
      <c r="D86" s="0" t="n">
        <v>11</v>
      </c>
      <c r="E86" s="0" t="n">
        <v>2</v>
      </c>
      <c r="F86" s="0" t="n">
        <v>4</v>
      </c>
      <c r="G86" s="0" t="n">
        <v>13</v>
      </c>
      <c r="H86" s="0" t="n">
        <v>17</v>
      </c>
    </row>
    <row r="87" customFormat="false" ht="15" hidden="false" customHeight="false" outlineLevel="0" collapsed="false">
      <c r="A87" s="0" t="s">
        <v>116</v>
      </c>
      <c r="B87" s="0" t="s">
        <v>240</v>
      </c>
      <c r="C87" s="0" t="s">
        <v>269</v>
      </c>
      <c r="D87" s="0" t="n">
        <v>10</v>
      </c>
      <c r="E87" s="0" t="n">
        <v>5</v>
      </c>
      <c r="F87" s="0" t="n">
        <v>9</v>
      </c>
      <c r="G87" s="0" t="n">
        <v>15</v>
      </c>
      <c r="H87" s="0" t="n">
        <v>24</v>
      </c>
    </row>
    <row r="88" customFormat="false" ht="15" hidden="false" customHeight="false" outlineLevel="0" collapsed="false">
      <c r="A88" s="0" t="s">
        <v>116</v>
      </c>
      <c r="B88" s="0" t="s">
        <v>243</v>
      </c>
      <c r="C88" s="0" t="s">
        <v>272</v>
      </c>
      <c r="D88" s="0" t="n">
        <v>12</v>
      </c>
      <c r="E88" s="0" t="n">
        <v>11</v>
      </c>
      <c r="F88" s="0" t="n">
        <v>0</v>
      </c>
      <c r="G88" s="0" t="n">
        <v>23</v>
      </c>
      <c r="H88" s="0" t="n">
        <v>23</v>
      </c>
    </row>
    <row r="89" customFormat="false" ht="15" hidden="false" customHeight="false" outlineLevel="0" collapsed="false">
      <c r="A89" s="0" t="s">
        <v>116</v>
      </c>
      <c r="B89" s="0" t="s">
        <v>273</v>
      </c>
      <c r="C89" s="0" t="s">
        <v>274</v>
      </c>
      <c r="D89" s="0" t="n">
        <v>7</v>
      </c>
      <c r="E89" s="0" t="n">
        <v>6</v>
      </c>
      <c r="F89" s="0" t="n">
        <v>0</v>
      </c>
      <c r="G89" s="0" t="n">
        <v>13</v>
      </c>
      <c r="H89" s="0" t="n">
        <v>13</v>
      </c>
    </row>
    <row r="90" customFormat="false" ht="15" hidden="false" customHeight="false" outlineLevel="0" collapsed="false">
      <c r="A90" s="0" t="s">
        <v>116</v>
      </c>
      <c r="B90" s="0" t="s">
        <v>275</v>
      </c>
      <c r="C90" s="0" t="s">
        <v>276</v>
      </c>
      <c r="D90" s="0" t="n">
        <v>6</v>
      </c>
      <c r="E90" s="0" t="n">
        <v>10</v>
      </c>
      <c r="F90" s="0" t="n">
        <v>5</v>
      </c>
      <c r="G90" s="0" t="n">
        <v>16</v>
      </c>
      <c r="H90" s="0" t="n">
        <v>21</v>
      </c>
    </row>
    <row r="91" customFormat="false" ht="15" hidden="false" customHeight="false" outlineLevel="0" collapsed="false">
      <c r="A91" s="0" t="s">
        <v>116</v>
      </c>
      <c r="B91" s="0" t="s">
        <v>247</v>
      </c>
      <c r="C91" s="0" t="s">
        <v>241</v>
      </c>
      <c r="D91" s="0" t="n">
        <v>14</v>
      </c>
      <c r="E91" s="0" t="n">
        <v>16</v>
      </c>
      <c r="F91" s="0" t="n">
        <v>0</v>
      </c>
      <c r="G91" s="0" t="n">
        <v>30</v>
      </c>
      <c r="H91" s="0" t="n">
        <v>30</v>
      </c>
    </row>
    <row r="92" customFormat="false" ht="15" hidden="false" customHeight="false" outlineLevel="0" collapsed="false">
      <c r="A92" s="0" t="s">
        <v>119</v>
      </c>
      <c r="B92" s="0" t="s">
        <v>230</v>
      </c>
      <c r="C92" s="0" t="s">
        <v>264</v>
      </c>
      <c r="D92" s="0" t="n">
        <v>14</v>
      </c>
      <c r="E92" s="0" t="n">
        <v>0</v>
      </c>
      <c r="F92" s="0" t="n">
        <v>6</v>
      </c>
      <c r="G92" s="0" t="n">
        <v>14</v>
      </c>
      <c r="H92" s="0" t="n">
        <v>20</v>
      </c>
    </row>
    <row r="93" customFormat="false" ht="15" hidden="false" customHeight="false" outlineLevel="0" collapsed="false">
      <c r="A93" s="0" t="s">
        <v>119</v>
      </c>
      <c r="B93" s="0" t="s">
        <v>232</v>
      </c>
      <c r="C93" s="0" t="s">
        <v>265</v>
      </c>
      <c r="D93" s="0" t="n">
        <v>2</v>
      </c>
      <c r="E93" s="0" t="n">
        <v>2</v>
      </c>
      <c r="F93" s="0" t="n">
        <v>8</v>
      </c>
      <c r="G93" s="0" t="n">
        <v>4</v>
      </c>
      <c r="H93" s="0" t="n">
        <v>12</v>
      </c>
    </row>
    <row r="94" customFormat="false" ht="15" hidden="false" customHeight="false" outlineLevel="0" collapsed="false">
      <c r="A94" s="0" t="s">
        <v>119</v>
      </c>
      <c r="B94" s="0" t="s">
        <v>234</v>
      </c>
      <c r="C94" s="0" t="s">
        <v>238</v>
      </c>
      <c r="D94" s="0" t="n">
        <v>2</v>
      </c>
      <c r="E94" s="0" t="n">
        <v>1</v>
      </c>
      <c r="F94" s="0" t="n">
        <v>10</v>
      </c>
      <c r="G94" s="0" t="n">
        <v>3</v>
      </c>
      <c r="H94" s="0" t="n">
        <v>13</v>
      </c>
    </row>
    <row r="95" customFormat="false" ht="15" hidden="false" customHeight="false" outlineLevel="0" collapsed="false">
      <c r="A95" s="0" t="s">
        <v>119</v>
      </c>
      <c r="B95" s="0" t="s">
        <v>266</v>
      </c>
      <c r="C95" s="0" t="s">
        <v>236</v>
      </c>
      <c r="D95" s="0" t="n">
        <v>4</v>
      </c>
      <c r="E95" s="0" t="n">
        <v>6</v>
      </c>
      <c r="F95" s="0" t="n">
        <v>0</v>
      </c>
      <c r="G95" s="0" t="n">
        <v>10</v>
      </c>
      <c r="H95" s="0" t="n">
        <v>10</v>
      </c>
    </row>
    <row r="96" customFormat="false" ht="15" hidden="false" customHeight="false" outlineLevel="0" collapsed="false">
      <c r="A96" s="0" t="s">
        <v>119</v>
      </c>
      <c r="B96" s="0" t="s">
        <v>235</v>
      </c>
      <c r="C96" s="0" t="s">
        <v>231</v>
      </c>
      <c r="D96" s="0" t="n">
        <v>12</v>
      </c>
      <c r="E96" s="0" t="n">
        <v>16</v>
      </c>
      <c r="F96" s="0" t="n">
        <v>0</v>
      </c>
      <c r="G96" s="0" t="n">
        <v>28</v>
      </c>
      <c r="H96" s="0" t="n">
        <v>28</v>
      </c>
    </row>
    <row r="97" customFormat="false" ht="15" hidden="false" customHeight="false" outlineLevel="0" collapsed="false">
      <c r="A97" s="0" t="s">
        <v>119</v>
      </c>
      <c r="B97" s="0" t="s">
        <v>239</v>
      </c>
      <c r="C97" s="0" t="s">
        <v>79</v>
      </c>
      <c r="D97" s="0" t="n">
        <v>14</v>
      </c>
      <c r="E97" s="0" t="n">
        <v>9</v>
      </c>
      <c r="F97" s="0" t="n">
        <v>0</v>
      </c>
      <c r="G97" s="0" t="n">
        <v>23</v>
      </c>
      <c r="H97" s="0" t="n">
        <v>23</v>
      </c>
    </row>
    <row r="98" customFormat="false" ht="15" hidden="false" customHeight="false" outlineLevel="0" collapsed="false">
      <c r="A98" s="0" t="s">
        <v>119</v>
      </c>
      <c r="B98" s="0" t="s">
        <v>268</v>
      </c>
      <c r="C98" s="0" t="s">
        <v>269</v>
      </c>
      <c r="D98" s="0" t="n">
        <v>6</v>
      </c>
      <c r="E98" s="0" t="n">
        <v>7</v>
      </c>
      <c r="F98" s="0" t="n">
        <v>7</v>
      </c>
      <c r="G98" s="0" t="n">
        <v>13</v>
      </c>
      <c r="H98" s="0" t="n">
        <v>20</v>
      </c>
    </row>
    <row r="99" customFormat="false" ht="15" hidden="false" customHeight="false" outlineLevel="0" collapsed="false">
      <c r="A99" s="0" t="s">
        <v>119</v>
      </c>
      <c r="B99" s="0" t="s">
        <v>270</v>
      </c>
      <c r="C99" s="0" t="s">
        <v>269</v>
      </c>
      <c r="D99" s="0" t="n">
        <v>12</v>
      </c>
      <c r="E99" s="0" t="n">
        <v>6</v>
      </c>
      <c r="F99" s="0" t="n">
        <v>0</v>
      </c>
      <c r="G99" s="0" t="n">
        <v>18</v>
      </c>
      <c r="H99" s="0" t="n">
        <v>18</v>
      </c>
    </row>
    <row r="100" customFormat="false" ht="15" hidden="false" customHeight="false" outlineLevel="0" collapsed="false">
      <c r="A100" s="0" t="s">
        <v>119</v>
      </c>
      <c r="B100" s="0" t="s">
        <v>271</v>
      </c>
      <c r="C100" s="0" t="s">
        <v>264</v>
      </c>
      <c r="D100" s="0" t="n">
        <v>3</v>
      </c>
      <c r="E100" s="0" t="n">
        <v>8</v>
      </c>
      <c r="F100" s="0" t="n">
        <v>12</v>
      </c>
      <c r="G100" s="0" t="n">
        <v>11</v>
      </c>
      <c r="H100" s="0" t="n">
        <v>23</v>
      </c>
    </row>
    <row r="101" customFormat="false" ht="15" hidden="false" customHeight="false" outlineLevel="0" collapsed="false">
      <c r="A101" s="0" t="s">
        <v>119</v>
      </c>
      <c r="B101" s="0" t="s">
        <v>271</v>
      </c>
      <c r="C101" s="0" t="s">
        <v>241</v>
      </c>
      <c r="D101" s="0" t="n">
        <v>6</v>
      </c>
      <c r="E101" s="0" t="n">
        <v>8</v>
      </c>
      <c r="F101" s="0" t="n">
        <v>8</v>
      </c>
      <c r="G101" s="0" t="n">
        <v>14</v>
      </c>
      <c r="H101" s="0" t="n">
        <v>22</v>
      </c>
    </row>
    <row r="102" customFormat="false" ht="15" hidden="false" customHeight="false" outlineLevel="0" collapsed="false">
      <c r="A102" s="0" t="s">
        <v>119</v>
      </c>
      <c r="B102" s="0" t="s">
        <v>240</v>
      </c>
      <c r="C102" s="0" t="s">
        <v>269</v>
      </c>
      <c r="D102" s="0" t="n">
        <v>5</v>
      </c>
      <c r="E102" s="0" t="n">
        <v>0</v>
      </c>
      <c r="F102" s="0" t="n">
        <v>7</v>
      </c>
      <c r="G102" s="0" t="n">
        <v>5</v>
      </c>
      <c r="H102" s="0" t="n">
        <v>12</v>
      </c>
    </row>
    <row r="103" customFormat="false" ht="15" hidden="false" customHeight="false" outlineLevel="0" collapsed="false">
      <c r="A103" s="0" t="s">
        <v>119</v>
      </c>
      <c r="B103" s="0" t="s">
        <v>243</v>
      </c>
      <c r="C103" s="0" t="s">
        <v>272</v>
      </c>
      <c r="D103" s="0" t="n">
        <v>10</v>
      </c>
      <c r="E103" s="0" t="n">
        <v>10</v>
      </c>
      <c r="F103" s="0" t="n">
        <v>0</v>
      </c>
      <c r="G103" s="0" t="n">
        <v>20</v>
      </c>
      <c r="H103" s="0" t="n">
        <v>20</v>
      </c>
    </row>
    <row r="104" customFormat="false" ht="15" hidden="false" customHeight="false" outlineLevel="0" collapsed="false">
      <c r="A104" s="0" t="s">
        <v>119</v>
      </c>
      <c r="B104" s="0" t="s">
        <v>273</v>
      </c>
      <c r="C104" s="0" t="s">
        <v>274</v>
      </c>
      <c r="D104" s="0" t="n">
        <v>6</v>
      </c>
      <c r="E104" s="0" t="n">
        <v>8</v>
      </c>
      <c r="F104" s="0" t="n">
        <v>0</v>
      </c>
      <c r="G104" s="0" t="n">
        <v>14</v>
      </c>
      <c r="H104" s="0" t="n">
        <v>14</v>
      </c>
    </row>
    <row r="105" customFormat="false" ht="15" hidden="false" customHeight="false" outlineLevel="0" collapsed="false">
      <c r="A105" s="0" t="s">
        <v>119</v>
      </c>
      <c r="B105" s="0" t="s">
        <v>275</v>
      </c>
      <c r="C105" s="0" t="s">
        <v>276</v>
      </c>
      <c r="D105" s="0" t="n">
        <v>3</v>
      </c>
      <c r="E105" s="0" t="n">
        <v>5</v>
      </c>
      <c r="F105" s="0" t="n">
        <v>7</v>
      </c>
      <c r="G105" s="0" t="n">
        <v>8</v>
      </c>
      <c r="H105" s="0" t="n">
        <v>15</v>
      </c>
    </row>
    <row r="106" customFormat="false" ht="15" hidden="false" customHeight="false" outlineLevel="0" collapsed="false">
      <c r="A106" s="0" t="s">
        <v>119</v>
      </c>
      <c r="B106" s="0" t="s">
        <v>247</v>
      </c>
      <c r="C106" s="0" t="s">
        <v>241</v>
      </c>
      <c r="D106" s="0" t="n">
        <v>6</v>
      </c>
      <c r="E106" s="0" t="n">
        <v>13</v>
      </c>
      <c r="F106" s="0" t="n">
        <v>0</v>
      </c>
      <c r="G106" s="0" t="n">
        <v>19</v>
      </c>
      <c r="H106" s="0" t="n">
        <v>19</v>
      </c>
    </row>
    <row r="107" customFormat="false" ht="15" hidden="false" customHeight="false" outlineLevel="0" collapsed="false">
      <c r="A107" s="0" t="s">
        <v>121</v>
      </c>
      <c r="B107" s="0" t="s">
        <v>230</v>
      </c>
      <c r="C107" s="0" t="s">
        <v>264</v>
      </c>
      <c r="D107" s="0" t="n">
        <v>2</v>
      </c>
      <c r="E107" s="0" t="n">
        <v>0</v>
      </c>
      <c r="F107" s="0" t="n">
        <v>0</v>
      </c>
      <c r="G107" s="0" t="n">
        <v>2</v>
      </c>
      <c r="H107" s="0" t="n">
        <v>2</v>
      </c>
    </row>
    <row r="108" customFormat="false" ht="15" hidden="false" customHeight="false" outlineLevel="0" collapsed="false">
      <c r="A108" s="0" t="s">
        <v>121</v>
      </c>
      <c r="B108" s="0" t="s">
        <v>232</v>
      </c>
      <c r="C108" s="0" t="s">
        <v>265</v>
      </c>
      <c r="D108" s="0" t="n">
        <v>1</v>
      </c>
      <c r="E108" s="0" t="n">
        <v>4</v>
      </c>
      <c r="F108" s="0" t="n">
        <v>4</v>
      </c>
      <c r="G108" s="0" t="n">
        <v>5</v>
      </c>
      <c r="H108" s="0" t="n">
        <v>9</v>
      </c>
    </row>
    <row r="109" customFormat="false" ht="15" hidden="false" customHeight="false" outlineLevel="0" collapsed="false">
      <c r="A109" s="0" t="s">
        <v>121</v>
      </c>
      <c r="B109" s="0" t="s">
        <v>234</v>
      </c>
      <c r="C109" s="0" t="s">
        <v>238</v>
      </c>
      <c r="D109" s="0" t="n">
        <v>3</v>
      </c>
      <c r="E109" s="0" t="n">
        <v>0</v>
      </c>
      <c r="F109" s="0" t="n">
        <v>6</v>
      </c>
      <c r="G109" s="0" t="n">
        <v>3</v>
      </c>
      <c r="H109" s="0" t="n">
        <v>9</v>
      </c>
    </row>
    <row r="110" customFormat="false" ht="15" hidden="false" customHeight="false" outlineLevel="0" collapsed="false">
      <c r="A110" s="0" t="s">
        <v>121</v>
      </c>
      <c r="B110" s="0" t="s">
        <v>266</v>
      </c>
      <c r="C110" s="0" t="s">
        <v>236</v>
      </c>
      <c r="D110" s="0" t="n">
        <v>3</v>
      </c>
      <c r="E110" s="0" t="n">
        <v>2</v>
      </c>
      <c r="F110" s="0" t="n">
        <v>0</v>
      </c>
      <c r="G110" s="0" t="n">
        <v>5</v>
      </c>
      <c r="H110" s="0" t="n">
        <v>5</v>
      </c>
    </row>
    <row r="111" customFormat="false" ht="15" hidden="false" customHeight="false" outlineLevel="0" collapsed="false">
      <c r="A111" s="0" t="s">
        <v>121</v>
      </c>
      <c r="B111" s="0" t="s">
        <v>235</v>
      </c>
      <c r="C111" s="0" t="s">
        <v>231</v>
      </c>
      <c r="D111" s="0" t="n">
        <v>10</v>
      </c>
      <c r="E111" s="0" t="n">
        <v>11</v>
      </c>
      <c r="F111" s="0" t="n">
        <v>0</v>
      </c>
      <c r="G111" s="0" t="n">
        <v>21</v>
      </c>
      <c r="H111" s="0" t="n">
        <v>21</v>
      </c>
    </row>
    <row r="112" customFormat="false" ht="15" hidden="false" customHeight="false" outlineLevel="0" collapsed="false">
      <c r="A112" s="0" t="s">
        <v>121</v>
      </c>
      <c r="B112" s="0" t="s">
        <v>239</v>
      </c>
      <c r="C112" s="0" t="s">
        <v>79</v>
      </c>
      <c r="D112" s="0" t="n">
        <v>3</v>
      </c>
      <c r="E112" s="0" t="n">
        <v>5</v>
      </c>
      <c r="F112" s="0" t="n">
        <v>0</v>
      </c>
      <c r="G112" s="0" t="n">
        <v>8</v>
      </c>
      <c r="H112" s="0" t="n">
        <v>8</v>
      </c>
    </row>
    <row r="113" customFormat="false" ht="15" hidden="false" customHeight="false" outlineLevel="0" collapsed="false">
      <c r="A113" s="0" t="s">
        <v>121</v>
      </c>
      <c r="B113" s="0" t="s">
        <v>268</v>
      </c>
      <c r="C113" s="0" t="s">
        <v>269</v>
      </c>
      <c r="D113" s="0" t="n">
        <v>1</v>
      </c>
      <c r="E113" s="0" t="n">
        <v>2</v>
      </c>
      <c r="F113" s="0" t="n">
        <v>1</v>
      </c>
      <c r="G113" s="0" t="n">
        <v>3</v>
      </c>
      <c r="H113" s="0" t="n">
        <v>4</v>
      </c>
    </row>
    <row r="114" customFormat="false" ht="15" hidden="false" customHeight="false" outlineLevel="0" collapsed="false">
      <c r="A114" s="0" t="s">
        <v>121</v>
      </c>
      <c r="B114" s="0" t="s">
        <v>270</v>
      </c>
      <c r="C114" s="0" t="s">
        <v>269</v>
      </c>
      <c r="D114" s="0" t="n">
        <v>3</v>
      </c>
      <c r="E114" s="0" t="n">
        <v>2</v>
      </c>
      <c r="F114" s="0" t="n">
        <v>0</v>
      </c>
      <c r="G114" s="0" t="n">
        <v>5</v>
      </c>
      <c r="H114" s="0" t="n">
        <v>5</v>
      </c>
    </row>
    <row r="115" customFormat="false" ht="15" hidden="false" customHeight="false" outlineLevel="0" collapsed="false">
      <c r="A115" s="0" t="s">
        <v>121</v>
      </c>
      <c r="B115" s="0" t="s">
        <v>271</v>
      </c>
      <c r="C115" s="0" t="s">
        <v>264</v>
      </c>
      <c r="D115" s="0" t="n">
        <v>2</v>
      </c>
      <c r="E115" s="0" t="n">
        <v>4</v>
      </c>
      <c r="F115" s="0" t="n">
        <v>6</v>
      </c>
      <c r="G115" s="0" t="n">
        <v>6</v>
      </c>
      <c r="H115" s="0" t="n">
        <v>12</v>
      </c>
    </row>
    <row r="116" customFormat="false" ht="15" hidden="false" customHeight="false" outlineLevel="0" collapsed="false">
      <c r="A116" s="0" t="s">
        <v>121</v>
      </c>
      <c r="B116" s="0" t="s">
        <v>271</v>
      </c>
      <c r="C116" s="0" t="s">
        <v>241</v>
      </c>
      <c r="D116" s="0" t="n">
        <v>6</v>
      </c>
      <c r="E116" s="0" t="n">
        <v>0</v>
      </c>
      <c r="F116" s="0" t="n">
        <v>4</v>
      </c>
      <c r="G116" s="0" t="n">
        <v>6</v>
      </c>
      <c r="H116" s="0" t="n">
        <v>10</v>
      </c>
    </row>
    <row r="117" customFormat="false" ht="15" hidden="false" customHeight="false" outlineLevel="0" collapsed="false">
      <c r="A117" s="0" t="s">
        <v>121</v>
      </c>
      <c r="B117" s="0" t="s">
        <v>240</v>
      </c>
      <c r="C117" s="0" t="s">
        <v>269</v>
      </c>
      <c r="D117" s="0" t="n">
        <v>1</v>
      </c>
      <c r="E117" s="0" t="n">
        <v>1</v>
      </c>
      <c r="F117" s="0" t="n">
        <v>4</v>
      </c>
      <c r="G117" s="0" t="n">
        <v>2</v>
      </c>
      <c r="H117" s="0" t="n">
        <v>6</v>
      </c>
    </row>
    <row r="118" customFormat="false" ht="15" hidden="false" customHeight="false" outlineLevel="0" collapsed="false">
      <c r="A118" s="0" t="s">
        <v>121</v>
      </c>
      <c r="B118" s="0" t="s">
        <v>243</v>
      </c>
      <c r="C118" s="0" t="s">
        <v>272</v>
      </c>
      <c r="D118" s="0" t="n">
        <v>2</v>
      </c>
      <c r="E118" s="0" t="n">
        <v>3</v>
      </c>
      <c r="F118" s="0" t="n">
        <v>0</v>
      </c>
      <c r="G118" s="0" t="n">
        <v>5</v>
      </c>
      <c r="H118" s="0" t="n">
        <v>5</v>
      </c>
    </row>
    <row r="119" customFormat="false" ht="15" hidden="false" customHeight="false" outlineLevel="0" collapsed="false">
      <c r="A119" s="0" t="s">
        <v>121</v>
      </c>
      <c r="B119" s="0" t="s">
        <v>273</v>
      </c>
      <c r="C119" s="0" t="s">
        <v>274</v>
      </c>
      <c r="D119" s="0" t="n">
        <v>0</v>
      </c>
      <c r="E119" s="0" t="n">
        <v>7</v>
      </c>
      <c r="F119" s="0" t="n">
        <v>0</v>
      </c>
      <c r="G119" s="0" t="n">
        <v>7</v>
      </c>
      <c r="H119" s="0" t="n">
        <v>7</v>
      </c>
    </row>
    <row r="120" customFormat="false" ht="15" hidden="false" customHeight="false" outlineLevel="0" collapsed="false">
      <c r="A120" s="0" t="s">
        <v>121</v>
      </c>
      <c r="B120" s="0" t="s">
        <v>275</v>
      </c>
      <c r="C120" s="0" t="s">
        <v>276</v>
      </c>
      <c r="D120" s="0" t="n">
        <v>4</v>
      </c>
      <c r="E120" s="0" t="n">
        <v>4</v>
      </c>
      <c r="F120" s="0" t="n">
        <v>2</v>
      </c>
      <c r="G120" s="0" t="n">
        <v>8</v>
      </c>
      <c r="H120" s="0" t="n">
        <v>10</v>
      </c>
    </row>
    <row r="121" customFormat="false" ht="15" hidden="false" customHeight="false" outlineLevel="0" collapsed="false">
      <c r="A121" s="0" t="s">
        <v>121</v>
      </c>
      <c r="B121" s="0" t="s">
        <v>247</v>
      </c>
      <c r="C121" s="0" t="s">
        <v>241</v>
      </c>
      <c r="D121" s="0" t="n">
        <v>5</v>
      </c>
      <c r="E121" s="0" t="n">
        <v>2</v>
      </c>
      <c r="F121" s="0" t="n">
        <v>0</v>
      </c>
      <c r="G121" s="0" t="n">
        <v>7</v>
      </c>
      <c r="H121" s="0" t="n">
        <v>7</v>
      </c>
    </row>
    <row r="122" customFormat="false" ht="15" hidden="false" customHeight="false" outlineLevel="0" collapsed="false">
      <c r="A122" s="0" t="s">
        <v>124</v>
      </c>
      <c r="B122" s="0" t="s">
        <v>230</v>
      </c>
      <c r="C122" s="0" t="s">
        <v>264</v>
      </c>
      <c r="D122" s="0" t="n">
        <v>7</v>
      </c>
      <c r="E122" s="0" t="n">
        <v>1</v>
      </c>
      <c r="F122" s="0" t="n">
        <v>4</v>
      </c>
      <c r="G122" s="0" t="n">
        <v>8</v>
      </c>
      <c r="H122" s="0" t="n">
        <v>12</v>
      </c>
    </row>
    <row r="123" customFormat="false" ht="15" hidden="false" customHeight="false" outlineLevel="0" collapsed="false">
      <c r="A123" s="0" t="s">
        <v>124</v>
      </c>
      <c r="B123" s="0" t="s">
        <v>232</v>
      </c>
      <c r="C123" s="0" t="s">
        <v>265</v>
      </c>
      <c r="D123" s="0" t="n">
        <v>4</v>
      </c>
      <c r="E123" s="0" t="n">
        <v>2</v>
      </c>
      <c r="F123" s="0" t="n">
        <v>4</v>
      </c>
      <c r="G123" s="0" t="n">
        <v>6</v>
      </c>
      <c r="H123" s="0" t="n">
        <v>10</v>
      </c>
    </row>
    <row r="124" customFormat="false" ht="15" hidden="false" customHeight="false" outlineLevel="0" collapsed="false">
      <c r="A124" s="0" t="s">
        <v>124</v>
      </c>
      <c r="B124" s="0" t="s">
        <v>234</v>
      </c>
      <c r="C124" s="0" t="s">
        <v>238</v>
      </c>
      <c r="D124" s="0" t="n">
        <v>2</v>
      </c>
      <c r="E124" s="0" t="n">
        <v>2</v>
      </c>
      <c r="F124" s="0" t="n">
        <v>2</v>
      </c>
      <c r="G124" s="0" t="n">
        <v>4</v>
      </c>
      <c r="H124" s="0" t="n">
        <v>6</v>
      </c>
    </row>
    <row r="125" customFormat="false" ht="15" hidden="false" customHeight="false" outlineLevel="0" collapsed="false">
      <c r="A125" s="0" t="s">
        <v>124</v>
      </c>
      <c r="B125" s="0" t="s">
        <v>266</v>
      </c>
      <c r="C125" s="0" t="s">
        <v>236</v>
      </c>
      <c r="D125" s="0" t="n">
        <v>8</v>
      </c>
      <c r="E125" s="0" t="n">
        <v>8</v>
      </c>
      <c r="F125" s="0" t="n">
        <v>0</v>
      </c>
      <c r="G125" s="0" t="n">
        <v>16</v>
      </c>
      <c r="H125" s="0" t="n">
        <v>16</v>
      </c>
    </row>
    <row r="126" customFormat="false" ht="15" hidden="false" customHeight="false" outlineLevel="0" collapsed="false">
      <c r="A126" s="0" t="s">
        <v>124</v>
      </c>
      <c r="B126" s="0" t="s">
        <v>235</v>
      </c>
      <c r="C126" s="0" t="s">
        <v>231</v>
      </c>
      <c r="D126" s="0" t="n">
        <v>2</v>
      </c>
      <c r="E126" s="0" t="n">
        <v>4</v>
      </c>
      <c r="F126" s="0" t="n">
        <v>0</v>
      </c>
      <c r="G126" s="0" t="n">
        <v>6</v>
      </c>
      <c r="H126" s="0" t="n">
        <v>6</v>
      </c>
    </row>
    <row r="127" customFormat="false" ht="15" hidden="false" customHeight="false" outlineLevel="0" collapsed="false">
      <c r="A127" s="0" t="s">
        <v>124</v>
      </c>
      <c r="B127" s="0" t="s">
        <v>239</v>
      </c>
      <c r="C127" s="0" t="s">
        <v>79</v>
      </c>
      <c r="D127" s="0" t="n">
        <v>5</v>
      </c>
      <c r="E127" s="0" t="n">
        <v>3</v>
      </c>
      <c r="F127" s="0" t="n">
        <v>0</v>
      </c>
      <c r="G127" s="0" t="n">
        <v>8</v>
      </c>
      <c r="H127" s="0" t="n">
        <v>8</v>
      </c>
    </row>
    <row r="128" customFormat="false" ht="15" hidden="false" customHeight="false" outlineLevel="0" collapsed="false">
      <c r="A128" s="0" t="s">
        <v>124</v>
      </c>
      <c r="B128" s="0" t="s">
        <v>268</v>
      </c>
      <c r="C128" s="0" t="s">
        <v>269</v>
      </c>
      <c r="D128" s="0" t="n">
        <v>1</v>
      </c>
      <c r="E128" s="0" t="n">
        <v>4</v>
      </c>
      <c r="F128" s="0" t="n">
        <v>3</v>
      </c>
      <c r="G128" s="0" t="n">
        <v>5</v>
      </c>
      <c r="H128" s="0" t="n">
        <v>8</v>
      </c>
    </row>
    <row r="129" customFormat="false" ht="15" hidden="false" customHeight="false" outlineLevel="0" collapsed="false">
      <c r="A129" s="0" t="s">
        <v>124</v>
      </c>
      <c r="B129" s="0" t="s">
        <v>270</v>
      </c>
      <c r="C129" s="0" t="s">
        <v>269</v>
      </c>
      <c r="D129" s="0" t="n">
        <v>5</v>
      </c>
      <c r="E129" s="0" t="n">
        <v>9</v>
      </c>
      <c r="F129" s="0" t="n">
        <v>0</v>
      </c>
      <c r="G129" s="0" t="n">
        <v>14</v>
      </c>
      <c r="H129" s="0" t="n">
        <v>14</v>
      </c>
    </row>
    <row r="130" customFormat="false" ht="15" hidden="false" customHeight="false" outlineLevel="0" collapsed="false">
      <c r="A130" s="0" t="s">
        <v>124</v>
      </c>
      <c r="B130" s="0" t="s">
        <v>271</v>
      </c>
      <c r="C130" s="0" t="s">
        <v>264</v>
      </c>
      <c r="D130" s="0" t="n">
        <v>6</v>
      </c>
      <c r="E130" s="0" t="n">
        <v>6</v>
      </c>
      <c r="F130" s="0" t="n">
        <v>3</v>
      </c>
      <c r="G130" s="0" t="n">
        <v>12</v>
      </c>
      <c r="H130" s="0" t="n">
        <v>15</v>
      </c>
    </row>
    <row r="131" customFormat="false" ht="15" hidden="false" customHeight="false" outlineLevel="0" collapsed="false">
      <c r="A131" s="0" t="s">
        <v>124</v>
      </c>
      <c r="B131" s="0" t="s">
        <v>271</v>
      </c>
      <c r="C131" s="0" t="s">
        <v>241</v>
      </c>
      <c r="D131" s="0" t="n">
        <v>6</v>
      </c>
      <c r="E131" s="0" t="n">
        <v>4</v>
      </c>
      <c r="F131" s="0" t="n">
        <v>2</v>
      </c>
      <c r="G131" s="0" t="n">
        <v>10</v>
      </c>
      <c r="H131" s="0" t="n">
        <v>12</v>
      </c>
    </row>
    <row r="132" customFormat="false" ht="15" hidden="false" customHeight="false" outlineLevel="0" collapsed="false">
      <c r="A132" s="0" t="s">
        <v>124</v>
      </c>
      <c r="B132" s="0" t="s">
        <v>240</v>
      </c>
      <c r="C132" s="0" t="s">
        <v>269</v>
      </c>
      <c r="D132" s="0" t="n">
        <v>3</v>
      </c>
      <c r="E132" s="0" t="n">
        <v>5</v>
      </c>
      <c r="F132" s="0" t="n">
        <v>1</v>
      </c>
      <c r="G132" s="0" t="n">
        <v>8</v>
      </c>
      <c r="H132" s="0" t="n">
        <v>9</v>
      </c>
    </row>
    <row r="133" customFormat="false" ht="15" hidden="false" customHeight="false" outlineLevel="0" collapsed="false">
      <c r="A133" s="0" t="s">
        <v>124</v>
      </c>
      <c r="B133" s="0" t="s">
        <v>243</v>
      </c>
      <c r="C133" s="0" t="s">
        <v>272</v>
      </c>
      <c r="D133" s="0" t="n">
        <v>5</v>
      </c>
      <c r="E133" s="0" t="n">
        <v>1</v>
      </c>
      <c r="F133" s="0" t="n">
        <v>0</v>
      </c>
      <c r="G133" s="0" t="n">
        <v>6</v>
      </c>
      <c r="H133" s="0" t="n">
        <v>6</v>
      </c>
    </row>
    <row r="134" customFormat="false" ht="15" hidden="false" customHeight="false" outlineLevel="0" collapsed="false">
      <c r="A134" s="0" t="s">
        <v>124</v>
      </c>
      <c r="B134" s="0" t="s">
        <v>273</v>
      </c>
      <c r="C134" s="0" t="s">
        <v>274</v>
      </c>
      <c r="D134" s="0" t="n">
        <v>4</v>
      </c>
      <c r="E134" s="0" t="n">
        <v>5</v>
      </c>
      <c r="F134" s="0" t="n">
        <v>0</v>
      </c>
      <c r="G134" s="0" t="n">
        <v>9</v>
      </c>
      <c r="H134" s="0" t="n">
        <v>9</v>
      </c>
    </row>
    <row r="135" customFormat="false" ht="15" hidden="false" customHeight="false" outlineLevel="0" collapsed="false">
      <c r="A135" s="0" t="s">
        <v>124</v>
      </c>
      <c r="B135" s="0" t="s">
        <v>275</v>
      </c>
      <c r="C135" s="0" t="s">
        <v>276</v>
      </c>
      <c r="D135" s="0" t="n">
        <v>4</v>
      </c>
      <c r="E135" s="0" t="n">
        <v>4</v>
      </c>
      <c r="F135" s="0" t="n">
        <v>2</v>
      </c>
      <c r="G135" s="0" t="n">
        <v>8</v>
      </c>
      <c r="H135" s="0" t="n">
        <v>10</v>
      </c>
    </row>
    <row r="136" customFormat="false" ht="15" hidden="false" customHeight="false" outlineLevel="0" collapsed="false">
      <c r="A136" s="0" t="s">
        <v>124</v>
      </c>
      <c r="B136" s="0" t="s">
        <v>247</v>
      </c>
      <c r="C136" s="0" t="s">
        <v>241</v>
      </c>
      <c r="D136" s="0" t="n">
        <v>2</v>
      </c>
      <c r="E136" s="0" t="n">
        <v>5</v>
      </c>
      <c r="F136" s="0" t="n">
        <v>0</v>
      </c>
      <c r="G136" s="0" t="n">
        <v>7</v>
      </c>
      <c r="H136" s="0" t="n">
        <v>7</v>
      </c>
    </row>
    <row r="137" customFormat="false" ht="15" hidden="false" customHeight="false" outlineLevel="0" collapsed="false">
      <c r="A137" s="0" t="s">
        <v>126</v>
      </c>
      <c r="B137" s="0" t="s">
        <v>230</v>
      </c>
      <c r="C137" s="0" t="s">
        <v>264</v>
      </c>
      <c r="D137" s="0" t="n">
        <v>7</v>
      </c>
      <c r="E137" s="0" t="n">
        <v>0</v>
      </c>
      <c r="F137" s="0" t="n">
        <v>9</v>
      </c>
      <c r="G137" s="0" t="n">
        <v>7</v>
      </c>
      <c r="H137" s="0" t="n">
        <v>16</v>
      </c>
    </row>
    <row r="138" customFormat="false" ht="15" hidden="false" customHeight="false" outlineLevel="0" collapsed="false">
      <c r="A138" s="0" t="s">
        <v>126</v>
      </c>
      <c r="B138" s="0" t="s">
        <v>232</v>
      </c>
      <c r="C138" s="0" t="s">
        <v>265</v>
      </c>
      <c r="D138" s="0" t="n">
        <v>13</v>
      </c>
      <c r="E138" s="0" t="n">
        <v>3</v>
      </c>
      <c r="F138" s="0" t="n">
        <v>12</v>
      </c>
      <c r="G138" s="0" t="n">
        <v>16</v>
      </c>
      <c r="H138" s="0" t="n">
        <v>28</v>
      </c>
    </row>
    <row r="139" customFormat="false" ht="15" hidden="false" customHeight="false" outlineLevel="0" collapsed="false">
      <c r="A139" s="0" t="s">
        <v>126</v>
      </c>
      <c r="B139" s="0" t="s">
        <v>234</v>
      </c>
      <c r="C139" s="0" t="s">
        <v>238</v>
      </c>
      <c r="D139" s="0" t="n">
        <v>14</v>
      </c>
      <c r="E139" s="0" t="n">
        <v>6</v>
      </c>
      <c r="F139" s="0" t="n">
        <v>8</v>
      </c>
      <c r="G139" s="0" t="n">
        <v>20</v>
      </c>
      <c r="H139" s="0" t="n">
        <v>28</v>
      </c>
    </row>
    <row r="140" customFormat="false" ht="15" hidden="false" customHeight="false" outlineLevel="0" collapsed="false">
      <c r="A140" s="0" t="s">
        <v>126</v>
      </c>
      <c r="B140" s="0" t="s">
        <v>266</v>
      </c>
      <c r="C140" s="0" t="s">
        <v>236</v>
      </c>
      <c r="D140" s="0" t="n">
        <v>14</v>
      </c>
      <c r="E140" s="0" t="n">
        <v>3</v>
      </c>
      <c r="F140" s="0" t="n">
        <v>0</v>
      </c>
      <c r="G140" s="0" t="n">
        <v>17</v>
      </c>
      <c r="H140" s="0" t="n">
        <v>17</v>
      </c>
    </row>
    <row r="141" customFormat="false" ht="15" hidden="false" customHeight="false" outlineLevel="0" collapsed="false">
      <c r="A141" s="0" t="s">
        <v>126</v>
      </c>
      <c r="B141" s="0" t="s">
        <v>235</v>
      </c>
      <c r="C141" s="0" t="s">
        <v>231</v>
      </c>
      <c r="D141" s="0" t="n">
        <v>16</v>
      </c>
      <c r="E141" s="0" t="n">
        <v>22</v>
      </c>
      <c r="F141" s="0" t="n">
        <v>0</v>
      </c>
      <c r="G141" s="0" t="n">
        <v>38</v>
      </c>
      <c r="H141" s="0" t="n">
        <v>38</v>
      </c>
    </row>
    <row r="142" customFormat="false" ht="15" hidden="false" customHeight="false" outlineLevel="0" collapsed="false">
      <c r="A142" s="0" t="s">
        <v>126</v>
      </c>
      <c r="B142" s="0" t="s">
        <v>239</v>
      </c>
      <c r="C142" s="0" t="s">
        <v>79</v>
      </c>
      <c r="D142" s="0" t="n">
        <v>6</v>
      </c>
      <c r="E142" s="0" t="n">
        <v>13</v>
      </c>
      <c r="F142" s="0" t="n">
        <v>0</v>
      </c>
      <c r="G142" s="0" t="n">
        <v>19</v>
      </c>
      <c r="H142" s="0" t="n">
        <v>19</v>
      </c>
    </row>
    <row r="143" customFormat="false" ht="15" hidden="false" customHeight="false" outlineLevel="0" collapsed="false">
      <c r="A143" s="0" t="s">
        <v>126</v>
      </c>
      <c r="B143" s="0" t="s">
        <v>268</v>
      </c>
      <c r="C143" s="0" t="s">
        <v>269</v>
      </c>
      <c r="D143" s="0" t="n">
        <v>7</v>
      </c>
      <c r="E143" s="0" t="n">
        <v>10</v>
      </c>
      <c r="F143" s="0" t="n">
        <v>14</v>
      </c>
      <c r="G143" s="0" t="n">
        <v>17</v>
      </c>
      <c r="H143" s="0" t="n">
        <v>31</v>
      </c>
    </row>
    <row r="144" customFormat="false" ht="15" hidden="false" customHeight="false" outlineLevel="0" collapsed="false">
      <c r="A144" s="0" t="s">
        <v>126</v>
      </c>
      <c r="B144" s="0" t="s">
        <v>270</v>
      </c>
      <c r="C144" s="0" t="s">
        <v>269</v>
      </c>
      <c r="D144" s="0" t="n">
        <v>19</v>
      </c>
      <c r="E144" s="0" t="n">
        <v>17</v>
      </c>
      <c r="F144" s="0" t="n">
        <v>0</v>
      </c>
      <c r="G144" s="0" t="n">
        <v>36</v>
      </c>
      <c r="H144" s="0" t="n">
        <v>36</v>
      </c>
    </row>
    <row r="145" customFormat="false" ht="15" hidden="false" customHeight="false" outlineLevel="0" collapsed="false">
      <c r="A145" s="0" t="s">
        <v>126</v>
      </c>
      <c r="B145" s="0" t="s">
        <v>271</v>
      </c>
      <c r="C145" s="0" t="s">
        <v>264</v>
      </c>
      <c r="D145" s="0" t="n">
        <v>6</v>
      </c>
      <c r="E145" s="0" t="n">
        <v>5</v>
      </c>
      <c r="F145" s="0" t="n">
        <v>21</v>
      </c>
      <c r="G145" s="0" t="n">
        <v>11</v>
      </c>
      <c r="H145" s="0" t="n">
        <v>32</v>
      </c>
    </row>
    <row r="146" customFormat="false" ht="15" hidden="false" customHeight="false" outlineLevel="0" collapsed="false">
      <c r="A146" s="0" t="s">
        <v>126</v>
      </c>
      <c r="B146" s="0" t="s">
        <v>271</v>
      </c>
      <c r="C146" s="0" t="s">
        <v>241</v>
      </c>
      <c r="D146" s="0" t="n">
        <v>10</v>
      </c>
      <c r="E146" s="0" t="n">
        <v>9</v>
      </c>
      <c r="F146" s="0" t="n">
        <v>10</v>
      </c>
      <c r="G146" s="0" t="n">
        <v>19</v>
      </c>
      <c r="H146" s="0" t="n">
        <v>29</v>
      </c>
    </row>
    <row r="147" customFormat="false" ht="15" hidden="false" customHeight="false" outlineLevel="0" collapsed="false">
      <c r="A147" s="0" t="s">
        <v>126</v>
      </c>
      <c r="B147" s="0" t="s">
        <v>240</v>
      </c>
      <c r="C147" s="0" t="s">
        <v>269</v>
      </c>
      <c r="D147" s="0" t="n">
        <v>8</v>
      </c>
      <c r="E147" s="0" t="n">
        <v>2</v>
      </c>
      <c r="F147" s="0" t="n">
        <v>12</v>
      </c>
      <c r="G147" s="0" t="n">
        <v>10</v>
      </c>
      <c r="H147" s="0" t="n">
        <v>22</v>
      </c>
    </row>
    <row r="148" customFormat="false" ht="15" hidden="false" customHeight="false" outlineLevel="0" collapsed="false">
      <c r="A148" s="0" t="s">
        <v>126</v>
      </c>
      <c r="B148" s="0" t="s">
        <v>243</v>
      </c>
      <c r="C148" s="0" t="s">
        <v>272</v>
      </c>
      <c r="D148" s="0" t="n">
        <v>12</v>
      </c>
      <c r="E148" s="0" t="n">
        <v>9</v>
      </c>
      <c r="F148" s="0" t="n">
        <v>0</v>
      </c>
      <c r="G148" s="0" t="n">
        <v>21</v>
      </c>
      <c r="H148" s="0" t="n">
        <v>21</v>
      </c>
    </row>
    <row r="149" customFormat="false" ht="15" hidden="false" customHeight="false" outlineLevel="0" collapsed="false">
      <c r="A149" s="0" t="s">
        <v>126</v>
      </c>
      <c r="B149" s="0" t="s">
        <v>273</v>
      </c>
      <c r="C149" s="0" t="s">
        <v>274</v>
      </c>
      <c r="D149" s="0" t="n">
        <v>10</v>
      </c>
      <c r="E149" s="0" t="n">
        <v>12</v>
      </c>
      <c r="F149" s="0" t="n">
        <v>0</v>
      </c>
      <c r="G149" s="0" t="n">
        <v>22</v>
      </c>
      <c r="H149" s="0" t="n">
        <v>22</v>
      </c>
    </row>
    <row r="150" customFormat="false" ht="15" hidden="false" customHeight="false" outlineLevel="0" collapsed="false">
      <c r="A150" s="0" t="s">
        <v>126</v>
      </c>
      <c r="B150" s="0" t="s">
        <v>275</v>
      </c>
      <c r="C150" s="0" t="s">
        <v>276</v>
      </c>
      <c r="D150" s="0" t="n">
        <v>10</v>
      </c>
      <c r="E150" s="0" t="n">
        <v>12</v>
      </c>
      <c r="F150" s="0" t="n">
        <v>8</v>
      </c>
      <c r="G150" s="0" t="n">
        <v>22</v>
      </c>
      <c r="H150" s="0" t="n">
        <v>30</v>
      </c>
    </row>
    <row r="151" customFormat="false" ht="15" hidden="false" customHeight="false" outlineLevel="0" collapsed="false">
      <c r="A151" s="0" t="s">
        <v>126</v>
      </c>
      <c r="B151" s="0" t="s">
        <v>247</v>
      </c>
      <c r="C151" s="0" t="s">
        <v>241</v>
      </c>
      <c r="D151" s="0" t="n">
        <v>9</v>
      </c>
      <c r="E151" s="0" t="n">
        <v>12</v>
      </c>
      <c r="F151" s="0" t="n">
        <v>0</v>
      </c>
      <c r="G151" s="0" t="n">
        <v>21</v>
      </c>
      <c r="H151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277</v>
      </c>
      <c r="C1" s="9" t="s">
        <v>278</v>
      </c>
      <c r="D1" s="9" t="s">
        <v>279</v>
      </c>
      <c r="E1" s="9" t="s">
        <v>280</v>
      </c>
      <c r="F1" s="9" t="s">
        <v>281</v>
      </c>
      <c r="G1" s="9" t="s">
        <v>282</v>
      </c>
    </row>
    <row r="2" customFormat="false" ht="15" hidden="false" customHeight="false" outlineLevel="0" collapsed="false">
      <c r="A2" s="0" t="s">
        <v>27</v>
      </c>
      <c r="B2" s="0" t="s">
        <v>283</v>
      </c>
      <c r="C2" s="0" t="n">
        <v>7.96</v>
      </c>
      <c r="D2" s="0" t="n">
        <v>7.95</v>
      </c>
      <c r="F2" s="0" t="n">
        <v>4</v>
      </c>
      <c r="G2" s="0" t="s">
        <v>162</v>
      </c>
    </row>
    <row r="3" customFormat="false" ht="15" hidden="false" customHeight="false" outlineLevel="0" collapsed="false">
      <c r="A3" s="0" t="s">
        <v>27</v>
      </c>
      <c r="B3" s="0" t="s">
        <v>284</v>
      </c>
      <c r="C3" s="0" t="n">
        <v>2.81</v>
      </c>
      <c r="D3" s="0" t="n">
        <v>2.81</v>
      </c>
      <c r="F3" s="0" t="n">
        <v>2</v>
      </c>
      <c r="G3" s="0" t="s">
        <v>157</v>
      </c>
    </row>
    <row r="4" customFormat="false" ht="15" hidden="false" customHeight="false" outlineLevel="0" collapsed="false">
      <c r="A4" s="0" t="s">
        <v>27</v>
      </c>
      <c r="B4" s="0" t="s">
        <v>285</v>
      </c>
      <c r="C4" s="0" t="n">
        <v>6.72</v>
      </c>
      <c r="D4" s="0" t="n">
        <v>6.71</v>
      </c>
      <c r="F4" s="0" t="n">
        <v>4</v>
      </c>
    </row>
    <row r="5" customFormat="false" ht="15" hidden="false" customHeight="false" outlineLevel="0" collapsed="false">
      <c r="A5" s="0" t="s">
        <v>27</v>
      </c>
      <c r="B5" s="0" t="s">
        <v>286</v>
      </c>
      <c r="C5" s="0" t="n">
        <v>3.77</v>
      </c>
      <c r="D5" s="0" t="n">
        <v>3.77</v>
      </c>
      <c r="F5" s="0" t="n">
        <v>2</v>
      </c>
      <c r="G5" s="0" t="s">
        <v>158</v>
      </c>
    </row>
    <row r="6" customFormat="false" ht="15" hidden="false" customHeight="false" outlineLevel="0" collapsed="false">
      <c r="A6" s="0" t="s">
        <v>27</v>
      </c>
      <c r="B6" s="0" t="s">
        <v>287</v>
      </c>
      <c r="C6" s="0" t="n">
        <v>3.05</v>
      </c>
      <c r="D6" s="0" t="n">
        <v>3.05</v>
      </c>
      <c r="F6" s="0" t="n">
        <v>2</v>
      </c>
      <c r="G6" s="0" t="s">
        <v>164</v>
      </c>
    </row>
    <row r="7" customFormat="false" ht="15" hidden="false" customHeight="false" outlineLevel="0" collapsed="false">
      <c r="A7" s="0" t="s">
        <v>27</v>
      </c>
      <c r="B7" s="0" t="s">
        <v>288</v>
      </c>
      <c r="C7" s="0" t="n">
        <v>5.6</v>
      </c>
      <c r="D7" s="0" t="n">
        <v>5.6</v>
      </c>
      <c r="F7" s="0" t="n">
        <v>3</v>
      </c>
      <c r="G7" s="0" t="s">
        <v>159</v>
      </c>
    </row>
    <row r="8" customFormat="false" ht="15" hidden="false" customHeight="false" outlineLevel="0" collapsed="false">
      <c r="A8" s="0" t="s">
        <v>27</v>
      </c>
      <c r="B8" s="0" t="s">
        <v>289</v>
      </c>
      <c r="C8" s="0" t="n">
        <v>3.38</v>
      </c>
      <c r="D8" s="0" t="n">
        <v>3.38</v>
      </c>
      <c r="F8" s="0" t="n">
        <v>3</v>
      </c>
      <c r="G8" s="0" t="s">
        <v>165</v>
      </c>
    </row>
    <row r="9" customFormat="false" ht="15" hidden="false" customHeight="false" outlineLevel="0" collapsed="false">
      <c r="A9" s="0" t="s">
        <v>27</v>
      </c>
      <c r="B9" s="0" t="s">
        <v>290</v>
      </c>
      <c r="F9" s="0" t="n">
        <v>1</v>
      </c>
      <c r="G9" s="0" t="s">
        <v>160</v>
      </c>
    </row>
    <row r="10" customFormat="false" ht="15" hidden="false" customHeight="false" outlineLevel="0" collapsed="false">
      <c r="A10" s="0" t="s">
        <v>27</v>
      </c>
      <c r="B10" s="0" t="s">
        <v>126</v>
      </c>
      <c r="C10" s="0" t="n">
        <v>8.74</v>
      </c>
      <c r="D10" s="0" t="n">
        <v>8.74</v>
      </c>
      <c r="F10" s="0" t="n">
        <v>5</v>
      </c>
      <c r="G10" s="0" t="s">
        <v>166</v>
      </c>
    </row>
    <row r="11" customFormat="false" ht="15" hidden="false" customHeight="false" outlineLevel="0" collapsed="false">
      <c r="A11" s="0" t="s">
        <v>27</v>
      </c>
      <c r="B11" s="0" t="s">
        <v>291</v>
      </c>
      <c r="C11" s="0" t="n">
        <v>5.77</v>
      </c>
      <c r="D11" s="0" t="n">
        <v>5.77</v>
      </c>
      <c r="F11" s="0" t="n">
        <v>4</v>
      </c>
      <c r="G11" s="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292</v>
      </c>
      <c r="B1" s="9" t="s">
        <v>293</v>
      </c>
      <c r="C1" s="9" t="s">
        <v>62</v>
      </c>
      <c r="D1" s="9" t="s">
        <v>41</v>
      </c>
      <c r="E1" s="9" t="s">
        <v>80</v>
      </c>
      <c r="F1" s="9" t="s">
        <v>81</v>
      </c>
      <c r="G1" s="9" t="s">
        <v>82</v>
      </c>
      <c r="H1" s="9" t="s">
        <v>84</v>
      </c>
      <c r="I1" s="9" t="s">
        <v>88</v>
      </c>
      <c r="J1" s="9" t="s">
        <v>89</v>
      </c>
      <c r="K1" s="9" t="s">
        <v>46</v>
      </c>
      <c r="L1" s="9" t="s">
        <v>42</v>
      </c>
      <c r="M1" s="9" t="s">
        <v>90</v>
      </c>
      <c r="N1" s="9" t="s">
        <v>55</v>
      </c>
      <c r="O1" s="9" t="s">
        <v>294</v>
      </c>
      <c r="P1" s="9" t="s">
        <v>295</v>
      </c>
    </row>
    <row r="2" customFormat="false" ht="15" hidden="false" customHeight="false" outlineLevel="0" collapsed="false">
      <c r="A2" s="0" t="s">
        <v>186</v>
      </c>
      <c r="B2" s="0" t="s">
        <v>184</v>
      </c>
      <c r="C2" s="0" t="s">
        <v>27</v>
      </c>
      <c r="D2" s="0" t="s">
        <v>101</v>
      </c>
      <c r="E2" s="0" t="s">
        <v>102</v>
      </c>
      <c r="F2" s="0" t="n">
        <v>5.5</v>
      </c>
      <c r="G2" s="0" t="n">
        <v>7.32</v>
      </c>
      <c r="H2" s="7" t="n">
        <v>0.6782</v>
      </c>
      <c r="I2" s="0" t="n">
        <v>9</v>
      </c>
      <c r="J2" s="7" t="n">
        <v>0.7889</v>
      </c>
      <c r="K2" s="7" t="n">
        <v>0.221</v>
      </c>
      <c r="L2" s="7" t="n">
        <v>0.57</v>
      </c>
      <c r="M2" s="0" t="n">
        <v>5.62</v>
      </c>
      <c r="N2" s="7" t="n">
        <v>0.8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186</v>
      </c>
      <c r="B3" s="0" t="s">
        <v>184</v>
      </c>
      <c r="C3" s="0" t="s">
        <v>27</v>
      </c>
      <c r="D3" s="0" t="s">
        <v>106</v>
      </c>
      <c r="E3" s="0" t="s">
        <v>102</v>
      </c>
      <c r="F3" s="0" t="n">
        <v>7.5</v>
      </c>
      <c r="G3" s="0" t="n">
        <v>9.44</v>
      </c>
      <c r="H3" s="7" t="n">
        <v>0.6654</v>
      </c>
      <c r="I3" s="0" t="n">
        <v>11.8</v>
      </c>
      <c r="J3" s="7" t="n">
        <v>0.8011</v>
      </c>
      <c r="K3" s="7" t="n">
        <v>0.221</v>
      </c>
      <c r="L3" s="7" t="n">
        <v>0.6</v>
      </c>
      <c r="M3" s="0" t="n">
        <v>7.55</v>
      </c>
      <c r="N3" s="7" t="n">
        <v>0.8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186</v>
      </c>
      <c r="B4" s="0" t="s">
        <v>184</v>
      </c>
      <c r="C4" s="0" t="s">
        <v>27</v>
      </c>
      <c r="D4" s="0" t="s">
        <v>109</v>
      </c>
      <c r="E4" s="0" t="s">
        <v>102</v>
      </c>
      <c r="F4" s="0" t="n">
        <v>11</v>
      </c>
      <c r="G4" s="0" t="n">
        <v>13.5</v>
      </c>
      <c r="H4" s="7" t="n">
        <v>0.6389</v>
      </c>
      <c r="I4" s="0" t="n">
        <v>16.6</v>
      </c>
      <c r="J4" s="7" t="n">
        <v>0.7932</v>
      </c>
      <c r="K4" s="7" t="n">
        <v>0.221</v>
      </c>
      <c r="L4" s="7" t="n">
        <v>0.57</v>
      </c>
      <c r="M4" s="0" t="n">
        <v>11.21</v>
      </c>
      <c r="N4" s="7" t="n">
        <v>0.7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186</v>
      </c>
      <c r="B5" s="0" t="s">
        <v>184</v>
      </c>
      <c r="C5" s="0" t="s">
        <v>27</v>
      </c>
      <c r="D5" s="0" t="s">
        <v>111</v>
      </c>
      <c r="E5" s="0" t="s">
        <v>102</v>
      </c>
      <c r="F5" s="0" t="n">
        <v>4</v>
      </c>
      <c r="G5" s="0" t="n">
        <v>4.55</v>
      </c>
      <c r="H5" s="7" t="n">
        <v>0.5071</v>
      </c>
      <c r="I5" s="0" t="n">
        <v>5.6</v>
      </c>
      <c r="J5" s="7" t="n">
        <v>0.6285</v>
      </c>
      <c r="K5" s="7" t="n">
        <v>0.221</v>
      </c>
      <c r="L5" s="7" t="n">
        <v>0.57</v>
      </c>
      <c r="N5" s="7" t="n">
        <v>0.7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186</v>
      </c>
      <c r="B6" s="0" t="s">
        <v>184</v>
      </c>
      <c r="C6" s="0" t="s">
        <v>27</v>
      </c>
      <c r="D6" s="0" t="s">
        <v>113</v>
      </c>
      <c r="E6" s="0" t="s">
        <v>102</v>
      </c>
      <c r="F6" s="0" t="n">
        <v>12.5</v>
      </c>
      <c r="G6" s="0" t="n">
        <v>14.48</v>
      </c>
      <c r="H6" s="7" t="n">
        <v>0.6318</v>
      </c>
      <c r="I6" s="0" t="n">
        <v>17.8</v>
      </c>
      <c r="J6" s="7" t="n">
        <v>0.7923</v>
      </c>
      <c r="K6" s="7" t="n">
        <v>0.221</v>
      </c>
      <c r="L6" s="7" t="n">
        <v>0.57</v>
      </c>
      <c r="M6" s="0" t="n">
        <v>11.54</v>
      </c>
      <c r="N6" s="7" t="n">
        <v>0.7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186</v>
      </c>
      <c r="B7" s="0" t="s">
        <v>184</v>
      </c>
      <c r="C7" s="0" t="s">
        <v>27</v>
      </c>
      <c r="D7" s="0" t="s">
        <v>116</v>
      </c>
      <c r="E7" s="0" t="s">
        <v>102</v>
      </c>
      <c r="F7" s="0" t="n">
        <v>16</v>
      </c>
      <c r="G7" s="0" t="n">
        <v>18.64</v>
      </c>
      <c r="H7" s="7" t="n">
        <v>0.6305</v>
      </c>
      <c r="I7" s="0" t="n">
        <v>18.2</v>
      </c>
      <c r="J7" s="7" t="n">
        <v>0.6056</v>
      </c>
      <c r="K7" s="7" t="n">
        <v>0.779</v>
      </c>
      <c r="L7" s="7" t="n">
        <v>0.73</v>
      </c>
      <c r="M7" s="0" t="n">
        <v>15.91</v>
      </c>
      <c r="N7" s="7" t="n">
        <v>0.6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186</v>
      </c>
      <c r="B8" s="0" t="s">
        <v>184</v>
      </c>
      <c r="C8" s="0" t="s">
        <v>27</v>
      </c>
      <c r="D8" s="0" t="s">
        <v>119</v>
      </c>
      <c r="E8" s="0" t="s">
        <v>102</v>
      </c>
      <c r="F8" s="0" t="n">
        <v>15.5</v>
      </c>
      <c r="G8" s="0" t="n">
        <v>14.34</v>
      </c>
      <c r="H8" s="7" t="n">
        <v>0.4167</v>
      </c>
      <c r="I8" s="0" t="n">
        <v>14</v>
      </c>
      <c r="J8" s="7" t="n">
        <v>0.3917</v>
      </c>
      <c r="K8" s="7" t="n">
        <v>0.779</v>
      </c>
      <c r="L8" s="7" t="n">
        <v>0.73</v>
      </c>
      <c r="N8" s="7" t="n">
        <v>0.3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186</v>
      </c>
      <c r="B9" s="0" t="s">
        <v>184</v>
      </c>
      <c r="C9" s="0" t="s">
        <v>27</v>
      </c>
      <c r="D9" s="0" t="s">
        <v>121</v>
      </c>
      <c r="E9" s="0" t="s">
        <v>102</v>
      </c>
      <c r="F9" s="0" t="n">
        <v>6</v>
      </c>
      <c r="G9" s="0" t="n">
        <v>6.55</v>
      </c>
      <c r="H9" s="7" t="n">
        <v>0.5061</v>
      </c>
      <c r="I9" s="0" t="n">
        <v>6.4</v>
      </c>
      <c r="J9" s="7" t="n">
        <v>0.4888</v>
      </c>
      <c r="K9" s="7" t="n">
        <v>0.779</v>
      </c>
      <c r="L9" s="7" t="n">
        <v>0.73</v>
      </c>
      <c r="M9" s="0" t="n">
        <v>6.1</v>
      </c>
      <c r="N9" s="7" t="n">
        <v>0.4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186</v>
      </c>
      <c r="B10" s="0" t="s">
        <v>184</v>
      </c>
      <c r="C10" s="0" t="s">
        <v>27</v>
      </c>
      <c r="D10" s="0" t="s">
        <v>124</v>
      </c>
      <c r="E10" s="0" t="s">
        <v>102</v>
      </c>
      <c r="F10" s="0" t="n">
        <v>7.5</v>
      </c>
      <c r="G10" s="0" t="n">
        <v>8.19</v>
      </c>
      <c r="H10" s="7" t="n">
        <v>0.5679</v>
      </c>
      <c r="I10" s="0" t="n">
        <v>8</v>
      </c>
      <c r="J10" s="7" t="n">
        <v>0.5497</v>
      </c>
      <c r="K10" s="7" t="n">
        <v>0.779</v>
      </c>
      <c r="L10" s="7" t="n">
        <v>0.73</v>
      </c>
      <c r="M10" s="0" t="n">
        <v>6.76</v>
      </c>
      <c r="N10" s="7" t="n">
        <v>0.6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186</v>
      </c>
      <c r="B11" s="0" t="s">
        <v>184</v>
      </c>
      <c r="C11" s="0" t="s">
        <v>27</v>
      </c>
      <c r="D11" s="0" t="s">
        <v>126</v>
      </c>
      <c r="E11" s="0" t="s">
        <v>102</v>
      </c>
      <c r="F11" s="0" t="n">
        <v>19.5</v>
      </c>
      <c r="G11" s="0" t="n">
        <v>21.51</v>
      </c>
      <c r="H11" s="7" t="n">
        <v>0.6131</v>
      </c>
      <c r="I11" s="0" t="n">
        <v>21</v>
      </c>
      <c r="J11" s="7" t="n">
        <v>0.586</v>
      </c>
      <c r="K11" s="7" t="n">
        <v>0.779</v>
      </c>
      <c r="L11" s="7" t="n">
        <v>0.73</v>
      </c>
      <c r="M11" s="0" t="n">
        <v>17.47</v>
      </c>
      <c r="N11" s="7" t="n">
        <v>0.3</v>
      </c>
      <c r="O11" s="11"/>
      <c r="P11" s="0" t="str">
        <f aca="false">IF(O11="","",IF(O11&gt;F11,"OVER",IF(O11&lt;F11,"UNDER","PUSH")))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296</v>
      </c>
      <c r="B1" s="9" t="s">
        <v>295</v>
      </c>
    </row>
    <row r="2" customFormat="false" ht="15" hidden="false" customHeight="false" outlineLevel="0" collapsed="false">
      <c r="A2" s="0" t="s">
        <v>297</v>
      </c>
      <c r="B2" s="0" t="n">
        <v>10</v>
      </c>
    </row>
    <row r="3" customFormat="false" ht="15" hidden="false" customHeight="false" outlineLevel="0" collapsed="false">
      <c r="A3" s="0" t="s">
        <v>298</v>
      </c>
      <c r="B3" s="0" t="n">
        <v>10</v>
      </c>
    </row>
    <row r="4" customFormat="false" ht="15" hidden="false" customHeight="false" outlineLevel="0" collapsed="false">
      <c r="A4" s="0" t="s">
        <v>299</v>
      </c>
      <c r="B4" s="0" t="s">
        <v>300</v>
      </c>
    </row>
    <row r="5" customFormat="false" ht="15" hidden="false" customHeight="false" outlineLevel="0" collapsed="false">
      <c r="A5" s="0" t="s">
        <v>301</v>
      </c>
      <c r="B5" s="0" t="s">
        <v>302</v>
      </c>
    </row>
    <row r="6" customFormat="false" ht="15" hidden="false" customHeight="false" outlineLevel="0" collapsed="false">
      <c r="A6" s="0" t="s">
        <v>303</v>
      </c>
      <c r="B6" s="0" t="n">
        <v>9</v>
      </c>
    </row>
    <row r="7" customFormat="false" ht="15" hidden="false" customHeight="false" outlineLevel="0" collapsed="false">
      <c r="A7" s="0" t="s">
        <v>304</v>
      </c>
      <c r="B7" s="0" t="n">
        <f aca="false">SUMPRODUCT(--ISERROR(Projections!F2:M11))</f>
        <v>0</v>
      </c>
    </row>
    <row r="8" customFormat="false" ht="15" hidden="false" customHeight="false" outlineLevel="0" collapsed="false">
      <c r="A8" s="0" t="s">
        <v>305</v>
      </c>
      <c r="B8" s="0" t="n">
        <f aca="false">COUNTBLANK(Projections!F2:F11)</f>
        <v>0</v>
      </c>
    </row>
    <row r="9" customFormat="false" ht="15" hidden="false" customHeight="false" outlineLevel="0" collapsed="false">
      <c r="A9" s="0" t="s">
        <v>306</v>
      </c>
      <c r="B9" s="0" t="n">
        <f aca="false">SUMPRODUCT(MAX(ABS(N(+Projections!F2:F11)-N(+Log!G2:G11))))</f>
        <v>0.00460054719562386</v>
      </c>
    </row>
    <row r="10" customFormat="false" ht="15" hidden="false" customHeight="false" outlineLevel="0" collapsed="false">
      <c r="A10" s="0" t="s">
        <v>307</v>
      </c>
      <c r="B10" s="0" t="n">
        <f aca="false">SUMPRODUCT((ABS(N(+Projections!O2:O11)-N(+Projections!P2:P11))&lt;0.00001)*(ABS(N(+Projections!F2:F11)-N(+Projections!L2:L11))&gt;0.001)*(Projections!D2:D11="Map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2026-10-31T03:17:29Z</dcterms:created>
  <dc:creator>openpyxl</dc:creator>
  <dc:description/>
  <dc:language>en-US</dc:language>
  <cp:lastModifiedBy/>
  <dcterms:modified xsi:type="dcterms:W3CDTF">2026-10-31T03:17:29Z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